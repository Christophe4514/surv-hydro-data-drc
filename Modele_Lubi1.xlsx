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2.xml" ContentType="application/vnd.openxmlformats-officedocument.spreadsheetml.pivotTable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ml-studie\surv-hydro-data-drc\"/>
    </mc:Choice>
  </mc:AlternateContent>
  <bookViews>
    <workbookView xWindow="0" yWindow="0" windowWidth="25600" windowHeight="12130" activeTab="4"/>
  </bookViews>
  <sheets>
    <sheet name="Qsim_DEC2022" sheetId="4" r:id="rId1"/>
    <sheet name="Jour_Navigable (3)" sheetId="13" r:id="rId2"/>
    <sheet name="Qmoyennes" sheetId="16" r:id="rId3"/>
    <sheet name="profondeur-calc" sheetId="9" r:id="rId4"/>
    <sheet name="courbe debit classé (2)" sheetId="17" r:id="rId5"/>
  </sheets>
  <definedNames>
    <definedName name="_xlnm._FilterDatabase" localSheetId="1" hidden="1">'Jour_Navigable (3)'!$C$1:$C$5192</definedName>
    <definedName name="_xlnm._FilterDatabase" localSheetId="0" hidden="1">Qsim_DEC2022!$H$1:$H$5194</definedName>
  </definedNames>
  <calcPr calcId="162913"/>
  <pivotCaches>
    <pivotCache cacheId="4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7" l="1"/>
  <c r="D2" i="17"/>
  <c r="E2" i="17" s="1"/>
  <c r="C3" i="17"/>
  <c r="C4" i="17"/>
  <c r="C5" i="17"/>
  <c r="C6" i="17"/>
  <c r="C7" i="17"/>
  <c r="C8" i="17"/>
  <c r="C9" i="17"/>
  <c r="C10" i="17"/>
  <c r="C11" i="17"/>
  <c r="C12" i="17"/>
  <c r="C13" i="17"/>
  <c r="C14" i="17"/>
  <c r="C15" i="17"/>
  <c r="C16" i="17"/>
  <c r="C17" i="17"/>
  <c r="C18" i="17"/>
  <c r="C19" i="17"/>
  <c r="C20" i="17"/>
  <c r="C21" i="17"/>
  <c r="C22" i="17"/>
  <c r="C23" i="17"/>
  <c r="C24" i="17"/>
  <c r="C25" i="17"/>
  <c r="C26" i="17"/>
  <c r="C27" i="17"/>
  <c r="C28" i="17"/>
  <c r="C29" i="17"/>
  <c r="C30" i="17"/>
  <c r="C31" i="17"/>
  <c r="C32" i="17"/>
  <c r="C33" i="17"/>
  <c r="C34" i="17"/>
  <c r="C35" i="17"/>
  <c r="C36" i="17"/>
  <c r="C37" i="17"/>
  <c r="C38" i="17"/>
  <c r="C39" i="17"/>
  <c r="C40" i="17"/>
  <c r="C41" i="17"/>
  <c r="C42" i="17"/>
  <c r="C43" i="17"/>
  <c r="C44" i="17"/>
  <c r="C45" i="17"/>
  <c r="C46" i="17"/>
  <c r="C47" i="17"/>
  <c r="C48" i="17"/>
  <c r="C49" i="17"/>
  <c r="C50" i="17"/>
  <c r="C51" i="17"/>
  <c r="C52" i="17"/>
  <c r="C53" i="17"/>
  <c r="C54" i="17"/>
  <c r="C55" i="17"/>
  <c r="C56" i="17"/>
  <c r="C57" i="17"/>
  <c r="C58" i="17"/>
  <c r="C59" i="17"/>
  <c r="C60" i="17"/>
  <c r="C61" i="17"/>
  <c r="C62" i="17"/>
  <c r="C63" i="17"/>
  <c r="C64" i="17"/>
  <c r="C65" i="17"/>
  <c r="C66" i="17"/>
  <c r="C67" i="17"/>
  <c r="C68" i="17"/>
  <c r="C69" i="17"/>
  <c r="C70" i="17"/>
  <c r="C71" i="17"/>
  <c r="C72" i="17"/>
  <c r="C73" i="17"/>
  <c r="C74" i="17"/>
  <c r="C75" i="17"/>
  <c r="C76" i="17"/>
  <c r="C77" i="17"/>
  <c r="C78" i="17"/>
  <c r="C79" i="17"/>
  <c r="C80" i="17"/>
  <c r="C81" i="17"/>
  <c r="C82" i="17"/>
  <c r="C83" i="17"/>
  <c r="C84" i="17"/>
  <c r="C85" i="17"/>
  <c r="C86" i="17"/>
  <c r="C87" i="17"/>
  <c r="C88" i="17"/>
  <c r="C89" i="17"/>
  <c r="C90" i="17"/>
  <c r="C91" i="17"/>
  <c r="C92" i="17"/>
  <c r="C93" i="17"/>
  <c r="C94" i="17"/>
  <c r="C95" i="17"/>
  <c r="C96" i="17"/>
  <c r="C97" i="17"/>
  <c r="C98" i="17"/>
  <c r="C99" i="17"/>
  <c r="C100" i="17"/>
  <c r="C101" i="17"/>
  <c r="C102" i="17"/>
  <c r="C103" i="17"/>
  <c r="C104" i="17"/>
  <c r="C105" i="17"/>
  <c r="C106" i="17"/>
  <c r="C107" i="17"/>
  <c r="C108" i="17"/>
  <c r="C109" i="17"/>
  <c r="C110" i="17"/>
  <c r="C111" i="17"/>
  <c r="C112" i="17"/>
  <c r="C113" i="17"/>
  <c r="C114" i="17"/>
  <c r="C115" i="17"/>
  <c r="C116" i="17"/>
  <c r="C117" i="17"/>
  <c r="C118" i="17"/>
  <c r="C119" i="17"/>
  <c r="C120" i="17"/>
  <c r="C121" i="17"/>
  <c r="C122" i="17"/>
  <c r="C123" i="17"/>
  <c r="C124" i="17"/>
  <c r="C125" i="17"/>
  <c r="C126" i="17"/>
  <c r="C127" i="17"/>
  <c r="C128" i="17"/>
  <c r="C129" i="17"/>
  <c r="C130" i="17"/>
  <c r="C131" i="17"/>
  <c r="C132" i="17"/>
  <c r="C133" i="17"/>
  <c r="C134" i="17"/>
  <c r="C135" i="17"/>
  <c r="C136" i="17"/>
  <c r="C137" i="17"/>
  <c r="C138" i="17"/>
  <c r="C139" i="17"/>
  <c r="C140" i="17"/>
  <c r="C141" i="17"/>
  <c r="C142" i="17"/>
  <c r="C143" i="17"/>
  <c r="C144" i="17"/>
  <c r="C145" i="17"/>
  <c r="C146" i="17"/>
  <c r="C147" i="17"/>
  <c r="C148" i="17"/>
  <c r="C149" i="17"/>
  <c r="C150" i="17"/>
  <c r="C151" i="17"/>
  <c r="C152" i="17"/>
  <c r="C153" i="17"/>
  <c r="C154" i="17"/>
  <c r="C155" i="17"/>
  <c r="C156" i="17"/>
  <c r="C157" i="17"/>
  <c r="C158" i="17"/>
  <c r="C159" i="17"/>
  <c r="C160" i="17"/>
  <c r="C161" i="17"/>
  <c r="C162" i="17"/>
  <c r="C163" i="17"/>
  <c r="C164" i="17"/>
  <c r="C165" i="17"/>
  <c r="C166" i="17"/>
  <c r="C167" i="17"/>
  <c r="C168" i="17"/>
  <c r="C169" i="17"/>
  <c r="C170" i="17"/>
  <c r="C171" i="17"/>
  <c r="C172" i="17"/>
  <c r="C173" i="17"/>
  <c r="C174" i="17"/>
  <c r="C175" i="17"/>
  <c r="C176" i="17"/>
  <c r="C177" i="17"/>
  <c r="C178" i="17"/>
  <c r="C179" i="17"/>
  <c r="C180" i="17"/>
  <c r="C181" i="17"/>
  <c r="C182" i="17"/>
  <c r="C183" i="17"/>
  <c r="C184" i="17"/>
  <c r="C185" i="17"/>
  <c r="C186" i="17"/>
  <c r="C187" i="17"/>
  <c r="C188" i="17"/>
  <c r="C189" i="17"/>
  <c r="C190" i="17"/>
  <c r="C191" i="17"/>
  <c r="C192" i="17"/>
  <c r="C193" i="17"/>
  <c r="C194" i="17"/>
  <c r="C195" i="17"/>
  <c r="C196" i="17"/>
  <c r="C197" i="17"/>
  <c r="C198" i="17"/>
  <c r="C199" i="17"/>
  <c r="C200" i="17"/>
  <c r="C201" i="17"/>
  <c r="C202" i="17"/>
  <c r="C203" i="17"/>
  <c r="C204" i="17"/>
  <c r="C205" i="17"/>
  <c r="C206" i="17"/>
  <c r="C207" i="17"/>
  <c r="C208" i="17"/>
  <c r="C209" i="17"/>
  <c r="C210" i="17"/>
  <c r="C211" i="17"/>
  <c r="C212" i="17"/>
  <c r="C213" i="17"/>
  <c r="C214" i="17"/>
  <c r="C215" i="17"/>
  <c r="C216" i="17"/>
  <c r="C217" i="17"/>
  <c r="C218" i="17"/>
  <c r="C219" i="17"/>
  <c r="C220" i="17"/>
  <c r="C221" i="17"/>
  <c r="C222" i="17"/>
  <c r="C223" i="17"/>
  <c r="C224" i="17"/>
  <c r="C225" i="17"/>
  <c r="C226" i="17"/>
  <c r="C227" i="17"/>
  <c r="C228" i="17"/>
  <c r="C229" i="17"/>
  <c r="C230" i="17"/>
  <c r="C231" i="17"/>
  <c r="C232" i="17"/>
  <c r="C233" i="17"/>
  <c r="C234" i="17"/>
  <c r="C235" i="17"/>
  <c r="C236" i="17"/>
  <c r="C237" i="17"/>
  <c r="C238" i="17"/>
  <c r="C239" i="17"/>
  <c r="C240" i="17"/>
  <c r="C241" i="17"/>
  <c r="C242" i="17"/>
  <c r="C243" i="17"/>
  <c r="C244" i="17"/>
  <c r="C245" i="17"/>
  <c r="C246" i="17"/>
  <c r="C247" i="17"/>
  <c r="C248" i="17"/>
  <c r="C249" i="17"/>
  <c r="C250" i="17"/>
  <c r="C251" i="17"/>
  <c r="C252" i="17"/>
  <c r="C253" i="17"/>
  <c r="C254" i="17"/>
  <c r="C255" i="17"/>
  <c r="C256" i="17"/>
  <c r="C257" i="17"/>
  <c r="C258" i="17"/>
  <c r="C259" i="17"/>
  <c r="C260" i="17"/>
  <c r="C261" i="17"/>
  <c r="C262" i="17"/>
  <c r="C263" i="17"/>
  <c r="C264" i="17"/>
  <c r="C265" i="17"/>
  <c r="C266" i="17"/>
  <c r="C267" i="17"/>
  <c r="C268" i="17"/>
  <c r="C269" i="17"/>
  <c r="C270" i="17"/>
  <c r="C271" i="17"/>
  <c r="C272" i="17"/>
  <c r="C273" i="17"/>
  <c r="C274" i="17"/>
  <c r="C275" i="17"/>
  <c r="C276" i="17"/>
  <c r="C277" i="17"/>
  <c r="C278" i="17"/>
  <c r="C279" i="17"/>
  <c r="C280" i="17"/>
  <c r="C281" i="17"/>
  <c r="C282" i="17"/>
  <c r="C283" i="17"/>
  <c r="C284" i="17"/>
  <c r="C285" i="17"/>
  <c r="C286" i="17"/>
  <c r="C287" i="17"/>
  <c r="C288" i="17"/>
  <c r="C289" i="17"/>
  <c r="C290" i="17"/>
  <c r="C291" i="17"/>
  <c r="C292" i="17"/>
  <c r="C293" i="17"/>
  <c r="C294" i="17"/>
  <c r="C295" i="17"/>
  <c r="C296" i="17"/>
  <c r="C297" i="17"/>
  <c r="C298" i="17"/>
  <c r="C299" i="17"/>
  <c r="C300" i="17"/>
  <c r="C301" i="17"/>
  <c r="C302" i="17"/>
  <c r="C303" i="17"/>
  <c r="C304" i="17"/>
  <c r="C305" i="17"/>
  <c r="C306" i="17"/>
  <c r="C307" i="17"/>
  <c r="C308" i="17"/>
  <c r="C309" i="17"/>
  <c r="C310" i="17"/>
  <c r="C311" i="17"/>
  <c r="C312" i="17"/>
  <c r="C313" i="17"/>
  <c r="C314" i="17"/>
  <c r="C315" i="17"/>
  <c r="C316" i="17"/>
  <c r="C317" i="17"/>
  <c r="C318" i="17"/>
  <c r="C319" i="17"/>
  <c r="C320" i="17"/>
  <c r="C321" i="17"/>
  <c r="C322" i="17"/>
  <c r="C323" i="17"/>
  <c r="C324" i="17"/>
  <c r="C325" i="17"/>
  <c r="C326" i="17"/>
  <c r="C327" i="17"/>
  <c r="C328" i="17"/>
  <c r="C329" i="17"/>
  <c r="C330" i="17"/>
  <c r="C331" i="17"/>
  <c r="C332" i="17"/>
  <c r="C333" i="17"/>
  <c r="C334" i="17"/>
  <c r="C335" i="17"/>
  <c r="C336" i="17"/>
  <c r="C337" i="17"/>
  <c r="C338" i="17"/>
  <c r="C339" i="17"/>
  <c r="C340" i="17"/>
  <c r="C341" i="17"/>
  <c r="C342" i="17"/>
  <c r="C343" i="17"/>
  <c r="C344" i="17"/>
  <c r="C345" i="17"/>
  <c r="C346" i="17"/>
  <c r="C347" i="17"/>
  <c r="C348" i="17"/>
  <c r="C349" i="17"/>
  <c r="C350" i="17"/>
  <c r="C351" i="17"/>
  <c r="C352" i="17"/>
  <c r="C353" i="17"/>
  <c r="C354" i="17"/>
  <c r="C355" i="17"/>
  <c r="C356" i="17"/>
  <c r="C357" i="17"/>
  <c r="C358" i="17"/>
  <c r="C359" i="17"/>
  <c r="C360" i="17"/>
  <c r="C361" i="17"/>
  <c r="C362" i="17"/>
  <c r="C363" i="17"/>
  <c r="C364" i="17"/>
  <c r="C365" i="17"/>
  <c r="C366" i="17"/>
  <c r="C367" i="17"/>
  <c r="C368" i="17"/>
  <c r="C369" i="17"/>
  <c r="C370" i="17"/>
  <c r="C371" i="17"/>
  <c r="C372" i="17"/>
  <c r="C373" i="17"/>
  <c r="C374" i="17"/>
  <c r="C375" i="17"/>
  <c r="C376" i="17"/>
  <c r="C377" i="17"/>
  <c r="C378" i="17"/>
  <c r="C379" i="17"/>
  <c r="C380" i="17"/>
  <c r="C381" i="17"/>
  <c r="C382" i="17"/>
  <c r="C383" i="17"/>
  <c r="C384" i="17"/>
  <c r="C385" i="17"/>
  <c r="C386" i="17"/>
  <c r="C387" i="17"/>
  <c r="C388" i="17"/>
  <c r="C389" i="17"/>
  <c r="C390" i="17"/>
  <c r="C391" i="17"/>
  <c r="C392" i="17"/>
  <c r="C393" i="17"/>
  <c r="C394" i="17"/>
  <c r="C395" i="17"/>
  <c r="C396" i="17"/>
  <c r="C397" i="17"/>
  <c r="C398" i="17"/>
  <c r="C399" i="17"/>
  <c r="C400" i="17"/>
  <c r="C401" i="17"/>
  <c r="C402" i="17"/>
  <c r="C403" i="17"/>
  <c r="C404" i="17"/>
  <c r="C405" i="17"/>
  <c r="C406" i="17"/>
  <c r="C407" i="17"/>
  <c r="C408" i="17"/>
  <c r="C409" i="17"/>
  <c r="C410" i="17"/>
  <c r="C411" i="17"/>
  <c r="C412" i="17"/>
  <c r="C413" i="17"/>
  <c r="C414" i="17"/>
  <c r="C415" i="17"/>
  <c r="C416" i="17"/>
  <c r="C417" i="17"/>
  <c r="C418" i="17"/>
  <c r="C419" i="17"/>
  <c r="C420" i="17"/>
  <c r="C421" i="17"/>
  <c r="C422" i="17"/>
  <c r="C423" i="17"/>
  <c r="C424" i="17"/>
  <c r="C425" i="17"/>
  <c r="C426" i="17"/>
  <c r="C427" i="17"/>
  <c r="C428" i="17"/>
  <c r="C429" i="17"/>
  <c r="C430" i="17"/>
  <c r="C431" i="17"/>
  <c r="C432" i="17"/>
  <c r="C433" i="17"/>
  <c r="C434" i="17"/>
  <c r="C435" i="17"/>
  <c r="C436" i="17"/>
  <c r="C437" i="17"/>
  <c r="C438" i="17"/>
  <c r="C439" i="17"/>
  <c r="C440" i="17"/>
  <c r="C441" i="17"/>
  <c r="C442" i="17"/>
  <c r="C443" i="17"/>
  <c r="C444" i="17"/>
  <c r="C445" i="17"/>
  <c r="C446" i="17"/>
  <c r="C447" i="17"/>
  <c r="C448" i="17"/>
  <c r="C449" i="17"/>
  <c r="C450" i="17"/>
  <c r="C451" i="17"/>
  <c r="C452" i="17"/>
  <c r="C453" i="17"/>
  <c r="C454" i="17"/>
  <c r="C455" i="17"/>
  <c r="C456" i="17"/>
  <c r="C457" i="17"/>
  <c r="C458" i="17"/>
  <c r="C459" i="17"/>
  <c r="C460" i="17"/>
  <c r="C461" i="17"/>
  <c r="C462" i="17"/>
  <c r="C463" i="17"/>
  <c r="C464" i="17"/>
  <c r="C465" i="17"/>
  <c r="C466" i="17"/>
  <c r="C467" i="17"/>
  <c r="C468" i="17"/>
  <c r="C469" i="17"/>
  <c r="C470" i="17"/>
  <c r="C471" i="17"/>
  <c r="C472" i="17"/>
  <c r="C473" i="17"/>
  <c r="C474" i="17"/>
  <c r="C475" i="17"/>
  <c r="C476" i="17"/>
  <c r="C477" i="17"/>
  <c r="C478" i="17"/>
  <c r="C479" i="17"/>
  <c r="C480" i="17"/>
  <c r="C481" i="17"/>
  <c r="C482" i="17"/>
  <c r="C483" i="17"/>
  <c r="C484" i="17"/>
  <c r="C485" i="17"/>
  <c r="C486" i="17"/>
  <c r="C487" i="17"/>
  <c r="C488" i="17"/>
  <c r="C489" i="17"/>
  <c r="C490" i="17"/>
  <c r="C491" i="17"/>
  <c r="C492" i="17"/>
  <c r="C493" i="17"/>
  <c r="C494" i="17"/>
  <c r="C495" i="17"/>
  <c r="C496" i="17"/>
  <c r="C497" i="17"/>
  <c r="C498" i="17"/>
  <c r="C499" i="17"/>
  <c r="C500" i="17"/>
  <c r="C501" i="17"/>
  <c r="C502" i="17"/>
  <c r="C503" i="17"/>
  <c r="C504" i="17"/>
  <c r="C505" i="17"/>
  <c r="C506" i="17"/>
  <c r="C507" i="17"/>
  <c r="C508" i="17"/>
  <c r="C509" i="17"/>
  <c r="C510" i="17"/>
  <c r="C511" i="17"/>
  <c r="C512" i="17"/>
  <c r="C513" i="17"/>
  <c r="C514" i="17"/>
  <c r="C515" i="17"/>
  <c r="C516" i="17"/>
  <c r="C517" i="17"/>
  <c r="C518" i="17"/>
  <c r="C519" i="17"/>
  <c r="C520" i="17"/>
  <c r="C521" i="17"/>
  <c r="C522" i="17"/>
  <c r="C523" i="17"/>
  <c r="C524" i="17"/>
  <c r="C525" i="17"/>
  <c r="C526" i="17"/>
  <c r="C527" i="17"/>
  <c r="C528" i="17"/>
  <c r="C529" i="17"/>
  <c r="C530" i="17"/>
  <c r="C531" i="17"/>
  <c r="C532" i="17"/>
  <c r="C533" i="17"/>
  <c r="C534" i="17"/>
  <c r="C535" i="17"/>
  <c r="C536" i="17"/>
  <c r="C537" i="17"/>
  <c r="C538" i="17"/>
  <c r="C539" i="17"/>
  <c r="C540" i="17"/>
  <c r="C541" i="17"/>
  <c r="C542" i="17"/>
  <c r="C543" i="17"/>
  <c r="C544" i="17"/>
  <c r="C545" i="17"/>
  <c r="C546" i="17"/>
  <c r="C547" i="17"/>
  <c r="C548" i="17"/>
  <c r="C549" i="17"/>
  <c r="C550" i="17"/>
  <c r="C551" i="17"/>
  <c r="C552" i="17"/>
  <c r="C553" i="17"/>
  <c r="C554" i="17"/>
  <c r="C555" i="17"/>
  <c r="C556" i="17"/>
  <c r="C557" i="17"/>
  <c r="C558" i="17"/>
  <c r="C559" i="17"/>
  <c r="C560" i="17"/>
  <c r="C561" i="17"/>
  <c r="C562" i="17"/>
  <c r="C563" i="17"/>
  <c r="C564" i="17"/>
  <c r="C565" i="17"/>
  <c r="C566" i="17"/>
  <c r="C567" i="17"/>
  <c r="C568" i="17"/>
  <c r="C569" i="17"/>
  <c r="C570" i="17"/>
  <c r="C571" i="17"/>
  <c r="C572" i="17"/>
  <c r="C573" i="17"/>
  <c r="C574" i="17"/>
  <c r="C575" i="17"/>
  <c r="C576" i="17"/>
  <c r="C577" i="17"/>
  <c r="C578" i="17"/>
  <c r="C579" i="17"/>
  <c r="C580" i="17"/>
  <c r="C581" i="17"/>
  <c r="C582" i="17"/>
  <c r="C583" i="17"/>
  <c r="C584" i="17"/>
  <c r="C585" i="17"/>
  <c r="C586" i="17"/>
  <c r="C587" i="17"/>
  <c r="C588" i="17"/>
  <c r="C589" i="17"/>
  <c r="C590" i="17"/>
  <c r="C591" i="17"/>
  <c r="C592" i="17"/>
  <c r="C593" i="17"/>
  <c r="C594" i="17"/>
  <c r="C595" i="17"/>
  <c r="C596" i="17"/>
  <c r="C597" i="17"/>
  <c r="C598" i="17"/>
  <c r="C599" i="17"/>
  <c r="C600" i="17"/>
  <c r="C601" i="17"/>
  <c r="C602" i="17"/>
  <c r="C603" i="17"/>
  <c r="C604" i="17"/>
  <c r="C605" i="17"/>
  <c r="C606" i="17"/>
  <c r="C607" i="17"/>
  <c r="C608" i="17"/>
  <c r="C609" i="17"/>
  <c r="C610" i="17"/>
  <c r="C611" i="17"/>
  <c r="C612" i="17"/>
  <c r="C613" i="17"/>
  <c r="C614" i="17"/>
  <c r="C615" i="17"/>
  <c r="C616" i="17"/>
  <c r="C617" i="17"/>
  <c r="C618" i="17"/>
  <c r="C619" i="17"/>
  <c r="C620" i="17"/>
  <c r="C621" i="17"/>
  <c r="C622" i="17"/>
  <c r="C623" i="17"/>
  <c r="C624" i="17"/>
  <c r="C625" i="17"/>
  <c r="C626" i="17"/>
  <c r="C627" i="17"/>
  <c r="C628" i="17"/>
  <c r="C629" i="17"/>
  <c r="C630" i="17"/>
  <c r="C631" i="17"/>
  <c r="C632" i="17"/>
  <c r="C633" i="17"/>
  <c r="C634" i="17"/>
  <c r="C635" i="17"/>
  <c r="C636" i="17"/>
  <c r="C637" i="17"/>
  <c r="C638" i="17"/>
  <c r="C639" i="17"/>
  <c r="C640" i="17"/>
  <c r="C641" i="17"/>
  <c r="C642" i="17"/>
  <c r="C643" i="17"/>
  <c r="C644" i="17"/>
  <c r="C645" i="17"/>
  <c r="C646" i="17"/>
  <c r="C647" i="17"/>
  <c r="C648" i="17"/>
  <c r="C649" i="17"/>
  <c r="C650" i="17"/>
  <c r="C651" i="17"/>
  <c r="C652" i="17"/>
  <c r="C653" i="17"/>
  <c r="C654" i="17"/>
  <c r="C655" i="17"/>
  <c r="C656" i="17"/>
  <c r="C657" i="17"/>
  <c r="C658" i="17"/>
  <c r="C659" i="17"/>
  <c r="C660" i="17"/>
  <c r="C661" i="17"/>
  <c r="C662" i="17"/>
  <c r="C663" i="17"/>
  <c r="C664" i="17"/>
  <c r="C665" i="17"/>
  <c r="C666" i="17"/>
  <c r="C667" i="17"/>
  <c r="C668" i="17"/>
  <c r="C669" i="17"/>
  <c r="C670" i="17"/>
  <c r="C671" i="17"/>
  <c r="C672" i="17"/>
  <c r="C673" i="17"/>
  <c r="C674" i="17"/>
  <c r="C675" i="17"/>
  <c r="C676" i="17"/>
  <c r="C677" i="17"/>
  <c r="C678" i="17"/>
  <c r="C679" i="17"/>
  <c r="C680" i="17"/>
  <c r="C681" i="17"/>
  <c r="C682" i="17"/>
  <c r="C683" i="17"/>
  <c r="C684" i="17"/>
  <c r="C685" i="17"/>
  <c r="C686" i="17"/>
  <c r="C687" i="17"/>
  <c r="C688" i="17"/>
  <c r="C689" i="17"/>
  <c r="C690" i="17"/>
  <c r="C691" i="17"/>
  <c r="C692" i="17"/>
  <c r="C693" i="17"/>
  <c r="C694" i="17"/>
  <c r="C695" i="17"/>
  <c r="C696" i="17"/>
  <c r="C697" i="17"/>
  <c r="C698" i="17"/>
  <c r="C699" i="17"/>
  <c r="C700" i="17"/>
  <c r="C701" i="17"/>
  <c r="C702" i="17"/>
  <c r="C703" i="17"/>
  <c r="C704" i="17"/>
  <c r="C705" i="17"/>
  <c r="C706" i="17"/>
  <c r="C707" i="17"/>
  <c r="C708" i="17"/>
  <c r="C709" i="17"/>
  <c r="C710" i="17"/>
  <c r="C711" i="17"/>
  <c r="C712" i="17"/>
  <c r="C713" i="17"/>
  <c r="C714" i="17"/>
  <c r="C715" i="17"/>
  <c r="C716" i="17"/>
  <c r="C717" i="17"/>
  <c r="C718" i="17"/>
  <c r="C719" i="17"/>
  <c r="C720" i="17"/>
  <c r="C721" i="17"/>
  <c r="C722" i="17"/>
  <c r="C723" i="17"/>
  <c r="C724" i="17"/>
  <c r="C725" i="17"/>
  <c r="C726" i="17"/>
  <c r="C727" i="17"/>
  <c r="C728" i="17"/>
  <c r="C729" i="17"/>
  <c r="C730" i="17"/>
  <c r="C731" i="17"/>
  <c r="C732" i="17"/>
  <c r="C733" i="17"/>
  <c r="C734" i="17"/>
  <c r="C735" i="17"/>
  <c r="C736" i="17"/>
  <c r="C737" i="17"/>
  <c r="C738" i="17"/>
  <c r="C739" i="17"/>
  <c r="C740" i="17"/>
  <c r="C741" i="17"/>
  <c r="C742" i="17"/>
  <c r="C743" i="17"/>
  <c r="C744" i="17"/>
  <c r="C745" i="17"/>
  <c r="C746" i="17"/>
  <c r="C747" i="17"/>
  <c r="C748" i="17"/>
  <c r="C749" i="17"/>
  <c r="C750" i="17"/>
  <c r="C751" i="17"/>
  <c r="C752" i="17"/>
  <c r="C753" i="17"/>
  <c r="C754" i="17"/>
  <c r="C755" i="17"/>
  <c r="C756" i="17"/>
  <c r="C757" i="17"/>
  <c r="C758" i="17"/>
  <c r="C759" i="17"/>
  <c r="C760" i="17"/>
  <c r="C761" i="17"/>
  <c r="C762" i="17"/>
  <c r="C763" i="17"/>
  <c r="C764" i="17"/>
  <c r="C765" i="17"/>
  <c r="C766" i="17"/>
  <c r="C767" i="17"/>
  <c r="C768" i="17"/>
  <c r="C769" i="17"/>
  <c r="C770" i="17"/>
  <c r="C771" i="17"/>
  <c r="C772" i="17"/>
  <c r="C773" i="17"/>
  <c r="C774" i="17"/>
  <c r="C775" i="17"/>
  <c r="C776" i="17"/>
  <c r="C777" i="17"/>
  <c r="C778" i="17"/>
  <c r="C779" i="17"/>
  <c r="C780" i="17"/>
  <c r="C781" i="17"/>
  <c r="C782" i="17"/>
  <c r="C783" i="17"/>
  <c r="C784" i="17"/>
  <c r="C785" i="17"/>
  <c r="C786" i="17"/>
  <c r="C787" i="17"/>
  <c r="C788" i="17"/>
  <c r="C789" i="17"/>
  <c r="C790" i="17"/>
  <c r="C791" i="17"/>
  <c r="C792" i="17"/>
  <c r="C793" i="17"/>
  <c r="C794" i="17"/>
  <c r="C795" i="17"/>
  <c r="C796" i="17"/>
  <c r="C797" i="17"/>
  <c r="C798" i="17"/>
  <c r="C799" i="17"/>
  <c r="C800" i="17"/>
  <c r="C801" i="17"/>
  <c r="C802" i="17"/>
  <c r="C803" i="17"/>
  <c r="C804" i="17"/>
  <c r="C805" i="17"/>
  <c r="C806" i="17"/>
  <c r="C807" i="17"/>
  <c r="C808" i="17"/>
  <c r="C809" i="17"/>
  <c r="C810" i="17"/>
  <c r="C811" i="17"/>
  <c r="C812" i="17"/>
  <c r="C813" i="17"/>
  <c r="C814" i="17"/>
  <c r="C815" i="17"/>
  <c r="C816" i="17"/>
  <c r="C817" i="17"/>
  <c r="C818" i="17"/>
  <c r="C819" i="17"/>
  <c r="C820" i="17"/>
  <c r="C821" i="17"/>
  <c r="C822" i="17"/>
  <c r="C823" i="17"/>
  <c r="C824" i="17"/>
  <c r="C825" i="17"/>
  <c r="C826" i="17"/>
  <c r="C827" i="17"/>
  <c r="C828" i="17"/>
  <c r="C829" i="17"/>
  <c r="C830" i="17"/>
  <c r="C831" i="17"/>
  <c r="C832" i="17"/>
  <c r="C833" i="17"/>
  <c r="C834" i="17"/>
  <c r="C835" i="17"/>
  <c r="C836" i="17"/>
  <c r="C837" i="17"/>
  <c r="C838" i="17"/>
  <c r="C839" i="17"/>
  <c r="C840" i="17"/>
  <c r="C841" i="17"/>
  <c r="C842" i="17"/>
  <c r="C843" i="17"/>
  <c r="C844" i="17"/>
  <c r="C845" i="17"/>
  <c r="C846" i="17"/>
  <c r="C847" i="17"/>
  <c r="C848" i="17"/>
  <c r="C849" i="17"/>
  <c r="C850" i="17"/>
  <c r="C851" i="17"/>
  <c r="C852" i="17"/>
  <c r="C853" i="17"/>
  <c r="C854" i="17"/>
  <c r="C855" i="17"/>
  <c r="C856" i="17"/>
  <c r="C857" i="17"/>
  <c r="C858" i="17"/>
  <c r="C859" i="17"/>
  <c r="C860" i="17"/>
  <c r="C861" i="17"/>
  <c r="C862" i="17"/>
  <c r="C863" i="17"/>
  <c r="C864" i="17"/>
  <c r="C865" i="17"/>
  <c r="C866" i="17"/>
  <c r="C867" i="17"/>
  <c r="C868" i="17"/>
  <c r="C869" i="17"/>
  <c r="C870" i="17"/>
  <c r="C871" i="17"/>
  <c r="C872" i="17"/>
  <c r="C873" i="17"/>
  <c r="C874" i="17"/>
  <c r="C875" i="17"/>
  <c r="C876" i="17"/>
  <c r="C877" i="17"/>
  <c r="C878" i="17"/>
  <c r="C879" i="17"/>
  <c r="C880" i="17"/>
  <c r="C881" i="17"/>
  <c r="C882" i="17"/>
  <c r="C883" i="17"/>
  <c r="C884" i="17"/>
  <c r="C885" i="17"/>
  <c r="C886" i="17"/>
  <c r="C887" i="17"/>
  <c r="C888" i="17"/>
  <c r="C889" i="17"/>
  <c r="C890" i="17"/>
  <c r="C891" i="17"/>
  <c r="C892" i="17"/>
  <c r="C893" i="17"/>
  <c r="C894" i="17"/>
  <c r="C895" i="17"/>
  <c r="C896" i="17"/>
  <c r="C897" i="17"/>
  <c r="C898" i="17"/>
  <c r="C899" i="17"/>
  <c r="C900" i="17"/>
  <c r="C901" i="17"/>
  <c r="C902" i="17"/>
  <c r="C903" i="17"/>
  <c r="C904" i="17"/>
  <c r="C905" i="17"/>
  <c r="C906" i="17"/>
  <c r="C907" i="17"/>
  <c r="C908" i="17"/>
  <c r="C909" i="17"/>
  <c r="C910" i="17"/>
  <c r="C911" i="17"/>
  <c r="C912" i="17"/>
  <c r="C913" i="17"/>
  <c r="C914" i="17"/>
  <c r="C915" i="17"/>
  <c r="C916" i="17"/>
  <c r="C917" i="17"/>
  <c r="C918" i="17"/>
  <c r="C919" i="17"/>
  <c r="C920" i="17"/>
  <c r="C921" i="17"/>
  <c r="C922" i="17"/>
  <c r="C923" i="17"/>
  <c r="C924" i="17"/>
  <c r="C925" i="17"/>
  <c r="C926" i="17"/>
  <c r="C927" i="17"/>
  <c r="C928" i="17"/>
  <c r="C929" i="17"/>
  <c r="C930" i="17"/>
  <c r="C931" i="17"/>
  <c r="C932" i="17"/>
  <c r="C933" i="17"/>
  <c r="C934" i="17"/>
  <c r="C935" i="17"/>
  <c r="C936" i="17"/>
  <c r="C937" i="17"/>
  <c r="C938" i="17"/>
  <c r="C939" i="17"/>
  <c r="C940" i="17"/>
  <c r="C941" i="17"/>
  <c r="C942" i="17"/>
  <c r="C943" i="17"/>
  <c r="C944" i="17"/>
  <c r="C945" i="17"/>
  <c r="C946" i="17"/>
  <c r="C947" i="17"/>
  <c r="C948" i="17"/>
  <c r="C949" i="17"/>
  <c r="C950" i="17"/>
  <c r="C951" i="17"/>
  <c r="C952" i="17"/>
  <c r="C953" i="17"/>
  <c r="C954" i="17"/>
  <c r="C955" i="17"/>
  <c r="C956" i="17"/>
  <c r="C957" i="17"/>
  <c r="C958" i="17"/>
  <c r="C959" i="17"/>
  <c r="C960" i="17"/>
  <c r="C961" i="17"/>
  <c r="C962" i="17"/>
  <c r="C963" i="17"/>
  <c r="C964" i="17"/>
  <c r="C965" i="17"/>
  <c r="C966" i="17"/>
  <c r="C967" i="17"/>
  <c r="C968" i="17"/>
  <c r="C969" i="17"/>
  <c r="C970" i="17"/>
  <c r="C971" i="17"/>
  <c r="C972" i="17"/>
  <c r="C973" i="17"/>
  <c r="C974" i="17"/>
  <c r="C975" i="17"/>
  <c r="C976" i="17"/>
  <c r="C977" i="17"/>
  <c r="C978" i="17"/>
  <c r="C979" i="17"/>
  <c r="C980" i="17"/>
  <c r="C981" i="17"/>
  <c r="C982" i="17"/>
  <c r="C983" i="17"/>
  <c r="C984" i="17"/>
  <c r="C985" i="17"/>
  <c r="C986" i="17"/>
  <c r="C987" i="17"/>
  <c r="C988" i="17"/>
  <c r="C989" i="17"/>
  <c r="C990" i="17"/>
  <c r="C991" i="17"/>
  <c r="C992" i="17"/>
  <c r="C993" i="17"/>
  <c r="C994" i="17"/>
  <c r="C995" i="17"/>
  <c r="C996" i="17"/>
  <c r="C997" i="17"/>
  <c r="C998" i="17"/>
  <c r="C999" i="17"/>
  <c r="C1000" i="17"/>
  <c r="C1001" i="17"/>
  <c r="C1002" i="17"/>
  <c r="C1003" i="17"/>
  <c r="C1004" i="17"/>
  <c r="C1005" i="17"/>
  <c r="C1006" i="17"/>
  <c r="C1007" i="17"/>
  <c r="C1008" i="17"/>
  <c r="C1009" i="17"/>
  <c r="C1010" i="17"/>
  <c r="C1011" i="17"/>
  <c r="C1012" i="17"/>
  <c r="C1013" i="17"/>
  <c r="C1014" i="17"/>
  <c r="C1015" i="17"/>
  <c r="C1016" i="17"/>
  <c r="C1017" i="17"/>
  <c r="C1018" i="17"/>
  <c r="C1019" i="17"/>
  <c r="C1020" i="17"/>
  <c r="C1021" i="17"/>
  <c r="C1022" i="17"/>
  <c r="C1023" i="17"/>
  <c r="C1024" i="17"/>
  <c r="C1025" i="17"/>
  <c r="C1026" i="17"/>
  <c r="C1027" i="17"/>
  <c r="C1028" i="17"/>
  <c r="C1029" i="17"/>
  <c r="C1030" i="17"/>
  <c r="C1031" i="17"/>
  <c r="C1032" i="17"/>
  <c r="C1033" i="17"/>
  <c r="C1034" i="17"/>
  <c r="C1035" i="17"/>
  <c r="C1036" i="17"/>
  <c r="C1037" i="17"/>
  <c r="C1038" i="17"/>
  <c r="C1039" i="17"/>
  <c r="C1040" i="17"/>
  <c r="C1041" i="17"/>
  <c r="C1042" i="17"/>
  <c r="C1043" i="17"/>
  <c r="C1044" i="17"/>
  <c r="C1045" i="17"/>
  <c r="C1046" i="17"/>
  <c r="C1047" i="17"/>
  <c r="C1048" i="17"/>
  <c r="C1049" i="17"/>
  <c r="C1050" i="17"/>
  <c r="C1051" i="17"/>
  <c r="C1052" i="17"/>
  <c r="C1053" i="17"/>
  <c r="C1054" i="17"/>
  <c r="C1055" i="17"/>
  <c r="C1056" i="17"/>
  <c r="C1057" i="17"/>
  <c r="C1058" i="17"/>
  <c r="C1059" i="17"/>
  <c r="C1060" i="17"/>
  <c r="C1061" i="17"/>
  <c r="C1062" i="17"/>
  <c r="C1063" i="17"/>
  <c r="C1064" i="17"/>
  <c r="C1065" i="17"/>
  <c r="C1066" i="17"/>
  <c r="C1067" i="17"/>
  <c r="C1068" i="17"/>
  <c r="C1069" i="17"/>
  <c r="C1070" i="17"/>
  <c r="C1071" i="17"/>
  <c r="C1072" i="17"/>
  <c r="C1073" i="17"/>
  <c r="C1074" i="17"/>
  <c r="C1075" i="17"/>
  <c r="C1076" i="17"/>
  <c r="C1077" i="17"/>
  <c r="C1078" i="17"/>
  <c r="C1079" i="17"/>
  <c r="C1080" i="17"/>
  <c r="C1081" i="17"/>
  <c r="C1082" i="17"/>
  <c r="C1083" i="17"/>
  <c r="C1084" i="17"/>
  <c r="C1085" i="17"/>
  <c r="C1086" i="17"/>
  <c r="C1087" i="17"/>
  <c r="C1088" i="17"/>
  <c r="C1089" i="17"/>
  <c r="C1090" i="17"/>
  <c r="C1091" i="17"/>
  <c r="C1092" i="17"/>
  <c r="C1093" i="17"/>
  <c r="C1094" i="17"/>
  <c r="C1095" i="17"/>
  <c r="C1096" i="17"/>
  <c r="C1097" i="17"/>
  <c r="C1098" i="17"/>
  <c r="C1099" i="17"/>
  <c r="C1100" i="17"/>
  <c r="C1101" i="17"/>
  <c r="C1102" i="17"/>
  <c r="C1103" i="17"/>
  <c r="C1104" i="17"/>
  <c r="C1105" i="17"/>
  <c r="C1106" i="17"/>
  <c r="C1107" i="17"/>
  <c r="C1108" i="17"/>
  <c r="C1109" i="17"/>
  <c r="C1110" i="17"/>
  <c r="C1111" i="17"/>
  <c r="C1112" i="17"/>
  <c r="C1113" i="17"/>
  <c r="C1114" i="17"/>
  <c r="C1115" i="17"/>
  <c r="C1116" i="17"/>
  <c r="C1117" i="17"/>
  <c r="C1118" i="17"/>
  <c r="C1119" i="17"/>
  <c r="C1120" i="17"/>
  <c r="C1121" i="17"/>
  <c r="C1122" i="17"/>
  <c r="C1123" i="17"/>
  <c r="C1124" i="17"/>
  <c r="C1125" i="17"/>
  <c r="C1126" i="17"/>
  <c r="C1127" i="17"/>
  <c r="C1128" i="17"/>
  <c r="C1129" i="17"/>
  <c r="C1130" i="17"/>
  <c r="C1131" i="17"/>
  <c r="C1132" i="17"/>
  <c r="C1133" i="17"/>
  <c r="C1134" i="17"/>
  <c r="C1135" i="17"/>
  <c r="C1136" i="17"/>
  <c r="C1137" i="17"/>
  <c r="C1138" i="17"/>
  <c r="C1139" i="17"/>
  <c r="C1140" i="17"/>
  <c r="C1141" i="17"/>
  <c r="C1142" i="17"/>
  <c r="C1143" i="17"/>
  <c r="C1144" i="17"/>
  <c r="C1145" i="17"/>
  <c r="C1146" i="17"/>
  <c r="C1147" i="17"/>
  <c r="C1148" i="17"/>
  <c r="C1149" i="17"/>
  <c r="C1150" i="17"/>
  <c r="C1151" i="17"/>
  <c r="C1152" i="17"/>
  <c r="C1153" i="17"/>
  <c r="C1154" i="17"/>
  <c r="C1155" i="17"/>
  <c r="C1156" i="17"/>
  <c r="C1157" i="17"/>
  <c r="C1158" i="17"/>
  <c r="C1159" i="17"/>
  <c r="C1160" i="17"/>
  <c r="C1161" i="17"/>
  <c r="C1162" i="17"/>
  <c r="C1163" i="17"/>
  <c r="C1164" i="17"/>
  <c r="C1165" i="17"/>
  <c r="C1166" i="17"/>
  <c r="C1167" i="17"/>
  <c r="C1168" i="17"/>
  <c r="C1169" i="17"/>
  <c r="C1170" i="17"/>
  <c r="C1171" i="17"/>
  <c r="C1172" i="17"/>
  <c r="C1173" i="17"/>
  <c r="C1174" i="17"/>
  <c r="C1175" i="17"/>
  <c r="C1176" i="17"/>
  <c r="C1177" i="17"/>
  <c r="C1178" i="17"/>
  <c r="C1179" i="17"/>
  <c r="C1180" i="17"/>
  <c r="C1181" i="17"/>
  <c r="C1182" i="17"/>
  <c r="C1183" i="17"/>
  <c r="C1184" i="17"/>
  <c r="C1185" i="17"/>
  <c r="C1186" i="17"/>
  <c r="C1187" i="17"/>
  <c r="C1188" i="17"/>
  <c r="C1189" i="17"/>
  <c r="C1190" i="17"/>
  <c r="C1191" i="17"/>
  <c r="C1192" i="17"/>
  <c r="C1193" i="17"/>
  <c r="C1194" i="17"/>
  <c r="C1195" i="17"/>
  <c r="C1196" i="17"/>
  <c r="C1197" i="17"/>
  <c r="C1198" i="17"/>
  <c r="C1199" i="17"/>
  <c r="C1200" i="17"/>
  <c r="C1201" i="17"/>
  <c r="C1202" i="17"/>
  <c r="C1203" i="17"/>
  <c r="C1204" i="17"/>
  <c r="C1205" i="17"/>
  <c r="C1206" i="17"/>
  <c r="C1207" i="17"/>
  <c r="C1208" i="17"/>
  <c r="C1209" i="17"/>
  <c r="C1210" i="17"/>
  <c r="C1211" i="17"/>
  <c r="C1212" i="17"/>
  <c r="C1213" i="17"/>
  <c r="C1214" i="17"/>
  <c r="C1215" i="17"/>
  <c r="C1216" i="17"/>
  <c r="C1217" i="17"/>
  <c r="C1218" i="17"/>
  <c r="C1219" i="17"/>
  <c r="C1220" i="17"/>
  <c r="C1221" i="17"/>
  <c r="C1222" i="17"/>
  <c r="C1223" i="17"/>
  <c r="C1224" i="17"/>
  <c r="C1225" i="17"/>
  <c r="C1226" i="17"/>
  <c r="C1227" i="17"/>
  <c r="C1228" i="17"/>
  <c r="C1229" i="17"/>
  <c r="C1230" i="17"/>
  <c r="C1231" i="17"/>
  <c r="C1232" i="17"/>
  <c r="C1233" i="17"/>
  <c r="C1234" i="17"/>
  <c r="C1235" i="17"/>
  <c r="C1236" i="17"/>
  <c r="C1237" i="17"/>
  <c r="C1238" i="17"/>
  <c r="C1239" i="17"/>
  <c r="C1240" i="17"/>
  <c r="C1241" i="17"/>
  <c r="C1242" i="17"/>
  <c r="C1243" i="17"/>
  <c r="C1244" i="17"/>
  <c r="C1245" i="17"/>
  <c r="C1246" i="17"/>
  <c r="C1247" i="17"/>
  <c r="C1248" i="17"/>
  <c r="C1249" i="17"/>
  <c r="C1250" i="17"/>
  <c r="C1251" i="17"/>
  <c r="C1252" i="17"/>
  <c r="C1253" i="17"/>
  <c r="C1254" i="17"/>
  <c r="C1255" i="17"/>
  <c r="C1256" i="17"/>
  <c r="C1257" i="17"/>
  <c r="C1258" i="17"/>
  <c r="C1259" i="17"/>
  <c r="C1260" i="17"/>
  <c r="C1261" i="17"/>
  <c r="C1262" i="17"/>
  <c r="C1263" i="17"/>
  <c r="C1264" i="17"/>
  <c r="C1265" i="17"/>
  <c r="C1266" i="17"/>
  <c r="C1267" i="17"/>
  <c r="C1268" i="17"/>
  <c r="C1269" i="17"/>
  <c r="C1270" i="17"/>
  <c r="C1271" i="17"/>
  <c r="C1272" i="17"/>
  <c r="C1273" i="17"/>
  <c r="C1274" i="17"/>
  <c r="C1275" i="17"/>
  <c r="C1276" i="17"/>
  <c r="C1277" i="17"/>
  <c r="C1278" i="17"/>
  <c r="C1279" i="17"/>
  <c r="C1280" i="17"/>
  <c r="C1281" i="17"/>
  <c r="C1282" i="17"/>
  <c r="C1283" i="17"/>
  <c r="C1284" i="17"/>
  <c r="C1285" i="17"/>
  <c r="C1286" i="17"/>
  <c r="C1287" i="17"/>
  <c r="C1288" i="17"/>
  <c r="C1289" i="17"/>
  <c r="C1290" i="17"/>
  <c r="C1291" i="17"/>
  <c r="C1292" i="17"/>
  <c r="C1293" i="17"/>
  <c r="C1294" i="17"/>
  <c r="C1295" i="17"/>
  <c r="C1296" i="17"/>
  <c r="C1297" i="17"/>
  <c r="C1298" i="17"/>
  <c r="C1299" i="17"/>
  <c r="C1300" i="17"/>
  <c r="C1301" i="17"/>
  <c r="C1302" i="17"/>
  <c r="C1303" i="17"/>
  <c r="C1304" i="17"/>
  <c r="C1305" i="17"/>
  <c r="C1306" i="17"/>
  <c r="C1307" i="17"/>
  <c r="C1308" i="17"/>
  <c r="C1309" i="17"/>
  <c r="C1310" i="17"/>
  <c r="C1311" i="17"/>
  <c r="C1312" i="17"/>
  <c r="C1313" i="17"/>
  <c r="C1314" i="17"/>
  <c r="C1315" i="17"/>
  <c r="C1316" i="17"/>
  <c r="C1317" i="17"/>
  <c r="C1318" i="17"/>
  <c r="C1319" i="17"/>
  <c r="C1320" i="17"/>
  <c r="C1321" i="17"/>
  <c r="C1322" i="17"/>
  <c r="C1323" i="17"/>
  <c r="C1324" i="17"/>
  <c r="C1325" i="17"/>
  <c r="C1326" i="17"/>
  <c r="C1327" i="17"/>
  <c r="C1328" i="17"/>
  <c r="C1329" i="17"/>
  <c r="C1330" i="17"/>
  <c r="C1331" i="17"/>
  <c r="C1332" i="17"/>
  <c r="C1333" i="17"/>
  <c r="C1334" i="17"/>
  <c r="C1335" i="17"/>
  <c r="C1336" i="17"/>
  <c r="C1337" i="17"/>
  <c r="C1338" i="17"/>
  <c r="C1339" i="17"/>
  <c r="C1340" i="17"/>
  <c r="C1341" i="17"/>
  <c r="C1342" i="17"/>
  <c r="C1343" i="17"/>
  <c r="C1344" i="17"/>
  <c r="C1345" i="17"/>
  <c r="C1346" i="17"/>
  <c r="C1347" i="17"/>
  <c r="C1348" i="17"/>
  <c r="C1349" i="17"/>
  <c r="C1350" i="17"/>
  <c r="C1351" i="17"/>
  <c r="C1352" i="17"/>
  <c r="C1353" i="17"/>
  <c r="C1354" i="17"/>
  <c r="C1355" i="17"/>
  <c r="C1356" i="17"/>
  <c r="C1357" i="17"/>
  <c r="C1358" i="17"/>
  <c r="C1359" i="17"/>
  <c r="C1360" i="17"/>
  <c r="C1361" i="17"/>
  <c r="C1362" i="17"/>
  <c r="C1363" i="17"/>
  <c r="C1364" i="17"/>
  <c r="C1365" i="17"/>
  <c r="C1366" i="17"/>
  <c r="C1367" i="17"/>
  <c r="C1368" i="17"/>
  <c r="C1369" i="17"/>
  <c r="C1370" i="17"/>
  <c r="C1371" i="17"/>
  <c r="C1372" i="17"/>
  <c r="C1373" i="17"/>
  <c r="C1374" i="17"/>
  <c r="C1375" i="17"/>
  <c r="C1376" i="17"/>
  <c r="C1377" i="17"/>
  <c r="C1378" i="17"/>
  <c r="C1379" i="17"/>
  <c r="C1380" i="17"/>
  <c r="C1381" i="17"/>
  <c r="C1382" i="17"/>
  <c r="C1383" i="17"/>
  <c r="C1384" i="17"/>
  <c r="C1385" i="17"/>
  <c r="C1386" i="17"/>
  <c r="C1387" i="17"/>
  <c r="C1388" i="17"/>
  <c r="C1389" i="17"/>
  <c r="C1390" i="17"/>
  <c r="C1391" i="17"/>
  <c r="C1392" i="17"/>
  <c r="C1393" i="17"/>
  <c r="C1394" i="17"/>
  <c r="C1395" i="17"/>
  <c r="C1396" i="17"/>
  <c r="C1397" i="17"/>
  <c r="C1398" i="17"/>
  <c r="C1399" i="17"/>
  <c r="C1400" i="17"/>
  <c r="C1401" i="17"/>
  <c r="C1402" i="17"/>
  <c r="C1403" i="17"/>
  <c r="C1404" i="17"/>
  <c r="C1405" i="17"/>
  <c r="C1406" i="17"/>
  <c r="C1407" i="17"/>
  <c r="C1408" i="17"/>
  <c r="C1409" i="17"/>
  <c r="C1410" i="17"/>
  <c r="C1411" i="17"/>
  <c r="C1412" i="17"/>
  <c r="C1413" i="17"/>
  <c r="C1414" i="17"/>
  <c r="C1415" i="17"/>
  <c r="C1416" i="17"/>
  <c r="C1417" i="17"/>
  <c r="C1418" i="17"/>
  <c r="C1419" i="17"/>
  <c r="C1420" i="17"/>
  <c r="C1421" i="17"/>
  <c r="C1422" i="17"/>
  <c r="C1423" i="17"/>
  <c r="C1424" i="17"/>
  <c r="C1425" i="17"/>
  <c r="C1426" i="17"/>
  <c r="C1427" i="17"/>
  <c r="C1428" i="17"/>
  <c r="C1429" i="17"/>
  <c r="C1430" i="17"/>
  <c r="C1431" i="17"/>
  <c r="C1432" i="17"/>
  <c r="C1433" i="17"/>
  <c r="C1434" i="17"/>
  <c r="C1435" i="17"/>
  <c r="C1436" i="17"/>
  <c r="C1437" i="17"/>
  <c r="C1438" i="17"/>
  <c r="C1439" i="17"/>
  <c r="C1440" i="17"/>
  <c r="C1441" i="17"/>
  <c r="C1442" i="17"/>
  <c r="C1443" i="17"/>
  <c r="C1444" i="17"/>
  <c r="C1445" i="17"/>
  <c r="C1446" i="17"/>
  <c r="C1447" i="17"/>
  <c r="C1448" i="17"/>
  <c r="C1449" i="17"/>
  <c r="C1450" i="17"/>
  <c r="C1451" i="17"/>
  <c r="C1452" i="17"/>
  <c r="C1453" i="17"/>
  <c r="C1454" i="17"/>
  <c r="C1455" i="17"/>
  <c r="C1456" i="17"/>
  <c r="C1457" i="17"/>
  <c r="C1458" i="17"/>
  <c r="C1459" i="17"/>
  <c r="C1460" i="17"/>
  <c r="C1461" i="17"/>
  <c r="C1462" i="17"/>
  <c r="C1463" i="17"/>
  <c r="C1464" i="17"/>
  <c r="C1465" i="17"/>
  <c r="C1466" i="17"/>
  <c r="C1467" i="17"/>
  <c r="C1468" i="17"/>
  <c r="C1469" i="17"/>
  <c r="C1470" i="17"/>
  <c r="C1471" i="17"/>
  <c r="C1472" i="17"/>
  <c r="C1473" i="17"/>
  <c r="C1474" i="17"/>
  <c r="C1475" i="17"/>
  <c r="C1476" i="17"/>
  <c r="C1477" i="17"/>
  <c r="C1478" i="17"/>
  <c r="C1479" i="17"/>
  <c r="C1480" i="17"/>
  <c r="C1481" i="17"/>
  <c r="C1482" i="17"/>
  <c r="C1483" i="17"/>
  <c r="C1484" i="17"/>
  <c r="C1485" i="17"/>
  <c r="C1486" i="17"/>
  <c r="C1487" i="17"/>
  <c r="C1488" i="17"/>
  <c r="C1489" i="17"/>
  <c r="C1490" i="17"/>
  <c r="C1491" i="17"/>
  <c r="C1492" i="17"/>
  <c r="C1493" i="17"/>
  <c r="C1494" i="17"/>
  <c r="C1495" i="17"/>
  <c r="C1496" i="17"/>
  <c r="C1497" i="17"/>
  <c r="C1498" i="17"/>
  <c r="C1499" i="17"/>
  <c r="C1500" i="17"/>
  <c r="C1501" i="17"/>
  <c r="C1502" i="17"/>
  <c r="C1503" i="17"/>
  <c r="C1504" i="17"/>
  <c r="C1505" i="17"/>
  <c r="C1506" i="17"/>
  <c r="C1507" i="17"/>
  <c r="C1508" i="17"/>
  <c r="C1509" i="17"/>
  <c r="C1510" i="17"/>
  <c r="C1511" i="17"/>
  <c r="C1512" i="17"/>
  <c r="C1513" i="17"/>
  <c r="C1514" i="17"/>
  <c r="C1515" i="17"/>
  <c r="C1516" i="17"/>
  <c r="C1517" i="17"/>
  <c r="C1518" i="17"/>
  <c r="C1519" i="17"/>
  <c r="C1520" i="17"/>
  <c r="C1521" i="17"/>
  <c r="C1522" i="17"/>
  <c r="C1523" i="17"/>
  <c r="C1524" i="17"/>
  <c r="C1525" i="17"/>
  <c r="C1526" i="17"/>
  <c r="C1527" i="17"/>
  <c r="C1528" i="17"/>
  <c r="C1529" i="17"/>
  <c r="C1530" i="17"/>
  <c r="C1531" i="17"/>
  <c r="C1532" i="17"/>
  <c r="C1533" i="17"/>
  <c r="C1534" i="17"/>
  <c r="C1535" i="17"/>
  <c r="C1536" i="17"/>
  <c r="C1537" i="17"/>
  <c r="C1538" i="17"/>
  <c r="C1539" i="17"/>
  <c r="C1540" i="17"/>
  <c r="C1541" i="17"/>
  <c r="C1542" i="17"/>
  <c r="C1543" i="17"/>
  <c r="C1544" i="17"/>
  <c r="C1545" i="17"/>
  <c r="C1546" i="17"/>
  <c r="C1547" i="17"/>
  <c r="C1548" i="17"/>
  <c r="C1549" i="17"/>
  <c r="C1550" i="17"/>
  <c r="C1551" i="17"/>
  <c r="C1552" i="17"/>
  <c r="C1553" i="17"/>
  <c r="C1554" i="17"/>
  <c r="C1555" i="17"/>
  <c r="C1556" i="17"/>
  <c r="C1557" i="17"/>
  <c r="C1558" i="17"/>
  <c r="C1559" i="17"/>
  <c r="C1560" i="17"/>
  <c r="C1561" i="17"/>
  <c r="C1562" i="17"/>
  <c r="C1563" i="17"/>
  <c r="C1564" i="17"/>
  <c r="C1565" i="17"/>
  <c r="C1566" i="17"/>
  <c r="C1567" i="17"/>
  <c r="C1568" i="17"/>
  <c r="C1569" i="17"/>
  <c r="C1570" i="17"/>
  <c r="C1571" i="17"/>
  <c r="C1572" i="17"/>
  <c r="C1573" i="17"/>
  <c r="C1574" i="17"/>
  <c r="C1575" i="17"/>
  <c r="C1576" i="17"/>
  <c r="C1577" i="17"/>
  <c r="C1578" i="17"/>
  <c r="C1579" i="17"/>
  <c r="C1580" i="17"/>
  <c r="C1581" i="17"/>
  <c r="C1582" i="17"/>
  <c r="C1583" i="17"/>
  <c r="C1584" i="17"/>
  <c r="C1585" i="17"/>
  <c r="C1586" i="17"/>
  <c r="C1587" i="17"/>
  <c r="C1588" i="17"/>
  <c r="C1589" i="17"/>
  <c r="C1590" i="17"/>
  <c r="C1591" i="17"/>
  <c r="C1592" i="17"/>
  <c r="C1593" i="17"/>
  <c r="C1594" i="17"/>
  <c r="C1595" i="17"/>
  <c r="C1596" i="17"/>
  <c r="C1597" i="17"/>
  <c r="C1598" i="17"/>
  <c r="C1599" i="17"/>
  <c r="C1600" i="17"/>
  <c r="C1601" i="17"/>
  <c r="C1602" i="17"/>
  <c r="C1603" i="17"/>
  <c r="C1604" i="17"/>
  <c r="C1605" i="17"/>
  <c r="C1606" i="17"/>
  <c r="C1607" i="17"/>
  <c r="C1608" i="17"/>
  <c r="C1609" i="17"/>
  <c r="C1610" i="17"/>
  <c r="C1611" i="17"/>
  <c r="C1612" i="17"/>
  <c r="C1613" i="17"/>
  <c r="C1614" i="17"/>
  <c r="C1615" i="17"/>
  <c r="C1616" i="17"/>
  <c r="C1617" i="17"/>
  <c r="C1618" i="17"/>
  <c r="C1619" i="17"/>
  <c r="C1620" i="17"/>
  <c r="C1621" i="17"/>
  <c r="C1622" i="17"/>
  <c r="C1623" i="17"/>
  <c r="C1624" i="17"/>
  <c r="C1625" i="17"/>
  <c r="C1626" i="17"/>
  <c r="C1627" i="17"/>
  <c r="C1628" i="17"/>
  <c r="C1629" i="17"/>
  <c r="C1630" i="17"/>
  <c r="C1631" i="17"/>
  <c r="C1632" i="17"/>
  <c r="C1633" i="17"/>
  <c r="C1634" i="17"/>
  <c r="C1635" i="17"/>
  <c r="C1636" i="17"/>
  <c r="C1637" i="17"/>
  <c r="C1638" i="17"/>
  <c r="C1639" i="17"/>
  <c r="C1640" i="17"/>
  <c r="C1641" i="17"/>
  <c r="C1642" i="17"/>
  <c r="C1643" i="17"/>
  <c r="C1644" i="17"/>
  <c r="C1645" i="17"/>
  <c r="C1646" i="17"/>
  <c r="C1647" i="17"/>
  <c r="C1648" i="17"/>
  <c r="C1649" i="17"/>
  <c r="C1650" i="17"/>
  <c r="C1651" i="17"/>
  <c r="C1652" i="17"/>
  <c r="C1653" i="17"/>
  <c r="C1654" i="17"/>
  <c r="C1655" i="17"/>
  <c r="C1656" i="17"/>
  <c r="C1657" i="17"/>
  <c r="C1658" i="17"/>
  <c r="C1659" i="17"/>
  <c r="C1660" i="17"/>
  <c r="C1661" i="17"/>
  <c r="C1662" i="17"/>
  <c r="C1663" i="17"/>
  <c r="C1664" i="17"/>
  <c r="C1665" i="17"/>
  <c r="C1666" i="17"/>
  <c r="C1667" i="17"/>
  <c r="C1668" i="17"/>
  <c r="C1669" i="17"/>
  <c r="C1670" i="17"/>
  <c r="C1671" i="17"/>
  <c r="C1672" i="17"/>
  <c r="C1673" i="17"/>
  <c r="C1674" i="17"/>
  <c r="C1675" i="17"/>
  <c r="C1676" i="17"/>
  <c r="C1677" i="17"/>
  <c r="C1678" i="17"/>
  <c r="C1679" i="17"/>
  <c r="C1680" i="17"/>
  <c r="C1681" i="17"/>
  <c r="C1682" i="17"/>
  <c r="C1683" i="17"/>
  <c r="C1684" i="17"/>
  <c r="C1685" i="17"/>
  <c r="C1686" i="17"/>
  <c r="C1687" i="17"/>
  <c r="C1688" i="17"/>
  <c r="C1689" i="17"/>
  <c r="C1690" i="17"/>
  <c r="C1691" i="17"/>
  <c r="C1692" i="17"/>
  <c r="C1693" i="17"/>
  <c r="C1694" i="17"/>
  <c r="C1695" i="17"/>
  <c r="C1696" i="17"/>
  <c r="C1697" i="17"/>
  <c r="C1698" i="17"/>
  <c r="C1699" i="17"/>
  <c r="C1700" i="17"/>
  <c r="C1701" i="17"/>
  <c r="C1702" i="17"/>
  <c r="C1703" i="17"/>
  <c r="C1704" i="17"/>
  <c r="C1705" i="17"/>
  <c r="C1706" i="17"/>
  <c r="C1707" i="17"/>
  <c r="C1708" i="17"/>
  <c r="C1709" i="17"/>
  <c r="C1710" i="17"/>
  <c r="C1711" i="17"/>
  <c r="C1712" i="17"/>
  <c r="C1713" i="17"/>
  <c r="C1714" i="17"/>
  <c r="C1715" i="17"/>
  <c r="C1716" i="17"/>
  <c r="C1717" i="17"/>
  <c r="C1718" i="17"/>
  <c r="C1719" i="17"/>
  <c r="C1720" i="17"/>
  <c r="C1721" i="17"/>
  <c r="C1722" i="17"/>
  <c r="C1723" i="17"/>
  <c r="C1724" i="17"/>
  <c r="C1725" i="17"/>
  <c r="C1726" i="17"/>
  <c r="C1727" i="17"/>
  <c r="C1728" i="17"/>
  <c r="C1729" i="17"/>
  <c r="C1730" i="17"/>
  <c r="C1731" i="17"/>
  <c r="C1732" i="17"/>
  <c r="C1733" i="17"/>
  <c r="C1734" i="17"/>
  <c r="C1735" i="17"/>
  <c r="C1736" i="17"/>
  <c r="C1737" i="17"/>
  <c r="C1738" i="17"/>
  <c r="C1739" i="17"/>
  <c r="C1740" i="17"/>
  <c r="C1741" i="17"/>
  <c r="C1742" i="17"/>
  <c r="C1743" i="17"/>
  <c r="C1744" i="17"/>
  <c r="C1745" i="17"/>
  <c r="C1746" i="17"/>
  <c r="C1747" i="17"/>
  <c r="C1748" i="17"/>
  <c r="C1749" i="17"/>
  <c r="C1750" i="17"/>
  <c r="C1751" i="17"/>
  <c r="C1752" i="17"/>
  <c r="C1753" i="17"/>
  <c r="C1754" i="17"/>
  <c r="C1755" i="17"/>
  <c r="C1756" i="17"/>
  <c r="C1757" i="17"/>
  <c r="C1758" i="17"/>
  <c r="C1759" i="17"/>
  <c r="C1760" i="17"/>
  <c r="C1761" i="17"/>
  <c r="C1762" i="17"/>
  <c r="C1763" i="17"/>
  <c r="C1764" i="17"/>
  <c r="C1765" i="17"/>
  <c r="C1766" i="17"/>
  <c r="C1767" i="17"/>
  <c r="C1768" i="17"/>
  <c r="C1769" i="17"/>
  <c r="D3" i="17" l="1"/>
  <c r="D4" i="17" l="1"/>
  <c r="E3" i="17"/>
  <c r="E4" i="17" l="1"/>
  <c r="D5" i="17"/>
  <c r="E5" i="17" l="1"/>
  <c r="D6" i="17"/>
  <c r="E6" i="17" l="1"/>
  <c r="D7" i="17"/>
  <c r="E7" i="17" l="1"/>
  <c r="D8" i="17"/>
  <c r="D9" i="17" l="1"/>
  <c r="E8" i="17"/>
  <c r="D10" i="17" l="1"/>
  <c r="E9" i="17"/>
  <c r="E10" i="17" l="1"/>
  <c r="D11" i="17"/>
  <c r="E11" i="17" l="1"/>
  <c r="D12" i="17"/>
  <c r="E12" i="17" l="1"/>
  <c r="D13" i="17"/>
  <c r="D14" i="17" l="1"/>
  <c r="E13" i="17"/>
  <c r="D15" i="17" l="1"/>
  <c r="E14" i="17"/>
  <c r="D16" i="17" l="1"/>
  <c r="E15" i="17"/>
  <c r="E16" i="17" l="1"/>
  <c r="D17" i="17"/>
  <c r="D18" i="17" l="1"/>
  <c r="E17" i="17"/>
  <c r="E18" i="17" l="1"/>
  <c r="D19" i="17"/>
  <c r="E19" i="17" l="1"/>
  <c r="D20" i="17"/>
  <c r="D21" i="17" l="1"/>
  <c r="E20" i="17"/>
  <c r="E21" i="17" l="1"/>
  <c r="D22" i="17"/>
  <c r="D23" i="17" l="1"/>
  <c r="E22" i="17"/>
  <c r="E23" i="17" l="1"/>
  <c r="D24" i="17"/>
  <c r="E24" i="17" l="1"/>
  <c r="D25" i="17"/>
  <c r="E25" i="17" l="1"/>
  <c r="D26" i="17"/>
  <c r="E26" i="17" l="1"/>
  <c r="D27" i="17"/>
  <c r="D28" i="17" l="1"/>
  <c r="E27" i="17"/>
  <c r="E28" i="17" l="1"/>
  <c r="D29" i="17"/>
  <c r="D30" i="17" l="1"/>
  <c r="E29" i="17"/>
  <c r="E30" i="17" l="1"/>
  <c r="D31" i="17"/>
  <c r="E31" i="17" l="1"/>
  <c r="D32" i="17"/>
  <c r="D33" i="17" l="1"/>
  <c r="E32" i="17"/>
  <c r="D34" i="17" l="1"/>
  <c r="E33" i="17"/>
  <c r="E34" i="17" l="1"/>
  <c r="D35" i="17"/>
  <c r="D36" i="17" l="1"/>
  <c r="E35" i="17"/>
  <c r="D37" i="17" l="1"/>
  <c r="E36" i="17"/>
  <c r="E37" i="17" l="1"/>
  <c r="D38" i="17"/>
  <c r="E38" i="17" l="1"/>
  <c r="D39" i="17"/>
  <c r="E39" i="17" l="1"/>
  <c r="D40" i="17"/>
  <c r="D41" i="17" l="1"/>
  <c r="E40" i="17"/>
  <c r="E41" i="17" l="1"/>
  <c r="D42" i="17"/>
  <c r="E42" i="17" l="1"/>
  <c r="D43" i="17"/>
  <c r="E43" i="17" l="1"/>
  <c r="D44" i="17"/>
  <c r="E44" i="17" l="1"/>
  <c r="D45" i="17"/>
  <c r="D46" i="17" l="1"/>
  <c r="E45" i="17"/>
  <c r="E46" i="17" l="1"/>
  <c r="D47" i="17"/>
  <c r="D48" i="17" l="1"/>
  <c r="E47" i="17"/>
  <c r="D49" i="17" l="1"/>
  <c r="E48" i="17"/>
  <c r="D50" i="17" l="1"/>
  <c r="E49" i="17"/>
  <c r="E50" i="17" l="1"/>
  <c r="D51" i="17"/>
  <c r="D52" i="17" l="1"/>
  <c r="E51" i="17"/>
  <c r="E52" i="17" l="1"/>
  <c r="D53" i="17"/>
  <c r="E53" i="17" l="1"/>
  <c r="D54" i="17"/>
  <c r="D55" i="17" l="1"/>
  <c r="E54" i="17"/>
  <c r="E55" i="17" l="1"/>
  <c r="D56" i="17"/>
  <c r="E56" i="17" l="1"/>
  <c r="D57" i="17"/>
  <c r="E57" i="17" l="1"/>
  <c r="D58" i="17"/>
  <c r="E58" i="17" l="1"/>
  <c r="D59" i="17"/>
  <c r="D60" i="17" l="1"/>
  <c r="E59" i="17"/>
  <c r="E60" i="17" l="1"/>
  <c r="D61" i="17"/>
  <c r="E61" i="17" l="1"/>
  <c r="D62" i="17"/>
  <c r="E62" i="17" l="1"/>
  <c r="D63" i="17"/>
  <c r="E63" i="17" l="1"/>
  <c r="D64" i="17"/>
  <c r="E64" i="17" l="1"/>
  <c r="D65" i="17"/>
  <c r="D66" i="17" l="1"/>
  <c r="E65" i="17"/>
  <c r="E66" i="17" l="1"/>
  <c r="D67" i="17"/>
  <c r="D68" i="17" l="1"/>
  <c r="E67" i="17"/>
  <c r="D69" i="17" l="1"/>
  <c r="E68" i="17"/>
  <c r="E69" i="17" l="1"/>
  <c r="D70" i="17"/>
  <c r="E70" i="17" l="1"/>
  <c r="D71" i="17"/>
  <c r="E71" i="17" l="1"/>
  <c r="D72" i="17"/>
  <c r="E72" i="17" l="1"/>
  <c r="D73" i="17"/>
  <c r="E73" i="17" l="1"/>
  <c r="D74" i="17"/>
  <c r="E74" i="17" l="1"/>
  <c r="D75" i="17"/>
  <c r="E75" i="17" l="1"/>
  <c r="D76" i="17"/>
  <c r="E76" i="17" l="1"/>
  <c r="D77" i="17"/>
  <c r="E77" i="17" l="1"/>
  <c r="D78" i="17"/>
  <c r="E78" i="17" l="1"/>
  <c r="D79" i="17"/>
  <c r="D80" i="17" l="1"/>
  <c r="E79" i="17"/>
  <c r="E80" i="17" l="1"/>
  <c r="D81" i="17"/>
  <c r="D82" i="17" l="1"/>
  <c r="E81" i="17"/>
  <c r="E82" i="17" l="1"/>
  <c r="D83" i="17"/>
  <c r="D84" i="17" l="1"/>
  <c r="E83" i="17"/>
  <c r="D85" i="17" l="1"/>
  <c r="E84" i="17"/>
  <c r="D86" i="17" l="1"/>
  <c r="E85" i="17"/>
  <c r="D87" i="17" l="1"/>
  <c r="E86" i="17"/>
  <c r="E87" i="17" l="1"/>
  <c r="D88" i="17"/>
  <c r="E88" i="17" l="1"/>
  <c r="D89" i="17"/>
  <c r="E89" i="17" l="1"/>
  <c r="D90" i="17"/>
  <c r="E90" i="17" l="1"/>
  <c r="D91" i="17"/>
  <c r="E91" i="17" l="1"/>
  <c r="D92" i="17"/>
  <c r="E92" i="17" l="1"/>
  <c r="D93" i="17"/>
  <c r="E93" i="17" l="1"/>
  <c r="D94" i="17"/>
  <c r="E94" i="17" l="1"/>
  <c r="D95" i="17"/>
  <c r="E95" i="17" l="1"/>
  <c r="D96" i="17"/>
  <c r="D97" i="17" l="1"/>
  <c r="E96" i="17"/>
  <c r="D98" i="17" l="1"/>
  <c r="E97" i="17"/>
  <c r="E98" i="17" l="1"/>
  <c r="D99" i="17"/>
  <c r="D100" i="17" l="1"/>
  <c r="E99" i="17"/>
  <c r="E100" i="17" l="1"/>
  <c r="D101" i="17"/>
  <c r="D102" i="17" l="1"/>
  <c r="E101" i="17"/>
  <c r="E102" i="17" l="1"/>
  <c r="D103" i="17"/>
  <c r="E103" i="17" l="1"/>
  <c r="D104" i="17"/>
  <c r="E104" i="17" l="1"/>
  <c r="D105" i="17"/>
  <c r="D106" i="17" l="1"/>
  <c r="E105" i="17"/>
  <c r="D107" i="17" l="1"/>
  <c r="E106" i="17"/>
  <c r="E107" i="17" l="1"/>
  <c r="D108" i="17"/>
  <c r="E108" i="17" l="1"/>
  <c r="D109" i="17"/>
  <c r="D110" i="17" l="1"/>
  <c r="E109" i="17"/>
  <c r="E110" i="17" l="1"/>
  <c r="D111" i="17"/>
  <c r="D112" i="17" l="1"/>
  <c r="E111" i="17"/>
  <c r="E112" i="17" l="1"/>
  <c r="D113" i="17"/>
  <c r="D114" i="17" l="1"/>
  <c r="E113" i="17"/>
  <c r="E114" i="17" l="1"/>
  <c r="D115" i="17"/>
  <c r="E115" i="17" l="1"/>
  <c r="D116" i="17"/>
  <c r="D117" i="17" l="1"/>
  <c r="E116" i="17"/>
  <c r="E117" i="17" l="1"/>
  <c r="D118" i="17"/>
  <c r="D119" i="17" l="1"/>
  <c r="E118" i="17"/>
  <c r="E119" i="17" l="1"/>
  <c r="D120" i="17"/>
  <c r="E120" i="17" l="1"/>
  <c r="D121" i="17"/>
  <c r="E121" i="17" l="1"/>
  <c r="D122" i="17"/>
  <c r="E122" i="17" l="1"/>
  <c r="D123" i="17"/>
  <c r="D124" i="17" l="1"/>
  <c r="E123" i="17"/>
  <c r="E124" i="17" l="1"/>
  <c r="D125" i="17"/>
  <c r="E125" i="17" l="1"/>
  <c r="D126" i="17"/>
  <c r="E126" i="17" l="1"/>
  <c r="D127" i="17"/>
  <c r="D128" i="17" l="1"/>
  <c r="E127" i="17"/>
  <c r="E128" i="17" l="1"/>
  <c r="D129" i="17"/>
  <c r="D130" i="17" l="1"/>
  <c r="E129" i="17"/>
  <c r="E130" i="17" l="1"/>
  <c r="D131" i="17"/>
  <c r="D132" i="17" l="1"/>
  <c r="E131" i="17"/>
  <c r="D133" i="17" l="1"/>
  <c r="E132" i="17"/>
  <c r="D134" i="17" l="1"/>
  <c r="E133" i="17"/>
  <c r="E134" i="17" l="1"/>
  <c r="D135" i="17"/>
  <c r="E135" i="17" l="1"/>
  <c r="D136" i="17"/>
  <c r="E136" i="17" l="1"/>
  <c r="D137" i="17"/>
  <c r="D138" i="17" l="1"/>
  <c r="E137" i="17"/>
  <c r="D139" i="17" l="1"/>
  <c r="E138" i="17"/>
  <c r="E139" i="17" l="1"/>
  <c r="D140" i="17"/>
  <c r="E140" i="17" l="1"/>
  <c r="D141" i="17"/>
  <c r="E141" i="17" l="1"/>
  <c r="D142" i="17"/>
  <c r="E142" i="17" l="1"/>
  <c r="D143" i="17"/>
  <c r="E143" i="17" l="1"/>
  <c r="D144" i="17"/>
  <c r="E144" i="17" l="1"/>
  <c r="D145" i="17"/>
  <c r="D146" i="17" l="1"/>
  <c r="E145" i="17"/>
  <c r="E146" i="17" l="1"/>
  <c r="D147" i="17"/>
  <c r="E147" i="17" l="1"/>
  <c r="D148" i="17"/>
  <c r="E148" i="17" l="1"/>
  <c r="D149" i="17"/>
  <c r="E149" i="17" l="1"/>
  <c r="D150" i="17"/>
  <c r="D151" i="17" l="1"/>
  <c r="E150" i="17"/>
  <c r="E151" i="17" l="1"/>
  <c r="D152" i="17"/>
  <c r="E152" i="17" l="1"/>
  <c r="D153" i="17"/>
  <c r="E153" i="17" l="1"/>
  <c r="D154" i="17"/>
  <c r="D155" i="17" l="1"/>
  <c r="E154" i="17"/>
  <c r="E155" i="17" l="1"/>
  <c r="D156" i="17"/>
  <c r="D157" i="17" l="1"/>
  <c r="E156" i="17"/>
  <c r="E157" i="17" l="1"/>
  <c r="D158" i="17"/>
  <c r="E158" i="17" l="1"/>
  <c r="D159" i="17"/>
  <c r="D160" i="17" l="1"/>
  <c r="E159" i="17"/>
  <c r="D161" i="17" l="1"/>
  <c r="E160" i="17"/>
  <c r="D162" i="17" l="1"/>
  <c r="E161" i="17"/>
  <c r="E162" i="17" l="1"/>
  <c r="D163" i="17"/>
  <c r="D164" i="17" l="1"/>
  <c r="E163" i="17"/>
  <c r="E164" i="17" l="1"/>
  <c r="D165" i="17"/>
  <c r="E165" i="17" l="1"/>
  <c r="D166" i="17"/>
  <c r="E166" i="17" l="1"/>
  <c r="D167" i="17"/>
  <c r="E167" i="17" l="1"/>
  <c r="D168" i="17"/>
  <c r="D169" i="17" l="1"/>
  <c r="E168" i="17"/>
  <c r="E169" i="17" l="1"/>
  <c r="D170" i="17"/>
  <c r="D171" i="17" l="1"/>
  <c r="E170" i="17"/>
  <c r="E171" i="17" l="1"/>
  <c r="D172" i="17"/>
  <c r="E172" i="17" l="1"/>
  <c r="D173" i="17"/>
  <c r="E173" i="17" l="1"/>
  <c r="D174" i="17"/>
  <c r="E174" i="17" l="1"/>
  <c r="D175" i="17"/>
  <c r="E175" i="17" l="1"/>
  <c r="D176" i="17"/>
  <c r="E176" i="17" l="1"/>
  <c r="D177" i="17"/>
  <c r="D178" i="17" l="1"/>
  <c r="E177" i="17"/>
  <c r="D179" i="17" l="1"/>
  <c r="E178" i="17"/>
  <c r="E179" i="17" l="1"/>
  <c r="D180" i="17"/>
  <c r="D181" i="17" l="1"/>
  <c r="E180" i="17"/>
  <c r="E181" i="17" l="1"/>
  <c r="D182" i="17"/>
  <c r="D183" i="17" l="1"/>
  <c r="E182" i="17"/>
  <c r="E183" i="17" l="1"/>
  <c r="D184" i="17"/>
  <c r="E184" i="17" l="1"/>
  <c r="D185" i="17"/>
  <c r="E185" i="17" l="1"/>
  <c r="D186" i="17"/>
  <c r="D187" i="17" l="1"/>
  <c r="E186" i="17"/>
  <c r="E187" i="17" l="1"/>
  <c r="D188" i="17"/>
  <c r="E188" i="17" l="1"/>
  <c r="D189" i="17"/>
  <c r="D190" i="17" l="1"/>
  <c r="E189" i="17"/>
  <c r="E190" i="17" l="1"/>
  <c r="D191" i="17"/>
  <c r="E191" i="17" l="1"/>
  <c r="D192" i="17"/>
  <c r="E192" i="17" l="1"/>
  <c r="D193" i="17"/>
  <c r="D194" i="17" l="1"/>
  <c r="E193" i="17"/>
  <c r="E194" i="17" l="1"/>
  <c r="D195" i="17"/>
  <c r="D196" i="17" l="1"/>
  <c r="E195" i="17"/>
  <c r="D197" i="17" l="1"/>
  <c r="E196" i="17"/>
  <c r="D198" i="17" l="1"/>
  <c r="E197" i="17"/>
  <c r="D199" i="17" l="1"/>
  <c r="E198" i="17"/>
  <c r="E199" i="17" l="1"/>
  <c r="D200" i="17"/>
  <c r="D201" i="17" l="1"/>
  <c r="E200" i="17"/>
  <c r="E201" i="17" l="1"/>
  <c r="D202" i="17"/>
  <c r="D203" i="17" l="1"/>
  <c r="E202" i="17"/>
  <c r="D204" i="17" l="1"/>
  <c r="E203" i="17"/>
  <c r="E204" i="17" l="1"/>
  <c r="D205" i="17"/>
  <c r="E205" i="17" l="1"/>
  <c r="D206" i="17"/>
  <c r="E206" i="17" l="1"/>
  <c r="D207" i="17"/>
  <c r="D208" i="17" l="1"/>
  <c r="E207" i="17"/>
  <c r="D209" i="17" l="1"/>
  <c r="E208" i="17"/>
  <c r="D210" i="17" l="1"/>
  <c r="E209" i="17"/>
  <c r="D211" i="17" l="1"/>
  <c r="E210" i="17"/>
  <c r="E211" i="17" l="1"/>
  <c r="D212" i="17"/>
  <c r="E212" i="17" l="1"/>
  <c r="D213" i="17"/>
  <c r="E213" i="17" l="1"/>
  <c r="D214" i="17"/>
  <c r="D215" i="17" l="1"/>
  <c r="E214" i="17"/>
  <c r="E215" i="17" l="1"/>
  <c r="D216" i="17"/>
  <c r="E216" i="17" l="1"/>
  <c r="D217" i="17"/>
  <c r="E217" i="17" l="1"/>
  <c r="D218" i="17"/>
  <c r="E218" i="17" l="1"/>
  <c r="D219" i="17"/>
  <c r="E219" i="17" l="1"/>
  <c r="D220" i="17"/>
  <c r="D221" i="17" l="1"/>
  <c r="E220" i="17"/>
  <c r="E221" i="17" l="1"/>
  <c r="D222" i="17"/>
  <c r="D223" i="17" l="1"/>
  <c r="E222" i="17"/>
  <c r="E223" i="17" l="1"/>
  <c r="D224" i="17"/>
  <c r="E224" i="17" l="1"/>
  <c r="D225" i="17"/>
  <c r="D226" i="17" l="1"/>
  <c r="E225" i="17"/>
  <c r="E226" i="17" l="1"/>
  <c r="D227" i="17"/>
  <c r="D228" i="17" l="1"/>
  <c r="E227" i="17"/>
  <c r="D229" i="17" l="1"/>
  <c r="E228" i="17"/>
  <c r="E229" i="17" l="1"/>
  <c r="D230" i="17"/>
  <c r="E230" i="17" l="1"/>
  <c r="D231" i="17"/>
  <c r="E231" i="17" l="1"/>
  <c r="D232" i="17"/>
  <c r="E232" i="17" l="1"/>
  <c r="D233" i="17"/>
  <c r="D234" i="17" l="1"/>
  <c r="E233" i="17"/>
  <c r="E234" i="17" l="1"/>
  <c r="D235" i="17"/>
  <c r="E235" i="17" l="1"/>
  <c r="D236" i="17"/>
  <c r="E236" i="17" l="1"/>
  <c r="D237" i="17"/>
  <c r="E237" i="17" l="1"/>
  <c r="D238" i="17"/>
  <c r="E238" i="17" l="1"/>
  <c r="D239" i="17"/>
  <c r="E239" i="17" l="1"/>
  <c r="D240" i="17"/>
  <c r="E240" i="17" l="1"/>
  <c r="D241" i="17"/>
  <c r="D242" i="17" l="1"/>
  <c r="E241" i="17"/>
  <c r="D243" i="17" l="1"/>
  <c r="E242" i="17"/>
  <c r="E243" i="17" l="1"/>
  <c r="D244" i="17"/>
  <c r="E244" i="17" l="1"/>
  <c r="D245" i="17"/>
  <c r="E245" i="17" l="1"/>
  <c r="D246" i="17"/>
  <c r="D247" i="17" l="1"/>
  <c r="E246" i="17"/>
  <c r="E247" i="17" l="1"/>
  <c r="D248" i="17"/>
  <c r="E248" i="17" l="1"/>
  <c r="D249" i="17"/>
  <c r="E249" i="17" l="1"/>
  <c r="D250" i="17"/>
  <c r="E250" i="17" l="1"/>
  <c r="D251" i="17"/>
  <c r="E251" i="17" l="1"/>
  <c r="D252" i="17"/>
  <c r="D253" i="17" l="1"/>
  <c r="E252" i="17"/>
  <c r="D254" i="17" l="1"/>
  <c r="E253" i="17"/>
  <c r="E254" i="17" l="1"/>
  <c r="D255" i="17"/>
  <c r="D256" i="17" l="1"/>
  <c r="E255" i="17"/>
  <c r="D257" i="17" l="1"/>
  <c r="E256" i="17"/>
  <c r="D258" i="17" l="1"/>
  <c r="E257" i="17"/>
  <c r="E258" i="17" l="1"/>
  <c r="D259" i="17"/>
  <c r="D260" i="17" l="1"/>
  <c r="E259" i="17"/>
  <c r="E260" i="17" l="1"/>
  <c r="D261" i="17"/>
  <c r="E261" i="17" l="1"/>
  <c r="D262" i="17"/>
  <c r="D263" i="17" l="1"/>
  <c r="E262" i="17"/>
  <c r="E263" i="17" l="1"/>
  <c r="D264" i="17"/>
  <c r="E264" i="17" l="1"/>
  <c r="D265" i="17"/>
  <c r="E265" i="17" l="1"/>
  <c r="D266" i="17"/>
  <c r="D267" i="17" l="1"/>
  <c r="E266" i="17"/>
  <c r="D268" i="17" l="1"/>
  <c r="E267" i="17"/>
  <c r="E268" i="17" l="1"/>
  <c r="D269" i="17"/>
  <c r="E269" i="17" l="1"/>
  <c r="D270" i="17"/>
  <c r="E270" i="17" l="1"/>
  <c r="D271" i="17"/>
  <c r="D272" i="17" l="1"/>
  <c r="E271" i="17"/>
  <c r="E272" i="17" l="1"/>
  <c r="D273" i="17"/>
  <c r="D274" i="17" l="1"/>
  <c r="E273" i="17"/>
  <c r="D275" i="17" l="1"/>
  <c r="E274" i="17"/>
  <c r="D276" i="17" l="1"/>
  <c r="E275" i="17"/>
  <c r="D277" i="17" l="1"/>
  <c r="E276" i="17"/>
  <c r="E277" i="17" l="1"/>
  <c r="D278" i="17"/>
  <c r="D279" i="17" l="1"/>
  <c r="E278" i="17"/>
  <c r="E279" i="17" l="1"/>
  <c r="D280" i="17"/>
  <c r="E280" i="17" l="1"/>
  <c r="D281" i="17"/>
  <c r="E281" i="17" l="1"/>
  <c r="D282" i="17"/>
  <c r="D283" i="17" l="1"/>
  <c r="E282" i="17"/>
  <c r="D284" i="17" l="1"/>
  <c r="E283" i="17"/>
  <c r="E284" i="17" l="1"/>
  <c r="D285" i="17"/>
  <c r="E285" i="17" l="1"/>
  <c r="D286" i="17"/>
  <c r="D287" i="17" l="1"/>
  <c r="E286" i="17"/>
  <c r="E287" i="17" l="1"/>
  <c r="D288" i="17"/>
  <c r="D289" i="17" l="1"/>
  <c r="E288" i="17"/>
  <c r="D290" i="17" l="1"/>
  <c r="E289" i="17"/>
  <c r="E290" i="17" l="1"/>
  <c r="D291" i="17"/>
  <c r="D292" i="17" l="1"/>
  <c r="E291" i="17"/>
  <c r="E292" i="17" l="1"/>
  <c r="D293" i="17"/>
  <c r="D294" i="17" l="1"/>
  <c r="E293" i="17"/>
  <c r="D295" i="17" l="1"/>
  <c r="E294" i="17"/>
  <c r="E295" i="17" l="1"/>
  <c r="D296" i="17"/>
  <c r="E296" i="17" l="1"/>
  <c r="D297" i="17"/>
  <c r="E297" i="17" l="1"/>
  <c r="D298" i="17"/>
  <c r="D299" i="17" l="1"/>
  <c r="E298" i="17"/>
  <c r="E299" i="17" l="1"/>
  <c r="D300" i="17"/>
  <c r="E300" i="17" l="1"/>
  <c r="D301" i="17"/>
  <c r="D302" i="17" l="1"/>
  <c r="E301" i="17"/>
  <c r="E302" i="17" l="1"/>
  <c r="D303" i="17"/>
  <c r="E303" i="17" l="1"/>
  <c r="D304" i="17"/>
  <c r="E304" i="17" l="1"/>
  <c r="D305" i="17"/>
  <c r="D306" i="17" l="1"/>
  <c r="E305" i="17"/>
  <c r="E306" i="17" l="1"/>
  <c r="D307" i="17"/>
  <c r="E307" i="17" l="1"/>
  <c r="D308" i="17"/>
  <c r="E308" i="17" l="1"/>
  <c r="D309" i="17"/>
  <c r="E309" i="17" l="1"/>
  <c r="D310" i="17"/>
  <c r="D311" i="17" l="1"/>
  <c r="E310" i="17"/>
  <c r="E311" i="17" l="1"/>
  <c r="D312" i="17"/>
  <c r="E312" i="17" l="1"/>
  <c r="D313" i="17"/>
  <c r="E313" i="17" l="1"/>
  <c r="D314" i="17"/>
  <c r="E314" i="17" l="1"/>
  <c r="D315" i="17"/>
  <c r="E315" i="17" l="1"/>
  <c r="D316" i="17"/>
  <c r="E316" i="17" l="1"/>
  <c r="D317" i="17"/>
  <c r="E317" i="17" l="1"/>
  <c r="D318" i="17"/>
  <c r="D319" i="17" l="1"/>
  <c r="E318" i="17"/>
  <c r="D320" i="17" l="1"/>
  <c r="E319" i="17"/>
  <c r="E320" i="17" l="1"/>
  <c r="D321" i="17"/>
  <c r="D322" i="17" l="1"/>
  <c r="E321" i="17"/>
  <c r="E322" i="17" l="1"/>
  <c r="D323" i="17"/>
  <c r="D324" i="17" l="1"/>
  <c r="E323" i="17"/>
  <c r="E324" i="17" l="1"/>
  <c r="D325" i="17"/>
  <c r="E325" i="17" l="1"/>
  <c r="D326" i="17"/>
  <c r="E326" i="17" l="1"/>
  <c r="D327" i="17"/>
  <c r="E327" i="17" l="1"/>
  <c r="D328" i="17"/>
  <c r="E328" i="17" l="1"/>
  <c r="D329" i="17"/>
  <c r="E329" i="17" l="1"/>
  <c r="D330" i="17"/>
  <c r="E330" i="17" l="1"/>
  <c r="D331" i="17"/>
  <c r="E331" i="17" l="1"/>
  <c r="D332" i="17"/>
  <c r="E332" i="17" l="1"/>
  <c r="D333" i="17"/>
  <c r="E333" i="17" l="1"/>
  <c r="D334" i="17"/>
  <c r="E334" i="17" l="1"/>
  <c r="D335" i="17"/>
  <c r="E335" i="17" l="1"/>
  <c r="D336" i="17"/>
  <c r="E336" i="17" l="1"/>
  <c r="D337" i="17"/>
  <c r="D338" i="17" l="1"/>
  <c r="E337" i="17"/>
  <c r="E338" i="17" l="1"/>
  <c r="D339" i="17"/>
  <c r="D340" i="17" l="1"/>
  <c r="E339" i="17"/>
  <c r="E340" i="17" l="1"/>
  <c r="D341" i="17"/>
  <c r="E341" i="17" l="1"/>
  <c r="D342" i="17"/>
  <c r="D343" i="17" l="1"/>
  <c r="E342" i="17"/>
  <c r="E343" i="17" l="1"/>
  <c r="D344" i="17"/>
  <c r="E344" i="17" l="1"/>
  <c r="D345" i="17"/>
  <c r="E345" i="17" l="1"/>
  <c r="D346" i="17"/>
  <c r="E346" i="17" l="1"/>
  <c r="D347" i="17"/>
  <c r="E347" i="17" l="1"/>
  <c r="D348" i="17"/>
  <c r="E348" i="17" l="1"/>
  <c r="D349" i="17"/>
  <c r="D350" i="17" l="1"/>
  <c r="E349" i="17"/>
  <c r="E350" i="17" l="1"/>
  <c r="D351" i="17"/>
  <c r="E351" i="17" l="1"/>
  <c r="D352" i="17"/>
  <c r="E352" i="17" l="1"/>
  <c r="D353" i="17"/>
  <c r="D354" i="17" l="1"/>
  <c r="E353" i="17"/>
  <c r="E354" i="17" l="1"/>
  <c r="D355" i="17"/>
  <c r="E355" i="17" l="1"/>
  <c r="D356" i="17"/>
  <c r="D357" i="17" l="1"/>
  <c r="E356" i="17"/>
  <c r="E357" i="17" l="1"/>
  <c r="D358" i="17"/>
  <c r="E358" i="17" l="1"/>
  <c r="D359" i="17"/>
  <c r="E359" i="17" l="1"/>
  <c r="D360" i="17"/>
  <c r="E360" i="17" l="1"/>
  <c r="D361" i="17"/>
  <c r="D362" i="17" l="1"/>
  <c r="E361" i="17"/>
  <c r="D363" i="17" l="1"/>
  <c r="E362" i="17"/>
  <c r="E363" i="17" l="1"/>
  <c r="D364" i="17"/>
  <c r="E364" i="17" l="1"/>
  <c r="D365" i="17"/>
  <c r="E365" i="17" l="1"/>
  <c r="D366" i="17"/>
  <c r="E366" i="17" l="1"/>
  <c r="D367" i="17"/>
  <c r="E367" i="17" l="1"/>
  <c r="D368" i="17"/>
  <c r="E368" i="17" l="1"/>
  <c r="D369" i="17"/>
  <c r="D370" i="17" l="1"/>
  <c r="E369" i="17"/>
  <c r="E370" i="17" l="1"/>
  <c r="D371" i="17"/>
  <c r="D372" i="17" l="1"/>
  <c r="E371" i="17"/>
  <c r="E372" i="17" l="1"/>
  <c r="D373" i="17"/>
  <c r="E373" i="17" l="1"/>
  <c r="D374" i="17"/>
  <c r="D375" i="17" l="1"/>
  <c r="E374" i="17"/>
  <c r="E375" i="17" l="1"/>
  <c r="D376" i="17"/>
  <c r="E376" i="17" l="1"/>
  <c r="D377" i="17"/>
  <c r="E377" i="17" l="1"/>
  <c r="D378" i="17"/>
  <c r="D379" i="17" l="1"/>
  <c r="E378" i="17"/>
  <c r="D380" i="17" l="1"/>
  <c r="E379" i="17"/>
  <c r="D381" i="17" l="1"/>
  <c r="E380" i="17"/>
  <c r="D382" i="17" l="1"/>
  <c r="E381" i="17"/>
  <c r="E382" i="17" l="1"/>
  <c r="D383" i="17"/>
  <c r="E383" i="17" l="1"/>
  <c r="D384" i="17"/>
  <c r="D385" i="17" l="1"/>
  <c r="E384" i="17"/>
  <c r="D386" i="17" l="1"/>
  <c r="E385" i="17"/>
  <c r="E386" i="17" l="1"/>
  <c r="D387" i="17"/>
  <c r="D388" i="17" l="1"/>
  <c r="E387" i="17"/>
  <c r="D389" i="17" l="1"/>
  <c r="E388" i="17"/>
  <c r="E389" i="17" l="1"/>
  <c r="D390" i="17"/>
  <c r="E390" i="17" l="1"/>
  <c r="D391" i="17"/>
  <c r="E391" i="17" l="1"/>
  <c r="D392" i="17"/>
  <c r="D393" i="17" l="1"/>
  <c r="E392" i="17"/>
  <c r="D394" i="17" l="1"/>
  <c r="E393" i="17"/>
  <c r="E394" i="17" l="1"/>
  <c r="D395" i="17"/>
  <c r="E395" i="17" l="1"/>
  <c r="D396" i="17"/>
  <c r="E396" i="17" l="1"/>
  <c r="D397" i="17"/>
  <c r="D398" i="17" l="1"/>
  <c r="E397" i="17"/>
  <c r="D399" i="17" l="1"/>
  <c r="E398" i="17"/>
  <c r="E399" i="17" l="1"/>
  <c r="D400" i="17"/>
  <c r="E400" i="17" l="1"/>
  <c r="D401" i="17"/>
  <c r="D402" i="17" l="1"/>
  <c r="E401" i="17"/>
  <c r="D403" i="17" l="1"/>
  <c r="E402" i="17"/>
  <c r="E403" i="17" l="1"/>
  <c r="D404" i="17"/>
  <c r="E404" i="17" l="1"/>
  <c r="D405" i="17"/>
  <c r="E405" i="17" l="1"/>
  <c r="D406" i="17"/>
  <c r="D407" i="17" l="1"/>
  <c r="E406" i="17"/>
  <c r="E407" i="17" l="1"/>
  <c r="D408" i="17"/>
  <c r="E408" i="17" l="1"/>
  <c r="D409" i="17"/>
  <c r="D410" i="17" l="1"/>
  <c r="E409" i="17"/>
  <c r="E410" i="17" l="1"/>
  <c r="D411" i="17"/>
  <c r="D412" i="17" l="1"/>
  <c r="E411" i="17"/>
  <c r="D413" i="17" l="1"/>
  <c r="E412" i="17"/>
  <c r="E413" i="17" l="1"/>
  <c r="D414" i="17"/>
  <c r="E414" i="17" l="1"/>
  <c r="D415" i="17"/>
  <c r="D416" i="17" l="1"/>
  <c r="E415" i="17"/>
  <c r="E416" i="17" l="1"/>
  <c r="D417" i="17"/>
  <c r="D418" i="17" l="1"/>
  <c r="E417" i="17"/>
  <c r="E418" i="17" l="1"/>
  <c r="D419" i="17"/>
  <c r="E419" i="17" l="1"/>
  <c r="D420" i="17"/>
  <c r="E420" i="17" l="1"/>
  <c r="D421" i="17"/>
  <c r="E421" i="17" l="1"/>
  <c r="D422" i="17"/>
  <c r="E422" i="17" l="1"/>
  <c r="D423" i="17"/>
  <c r="E423" i="17" l="1"/>
  <c r="D424" i="17"/>
  <c r="E424" i="17" l="1"/>
  <c r="D425" i="17"/>
  <c r="D426" i="17" l="1"/>
  <c r="E425" i="17"/>
  <c r="E426" i="17" l="1"/>
  <c r="D427" i="17"/>
  <c r="D428" i="17" l="1"/>
  <c r="E427" i="17"/>
  <c r="E428" i="17" l="1"/>
  <c r="D429" i="17"/>
  <c r="D430" i="17" l="1"/>
  <c r="E429" i="17"/>
  <c r="E430" i="17" l="1"/>
  <c r="D431" i="17"/>
  <c r="E431" i="17" l="1"/>
  <c r="D432" i="17"/>
  <c r="E432" i="17" l="1"/>
  <c r="D433" i="17"/>
  <c r="D434" i="17" l="1"/>
  <c r="E433" i="17"/>
  <c r="D435" i="17" l="1"/>
  <c r="E434" i="17"/>
  <c r="E435" i="17" l="1"/>
  <c r="D436" i="17"/>
  <c r="E436" i="17" l="1"/>
  <c r="D437" i="17"/>
  <c r="E437" i="17" l="1"/>
  <c r="D438" i="17"/>
  <c r="D439" i="17" l="1"/>
  <c r="E438" i="17"/>
  <c r="E439" i="17" l="1"/>
  <c r="D440" i="17"/>
  <c r="E440" i="17" l="1"/>
  <c r="D441" i="17"/>
  <c r="D442" i="17" l="1"/>
  <c r="E441" i="17"/>
  <c r="E442" i="17" l="1"/>
  <c r="D443" i="17"/>
  <c r="D444" i="17" l="1"/>
  <c r="E443" i="17"/>
  <c r="E444" i="17" l="1"/>
  <c r="D445" i="17"/>
  <c r="E445" i="17" l="1"/>
  <c r="D446" i="17"/>
  <c r="E446" i="17" l="1"/>
  <c r="D447" i="17"/>
  <c r="E447" i="17" l="1"/>
  <c r="D448" i="17"/>
  <c r="D449" i="17" l="1"/>
  <c r="E448" i="17"/>
  <c r="D450" i="17" l="1"/>
  <c r="E449" i="17"/>
  <c r="E450" i="17" l="1"/>
  <c r="D451" i="17"/>
  <c r="E451" i="17" l="1"/>
  <c r="D452" i="17"/>
  <c r="E452" i="17" l="1"/>
  <c r="D453" i="17"/>
  <c r="D454" i="17" l="1"/>
  <c r="E453" i="17"/>
  <c r="D455" i="17" l="1"/>
  <c r="E454" i="17"/>
  <c r="E455" i="17" l="1"/>
  <c r="D456" i="17"/>
  <c r="E456" i="17" l="1"/>
  <c r="D457" i="17"/>
  <c r="E457" i="17" l="1"/>
  <c r="D458" i="17"/>
  <c r="E458" i="17" l="1"/>
  <c r="D459" i="17"/>
  <c r="E459" i="17" l="1"/>
  <c r="D460" i="17"/>
  <c r="E460" i="17" l="1"/>
  <c r="D461" i="17"/>
  <c r="D462" i="17" l="1"/>
  <c r="E461" i="17"/>
  <c r="D463" i="17" l="1"/>
  <c r="E462" i="17"/>
  <c r="D464" i="17" l="1"/>
  <c r="E463" i="17"/>
  <c r="E464" i="17" l="1"/>
  <c r="D465" i="17"/>
  <c r="D466" i="17" l="1"/>
  <c r="E465" i="17"/>
  <c r="E466" i="17" l="1"/>
  <c r="D467" i="17"/>
  <c r="D468" i="17" l="1"/>
  <c r="E467" i="17"/>
  <c r="D469" i="17" l="1"/>
  <c r="E468" i="17"/>
  <c r="E469" i="17" l="1"/>
  <c r="D470" i="17"/>
  <c r="D471" i="17" l="1"/>
  <c r="E470" i="17"/>
  <c r="E471" i="17" l="1"/>
  <c r="D472" i="17"/>
  <c r="E472" i="17" l="1"/>
  <c r="D473" i="17"/>
  <c r="E473" i="17" l="1"/>
  <c r="D474" i="17"/>
  <c r="D475" i="17" l="1"/>
  <c r="E474" i="17"/>
  <c r="D476" i="17" l="1"/>
  <c r="E475" i="17"/>
  <c r="D477" i="17" l="1"/>
  <c r="E476" i="17"/>
  <c r="D478" i="17" l="1"/>
  <c r="E477" i="17"/>
  <c r="E478" i="17" l="1"/>
  <c r="D479" i="17"/>
  <c r="E479" i="17" l="1"/>
  <c r="D480" i="17"/>
  <c r="D481" i="17" l="1"/>
  <c r="E480" i="17"/>
  <c r="D482" i="17" l="1"/>
  <c r="E481" i="17"/>
  <c r="E482" i="17" l="1"/>
  <c r="D483" i="17"/>
  <c r="E483" i="17" l="1"/>
  <c r="D484" i="17"/>
  <c r="E484" i="17" l="1"/>
  <c r="D485" i="17"/>
  <c r="D486" i="17" l="1"/>
  <c r="E485" i="17"/>
  <c r="E486" i="17" l="1"/>
  <c r="D487" i="17"/>
  <c r="E487" i="17" l="1"/>
  <c r="D488" i="17"/>
  <c r="E488" i="17" l="1"/>
  <c r="D489" i="17"/>
  <c r="E489" i="17" l="1"/>
  <c r="D490" i="17"/>
  <c r="E490" i="17" l="1"/>
  <c r="D491" i="17"/>
  <c r="D492" i="17" l="1"/>
  <c r="E491" i="17"/>
  <c r="E492" i="17" l="1"/>
  <c r="D493" i="17"/>
  <c r="E493" i="17" l="1"/>
  <c r="D494" i="17"/>
  <c r="E494" i="17" l="1"/>
  <c r="D495" i="17"/>
  <c r="D496" i="17" l="1"/>
  <c r="E495" i="17"/>
  <c r="D497" i="17" l="1"/>
  <c r="E496" i="17"/>
  <c r="D498" i="17" l="1"/>
  <c r="E497" i="17"/>
  <c r="E498" i="17" l="1"/>
  <c r="D499" i="17"/>
  <c r="D500" i="17" l="1"/>
  <c r="E499" i="17"/>
  <c r="E500" i="17" l="1"/>
  <c r="D501" i="17"/>
  <c r="E501" i="17" l="1"/>
  <c r="D502" i="17"/>
  <c r="D503" i="17" l="1"/>
  <c r="E502" i="17"/>
  <c r="E503" i="17" l="1"/>
  <c r="D504" i="17"/>
  <c r="E504" i="17" l="1"/>
  <c r="D505" i="17"/>
  <c r="E505" i="17" l="1"/>
  <c r="D506" i="17"/>
  <c r="D507" i="17" l="1"/>
  <c r="E506" i="17"/>
  <c r="E507" i="17" l="1"/>
  <c r="D508" i="17"/>
  <c r="D509" i="17" l="1"/>
  <c r="E508" i="17"/>
  <c r="E509" i="17" l="1"/>
  <c r="D510" i="17"/>
  <c r="E510" i="17" l="1"/>
  <c r="D511" i="17"/>
  <c r="E511" i="17" l="1"/>
  <c r="D512" i="17"/>
  <c r="E512" i="17" l="1"/>
  <c r="D513" i="17"/>
  <c r="D514" i="17" l="1"/>
  <c r="E513" i="17"/>
  <c r="E514" i="17" l="1"/>
  <c r="D515" i="17"/>
  <c r="D516" i="17" l="1"/>
  <c r="E515" i="17"/>
  <c r="D517" i="17" l="1"/>
  <c r="E516" i="17"/>
  <c r="E517" i="17" l="1"/>
  <c r="D518" i="17"/>
  <c r="E518" i="17" l="1"/>
  <c r="D519" i="17"/>
  <c r="E519" i="17" l="1"/>
  <c r="D520" i="17"/>
  <c r="D521" i="17" l="1"/>
  <c r="E520" i="17"/>
  <c r="D522" i="17" l="1"/>
  <c r="E521" i="17"/>
  <c r="E522" i="17" l="1"/>
  <c r="D523" i="17"/>
  <c r="E523" i="17" l="1"/>
  <c r="D524" i="17"/>
  <c r="E524" i="17" l="1"/>
  <c r="D525" i="17"/>
  <c r="D526" i="17" l="1"/>
  <c r="E525" i="17"/>
  <c r="D527" i="17" l="1"/>
  <c r="E526" i="17"/>
  <c r="D528" i="17" l="1"/>
  <c r="E527" i="17"/>
  <c r="D529" i="17" l="1"/>
  <c r="E528" i="17"/>
  <c r="D530" i="17" l="1"/>
  <c r="E529" i="17"/>
  <c r="E530" i="17" l="1"/>
  <c r="D531" i="17"/>
  <c r="E531" i="17" l="1"/>
  <c r="D532" i="17"/>
  <c r="E532" i="17" l="1"/>
  <c r="D533" i="17"/>
  <c r="D534" i="17" l="1"/>
  <c r="E533" i="17"/>
  <c r="D535" i="17" l="1"/>
  <c r="E534" i="17"/>
  <c r="E535" i="17" l="1"/>
  <c r="D536" i="17"/>
  <c r="E536" i="17" l="1"/>
  <c r="D537" i="17"/>
  <c r="D538" i="17" l="1"/>
  <c r="E537" i="17"/>
  <c r="D539" i="17" l="1"/>
  <c r="E538" i="17"/>
  <c r="D540" i="17" l="1"/>
  <c r="E539" i="17"/>
  <c r="E540" i="17" l="1"/>
  <c r="D541" i="17"/>
  <c r="E541" i="17" l="1"/>
  <c r="D542" i="17"/>
  <c r="E542" i="17" l="1"/>
  <c r="D543" i="17"/>
  <c r="E543" i="17" l="1"/>
  <c r="D544" i="17"/>
  <c r="E544" i="17" l="1"/>
  <c r="D545" i="17"/>
  <c r="D546" i="17" l="1"/>
  <c r="E545" i="17"/>
  <c r="E546" i="17" l="1"/>
  <c r="D547" i="17"/>
  <c r="D548" i="17" l="1"/>
  <c r="E547" i="17"/>
  <c r="E548" i="17" l="1"/>
  <c r="D549" i="17"/>
  <c r="E549" i="17" l="1"/>
  <c r="D550" i="17"/>
  <c r="E550" i="17" l="1"/>
  <c r="D551" i="17"/>
  <c r="E551" i="17" l="1"/>
  <c r="D552" i="17"/>
  <c r="D553" i="17" l="1"/>
  <c r="E552" i="17"/>
  <c r="D554" i="17" l="1"/>
  <c r="E553" i="17"/>
  <c r="E554" i="17" l="1"/>
  <c r="D555" i="17"/>
  <c r="E555" i="17" l="1"/>
  <c r="D556" i="17"/>
  <c r="E556" i="17" l="1"/>
  <c r="D557" i="17"/>
  <c r="E557" i="17" l="1"/>
  <c r="D558" i="17"/>
  <c r="D559" i="17" l="1"/>
  <c r="E558" i="17"/>
  <c r="E559" i="17" l="1"/>
  <c r="D560" i="17"/>
  <c r="E560" i="17" l="1"/>
  <c r="D561" i="17"/>
  <c r="D562" i="17" l="1"/>
  <c r="E561" i="17"/>
  <c r="D563" i="17" l="1"/>
  <c r="E562" i="17"/>
  <c r="E563" i="17" l="1"/>
  <c r="D564" i="17"/>
  <c r="E564" i="17" l="1"/>
  <c r="D565" i="17"/>
  <c r="E565" i="17" l="1"/>
  <c r="D566" i="17"/>
  <c r="D567" i="17" l="1"/>
  <c r="E566" i="17"/>
  <c r="E567" i="17" l="1"/>
  <c r="D568" i="17"/>
  <c r="E568" i="17" l="1"/>
  <c r="D569" i="17"/>
  <c r="D570" i="17" l="1"/>
  <c r="E569" i="17"/>
  <c r="E570" i="17" l="1"/>
  <c r="D571" i="17"/>
  <c r="E571" i="17" l="1"/>
  <c r="D572" i="17"/>
  <c r="D573" i="17" l="1"/>
  <c r="E572" i="17"/>
  <c r="E573" i="17" l="1"/>
  <c r="D574" i="17"/>
  <c r="E574" i="17" l="1"/>
  <c r="D575" i="17"/>
  <c r="D576" i="17" l="1"/>
  <c r="E575" i="17"/>
  <c r="D577" i="17" l="1"/>
  <c r="E576" i="17"/>
  <c r="D578" i="17" l="1"/>
  <c r="E577" i="17"/>
  <c r="E578" i="17" l="1"/>
  <c r="D579" i="17"/>
  <c r="E579" i="17" l="1"/>
  <c r="D580" i="17"/>
  <c r="D581" i="17" l="1"/>
  <c r="E580" i="17"/>
  <c r="E581" i="17" l="1"/>
  <c r="D582" i="17"/>
  <c r="D583" i="17" l="1"/>
  <c r="E582" i="17"/>
  <c r="E583" i="17" l="1"/>
  <c r="D584" i="17"/>
  <c r="E584" i="17" l="1"/>
  <c r="D585" i="17"/>
  <c r="D586" i="17" l="1"/>
  <c r="E585" i="17"/>
  <c r="D587" i="17" l="1"/>
  <c r="E586" i="17"/>
  <c r="D588" i="17" l="1"/>
  <c r="E587" i="17"/>
  <c r="E588" i="17" l="1"/>
  <c r="D589" i="17"/>
  <c r="E589" i="17" l="1"/>
  <c r="D590" i="17"/>
  <c r="E590" i="17" l="1"/>
  <c r="D591" i="17"/>
  <c r="D592" i="17" l="1"/>
  <c r="E591" i="17"/>
  <c r="E592" i="17" l="1"/>
  <c r="D593" i="17"/>
  <c r="D594" i="17" l="1"/>
  <c r="E593" i="17"/>
  <c r="D595" i="17" l="1"/>
  <c r="E594" i="17"/>
  <c r="E595" i="17" l="1"/>
  <c r="D596" i="17"/>
  <c r="D597" i="17" l="1"/>
  <c r="E596" i="17"/>
  <c r="E597" i="17" l="1"/>
  <c r="D598" i="17"/>
  <c r="D599" i="17" l="1"/>
  <c r="E598" i="17"/>
  <c r="E599" i="17" l="1"/>
  <c r="D600" i="17"/>
  <c r="E600" i="17" l="1"/>
  <c r="D601" i="17"/>
  <c r="E601" i="17" l="1"/>
  <c r="D602" i="17"/>
  <c r="E602" i="17" l="1"/>
  <c r="D603" i="17"/>
  <c r="E603" i="17" l="1"/>
  <c r="D604" i="17"/>
  <c r="E604" i="17" l="1"/>
  <c r="D605" i="17"/>
  <c r="D606" i="17" l="1"/>
  <c r="E605" i="17"/>
  <c r="E606" i="17" l="1"/>
  <c r="D607" i="17"/>
  <c r="E607" i="17" l="1"/>
  <c r="D608" i="17"/>
  <c r="E608" i="17" l="1"/>
  <c r="D609" i="17"/>
  <c r="D610" i="17" l="1"/>
  <c r="E609" i="17"/>
  <c r="E610" i="17" l="1"/>
  <c r="D611" i="17"/>
  <c r="D612" i="17" l="1"/>
  <c r="E611" i="17"/>
  <c r="E612" i="17" l="1"/>
  <c r="D613" i="17"/>
  <c r="E613" i="17" l="1"/>
  <c r="D614" i="17"/>
  <c r="E614" i="17" l="1"/>
  <c r="D615" i="17"/>
  <c r="E615" i="17" l="1"/>
  <c r="D616" i="17"/>
  <c r="E616" i="17" l="1"/>
  <c r="D617" i="17"/>
  <c r="D618" i="17" l="1"/>
  <c r="E617" i="17"/>
  <c r="E618" i="17" l="1"/>
  <c r="D619" i="17"/>
  <c r="D620" i="17" l="1"/>
  <c r="E619" i="17"/>
  <c r="E620" i="17" l="1"/>
  <c r="D621" i="17"/>
  <c r="E621" i="17" l="1"/>
  <c r="D622" i="17"/>
  <c r="E622" i="17" l="1"/>
  <c r="D623" i="17"/>
  <c r="D624" i="17" l="1"/>
  <c r="E623" i="17"/>
  <c r="E624" i="17" l="1"/>
  <c r="D625" i="17"/>
  <c r="D626" i="17" l="1"/>
  <c r="E625" i="17"/>
  <c r="D627" i="17" l="1"/>
  <c r="E626" i="17"/>
  <c r="D628" i="17" l="1"/>
  <c r="E627" i="17"/>
  <c r="E628" i="17" l="1"/>
  <c r="D629" i="17"/>
  <c r="D630" i="17" l="1"/>
  <c r="E629" i="17"/>
  <c r="D631" i="17" l="1"/>
  <c r="E630" i="17"/>
  <c r="E631" i="17" l="1"/>
  <c r="D632" i="17"/>
  <c r="E632" i="17" l="1"/>
  <c r="D633" i="17"/>
  <c r="E633" i="17" l="1"/>
  <c r="D634" i="17"/>
  <c r="E634" i="17" l="1"/>
  <c r="D635" i="17"/>
  <c r="E635" i="17" l="1"/>
  <c r="D636" i="17"/>
  <c r="E636" i="17" l="1"/>
  <c r="D637" i="17"/>
  <c r="E637" i="17" l="1"/>
  <c r="D638" i="17"/>
  <c r="D639" i="17" l="1"/>
  <c r="E638" i="17"/>
  <c r="E639" i="17" l="1"/>
  <c r="D640" i="17"/>
  <c r="E640" i="17" l="1"/>
  <c r="D641" i="17"/>
  <c r="E641" i="17" l="1"/>
  <c r="D642" i="17"/>
  <c r="E642" i="17" l="1"/>
  <c r="D643" i="17"/>
  <c r="E643" i="17" l="1"/>
  <c r="D644" i="17"/>
  <c r="E644" i="17" l="1"/>
  <c r="D645" i="17"/>
  <c r="E645" i="17" l="1"/>
  <c r="D646" i="17"/>
  <c r="D647" i="17" l="1"/>
  <c r="E646" i="17"/>
  <c r="E647" i="17" l="1"/>
  <c r="D648" i="17"/>
  <c r="E648" i="17" l="1"/>
  <c r="D649" i="17"/>
  <c r="E649" i="17" l="1"/>
  <c r="D650" i="17"/>
  <c r="D651" i="17" l="1"/>
  <c r="E650" i="17"/>
  <c r="D652" i="17" l="1"/>
  <c r="E651" i="17"/>
  <c r="E652" i="17" l="1"/>
  <c r="D653" i="17"/>
  <c r="D654" i="17" l="1"/>
  <c r="E653" i="17"/>
  <c r="E654" i="17" l="1"/>
  <c r="D655" i="17"/>
  <c r="E655" i="17" l="1"/>
  <c r="D656" i="17"/>
  <c r="E656" i="17" l="1"/>
  <c r="D657" i="17"/>
  <c r="D658" i="17" l="1"/>
  <c r="E657" i="17"/>
  <c r="D659" i="17" l="1"/>
  <c r="E658" i="17"/>
  <c r="E659" i="17" l="1"/>
  <c r="D660" i="17"/>
  <c r="E660" i="17" l="1"/>
  <c r="D661" i="17"/>
  <c r="D662" i="17" l="1"/>
  <c r="E661" i="17"/>
  <c r="D663" i="17" l="1"/>
  <c r="E662" i="17"/>
  <c r="E663" i="17" l="1"/>
  <c r="D664" i="17"/>
  <c r="E664" i="17" l="1"/>
  <c r="D665" i="17"/>
  <c r="D666" i="17" l="1"/>
  <c r="E665" i="17"/>
  <c r="E666" i="17" l="1"/>
  <c r="D667" i="17"/>
  <c r="E667" i="17" l="1"/>
  <c r="D668" i="17"/>
  <c r="E668" i="17" l="1"/>
  <c r="D669" i="17"/>
  <c r="E669" i="17" l="1"/>
  <c r="D670" i="17"/>
  <c r="E670" i="17" l="1"/>
  <c r="D671" i="17"/>
  <c r="D672" i="17" l="1"/>
  <c r="E671" i="17"/>
  <c r="E672" i="17" l="1"/>
  <c r="D673" i="17"/>
  <c r="E673" i="17" l="1"/>
  <c r="D674" i="17"/>
  <c r="E674" i="17" l="1"/>
  <c r="D675" i="17"/>
  <c r="D676" i="17" l="1"/>
  <c r="E675" i="17"/>
  <c r="D677" i="17" l="1"/>
  <c r="E676" i="17"/>
  <c r="E677" i="17" l="1"/>
  <c r="D678" i="17"/>
  <c r="D679" i="17" l="1"/>
  <c r="E678" i="17"/>
  <c r="E679" i="17" l="1"/>
  <c r="D680" i="17"/>
  <c r="D681" i="17" l="1"/>
  <c r="E680" i="17"/>
  <c r="D682" i="17" l="1"/>
  <c r="E681" i="17"/>
  <c r="E682" i="17" l="1"/>
  <c r="D683" i="17"/>
  <c r="D684" i="17" l="1"/>
  <c r="E683" i="17"/>
  <c r="E684" i="17" l="1"/>
  <c r="D685" i="17"/>
  <c r="E685" i="17" l="1"/>
  <c r="D686" i="17"/>
  <c r="E686" i="17" l="1"/>
  <c r="D687" i="17"/>
  <c r="E687" i="17" l="1"/>
  <c r="D688" i="17"/>
  <c r="E688" i="17" l="1"/>
  <c r="D689" i="17"/>
  <c r="D690" i="17" l="1"/>
  <c r="E689" i="17"/>
  <c r="D691" i="17" l="1"/>
  <c r="E690" i="17"/>
  <c r="D692" i="17" l="1"/>
  <c r="E691" i="17"/>
  <c r="E692" i="17" l="1"/>
  <c r="D693" i="17"/>
  <c r="E693" i="17" l="1"/>
  <c r="D694" i="17"/>
  <c r="D695" i="17" l="1"/>
  <c r="E694" i="17"/>
  <c r="D696" i="17" l="1"/>
  <c r="E695" i="17"/>
  <c r="E696" i="17" l="1"/>
  <c r="D697" i="17"/>
  <c r="D698" i="17" l="1"/>
  <c r="E697" i="17"/>
  <c r="D699" i="17" l="1"/>
  <c r="E698" i="17"/>
  <c r="E699" i="17" l="1"/>
  <c r="D700" i="17"/>
  <c r="E700" i="17" l="1"/>
  <c r="D701" i="17"/>
  <c r="E701" i="17" l="1"/>
  <c r="D702" i="17"/>
  <c r="E702" i="17" l="1"/>
  <c r="D703" i="17"/>
  <c r="E703" i="17" l="1"/>
  <c r="D704" i="17"/>
  <c r="D705" i="17" l="1"/>
  <c r="E704" i="17"/>
  <c r="E705" i="17" l="1"/>
  <c r="D706" i="17"/>
  <c r="E706" i="17" l="1"/>
  <c r="D707" i="17"/>
  <c r="E707" i="17" l="1"/>
  <c r="D708" i="17"/>
  <c r="D709" i="17" l="1"/>
  <c r="E708" i="17"/>
  <c r="D710" i="17" l="1"/>
  <c r="E709" i="17"/>
  <c r="E710" i="17" l="1"/>
  <c r="D711" i="17"/>
  <c r="E711" i="17" l="1"/>
  <c r="D712" i="17"/>
  <c r="E712" i="17" l="1"/>
  <c r="D713" i="17"/>
  <c r="E713" i="17" l="1"/>
  <c r="D714" i="17"/>
  <c r="D715" i="17" l="1"/>
  <c r="E714" i="17"/>
  <c r="E715" i="17" l="1"/>
  <c r="D716" i="17"/>
  <c r="E716" i="17" l="1"/>
  <c r="D717" i="17"/>
  <c r="E717" i="17" l="1"/>
  <c r="D718" i="17"/>
  <c r="D719" i="17" l="1"/>
  <c r="E718" i="17"/>
  <c r="D720" i="17" l="1"/>
  <c r="E719" i="17"/>
  <c r="E720" i="17" l="1"/>
  <c r="D721" i="17"/>
  <c r="D722" i="17" l="1"/>
  <c r="E721" i="17"/>
  <c r="D723" i="17" l="1"/>
  <c r="E722" i="17"/>
  <c r="D724" i="17" l="1"/>
  <c r="E723" i="17"/>
  <c r="D725" i="17" l="1"/>
  <c r="E724" i="17"/>
  <c r="D726" i="17" l="1"/>
  <c r="E725" i="17"/>
  <c r="D727" i="17" l="1"/>
  <c r="E726" i="17"/>
  <c r="E727" i="17" l="1"/>
  <c r="D728" i="17"/>
  <c r="E728" i="17" l="1"/>
  <c r="D729" i="17"/>
  <c r="E729" i="17" l="1"/>
  <c r="D730" i="17"/>
  <c r="E730" i="17" l="1"/>
  <c r="D731" i="17"/>
  <c r="E731" i="17" l="1"/>
  <c r="D732" i="17"/>
  <c r="E732" i="17" l="1"/>
  <c r="D733" i="17"/>
  <c r="E733" i="17" l="1"/>
  <c r="D734" i="17"/>
  <c r="D735" i="17" l="1"/>
  <c r="E734" i="17"/>
  <c r="E735" i="17" l="1"/>
  <c r="D736" i="17"/>
  <c r="D737" i="17" l="1"/>
  <c r="E736" i="17"/>
  <c r="D738" i="17" l="1"/>
  <c r="E737" i="17"/>
  <c r="E738" i="17" l="1"/>
  <c r="D739" i="17"/>
  <c r="E739" i="17" l="1"/>
  <c r="D740" i="17"/>
  <c r="E740" i="17" l="1"/>
  <c r="D741" i="17"/>
  <c r="D742" i="17" l="1"/>
  <c r="E741" i="17"/>
  <c r="E742" i="17" l="1"/>
  <c r="D743" i="17"/>
  <c r="E743" i="17" l="1"/>
  <c r="D744" i="17"/>
  <c r="E744" i="17" l="1"/>
  <c r="D745" i="17"/>
  <c r="E745" i="17" l="1"/>
  <c r="D746" i="17"/>
  <c r="D747" i="17" l="1"/>
  <c r="E746" i="17"/>
  <c r="E747" i="17" l="1"/>
  <c r="D748" i="17"/>
  <c r="E748" i="17" l="1"/>
  <c r="D749" i="17"/>
  <c r="E749" i="17" l="1"/>
  <c r="D750" i="17"/>
  <c r="E750" i="17" l="1"/>
  <c r="D751" i="17"/>
  <c r="D752" i="17" l="1"/>
  <c r="E751" i="17"/>
  <c r="E752" i="17" l="1"/>
  <c r="D753" i="17"/>
  <c r="D754" i="17" l="1"/>
  <c r="E753" i="17"/>
  <c r="D755" i="17" l="1"/>
  <c r="E754" i="17"/>
  <c r="E755" i="17" l="1"/>
  <c r="D756" i="17"/>
  <c r="E756" i="17" l="1"/>
  <c r="D757" i="17"/>
  <c r="E757" i="17" l="1"/>
  <c r="D758" i="17"/>
  <c r="D759" i="17" l="1"/>
  <c r="E758" i="17"/>
  <c r="E759" i="17" l="1"/>
  <c r="D760" i="17"/>
  <c r="E760" i="17" l="1"/>
  <c r="D761" i="17"/>
  <c r="E761" i="17" l="1"/>
  <c r="D762" i="17"/>
  <c r="E762" i="17" l="1"/>
  <c r="D763" i="17"/>
  <c r="D764" i="17" l="1"/>
  <c r="E763" i="17"/>
  <c r="E764" i="17" l="1"/>
  <c r="D765" i="17"/>
  <c r="D766" i="17" l="1"/>
  <c r="E765" i="17"/>
  <c r="E766" i="17" l="1"/>
  <c r="D767" i="17"/>
  <c r="D768" i="17" l="1"/>
  <c r="E767" i="17"/>
  <c r="D769" i="17" l="1"/>
  <c r="E768" i="17"/>
  <c r="E769" i="17" l="1"/>
  <c r="D770" i="17"/>
  <c r="E770" i="17" l="1"/>
  <c r="D771" i="17"/>
  <c r="E771" i="17" l="1"/>
  <c r="D772" i="17"/>
  <c r="D773" i="17" l="1"/>
  <c r="E772" i="17"/>
  <c r="E773" i="17" l="1"/>
  <c r="D774" i="17"/>
  <c r="D775" i="17" l="1"/>
  <c r="E774" i="17"/>
  <c r="E775" i="17" l="1"/>
  <c r="D776" i="17"/>
  <c r="E776" i="17" l="1"/>
  <c r="D777" i="17"/>
  <c r="E777" i="17" l="1"/>
  <c r="D778" i="17"/>
  <c r="E778" i="17" l="1"/>
  <c r="D779" i="17"/>
  <c r="E779" i="17" l="1"/>
  <c r="D780" i="17"/>
  <c r="E780" i="17" l="1"/>
  <c r="D781" i="17"/>
  <c r="D782" i="17" l="1"/>
  <c r="E781" i="17"/>
  <c r="E782" i="17" l="1"/>
  <c r="D783" i="17"/>
  <c r="E783" i="17" l="1"/>
  <c r="D784" i="17"/>
  <c r="E784" i="17" l="1"/>
  <c r="D785" i="17"/>
  <c r="D786" i="17" l="1"/>
  <c r="E785" i="17"/>
  <c r="D787" i="17" l="1"/>
  <c r="E786" i="17"/>
  <c r="D788" i="17" l="1"/>
  <c r="E787" i="17"/>
  <c r="E788" i="17" l="1"/>
  <c r="D789" i="17"/>
  <c r="D790" i="17" l="1"/>
  <c r="E789" i="17"/>
  <c r="D791" i="17" l="1"/>
  <c r="E790" i="17"/>
  <c r="E791" i="17" l="1"/>
  <c r="D792" i="17"/>
  <c r="E792" i="17" l="1"/>
  <c r="D793" i="17"/>
  <c r="D794" i="17" l="1"/>
  <c r="E793" i="17"/>
  <c r="E794" i="17" l="1"/>
  <c r="D795" i="17"/>
  <c r="E795" i="17" l="1"/>
  <c r="D796" i="17"/>
  <c r="E796" i="17" l="1"/>
  <c r="D797" i="17"/>
  <c r="E797" i="17" l="1"/>
  <c r="D798" i="17"/>
  <c r="E798" i="17" l="1"/>
  <c r="D799" i="17"/>
  <c r="D800" i="17" l="1"/>
  <c r="E799" i="17"/>
  <c r="E800" i="17" l="1"/>
  <c r="D801" i="17"/>
  <c r="E801" i="17" l="1"/>
  <c r="D802" i="17"/>
  <c r="E802" i="17" l="1"/>
  <c r="D803" i="17"/>
  <c r="D804" i="17" l="1"/>
  <c r="E803" i="17"/>
  <c r="D805" i="17" l="1"/>
  <c r="E804" i="17"/>
  <c r="E805" i="17" l="1"/>
  <c r="D806" i="17"/>
  <c r="E806" i="17" l="1"/>
  <c r="D807" i="17"/>
  <c r="E807" i="17" l="1"/>
  <c r="D808" i="17"/>
  <c r="D809" i="17" l="1"/>
  <c r="E808" i="17"/>
  <c r="D810" i="17" l="1"/>
  <c r="E809" i="17"/>
  <c r="E810" i="17" l="1"/>
  <c r="D811" i="17"/>
  <c r="E811" i="17" l="1"/>
  <c r="D812" i="17"/>
  <c r="E812" i="17" l="1"/>
  <c r="D813" i="17"/>
  <c r="D814" i="17" l="1"/>
  <c r="E813" i="17"/>
  <c r="E814" i="17" l="1"/>
  <c r="D815" i="17"/>
  <c r="E815" i="17" l="1"/>
  <c r="D816" i="17"/>
  <c r="D817" i="17" l="1"/>
  <c r="E816" i="17"/>
  <c r="D818" i="17" l="1"/>
  <c r="E817" i="17"/>
  <c r="E818" i="17" l="1"/>
  <c r="D819" i="17"/>
  <c r="E819" i="17" l="1"/>
  <c r="D820" i="17"/>
  <c r="D821" i="17" l="1"/>
  <c r="E820" i="17"/>
  <c r="E821" i="17" l="1"/>
  <c r="D822" i="17"/>
  <c r="D823" i="17" l="1"/>
  <c r="E822" i="17"/>
  <c r="E823" i="17" l="1"/>
  <c r="D824" i="17"/>
  <c r="E824" i="17" l="1"/>
  <c r="D825" i="17"/>
  <c r="E825" i="17" l="1"/>
  <c r="D826" i="17"/>
  <c r="E826" i="17" l="1"/>
  <c r="D827" i="17"/>
  <c r="E827" i="17" l="1"/>
  <c r="D828" i="17"/>
  <c r="E828" i="17" l="1"/>
  <c r="D829" i="17"/>
  <c r="D830" i="17" l="1"/>
  <c r="E829" i="17"/>
  <c r="E830" i="17" l="1"/>
  <c r="D831" i="17"/>
  <c r="E831" i="17" l="1"/>
  <c r="D832" i="17"/>
  <c r="D833" i="17" l="1"/>
  <c r="E832" i="17"/>
  <c r="D834" i="17" l="1"/>
  <c r="E833" i="17"/>
  <c r="E834" i="17" l="1"/>
  <c r="D835" i="17"/>
  <c r="E835" i="17" l="1"/>
  <c r="D836" i="17"/>
  <c r="D837" i="17" l="1"/>
  <c r="E836" i="17"/>
  <c r="E837" i="17" l="1"/>
  <c r="D838" i="17"/>
  <c r="D839" i="17" l="1"/>
  <c r="E838" i="17"/>
  <c r="E839" i="17" l="1"/>
  <c r="D840" i="17"/>
  <c r="E840" i="17" l="1"/>
  <c r="D841" i="17"/>
  <c r="E841" i="17" l="1"/>
  <c r="D842" i="17"/>
  <c r="E842" i="17" l="1"/>
  <c r="D843" i="17"/>
  <c r="E843" i="17" l="1"/>
  <c r="D844" i="17"/>
  <c r="E844" i="17" l="1"/>
  <c r="D845" i="17"/>
  <c r="E845" i="17" l="1"/>
  <c r="D846" i="17"/>
  <c r="D847" i="17" l="1"/>
  <c r="E846" i="17"/>
  <c r="E847" i="17" l="1"/>
  <c r="D848" i="17"/>
  <c r="D849" i="17" l="1"/>
  <c r="E848" i="17"/>
  <c r="D850" i="17" l="1"/>
  <c r="E849" i="17"/>
  <c r="E850" i="17" l="1"/>
  <c r="D851" i="17"/>
  <c r="E851" i="17" l="1"/>
  <c r="D852" i="17"/>
  <c r="D853" i="17" l="1"/>
  <c r="E852" i="17"/>
  <c r="D854" i="17" l="1"/>
  <c r="E853" i="17"/>
  <c r="D855" i="17" l="1"/>
  <c r="E854" i="17"/>
  <c r="D856" i="17" l="1"/>
  <c r="E855" i="17"/>
  <c r="E856" i="17" l="1"/>
  <c r="D857" i="17"/>
  <c r="E857" i="17" l="1"/>
  <c r="D858" i="17"/>
  <c r="D859" i="17" l="1"/>
  <c r="E858" i="17"/>
  <c r="E859" i="17" l="1"/>
  <c r="D860" i="17"/>
  <c r="D861" i="17" l="1"/>
  <c r="E860" i="17"/>
  <c r="E861" i="17" l="1"/>
  <c r="D862" i="17"/>
  <c r="D863" i="17" l="1"/>
  <c r="E862" i="17"/>
  <c r="D864" i="17" l="1"/>
  <c r="E863" i="17"/>
  <c r="E864" i="17" l="1"/>
  <c r="D865" i="17"/>
  <c r="E865" i="17" l="1"/>
  <c r="D866" i="17"/>
  <c r="E866" i="17" l="1"/>
  <c r="D867" i="17"/>
  <c r="E867" i="17" l="1"/>
  <c r="D868" i="17"/>
  <c r="E868" i="17" l="1"/>
  <c r="D869" i="17"/>
  <c r="D870" i="17" l="1"/>
  <c r="E869" i="17"/>
  <c r="E870" i="17" l="1"/>
  <c r="D871" i="17"/>
  <c r="E871" i="17" l="1"/>
  <c r="D872" i="17"/>
  <c r="E872" i="17" l="1"/>
  <c r="D873" i="17"/>
  <c r="E873" i="17" l="1"/>
  <c r="D874" i="17"/>
  <c r="E874" i="17" l="1"/>
  <c r="D875" i="17"/>
  <c r="E875" i="17" l="1"/>
  <c r="D876" i="17"/>
  <c r="E876" i="17" l="1"/>
  <c r="D877" i="17"/>
  <c r="D878" i="17" l="1"/>
  <c r="E877" i="17"/>
  <c r="D879" i="17" l="1"/>
  <c r="E878" i="17"/>
  <c r="D880" i="17" l="1"/>
  <c r="E879" i="17"/>
  <c r="E880" i="17" l="1"/>
  <c r="D881" i="17"/>
  <c r="D882" i="17" l="1"/>
  <c r="E881" i="17"/>
  <c r="E882" i="17" l="1"/>
  <c r="D883" i="17"/>
  <c r="E883" i="17" l="1"/>
  <c r="D884" i="17"/>
  <c r="D885" i="17" l="1"/>
  <c r="E884" i="17"/>
  <c r="E885" i="17" l="1"/>
  <c r="D886" i="17"/>
  <c r="D887" i="17" l="1"/>
  <c r="E886" i="17"/>
  <c r="E887" i="17" l="1"/>
  <c r="D888" i="17"/>
  <c r="E888" i="17" l="1"/>
  <c r="D889" i="17"/>
  <c r="E889" i="17" l="1"/>
  <c r="D890" i="17"/>
  <c r="E890" i="17" l="1"/>
  <c r="D891" i="17"/>
  <c r="D892" i="17" l="1"/>
  <c r="E891" i="17"/>
  <c r="E892" i="17" l="1"/>
  <c r="D893" i="17"/>
  <c r="E893" i="17" l="1"/>
  <c r="D894" i="17"/>
  <c r="D895" i="17" l="1"/>
  <c r="E894" i="17"/>
  <c r="E895" i="17" l="1"/>
  <c r="D896" i="17"/>
  <c r="D897" i="17" l="1"/>
  <c r="E896" i="17"/>
  <c r="E897" i="17" l="1"/>
  <c r="D898" i="17"/>
  <c r="E898" i="17" l="1"/>
  <c r="D899" i="17"/>
  <c r="D900" i="17" l="1"/>
  <c r="E899" i="17"/>
  <c r="E900" i="17" l="1"/>
  <c r="D901" i="17"/>
  <c r="E901" i="17" l="1"/>
  <c r="D902" i="17"/>
  <c r="D903" i="17" l="1"/>
  <c r="E902" i="17"/>
  <c r="E903" i="17" l="1"/>
  <c r="D904" i="17"/>
  <c r="E904" i="17" l="1"/>
  <c r="D905" i="17"/>
  <c r="D906" i="17" l="1"/>
  <c r="E905" i="17"/>
  <c r="E906" i="17" l="1"/>
  <c r="D907" i="17"/>
  <c r="D908" i="17" l="1"/>
  <c r="E907" i="17"/>
  <c r="E908" i="17" l="1"/>
  <c r="D909" i="17"/>
  <c r="D910" i="17" l="1"/>
  <c r="E909" i="17"/>
  <c r="E910" i="17" l="1"/>
  <c r="D911" i="17"/>
  <c r="E911" i="17" l="1"/>
  <c r="D912" i="17"/>
  <c r="D913" i="17" l="1"/>
  <c r="E912" i="17"/>
  <c r="D914" i="17" l="1"/>
  <c r="E913" i="17"/>
  <c r="D915" i="17" l="1"/>
  <c r="E914" i="17"/>
  <c r="D916" i="17" l="1"/>
  <c r="E915" i="17"/>
  <c r="D917" i="17" l="1"/>
  <c r="E916" i="17"/>
  <c r="E917" i="17" l="1"/>
  <c r="D918" i="17"/>
  <c r="D919" i="17" l="1"/>
  <c r="E918" i="17"/>
  <c r="E919" i="17" l="1"/>
  <c r="D920" i="17"/>
  <c r="E920" i="17" l="1"/>
  <c r="D921" i="17"/>
  <c r="D922" i="17" l="1"/>
  <c r="E921" i="17"/>
  <c r="E922" i="17" l="1"/>
  <c r="D923" i="17"/>
  <c r="E923" i="17" l="1"/>
  <c r="D924" i="17"/>
  <c r="E924" i="17" l="1"/>
  <c r="D925" i="17"/>
  <c r="E925" i="17" l="1"/>
  <c r="D926" i="17"/>
  <c r="E926" i="17" l="1"/>
  <c r="D927" i="17"/>
  <c r="D928" i="17" l="1"/>
  <c r="E927" i="17"/>
  <c r="E928" i="17" l="1"/>
  <c r="D929" i="17"/>
  <c r="E929" i="17" l="1"/>
  <c r="D930" i="17"/>
  <c r="E930" i="17" l="1"/>
  <c r="D931" i="17"/>
  <c r="E931" i="17" l="1"/>
  <c r="D932" i="17"/>
  <c r="D933" i="17" l="1"/>
  <c r="E932" i="17"/>
  <c r="D934" i="17" l="1"/>
  <c r="E933" i="17"/>
  <c r="D935" i="17" l="1"/>
  <c r="E934" i="17"/>
  <c r="E935" i="17" l="1"/>
  <c r="D936" i="17"/>
  <c r="E936" i="17" l="1"/>
  <c r="D937" i="17"/>
  <c r="D938" i="17" l="1"/>
  <c r="E937" i="17"/>
  <c r="E938" i="17" l="1"/>
  <c r="D939" i="17"/>
  <c r="D940" i="17" l="1"/>
  <c r="E939" i="17"/>
  <c r="E940" i="17" l="1"/>
  <c r="D941" i="17"/>
  <c r="E941" i="17" l="1"/>
  <c r="D942" i="17"/>
  <c r="D943" i="17" l="1"/>
  <c r="E942" i="17"/>
  <c r="E943" i="17" l="1"/>
  <c r="D944" i="17"/>
  <c r="E944" i="17" l="1"/>
  <c r="D945" i="17"/>
  <c r="D946" i="17" l="1"/>
  <c r="E945" i="17"/>
  <c r="E946" i="17" l="1"/>
  <c r="D947" i="17"/>
  <c r="E947" i="17" l="1"/>
  <c r="D948" i="17"/>
  <c r="D949" i="17" l="1"/>
  <c r="E948" i="17"/>
  <c r="D950" i="17" l="1"/>
  <c r="E949" i="17"/>
  <c r="D951" i="17" l="1"/>
  <c r="E950" i="17"/>
  <c r="D952" i="17" l="1"/>
  <c r="E951" i="17"/>
  <c r="E952" i="17" l="1"/>
  <c r="D953" i="17"/>
  <c r="E953" i="17" l="1"/>
  <c r="D954" i="17"/>
  <c r="E954" i="17" l="1"/>
  <c r="D955" i="17"/>
  <c r="D956" i="17" l="1"/>
  <c r="E955" i="17"/>
  <c r="E956" i="17" l="1"/>
  <c r="D957" i="17"/>
  <c r="D958" i="17" l="1"/>
  <c r="E957" i="17"/>
  <c r="E958" i="17" l="1"/>
  <c r="D959" i="17"/>
  <c r="D960" i="17" l="1"/>
  <c r="E959" i="17"/>
  <c r="D961" i="17" l="1"/>
  <c r="E960" i="17"/>
  <c r="D962" i="17" l="1"/>
  <c r="E961" i="17"/>
  <c r="E962" i="17" l="1"/>
  <c r="D963" i="17"/>
  <c r="E963" i="17" l="1"/>
  <c r="D964" i="17"/>
  <c r="E964" i="17" l="1"/>
  <c r="D965" i="17"/>
  <c r="E965" i="17" l="1"/>
  <c r="D966" i="17"/>
  <c r="E966" i="17" l="1"/>
  <c r="D967" i="17"/>
  <c r="E967" i="17" l="1"/>
  <c r="D968" i="17"/>
  <c r="E968" i="17" l="1"/>
  <c r="D969" i="17"/>
  <c r="E969" i="17" l="1"/>
  <c r="D970" i="17"/>
  <c r="E970" i="17" l="1"/>
  <c r="D971" i="17"/>
  <c r="E971" i="17" l="1"/>
  <c r="D972" i="17"/>
  <c r="E972" i="17" l="1"/>
  <c r="D973" i="17"/>
  <c r="E973" i="17" l="1"/>
  <c r="D974" i="17"/>
  <c r="D975" i="17" l="1"/>
  <c r="E974" i="17"/>
  <c r="D976" i="17" l="1"/>
  <c r="E975" i="17"/>
  <c r="E976" i="17" l="1"/>
  <c r="D977" i="17"/>
  <c r="D978" i="17" l="1"/>
  <c r="E977" i="17"/>
  <c r="E978" i="17" l="1"/>
  <c r="D979" i="17"/>
  <c r="E979" i="17" l="1"/>
  <c r="D980" i="17"/>
  <c r="D981" i="17" l="1"/>
  <c r="E980" i="17"/>
  <c r="E981" i="17" l="1"/>
  <c r="D982" i="17"/>
  <c r="D983" i="17" l="1"/>
  <c r="E982" i="17"/>
  <c r="D984" i="17" l="1"/>
  <c r="E983" i="17"/>
  <c r="E984" i="17" l="1"/>
  <c r="D985" i="17"/>
  <c r="E985" i="17" l="1"/>
  <c r="D986" i="17"/>
  <c r="E986" i="17" l="1"/>
  <c r="D987" i="17"/>
  <c r="D988" i="17" l="1"/>
  <c r="E987" i="17"/>
  <c r="E988" i="17" l="1"/>
  <c r="D989" i="17"/>
  <c r="E989" i="17" l="1"/>
  <c r="D990" i="17"/>
  <c r="D991" i="17" l="1"/>
  <c r="E990" i="17"/>
  <c r="D992" i="17" l="1"/>
  <c r="E991" i="17"/>
  <c r="E992" i="17" l="1"/>
  <c r="D993" i="17"/>
  <c r="D994" i="17" l="1"/>
  <c r="E993" i="17"/>
  <c r="E994" i="17" l="1"/>
  <c r="D995" i="17"/>
  <c r="E995" i="17" l="1"/>
  <c r="D996" i="17"/>
  <c r="E996" i="17" l="1"/>
  <c r="D997" i="17"/>
  <c r="D998" i="17" l="1"/>
  <c r="E997" i="17"/>
  <c r="E998" i="17" l="1"/>
  <c r="D999" i="17"/>
  <c r="E999" i="17" l="1"/>
  <c r="D1000" i="17"/>
  <c r="D1001" i="17" l="1"/>
  <c r="E1000" i="17"/>
  <c r="D1002" i="17" l="1"/>
  <c r="E1001" i="17"/>
  <c r="D1003" i="17" l="1"/>
  <c r="E1002" i="17"/>
  <c r="E1003" i="17" l="1"/>
  <c r="D1004" i="17"/>
  <c r="E1004" i="17" l="1"/>
  <c r="D1005" i="17"/>
  <c r="E1005" i="17" l="1"/>
  <c r="D1006" i="17"/>
  <c r="D1007" i="17" l="1"/>
  <c r="E1006" i="17"/>
  <c r="D1008" i="17" l="1"/>
  <c r="E1007" i="17"/>
  <c r="E1008" i="17" l="1"/>
  <c r="D1009" i="17"/>
  <c r="D1010" i="17" l="1"/>
  <c r="E1009" i="17"/>
  <c r="D1011" i="17" l="1"/>
  <c r="E1010" i="17"/>
  <c r="D1012" i="17" l="1"/>
  <c r="E1011" i="17"/>
  <c r="D1013" i="17" l="1"/>
  <c r="E1012" i="17"/>
  <c r="D1014" i="17" l="1"/>
  <c r="E1013" i="17"/>
  <c r="D1015" i="17" l="1"/>
  <c r="E1014" i="17"/>
  <c r="E1015" i="17" l="1"/>
  <c r="D1016" i="17"/>
  <c r="E1016" i="17" l="1"/>
  <c r="D1017" i="17"/>
  <c r="E1017" i="17" l="1"/>
  <c r="D1018" i="17"/>
  <c r="E1018" i="17" l="1"/>
  <c r="D1019" i="17"/>
  <c r="E1019" i="17" l="1"/>
  <c r="D1020" i="17"/>
  <c r="E1020" i="17" l="1"/>
  <c r="D1021" i="17"/>
  <c r="E1021" i="17" l="1"/>
  <c r="D1022" i="17"/>
  <c r="E1022" i="17" l="1"/>
  <c r="D1023" i="17"/>
  <c r="D1024" i="17" l="1"/>
  <c r="E1023" i="17"/>
  <c r="E1024" i="17" l="1"/>
  <c r="D1025" i="17"/>
  <c r="D1026" i="17" l="1"/>
  <c r="E1025" i="17"/>
  <c r="E1026" i="17" l="1"/>
  <c r="D1027" i="17"/>
  <c r="E1027" i="17" l="1"/>
  <c r="D1028" i="17"/>
  <c r="D1029" i="17" l="1"/>
  <c r="E1028" i="17"/>
  <c r="E1029" i="17" l="1"/>
  <c r="D1030" i="17"/>
  <c r="D1031" i="17" l="1"/>
  <c r="E1030" i="17"/>
  <c r="E1031" i="17" l="1"/>
  <c r="D1032" i="17"/>
  <c r="E1032" i="17" l="1"/>
  <c r="D1033" i="17"/>
  <c r="E1033" i="17" l="1"/>
  <c r="D1034" i="17"/>
  <c r="E1034" i="17" l="1"/>
  <c r="D1035" i="17"/>
  <c r="D1036" i="17" l="1"/>
  <c r="E1035" i="17"/>
  <c r="E1036" i="17" l="1"/>
  <c r="D1037" i="17"/>
  <c r="D1038" i="17" l="1"/>
  <c r="E1037" i="17"/>
  <c r="E1038" i="17" l="1"/>
  <c r="D1039" i="17"/>
  <c r="E1039" i="17" l="1"/>
  <c r="D1040" i="17"/>
  <c r="E1040" i="17" l="1"/>
  <c r="D1041" i="17"/>
  <c r="D1042" i="17" l="1"/>
  <c r="E1041" i="17"/>
  <c r="D1043" i="17" l="1"/>
  <c r="E1042" i="17"/>
  <c r="E1043" i="17" l="1"/>
  <c r="D1044" i="17"/>
  <c r="E1044" i="17" l="1"/>
  <c r="D1045" i="17"/>
  <c r="D1046" i="17" l="1"/>
  <c r="E1045" i="17"/>
  <c r="D1047" i="17" l="1"/>
  <c r="E1046" i="17"/>
  <c r="E1047" i="17" l="1"/>
  <c r="D1048" i="17"/>
  <c r="E1048" i="17" l="1"/>
  <c r="D1049" i="17"/>
  <c r="E1049" i="17" l="1"/>
  <c r="D1050" i="17"/>
  <c r="D1051" i="17" l="1"/>
  <c r="E1050" i="17"/>
  <c r="E1051" i="17" l="1"/>
  <c r="D1052" i="17"/>
  <c r="E1052" i="17" l="1"/>
  <c r="D1053" i="17"/>
  <c r="E1053" i="17" l="1"/>
  <c r="D1054" i="17"/>
  <c r="E1054" i="17" l="1"/>
  <c r="D1055" i="17"/>
  <c r="E1055" i="17" l="1"/>
  <c r="D1056" i="17"/>
  <c r="E1056" i="17" l="1"/>
  <c r="D1057" i="17"/>
  <c r="D1058" i="17" l="1"/>
  <c r="E1057" i="17"/>
  <c r="E1058" i="17" l="1"/>
  <c r="D1059" i="17"/>
  <c r="E1059" i="17" l="1"/>
  <c r="D1060" i="17"/>
  <c r="D1061" i="17" l="1"/>
  <c r="E1060" i="17"/>
  <c r="D1062" i="17" l="1"/>
  <c r="E1061" i="17"/>
  <c r="E1062" i="17" l="1"/>
  <c r="D1063" i="17"/>
  <c r="E1063" i="17" l="1"/>
  <c r="D1064" i="17"/>
  <c r="E1064" i="17" l="1"/>
  <c r="D1065" i="17"/>
  <c r="D1066" i="17" l="1"/>
  <c r="E1065" i="17"/>
  <c r="E1066" i="17" l="1"/>
  <c r="D1067" i="17"/>
  <c r="E1067" i="17" l="1"/>
  <c r="D1068" i="17"/>
  <c r="E1068" i="17" l="1"/>
  <c r="D1069" i="17"/>
  <c r="D1070" i="17" l="1"/>
  <c r="E1069" i="17"/>
  <c r="E1070" i="17" l="1"/>
  <c r="D1071" i="17"/>
  <c r="E1071" i="17" l="1"/>
  <c r="D1072" i="17"/>
  <c r="E1072" i="17" l="1"/>
  <c r="D1073" i="17"/>
  <c r="D1074" i="17" l="1"/>
  <c r="E1073" i="17"/>
  <c r="D1075" i="17" l="1"/>
  <c r="E1074" i="17"/>
  <c r="D1076" i="17" l="1"/>
  <c r="E1075" i="17"/>
  <c r="E1076" i="17" l="1"/>
  <c r="D1077" i="17"/>
  <c r="E1077" i="17" l="1"/>
  <c r="D1078" i="17"/>
  <c r="D1079" i="17" l="1"/>
  <c r="E1078" i="17"/>
  <c r="E1079" i="17" l="1"/>
  <c r="D1080" i="17"/>
  <c r="E1080" i="17" l="1"/>
  <c r="D1081" i="17"/>
  <c r="E1081" i="17" l="1"/>
  <c r="D1082" i="17"/>
  <c r="E1082" i="17" l="1"/>
  <c r="D1083" i="17"/>
  <c r="E1083" i="17" l="1"/>
  <c r="D1084" i="17"/>
  <c r="E1084" i="17" l="1"/>
  <c r="D1085" i="17"/>
  <c r="D1086" i="17" l="1"/>
  <c r="E1085" i="17"/>
  <c r="E1086" i="17" l="1"/>
  <c r="D1087" i="17"/>
  <c r="D1088" i="17" l="1"/>
  <c r="E1087" i="17"/>
  <c r="D1089" i="17" l="1"/>
  <c r="E1088" i="17"/>
  <c r="E1089" i="17" l="1"/>
  <c r="D1090" i="17"/>
  <c r="E1090" i="17" l="1"/>
  <c r="D1091" i="17"/>
  <c r="D1092" i="17" l="1"/>
  <c r="E1091" i="17"/>
  <c r="E1092" i="17" l="1"/>
  <c r="D1093" i="17"/>
  <c r="E1093" i="17" l="1"/>
  <c r="D1094" i="17"/>
  <c r="E1094" i="17" l="1"/>
  <c r="D1095" i="17"/>
  <c r="E1095" i="17" l="1"/>
  <c r="D1096" i="17"/>
  <c r="E1096" i="17" l="1"/>
  <c r="D1097" i="17"/>
  <c r="D1098" i="17" l="1"/>
  <c r="E1097" i="17"/>
  <c r="D1099" i="17" l="1"/>
  <c r="E1098" i="17"/>
  <c r="D1100" i="17" l="1"/>
  <c r="E1099" i="17"/>
  <c r="E1100" i="17" l="1"/>
  <c r="D1101" i="17"/>
  <c r="E1101" i="17" l="1"/>
  <c r="D1102" i="17"/>
  <c r="E1102" i="17" l="1"/>
  <c r="D1103" i="17"/>
  <c r="E1103" i="17" l="1"/>
  <c r="D1104" i="17"/>
  <c r="E1104" i="17" l="1"/>
  <c r="D1105" i="17"/>
  <c r="D1106" i="17" l="1"/>
  <c r="E1105" i="17"/>
  <c r="E1106" i="17" l="1"/>
  <c r="D1107" i="17"/>
  <c r="E1107" i="17" l="1"/>
  <c r="D1108" i="17"/>
  <c r="E1108" i="17" l="1"/>
  <c r="D1109" i="17"/>
  <c r="D1110" i="17" l="1"/>
  <c r="E1109" i="17"/>
  <c r="D1111" i="17" l="1"/>
  <c r="E1110" i="17"/>
  <c r="E1111" i="17" l="1"/>
  <c r="D1112" i="17"/>
  <c r="E1112" i="17" l="1"/>
  <c r="D1113" i="17"/>
  <c r="E1113" i="17" l="1"/>
  <c r="D1114" i="17"/>
  <c r="E1114" i="17" l="1"/>
  <c r="D1115" i="17"/>
  <c r="E1115" i="17" l="1"/>
  <c r="D1116" i="17"/>
  <c r="E1116" i="17" l="1"/>
  <c r="D1117" i="17"/>
  <c r="E1117" i="17" l="1"/>
  <c r="D1118" i="17"/>
  <c r="D1119" i="17" l="1"/>
  <c r="E1118" i="17"/>
  <c r="D1120" i="17" l="1"/>
  <c r="E1119" i="17"/>
  <c r="E1120" i="17" l="1"/>
  <c r="D1121" i="17"/>
  <c r="D1122" i="17" l="1"/>
  <c r="E1121" i="17"/>
  <c r="E1122" i="17" l="1"/>
  <c r="D1123" i="17"/>
  <c r="E1123" i="17" l="1"/>
  <c r="D1124" i="17"/>
  <c r="E1124" i="17" l="1"/>
  <c r="D1125" i="17"/>
  <c r="E1125" i="17" l="1"/>
  <c r="D1126" i="17"/>
  <c r="D1127" i="17" l="1"/>
  <c r="E1126" i="17"/>
  <c r="E1127" i="17" l="1"/>
  <c r="D1128" i="17"/>
  <c r="E1128" i="17" l="1"/>
  <c r="D1129" i="17"/>
  <c r="E1129" i="17" l="1"/>
  <c r="D1130" i="17"/>
  <c r="E1130" i="17" l="1"/>
  <c r="D1131" i="17"/>
  <c r="E1131" i="17" l="1"/>
  <c r="D1132" i="17"/>
  <c r="E1132" i="17" l="1"/>
  <c r="D1133" i="17"/>
  <c r="E1133" i="17" l="1"/>
  <c r="D1134" i="17"/>
  <c r="E1134" i="17" l="1"/>
  <c r="D1135" i="17"/>
  <c r="E1135" i="17" l="1"/>
  <c r="D1136" i="17"/>
  <c r="E1136" i="17" l="1"/>
  <c r="D1137" i="17"/>
  <c r="D1138" i="17" l="1"/>
  <c r="E1137" i="17"/>
  <c r="E1138" i="17" l="1"/>
  <c r="D1139" i="17"/>
  <c r="D1140" i="17" l="1"/>
  <c r="E1139" i="17"/>
  <c r="D1141" i="17" l="1"/>
  <c r="E1140" i="17"/>
  <c r="E1141" i="17" l="1"/>
  <c r="D1142" i="17"/>
  <c r="D1143" i="17" l="1"/>
  <c r="E1142" i="17"/>
  <c r="D1144" i="17" l="1"/>
  <c r="E1143" i="17"/>
  <c r="E1144" i="17" l="1"/>
  <c r="D1145" i="17"/>
  <c r="E1145" i="17" l="1"/>
  <c r="D1146" i="17"/>
  <c r="E1146" i="17" l="1"/>
  <c r="D1147" i="17"/>
  <c r="E1147" i="17" l="1"/>
  <c r="D1148" i="17"/>
  <c r="E1148" i="17" l="1"/>
  <c r="D1149" i="17"/>
  <c r="E1149" i="17" l="1"/>
  <c r="D1150" i="17"/>
  <c r="E1150" i="17" l="1"/>
  <c r="D1151" i="17"/>
  <c r="D1152" i="17" l="1"/>
  <c r="E1151" i="17"/>
  <c r="E1152" i="17" l="1"/>
  <c r="D1153" i="17"/>
  <c r="E1153" i="17" l="1"/>
  <c r="D1154" i="17"/>
  <c r="E1154" i="17" l="1"/>
  <c r="D1155" i="17"/>
  <c r="E1155" i="17" l="1"/>
  <c r="D1156" i="17"/>
  <c r="D1157" i="17" l="1"/>
  <c r="E1156" i="17"/>
  <c r="D1158" i="17" l="1"/>
  <c r="E1157" i="17"/>
  <c r="E1158" i="17" l="1"/>
  <c r="D1159" i="17"/>
  <c r="E1159" i="17" l="1"/>
  <c r="D1160" i="17"/>
  <c r="E1160" i="17" l="1"/>
  <c r="D1161" i="17"/>
  <c r="E1161" i="17" l="1"/>
  <c r="D1162" i="17"/>
  <c r="D1163" i="17" l="1"/>
  <c r="E1162" i="17"/>
  <c r="D1164" i="17" l="1"/>
  <c r="E1163" i="17"/>
  <c r="E1164" i="17" l="1"/>
  <c r="D1165" i="17"/>
  <c r="D1166" i="17" l="1"/>
  <c r="E1165" i="17"/>
  <c r="E1166" i="17" l="1"/>
  <c r="D1167" i="17"/>
  <c r="E1167" i="17" l="1"/>
  <c r="D1168" i="17"/>
  <c r="E1168" i="17" l="1"/>
  <c r="D1169" i="17"/>
  <c r="D1170" i="17" l="1"/>
  <c r="E1169" i="17"/>
  <c r="D1171" i="17" l="1"/>
  <c r="E1170" i="17"/>
  <c r="E1171" i="17" l="1"/>
  <c r="D1172" i="17"/>
  <c r="D1173" i="17" l="1"/>
  <c r="E1172" i="17"/>
  <c r="E1173" i="17" l="1"/>
  <c r="D1174" i="17"/>
  <c r="D1175" i="17" l="1"/>
  <c r="E1174" i="17"/>
  <c r="E1175" i="17" l="1"/>
  <c r="D1176" i="17"/>
  <c r="E1176" i="17" l="1"/>
  <c r="D1177" i="17"/>
  <c r="D1178" i="17" l="1"/>
  <c r="E1177" i="17"/>
  <c r="E1178" i="17" l="1"/>
  <c r="D1179" i="17"/>
  <c r="E1179" i="17" l="1"/>
  <c r="D1180" i="17"/>
  <c r="D1181" i="17" l="1"/>
  <c r="E1180" i="17"/>
  <c r="E1181" i="17" l="1"/>
  <c r="D1182" i="17"/>
  <c r="E1182" i="17" l="1"/>
  <c r="D1183" i="17"/>
  <c r="D1184" i="17" l="1"/>
  <c r="E1183" i="17"/>
  <c r="E1184" i="17" l="1"/>
  <c r="D1185" i="17"/>
  <c r="D1186" i="17" l="1"/>
  <c r="E1185" i="17"/>
  <c r="E1186" i="17" l="1"/>
  <c r="D1187" i="17"/>
  <c r="E1187" i="17" l="1"/>
  <c r="D1188" i="17"/>
  <c r="D1189" i="17" l="1"/>
  <c r="E1188" i="17"/>
  <c r="D1190" i="17" l="1"/>
  <c r="E1189" i="17"/>
  <c r="E1190" i="17" l="1"/>
  <c r="D1191" i="17"/>
  <c r="E1191" i="17" l="1"/>
  <c r="D1192" i="17"/>
  <c r="E1192" i="17" l="1"/>
  <c r="D1193" i="17"/>
  <c r="E1193" i="17" l="1"/>
  <c r="D1194" i="17"/>
  <c r="E1194" i="17" l="1"/>
  <c r="D1195" i="17"/>
  <c r="D1196" i="17" l="1"/>
  <c r="E1195" i="17"/>
  <c r="E1196" i="17" l="1"/>
  <c r="D1197" i="17"/>
  <c r="D1198" i="17" l="1"/>
  <c r="E1197" i="17"/>
  <c r="D1199" i="17" l="1"/>
  <c r="E1198" i="17"/>
  <c r="D1200" i="17" l="1"/>
  <c r="E1199" i="17"/>
  <c r="E1200" i="17" l="1"/>
  <c r="D1201" i="17"/>
  <c r="D1202" i="17" l="1"/>
  <c r="E1201" i="17"/>
  <c r="D1203" i="17" l="1"/>
  <c r="E1202" i="17"/>
  <c r="E1203" i="17" l="1"/>
  <c r="D1204" i="17"/>
  <c r="D1205" i="17" l="1"/>
  <c r="E1204" i="17"/>
  <c r="D1206" i="17" l="1"/>
  <c r="E1205" i="17"/>
  <c r="D1207" i="17" l="1"/>
  <c r="E1206" i="17"/>
  <c r="E1207" i="17" l="1"/>
  <c r="D1208" i="17"/>
  <c r="E1208" i="17" l="1"/>
  <c r="D1209" i="17"/>
  <c r="E1209" i="17" l="1"/>
  <c r="D1210" i="17"/>
  <c r="E1210" i="17" l="1"/>
  <c r="D1211" i="17"/>
  <c r="D1212" i="17" l="1"/>
  <c r="E1211" i="17"/>
  <c r="E1212" i="17" l="1"/>
  <c r="D1213" i="17"/>
  <c r="E1213" i="17" l="1"/>
  <c r="D1214" i="17"/>
  <c r="E1214" i="17" l="1"/>
  <c r="D1215" i="17"/>
  <c r="E1215" i="17" l="1"/>
  <c r="D1216" i="17"/>
  <c r="E1216" i="17" l="1"/>
  <c r="D1217" i="17"/>
  <c r="D1218" i="17" l="1"/>
  <c r="E1217" i="17"/>
  <c r="E1218" i="17" l="1"/>
  <c r="D1219" i="17"/>
  <c r="E1219" i="17" l="1"/>
  <c r="D1220" i="17"/>
  <c r="E1220" i="17" l="1"/>
  <c r="D1221" i="17"/>
  <c r="E1221" i="17" l="1"/>
  <c r="D1222" i="17"/>
  <c r="E1222" i="17" l="1"/>
  <c r="D1223" i="17"/>
  <c r="E1223" i="17" l="1"/>
  <c r="D1224" i="17"/>
  <c r="E1224" i="17" l="1"/>
  <c r="D1225" i="17"/>
  <c r="D1226" i="17" l="1"/>
  <c r="E1225" i="17"/>
  <c r="E1226" i="17" l="1"/>
  <c r="D1227" i="17"/>
  <c r="E1227" i="17" l="1"/>
  <c r="D1228" i="17"/>
  <c r="E1228" i="17" l="1"/>
  <c r="D1229" i="17"/>
  <c r="E1229" i="17" l="1"/>
  <c r="D1230" i="17"/>
  <c r="E1230" i="17" l="1"/>
  <c r="D1231" i="17"/>
  <c r="E1231" i="17" l="1"/>
  <c r="D1232" i="17"/>
  <c r="E1232" i="17" l="1"/>
  <c r="D1233" i="17"/>
  <c r="D1234" i="17" l="1"/>
  <c r="E1233" i="17"/>
  <c r="D1235" i="17" l="1"/>
  <c r="E1234" i="17"/>
  <c r="E1235" i="17" l="1"/>
  <c r="D1236" i="17"/>
  <c r="E1236" i="17" l="1"/>
  <c r="D1237" i="17"/>
  <c r="E1237" i="17" l="1"/>
  <c r="D1238" i="17"/>
  <c r="D1239" i="17" l="1"/>
  <c r="E1238" i="17"/>
  <c r="D1240" i="17" l="1"/>
  <c r="E1239" i="17"/>
  <c r="E1240" i="17" l="1"/>
  <c r="D1241" i="17"/>
  <c r="D1242" i="17" l="1"/>
  <c r="E1241" i="17"/>
  <c r="E1242" i="17" l="1"/>
  <c r="D1243" i="17"/>
  <c r="D1244" i="17" l="1"/>
  <c r="E1243" i="17"/>
  <c r="E1244" i="17" l="1"/>
  <c r="D1245" i="17"/>
  <c r="E1245" i="17" l="1"/>
  <c r="D1246" i="17"/>
  <c r="D1247" i="17" l="1"/>
  <c r="E1246" i="17"/>
  <c r="E1247" i="17" l="1"/>
  <c r="D1248" i="17"/>
  <c r="E1248" i="17" l="1"/>
  <c r="D1249" i="17"/>
  <c r="E1249" i="17" l="1"/>
  <c r="D1250" i="17"/>
  <c r="E1250" i="17" l="1"/>
  <c r="D1251" i="17"/>
  <c r="D1252" i="17" l="1"/>
  <c r="E1251" i="17"/>
  <c r="D1253" i="17" l="1"/>
  <c r="E1252" i="17"/>
  <c r="E1253" i="17" l="1"/>
  <c r="D1254" i="17"/>
  <c r="E1254" i="17" l="1"/>
  <c r="D1255" i="17"/>
  <c r="E1255" i="17" l="1"/>
  <c r="D1256" i="17"/>
  <c r="E1256" i="17" l="1"/>
  <c r="D1257" i="17"/>
  <c r="E1257" i="17" l="1"/>
  <c r="D1258" i="17"/>
  <c r="D1259" i="17" l="1"/>
  <c r="E1258" i="17"/>
  <c r="E1259" i="17" l="1"/>
  <c r="D1260" i="17"/>
  <c r="E1260" i="17" l="1"/>
  <c r="D1261" i="17"/>
  <c r="E1261" i="17" l="1"/>
  <c r="D1262" i="17"/>
  <c r="E1262" i="17" l="1"/>
  <c r="D1263" i="17"/>
  <c r="D1264" i="17" l="1"/>
  <c r="E1263" i="17"/>
  <c r="E1264" i="17" l="1"/>
  <c r="D1265" i="17"/>
  <c r="D1266" i="17" l="1"/>
  <c r="E1265" i="17"/>
  <c r="E1266" i="17" l="1"/>
  <c r="D1267" i="17"/>
  <c r="E1267" i="17" l="1"/>
  <c r="D1268" i="17"/>
  <c r="E1268" i="17" l="1"/>
  <c r="D1269" i="17"/>
  <c r="E1269" i="17" l="1"/>
  <c r="D1270" i="17"/>
  <c r="D1271" i="17" l="1"/>
  <c r="E1270" i="17"/>
  <c r="D1272" i="17" l="1"/>
  <c r="E1271" i="17"/>
  <c r="E1272" i="17" l="1"/>
  <c r="D1273" i="17"/>
  <c r="E1273" i="17" l="1"/>
  <c r="D1274" i="17"/>
  <c r="E1274" i="17" l="1"/>
  <c r="D1275" i="17"/>
  <c r="D1276" i="17" l="1"/>
  <c r="E1275" i="17"/>
  <c r="E1276" i="17" l="1"/>
  <c r="D1277" i="17"/>
  <c r="E1277" i="17" l="1"/>
  <c r="D1278" i="17"/>
  <c r="E1278" i="17" l="1"/>
  <c r="D1279" i="17"/>
  <c r="E1279" i="17" l="1"/>
  <c r="D1280" i="17"/>
  <c r="E1280" i="17" l="1"/>
  <c r="D1281" i="17"/>
  <c r="D1282" i="17" l="1"/>
  <c r="E1281" i="17"/>
  <c r="E1282" i="17" l="1"/>
  <c r="D1283" i="17"/>
  <c r="E1283" i="17" l="1"/>
  <c r="D1284" i="17"/>
  <c r="E1284" i="17" l="1"/>
  <c r="D1285" i="17"/>
  <c r="D1286" i="17" l="1"/>
  <c r="E1285" i="17"/>
  <c r="E1286" i="17" l="1"/>
  <c r="D1287" i="17"/>
  <c r="E1287" i="17" l="1"/>
  <c r="D1288" i="17"/>
  <c r="D1289" i="17" l="1"/>
  <c r="E1288" i="17"/>
  <c r="D1290" i="17" l="1"/>
  <c r="E1289" i="17"/>
  <c r="E1290" i="17" l="1"/>
  <c r="D1291" i="17"/>
  <c r="D1292" i="17" l="1"/>
  <c r="E1291" i="17"/>
  <c r="E1292" i="17" l="1"/>
  <c r="D1293" i="17"/>
  <c r="D1294" i="17" l="1"/>
  <c r="E1293" i="17"/>
  <c r="E1294" i="17" l="1"/>
  <c r="D1295" i="17"/>
  <c r="E1295" i="17" l="1"/>
  <c r="D1296" i="17"/>
  <c r="E1296" i="17" l="1"/>
  <c r="D1297" i="17"/>
  <c r="D1298" i="17" l="1"/>
  <c r="E1297" i="17"/>
  <c r="E1298" i="17" l="1"/>
  <c r="D1299" i="17"/>
  <c r="D1300" i="17" l="1"/>
  <c r="E1299" i="17"/>
  <c r="D1301" i="17" l="1"/>
  <c r="E1300" i="17"/>
  <c r="D1302" i="17" l="1"/>
  <c r="E1301" i="17"/>
  <c r="D1303" i="17" l="1"/>
  <c r="E1302" i="17"/>
  <c r="E1303" i="17" l="1"/>
  <c r="D1304" i="17"/>
  <c r="E1304" i="17" l="1"/>
  <c r="D1305" i="17"/>
  <c r="D1306" i="17" l="1"/>
  <c r="E1305" i="17"/>
  <c r="E1306" i="17" l="1"/>
  <c r="D1307" i="17"/>
  <c r="E1307" i="17" l="1"/>
  <c r="D1308" i="17"/>
  <c r="E1308" i="17" l="1"/>
  <c r="D1309" i="17"/>
  <c r="E1309" i="17" l="1"/>
  <c r="D1310" i="17"/>
  <c r="E1310" i="17" l="1"/>
  <c r="D1311" i="17"/>
  <c r="E1311" i="17" l="1"/>
  <c r="D1312" i="17"/>
  <c r="E1312" i="17" l="1"/>
  <c r="D1313" i="17"/>
  <c r="E1313" i="17" l="1"/>
  <c r="D1314" i="17"/>
  <c r="E1314" i="17" l="1"/>
  <c r="D1315" i="17"/>
  <c r="E1315" i="17" l="1"/>
  <c r="D1316" i="17"/>
  <c r="D1317" i="17" l="1"/>
  <c r="E1316" i="17"/>
  <c r="E1317" i="17" l="1"/>
  <c r="D1318" i="17"/>
  <c r="D1319" i="17" l="1"/>
  <c r="E1318" i="17"/>
  <c r="E1319" i="17" l="1"/>
  <c r="D1320" i="17"/>
  <c r="E1320" i="17" l="1"/>
  <c r="D1321" i="17"/>
  <c r="E1321" i="17" l="1"/>
  <c r="D1322" i="17"/>
  <c r="D1323" i="17" l="1"/>
  <c r="E1322" i="17"/>
  <c r="E1323" i="17" l="1"/>
  <c r="D1324" i="17"/>
  <c r="E1324" i="17" l="1"/>
  <c r="D1325" i="17"/>
  <c r="E1325" i="17" l="1"/>
  <c r="D1326" i="17"/>
  <c r="E1326" i="17" l="1"/>
  <c r="D1327" i="17"/>
  <c r="D1328" i="17" l="1"/>
  <c r="E1327" i="17"/>
  <c r="E1328" i="17" l="1"/>
  <c r="D1329" i="17"/>
  <c r="D1330" i="17" l="1"/>
  <c r="E1329" i="17"/>
  <c r="E1330" i="17" l="1"/>
  <c r="D1331" i="17"/>
  <c r="E1331" i="17" l="1"/>
  <c r="D1332" i="17"/>
  <c r="D1333" i="17" l="1"/>
  <c r="E1332" i="17"/>
  <c r="D1334" i="17" l="1"/>
  <c r="E1333" i="17"/>
  <c r="D1335" i="17" l="1"/>
  <c r="E1334" i="17"/>
  <c r="E1335" i="17" l="1"/>
  <c r="D1336" i="17"/>
  <c r="E1336" i="17" l="1"/>
  <c r="D1337" i="17"/>
  <c r="E1337" i="17" l="1"/>
  <c r="D1338" i="17"/>
  <c r="E1338" i="17" l="1"/>
  <c r="D1339" i="17"/>
  <c r="D1340" i="17" l="1"/>
  <c r="E1339" i="17"/>
  <c r="E1340" i="17" l="1"/>
  <c r="D1341" i="17"/>
  <c r="E1341" i="17" l="1"/>
  <c r="D1342" i="17"/>
  <c r="D1343" i="17" l="1"/>
  <c r="E1342" i="17"/>
  <c r="D1344" i="17" l="1"/>
  <c r="E1343" i="17"/>
  <c r="E1344" i="17" l="1"/>
  <c r="D1345" i="17"/>
  <c r="E1345" i="17" l="1"/>
  <c r="D1346" i="17"/>
  <c r="E1346" i="17" l="1"/>
  <c r="D1347" i="17"/>
  <c r="E1347" i="17" l="1"/>
  <c r="D1348" i="17"/>
  <c r="E1348" i="17" l="1"/>
  <c r="D1349" i="17"/>
  <c r="E1349" i="17" l="1"/>
  <c r="D1350" i="17"/>
  <c r="E1350" i="17" l="1"/>
  <c r="D1351" i="17"/>
  <c r="E1351" i="17" l="1"/>
  <c r="D1352" i="17"/>
  <c r="D1353" i="17" l="1"/>
  <c r="E1352" i="17"/>
  <c r="E1353" i="17" l="1"/>
  <c r="D1354" i="17"/>
  <c r="D1355" i="17" l="1"/>
  <c r="E1354" i="17"/>
  <c r="E1355" i="17" l="1"/>
  <c r="D1356" i="17"/>
  <c r="E1356" i="17" l="1"/>
  <c r="D1357" i="17"/>
  <c r="E1357" i="17" l="1"/>
  <c r="D1358" i="17"/>
  <c r="D1359" i="17" l="1"/>
  <c r="E1358" i="17"/>
  <c r="D1360" i="17" l="1"/>
  <c r="E1359" i="17"/>
  <c r="E1360" i="17" l="1"/>
  <c r="D1361" i="17"/>
  <c r="D1362" i="17" l="1"/>
  <c r="E1361" i="17"/>
  <c r="D1363" i="17" l="1"/>
  <c r="E1362" i="17"/>
  <c r="E1363" i="17" l="1"/>
  <c r="D1364" i="17"/>
  <c r="D1365" i="17" l="1"/>
  <c r="E1364" i="17"/>
  <c r="E1365" i="17" l="1"/>
  <c r="D1366" i="17"/>
  <c r="E1366" i="17" l="1"/>
  <c r="D1367" i="17"/>
  <c r="D1368" i="17" l="1"/>
  <c r="E1367" i="17"/>
  <c r="E1368" i="17" l="1"/>
  <c r="D1369" i="17"/>
  <c r="D1370" i="17" l="1"/>
  <c r="E1369" i="17"/>
  <c r="D1371" i="17" l="1"/>
  <c r="E1370" i="17"/>
  <c r="E1371" i="17" l="1"/>
  <c r="D1372" i="17"/>
  <c r="E1372" i="17" l="1"/>
  <c r="D1373" i="17"/>
  <c r="D1374" i="17" l="1"/>
  <c r="E1373" i="17"/>
  <c r="E1374" i="17" l="1"/>
  <c r="D1375" i="17"/>
  <c r="D1376" i="17" l="1"/>
  <c r="E1375" i="17"/>
  <c r="E1376" i="17" l="1"/>
  <c r="D1377" i="17"/>
  <c r="D1378" i="17" l="1"/>
  <c r="E1377" i="17"/>
  <c r="E1378" i="17" l="1"/>
  <c r="D1379" i="17"/>
  <c r="E1379" i="17" l="1"/>
  <c r="D1380" i="17"/>
  <c r="E1380" i="17" l="1"/>
  <c r="D1381" i="17"/>
  <c r="D1382" i="17" l="1"/>
  <c r="E1381" i="17"/>
  <c r="E1382" i="17" l="1"/>
  <c r="D1383" i="17"/>
  <c r="E1383" i="17" l="1"/>
  <c r="D1384" i="17"/>
  <c r="E1384" i="17" l="1"/>
  <c r="D1385" i="17"/>
  <c r="D1386" i="17" l="1"/>
  <c r="E1385" i="17"/>
  <c r="D1387" i="17" l="1"/>
  <c r="E1386" i="17"/>
  <c r="E1387" i="17" l="1"/>
  <c r="D1388" i="17"/>
  <c r="E1388" i="17" l="1"/>
  <c r="D1389" i="17"/>
  <c r="E1389" i="17" l="1"/>
  <c r="D1390" i="17"/>
  <c r="E1390" i="17" l="1"/>
  <c r="D1391" i="17"/>
  <c r="E1391" i="17" l="1"/>
  <c r="D1392" i="17"/>
  <c r="E1392" i="17" l="1"/>
  <c r="D1393" i="17"/>
  <c r="D1394" i="17" l="1"/>
  <c r="E1393" i="17"/>
  <c r="D1395" i="17" l="1"/>
  <c r="E1394" i="17"/>
  <c r="E1395" i="17" l="1"/>
  <c r="D1396" i="17"/>
  <c r="D1397" i="17" l="1"/>
  <c r="E1396" i="17"/>
  <c r="D1398" i="17" l="1"/>
  <c r="E1397" i="17"/>
  <c r="E1398" i="17" l="1"/>
  <c r="D1399" i="17"/>
  <c r="D1400" i="17" l="1"/>
  <c r="E1399" i="17"/>
  <c r="D1401" i="17" l="1"/>
  <c r="E1400" i="17"/>
  <c r="E1401" i="17" l="1"/>
  <c r="D1402" i="17"/>
  <c r="E1402" i="17" l="1"/>
  <c r="D1403" i="17"/>
  <c r="E1403" i="17" l="1"/>
  <c r="D1404" i="17"/>
  <c r="D1405" i="17" l="1"/>
  <c r="E1404" i="17"/>
  <c r="D1406" i="17" l="1"/>
  <c r="E1405" i="17"/>
  <c r="E1406" i="17" l="1"/>
  <c r="D1407" i="17"/>
  <c r="E1407" i="17" l="1"/>
  <c r="D1408" i="17"/>
  <c r="D1409" i="17" l="1"/>
  <c r="E1408" i="17"/>
  <c r="D1410" i="17" l="1"/>
  <c r="E1409" i="17"/>
  <c r="E1410" i="17" l="1"/>
  <c r="D1411" i="17"/>
  <c r="E1411" i="17" l="1"/>
  <c r="D1412" i="17"/>
  <c r="E1412" i="17" l="1"/>
  <c r="D1413" i="17"/>
  <c r="E1413" i="17" l="1"/>
  <c r="D1414" i="17"/>
  <c r="E1414" i="17" l="1"/>
  <c r="D1415" i="17"/>
  <c r="E1415" i="17" l="1"/>
  <c r="D1416" i="17"/>
  <c r="E1416" i="17" l="1"/>
  <c r="D1417" i="17"/>
  <c r="D1418" i="17" l="1"/>
  <c r="E1417" i="17"/>
  <c r="E1418" i="17" l="1"/>
  <c r="D1419" i="17"/>
  <c r="E1419" i="17" l="1"/>
  <c r="D1420" i="17"/>
  <c r="E1420" i="17" l="1"/>
  <c r="D1421" i="17"/>
  <c r="E1421" i="17" l="1"/>
  <c r="D1422" i="17"/>
  <c r="E1422" i="17" l="1"/>
  <c r="D1423" i="17"/>
  <c r="E1423" i="17" l="1"/>
  <c r="D1424" i="17"/>
  <c r="E1424" i="17" l="1"/>
  <c r="D1425" i="17"/>
  <c r="E1425" i="17" l="1"/>
  <c r="D1426" i="17"/>
  <c r="D1427" i="17" l="1"/>
  <c r="E1426" i="17"/>
  <c r="D1428" i="17" l="1"/>
  <c r="E1427" i="17"/>
  <c r="E1428" i="17" l="1"/>
  <c r="D1429" i="17"/>
  <c r="D1430" i="17" l="1"/>
  <c r="E1429" i="17"/>
  <c r="E1430" i="17" l="1"/>
  <c r="D1431" i="17"/>
  <c r="D1432" i="17" l="1"/>
  <c r="E1431" i="17"/>
  <c r="E1432" i="17" l="1"/>
  <c r="D1433" i="17"/>
  <c r="E1433" i="17" l="1"/>
  <c r="D1434" i="17"/>
  <c r="D1435" i="17" l="1"/>
  <c r="E1434" i="17"/>
  <c r="E1435" i="17" l="1"/>
  <c r="D1436" i="17"/>
  <c r="E1436" i="17" l="1"/>
  <c r="D1437" i="17"/>
  <c r="E1437" i="17" l="1"/>
  <c r="D1438" i="17"/>
  <c r="E1438" i="17" l="1"/>
  <c r="D1439" i="17"/>
  <c r="D1440" i="17" l="1"/>
  <c r="E1439" i="17"/>
  <c r="E1440" i="17" l="1"/>
  <c r="D1441" i="17"/>
  <c r="E1441" i="17" l="1"/>
  <c r="D1442" i="17"/>
  <c r="E1442" i="17" l="1"/>
  <c r="D1443" i="17"/>
  <c r="E1443" i="17" l="1"/>
  <c r="D1444" i="17"/>
  <c r="E1444" i="17" l="1"/>
  <c r="D1445" i="17"/>
  <c r="D1446" i="17" l="1"/>
  <c r="E1445" i="17"/>
  <c r="D1447" i="17" l="1"/>
  <c r="E1446" i="17"/>
  <c r="E1447" i="17" l="1"/>
  <c r="D1448" i="17"/>
  <c r="E1448" i="17" l="1"/>
  <c r="D1449" i="17"/>
  <c r="E1449" i="17" l="1"/>
  <c r="D1450" i="17"/>
  <c r="E1450" i="17" l="1"/>
  <c r="D1451" i="17"/>
  <c r="D1452" i="17" l="1"/>
  <c r="E1451" i="17"/>
  <c r="D1453" i="17" l="1"/>
  <c r="E1452" i="17"/>
  <c r="E1453" i="17" l="1"/>
  <c r="D1454" i="17"/>
  <c r="D1455" i="17" l="1"/>
  <c r="E1454" i="17"/>
  <c r="E1455" i="17" l="1"/>
  <c r="D1456" i="17"/>
  <c r="D1457" i="17" l="1"/>
  <c r="E1456" i="17"/>
  <c r="D1458" i="17" l="1"/>
  <c r="E1457" i="17"/>
  <c r="D1459" i="17" l="1"/>
  <c r="E1458" i="17"/>
  <c r="D1460" i="17" l="1"/>
  <c r="E1459" i="17"/>
  <c r="E1460" i="17" l="1"/>
  <c r="D1461" i="17"/>
  <c r="D1462" i="17" l="1"/>
  <c r="E1461" i="17"/>
  <c r="E1462" i="17" l="1"/>
  <c r="D1463" i="17"/>
  <c r="E1463" i="17" l="1"/>
  <c r="D1464" i="17"/>
  <c r="E1464" i="17" l="1"/>
  <c r="D1465" i="17"/>
  <c r="E1465" i="17" l="1"/>
  <c r="D1466" i="17"/>
  <c r="D1467" i="17" l="1"/>
  <c r="E1466" i="17"/>
  <c r="D1468" i="17" l="1"/>
  <c r="E1467" i="17"/>
  <c r="D1469" i="17" l="1"/>
  <c r="E1468" i="17"/>
  <c r="E1469" i="17" l="1"/>
  <c r="D1470" i="17"/>
  <c r="E1470" i="17" l="1"/>
  <c r="D1471" i="17"/>
  <c r="D1472" i="17" l="1"/>
  <c r="E1471" i="17"/>
  <c r="E1472" i="17" l="1"/>
  <c r="D1473" i="17"/>
  <c r="E1473" i="17" l="1"/>
  <c r="D1474" i="17"/>
  <c r="E1474" i="17" l="1"/>
  <c r="D1475" i="17"/>
  <c r="E1475" i="17" l="1"/>
  <c r="D1476" i="17"/>
  <c r="E1476" i="17" l="1"/>
  <c r="D1477" i="17"/>
  <c r="D1478" i="17" l="1"/>
  <c r="E1477" i="17"/>
  <c r="E1478" i="17" l="1"/>
  <c r="D1479" i="17"/>
  <c r="D1480" i="17" l="1"/>
  <c r="E1479" i="17"/>
  <c r="E1480" i="17" l="1"/>
  <c r="D1481" i="17"/>
  <c r="E1481" i="17" l="1"/>
  <c r="D1482" i="17"/>
  <c r="E1482" i="17" l="1"/>
  <c r="D1483" i="17"/>
  <c r="D1484" i="17" l="1"/>
  <c r="E1483" i="17"/>
  <c r="E1484" i="17" l="1"/>
  <c r="D1485" i="17"/>
  <c r="D1486" i="17" l="1"/>
  <c r="E1485" i="17"/>
  <c r="E1486" i="17" l="1"/>
  <c r="D1487" i="17"/>
  <c r="E1487" i="17" l="1"/>
  <c r="D1488" i="17"/>
  <c r="D1489" i="17" l="1"/>
  <c r="E1488" i="17"/>
  <c r="E1489" i="17" l="1"/>
  <c r="D1490" i="17"/>
  <c r="D1491" i="17" l="1"/>
  <c r="E1490" i="17"/>
  <c r="D1492" i="17" l="1"/>
  <c r="E1491" i="17"/>
  <c r="E1492" i="17" l="1"/>
  <c r="D1493" i="17"/>
  <c r="E1493" i="17" l="1"/>
  <c r="D1494" i="17"/>
  <c r="E1494" i="17" l="1"/>
  <c r="D1495" i="17"/>
  <c r="D1496" i="17" l="1"/>
  <c r="E1495" i="17"/>
  <c r="E1496" i="17" l="1"/>
  <c r="D1497" i="17"/>
  <c r="E1497" i="17" l="1"/>
  <c r="D1498" i="17"/>
  <c r="E1498" i="17" l="1"/>
  <c r="D1499" i="17"/>
  <c r="D1500" i="17" l="1"/>
  <c r="E1499" i="17"/>
  <c r="E1500" i="17" l="1"/>
  <c r="D1501" i="17"/>
  <c r="E1501" i="17" l="1"/>
  <c r="D1502" i="17"/>
  <c r="E1502" i="17" l="1"/>
  <c r="D1503" i="17"/>
  <c r="D1504" i="17" l="1"/>
  <c r="E1503" i="17"/>
  <c r="E1504" i="17" l="1"/>
  <c r="D1505" i="17"/>
  <c r="E1505" i="17" l="1"/>
  <c r="D1506" i="17"/>
  <c r="E1506" i="17" l="1"/>
  <c r="D1507" i="17"/>
  <c r="D1508" i="17" l="1"/>
  <c r="E1507" i="17"/>
  <c r="E1508" i="17" l="1"/>
  <c r="D1509" i="17"/>
  <c r="E1509" i="17" l="1"/>
  <c r="D1510" i="17"/>
  <c r="D1511" i="17" l="1"/>
  <c r="E1510" i="17"/>
  <c r="E1511" i="17" l="1"/>
  <c r="D1512" i="17"/>
  <c r="E1512" i="17" l="1"/>
  <c r="D1513" i="17"/>
  <c r="E1513" i="17" l="1"/>
  <c r="D1514" i="17"/>
  <c r="E1514" i="17" l="1"/>
  <c r="D1515" i="17"/>
  <c r="D1516" i="17" l="1"/>
  <c r="E1515" i="17"/>
  <c r="E1516" i="17" l="1"/>
  <c r="D1517" i="17"/>
  <c r="E1517" i="17" l="1"/>
  <c r="D1518" i="17"/>
  <c r="E1518" i="17" l="1"/>
  <c r="D1519" i="17"/>
  <c r="D1520" i="17" l="1"/>
  <c r="E1519" i="17"/>
  <c r="D1521" i="17" l="1"/>
  <c r="E1520" i="17"/>
  <c r="D1522" i="17" l="1"/>
  <c r="E1521" i="17"/>
  <c r="D1523" i="17" l="1"/>
  <c r="E1522" i="17"/>
  <c r="D1524" i="17" l="1"/>
  <c r="E1523" i="17"/>
  <c r="E1524" i="17" l="1"/>
  <c r="D1525" i="17"/>
  <c r="D1526" i="17" l="1"/>
  <c r="E1525" i="17"/>
  <c r="E1526" i="17" l="1"/>
  <c r="D1527" i="17"/>
  <c r="D1528" i="17" l="1"/>
  <c r="E1527" i="17"/>
  <c r="E1528" i="17" l="1"/>
  <c r="D1529" i="17"/>
  <c r="E1529" i="17" l="1"/>
  <c r="D1530" i="17"/>
  <c r="D1531" i="17" l="1"/>
  <c r="E1530" i="17"/>
  <c r="E1531" i="17" l="1"/>
  <c r="D1532" i="17"/>
  <c r="D1533" i="17" l="1"/>
  <c r="E1532" i="17"/>
  <c r="E1533" i="17" l="1"/>
  <c r="D1534" i="17"/>
  <c r="E1534" i="17" l="1"/>
  <c r="D1535" i="17"/>
  <c r="D1536" i="17" l="1"/>
  <c r="E1535" i="17"/>
  <c r="D1537" i="17" l="1"/>
  <c r="E1536" i="17"/>
  <c r="D1538" i="17" l="1"/>
  <c r="E1537" i="17"/>
  <c r="E1538" i="17" l="1"/>
  <c r="D1539" i="17"/>
  <c r="D1540" i="17" l="1"/>
  <c r="E1539" i="17"/>
  <c r="E1540" i="17" l="1"/>
  <c r="D1541" i="17"/>
  <c r="E1541" i="17" l="1"/>
  <c r="D1542" i="17"/>
  <c r="E1542" i="17" l="1"/>
  <c r="D1543" i="17"/>
  <c r="D1544" i="17" l="1"/>
  <c r="E1543" i="17"/>
  <c r="E1544" i="17" l="1"/>
  <c r="D1545" i="17"/>
  <c r="E1545" i="17" l="1"/>
  <c r="D1546" i="17"/>
  <c r="E1546" i="17" l="1"/>
  <c r="D1547" i="17"/>
  <c r="E1547" i="17" l="1"/>
  <c r="D1548" i="17"/>
  <c r="E1548" i="17" l="1"/>
  <c r="D1549" i="17"/>
  <c r="E1549" i="17" l="1"/>
  <c r="D1550" i="17"/>
  <c r="E1550" i="17" l="1"/>
  <c r="D1551" i="17"/>
  <c r="D1552" i="17" l="1"/>
  <c r="E1551" i="17"/>
  <c r="E1552" i="17" l="1"/>
  <c r="D1553" i="17"/>
  <c r="E1553" i="17" l="1"/>
  <c r="D1554" i="17"/>
  <c r="D1555" i="17" l="1"/>
  <c r="E1554" i="17"/>
  <c r="E1555" i="17" l="1"/>
  <c r="D1556" i="17"/>
  <c r="E1556" i="17" l="1"/>
  <c r="D1557" i="17"/>
  <c r="E1557" i="17" l="1"/>
  <c r="D1558" i="17"/>
  <c r="E1558" i="17" l="1"/>
  <c r="D1559" i="17"/>
  <c r="D1560" i="17" l="1"/>
  <c r="E1559" i="17"/>
  <c r="E1560" i="17" l="1"/>
  <c r="D1561" i="17"/>
  <c r="E1561" i="17" l="1"/>
  <c r="D1562" i="17"/>
  <c r="E1562" i="17" l="1"/>
  <c r="D1563" i="17"/>
  <c r="D1564" i="17" l="1"/>
  <c r="E1563" i="17"/>
  <c r="E1564" i="17" l="1"/>
  <c r="D1565" i="17"/>
  <c r="D1566" i="17" l="1"/>
  <c r="E1565" i="17"/>
  <c r="D1567" i="17" l="1"/>
  <c r="E1566" i="17"/>
  <c r="E1567" i="17" l="1"/>
  <c r="D1568" i="17"/>
  <c r="D1569" i="17" l="1"/>
  <c r="E1568" i="17"/>
  <c r="E1569" i="17" l="1"/>
  <c r="D1570" i="17"/>
  <c r="E1570" i="17" l="1"/>
  <c r="D1571" i="17"/>
  <c r="E1571" i="17" l="1"/>
  <c r="D1572" i="17"/>
  <c r="D1573" i="17" l="1"/>
  <c r="E1572" i="17"/>
  <c r="E1573" i="17" l="1"/>
  <c r="D1574" i="17"/>
  <c r="E1574" i="17" l="1"/>
  <c r="D1575" i="17"/>
  <c r="D1576" i="17" l="1"/>
  <c r="E1575" i="17"/>
  <c r="E1576" i="17" l="1"/>
  <c r="D1577" i="17"/>
  <c r="D1578" i="17" l="1"/>
  <c r="E1577" i="17"/>
  <c r="E1578" i="17" l="1"/>
  <c r="D1579" i="17"/>
  <c r="E1579" i="17" l="1"/>
  <c r="D1580" i="17"/>
  <c r="E1580" i="17" l="1"/>
  <c r="D1581" i="17"/>
  <c r="E1581" i="17" l="1"/>
  <c r="D1582" i="17"/>
  <c r="E1582" i="17" l="1"/>
  <c r="D1583" i="17"/>
  <c r="E1583" i="17" l="1"/>
  <c r="D1584" i="17"/>
  <c r="D1585" i="17" l="1"/>
  <c r="E1584" i="17"/>
  <c r="D1586" i="17" l="1"/>
  <c r="E1585" i="17"/>
  <c r="D1587" i="17" l="1"/>
  <c r="E1586" i="17"/>
  <c r="D1588" i="17" l="1"/>
  <c r="E1587" i="17"/>
  <c r="D1589" i="17" l="1"/>
  <c r="E1588" i="17"/>
  <c r="E1589" i="17" l="1"/>
  <c r="D1590" i="17"/>
  <c r="E1590" i="17" l="1"/>
  <c r="D1591" i="17"/>
  <c r="D1592" i="17" l="1"/>
  <c r="E1591" i="17"/>
  <c r="E1592" i="17" l="1"/>
  <c r="D1593" i="17"/>
  <c r="D1594" i="17" l="1"/>
  <c r="E1593" i="17"/>
  <c r="E1594" i="17" l="1"/>
  <c r="D1595" i="17"/>
  <c r="E1595" i="17" l="1"/>
  <c r="D1596" i="17"/>
  <c r="D1597" i="17" l="1"/>
  <c r="E1596" i="17"/>
  <c r="E1597" i="17" l="1"/>
  <c r="D1598" i="17"/>
  <c r="D1599" i="17" l="1"/>
  <c r="E1598" i="17"/>
  <c r="E1599" i="17" l="1"/>
  <c r="D1600" i="17"/>
  <c r="D1601" i="17" l="1"/>
  <c r="E1600" i="17"/>
  <c r="E1601" i="17" l="1"/>
  <c r="D1602" i="17"/>
  <c r="D1603" i="17" l="1"/>
  <c r="E1602" i="17"/>
  <c r="E1603" i="17" l="1"/>
  <c r="D1604" i="17"/>
  <c r="D1605" i="17" l="1"/>
  <c r="E1604" i="17"/>
  <c r="E1605" i="17" l="1"/>
  <c r="D1606" i="17"/>
  <c r="E1606" i="17" l="1"/>
  <c r="D1607" i="17"/>
  <c r="E1607" i="17" l="1"/>
  <c r="D1608" i="17"/>
  <c r="E1608" i="17" l="1"/>
  <c r="D1609" i="17"/>
  <c r="E1609" i="17" l="1"/>
  <c r="D1610" i="17"/>
  <c r="D1611" i="17" l="1"/>
  <c r="E1610" i="17"/>
  <c r="D1612" i="17" l="1"/>
  <c r="E1611" i="17"/>
  <c r="E1612" i="17" l="1"/>
  <c r="D1613" i="17"/>
  <c r="D1614" i="17" l="1"/>
  <c r="E1613" i="17"/>
  <c r="E1614" i="17" l="1"/>
  <c r="D1615" i="17"/>
  <c r="D1616" i="17" l="1"/>
  <c r="E1615" i="17"/>
  <c r="E1616" i="17" l="1"/>
  <c r="D1617" i="17"/>
  <c r="E1617" i="17" l="1"/>
  <c r="D1618" i="17"/>
  <c r="E1618" i="17" l="1"/>
  <c r="D1619" i="17"/>
  <c r="D1620" i="17" l="1"/>
  <c r="E1619" i="17"/>
  <c r="E1620" i="17" l="1"/>
  <c r="D1621" i="17"/>
  <c r="D1622" i="17" l="1"/>
  <c r="E1621" i="17"/>
  <c r="D1623" i="17" l="1"/>
  <c r="E1622" i="17"/>
  <c r="E1623" i="17" l="1"/>
  <c r="D1624" i="17"/>
  <c r="E1624" i="17" l="1"/>
  <c r="D1625" i="17"/>
  <c r="E1625" i="17" l="1"/>
  <c r="D1626" i="17"/>
  <c r="D1627" i="17" l="1"/>
  <c r="E1626" i="17"/>
  <c r="E1627" i="17" l="1"/>
  <c r="D1628" i="17"/>
  <c r="D1629" i="17" l="1"/>
  <c r="E1628" i="17"/>
  <c r="E1629" i="17" l="1"/>
  <c r="D1630" i="17"/>
  <c r="E1630" i="17" l="1"/>
  <c r="D1631" i="17"/>
  <c r="E1631" i="17" l="1"/>
  <c r="D1632" i="17"/>
  <c r="E1632" i="17" l="1"/>
  <c r="D1633" i="17"/>
  <c r="D1634" i="17" l="1"/>
  <c r="E1633" i="17"/>
  <c r="D1635" i="17" l="1"/>
  <c r="E1634" i="17"/>
  <c r="E1635" i="17" l="1"/>
  <c r="D1636" i="17"/>
  <c r="E1636" i="17" l="1"/>
  <c r="D1637" i="17"/>
  <c r="E1637" i="17" l="1"/>
  <c r="D1638" i="17"/>
  <c r="D1639" i="17" l="1"/>
  <c r="E1638" i="17"/>
  <c r="E1639" i="17" l="1"/>
  <c r="D1640" i="17"/>
  <c r="E1640" i="17" l="1"/>
  <c r="D1641" i="17"/>
  <c r="D1642" i="17" l="1"/>
  <c r="E1641" i="17"/>
  <c r="E1642" i="17" l="1"/>
  <c r="D1643" i="17"/>
  <c r="D1644" i="17" l="1"/>
  <c r="E1643" i="17"/>
  <c r="E1644" i="17" l="1"/>
  <c r="D1645" i="17"/>
  <c r="D1646" i="17" l="1"/>
  <c r="E1645" i="17"/>
  <c r="E1646" i="17" l="1"/>
  <c r="D1647" i="17"/>
  <c r="E1647" i="17" l="1"/>
  <c r="D1648" i="17"/>
  <c r="D1649" i="17" l="1"/>
  <c r="E1648" i="17"/>
  <c r="D1650" i="17" l="1"/>
  <c r="E1649" i="17"/>
  <c r="E1650" i="17" l="1"/>
  <c r="D1651" i="17"/>
  <c r="D1652" i="17" l="1"/>
  <c r="E1651" i="17"/>
  <c r="E1652" i="17" l="1"/>
  <c r="D1653" i="17"/>
  <c r="E1653" i="17" l="1"/>
  <c r="D1654" i="17"/>
  <c r="D1655" i="17" l="1"/>
  <c r="E1654" i="17"/>
  <c r="E1655" i="17" l="1"/>
  <c r="D1656" i="17"/>
  <c r="E1656" i="17" l="1"/>
  <c r="D1657" i="17"/>
  <c r="E1657" i="17" l="1"/>
  <c r="D1658" i="17"/>
  <c r="E1658" i="17" l="1"/>
  <c r="D1659" i="17"/>
  <c r="E1659" i="17" l="1"/>
  <c r="D1660" i="17"/>
  <c r="E1660" i="17" l="1"/>
  <c r="D1661" i="17"/>
  <c r="E1661" i="17" l="1"/>
  <c r="D1662" i="17"/>
  <c r="E1662" i="17" l="1"/>
  <c r="D1663" i="17"/>
  <c r="D1664" i="17" l="1"/>
  <c r="E1663" i="17"/>
  <c r="E1664" i="17" l="1"/>
  <c r="D1665" i="17"/>
  <c r="D1666" i="17" l="1"/>
  <c r="E1665" i="17"/>
  <c r="D1667" i="17" l="1"/>
  <c r="E1666" i="17"/>
  <c r="D1668" i="17" l="1"/>
  <c r="E1667" i="17"/>
  <c r="D1669" i="17" l="1"/>
  <c r="E1668" i="17"/>
  <c r="E1669" i="17" l="1"/>
  <c r="D1670" i="17"/>
  <c r="E1670" i="17" l="1"/>
  <c r="D1671" i="17"/>
  <c r="E1671" i="17" l="1"/>
  <c r="D1672" i="17"/>
  <c r="E1672" i="17" l="1"/>
  <c r="D1673" i="17"/>
  <c r="D1674" i="17" l="1"/>
  <c r="E1673" i="17"/>
  <c r="D1675" i="17" l="1"/>
  <c r="E1674" i="17"/>
  <c r="E1675" i="17" l="1"/>
  <c r="D1676" i="17"/>
  <c r="E1676" i="17" l="1"/>
  <c r="D1677" i="17"/>
  <c r="E1677" i="17" l="1"/>
  <c r="D1678" i="17"/>
  <c r="D1679" i="17" l="1"/>
  <c r="E1678" i="17"/>
  <c r="E1679" i="17" l="1"/>
  <c r="D1680" i="17"/>
  <c r="E1680" i="17" l="1"/>
  <c r="D1681" i="17"/>
  <c r="E1681" i="17" l="1"/>
  <c r="D1682" i="17"/>
  <c r="D1683" i="17" l="1"/>
  <c r="E1682" i="17"/>
  <c r="E1683" i="17" l="1"/>
  <c r="D1684" i="17"/>
  <c r="D1685" i="17" l="1"/>
  <c r="E1684" i="17"/>
  <c r="E1685" i="17" l="1"/>
  <c r="D1686" i="17"/>
  <c r="D1687" i="17" l="1"/>
  <c r="E1686" i="17"/>
  <c r="E1687" i="17" l="1"/>
  <c r="D1688" i="17"/>
  <c r="D1689" i="17" l="1"/>
  <c r="E1688" i="17"/>
  <c r="D1690" i="17" l="1"/>
  <c r="E1689" i="17"/>
  <c r="E1690" i="17" l="1"/>
  <c r="D1691" i="17"/>
  <c r="E1691" i="17" l="1"/>
  <c r="D1692" i="17"/>
  <c r="E1692" i="17" l="1"/>
  <c r="D1693" i="17"/>
  <c r="D1694" i="17" l="1"/>
  <c r="E1693" i="17"/>
  <c r="E1694" i="17" l="1"/>
  <c r="D1695" i="17"/>
  <c r="E1695" i="17" l="1"/>
  <c r="D1696" i="17"/>
  <c r="D1697" i="17" l="1"/>
  <c r="E1696" i="17"/>
  <c r="E1697" i="17" l="1"/>
  <c r="D1698" i="17"/>
  <c r="D1699" i="17" l="1"/>
  <c r="E1698" i="17"/>
  <c r="E1699" i="17" l="1"/>
  <c r="D1700" i="17"/>
  <c r="D1701" i="17" l="1"/>
  <c r="E1700" i="17"/>
  <c r="E1701" i="17" l="1"/>
  <c r="D1702" i="17"/>
  <c r="E1702" i="17" l="1"/>
  <c r="D1703" i="17"/>
  <c r="D1704" i="17" l="1"/>
  <c r="E1703" i="17"/>
  <c r="E1704" i="17" l="1"/>
  <c r="D1705" i="17"/>
  <c r="D1706" i="17" l="1"/>
  <c r="E1705" i="17"/>
  <c r="E1706" i="17" l="1"/>
  <c r="D1707" i="17"/>
  <c r="E1707" i="17" l="1"/>
  <c r="D1708" i="17"/>
  <c r="E1708" i="17" l="1"/>
  <c r="D1709" i="17"/>
  <c r="D1710" i="17" l="1"/>
  <c r="E1709" i="17"/>
  <c r="D1711" i="17" l="1"/>
  <c r="E1710" i="17"/>
  <c r="E1711" i="17" l="1"/>
  <c r="D1712" i="17"/>
  <c r="E1712" i="17" l="1"/>
  <c r="D1713" i="17"/>
  <c r="E1713" i="17" l="1"/>
  <c r="D1714" i="17"/>
  <c r="D1715" i="17" l="1"/>
  <c r="E1714" i="17"/>
  <c r="E1715" i="17" l="1"/>
  <c r="D1716" i="17"/>
  <c r="E1716" i="17" l="1"/>
  <c r="D1717" i="17"/>
  <c r="D1718" i="17" l="1"/>
  <c r="E1717" i="17"/>
  <c r="E1718" i="17" l="1"/>
  <c r="D1719" i="17"/>
  <c r="D1720" i="17" l="1"/>
  <c r="E1719" i="17"/>
  <c r="E1720" i="17" l="1"/>
  <c r="D1721" i="17"/>
  <c r="D1722" i="17" l="1"/>
  <c r="E1721" i="17"/>
  <c r="E1722" i="17" l="1"/>
  <c r="D1723" i="17"/>
  <c r="E1723" i="17" l="1"/>
  <c r="D1724" i="17"/>
  <c r="D1725" i="17" l="1"/>
  <c r="E1724" i="17"/>
  <c r="D1726" i="17" l="1"/>
  <c r="E1725" i="17"/>
  <c r="D1727" i="17" l="1"/>
  <c r="E1726" i="17"/>
  <c r="E1727" i="17" l="1"/>
  <c r="D1728" i="17"/>
  <c r="E1728" i="17" l="1"/>
  <c r="D1729" i="17"/>
  <c r="D1730" i="17" l="1"/>
  <c r="E1729" i="17"/>
  <c r="E1730" i="17" l="1"/>
  <c r="D1731" i="17"/>
  <c r="E1731" i="17" l="1"/>
  <c r="D1732" i="17"/>
  <c r="D1733" i="17" l="1"/>
  <c r="E1732" i="17"/>
  <c r="E1733" i="17" l="1"/>
  <c r="D1734" i="17"/>
  <c r="D1735" i="17" l="1"/>
  <c r="E1734" i="17"/>
  <c r="D1736" i="17" l="1"/>
  <c r="E1735" i="17"/>
  <c r="E1736" i="17" l="1"/>
  <c r="D1737" i="17"/>
  <c r="E1737" i="17" l="1"/>
  <c r="D1738" i="17"/>
  <c r="E1738" i="17" l="1"/>
  <c r="D1739" i="17"/>
  <c r="E1739" i="17" l="1"/>
  <c r="D1740" i="17"/>
  <c r="E1740" i="17" l="1"/>
  <c r="D1741" i="17"/>
  <c r="E1741" i="17" l="1"/>
  <c r="D1742" i="17"/>
  <c r="E1742" i="17" l="1"/>
  <c r="D1743" i="17"/>
  <c r="E1743" i="17" l="1"/>
  <c r="D1744" i="17"/>
  <c r="E1744" i="17" l="1"/>
  <c r="D1745" i="17"/>
  <c r="E1745" i="17" l="1"/>
  <c r="D1746" i="17"/>
  <c r="D1747" i="17" l="1"/>
  <c r="E1746" i="17"/>
  <c r="E1747" i="17" l="1"/>
  <c r="D1748" i="17"/>
  <c r="E1748" i="17" l="1"/>
  <c r="D1749" i="17"/>
  <c r="D1750" i="17" l="1"/>
  <c r="E1749" i="17"/>
  <c r="E1750" i="17" l="1"/>
  <c r="D1751" i="17"/>
  <c r="E1751" i="17" l="1"/>
  <c r="D1752" i="17"/>
  <c r="E1752" i="17" l="1"/>
  <c r="D1753" i="17"/>
  <c r="D1754" i="17" l="1"/>
  <c r="E1753" i="17"/>
  <c r="E1754" i="17" l="1"/>
  <c r="D1755" i="17"/>
  <c r="E1755" i="17" l="1"/>
  <c r="D1756" i="17"/>
  <c r="E1756" i="17" l="1"/>
  <c r="D1757" i="17"/>
  <c r="D1758" i="17" l="1"/>
  <c r="E1757" i="17"/>
  <c r="E1758" i="17" l="1"/>
  <c r="D1759" i="17"/>
  <c r="E1759" i="17" l="1"/>
  <c r="D1760" i="17"/>
  <c r="D1761" i="17" l="1"/>
  <c r="E1760" i="17"/>
  <c r="D1762" i="17" l="1"/>
  <c r="E1761" i="17"/>
  <c r="E1762" i="17" l="1"/>
  <c r="D1763" i="17"/>
  <c r="E1763" i="17" l="1"/>
  <c r="D1764" i="17"/>
  <c r="D1765" i="17" l="1"/>
  <c r="E1764" i="17"/>
  <c r="E1765" i="17" l="1"/>
  <c r="D1766" i="17"/>
  <c r="E1766" i="17" l="1"/>
  <c r="D1767" i="17"/>
  <c r="D1768" i="17" l="1"/>
  <c r="E1767" i="17"/>
  <c r="E1768" i="17" l="1"/>
  <c r="D1769" i="17"/>
  <c r="C5116" i="16" l="1"/>
  <c r="B4" i="16"/>
  <c r="B5" i="16"/>
  <c r="B6" i="16"/>
  <c r="B7" i="16"/>
  <c r="B8" i="16"/>
  <c r="B9" i="16"/>
  <c r="B10" i="16"/>
  <c r="B11" i="16"/>
  <c r="B12" i="16"/>
  <c r="B13" i="16"/>
  <c r="B14" i="16"/>
  <c r="B15" i="16"/>
  <c r="B16" i="16"/>
  <c r="B17" i="16"/>
  <c r="B18" i="16"/>
  <c r="B19" i="16"/>
  <c r="B20" i="16"/>
  <c r="B21" i="16"/>
  <c r="B22" i="16"/>
  <c r="B23" i="16"/>
  <c r="B24" i="16"/>
  <c r="B25" i="16"/>
  <c r="B26" i="16"/>
  <c r="B27" i="16"/>
  <c r="B28" i="16"/>
  <c r="B29" i="16"/>
  <c r="B30" i="16"/>
  <c r="B31" i="16"/>
  <c r="B32" i="16"/>
  <c r="B33" i="16"/>
  <c r="B34" i="16"/>
  <c r="B35" i="16"/>
  <c r="B36" i="16"/>
  <c r="B37" i="16"/>
  <c r="B38" i="16"/>
  <c r="B39" i="16"/>
  <c r="B40" i="16"/>
  <c r="B41" i="16"/>
  <c r="B42" i="16"/>
  <c r="B43" i="16"/>
  <c r="B44" i="16"/>
  <c r="B45" i="16"/>
  <c r="B46" i="16"/>
  <c r="B47" i="16"/>
  <c r="B48" i="16"/>
  <c r="B49" i="16"/>
  <c r="B50" i="16"/>
  <c r="B51" i="16"/>
  <c r="B52" i="16"/>
  <c r="B53" i="16"/>
  <c r="B54" i="16"/>
  <c r="B55" i="16"/>
  <c r="B56" i="16"/>
  <c r="B57" i="16"/>
  <c r="B58" i="16"/>
  <c r="B59" i="16"/>
  <c r="B60" i="16"/>
  <c r="B61" i="16"/>
  <c r="B62" i="16"/>
  <c r="B63" i="16"/>
  <c r="B64" i="16"/>
  <c r="B65" i="16"/>
  <c r="B66" i="16"/>
  <c r="B67" i="16"/>
  <c r="B68" i="16"/>
  <c r="B69" i="16"/>
  <c r="B70" i="16"/>
  <c r="B71" i="16"/>
  <c r="B72" i="16"/>
  <c r="B73" i="16"/>
  <c r="B74" i="16"/>
  <c r="B75" i="16"/>
  <c r="B76" i="16"/>
  <c r="B77" i="16"/>
  <c r="B78" i="16"/>
  <c r="B79" i="16"/>
  <c r="B80" i="16"/>
  <c r="B81" i="16"/>
  <c r="B82" i="16"/>
  <c r="B83" i="16"/>
  <c r="B84" i="16"/>
  <c r="B85" i="16"/>
  <c r="B86" i="16"/>
  <c r="B87" i="16"/>
  <c r="B88" i="16"/>
  <c r="B89" i="16"/>
  <c r="B90" i="16"/>
  <c r="B91" i="16"/>
  <c r="B92" i="16"/>
  <c r="B93" i="16"/>
  <c r="B94" i="16"/>
  <c r="B95" i="16"/>
  <c r="B96" i="16"/>
  <c r="B97" i="16"/>
  <c r="B98" i="16"/>
  <c r="B99" i="16"/>
  <c r="B100" i="16"/>
  <c r="B101" i="16"/>
  <c r="B102" i="16"/>
  <c r="B103" i="16"/>
  <c r="B104" i="16"/>
  <c r="B105" i="16"/>
  <c r="B106" i="16"/>
  <c r="B107" i="16"/>
  <c r="B108" i="16"/>
  <c r="B109" i="16"/>
  <c r="B110" i="16"/>
  <c r="B111" i="16"/>
  <c r="B112" i="16"/>
  <c r="B113" i="16"/>
  <c r="B114" i="16"/>
  <c r="B115" i="16"/>
  <c r="B116" i="16"/>
  <c r="B117" i="16"/>
  <c r="B118" i="16"/>
  <c r="B119" i="16"/>
  <c r="B120" i="16"/>
  <c r="B121" i="16"/>
  <c r="B122" i="16"/>
  <c r="B123" i="16"/>
  <c r="B124" i="16"/>
  <c r="B125" i="16"/>
  <c r="B126" i="16"/>
  <c r="B127" i="16"/>
  <c r="B128" i="16"/>
  <c r="B129" i="16"/>
  <c r="B130" i="16"/>
  <c r="B131" i="16"/>
  <c r="B132" i="16"/>
  <c r="B133" i="16"/>
  <c r="B134" i="16"/>
  <c r="B135" i="16"/>
  <c r="B136" i="16"/>
  <c r="B137" i="16"/>
  <c r="B138" i="16"/>
  <c r="B139" i="16"/>
  <c r="B140" i="16"/>
  <c r="B141" i="16"/>
  <c r="B142" i="16"/>
  <c r="B143" i="16"/>
  <c r="B144" i="16"/>
  <c r="B145" i="16"/>
  <c r="B146" i="16"/>
  <c r="B147" i="16"/>
  <c r="B148" i="16"/>
  <c r="B149" i="16"/>
  <c r="B150" i="16"/>
  <c r="B151" i="16"/>
  <c r="B152" i="16"/>
  <c r="B153" i="16"/>
  <c r="B154" i="16"/>
  <c r="B155" i="16"/>
  <c r="B156" i="16"/>
  <c r="B157" i="16"/>
  <c r="B158" i="16"/>
  <c r="B159" i="16"/>
  <c r="B160" i="16"/>
  <c r="B161" i="16"/>
  <c r="B162" i="16"/>
  <c r="B163" i="16"/>
  <c r="B164" i="16"/>
  <c r="B165" i="16"/>
  <c r="B166" i="16"/>
  <c r="B167" i="16"/>
  <c r="B168" i="16"/>
  <c r="B169" i="16"/>
  <c r="B170" i="16"/>
  <c r="B171" i="16"/>
  <c r="B172" i="16"/>
  <c r="B173" i="16"/>
  <c r="B174" i="16"/>
  <c r="B175" i="16"/>
  <c r="B176" i="16"/>
  <c r="B177" i="16"/>
  <c r="B178" i="16"/>
  <c r="B179" i="16"/>
  <c r="B180" i="16"/>
  <c r="B181" i="16"/>
  <c r="B182" i="16"/>
  <c r="B183" i="16"/>
  <c r="B184" i="16"/>
  <c r="B185" i="16"/>
  <c r="B186" i="16"/>
  <c r="B187" i="16"/>
  <c r="B188" i="16"/>
  <c r="B189" i="16"/>
  <c r="B190" i="16"/>
  <c r="B191" i="16"/>
  <c r="B192" i="16"/>
  <c r="B193" i="16"/>
  <c r="B194" i="16"/>
  <c r="B195" i="16"/>
  <c r="B196" i="16"/>
  <c r="B197" i="16"/>
  <c r="B198" i="16"/>
  <c r="B199" i="16"/>
  <c r="B200" i="16"/>
  <c r="B201" i="16"/>
  <c r="B202" i="16"/>
  <c r="B203" i="16"/>
  <c r="B204" i="16"/>
  <c r="B205" i="16"/>
  <c r="B206" i="16"/>
  <c r="B207" i="16"/>
  <c r="B208" i="16"/>
  <c r="B209" i="16"/>
  <c r="B210" i="16"/>
  <c r="B211" i="16"/>
  <c r="B212" i="16"/>
  <c r="B213" i="16"/>
  <c r="B214" i="16"/>
  <c r="B215" i="16"/>
  <c r="B216" i="16"/>
  <c r="B217" i="16"/>
  <c r="B218" i="16"/>
  <c r="B219" i="16"/>
  <c r="B220" i="16"/>
  <c r="B221" i="16"/>
  <c r="B222" i="16"/>
  <c r="B223" i="16"/>
  <c r="B224" i="16"/>
  <c r="B225" i="16"/>
  <c r="B226" i="16"/>
  <c r="B227" i="16"/>
  <c r="B228" i="16"/>
  <c r="B229" i="16"/>
  <c r="B230" i="16"/>
  <c r="B231" i="16"/>
  <c r="B232" i="16"/>
  <c r="B233" i="16"/>
  <c r="B234" i="16"/>
  <c r="B235" i="16"/>
  <c r="B236" i="16"/>
  <c r="B237" i="16"/>
  <c r="B238" i="16"/>
  <c r="B239" i="16"/>
  <c r="B240" i="16"/>
  <c r="B241" i="16"/>
  <c r="B242" i="16"/>
  <c r="B243" i="16"/>
  <c r="B244" i="16"/>
  <c r="B245" i="16"/>
  <c r="B246" i="16"/>
  <c r="B247" i="16"/>
  <c r="B248" i="16"/>
  <c r="B249" i="16"/>
  <c r="B250" i="16"/>
  <c r="B251" i="16"/>
  <c r="B252" i="16"/>
  <c r="B253" i="16"/>
  <c r="B254" i="16"/>
  <c r="B255" i="16"/>
  <c r="B256" i="16"/>
  <c r="B257" i="16"/>
  <c r="B258" i="16"/>
  <c r="B259" i="16"/>
  <c r="B260" i="16"/>
  <c r="B261" i="16"/>
  <c r="B262" i="16"/>
  <c r="B263" i="16"/>
  <c r="B264" i="16"/>
  <c r="B265" i="16"/>
  <c r="B266" i="16"/>
  <c r="B267" i="16"/>
  <c r="B268" i="16"/>
  <c r="B269" i="16"/>
  <c r="B270" i="16"/>
  <c r="B271" i="16"/>
  <c r="B272" i="16"/>
  <c r="B273" i="16"/>
  <c r="B274" i="16"/>
  <c r="B275" i="16"/>
  <c r="B276" i="16"/>
  <c r="B277" i="16"/>
  <c r="B278" i="16"/>
  <c r="B279" i="16"/>
  <c r="B280" i="16"/>
  <c r="B281" i="16"/>
  <c r="B282" i="16"/>
  <c r="B283" i="16"/>
  <c r="B284" i="16"/>
  <c r="B285" i="16"/>
  <c r="B286" i="16"/>
  <c r="B287" i="16"/>
  <c r="B288" i="16"/>
  <c r="B289" i="16"/>
  <c r="B290" i="16"/>
  <c r="B291" i="16"/>
  <c r="B292" i="16"/>
  <c r="B293" i="16"/>
  <c r="B294" i="16"/>
  <c r="B295" i="16"/>
  <c r="B296" i="16"/>
  <c r="B297" i="16"/>
  <c r="B298" i="16"/>
  <c r="B299" i="16"/>
  <c r="B300" i="16"/>
  <c r="B301" i="16"/>
  <c r="B302" i="16"/>
  <c r="B303" i="16"/>
  <c r="B304" i="16"/>
  <c r="B305" i="16"/>
  <c r="B306" i="16"/>
  <c r="B307" i="16"/>
  <c r="B308" i="16"/>
  <c r="B309" i="16"/>
  <c r="B310" i="16"/>
  <c r="B311" i="16"/>
  <c r="B312" i="16"/>
  <c r="B313" i="16"/>
  <c r="B314" i="16"/>
  <c r="B315" i="16"/>
  <c r="B316" i="16"/>
  <c r="B317" i="16"/>
  <c r="B318" i="16"/>
  <c r="B319" i="16"/>
  <c r="B320" i="16"/>
  <c r="B321" i="16"/>
  <c r="B322" i="16"/>
  <c r="B323" i="16"/>
  <c r="B324" i="16"/>
  <c r="B325" i="16"/>
  <c r="B326" i="16"/>
  <c r="B327" i="16"/>
  <c r="B328" i="16"/>
  <c r="B329" i="16"/>
  <c r="B330" i="16"/>
  <c r="B331" i="16"/>
  <c r="B332" i="16"/>
  <c r="B333" i="16"/>
  <c r="B334" i="16"/>
  <c r="B335" i="16"/>
  <c r="B336" i="16"/>
  <c r="B337" i="16"/>
  <c r="B338" i="16"/>
  <c r="B339" i="16"/>
  <c r="B340" i="16"/>
  <c r="B341" i="16"/>
  <c r="B342" i="16"/>
  <c r="B343" i="16"/>
  <c r="B344" i="16"/>
  <c r="B345" i="16"/>
  <c r="B346" i="16"/>
  <c r="B347" i="16"/>
  <c r="B348" i="16"/>
  <c r="B349" i="16"/>
  <c r="B350" i="16"/>
  <c r="B351" i="16"/>
  <c r="B352" i="16"/>
  <c r="B353" i="16"/>
  <c r="B354" i="16"/>
  <c r="B355" i="16"/>
  <c r="B356" i="16"/>
  <c r="B357" i="16"/>
  <c r="B358" i="16"/>
  <c r="B359" i="16"/>
  <c r="B360" i="16"/>
  <c r="B361" i="16"/>
  <c r="B362" i="16"/>
  <c r="B363" i="16"/>
  <c r="B364" i="16"/>
  <c r="B365" i="16"/>
  <c r="B366" i="16"/>
  <c r="B367" i="16"/>
  <c r="B368" i="16"/>
  <c r="B369" i="16"/>
  <c r="B370" i="16"/>
  <c r="B371" i="16"/>
  <c r="B372" i="16"/>
  <c r="B373" i="16"/>
  <c r="B374" i="16"/>
  <c r="B375" i="16"/>
  <c r="B376" i="16"/>
  <c r="B377" i="16"/>
  <c r="B378" i="16"/>
  <c r="B379" i="16"/>
  <c r="B380" i="16"/>
  <c r="B381" i="16"/>
  <c r="B382" i="16"/>
  <c r="B383" i="16"/>
  <c r="B384" i="16"/>
  <c r="B385" i="16"/>
  <c r="B386" i="16"/>
  <c r="B387" i="16"/>
  <c r="B388" i="16"/>
  <c r="B389" i="16"/>
  <c r="B390" i="16"/>
  <c r="B391" i="16"/>
  <c r="B392" i="16"/>
  <c r="B393" i="16"/>
  <c r="B394" i="16"/>
  <c r="B395" i="16"/>
  <c r="B396" i="16"/>
  <c r="B397" i="16"/>
  <c r="B398" i="16"/>
  <c r="B399" i="16"/>
  <c r="B400" i="16"/>
  <c r="B401" i="16"/>
  <c r="B402" i="16"/>
  <c r="B403" i="16"/>
  <c r="B404" i="16"/>
  <c r="B405" i="16"/>
  <c r="B406" i="16"/>
  <c r="B407" i="16"/>
  <c r="B408" i="16"/>
  <c r="B409" i="16"/>
  <c r="B410" i="16"/>
  <c r="B411" i="16"/>
  <c r="B412" i="16"/>
  <c r="B413" i="16"/>
  <c r="B414" i="16"/>
  <c r="B415" i="16"/>
  <c r="B416" i="16"/>
  <c r="B417" i="16"/>
  <c r="B418" i="16"/>
  <c r="B419" i="16"/>
  <c r="B420" i="16"/>
  <c r="B421" i="16"/>
  <c r="B422" i="16"/>
  <c r="B423" i="16"/>
  <c r="B424" i="16"/>
  <c r="B425" i="16"/>
  <c r="B426" i="16"/>
  <c r="B427" i="16"/>
  <c r="B428" i="16"/>
  <c r="B429" i="16"/>
  <c r="B430" i="16"/>
  <c r="B431" i="16"/>
  <c r="B432" i="16"/>
  <c r="B433" i="16"/>
  <c r="B434" i="16"/>
  <c r="B435" i="16"/>
  <c r="B436" i="16"/>
  <c r="B437" i="16"/>
  <c r="B438" i="16"/>
  <c r="B439" i="16"/>
  <c r="B440" i="16"/>
  <c r="B441" i="16"/>
  <c r="B442" i="16"/>
  <c r="B443" i="16"/>
  <c r="B444" i="16"/>
  <c r="B445" i="16"/>
  <c r="B446" i="16"/>
  <c r="B447" i="16"/>
  <c r="B448" i="16"/>
  <c r="B449" i="16"/>
  <c r="B450" i="16"/>
  <c r="B451" i="16"/>
  <c r="B452" i="16"/>
  <c r="B453" i="16"/>
  <c r="B454" i="16"/>
  <c r="B455" i="16"/>
  <c r="B456" i="16"/>
  <c r="B457" i="16"/>
  <c r="B458" i="16"/>
  <c r="B459" i="16"/>
  <c r="B460" i="16"/>
  <c r="B461" i="16"/>
  <c r="B462" i="16"/>
  <c r="B463" i="16"/>
  <c r="B464" i="16"/>
  <c r="B465" i="16"/>
  <c r="B466" i="16"/>
  <c r="B467" i="16"/>
  <c r="B468" i="16"/>
  <c r="B469" i="16"/>
  <c r="B470" i="16"/>
  <c r="B471" i="16"/>
  <c r="B472" i="16"/>
  <c r="B473" i="16"/>
  <c r="B474" i="16"/>
  <c r="B475" i="16"/>
  <c r="B476" i="16"/>
  <c r="B477" i="16"/>
  <c r="B478" i="16"/>
  <c r="B479" i="16"/>
  <c r="B480" i="16"/>
  <c r="B481" i="16"/>
  <c r="B482" i="16"/>
  <c r="B483" i="16"/>
  <c r="B484" i="16"/>
  <c r="B485" i="16"/>
  <c r="B486" i="16"/>
  <c r="B487" i="16"/>
  <c r="B488" i="16"/>
  <c r="B489" i="16"/>
  <c r="B490" i="16"/>
  <c r="B491" i="16"/>
  <c r="B492" i="16"/>
  <c r="B493" i="16"/>
  <c r="B494" i="16"/>
  <c r="B495" i="16"/>
  <c r="B496" i="16"/>
  <c r="B497" i="16"/>
  <c r="B498" i="16"/>
  <c r="B499" i="16"/>
  <c r="B500" i="16"/>
  <c r="B501" i="16"/>
  <c r="B502" i="16"/>
  <c r="B503" i="16"/>
  <c r="B504" i="16"/>
  <c r="B505" i="16"/>
  <c r="B506" i="16"/>
  <c r="B507" i="16"/>
  <c r="B508" i="16"/>
  <c r="B509" i="16"/>
  <c r="B510" i="16"/>
  <c r="B511" i="16"/>
  <c r="B512" i="16"/>
  <c r="B513" i="16"/>
  <c r="B514" i="16"/>
  <c r="B515" i="16"/>
  <c r="B516" i="16"/>
  <c r="B517" i="16"/>
  <c r="B518" i="16"/>
  <c r="B519" i="16"/>
  <c r="B520" i="16"/>
  <c r="B521" i="16"/>
  <c r="B522" i="16"/>
  <c r="B523" i="16"/>
  <c r="B524" i="16"/>
  <c r="B525" i="16"/>
  <c r="B526" i="16"/>
  <c r="B527" i="16"/>
  <c r="B528" i="16"/>
  <c r="B529" i="16"/>
  <c r="B530" i="16"/>
  <c r="B531" i="16"/>
  <c r="B532" i="16"/>
  <c r="B533" i="16"/>
  <c r="B534" i="16"/>
  <c r="B535" i="16"/>
  <c r="B536" i="16"/>
  <c r="B537" i="16"/>
  <c r="B538" i="16"/>
  <c r="B539" i="16"/>
  <c r="B540" i="16"/>
  <c r="B541" i="16"/>
  <c r="B542" i="16"/>
  <c r="B543" i="16"/>
  <c r="B544" i="16"/>
  <c r="B545" i="16"/>
  <c r="B546" i="16"/>
  <c r="B547" i="16"/>
  <c r="B548" i="16"/>
  <c r="B549" i="16"/>
  <c r="B550" i="16"/>
  <c r="B551" i="16"/>
  <c r="B552" i="16"/>
  <c r="B553" i="16"/>
  <c r="B554" i="16"/>
  <c r="B555" i="16"/>
  <c r="B556" i="16"/>
  <c r="B557" i="16"/>
  <c r="B558" i="16"/>
  <c r="B559" i="16"/>
  <c r="B560" i="16"/>
  <c r="B561" i="16"/>
  <c r="B562" i="16"/>
  <c r="B563" i="16"/>
  <c r="B564" i="16"/>
  <c r="B565" i="16"/>
  <c r="B566" i="16"/>
  <c r="B567" i="16"/>
  <c r="B568" i="16"/>
  <c r="B569" i="16"/>
  <c r="B570" i="16"/>
  <c r="B571" i="16"/>
  <c r="B572" i="16"/>
  <c r="B573" i="16"/>
  <c r="B574" i="16"/>
  <c r="B575" i="16"/>
  <c r="B576" i="16"/>
  <c r="B577" i="16"/>
  <c r="B578" i="16"/>
  <c r="B579" i="16"/>
  <c r="B580" i="16"/>
  <c r="B581" i="16"/>
  <c r="B582" i="16"/>
  <c r="B583" i="16"/>
  <c r="B584" i="16"/>
  <c r="B585" i="16"/>
  <c r="B586" i="16"/>
  <c r="B587" i="16"/>
  <c r="B588" i="16"/>
  <c r="B589" i="16"/>
  <c r="B590" i="16"/>
  <c r="B591" i="16"/>
  <c r="B592" i="16"/>
  <c r="B593" i="16"/>
  <c r="B594" i="16"/>
  <c r="B595" i="16"/>
  <c r="B596" i="16"/>
  <c r="B597" i="16"/>
  <c r="B598" i="16"/>
  <c r="B599" i="16"/>
  <c r="B600" i="16"/>
  <c r="B601" i="16"/>
  <c r="B602" i="16"/>
  <c r="B603" i="16"/>
  <c r="B604" i="16"/>
  <c r="B605" i="16"/>
  <c r="B606" i="16"/>
  <c r="B607" i="16"/>
  <c r="B608" i="16"/>
  <c r="B609" i="16"/>
  <c r="B610" i="16"/>
  <c r="B611" i="16"/>
  <c r="B612" i="16"/>
  <c r="B613" i="16"/>
  <c r="B614" i="16"/>
  <c r="B615" i="16"/>
  <c r="B616" i="16"/>
  <c r="B617" i="16"/>
  <c r="B618" i="16"/>
  <c r="B619" i="16"/>
  <c r="B620" i="16"/>
  <c r="B621" i="16"/>
  <c r="B622" i="16"/>
  <c r="B623" i="16"/>
  <c r="B624" i="16"/>
  <c r="B625" i="16"/>
  <c r="B626" i="16"/>
  <c r="B627" i="16"/>
  <c r="B628" i="16"/>
  <c r="B629" i="16"/>
  <c r="B630" i="16"/>
  <c r="B631" i="16"/>
  <c r="B632" i="16"/>
  <c r="B633" i="16"/>
  <c r="B634" i="16"/>
  <c r="B635" i="16"/>
  <c r="B636" i="16"/>
  <c r="B637" i="16"/>
  <c r="B638" i="16"/>
  <c r="B639" i="16"/>
  <c r="B640" i="16"/>
  <c r="B641" i="16"/>
  <c r="B642" i="16"/>
  <c r="B643" i="16"/>
  <c r="B644" i="16"/>
  <c r="B645" i="16"/>
  <c r="B646" i="16"/>
  <c r="B647" i="16"/>
  <c r="B648" i="16"/>
  <c r="B649" i="16"/>
  <c r="B650" i="16"/>
  <c r="B651" i="16"/>
  <c r="B652" i="16"/>
  <c r="B653" i="16"/>
  <c r="B654" i="16"/>
  <c r="B655" i="16"/>
  <c r="B656" i="16"/>
  <c r="B657" i="16"/>
  <c r="B658" i="16"/>
  <c r="B659" i="16"/>
  <c r="B660" i="16"/>
  <c r="B661" i="16"/>
  <c r="B662" i="16"/>
  <c r="B663" i="16"/>
  <c r="B664" i="16"/>
  <c r="B665" i="16"/>
  <c r="B666" i="16"/>
  <c r="B667" i="16"/>
  <c r="B668" i="16"/>
  <c r="B669" i="16"/>
  <c r="B670" i="16"/>
  <c r="B671" i="16"/>
  <c r="B672" i="16"/>
  <c r="B673" i="16"/>
  <c r="B674" i="16"/>
  <c r="B675" i="16"/>
  <c r="B676" i="16"/>
  <c r="B677" i="16"/>
  <c r="B678" i="16"/>
  <c r="B679" i="16"/>
  <c r="B680" i="16"/>
  <c r="B681" i="16"/>
  <c r="B682" i="16"/>
  <c r="B683" i="16"/>
  <c r="B684" i="16"/>
  <c r="B685" i="16"/>
  <c r="B686" i="16"/>
  <c r="B687" i="16"/>
  <c r="B688" i="16"/>
  <c r="B689" i="16"/>
  <c r="B690" i="16"/>
  <c r="B691" i="16"/>
  <c r="B692" i="16"/>
  <c r="B693" i="16"/>
  <c r="B694" i="16"/>
  <c r="B695" i="16"/>
  <c r="B696" i="16"/>
  <c r="B697" i="16"/>
  <c r="B698" i="16"/>
  <c r="B699" i="16"/>
  <c r="B700" i="16"/>
  <c r="B701" i="16"/>
  <c r="B702" i="16"/>
  <c r="B703" i="16"/>
  <c r="B704" i="16"/>
  <c r="B705" i="16"/>
  <c r="B706" i="16"/>
  <c r="B707" i="16"/>
  <c r="B708" i="16"/>
  <c r="B709" i="16"/>
  <c r="B710" i="16"/>
  <c r="B711" i="16"/>
  <c r="B712" i="16"/>
  <c r="B713" i="16"/>
  <c r="B714" i="16"/>
  <c r="B715" i="16"/>
  <c r="B716" i="16"/>
  <c r="B717" i="16"/>
  <c r="B718" i="16"/>
  <c r="B719" i="16"/>
  <c r="B720" i="16"/>
  <c r="B721" i="16"/>
  <c r="B722" i="16"/>
  <c r="B723" i="16"/>
  <c r="B724" i="16"/>
  <c r="B725" i="16"/>
  <c r="B726" i="16"/>
  <c r="B727" i="16"/>
  <c r="B728" i="16"/>
  <c r="B729" i="16"/>
  <c r="B730" i="16"/>
  <c r="B731" i="16"/>
  <c r="B732" i="16"/>
  <c r="B733" i="16"/>
  <c r="B734" i="16"/>
  <c r="B735" i="16"/>
  <c r="B736" i="16"/>
  <c r="B737" i="16"/>
  <c r="B738" i="16"/>
  <c r="B739" i="16"/>
  <c r="B740" i="16"/>
  <c r="B741" i="16"/>
  <c r="B742" i="16"/>
  <c r="B743" i="16"/>
  <c r="B744" i="16"/>
  <c r="B745" i="16"/>
  <c r="B746" i="16"/>
  <c r="B747" i="16"/>
  <c r="B748" i="16"/>
  <c r="B749" i="16"/>
  <c r="B750" i="16"/>
  <c r="B751" i="16"/>
  <c r="B752" i="16"/>
  <c r="B753" i="16"/>
  <c r="B754" i="16"/>
  <c r="B755" i="16"/>
  <c r="B756" i="16"/>
  <c r="B757" i="16"/>
  <c r="B758" i="16"/>
  <c r="B759" i="16"/>
  <c r="B760" i="16"/>
  <c r="B761" i="16"/>
  <c r="B762" i="16"/>
  <c r="B763" i="16"/>
  <c r="B764" i="16"/>
  <c r="B765" i="16"/>
  <c r="B766" i="16"/>
  <c r="B767" i="16"/>
  <c r="B768" i="16"/>
  <c r="B769" i="16"/>
  <c r="B770" i="16"/>
  <c r="B771" i="16"/>
  <c r="B772" i="16"/>
  <c r="B773" i="16"/>
  <c r="B774" i="16"/>
  <c r="B775" i="16"/>
  <c r="B776" i="16"/>
  <c r="B777" i="16"/>
  <c r="B778" i="16"/>
  <c r="B779" i="16"/>
  <c r="B780" i="16"/>
  <c r="B781" i="16"/>
  <c r="B782" i="16"/>
  <c r="B783" i="16"/>
  <c r="B784" i="16"/>
  <c r="B785" i="16"/>
  <c r="B786" i="16"/>
  <c r="B787" i="16"/>
  <c r="B788" i="16"/>
  <c r="B789" i="16"/>
  <c r="B790" i="16"/>
  <c r="B791" i="16"/>
  <c r="B792" i="16"/>
  <c r="B793" i="16"/>
  <c r="B794" i="16"/>
  <c r="B795" i="16"/>
  <c r="B796" i="16"/>
  <c r="B797" i="16"/>
  <c r="B798" i="16"/>
  <c r="B799" i="16"/>
  <c r="B800" i="16"/>
  <c r="B801" i="16"/>
  <c r="B802" i="16"/>
  <c r="B803" i="16"/>
  <c r="B804" i="16"/>
  <c r="B805" i="16"/>
  <c r="B806" i="16"/>
  <c r="B807" i="16"/>
  <c r="B808" i="16"/>
  <c r="B809" i="16"/>
  <c r="B810" i="16"/>
  <c r="B811" i="16"/>
  <c r="B812" i="16"/>
  <c r="B813" i="16"/>
  <c r="B814" i="16"/>
  <c r="B815" i="16"/>
  <c r="B816" i="16"/>
  <c r="B817" i="16"/>
  <c r="B818" i="16"/>
  <c r="B819" i="16"/>
  <c r="B820" i="16"/>
  <c r="B821" i="16"/>
  <c r="B822" i="16"/>
  <c r="B823" i="16"/>
  <c r="B824" i="16"/>
  <c r="B825" i="16"/>
  <c r="B826" i="16"/>
  <c r="B827" i="16"/>
  <c r="B828" i="16"/>
  <c r="B829" i="16"/>
  <c r="B830" i="16"/>
  <c r="B831" i="16"/>
  <c r="B832" i="16"/>
  <c r="B833" i="16"/>
  <c r="B834" i="16"/>
  <c r="B835" i="16"/>
  <c r="B836" i="16"/>
  <c r="B837" i="16"/>
  <c r="B838" i="16"/>
  <c r="B839" i="16"/>
  <c r="B840" i="16"/>
  <c r="B841" i="16"/>
  <c r="B842" i="16"/>
  <c r="B843" i="16"/>
  <c r="B844" i="16"/>
  <c r="B845" i="16"/>
  <c r="B846" i="16"/>
  <c r="B847" i="16"/>
  <c r="B848" i="16"/>
  <c r="B849" i="16"/>
  <c r="B850" i="16"/>
  <c r="B851" i="16"/>
  <c r="B852" i="16"/>
  <c r="B853" i="16"/>
  <c r="B854" i="16"/>
  <c r="B855" i="16"/>
  <c r="B856" i="16"/>
  <c r="B857" i="16"/>
  <c r="B858" i="16"/>
  <c r="B859" i="16"/>
  <c r="B860" i="16"/>
  <c r="B861" i="16"/>
  <c r="B862" i="16"/>
  <c r="B863" i="16"/>
  <c r="B864" i="16"/>
  <c r="B865" i="16"/>
  <c r="B866" i="16"/>
  <c r="B867" i="16"/>
  <c r="B868" i="16"/>
  <c r="B869" i="16"/>
  <c r="B870" i="16"/>
  <c r="B871" i="16"/>
  <c r="B872" i="16"/>
  <c r="B873" i="16"/>
  <c r="B874" i="16"/>
  <c r="B875" i="16"/>
  <c r="B876" i="16"/>
  <c r="B877" i="16"/>
  <c r="B878" i="16"/>
  <c r="B879" i="16"/>
  <c r="B880" i="16"/>
  <c r="B881" i="16"/>
  <c r="B882" i="16"/>
  <c r="B883" i="16"/>
  <c r="B884" i="16"/>
  <c r="B885" i="16"/>
  <c r="B886" i="16"/>
  <c r="B887" i="16"/>
  <c r="B888" i="16"/>
  <c r="B889" i="16"/>
  <c r="B890" i="16"/>
  <c r="B891" i="16"/>
  <c r="B892" i="16"/>
  <c r="B893" i="16"/>
  <c r="B894" i="16"/>
  <c r="B895" i="16"/>
  <c r="B896" i="16"/>
  <c r="B897" i="16"/>
  <c r="B898" i="16"/>
  <c r="B899" i="16"/>
  <c r="B900" i="16"/>
  <c r="B901" i="16"/>
  <c r="B902" i="16"/>
  <c r="B903" i="16"/>
  <c r="B904" i="16"/>
  <c r="B905" i="16"/>
  <c r="B906" i="16"/>
  <c r="B907" i="16"/>
  <c r="B908" i="16"/>
  <c r="B909" i="16"/>
  <c r="B910" i="16"/>
  <c r="B911" i="16"/>
  <c r="B912" i="16"/>
  <c r="B913" i="16"/>
  <c r="B914" i="16"/>
  <c r="B915" i="16"/>
  <c r="B916" i="16"/>
  <c r="B917" i="16"/>
  <c r="B918" i="16"/>
  <c r="B919" i="16"/>
  <c r="B920" i="16"/>
  <c r="B921" i="16"/>
  <c r="B922" i="16"/>
  <c r="B923" i="16"/>
  <c r="B924" i="16"/>
  <c r="B925" i="16"/>
  <c r="B926" i="16"/>
  <c r="B927" i="16"/>
  <c r="B928" i="16"/>
  <c r="B929" i="16"/>
  <c r="B930" i="16"/>
  <c r="B931" i="16"/>
  <c r="B932" i="16"/>
  <c r="B933" i="16"/>
  <c r="B934" i="16"/>
  <c r="B935" i="16"/>
  <c r="B936" i="16"/>
  <c r="B937" i="16"/>
  <c r="B938" i="16"/>
  <c r="B939" i="16"/>
  <c r="B940" i="16"/>
  <c r="B941" i="16"/>
  <c r="B942" i="16"/>
  <c r="B943" i="16"/>
  <c r="B944" i="16"/>
  <c r="B945" i="16"/>
  <c r="B946" i="16"/>
  <c r="B947" i="16"/>
  <c r="B948" i="16"/>
  <c r="B949" i="16"/>
  <c r="B950" i="16"/>
  <c r="B951" i="16"/>
  <c r="B952" i="16"/>
  <c r="B953" i="16"/>
  <c r="B954" i="16"/>
  <c r="B955" i="16"/>
  <c r="B956" i="16"/>
  <c r="B957" i="16"/>
  <c r="B958" i="16"/>
  <c r="B959" i="16"/>
  <c r="B960" i="16"/>
  <c r="B961" i="16"/>
  <c r="B962" i="16"/>
  <c r="B963" i="16"/>
  <c r="B964" i="16"/>
  <c r="B965" i="16"/>
  <c r="B966" i="16"/>
  <c r="B967" i="16"/>
  <c r="B968" i="16"/>
  <c r="B969" i="16"/>
  <c r="B970" i="16"/>
  <c r="B971" i="16"/>
  <c r="B972" i="16"/>
  <c r="B973" i="16"/>
  <c r="B974" i="16"/>
  <c r="B975" i="16"/>
  <c r="B976" i="16"/>
  <c r="B977" i="16"/>
  <c r="B978" i="16"/>
  <c r="B979" i="16"/>
  <c r="B980" i="16"/>
  <c r="B981" i="16"/>
  <c r="B982" i="16"/>
  <c r="B983" i="16"/>
  <c r="B984" i="16"/>
  <c r="B985" i="16"/>
  <c r="B986" i="16"/>
  <c r="B987" i="16"/>
  <c r="B988" i="16"/>
  <c r="B989" i="16"/>
  <c r="B990" i="16"/>
  <c r="B991" i="16"/>
  <c r="B992" i="16"/>
  <c r="B993" i="16"/>
  <c r="B994" i="16"/>
  <c r="B995" i="16"/>
  <c r="B996" i="16"/>
  <c r="B997" i="16"/>
  <c r="B998" i="16"/>
  <c r="B999" i="16"/>
  <c r="B1000" i="16"/>
  <c r="B1001" i="16"/>
  <c r="B1002" i="16"/>
  <c r="B1003" i="16"/>
  <c r="B1004" i="16"/>
  <c r="B1005" i="16"/>
  <c r="B1006" i="16"/>
  <c r="B1007" i="16"/>
  <c r="B1008" i="16"/>
  <c r="B1009" i="16"/>
  <c r="B1010" i="16"/>
  <c r="B1011" i="16"/>
  <c r="B1012" i="16"/>
  <c r="B1013" i="16"/>
  <c r="B1014" i="16"/>
  <c r="B1015" i="16"/>
  <c r="B1016" i="16"/>
  <c r="B1017" i="16"/>
  <c r="B1018" i="16"/>
  <c r="B1019" i="16"/>
  <c r="B1020" i="16"/>
  <c r="B1021" i="16"/>
  <c r="B1022" i="16"/>
  <c r="B1023" i="16"/>
  <c r="B1024" i="16"/>
  <c r="B1025" i="16"/>
  <c r="B1026" i="16"/>
  <c r="B1027" i="16"/>
  <c r="B1028" i="16"/>
  <c r="B1029" i="16"/>
  <c r="B1030" i="16"/>
  <c r="B1031" i="16"/>
  <c r="B1032" i="16"/>
  <c r="B1033" i="16"/>
  <c r="B1034" i="16"/>
  <c r="B1035" i="16"/>
  <c r="B1036" i="16"/>
  <c r="B1037" i="16"/>
  <c r="B1038" i="16"/>
  <c r="B1039" i="16"/>
  <c r="B1040" i="16"/>
  <c r="B1041" i="16"/>
  <c r="B1042" i="16"/>
  <c r="B1043" i="16"/>
  <c r="B1044" i="16"/>
  <c r="B1045" i="16"/>
  <c r="B1046" i="16"/>
  <c r="B1047" i="16"/>
  <c r="B1048" i="16"/>
  <c r="B1049" i="16"/>
  <c r="B1050" i="16"/>
  <c r="B1051" i="16"/>
  <c r="B1052" i="16"/>
  <c r="B1053" i="16"/>
  <c r="B1054" i="16"/>
  <c r="B1055" i="16"/>
  <c r="B1056" i="16"/>
  <c r="B1057" i="16"/>
  <c r="B1058" i="16"/>
  <c r="B1059" i="16"/>
  <c r="B1060" i="16"/>
  <c r="B1061" i="16"/>
  <c r="B1062" i="16"/>
  <c r="B1063" i="16"/>
  <c r="B1064" i="16"/>
  <c r="B1065" i="16"/>
  <c r="B1066" i="16"/>
  <c r="B1067" i="16"/>
  <c r="B1068" i="16"/>
  <c r="B1069" i="16"/>
  <c r="B1070" i="16"/>
  <c r="B1071" i="16"/>
  <c r="B1072" i="16"/>
  <c r="B1073" i="16"/>
  <c r="B1074" i="16"/>
  <c r="B1075" i="16"/>
  <c r="B1076" i="16"/>
  <c r="B1077" i="16"/>
  <c r="B1078" i="16"/>
  <c r="B1079" i="16"/>
  <c r="B1080" i="16"/>
  <c r="B1081" i="16"/>
  <c r="B1082" i="16"/>
  <c r="B1083" i="16"/>
  <c r="B1084" i="16"/>
  <c r="B1085" i="16"/>
  <c r="B1086" i="16"/>
  <c r="B1087" i="16"/>
  <c r="B1088" i="16"/>
  <c r="B1089" i="16"/>
  <c r="B1090" i="16"/>
  <c r="B1091" i="16"/>
  <c r="B1092" i="16"/>
  <c r="B1093" i="16"/>
  <c r="B1094" i="16"/>
  <c r="B1095" i="16"/>
  <c r="B1096" i="16"/>
  <c r="B1097" i="16"/>
  <c r="B1098" i="16"/>
  <c r="B1099" i="16"/>
  <c r="B1100" i="16"/>
  <c r="B1101" i="16"/>
  <c r="B1102" i="16"/>
  <c r="B1103" i="16"/>
  <c r="B1104" i="16"/>
  <c r="B1105" i="16"/>
  <c r="B1106" i="16"/>
  <c r="B1107" i="16"/>
  <c r="B1108" i="16"/>
  <c r="B1109" i="16"/>
  <c r="B1110" i="16"/>
  <c r="B1111" i="16"/>
  <c r="B1112" i="16"/>
  <c r="B1113" i="16"/>
  <c r="B1114" i="16"/>
  <c r="B1115" i="16"/>
  <c r="B1116" i="16"/>
  <c r="B1117" i="16"/>
  <c r="B1118" i="16"/>
  <c r="B1119" i="16"/>
  <c r="B1120" i="16"/>
  <c r="B1121" i="16"/>
  <c r="B1122" i="16"/>
  <c r="B1123" i="16"/>
  <c r="B1124" i="16"/>
  <c r="B1125" i="16"/>
  <c r="B1126" i="16"/>
  <c r="B1127" i="16"/>
  <c r="B1128" i="16"/>
  <c r="B1129" i="16"/>
  <c r="B1130" i="16"/>
  <c r="B1131" i="16"/>
  <c r="B1132" i="16"/>
  <c r="B1133" i="16"/>
  <c r="B1134" i="16"/>
  <c r="B1135" i="16"/>
  <c r="B1136" i="16"/>
  <c r="B1137" i="16"/>
  <c r="B1138" i="16"/>
  <c r="B1139" i="16"/>
  <c r="B1140" i="16"/>
  <c r="B1141" i="16"/>
  <c r="B1142" i="16"/>
  <c r="B1143" i="16"/>
  <c r="B1144" i="16"/>
  <c r="B1145" i="16"/>
  <c r="B1146" i="16"/>
  <c r="B1147" i="16"/>
  <c r="B1148" i="16"/>
  <c r="B1149" i="16"/>
  <c r="B1150" i="16"/>
  <c r="B1151" i="16"/>
  <c r="B1152" i="16"/>
  <c r="B1153" i="16"/>
  <c r="B1154" i="16"/>
  <c r="B1155" i="16"/>
  <c r="B1156" i="16"/>
  <c r="B1157" i="16"/>
  <c r="B1158" i="16"/>
  <c r="B1159" i="16"/>
  <c r="B1160" i="16"/>
  <c r="B1161" i="16"/>
  <c r="B1162" i="16"/>
  <c r="B1163" i="16"/>
  <c r="B1164" i="16"/>
  <c r="B1165" i="16"/>
  <c r="B1166" i="16"/>
  <c r="B1167" i="16"/>
  <c r="B1168" i="16"/>
  <c r="B1169" i="16"/>
  <c r="B1170" i="16"/>
  <c r="B1171" i="16"/>
  <c r="B1172" i="16"/>
  <c r="B1173" i="16"/>
  <c r="B1174" i="16"/>
  <c r="B1175" i="16"/>
  <c r="B1176" i="16"/>
  <c r="B1177" i="16"/>
  <c r="B1178" i="16"/>
  <c r="B1179" i="16"/>
  <c r="B1180" i="16"/>
  <c r="B1181" i="16"/>
  <c r="B1182" i="16"/>
  <c r="B1183" i="16"/>
  <c r="B1184" i="16"/>
  <c r="B1185" i="16"/>
  <c r="B1186" i="16"/>
  <c r="B1187" i="16"/>
  <c r="B1188" i="16"/>
  <c r="B1189" i="16"/>
  <c r="B1190" i="16"/>
  <c r="B1191" i="16"/>
  <c r="B1192" i="16"/>
  <c r="B1193" i="16"/>
  <c r="B1194" i="16"/>
  <c r="B1195" i="16"/>
  <c r="B1196" i="16"/>
  <c r="B1197" i="16"/>
  <c r="B1198" i="16"/>
  <c r="B1199" i="16"/>
  <c r="B1200" i="16"/>
  <c r="B1201" i="16"/>
  <c r="B1202" i="16"/>
  <c r="B1203" i="16"/>
  <c r="B1204" i="16"/>
  <c r="B1205" i="16"/>
  <c r="B1206" i="16"/>
  <c r="B1207" i="16"/>
  <c r="B1208" i="16"/>
  <c r="B1209" i="16"/>
  <c r="B1210" i="16"/>
  <c r="B1211" i="16"/>
  <c r="B1212" i="16"/>
  <c r="B1213" i="16"/>
  <c r="B1214" i="16"/>
  <c r="B1215" i="16"/>
  <c r="B1216" i="16"/>
  <c r="B1217" i="16"/>
  <c r="B1218" i="16"/>
  <c r="B1219" i="16"/>
  <c r="B1220" i="16"/>
  <c r="B1221" i="16"/>
  <c r="B1222" i="16"/>
  <c r="B1223" i="16"/>
  <c r="B1224" i="16"/>
  <c r="B1225" i="16"/>
  <c r="B1226" i="16"/>
  <c r="B1227" i="16"/>
  <c r="B1228" i="16"/>
  <c r="B1229" i="16"/>
  <c r="B1230" i="16"/>
  <c r="B1231" i="16"/>
  <c r="B1232" i="16"/>
  <c r="B1233" i="16"/>
  <c r="B1234" i="16"/>
  <c r="B1235" i="16"/>
  <c r="B1236" i="16"/>
  <c r="B1237" i="16"/>
  <c r="B1238" i="16"/>
  <c r="B1239" i="16"/>
  <c r="B1240" i="16"/>
  <c r="B1241" i="16"/>
  <c r="B1242" i="16"/>
  <c r="B1243" i="16"/>
  <c r="B1244" i="16"/>
  <c r="B1245" i="16"/>
  <c r="B1246" i="16"/>
  <c r="B1247" i="16"/>
  <c r="B1248" i="16"/>
  <c r="B1249" i="16"/>
  <c r="B1250" i="16"/>
  <c r="B1251" i="16"/>
  <c r="B1252" i="16"/>
  <c r="B1253" i="16"/>
  <c r="B1254" i="16"/>
  <c r="B1255" i="16"/>
  <c r="B1256" i="16"/>
  <c r="B1257" i="16"/>
  <c r="B1258" i="16"/>
  <c r="B1259" i="16"/>
  <c r="B1260" i="16"/>
  <c r="B1261" i="16"/>
  <c r="B1262" i="16"/>
  <c r="B1263" i="16"/>
  <c r="B1264" i="16"/>
  <c r="B1265" i="16"/>
  <c r="B1266" i="16"/>
  <c r="B1267" i="16"/>
  <c r="B1268" i="16"/>
  <c r="B1269" i="16"/>
  <c r="B1270" i="16"/>
  <c r="B1271" i="16"/>
  <c r="B1272" i="16"/>
  <c r="B1273" i="16"/>
  <c r="B1274" i="16"/>
  <c r="B1275" i="16"/>
  <c r="B1276" i="16"/>
  <c r="B1277" i="16"/>
  <c r="B1278" i="16"/>
  <c r="B1279" i="16"/>
  <c r="B1280" i="16"/>
  <c r="B1281" i="16"/>
  <c r="B1282" i="16"/>
  <c r="B1283" i="16"/>
  <c r="B1284" i="16"/>
  <c r="B1285" i="16"/>
  <c r="B1286" i="16"/>
  <c r="B1287" i="16"/>
  <c r="B1288" i="16"/>
  <c r="B1289" i="16"/>
  <c r="B1290" i="16"/>
  <c r="B1291" i="16"/>
  <c r="B1292" i="16"/>
  <c r="B1293" i="16"/>
  <c r="B1294" i="16"/>
  <c r="B1295" i="16"/>
  <c r="B1296" i="16"/>
  <c r="B1297" i="16"/>
  <c r="B1298" i="16"/>
  <c r="B1299" i="16"/>
  <c r="B1300" i="16"/>
  <c r="B1301" i="16"/>
  <c r="B1302" i="16"/>
  <c r="B1303" i="16"/>
  <c r="B1304" i="16"/>
  <c r="B1305" i="16"/>
  <c r="B1306" i="16"/>
  <c r="B1307" i="16"/>
  <c r="B1308" i="16"/>
  <c r="B1309" i="16"/>
  <c r="B1310" i="16"/>
  <c r="B1311" i="16"/>
  <c r="B1312" i="16"/>
  <c r="B1313" i="16"/>
  <c r="B1314" i="16"/>
  <c r="B1315" i="16"/>
  <c r="B1316" i="16"/>
  <c r="B1317" i="16"/>
  <c r="B1318" i="16"/>
  <c r="B1319" i="16"/>
  <c r="B1320" i="16"/>
  <c r="B1321" i="16"/>
  <c r="B1322" i="16"/>
  <c r="B1323" i="16"/>
  <c r="B1324" i="16"/>
  <c r="B1325" i="16"/>
  <c r="B1326" i="16"/>
  <c r="B1327" i="16"/>
  <c r="B1328" i="16"/>
  <c r="B1329" i="16"/>
  <c r="B1330" i="16"/>
  <c r="B1331" i="16"/>
  <c r="B1332" i="16"/>
  <c r="B1333" i="16"/>
  <c r="B1334" i="16"/>
  <c r="B1335" i="16"/>
  <c r="B1336" i="16"/>
  <c r="B1337" i="16"/>
  <c r="B1338" i="16"/>
  <c r="B1339" i="16"/>
  <c r="B1340" i="16"/>
  <c r="B1341" i="16"/>
  <c r="B1342" i="16"/>
  <c r="B1343" i="16"/>
  <c r="B1344" i="16"/>
  <c r="B1345" i="16"/>
  <c r="B1346" i="16"/>
  <c r="B1347" i="16"/>
  <c r="B1348" i="16"/>
  <c r="B1349" i="16"/>
  <c r="B1350" i="16"/>
  <c r="B1351" i="16"/>
  <c r="B1352" i="16"/>
  <c r="B1353" i="16"/>
  <c r="B1354" i="16"/>
  <c r="B1355" i="16"/>
  <c r="B1356" i="16"/>
  <c r="B1357" i="16"/>
  <c r="B1358" i="16"/>
  <c r="B1359" i="16"/>
  <c r="B1360" i="16"/>
  <c r="B1361" i="16"/>
  <c r="B1362" i="16"/>
  <c r="B1363" i="16"/>
  <c r="B1364" i="16"/>
  <c r="B1365" i="16"/>
  <c r="B1366" i="16"/>
  <c r="B1367" i="16"/>
  <c r="B1368" i="16"/>
  <c r="B1369" i="16"/>
  <c r="B1370" i="16"/>
  <c r="B1371" i="16"/>
  <c r="B1372" i="16"/>
  <c r="B1373" i="16"/>
  <c r="B1374" i="16"/>
  <c r="B1375" i="16"/>
  <c r="B1376" i="16"/>
  <c r="B1377" i="16"/>
  <c r="B1378" i="16"/>
  <c r="B1379" i="16"/>
  <c r="B1380" i="16"/>
  <c r="B1381" i="16"/>
  <c r="B1382" i="16"/>
  <c r="B1383" i="16"/>
  <c r="B1384" i="16"/>
  <c r="B1385" i="16"/>
  <c r="B1386" i="16"/>
  <c r="B1387" i="16"/>
  <c r="B1388" i="16"/>
  <c r="B1389" i="16"/>
  <c r="B1390" i="16"/>
  <c r="B1391" i="16"/>
  <c r="B1392" i="16"/>
  <c r="B1393" i="16"/>
  <c r="B1394" i="16"/>
  <c r="B1395" i="16"/>
  <c r="B1396" i="16"/>
  <c r="B1397" i="16"/>
  <c r="B1398" i="16"/>
  <c r="B1399" i="16"/>
  <c r="B1400" i="16"/>
  <c r="B1401" i="16"/>
  <c r="B1402" i="16"/>
  <c r="B1403" i="16"/>
  <c r="B1404" i="16"/>
  <c r="B1405" i="16"/>
  <c r="B1406" i="16"/>
  <c r="B1407" i="16"/>
  <c r="B1408" i="16"/>
  <c r="B1409" i="16"/>
  <c r="B1410" i="16"/>
  <c r="B1411" i="16"/>
  <c r="B1412" i="16"/>
  <c r="B1413" i="16"/>
  <c r="B1414" i="16"/>
  <c r="B1415" i="16"/>
  <c r="B1416" i="16"/>
  <c r="B1417" i="16"/>
  <c r="B1418" i="16"/>
  <c r="B1419" i="16"/>
  <c r="B1420" i="16"/>
  <c r="B1421" i="16"/>
  <c r="B1422" i="16"/>
  <c r="B1423" i="16"/>
  <c r="B1424" i="16"/>
  <c r="B1425" i="16"/>
  <c r="B1426" i="16"/>
  <c r="B1427" i="16"/>
  <c r="B1428" i="16"/>
  <c r="B1429" i="16"/>
  <c r="B1430" i="16"/>
  <c r="B1431" i="16"/>
  <c r="B1432" i="16"/>
  <c r="B1433" i="16"/>
  <c r="B1434" i="16"/>
  <c r="B1435" i="16"/>
  <c r="B1436" i="16"/>
  <c r="B1437" i="16"/>
  <c r="B1438" i="16"/>
  <c r="B1439" i="16"/>
  <c r="B1440" i="16"/>
  <c r="B1441" i="16"/>
  <c r="B1442" i="16"/>
  <c r="B1443" i="16"/>
  <c r="B1444" i="16"/>
  <c r="B1445" i="16"/>
  <c r="B1446" i="16"/>
  <c r="B1447" i="16"/>
  <c r="B1448" i="16"/>
  <c r="B1449" i="16"/>
  <c r="B1450" i="16"/>
  <c r="B1451" i="16"/>
  <c r="B1452" i="16"/>
  <c r="B1453" i="16"/>
  <c r="B1454" i="16"/>
  <c r="B1455" i="16"/>
  <c r="B1456" i="16"/>
  <c r="B1457" i="16"/>
  <c r="B1458" i="16"/>
  <c r="B1459" i="16"/>
  <c r="B1460" i="16"/>
  <c r="B1461" i="16"/>
  <c r="B1462" i="16"/>
  <c r="B1463" i="16"/>
  <c r="B1464" i="16"/>
  <c r="B1465" i="16"/>
  <c r="B1466" i="16"/>
  <c r="B1467" i="16"/>
  <c r="B1468" i="16"/>
  <c r="B1469" i="16"/>
  <c r="B1470" i="16"/>
  <c r="B1471" i="16"/>
  <c r="B1472" i="16"/>
  <c r="B1473" i="16"/>
  <c r="B1474" i="16"/>
  <c r="B1475" i="16"/>
  <c r="B1476" i="16"/>
  <c r="B1477" i="16"/>
  <c r="B1478" i="16"/>
  <c r="B1479" i="16"/>
  <c r="B1480" i="16"/>
  <c r="B1481" i="16"/>
  <c r="B1482" i="16"/>
  <c r="B1483" i="16"/>
  <c r="B1484" i="16"/>
  <c r="B1485" i="16"/>
  <c r="B1486" i="16"/>
  <c r="B1487" i="16"/>
  <c r="B1488" i="16"/>
  <c r="B1489" i="16"/>
  <c r="B1490" i="16"/>
  <c r="B1491" i="16"/>
  <c r="B1492" i="16"/>
  <c r="B1493" i="16"/>
  <c r="B1494" i="16"/>
  <c r="B1495" i="16"/>
  <c r="B1496" i="16"/>
  <c r="B1497" i="16"/>
  <c r="B1498" i="16"/>
  <c r="B1499" i="16"/>
  <c r="B1500" i="16"/>
  <c r="B1501" i="16"/>
  <c r="B1502" i="16"/>
  <c r="B1503" i="16"/>
  <c r="B1504" i="16"/>
  <c r="B1505" i="16"/>
  <c r="B1506" i="16"/>
  <c r="B1507" i="16"/>
  <c r="B1508" i="16"/>
  <c r="B1509" i="16"/>
  <c r="B1510" i="16"/>
  <c r="B1511" i="16"/>
  <c r="B1512" i="16"/>
  <c r="B1513" i="16"/>
  <c r="B1514" i="16"/>
  <c r="B1515" i="16"/>
  <c r="B1516" i="16"/>
  <c r="B1517" i="16"/>
  <c r="B1518" i="16"/>
  <c r="B1519" i="16"/>
  <c r="B1520" i="16"/>
  <c r="B1521" i="16"/>
  <c r="B1522" i="16"/>
  <c r="B1523" i="16"/>
  <c r="B1524" i="16"/>
  <c r="B1525" i="16"/>
  <c r="B1526" i="16"/>
  <c r="B1527" i="16"/>
  <c r="B1528" i="16"/>
  <c r="B1529" i="16"/>
  <c r="B1530" i="16"/>
  <c r="B1531" i="16"/>
  <c r="B1532" i="16"/>
  <c r="B1533" i="16"/>
  <c r="B1534" i="16"/>
  <c r="B1535" i="16"/>
  <c r="B1536" i="16"/>
  <c r="B1537" i="16"/>
  <c r="B1538" i="16"/>
  <c r="B1539" i="16"/>
  <c r="B1540" i="16"/>
  <c r="B1541" i="16"/>
  <c r="B1542" i="16"/>
  <c r="B1543" i="16"/>
  <c r="B1544" i="16"/>
  <c r="B1545" i="16"/>
  <c r="B1546" i="16"/>
  <c r="B1547" i="16"/>
  <c r="B1548" i="16"/>
  <c r="B1549" i="16"/>
  <c r="B1550" i="16"/>
  <c r="B1551" i="16"/>
  <c r="B1552" i="16"/>
  <c r="B1553" i="16"/>
  <c r="B1554" i="16"/>
  <c r="B1555" i="16"/>
  <c r="B1556" i="16"/>
  <c r="B1557" i="16"/>
  <c r="B1558" i="16"/>
  <c r="B1559" i="16"/>
  <c r="B1560" i="16"/>
  <c r="B1561" i="16"/>
  <c r="B1562" i="16"/>
  <c r="B1563" i="16"/>
  <c r="B1564" i="16"/>
  <c r="B1565" i="16"/>
  <c r="B1566" i="16"/>
  <c r="B1567" i="16"/>
  <c r="B1568" i="16"/>
  <c r="B1569" i="16"/>
  <c r="B1570" i="16"/>
  <c r="B1571" i="16"/>
  <c r="B1572" i="16"/>
  <c r="B1573" i="16"/>
  <c r="B1574" i="16"/>
  <c r="B1575" i="16"/>
  <c r="B1576" i="16"/>
  <c r="B1577" i="16"/>
  <c r="B1578" i="16"/>
  <c r="B1579" i="16"/>
  <c r="B1580" i="16"/>
  <c r="B1581" i="16"/>
  <c r="B1582" i="16"/>
  <c r="B1583" i="16"/>
  <c r="B1584" i="16"/>
  <c r="B1585" i="16"/>
  <c r="B1586" i="16"/>
  <c r="B1587" i="16"/>
  <c r="B1588" i="16"/>
  <c r="B1589" i="16"/>
  <c r="B1590" i="16"/>
  <c r="B1591" i="16"/>
  <c r="B1592" i="16"/>
  <c r="B1593" i="16"/>
  <c r="B1594" i="16"/>
  <c r="B1595" i="16"/>
  <c r="B1596" i="16"/>
  <c r="B1597" i="16"/>
  <c r="B1598" i="16"/>
  <c r="B1599" i="16"/>
  <c r="B1600" i="16"/>
  <c r="B1601" i="16"/>
  <c r="B1602" i="16"/>
  <c r="B1603" i="16"/>
  <c r="B1604" i="16"/>
  <c r="B1605" i="16"/>
  <c r="B1606" i="16"/>
  <c r="B1607" i="16"/>
  <c r="B1608" i="16"/>
  <c r="B1609" i="16"/>
  <c r="B1610" i="16"/>
  <c r="B1611" i="16"/>
  <c r="B1612" i="16"/>
  <c r="B1613" i="16"/>
  <c r="B1614" i="16"/>
  <c r="B1615" i="16"/>
  <c r="B1616" i="16"/>
  <c r="B1617" i="16"/>
  <c r="B1618" i="16"/>
  <c r="B1619" i="16"/>
  <c r="B1620" i="16"/>
  <c r="B1621" i="16"/>
  <c r="B1622" i="16"/>
  <c r="B1623" i="16"/>
  <c r="B1624" i="16"/>
  <c r="B1625" i="16"/>
  <c r="B1626" i="16"/>
  <c r="B1627" i="16"/>
  <c r="B1628" i="16"/>
  <c r="B1629" i="16"/>
  <c r="B1630" i="16"/>
  <c r="B1631" i="16"/>
  <c r="B1632" i="16"/>
  <c r="B1633" i="16"/>
  <c r="B1634" i="16"/>
  <c r="B1635" i="16"/>
  <c r="B1636" i="16"/>
  <c r="B1637" i="16"/>
  <c r="B1638" i="16"/>
  <c r="B1639" i="16"/>
  <c r="B1640" i="16"/>
  <c r="B1641" i="16"/>
  <c r="B1642" i="16"/>
  <c r="B1643" i="16"/>
  <c r="B1644" i="16"/>
  <c r="B1645" i="16"/>
  <c r="B1646" i="16"/>
  <c r="B1647" i="16"/>
  <c r="B1648" i="16"/>
  <c r="B1649" i="16"/>
  <c r="B1650" i="16"/>
  <c r="B1651" i="16"/>
  <c r="B1652" i="16"/>
  <c r="B1653" i="16"/>
  <c r="B1654" i="16"/>
  <c r="B1655" i="16"/>
  <c r="B1656" i="16"/>
  <c r="B1657" i="16"/>
  <c r="B1658" i="16"/>
  <c r="B1659" i="16"/>
  <c r="B1660" i="16"/>
  <c r="B1661" i="16"/>
  <c r="B1662" i="16"/>
  <c r="B1663" i="16"/>
  <c r="B1664" i="16"/>
  <c r="B1665" i="16"/>
  <c r="B1666" i="16"/>
  <c r="B1667" i="16"/>
  <c r="B1668" i="16"/>
  <c r="B1669" i="16"/>
  <c r="B1670" i="16"/>
  <c r="B1671" i="16"/>
  <c r="B1672" i="16"/>
  <c r="B1673" i="16"/>
  <c r="B1674" i="16"/>
  <c r="B1675" i="16"/>
  <c r="B1676" i="16"/>
  <c r="B1677" i="16"/>
  <c r="B1678" i="16"/>
  <c r="B1679" i="16"/>
  <c r="B1680" i="16"/>
  <c r="B1681" i="16"/>
  <c r="B1682" i="16"/>
  <c r="B1683" i="16"/>
  <c r="B1684" i="16"/>
  <c r="B1685" i="16"/>
  <c r="B1686" i="16"/>
  <c r="B1687" i="16"/>
  <c r="B1688" i="16"/>
  <c r="B1689" i="16"/>
  <c r="B1690" i="16"/>
  <c r="B1691" i="16"/>
  <c r="B1692" i="16"/>
  <c r="B1693" i="16"/>
  <c r="B1694" i="16"/>
  <c r="B1695" i="16"/>
  <c r="B1696" i="16"/>
  <c r="B1697" i="16"/>
  <c r="B1698" i="16"/>
  <c r="B1699" i="16"/>
  <c r="B1700" i="16"/>
  <c r="B1701" i="16"/>
  <c r="B1702" i="16"/>
  <c r="B1703" i="16"/>
  <c r="B1704" i="16"/>
  <c r="B1705" i="16"/>
  <c r="B1706" i="16"/>
  <c r="B1707" i="16"/>
  <c r="B1708" i="16"/>
  <c r="B1709" i="16"/>
  <c r="B1710" i="16"/>
  <c r="B1711" i="16"/>
  <c r="B1712" i="16"/>
  <c r="B1713" i="16"/>
  <c r="B1714" i="16"/>
  <c r="B1715" i="16"/>
  <c r="B1716" i="16"/>
  <c r="B1717" i="16"/>
  <c r="B1718" i="16"/>
  <c r="B1719" i="16"/>
  <c r="B1720" i="16"/>
  <c r="B1721" i="16"/>
  <c r="B1722" i="16"/>
  <c r="B1723" i="16"/>
  <c r="B1724" i="16"/>
  <c r="B1725" i="16"/>
  <c r="B1726" i="16"/>
  <c r="B1727" i="16"/>
  <c r="B1728" i="16"/>
  <c r="B1729" i="16"/>
  <c r="B1730" i="16"/>
  <c r="B1731" i="16"/>
  <c r="B1732" i="16"/>
  <c r="B1733" i="16"/>
  <c r="B1734" i="16"/>
  <c r="B1735" i="16"/>
  <c r="B1736" i="16"/>
  <c r="B1737" i="16"/>
  <c r="B1738" i="16"/>
  <c r="B1739" i="16"/>
  <c r="B1740" i="16"/>
  <c r="B1741" i="16"/>
  <c r="B1742" i="16"/>
  <c r="B1743" i="16"/>
  <c r="B1744" i="16"/>
  <c r="B1745" i="16"/>
  <c r="B1746" i="16"/>
  <c r="B1747" i="16"/>
  <c r="B1748" i="16"/>
  <c r="B1749" i="16"/>
  <c r="B1750" i="16"/>
  <c r="B1751" i="16"/>
  <c r="B1752" i="16"/>
  <c r="B1753" i="16"/>
  <c r="B1754" i="16"/>
  <c r="B1755" i="16"/>
  <c r="B1756" i="16"/>
  <c r="B1757" i="16"/>
  <c r="B1758" i="16"/>
  <c r="B1759" i="16"/>
  <c r="B1760" i="16"/>
  <c r="B1761" i="16"/>
  <c r="B1762" i="16"/>
  <c r="B1763" i="16"/>
  <c r="B1764" i="16"/>
  <c r="B1765" i="16"/>
  <c r="B1766" i="16"/>
  <c r="B1767" i="16"/>
  <c r="B1768" i="16"/>
  <c r="B1769" i="16"/>
  <c r="B1770" i="16"/>
  <c r="B1771" i="16"/>
  <c r="B1772" i="16"/>
  <c r="B1773" i="16"/>
  <c r="B1774" i="16"/>
  <c r="B1775" i="16"/>
  <c r="B1776" i="16"/>
  <c r="B1777" i="16"/>
  <c r="B1778" i="16"/>
  <c r="B1779" i="16"/>
  <c r="B1780" i="16"/>
  <c r="B1781" i="16"/>
  <c r="B1782" i="16"/>
  <c r="B1783" i="16"/>
  <c r="B1784" i="16"/>
  <c r="B1785" i="16"/>
  <c r="B1786" i="16"/>
  <c r="B1787" i="16"/>
  <c r="B1788" i="16"/>
  <c r="B1789" i="16"/>
  <c r="B1790" i="16"/>
  <c r="B1791" i="16"/>
  <c r="B1792" i="16"/>
  <c r="B1793" i="16"/>
  <c r="B1794" i="16"/>
  <c r="B1795" i="16"/>
  <c r="B1796" i="16"/>
  <c r="B1797" i="16"/>
  <c r="B1798" i="16"/>
  <c r="B1799" i="16"/>
  <c r="B1800" i="16"/>
  <c r="B1801" i="16"/>
  <c r="B1802" i="16"/>
  <c r="B1803" i="16"/>
  <c r="B1804" i="16"/>
  <c r="B1805" i="16"/>
  <c r="B1806" i="16"/>
  <c r="B1807" i="16"/>
  <c r="B1808" i="16"/>
  <c r="B1809" i="16"/>
  <c r="B1810" i="16"/>
  <c r="B1811" i="16"/>
  <c r="B1812" i="16"/>
  <c r="B1813" i="16"/>
  <c r="B1814" i="16"/>
  <c r="B1815" i="16"/>
  <c r="B1816" i="16"/>
  <c r="B1817" i="16"/>
  <c r="B1818" i="16"/>
  <c r="B1819" i="16"/>
  <c r="B1820" i="16"/>
  <c r="B1821" i="16"/>
  <c r="B1822" i="16"/>
  <c r="B1823" i="16"/>
  <c r="B1824" i="16"/>
  <c r="B1825" i="16"/>
  <c r="B1826" i="16"/>
  <c r="B1827" i="16"/>
  <c r="B1828" i="16"/>
  <c r="B1829" i="16"/>
  <c r="B1830" i="16"/>
  <c r="B1831" i="16"/>
  <c r="B1832" i="16"/>
  <c r="B1833" i="16"/>
  <c r="B1834" i="16"/>
  <c r="B1835" i="16"/>
  <c r="B1836" i="16"/>
  <c r="B1837" i="16"/>
  <c r="B1838" i="16"/>
  <c r="B1839" i="16"/>
  <c r="B1840" i="16"/>
  <c r="B1841" i="16"/>
  <c r="B1842" i="16"/>
  <c r="B1843" i="16"/>
  <c r="B1844" i="16"/>
  <c r="B1845" i="16"/>
  <c r="B1846" i="16"/>
  <c r="B1847" i="16"/>
  <c r="B1848" i="16"/>
  <c r="B1849" i="16"/>
  <c r="B1850" i="16"/>
  <c r="B1851" i="16"/>
  <c r="B1852" i="16"/>
  <c r="B1853" i="16"/>
  <c r="B1854" i="16"/>
  <c r="B1855" i="16"/>
  <c r="B1856" i="16"/>
  <c r="B1857" i="16"/>
  <c r="B1858" i="16"/>
  <c r="B1859" i="16"/>
  <c r="B1860" i="16"/>
  <c r="B1861" i="16"/>
  <c r="B1862" i="16"/>
  <c r="B1863" i="16"/>
  <c r="B1864" i="16"/>
  <c r="B1865" i="16"/>
  <c r="B1866" i="16"/>
  <c r="B1867" i="16"/>
  <c r="B1868" i="16"/>
  <c r="B1869" i="16"/>
  <c r="B1870" i="16"/>
  <c r="B1871" i="16"/>
  <c r="B1872" i="16"/>
  <c r="B1873" i="16"/>
  <c r="B1874" i="16"/>
  <c r="B1875" i="16"/>
  <c r="B1876" i="16"/>
  <c r="B1877" i="16"/>
  <c r="B1878" i="16"/>
  <c r="B1879" i="16"/>
  <c r="B1880" i="16"/>
  <c r="B1881" i="16"/>
  <c r="B1882" i="16"/>
  <c r="B1883" i="16"/>
  <c r="B1884" i="16"/>
  <c r="B1885" i="16"/>
  <c r="B1886" i="16"/>
  <c r="B1887" i="16"/>
  <c r="B1888" i="16"/>
  <c r="B1889" i="16"/>
  <c r="B1890" i="16"/>
  <c r="B1891" i="16"/>
  <c r="B1892" i="16"/>
  <c r="B1893" i="16"/>
  <c r="B1894" i="16"/>
  <c r="B1895" i="16"/>
  <c r="B1896" i="16"/>
  <c r="B1897" i="16"/>
  <c r="B1898" i="16"/>
  <c r="B1899" i="16"/>
  <c r="B1900" i="16"/>
  <c r="B1901" i="16"/>
  <c r="B1902" i="16"/>
  <c r="B1903" i="16"/>
  <c r="B1904" i="16"/>
  <c r="B1905" i="16"/>
  <c r="B1906" i="16"/>
  <c r="B1907" i="16"/>
  <c r="B1908" i="16"/>
  <c r="B1909" i="16"/>
  <c r="B1910" i="16"/>
  <c r="B1911" i="16"/>
  <c r="B1912" i="16"/>
  <c r="B1913" i="16"/>
  <c r="B1914" i="16"/>
  <c r="B1915" i="16"/>
  <c r="B1916" i="16"/>
  <c r="B1917" i="16"/>
  <c r="B1918" i="16"/>
  <c r="B1919" i="16"/>
  <c r="B1920" i="16"/>
  <c r="B1921" i="16"/>
  <c r="B1922" i="16"/>
  <c r="B1923" i="16"/>
  <c r="B1924" i="16"/>
  <c r="B1925" i="16"/>
  <c r="B1926" i="16"/>
  <c r="B1927" i="16"/>
  <c r="B1928" i="16"/>
  <c r="B1929" i="16"/>
  <c r="B1930" i="16"/>
  <c r="B1931" i="16"/>
  <c r="B1932" i="16"/>
  <c r="B1933" i="16"/>
  <c r="B1934" i="16"/>
  <c r="B1935" i="16"/>
  <c r="B1936" i="16"/>
  <c r="B1937" i="16"/>
  <c r="B1938" i="16"/>
  <c r="B1939" i="16"/>
  <c r="B1940" i="16"/>
  <c r="B1941" i="16"/>
  <c r="B1942" i="16"/>
  <c r="B1943" i="16"/>
  <c r="B1944" i="16"/>
  <c r="B1945" i="16"/>
  <c r="B1946" i="16"/>
  <c r="B1947" i="16"/>
  <c r="B1948" i="16"/>
  <c r="B1949" i="16"/>
  <c r="B1950" i="16"/>
  <c r="B1951" i="16"/>
  <c r="B1952" i="16"/>
  <c r="B1953" i="16"/>
  <c r="B1954" i="16"/>
  <c r="B1955" i="16"/>
  <c r="B1956" i="16"/>
  <c r="B1957" i="16"/>
  <c r="B1958" i="16"/>
  <c r="B1959" i="16"/>
  <c r="B1960" i="16"/>
  <c r="B1961" i="16"/>
  <c r="B1962" i="16"/>
  <c r="B1963" i="16"/>
  <c r="B1964" i="16"/>
  <c r="B1965" i="16"/>
  <c r="B1966" i="16"/>
  <c r="B1967" i="16"/>
  <c r="B1968" i="16"/>
  <c r="B1969" i="16"/>
  <c r="B1970" i="16"/>
  <c r="B1971" i="16"/>
  <c r="B1972" i="16"/>
  <c r="B1973" i="16"/>
  <c r="B1974" i="16"/>
  <c r="B1975" i="16"/>
  <c r="B1976" i="16"/>
  <c r="B1977" i="16"/>
  <c r="B1978" i="16"/>
  <c r="B1979" i="16"/>
  <c r="B1980" i="16"/>
  <c r="B1981" i="16"/>
  <c r="B1982" i="16"/>
  <c r="B1983" i="16"/>
  <c r="B1984" i="16"/>
  <c r="B1985" i="16"/>
  <c r="B1986" i="16"/>
  <c r="B1987" i="16"/>
  <c r="B1988" i="16"/>
  <c r="B1989" i="16"/>
  <c r="B1990" i="16"/>
  <c r="B1991" i="16"/>
  <c r="B1992" i="16"/>
  <c r="B1993" i="16"/>
  <c r="B1994" i="16"/>
  <c r="B1995" i="16"/>
  <c r="B1996" i="16"/>
  <c r="B1997" i="16"/>
  <c r="B1998" i="16"/>
  <c r="B1999" i="16"/>
  <c r="B2000" i="16"/>
  <c r="B2001" i="16"/>
  <c r="B2002" i="16"/>
  <c r="B2003" i="16"/>
  <c r="B2004" i="16"/>
  <c r="B2005" i="16"/>
  <c r="B2006" i="16"/>
  <c r="B2007" i="16"/>
  <c r="B2008" i="16"/>
  <c r="B2009" i="16"/>
  <c r="B2010" i="16"/>
  <c r="B2011" i="16"/>
  <c r="B2012" i="16"/>
  <c r="B2013" i="16"/>
  <c r="B2014" i="16"/>
  <c r="B2015" i="16"/>
  <c r="B2016" i="16"/>
  <c r="B2017" i="16"/>
  <c r="B2018" i="16"/>
  <c r="B2019" i="16"/>
  <c r="B2020" i="16"/>
  <c r="B2021" i="16"/>
  <c r="B2022" i="16"/>
  <c r="B2023" i="16"/>
  <c r="B2024" i="16"/>
  <c r="B2025" i="16"/>
  <c r="B2026" i="16"/>
  <c r="B2027" i="16"/>
  <c r="B2028" i="16"/>
  <c r="B2029" i="16"/>
  <c r="B2030" i="16"/>
  <c r="B2031" i="16"/>
  <c r="B2032" i="16"/>
  <c r="B2033" i="16"/>
  <c r="B2034" i="16"/>
  <c r="B2035" i="16"/>
  <c r="B2036" i="16"/>
  <c r="B2037" i="16"/>
  <c r="B2038" i="16"/>
  <c r="B2039" i="16"/>
  <c r="B2040" i="16"/>
  <c r="B2041" i="16"/>
  <c r="B2042" i="16"/>
  <c r="B2043" i="16"/>
  <c r="B2044" i="16"/>
  <c r="B2045" i="16"/>
  <c r="B2046" i="16"/>
  <c r="B2047" i="16"/>
  <c r="B2048" i="16"/>
  <c r="B2049" i="16"/>
  <c r="B2050" i="16"/>
  <c r="B2051" i="16"/>
  <c r="B2052" i="16"/>
  <c r="B2053" i="16"/>
  <c r="B2054" i="16"/>
  <c r="B2055" i="16"/>
  <c r="B2056" i="16"/>
  <c r="B2057" i="16"/>
  <c r="B2058" i="16"/>
  <c r="B2059" i="16"/>
  <c r="B2060" i="16"/>
  <c r="B2061" i="16"/>
  <c r="B2062" i="16"/>
  <c r="B2063" i="16"/>
  <c r="B2064" i="16"/>
  <c r="B2065" i="16"/>
  <c r="B2066" i="16"/>
  <c r="B2067" i="16"/>
  <c r="B2068" i="16"/>
  <c r="B2069" i="16"/>
  <c r="B2070" i="16"/>
  <c r="B2071" i="16"/>
  <c r="B2072" i="16"/>
  <c r="B2073" i="16"/>
  <c r="B2074" i="16"/>
  <c r="B2075" i="16"/>
  <c r="B2076" i="16"/>
  <c r="B2077" i="16"/>
  <c r="B2078" i="16"/>
  <c r="B2079" i="16"/>
  <c r="B2080" i="16"/>
  <c r="B2081" i="16"/>
  <c r="B2082" i="16"/>
  <c r="B2083" i="16"/>
  <c r="B2084" i="16"/>
  <c r="B2085" i="16"/>
  <c r="B2086" i="16"/>
  <c r="B2087" i="16"/>
  <c r="B2088" i="16"/>
  <c r="B2089" i="16"/>
  <c r="B2090" i="16"/>
  <c r="B2091" i="16"/>
  <c r="B2092" i="16"/>
  <c r="B2093" i="16"/>
  <c r="B2094" i="16"/>
  <c r="B2095" i="16"/>
  <c r="B2096" i="16"/>
  <c r="B2097" i="16"/>
  <c r="B2098" i="16"/>
  <c r="B2099" i="16"/>
  <c r="B2100" i="16"/>
  <c r="B2101" i="16"/>
  <c r="B2102" i="16"/>
  <c r="B2103" i="16"/>
  <c r="B2104" i="16"/>
  <c r="B2105" i="16"/>
  <c r="B2106" i="16"/>
  <c r="B2107" i="16"/>
  <c r="B2108" i="16"/>
  <c r="B2109" i="16"/>
  <c r="B2110" i="16"/>
  <c r="B2111" i="16"/>
  <c r="B2112" i="16"/>
  <c r="B2113" i="16"/>
  <c r="B2114" i="16"/>
  <c r="B2115" i="16"/>
  <c r="B2116" i="16"/>
  <c r="B2117" i="16"/>
  <c r="B2118" i="16"/>
  <c r="B2119" i="16"/>
  <c r="B2120" i="16"/>
  <c r="B2121" i="16"/>
  <c r="B2122" i="16"/>
  <c r="B2123" i="16"/>
  <c r="B2124" i="16"/>
  <c r="B2125" i="16"/>
  <c r="B2126" i="16"/>
  <c r="B2127" i="16"/>
  <c r="B2128" i="16"/>
  <c r="B2129" i="16"/>
  <c r="B2130" i="16"/>
  <c r="B2131" i="16"/>
  <c r="B2132" i="16"/>
  <c r="B2133" i="16"/>
  <c r="B2134" i="16"/>
  <c r="B2135" i="16"/>
  <c r="B2136" i="16"/>
  <c r="B2137" i="16"/>
  <c r="B2138" i="16"/>
  <c r="B2139" i="16"/>
  <c r="B2140" i="16"/>
  <c r="B2141" i="16"/>
  <c r="B2142" i="16"/>
  <c r="B2143" i="16"/>
  <c r="B2144" i="16"/>
  <c r="B2145" i="16"/>
  <c r="B2146" i="16"/>
  <c r="B2147" i="16"/>
  <c r="B2148" i="16"/>
  <c r="B2149" i="16"/>
  <c r="B2150" i="16"/>
  <c r="B2151" i="16"/>
  <c r="B2152" i="16"/>
  <c r="B2153" i="16"/>
  <c r="B2154" i="16"/>
  <c r="B2155" i="16"/>
  <c r="B2156" i="16"/>
  <c r="B2157" i="16"/>
  <c r="B2158" i="16"/>
  <c r="B2159" i="16"/>
  <c r="B2160" i="16"/>
  <c r="B2161" i="16"/>
  <c r="B2162" i="16"/>
  <c r="B2163" i="16"/>
  <c r="B2164" i="16"/>
  <c r="B2165" i="16"/>
  <c r="B2166" i="16"/>
  <c r="B2167" i="16"/>
  <c r="B2168" i="16"/>
  <c r="B2169" i="16"/>
  <c r="B2170" i="16"/>
  <c r="B2171" i="16"/>
  <c r="B2172" i="16"/>
  <c r="B2173" i="16"/>
  <c r="B2174" i="16"/>
  <c r="B2175" i="16"/>
  <c r="B2176" i="16"/>
  <c r="B2177" i="16"/>
  <c r="B2178" i="16"/>
  <c r="B2179" i="16"/>
  <c r="B2180" i="16"/>
  <c r="B2181" i="16"/>
  <c r="B2182" i="16"/>
  <c r="B2183" i="16"/>
  <c r="B2184" i="16"/>
  <c r="B2185" i="16"/>
  <c r="B2186" i="16"/>
  <c r="B2187" i="16"/>
  <c r="B2188" i="16"/>
  <c r="B2189" i="16"/>
  <c r="B2190" i="16"/>
  <c r="B2191" i="16"/>
  <c r="B2192" i="16"/>
  <c r="B2193" i="16"/>
  <c r="B2194" i="16"/>
  <c r="B2195" i="16"/>
  <c r="B2196" i="16"/>
  <c r="B2197" i="16"/>
  <c r="B2198" i="16"/>
  <c r="B2199" i="16"/>
  <c r="B2200" i="16"/>
  <c r="B2201" i="16"/>
  <c r="B2202" i="16"/>
  <c r="B2203" i="16"/>
  <c r="B2204" i="16"/>
  <c r="B2205" i="16"/>
  <c r="B2206" i="16"/>
  <c r="B2207" i="16"/>
  <c r="B2208" i="16"/>
  <c r="B2209" i="16"/>
  <c r="B2210" i="16"/>
  <c r="B2211" i="16"/>
  <c r="B2212" i="16"/>
  <c r="B2213" i="16"/>
  <c r="B2214" i="16"/>
  <c r="B2215" i="16"/>
  <c r="B2216" i="16"/>
  <c r="B2217" i="16"/>
  <c r="B2218" i="16"/>
  <c r="B2219" i="16"/>
  <c r="B2220" i="16"/>
  <c r="B2221" i="16"/>
  <c r="B2222" i="16"/>
  <c r="B2223" i="16"/>
  <c r="B2224" i="16"/>
  <c r="B2225" i="16"/>
  <c r="B2226" i="16"/>
  <c r="B2227" i="16"/>
  <c r="B2228" i="16"/>
  <c r="B2229" i="16"/>
  <c r="B2230" i="16"/>
  <c r="B2231" i="16"/>
  <c r="B2232" i="16"/>
  <c r="B2233" i="16"/>
  <c r="B2234" i="16"/>
  <c r="B2235" i="16"/>
  <c r="B2236" i="16"/>
  <c r="B2237" i="16"/>
  <c r="B2238" i="16"/>
  <c r="B2239" i="16"/>
  <c r="B2240" i="16"/>
  <c r="B2241" i="16"/>
  <c r="B2242" i="16"/>
  <c r="B2243" i="16"/>
  <c r="B2244" i="16"/>
  <c r="B2245" i="16"/>
  <c r="B2246" i="16"/>
  <c r="B2247" i="16"/>
  <c r="B2248" i="16"/>
  <c r="B2249" i="16"/>
  <c r="B2250" i="16"/>
  <c r="B2251" i="16"/>
  <c r="B2252" i="16"/>
  <c r="B2253" i="16"/>
  <c r="B2254" i="16"/>
  <c r="B2255" i="16"/>
  <c r="B2256" i="16"/>
  <c r="B2257" i="16"/>
  <c r="B2258" i="16"/>
  <c r="B2259" i="16"/>
  <c r="B2260" i="16"/>
  <c r="B2261" i="16"/>
  <c r="B2262" i="16"/>
  <c r="B2263" i="16"/>
  <c r="B2264" i="16"/>
  <c r="B2265" i="16"/>
  <c r="B2266" i="16"/>
  <c r="B2267" i="16"/>
  <c r="B2268" i="16"/>
  <c r="B2269" i="16"/>
  <c r="B2270" i="16"/>
  <c r="B2271" i="16"/>
  <c r="B2272" i="16"/>
  <c r="B2273" i="16"/>
  <c r="B2274" i="16"/>
  <c r="B2275" i="16"/>
  <c r="B2276" i="16"/>
  <c r="B2277" i="16"/>
  <c r="B2278" i="16"/>
  <c r="B2279" i="16"/>
  <c r="B2280" i="16"/>
  <c r="B2281" i="16"/>
  <c r="B2282" i="16"/>
  <c r="B2283" i="16"/>
  <c r="B2284" i="16"/>
  <c r="B2285" i="16"/>
  <c r="B2286" i="16"/>
  <c r="B2287" i="16"/>
  <c r="B2288" i="16"/>
  <c r="B2289" i="16"/>
  <c r="B2290" i="16"/>
  <c r="B2291" i="16"/>
  <c r="B2292" i="16"/>
  <c r="B2293" i="16"/>
  <c r="B2294" i="16"/>
  <c r="B2295" i="16"/>
  <c r="B2296" i="16"/>
  <c r="B2297" i="16"/>
  <c r="B2298" i="16"/>
  <c r="B2299" i="16"/>
  <c r="B2300" i="16"/>
  <c r="B2301" i="16"/>
  <c r="B2302" i="16"/>
  <c r="B2303" i="16"/>
  <c r="B2304" i="16"/>
  <c r="B2305" i="16"/>
  <c r="B2306" i="16"/>
  <c r="B2307" i="16"/>
  <c r="B2308" i="16"/>
  <c r="B2309" i="16"/>
  <c r="B2310" i="16"/>
  <c r="B2311" i="16"/>
  <c r="B2312" i="16"/>
  <c r="B2313" i="16"/>
  <c r="B2314" i="16"/>
  <c r="B2315" i="16"/>
  <c r="B2316" i="16"/>
  <c r="B2317" i="16"/>
  <c r="B2318" i="16"/>
  <c r="B2319" i="16"/>
  <c r="B2320" i="16"/>
  <c r="B2321" i="16"/>
  <c r="B2322" i="16"/>
  <c r="B2323" i="16"/>
  <c r="B2324" i="16"/>
  <c r="B2325" i="16"/>
  <c r="B2326" i="16"/>
  <c r="B2327" i="16"/>
  <c r="B2328" i="16"/>
  <c r="B2329" i="16"/>
  <c r="B2330" i="16"/>
  <c r="B2331" i="16"/>
  <c r="B2332" i="16"/>
  <c r="B2333" i="16"/>
  <c r="B2334" i="16"/>
  <c r="B2335" i="16"/>
  <c r="B2336" i="16"/>
  <c r="B2337" i="16"/>
  <c r="B2338" i="16"/>
  <c r="B2339" i="16"/>
  <c r="B2340" i="16"/>
  <c r="B2341" i="16"/>
  <c r="B2342" i="16"/>
  <c r="B2343" i="16"/>
  <c r="B2344" i="16"/>
  <c r="B2345" i="16"/>
  <c r="B2346" i="16"/>
  <c r="B2347" i="16"/>
  <c r="B2348" i="16"/>
  <c r="B2349" i="16"/>
  <c r="B2350" i="16"/>
  <c r="B2351" i="16"/>
  <c r="B2352" i="16"/>
  <c r="B2353" i="16"/>
  <c r="B2354" i="16"/>
  <c r="B2355" i="16"/>
  <c r="B2356" i="16"/>
  <c r="B2357" i="16"/>
  <c r="B2358" i="16"/>
  <c r="B2359" i="16"/>
  <c r="B2360" i="16"/>
  <c r="B2361" i="16"/>
  <c r="B2362" i="16"/>
  <c r="B2363" i="16"/>
  <c r="B2364" i="16"/>
  <c r="B2365" i="16"/>
  <c r="B2366" i="16"/>
  <c r="B2367" i="16"/>
  <c r="B2368" i="16"/>
  <c r="B2369" i="16"/>
  <c r="B2370" i="16"/>
  <c r="B2371" i="16"/>
  <c r="B2372" i="16"/>
  <c r="B2373" i="16"/>
  <c r="B2374" i="16"/>
  <c r="B2375" i="16"/>
  <c r="B2376" i="16"/>
  <c r="B2377" i="16"/>
  <c r="B2378" i="16"/>
  <c r="B2379" i="16"/>
  <c r="B2380" i="16"/>
  <c r="B2381" i="16"/>
  <c r="B2382" i="16"/>
  <c r="B2383" i="16"/>
  <c r="B2384" i="16"/>
  <c r="B2385" i="16"/>
  <c r="B2386" i="16"/>
  <c r="B2387" i="16"/>
  <c r="B2388" i="16"/>
  <c r="B2389" i="16"/>
  <c r="B2390" i="16"/>
  <c r="B2391" i="16"/>
  <c r="B2392" i="16"/>
  <c r="B2393" i="16"/>
  <c r="B2394" i="16"/>
  <c r="B2395" i="16"/>
  <c r="B2396" i="16"/>
  <c r="B2397" i="16"/>
  <c r="B2398" i="16"/>
  <c r="B2399" i="16"/>
  <c r="B2400" i="16"/>
  <c r="B2401" i="16"/>
  <c r="B2402" i="16"/>
  <c r="B2403" i="16"/>
  <c r="B2404" i="16"/>
  <c r="B2405" i="16"/>
  <c r="B2406" i="16"/>
  <c r="B2407" i="16"/>
  <c r="B2408" i="16"/>
  <c r="B2409" i="16"/>
  <c r="B2410" i="16"/>
  <c r="B2411" i="16"/>
  <c r="B2412" i="16"/>
  <c r="B2413" i="16"/>
  <c r="B2414" i="16"/>
  <c r="B2415" i="16"/>
  <c r="B2416" i="16"/>
  <c r="B2417" i="16"/>
  <c r="B2418" i="16"/>
  <c r="B2419" i="16"/>
  <c r="B2420" i="16"/>
  <c r="B2421" i="16"/>
  <c r="B2422" i="16"/>
  <c r="B2423" i="16"/>
  <c r="B2424" i="16"/>
  <c r="B2425" i="16"/>
  <c r="B2426" i="16"/>
  <c r="B2427" i="16"/>
  <c r="B2428" i="16"/>
  <c r="B2429" i="16"/>
  <c r="B2430" i="16"/>
  <c r="B2431" i="16"/>
  <c r="B2432" i="16"/>
  <c r="B2433" i="16"/>
  <c r="B2434" i="16"/>
  <c r="B2435" i="16"/>
  <c r="B2436" i="16"/>
  <c r="B2437" i="16"/>
  <c r="B2438" i="16"/>
  <c r="B2439" i="16"/>
  <c r="B2440" i="16"/>
  <c r="B2441" i="16"/>
  <c r="B2442" i="16"/>
  <c r="B2443" i="16"/>
  <c r="B2444" i="16"/>
  <c r="B2445" i="16"/>
  <c r="B2446" i="16"/>
  <c r="B2447" i="16"/>
  <c r="B2448" i="16"/>
  <c r="B2449" i="16"/>
  <c r="B2450" i="16"/>
  <c r="B2451" i="16"/>
  <c r="B2452" i="16"/>
  <c r="B2453" i="16"/>
  <c r="B2454" i="16"/>
  <c r="B2455" i="16"/>
  <c r="B2456" i="16"/>
  <c r="B2457" i="16"/>
  <c r="B2458" i="16"/>
  <c r="B2459" i="16"/>
  <c r="B2460" i="16"/>
  <c r="B2461" i="16"/>
  <c r="B2462" i="16"/>
  <c r="B2463" i="16"/>
  <c r="B2464" i="16"/>
  <c r="B2465" i="16"/>
  <c r="B2466" i="16"/>
  <c r="B2467" i="16"/>
  <c r="B2468" i="16"/>
  <c r="B2469" i="16"/>
  <c r="B2470" i="16"/>
  <c r="B2471" i="16"/>
  <c r="B2472" i="16"/>
  <c r="B2473" i="16"/>
  <c r="B2474" i="16"/>
  <c r="B2475" i="16"/>
  <c r="B2476" i="16"/>
  <c r="B2477" i="16"/>
  <c r="B2478" i="16"/>
  <c r="B2479" i="16"/>
  <c r="B2480" i="16"/>
  <c r="B2481" i="16"/>
  <c r="B2482" i="16"/>
  <c r="B2483" i="16"/>
  <c r="B2484" i="16"/>
  <c r="B2485" i="16"/>
  <c r="B2486" i="16"/>
  <c r="B2487" i="16"/>
  <c r="B2488" i="16"/>
  <c r="B2489" i="16"/>
  <c r="B2490" i="16"/>
  <c r="B2491" i="16"/>
  <c r="B2492" i="16"/>
  <c r="B2493" i="16"/>
  <c r="B2494" i="16"/>
  <c r="B2495" i="16"/>
  <c r="B2496" i="16"/>
  <c r="B2497" i="16"/>
  <c r="B2498" i="16"/>
  <c r="B2499" i="16"/>
  <c r="B2500" i="16"/>
  <c r="B2501" i="16"/>
  <c r="B2502" i="16"/>
  <c r="B2503" i="16"/>
  <c r="B2504" i="16"/>
  <c r="B2505" i="16"/>
  <c r="B2506" i="16"/>
  <c r="B2507" i="16"/>
  <c r="B2508" i="16"/>
  <c r="B2509" i="16"/>
  <c r="B2510" i="16"/>
  <c r="B2511" i="16"/>
  <c r="B2512" i="16"/>
  <c r="B2513" i="16"/>
  <c r="B2514" i="16"/>
  <c r="B2515" i="16"/>
  <c r="B2516" i="16"/>
  <c r="B2517" i="16"/>
  <c r="B2518" i="16"/>
  <c r="B2519" i="16"/>
  <c r="B2520" i="16"/>
  <c r="B2521" i="16"/>
  <c r="B2522" i="16"/>
  <c r="B2523" i="16"/>
  <c r="B2524" i="16"/>
  <c r="B2525" i="16"/>
  <c r="B2526" i="16"/>
  <c r="B2527" i="16"/>
  <c r="B2528" i="16"/>
  <c r="B2529" i="16"/>
  <c r="B2530" i="16"/>
  <c r="B2531" i="16"/>
  <c r="B2532" i="16"/>
  <c r="B2533" i="16"/>
  <c r="B2534" i="16"/>
  <c r="B2535" i="16"/>
  <c r="B2536" i="16"/>
  <c r="B2537" i="16"/>
  <c r="B2538" i="16"/>
  <c r="B2539" i="16"/>
  <c r="B2540" i="16"/>
  <c r="B2541" i="16"/>
  <c r="B2542" i="16"/>
  <c r="B2543" i="16"/>
  <c r="B2544" i="16"/>
  <c r="B2545" i="16"/>
  <c r="B2546" i="16"/>
  <c r="B2547" i="16"/>
  <c r="B2548" i="16"/>
  <c r="B2549" i="16"/>
  <c r="B2550" i="16"/>
  <c r="B2551" i="16"/>
  <c r="B2552" i="16"/>
  <c r="B2553" i="16"/>
  <c r="B2554" i="16"/>
  <c r="B2555" i="16"/>
  <c r="B2556" i="16"/>
  <c r="B2557" i="16"/>
  <c r="B2558" i="16"/>
  <c r="B2559" i="16"/>
  <c r="B2560" i="16"/>
  <c r="B2561" i="16"/>
  <c r="B2562" i="16"/>
  <c r="B2563" i="16"/>
  <c r="B2564" i="16"/>
  <c r="B2565" i="16"/>
  <c r="B2566" i="16"/>
  <c r="B2567" i="16"/>
  <c r="B2568" i="16"/>
  <c r="B2569" i="16"/>
  <c r="B2570" i="16"/>
  <c r="B2571" i="16"/>
  <c r="B2572" i="16"/>
  <c r="B2573" i="16"/>
  <c r="B2574" i="16"/>
  <c r="B2575" i="16"/>
  <c r="B2576" i="16"/>
  <c r="B2577" i="16"/>
  <c r="B2578" i="16"/>
  <c r="B2579" i="16"/>
  <c r="B2580" i="16"/>
  <c r="B2581" i="16"/>
  <c r="B2582" i="16"/>
  <c r="B2583" i="16"/>
  <c r="B2584" i="16"/>
  <c r="B2585" i="16"/>
  <c r="B2586" i="16"/>
  <c r="B2587" i="16"/>
  <c r="B2588" i="16"/>
  <c r="B2589" i="16"/>
  <c r="B2590" i="16"/>
  <c r="B2591" i="16"/>
  <c r="B2592" i="16"/>
  <c r="B2593" i="16"/>
  <c r="B2594" i="16"/>
  <c r="B2595" i="16"/>
  <c r="B2596" i="16"/>
  <c r="B2597" i="16"/>
  <c r="B2598" i="16"/>
  <c r="B2599" i="16"/>
  <c r="B2600" i="16"/>
  <c r="B2601" i="16"/>
  <c r="B2602" i="16"/>
  <c r="B2603" i="16"/>
  <c r="B2604" i="16"/>
  <c r="B2605" i="16"/>
  <c r="B2606" i="16"/>
  <c r="B2607" i="16"/>
  <c r="B2608" i="16"/>
  <c r="B2609" i="16"/>
  <c r="B2610" i="16"/>
  <c r="B2611" i="16"/>
  <c r="B2612" i="16"/>
  <c r="B2613" i="16"/>
  <c r="B2614" i="16"/>
  <c r="B2615" i="16"/>
  <c r="B2616" i="16"/>
  <c r="B2617" i="16"/>
  <c r="B2618" i="16"/>
  <c r="B2619" i="16"/>
  <c r="B2620" i="16"/>
  <c r="B2621" i="16"/>
  <c r="B2622" i="16"/>
  <c r="B2623" i="16"/>
  <c r="B2624" i="16"/>
  <c r="B2625" i="16"/>
  <c r="B2626" i="16"/>
  <c r="B2627" i="16"/>
  <c r="B2628" i="16"/>
  <c r="B2629" i="16"/>
  <c r="B2630" i="16"/>
  <c r="B2631" i="16"/>
  <c r="B2632" i="16"/>
  <c r="B2633" i="16"/>
  <c r="B2634" i="16"/>
  <c r="B2635" i="16"/>
  <c r="B2636" i="16"/>
  <c r="B2637" i="16"/>
  <c r="B2638" i="16"/>
  <c r="B2639" i="16"/>
  <c r="B2640" i="16"/>
  <c r="B2641" i="16"/>
  <c r="B2642" i="16"/>
  <c r="B2643" i="16"/>
  <c r="B2644" i="16"/>
  <c r="B2645" i="16"/>
  <c r="B2646" i="16"/>
  <c r="B2647" i="16"/>
  <c r="B2648" i="16"/>
  <c r="B2649" i="16"/>
  <c r="B2650" i="16"/>
  <c r="B2651" i="16"/>
  <c r="B2652" i="16"/>
  <c r="B2653" i="16"/>
  <c r="B2654" i="16"/>
  <c r="B2655" i="16"/>
  <c r="B2656" i="16"/>
  <c r="B2657" i="16"/>
  <c r="B2658" i="16"/>
  <c r="B2659" i="16"/>
  <c r="B2660" i="16"/>
  <c r="B2661" i="16"/>
  <c r="B2662" i="16"/>
  <c r="B2663" i="16"/>
  <c r="B2664" i="16"/>
  <c r="B2665" i="16"/>
  <c r="B2666" i="16"/>
  <c r="B2667" i="16"/>
  <c r="B2668" i="16"/>
  <c r="B2669" i="16"/>
  <c r="B2670" i="16"/>
  <c r="B2671" i="16"/>
  <c r="B2672" i="16"/>
  <c r="B2673" i="16"/>
  <c r="B2674" i="16"/>
  <c r="B2675" i="16"/>
  <c r="B2676" i="16"/>
  <c r="B2677" i="16"/>
  <c r="B2678" i="16"/>
  <c r="B2679" i="16"/>
  <c r="B2680" i="16"/>
  <c r="B2681" i="16"/>
  <c r="B2682" i="16"/>
  <c r="B2683" i="16"/>
  <c r="B2684" i="16"/>
  <c r="B2685" i="16"/>
  <c r="B2686" i="16"/>
  <c r="B2687" i="16"/>
  <c r="B2688" i="16"/>
  <c r="B2689" i="16"/>
  <c r="B2690" i="16"/>
  <c r="B2691" i="16"/>
  <c r="B2692" i="16"/>
  <c r="B2693" i="16"/>
  <c r="B2694" i="16"/>
  <c r="B2695" i="16"/>
  <c r="B2696" i="16"/>
  <c r="B2697" i="16"/>
  <c r="B2698" i="16"/>
  <c r="B2699" i="16"/>
  <c r="B2700" i="16"/>
  <c r="B2701" i="16"/>
  <c r="B2702" i="16"/>
  <c r="B2703" i="16"/>
  <c r="B2704" i="16"/>
  <c r="B2705" i="16"/>
  <c r="B2706" i="16"/>
  <c r="B2707" i="16"/>
  <c r="B2708" i="16"/>
  <c r="B2709" i="16"/>
  <c r="B2710" i="16"/>
  <c r="B2711" i="16"/>
  <c r="B2712" i="16"/>
  <c r="B2713" i="16"/>
  <c r="B2714" i="16"/>
  <c r="B2715" i="16"/>
  <c r="B2716" i="16"/>
  <c r="B2717" i="16"/>
  <c r="B2718" i="16"/>
  <c r="B2719" i="16"/>
  <c r="B2720" i="16"/>
  <c r="B2721" i="16"/>
  <c r="B2722" i="16"/>
  <c r="B2723" i="16"/>
  <c r="B2724" i="16"/>
  <c r="B2725" i="16"/>
  <c r="B2726" i="16"/>
  <c r="B2727" i="16"/>
  <c r="B2728" i="16"/>
  <c r="B2729" i="16"/>
  <c r="B2730" i="16"/>
  <c r="B2731" i="16"/>
  <c r="B2732" i="16"/>
  <c r="B2733" i="16"/>
  <c r="B2734" i="16"/>
  <c r="B2735" i="16"/>
  <c r="B2736" i="16"/>
  <c r="B2737" i="16"/>
  <c r="B2738" i="16"/>
  <c r="B2739" i="16"/>
  <c r="B2740" i="16"/>
  <c r="B2741" i="16"/>
  <c r="B2742" i="16"/>
  <c r="B2743" i="16"/>
  <c r="B2744" i="16"/>
  <c r="B2745" i="16"/>
  <c r="B2746" i="16"/>
  <c r="B2747" i="16"/>
  <c r="B2748" i="16"/>
  <c r="B2749" i="16"/>
  <c r="B2750" i="16"/>
  <c r="B2751" i="16"/>
  <c r="B2752" i="16"/>
  <c r="B2753" i="16"/>
  <c r="B2754" i="16"/>
  <c r="B2755" i="16"/>
  <c r="B2756" i="16"/>
  <c r="B2757" i="16"/>
  <c r="B2758" i="16"/>
  <c r="B2759" i="16"/>
  <c r="B2760" i="16"/>
  <c r="B2761" i="16"/>
  <c r="B2762" i="16"/>
  <c r="B2763" i="16"/>
  <c r="B2764" i="16"/>
  <c r="B2765" i="16"/>
  <c r="B2766" i="16"/>
  <c r="B2767" i="16"/>
  <c r="B2768" i="16"/>
  <c r="B2769" i="16"/>
  <c r="B2770" i="16"/>
  <c r="B2771" i="16"/>
  <c r="B2772" i="16"/>
  <c r="B2773" i="16"/>
  <c r="B2774" i="16"/>
  <c r="B2775" i="16"/>
  <c r="B2776" i="16"/>
  <c r="B2777" i="16"/>
  <c r="B2778" i="16"/>
  <c r="B2779" i="16"/>
  <c r="B2780" i="16"/>
  <c r="B2781" i="16"/>
  <c r="B2782" i="16"/>
  <c r="B2783" i="16"/>
  <c r="B2784" i="16"/>
  <c r="B2785" i="16"/>
  <c r="B2786" i="16"/>
  <c r="B2787" i="16"/>
  <c r="B2788" i="16"/>
  <c r="B2789" i="16"/>
  <c r="B2790" i="16"/>
  <c r="B2791" i="16"/>
  <c r="B2792" i="16"/>
  <c r="B2793" i="16"/>
  <c r="B2794" i="16"/>
  <c r="B2795" i="16"/>
  <c r="B2796" i="16"/>
  <c r="B2797" i="16"/>
  <c r="B2798" i="16"/>
  <c r="B2799" i="16"/>
  <c r="B2800" i="16"/>
  <c r="B2801" i="16"/>
  <c r="B2802" i="16"/>
  <c r="B2803" i="16"/>
  <c r="B2804" i="16"/>
  <c r="B2805" i="16"/>
  <c r="B2806" i="16"/>
  <c r="B2807" i="16"/>
  <c r="B2808" i="16"/>
  <c r="B2809" i="16"/>
  <c r="B2810" i="16"/>
  <c r="B2811" i="16"/>
  <c r="B2812" i="16"/>
  <c r="B2813" i="16"/>
  <c r="B2814" i="16"/>
  <c r="B2815" i="16"/>
  <c r="B2816" i="16"/>
  <c r="B2817" i="16"/>
  <c r="B2818" i="16"/>
  <c r="B2819" i="16"/>
  <c r="B2820" i="16"/>
  <c r="B2821" i="16"/>
  <c r="B2822" i="16"/>
  <c r="B2823" i="16"/>
  <c r="B2824" i="16"/>
  <c r="B2825" i="16"/>
  <c r="B2826" i="16"/>
  <c r="B2827" i="16"/>
  <c r="B2828" i="16"/>
  <c r="B2829" i="16"/>
  <c r="B2830" i="16"/>
  <c r="B2831" i="16"/>
  <c r="B2832" i="16"/>
  <c r="B2833" i="16"/>
  <c r="B2834" i="16"/>
  <c r="B2835" i="16"/>
  <c r="B2836" i="16"/>
  <c r="B2837" i="16"/>
  <c r="B2838" i="16"/>
  <c r="B2839" i="16"/>
  <c r="B2840" i="16"/>
  <c r="B2841" i="16"/>
  <c r="B2842" i="16"/>
  <c r="B2843" i="16"/>
  <c r="B2844" i="16"/>
  <c r="B2845" i="16"/>
  <c r="B2846" i="16"/>
  <c r="B2847" i="16"/>
  <c r="B2848" i="16"/>
  <c r="B2849" i="16"/>
  <c r="B2850" i="16"/>
  <c r="B2851" i="16"/>
  <c r="B2852" i="16"/>
  <c r="B2853" i="16"/>
  <c r="B2854" i="16"/>
  <c r="B2855" i="16"/>
  <c r="B2856" i="16"/>
  <c r="B2857" i="16"/>
  <c r="B2858" i="16"/>
  <c r="B2859" i="16"/>
  <c r="B2860" i="16"/>
  <c r="B2861" i="16"/>
  <c r="B2862" i="16"/>
  <c r="B2863" i="16"/>
  <c r="B2864" i="16"/>
  <c r="B2865" i="16"/>
  <c r="B2866" i="16"/>
  <c r="B2867" i="16"/>
  <c r="B2868" i="16"/>
  <c r="B2869" i="16"/>
  <c r="B2870" i="16"/>
  <c r="B2871" i="16"/>
  <c r="B2872" i="16"/>
  <c r="B2873" i="16"/>
  <c r="B2874" i="16"/>
  <c r="B2875" i="16"/>
  <c r="B2876" i="16"/>
  <c r="B2877" i="16"/>
  <c r="B2878" i="16"/>
  <c r="B2879" i="16"/>
  <c r="B2880" i="16"/>
  <c r="B2881" i="16"/>
  <c r="B2882" i="16"/>
  <c r="B2883" i="16"/>
  <c r="B2884" i="16"/>
  <c r="B2885" i="16"/>
  <c r="B2886" i="16"/>
  <c r="B2887" i="16"/>
  <c r="B2888" i="16"/>
  <c r="B2889" i="16"/>
  <c r="B2890" i="16"/>
  <c r="B2891" i="16"/>
  <c r="B2892" i="16"/>
  <c r="B2893" i="16"/>
  <c r="B2894" i="16"/>
  <c r="B2895" i="16"/>
  <c r="B2896" i="16"/>
  <c r="B2897" i="16"/>
  <c r="B2898" i="16"/>
  <c r="B2899" i="16"/>
  <c r="B2900" i="16"/>
  <c r="B2901" i="16"/>
  <c r="B2902" i="16"/>
  <c r="B2903" i="16"/>
  <c r="B2904" i="16"/>
  <c r="B2905" i="16"/>
  <c r="B2906" i="16"/>
  <c r="B2907" i="16"/>
  <c r="B2908" i="16"/>
  <c r="B2909" i="16"/>
  <c r="B2910" i="16"/>
  <c r="B2911" i="16"/>
  <c r="B2912" i="16"/>
  <c r="B2913" i="16"/>
  <c r="B2914" i="16"/>
  <c r="B2915" i="16"/>
  <c r="B2916" i="16"/>
  <c r="B2917" i="16"/>
  <c r="B2918" i="16"/>
  <c r="B2919" i="16"/>
  <c r="B2920" i="16"/>
  <c r="B2921" i="16"/>
  <c r="B2922" i="16"/>
  <c r="B2923" i="16"/>
  <c r="B2924" i="16"/>
  <c r="B2925" i="16"/>
  <c r="B2926" i="16"/>
  <c r="B2927" i="16"/>
  <c r="B2928" i="16"/>
  <c r="B2929" i="16"/>
  <c r="B2930" i="16"/>
  <c r="B2931" i="16"/>
  <c r="B2932" i="16"/>
  <c r="B2933" i="16"/>
  <c r="B2934" i="16"/>
  <c r="B2935" i="16"/>
  <c r="B2936" i="16"/>
  <c r="B2937" i="16"/>
  <c r="B2938" i="16"/>
  <c r="B2939" i="16"/>
  <c r="B2940" i="16"/>
  <c r="B2941" i="16"/>
  <c r="B2942" i="16"/>
  <c r="B2943" i="16"/>
  <c r="B2944" i="16"/>
  <c r="B2945" i="16"/>
  <c r="B2946" i="16"/>
  <c r="B2947" i="16"/>
  <c r="B2948" i="16"/>
  <c r="B2949" i="16"/>
  <c r="B2950" i="16"/>
  <c r="B2951" i="16"/>
  <c r="B2952" i="16"/>
  <c r="B2953" i="16"/>
  <c r="B2954" i="16"/>
  <c r="B2955" i="16"/>
  <c r="B2956" i="16"/>
  <c r="B2957" i="16"/>
  <c r="B2958" i="16"/>
  <c r="B2959" i="16"/>
  <c r="B2960" i="16"/>
  <c r="B2961" i="16"/>
  <c r="B2962" i="16"/>
  <c r="B2963" i="16"/>
  <c r="B2964" i="16"/>
  <c r="B2965" i="16"/>
  <c r="B2966" i="16"/>
  <c r="B2967" i="16"/>
  <c r="B2968" i="16"/>
  <c r="B2969" i="16"/>
  <c r="B2970" i="16"/>
  <c r="B2971" i="16"/>
  <c r="B2972" i="16"/>
  <c r="B2973" i="16"/>
  <c r="B2974" i="16"/>
  <c r="B2975" i="16"/>
  <c r="B2976" i="16"/>
  <c r="B2977" i="16"/>
  <c r="B2978" i="16"/>
  <c r="B2979" i="16"/>
  <c r="B2980" i="16"/>
  <c r="B2981" i="16"/>
  <c r="B2982" i="16"/>
  <c r="B2983" i="16"/>
  <c r="B2984" i="16"/>
  <c r="B2985" i="16"/>
  <c r="B2986" i="16"/>
  <c r="B2987" i="16"/>
  <c r="B2988" i="16"/>
  <c r="B2989" i="16"/>
  <c r="B2990" i="16"/>
  <c r="B2991" i="16"/>
  <c r="B2992" i="16"/>
  <c r="B2993" i="16"/>
  <c r="B2994" i="16"/>
  <c r="B2995" i="16"/>
  <c r="B2996" i="16"/>
  <c r="B2997" i="16"/>
  <c r="B2998" i="16"/>
  <c r="B2999" i="16"/>
  <c r="B3000" i="16"/>
  <c r="B3001" i="16"/>
  <c r="B3002" i="16"/>
  <c r="B3003" i="16"/>
  <c r="B3004" i="16"/>
  <c r="B3005" i="16"/>
  <c r="B3006" i="16"/>
  <c r="B3007" i="16"/>
  <c r="B3008" i="16"/>
  <c r="B3009" i="16"/>
  <c r="B3010" i="16"/>
  <c r="B3011" i="16"/>
  <c r="B3012" i="16"/>
  <c r="B3013" i="16"/>
  <c r="B3014" i="16"/>
  <c r="B3015" i="16"/>
  <c r="B3016" i="16"/>
  <c r="B3017" i="16"/>
  <c r="B3018" i="16"/>
  <c r="B3019" i="16"/>
  <c r="B3020" i="16"/>
  <c r="B3021" i="16"/>
  <c r="B3022" i="16"/>
  <c r="B3023" i="16"/>
  <c r="B3024" i="16"/>
  <c r="B3025" i="16"/>
  <c r="B3026" i="16"/>
  <c r="B3027" i="16"/>
  <c r="B3028" i="16"/>
  <c r="B3029" i="16"/>
  <c r="B3030" i="16"/>
  <c r="B3031" i="16"/>
  <c r="B3032" i="16"/>
  <c r="B3033" i="16"/>
  <c r="B3034" i="16"/>
  <c r="B3035" i="16"/>
  <c r="B3036" i="16"/>
  <c r="B3037" i="16"/>
  <c r="B3038" i="16"/>
  <c r="B3039" i="16"/>
  <c r="B3040" i="16"/>
  <c r="B3041" i="16"/>
  <c r="B3042" i="16"/>
  <c r="B3043" i="16"/>
  <c r="B3044" i="16"/>
  <c r="B3045" i="16"/>
  <c r="B3046" i="16"/>
  <c r="B3047" i="16"/>
  <c r="B3048" i="16"/>
  <c r="B3049" i="16"/>
  <c r="B3050" i="16"/>
  <c r="B3051" i="16"/>
  <c r="B3052" i="16"/>
  <c r="B3053" i="16"/>
  <c r="B3054" i="16"/>
  <c r="B3055" i="16"/>
  <c r="B3056" i="16"/>
  <c r="B3057" i="16"/>
  <c r="B3058" i="16"/>
  <c r="B3059" i="16"/>
  <c r="B3060" i="16"/>
  <c r="B3061" i="16"/>
  <c r="B3062" i="16"/>
  <c r="B3063" i="16"/>
  <c r="B3064" i="16"/>
  <c r="B3065" i="16"/>
  <c r="B3066" i="16"/>
  <c r="B3067" i="16"/>
  <c r="B3068" i="16"/>
  <c r="B3069" i="16"/>
  <c r="B3070" i="16"/>
  <c r="B3071" i="16"/>
  <c r="B3072" i="16"/>
  <c r="B3073" i="16"/>
  <c r="B3074" i="16"/>
  <c r="B3075" i="16"/>
  <c r="B3076" i="16"/>
  <c r="B3077" i="16"/>
  <c r="B3078" i="16"/>
  <c r="B3079" i="16"/>
  <c r="B3080" i="16"/>
  <c r="B3081" i="16"/>
  <c r="B3082" i="16"/>
  <c r="B3083" i="16"/>
  <c r="B3084" i="16"/>
  <c r="B3085" i="16"/>
  <c r="B3086" i="16"/>
  <c r="B3087" i="16"/>
  <c r="B3088" i="16"/>
  <c r="B3089" i="16"/>
  <c r="B3090" i="16"/>
  <c r="B3091" i="16"/>
  <c r="B3092" i="16"/>
  <c r="B3093" i="16"/>
  <c r="B3094" i="16"/>
  <c r="B3095" i="16"/>
  <c r="B3096" i="16"/>
  <c r="B3097" i="16"/>
  <c r="B3098" i="16"/>
  <c r="B3099" i="16"/>
  <c r="B3100" i="16"/>
  <c r="B3101" i="16"/>
  <c r="B3102" i="16"/>
  <c r="B3103" i="16"/>
  <c r="B3104" i="16"/>
  <c r="B3105" i="16"/>
  <c r="B3106" i="16"/>
  <c r="B3107" i="16"/>
  <c r="B3108" i="16"/>
  <c r="B3109" i="16"/>
  <c r="B3110" i="16"/>
  <c r="B3111" i="16"/>
  <c r="B3112" i="16"/>
  <c r="B3113" i="16"/>
  <c r="B3114" i="16"/>
  <c r="B3115" i="16"/>
  <c r="B3116" i="16"/>
  <c r="B3117" i="16"/>
  <c r="B3118" i="16"/>
  <c r="B3119" i="16"/>
  <c r="B3120" i="16"/>
  <c r="B3121" i="16"/>
  <c r="B3122" i="16"/>
  <c r="B3123" i="16"/>
  <c r="B3124" i="16"/>
  <c r="B3125" i="16"/>
  <c r="B3126" i="16"/>
  <c r="B3127" i="16"/>
  <c r="B3128" i="16"/>
  <c r="B3129" i="16"/>
  <c r="B3130" i="16"/>
  <c r="B3131" i="16"/>
  <c r="B3132" i="16"/>
  <c r="B3133" i="16"/>
  <c r="B3134" i="16"/>
  <c r="B3135" i="16"/>
  <c r="B3136" i="16"/>
  <c r="B3137" i="16"/>
  <c r="B3138" i="16"/>
  <c r="B3139" i="16"/>
  <c r="B3140" i="16"/>
  <c r="B3141" i="16"/>
  <c r="B3142" i="16"/>
  <c r="B3143" i="16"/>
  <c r="B3144" i="16"/>
  <c r="B3145" i="16"/>
  <c r="B3146" i="16"/>
  <c r="B3147" i="16"/>
  <c r="B3148" i="16"/>
  <c r="B3149" i="16"/>
  <c r="B3150" i="16"/>
  <c r="B3151" i="16"/>
  <c r="B3152" i="16"/>
  <c r="B3153" i="16"/>
  <c r="B3154" i="16"/>
  <c r="B3155" i="16"/>
  <c r="B3156" i="16"/>
  <c r="B3157" i="16"/>
  <c r="B3158" i="16"/>
  <c r="B3159" i="16"/>
  <c r="B3160" i="16"/>
  <c r="B3161" i="16"/>
  <c r="B3162" i="16"/>
  <c r="B3163" i="16"/>
  <c r="B3164" i="16"/>
  <c r="B3165" i="16"/>
  <c r="B3166" i="16"/>
  <c r="B3167" i="16"/>
  <c r="B3168" i="16"/>
  <c r="B3169" i="16"/>
  <c r="B3170" i="16"/>
  <c r="B3171" i="16"/>
  <c r="B3172" i="16"/>
  <c r="B3173" i="16"/>
  <c r="B3174" i="16"/>
  <c r="B3175" i="16"/>
  <c r="B3176" i="16"/>
  <c r="B3177" i="16"/>
  <c r="B3178" i="16"/>
  <c r="B3179" i="16"/>
  <c r="B3180" i="16"/>
  <c r="B3181" i="16"/>
  <c r="B3182" i="16"/>
  <c r="B3183" i="16"/>
  <c r="B3184" i="16"/>
  <c r="B3185" i="16"/>
  <c r="B3186" i="16"/>
  <c r="B3187" i="16"/>
  <c r="B3188" i="16"/>
  <c r="B3189" i="16"/>
  <c r="B3190" i="16"/>
  <c r="B3191" i="16"/>
  <c r="B3192" i="16"/>
  <c r="B3193" i="16"/>
  <c r="B3194" i="16"/>
  <c r="B3195" i="16"/>
  <c r="B3196" i="16"/>
  <c r="B3197" i="16"/>
  <c r="B3198" i="16"/>
  <c r="B3199" i="16"/>
  <c r="B3200" i="16"/>
  <c r="B3201" i="16"/>
  <c r="B3202" i="16"/>
  <c r="B3203" i="16"/>
  <c r="B3204" i="16"/>
  <c r="B3205" i="16"/>
  <c r="B3206" i="16"/>
  <c r="B3207" i="16"/>
  <c r="B3208" i="16"/>
  <c r="B3209" i="16"/>
  <c r="B3210" i="16"/>
  <c r="B3211" i="16"/>
  <c r="B3212" i="16"/>
  <c r="B3213" i="16"/>
  <c r="B3214" i="16"/>
  <c r="B3215" i="16"/>
  <c r="B3216" i="16"/>
  <c r="B3217" i="16"/>
  <c r="B3218" i="16"/>
  <c r="B3219" i="16"/>
  <c r="B3220" i="16"/>
  <c r="B3221" i="16"/>
  <c r="B3222" i="16"/>
  <c r="B3223" i="16"/>
  <c r="B3224" i="16"/>
  <c r="B3225" i="16"/>
  <c r="B3226" i="16"/>
  <c r="B3227" i="16"/>
  <c r="B3228" i="16"/>
  <c r="B3229" i="16"/>
  <c r="B3230" i="16"/>
  <c r="B3231" i="16"/>
  <c r="B3232" i="16"/>
  <c r="B3233" i="16"/>
  <c r="B3234" i="16"/>
  <c r="B3235" i="16"/>
  <c r="B3236" i="16"/>
  <c r="B3237" i="16"/>
  <c r="B3238" i="16"/>
  <c r="B3239" i="16"/>
  <c r="B3240" i="16"/>
  <c r="B3241" i="16"/>
  <c r="B3242" i="16"/>
  <c r="B3243" i="16"/>
  <c r="B3244" i="16"/>
  <c r="B3245" i="16"/>
  <c r="B3246" i="16"/>
  <c r="B3247" i="16"/>
  <c r="B3248" i="16"/>
  <c r="B3249" i="16"/>
  <c r="B3250" i="16"/>
  <c r="B3251" i="16"/>
  <c r="B3252" i="16"/>
  <c r="B3253" i="16"/>
  <c r="B3254" i="16"/>
  <c r="B3255" i="16"/>
  <c r="B3256" i="16"/>
  <c r="B3257" i="16"/>
  <c r="B3258" i="16"/>
  <c r="B3259" i="16"/>
  <c r="B3260" i="16"/>
  <c r="B3261" i="16"/>
  <c r="B3262" i="16"/>
  <c r="B3263" i="16"/>
  <c r="B3264" i="16"/>
  <c r="B3265" i="16"/>
  <c r="B3266" i="16"/>
  <c r="B3267" i="16"/>
  <c r="B3268" i="16"/>
  <c r="B3269" i="16"/>
  <c r="B3270" i="16"/>
  <c r="B3271" i="16"/>
  <c r="B3272" i="16"/>
  <c r="B3273" i="16"/>
  <c r="B3274" i="16"/>
  <c r="B3275" i="16"/>
  <c r="B3276" i="16"/>
  <c r="B3277" i="16"/>
  <c r="B3278" i="16"/>
  <c r="B3279" i="16"/>
  <c r="B3280" i="16"/>
  <c r="B3281" i="16"/>
  <c r="B3282" i="16"/>
  <c r="B3283" i="16"/>
  <c r="B3284" i="16"/>
  <c r="B3285" i="16"/>
  <c r="B3286" i="16"/>
  <c r="B3287" i="16"/>
  <c r="B3288" i="16"/>
  <c r="B3289" i="16"/>
  <c r="B3290" i="16"/>
  <c r="B3291" i="16"/>
  <c r="B3292" i="16"/>
  <c r="B3293" i="16"/>
  <c r="B3294" i="16"/>
  <c r="B3295" i="16"/>
  <c r="B3296" i="16"/>
  <c r="B3297" i="16"/>
  <c r="B3298" i="16"/>
  <c r="B3299" i="16"/>
  <c r="B3300" i="16"/>
  <c r="B3301" i="16"/>
  <c r="B3302" i="16"/>
  <c r="B3303" i="16"/>
  <c r="B3304" i="16"/>
  <c r="B3305" i="16"/>
  <c r="B3306" i="16"/>
  <c r="B3307" i="16"/>
  <c r="B3308" i="16"/>
  <c r="B3309" i="16"/>
  <c r="B3310" i="16"/>
  <c r="B3311" i="16"/>
  <c r="B3312" i="16"/>
  <c r="B3313" i="16"/>
  <c r="B3314" i="16"/>
  <c r="B3315" i="16"/>
  <c r="B3316" i="16"/>
  <c r="B3317" i="16"/>
  <c r="B3318" i="16"/>
  <c r="B3319" i="16"/>
  <c r="B3320" i="16"/>
  <c r="B3321" i="16"/>
  <c r="B3322" i="16"/>
  <c r="B3323" i="16"/>
  <c r="B3324" i="16"/>
  <c r="B3325" i="16"/>
  <c r="B3326" i="16"/>
  <c r="B3327" i="16"/>
  <c r="B3328" i="16"/>
  <c r="B3329" i="16"/>
  <c r="B3330" i="16"/>
  <c r="B3331" i="16"/>
  <c r="B3332" i="16"/>
  <c r="B3333" i="16"/>
  <c r="B3334" i="16"/>
  <c r="B3335" i="16"/>
  <c r="B3336" i="16"/>
  <c r="B3337" i="16"/>
  <c r="B3338" i="16"/>
  <c r="B3339" i="16"/>
  <c r="B3340" i="16"/>
  <c r="B3341" i="16"/>
  <c r="B3342" i="16"/>
  <c r="B3343" i="16"/>
  <c r="B3344" i="16"/>
  <c r="B3345" i="16"/>
  <c r="B3346" i="16"/>
  <c r="B3347" i="16"/>
  <c r="B3348" i="16"/>
  <c r="B3349" i="16"/>
  <c r="B3350" i="16"/>
  <c r="B3351" i="16"/>
  <c r="B3352" i="16"/>
  <c r="B3353" i="16"/>
  <c r="B3354" i="16"/>
  <c r="B3355" i="16"/>
  <c r="B3356" i="16"/>
  <c r="B3357" i="16"/>
  <c r="B3358" i="16"/>
  <c r="B3359" i="16"/>
  <c r="B3360" i="16"/>
  <c r="B3361" i="16"/>
  <c r="B3362" i="16"/>
  <c r="B3363" i="16"/>
  <c r="B3364" i="16"/>
  <c r="B3365" i="16"/>
  <c r="B3366" i="16"/>
  <c r="B3367" i="16"/>
  <c r="B3368" i="16"/>
  <c r="B3369" i="16"/>
  <c r="B3370" i="16"/>
  <c r="B3371" i="16"/>
  <c r="B3372" i="16"/>
  <c r="B3373" i="16"/>
  <c r="B3374" i="16"/>
  <c r="B3375" i="16"/>
  <c r="B3376" i="16"/>
  <c r="B3377" i="16"/>
  <c r="B3378" i="16"/>
  <c r="B3379" i="16"/>
  <c r="B3380" i="16"/>
  <c r="B3381" i="16"/>
  <c r="B3382" i="16"/>
  <c r="B3383" i="16"/>
  <c r="B3384" i="16"/>
  <c r="B3385" i="16"/>
  <c r="B3386" i="16"/>
  <c r="B3387" i="16"/>
  <c r="B3388" i="16"/>
  <c r="B3389" i="16"/>
  <c r="B3390" i="16"/>
  <c r="B3391" i="16"/>
  <c r="B3392" i="16"/>
  <c r="B3393" i="16"/>
  <c r="B3394" i="16"/>
  <c r="B3395" i="16"/>
  <c r="B3396" i="16"/>
  <c r="B3397" i="16"/>
  <c r="B3398" i="16"/>
  <c r="B3399" i="16"/>
  <c r="B3400" i="16"/>
  <c r="B3401" i="16"/>
  <c r="B3402" i="16"/>
  <c r="B3403" i="16"/>
  <c r="B3404" i="16"/>
  <c r="B3405" i="16"/>
  <c r="B3406" i="16"/>
  <c r="B3407" i="16"/>
  <c r="B3408" i="16"/>
  <c r="B3409" i="16"/>
  <c r="B3410" i="16"/>
  <c r="B3411" i="16"/>
  <c r="B3412" i="16"/>
  <c r="B3413" i="16"/>
  <c r="B3414" i="16"/>
  <c r="B3415" i="16"/>
  <c r="B3416" i="16"/>
  <c r="B3417" i="16"/>
  <c r="B3418" i="16"/>
  <c r="B3419" i="16"/>
  <c r="B3420" i="16"/>
  <c r="B3421" i="16"/>
  <c r="B3422" i="16"/>
  <c r="B3423" i="16"/>
  <c r="B3424" i="16"/>
  <c r="B3425" i="16"/>
  <c r="B3426" i="16"/>
  <c r="B3427" i="16"/>
  <c r="B3428" i="16"/>
  <c r="B3429" i="16"/>
  <c r="B3430" i="16"/>
  <c r="B3431" i="16"/>
  <c r="B3432" i="16"/>
  <c r="B3433" i="16"/>
  <c r="B3434" i="16"/>
  <c r="B3435" i="16"/>
  <c r="B3436" i="16"/>
  <c r="B3437" i="16"/>
  <c r="B3438" i="16"/>
  <c r="B3439" i="16"/>
  <c r="B3440" i="16"/>
  <c r="B3441" i="16"/>
  <c r="B3442" i="16"/>
  <c r="B3443" i="16"/>
  <c r="B3444" i="16"/>
  <c r="B3445" i="16"/>
  <c r="B3446" i="16"/>
  <c r="B3447" i="16"/>
  <c r="B3448" i="16"/>
  <c r="B3449" i="16"/>
  <c r="B3450" i="16"/>
  <c r="B3451" i="16"/>
  <c r="B3452" i="16"/>
  <c r="B3453" i="16"/>
  <c r="B3454" i="16"/>
  <c r="B3455" i="16"/>
  <c r="B3456" i="16"/>
  <c r="B3457" i="16"/>
  <c r="B3458" i="16"/>
  <c r="B3459" i="16"/>
  <c r="B3460" i="16"/>
  <c r="B3461" i="16"/>
  <c r="B3462" i="16"/>
  <c r="B3463" i="16"/>
  <c r="B3464" i="16"/>
  <c r="B3465" i="16"/>
  <c r="B3466" i="16"/>
  <c r="B3467" i="16"/>
  <c r="B3468" i="16"/>
  <c r="B3469" i="16"/>
  <c r="B3470" i="16"/>
  <c r="B3471" i="16"/>
  <c r="B3472" i="16"/>
  <c r="B3473" i="16"/>
  <c r="B3474" i="16"/>
  <c r="B3475" i="16"/>
  <c r="B3476" i="16"/>
  <c r="B3477" i="16"/>
  <c r="B3478" i="16"/>
  <c r="B3479" i="16"/>
  <c r="B3480" i="16"/>
  <c r="B3481" i="16"/>
  <c r="B3482" i="16"/>
  <c r="B3483" i="16"/>
  <c r="B3484" i="16"/>
  <c r="B3485" i="16"/>
  <c r="B3486" i="16"/>
  <c r="B3487" i="16"/>
  <c r="B3488" i="16"/>
  <c r="B3489" i="16"/>
  <c r="B3490" i="16"/>
  <c r="B3491" i="16"/>
  <c r="B3492" i="16"/>
  <c r="B3493" i="16"/>
  <c r="B3494" i="16"/>
  <c r="B3495" i="16"/>
  <c r="B3496" i="16"/>
  <c r="B3497" i="16"/>
  <c r="B3498" i="16"/>
  <c r="B3499" i="16"/>
  <c r="B3500" i="16"/>
  <c r="B3501" i="16"/>
  <c r="B3502" i="16"/>
  <c r="B3503" i="16"/>
  <c r="B3504" i="16"/>
  <c r="B3505" i="16"/>
  <c r="B3506" i="16"/>
  <c r="B3507" i="16"/>
  <c r="B3508" i="16"/>
  <c r="B3509" i="16"/>
  <c r="B3510" i="16"/>
  <c r="B3511" i="16"/>
  <c r="B3512" i="16"/>
  <c r="B3513" i="16"/>
  <c r="B3514" i="16"/>
  <c r="B3515" i="16"/>
  <c r="B3516" i="16"/>
  <c r="B3517" i="16"/>
  <c r="B3518" i="16"/>
  <c r="B3519" i="16"/>
  <c r="B3520" i="16"/>
  <c r="B3521" i="16"/>
  <c r="B3522" i="16"/>
  <c r="B3523" i="16"/>
  <c r="B3524" i="16"/>
  <c r="B3525" i="16"/>
  <c r="B3526" i="16"/>
  <c r="B3527" i="16"/>
  <c r="B3528" i="16"/>
  <c r="B3529" i="16"/>
  <c r="B3530" i="16"/>
  <c r="B3531" i="16"/>
  <c r="B3532" i="16"/>
  <c r="B3533" i="16"/>
  <c r="B3534" i="16"/>
  <c r="B3535" i="16"/>
  <c r="B3536" i="16"/>
  <c r="B3537" i="16"/>
  <c r="B3538" i="16"/>
  <c r="B3539" i="16"/>
  <c r="B3540" i="16"/>
  <c r="B3541" i="16"/>
  <c r="B3542" i="16"/>
  <c r="B3543" i="16"/>
  <c r="B3544" i="16"/>
  <c r="B3545" i="16"/>
  <c r="B3546" i="16"/>
  <c r="B3547" i="16"/>
  <c r="B3548" i="16"/>
  <c r="B3549" i="16"/>
  <c r="B3550" i="16"/>
  <c r="B3551" i="16"/>
  <c r="B3552" i="16"/>
  <c r="B3553" i="16"/>
  <c r="B3554" i="16"/>
  <c r="B3555" i="16"/>
  <c r="B3556" i="16"/>
  <c r="B3557" i="16"/>
  <c r="B3558" i="16"/>
  <c r="B3559" i="16"/>
  <c r="B3560" i="16"/>
  <c r="B3561" i="16"/>
  <c r="B3562" i="16"/>
  <c r="B3563" i="16"/>
  <c r="B3564" i="16"/>
  <c r="B3565" i="16"/>
  <c r="B3566" i="16"/>
  <c r="B3567" i="16"/>
  <c r="B3568" i="16"/>
  <c r="B3569" i="16"/>
  <c r="B3570" i="16"/>
  <c r="B3571" i="16"/>
  <c r="B3572" i="16"/>
  <c r="B3573" i="16"/>
  <c r="B3574" i="16"/>
  <c r="B3575" i="16"/>
  <c r="B3576" i="16"/>
  <c r="B3577" i="16"/>
  <c r="B3578" i="16"/>
  <c r="B3579" i="16"/>
  <c r="B3580" i="16"/>
  <c r="B3581" i="16"/>
  <c r="B3582" i="16"/>
  <c r="B3583" i="16"/>
  <c r="B3584" i="16"/>
  <c r="B3585" i="16"/>
  <c r="B3586" i="16"/>
  <c r="B3587" i="16"/>
  <c r="B3588" i="16"/>
  <c r="B3589" i="16"/>
  <c r="B3590" i="16"/>
  <c r="B3591" i="16"/>
  <c r="B3592" i="16"/>
  <c r="B3593" i="16"/>
  <c r="B3594" i="16"/>
  <c r="B3595" i="16"/>
  <c r="B3596" i="16"/>
  <c r="B3597" i="16"/>
  <c r="B3598" i="16"/>
  <c r="B3599" i="16"/>
  <c r="B3600" i="16"/>
  <c r="B3601" i="16"/>
  <c r="B3602" i="16"/>
  <c r="B3603" i="16"/>
  <c r="B3604" i="16"/>
  <c r="B3605" i="16"/>
  <c r="B3606" i="16"/>
  <c r="B3607" i="16"/>
  <c r="B3608" i="16"/>
  <c r="B3609" i="16"/>
  <c r="B3610" i="16"/>
  <c r="B3611" i="16"/>
  <c r="B3612" i="16"/>
  <c r="B3613" i="16"/>
  <c r="B3614" i="16"/>
  <c r="B3615" i="16"/>
  <c r="B3616" i="16"/>
  <c r="B3617" i="16"/>
  <c r="B3618" i="16"/>
  <c r="B3619" i="16"/>
  <c r="B3620" i="16"/>
  <c r="B3621" i="16"/>
  <c r="B3622" i="16"/>
  <c r="B3623" i="16"/>
  <c r="B3624" i="16"/>
  <c r="B3625" i="16"/>
  <c r="B3626" i="16"/>
  <c r="B3627" i="16"/>
  <c r="B3628" i="16"/>
  <c r="B3629" i="16"/>
  <c r="B3630" i="16"/>
  <c r="B3631" i="16"/>
  <c r="B3632" i="16"/>
  <c r="B3633" i="16"/>
  <c r="B3634" i="16"/>
  <c r="B3635" i="16"/>
  <c r="B3636" i="16"/>
  <c r="B3637" i="16"/>
  <c r="B3638" i="16"/>
  <c r="B3639" i="16"/>
  <c r="B3640" i="16"/>
  <c r="B3641" i="16"/>
  <c r="B3642" i="16"/>
  <c r="B3643" i="16"/>
  <c r="B3644" i="16"/>
  <c r="B3645" i="16"/>
  <c r="B3646" i="16"/>
  <c r="B3647" i="16"/>
  <c r="B3648" i="16"/>
  <c r="B3649" i="16"/>
  <c r="B3650" i="16"/>
  <c r="B3651" i="16"/>
  <c r="B3652" i="16"/>
  <c r="B3653" i="16"/>
  <c r="B3654" i="16"/>
  <c r="B3655" i="16"/>
  <c r="B3656" i="16"/>
  <c r="B3657" i="16"/>
  <c r="B3658" i="16"/>
  <c r="B3659" i="16"/>
  <c r="B3660" i="16"/>
  <c r="B3661" i="16"/>
  <c r="B3662" i="16"/>
  <c r="B3663" i="16"/>
  <c r="B3664" i="16"/>
  <c r="B3665" i="16"/>
  <c r="B3666" i="16"/>
  <c r="B3667" i="16"/>
  <c r="B3668" i="16"/>
  <c r="B3669" i="16"/>
  <c r="B3670" i="16"/>
  <c r="B3671" i="16"/>
  <c r="B3672" i="16"/>
  <c r="B3673" i="16"/>
  <c r="B3674" i="16"/>
  <c r="B3675" i="16"/>
  <c r="B3676" i="16"/>
  <c r="B3677" i="16"/>
  <c r="B3678" i="16"/>
  <c r="B3679" i="16"/>
  <c r="B3680" i="16"/>
  <c r="B3681" i="16"/>
  <c r="B3682" i="16"/>
  <c r="B3683" i="16"/>
  <c r="B3684" i="16"/>
  <c r="B3685" i="16"/>
  <c r="B3686" i="16"/>
  <c r="B3687" i="16"/>
  <c r="B3688" i="16"/>
  <c r="B3689" i="16"/>
  <c r="B3690" i="16"/>
  <c r="B3691" i="16"/>
  <c r="B3692" i="16"/>
  <c r="B3693" i="16"/>
  <c r="B3694" i="16"/>
  <c r="B3695" i="16"/>
  <c r="B3696" i="16"/>
  <c r="B3697" i="16"/>
  <c r="B3698" i="16"/>
  <c r="B3699" i="16"/>
  <c r="B3700" i="16"/>
  <c r="B3701" i="16"/>
  <c r="B3702" i="16"/>
  <c r="B3703" i="16"/>
  <c r="B3704" i="16"/>
  <c r="B3705" i="16"/>
  <c r="B3706" i="16"/>
  <c r="B3707" i="16"/>
  <c r="B3708" i="16"/>
  <c r="B3709" i="16"/>
  <c r="B3710" i="16"/>
  <c r="B3711" i="16"/>
  <c r="B3712" i="16"/>
  <c r="B3713" i="16"/>
  <c r="B3714" i="16"/>
  <c r="B3715" i="16"/>
  <c r="B3716" i="16"/>
  <c r="B3717" i="16"/>
  <c r="B3718" i="16"/>
  <c r="B3719" i="16"/>
  <c r="B3720" i="16"/>
  <c r="B3721" i="16"/>
  <c r="B3722" i="16"/>
  <c r="B3723" i="16"/>
  <c r="B3724" i="16"/>
  <c r="B3725" i="16"/>
  <c r="B3726" i="16"/>
  <c r="B3727" i="16"/>
  <c r="B3728" i="16"/>
  <c r="B3729" i="16"/>
  <c r="B3730" i="16"/>
  <c r="B3731" i="16"/>
  <c r="B3732" i="16"/>
  <c r="B3733" i="16"/>
  <c r="B3734" i="16"/>
  <c r="B3735" i="16"/>
  <c r="B3736" i="16"/>
  <c r="B3737" i="16"/>
  <c r="B3738" i="16"/>
  <c r="B3739" i="16"/>
  <c r="B3740" i="16"/>
  <c r="B3741" i="16"/>
  <c r="B3742" i="16"/>
  <c r="B3743" i="16"/>
  <c r="B3744" i="16"/>
  <c r="B3745" i="16"/>
  <c r="B3746" i="16"/>
  <c r="B3747" i="16"/>
  <c r="B3748" i="16"/>
  <c r="B3749" i="16"/>
  <c r="B3750" i="16"/>
  <c r="B3751" i="16"/>
  <c r="B3752" i="16"/>
  <c r="B3753" i="16"/>
  <c r="B3754" i="16"/>
  <c r="B3755" i="16"/>
  <c r="B3756" i="16"/>
  <c r="B3757" i="16"/>
  <c r="B3758" i="16"/>
  <c r="B3759" i="16"/>
  <c r="B3760" i="16"/>
  <c r="B3761" i="16"/>
  <c r="B3762" i="16"/>
  <c r="B3763" i="16"/>
  <c r="B3764" i="16"/>
  <c r="B3765" i="16"/>
  <c r="B3766" i="16"/>
  <c r="B3767" i="16"/>
  <c r="B3768" i="16"/>
  <c r="B3769" i="16"/>
  <c r="B3770" i="16"/>
  <c r="B3771" i="16"/>
  <c r="B3772" i="16"/>
  <c r="B3773" i="16"/>
  <c r="B3774" i="16"/>
  <c r="B3775" i="16"/>
  <c r="B3776" i="16"/>
  <c r="B3777" i="16"/>
  <c r="B3778" i="16"/>
  <c r="B3779" i="16"/>
  <c r="B3780" i="16"/>
  <c r="B3781" i="16"/>
  <c r="B3782" i="16"/>
  <c r="B3783" i="16"/>
  <c r="B3784" i="16"/>
  <c r="B3785" i="16"/>
  <c r="B3786" i="16"/>
  <c r="B3787" i="16"/>
  <c r="B3788" i="16"/>
  <c r="B3789" i="16"/>
  <c r="B3790" i="16"/>
  <c r="B3791" i="16"/>
  <c r="B3792" i="16"/>
  <c r="B3793" i="16"/>
  <c r="B3794" i="16"/>
  <c r="B3795" i="16"/>
  <c r="B3796" i="16"/>
  <c r="B3797" i="16"/>
  <c r="B3798" i="16"/>
  <c r="B3799" i="16"/>
  <c r="B3800" i="16"/>
  <c r="B3801" i="16"/>
  <c r="B3802" i="16"/>
  <c r="B3803" i="16"/>
  <c r="B3804" i="16"/>
  <c r="B3805" i="16"/>
  <c r="B3806" i="16"/>
  <c r="B3807" i="16"/>
  <c r="B3808" i="16"/>
  <c r="B3809" i="16"/>
  <c r="B3810" i="16"/>
  <c r="B3811" i="16"/>
  <c r="B3812" i="16"/>
  <c r="B3813" i="16"/>
  <c r="B3814" i="16"/>
  <c r="B3815" i="16"/>
  <c r="B3816" i="16"/>
  <c r="B3817" i="16"/>
  <c r="B3818" i="16"/>
  <c r="B3819" i="16"/>
  <c r="B3820" i="16"/>
  <c r="B3821" i="16"/>
  <c r="B3822" i="16"/>
  <c r="B3823" i="16"/>
  <c r="B3824" i="16"/>
  <c r="B3825" i="16"/>
  <c r="B3826" i="16"/>
  <c r="B3827" i="16"/>
  <c r="B3828" i="16"/>
  <c r="B3829" i="16"/>
  <c r="B3830" i="16"/>
  <c r="B3831" i="16"/>
  <c r="B3832" i="16"/>
  <c r="B3833" i="16"/>
  <c r="B3834" i="16"/>
  <c r="B3835" i="16"/>
  <c r="B3836" i="16"/>
  <c r="B3837" i="16"/>
  <c r="B3838" i="16"/>
  <c r="B3839" i="16"/>
  <c r="B3840" i="16"/>
  <c r="B3841" i="16"/>
  <c r="B3842" i="16"/>
  <c r="B3843" i="16"/>
  <c r="B3844" i="16"/>
  <c r="B3845" i="16"/>
  <c r="B3846" i="16"/>
  <c r="B3847" i="16"/>
  <c r="B3848" i="16"/>
  <c r="B3849" i="16"/>
  <c r="B3850" i="16"/>
  <c r="B3851" i="16"/>
  <c r="B3852" i="16"/>
  <c r="B3853" i="16"/>
  <c r="B3854" i="16"/>
  <c r="B3855" i="16"/>
  <c r="B3856" i="16"/>
  <c r="B3857" i="16"/>
  <c r="B3858" i="16"/>
  <c r="B3859" i="16"/>
  <c r="B3860" i="16"/>
  <c r="B3861" i="16"/>
  <c r="B3862" i="16"/>
  <c r="B3863" i="16"/>
  <c r="B3864" i="16"/>
  <c r="B3865" i="16"/>
  <c r="B3866" i="16"/>
  <c r="B3867" i="16"/>
  <c r="B3868" i="16"/>
  <c r="B3869" i="16"/>
  <c r="B3870" i="16"/>
  <c r="B3871" i="16"/>
  <c r="B3872" i="16"/>
  <c r="B3873" i="16"/>
  <c r="B3874" i="16"/>
  <c r="B3875" i="16"/>
  <c r="B3876" i="16"/>
  <c r="B3877" i="16"/>
  <c r="B3878" i="16"/>
  <c r="B3879" i="16"/>
  <c r="B3880" i="16"/>
  <c r="B3881" i="16"/>
  <c r="B3882" i="16"/>
  <c r="B3883" i="16"/>
  <c r="B3884" i="16"/>
  <c r="B3885" i="16"/>
  <c r="B3886" i="16"/>
  <c r="B3887" i="16"/>
  <c r="B3888" i="16"/>
  <c r="B3889" i="16"/>
  <c r="B3890" i="16"/>
  <c r="B3891" i="16"/>
  <c r="B3892" i="16"/>
  <c r="B3893" i="16"/>
  <c r="B3894" i="16"/>
  <c r="B3895" i="16"/>
  <c r="B3896" i="16"/>
  <c r="B3897" i="16"/>
  <c r="B3898" i="16"/>
  <c r="B3899" i="16"/>
  <c r="B3900" i="16"/>
  <c r="B3901" i="16"/>
  <c r="B3902" i="16"/>
  <c r="B3903" i="16"/>
  <c r="B3904" i="16"/>
  <c r="B3905" i="16"/>
  <c r="B3906" i="16"/>
  <c r="B3907" i="16"/>
  <c r="B3908" i="16"/>
  <c r="B3909" i="16"/>
  <c r="B3910" i="16"/>
  <c r="B3911" i="16"/>
  <c r="B3912" i="16"/>
  <c r="B3913" i="16"/>
  <c r="B3914" i="16"/>
  <c r="B3915" i="16"/>
  <c r="B3916" i="16"/>
  <c r="B3917" i="16"/>
  <c r="B3918" i="16"/>
  <c r="B3919" i="16"/>
  <c r="B3920" i="16"/>
  <c r="B3921" i="16"/>
  <c r="B3922" i="16"/>
  <c r="B3923" i="16"/>
  <c r="B3924" i="16"/>
  <c r="B3925" i="16"/>
  <c r="B3926" i="16"/>
  <c r="B3927" i="16"/>
  <c r="B3928" i="16"/>
  <c r="B3929" i="16"/>
  <c r="B3930" i="16"/>
  <c r="B3931" i="16"/>
  <c r="B3932" i="16"/>
  <c r="B3933" i="16"/>
  <c r="B3934" i="16"/>
  <c r="B3935" i="16"/>
  <c r="B3936" i="16"/>
  <c r="B3937" i="16"/>
  <c r="B3938" i="16"/>
  <c r="B3939" i="16"/>
  <c r="B3940" i="16"/>
  <c r="B3941" i="16"/>
  <c r="B3942" i="16"/>
  <c r="B3943" i="16"/>
  <c r="B3944" i="16"/>
  <c r="B3945" i="16"/>
  <c r="B3946" i="16"/>
  <c r="B3947" i="16"/>
  <c r="B3948" i="16"/>
  <c r="B3949" i="16"/>
  <c r="B3950" i="16"/>
  <c r="B3951" i="16"/>
  <c r="B3952" i="16"/>
  <c r="B3953" i="16"/>
  <c r="B3954" i="16"/>
  <c r="B3955" i="16"/>
  <c r="B3956" i="16"/>
  <c r="B3957" i="16"/>
  <c r="B3958" i="16"/>
  <c r="B3959" i="16"/>
  <c r="B3960" i="16"/>
  <c r="B3961" i="16"/>
  <c r="B3962" i="16"/>
  <c r="B3963" i="16"/>
  <c r="B3964" i="16"/>
  <c r="B3965" i="16"/>
  <c r="B3966" i="16"/>
  <c r="B3967" i="16"/>
  <c r="B3968" i="16"/>
  <c r="B3969" i="16"/>
  <c r="B3970" i="16"/>
  <c r="B3971" i="16"/>
  <c r="B3972" i="16"/>
  <c r="B3973" i="16"/>
  <c r="B3974" i="16"/>
  <c r="B3975" i="16"/>
  <c r="B3976" i="16"/>
  <c r="B3977" i="16"/>
  <c r="B3978" i="16"/>
  <c r="B3979" i="16"/>
  <c r="B3980" i="16"/>
  <c r="B3981" i="16"/>
  <c r="B3982" i="16"/>
  <c r="B3983" i="16"/>
  <c r="B3984" i="16"/>
  <c r="B3985" i="16"/>
  <c r="B3986" i="16"/>
  <c r="B3987" i="16"/>
  <c r="B3988" i="16"/>
  <c r="B3989" i="16"/>
  <c r="B3990" i="16"/>
  <c r="B3991" i="16"/>
  <c r="B3992" i="16"/>
  <c r="B3993" i="16"/>
  <c r="B3994" i="16"/>
  <c r="B3995" i="16"/>
  <c r="B3996" i="16"/>
  <c r="B3997" i="16"/>
  <c r="B3998" i="16"/>
  <c r="B3999" i="16"/>
  <c r="B4000" i="16"/>
  <c r="B4001" i="16"/>
  <c r="B4002" i="16"/>
  <c r="B4003" i="16"/>
  <c r="B4004" i="16"/>
  <c r="B4005" i="16"/>
  <c r="B4006" i="16"/>
  <c r="B4007" i="16"/>
  <c r="B4008" i="16"/>
  <c r="B4009" i="16"/>
  <c r="B4010" i="16"/>
  <c r="B4011" i="16"/>
  <c r="B4012" i="16"/>
  <c r="B4013" i="16"/>
  <c r="B4014" i="16"/>
  <c r="B4015" i="16"/>
  <c r="B4016" i="16"/>
  <c r="B4017" i="16"/>
  <c r="B4018" i="16"/>
  <c r="B4019" i="16"/>
  <c r="B4020" i="16"/>
  <c r="B4021" i="16"/>
  <c r="B4022" i="16"/>
  <c r="B4023" i="16"/>
  <c r="B4024" i="16"/>
  <c r="B4025" i="16"/>
  <c r="B4026" i="16"/>
  <c r="B4027" i="16"/>
  <c r="B4028" i="16"/>
  <c r="B4029" i="16"/>
  <c r="B4030" i="16"/>
  <c r="B4031" i="16"/>
  <c r="B4032" i="16"/>
  <c r="B4033" i="16"/>
  <c r="B4034" i="16"/>
  <c r="B4035" i="16"/>
  <c r="B4036" i="16"/>
  <c r="B4037" i="16"/>
  <c r="B4038" i="16"/>
  <c r="B4039" i="16"/>
  <c r="B4040" i="16"/>
  <c r="B4041" i="16"/>
  <c r="B4042" i="16"/>
  <c r="B4043" i="16"/>
  <c r="B4044" i="16"/>
  <c r="B4045" i="16"/>
  <c r="B4046" i="16"/>
  <c r="B4047" i="16"/>
  <c r="B4048" i="16"/>
  <c r="B4049" i="16"/>
  <c r="B4050" i="16"/>
  <c r="B4051" i="16"/>
  <c r="B4052" i="16"/>
  <c r="B4053" i="16"/>
  <c r="B4054" i="16"/>
  <c r="B4055" i="16"/>
  <c r="B4056" i="16"/>
  <c r="B4057" i="16"/>
  <c r="B4058" i="16"/>
  <c r="B4059" i="16"/>
  <c r="B4060" i="16"/>
  <c r="B4061" i="16"/>
  <c r="B4062" i="16"/>
  <c r="B4063" i="16"/>
  <c r="B4064" i="16"/>
  <c r="B4065" i="16"/>
  <c r="B4066" i="16"/>
  <c r="B4067" i="16"/>
  <c r="B4068" i="16"/>
  <c r="B4069" i="16"/>
  <c r="B4070" i="16"/>
  <c r="B4071" i="16"/>
  <c r="B4072" i="16"/>
  <c r="B4073" i="16"/>
  <c r="B4074" i="16"/>
  <c r="B4075" i="16"/>
  <c r="B4076" i="16"/>
  <c r="B4077" i="16"/>
  <c r="B4078" i="16"/>
  <c r="B4079" i="16"/>
  <c r="B4080" i="16"/>
  <c r="B4081" i="16"/>
  <c r="B4082" i="16"/>
  <c r="B4083" i="16"/>
  <c r="B4084" i="16"/>
  <c r="B4085" i="16"/>
  <c r="B4086" i="16"/>
  <c r="B4087" i="16"/>
  <c r="B4088" i="16"/>
  <c r="B4089" i="16"/>
  <c r="B4090" i="16"/>
  <c r="B4091" i="16"/>
  <c r="B4092" i="16"/>
  <c r="B4093" i="16"/>
  <c r="B4094" i="16"/>
  <c r="B4095" i="16"/>
  <c r="B4096" i="16"/>
  <c r="B4097" i="16"/>
  <c r="B4098" i="16"/>
  <c r="B4099" i="16"/>
  <c r="B4100" i="16"/>
  <c r="B4101" i="16"/>
  <c r="B4102" i="16"/>
  <c r="B4103" i="16"/>
  <c r="B4104" i="16"/>
  <c r="B4105" i="16"/>
  <c r="B4106" i="16"/>
  <c r="B4107" i="16"/>
  <c r="B4108" i="16"/>
  <c r="B4109" i="16"/>
  <c r="B4110" i="16"/>
  <c r="B4111" i="16"/>
  <c r="B4112" i="16"/>
  <c r="B4113" i="16"/>
  <c r="B4114" i="16"/>
  <c r="B4115" i="16"/>
  <c r="B4116" i="16"/>
  <c r="B4117" i="16"/>
  <c r="B4118" i="16"/>
  <c r="B4119" i="16"/>
  <c r="B4120" i="16"/>
  <c r="B4121" i="16"/>
  <c r="B4122" i="16"/>
  <c r="B4123" i="16"/>
  <c r="B4124" i="16"/>
  <c r="B4125" i="16"/>
  <c r="B4126" i="16"/>
  <c r="B4127" i="16"/>
  <c r="B4128" i="16"/>
  <c r="B4129" i="16"/>
  <c r="B4130" i="16"/>
  <c r="B4131" i="16"/>
  <c r="B4132" i="16"/>
  <c r="B4133" i="16"/>
  <c r="B4134" i="16"/>
  <c r="B4135" i="16"/>
  <c r="B4136" i="16"/>
  <c r="B4137" i="16"/>
  <c r="B4138" i="16"/>
  <c r="B4139" i="16"/>
  <c r="B4140" i="16"/>
  <c r="B4141" i="16"/>
  <c r="B4142" i="16"/>
  <c r="B4143" i="16"/>
  <c r="B4144" i="16"/>
  <c r="B4145" i="16"/>
  <c r="B4146" i="16"/>
  <c r="B4147" i="16"/>
  <c r="B4148" i="16"/>
  <c r="B4149" i="16"/>
  <c r="B4150" i="16"/>
  <c r="B4151" i="16"/>
  <c r="B4152" i="16"/>
  <c r="B4153" i="16"/>
  <c r="B4154" i="16"/>
  <c r="B4155" i="16"/>
  <c r="B4156" i="16"/>
  <c r="B4157" i="16"/>
  <c r="B4158" i="16"/>
  <c r="B4159" i="16"/>
  <c r="B4160" i="16"/>
  <c r="B4161" i="16"/>
  <c r="B4162" i="16"/>
  <c r="B4163" i="16"/>
  <c r="B4164" i="16"/>
  <c r="B4165" i="16"/>
  <c r="B4166" i="16"/>
  <c r="B4167" i="16"/>
  <c r="B4168" i="16"/>
  <c r="B4169" i="16"/>
  <c r="B4170" i="16"/>
  <c r="B4171" i="16"/>
  <c r="B4172" i="16"/>
  <c r="B4173" i="16"/>
  <c r="B4174" i="16"/>
  <c r="B4175" i="16"/>
  <c r="B4176" i="16"/>
  <c r="B4177" i="16"/>
  <c r="B4178" i="16"/>
  <c r="B4179" i="16"/>
  <c r="B4180" i="16"/>
  <c r="B4181" i="16"/>
  <c r="B4182" i="16"/>
  <c r="B4183" i="16"/>
  <c r="B4184" i="16"/>
  <c r="B4185" i="16"/>
  <c r="B4186" i="16"/>
  <c r="B4187" i="16"/>
  <c r="B4188" i="16"/>
  <c r="B4189" i="16"/>
  <c r="B4190" i="16"/>
  <c r="B4191" i="16"/>
  <c r="B4192" i="16"/>
  <c r="B4193" i="16"/>
  <c r="B4194" i="16"/>
  <c r="B4195" i="16"/>
  <c r="B4196" i="16"/>
  <c r="B4197" i="16"/>
  <c r="B4198" i="16"/>
  <c r="B4199" i="16"/>
  <c r="B4200" i="16"/>
  <c r="B4201" i="16"/>
  <c r="B4202" i="16"/>
  <c r="B4203" i="16"/>
  <c r="B4204" i="16"/>
  <c r="B4205" i="16"/>
  <c r="B4206" i="16"/>
  <c r="B4207" i="16"/>
  <c r="B4208" i="16"/>
  <c r="B4209" i="16"/>
  <c r="B4210" i="16"/>
  <c r="B4211" i="16"/>
  <c r="B4212" i="16"/>
  <c r="B4213" i="16"/>
  <c r="B4214" i="16"/>
  <c r="B4215" i="16"/>
  <c r="B4216" i="16"/>
  <c r="B4217" i="16"/>
  <c r="B4218" i="16"/>
  <c r="B4219" i="16"/>
  <c r="B4220" i="16"/>
  <c r="B4221" i="16"/>
  <c r="B4222" i="16"/>
  <c r="B4223" i="16"/>
  <c r="B4224" i="16"/>
  <c r="B4225" i="16"/>
  <c r="B4226" i="16"/>
  <c r="B4227" i="16"/>
  <c r="B4228" i="16"/>
  <c r="B4229" i="16"/>
  <c r="B4230" i="16"/>
  <c r="B4231" i="16"/>
  <c r="B4232" i="16"/>
  <c r="B4233" i="16"/>
  <c r="B4234" i="16"/>
  <c r="B4235" i="16"/>
  <c r="B4236" i="16"/>
  <c r="B4237" i="16"/>
  <c r="B4238" i="16"/>
  <c r="B4239" i="16"/>
  <c r="B4240" i="16"/>
  <c r="B4241" i="16"/>
  <c r="B4242" i="16"/>
  <c r="B4243" i="16"/>
  <c r="B4244" i="16"/>
  <c r="B4245" i="16"/>
  <c r="B4246" i="16"/>
  <c r="B4247" i="16"/>
  <c r="B4248" i="16"/>
  <c r="B4249" i="16"/>
  <c r="B4250" i="16"/>
  <c r="B4251" i="16"/>
  <c r="B4252" i="16"/>
  <c r="B4253" i="16"/>
  <c r="B4254" i="16"/>
  <c r="B4255" i="16"/>
  <c r="B4256" i="16"/>
  <c r="B4257" i="16"/>
  <c r="B4258" i="16"/>
  <c r="B4259" i="16"/>
  <c r="B4260" i="16"/>
  <c r="B4261" i="16"/>
  <c r="B4262" i="16"/>
  <c r="B4263" i="16"/>
  <c r="B4264" i="16"/>
  <c r="B4265" i="16"/>
  <c r="B4266" i="16"/>
  <c r="B4267" i="16"/>
  <c r="B4268" i="16"/>
  <c r="B4269" i="16"/>
  <c r="B4270" i="16"/>
  <c r="B4271" i="16"/>
  <c r="B4272" i="16"/>
  <c r="B4273" i="16"/>
  <c r="B4274" i="16"/>
  <c r="B4275" i="16"/>
  <c r="B4276" i="16"/>
  <c r="B4277" i="16"/>
  <c r="B4278" i="16"/>
  <c r="B4279" i="16"/>
  <c r="B4280" i="16"/>
  <c r="B4281" i="16"/>
  <c r="B4282" i="16"/>
  <c r="B4283" i="16"/>
  <c r="B4284" i="16"/>
  <c r="B4285" i="16"/>
  <c r="B4286" i="16"/>
  <c r="B4287" i="16"/>
  <c r="B4288" i="16"/>
  <c r="B4289" i="16"/>
  <c r="B4290" i="16"/>
  <c r="B4291" i="16"/>
  <c r="B4292" i="16"/>
  <c r="B4293" i="16"/>
  <c r="B4294" i="16"/>
  <c r="B4295" i="16"/>
  <c r="B4296" i="16"/>
  <c r="B4297" i="16"/>
  <c r="B4298" i="16"/>
  <c r="B4299" i="16"/>
  <c r="B4300" i="16"/>
  <c r="B4301" i="16"/>
  <c r="B4302" i="16"/>
  <c r="B4303" i="16"/>
  <c r="B4304" i="16"/>
  <c r="B4305" i="16"/>
  <c r="B4306" i="16"/>
  <c r="B4307" i="16"/>
  <c r="B4308" i="16"/>
  <c r="B4309" i="16"/>
  <c r="B4310" i="16"/>
  <c r="B4311" i="16"/>
  <c r="B4312" i="16"/>
  <c r="B4313" i="16"/>
  <c r="B4314" i="16"/>
  <c r="B4315" i="16"/>
  <c r="B4316" i="16"/>
  <c r="B4317" i="16"/>
  <c r="B4318" i="16"/>
  <c r="B4319" i="16"/>
  <c r="B4320" i="16"/>
  <c r="B4321" i="16"/>
  <c r="B4322" i="16"/>
  <c r="B4323" i="16"/>
  <c r="B4324" i="16"/>
  <c r="B4325" i="16"/>
  <c r="B4326" i="16"/>
  <c r="B4327" i="16"/>
  <c r="B4328" i="16"/>
  <c r="B4329" i="16"/>
  <c r="B4330" i="16"/>
  <c r="B4331" i="16"/>
  <c r="B4332" i="16"/>
  <c r="B4333" i="16"/>
  <c r="B4334" i="16"/>
  <c r="B4335" i="16"/>
  <c r="B4336" i="16"/>
  <c r="B4337" i="16"/>
  <c r="B4338" i="16"/>
  <c r="B4339" i="16"/>
  <c r="B4340" i="16"/>
  <c r="B4341" i="16"/>
  <c r="B4342" i="16"/>
  <c r="B4343" i="16"/>
  <c r="B4344" i="16"/>
  <c r="B4345" i="16"/>
  <c r="B4346" i="16"/>
  <c r="B4347" i="16"/>
  <c r="B4348" i="16"/>
  <c r="B4349" i="16"/>
  <c r="B4350" i="16"/>
  <c r="B4351" i="16"/>
  <c r="B4352" i="16"/>
  <c r="B4353" i="16"/>
  <c r="B4354" i="16"/>
  <c r="B4355" i="16"/>
  <c r="B4356" i="16"/>
  <c r="B4357" i="16"/>
  <c r="B4358" i="16"/>
  <c r="B4359" i="16"/>
  <c r="B4360" i="16"/>
  <c r="B4361" i="16"/>
  <c r="B4362" i="16"/>
  <c r="B4363" i="16"/>
  <c r="B4364" i="16"/>
  <c r="B4365" i="16"/>
  <c r="B4366" i="16"/>
  <c r="B4367" i="16"/>
  <c r="B4368" i="16"/>
  <c r="B4369" i="16"/>
  <c r="B4370" i="16"/>
  <c r="B4371" i="16"/>
  <c r="B4372" i="16"/>
  <c r="B4373" i="16"/>
  <c r="B4374" i="16"/>
  <c r="B4375" i="16"/>
  <c r="B4376" i="16"/>
  <c r="B4377" i="16"/>
  <c r="B4378" i="16"/>
  <c r="B4379" i="16"/>
  <c r="B4380" i="16"/>
  <c r="B4381" i="16"/>
  <c r="B4382" i="16"/>
  <c r="B4383" i="16"/>
  <c r="B4384" i="16"/>
  <c r="B4385" i="16"/>
  <c r="B4386" i="16"/>
  <c r="B4387" i="16"/>
  <c r="B4388" i="16"/>
  <c r="B4389" i="16"/>
  <c r="B4390" i="16"/>
  <c r="B4391" i="16"/>
  <c r="B4392" i="16"/>
  <c r="B4393" i="16"/>
  <c r="B4394" i="16"/>
  <c r="B4395" i="16"/>
  <c r="B4396" i="16"/>
  <c r="B4397" i="16"/>
  <c r="B4398" i="16"/>
  <c r="B4399" i="16"/>
  <c r="B4400" i="16"/>
  <c r="B4401" i="16"/>
  <c r="B4402" i="16"/>
  <c r="B4403" i="16"/>
  <c r="B4404" i="16"/>
  <c r="B4405" i="16"/>
  <c r="B4406" i="16"/>
  <c r="B4407" i="16"/>
  <c r="B4408" i="16"/>
  <c r="B4409" i="16"/>
  <c r="B4410" i="16"/>
  <c r="B4411" i="16"/>
  <c r="B4412" i="16"/>
  <c r="B4413" i="16"/>
  <c r="B4414" i="16"/>
  <c r="B4415" i="16"/>
  <c r="B4416" i="16"/>
  <c r="B4417" i="16"/>
  <c r="B4418" i="16"/>
  <c r="B4419" i="16"/>
  <c r="B4420" i="16"/>
  <c r="B4421" i="16"/>
  <c r="B4422" i="16"/>
  <c r="B4423" i="16"/>
  <c r="B4424" i="16"/>
  <c r="B4425" i="16"/>
  <c r="B4426" i="16"/>
  <c r="B4427" i="16"/>
  <c r="B4428" i="16"/>
  <c r="B4429" i="16"/>
  <c r="B4430" i="16"/>
  <c r="B4431" i="16"/>
  <c r="B4432" i="16"/>
  <c r="B4433" i="16"/>
  <c r="B4434" i="16"/>
  <c r="B4435" i="16"/>
  <c r="B4436" i="16"/>
  <c r="B4437" i="16"/>
  <c r="B4438" i="16"/>
  <c r="B4439" i="16"/>
  <c r="B4440" i="16"/>
  <c r="B4441" i="16"/>
  <c r="B4442" i="16"/>
  <c r="B4443" i="16"/>
  <c r="B4444" i="16"/>
  <c r="B4445" i="16"/>
  <c r="B4446" i="16"/>
  <c r="B4447" i="16"/>
  <c r="B4448" i="16"/>
  <c r="B4449" i="16"/>
  <c r="B4450" i="16"/>
  <c r="B4451" i="16"/>
  <c r="B4452" i="16"/>
  <c r="B4453" i="16"/>
  <c r="B4454" i="16"/>
  <c r="B4455" i="16"/>
  <c r="B4456" i="16"/>
  <c r="B4457" i="16"/>
  <c r="B4458" i="16"/>
  <c r="B4459" i="16"/>
  <c r="B4460" i="16"/>
  <c r="B4461" i="16"/>
  <c r="B4462" i="16"/>
  <c r="B4463" i="16"/>
  <c r="B4464" i="16"/>
  <c r="B4465" i="16"/>
  <c r="B4466" i="16"/>
  <c r="B4467" i="16"/>
  <c r="B4468" i="16"/>
  <c r="B4469" i="16"/>
  <c r="B4470" i="16"/>
  <c r="B4471" i="16"/>
  <c r="B4472" i="16"/>
  <c r="B4473" i="16"/>
  <c r="B4474" i="16"/>
  <c r="B4475" i="16"/>
  <c r="B4476" i="16"/>
  <c r="B4477" i="16"/>
  <c r="B4478" i="16"/>
  <c r="B4479" i="16"/>
  <c r="B4480" i="16"/>
  <c r="B4481" i="16"/>
  <c r="B4482" i="16"/>
  <c r="B4483" i="16"/>
  <c r="B4484" i="16"/>
  <c r="B4485" i="16"/>
  <c r="B4486" i="16"/>
  <c r="B4487" i="16"/>
  <c r="B4488" i="16"/>
  <c r="B4489" i="16"/>
  <c r="B4490" i="16"/>
  <c r="B4491" i="16"/>
  <c r="B4492" i="16"/>
  <c r="B4493" i="16"/>
  <c r="B4494" i="16"/>
  <c r="B4495" i="16"/>
  <c r="B4496" i="16"/>
  <c r="B4497" i="16"/>
  <c r="B4498" i="16"/>
  <c r="B4499" i="16"/>
  <c r="B4500" i="16"/>
  <c r="B4501" i="16"/>
  <c r="B4502" i="16"/>
  <c r="B4503" i="16"/>
  <c r="B4504" i="16"/>
  <c r="B4505" i="16"/>
  <c r="B4506" i="16"/>
  <c r="B4507" i="16"/>
  <c r="B4508" i="16"/>
  <c r="B4509" i="16"/>
  <c r="B4510" i="16"/>
  <c r="B4511" i="16"/>
  <c r="B4512" i="16"/>
  <c r="B4513" i="16"/>
  <c r="B4514" i="16"/>
  <c r="B4515" i="16"/>
  <c r="B4516" i="16"/>
  <c r="B4517" i="16"/>
  <c r="B4518" i="16"/>
  <c r="B4519" i="16"/>
  <c r="B4520" i="16"/>
  <c r="B4521" i="16"/>
  <c r="B4522" i="16"/>
  <c r="B4523" i="16"/>
  <c r="B4524" i="16"/>
  <c r="B4525" i="16"/>
  <c r="B4526" i="16"/>
  <c r="B4527" i="16"/>
  <c r="B4528" i="16"/>
  <c r="B4529" i="16"/>
  <c r="B4530" i="16"/>
  <c r="B4531" i="16"/>
  <c r="B4532" i="16"/>
  <c r="B4533" i="16"/>
  <c r="B4534" i="16"/>
  <c r="B4535" i="16"/>
  <c r="B4536" i="16"/>
  <c r="B4537" i="16"/>
  <c r="B4538" i="16"/>
  <c r="B4539" i="16"/>
  <c r="B4540" i="16"/>
  <c r="B4541" i="16"/>
  <c r="B4542" i="16"/>
  <c r="B4543" i="16"/>
  <c r="B4544" i="16"/>
  <c r="B4545" i="16"/>
  <c r="B4546" i="16"/>
  <c r="B4547" i="16"/>
  <c r="B4548" i="16"/>
  <c r="B4549" i="16"/>
  <c r="B4550" i="16"/>
  <c r="B4551" i="16"/>
  <c r="B4552" i="16"/>
  <c r="B4553" i="16"/>
  <c r="B4554" i="16"/>
  <c r="B4555" i="16"/>
  <c r="B4556" i="16"/>
  <c r="B4557" i="16"/>
  <c r="B4558" i="16"/>
  <c r="B4559" i="16"/>
  <c r="B4560" i="16"/>
  <c r="B4561" i="16"/>
  <c r="B4562" i="16"/>
  <c r="B4563" i="16"/>
  <c r="B4564" i="16"/>
  <c r="B4565" i="16"/>
  <c r="B4566" i="16"/>
  <c r="B4567" i="16"/>
  <c r="B4568" i="16"/>
  <c r="B4569" i="16"/>
  <c r="B4570" i="16"/>
  <c r="B4571" i="16"/>
  <c r="B4572" i="16"/>
  <c r="B4573" i="16"/>
  <c r="B4574" i="16"/>
  <c r="B4575" i="16"/>
  <c r="B4576" i="16"/>
  <c r="B4577" i="16"/>
  <c r="B4578" i="16"/>
  <c r="B4579" i="16"/>
  <c r="B4580" i="16"/>
  <c r="B4581" i="16"/>
  <c r="B4582" i="16"/>
  <c r="B4583" i="16"/>
  <c r="B4584" i="16"/>
  <c r="B4585" i="16"/>
  <c r="B4586" i="16"/>
  <c r="B4587" i="16"/>
  <c r="B4588" i="16"/>
  <c r="B4589" i="16"/>
  <c r="B4590" i="16"/>
  <c r="B4591" i="16"/>
  <c r="B4592" i="16"/>
  <c r="B4593" i="16"/>
  <c r="B4594" i="16"/>
  <c r="B4595" i="16"/>
  <c r="B4596" i="16"/>
  <c r="B4597" i="16"/>
  <c r="B4598" i="16"/>
  <c r="B4599" i="16"/>
  <c r="B4600" i="16"/>
  <c r="B4601" i="16"/>
  <c r="B4602" i="16"/>
  <c r="B4603" i="16"/>
  <c r="B4604" i="16"/>
  <c r="B4605" i="16"/>
  <c r="B4606" i="16"/>
  <c r="B4607" i="16"/>
  <c r="B4608" i="16"/>
  <c r="B4609" i="16"/>
  <c r="B4610" i="16"/>
  <c r="B4611" i="16"/>
  <c r="B4612" i="16"/>
  <c r="B4613" i="16"/>
  <c r="B4614" i="16"/>
  <c r="B4615" i="16"/>
  <c r="B4616" i="16"/>
  <c r="B4617" i="16"/>
  <c r="B4618" i="16"/>
  <c r="B4619" i="16"/>
  <c r="B4620" i="16"/>
  <c r="B4621" i="16"/>
  <c r="B4622" i="16"/>
  <c r="B4623" i="16"/>
  <c r="B4624" i="16"/>
  <c r="B4625" i="16"/>
  <c r="B4626" i="16"/>
  <c r="B4627" i="16"/>
  <c r="B4628" i="16"/>
  <c r="B4629" i="16"/>
  <c r="B4630" i="16"/>
  <c r="B4631" i="16"/>
  <c r="B4632" i="16"/>
  <c r="B4633" i="16"/>
  <c r="B4634" i="16"/>
  <c r="B4635" i="16"/>
  <c r="B4636" i="16"/>
  <c r="B4637" i="16"/>
  <c r="B4638" i="16"/>
  <c r="B4639" i="16"/>
  <c r="B4640" i="16"/>
  <c r="B4641" i="16"/>
  <c r="B4642" i="16"/>
  <c r="B4643" i="16"/>
  <c r="B4644" i="16"/>
  <c r="B4645" i="16"/>
  <c r="B4646" i="16"/>
  <c r="B4647" i="16"/>
  <c r="B4648" i="16"/>
  <c r="B4649" i="16"/>
  <c r="B4650" i="16"/>
  <c r="B4651" i="16"/>
  <c r="B4652" i="16"/>
  <c r="B4653" i="16"/>
  <c r="B4654" i="16"/>
  <c r="B4655" i="16"/>
  <c r="B4656" i="16"/>
  <c r="B4657" i="16"/>
  <c r="B4658" i="16"/>
  <c r="B4659" i="16"/>
  <c r="B4660" i="16"/>
  <c r="B4661" i="16"/>
  <c r="B4662" i="16"/>
  <c r="B4663" i="16"/>
  <c r="B4664" i="16"/>
  <c r="B4665" i="16"/>
  <c r="B4666" i="16"/>
  <c r="B4667" i="16"/>
  <c r="B4668" i="16"/>
  <c r="B4669" i="16"/>
  <c r="B4670" i="16"/>
  <c r="B4671" i="16"/>
  <c r="B4672" i="16"/>
  <c r="B4673" i="16"/>
  <c r="B4674" i="16"/>
  <c r="B4675" i="16"/>
  <c r="B4676" i="16"/>
  <c r="B4677" i="16"/>
  <c r="B4678" i="16"/>
  <c r="B4679" i="16"/>
  <c r="B4680" i="16"/>
  <c r="B4681" i="16"/>
  <c r="B4682" i="16"/>
  <c r="B4683" i="16"/>
  <c r="B4684" i="16"/>
  <c r="B4685" i="16"/>
  <c r="B4686" i="16"/>
  <c r="B4687" i="16"/>
  <c r="B4688" i="16"/>
  <c r="B4689" i="16"/>
  <c r="B4690" i="16"/>
  <c r="B4691" i="16"/>
  <c r="B4692" i="16"/>
  <c r="B4693" i="16"/>
  <c r="B4694" i="16"/>
  <c r="B4695" i="16"/>
  <c r="B4696" i="16"/>
  <c r="B4697" i="16"/>
  <c r="B4698" i="16"/>
  <c r="B4699" i="16"/>
  <c r="B4700" i="16"/>
  <c r="B4701" i="16"/>
  <c r="B4702" i="16"/>
  <c r="B4703" i="16"/>
  <c r="B4704" i="16"/>
  <c r="B4705" i="16"/>
  <c r="B4706" i="16"/>
  <c r="B4707" i="16"/>
  <c r="B4708" i="16"/>
  <c r="B4709" i="16"/>
  <c r="B4710" i="16"/>
  <c r="B4711" i="16"/>
  <c r="B4712" i="16"/>
  <c r="B4713" i="16"/>
  <c r="B4714" i="16"/>
  <c r="B4715" i="16"/>
  <c r="B4716" i="16"/>
  <c r="B4717" i="16"/>
  <c r="B4718" i="16"/>
  <c r="B4719" i="16"/>
  <c r="B4720" i="16"/>
  <c r="B4721" i="16"/>
  <c r="B4722" i="16"/>
  <c r="B4723" i="16"/>
  <c r="B4724" i="16"/>
  <c r="B4725" i="16"/>
  <c r="B4726" i="16"/>
  <c r="B4727" i="16"/>
  <c r="B4728" i="16"/>
  <c r="B4729" i="16"/>
  <c r="B4730" i="16"/>
  <c r="B4731" i="16"/>
  <c r="B4732" i="16"/>
  <c r="B4733" i="16"/>
  <c r="B4734" i="16"/>
  <c r="B4735" i="16"/>
  <c r="B4736" i="16"/>
  <c r="B4737" i="16"/>
  <c r="B4738" i="16"/>
  <c r="B4739" i="16"/>
  <c r="B4740" i="16"/>
  <c r="B4741" i="16"/>
  <c r="B4742" i="16"/>
  <c r="B4743" i="16"/>
  <c r="B4744" i="16"/>
  <c r="B4745" i="16"/>
  <c r="B4746" i="16"/>
  <c r="B4747" i="16"/>
  <c r="B4748" i="16"/>
  <c r="B4749" i="16"/>
  <c r="B4750" i="16"/>
  <c r="B4751" i="16"/>
  <c r="B4752" i="16"/>
  <c r="B4753" i="16"/>
  <c r="B4754" i="16"/>
  <c r="B4755" i="16"/>
  <c r="B4756" i="16"/>
  <c r="B4757" i="16"/>
  <c r="B4758" i="16"/>
  <c r="B4759" i="16"/>
  <c r="B4760" i="16"/>
  <c r="B4761" i="16"/>
  <c r="B4762" i="16"/>
  <c r="B4763" i="16"/>
  <c r="B4764" i="16"/>
  <c r="B4765" i="16"/>
  <c r="B4766" i="16"/>
  <c r="B4767" i="16"/>
  <c r="B4768" i="16"/>
  <c r="B4769" i="16"/>
  <c r="B4770" i="16"/>
  <c r="B4771" i="16"/>
  <c r="B4772" i="16"/>
  <c r="B4773" i="16"/>
  <c r="B4774" i="16"/>
  <c r="B4775" i="16"/>
  <c r="B4776" i="16"/>
  <c r="B4777" i="16"/>
  <c r="B4778" i="16"/>
  <c r="B4779" i="16"/>
  <c r="B4780" i="16"/>
  <c r="B4781" i="16"/>
  <c r="B4782" i="16"/>
  <c r="B4783" i="16"/>
  <c r="B4784" i="16"/>
  <c r="B4785" i="16"/>
  <c r="B4786" i="16"/>
  <c r="B4787" i="16"/>
  <c r="B4788" i="16"/>
  <c r="B4789" i="16"/>
  <c r="B4790" i="16"/>
  <c r="B4791" i="16"/>
  <c r="B4792" i="16"/>
  <c r="B4793" i="16"/>
  <c r="B4794" i="16"/>
  <c r="B4795" i="16"/>
  <c r="B4796" i="16"/>
  <c r="B4797" i="16"/>
  <c r="B4798" i="16"/>
  <c r="B4799" i="16"/>
  <c r="B4800" i="16"/>
  <c r="B4801" i="16"/>
  <c r="B4802" i="16"/>
  <c r="B4803" i="16"/>
  <c r="B4804" i="16"/>
  <c r="B4805" i="16"/>
  <c r="B4806" i="16"/>
  <c r="B4807" i="16"/>
  <c r="B4808" i="16"/>
  <c r="B4809" i="16"/>
  <c r="B4810" i="16"/>
  <c r="B4811" i="16"/>
  <c r="B4812" i="16"/>
  <c r="B4813" i="16"/>
  <c r="B4814" i="16"/>
  <c r="B4815" i="16"/>
  <c r="B4816" i="16"/>
  <c r="B4817" i="16"/>
  <c r="B4818" i="16"/>
  <c r="B4819" i="16"/>
  <c r="B4820" i="16"/>
  <c r="B4821" i="16"/>
  <c r="B4822" i="16"/>
  <c r="B4823" i="16"/>
  <c r="B4824" i="16"/>
  <c r="B4825" i="16"/>
  <c r="B4826" i="16"/>
  <c r="B4827" i="16"/>
  <c r="B4828" i="16"/>
  <c r="B4829" i="16"/>
  <c r="B4830" i="16"/>
  <c r="B4831" i="16"/>
  <c r="B4832" i="16"/>
  <c r="B4833" i="16"/>
  <c r="B4834" i="16"/>
  <c r="B4835" i="16"/>
  <c r="B4836" i="16"/>
  <c r="B4837" i="16"/>
  <c r="B4838" i="16"/>
  <c r="B4839" i="16"/>
  <c r="B4840" i="16"/>
  <c r="B4841" i="16"/>
  <c r="B4842" i="16"/>
  <c r="B4843" i="16"/>
  <c r="B4844" i="16"/>
  <c r="B4845" i="16"/>
  <c r="B4846" i="16"/>
  <c r="B4847" i="16"/>
  <c r="B4848" i="16"/>
  <c r="B4849" i="16"/>
  <c r="B4850" i="16"/>
  <c r="B4851" i="16"/>
  <c r="B4852" i="16"/>
  <c r="B4853" i="16"/>
  <c r="B4854" i="16"/>
  <c r="B4855" i="16"/>
  <c r="B4856" i="16"/>
  <c r="B4857" i="16"/>
  <c r="B4858" i="16"/>
  <c r="B4859" i="16"/>
  <c r="B4860" i="16"/>
  <c r="B4861" i="16"/>
  <c r="B4862" i="16"/>
  <c r="B4863" i="16"/>
  <c r="B4864" i="16"/>
  <c r="B4865" i="16"/>
  <c r="B4866" i="16"/>
  <c r="B4867" i="16"/>
  <c r="B4868" i="16"/>
  <c r="B4869" i="16"/>
  <c r="B4870" i="16"/>
  <c r="B4871" i="16"/>
  <c r="B4872" i="16"/>
  <c r="B4873" i="16"/>
  <c r="B4874" i="16"/>
  <c r="B4875" i="16"/>
  <c r="B4876" i="16"/>
  <c r="B4877" i="16"/>
  <c r="B4878" i="16"/>
  <c r="B4879" i="16"/>
  <c r="B4880" i="16"/>
  <c r="B4881" i="16"/>
  <c r="B4882" i="16"/>
  <c r="B4883" i="16"/>
  <c r="B4884" i="16"/>
  <c r="B4885" i="16"/>
  <c r="B4886" i="16"/>
  <c r="B4887" i="16"/>
  <c r="B4888" i="16"/>
  <c r="B4889" i="16"/>
  <c r="B4890" i="16"/>
  <c r="B4891" i="16"/>
  <c r="B4892" i="16"/>
  <c r="B4893" i="16"/>
  <c r="B4894" i="16"/>
  <c r="B4895" i="16"/>
  <c r="B4896" i="16"/>
  <c r="B4897" i="16"/>
  <c r="B4898" i="16"/>
  <c r="B4899" i="16"/>
  <c r="B4900" i="16"/>
  <c r="B4901" i="16"/>
  <c r="B4902" i="16"/>
  <c r="B4903" i="16"/>
  <c r="B4904" i="16"/>
  <c r="B4905" i="16"/>
  <c r="B4906" i="16"/>
  <c r="B4907" i="16"/>
  <c r="B4908" i="16"/>
  <c r="B4909" i="16"/>
  <c r="B4910" i="16"/>
  <c r="B4911" i="16"/>
  <c r="B4912" i="16"/>
  <c r="B4913" i="16"/>
  <c r="B4914" i="16"/>
  <c r="B4915" i="16"/>
  <c r="B4916" i="16"/>
  <c r="B4917" i="16"/>
  <c r="B4918" i="16"/>
  <c r="B4919" i="16"/>
  <c r="B4920" i="16"/>
  <c r="B4921" i="16"/>
  <c r="B4922" i="16"/>
  <c r="B4923" i="16"/>
  <c r="B4924" i="16"/>
  <c r="B4925" i="16"/>
  <c r="B4926" i="16"/>
  <c r="B4927" i="16"/>
  <c r="B4928" i="16"/>
  <c r="B4929" i="16"/>
  <c r="B4930" i="16"/>
  <c r="B4931" i="16"/>
  <c r="B4932" i="16"/>
  <c r="B4933" i="16"/>
  <c r="B4934" i="16"/>
  <c r="B4935" i="16"/>
  <c r="B4936" i="16"/>
  <c r="B4937" i="16"/>
  <c r="B4938" i="16"/>
  <c r="B4939" i="16"/>
  <c r="B4940" i="16"/>
  <c r="B4941" i="16"/>
  <c r="B4942" i="16"/>
  <c r="B4943" i="16"/>
  <c r="B4944" i="16"/>
  <c r="B4945" i="16"/>
  <c r="B4946" i="16"/>
  <c r="B4947" i="16"/>
  <c r="B4948" i="16"/>
  <c r="B4949" i="16"/>
  <c r="B4950" i="16"/>
  <c r="B4951" i="16"/>
  <c r="B4952" i="16"/>
  <c r="B4953" i="16"/>
  <c r="B4954" i="16"/>
  <c r="B4955" i="16"/>
  <c r="B4956" i="16"/>
  <c r="B4957" i="16"/>
  <c r="B4958" i="16"/>
  <c r="B4959" i="16"/>
  <c r="B4960" i="16"/>
  <c r="B4961" i="16"/>
  <c r="B4962" i="16"/>
  <c r="B4963" i="16"/>
  <c r="B4964" i="16"/>
  <c r="B4965" i="16"/>
  <c r="B4966" i="16"/>
  <c r="B4967" i="16"/>
  <c r="B4968" i="16"/>
  <c r="B4969" i="16"/>
  <c r="B4970" i="16"/>
  <c r="B4971" i="16"/>
  <c r="B4972" i="16"/>
  <c r="B4973" i="16"/>
  <c r="B4974" i="16"/>
  <c r="B4975" i="16"/>
  <c r="B4976" i="16"/>
  <c r="B4977" i="16"/>
  <c r="B4978" i="16"/>
  <c r="B4979" i="16"/>
  <c r="B4980" i="16"/>
  <c r="B4981" i="16"/>
  <c r="B4982" i="16"/>
  <c r="B4983" i="16"/>
  <c r="B4984" i="16"/>
  <c r="B4985" i="16"/>
  <c r="B4986" i="16"/>
  <c r="B4987" i="16"/>
  <c r="B4988" i="16"/>
  <c r="B4989" i="16"/>
  <c r="B4990" i="16"/>
  <c r="B4991" i="16"/>
  <c r="B4992" i="16"/>
  <c r="B4993" i="16"/>
  <c r="B4994" i="16"/>
  <c r="B4995" i="16"/>
  <c r="B4996" i="16"/>
  <c r="B4997" i="16"/>
  <c r="B4998" i="16"/>
  <c r="B4999" i="16"/>
  <c r="B5000" i="16"/>
  <c r="B5001" i="16"/>
  <c r="B5002" i="16"/>
  <c r="B5003" i="16"/>
  <c r="B5004" i="16"/>
  <c r="B5005" i="16"/>
  <c r="B5006" i="16"/>
  <c r="B5007" i="16"/>
  <c r="B5008" i="16"/>
  <c r="B5009" i="16"/>
  <c r="B5010" i="16"/>
  <c r="B5011" i="16"/>
  <c r="B5012" i="16"/>
  <c r="B5013" i="16"/>
  <c r="B5014" i="16"/>
  <c r="B5015" i="16"/>
  <c r="B5016" i="16"/>
  <c r="B5017" i="16"/>
  <c r="B5018" i="16"/>
  <c r="B5019" i="16"/>
  <c r="B5020" i="16"/>
  <c r="B5021" i="16"/>
  <c r="B5022" i="16"/>
  <c r="B5023" i="16"/>
  <c r="B5024" i="16"/>
  <c r="B5025" i="16"/>
  <c r="B5026" i="16"/>
  <c r="B5027" i="16"/>
  <c r="B5028" i="16"/>
  <c r="B5029" i="16"/>
  <c r="B5030" i="16"/>
  <c r="B5031" i="16"/>
  <c r="B5032" i="16"/>
  <c r="B5033" i="16"/>
  <c r="B5034" i="16"/>
  <c r="B5035" i="16"/>
  <c r="B5036" i="16"/>
  <c r="B5037" i="16"/>
  <c r="B5038" i="16"/>
  <c r="B5039" i="16"/>
  <c r="B5040" i="16"/>
  <c r="B5041" i="16"/>
  <c r="B5042" i="16"/>
  <c r="B5043" i="16"/>
  <c r="B5044" i="16"/>
  <c r="B5045" i="16"/>
  <c r="B5046" i="16"/>
  <c r="B5047" i="16"/>
  <c r="B5048" i="16"/>
  <c r="B5049" i="16"/>
  <c r="B5050" i="16"/>
  <c r="B5051" i="16"/>
  <c r="B5052" i="16"/>
  <c r="B5053" i="16"/>
  <c r="B5054" i="16"/>
  <c r="B5055" i="16"/>
  <c r="B5056" i="16"/>
  <c r="B5057" i="16"/>
  <c r="B5058" i="16"/>
  <c r="B5059" i="16"/>
  <c r="B5060" i="16"/>
  <c r="B5061" i="16"/>
  <c r="B5062" i="16"/>
  <c r="B5063" i="16"/>
  <c r="B5064" i="16"/>
  <c r="B5065" i="16"/>
  <c r="B5066" i="16"/>
  <c r="B5067" i="16"/>
  <c r="B5068" i="16"/>
  <c r="B5069" i="16"/>
  <c r="B5070" i="16"/>
  <c r="B5071" i="16"/>
  <c r="B5072" i="16"/>
  <c r="B5073" i="16"/>
  <c r="B5074" i="16"/>
  <c r="B5075" i="16"/>
  <c r="B5076" i="16"/>
  <c r="B5077" i="16"/>
  <c r="B5078" i="16"/>
  <c r="B5079" i="16"/>
  <c r="B5080" i="16"/>
  <c r="B5081" i="16"/>
  <c r="B5082" i="16"/>
  <c r="B5083" i="16"/>
  <c r="B5084" i="16"/>
  <c r="B5085" i="16"/>
  <c r="B5086" i="16"/>
  <c r="B5087" i="16"/>
  <c r="B5088" i="16"/>
  <c r="B5089" i="16"/>
  <c r="B5090" i="16"/>
  <c r="B5091" i="16"/>
  <c r="B5092" i="16"/>
  <c r="B5093" i="16"/>
  <c r="B5094" i="16"/>
  <c r="B5095" i="16"/>
  <c r="B5096" i="16"/>
  <c r="B5097" i="16"/>
  <c r="B5098" i="16"/>
  <c r="B5099" i="16"/>
  <c r="B5100" i="16"/>
  <c r="B5101" i="16"/>
  <c r="B5102" i="16"/>
  <c r="B5103" i="16"/>
  <c r="B5104" i="16"/>
  <c r="B5105" i="16"/>
  <c r="B5106" i="16"/>
  <c r="B5107" i="16"/>
  <c r="B5108" i="16"/>
  <c r="B5109" i="16"/>
  <c r="B5110" i="16"/>
  <c r="B5111" i="16"/>
  <c r="B5112" i="16"/>
  <c r="B5113" i="16"/>
  <c r="B5114" i="16"/>
  <c r="B3" i="16"/>
  <c r="B2" i="16"/>
  <c r="S4" i="13"/>
  <c r="S5" i="13"/>
  <c r="S6" i="13"/>
  <c r="S7" i="13"/>
  <c r="S8" i="13"/>
  <c r="S9" i="13"/>
  <c r="S10" i="13"/>
  <c r="S11" i="13"/>
  <c r="S12" i="13"/>
  <c r="S13" i="13"/>
  <c r="S14" i="13"/>
  <c r="S3" i="13"/>
  <c r="R10" i="13"/>
  <c r="R9" i="13"/>
  <c r="R8" i="13"/>
  <c r="O3" i="13"/>
  <c r="O4" i="13"/>
  <c r="O5" i="13"/>
  <c r="O6" i="13"/>
  <c r="O7" i="13"/>
  <c r="O8" i="13"/>
  <c r="O9" i="13"/>
  <c r="O10" i="13"/>
  <c r="O11" i="13"/>
  <c r="O12" i="13"/>
  <c r="O13" i="13"/>
  <c r="O14" i="13"/>
  <c r="O15" i="13"/>
  <c r="O2" i="13"/>
  <c r="N2" i="13"/>
  <c r="P10" i="13"/>
  <c r="P9" i="13"/>
  <c r="P8" i="13"/>
  <c r="P7" i="13"/>
  <c r="P6" i="13"/>
  <c r="P5" i="13"/>
  <c r="P4" i="13"/>
  <c r="P11" i="13"/>
  <c r="P12" i="13"/>
  <c r="P13" i="13"/>
  <c r="P14" i="13"/>
  <c r="P15" i="13"/>
  <c r="P3" i="13"/>
  <c r="P2" i="13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K33" i="9"/>
  <c r="K34" i="9"/>
  <c r="K35" i="9"/>
  <c r="K36" i="9"/>
  <c r="K37" i="9"/>
  <c r="K38" i="9"/>
  <c r="K39" i="9"/>
  <c r="K40" i="9"/>
  <c r="K41" i="9"/>
  <c r="K42" i="9"/>
  <c r="K43" i="9"/>
  <c r="K44" i="9"/>
  <c r="K45" i="9"/>
  <c r="K46" i="9"/>
  <c r="K47" i="9"/>
  <c r="K48" i="9"/>
  <c r="K49" i="9"/>
  <c r="K50" i="9"/>
  <c r="K51" i="9"/>
  <c r="K52" i="9"/>
  <c r="K53" i="9"/>
  <c r="K54" i="9"/>
  <c r="K55" i="9"/>
  <c r="K56" i="9"/>
  <c r="K57" i="9"/>
  <c r="K58" i="9"/>
  <c r="K59" i="9"/>
  <c r="K60" i="9"/>
  <c r="K61" i="9"/>
  <c r="K62" i="9"/>
  <c r="K63" i="9"/>
  <c r="K64" i="9"/>
  <c r="K65" i="9"/>
  <c r="K66" i="9"/>
  <c r="K67" i="9"/>
  <c r="K68" i="9"/>
  <c r="K69" i="9"/>
  <c r="K70" i="9"/>
  <c r="K71" i="9"/>
  <c r="K72" i="9"/>
  <c r="K73" i="9"/>
  <c r="K74" i="9"/>
  <c r="K75" i="9"/>
  <c r="K76" i="9"/>
  <c r="K77" i="9"/>
  <c r="K78" i="9"/>
  <c r="K79" i="9"/>
  <c r="K80" i="9"/>
  <c r="K81" i="9"/>
  <c r="K82" i="9"/>
  <c r="K83" i="9"/>
  <c r="K84" i="9"/>
  <c r="K85" i="9"/>
  <c r="K86" i="9"/>
  <c r="K87" i="9"/>
  <c r="K88" i="9"/>
  <c r="K89" i="9"/>
  <c r="K90" i="9"/>
  <c r="K91" i="9"/>
  <c r="K92" i="9"/>
  <c r="K93" i="9"/>
  <c r="K94" i="9"/>
  <c r="K95" i="9"/>
  <c r="K96" i="9"/>
  <c r="K97" i="9"/>
  <c r="K98" i="9"/>
  <c r="K99" i="9"/>
  <c r="K100" i="9"/>
  <c r="K101" i="9"/>
  <c r="K102" i="9"/>
  <c r="K103" i="9"/>
  <c r="K104" i="9"/>
  <c r="K105" i="9"/>
  <c r="K106" i="9"/>
  <c r="K107" i="9"/>
  <c r="K108" i="9"/>
  <c r="K109" i="9"/>
  <c r="K110" i="9"/>
  <c r="K111" i="9"/>
  <c r="K112" i="9"/>
  <c r="K113" i="9"/>
  <c r="K114" i="9"/>
  <c r="K115" i="9"/>
  <c r="K116" i="9"/>
  <c r="K117" i="9"/>
  <c r="K118" i="9"/>
  <c r="K119" i="9"/>
  <c r="K120" i="9"/>
  <c r="K121" i="9"/>
  <c r="K122" i="9"/>
  <c r="K123" i="9"/>
  <c r="K124" i="9"/>
  <c r="K125" i="9"/>
  <c r="K126" i="9"/>
  <c r="K127" i="9"/>
  <c r="K128" i="9"/>
  <c r="K129" i="9"/>
  <c r="K130" i="9"/>
  <c r="K131" i="9"/>
  <c r="K132" i="9"/>
  <c r="K133" i="9"/>
  <c r="K134" i="9"/>
  <c r="K135" i="9"/>
  <c r="K136" i="9"/>
  <c r="K137" i="9"/>
  <c r="K138" i="9"/>
  <c r="K139" i="9"/>
  <c r="K140" i="9"/>
  <c r="K141" i="9"/>
  <c r="K142" i="9"/>
  <c r="K143" i="9"/>
  <c r="K144" i="9"/>
  <c r="K145" i="9"/>
  <c r="K146" i="9"/>
  <c r="K147" i="9"/>
  <c r="K148" i="9"/>
  <c r="K149" i="9"/>
  <c r="K150" i="9"/>
  <c r="K151" i="9"/>
  <c r="K152" i="9"/>
  <c r="K153" i="9"/>
  <c r="K154" i="9"/>
  <c r="K155" i="9"/>
  <c r="K156" i="9"/>
  <c r="K157" i="9"/>
  <c r="K158" i="9"/>
  <c r="K159" i="9"/>
  <c r="K160" i="9"/>
  <c r="K161" i="9"/>
  <c r="K162" i="9"/>
  <c r="K163" i="9"/>
  <c r="K164" i="9"/>
  <c r="K165" i="9"/>
  <c r="K166" i="9"/>
  <c r="K167" i="9"/>
  <c r="K168" i="9"/>
  <c r="K169" i="9"/>
  <c r="K2" i="9"/>
  <c r="B4" i="9"/>
  <c r="D2" i="13"/>
  <c r="L2" i="13"/>
  <c r="N3" i="13"/>
  <c r="R3" i="13"/>
  <c r="N4" i="13"/>
  <c r="R4" i="13"/>
  <c r="N5" i="13"/>
  <c r="R5" i="13"/>
  <c r="N6" i="13"/>
  <c r="R6" i="13"/>
  <c r="N7" i="13"/>
  <c r="R7" i="13"/>
  <c r="N8" i="13"/>
  <c r="N9" i="13"/>
  <c r="N10" i="13"/>
  <c r="N11" i="13"/>
  <c r="R11" i="13"/>
  <c r="N12" i="13"/>
  <c r="R12" i="13"/>
  <c r="N13" i="13"/>
  <c r="R13" i="13"/>
  <c r="L14" i="13"/>
  <c r="N14" i="13"/>
  <c r="R14" i="13"/>
  <c r="N15" i="13"/>
  <c r="L26" i="13"/>
  <c r="D33" i="13"/>
  <c r="L38" i="13"/>
  <c r="F5116" i="9"/>
  <c r="H5116" i="4"/>
  <c r="I3" i="9"/>
  <c r="I4" i="9"/>
  <c r="I5" i="9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3" i="9"/>
  <c r="I34" i="9"/>
  <c r="I35" i="9"/>
  <c r="I36" i="9"/>
  <c r="I37" i="9"/>
  <c r="I38" i="9"/>
  <c r="I39" i="9"/>
  <c r="I40" i="9"/>
  <c r="I41" i="9"/>
  <c r="I42" i="9"/>
  <c r="I43" i="9"/>
  <c r="I44" i="9"/>
  <c r="I45" i="9"/>
  <c r="I46" i="9"/>
  <c r="I47" i="9"/>
  <c r="I48" i="9"/>
  <c r="I49" i="9"/>
  <c r="I50" i="9"/>
  <c r="I51" i="9"/>
  <c r="I52" i="9"/>
  <c r="I53" i="9"/>
  <c r="I54" i="9"/>
  <c r="I55" i="9"/>
  <c r="I56" i="9"/>
  <c r="I57" i="9"/>
  <c r="I58" i="9"/>
  <c r="I59" i="9"/>
  <c r="I60" i="9"/>
  <c r="I61" i="9"/>
  <c r="I62" i="9"/>
  <c r="I63" i="9"/>
  <c r="I64" i="9"/>
  <c r="I65" i="9"/>
  <c r="I66" i="9"/>
  <c r="I67" i="9"/>
  <c r="I68" i="9"/>
  <c r="I69" i="9"/>
  <c r="I70" i="9"/>
  <c r="I71" i="9"/>
  <c r="I72" i="9"/>
  <c r="I73" i="9"/>
  <c r="I74" i="9"/>
  <c r="I75" i="9"/>
  <c r="I76" i="9"/>
  <c r="I77" i="9"/>
  <c r="I78" i="9"/>
  <c r="I79" i="9"/>
  <c r="I80" i="9"/>
  <c r="I81" i="9"/>
  <c r="I82" i="9"/>
  <c r="I83" i="9"/>
  <c r="I84" i="9"/>
  <c r="I85" i="9"/>
  <c r="I86" i="9"/>
  <c r="I87" i="9"/>
  <c r="I88" i="9"/>
  <c r="I89" i="9"/>
  <c r="I90" i="9"/>
  <c r="I91" i="9"/>
  <c r="I92" i="9"/>
  <c r="I93" i="9"/>
  <c r="I94" i="9"/>
  <c r="I95" i="9"/>
  <c r="I96" i="9"/>
  <c r="I97" i="9"/>
  <c r="I98" i="9"/>
  <c r="I99" i="9"/>
  <c r="I100" i="9"/>
  <c r="I101" i="9"/>
  <c r="I102" i="9"/>
  <c r="I103" i="9"/>
  <c r="I104" i="9"/>
  <c r="I105" i="9"/>
  <c r="I106" i="9"/>
  <c r="I107" i="9"/>
  <c r="I108" i="9"/>
  <c r="I109" i="9"/>
  <c r="I110" i="9"/>
  <c r="I111" i="9"/>
  <c r="I112" i="9"/>
  <c r="I113" i="9"/>
  <c r="I114" i="9"/>
  <c r="I115" i="9"/>
  <c r="I116" i="9"/>
  <c r="I117" i="9"/>
  <c r="I118" i="9"/>
  <c r="I119" i="9"/>
  <c r="I120" i="9"/>
  <c r="I121" i="9"/>
  <c r="I122" i="9"/>
  <c r="I123" i="9"/>
  <c r="I124" i="9"/>
  <c r="I125" i="9"/>
  <c r="I126" i="9"/>
  <c r="I127" i="9"/>
  <c r="I128" i="9"/>
  <c r="I129" i="9"/>
  <c r="I130" i="9"/>
  <c r="I131" i="9"/>
  <c r="I132" i="9"/>
  <c r="I133" i="9"/>
  <c r="I134" i="9"/>
  <c r="I135" i="9"/>
  <c r="I136" i="9"/>
  <c r="I137" i="9"/>
  <c r="I138" i="9"/>
  <c r="I139" i="9"/>
  <c r="I140" i="9"/>
  <c r="I141" i="9"/>
  <c r="I142" i="9"/>
  <c r="I143" i="9"/>
  <c r="I144" i="9"/>
  <c r="I145" i="9"/>
  <c r="I146" i="9"/>
  <c r="I147" i="9"/>
  <c r="I148" i="9"/>
  <c r="I149" i="9"/>
  <c r="I150" i="9"/>
  <c r="I151" i="9"/>
  <c r="I152" i="9"/>
  <c r="I153" i="9"/>
  <c r="I154" i="9"/>
  <c r="I155" i="9"/>
  <c r="I156" i="9"/>
  <c r="I157" i="9"/>
  <c r="I158" i="9"/>
  <c r="I159" i="9"/>
  <c r="I160" i="9"/>
  <c r="I161" i="9"/>
  <c r="I162" i="9"/>
  <c r="I163" i="9"/>
  <c r="I164" i="9"/>
  <c r="I165" i="9"/>
  <c r="I166" i="9"/>
  <c r="I167" i="9"/>
  <c r="I168" i="9"/>
  <c r="I169" i="9"/>
  <c r="I2" i="9"/>
  <c r="J169" i="9"/>
  <c r="J168" i="9"/>
  <c r="J167" i="9"/>
  <c r="J166" i="9"/>
  <c r="J165" i="9"/>
  <c r="J164" i="9"/>
  <c r="J163" i="9"/>
  <c r="J162" i="9"/>
  <c r="J161" i="9"/>
  <c r="J160" i="9"/>
  <c r="J159" i="9"/>
  <c r="J158" i="9"/>
  <c r="J157" i="9"/>
  <c r="J156" i="9"/>
  <c r="J155" i="9"/>
  <c r="J154" i="9"/>
  <c r="J153" i="9"/>
  <c r="J152" i="9"/>
  <c r="J151" i="9"/>
  <c r="J150" i="9"/>
  <c r="J149" i="9"/>
  <c r="J148" i="9"/>
  <c r="J147" i="9"/>
  <c r="J146" i="9"/>
  <c r="J145" i="9"/>
  <c r="J144" i="9"/>
  <c r="J143" i="9"/>
  <c r="J142" i="9"/>
  <c r="J141" i="9"/>
  <c r="J140" i="9"/>
  <c r="J139" i="9"/>
  <c r="J138" i="9"/>
  <c r="J137" i="9"/>
  <c r="J136" i="9"/>
  <c r="J135" i="9"/>
  <c r="J134" i="9"/>
  <c r="J133" i="9"/>
  <c r="J132" i="9"/>
  <c r="J131" i="9"/>
  <c r="J130" i="9"/>
  <c r="J129" i="9"/>
  <c r="J128" i="9"/>
  <c r="J127" i="9"/>
  <c r="J126" i="9"/>
  <c r="J125" i="9"/>
  <c r="J124" i="9"/>
  <c r="J123" i="9"/>
  <c r="J122" i="9"/>
  <c r="J121" i="9"/>
  <c r="J120" i="9"/>
  <c r="J119" i="9"/>
  <c r="J118" i="9"/>
  <c r="J117" i="9"/>
  <c r="J116" i="9"/>
  <c r="J115" i="9"/>
  <c r="J114" i="9"/>
  <c r="J113" i="9"/>
  <c r="J112" i="9"/>
  <c r="J111" i="9"/>
  <c r="J110" i="9"/>
  <c r="J109" i="9"/>
  <c r="J108" i="9"/>
  <c r="J107" i="9"/>
  <c r="J106" i="9"/>
  <c r="J105" i="9"/>
  <c r="J104" i="9"/>
  <c r="J103" i="9"/>
  <c r="J102" i="9"/>
  <c r="J101" i="9"/>
  <c r="J100" i="9"/>
  <c r="J99" i="9"/>
  <c r="J98" i="9"/>
  <c r="J97" i="9"/>
  <c r="J96" i="9"/>
  <c r="J95" i="9"/>
  <c r="J94" i="9"/>
  <c r="J93" i="9"/>
  <c r="J92" i="9"/>
  <c r="J91" i="9"/>
  <c r="J90" i="9"/>
  <c r="J89" i="9"/>
  <c r="J88" i="9"/>
  <c r="J87" i="9"/>
  <c r="J86" i="9"/>
  <c r="J85" i="9"/>
  <c r="J84" i="9"/>
  <c r="J83" i="9"/>
  <c r="J82" i="9"/>
  <c r="J81" i="9"/>
  <c r="J80" i="9"/>
  <c r="J79" i="9"/>
  <c r="J78" i="9"/>
  <c r="J77" i="9"/>
  <c r="J76" i="9"/>
  <c r="J75" i="9"/>
  <c r="J74" i="9"/>
  <c r="J73" i="9"/>
  <c r="J72" i="9"/>
  <c r="J71" i="9"/>
  <c r="J70" i="9"/>
  <c r="J69" i="9"/>
  <c r="J68" i="9"/>
  <c r="J67" i="9"/>
  <c r="J66" i="9"/>
  <c r="J65" i="9"/>
  <c r="J64" i="9"/>
  <c r="J63" i="9"/>
  <c r="J62" i="9"/>
  <c r="J61" i="9"/>
  <c r="J60" i="9"/>
  <c r="J59" i="9"/>
  <c r="J58" i="9"/>
  <c r="J57" i="9"/>
  <c r="J56" i="9"/>
  <c r="J55" i="9"/>
  <c r="J54" i="9"/>
  <c r="J53" i="9"/>
  <c r="J52" i="9"/>
  <c r="J51" i="9"/>
  <c r="J50" i="9"/>
  <c r="J49" i="9"/>
  <c r="J48" i="9"/>
  <c r="J47" i="9"/>
  <c r="J46" i="9"/>
  <c r="J45" i="9"/>
  <c r="J44" i="9"/>
  <c r="J43" i="9"/>
  <c r="J42" i="9"/>
  <c r="J41" i="9"/>
  <c r="J40" i="9"/>
  <c r="J39" i="9"/>
  <c r="J38" i="9"/>
  <c r="J37" i="9"/>
  <c r="J36" i="9"/>
  <c r="J35" i="9"/>
  <c r="J34" i="9"/>
  <c r="J33" i="9"/>
  <c r="G33" i="9"/>
  <c r="J32" i="9"/>
  <c r="J31" i="9"/>
  <c r="J30" i="9"/>
  <c r="J29" i="9"/>
  <c r="J28" i="9"/>
  <c r="J27" i="9"/>
  <c r="J26" i="9"/>
  <c r="J25" i="9"/>
  <c r="J24" i="9"/>
  <c r="J23" i="9"/>
  <c r="J22" i="9"/>
  <c r="J21" i="9"/>
  <c r="J20" i="9"/>
  <c r="J19" i="9"/>
  <c r="J18" i="9"/>
  <c r="J17" i="9"/>
  <c r="J16" i="9"/>
  <c r="J15" i="9"/>
  <c r="J14" i="9"/>
  <c r="J13" i="9"/>
  <c r="J12" i="9"/>
  <c r="J11" i="9"/>
  <c r="J10" i="9"/>
  <c r="J9" i="9"/>
  <c r="J8" i="9"/>
  <c r="J7" i="9"/>
  <c r="J6" i="9"/>
  <c r="J5" i="9"/>
  <c r="J4" i="9"/>
  <c r="J3" i="9"/>
  <c r="J2" i="9"/>
  <c r="G2" i="9"/>
  <c r="B2" i="9"/>
  <c r="B3" i="9"/>
  <c r="E6" i="16" l="1"/>
  <c r="E3" i="16"/>
  <c r="E2" i="16"/>
  <c r="E10" i="16"/>
  <c r="E13" i="16"/>
  <c r="E9" i="16"/>
  <c r="E5" i="16"/>
  <c r="E12" i="16"/>
  <c r="E8" i="16"/>
  <c r="E4" i="16"/>
  <c r="E11" i="16"/>
  <c r="E7" i="16"/>
</calcChain>
</file>

<file path=xl/sharedStrings.xml><?xml version="1.0" encoding="utf-8"?>
<sst xmlns="http://schemas.openxmlformats.org/spreadsheetml/2006/main" count="47851" uniqueCount="5932">
  <si>
    <t>01janv.2009</t>
  </si>
  <si>
    <t>116.0</t>
  </si>
  <si>
    <t>100.0</t>
  </si>
  <si>
    <t>02janv.2009</t>
  </si>
  <si>
    <t>116.1</t>
  </si>
  <si>
    <t>131.9</t>
  </si>
  <si>
    <t>03janv.2009</t>
  </si>
  <si>
    <t>118.5</t>
  </si>
  <si>
    <t>102.7</t>
  </si>
  <si>
    <t>04janv.2009</t>
  </si>
  <si>
    <t>124.3</t>
  </si>
  <si>
    <t>139.9</t>
  </si>
  <si>
    <t>05janv.2009</t>
  </si>
  <si>
    <t>132.9</t>
  </si>
  <si>
    <t>117.3</t>
  </si>
  <si>
    <t>06janv.2009</t>
  </si>
  <si>
    <t>139.6</t>
  </si>
  <si>
    <t>154.9</t>
  </si>
  <si>
    <t>07janv.2009</t>
  </si>
  <si>
    <t>144.0</t>
  </si>
  <si>
    <t>128.7</t>
  </si>
  <si>
    <t>08janv.2009</t>
  </si>
  <si>
    <t>143.6</t>
  </si>
  <si>
    <t>09janv.2009</t>
  </si>
  <si>
    <t>141.5</t>
  </si>
  <si>
    <t>126.5</t>
  </si>
  <si>
    <t>10janv.2009</t>
  </si>
  <si>
    <t>158.4</t>
  </si>
  <si>
    <t>11janv.2009</t>
  </si>
  <si>
    <t>140.1</t>
  </si>
  <si>
    <t>12janv.2009</t>
  </si>
  <si>
    <t>172.1</t>
  </si>
  <si>
    <t>186.6</t>
  </si>
  <si>
    <t>13janv.2009</t>
  </si>
  <si>
    <t>184.9</t>
  </si>
  <si>
    <t>170.4</t>
  </si>
  <si>
    <t>14janv.2009</t>
  </si>
  <si>
    <t>184.3</t>
  </si>
  <si>
    <t>198.7</t>
  </si>
  <si>
    <t>15janv.2009</t>
  </si>
  <si>
    <t>173.9</t>
  </si>
  <si>
    <t>159.7</t>
  </si>
  <si>
    <t>16janv.2009</t>
  </si>
  <si>
    <t>162.7</t>
  </si>
  <si>
    <t>176.9</t>
  </si>
  <si>
    <t>17janv.2009</t>
  </si>
  <si>
    <t>145.7</t>
  </si>
  <si>
    <t>18janv.2009</t>
  </si>
  <si>
    <t>165.4</t>
  </si>
  <si>
    <t>179.3</t>
  </si>
  <si>
    <t>19janv.2009</t>
  </si>
  <si>
    <t>173.1</t>
  </si>
  <si>
    <t>159.2</t>
  </si>
  <si>
    <t>20janv.2009</t>
  </si>
  <si>
    <t>187.7</t>
  </si>
  <si>
    <t>21janv.2009</t>
  </si>
  <si>
    <t>159.0</t>
  </si>
  <si>
    <t>22janv.2009</t>
  </si>
  <si>
    <t>171.3</t>
  </si>
  <si>
    <t>184.7</t>
  </si>
  <si>
    <t>23janv.2009</t>
  </si>
  <si>
    <t>171.1</t>
  </si>
  <si>
    <t>157.7</t>
  </si>
  <si>
    <t>24janv.2009</t>
  </si>
  <si>
    <t>171.2</t>
  </si>
  <si>
    <t>184.4</t>
  </si>
  <si>
    <t>25janv.2009</t>
  </si>
  <si>
    <t>170.0</t>
  </si>
  <si>
    <t>156.8</t>
  </si>
  <si>
    <t>26janv.2009</t>
  </si>
  <si>
    <t>167.9</t>
  </si>
  <si>
    <t>27janv.2009</t>
  </si>
  <si>
    <t>165.9</t>
  </si>
  <si>
    <t>152.9</t>
  </si>
  <si>
    <t>28janv.2009</t>
  </si>
  <si>
    <t>167.0</t>
  </si>
  <si>
    <t>29janv.2009</t>
  </si>
  <si>
    <t>160.4</t>
  </si>
  <si>
    <t>30janv.2009</t>
  </si>
  <si>
    <t>180.3</t>
  </si>
  <si>
    <t>192.9</t>
  </si>
  <si>
    <t>31janv.2009</t>
  </si>
  <si>
    <t>186.8</t>
  </si>
  <si>
    <t>174.3</t>
  </si>
  <si>
    <t>01févr.2009</t>
  </si>
  <si>
    <t>187.3</t>
  </si>
  <si>
    <t>199.7</t>
  </si>
  <si>
    <t>02févr.2009</t>
  </si>
  <si>
    <t>153.3</t>
  </si>
  <si>
    <t>03févr.2009</t>
  </si>
  <si>
    <t>174.1</t>
  </si>
  <si>
    <t>04févr.2009</t>
  </si>
  <si>
    <t>158.8</t>
  </si>
  <si>
    <t>146.9</t>
  </si>
  <si>
    <t>05févr.2009</t>
  </si>
  <si>
    <t>156.7</t>
  </si>
  <si>
    <t>168.6</t>
  </si>
  <si>
    <t>06févr.2009</t>
  </si>
  <si>
    <t>151.8</t>
  </si>
  <si>
    <t>07févr.2009</t>
  </si>
  <si>
    <t>146.8</t>
  </si>
  <si>
    <t>158.5</t>
  </si>
  <si>
    <t>08févr.2009</t>
  </si>
  <si>
    <t>143.7</t>
  </si>
  <si>
    <t>09févr.2009</t>
  </si>
  <si>
    <t>144.4</t>
  </si>
  <si>
    <t>155.8</t>
  </si>
  <si>
    <t>10févr.2009</t>
  </si>
  <si>
    <t>144.9</t>
  </si>
  <si>
    <t>11févr.2009</t>
  </si>
  <si>
    <t>142.2</t>
  </si>
  <si>
    <t>153.5</t>
  </si>
  <si>
    <t>12févr.2009</t>
  </si>
  <si>
    <t>13févr.2009</t>
  </si>
  <si>
    <t>127.2</t>
  </si>
  <si>
    <t>138.3</t>
  </si>
  <si>
    <t>14févr.2009</t>
  </si>
  <si>
    <t>125.6</t>
  </si>
  <si>
    <t>114.6</t>
  </si>
  <si>
    <t>15févr.2009</t>
  </si>
  <si>
    <t>129.3</t>
  </si>
  <si>
    <t>16févr.2009</t>
  </si>
  <si>
    <t>131.8</t>
  </si>
  <si>
    <t>17févr.2009</t>
  </si>
  <si>
    <t>131.4</t>
  </si>
  <si>
    <t>142.1</t>
  </si>
  <si>
    <t>18févr.2009</t>
  </si>
  <si>
    <t>131.0</t>
  </si>
  <si>
    <t>19févr.2009</t>
  </si>
  <si>
    <t>131.2</t>
  </si>
  <si>
    <t>141.7</t>
  </si>
  <si>
    <t>20févr.2009</t>
  </si>
  <si>
    <t>130.5</t>
  </si>
  <si>
    <t>120.1</t>
  </si>
  <si>
    <t>21févr.2009</t>
  </si>
  <si>
    <t>132.4</t>
  </si>
  <si>
    <t>22févr.2009</t>
  </si>
  <si>
    <t>128.4</t>
  </si>
  <si>
    <t>23févr.2009</t>
  </si>
  <si>
    <t>146.2</t>
  </si>
  <si>
    <t>156.3</t>
  </si>
  <si>
    <t>24févr.2009</t>
  </si>
  <si>
    <t>152.5</t>
  </si>
  <si>
    <t>142.4</t>
  </si>
  <si>
    <t>25févr.2009</t>
  </si>
  <si>
    <t>152.2</t>
  </si>
  <si>
    <t>162.2</t>
  </si>
  <si>
    <t>26févr.2009</t>
  </si>
  <si>
    <t>145.0</t>
  </si>
  <si>
    <t>135.1</t>
  </si>
  <si>
    <t>27févr.2009</t>
  </si>
  <si>
    <t>139.2</t>
  </si>
  <si>
    <t>149.0</t>
  </si>
  <si>
    <t>28févr.2009</t>
  </si>
  <si>
    <t>138.5</t>
  </si>
  <si>
    <t>139.8</t>
  </si>
  <si>
    <t>151.9</t>
  </si>
  <si>
    <t>152.8</t>
  </si>
  <si>
    <t>162.4</t>
  </si>
  <si>
    <t>157.3</t>
  </si>
  <si>
    <t>147.8</t>
  </si>
  <si>
    <t>165.2</t>
  </si>
  <si>
    <t>174.6</t>
  </si>
  <si>
    <t>176.7</t>
  </si>
  <si>
    <t>167.3</t>
  </si>
  <si>
    <t>193.6</t>
  </si>
  <si>
    <t>175.7</t>
  </si>
  <si>
    <t>177.0</t>
  </si>
  <si>
    <t>186.2</t>
  </si>
  <si>
    <t>162.8</t>
  </si>
  <si>
    <t>153.8</t>
  </si>
  <si>
    <t>150.2</t>
  </si>
  <si>
    <t>159.3</t>
  </si>
  <si>
    <t>144.2</t>
  </si>
  <si>
    <t>135.3</t>
  </si>
  <si>
    <t>150.6</t>
  </si>
  <si>
    <t>159.4</t>
  </si>
  <si>
    <t>163.8</t>
  </si>
  <si>
    <t>155.0</t>
  </si>
  <si>
    <t>175.3</t>
  </si>
  <si>
    <t>183.9</t>
  </si>
  <si>
    <t>177.2</t>
  </si>
  <si>
    <t>172.9</t>
  </si>
  <si>
    <t>181.4</t>
  </si>
  <si>
    <t>163.0</t>
  </si>
  <si>
    <t>154.6</t>
  </si>
  <si>
    <t>152.4</t>
  </si>
  <si>
    <t>157.4</t>
  </si>
  <si>
    <t>159.1</t>
  </si>
  <si>
    <t>180.8</t>
  </si>
  <si>
    <t>170.9</t>
  </si>
  <si>
    <t>179.0</t>
  </si>
  <si>
    <t>163.7</t>
  </si>
  <si>
    <t>158.3</t>
  </si>
  <si>
    <t>166.2</t>
  </si>
  <si>
    <t>147.2</t>
  </si>
  <si>
    <t>155.3</t>
  </si>
  <si>
    <t>158.9</t>
  </si>
  <si>
    <t>187.0</t>
  </si>
  <si>
    <t>194.5</t>
  </si>
  <si>
    <t>01avr.2009</t>
  </si>
  <si>
    <t>210.6</t>
  </si>
  <si>
    <t>202.9</t>
  </si>
  <si>
    <t>02avr.2009</t>
  </si>
  <si>
    <t>230.3</t>
  </si>
  <si>
    <t>237.7</t>
  </si>
  <si>
    <t>03avr.2009</t>
  </si>
  <si>
    <t>230.4</t>
  </si>
  <si>
    <t>223.0</t>
  </si>
  <si>
    <t>04avr.2009</t>
  </si>
  <si>
    <t>217.9</t>
  </si>
  <si>
    <t>225.3</t>
  </si>
  <si>
    <t>05avr.2009</t>
  </si>
  <si>
    <t>205.4</t>
  </si>
  <si>
    <t>198.1</t>
  </si>
  <si>
    <t>06avr.2009</t>
  </si>
  <si>
    <t>202.3</t>
  </si>
  <si>
    <t>209.5</t>
  </si>
  <si>
    <t>07avr.2009</t>
  </si>
  <si>
    <t>209.1</t>
  </si>
  <si>
    <t>201.9</t>
  </si>
  <si>
    <t>08avr.2009</t>
  </si>
  <si>
    <t>221.7</t>
  </si>
  <si>
    <t>228.7</t>
  </si>
  <si>
    <t>09avr.2009</t>
  </si>
  <si>
    <t>10avr.2009</t>
  </si>
  <si>
    <t>230.8</t>
  </si>
  <si>
    <t>11avr.2009</t>
  </si>
  <si>
    <t>218.1</t>
  </si>
  <si>
    <t>211.2</t>
  </si>
  <si>
    <t>12avr.2009</t>
  </si>
  <si>
    <t>215.5</t>
  </si>
  <si>
    <t>222.4</t>
  </si>
  <si>
    <t>13avr.2009</t>
  </si>
  <si>
    <t>210.5</t>
  </si>
  <si>
    <t>203.7</t>
  </si>
  <si>
    <t>14avr.2009</t>
  </si>
  <si>
    <t>202.0</t>
  </si>
  <si>
    <t>208.8</t>
  </si>
  <si>
    <t>15avr.2009</t>
  </si>
  <si>
    <t>196.8</t>
  </si>
  <si>
    <t>190.1</t>
  </si>
  <si>
    <t>16avr.2009</t>
  </si>
  <si>
    <t>198.3</t>
  </si>
  <si>
    <t>204.9</t>
  </si>
  <si>
    <t>17avr.2009</t>
  </si>
  <si>
    <t>201.2</t>
  </si>
  <si>
    <t>194.6</t>
  </si>
  <si>
    <t>18avr.2009</t>
  </si>
  <si>
    <t>196.7</t>
  </si>
  <si>
    <t>203.3</t>
  </si>
  <si>
    <t>19avr.2009</t>
  </si>
  <si>
    <t>186.0</t>
  </si>
  <si>
    <t>179.6</t>
  </si>
  <si>
    <t>20avr.2009</t>
  </si>
  <si>
    <t>169.7</t>
  </si>
  <si>
    <t>176.2</t>
  </si>
  <si>
    <t>21avr.2009</t>
  </si>
  <si>
    <t>154.5</t>
  </si>
  <si>
    <t>148.2</t>
  </si>
  <si>
    <t>22avr.2009</t>
  </si>
  <si>
    <t>143.1</t>
  </si>
  <si>
    <t>149.4</t>
  </si>
  <si>
    <t>23avr.2009</t>
  </si>
  <si>
    <t>24avr.2009</t>
  </si>
  <si>
    <t>25avr.2009</t>
  </si>
  <si>
    <t>117.4</t>
  </si>
  <si>
    <t>26avr.2009</t>
  </si>
  <si>
    <t>126.4</t>
  </si>
  <si>
    <t>27avr.2009</t>
  </si>
  <si>
    <t>114.4</t>
  </si>
  <si>
    <t>28avr.2009</t>
  </si>
  <si>
    <t>125.2</t>
  </si>
  <si>
    <t>29avr.2009</t>
  </si>
  <si>
    <t>30avr.2009</t>
  </si>
  <si>
    <t>144.7</t>
  </si>
  <si>
    <t>150.5</t>
  </si>
  <si>
    <t>153.9</t>
  </si>
  <si>
    <t>148.0</t>
  </si>
  <si>
    <t>148.4</t>
  </si>
  <si>
    <t>138.0</t>
  </si>
  <si>
    <t>132.3</t>
  </si>
  <si>
    <t>133.5</t>
  </si>
  <si>
    <t>149.3</t>
  </si>
  <si>
    <t>153.4</t>
  </si>
  <si>
    <t>147.9</t>
  </si>
  <si>
    <t>157.8</t>
  </si>
  <si>
    <t>163.3</t>
  </si>
  <si>
    <t>157.2</t>
  </si>
  <si>
    <t>151.7</t>
  </si>
  <si>
    <t>160.1</t>
  </si>
  <si>
    <t>149.8</t>
  </si>
  <si>
    <t>144.5</t>
  </si>
  <si>
    <t>146.4</t>
  </si>
  <si>
    <t>145.4</t>
  </si>
  <si>
    <t>145.6</t>
  </si>
  <si>
    <t>150.9</t>
  </si>
  <si>
    <t>145.8</t>
  </si>
  <si>
    <t>140.7</t>
  </si>
  <si>
    <t>152.0</t>
  </si>
  <si>
    <t>138.6</t>
  </si>
  <si>
    <t>130.9</t>
  </si>
  <si>
    <t>125.9</t>
  </si>
  <si>
    <t>123.3</t>
  </si>
  <si>
    <t>128.3</t>
  </si>
  <si>
    <t>113.9</t>
  </si>
  <si>
    <t>111.5</t>
  </si>
  <si>
    <t>106.7</t>
  </si>
  <si>
    <t>109.9</t>
  </si>
  <si>
    <t>114.7</t>
  </si>
  <si>
    <t>108.9</t>
  </si>
  <si>
    <t>104.2</t>
  </si>
  <si>
    <t>108.2</t>
  </si>
  <si>
    <t>113.0</t>
  </si>
  <si>
    <t>107.8</t>
  </si>
  <si>
    <t>103.1</t>
  </si>
  <si>
    <t>107.5</t>
  </si>
  <si>
    <t>112.2</t>
  </si>
  <si>
    <t>102.9</t>
  </si>
  <si>
    <t>108.1</t>
  </si>
  <si>
    <t>112.7</t>
  </si>
  <si>
    <t>88.3</t>
  </si>
  <si>
    <t>84.0</t>
  </si>
  <si>
    <t>89.4</t>
  </si>
  <si>
    <t>93.7</t>
  </si>
  <si>
    <t>89.8</t>
  </si>
  <si>
    <t>85.5</t>
  </si>
  <si>
    <t>89.6</t>
  </si>
  <si>
    <t>93.8</t>
  </si>
  <si>
    <t>89.2</t>
  </si>
  <si>
    <t>85.0</t>
  </si>
  <si>
    <t>89.5</t>
  </si>
  <si>
    <t>90.2</t>
  </si>
  <si>
    <t>86.1</t>
  </si>
  <si>
    <t>90.4</t>
  </si>
  <si>
    <t>94.5</t>
  </si>
  <si>
    <t>89.9</t>
  </si>
  <si>
    <t>85.8</t>
  </si>
  <si>
    <t>89.1</t>
  </si>
  <si>
    <t>93.2</t>
  </si>
  <si>
    <t>88.4</t>
  </si>
  <si>
    <t>84.4</t>
  </si>
  <si>
    <t>87.8</t>
  </si>
  <si>
    <t>91.8</t>
  </si>
  <si>
    <t>87.3</t>
  </si>
  <si>
    <t>83.4</t>
  </si>
  <si>
    <t>86.9</t>
  </si>
  <si>
    <t>90.8</t>
  </si>
  <si>
    <t>86.6</t>
  </si>
  <si>
    <t>82.7</t>
  </si>
  <si>
    <t>86.4</t>
  </si>
  <si>
    <t>87.0</t>
  </si>
  <si>
    <t>83.1</t>
  </si>
  <si>
    <t>88.6</t>
  </si>
  <si>
    <t>92.4</t>
  </si>
  <si>
    <t>90.5</t>
  </si>
  <si>
    <t>86.8</t>
  </si>
  <si>
    <t>90.9</t>
  </si>
  <si>
    <t>94.7</t>
  </si>
  <si>
    <t>90.3</t>
  </si>
  <si>
    <t>92.7</t>
  </si>
  <si>
    <t>87.9</t>
  </si>
  <si>
    <t>84.3</t>
  </si>
  <si>
    <t>83.3</t>
  </si>
  <si>
    <t>90.1</t>
  </si>
  <si>
    <t>82.9</t>
  </si>
  <si>
    <t>86.3</t>
  </si>
  <si>
    <t>86.5</t>
  </si>
  <si>
    <t>83.0</t>
  </si>
  <si>
    <t>01juil.2009</t>
  </si>
  <si>
    <t>02juil.2009</t>
  </si>
  <si>
    <t>71.1</t>
  </si>
  <si>
    <t>67.8</t>
  </si>
  <si>
    <t>03juil.2009</t>
  </si>
  <si>
    <t>74.4</t>
  </si>
  <si>
    <t>04juil.2009</t>
  </si>
  <si>
    <t>70.9</t>
  </si>
  <si>
    <t>67.7</t>
  </si>
  <si>
    <t>05juil.2009</t>
  </si>
  <si>
    <t>70.6</t>
  </si>
  <si>
    <t>73.8</t>
  </si>
  <si>
    <t>06juil.2009</t>
  </si>
  <si>
    <t>70.4</t>
  </si>
  <si>
    <t>67.3</t>
  </si>
  <si>
    <t>07juil.2009</t>
  </si>
  <si>
    <t>70.3</t>
  </si>
  <si>
    <t>73.5</t>
  </si>
  <si>
    <t>08juil.2009</t>
  </si>
  <si>
    <t>67.2</t>
  </si>
  <si>
    <t>09juil.2009</t>
  </si>
  <si>
    <t>73.4</t>
  </si>
  <si>
    <t>10juil.2009</t>
  </si>
  <si>
    <t>70.2</t>
  </si>
  <si>
    <t>11juil.2009</t>
  </si>
  <si>
    <t>70.1</t>
  </si>
  <si>
    <t>73.2</t>
  </si>
  <si>
    <t>12juil.2009</t>
  </si>
  <si>
    <t>67.1</t>
  </si>
  <si>
    <t>13juil.2009</t>
  </si>
  <si>
    <t>73.1</t>
  </si>
  <si>
    <t>14juil.2009</t>
  </si>
  <si>
    <t>15juil.2009</t>
  </si>
  <si>
    <t>70.8</t>
  </si>
  <si>
    <t>16juil.2009</t>
  </si>
  <si>
    <t>72.0</t>
  </si>
  <si>
    <t>69.1</t>
  </si>
  <si>
    <t>17juil.2009</t>
  </si>
  <si>
    <t>76.3</t>
  </si>
  <si>
    <t>18juil.2009</t>
  </si>
  <si>
    <t>74.0</t>
  </si>
  <si>
    <t>71.2</t>
  </si>
  <si>
    <t>19juil.2009</t>
  </si>
  <si>
    <t>73.7</t>
  </si>
  <si>
    <t>76.5</t>
  </si>
  <si>
    <t>20juil.2009</t>
  </si>
  <si>
    <t>72.9</t>
  </si>
  <si>
    <t>21juil.2009</t>
  </si>
  <si>
    <t>71.9</t>
  </si>
  <si>
    <t>74.7</t>
  </si>
  <si>
    <t>22juil.2009</t>
  </si>
  <si>
    <t>68.5</t>
  </si>
  <si>
    <t>23juil.2009</t>
  </si>
  <si>
    <t>24juil.2009</t>
  </si>
  <si>
    <t>70.5</t>
  </si>
  <si>
    <t>25juil.2009</t>
  </si>
  <si>
    <t>73.0</t>
  </si>
  <si>
    <t>26juil.2009</t>
  </si>
  <si>
    <t>70.7</t>
  </si>
  <si>
    <t>68.0</t>
  </si>
  <si>
    <t>27juil.2009</t>
  </si>
  <si>
    <t>71.7</t>
  </si>
  <si>
    <t>28juil.2009</t>
  </si>
  <si>
    <t>29juil.2009</t>
  </si>
  <si>
    <t>75.7</t>
  </si>
  <si>
    <t>30juil.2009</t>
  </si>
  <si>
    <t>72.6</t>
  </si>
  <si>
    <t>31juil.2009</t>
  </si>
  <si>
    <t>68.6</t>
  </si>
  <si>
    <t>78.8</t>
  </si>
  <si>
    <t>81.2</t>
  </si>
  <si>
    <t>80.8</t>
  </si>
  <si>
    <t>78.4</t>
  </si>
  <si>
    <t>85.7</t>
  </si>
  <si>
    <t>81.6</t>
  </si>
  <si>
    <t>83.5</t>
  </si>
  <si>
    <t>82.5</t>
  </si>
  <si>
    <t>80.1</t>
  </si>
  <si>
    <t>81.4</t>
  </si>
  <si>
    <t>83.7</t>
  </si>
  <si>
    <t>80.7</t>
  </si>
  <si>
    <t>79.9</t>
  </si>
  <si>
    <t>82.2</t>
  </si>
  <si>
    <t>79.1</t>
  </si>
  <si>
    <t>76.8</t>
  </si>
  <si>
    <t>79.8</t>
  </si>
  <si>
    <t>82.0</t>
  </si>
  <si>
    <t>80.3</t>
  </si>
  <si>
    <t>86.2</t>
  </si>
  <si>
    <t>91.9</t>
  </si>
  <si>
    <t>94.0</t>
  </si>
  <si>
    <t>94.1</t>
  </si>
  <si>
    <t>92.0</t>
  </si>
  <si>
    <t>92.8</t>
  </si>
  <si>
    <t>95.0</t>
  </si>
  <si>
    <t>87.7</t>
  </si>
  <si>
    <t>88.2</t>
  </si>
  <si>
    <t>84.5</t>
  </si>
  <si>
    <t>82.4</t>
  </si>
  <si>
    <t>94.4</t>
  </si>
  <si>
    <t>92.3</t>
  </si>
  <si>
    <t>98.1</t>
  </si>
  <si>
    <t>100.2</t>
  </si>
  <si>
    <t>96.9</t>
  </si>
  <si>
    <t>94.9</t>
  </si>
  <si>
    <t>92.6</t>
  </si>
  <si>
    <t>88.0</t>
  </si>
  <si>
    <t>86.0</t>
  </si>
  <si>
    <t>85.4</t>
  </si>
  <si>
    <t>87.4</t>
  </si>
  <si>
    <t>84.9</t>
  </si>
  <si>
    <t>01sept.2009</t>
  </si>
  <si>
    <t>02sept.2009</t>
  </si>
  <si>
    <t>108.3</t>
  </si>
  <si>
    <t>106.2</t>
  </si>
  <si>
    <t>03sept.2009</t>
  </si>
  <si>
    <t>107.1</t>
  </si>
  <si>
    <t>109.1</t>
  </si>
  <si>
    <t>04sept.2009</t>
  </si>
  <si>
    <t>104.4</t>
  </si>
  <si>
    <t>102.4</t>
  </si>
  <si>
    <t>05sept.2009</t>
  </si>
  <si>
    <t>103.2</t>
  </si>
  <si>
    <t>105.2</t>
  </si>
  <si>
    <t>06sept.2009</t>
  </si>
  <si>
    <t>106.8</t>
  </si>
  <si>
    <t>104.8</t>
  </si>
  <si>
    <t>07sept.2009</t>
  </si>
  <si>
    <t>116.3</t>
  </si>
  <si>
    <t>08sept.2009</t>
  </si>
  <si>
    <t>121.2</t>
  </si>
  <si>
    <t>119.3</t>
  </si>
  <si>
    <t>09sept.2009</t>
  </si>
  <si>
    <t>124.7</t>
  </si>
  <si>
    <t>126.7</t>
  </si>
  <si>
    <t>10sept.2009</t>
  </si>
  <si>
    <t>125.3</t>
  </si>
  <si>
    <t>123.4</t>
  </si>
  <si>
    <t>11sept.2009</t>
  </si>
  <si>
    <t>123.0</t>
  </si>
  <si>
    <t>124.9</t>
  </si>
  <si>
    <t>12sept.2009</t>
  </si>
  <si>
    <t>122.6</t>
  </si>
  <si>
    <t>120.7</t>
  </si>
  <si>
    <t>13sept.2009</t>
  </si>
  <si>
    <t>126.0</t>
  </si>
  <si>
    <t>127.9</t>
  </si>
  <si>
    <t>14sept.2009</t>
  </si>
  <si>
    <t>129.1</t>
  </si>
  <si>
    <t>127.3</t>
  </si>
  <si>
    <t>15sept.2009</t>
  </si>
  <si>
    <t>134.8</t>
  </si>
  <si>
    <t>16sept.2009</t>
  </si>
  <si>
    <t>134.1</t>
  </si>
  <si>
    <t>17sept.2009</t>
  </si>
  <si>
    <t>134.3</t>
  </si>
  <si>
    <t>136.1</t>
  </si>
  <si>
    <t>18sept.2009</t>
  </si>
  <si>
    <t>133.3</t>
  </si>
  <si>
    <t>19sept.2009</t>
  </si>
  <si>
    <t>136.4</t>
  </si>
  <si>
    <t>20sept.2009</t>
  </si>
  <si>
    <t>133.0</t>
  </si>
  <si>
    <t>21sept.2009</t>
  </si>
  <si>
    <t>22sept.2009</t>
  </si>
  <si>
    <t>135.9</t>
  </si>
  <si>
    <t>23sept.2009</t>
  </si>
  <si>
    <t>134.0</t>
  </si>
  <si>
    <t>135.7</t>
  </si>
  <si>
    <t>24sept.2009</t>
  </si>
  <si>
    <t>25sept.2009</t>
  </si>
  <si>
    <t>125.1</t>
  </si>
  <si>
    <t>126.8</t>
  </si>
  <si>
    <t>26sept.2009</t>
  </si>
  <si>
    <t>27sept.2009</t>
  </si>
  <si>
    <t>124.2</t>
  </si>
  <si>
    <t>28sept.2009</t>
  </si>
  <si>
    <t>29sept.2009</t>
  </si>
  <si>
    <t>130.0</t>
  </si>
  <si>
    <t>30sept.2009</t>
  </si>
  <si>
    <t>01oct.2009</t>
  </si>
  <si>
    <t>02oct.2009</t>
  </si>
  <si>
    <t>147.5</t>
  </si>
  <si>
    <t>03oct.2009</t>
  </si>
  <si>
    <t>04oct.2009</t>
  </si>
  <si>
    <t>148.3</t>
  </si>
  <si>
    <t>05oct.2009</t>
  </si>
  <si>
    <t>156.2</t>
  </si>
  <si>
    <t>06oct.2009</t>
  </si>
  <si>
    <t>07oct.2009</t>
  </si>
  <si>
    <t>161.9</t>
  </si>
  <si>
    <t>08oct.2009</t>
  </si>
  <si>
    <t>09oct.2009</t>
  </si>
  <si>
    <t>157.1</t>
  </si>
  <si>
    <t>10oct.2009</t>
  </si>
  <si>
    <t>11oct.2009</t>
  </si>
  <si>
    <t>156.1</t>
  </si>
  <si>
    <t>12oct.2009</t>
  </si>
  <si>
    <t>13oct.2009</t>
  </si>
  <si>
    <t>14oct.2009</t>
  </si>
  <si>
    <t>15oct.2009</t>
  </si>
  <si>
    <t>16oct.2009</t>
  </si>
  <si>
    <t>17oct.2009</t>
  </si>
  <si>
    <t>160.5</t>
  </si>
  <si>
    <t>162.0</t>
  </si>
  <si>
    <t>18oct.2009</t>
  </si>
  <si>
    <t>166.4</t>
  </si>
  <si>
    <t>164.9</t>
  </si>
  <si>
    <t>19oct.2009</t>
  </si>
  <si>
    <t>171.6</t>
  </si>
  <si>
    <t>20oct.2009</t>
  </si>
  <si>
    <t>170.2</t>
  </si>
  <si>
    <t>168.8</t>
  </si>
  <si>
    <t>21oct.2009</t>
  </si>
  <si>
    <t>164.4</t>
  </si>
  <si>
    <t>22oct.2009</t>
  </si>
  <si>
    <t>23oct.2009</t>
  </si>
  <si>
    <t>154.8</t>
  </si>
  <si>
    <t>24oct.2009</t>
  </si>
  <si>
    <t>154.3</t>
  </si>
  <si>
    <t>25oct.2009</t>
  </si>
  <si>
    <t>157.5</t>
  </si>
  <si>
    <t>26oct.2009</t>
  </si>
  <si>
    <t>158.2</t>
  </si>
  <si>
    <t>27oct.2009</t>
  </si>
  <si>
    <t>162.5</t>
  </si>
  <si>
    <t>163.9</t>
  </si>
  <si>
    <t>28oct.2009</t>
  </si>
  <si>
    <t>168.4</t>
  </si>
  <si>
    <t>29oct.2009</t>
  </si>
  <si>
    <t>172.5</t>
  </si>
  <si>
    <t>30oct.2009</t>
  </si>
  <si>
    <t>172.3</t>
  </si>
  <si>
    <t>31oct.2009</t>
  </si>
  <si>
    <t>01nov.2009</t>
  </si>
  <si>
    <t>174.8</t>
  </si>
  <si>
    <t>173.5</t>
  </si>
  <si>
    <t>02nov.2009</t>
  </si>
  <si>
    <t>189.5</t>
  </si>
  <si>
    <t>190.7</t>
  </si>
  <si>
    <t>03nov.2009</t>
  </si>
  <si>
    <t>195.3</t>
  </si>
  <si>
    <t>194.1</t>
  </si>
  <si>
    <t>04nov.2009</t>
  </si>
  <si>
    <t>205.0</t>
  </si>
  <si>
    <t>206.1</t>
  </si>
  <si>
    <t>05nov.2009</t>
  </si>
  <si>
    <t>218.7</t>
  </si>
  <si>
    <t>217.4</t>
  </si>
  <si>
    <t>06nov.2009</t>
  </si>
  <si>
    <t>229.2</t>
  </si>
  <si>
    <t>07nov.2009</t>
  </si>
  <si>
    <t>235.7</t>
  </si>
  <si>
    <t>234.5</t>
  </si>
  <si>
    <t>08nov.2009</t>
  </si>
  <si>
    <t>232.9</t>
  </si>
  <si>
    <t>234.1</t>
  </si>
  <si>
    <t>09nov.2009</t>
  </si>
  <si>
    <t>226.3</t>
  </si>
  <si>
    <t>225.2</t>
  </si>
  <si>
    <t>10nov.2009</t>
  </si>
  <si>
    <t>230.1</t>
  </si>
  <si>
    <t>231.2</t>
  </si>
  <si>
    <t>11nov.2009</t>
  </si>
  <si>
    <t>245.6</t>
  </si>
  <si>
    <t>244.4</t>
  </si>
  <si>
    <t>12nov.2009</t>
  </si>
  <si>
    <t>253.6</t>
  </si>
  <si>
    <t>13nov.2009</t>
  </si>
  <si>
    <t>245.1</t>
  </si>
  <si>
    <t>244.0</t>
  </si>
  <si>
    <t>14nov.2009</t>
  </si>
  <si>
    <t>227.7</t>
  </si>
  <si>
    <t>228.9</t>
  </si>
  <si>
    <t>15nov.2009</t>
  </si>
  <si>
    <t>211.6</t>
  </si>
  <si>
    <t>16nov.2009</t>
  </si>
  <si>
    <t>203.1</t>
  </si>
  <si>
    <t>17nov.2009</t>
  </si>
  <si>
    <t>191.5</t>
  </si>
  <si>
    <t>190.5</t>
  </si>
  <si>
    <t>18nov.2009</t>
  </si>
  <si>
    <t>185.8</t>
  </si>
  <si>
    <t>186.9</t>
  </si>
  <si>
    <t>19nov.2009</t>
  </si>
  <si>
    <t>191.6</t>
  </si>
  <si>
    <t>20nov.2009</t>
  </si>
  <si>
    <t>207.3</t>
  </si>
  <si>
    <t>208.3</t>
  </si>
  <si>
    <t>21nov.2009</t>
  </si>
  <si>
    <t>217.2</t>
  </si>
  <si>
    <t>216.2</t>
  </si>
  <si>
    <t>22nov.2009</t>
  </si>
  <si>
    <t>211.5</t>
  </si>
  <si>
    <t>212.6</t>
  </si>
  <si>
    <t>23nov.2009</t>
  </si>
  <si>
    <t>196.9</t>
  </si>
  <si>
    <t>196.0</t>
  </si>
  <si>
    <t>24nov.2009</t>
  </si>
  <si>
    <t>178.5</t>
  </si>
  <si>
    <t>25nov.2009</t>
  </si>
  <si>
    <t>165.7</t>
  </si>
  <si>
    <t>164.8</t>
  </si>
  <si>
    <t>26nov.2009</t>
  </si>
  <si>
    <t>27nov.2009</t>
  </si>
  <si>
    <t>168.3</t>
  </si>
  <si>
    <t>28nov.2009</t>
  </si>
  <si>
    <t>178.1</t>
  </si>
  <si>
    <t>179.1</t>
  </si>
  <si>
    <t>29nov.2009</t>
  </si>
  <si>
    <t>190.0</t>
  </si>
  <si>
    <t>188.9</t>
  </si>
  <si>
    <t>30nov.2009</t>
  </si>
  <si>
    <t>200.2</t>
  </si>
  <si>
    <t>201.1</t>
  </si>
  <si>
    <t>01déc.2009</t>
  </si>
  <si>
    <t>197.1</t>
  </si>
  <si>
    <t>196.2</t>
  </si>
  <si>
    <t>02déc.2009</t>
  </si>
  <si>
    <t>197.6</t>
  </si>
  <si>
    <t>198.5</t>
  </si>
  <si>
    <t>03déc.2009</t>
  </si>
  <si>
    <t>191.4</t>
  </si>
  <si>
    <t>190.6</t>
  </si>
  <si>
    <t>04déc.2009</t>
  </si>
  <si>
    <t>187.9</t>
  </si>
  <si>
    <t>05déc.2009</t>
  </si>
  <si>
    <t>184.8</t>
  </si>
  <si>
    <t>184.0</t>
  </si>
  <si>
    <t>06déc.2009</t>
  </si>
  <si>
    <t>180.9</t>
  </si>
  <si>
    <t>181.7</t>
  </si>
  <si>
    <t>07déc.2009</t>
  </si>
  <si>
    <t>175.8</t>
  </si>
  <si>
    <t>175.0</t>
  </si>
  <si>
    <t>08déc.2009</t>
  </si>
  <si>
    <t>175.4</t>
  </si>
  <si>
    <t>09déc.2009</t>
  </si>
  <si>
    <t>180.0</t>
  </si>
  <si>
    <t>10déc.2009</t>
  </si>
  <si>
    <t>187.6</t>
  </si>
  <si>
    <t>11déc.2009</t>
  </si>
  <si>
    <t>191.2</t>
  </si>
  <si>
    <t>190.3</t>
  </si>
  <si>
    <t>12déc.2009</t>
  </si>
  <si>
    <t>188.4</t>
  </si>
  <si>
    <t>189.2</t>
  </si>
  <si>
    <t>13déc.2009</t>
  </si>
  <si>
    <t>181.8</t>
  </si>
  <si>
    <t>14déc.2009</t>
  </si>
  <si>
    <t>176.1</t>
  </si>
  <si>
    <t>15déc.2009</t>
  </si>
  <si>
    <t>177.5</t>
  </si>
  <si>
    <t>176.6</t>
  </si>
  <si>
    <t>16déc.2009</t>
  </si>
  <si>
    <t>189.9</t>
  </si>
  <si>
    <t>17déc.2009</t>
  </si>
  <si>
    <t>207.8</t>
  </si>
  <si>
    <t>206.9</t>
  </si>
  <si>
    <t>18déc.2009</t>
  </si>
  <si>
    <t>222.0</t>
  </si>
  <si>
    <t>222.8</t>
  </si>
  <si>
    <t>19déc.2009</t>
  </si>
  <si>
    <t>233.0</t>
  </si>
  <si>
    <t>232.2</t>
  </si>
  <si>
    <t>20déc.2009</t>
  </si>
  <si>
    <t>235.0</t>
  </si>
  <si>
    <t>235.8</t>
  </si>
  <si>
    <t>21déc.2009</t>
  </si>
  <si>
    <t>228.6</t>
  </si>
  <si>
    <t>227.8</t>
  </si>
  <si>
    <t>22déc.2009</t>
  </si>
  <si>
    <t>226.1</t>
  </si>
  <si>
    <t>23déc.2009</t>
  </si>
  <si>
    <t>228.1</t>
  </si>
  <si>
    <t>227.3</t>
  </si>
  <si>
    <t>24déc.2009</t>
  </si>
  <si>
    <t>229.3</t>
  </si>
  <si>
    <t>25déc.2009</t>
  </si>
  <si>
    <t>226.9</t>
  </si>
  <si>
    <t>26déc.2009</t>
  </si>
  <si>
    <t>217.7</t>
  </si>
  <si>
    <t>218.6</t>
  </si>
  <si>
    <t>27déc.2009</t>
  </si>
  <si>
    <t>204.1</t>
  </si>
  <si>
    <t>203.4</t>
  </si>
  <si>
    <t>28déc.2009</t>
  </si>
  <si>
    <t>194.8</t>
  </si>
  <si>
    <t>195.6</t>
  </si>
  <si>
    <t>29déc.2009</t>
  </si>
  <si>
    <t>188.2</t>
  </si>
  <si>
    <t>187.5</t>
  </si>
  <si>
    <t>30déc.2009</t>
  </si>
  <si>
    <t>31déc.2009</t>
  </si>
  <si>
    <t>195.9</t>
  </si>
  <si>
    <t>195.1</t>
  </si>
  <si>
    <t>01janv.2010</t>
  </si>
  <si>
    <t>216.7</t>
  </si>
  <si>
    <t>217.3</t>
  </si>
  <si>
    <t>02janv.2010</t>
  </si>
  <si>
    <t>222.2</t>
  </si>
  <si>
    <t>03janv.2010</t>
  </si>
  <si>
    <t>227.5</t>
  </si>
  <si>
    <t>04janv.2010</t>
  </si>
  <si>
    <t>221.4</t>
  </si>
  <si>
    <t>05janv.2010</t>
  </si>
  <si>
    <t>210.1</t>
  </si>
  <si>
    <t>210.8</t>
  </si>
  <si>
    <t>06janv.2010</t>
  </si>
  <si>
    <t>195.8</t>
  </si>
  <si>
    <t>195.2</t>
  </si>
  <si>
    <t>07janv.2010</t>
  </si>
  <si>
    <t>181.5</t>
  </si>
  <si>
    <t>182.1</t>
  </si>
  <si>
    <t>08janv.2010</t>
  </si>
  <si>
    <t>166.1</t>
  </si>
  <si>
    <t>09janv.2010</t>
  </si>
  <si>
    <t>155.1</t>
  </si>
  <si>
    <t>10janv.2010</t>
  </si>
  <si>
    <t>149.2</t>
  </si>
  <si>
    <t>11janv.2010</t>
  </si>
  <si>
    <t>151.6</t>
  </si>
  <si>
    <t>152.1</t>
  </si>
  <si>
    <t>12janv.2010</t>
  </si>
  <si>
    <t>159.5</t>
  </si>
  <si>
    <t>13janv.2010</t>
  </si>
  <si>
    <t>166.8</t>
  </si>
  <si>
    <t>14janv.2010</t>
  </si>
  <si>
    <t>170.5</t>
  </si>
  <si>
    <t>15janv.2010</t>
  </si>
  <si>
    <t>16janv.2010</t>
  </si>
  <si>
    <t>167.7</t>
  </si>
  <si>
    <t>17janv.2010</t>
  </si>
  <si>
    <t>163.4</t>
  </si>
  <si>
    <t>18janv.2010</t>
  </si>
  <si>
    <t>19janv.2010</t>
  </si>
  <si>
    <t>169.5</t>
  </si>
  <si>
    <t>20janv.2010</t>
  </si>
  <si>
    <t>21janv.2010</t>
  </si>
  <si>
    <t>177.7</t>
  </si>
  <si>
    <t>178.2</t>
  </si>
  <si>
    <t>22janv.2010</t>
  </si>
  <si>
    <t>173.6</t>
  </si>
  <si>
    <t>23janv.2010</t>
  </si>
  <si>
    <t>165.3</t>
  </si>
  <si>
    <t>24janv.2010</t>
  </si>
  <si>
    <t>157.9</t>
  </si>
  <si>
    <t>25janv.2010</t>
  </si>
  <si>
    <t>26janv.2010</t>
  </si>
  <si>
    <t>27janv.2010</t>
  </si>
  <si>
    <t>28janv.2010</t>
  </si>
  <si>
    <t>165.0</t>
  </si>
  <si>
    <t>164.5</t>
  </si>
  <si>
    <t>29janv.2010</t>
  </si>
  <si>
    <t>30janv.2010</t>
  </si>
  <si>
    <t>178.6</t>
  </si>
  <si>
    <t>31janv.2010</t>
  </si>
  <si>
    <t>01févr.2010</t>
  </si>
  <si>
    <t>164.2</t>
  </si>
  <si>
    <t>02févr.2010</t>
  </si>
  <si>
    <t>137.1</t>
  </si>
  <si>
    <t>137.8</t>
  </si>
  <si>
    <t>03févr.2010</t>
  </si>
  <si>
    <t>135.4</t>
  </si>
  <si>
    <t>04févr.2010</t>
  </si>
  <si>
    <t>140.4</t>
  </si>
  <si>
    <t>05févr.2010</t>
  </si>
  <si>
    <t>06févr.2010</t>
  </si>
  <si>
    <t>136.6</t>
  </si>
  <si>
    <t>137.3</t>
  </si>
  <si>
    <t>07févr.2010</t>
  </si>
  <si>
    <t>132.7</t>
  </si>
  <si>
    <t>08févr.2010</t>
  </si>
  <si>
    <t>09févr.2010</t>
  </si>
  <si>
    <t>131.5</t>
  </si>
  <si>
    <t>10févr.2010</t>
  </si>
  <si>
    <t>137.5</t>
  </si>
  <si>
    <t>11févr.2010</t>
  </si>
  <si>
    <t>12févr.2010</t>
  </si>
  <si>
    <t>146.5</t>
  </si>
  <si>
    <t>147.1</t>
  </si>
  <si>
    <t>13févr.2010</t>
  </si>
  <si>
    <t>140.9</t>
  </si>
  <si>
    <t>14févr.2010</t>
  </si>
  <si>
    <t>135.5</t>
  </si>
  <si>
    <t>15févr.2010</t>
  </si>
  <si>
    <t>135.0</t>
  </si>
  <si>
    <t>16févr.2010</t>
  </si>
  <si>
    <t>144.3</t>
  </si>
  <si>
    <t>17févr.2010</t>
  </si>
  <si>
    <t>150.3</t>
  </si>
  <si>
    <t>18févr.2010</t>
  </si>
  <si>
    <t>19févr.2010</t>
  </si>
  <si>
    <t>138.9</t>
  </si>
  <si>
    <t>20févr.2010</t>
  </si>
  <si>
    <t>136.5</t>
  </si>
  <si>
    <t>21févr.2010</t>
  </si>
  <si>
    <t>22févr.2010</t>
  </si>
  <si>
    <t>150.0</t>
  </si>
  <si>
    <t>23févr.2010</t>
  </si>
  <si>
    <t>154.0</t>
  </si>
  <si>
    <t>24févr.2010</t>
  </si>
  <si>
    <t>25févr.2010</t>
  </si>
  <si>
    <t>165.1</t>
  </si>
  <si>
    <t>26févr.2010</t>
  </si>
  <si>
    <t>27févr.2010</t>
  </si>
  <si>
    <t>161.4</t>
  </si>
  <si>
    <t>160.9</t>
  </si>
  <si>
    <t>28févr.2010</t>
  </si>
  <si>
    <t>153.7</t>
  </si>
  <si>
    <t>162.6</t>
  </si>
  <si>
    <t>150.1</t>
  </si>
  <si>
    <t>144.8</t>
  </si>
  <si>
    <t>156.0</t>
  </si>
  <si>
    <t>155.6</t>
  </si>
  <si>
    <t>156.6</t>
  </si>
  <si>
    <t>153.0</t>
  </si>
  <si>
    <t>167.5</t>
  </si>
  <si>
    <t>163.1</t>
  </si>
  <si>
    <t>156.4</t>
  </si>
  <si>
    <t>159.8</t>
  </si>
  <si>
    <t>157.6</t>
  </si>
  <si>
    <t>166.9</t>
  </si>
  <si>
    <t>174.2</t>
  </si>
  <si>
    <t>177.8</t>
  </si>
  <si>
    <t>177.4</t>
  </si>
  <si>
    <t>183.2</t>
  </si>
  <si>
    <t>183.5</t>
  </si>
  <si>
    <t>190.4</t>
  </si>
  <si>
    <t>183.6</t>
  </si>
  <si>
    <t>172.2</t>
  </si>
  <si>
    <t>01avr.2010</t>
  </si>
  <si>
    <t>164.6</t>
  </si>
  <si>
    <t>02avr.2010</t>
  </si>
  <si>
    <t>03avr.2010</t>
  </si>
  <si>
    <t>04avr.2010</t>
  </si>
  <si>
    <t>159.6</t>
  </si>
  <si>
    <t>05avr.2010</t>
  </si>
  <si>
    <t>06avr.2010</t>
  </si>
  <si>
    <t>169.6</t>
  </si>
  <si>
    <t>07avr.2010</t>
  </si>
  <si>
    <t>08avr.2010</t>
  </si>
  <si>
    <t>180.6</t>
  </si>
  <si>
    <t>180.2</t>
  </si>
  <si>
    <t>09avr.2010</t>
  </si>
  <si>
    <t>10avr.2010</t>
  </si>
  <si>
    <t>175.6</t>
  </si>
  <si>
    <t>11avr.2010</t>
  </si>
  <si>
    <t>12avr.2010</t>
  </si>
  <si>
    <t>13avr.2010</t>
  </si>
  <si>
    <t>175.9</t>
  </si>
  <si>
    <t>176.3</t>
  </si>
  <si>
    <t>14avr.2010</t>
  </si>
  <si>
    <t>173.7</t>
  </si>
  <si>
    <t>173.3</t>
  </si>
  <si>
    <t>15avr.2010</t>
  </si>
  <si>
    <t>171.7</t>
  </si>
  <si>
    <t>16avr.2010</t>
  </si>
  <si>
    <t>17avr.2010</t>
  </si>
  <si>
    <t>18avr.2010</t>
  </si>
  <si>
    <t>164.0</t>
  </si>
  <si>
    <t>19avr.2010</t>
  </si>
  <si>
    <t>166.5</t>
  </si>
  <si>
    <t>20avr.2010</t>
  </si>
  <si>
    <t>169.1</t>
  </si>
  <si>
    <t>168.7</t>
  </si>
  <si>
    <t>21avr.2010</t>
  </si>
  <si>
    <t>22avr.2010</t>
  </si>
  <si>
    <t>185.2</t>
  </si>
  <si>
    <t>23avr.2010</t>
  </si>
  <si>
    <t>208.5</t>
  </si>
  <si>
    <t>208.7</t>
  </si>
  <si>
    <t>24avr.2010</t>
  </si>
  <si>
    <t>222.5</t>
  </si>
  <si>
    <t>25avr.2010</t>
  </si>
  <si>
    <t>217.8</t>
  </si>
  <si>
    <t>218.2</t>
  </si>
  <si>
    <t>26avr.2010</t>
  </si>
  <si>
    <t>199.0</t>
  </si>
  <si>
    <t>27avr.2010</t>
  </si>
  <si>
    <t>28avr.2010</t>
  </si>
  <si>
    <t>29avr.2010</t>
  </si>
  <si>
    <t>142.3</t>
  </si>
  <si>
    <t>30avr.2010</t>
  </si>
  <si>
    <t>136.3</t>
  </si>
  <si>
    <t>161.8</t>
  </si>
  <si>
    <t>172.8</t>
  </si>
  <si>
    <t>180.7</t>
  </si>
  <si>
    <t>183.3</t>
  </si>
  <si>
    <t>174.9</t>
  </si>
  <si>
    <t>175.2</t>
  </si>
  <si>
    <t>153.6</t>
  </si>
  <si>
    <t>141.9</t>
  </si>
  <si>
    <t>123.7</t>
  </si>
  <si>
    <t>117.8</t>
  </si>
  <si>
    <t>118.1</t>
  </si>
  <si>
    <t>114.2</t>
  </si>
  <si>
    <t>111.8</t>
  </si>
  <si>
    <t>112.0</t>
  </si>
  <si>
    <t>110.2</t>
  </si>
  <si>
    <t>110.0</t>
  </si>
  <si>
    <t>109.4</t>
  </si>
  <si>
    <t>108.4</t>
  </si>
  <si>
    <t>107.9</t>
  </si>
  <si>
    <t>107.3</t>
  </si>
  <si>
    <t>107.2</t>
  </si>
  <si>
    <t>106.9</t>
  </si>
  <si>
    <t>107.0</t>
  </si>
  <si>
    <t>107.7</t>
  </si>
  <si>
    <t>108.7</t>
  </si>
  <si>
    <t>90.7</t>
  </si>
  <si>
    <t>90.6</t>
  </si>
  <si>
    <t>91.0</t>
  </si>
  <si>
    <t>88.7</t>
  </si>
  <si>
    <t>86.7</t>
  </si>
  <si>
    <t>87.1</t>
  </si>
  <si>
    <t>92.5</t>
  </si>
  <si>
    <t>92.1</t>
  </si>
  <si>
    <t>93.4</t>
  </si>
  <si>
    <t>88.1</t>
  </si>
  <si>
    <t>85.9</t>
  </si>
  <si>
    <t>01juil.2010</t>
  </si>
  <si>
    <t>02juil.2010</t>
  </si>
  <si>
    <t>03juil.2010</t>
  </si>
  <si>
    <t>69.7</t>
  </si>
  <si>
    <t>04juil.2010</t>
  </si>
  <si>
    <t>05juil.2010</t>
  </si>
  <si>
    <t>69.8</t>
  </si>
  <si>
    <t>06juil.2010</t>
  </si>
  <si>
    <t>07juil.2010</t>
  </si>
  <si>
    <t>08juil.2010</t>
  </si>
  <si>
    <t>09juil.2010</t>
  </si>
  <si>
    <t>10juil.2010</t>
  </si>
  <si>
    <t>11juil.2010</t>
  </si>
  <si>
    <t>69.6</t>
  </si>
  <si>
    <t>12juil.2010</t>
  </si>
  <si>
    <t>70.0</t>
  </si>
  <si>
    <t>13juil.2010</t>
  </si>
  <si>
    <t>14juil.2010</t>
  </si>
  <si>
    <t>15juil.2010</t>
  </si>
  <si>
    <t>16juil.2010</t>
  </si>
  <si>
    <t>17juil.2010</t>
  </si>
  <si>
    <t>71.4</t>
  </si>
  <si>
    <t>18juil.2010</t>
  </si>
  <si>
    <t>73.9</t>
  </si>
  <si>
    <t>19juil.2010</t>
  </si>
  <si>
    <t>75.4</t>
  </si>
  <si>
    <t>75.0</t>
  </si>
  <si>
    <t>20juil.2010</t>
  </si>
  <si>
    <t>76.1</t>
  </si>
  <si>
    <t>21juil.2010</t>
  </si>
  <si>
    <t>75.1</t>
  </si>
  <si>
    <t>74.8</t>
  </si>
  <si>
    <t>22juil.2010</t>
  </si>
  <si>
    <t>23juil.2010</t>
  </si>
  <si>
    <t>73.6</t>
  </si>
  <si>
    <t>24juil.2010</t>
  </si>
  <si>
    <t>25juil.2010</t>
  </si>
  <si>
    <t>72.7</t>
  </si>
  <si>
    <t>26juil.2010</t>
  </si>
  <si>
    <t>72.2</t>
  </si>
  <si>
    <t>27juil.2010</t>
  </si>
  <si>
    <t>71.5</t>
  </si>
  <si>
    <t>28juil.2010</t>
  </si>
  <si>
    <t>71.6</t>
  </si>
  <si>
    <t>29juil.2010</t>
  </si>
  <si>
    <t>71.8</t>
  </si>
  <si>
    <t>30juil.2010</t>
  </si>
  <si>
    <t>31juil.2010</t>
  </si>
  <si>
    <t>74.6</t>
  </si>
  <si>
    <t>74.3</t>
  </si>
  <si>
    <t>75.8</t>
  </si>
  <si>
    <t>81.5</t>
  </si>
  <si>
    <t>81.9</t>
  </si>
  <si>
    <t>80.2</t>
  </si>
  <si>
    <t>79.2</t>
  </si>
  <si>
    <t>79.6</t>
  </si>
  <si>
    <t>78.0</t>
  </si>
  <si>
    <t>79.3</t>
  </si>
  <si>
    <t>78.9</t>
  </si>
  <si>
    <t>82.6</t>
  </si>
  <si>
    <t>85.3</t>
  </si>
  <si>
    <t>81.3</t>
  </si>
  <si>
    <t>81.0</t>
  </si>
  <si>
    <t>78.5</t>
  </si>
  <si>
    <t>78.2</t>
  </si>
  <si>
    <t>77.8</t>
  </si>
  <si>
    <t>77.4</t>
  </si>
  <si>
    <t>78.1</t>
  </si>
  <si>
    <t>78.6</t>
  </si>
  <si>
    <t>82.8</t>
  </si>
  <si>
    <t>82.3</t>
  </si>
  <si>
    <t>93.0</t>
  </si>
  <si>
    <t>100.5</t>
  </si>
  <si>
    <t>100.8</t>
  </si>
  <si>
    <t>01sept.2010</t>
  </si>
  <si>
    <t>106.1</t>
  </si>
  <si>
    <t>105.8</t>
  </si>
  <si>
    <t>02sept.2010</t>
  </si>
  <si>
    <t>03sept.2010</t>
  </si>
  <si>
    <t>121.7</t>
  </si>
  <si>
    <t>121.6</t>
  </si>
  <si>
    <t>04sept.2010</t>
  </si>
  <si>
    <t>117.9</t>
  </si>
  <si>
    <t>05sept.2010</t>
  </si>
  <si>
    <t>116.5</t>
  </si>
  <si>
    <t>06sept.2010</t>
  </si>
  <si>
    <t>118.4</t>
  </si>
  <si>
    <t>07sept.2010</t>
  </si>
  <si>
    <t>122.9</t>
  </si>
  <si>
    <t>122.7</t>
  </si>
  <si>
    <t>08sept.2010</t>
  </si>
  <si>
    <t>126.2</t>
  </si>
  <si>
    <t>126.3</t>
  </si>
  <si>
    <t>09sept.2010</t>
  </si>
  <si>
    <t>129.5</t>
  </si>
  <si>
    <t>10sept.2010</t>
  </si>
  <si>
    <t>131.6</t>
  </si>
  <si>
    <t>11sept.2010</t>
  </si>
  <si>
    <t>12sept.2010</t>
  </si>
  <si>
    <t>13sept.2010</t>
  </si>
  <si>
    <t>138.2</t>
  </si>
  <si>
    <t>14sept.2010</t>
  </si>
  <si>
    <t>15sept.2010</t>
  </si>
  <si>
    <t>128.6</t>
  </si>
  <si>
    <t>16sept.2010</t>
  </si>
  <si>
    <t>119.4</t>
  </si>
  <si>
    <t>119.6</t>
  </si>
  <si>
    <t>17sept.2010</t>
  </si>
  <si>
    <t>111.7</t>
  </si>
  <si>
    <t>18sept.2010</t>
  </si>
  <si>
    <t>111.1</t>
  </si>
  <si>
    <t>111.2</t>
  </si>
  <si>
    <t>19sept.2010</t>
  </si>
  <si>
    <t>116.6</t>
  </si>
  <si>
    <t>116.4</t>
  </si>
  <si>
    <t>20sept.2010</t>
  </si>
  <si>
    <t>21sept.2010</t>
  </si>
  <si>
    <t>127.5</t>
  </si>
  <si>
    <t>22sept.2010</t>
  </si>
  <si>
    <t>23sept.2010</t>
  </si>
  <si>
    <t>128.8</t>
  </si>
  <si>
    <t>24sept.2010</t>
  </si>
  <si>
    <t>25sept.2010</t>
  </si>
  <si>
    <t>129.2</t>
  </si>
  <si>
    <t>129.0</t>
  </si>
  <si>
    <t>26sept.2010</t>
  </si>
  <si>
    <t>126.9</t>
  </si>
  <si>
    <t>27sept.2010</t>
  </si>
  <si>
    <t>121.4</t>
  </si>
  <si>
    <t>28sept.2010</t>
  </si>
  <si>
    <t>118.0</t>
  </si>
  <si>
    <t>29sept.2010</t>
  </si>
  <si>
    <t>119.5</t>
  </si>
  <si>
    <t>30sept.2010</t>
  </si>
  <si>
    <t>127.0</t>
  </si>
  <si>
    <t>01oct.2010</t>
  </si>
  <si>
    <t>131.7</t>
  </si>
  <si>
    <t>02oct.2010</t>
  </si>
  <si>
    <t>143.3</t>
  </si>
  <si>
    <t>143.4</t>
  </si>
  <si>
    <t>03oct.2010</t>
  </si>
  <si>
    <t>04oct.2010</t>
  </si>
  <si>
    <t>05oct.2010</t>
  </si>
  <si>
    <t>141.8</t>
  </si>
  <si>
    <t>06oct.2010</t>
  </si>
  <si>
    <t>07oct.2010</t>
  </si>
  <si>
    <t>08oct.2010</t>
  </si>
  <si>
    <t>09oct.2010</t>
  </si>
  <si>
    <t>10oct.2010</t>
  </si>
  <si>
    <t>11oct.2010</t>
  </si>
  <si>
    <t>12oct.2010</t>
  </si>
  <si>
    <t>160.0</t>
  </si>
  <si>
    <t>13oct.2010</t>
  </si>
  <si>
    <t>14oct.2010</t>
  </si>
  <si>
    <t>154.1</t>
  </si>
  <si>
    <t>15oct.2010</t>
  </si>
  <si>
    <t>16oct.2010</t>
  </si>
  <si>
    <t>17oct.2010</t>
  </si>
  <si>
    <t>18oct.2010</t>
  </si>
  <si>
    <t>19oct.2010</t>
  </si>
  <si>
    <t>20oct.2010</t>
  </si>
  <si>
    <t>21oct.2010</t>
  </si>
  <si>
    <t>22oct.2010</t>
  </si>
  <si>
    <t>23oct.2010</t>
  </si>
  <si>
    <t>152.3</t>
  </si>
  <si>
    <t>24oct.2010</t>
  </si>
  <si>
    <t>154.4</t>
  </si>
  <si>
    <t>25oct.2010</t>
  </si>
  <si>
    <t>26oct.2010</t>
  </si>
  <si>
    <t>27oct.2010</t>
  </si>
  <si>
    <t>154.2</t>
  </si>
  <si>
    <t>28oct.2010</t>
  </si>
  <si>
    <t>155.7</t>
  </si>
  <si>
    <t>29oct.2010</t>
  </si>
  <si>
    <t>30oct.2010</t>
  </si>
  <si>
    <t>31oct.2010</t>
  </si>
  <si>
    <t>01nov.2010</t>
  </si>
  <si>
    <t>02nov.2010</t>
  </si>
  <si>
    <t>171.4</t>
  </si>
  <si>
    <t>03nov.2010</t>
  </si>
  <si>
    <t>04nov.2010</t>
  </si>
  <si>
    <t>05nov.2010</t>
  </si>
  <si>
    <t>170.8</t>
  </si>
  <si>
    <t>171.0</t>
  </si>
  <si>
    <t>06nov.2010</t>
  </si>
  <si>
    <t>171.5</t>
  </si>
  <si>
    <t>07nov.2010</t>
  </si>
  <si>
    <t>08nov.2010</t>
  </si>
  <si>
    <t>188.3</t>
  </si>
  <si>
    <t>188.1</t>
  </si>
  <si>
    <t>09nov.2010</t>
  </si>
  <si>
    <t>197.7</t>
  </si>
  <si>
    <t>10nov.2010</t>
  </si>
  <si>
    <t>198.2</t>
  </si>
  <si>
    <t>11nov.2010</t>
  </si>
  <si>
    <t>194.2</t>
  </si>
  <si>
    <t>12nov.2010</t>
  </si>
  <si>
    <t>191.7</t>
  </si>
  <si>
    <t>13nov.2010</t>
  </si>
  <si>
    <t>193.0</t>
  </si>
  <si>
    <t>193.1</t>
  </si>
  <si>
    <t>14nov.2010</t>
  </si>
  <si>
    <t>15nov.2010</t>
  </si>
  <si>
    <t>197.9</t>
  </si>
  <si>
    <t>198.0</t>
  </si>
  <si>
    <t>16nov.2010</t>
  </si>
  <si>
    <t>201.3</t>
  </si>
  <si>
    <t>17nov.2010</t>
  </si>
  <si>
    <t>200.9</t>
  </si>
  <si>
    <t>201.0</t>
  </si>
  <si>
    <t>18nov.2010</t>
  </si>
  <si>
    <t>204.0</t>
  </si>
  <si>
    <t>19nov.2010</t>
  </si>
  <si>
    <t>213.2</t>
  </si>
  <si>
    <t>20nov.2010</t>
  </si>
  <si>
    <t>220.9</t>
  </si>
  <si>
    <t>220.8</t>
  </si>
  <si>
    <t>21nov.2010</t>
  </si>
  <si>
    <t>215.0</t>
  </si>
  <si>
    <t>215.2</t>
  </si>
  <si>
    <t>22nov.2010</t>
  </si>
  <si>
    <t>203.6</t>
  </si>
  <si>
    <t>23nov.2010</t>
  </si>
  <si>
    <t>191.8</t>
  </si>
  <si>
    <t>24nov.2010</t>
  </si>
  <si>
    <t>182.7</t>
  </si>
  <si>
    <t>182.6</t>
  </si>
  <si>
    <t>25nov.2010</t>
  </si>
  <si>
    <t>177.6</t>
  </si>
  <si>
    <t>26nov.2010</t>
  </si>
  <si>
    <t>27nov.2010</t>
  </si>
  <si>
    <t>28nov.2010</t>
  </si>
  <si>
    <t>177.3</t>
  </si>
  <si>
    <t>177.1</t>
  </si>
  <si>
    <t>29nov.2010</t>
  </si>
  <si>
    <t>181.9</t>
  </si>
  <si>
    <t>182.0</t>
  </si>
  <si>
    <t>30nov.2010</t>
  </si>
  <si>
    <t>182.8</t>
  </si>
  <si>
    <t>01déc.2010</t>
  </si>
  <si>
    <t>02déc.2010</t>
  </si>
  <si>
    <t>03déc.2010</t>
  </si>
  <si>
    <t>04déc.2010</t>
  </si>
  <si>
    <t>168.1</t>
  </si>
  <si>
    <t>05déc.2010</t>
  </si>
  <si>
    <t>172.0</t>
  </si>
  <si>
    <t>06déc.2010</t>
  </si>
  <si>
    <t>07déc.2010</t>
  </si>
  <si>
    <t>216.0</t>
  </si>
  <si>
    <t>216.1</t>
  </si>
  <si>
    <t>08déc.2010</t>
  </si>
  <si>
    <t>236.3</t>
  </si>
  <si>
    <t>236.0</t>
  </si>
  <si>
    <t>09déc.2010</t>
  </si>
  <si>
    <t>239.1</t>
  </si>
  <si>
    <t>239.4</t>
  </si>
  <si>
    <t>10déc.2010</t>
  </si>
  <si>
    <t>232.7</t>
  </si>
  <si>
    <t>11déc.2010</t>
  </si>
  <si>
    <t>12déc.2010</t>
  </si>
  <si>
    <t>229.5</t>
  </si>
  <si>
    <t>13déc.2010</t>
  </si>
  <si>
    <t>235.4</t>
  </si>
  <si>
    <t>235.6</t>
  </si>
  <si>
    <t>14déc.2010</t>
  </si>
  <si>
    <t>242.0</t>
  </si>
  <si>
    <t>15déc.2010</t>
  </si>
  <si>
    <t>16déc.2010</t>
  </si>
  <si>
    <t>17déc.2010</t>
  </si>
  <si>
    <t>238.0</t>
  </si>
  <si>
    <t>18déc.2010</t>
  </si>
  <si>
    <t>215.9</t>
  </si>
  <si>
    <t>19déc.2010</t>
  </si>
  <si>
    <t>196.3</t>
  </si>
  <si>
    <t>196.5</t>
  </si>
  <si>
    <t>20déc.2010</t>
  </si>
  <si>
    <t>188.0</t>
  </si>
  <si>
    <t>21déc.2010</t>
  </si>
  <si>
    <t>188.6</t>
  </si>
  <si>
    <t>188.8</t>
  </si>
  <si>
    <t>22déc.2010</t>
  </si>
  <si>
    <t>192.4</t>
  </si>
  <si>
    <t>192.2</t>
  </si>
  <si>
    <t>23déc.2010</t>
  </si>
  <si>
    <t>197.4</t>
  </si>
  <si>
    <t>24déc.2010</t>
  </si>
  <si>
    <t>200.5</t>
  </si>
  <si>
    <t>200.3</t>
  </si>
  <si>
    <t>25déc.2010</t>
  </si>
  <si>
    <t>193.3</t>
  </si>
  <si>
    <t>193.5</t>
  </si>
  <si>
    <t>26déc.2010</t>
  </si>
  <si>
    <t>184.2</t>
  </si>
  <si>
    <t>27déc.2010</t>
  </si>
  <si>
    <t>178.8</t>
  </si>
  <si>
    <t>28déc.2010</t>
  </si>
  <si>
    <t>176.5</t>
  </si>
  <si>
    <t>29déc.2010</t>
  </si>
  <si>
    <t>180.1</t>
  </si>
  <si>
    <t>30déc.2010</t>
  </si>
  <si>
    <t>31déc.2010</t>
  </si>
  <si>
    <t>192.0</t>
  </si>
  <si>
    <t>01janv.2011</t>
  </si>
  <si>
    <t>199.2</t>
  </si>
  <si>
    <t>02janv.2011</t>
  </si>
  <si>
    <t>03janv.2011</t>
  </si>
  <si>
    <t>205.7</t>
  </si>
  <si>
    <t>04janv.2011</t>
  </si>
  <si>
    <t>210.7</t>
  </si>
  <si>
    <t>05janv.2011</t>
  </si>
  <si>
    <t>208.6</t>
  </si>
  <si>
    <t>06janv.2011</t>
  </si>
  <si>
    <t>210.2</t>
  </si>
  <si>
    <t>210.4</t>
  </si>
  <si>
    <t>07janv.2011</t>
  </si>
  <si>
    <t>220.3</t>
  </si>
  <si>
    <t>220.0</t>
  </si>
  <si>
    <t>08janv.2011</t>
  </si>
  <si>
    <t>232.1</t>
  </si>
  <si>
    <t>232.3</t>
  </si>
  <si>
    <t>09janv.2011</t>
  </si>
  <si>
    <t>236.2</t>
  </si>
  <si>
    <t>10janv.2011</t>
  </si>
  <si>
    <t>226.0</t>
  </si>
  <si>
    <t>11janv.2011</t>
  </si>
  <si>
    <t>207.0</t>
  </si>
  <si>
    <t>206.8</t>
  </si>
  <si>
    <t>12janv.2011</t>
  </si>
  <si>
    <t>191.3</t>
  </si>
  <si>
    <t>13janv.2011</t>
  </si>
  <si>
    <t>14janv.2011</t>
  </si>
  <si>
    <t>15janv.2011</t>
  </si>
  <si>
    <t>178.0</t>
  </si>
  <si>
    <t>16janv.2011</t>
  </si>
  <si>
    <t>169.9</t>
  </si>
  <si>
    <t>17janv.2011</t>
  </si>
  <si>
    <t>18janv.2011</t>
  </si>
  <si>
    <t>19janv.2011</t>
  </si>
  <si>
    <t>20janv.2011</t>
  </si>
  <si>
    <t>188.5</t>
  </si>
  <si>
    <t>21janv.2011</t>
  </si>
  <si>
    <t>197.2</t>
  </si>
  <si>
    <t>22janv.2011</t>
  </si>
  <si>
    <t>192.7</t>
  </si>
  <si>
    <t>23janv.2011</t>
  </si>
  <si>
    <t>183.8</t>
  </si>
  <si>
    <t>24janv.2011</t>
  </si>
  <si>
    <t>181.2</t>
  </si>
  <si>
    <t>25janv.2011</t>
  </si>
  <si>
    <t>184.1</t>
  </si>
  <si>
    <t>26janv.2011</t>
  </si>
  <si>
    <t>187.4</t>
  </si>
  <si>
    <t>27janv.2011</t>
  </si>
  <si>
    <t>184.5</t>
  </si>
  <si>
    <t>28janv.2011</t>
  </si>
  <si>
    <t>178.4</t>
  </si>
  <si>
    <t>29janv.2011</t>
  </si>
  <si>
    <t>30janv.2011</t>
  </si>
  <si>
    <t>161.3</t>
  </si>
  <si>
    <t>31janv.2011</t>
  </si>
  <si>
    <t>01févr.2011</t>
  </si>
  <si>
    <t>171.9</t>
  </si>
  <si>
    <t>02févr.2011</t>
  </si>
  <si>
    <t>03févr.2011</t>
  </si>
  <si>
    <t>04févr.2011</t>
  </si>
  <si>
    <t>139.7</t>
  </si>
  <si>
    <t>05févr.2011</t>
  </si>
  <si>
    <t>06févr.2011</t>
  </si>
  <si>
    <t>07févr.2011</t>
  </si>
  <si>
    <t>08févr.2011</t>
  </si>
  <si>
    <t>09févr.2011</t>
  </si>
  <si>
    <t>145.3</t>
  </si>
  <si>
    <t>10févr.2011</t>
  </si>
  <si>
    <t>146.3</t>
  </si>
  <si>
    <t>11févr.2011</t>
  </si>
  <si>
    <t>12févr.2011</t>
  </si>
  <si>
    <t>13févr.2011</t>
  </si>
  <si>
    <t>149.7</t>
  </si>
  <si>
    <t>14févr.2011</t>
  </si>
  <si>
    <t>15févr.2011</t>
  </si>
  <si>
    <t>16févr.2011</t>
  </si>
  <si>
    <t>135.2</t>
  </si>
  <si>
    <t>17févr.2011</t>
  </si>
  <si>
    <t>18févr.2011</t>
  </si>
  <si>
    <t>19févr.2011</t>
  </si>
  <si>
    <t>141.4</t>
  </si>
  <si>
    <t>20févr.2011</t>
  </si>
  <si>
    <t>21févr.2011</t>
  </si>
  <si>
    <t>22févr.2011</t>
  </si>
  <si>
    <t>23févr.2011</t>
  </si>
  <si>
    <t>24févr.2011</t>
  </si>
  <si>
    <t>25févr.2011</t>
  </si>
  <si>
    <t>26févr.2011</t>
  </si>
  <si>
    <t>132.8</t>
  </si>
  <si>
    <t>27févr.2011</t>
  </si>
  <si>
    <t>28févr.2011</t>
  </si>
  <si>
    <t>140.2</t>
  </si>
  <si>
    <t>161.6</t>
  </si>
  <si>
    <t>165.5</t>
  </si>
  <si>
    <t>163.6</t>
  </si>
  <si>
    <t>153.1</t>
  </si>
  <si>
    <t>150.8</t>
  </si>
  <si>
    <t>147.7</t>
  </si>
  <si>
    <t>142.9</t>
  </si>
  <si>
    <t>139.4</t>
  </si>
  <si>
    <t>156.5</t>
  </si>
  <si>
    <t>161.7</t>
  </si>
  <si>
    <t>01avr.2011</t>
  </si>
  <si>
    <t>02avr.2011</t>
  </si>
  <si>
    <t>209.7</t>
  </si>
  <si>
    <t>209.8</t>
  </si>
  <si>
    <t>03avr.2011</t>
  </si>
  <si>
    <t>04avr.2011</t>
  </si>
  <si>
    <t>185.0</t>
  </si>
  <si>
    <t>185.1</t>
  </si>
  <si>
    <t>05avr.2011</t>
  </si>
  <si>
    <t>06avr.2011</t>
  </si>
  <si>
    <t>07avr.2011</t>
  </si>
  <si>
    <t>08avr.2011</t>
  </si>
  <si>
    <t>09avr.2011</t>
  </si>
  <si>
    <t>10avr.2011</t>
  </si>
  <si>
    <t>170.1</t>
  </si>
  <si>
    <t>11avr.2011</t>
  </si>
  <si>
    <t>12avr.2011</t>
  </si>
  <si>
    <t>146.1</t>
  </si>
  <si>
    <t>13avr.2011</t>
  </si>
  <si>
    <t>14avr.2011</t>
  </si>
  <si>
    <t>141.2</t>
  </si>
  <si>
    <t>141.3</t>
  </si>
  <si>
    <t>15avr.2011</t>
  </si>
  <si>
    <t>147.6</t>
  </si>
  <si>
    <t>16avr.2011</t>
  </si>
  <si>
    <t>17avr.2011</t>
  </si>
  <si>
    <t>18avr.2011</t>
  </si>
  <si>
    <t>178.3</t>
  </si>
  <si>
    <t>19avr.2011</t>
  </si>
  <si>
    <t>20avr.2011</t>
  </si>
  <si>
    <t>21avr.2011</t>
  </si>
  <si>
    <t>22avr.2011</t>
  </si>
  <si>
    <t>23avr.2011</t>
  </si>
  <si>
    <t>24avr.2011</t>
  </si>
  <si>
    <t>25avr.2011</t>
  </si>
  <si>
    <t>26avr.2011</t>
  </si>
  <si>
    <t>175.5</t>
  </si>
  <si>
    <t>27avr.2011</t>
  </si>
  <si>
    <t>28avr.2011</t>
  </si>
  <si>
    <t>29avr.2011</t>
  </si>
  <si>
    <t>30avr.2011</t>
  </si>
  <si>
    <t>169.8</t>
  </si>
  <si>
    <t>166.0</t>
  </si>
  <si>
    <t>147.4</t>
  </si>
  <si>
    <t>136.7</t>
  </si>
  <si>
    <t>126.6</t>
  </si>
  <si>
    <t>119.8</t>
  </si>
  <si>
    <t>115.4</t>
  </si>
  <si>
    <t>115.3</t>
  </si>
  <si>
    <t>112.6</t>
  </si>
  <si>
    <t>113.3</t>
  </si>
  <si>
    <t>113.2</t>
  </si>
  <si>
    <t>125.4</t>
  </si>
  <si>
    <t>127.1</t>
  </si>
  <si>
    <t>125.5</t>
  </si>
  <si>
    <t>124.5</t>
  </si>
  <si>
    <t>124.6</t>
  </si>
  <si>
    <t>128.2</t>
  </si>
  <si>
    <t>136.8</t>
  </si>
  <si>
    <t>145.2</t>
  </si>
  <si>
    <t>118.9</t>
  </si>
  <si>
    <t>119.0</t>
  </si>
  <si>
    <t>114.8</t>
  </si>
  <si>
    <t>115.2</t>
  </si>
  <si>
    <t>121.1</t>
  </si>
  <si>
    <t>130.1</t>
  </si>
  <si>
    <t>130.2</t>
  </si>
  <si>
    <t>133.1</t>
  </si>
  <si>
    <t>104.6</t>
  </si>
  <si>
    <t>101.3</t>
  </si>
  <si>
    <t>97.7</t>
  </si>
  <si>
    <t>97.9</t>
  </si>
  <si>
    <t>94.3</t>
  </si>
  <si>
    <t>89.7</t>
  </si>
  <si>
    <t>88.5</t>
  </si>
  <si>
    <t>95.6</t>
  </si>
  <si>
    <t>95.5</t>
  </si>
  <si>
    <t>99.6</t>
  </si>
  <si>
    <t>99.7</t>
  </si>
  <si>
    <t>99.9</t>
  </si>
  <si>
    <t>99.8</t>
  </si>
  <si>
    <t>97.4</t>
  </si>
  <si>
    <t>97.5</t>
  </si>
  <si>
    <t>93.9</t>
  </si>
  <si>
    <t>91.1</t>
  </si>
  <si>
    <t>91.2</t>
  </si>
  <si>
    <t>89.3</t>
  </si>
  <si>
    <t>87.5</t>
  </si>
  <si>
    <t>01juil.2011</t>
  </si>
  <si>
    <t>87.2</t>
  </si>
  <si>
    <t>02juil.2011</t>
  </si>
  <si>
    <t>71.0</t>
  </si>
  <si>
    <t>03juil.2011</t>
  </si>
  <si>
    <t>04juil.2011</t>
  </si>
  <si>
    <t>05juil.2011</t>
  </si>
  <si>
    <t>06juil.2011</t>
  </si>
  <si>
    <t>07juil.2011</t>
  </si>
  <si>
    <t>08juil.2011</t>
  </si>
  <si>
    <t>09juil.2011</t>
  </si>
  <si>
    <t>10juil.2011</t>
  </si>
  <si>
    <t>11juil.2011</t>
  </si>
  <si>
    <t>12juil.2011</t>
  </si>
  <si>
    <t>13juil.2011</t>
  </si>
  <si>
    <t>69.9</t>
  </si>
  <si>
    <t>14juil.2011</t>
  </si>
  <si>
    <t>15juil.2011</t>
  </si>
  <si>
    <t>16juil.2011</t>
  </si>
  <si>
    <t>17juil.2011</t>
  </si>
  <si>
    <t>18juil.2011</t>
  </si>
  <si>
    <t>19juil.2011</t>
  </si>
  <si>
    <t>20juil.2011</t>
  </si>
  <si>
    <t>21juil.2011</t>
  </si>
  <si>
    <t>22juil.2011</t>
  </si>
  <si>
    <t>23juil.2011</t>
  </si>
  <si>
    <t>24juil.2011</t>
  </si>
  <si>
    <t>25juil.2011</t>
  </si>
  <si>
    <t>26juil.2011</t>
  </si>
  <si>
    <t>27juil.2011</t>
  </si>
  <si>
    <t>28juil.2011</t>
  </si>
  <si>
    <t>72.1</t>
  </si>
  <si>
    <t>72.3</t>
  </si>
  <si>
    <t>29juil.2011</t>
  </si>
  <si>
    <t>30juil.2011</t>
  </si>
  <si>
    <t>31juil.2011</t>
  </si>
  <si>
    <t>79.4</t>
  </si>
  <si>
    <t>84.8</t>
  </si>
  <si>
    <t>84.6</t>
  </si>
  <si>
    <t>80.9</t>
  </si>
  <si>
    <t>81.1</t>
  </si>
  <si>
    <t>84.2</t>
  </si>
  <si>
    <t>84.1</t>
  </si>
  <si>
    <t>83.2</t>
  </si>
  <si>
    <t>88.8</t>
  </si>
  <si>
    <t>94.6</t>
  </si>
  <si>
    <t>91.5</t>
  </si>
  <si>
    <t>91.3</t>
  </si>
  <si>
    <t>81.7</t>
  </si>
  <si>
    <t>84.7</t>
  </si>
  <si>
    <t>88.9</t>
  </si>
  <si>
    <t>91.4</t>
  </si>
  <si>
    <t>91.6</t>
  </si>
  <si>
    <t>95.1</t>
  </si>
  <si>
    <t>98.0</t>
  </si>
  <si>
    <t>98.2</t>
  </si>
  <si>
    <t>01sept.2011</t>
  </si>
  <si>
    <t>97.0</t>
  </si>
  <si>
    <t>96.8</t>
  </si>
  <si>
    <t>02sept.2011</t>
  </si>
  <si>
    <t>113.5</t>
  </si>
  <si>
    <t>113.6</t>
  </si>
  <si>
    <t>03sept.2011</t>
  </si>
  <si>
    <t>114.1</t>
  </si>
  <si>
    <t>04sept.2011</t>
  </si>
  <si>
    <t>05sept.2011</t>
  </si>
  <si>
    <t>06sept.2011</t>
  </si>
  <si>
    <t>07sept.2011</t>
  </si>
  <si>
    <t>112.4</t>
  </si>
  <si>
    <t>08sept.2011</t>
  </si>
  <si>
    <t>109.5</t>
  </si>
  <si>
    <t>09sept.2011</t>
  </si>
  <si>
    <t>106.6</t>
  </si>
  <si>
    <t>10sept.2011</t>
  </si>
  <si>
    <t>11sept.2011</t>
  </si>
  <si>
    <t>105.1</t>
  </si>
  <si>
    <t>12sept.2011</t>
  </si>
  <si>
    <t>13sept.2011</t>
  </si>
  <si>
    <t>14sept.2011</t>
  </si>
  <si>
    <t>126.1</t>
  </si>
  <si>
    <t>15sept.2011</t>
  </si>
  <si>
    <t>16sept.2011</t>
  </si>
  <si>
    <t>128.1</t>
  </si>
  <si>
    <t>17sept.2011</t>
  </si>
  <si>
    <t>18sept.2011</t>
  </si>
  <si>
    <t>19sept.2011</t>
  </si>
  <si>
    <t>122.5</t>
  </si>
  <si>
    <t>20sept.2011</t>
  </si>
  <si>
    <t>124.8</t>
  </si>
  <si>
    <t>21sept.2011</t>
  </si>
  <si>
    <t>22sept.2011</t>
  </si>
  <si>
    <t>23sept.2011</t>
  </si>
  <si>
    <t>24sept.2011</t>
  </si>
  <si>
    <t>25sept.2011</t>
  </si>
  <si>
    <t>26sept.2011</t>
  </si>
  <si>
    <t>27sept.2011</t>
  </si>
  <si>
    <t>133.9</t>
  </si>
  <si>
    <t>28sept.2011</t>
  </si>
  <si>
    <t>29sept.2011</t>
  </si>
  <si>
    <t>30sept.2011</t>
  </si>
  <si>
    <t>01oct.2011</t>
  </si>
  <si>
    <t>131.3</t>
  </si>
  <si>
    <t>02oct.2011</t>
  </si>
  <si>
    <t>03oct.2011</t>
  </si>
  <si>
    <t>04oct.2011</t>
  </si>
  <si>
    <t>151.4</t>
  </si>
  <si>
    <t>05oct.2011</t>
  </si>
  <si>
    <t>06oct.2011</t>
  </si>
  <si>
    <t>07oct.2011</t>
  </si>
  <si>
    <t>170.7</t>
  </si>
  <si>
    <t>08oct.2011</t>
  </si>
  <si>
    <t>180.5</t>
  </si>
  <si>
    <t>180.4</t>
  </si>
  <si>
    <t>09oct.2011</t>
  </si>
  <si>
    <t>185.3</t>
  </si>
  <si>
    <t>185.4</t>
  </si>
  <si>
    <t>10oct.2011</t>
  </si>
  <si>
    <t>11oct.2011</t>
  </si>
  <si>
    <t>179.4</t>
  </si>
  <si>
    <t>12oct.2011</t>
  </si>
  <si>
    <t>13oct.2011</t>
  </si>
  <si>
    <t>170.6</t>
  </si>
  <si>
    <t>14oct.2011</t>
  </si>
  <si>
    <t>15oct.2011</t>
  </si>
  <si>
    <t>164.1</t>
  </si>
  <si>
    <t>164.3</t>
  </si>
  <si>
    <t>16oct.2011</t>
  </si>
  <si>
    <t>17oct.2011</t>
  </si>
  <si>
    <t>18oct.2011</t>
  </si>
  <si>
    <t>176.0</t>
  </si>
  <si>
    <t>19oct.2011</t>
  </si>
  <si>
    <t>20oct.2011</t>
  </si>
  <si>
    <t>21oct.2011</t>
  </si>
  <si>
    <t>22oct.2011</t>
  </si>
  <si>
    <t>23oct.2011</t>
  </si>
  <si>
    <t>24oct.2011</t>
  </si>
  <si>
    <t>25oct.2011</t>
  </si>
  <si>
    <t>160.7</t>
  </si>
  <si>
    <t>26oct.2011</t>
  </si>
  <si>
    <t>27oct.2011</t>
  </si>
  <si>
    <t>28oct.2011</t>
  </si>
  <si>
    <t>29oct.2011</t>
  </si>
  <si>
    <t>161.5</t>
  </si>
  <si>
    <t>30oct.2011</t>
  </si>
  <si>
    <t>31oct.2011</t>
  </si>
  <si>
    <t>01nov.2011</t>
  </si>
  <si>
    <t>155.4</t>
  </si>
  <si>
    <t>02nov.2011</t>
  </si>
  <si>
    <t>03nov.2011</t>
  </si>
  <si>
    <t>04nov.2011</t>
  </si>
  <si>
    <t>05nov.2011</t>
  </si>
  <si>
    <t>06nov.2011</t>
  </si>
  <si>
    <t>168.5</t>
  </si>
  <si>
    <t>07nov.2011</t>
  </si>
  <si>
    <t>08nov.2011</t>
  </si>
  <si>
    <t>09nov.2011</t>
  </si>
  <si>
    <t>10nov.2011</t>
  </si>
  <si>
    <t>201.4</t>
  </si>
  <si>
    <t>11nov.2011</t>
  </si>
  <si>
    <t>199.9</t>
  </si>
  <si>
    <t>200.0</t>
  </si>
  <si>
    <t>12nov.2011</t>
  </si>
  <si>
    <t>13nov.2011</t>
  </si>
  <si>
    <t>199.4</t>
  </si>
  <si>
    <t>14nov.2011</t>
  </si>
  <si>
    <t>15nov.2011</t>
  </si>
  <si>
    <t>16nov.2011</t>
  </si>
  <si>
    <t>216.6</t>
  </si>
  <si>
    <t>17nov.2011</t>
  </si>
  <si>
    <t>209.6</t>
  </si>
  <si>
    <t>18nov.2011</t>
  </si>
  <si>
    <t>208.1</t>
  </si>
  <si>
    <t>19nov.2011</t>
  </si>
  <si>
    <t>20nov.2011</t>
  </si>
  <si>
    <t>228.4</t>
  </si>
  <si>
    <t>21nov.2011</t>
  </si>
  <si>
    <t>235.1</t>
  </si>
  <si>
    <t>22nov.2011</t>
  </si>
  <si>
    <t>233.9</t>
  </si>
  <si>
    <t>23nov.2011</t>
  </si>
  <si>
    <t>221.5</t>
  </si>
  <si>
    <t>221.6</t>
  </si>
  <si>
    <t>24nov.2011</t>
  </si>
  <si>
    <t>208.9</t>
  </si>
  <si>
    <t>25nov.2011</t>
  </si>
  <si>
    <t>196.1</t>
  </si>
  <si>
    <t>26nov.2011</t>
  </si>
  <si>
    <t>27nov.2011</t>
  </si>
  <si>
    <t>179.5</t>
  </si>
  <si>
    <t>28nov.2011</t>
  </si>
  <si>
    <t>29nov.2011</t>
  </si>
  <si>
    <t>30nov.2011</t>
  </si>
  <si>
    <t>01déc.2011</t>
  </si>
  <si>
    <t>02déc.2011</t>
  </si>
  <si>
    <t>03déc.2011</t>
  </si>
  <si>
    <t>04déc.2011</t>
  </si>
  <si>
    <t>186.4</t>
  </si>
  <si>
    <t>186.3</t>
  </si>
  <si>
    <t>05déc.2011</t>
  </si>
  <si>
    <t>06déc.2011</t>
  </si>
  <si>
    <t>204.8</t>
  </si>
  <si>
    <t>204.7</t>
  </si>
  <si>
    <t>07déc.2011</t>
  </si>
  <si>
    <t>08déc.2011</t>
  </si>
  <si>
    <t>222.7</t>
  </si>
  <si>
    <t>09déc.2011</t>
  </si>
  <si>
    <t>10déc.2011</t>
  </si>
  <si>
    <t>11déc.2011</t>
  </si>
  <si>
    <t>213.5</t>
  </si>
  <si>
    <t>213.6</t>
  </si>
  <si>
    <t>12déc.2011</t>
  </si>
  <si>
    <t>13déc.2011</t>
  </si>
  <si>
    <t>208.2</t>
  </si>
  <si>
    <t>14déc.2011</t>
  </si>
  <si>
    <t>212.5</t>
  </si>
  <si>
    <t>212.4</t>
  </si>
  <si>
    <t>15déc.2011</t>
  </si>
  <si>
    <t>218.4</t>
  </si>
  <si>
    <t>16déc.2011</t>
  </si>
  <si>
    <t>219.0</t>
  </si>
  <si>
    <t>218.9</t>
  </si>
  <si>
    <t>17déc.2011</t>
  </si>
  <si>
    <t>212.7</t>
  </si>
  <si>
    <t>212.8</t>
  </si>
  <si>
    <t>18déc.2011</t>
  </si>
  <si>
    <t>203.0</t>
  </si>
  <si>
    <t>19déc.2011</t>
  </si>
  <si>
    <t>196.4</t>
  </si>
  <si>
    <t>20déc.2011</t>
  </si>
  <si>
    <t>197.5</t>
  </si>
  <si>
    <t>21déc.2011</t>
  </si>
  <si>
    <t>22déc.2011</t>
  </si>
  <si>
    <t>221.0</t>
  </si>
  <si>
    <t>23déc.2011</t>
  </si>
  <si>
    <t>24déc.2011</t>
  </si>
  <si>
    <t>236.7</t>
  </si>
  <si>
    <t>25déc.2011</t>
  </si>
  <si>
    <t>222.3</t>
  </si>
  <si>
    <t>26déc.2011</t>
  </si>
  <si>
    <t>203.2</t>
  </si>
  <si>
    <t>27déc.2011</t>
  </si>
  <si>
    <t>28déc.2011</t>
  </si>
  <si>
    <t>190.2</t>
  </si>
  <si>
    <t>29déc.2011</t>
  </si>
  <si>
    <t>30déc.2011</t>
  </si>
  <si>
    <t>31déc.2011</t>
  </si>
  <si>
    <t>01janv.2012</t>
  </si>
  <si>
    <t>02janv.2012</t>
  </si>
  <si>
    <t>03janv.2012</t>
  </si>
  <si>
    <t>04janv.2012</t>
  </si>
  <si>
    <t>05janv.2012</t>
  </si>
  <si>
    <t>06janv.2012</t>
  </si>
  <si>
    <t>07janv.2012</t>
  </si>
  <si>
    <t>08janv.2012</t>
  </si>
  <si>
    <t>166.3</t>
  </si>
  <si>
    <t>09janv.2012</t>
  </si>
  <si>
    <t>10janv.2012</t>
  </si>
  <si>
    <t>11janv.2012</t>
  </si>
  <si>
    <t>12janv.2012</t>
  </si>
  <si>
    <t>13janv.2012</t>
  </si>
  <si>
    <t>14janv.2012</t>
  </si>
  <si>
    <t>15janv.2012</t>
  </si>
  <si>
    <t>16janv.2012</t>
  </si>
  <si>
    <t>158.0</t>
  </si>
  <si>
    <t>158.1</t>
  </si>
  <si>
    <t>17janv.2012</t>
  </si>
  <si>
    <t>18janv.2012</t>
  </si>
  <si>
    <t>19janv.2012</t>
  </si>
  <si>
    <t>20janv.2012</t>
  </si>
  <si>
    <t>21janv.2012</t>
  </si>
  <si>
    <t>161.1</t>
  </si>
  <si>
    <t>22janv.2012</t>
  </si>
  <si>
    <t>23janv.2012</t>
  </si>
  <si>
    <t>155.9</t>
  </si>
  <si>
    <t>24janv.2012</t>
  </si>
  <si>
    <t>25janv.2012</t>
  </si>
  <si>
    <t>26janv.2012</t>
  </si>
  <si>
    <t>27janv.2012</t>
  </si>
  <si>
    <t>165.8</t>
  </si>
  <si>
    <t>28janv.2012</t>
  </si>
  <si>
    <t>29janv.2012</t>
  </si>
  <si>
    <t>30janv.2012</t>
  </si>
  <si>
    <t>31janv.2012</t>
  </si>
  <si>
    <t>01févr.2012</t>
  </si>
  <si>
    <t>02févr.2012</t>
  </si>
  <si>
    <t>150.4</t>
  </si>
  <si>
    <t>03févr.2012</t>
  </si>
  <si>
    <t>04févr.2012</t>
  </si>
  <si>
    <t>136.2</t>
  </si>
  <si>
    <t>05févr.2012</t>
  </si>
  <si>
    <t>06févr.2012</t>
  </si>
  <si>
    <t>07févr.2012</t>
  </si>
  <si>
    <t>137.6</t>
  </si>
  <si>
    <t>08févr.2012</t>
  </si>
  <si>
    <t>09févr.2012</t>
  </si>
  <si>
    <t>10févr.2012</t>
  </si>
  <si>
    <t>11févr.2012</t>
  </si>
  <si>
    <t>12févr.2012</t>
  </si>
  <si>
    <t>13févr.2012</t>
  </si>
  <si>
    <t>14févr.2012</t>
  </si>
  <si>
    <t>133.7</t>
  </si>
  <si>
    <t>15févr.2012</t>
  </si>
  <si>
    <t>137.2</t>
  </si>
  <si>
    <t>16févr.2012</t>
  </si>
  <si>
    <t>17févr.2012</t>
  </si>
  <si>
    <t>139.0</t>
  </si>
  <si>
    <t>18févr.2012</t>
  </si>
  <si>
    <t>19févr.2012</t>
  </si>
  <si>
    <t>20févr.2012</t>
  </si>
  <si>
    <t>21févr.2012</t>
  </si>
  <si>
    <t>22févr.2012</t>
  </si>
  <si>
    <t>23févr.2012</t>
  </si>
  <si>
    <t>24févr.2012</t>
  </si>
  <si>
    <t>25févr.2012</t>
  </si>
  <si>
    <t>26févr.2012</t>
  </si>
  <si>
    <t>145.1</t>
  </si>
  <si>
    <t>27févr.2012</t>
  </si>
  <si>
    <t>136.9</t>
  </si>
  <si>
    <t>28févr.2012</t>
  </si>
  <si>
    <t>29févr.2012</t>
  </si>
  <si>
    <t>132.0</t>
  </si>
  <si>
    <t>142.6</t>
  </si>
  <si>
    <t>177.9</t>
  </si>
  <si>
    <t>167.8</t>
  </si>
  <si>
    <t>143.5</t>
  </si>
  <si>
    <t>160.2</t>
  </si>
  <si>
    <t>163.2</t>
  </si>
  <si>
    <t>169.0</t>
  </si>
  <si>
    <t>168.0</t>
  </si>
  <si>
    <t>151.3</t>
  </si>
  <si>
    <t>01avr.2012</t>
  </si>
  <si>
    <t>02avr.2012</t>
  </si>
  <si>
    <t>174.7</t>
  </si>
  <si>
    <t>03avr.2012</t>
  </si>
  <si>
    <t>04avr.2012</t>
  </si>
  <si>
    <t>193.7</t>
  </si>
  <si>
    <t>05avr.2012</t>
  </si>
  <si>
    <t>06avr.2012</t>
  </si>
  <si>
    <t>07avr.2012</t>
  </si>
  <si>
    <t>08avr.2012</t>
  </si>
  <si>
    <t>189.4</t>
  </si>
  <si>
    <t>09avr.2012</t>
  </si>
  <si>
    <t>10avr.2012</t>
  </si>
  <si>
    <t>11avr.2012</t>
  </si>
  <si>
    <t>12avr.2012</t>
  </si>
  <si>
    <t>13avr.2012</t>
  </si>
  <si>
    <t>14avr.2012</t>
  </si>
  <si>
    <t>15avr.2012</t>
  </si>
  <si>
    <t>206.0</t>
  </si>
  <si>
    <t>205.9</t>
  </si>
  <si>
    <t>16avr.2012</t>
  </si>
  <si>
    <t>17avr.2012</t>
  </si>
  <si>
    <t>18avr.2012</t>
  </si>
  <si>
    <t>219.9</t>
  </si>
  <si>
    <t>19avr.2012</t>
  </si>
  <si>
    <t>220.5</t>
  </si>
  <si>
    <t>220.4</t>
  </si>
  <si>
    <t>20avr.2012</t>
  </si>
  <si>
    <t>21avr.2012</t>
  </si>
  <si>
    <t>215.6</t>
  </si>
  <si>
    <t>22avr.2012</t>
  </si>
  <si>
    <t>23avr.2012</t>
  </si>
  <si>
    <t>24avr.2012</t>
  </si>
  <si>
    <t>172.4</t>
  </si>
  <si>
    <t>25avr.2012</t>
  </si>
  <si>
    <t>26avr.2012</t>
  </si>
  <si>
    <t>27avr.2012</t>
  </si>
  <si>
    <t>28avr.2012</t>
  </si>
  <si>
    <t>137.4</t>
  </si>
  <si>
    <t>29avr.2012</t>
  </si>
  <si>
    <t>30avr.2012</t>
  </si>
  <si>
    <t>125.8</t>
  </si>
  <si>
    <t>129.7</t>
  </si>
  <si>
    <t>128.0</t>
  </si>
  <si>
    <t>124.1</t>
  </si>
  <si>
    <t>124.0</t>
  </si>
  <si>
    <t>122.1</t>
  </si>
  <si>
    <t>122.2</t>
  </si>
  <si>
    <t>125.7</t>
  </si>
  <si>
    <t>96.6</t>
  </si>
  <si>
    <t>96.7</t>
  </si>
  <si>
    <t>92.9</t>
  </si>
  <si>
    <t>89.0</t>
  </si>
  <si>
    <t>95.2</t>
  </si>
  <si>
    <t>95.3</t>
  </si>
  <si>
    <t>01juil.2012</t>
  </si>
  <si>
    <t>94.2</t>
  </si>
  <si>
    <t>02juil.2012</t>
  </si>
  <si>
    <t>03juil.2012</t>
  </si>
  <si>
    <t>74.1</t>
  </si>
  <si>
    <t>04juil.2012</t>
  </si>
  <si>
    <t>74.5</t>
  </si>
  <si>
    <t>05juil.2012</t>
  </si>
  <si>
    <t>75.5</t>
  </si>
  <si>
    <t>75.3</t>
  </si>
  <si>
    <t>06juil.2012</t>
  </si>
  <si>
    <t>76.7</t>
  </si>
  <si>
    <t>07juil.2012</t>
  </si>
  <si>
    <t>75.9</t>
  </si>
  <si>
    <t>08juil.2012</t>
  </si>
  <si>
    <t>09juil.2012</t>
  </si>
  <si>
    <t>73.3</t>
  </si>
  <si>
    <t>10juil.2012</t>
  </si>
  <si>
    <t>11juil.2012</t>
  </si>
  <si>
    <t>12juil.2012</t>
  </si>
  <si>
    <t>13juil.2012</t>
  </si>
  <si>
    <t>14juil.2012</t>
  </si>
  <si>
    <t>15juil.2012</t>
  </si>
  <si>
    <t>16juil.2012</t>
  </si>
  <si>
    <t>17juil.2012</t>
  </si>
  <si>
    <t>18juil.2012</t>
  </si>
  <si>
    <t>19juil.2012</t>
  </si>
  <si>
    <t>20juil.2012</t>
  </si>
  <si>
    <t>21juil.2012</t>
  </si>
  <si>
    <t>22juil.2012</t>
  </si>
  <si>
    <t>23juil.2012</t>
  </si>
  <si>
    <t>24juil.2012</t>
  </si>
  <si>
    <t>25juil.2012</t>
  </si>
  <si>
    <t>26juil.2012</t>
  </si>
  <si>
    <t>27juil.2012</t>
  </si>
  <si>
    <t>28juil.2012</t>
  </si>
  <si>
    <t>29juil.2012</t>
  </si>
  <si>
    <t>30juil.2012</t>
  </si>
  <si>
    <t>31juil.2012</t>
  </si>
  <si>
    <t>77.2</t>
  </si>
  <si>
    <t>76.9</t>
  </si>
  <si>
    <t>77.1</t>
  </si>
  <si>
    <t>77.3</t>
  </si>
  <si>
    <t>77.5</t>
  </si>
  <si>
    <t>77.7</t>
  </si>
  <si>
    <t>80.0</t>
  </si>
  <si>
    <t>83.9</t>
  </si>
  <si>
    <t>85.2</t>
  </si>
  <si>
    <t>85.6</t>
  </si>
  <si>
    <t>102.5</t>
  </si>
  <si>
    <t>102.3</t>
  </si>
  <si>
    <t>110.7</t>
  </si>
  <si>
    <t>110.9</t>
  </si>
  <si>
    <t>01sept.2012</t>
  </si>
  <si>
    <t>112.9</t>
  </si>
  <si>
    <t>02sept.2012</t>
  </si>
  <si>
    <t>03sept.2012</t>
  </si>
  <si>
    <t>04sept.2012</t>
  </si>
  <si>
    <t>05sept.2012</t>
  </si>
  <si>
    <t>115.8</t>
  </si>
  <si>
    <t>06sept.2012</t>
  </si>
  <si>
    <t>114.0</t>
  </si>
  <si>
    <t>07sept.2012</t>
  </si>
  <si>
    <t>08sept.2012</t>
  </si>
  <si>
    <t>117.0</t>
  </si>
  <si>
    <t>09sept.2012</t>
  </si>
  <si>
    <t>10sept.2012</t>
  </si>
  <si>
    <t>123.8</t>
  </si>
  <si>
    <t>11sept.2012</t>
  </si>
  <si>
    <t>12sept.2012</t>
  </si>
  <si>
    <t>13sept.2012</t>
  </si>
  <si>
    <t>14sept.2012</t>
  </si>
  <si>
    <t>122.0</t>
  </si>
  <si>
    <t>15sept.2012</t>
  </si>
  <si>
    <t>125.0</t>
  </si>
  <si>
    <t>16sept.2012</t>
  </si>
  <si>
    <t>17sept.2012</t>
  </si>
  <si>
    <t>18sept.2012</t>
  </si>
  <si>
    <t>19sept.2012</t>
  </si>
  <si>
    <t>20sept.2012</t>
  </si>
  <si>
    <t>21sept.2012</t>
  </si>
  <si>
    <t>130.4</t>
  </si>
  <si>
    <t>130.3</t>
  </si>
  <si>
    <t>22sept.2012</t>
  </si>
  <si>
    <t>23sept.2012</t>
  </si>
  <si>
    <t>24sept.2012</t>
  </si>
  <si>
    <t>25sept.2012</t>
  </si>
  <si>
    <t>26sept.2012</t>
  </si>
  <si>
    <t>27sept.2012</t>
  </si>
  <si>
    <t>28sept.2012</t>
  </si>
  <si>
    <t>29sept.2012</t>
  </si>
  <si>
    <t>30sept.2012</t>
  </si>
  <si>
    <t>01oct.2012</t>
  </si>
  <si>
    <t>129.9</t>
  </si>
  <si>
    <t>02oct.2012</t>
  </si>
  <si>
    <t>03oct.2012</t>
  </si>
  <si>
    <t>04oct.2012</t>
  </si>
  <si>
    <t>05oct.2012</t>
  </si>
  <si>
    <t>06oct.2012</t>
  </si>
  <si>
    <t>07oct.2012</t>
  </si>
  <si>
    <t>08oct.2012</t>
  </si>
  <si>
    <t>09oct.2012</t>
  </si>
  <si>
    <t>10oct.2012</t>
  </si>
  <si>
    <t>176.4</t>
  </si>
  <si>
    <t>11oct.2012</t>
  </si>
  <si>
    <t>12oct.2012</t>
  </si>
  <si>
    <t>13oct.2012</t>
  </si>
  <si>
    <t>14oct.2012</t>
  </si>
  <si>
    <t>167.1</t>
  </si>
  <si>
    <t>15oct.2012</t>
  </si>
  <si>
    <t>16oct.2012</t>
  </si>
  <si>
    <t>156.9</t>
  </si>
  <si>
    <t>17oct.2012</t>
  </si>
  <si>
    <t>18oct.2012</t>
  </si>
  <si>
    <t>19oct.2012</t>
  </si>
  <si>
    <t>20oct.2012</t>
  </si>
  <si>
    <t>21oct.2012</t>
  </si>
  <si>
    <t>182.4</t>
  </si>
  <si>
    <t>182.5</t>
  </si>
  <si>
    <t>22oct.2012</t>
  </si>
  <si>
    <t>23oct.2012</t>
  </si>
  <si>
    <t>189.3</t>
  </si>
  <si>
    <t>24oct.2012</t>
  </si>
  <si>
    <t>25oct.2012</t>
  </si>
  <si>
    <t>26oct.2012</t>
  </si>
  <si>
    <t>27oct.2012</t>
  </si>
  <si>
    <t>28oct.2012</t>
  </si>
  <si>
    <t>29oct.2012</t>
  </si>
  <si>
    <t>30oct.2012</t>
  </si>
  <si>
    <t>31oct.2012</t>
  </si>
  <si>
    <t>222.9</t>
  </si>
  <si>
    <t>01nov.2012</t>
  </si>
  <si>
    <t>221.2</t>
  </si>
  <si>
    <t>02nov.2012</t>
  </si>
  <si>
    <t>219.6</t>
  </si>
  <si>
    <t>219.7</t>
  </si>
  <si>
    <t>03nov.2012</t>
  </si>
  <si>
    <t>04nov.2012</t>
  </si>
  <si>
    <t>212.3</t>
  </si>
  <si>
    <t>212.2</t>
  </si>
  <si>
    <t>05nov.2012</t>
  </si>
  <si>
    <t>06nov.2012</t>
  </si>
  <si>
    <t>239.9</t>
  </si>
  <si>
    <t>07nov.2012</t>
  </si>
  <si>
    <t>240.0</t>
  </si>
  <si>
    <t>08nov.2012</t>
  </si>
  <si>
    <t>09nov.2012</t>
  </si>
  <si>
    <t>10nov.2012</t>
  </si>
  <si>
    <t>243.4</t>
  </si>
  <si>
    <t>243.3</t>
  </si>
  <si>
    <t>11nov.2012</t>
  </si>
  <si>
    <t>250.9</t>
  </si>
  <si>
    <t>12nov.2012</t>
  </si>
  <si>
    <t>246.4</t>
  </si>
  <si>
    <t>13nov.2012</t>
  </si>
  <si>
    <t>14nov.2012</t>
  </si>
  <si>
    <t>230.5</t>
  </si>
  <si>
    <t>230.6</t>
  </si>
  <si>
    <t>15nov.2012</t>
  </si>
  <si>
    <t>229.1</t>
  </si>
  <si>
    <t>16nov.2012</t>
  </si>
  <si>
    <t>228.2</t>
  </si>
  <si>
    <t>17nov.2012</t>
  </si>
  <si>
    <t>224.5</t>
  </si>
  <si>
    <t>224.4</t>
  </si>
  <si>
    <t>18nov.2012</t>
  </si>
  <si>
    <t>19nov.2012</t>
  </si>
  <si>
    <t>213.4</t>
  </si>
  <si>
    <t>20nov.2012</t>
  </si>
  <si>
    <t>219.2</t>
  </si>
  <si>
    <t>21nov.2012</t>
  </si>
  <si>
    <t>229.4</t>
  </si>
  <si>
    <t>22nov.2012</t>
  </si>
  <si>
    <t>238.9</t>
  </si>
  <si>
    <t>23nov.2012</t>
  </si>
  <si>
    <t>241.6</t>
  </si>
  <si>
    <t>24nov.2012</t>
  </si>
  <si>
    <t>234.9</t>
  </si>
  <si>
    <t>25nov.2012</t>
  </si>
  <si>
    <t>26nov.2012</t>
  </si>
  <si>
    <t>27nov.2012</t>
  </si>
  <si>
    <t>28nov.2012</t>
  </si>
  <si>
    <t>29nov.2012</t>
  </si>
  <si>
    <t>30nov.2012</t>
  </si>
  <si>
    <t>219.8</t>
  </si>
  <si>
    <t>01déc.2012</t>
  </si>
  <si>
    <t>220.1</t>
  </si>
  <si>
    <t>02déc.2012</t>
  </si>
  <si>
    <t>228.8</t>
  </si>
  <si>
    <t>03déc.2012</t>
  </si>
  <si>
    <t>240.8</t>
  </si>
  <si>
    <t>240.7</t>
  </si>
  <si>
    <t>04déc.2012</t>
  </si>
  <si>
    <t>05déc.2012</t>
  </si>
  <si>
    <t>06déc.2012</t>
  </si>
  <si>
    <t>276.1</t>
  </si>
  <si>
    <t>07déc.2012</t>
  </si>
  <si>
    <t>264.5</t>
  </si>
  <si>
    <t>08déc.2012</t>
  </si>
  <si>
    <t>09déc.2012</t>
  </si>
  <si>
    <t>239.8</t>
  </si>
  <si>
    <t>10déc.2012</t>
  </si>
  <si>
    <t>233.7</t>
  </si>
  <si>
    <t>11déc.2012</t>
  </si>
  <si>
    <t>12déc.2012</t>
  </si>
  <si>
    <t>13déc.2012</t>
  </si>
  <si>
    <t>204.6</t>
  </si>
  <si>
    <t>14déc.2012</t>
  </si>
  <si>
    <t>201.8</t>
  </si>
  <si>
    <t>15déc.2012</t>
  </si>
  <si>
    <t>16déc.2012</t>
  </si>
  <si>
    <t>17déc.2012</t>
  </si>
  <si>
    <t>18déc.2012</t>
  </si>
  <si>
    <t>213.0</t>
  </si>
  <si>
    <t>19déc.2012</t>
  </si>
  <si>
    <t>20déc.2012</t>
  </si>
  <si>
    <t>243.7</t>
  </si>
  <si>
    <t>243.5</t>
  </si>
  <si>
    <t>21déc.2012</t>
  </si>
  <si>
    <t>22déc.2012</t>
  </si>
  <si>
    <t>23déc.2012</t>
  </si>
  <si>
    <t>246.0</t>
  </si>
  <si>
    <t>246.1</t>
  </si>
  <si>
    <t>24déc.2012</t>
  </si>
  <si>
    <t>25déc.2012</t>
  </si>
  <si>
    <t>220.2</t>
  </si>
  <si>
    <t>26déc.2012</t>
  </si>
  <si>
    <t>219.1</t>
  </si>
  <si>
    <t>27déc.2012</t>
  </si>
  <si>
    <t>28déc.2012</t>
  </si>
  <si>
    <t>29déc.2012</t>
  </si>
  <si>
    <t>30déc.2012</t>
  </si>
  <si>
    <t>248.9</t>
  </si>
  <si>
    <t>248.8</t>
  </si>
  <si>
    <t>31déc.2012</t>
  </si>
  <si>
    <t>01janv.2013</t>
  </si>
  <si>
    <t>265.3</t>
  </si>
  <si>
    <t>02janv.2013</t>
  </si>
  <si>
    <t>248.7</t>
  </si>
  <si>
    <t>03janv.2013</t>
  </si>
  <si>
    <t>04janv.2013</t>
  </si>
  <si>
    <t>229.7</t>
  </si>
  <si>
    <t>05janv.2013</t>
  </si>
  <si>
    <t>223.1</t>
  </si>
  <si>
    <t>06janv.2013</t>
  </si>
  <si>
    <t>209.9</t>
  </si>
  <si>
    <t>07janv.2013</t>
  </si>
  <si>
    <t>189.8</t>
  </si>
  <si>
    <t>08janv.2013</t>
  </si>
  <si>
    <t>09janv.2013</t>
  </si>
  <si>
    <t>10janv.2013</t>
  </si>
  <si>
    <t>11janv.2013</t>
  </si>
  <si>
    <t>12janv.2013</t>
  </si>
  <si>
    <t>13janv.2013</t>
  </si>
  <si>
    <t>14janv.2013</t>
  </si>
  <si>
    <t>15janv.2013</t>
  </si>
  <si>
    <t>16janv.2013</t>
  </si>
  <si>
    <t>17janv.2013</t>
  </si>
  <si>
    <t>18janv.2013</t>
  </si>
  <si>
    <t>19janv.2013</t>
  </si>
  <si>
    <t>20janv.2013</t>
  </si>
  <si>
    <t>162.9</t>
  </si>
  <si>
    <t>21janv.2013</t>
  </si>
  <si>
    <t>22janv.2013</t>
  </si>
  <si>
    <t>23janv.2013</t>
  </si>
  <si>
    <t>161.2</t>
  </si>
  <si>
    <t>24janv.2013</t>
  </si>
  <si>
    <t>25janv.2013</t>
  </si>
  <si>
    <t>26janv.2013</t>
  </si>
  <si>
    <t>27janv.2013</t>
  </si>
  <si>
    <t>187.1</t>
  </si>
  <si>
    <t>28janv.2013</t>
  </si>
  <si>
    <t>197.3</t>
  </si>
  <si>
    <t>29janv.2013</t>
  </si>
  <si>
    <t>203.9</t>
  </si>
  <si>
    <t>30janv.2013</t>
  </si>
  <si>
    <t>31janv.2013</t>
  </si>
  <si>
    <t>205.3</t>
  </si>
  <si>
    <t>205.2</t>
  </si>
  <si>
    <t>01févr.2013</t>
  </si>
  <si>
    <t>02févr.2013</t>
  </si>
  <si>
    <t>171.8</t>
  </si>
  <si>
    <t>03févr.2013</t>
  </si>
  <si>
    <t>04févr.2013</t>
  </si>
  <si>
    <t>05févr.2013</t>
  </si>
  <si>
    <t>133.2</t>
  </si>
  <si>
    <t>06févr.2013</t>
  </si>
  <si>
    <t>07févr.2013</t>
  </si>
  <si>
    <t>08févr.2013</t>
  </si>
  <si>
    <t>09févr.2013</t>
  </si>
  <si>
    <t>10févr.2013</t>
  </si>
  <si>
    <t>11févr.2013</t>
  </si>
  <si>
    <t>12févr.2013</t>
  </si>
  <si>
    <t>13févr.2013</t>
  </si>
  <si>
    <t>140.8</t>
  </si>
  <si>
    <t>14févr.2013</t>
  </si>
  <si>
    <t>143.8</t>
  </si>
  <si>
    <t>15févr.2013</t>
  </si>
  <si>
    <t>145.9</t>
  </si>
  <si>
    <t>16févr.2013</t>
  </si>
  <si>
    <t>145.5</t>
  </si>
  <si>
    <t>17févr.2013</t>
  </si>
  <si>
    <t>18févr.2013</t>
  </si>
  <si>
    <t>19févr.2013</t>
  </si>
  <si>
    <t>20févr.2013</t>
  </si>
  <si>
    <t>21févr.2013</t>
  </si>
  <si>
    <t>22févr.2013</t>
  </si>
  <si>
    <t>23févr.2013</t>
  </si>
  <si>
    <t>140.0</t>
  </si>
  <si>
    <t>24févr.2013</t>
  </si>
  <si>
    <t>135.8</t>
  </si>
  <si>
    <t>25févr.2013</t>
  </si>
  <si>
    <t>133.8</t>
  </si>
  <si>
    <t>26févr.2013</t>
  </si>
  <si>
    <t>27févr.2013</t>
  </si>
  <si>
    <t>28févr.2013</t>
  </si>
  <si>
    <t>167.2</t>
  </si>
  <si>
    <t>158.6</t>
  </si>
  <si>
    <t>186.5</t>
  </si>
  <si>
    <t>01avr.2013</t>
  </si>
  <si>
    <t>02avr.2013</t>
  </si>
  <si>
    <t>03avr.2013</t>
  </si>
  <si>
    <t>04avr.2013</t>
  </si>
  <si>
    <t>05avr.2013</t>
  </si>
  <si>
    <t>06avr.2013</t>
  </si>
  <si>
    <t>07avr.2013</t>
  </si>
  <si>
    <t>08avr.2013</t>
  </si>
  <si>
    <t>09avr.2013</t>
  </si>
  <si>
    <t>10avr.2013</t>
  </si>
  <si>
    <t>11avr.2013</t>
  </si>
  <si>
    <t>12avr.2013</t>
  </si>
  <si>
    <t>13avr.2013</t>
  </si>
  <si>
    <t>170.3</t>
  </si>
  <si>
    <t>14avr.2013</t>
  </si>
  <si>
    <t>15avr.2013</t>
  </si>
  <si>
    <t>16avr.2013</t>
  </si>
  <si>
    <t>17avr.2013</t>
  </si>
  <si>
    <t>18avr.2013</t>
  </si>
  <si>
    <t>19avr.2013</t>
  </si>
  <si>
    <t>20avr.2013</t>
  </si>
  <si>
    <t>21avr.2013</t>
  </si>
  <si>
    <t>22avr.2013</t>
  </si>
  <si>
    <t>23avr.2013</t>
  </si>
  <si>
    <t>24avr.2013</t>
  </si>
  <si>
    <t>25avr.2013</t>
  </si>
  <si>
    <t>179.2</t>
  </si>
  <si>
    <t>26avr.2013</t>
  </si>
  <si>
    <t>27avr.2013</t>
  </si>
  <si>
    <t>28avr.2013</t>
  </si>
  <si>
    <t>29avr.2013</t>
  </si>
  <si>
    <t>189.0</t>
  </si>
  <si>
    <t>30avr.2013</t>
  </si>
  <si>
    <t>173.0</t>
  </si>
  <si>
    <t>144.1</t>
  </si>
  <si>
    <t>116.2</t>
  </si>
  <si>
    <t>109.6</t>
  </si>
  <si>
    <t>107.6</t>
  </si>
  <si>
    <t>108.5</t>
  </si>
  <si>
    <t>01juil.2013</t>
  </si>
  <si>
    <t>02juil.2013</t>
  </si>
  <si>
    <t>03juil.2013</t>
  </si>
  <si>
    <t>04juil.2013</t>
  </si>
  <si>
    <t>72.5</t>
  </si>
  <si>
    <t>05juil.2013</t>
  </si>
  <si>
    <t>06juil.2013</t>
  </si>
  <si>
    <t>74.9</t>
  </si>
  <si>
    <t>07juil.2013</t>
  </si>
  <si>
    <t>74.2</t>
  </si>
  <si>
    <t>08juil.2013</t>
  </si>
  <si>
    <t>09juil.2013</t>
  </si>
  <si>
    <t>10juil.2013</t>
  </si>
  <si>
    <t>72.8</t>
  </si>
  <si>
    <t>11juil.2013</t>
  </si>
  <si>
    <t>12juil.2013</t>
  </si>
  <si>
    <t>13juil.2013</t>
  </si>
  <si>
    <t>14juil.2013</t>
  </si>
  <si>
    <t>15juil.2013</t>
  </si>
  <si>
    <t>16juil.2013</t>
  </si>
  <si>
    <t>17juil.2013</t>
  </si>
  <si>
    <t>18juil.2013</t>
  </si>
  <si>
    <t>19juil.2013</t>
  </si>
  <si>
    <t>20juil.2013</t>
  </si>
  <si>
    <t>71.3</t>
  </si>
  <si>
    <t>21juil.2013</t>
  </si>
  <si>
    <t>22juil.2013</t>
  </si>
  <si>
    <t>23juil.2013</t>
  </si>
  <si>
    <t>24juil.2013</t>
  </si>
  <si>
    <t>25juil.2013</t>
  </si>
  <si>
    <t>26juil.2013</t>
  </si>
  <si>
    <t>27juil.2013</t>
  </si>
  <si>
    <t>28juil.2013</t>
  </si>
  <si>
    <t>29juil.2013</t>
  </si>
  <si>
    <t>30juil.2013</t>
  </si>
  <si>
    <t>31juil.2013</t>
  </si>
  <si>
    <t>93.5</t>
  </si>
  <si>
    <t>95.7</t>
  </si>
  <si>
    <t>93.3</t>
  </si>
  <si>
    <t>93.1</t>
  </si>
  <si>
    <t>95.4</t>
  </si>
  <si>
    <t>96.2</t>
  </si>
  <si>
    <t>96.0</t>
  </si>
  <si>
    <t>95.9</t>
  </si>
  <si>
    <t>96.1</t>
  </si>
  <si>
    <t>99.1</t>
  </si>
  <si>
    <t>99.3</t>
  </si>
  <si>
    <t>98.9</t>
  </si>
  <si>
    <t>98.7</t>
  </si>
  <si>
    <t>01sept.2013</t>
  </si>
  <si>
    <t>02sept.2013</t>
  </si>
  <si>
    <t>112.1</t>
  </si>
  <si>
    <t>03sept.2013</t>
  </si>
  <si>
    <t>117.2</t>
  </si>
  <si>
    <t>04sept.2013</t>
  </si>
  <si>
    <t>122.4</t>
  </si>
  <si>
    <t>05sept.2013</t>
  </si>
  <si>
    <t>06sept.2013</t>
  </si>
  <si>
    <t>07sept.2013</t>
  </si>
  <si>
    <t>08sept.2013</t>
  </si>
  <si>
    <t>115.9</t>
  </si>
  <si>
    <t>09sept.2013</t>
  </si>
  <si>
    <t>112.8</t>
  </si>
  <si>
    <t>10sept.2013</t>
  </si>
  <si>
    <t>11sept.2013</t>
  </si>
  <si>
    <t>12sept.2013</t>
  </si>
  <si>
    <t>13sept.2013</t>
  </si>
  <si>
    <t>120.6</t>
  </si>
  <si>
    <t>14sept.2013</t>
  </si>
  <si>
    <t>15sept.2013</t>
  </si>
  <si>
    <t>120.9</t>
  </si>
  <si>
    <t>16sept.2013</t>
  </si>
  <si>
    <t>17sept.2013</t>
  </si>
  <si>
    <t>121.8</t>
  </si>
  <si>
    <t>18sept.2013</t>
  </si>
  <si>
    <t>19sept.2013</t>
  </si>
  <si>
    <t>20sept.2013</t>
  </si>
  <si>
    <t>21sept.2013</t>
  </si>
  <si>
    <t>22sept.2013</t>
  </si>
  <si>
    <t>23sept.2013</t>
  </si>
  <si>
    <t>24sept.2013</t>
  </si>
  <si>
    <t>25sept.2013</t>
  </si>
  <si>
    <t>26sept.2013</t>
  </si>
  <si>
    <t>27sept.2013</t>
  </si>
  <si>
    <t>28sept.2013</t>
  </si>
  <si>
    <t>29sept.2013</t>
  </si>
  <si>
    <t>30sept.2013</t>
  </si>
  <si>
    <t>01oct.2013</t>
  </si>
  <si>
    <t>02oct.2013</t>
  </si>
  <si>
    <t>03oct.2013</t>
  </si>
  <si>
    <t>04oct.2013</t>
  </si>
  <si>
    <t>05oct.2013</t>
  </si>
  <si>
    <t>06oct.2013</t>
  </si>
  <si>
    <t>07oct.2013</t>
  </si>
  <si>
    <t>08oct.2013</t>
  </si>
  <si>
    <t>09oct.2013</t>
  </si>
  <si>
    <t>10oct.2013</t>
  </si>
  <si>
    <t>181.1</t>
  </si>
  <si>
    <t>11oct.2013</t>
  </si>
  <si>
    <t>186.7</t>
  </si>
  <si>
    <t>12oct.2013</t>
  </si>
  <si>
    <t>198.4</t>
  </si>
  <si>
    <t>13oct.2013</t>
  </si>
  <si>
    <t>14oct.2013</t>
  </si>
  <si>
    <t>15oct.2013</t>
  </si>
  <si>
    <t>16oct.2013</t>
  </si>
  <si>
    <t>17oct.2013</t>
  </si>
  <si>
    <t>187.8</t>
  </si>
  <si>
    <t>18oct.2013</t>
  </si>
  <si>
    <t>192.6</t>
  </si>
  <si>
    <t>192.5</t>
  </si>
  <si>
    <t>19oct.2013</t>
  </si>
  <si>
    <t>202.1</t>
  </si>
  <si>
    <t>20oct.2013</t>
  </si>
  <si>
    <t>21oct.2013</t>
  </si>
  <si>
    <t>214.6</t>
  </si>
  <si>
    <t>22oct.2013</t>
  </si>
  <si>
    <t>214.0</t>
  </si>
  <si>
    <t>213.9</t>
  </si>
  <si>
    <t>23oct.2013</t>
  </si>
  <si>
    <t>206.4</t>
  </si>
  <si>
    <t>206.5</t>
  </si>
  <si>
    <t>24oct.2013</t>
  </si>
  <si>
    <t>25oct.2013</t>
  </si>
  <si>
    <t>26oct.2013</t>
  </si>
  <si>
    <t>207.4</t>
  </si>
  <si>
    <t>27oct.2013</t>
  </si>
  <si>
    <t>202.4</t>
  </si>
  <si>
    <t>202.5</t>
  </si>
  <si>
    <t>28oct.2013</t>
  </si>
  <si>
    <t>195.7</t>
  </si>
  <si>
    <t>29oct.2013</t>
  </si>
  <si>
    <t>30oct.2013</t>
  </si>
  <si>
    <t>31oct.2013</t>
  </si>
  <si>
    <t>01nov.2013</t>
  </si>
  <si>
    <t>02nov.2013</t>
  </si>
  <si>
    <t>03nov.2013</t>
  </si>
  <si>
    <t>193.8</t>
  </si>
  <si>
    <t>193.9</t>
  </si>
  <si>
    <t>04nov.2013</t>
  </si>
  <si>
    <t>05nov.2013</t>
  </si>
  <si>
    <t>231.7</t>
  </si>
  <si>
    <t>06nov.2013</t>
  </si>
  <si>
    <t>247.4</t>
  </si>
  <si>
    <t>247.3</t>
  </si>
  <si>
    <t>07nov.2013</t>
  </si>
  <si>
    <t>250.5</t>
  </si>
  <si>
    <t>250.6</t>
  </si>
  <si>
    <t>08nov.2013</t>
  </si>
  <si>
    <t>09nov.2013</t>
  </si>
  <si>
    <t>225.1</t>
  </si>
  <si>
    <t>10nov.2013</t>
  </si>
  <si>
    <t>217.6</t>
  </si>
  <si>
    <t>11nov.2013</t>
  </si>
  <si>
    <t>12nov.2013</t>
  </si>
  <si>
    <t>227.2</t>
  </si>
  <si>
    <t>227.1</t>
  </si>
  <si>
    <t>13nov.2013</t>
  </si>
  <si>
    <t>238.2</t>
  </si>
  <si>
    <t>14nov.2013</t>
  </si>
  <si>
    <t>15nov.2013</t>
  </si>
  <si>
    <t>16nov.2013</t>
  </si>
  <si>
    <t>17nov.2013</t>
  </si>
  <si>
    <t>18nov.2013</t>
  </si>
  <si>
    <t>240.5</t>
  </si>
  <si>
    <t>19nov.2013</t>
  </si>
  <si>
    <t>20nov.2013</t>
  </si>
  <si>
    <t>222.6</t>
  </si>
  <si>
    <t>21nov.2013</t>
  </si>
  <si>
    <t>22nov.2013</t>
  </si>
  <si>
    <t>204.3</t>
  </si>
  <si>
    <t>23nov.2013</t>
  </si>
  <si>
    <t>24nov.2013</t>
  </si>
  <si>
    <t>205.8</t>
  </si>
  <si>
    <t>25nov.2013</t>
  </si>
  <si>
    <t>26nov.2013</t>
  </si>
  <si>
    <t>214.4</t>
  </si>
  <si>
    <t>214.3</t>
  </si>
  <si>
    <t>27nov.2013</t>
  </si>
  <si>
    <t>218.3</t>
  </si>
  <si>
    <t>28nov.2013</t>
  </si>
  <si>
    <t>29nov.2013</t>
  </si>
  <si>
    <t>30nov.2013</t>
  </si>
  <si>
    <t>198.9</t>
  </si>
  <si>
    <t>01déc.2013</t>
  </si>
  <si>
    <t>02déc.2013</t>
  </si>
  <si>
    <t>03déc.2013</t>
  </si>
  <si>
    <t>04déc.2013</t>
  </si>
  <si>
    <t>187.2</t>
  </si>
  <si>
    <t>05déc.2013</t>
  </si>
  <si>
    <t>06déc.2013</t>
  </si>
  <si>
    <t>07déc.2013</t>
  </si>
  <si>
    <t>08déc.2013</t>
  </si>
  <si>
    <t>09déc.2013</t>
  </si>
  <si>
    <t>10déc.2013</t>
  </si>
  <si>
    <t>11déc.2013</t>
  </si>
  <si>
    <t>12déc.2013</t>
  </si>
  <si>
    <t>219.3</t>
  </si>
  <si>
    <t>13déc.2013</t>
  </si>
  <si>
    <t>14déc.2013</t>
  </si>
  <si>
    <t>15déc.2013</t>
  </si>
  <si>
    <t>16déc.2013</t>
  </si>
  <si>
    <t>17déc.2013</t>
  </si>
  <si>
    <t>167.6</t>
  </si>
  <si>
    <t>18déc.2013</t>
  </si>
  <si>
    <t>19déc.2013</t>
  </si>
  <si>
    <t>20déc.2013</t>
  </si>
  <si>
    <t>21déc.2013</t>
  </si>
  <si>
    <t>22déc.2013</t>
  </si>
  <si>
    <t>23déc.2013</t>
  </si>
  <si>
    <t>24déc.2013</t>
  </si>
  <si>
    <t>25déc.2013</t>
  </si>
  <si>
    <t>26déc.2013</t>
  </si>
  <si>
    <t>183.4</t>
  </si>
  <si>
    <t>27déc.2013</t>
  </si>
  <si>
    <t>28déc.2013</t>
  </si>
  <si>
    <t>29déc.2013</t>
  </si>
  <si>
    <t>30déc.2013</t>
  </si>
  <si>
    <t>229.9</t>
  </si>
  <si>
    <t>229.8</t>
  </si>
  <si>
    <t>31déc.2013</t>
  </si>
  <si>
    <t>229.0</t>
  </si>
  <si>
    <t>01janv.2014</t>
  </si>
  <si>
    <t>02janv.2014</t>
  </si>
  <si>
    <t>03janv.2014</t>
  </si>
  <si>
    <t>181.6</t>
  </si>
  <si>
    <t>04janv.2014</t>
  </si>
  <si>
    <t>173.2</t>
  </si>
  <si>
    <t>05janv.2014</t>
  </si>
  <si>
    <t>173.8</t>
  </si>
  <si>
    <t>06janv.2014</t>
  </si>
  <si>
    <t>07janv.2014</t>
  </si>
  <si>
    <t>08janv.2014</t>
  </si>
  <si>
    <t>09janv.2014</t>
  </si>
  <si>
    <t>10janv.2014</t>
  </si>
  <si>
    <t>11janv.2014</t>
  </si>
  <si>
    <t>12janv.2014</t>
  </si>
  <si>
    <t>13janv.2014</t>
  </si>
  <si>
    <t>14janv.2014</t>
  </si>
  <si>
    <t>15janv.2014</t>
  </si>
  <si>
    <t>231.1</t>
  </si>
  <si>
    <t>16janv.2014</t>
  </si>
  <si>
    <t>244.9</t>
  </si>
  <si>
    <t>245.0</t>
  </si>
  <si>
    <t>17janv.2014</t>
  </si>
  <si>
    <t>245.2</t>
  </si>
  <si>
    <t>18janv.2014</t>
  </si>
  <si>
    <t>19janv.2014</t>
  </si>
  <si>
    <t>225.7</t>
  </si>
  <si>
    <t>20janv.2014</t>
  </si>
  <si>
    <t>209.0</t>
  </si>
  <si>
    <t>21janv.2014</t>
  </si>
  <si>
    <t>22janv.2014</t>
  </si>
  <si>
    <t>185.9</t>
  </si>
  <si>
    <t>23janv.2014</t>
  </si>
  <si>
    <t>24janv.2014</t>
  </si>
  <si>
    <t>25janv.2014</t>
  </si>
  <si>
    <t>26janv.2014</t>
  </si>
  <si>
    <t>27janv.2014</t>
  </si>
  <si>
    <t>155.2</t>
  </si>
  <si>
    <t>28janv.2014</t>
  </si>
  <si>
    <t>29janv.2014</t>
  </si>
  <si>
    <t>30janv.2014</t>
  </si>
  <si>
    <t>31janv.2014</t>
  </si>
  <si>
    <t>01févr.2014</t>
  </si>
  <si>
    <t>02févr.2014</t>
  </si>
  <si>
    <t>03févr.2014</t>
  </si>
  <si>
    <t>04févr.2014</t>
  </si>
  <si>
    <t>05févr.2014</t>
  </si>
  <si>
    <t>06févr.2014</t>
  </si>
  <si>
    <t>07févr.2014</t>
  </si>
  <si>
    <t>08févr.2014</t>
  </si>
  <si>
    <t>159.9</t>
  </si>
  <si>
    <t>09févr.2014</t>
  </si>
  <si>
    <t>10févr.2014</t>
  </si>
  <si>
    <t>11févr.2014</t>
  </si>
  <si>
    <t>12févr.2014</t>
  </si>
  <si>
    <t>13févr.2014</t>
  </si>
  <si>
    <t>14févr.2014</t>
  </si>
  <si>
    <t>15févr.2014</t>
  </si>
  <si>
    <t>16févr.2014</t>
  </si>
  <si>
    <t>17févr.2014</t>
  </si>
  <si>
    <t>188.7</t>
  </si>
  <si>
    <t>18févr.2014</t>
  </si>
  <si>
    <t>19févr.2014</t>
  </si>
  <si>
    <t>20févr.2014</t>
  </si>
  <si>
    <t>21févr.2014</t>
  </si>
  <si>
    <t>22févr.2014</t>
  </si>
  <si>
    <t>23févr.2014</t>
  </si>
  <si>
    <t>24févr.2014</t>
  </si>
  <si>
    <t>25févr.2014</t>
  </si>
  <si>
    <t>169.3</t>
  </si>
  <si>
    <t>26févr.2014</t>
  </si>
  <si>
    <t>27févr.2014</t>
  </si>
  <si>
    <t>28févr.2014</t>
  </si>
  <si>
    <t>191.0</t>
  </si>
  <si>
    <t>190.9</t>
  </si>
  <si>
    <t>173.4</t>
  </si>
  <si>
    <t>01avr.2014</t>
  </si>
  <si>
    <t>02avr.2014</t>
  </si>
  <si>
    <t>03avr.2014</t>
  </si>
  <si>
    <t>04avr.2014</t>
  </si>
  <si>
    <t>05avr.2014</t>
  </si>
  <si>
    <t>06avr.2014</t>
  </si>
  <si>
    <t>07avr.2014</t>
  </si>
  <si>
    <t>08avr.2014</t>
  </si>
  <si>
    <t>09avr.2014</t>
  </si>
  <si>
    <t>10avr.2014</t>
  </si>
  <si>
    <t>11avr.2014</t>
  </si>
  <si>
    <t>12avr.2014</t>
  </si>
  <si>
    <t>13avr.2014</t>
  </si>
  <si>
    <t>14avr.2014</t>
  </si>
  <si>
    <t>15avr.2014</t>
  </si>
  <si>
    <t>16avr.2014</t>
  </si>
  <si>
    <t>17avr.2014</t>
  </si>
  <si>
    <t>18avr.2014</t>
  </si>
  <si>
    <t>19avr.2014</t>
  </si>
  <si>
    <t>20avr.2014</t>
  </si>
  <si>
    <t>21avr.2014</t>
  </si>
  <si>
    <t>22avr.2014</t>
  </si>
  <si>
    <t>23avr.2014</t>
  </si>
  <si>
    <t>24avr.2014</t>
  </si>
  <si>
    <t>25avr.2014</t>
  </si>
  <si>
    <t>26avr.2014</t>
  </si>
  <si>
    <t>190.8</t>
  </si>
  <si>
    <t>27avr.2014</t>
  </si>
  <si>
    <t>206.7</t>
  </si>
  <si>
    <t>28avr.2014</t>
  </si>
  <si>
    <t>207.2</t>
  </si>
  <si>
    <t>29avr.2014</t>
  </si>
  <si>
    <t>30avr.2014</t>
  </si>
  <si>
    <t>118.2</t>
  </si>
  <si>
    <t>146.7</t>
  </si>
  <si>
    <t>111.3</t>
  </si>
  <si>
    <t>110.3</t>
  </si>
  <si>
    <t>110.4</t>
  </si>
  <si>
    <t>108.8</t>
  </si>
  <si>
    <t>87.6</t>
  </si>
  <si>
    <t>92.2</t>
  </si>
  <si>
    <t>90.0</t>
  </si>
  <si>
    <t>01juil.2014</t>
  </si>
  <si>
    <t>02juil.2014</t>
  </si>
  <si>
    <t>03juil.2014</t>
  </si>
  <si>
    <t>04juil.2014</t>
  </si>
  <si>
    <t>05juil.2014</t>
  </si>
  <si>
    <t>06juil.2014</t>
  </si>
  <si>
    <t>07juil.2014</t>
  </si>
  <si>
    <t>08juil.2014</t>
  </si>
  <si>
    <t>09juil.2014</t>
  </si>
  <si>
    <t>10juil.2014</t>
  </si>
  <si>
    <t>11juil.2014</t>
  </si>
  <si>
    <t>12juil.2014</t>
  </si>
  <si>
    <t>13juil.2014</t>
  </si>
  <si>
    <t>76.0</t>
  </si>
  <si>
    <t>14juil.2014</t>
  </si>
  <si>
    <t>15juil.2014</t>
  </si>
  <si>
    <t>72.4</t>
  </si>
  <si>
    <t>16juil.2014</t>
  </si>
  <si>
    <t>17juil.2014</t>
  </si>
  <si>
    <t>18juil.2014</t>
  </si>
  <si>
    <t>19juil.2014</t>
  </si>
  <si>
    <t>20juil.2014</t>
  </si>
  <si>
    <t>21juil.2014</t>
  </si>
  <si>
    <t>22juil.2014</t>
  </si>
  <si>
    <t>23juil.2014</t>
  </si>
  <si>
    <t>24juil.2014</t>
  </si>
  <si>
    <t>25juil.2014</t>
  </si>
  <si>
    <t>26juil.2014</t>
  </si>
  <si>
    <t>27juil.2014</t>
  </si>
  <si>
    <t>28juil.2014</t>
  </si>
  <si>
    <t>29juil.2014</t>
  </si>
  <si>
    <t>30juil.2014</t>
  </si>
  <si>
    <t>31juil.2014</t>
  </si>
  <si>
    <t>77.6</t>
  </si>
  <si>
    <t>77.9</t>
  </si>
  <si>
    <t>79.7</t>
  </si>
  <si>
    <t>80.6</t>
  </si>
  <si>
    <t>94.8</t>
  </si>
  <si>
    <t>96.4</t>
  </si>
  <si>
    <t>93.6</t>
  </si>
  <si>
    <t>95.8</t>
  </si>
  <si>
    <t>103.4</t>
  </si>
  <si>
    <t>108.6</t>
  </si>
  <si>
    <t>110.1</t>
  </si>
  <si>
    <t>01sept.2014</t>
  </si>
  <si>
    <t>110.8</t>
  </si>
  <si>
    <t>110.6</t>
  </si>
  <si>
    <t>02sept.2014</t>
  </si>
  <si>
    <t>03sept.2014</t>
  </si>
  <si>
    <t>04sept.2014</t>
  </si>
  <si>
    <t>05sept.2014</t>
  </si>
  <si>
    <t>06sept.2014</t>
  </si>
  <si>
    <t>07sept.2014</t>
  </si>
  <si>
    <t>08sept.2014</t>
  </si>
  <si>
    <t>09sept.2014</t>
  </si>
  <si>
    <t>10sept.2014</t>
  </si>
  <si>
    <t>11sept.2014</t>
  </si>
  <si>
    <t>12sept.2014</t>
  </si>
  <si>
    <t>127.4</t>
  </si>
  <si>
    <t>13sept.2014</t>
  </si>
  <si>
    <t>14sept.2014</t>
  </si>
  <si>
    <t>15sept.2014</t>
  </si>
  <si>
    <t>16sept.2014</t>
  </si>
  <si>
    <t>17sept.2014</t>
  </si>
  <si>
    <t>18sept.2014</t>
  </si>
  <si>
    <t>19sept.2014</t>
  </si>
  <si>
    <t>20sept.2014</t>
  </si>
  <si>
    <t>21sept.2014</t>
  </si>
  <si>
    <t>22sept.2014</t>
  </si>
  <si>
    <t>23sept.2014</t>
  </si>
  <si>
    <t>24sept.2014</t>
  </si>
  <si>
    <t>130.6</t>
  </si>
  <si>
    <t>130.7</t>
  </si>
  <si>
    <t>25sept.2014</t>
  </si>
  <si>
    <t>26sept.2014</t>
  </si>
  <si>
    <t>27sept.2014</t>
  </si>
  <si>
    <t>28sept.2014</t>
  </si>
  <si>
    <t>29sept.2014</t>
  </si>
  <si>
    <t>30sept.2014</t>
  </si>
  <si>
    <t>01oct.2014</t>
  </si>
  <si>
    <t>02oct.2014</t>
  </si>
  <si>
    <t>03oct.2014</t>
  </si>
  <si>
    <t>04oct.2014</t>
  </si>
  <si>
    <t>05oct.2014</t>
  </si>
  <si>
    <t>06oct.2014</t>
  </si>
  <si>
    <t>140.3</t>
  </si>
  <si>
    <t>07oct.2014</t>
  </si>
  <si>
    <t>08oct.2014</t>
  </si>
  <si>
    <t>09oct.2014</t>
  </si>
  <si>
    <t>10oct.2014</t>
  </si>
  <si>
    <t>11oct.2014</t>
  </si>
  <si>
    <t>12oct.2014</t>
  </si>
  <si>
    <t>13oct.2014</t>
  </si>
  <si>
    <t>151.1</t>
  </si>
  <si>
    <t>151.2</t>
  </si>
  <si>
    <t>14oct.2014</t>
  </si>
  <si>
    <t>15oct.2014</t>
  </si>
  <si>
    <t>16oct.2014</t>
  </si>
  <si>
    <t>17oct.2014</t>
  </si>
  <si>
    <t>18oct.2014</t>
  </si>
  <si>
    <t>19oct.2014</t>
  </si>
  <si>
    <t>20oct.2014</t>
  </si>
  <si>
    <t>21oct.2014</t>
  </si>
  <si>
    <t>185.7</t>
  </si>
  <si>
    <t>22oct.2014</t>
  </si>
  <si>
    <t>23oct.2014</t>
  </si>
  <si>
    <t>24oct.2014</t>
  </si>
  <si>
    <t>25oct.2014</t>
  </si>
  <si>
    <t>166.6</t>
  </si>
  <si>
    <t>26oct.2014</t>
  </si>
  <si>
    <t>27oct.2014</t>
  </si>
  <si>
    <t>28oct.2014</t>
  </si>
  <si>
    <t>29oct.2014</t>
  </si>
  <si>
    <t>30oct.2014</t>
  </si>
  <si>
    <t>31oct.2014</t>
  </si>
  <si>
    <t>01nov.2014</t>
  </si>
  <si>
    <t>02nov.2014</t>
  </si>
  <si>
    <t>03nov.2014</t>
  </si>
  <si>
    <t>04nov.2014</t>
  </si>
  <si>
    <t>05nov.2014</t>
  </si>
  <si>
    <t>06nov.2014</t>
  </si>
  <si>
    <t>07nov.2014</t>
  </si>
  <si>
    <t>08nov.2014</t>
  </si>
  <si>
    <t>09nov.2014</t>
  </si>
  <si>
    <t>10nov.2014</t>
  </si>
  <si>
    <t>11nov.2014</t>
  </si>
  <si>
    <t>193.2</t>
  </si>
  <si>
    <t>12nov.2014</t>
  </si>
  <si>
    <t>216.4</t>
  </si>
  <si>
    <t>13nov.2014</t>
  </si>
  <si>
    <t>238.1</t>
  </si>
  <si>
    <t>14nov.2014</t>
  </si>
  <si>
    <t>250.4</t>
  </si>
  <si>
    <t>15nov.2014</t>
  </si>
  <si>
    <t>253.0</t>
  </si>
  <si>
    <t>16nov.2014</t>
  </si>
  <si>
    <t>242.6</t>
  </si>
  <si>
    <t>17nov.2014</t>
  </si>
  <si>
    <t>18nov.2014</t>
  </si>
  <si>
    <t>19nov.2014</t>
  </si>
  <si>
    <t>194.0</t>
  </si>
  <si>
    <t>20nov.2014</t>
  </si>
  <si>
    <t>21nov.2014</t>
  </si>
  <si>
    <t>22nov.2014</t>
  </si>
  <si>
    <t>23nov.2014</t>
  </si>
  <si>
    <t>24nov.2014</t>
  </si>
  <si>
    <t>25nov.2014</t>
  </si>
  <si>
    <t>26nov.2014</t>
  </si>
  <si>
    <t>27nov.2014</t>
  </si>
  <si>
    <t>28nov.2014</t>
  </si>
  <si>
    <t>29nov.2014</t>
  </si>
  <si>
    <t>30nov.2014</t>
  </si>
  <si>
    <t>01déc.2014</t>
  </si>
  <si>
    <t>02déc.2014</t>
  </si>
  <si>
    <t>03déc.2014</t>
  </si>
  <si>
    <t>207.9</t>
  </si>
  <si>
    <t>208.0</t>
  </si>
  <si>
    <t>04déc.2014</t>
  </si>
  <si>
    <t>211.4</t>
  </si>
  <si>
    <t>211.3</t>
  </si>
  <si>
    <t>05déc.2014</t>
  </si>
  <si>
    <t>214.5</t>
  </si>
  <si>
    <t>06déc.2014</t>
  </si>
  <si>
    <t>07déc.2014</t>
  </si>
  <si>
    <t>237.3</t>
  </si>
  <si>
    <t>08déc.2014</t>
  </si>
  <si>
    <t>242.3</t>
  </si>
  <si>
    <t>09déc.2014</t>
  </si>
  <si>
    <t>231.8</t>
  </si>
  <si>
    <t>10déc.2014</t>
  </si>
  <si>
    <t>11déc.2014</t>
  </si>
  <si>
    <t>12déc.2014</t>
  </si>
  <si>
    <t>13déc.2014</t>
  </si>
  <si>
    <t>14déc.2014</t>
  </si>
  <si>
    <t>15déc.2014</t>
  </si>
  <si>
    <t>16déc.2014</t>
  </si>
  <si>
    <t>17déc.2014</t>
  </si>
  <si>
    <t>193.4</t>
  </si>
  <si>
    <t>18déc.2014</t>
  </si>
  <si>
    <t>19déc.2014</t>
  </si>
  <si>
    <t>194.3</t>
  </si>
  <si>
    <t>20déc.2014</t>
  </si>
  <si>
    <t>21déc.2014</t>
  </si>
  <si>
    <t>183.1</t>
  </si>
  <si>
    <t>22déc.2014</t>
  </si>
  <si>
    <t>23déc.2014</t>
  </si>
  <si>
    <t>24déc.2014</t>
  </si>
  <si>
    <t>25déc.2014</t>
  </si>
  <si>
    <t>26déc.2014</t>
  </si>
  <si>
    <t>27déc.2014</t>
  </si>
  <si>
    <t>28déc.2014</t>
  </si>
  <si>
    <t>29déc.2014</t>
  </si>
  <si>
    <t>30déc.2014</t>
  </si>
  <si>
    <t>31déc.2014</t>
  </si>
  <si>
    <t>01janv.2015</t>
  </si>
  <si>
    <t>02janv.2015</t>
  </si>
  <si>
    <t>03janv.2015</t>
  </si>
  <si>
    <t>04janv.2015</t>
  </si>
  <si>
    <t>05janv.2015</t>
  </si>
  <si>
    <t>06janv.2015</t>
  </si>
  <si>
    <t>07janv.2015</t>
  </si>
  <si>
    <t>08janv.2015</t>
  </si>
  <si>
    <t>09janv.2015</t>
  </si>
  <si>
    <t>10janv.2015</t>
  </si>
  <si>
    <t>11janv.2015</t>
  </si>
  <si>
    <t>12janv.2015</t>
  </si>
  <si>
    <t>13janv.2015</t>
  </si>
  <si>
    <t>14janv.2015</t>
  </si>
  <si>
    <t>15janv.2015</t>
  </si>
  <si>
    <t>16janv.2015</t>
  </si>
  <si>
    <t>17janv.2015</t>
  </si>
  <si>
    <t>18janv.2015</t>
  </si>
  <si>
    <t>148.5</t>
  </si>
  <si>
    <t>19janv.2015</t>
  </si>
  <si>
    <t>20janv.2015</t>
  </si>
  <si>
    <t>149.6</t>
  </si>
  <si>
    <t>21janv.2015</t>
  </si>
  <si>
    <t>22janv.2015</t>
  </si>
  <si>
    <t>23janv.2015</t>
  </si>
  <si>
    <t>24janv.2015</t>
  </si>
  <si>
    <t>25janv.2015</t>
  </si>
  <si>
    <t>26janv.2015</t>
  </si>
  <si>
    <t>27janv.2015</t>
  </si>
  <si>
    <t>28janv.2015</t>
  </si>
  <si>
    <t>29janv.2015</t>
  </si>
  <si>
    <t>30janv.2015</t>
  </si>
  <si>
    <t>31janv.2015</t>
  </si>
  <si>
    <t>168.9</t>
  </si>
  <si>
    <t>01févr.2015</t>
  </si>
  <si>
    <t>02févr.2015</t>
  </si>
  <si>
    <t>03févr.2015</t>
  </si>
  <si>
    <t>04févr.2015</t>
  </si>
  <si>
    <t>139.3</t>
  </si>
  <si>
    <t>05févr.2015</t>
  </si>
  <si>
    <t>06févr.2015</t>
  </si>
  <si>
    <t>07févr.2015</t>
  </si>
  <si>
    <t>08févr.2015</t>
  </si>
  <si>
    <t>09févr.2015</t>
  </si>
  <si>
    <t>10févr.2015</t>
  </si>
  <si>
    <t>11févr.2015</t>
  </si>
  <si>
    <t>12févr.2015</t>
  </si>
  <si>
    <t>13févr.2015</t>
  </si>
  <si>
    <t>14févr.2015</t>
  </si>
  <si>
    <t>15févr.2015</t>
  </si>
  <si>
    <t>16févr.2015</t>
  </si>
  <si>
    <t>17févr.2015</t>
  </si>
  <si>
    <t>18févr.2015</t>
  </si>
  <si>
    <t>19févr.2015</t>
  </si>
  <si>
    <t>20févr.2015</t>
  </si>
  <si>
    <t>21févr.2015</t>
  </si>
  <si>
    <t>22févr.2015</t>
  </si>
  <si>
    <t>23févr.2015</t>
  </si>
  <si>
    <t>24févr.2015</t>
  </si>
  <si>
    <t>25févr.2015</t>
  </si>
  <si>
    <t>26févr.2015</t>
  </si>
  <si>
    <t>27févr.2015</t>
  </si>
  <si>
    <t>28févr.2015</t>
  </si>
  <si>
    <t>203.8</t>
  </si>
  <si>
    <t>198.6</t>
  </si>
  <si>
    <t>225.8</t>
  </si>
  <si>
    <t>225.6</t>
  </si>
  <si>
    <t>248.3</t>
  </si>
  <si>
    <t>259.0</t>
  </si>
  <si>
    <t>255.7</t>
  </si>
  <si>
    <t>255.9</t>
  </si>
  <si>
    <t>240.9</t>
  </si>
  <si>
    <t>230.0</t>
  </si>
  <si>
    <t>234.8</t>
  </si>
  <si>
    <t>234.7</t>
  </si>
  <si>
    <t>241.0</t>
  </si>
  <si>
    <t>241.1</t>
  </si>
  <si>
    <t>01avr.2015</t>
  </si>
  <si>
    <t>226.5</t>
  </si>
  <si>
    <t>226.4</t>
  </si>
  <si>
    <t>02avr.2015</t>
  </si>
  <si>
    <t>03avr.2015</t>
  </si>
  <si>
    <t>214.1</t>
  </si>
  <si>
    <t>04avr.2015</t>
  </si>
  <si>
    <t>05avr.2015</t>
  </si>
  <si>
    <t>210.0</t>
  </si>
  <si>
    <t>06avr.2015</t>
  </si>
  <si>
    <t>07avr.2015</t>
  </si>
  <si>
    <t>191.1</t>
  </si>
  <si>
    <t>08avr.2015</t>
  </si>
  <si>
    <t>09avr.2015</t>
  </si>
  <si>
    <t>10avr.2015</t>
  </si>
  <si>
    <t>11avr.2015</t>
  </si>
  <si>
    <t>12avr.2015</t>
  </si>
  <si>
    <t>13avr.2015</t>
  </si>
  <si>
    <t>14avr.2015</t>
  </si>
  <si>
    <t>15avr.2015</t>
  </si>
  <si>
    <t>16avr.2015</t>
  </si>
  <si>
    <t>17avr.2015</t>
  </si>
  <si>
    <t>18avr.2015</t>
  </si>
  <si>
    <t>19avr.2015</t>
  </si>
  <si>
    <t>20avr.2015</t>
  </si>
  <si>
    <t>21avr.2015</t>
  </si>
  <si>
    <t>22avr.2015</t>
  </si>
  <si>
    <t>23avr.2015</t>
  </si>
  <si>
    <t>24avr.2015</t>
  </si>
  <si>
    <t>25avr.2015</t>
  </si>
  <si>
    <t>26avr.2015</t>
  </si>
  <si>
    <t>27avr.2015</t>
  </si>
  <si>
    <t>28avr.2015</t>
  </si>
  <si>
    <t>29avr.2015</t>
  </si>
  <si>
    <t>30avr.2015</t>
  </si>
  <si>
    <t>127.6</t>
  </si>
  <si>
    <t>111.0</t>
  </si>
  <si>
    <t>109.8</t>
  </si>
  <si>
    <t>109.7</t>
  </si>
  <si>
    <t>109.2</t>
  </si>
  <si>
    <t>109.0</t>
  </si>
  <si>
    <t>99.0</t>
  </si>
  <si>
    <t>99.5</t>
  </si>
  <si>
    <t>98.8</t>
  </si>
  <si>
    <t>96.3</t>
  </si>
  <si>
    <t>01juil.2015</t>
  </si>
  <si>
    <t>02juil.2015</t>
  </si>
  <si>
    <t>03juil.2015</t>
  </si>
  <si>
    <t>04juil.2015</t>
  </si>
  <si>
    <t>05juil.2015</t>
  </si>
  <si>
    <t>06juil.2015</t>
  </si>
  <si>
    <t>07juil.2015</t>
  </si>
  <si>
    <t>08juil.2015</t>
  </si>
  <si>
    <t>09juil.2015</t>
  </si>
  <si>
    <t>10juil.2015</t>
  </si>
  <si>
    <t>11juil.2015</t>
  </si>
  <si>
    <t>12juil.2015</t>
  </si>
  <si>
    <t>13juil.2015</t>
  </si>
  <si>
    <t>14juil.2015</t>
  </si>
  <si>
    <t>15juil.2015</t>
  </si>
  <si>
    <t>16juil.2015</t>
  </si>
  <si>
    <t>17juil.2015</t>
  </si>
  <si>
    <t>18juil.2015</t>
  </si>
  <si>
    <t>19juil.2015</t>
  </si>
  <si>
    <t>20juil.2015</t>
  </si>
  <si>
    <t>21juil.2015</t>
  </si>
  <si>
    <t>22juil.2015</t>
  </si>
  <si>
    <t>23juil.2015</t>
  </si>
  <si>
    <t>24juil.2015</t>
  </si>
  <si>
    <t>25juil.2015</t>
  </si>
  <si>
    <t>26juil.2015</t>
  </si>
  <si>
    <t>75.6</t>
  </si>
  <si>
    <t>27juil.2015</t>
  </si>
  <si>
    <t>28juil.2015</t>
  </si>
  <si>
    <t>29juil.2015</t>
  </si>
  <si>
    <t>30juil.2015</t>
  </si>
  <si>
    <t>31juil.2015</t>
  </si>
  <si>
    <t>80.4</t>
  </si>
  <si>
    <t>78.3</t>
  </si>
  <si>
    <t>78.7</t>
  </si>
  <si>
    <t>01sept.2015</t>
  </si>
  <si>
    <t>02sept.2015</t>
  </si>
  <si>
    <t>03sept.2015</t>
  </si>
  <si>
    <t>04sept.2015</t>
  </si>
  <si>
    <t>05sept.2015</t>
  </si>
  <si>
    <t>06sept.2015</t>
  </si>
  <si>
    <t>07sept.2015</t>
  </si>
  <si>
    <t>08sept.2015</t>
  </si>
  <si>
    <t>09sept.2015</t>
  </si>
  <si>
    <t>10sept.2015</t>
  </si>
  <si>
    <t>11sept.2015</t>
  </si>
  <si>
    <t>12sept.2015</t>
  </si>
  <si>
    <t>13sept.2015</t>
  </si>
  <si>
    <t>14sept.2015</t>
  </si>
  <si>
    <t>15sept.2015</t>
  </si>
  <si>
    <t>113.4</t>
  </si>
  <si>
    <t>16sept.2015</t>
  </si>
  <si>
    <t>17sept.2015</t>
  </si>
  <si>
    <t>18sept.2015</t>
  </si>
  <si>
    <t>19sept.2015</t>
  </si>
  <si>
    <t>20sept.2015</t>
  </si>
  <si>
    <t>21sept.2015</t>
  </si>
  <si>
    <t>22sept.2015</t>
  </si>
  <si>
    <t>23sept.2015</t>
  </si>
  <si>
    <t>24sept.2015</t>
  </si>
  <si>
    <t>25sept.2015</t>
  </si>
  <si>
    <t>26sept.2015</t>
  </si>
  <si>
    <t>27sept.2015</t>
  </si>
  <si>
    <t>28sept.2015</t>
  </si>
  <si>
    <t>29sept.2015</t>
  </si>
  <si>
    <t>30sept.2015</t>
  </si>
  <si>
    <t>01oct.2015</t>
  </si>
  <si>
    <t>02oct.2015</t>
  </si>
  <si>
    <t>03oct.2015</t>
  </si>
  <si>
    <t>04oct.2015</t>
  </si>
  <si>
    <t>05oct.2015</t>
  </si>
  <si>
    <t>06oct.2015</t>
  </si>
  <si>
    <t>07oct.2015</t>
  </si>
  <si>
    <t>08oct.2015</t>
  </si>
  <si>
    <t>174.4</t>
  </si>
  <si>
    <t>09oct.2015</t>
  </si>
  <si>
    <t>10oct.2015</t>
  </si>
  <si>
    <t>11oct.2015</t>
  </si>
  <si>
    <t>12oct.2015</t>
  </si>
  <si>
    <t>13oct.2015</t>
  </si>
  <si>
    <t>14oct.2015</t>
  </si>
  <si>
    <t>15oct.2015</t>
  </si>
  <si>
    <t>16oct.2015</t>
  </si>
  <si>
    <t>17oct.2015</t>
  </si>
  <si>
    <t>18oct.2015</t>
  </si>
  <si>
    <t>19oct.2015</t>
  </si>
  <si>
    <t>20oct.2015</t>
  </si>
  <si>
    <t>21oct.2015</t>
  </si>
  <si>
    <t>22oct.2015</t>
  </si>
  <si>
    <t>23oct.2015</t>
  </si>
  <si>
    <t>24oct.2015</t>
  </si>
  <si>
    <t>25oct.2015</t>
  </si>
  <si>
    <t>26oct.2015</t>
  </si>
  <si>
    <t>27oct.2015</t>
  </si>
  <si>
    <t>28oct.2015</t>
  </si>
  <si>
    <t>29oct.2015</t>
  </si>
  <si>
    <t>30oct.2015</t>
  </si>
  <si>
    <t>31oct.2015</t>
  </si>
  <si>
    <t>01nov.2015</t>
  </si>
  <si>
    <t>02nov.2015</t>
  </si>
  <si>
    <t>03nov.2015</t>
  </si>
  <si>
    <t>04nov.2015</t>
  </si>
  <si>
    <t>05nov.2015</t>
  </si>
  <si>
    <t>06nov.2015</t>
  </si>
  <si>
    <t>07nov.2015</t>
  </si>
  <si>
    <t>08nov.2015</t>
  </si>
  <si>
    <t>09nov.2015</t>
  </si>
  <si>
    <t>10nov.2015</t>
  </si>
  <si>
    <t>11nov.2015</t>
  </si>
  <si>
    <t>12nov.2015</t>
  </si>
  <si>
    <t>13nov.2015</t>
  </si>
  <si>
    <t>14nov.2015</t>
  </si>
  <si>
    <t>15nov.2015</t>
  </si>
  <si>
    <t>152.6</t>
  </si>
  <si>
    <t>16nov.2015</t>
  </si>
  <si>
    <t>17nov.2015</t>
  </si>
  <si>
    <t>18nov.2015</t>
  </si>
  <si>
    <t>19nov.2015</t>
  </si>
  <si>
    <t>20nov.2015</t>
  </si>
  <si>
    <t>21nov.2015</t>
  </si>
  <si>
    <t>22nov.2015</t>
  </si>
  <si>
    <t>23nov.2015</t>
  </si>
  <si>
    <t>24nov.2015</t>
  </si>
  <si>
    <t>25nov.2015</t>
  </si>
  <si>
    <t>26nov.2015</t>
  </si>
  <si>
    <t>27nov.2015</t>
  </si>
  <si>
    <t>199.3</t>
  </si>
  <si>
    <t>28nov.2015</t>
  </si>
  <si>
    <t>216.5</t>
  </si>
  <si>
    <t>29nov.2015</t>
  </si>
  <si>
    <t>229.6</t>
  </si>
  <si>
    <t>30nov.2015</t>
  </si>
  <si>
    <t>01déc.2015</t>
  </si>
  <si>
    <t>221.3</t>
  </si>
  <si>
    <t>02déc.2015</t>
  </si>
  <si>
    <t>03déc.2015</t>
  </si>
  <si>
    <t>04déc.2015</t>
  </si>
  <si>
    <t>194.4</t>
  </si>
  <si>
    <t>05déc.2015</t>
  </si>
  <si>
    <t>06déc.2015</t>
  </si>
  <si>
    <t>07déc.2015</t>
  </si>
  <si>
    <t>08déc.2015</t>
  </si>
  <si>
    <t>09déc.2015</t>
  </si>
  <si>
    <t>10déc.2015</t>
  </si>
  <si>
    <t>220.7</t>
  </si>
  <si>
    <t>220.6</t>
  </si>
  <si>
    <t>11déc.2015</t>
  </si>
  <si>
    <t>12déc.2015</t>
  </si>
  <si>
    <t>213.3</t>
  </si>
  <si>
    <t>13déc.2015</t>
  </si>
  <si>
    <t>14déc.2015</t>
  </si>
  <si>
    <t>215.8</t>
  </si>
  <si>
    <t>15déc.2015</t>
  </si>
  <si>
    <t>223.4</t>
  </si>
  <si>
    <t>223.3</t>
  </si>
  <si>
    <t>16déc.2015</t>
  </si>
  <si>
    <t>17déc.2015</t>
  </si>
  <si>
    <t>18déc.2015</t>
  </si>
  <si>
    <t>231.9</t>
  </si>
  <si>
    <t>19déc.2015</t>
  </si>
  <si>
    <t>238.7</t>
  </si>
  <si>
    <t>238.6</t>
  </si>
  <si>
    <t>20déc.2015</t>
  </si>
  <si>
    <t>245.5</t>
  </si>
  <si>
    <t>245.4</t>
  </si>
  <si>
    <t>21déc.2015</t>
  </si>
  <si>
    <t>237.0</t>
  </si>
  <si>
    <t>237.1</t>
  </si>
  <si>
    <t>22déc.2015</t>
  </si>
  <si>
    <t>23déc.2015</t>
  </si>
  <si>
    <t>24déc.2015</t>
  </si>
  <si>
    <t>25déc.2015</t>
  </si>
  <si>
    <t>26déc.2015</t>
  </si>
  <si>
    <t>27déc.2015</t>
  </si>
  <si>
    <t>28déc.2015</t>
  </si>
  <si>
    <t>29déc.2015</t>
  </si>
  <si>
    <t>30déc.2015</t>
  </si>
  <si>
    <t>31déc.2015</t>
  </si>
  <si>
    <t>255.5</t>
  </si>
  <si>
    <t>01janv.2016</t>
  </si>
  <si>
    <t>257.6</t>
  </si>
  <si>
    <t>257.7</t>
  </si>
  <si>
    <t>02janv.2016</t>
  </si>
  <si>
    <t>240.6</t>
  </si>
  <si>
    <t>03janv.2016</t>
  </si>
  <si>
    <t>04janv.2016</t>
  </si>
  <si>
    <t>05janv.2016</t>
  </si>
  <si>
    <t>06janv.2016</t>
  </si>
  <si>
    <t>07janv.2016</t>
  </si>
  <si>
    <t>08janv.2016</t>
  </si>
  <si>
    <t>09janv.2016</t>
  </si>
  <si>
    <t>202.8</t>
  </si>
  <si>
    <t>10janv.2016</t>
  </si>
  <si>
    <t>195.0</t>
  </si>
  <si>
    <t>11janv.2016</t>
  </si>
  <si>
    <t>12janv.2016</t>
  </si>
  <si>
    <t>182.9</t>
  </si>
  <si>
    <t>183.0</t>
  </si>
  <si>
    <t>13janv.2016</t>
  </si>
  <si>
    <t>14janv.2016</t>
  </si>
  <si>
    <t>15janv.2016</t>
  </si>
  <si>
    <t>16janv.2016</t>
  </si>
  <si>
    <t>182.2</t>
  </si>
  <si>
    <t>17janv.2016</t>
  </si>
  <si>
    <t>178.7</t>
  </si>
  <si>
    <t>18janv.2016</t>
  </si>
  <si>
    <t>19janv.2016</t>
  </si>
  <si>
    <t>20janv.2016</t>
  </si>
  <si>
    <t>21janv.2016</t>
  </si>
  <si>
    <t>22janv.2016</t>
  </si>
  <si>
    <t>23janv.2016</t>
  </si>
  <si>
    <t>24janv.2016</t>
  </si>
  <si>
    <t>25janv.2016</t>
  </si>
  <si>
    <t>26janv.2016</t>
  </si>
  <si>
    <t>27janv.2016</t>
  </si>
  <si>
    <t>28janv.2016</t>
  </si>
  <si>
    <t>29janv.2016</t>
  </si>
  <si>
    <t>30janv.2016</t>
  </si>
  <si>
    <t>31janv.2016</t>
  </si>
  <si>
    <t>01févr.2016</t>
  </si>
  <si>
    <t>02févr.2016</t>
  </si>
  <si>
    <t>03févr.2016</t>
  </si>
  <si>
    <t>04févr.2016</t>
  </si>
  <si>
    <t>05févr.2016</t>
  </si>
  <si>
    <t>06févr.2016</t>
  </si>
  <si>
    <t>07févr.2016</t>
  </si>
  <si>
    <t>08févr.2016</t>
  </si>
  <si>
    <t>09févr.2016</t>
  </si>
  <si>
    <t>10févr.2016</t>
  </si>
  <si>
    <t>11févr.2016</t>
  </si>
  <si>
    <t>12févr.2016</t>
  </si>
  <si>
    <t>13févr.2016</t>
  </si>
  <si>
    <t>14févr.2016</t>
  </si>
  <si>
    <t>15févr.2016</t>
  </si>
  <si>
    <t>16févr.2016</t>
  </si>
  <si>
    <t>133.4</t>
  </si>
  <si>
    <t>17févr.2016</t>
  </si>
  <si>
    <t>18févr.2016</t>
  </si>
  <si>
    <t>130.8</t>
  </si>
  <si>
    <t>19févr.2016</t>
  </si>
  <si>
    <t>20févr.2016</t>
  </si>
  <si>
    <t>21févr.2016</t>
  </si>
  <si>
    <t>22févr.2016</t>
  </si>
  <si>
    <t>23févr.2016</t>
  </si>
  <si>
    <t>24févr.2016</t>
  </si>
  <si>
    <t>25févr.2016</t>
  </si>
  <si>
    <t>26févr.2016</t>
  </si>
  <si>
    <t>27févr.2016</t>
  </si>
  <si>
    <t>28févr.2016</t>
  </si>
  <si>
    <t>29févr.2016</t>
  </si>
  <si>
    <t>204.4</t>
  </si>
  <si>
    <t>204.5</t>
  </si>
  <si>
    <t>202.6</t>
  </si>
  <si>
    <t>192.3</t>
  </si>
  <si>
    <t>184.6</t>
  </si>
  <si>
    <t>197.0</t>
  </si>
  <si>
    <t>01avr.2016</t>
  </si>
  <si>
    <t>02avr.2016</t>
  </si>
  <si>
    <t>03avr.2016</t>
  </si>
  <si>
    <t>199.1</t>
  </si>
  <si>
    <t>04avr.2016</t>
  </si>
  <si>
    <t>05avr.2016</t>
  </si>
  <si>
    <t>06avr.2016</t>
  </si>
  <si>
    <t>07avr.2016</t>
  </si>
  <si>
    <t>08avr.2016</t>
  </si>
  <si>
    <t>09avr.2016</t>
  </si>
  <si>
    <t>189.1</t>
  </si>
  <si>
    <t>10avr.2016</t>
  </si>
  <si>
    <t>192.8</t>
  </si>
  <si>
    <t>11avr.2016</t>
  </si>
  <si>
    <t>12avr.2016</t>
  </si>
  <si>
    <t>13avr.2016</t>
  </si>
  <si>
    <t>14avr.2016</t>
  </si>
  <si>
    <t>15avr.2016</t>
  </si>
  <si>
    <t>16avr.2016</t>
  </si>
  <si>
    <t>17avr.2016</t>
  </si>
  <si>
    <t>18avr.2016</t>
  </si>
  <si>
    <t>19avr.2016</t>
  </si>
  <si>
    <t>20avr.2016</t>
  </si>
  <si>
    <t>212.9</t>
  </si>
  <si>
    <t>21avr.2016</t>
  </si>
  <si>
    <t>22avr.2016</t>
  </si>
  <si>
    <t>23avr.2016</t>
  </si>
  <si>
    <t>24avr.2016</t>
  </si>
  <si>
    <t>25avr.2016</t>
  </si>
  <si>
    <t>26avr.2016</t>
  </si>
  <si>
    <t>194.9</t>
  </si>
  <si>
    <t>27avr.2016</t>
  </si>
  <si>
    <t>28avr.2016</t>
  </si>
  <si>
    <t>29avr.2016</t>
  </si>
  <si>
    <t>30avr.2016</t>
  </si>
  <si>
    <t>210.3</t>
  </si>
  <si>
    <t>199.6</t>
  </si>
  <si>
    <t>115.1</t>
  </si>
  <si>
    <t>108.0</t>
  </si>
  <si>
    <t>107.4</t>
  </si>
  <si>
    <t>01juil.2016</t>
  </si>
  <si>
    <t>02juil.2016</t>
  </si>
  <si>
    <t>03juil.2016</t>
  </si>
  <si>
    <t>04juil.2016</t>
  </si>
  <si>
    <t>05juil.2016</t>
  </si>
  <si>
    <t>06juil.2016</t>
  </si>
  <si>
    <t>07juil.2016</t>
  </si>
  <si>
    <t>08juil.2016</t>
  </si>
  <si>
    <t>09juil.2016</t>
  </si>
  <si>
    <t>10juil.2016</t>
  </si>
  <si>
    <t>11juil.2016</t>
  </si>
  <si>
    <t>12juil.2016</t>
  </si>
  <si>
    <t>13juil.2016</t>
  </si>
  <si>
    <t>14juil.2016</t>
  </si>
  <si>
    <t>15juil.2016</t>
  </si>
  <si>
    <t>16juil.2016</t>
  </si>
  <si>
    <t>17juil.2016</t>
  </si>
  <si>
    <t>18juil.2016</t>
  </si>
  <si>
    <t>19juil.2016</t>
  </si>
  <si>
    <t>20juil.2016</t>
  </si>
  <si>
    <t>21juil.2016</t>
  </si>
  <si>
    <t>22juil.2016</t>
  </si>
  <si>
    <t>23juil.2016</t>
  </si>
  <si>
    <t>24juil.2016</t>
  </si>
  <si>
    <t>25juil.2016</t>
  </si>
  <si>
    <t>26juil.2016</t>
  </si>
  <si>
    <t>27juil.2016</t>
  </si>
  <si>
    <t>28juil.2016</t>
  </si>
  <si>
    <t>29juil.2016</t>
  </si>
  <si>
    <t>30juil.2016</t>
  </si>
  <si>
    <t>31juil.2016</t>
  </si>
  <si>
    <t>79.5</t>
  </si>
  <si>
    <t>79.0</t>
  </si>
  <si>
    <t>103.0</t>
  </si>
  <si>
    <t>105.4</t>
  </si>
  <si>
    <t>104.5</t>
  </si>
  <si>
    <t>102.2</t>
  </si>
  <si>
    <t>102.0</t>
  </si>
  <si>
    <t>97.6</t>
  </si>
  <si>
    <t>97.8</t>
  </si>
  <si>
    <t>01sept.2016</t>
  </si>
  <si>
    <t>02sept.2016</t>
  </si>
  <si>
    <t>03sept.2016</t>
  </si>
  <si>
    <t>04sept.2016</t>
  </si>
  <si>
    <t>103.6</t>
  </si>
  <si>
    <t>05sept.2016</t>
  </si>
  <si>
    <t>104.9</t>
  </si>
  <si>
    <t>06sept.2016</t>
  </si>
  <si>
    <t>07sept.2016</t>
  </si>
  <si>
    <t>08sept.2016</t>
  </si>
  <si>
    <t>09sept.2016</t>
  </si>
  <si>
    <t>10sept.2016</t>
  </si>
  <si>
    <t>114.3</t>
  </si>
  <si>
    <t>11sept.2016</t>
  </si>
  <si>
    <t>12sept.2016</t>
  </si>
  <si>
    <t>117.5</t>
  </si>
  <si>
    <t>13sept.2016</t>
  </si>
  <si>
    <t>14sept.2016</t>
  </si>
  <si>
    <t>15sept.2016</t>
  </si>
  <si>
    <t>16sept.2016</t>
  </si>
  <si>
    <t>17sept.2016</t>
  </si>
  <si>
    <t>18sept.2016</t>
  </si>
  <si>
    <t>19sept.2016</t>
  </si>
  <si>
    <t>118.3</t>
  </si>
  <si>
    <t>20sept.2016</t>
  </si>
  <si>
    <t>21sept.2016</t>
  </si>
  <si>
    <t>22sept.2016</t>
  </si>
  <si>
    <t>23sept.2016</t>
  </si>
  <si>
    <t>24sept.2016</t>
  </si>
  <si>
    <t>25sept.2016</t>
  </si>
  <si>
    <t>26sept.2016</t>
  </si>
  <si>
    <t>27sept.2016</t>
  </si>
  <si>
    <t>28sept.2016</t>
  </si>
  <si>
    <t>29sept.2016</t>
  </si>
  <si>
    <t>30sept.2016</t>
  </si>
  <si>
    <t>01oct.2016</t>
  </si>
  <si>
    <t>02oct.2016</t>
  </si>
  <si>
    <t>03oct.2016</t>
  </si>
  <si>
    <t>04oct.2016</t>
  </si>
  <si>
    <t>05oct.2016</t>
  </si>
  <si>
    <t>06oct.2016</t>
  </si>
  <si>
    <t>07oct.2016</t>
  </si>
  <si>
    <t>08oct.2016</t>
  </si>
  <si>
    <t>09oct.2016</t>
  </si>
  <si>
    <t>10oct.2016</t>
  </si>
  <si>
    <t>11oct.2016</t>
  </si>
  <si>
    <t>12oct.2016</t>
  </si>
  <si>
    <t>13oct.2016</t>
  </si>
  <si>
    <t>14oct.2016</t>
  </si>
  <si>
    <t>15oct.2016</t>
  </si>
  <si>
    <t>16oct.2016</t>
  </si>
  <si>
    <t>17oct.2016</t>
  </si>
  <si>
    <t>18oct.2016</t>
  </si>
  <si>
    <t>19oct.2016</t>
  </si>
  <si>
    <t>20oct.2016</t>
  </si>
  <si>
    <t>21oct.2016</t>
  </si>
  <si>
    <t>22oct.2016</t>
  </si>
  <si>
    <t>23oct.2016</t>
  </si>
  <si>
    <t>24oct.2016</t>
  </si>
  <si>
    <t>25oct.2016</t>
  </si>
  <si>
    <t>26oct.2016</t>
  </si>
  <si>
    <t>27oct.2016</t>
  </si>
  <si>
    <t>28oct.2016</t>
  </si>
  <si>
    <t>29oct.2016</t>
  </si>
  <si>
    <t>30oct.2016</t>
  </si>
  <si>
    <t>31oct.2016</t>
  </si>
  <si>
    <t>01nov.2016</t>
  </si>
  <si>
    <t>02nov.2016</t>
  </si>
  <si>
    <t>03nov.2016</t>
  </si>
  <si>
    <t>04nov.2016</t>
  </si>
  <si>
    <t>05nov.2016</t>
  </si>
  <si>
    <t>06nov.2016</t>
  </si>
  <si>
    <t>07nov.2016</t>
  </si>
  <si>
    <t>08nov.2016</t>
  </si>
  <si>
    <t>09nov.2016</t>
  </si>
  <si>
    <t>10nov.2016</t>
  </si>
  <si>
    <t>11nov.2016</t>
  </si>
  <si>
    <t>12nov.2016</t>
  </si>
  <si>
    <t>13nov.2016</t>
  </si>
  <si>
    <t>14nov.2016</t>
  </si>
  <si>
    <t>15nov.2016</t>
  </si>
  <si>
    <t>16nov.2016</t>
  </si>
  <si>
    <t>17nov.2016</t>
  </si>
  <si>
    <t>18nov.2016</t>
  </si>
  <si>
    <t>19nov.2016</t>
  </si>
  <si>
    <t>20nov.2016</t>
  </si>
  <si>
    <t>21nov.2016</t>
  </si>
  <si>
    <t>22nov.2016</t>
  </si>
  <si>
    <t>23nov.2016</t>
  </si>
  <si>
    <t>24nov.2016</t>
  </si>
  <si>
    <t>25nov.2016</t>
  </si>
  <si>
    <t>26nov.2016</t>
  </si>
  <si>
    <t>27nov.2016</t>
  </si>
  <si>
    <t>28nov.2016</t>
  </si>
  <si>
    <t>29nov.2016</t>
  </si>
  <si>
    <t>30nov.2016</t>
  </si>
  <si>
    <t>01déc.2016</t>
  </si>
  <si>
    <t>02déc.2016</t>
  </si>
  <si>
    <t>243.1</t>
  </si>
  <si>
    <t>243.0</t>
  </si>
  <si>
    <t>03déc.2016</t>
  </si>
  <si>
    <t>248.5</t>
  </si>
  <si>
    <t>248.6</t>
  </si>
  <si>
    <t>04déc.2016</t>
  </si>
  <si>
    <t>05déc.2016</t>
  </si>
  <si>
    <t>231.0</t>
  </si>
  <si>
    <t>06déc.2016</t>
  </si>
  <si>
    <t>226.8</t>
  </si>
  <si>
    <t>07déc.2016</t>
  </si>
  <si>
    <t>08déc.2016</t>
  </si>
  <si>
    <t>09déc.2016</t>
  </si>
  <si>
    <t>10déc.2016</t>
  </si>
  <si>
    <t>11déc.2016</t>
  </si>
  <si>
    <t>12déc.2016</t>
  </si>
  <si>
    <t>13déc.2016</t>
  </si>
  <si>
    <t>200.7</t>
  </si>
  <si>
    <t>200.8</t>
  </si>
  <si>
    <t>14déc.2016</t>
  </si>
  <si>
    <t>15déc.2016</t>
  </si>
  <si>
    <t>16déc.2016</t>
  </si>
  <si>
    <t>17déc.2016</t>
  </si>
  <si>
    <t>182.3</t>
  </si>
  <si>
    <t>18déc.2016</t>
  </si>
  <si>
    <t>19déc.2016</t>
  </si>
  <si>
    <t>20déc.2016</t>
  </si>
  <si>
    <t>21déc.2016</t>
  </si>
  <si>
    <t>22déc.2016</t>
  </si>
  <si>
    <t>216.8</t>
  </si>
  <si>
    <t>23déc.2016</t>
  </si>
  <si>
    <t>24déc.2016</t>
  </si>
  <si>
    <t>244.5</t>
  </si>
  <si>
    <t>25déc.2016</t>
  </si>
  <si>
    <t>252.1</t>
  </si>
  <si>
    <t>26déc.2016</t>
  </si>
  <si>
    <t>27déc.2016</t>
  </si>
  <si>
    <t>28déc.2016</t>
  </si>
  <si>
    <t>272.0</t>
  </si>
  <si>
    <t>29déc.2016</t>
  </si>
  <si>
    <t>277.6</t>
  </si>
  <si>
    <t>30déc.2016</t>
  </si>
  <si>
    <t>31déc.2016</t>
  </si>
  <si>
    <t>263.1</t>
  </si>
  <si>
    <t>263.3</t>
  </si>
  <si>
    <t>01janv.2017</t>
  </si>
  <si>
    <t>02janv.2017</t>
  </si>
  <si>
    <t>03janv.2017</t>
  </si>
  <si>
    <t>207.1</t>
  </si>
  <si>
    <t>04janv.2017</t>
  </si>
  <si>
    <t>05janv.2017</t>
  </si>
  <si>
    <t>06janv.2017</t>
  </si>
  <si>
    <t>07janv.2017</t>
  </si>
  <si>
    <t>08janv.2017</t>
  </si>
  <si>
    <t>224.7</t>
  </si>
  <si>
    <t>09janv.2017</t>
  </si>
  <si>
    <t>10janv.2017</t>
  </si>
  <si>
    <t>199.8</t>
  </si>
  <si>
    <t>11janv.2017</t>
  </si>
  <si>
    <t>12janv.2017</t>
  </si>
  <si>
    <t>13janv.2017</t>
  </si>
  <si>
    <t>160.6</t>
  </si>
  <si>
    <t>14janv.2017</t>
  </si>
  <si>
    <t>15janv.2017</t>
  </si>
  <si>
    <t>16janv.2017</t>
  </si>
  <si>
    <t>17janv.2017</t>
  </si>
  <si>
    <t>18janv.2017</t>
  </si>
  <si>
    <t>19janv.2017</t>
  </si>
  <si>
    <t>20janv.2017</t>
  </si>
  <si>
    <t>21janv.2017</t>
  </si>
  <si>
    <t>22janv.2017</t>
  </si>
  <si>
    <t>23janv.2017</t>
  </si>
  <si>
    <t>24janv.2017</t>
  </si>
  <si>
    <t>25janv.2017</t>
  </si>
  <si>
    <t>26janv.2017</t>
  </si>
  <si>
    <t>27janv.2017</t>
  </si>
  <si>
    <t>28janv.2017</t>
  </si>
  <si>
    <t>29janv.2017</t>
  </si>
  <si>
    <t>30janv.2017</t>
  </si>
  <si>
    <t>31janv.2017</t>
  </si>
  <si>
    <t>01févr.2017</t>
  </si>
  <si>
    <t>02févr.2017</t>
  </si>
  <si>
    <t>03févr.2017</t>
  </si>
  <si>
    <t>04févr.2017</t>
  </si>
  <si>
    <t>05févr.2017</t>
  </si>
  <si>
    <t>06févr.2017</t>
  </si>
  <si>
    <t>07févr.2017</t>
  </si>
  <si>
    <t>08févr.2017</t>
  </si>
  <si>
    <t>127.8</t>
  </si>
  <si>
    <t>09févr.2017</t>
  </si>
  <si>
    <t>127.7</t>
  </si>
  <si>
    <t>10févr.2017</t>
  </si>
  <si>
    <t>11févr.2017</t>
  </si>
  <si>
    <t>12févr.2017</t>
  </si>
  <si>
    <t>13févr.2017</t>
  </si>
  <si>
    <t>14févr.2017</t>
  </si>
  <si>
    <t>15févr.2017</t>
  </si>
  <si>
    <t>16févr.2017</t>
  </si>
  <si>
    <t>17févr.2017</t>
  </si>
  <si>
    <t>18févr.2017</t>
  </si>
  <si>
    <t>19févr.2017</t>
  </si>
  <si>
    <t>20févr.2017</t>
  </si>
  <si>
    <t>21févr.2017</t>
  </si>
  <si>
    <t>22févr.2017</t>
  </si>
  <si>
    <t>23févr.2017</t>
  </si>
  <si>
    <t>24févr.2017</t>
  </si>
  <si>
    <t>25févr.2017</t>
  </si>
  <si>
    <t>26févr.2017</t>
  </si>
  <si>
    <t>27févr.2017</t>
  </si>
  <si>
    <t>28févr.2017</t>
  </si>
  <si>
    <t>137.0</t>
  </si>
  <si>
    <t>183.7</t>
  </si>
  <si>
    <t>176.8</t>
  </si>
  <si>
    <t>01avr.2017</t>
  </si>
  <si>
    <t>02avr.2017</t>
  </si>
  <si>
    <t>03avr.2017</t>
  </si>
  <si>
    <t>04avr.2017</t>
  </si>
  <si>
    <t>05avr.2017</t>
  </si>
  <si>
    <t>06avr.2017</t>
  </si>
  <si>
    <t>07avr.2017</t>
  </si>
  <si>
    <t>08avr.2017</t>
  </si>
  <si>
    <t>09avr.2017</t>
  </si>
  <si>
    <t>10avr.2017</t>
  </si>
  <si>
    <t>11avr.2017</t>
  </si>
  <si>
    <t>12avr.2017</t>
  </si>
  <si>
    <t>13avr.2017</t>
  </si>
  <si>
    <t>14avr.2017</t>
  </si>
  <si>
    <t>15avr.2017</t>
  </si>
  <si>
    <t>16avr.2017</t>
  </si>
  <si>
    <t>17avr.2017</t>
  </si>
  <si>
    <t>18avr.2017</t>
  </si>
  <si>
    <t>19avr.2017</t>
  </si>
  <si>
    <t>20avr.2017</t>
  </si>
  <si>
    <t>21avr.2017</t>
  </si>
  <si>
    <t>22avr.2017</t>
  </si>
  <si>
    <t>23avr.2017</t>
  </si>
  <si>
    <t>24avr.2017</t>
  </si>
  <si>
    <t>25avr.2017</t>
  </si>
  <si>
    <t>26avr.2017</t>
  </si>
  <si>
    <t>27avr.2017</t>
  </si>
  <si>
    <t>28avr.2017</t>
  </si>
  <si>
    <t>29avr.2017</t>
  </si>
  <si>
    <t>30avr.2017</t>
  </si>
  <si>
    <t>115.5</t>
  </si>
  <si>
    <t>115.6</t>
  </si>
  <si>
    <t>01juil.2017</t>
  </si>
  <si>
    <t>02juil.2017</t>
  </si>
  <si>
    <t>03juil.2017</t>
  </si>
  <si>
    <t>04juil.2017</t>
  </si>
  <si>
    <t>05juil.2017</t>
  </si>
  <si>
    <t>06juil.2017</t>
  </si>
  <si>
    <t>07juil.2017</t>
  </si>
  <si>
    <t>08juil.2017</t>
  </si>
  <si>
    <t>09juil.2017</t>
  </si>
  <si>
    <t>10juil.2017</t>
  </si>
  <si>
    <t>11juil.2017</t>
  </si>
  <si>
    <t>12juil.2017</t>
  </si>
  <si>
    <t>13juil.2017</t>
  </si>
  <si>
    <t>14juil.2017</t>
  </si>
  <si>
    <t>15juil.2017</t>
  </si>
  <si>
    <t>16juil.2017</t>
  </si>
  <si>
    <t>17juil.2017</t>
  </si>
  <si>
    <t>18juil.2017</t>
  </si>
  <si>
    <t>19juil.2017</t>
  </si>
  <si>
    <t>20juil.2017</t>
  </si>
  <si>
    <t>21juil.2017</t>
  </si>
  <si>
    <t>22juil.2017</t>
  </si>
  <si>
    <t>23juil.2017</t>
  </si>
  <si>
    <t>24juil.2017</t>
  </si>
  <si>
    <t>25juil.2017</t>
  </si>
  <si>
    <t>76.4</t>
  </si>
  <si>
    <t>76.2</t>
  </si>
  <si>
    <t>26juil.2017</t>
  </si>
  <si>
    <t>27juil.2017</t>
  </si>
  <si>
    <t>28juil.2017</t>
  </si>
  <si>
    <t>29juil.2017</t>
  </si>
  <si>
    <t>76.6</t>
  </si>
  <si>
    <t>30juil.2017</t>
  </si>
  <si>
    <t>75.2</t>
  </si>
  <si>
    <t>31juil.2017</t>
  </si>
  <si>
    <t>97.2</t>
  </si>
  <si>
    <t>80.5</t>
  </si>
  <si>
    <t>01sept.2017</t>
  </si>
  <si>
    <t>02sept.2017</t>
  </si>
  <si>
    <t>03sept.2017</t>
  </si>
  <si>
    <t>04sept.2017</t>
  </si>
  <si>
    <t>05sept.2017</t>
  </si>
  <si>
    <t>06sept.2017</t>
  </si>
  <si>
    <t>07sept.2017</t>
  </si>
  <si>
    <t>08sept.2017</t>
  </si>
  <si>
    <t>09sept.2017</t>
  </si>
  <si>
    <t>10sept.2017</t>
  </si>
  <si>
    <t>11sept.2017</t>
  </si>
  <si>
    <t>12sept.2017</t>
  </si>
  <si>
    <t>13sept.2017</t>
  </si>
  <si>
    <t>14sept.2017</t>
  </si>
  <si>
    <t>15sept.2017</t>
  </si>
  <si>
    <t>16sept.2017</t>
  </si>
  <si>
    <t>17sept.2017</t>
  </si>
  <si>
    <t>18sept.2017</t>
  </si>
  <si>
    <t>19sept.2017</t>
  </si>
  <si>
    <t>20sept.2017</t>
  </si>
  <si>
    <t>21sept.2017</t>
  </si>
  <si>
    <t>22sept.2017</t>
  </si>
  <si>
    <t>23sept.2017</t>
  </si>
  <si>
    <t>24sept.2017</t>
  </si>
  <si>
    <t>118.7</t>
  </si>
  <si>
    <t>25sept.2017</t>
  </si>
  <si>
    <t>26sept.2017</t>
  </si>
  <si>
    <t>111.4</t>
  </si>
  <si>
    <t>27sept.2017</t>
  </si>
  <si>
    <t>112.3</t>
  </si>
  <si>
    <t>28sept.2017</t>
  </si>
  <si>
    <t>29sept.2017</t>
  </si>
  <si>
    <t>30sept.2017</t>
  </si>
  <si>
    <t>01oct.2017</t>
  </si>
  <si>
    <t>02oct.2017</t>
  </si>
  <si>
    <t>03oct.2017</t>
  </si>
  <si>
    <t>04oct.2017</t>
  </si>
  <si>
    <t>05oct.2017</t>
  </si>
  <si>
    <t>06oct.2017</t>
  </si>
  <si>
    <t>07oct.2017</t>
  </si>
  <si>
    <t>08oct.2017</t>
  </si>
  <si>
    <t>09oct.2017</t>
  </si>
  <si>
    <t>10oct.2017</t>
  </si>
  <si>
    <t>11oct.2017</t>
  </si>
  <si>
    <t>12oct.2017</t>
  </si>
  <si>
    <t>13oct.2017</t>
  </si>
  <si>
    <t>14oct.2017</t>
  </si>
  <si>
    <t>15oct.2017</t>
  </si>
  <si>
    <t>16oct.2017</t>
  </si>
  <si>
    <t>17oct.2017</t>
  </si>
  <si>
    <t>18oct.2017</t>
  </si>
  <si>
    <t>19oct.2017</t>
  </si>
  <si>
    <t>20oct.2017</t>
  </si>
  <si>
    <t>21oct.2017</t>
  </si>
  <si>
    <t>22oct.2017</t>
  </si>
  <si>
    <t>23oct.2017</t>
  </si>
  <si>
    <t>129.4</t>
  </si>
  <si>
    <t>24oct.2017</t>
  </si>
  <si>
    <t>25oct.2017</t>
  </si>
  <si>
    <t>26oct.2017</t>
  </si>
  <si>
    <t>27oct.2017</t>
  </si>
  <si>
    <t>28oct.2017</t>
  </si>
  <si>
    <t>29oct.2017</t>
  </si>
  <si>
    <t>185.5</t>
  </si>
  <si>
    <t>30oct.2017</t>
  </si>
  <si>
    <t>31oct.2017</t>
  </si>
  <si>
    <t>01nov.2017</t>
  </si>
  <si>
    <t>02nov.2017</t>
  </si>
  <si>
    <t>03nov.2017</t>
  </si>
  <si>
    <t>221.9</t>
  </si>
  <si>
    <t>04nov.2017</t>
  </si>
  <si>
    <t>05nov.2017</t>
  </si>
  <si>
    <t>06nov.2017</t>
  </si>
  <si>
    <t>256.0</t>
  </si>
  <si>
    <t>07nov.2017</t>
  </si>
  <si>
    <t>252.4</t>
  </si>
  <si>
    <t>252.5</t>
  </si>
  <si>
    <t>08nov.2017</t>
  </si>
  <si>
    <t>247.9</t>
  </si>
  <si>
    <t>09nov.2017</t>
  </si>
  <si>
    <t>10nov.2017</t>
  </si>
  <si>
    <t>248.4</t>
  </si>
  <si>
    <t>11nov.2017</t>
  </si>
  <si>
    <t>254.0</t>
  </si>
  <si>
    <t>12nov.2017</t>
  </si>
  <si>
    <t>13nov.2017</t>
  </si>
  <si>
    <t>256.4</t>
  </si>
  <si>
    <t>14nov.2017</t>
  </si>
  <si>
    <t>261.1</t>
  </si>
  <si>
    <t>15nov.2017</t>
  </si>
  <si>
    <t>16nov.2017</t>
  </si>
  <si>
    <t>17nov.2017</t>
  </si>
  <si>
    <t>274.6</t>
  </si>
  <si>
    <t>18nov.2017</t>
  </si>
  <si>
    <t>19nov.2017</t>
  </si>
  <si>
    <t>265.5</t>
  </si>
  <si>
    <t>20nov.2017</t>
  </si>
  <si>
    <t>257.0</t>
  </si>
  <si>
    <t>21nov.2017</t>
  </si>
  <si>
    <t>246.7</t>
  </si>
  <si>
    <t>246.8</t>
  </si>
  <si>
    <t>22nov.2017</t>
  </si>
  <si>
    <t>233.4</t>
  </si>
  <si>
    <t>233.5</t>
  </si>
  <si>
    <t>23nov.2017</t>
  </si>
  <si>
    <t>219.4</t>
  </si>
  <si>
    <t>24nov.2017</t>
  </si>
  <si>
    <t>25nov.2017</t>
  </si>
  <si>
    <t>26nov.2017</t>
  </si>
  <si>
    <t>27nov.2017</t>
  </si>
  <si>
    <t>28nov.2017</t>
  </si>
  <si>
    <t>197.8</t>
  </si>
  <si>
    <t>29nov.2017</t>
  </si>
  <si>
    <t>209.3</t>
  </si>
  <si>
    <t>30nov.2017</t>
  </si>
  <si>
    <t>01déc.2017</t>
  </si>
  <si>
    <t>02déc.2017</t>
  </si>
  <si>
    <t>03déc.2017</t>
  </si>
  <si>
    <t>04déc.2017</t>
  </si>
  <si>
    <t>222.1</t>
  </si>
  <si>
    <t>05déc.2017</t>
  </si>
  <si>
    <t>06déc.2017</t>
  </si>
  <si>
    <t>07déc.2017</t>
  </si>
  <si>
    <t>08déc.2017</t>
  </si>
  <si>
    <t>09déc.2017</t>
  </si>
  <si>
    <t>10déc.2017</t>
  </si>
  <si>
    <t>271.4</t>
  </si>
  <si>
    <t>11déc.2017</t>
  </si>
  <si>
    <t>275.6</t>
  </si>
  <si>
    <t>12déc.2017</t>
  </si>
  <si>
    <t>276.7</t>
  </si>
  <si>
    <t>276.6</t>
  </si>
  <si>
    <t>13déc.2017</t>
  </si>
  <si>
    <t>273.7</t>
  </si>
  <si>
    <t>14déc.2017</t>
  </si>
  <si>
    <t>15déc.2017</t>
  </si>
  <si>
    <t>16déc.2017</t>
  </si>
  <si>
    <t>239.2</t>
  </si>
  <si>
    <t>17déc.2017</t>
  </si>
  <si>
    <t>223.5</t>
  </si>
  <si>
    <t>223.7</t>
  </si>
  <si>
    <t>18déc.2017</t>
  </si>
  <si>
    <t>19déc.2017</t>
  </si>
  <si>
    <t>20déc.2017</t>
  </si>
  <si>
    <t>242.7</t>
  </si>
  <si>
    <t>242.5</t>
  </si>
  <si>
    <t>21déc.2017</t>
  </si>
  <si>
    <t>249.1</t>
  </si>
  <si>
    <t>249.2</t>
  </si>
  <si>
    <t>22déc.2017</t>
  </si>
  <si>
    <t>23déc.2017</t>
  </si>
  <si>
    <t>237.5</t>
  </si>
  <si>
    <t>24déc.2017</t>
  </si>
  <si>
    <t>231.6</t>
  </si>
  <si>
    <t>231.5</t>
  </si>
  <si>
    <t>25déc.2017</t>
  </si>
  <si>
    <t>224.3</t>
  </si>
  <si>
    <t>26déc.2017</t>
  </si>
  <si>
    <t>218.8</t>
  </si>
  <si>
    <t>27déc.2017</t>
  </si>
  <si>
    <t>28déc.2017</t>
  </si>
  <si>
    <t>240.4</t>
  </si>
  <si>
    <t>29déc.2017</t>
  </si>
  <si>
    <t>30déc.2017</t>
  </si>
  <si>
    <t>281.1</t>
  </si>
  <si>
    <t>31déc.2017</t>
  </si>
  <si>
    <t>281.5</t>
  </si>
  <si>
    <t>01janv.2018</t>
  </si>
  <si>
    <t>264.0</t>
  </si>
  <si>
    <t>02janv.2018</t>
  </si>
  <si>
    <t>03janv.2018</t>
  </si>
  <si>
    <t>04janv.2018</t>
  </si>
  <si>
    <t>05janv.2018</t>
  </si>
  <si>
    <t>06janv.2018</t>
  </si>
  <si>
    <t>07janv.2018</t>
  </si>
  <si>
    <t>08janv.2018</t>
  </si>
  <si>
    <t>09janv.2018</t>
  </si>
  <si>
    <t>10janv.2018</t>
  </si>
  <si>
    <t>11janv.2018</t>
  </si>
  <si>
    <t>12janv.2018</t>
  </si>
  <si>
    <t>13janv.2018</t>
  </si>
  <si>
    <t>14janv.2018</t>
  </si>
  <si>
    <t>175.1</t>
  </si>
  <si>
    <t>15janv.2018</t>
  </si>
  <si>
    <t>16janv.2018</t>
  </si>
  <si>
    <t>17janv.2018</t>
  </si>
  <si>
    <t>18janv.2018</t>
  </si>
  <si>
    <t>19janv.2018</t>
  </si>
  <si>
    <t>20janv.2018</t>
  </si>
  <si>
    <t>21janv.2018</t>
  </si>
  <si>
    <t>22janv.2018</t>
  </si>
  <si>
    <t>23janv.2018</t>
  </si>
  <si>
    <t>24janv.2018</t>
  </si>
  <si>
    <t>25janv.2018</t>
  </si>
  <si>
    <t>26janv.2018</t>
  </si>
  <si>
    <t>27janv.2018</t>
  </si>
  <si>
    <t>28janv.2018</t>
  </si>
  <si>
    <t>29janv.2018</t>
  </si>
  <si>
    <t>30janv.2018</t>
  </si>
  <si>
    <t>31janv.2018</t>
  </si>
  <si>
    <t>01févr.2018</t>
  </si>
  <si>
    <t>02févr.2018</t>
  </si>
  <si>
    <t>03févr.2018</t>
  </si>
  <si>
    <t>04févr.2018</t>
  </si>
  <si>
    <t>05févr.2018</t>
  </si>
  <si>
    <t>06févr.2018</t>
  </si>
  <si>
    <t>07févr.2018</t>
  </si>
  <si>
    <t>08févr.2018</t>
  </si>
  <si>
    <t>132.2</t>
  </si>
  <si>
    <t>09févr.2018</t>
  </si>
  <si>
    <t>10févr.2018</t>
  </si>
  <si>
    <t>11févr.2018</t>
  </si>
  <si>
    <t>12févr.2018</t>
  </si>
  <si>
    <t>13févr.2018</t>
  </si>
  <si>
    <t>14févr.2018</t>
  </si>
  <si>
    <t>15févr.2018</t>
  </si>
  <si>
    <t>16févr.2018</t>
  </si>
  <si>
    <t>17févr.2018</t>
  </si>
  <si>
    <t>18févr.2018</t>
  </si>
  <si>
    <t>19févr.2018</t>
  </si>
  <si>
    <t>20févr.2018</t>
  </si>
  <si>
    <t>21févr.2018</t>
  </si>
  <si>
    <t>22févr.2018</t>
  </si>
  <si>
    <t>23févr.2018</t>
  </si>
  <si>
    <t>24févr.2018</t>
  </si>
  <si>
    <t>25févr.2018</t>
  </si>
  <si>
    <t>26févr.2018</t>
  </si>
  <si>
    <t>27févr.2018</t>
  </si>
  <si>
    <t>28févr.2018</t>
  </si>
  <si>
    <t>215.1</t>
  </si>
  <si>
    <t>221.1</t>
  </si>
  <si>
    <t>216.3</t>
  </si>
  <si>
    <t>01avr.2018</t>
  </si>
  <si>
    <t>02avr.2018</t>
  </si>
  <si>
    <t>03avr.2018</t>
  </si>
  <si>
    <t>04avr.2018</t>
  </si>
  <si>
    <t>05avr.2018</t>
  </si>
  <si>
    <t>06avr.2018</t>
  </si>
  <si>
    <t>07avr.2018</t>
  </si>
  <si>
    <t>08avr.2018</t>
  </si>
  <si>
    <t>09avr.2018</t>
  </si>
  <si>
    <t>10avr.2018</t>
  </si>
  <si>
    <t>11avr.2018</t>
  </si>
  <si>
    <t>12avr.2018</t>
  </si>
  <si>
    <t>13avr.2018</t>
  </si>
  <si>
    <t>227.9</t>
  </si>
  <si>
    <t>14avr.2018</t>
  </si>
  <si>
    <t>15avr.2018</t>
  </si>
  <si>
    <t>254.3</t>
  </si>
  <si>
    <t>16avr.2018</t>
  </si>
  <si>
    <t>242.2</t>
  </si>
  <si>
    <t>17avr.2018</t>
  </si>
  <si>
    <t>18avr.2018</t>
  </si>
  <si>
    <t>205.5</t>
  </si>
  <si>
    <t>205.6</t>
  </si>
  <si>
    <t>19avr.2018</t>
  </si>
  <si>
    <t>20avr.2018</t>
  </si>
  <si>
    <t>21avr.2018</t>
  </si>
  <si>
    <t>22avr.2018</t>
  </si>
  <si>
    <t>23avr.2018</t>
  </si>
  <si>
    <t>24avr.2018</t>
  </si>
  <si>
    <t>25avr.2018</t>
  </si>
  <si>
    <t>26avr.2018</t>
  </si>
  <si>
    <t>27avr.2018</t>
  </si>
  <si>
    <t>28avr.2018</t>
  </si>
  <si>
    <t>29avr.2018</t>
  </si>
  <si>
    <t>30avr.2018</t>
  </si>
  <si>
    <t>01juil.2018</t>
  </si>
  <si>
    <t>02juil.2018</t>
  </si>
  <si>
    <t>03juil.2018</t>
  </si>
  <si>
    <t>04juil.2018</t>
  </si>
  <si>
    <t>05juil.2018</t>
  </si>
  <si>
    <t>06juil.2018</t>
  </si>
  <si>
    <t>07juil.2018</t>
  </si>
  <si>
    <t>08juil.2018</t>
  </si>
  <si>
    <t>09juil.2018</t>
  </si>
  <si>
    <t>10juil.2018</t>
  </si>
  <si>
    <t>11juil.2018</t>
  </si>
  <si>
    <t>12juil.2018</t>
  </si>
  <si>
    <t>13juil.2018</t>
  </si>
  <si>
    <t>14juil.2018</t>
  </si>
  <si>
    <t>15juil.2018</t>
  </si>
  <si>
    <t>16juil.2018</t>
  </si>
  <si>
    <t>17juil.2018</t>
  </si>
  <si>
    <t>18juil.2018</t>
  </si>
  <si>
    <t>19juil.2018</t>
  </si>
  <si>
    <t>20juil.2018</t>
  </si>
  <si>
    <t>21juil.2018</t>
  </si>
  <si>
    <t>22juil.2018</t>
  </si>
  <si>
    <t>23juil.2018</t>
  </si>
  <si>
    <t>24juil.2018</t>
  </si>
  <si>
    <t>25juil.2018</t>
  </si>
  <si>
    <t>26juil.2018</t>
  </si>
  <si>
    <t>27juil.2018</t>
  </si>
  <si>
    <t>28juil.2018</t>
  </si>
  <si>
    <t>29juil.2018</t>
  </si>
  <si>
    <t>30juil.2018</t>
  </si>
  <si>
    <t>31juil.2018</t>
  </si>
  <si>
    <t>83.8</t>
  </si>
  <si>
    <t>82.1</t>
  </si>
  <si>
    <t>83.6</t>
  </si>
  <si>
    <t>103.3</t>
  </si>
  <si>
    <t>105.6</t>
  </si>
  <si>
    <t>105.3</t>
  </si>
  <si>
    <t>103.9</t>
  </si>
  <si>
    <t>103.7</t>
  </si>
  <si>
    <t>103.8</t>
  </si>
  <si>
    <t>104.0</t>
  </si>
  <si>
    <t>106.3</t>
  </si>
  <si>
    <t>01sept.2018</t>
  </si>
  <si>
    <t>02sept.2018</t>
  </si>
  <si>
    <t>03sept.2018</t>
  </si>
  <si>
    <t>04sept.2018</t>
  </si>
  <si>
    <t>05sept.2018</t>
  </si>
  <si>
    <t>06sept.2018</t>
  </si>
  <si>
    <t>07sept.2018</t>
  </si>
  <si>
    <t>08sept.2018</t>
  </si>
  <si>
    <t>09sept.2018</t>
  </si>
  <si>
    <t>10sept.2018</t>
  </si>
  <si>
    <t>11sept.2018</t>
  </si>
  <si>
    <t>12sept.2018</t>
  </si>
  <si>
    <t>13sept.2018</t>
  </si>
  <si>
    <t>14sept.2018</t>
  </si>
  <si>
    <t>15sept.2018</t>
  </si>
  <si>
    <t>16sept.2018</t>
  </si>
  <si>
    <t>17sept.2018</t>
  </si>
  <si>
    <t>18sept.2018</t>
  </si>
  <si>
    <t>19sept.2018</t>
  </si>
  <si>
    <t>20sept.2018</t>
  </si>
  <si>
    <t>21sept.2018</t>
  </si>
  <si>
    <t>22sept.2018</t>
  </si>
  <si>
    <t>23sept.2018</t>
  </si>
  <si>
    <t>24sept.2018</t>
  </si>
  <si>
    <t>25sept.2018</t>
  </si>
  <si>
    <t>26sept.2018</t>
  </si>
  <si>
    <t>27sept.2018</t>
  </si>
  <si>
    <t>28sept.2018</t>
  </si>
  <si>
    <t>29sept.2018</t>
  </si>
  <si>
    <t>30sept.2018</t>
  </si>
  <si>
    <t>141.6</t>
  </si>
  <si>
    <t>01oct.2018</t>
  </si>
  <si>
    <t>02oct.2018</t>
  </si>
  <si>
    <t>03oct.2018</t>
  </si>
  <si>
    <t>04oct.2018</t>
  </si>
  <si>
    <t>05oct.2018</t>
  </si>
  <si>
    <t>06oct.2018</t>
  </si>
  <si>
    <t>07oct.2018</t>
  </si>
  <si>
    <t>08oct.2018</t>
  </si>
  <si>
    <t>09oct.2018</t>
  </si>
  <si>
    <t>10oct.2018</t>
  </si>
  <si>
    <t>11oct.2018</t>
  </si>
  <si>
    <t>12oct.2018</t>
  </si>
  <si>
    <t>13oct.2018</t>
  </si>
  <si>
    <t>14oct.2018</t>
  </si>
  <si>
    <t>15oct.2018</t>
  </si>
  <si>
    <t>16oct.2018</t>
  </si>
  <si>
    <t>17oct.2018</t>
  </si>
  <si>
    <t>18oct.2018</t>
  </si>
  <si>
    <t>19oct.2018</t>
  </si>
  <si>
    <t>215.4</t>
  </si>
  <si>
    <t>20oct.2018</t>
  </si>
  <si>
    <t>21oct.2018</t>
  </si>
  <si>
    <t>22oct.2018</t>
  </si>
  <si>
    <t>185.6</t>
  </si>
  <si>
    <t>23oct.2018</t>
  </si>
  <si>
    <t>24oct.2018</t>
  </si>
  <si>
    <t>25oct.2018</t>
  </si>
  <si>
    <t>26oct.2018</t>
  </si>
  <si>
    <t>27oct.2018</t>
  </si>
  <si>
    <t>28oct.2018</t>
  </si>
  <si>
    <t>29oct.2018</t>
  </si>
  <si>
    <t>30oct.2018</t>
  </si>
  <si>
    <t>31oct.2018</t>
  </si>
  <si>
    <t>214.2</t>
  </si>
  <si>
    <t>01nov.2018</t>
  </si>
  <si>
    <t>215.3</t>
  </si>
  <si>
    <t>02nov.2018</t>
  </si>
  <si>
    <t>217.1</t>
  </si>
  <si>
    <t>217.0</t>
  </si>
  <si>
    <t>03nov.2018</t>
  </si>
  <si>
    <t>209.2</t>
  </si>
  <si>
    <t>04nov.2018</t>
  </si>
  <si>
    <t>214.7</t>
  </si>
  <si>
    <t>05nov.2018</t>
  </si>
  <si>
    <t>06nov.2018</t>
  </si>
  <si>
    <t>07nov.2018</t>
  </si>
  <si>
    <t>213.1</t>
  </si>
  <si>
    <t>08nov.2018</t>
  </si>
  <si>
    <t>09nov.2018</t>
  </si>
  <si>
    <t>10nov.2018</t>
  </si>
  <si>
    <t>232.6</t>
  </si>
  <si>
    <t>232.5</t>
  </si>
  <si>
    <t>11nov.2018</t>
  </si>
  <si>
    <t>231.4</t>
  </si>
  <si>
    <t>12nov.2018</t>
  </si>
  <si>
    <t>13nov.2018</t>
  </si>
  <si>
    <t>14nov.2018</t>
  </si>
  <si>
    <t>15nov.2018</t>
  </si>
  <si>
    <t>239.7</t>
  </si>
  <si>
    <t>239.6</t>
  </si>
  <si>
    <t>16nov.2018</t>
  </si>
  <si>
    <t>261.0</t>
  </si>
  <si>
    <t>17nov.2018</t>
  </si>
  <si>
    <t>267.2</t>
  </si>
  <si>
    <t>18nov.2018</t>
  </si>
  <si>
    <t>19nov.2018</t>
  </si>
  <si>
    <t>256.1</t>
  </si>
  <si>
    <t>256.2</t>
  </si>
  <si>
    <t>20nov.2018</t>
  </si>
  <si>
    <t>21nov.2018</t>
  </si>
  <si>
    <t>22nov.2018</t>
  </si>
  <si>
    <t>210.9</t>
  </si>
  <si>
    <t>23nov.2018</t>
  </si>
  <si>
    <t>204.2</t>
  </si>
  <si>
    <t>24nov.2018</t>
  </si>
  <si>
    <t>25nov.2018</t>
  </si>
  <si>
    <t>198.8</t>
  </si>
  <si>
    <t>26nov.2018</t>
  </si>
  <si>
    <t>27nov.2018</t>
  </si>
  <si>
    <t>28nov.2018</t>
  </si>
  <si>
    <t>29nov.2018</t>
  </si>
  <si>
    <t>259.8</t>
  </si>
  <si>
    <t>259.9</t>
  </si>
  <si>
    <t>30nov.2018</t>
  </si>
  <si>
    <t>01déc.2018</t>
  </si>
  <si>
    <t>02déc.2018</t>
  </si>
  <si>
    <t>03déc.2018</t>
  </si>
  <si>
    <t>04déc.2018</t>
  </si>
  <si>
    <t>05déc.2018</t>
  </si>
  <si>
    <t>291.3</t>
  </si>
  <si>
    <t>06déc.2018</t>
  </si>
  <si>
    <t>07déc.2018</t>
  </si>
  <si>
    <t>08déc.2018</t>
  </si>
  <si>
    <t>244.2</t>
  </si>
  <si>
    <t>09déc.2018</t>
  </si>
  <si>
    <t>236.9</t>
  </si>
  <si>
    <t>10déc.2018</t>
  </si>
  <si>
    <t>235.3</t>
  </si>
  <si>
    <t>11déc.2018</t>
  </si>
  <si>
    <t>234.3</t>
  </si>
  <si>
    <t>12déc.2018</t>
  </si>
  <si>
    <t>231.3</t>
  </si>
  <si>
    <t>13déc.2018</t>
  </si>
  <si>
    <t>226.6</t>
  </si>
  <si>
    <t>14déc.2018</t>
  </si>
  <si>
    <t>15déc.2018</t>
  </si>
  <si>
    <t>16déc.2018</t>
  </si>
  <si>
    <t>214.9</t>
  </si>
  <si>
    <t>17déc.2018</t>
  </si>
  <si>
    <t>18déc.2018</t>
  </si>
  <si>
    <t>235.9</t>
  </si>
  <si>
    <t>19déc.2018</t>
  </si>
  <si>
    <t>20déc.2018</t>
  </si>
  <si>
    <t>244.8</t>
  </si>
  <si>
    <t>244.7</t>
  </si>
  <si>
    <t>21déc.2018</t>
  </si>
  <si>
    <t>22déc.2018</t>
  </si>
  <si>
    <t>23déc.2018</t>
  </si>
  <si>
    <t>232.0</t>
  </si>
  <si>
    <t>24déc.2018</t>
  </si>
  <si>
    <t>227.0</t>
  </si>
  <si>
    <t>25déc.2018</t>
  </si>
  <si>
    <t>26déc.2018</t>
  </si>
  <si>
    <t>27déc.2018</t>
  </si>
  <si>
    <t>28déc.2018</t>
  </si>
  <si>
    <t>29déc.2018</t>
  </si>
  <si>
    <t>30déc.2018</t>
  </si>
  <si>
    <t>31déc.2018</t>
  </si>
  <si>
    <t>233.6</t>
  </si>
  <si>
    <t>01janv.2019</t>
  </si>
  <si>
    <t>02janv.2019</t>
  </si>
  <si>
    <t>266.2</t>
  </si>
  <si>
    <t>266.4</t>
  </si>
  <si>
    <t>03janv.2019</t>
  </si>
  <si>
    <t>267.5</t>
  </si>
  <si>
    <t>04janv.2019</t>
  </si>
  <si>
    <t>252.2</t>
  </si>
  <si>
    <t>05janv.2019</t>
  </si>
  <si>
    <t>232.4</t>
  </si>
  <si>
    <t>06janv.2019</t>
  </si>
  <si>
    <t>211.7</t>
  </si>
  <si>
    <t>212.0</t>
  </si>
  <si>
    <t>07janv.2019</t>
  </si>
  <si>
    <t>195.5</t>
  </si>
  <si>
    <t>195.4</t>
  </si>
  <si>
    <t>08janv.2019</t>
  </si>
  <si>
    <t>09janv.2019</t>
  </si>
  <si>
    <t>10janv.2019</t>
  </si>
  <si>
    <t>11janv.2019</t>
  </si>
  <si>
    <t>12janv.2019</t>
  </si>
  <si>
    <t>13janv.2019</t>
  </si>
  <si>
    <t>14janv.2019</t>
  </si>
  <si>
    <t>15janv.2019</t>
  </si>
  <si>
    <t>16janv.2019</t>
  </si>
  <si>
    <t>17janv.2019</t>
  </si>
  <si>
    <t>18janv.2019</t>
  </si>
  <si>
    <t>19janv.2019</t>
  </si>
  <si>
    <t>20janv.2019</t>
  </si>
  <si>
    <t>21janv.2019</t>
  </si>
  <si>
    <t>22janv.2019</t>
  </si>
  <si>
    <t>23janv.2019</t>
  </si>
  <si>
    <t>24janv.2019</t>
  </si>
  <si>
    <t>25janv.2019</t>
  </si>
  <si>
    <t>26janv.2019</t>
  </si>
  <si>
    <t>27janv.2019</t>
  </si>
  <si>
    <t>28janv.2019</t>
  </si>
  <si>
    <t>29janv.2019</t>
  </si>
  <si>
    <t>30janv.2019</t>
  </si>
  <si>
    <t>31janv.2019</t>
  </si>
  <si>
    <t>01févr.2019</t>
  </si>
  <si>
    <t>02févr.2019</t>
  </si>
  <si>
    <t>201.7</t>
  </si>
  <si>
    <t>201.6</t>
  </si>
  <si>
    <t>03févr.2019</t>
  </si>
  <si>
    <t>04févr.2019</t>
  </si>
  <si>
    <t>05févr.2019</t>
  </si>
  <si>
    <t>06févr.2019</t>
  </si>
  <si>
    <t>07févr.2019</t>
  </si>
  <si>
    <t>08févr.2019</t>
  </si>
  <si>
    <t>09févr.2019</t>
  </si>
  <si>
    <t>10févr.2019</t>
  </si>
  <si>
    <t>11févr.2019</t>
  </si>
  <si>
    <t>12févr.2019</t>
  </si>
  <si>
    <t>13févr.2019</t>
  </si>
  <si>
    <t>14févr.2019</t>
  </si>
  <si>
    <t>15févr.2019</t>
  </si>
  <si>
    <t>16févr.2019</t>
  </si>
  <si>
    <t>17févr.2019</t>
  </si>
  <si>
    <t>18févr.2019</t>
  </si>
  <si>
    <t>19févr.2019</t>
  </si>
  <si>
    <t>20févr.2019</t>
  </si>
  <si>
    <t>21févr.2019</t>
  </si>
  <si>
    <t>22févr.2019</t>
  </si>
  <si>
    <t>23févr.2019</t>
  </si>
  <si>
    <t>24févr.2019</t>
  </si>
  <si>
    <t>179.9</t>
  </si>
  <si>
    <t>25févr.2019</t>
  </si>
  <si>
    <t>26févr.2019</t>
  </si>
  <si>
    <t>27févr.2019</t>
  </si>
  <si>
    <t>28févr.2019</t>
  </si>
  <si>
    <t>233.1</t>
  </si>
  <si>
    <t>255.3</t>
  </si>
  <si>
    <t>254.5</t>
  </si>
  <si>
    <t>01avr.2019</t>
  </si>
  <si>
    <t>02avr.2019</t>
  </si>
  <si>
    <t>03avr.2019</t>
  </si>
  <si>
    <t>04avr.2019</t>
  </si>
  <si>
    <t>05avr.2019</t>
  </si>
  <si>
    <t>06avr.2019</t>
  </si>
  <si>
    <t>07avr.2019</t>
  </si>
  <si>
    <t>199.5</t>
  </si>
  <si>
    <t>08avr.2019</t>
  </si>
  <si>
    <t>211.1</t>
  </si>
  <si>
    <t>09avr.2019</t>
  </si>
  <si>
    <t>10avr.2019</t>
  </si>
  <si>
    <t>223.6</t>
  </si>
  <si>
    <t>11avr.2019</t>
  </si>
  <si>
    <t>12avr.2019</t>
  </si>
  <si>
    <t>13avr.2019</t>
  </si>
  <si>
    <t>14avr.2019</t>
  </si>
  <si>
    <t>15avr.2019</t>
  </si>
  <si>
    <t>16avr.2019</t>
  </si>
  <si>
    <t>17avr.2019</t>
  </si>
  <si>
    <t>18avr.2019</t>
  </si>
  <si>
    <t>19avr.2019</t>
  </si>
  <si>
    <t>20avr.2019</t>
  </si>
  <si>
    <t>21avr.2019</t>
  </si>
  <si>
    <t>143.2</t>
  </si>
  <si>
    <t>22avr.2019</t>
  </si>
  <si>
    <t>23avr.2019</t>
  </si>
  <si>
    <t>24avr.2019</t>
  </si>
  <si>
    <t>25avr.2019</t>
  </si>
  <si>
    <t>26avr.2019</t>
  </si>
  <si>
    <t>27avr.2019</t>
  </si>
  <si>
    <t>28avr.2019</t>
  </si>
  <si>
    <t>29avr.2019</t>
  </si>
  <si>
    <t>30avr.2019</t>
  </si>
  <si>
    <t>143.9</t>
  </si>
  <si>
    <t>122.8</t>
  </si>
  <si>
    <t>124.4</t>
  </si>
  <si>
    <t>128.5</t>
  </si>
  <si>
    <t>101.6</t>
  </si>
  <si>
    <t>101.5</t>
  </si>
  <si>
    <t>97.1</t>
  </si>
  <si>
    <t>01juil.2019</t>
  </si>
  <si>
    <t>02juil.2019</t>
  </si>
  <si>
    <t>03juil.2019</t>
  </si>
  <si>
    <t>04juil.2019</t>
  </si>
  <si>
    <t>05juil.2019</t>
  </si>
  <si>
    <t>06juil.2019</t>
  </si>
  <si>
    <t>07juil.2019</t>
  </si>
  <si>
    <t>08juil.2019</t>
  </si>
  <si>
    <t>09juil.2019</t>
  </si>
  <si>
    <t>10juil.2019</t>
  </si>
  <si>
    <t>11juil.2019</t>
  </si>
  <si>
    <t>12juil.2019</t>
  </si>
  <si>
    <t>13juil.2019</t>
  </si>
  <si>
    <t>14juil.2019</t>
  </si>
  <si>
    <t>15juil.2019</t>
  </si>
  <si>
    <t>16juil.2019</t>
  </si>
  <si>
    <t>17juil.2019</t>
  </si>
  <si>
    <t>18juil.2019</t>
  </si>
  <si>
    <t>19juil.2019</t>
  </si>
  <si>
    <t>20juil.2019</t>
  </si>
  <si>
    <t>21juil.2019</t>
  </si>
  <si>
    <t>22juil.2019</t>
  </si>
  <si>
    <t>23juil.2019</t>
  </si>
  <si>
    <t>24juil.2019</t>
  </si>
  <si>
    <t>25juil.2019</t>
  </si>
  <si>
    <t>26juil.2019</t>
  </si>
  <si>
    <t>27juil.2019</t>
  </si>
  <si>
    <t>28juil.2019</t>
  </si>
  <si>
    <t>29juil.2019</t>
  </si>
  <si>
    <t>30juil.2019</t>
  </si>
  <si>
    <t>31juil.2019</t>
  </si>
  <si>
    <t>96.5</t>
  </si>
  <si>
    <t>100.4</t>
  </si>
  <si>
    <t>100.6</t>
  </si>
  <si>
    <t>101.9</t>
  </si>
  <si>
    <t>01sept.2019</t>
  </si>
  <si>
    <t>02sept.2019</t>
  </si>
  <si>
    <t>03sept.2019</t>
  </si>
  <si>
    <t>04sept.2019</t>
  </si>
  <si>
    <t>05sept.2019</t>
  </si>
  <si>
    <t>113.8</t>
  </si>
  <si>
    <t>06sept.2019</t>
  </si>
  <si>
    <t>07sept.2019</t>
  </si>
  <si>
    <t>08sept.2019</t>
  </si>
  <si>
    <t>09sept.2019</t>
  </si>
  <si>
    <t>117.7</t>
  </si>
  <si>
    <t>10sept.2019</t>
  </si>
  <si>
    <t>11sept.2019</t>
  </si>
  <si>
    <t>12sept.2019</t>
  </si>
  <si>
    <t>106.0</t>
  </si>
  <si>
    <t>13sept.2019</t>
  </si>
  <si>
    <t>14sept.2019</t>
  </si>
  <si>
    <t>15sept.2019</t>
  </si>
  <si>
    <t>16sept.2019</t>
  </si>
  <si>
    <t>17sept.2019</t>
  </si>
  <si>
    <t>18sept.2019</t>
  </si>
  <si>
    <t>19sept.2019</t>
  </si>
  <si>
    <t>20sept.2019</t>
  </si>
  <si>
    <t>21sept.2019</t>
  </si>
  <si>
    <t>22sept.2019</t>
  </si>
  <si>
    <t>23sept.2019</t>
  </si>
  <si>
    <t>24sept.2019</t>
  </si>
  <si>
    <t>25sept.2019</t>
  </si>
  <si>
    <t>26sept.2019</t>
  </si>
  <si>
    <t>27sept.2019</t>
  </si>
  <si>
    <t>28sept.2019</t>
  </si>
  <si>
    <t>29sept.2019</t>
  </si>
  <si>
    <t>30sept.2019</t>
  </si>
  <si>
    <t>01oct.2019</t>
  </si>
  <si>
    <t>02oct.2019</t>
  </si>
  <si>
    <t>03oct.2019</t>
  </si>
  <si>
    <t>174.5</t>
  </si>
  <si>
    <t>04oct.2019</t>
  </si>
  <si>
    <t>05oct.2019</t>
  </si>
  <si>
    <t>06oct.2019</t>
  </si>
  <si>
    <t>07oct.2019</t>
  </si>
  <si>
    <t>08oct.2019</t>
  </si>
  <si>
    <t>09oct.2019</t>
  </si>
  <si>
    <t>10oct.2019</t>
  </si>
  <si>
    <t>11oct.2019</t>
  </si>
  <si>
    <t>12oct.2019</t>
  </si>
  <si>
    <t>13oct.2019</t>
  </si>
  <si>
    <t>14oct.2019</t>
  </si>
  <si>
    <t>15oct.2019</t>
  </si>
  <si>
    <t>16oct.2019</t>
  </si>
  <si>
    <t>17oct.2019</t>
  </si>
  <si>
    <t>18oct.2019</t>
  </si>
  <si>
    <t>19oct.2019</t>
  </si>
  <si>
    <t>20oct.2019</t>
  </si>
  <si>
    <t>21oct.2019</t>
  </si>
  <si>
    <t>22oct.2019</t>
  </si>
  <si>
    <t>23oct.2019</t>
  </si>
  <si>
    <t>24oct.2019</t>
  </si>
  <si>
    <t>25oct.2019</t>
  </si>
  <si>
    <t>26oct.2019</t>
  </si>
  <si>
    <t>27oct.2019</t>
  </si>
  <si>
    <t>28oct.2019</t>
  </si>
  <si>
    <t>29oct.2019</t>
  </si>
  <si>
    <t>30oct.2019</t>
  </si>
  <si>
    <t>31oct.2019</t>
  </si>
  <si>
    <t>01nov.2019</t>
  </si>
  <si>
    <t>02nov.2019</t>
  </si>
  <si>
    <t>03nov.2019</t>
  </si>
  <si>
    <t>04nov.2019</t>
  </si>
  <si>
    <t>05nov.2019</t>
  </si>
  <si>
    <t>06nov.2019</t>
  </si>
  <si>
    <t>07nov.2019</t>
  </si>
  <si>
    <t>08nov.2019</t>
  </si>
  <si>
    <t>09nov.2019</t>
  </si>
  <si>
    <t>10nov.2019</t>
  </si>
  <si>
    <t>11nov.2019</t>
  </si>
  <si>
    <t>12nov.2019</t>
  </si>
  <si>
    <t>13nov.2019</t>
  </si>
  <si>
    <t>14nov.2019</t>
  </si>
  <si>
    <t>15nov.2019</t>
  </si>
  <si>
    <t>200.6</t>
  </si>
  <si>
    <t>16nov.2019</t>
  </si>
  <si>
    <t>17nov.2019</t>
  </si>
  <si>
    <t>18nov.2019</t>
  </si>
  <si>
    <t>19nov.2019</t>
  </si>
  <si>
    <t>20nov.2019</t>
  </si>
  <si>
    <t>21nov.2019</t>
  </si>
  <si>
    <t>22nov.2019</t>
  </si>
  <si>
    <t>23nov.2019</t>
  </si>
  <si>
    <t>24nov.2019</t>
  </si>
  <si>
    <t>240.3</t>
  </si>
  <si>
    <t>240.2</t>
  </si>
  <si>
    <t>25nov.2019</t>
  </si>
  <si>
    <t>26nov.2019</t>
  </si>
  <si>
    <t>27nov.2019</t>
  </si>
  <si>
    <t>28nov.2019</t>
  </si>
  <si>
    <t>29nov.2019</t>
  </si>
  <si>
    <t>30nov.2019</t>
  </si>
  <si>
    <t>01déc.2019</t>
  </si>
  <si>
    <t>192.1</t>
  </si>
  <si>
    <t>02déc.2019</t>
  </si>
  <si>
    <t>03déc.2019</t>
  </si>
  <si>
    <t>04déc.2019</t>
  </si>
  <si>
    <t>05déc.2019</t>
  </si>
  <si>
    <t>06déc.2019</t>
  </si>
  <si>
    <t>07déc.2019</t>
  </si>
  <si>
    <t>08déc.2019</t>
  </si>
  <si>
    <t>09déc.2019</t>
  </si>
  <si>
    <t>236.5</t>
  </si>
  <si>
    <t>236.6</t>
  </si>
  <si>
    <t>10déc.2019</t>
  </si>
  <si>
    <t>11déc.2019</t>
  </si>
  <si>
    <t>12déc.2019</t>
  </si>
  <si>
    <t>13déc.2019</t>
  </si>
  <si>
    <t>14déc.2019</t>
  </si>
  <si>
    <t>15déc.2019</t>
  </si>
  <si>
    <t>16déc.2019</t>
  </si>
  <si>
    <t>17déc.2019</t>
  </si>
  <si>
    <t>18déc.2019</t>
  </si>
  <si>
    <t>19déc.2019</t>
  </si>
  <si>
    <t>20déc.2019</t>
  </si>
  <si>
    <t>21déc.2019</t>
  </si>
  <si>
    <t>22déc.2019</t>
  </si>
  <si>
    <t>248.1</t>
  </si>
  <si>
    <t>23déc.2019</t>
  </si>
  <si>
    <t>245.7</t>
  </si>
  <si>
    <t>24déc.2019</t>
  </si>
  <si>
    <t>25déc.2019</t>
  </si>
  <si>
    <t>26déc.2019</t>
  </si>
  <si>
    <t>27déc.2019</t>
  </si>
  <si>
    <t>28déc.2019</t>
  </si>
  <si>
    <t>29déc.2019</t>
  </si>
  <si>
    <t>30déc.2019</t>
  </si>
  <si>
    <t>31déc.2019</t>
  </si>
  <si>
    <t>01janv.2020</t>
  </si>
  <si>
    <t>02janv.2020</t>
  </si>
  <si>
    <t>03janv.2020</t>
  </si>
  <si>
    <t>04janv.2020</t>
  </si>
  <si>
    <t>189.7</t>
  </si>
  <si>
    <t>05janv.2020</t>
  </si>
  <si>
    <t>06janv.2020</t>
  </si>
  <si>
    <t>07janv.2020</t>
  </si>
  <si>
    <t>08janv.2020</t>
  </si>
  <si>
    <t>09janv.2020</t>
  </si>
  <si>
    <t>10janv.2020</t>
  </si>
  <si>
    <t>11janv.2020</t>
  </si>
  <si>
    <t>12janv.2020</t>
  </si>
  <si>
    <t>13janv.2020</t>
  </si>
  <si>
    <t>186.1</t>
  </si>
  <si>
    <t>14janv.2020</t>
  </si>
  <si>
    <t>15janv.2020</t>
  </si>
  <si>
    <t>16janv.2020</t>
  </si>
  <si>
    <t>17janv.2020</t>
  </si>
  <si>
    <t>18janv.2020</t>
  </si>
  <si>
    <t>19janv.2020</t>
  </si>
  <si>
    <t>20janv.2020</t>
  </si>
  <si>
    <t>21janv.2020</t>
  </si>
  <si>
    <t>22janv.2020</t>
  </si>
  <si>
    <t>23janv.2020</t>
  </si>
  <si>
    <t>24janv.2020</t>
  </si>
  <si>
    <t>25janv.2020</t>
  </si>
  <si>
    <t>26janv.2020</t>
  </si>
  <si>
    <t>27janv.2020</t>
  </si>
  <si>
    <t>28janv.2020</t>
  </si>
  <si>
    <t>29janv.2020</t>
  </si>
  <si>
    <t>30janv.2020</t>
  </si>
  <si>
    <t>31janv.2020</t>
  </si>
  <si>
    <t>01févr.2020</t>
  </si>
  <si>
    <t>02févr.2020</t>
  </si>
  <si>
    <t>03févr.2020</t>
  </si>
  <si>
    <t>04févr.2020</t>
  </si>
  <si>
    <t>05févr.2020</t>
  </si>
  <si>
    <t>06févr.2020</t>
  </si>
  <si>
    <t>07févr.2020</t>
  </si>
  <si>
    <t>08févr.2020</t>
  </si>
  <si>
    <t>09févr.2020</t>
  </si>
  <si>
    <t>10févr.2020</t>
  </si>
  <si>
    <t>11févr.2020</t>
  </si>
  <si>
    <t>12févr.2020</t>
  </si>
  <si>
    <t>13févr.2020</t>
  </si>
  <si>
    <t>14févr.2020</t>
  </si>
  <si>
    <t>15févr.2020</t>
  </si>
  <si>
    <t>16févr.2020</t>
  </si>
  <si>
    <t>17févr.2020</t>
  </si>
  <si>
    <t>18févr.2020</t>
  </si>
  <si>
    <t>19févr.2020</t>
  </si>
  <si>
    <t>20févr.2020</t>
  </si>
  <si>
    <t>21févr.2020</t>
  </si>
  <si>
    <t>22févr.2020</t>
  </si>
  <si>
    <t>23févr.2020</t>
  </si>
  <si>
    <t>24févr.2020</t>
  </si>
  <si>
    <t>25févr.2020</t>
  </si>
  <si>
    <t>26févr.2020</t>
  </si>
  <si>
    <t>27févr.2020</t>
  </si>
  <si>
    <t>28févr.2020</t>
  </si>
  <si>
    <t>29févr.2020</t>
  </si>
  <si>
    <t>141.0</t>
  </si>
  <si>
    <t>01avr.2020</t>
  </si>
  <si>
    <t>02avr.2020</t>
  </si>
  <si>
    <t>03avr.2020</t>
  </si>
  <si>
    <t>04avr.2020</t>
  </si>
  <si>
    <t>05avr.2020</t>
  </si>
  <si>
    <t>06avr.2020</t>
  </si>
  <si>
    <t>07avr.2020</t>
  </si>
  <si>
    <t>08avr.2020</t>
  </si>
  <si>
    <t>09avr.2020</t>
  </si>
  <si>
    <t>10avr.2020</t>
  </si>
  <si>
    <t>11avr.2020</t>
  </si>
  <si>
    <t>12avr.2020</t>
  </si>
  <si>
    <t>13avr.2020</t>
  </si>
  <si>
    <t>14avr.2020</t>
  </si>
  <si>
    <t>15avr.2020</t>
  </si>
  <si>
    <t>16avr.2020</t>
  </si>
  <si>
    <t>17avr.2020</t>
  </si>
  <si>
    <t>18avr.2020</t>
  </si>
  <si>
    <t>19avr.2020</t>
  </si>
  <si>
    <t>20avr.2020</t>
  </si>
  <si>
    <t>21avr.2020</t>
  </si>
  <si>
    <t>22avr.2020</t>
  </si>
  <si>
    <t>23avr.2020</t>
  </si>
  <si>
    <t>24avr.2020</t>
  </si>
  <si>
    <t>25avr.2020</t>
  </si>
  <si>
    <t>26avr.2020</t>
  </si>
  <si>
    <t>27avr.2020</t>
  </si>
  <si>
    <t>28avr.2020</t>
  </si>
  <si>
    <t>29avr.2020</t>
  </si>
  <si>
    <t>30avr.2020</t>
  </si>
  <si>
    <t>115.7</t>
  </si>
  <si>
    <t>116.7</t>
  </si>
  <si>
    <t>116.8</t>
  </si>
  <si>
    <t>01juil.2020</t>
  </si>
  <si>
    <t>02juil.2020</t>
  </si>
  <si>
    <t>03juil.2020</t>
  </si>
  <si>
    <t>04juil.2020</t>
  </si>
  <si>
    <t>05juil.2020</t>
  </si>
  <si>
    <t>06juil.2020</t>
  </si>
  <si>
    <t>07juil.2020</t>
  </si>
  <si>
    <t>08juil.2020</t>
  </si>
  <si>
    <t>09juil.2020</t>
  </si>
  <si>
    <t>10juil.2020</t>
  </si>
  <si>
    <t>11juil.2020</t>
  </si>
  <si>
    <t>12juil.2020</t>
  </si>
  <si>
    <t>13juil.2020</t>
  </si>
  <si>
    <t>14juil.2020</t>
  </si>
  <si>
    <t>15juil.2020</t>
  </si>
  <si>
    <t>16juil.2020</t>
  </si>
  <si>
    <t>17juil.2020</t>
  </si>
  <si>
    <t>18juil.2020</t>
  </si>
  <si>
    <t>19juil.2020</t>
  </si>
  <si>
    <t>20juil.2020</t>
  </si>
  <si>
    <t>21juil.2020</t>
  </si>
  <si>
    <t>22juil.2020</t>
  </si>
  <si>
    <t>23juil.2020</t>
  </si>
  <si>
    <t>24juil.2020</t>
  </si>
  <si>
    <t>25juil.2020</t>
  </si>
  <si>
    <t>26juil.2020</t>
  </si>
  <si>
    <t>27juil.2020</t>
  </si>
  <si>
    <t>28juil.2020</t>
  </si>
  <si>
    <t>29juil.2020</t>
  </si>
  <si>
    <t>30juil.2020</t>
  </si>
  <si>
    <t>31juil.2020</t>
  </si>
  <si>
    <t>91.7</t>
  </si>
  <si>
    <t>81.8</t>
  </si>
  <si>
    <t>101.1</t>
  </si>
  <si>
    <t>101.2</t>
  </si>
  <si>
    <t>01sept.2020</t>
  </si>
  <si>
    <t>02sept.2020</t>
  </si>
  <si>
    <t>03sept.2020</t>
  </si>
  <si>
    <t>04sept.2020</t>
  </si>
  <si>
    <t>05sept.2020</t>
  </si>
  <si>
    <t>06sept.2020</t>
  </si>
  <si>
    <t>07sept.2020</t>
  </si>
  <si>
    <t>08sept.2020</t>
  </si>
  <si>
    <t>09sept.2020</t>
  </si>
  <si>
    <t>10sept.2020</t>
  </si>
  <si>
    <t>11sept.2020</t>
  </si>
  <si>
    <t>12sept.2020</t>
  </si>
  <si>
    <t>13sept.2020</t>
  </si>
  <si>
    <t>14sept.2020</t>
  </si>
  <si>
    <t>15sept.2020</t>
  </si>
  <si>
    <t>16sept.2020</t>
  </si>
  <si>
    <t>17sept.2020</t>
  </si>
  <si>
    <t>18sept.2020</t>
  </si>
  <si>
    <t>19sept.2020</t>
  </si>
  <si>
    <t>20sept.2020</t>
  </si>
  <si>
    <t>21sept.2020</t>
  </si>
  <si>
    <t>22sept.2020</t>
  </si>
  <si>
    <t>23sept.2020</t>
  </si>
  <si>
    <t>24sept.2020</t>
  </si>
  <si>
    <t>25sept.2020</t>
  </si>
  <si>
    <t>26sept.2020</t>
  </si>
  <si>
    <t>27sept.2020</t>
  </si>
  <si>
    <t>28sept.2020</t>
  </si>
  <si>
    <t>29sept.2020</t>
  </si>
  <si>
    <t>30sept.2020</t>
  </si>
  <si>
    <t>01oct.2020</t>
  </si>
  <si>
    <t>02oct.2020</t>
  </si>
  <si>
    <t>03oct.2020</t>
  </si>
  <si>
    <t>04oct.2020</t>
  </si>
  <si>
    <t>05oct.2020</t>
  </si>
  <si>
    <t>06oct.2020</t>
  </si>
  <si>
    <t>07oct.2020</t>
  </si>
  <si>
    <t>08oct.2020</t>
  </si>
  <si>
    <t>09oct.2020</t>
  </si>
  <si>
    <t>10oct.2020</t>
  </si>
  <si>
    <t>11oct.2020</t>
  </si>
  <si>
    <t>12oct.2020</t>
  </si>
  <si>
    <t>13oct.2020</t>
  </si>
  <si>
    <t>14oct.2020</t>
  </si>
  <si>
    <t>15oct.2020</t>
  </si>
  <si>
    <t>16oct.2020</t>
  </si>
  <si>
    <t>17oct.2020</t>
  </si>
  <si>
    <t>18oct.2020</t>
  </si>
  <si>
    <t>19oct.2020</t>
  </si>
  <si>
    <t>20oct.2020</t>
  </si>
  <si>
    <t>21oct.2020</t>
  </si>
  <si>
    <t>22oct.2020</t>
  </si>
  <si>
    <t>23oct.2020</t>
  </si>
  <si>
    <t>24oct.2020</t>
  </si>
  <si>
    <t>25oct.2020</t>
  </si>
  <si>
    <t>26oct.2020</t>
  </si>
  <si>
    <t>27oct.2020</t>
  </si>
  <si>
    <t>28oct.2020</t>
  </si>
  <si>
    <t>29oct.2020</t>
  </si>
  <si>
    <t>30oct.2020</t>
  </si>
  <si>
    <t>31oct.2020</t>
  </si>
  <si>
    <t>01nov.2020</t>
  </si>
  <si>
    <t>02nov.2020</t>
  </si>
  <si>
    <t>03nov.2020</t>
  </si>
  <si>
    <t>04nov.2020</t>
  </si>
  <si>
    <t>05nov.2020</t>
  </si>
  <si>
    <t>06nov.2020</t>
  </si>
  <si>
    <t>242.8</t>
  </si>
  <si>
    <t>07nov.2020</t>
  </si>
  <si>
    <t>08nov.2020</t>
  </si>
  <si>
    <t>253.3</t>
  </si>
  <si>
    <t>09nov.2020</t>
  </si>
  <si>
    <t>10nov.2020</t>
  </si>
  <si>
    <t>11nov.2020</t>
  </si>
  <si>
    <t>12nov.2020</t>
  </si>
  <si>
    <t>13nov.2020</t>
  </si>
  <si>
    <t>14nov.2020</t>
  </si>
  <si>
    <t>15nov.2020</t>
  </si>
  <si>
    <t>16nov.2020</t>
  </si>
  <si>
    <t>17nov.2020</t>
  </si>
  <si>
    <t>18nov.2020</t>
  </si>
  <si>
    <t>19nov.2020</t>
  </si>
  <si>
    <t>20nov.2020</t>
  </si>
  <si>
    <t>206.2</t>
  </si>
  <si>
    <t>21nov.2020</t>
  </si>
  <si>
    <t>22nov.2020</t>
  </si>
  <si>
    <t>225.9</t>
  </si>
  <si>
    <t>23nov.2020</t>
  </si>
  <si>
    <t>24nov.2020</t>
  </si>
  <si>
    <t>25nov.2020</t>
  </si>
  <si>
    <t>26nov.2020</t>
  </si>
  <si>
    <t>27nov.2020</t>
  </si>
  <si>
    <t>28nov.2020</t>
  </si>
  <si>
    <t>29nov.2020</t>
  </si>
  <si>
    <t>30nov.2020</t>
  </si>
  <si>
    <t>01déc.2020</t>
  </si>
  <si>
    <t>267.0</t>
  </si>
  <si>
    <t>02déc.2020</t>
  </si>
  <si>
    <t>03déc.2020</t>
  </si>
  <si>
    <t>237.8</t>
  </si>
  <si>
    <t>237.9</t>
  </si>
  <si>
    <t>04déc.2020</t>
  </si>
  <si>
    <t>05déc.2020</t>
  </si>
  <si>
    <t>233.3</t>
  </si>
  <si>
    <t>06déc.2020</t>
  </si>
  <si>
    <t>07déc.2020</t>
  </si>
  <si>
    <t>08déc.2020</t>
  </si>
  <si>
    <t>09déc.2020</t>
  </si>
  <si>
    <t>10déc.2020</t>
  </si>
  <si>
    <t>213.7</t>
  </si>
  <si>
    <t>11déc.2020</t>
  </si>
  <si>
    <t>12déc.2020</t>
  </si>
  <si>
    <t>13déc.2020</t>
  </si>
  <si>
    <t>14déc.2020</t>
  </si>
  <si>
    <t>224.1</t>
  </si>
  <si>
    <t>15déc.2020</t>
  </si>
  <si>
    <t>16déc.2020</t>
  </si>
  <si>
    <t>17déc.2020</t>
  </si>
  <si>
    <t>18déc.2020</t>
  </si>
  <si>
    <t>19déc.2020</t>
  </si>
  <si>
    <t>20déc.2020</t>
  </si>
  <si>
    <t>21déc.2020</t>
  </si>
  <si>
    <t>22déc.2020</t>
  </si>
  <si>
    <t>23déc.2020</t>
  </si>
  <si>
    <t>24déc.2020</t>
  </si>
  <si>
    <t>25déc.2020</t>
  </si>
  <si>
    <t>26déc.2020</t>
  </si>
  <si>
    <t>211.9</t>
  </si>
  <si>
    <t>27déc.2020</t>
  </si>
  <si>
    <t>28déc.2020</t>
  </si>
  <si>
    <t>29déc.2020</t>
  </si>
  <si>
    <t>30déc.2020</t>
  </si>
  <si>
    <t>31déc.2020</t>
  </si>
  <si>
    <t>01janv.2021</t>
  </si>
  <si>
    <t>213.8</t>
  </si>
  <si>
    <t>02janv.2021</t>
  </si>
  <si>
    <t>03janv.2021</t>
  </si>
  <si>
    <t>04janv.2021</t>
  </si>
  <si>
    <t>05janv.2021</t>
  </si>
  <si>
    <t>06janv.2021</t>
  </si>
  <si>
    <t>07janv.2021</t>
  </si>
  <si>
    <t>08janv.2021</t>
  </si>
  <si>
    <t>09janv.2021</t>
  </si>
  <si>
    <t>10janv.2021</t>
  </si>
  <si>
    <t>11janv.2021</t>
  </si>
  <si>
    <t>12janv.2021</t>
  </si>
  <si>
    <t>13janv.2021</t>
  </si>
  <si>
    <t>14janv.2021</t>
  </si>
  <si>
    <t>211.0</t>
  </si>
  <si>
    <t>15janv.2021</t>
  </si>
  <si>
    <t>16janv.2021</t>
  </si>
  <si>
    <t>17janv.2021</t>
  </si>
  <si>
    <t>18janv.2021</t>
  </si>
  <si>
    <t>19janv.2021</t>
  </si>
  <si>
    <t>20janv.2021</t>
  </si>
  <si>
    <t>21janv.2021</t>
  </si>
  <si>
    <t>22janv.2021</t>
  </si>
  <si>
    <t>23janv.2021</t>
  </si>
  <si>
    <t>24janv.2021</t>
  </si>
  <si>
    <t>25janv.2021</t>
  </si>
  <si>
    <t>26janv.2021</t>
  </si>
  <si>
    <t>27janv.2021</t>
  </si>
  <si>
    <t>28janv.2021</t>
  </si>
  <si>
    <t>29janv.2021</t>
  </si>
  <si>
    <t>30janv.2021</t>
  </si>
  <si>
    <t>31janv.2021</t>
  </si>
  <si>
    <t>01févr.2021</t>
  </si>
  <si>
    <t>02févr.2021</t>
  </si>
  <si>
    <t>03févr.2021</t>
  </si>
  <si>
    <t>04févr.2021</t>
  </si>
  <si>
    <t>05févr.2021</t>
  </si>
  <si>
    <t>06févr.2021</t>
  </si>
  <si>
    <t>07févr.2021</t>
  </si>
  <si>
    <t>08févr.2021</t>
  </si>
  <si>
    <t>09févr.2021</t>
  </si>
  <si>
    <t>10févr.2021</t>
  </si>
  <si>
    <t>11févr.2021</t>
  </si>
  <si>
    <t>12févr.2021</t>
  </si>
  <si>
    <t>13févr.2021</t>
  </si>
  <si>
    <t>14févr.2021</t>
  </si>
  <si>
    <t>15févr.2021</t>
  </si>
  <si>
    <t>16févr.2021</t>
  </si>
  <si>
    <t>17févr.2021</t>
  </si>
  <si>
    <t>18févr.2021</t>
  </si>
  <si>
    <t>19févr.2021</t>
  </si>
  <si>
    <t>20févr.2021</t>
  </si>
  <si>
    <t>21févr.2021</t>
  </si>
  <si>
    <t>22févr.2021</t>
  </si>
  <si>
    <t>23févr.2021</t>
  </si>
  <si>
    <t>24févr.2021</t>
  </si>
  <si>
    <t>25févr.2021</t>
  </si>
  <si>
    <t>26févr.2021</t>
  </si>
  <si>
    <t>27févr.2021</t>
  </si>
  <si>
    <t>28févr.2021</t>
  </si>
  <si>
    <t>01avr.2021</t>
  </si>
  <si>
    <t>02avr.2021</t>
  </si>
  <si>
    <t>03avr.2021</t>
  </si>
  <si>
    <t>04avr.2021</t>
  </si>
  <si>
    <t>05avr.2021</t>
  </si>
  <si>
    <t>06avr.2021</t>
  </si>
  <si>
    <t>07avr.2021</t>
  </si>
  <si>
    <t>08avr.2021</t>
  </si>
  <si>
    <t>09avr.2021</t>
  </si>
  <si>
    <t>10avr.2021</t>
  </si>
  <si>
    <t>11avr.2021</t>
  </si>
  <si>
    <t>12avr.2021</t>
  </si>
  <si>
    <t>13avr.2021</t>
  </si>
  <si>
    <t>14avr.2021</t>
  </si>
  <si>
    <t>15avr.2021</t>
  </si>
  <si>
    <t>16avr.2021</t>
  </si>
  <si>
    <t>17avr.2021</t>
  </si>
  <si>
    <t>18avr.2021</t>
  </si>
  <si>
    <t>19avr.2021</t>
  </si>
  <si>
    <t>20avr.2021</t>
  </si>
  <si>
    <t>21avr.2021</t>
  </si>
  <si>
    <t>22avr.2021</t>
  </si>
  <si>
    <t>23avr.2021</t>
  </si>
  <si>
    <t>24avr.2021</t>
  </si>
  <si>
    <t>25avr.2021</t>
  </si>
  <si>
    <t>26avr.2021</t>
  </si>
  <si>
    <t>27avr.2021</t>
  </si>
  <si>
    <t>28avr.2021</t>
  </si>
  <si>
    <t>29avr.2021</t>
  </si>
  <si>
    <t>30avr.2021</t>
  </si>
  <si>
    <t>252.3</t>
  </si>
  <si>
    <t>109.3</t>
  </si>
  <si>
    <t>01juil.2021</t>
  </si>
  <si>
    <t>02juil.2021</t>
  </si>
  <si>
    <t>03juil.2021</t>
  </si>
  <si>
    <t>04juil.2021</t>
  </si>
  <si>
    <t>05juil.2021</t>
  </si>
  <si>
    <t>06juil.2021</t>
  </si>
  <si>
    <t>07juil.2021</t>
  </si>
  <si>
    <t>08juil.2021</t>
  </si>
  <si>
    <t>09juil.2021</t>
  </si>
  <si>
    <t>10juil.2021</t>
  </si>
  <si>
    <t>11juil.2021</t>
  </si>
  <si>
    <t>12juil.2021</t>
  </si>
  <si>
    <t>13juil.2021</t>
  </si>
  <si>
    <t>14juil.2021</t>
  </si>
  <si>
    <t>15juil.2021</t>
  </si>
  <si>
    <t>16juil.2021</t>
  </si>
  <si>
    <t>17juil.2021</t>
  </si>
  <si>
    <t>18juil.2021</t>
  </si>
  <si>
    <t>19juil.2021</t>
  </si>
  <si>
    <t>20juil.2021</t>
  </si>
  <si>
    <t>21juil.2021</t>
  </si>
  <si>
    <t>22juil.2021</t>
  </si>
  <si>
    <t>23juil.2021</t>
  </si>
  <si>
    <t>24juil.2021</t>
  </si>
  <si>
    <t>25juil.2021</t>
  </si>
  <si>
    <t>26juil.2021</t>
  </si>
  <si>
    <t>27juil.2021</t>
  </si>
  <si>
    <t>28juil.2021</t>
  </si>
  <si>
    <t>29juil.2021</t>
  </si>
  <si>
    <t>30juil.2021</t>
  </si>
  <si>
    <t>31juil.2021</t>
  </si>
  <si>
    <t>77.0</t>
  </si>
  <si>
    <t>98.3</t>
  </si>
  <si>
    <t>100.1</t>
  </si>
  <si>
    <t>100.7</t>
  </si>
  <si>
    <t>101.7</t>
  </si>
  <si>
    <t>01sept.2021</t>
  </si>
  <si>
    <t>101.4</t>
  </si>
  <si>
    <t>02sept.2021</t>
  </si>
  <si>
    <t>03sept.2021</t>
  </si>
  <si>
    <t>04sept.2021</t>
  </si>
  <si>
    <t>05sept.2021</t>
  </si>
  <si>
    <t>06sept.2021</t>
  </si>
  <si>
    <t>07sept.2021</t>
  </si>
  <si>
    <t>08sept.2021</t>
  </si>
  <si>
    <t>09sept.2021</t>
  </si>
  <si>
    <t>10sept.2021</t>
  </si>
  <si>
    <t>11sept.2021</t>
  </si>
  <si>
    <t>12sept.2021</t>
  </si>
  <si>
    <t>13sept.2021</t>
  </si>
  <si>
    <t>14sept.2021</t>
  </si>
  <si>
    <t>110.5</t>
  </si>
  <si>
    <t>15sept.2021</t>
  </si>
  <si>
    <t>16sept.2021</t>
  </si>
  <si>
    <t>17sept.2021</t>
  </si>
  <si>
    <t>18sept.2021</t>
  </si>
  <si>
    <t>19sept.2021</t>
  </si>
  <si>
    <t>20sept.2021</t>
  </si>
  <si>
    <t>21sept.2021</t>
  </si>
  <si>
    <t>22sept.2021</t>
  </si>
  <si>
    <t>23sept.2021</t>
  </si>
  <si>
    <t>24sept.2021</t>
  </si>
  <si>
    <t>25sept.2021</t>
  </si>
  <si>
    <t>26sept.2021</t>
  </si>
  <si>
    <t>27sept.2021</t>
  </si>
  <si>
    <t>28sept.2021</t>
  </si>
  <si>
    <t>29sept.2021</t>
  </si>
  <si>
    <t>30sept.2021</t>
  </si>
  <si>
    <t>01oct.2021</t>
  </si>
  <si>
    <t>02oct.2021</t>
  </si>
  <si>
    <t>03oct.2021</t>
  </si>
  <si>
    <t>04oct.2021</t>
  </si>
  <si>
    <t>05oct.2021</t>
  </si>
  <si>
    <t>06oct.2021</t>
  </si>
  <si>
    <t>07oct.2021</t>
  </si>
  <si>
    <t>08oct.2021</t>
  </si>
  <si>
    <t>09oct.2021</t>
  </si>
  <si>
    <t>10oct.2021</t>
  </si>
  <si>
    <t>11oct.2021</t>
  </si>
  <si>
    <t>12oct.2021</t>
  </si>
  <si>
    <t>13oct.2021</t>
  </si>
  <si>
    <t>14oct.2021</t>
  </si>
  <si>
    <t>15oct.2021</t>
  </si>
  <si>
    <t>16oct.2021</t>
  </si>
  <si>
    <t>17oct.2021</t>
  </si>
  <si>
    <t>18oct.2021</t>
  </si>
  <si>
    <t>19oct.2021</t>
  </si>
  <si>
    <t>20oct.2021</t>
  </si>
  <si>
    <t>21oct.2021</t>
  </si>
  <si>
    <t>22oct.2021</t>
  </si>
  <si>
    <t>23oct.2021</t>
  </si>
  <si>
    <t>24oct.2021</t>
  </si>
  <si>
    <t>25oct.2021</t>
  </si>
  <si>
    <t>152.7</t>
  </si>
  <si>
    <t>26oct.2021</t>
  </si>
  <si>
    <t>27oct.2021</t>
  </si>
  <si>
    <t>28oct.2021</t>
  </si>
  <si>
    <t>29oct.2021</t>
  </si>
  <si>
    <t>30oct.2021</t>
  </si>
  <si>
    <t>31oct.2021</t>
  </si>
  <si>
    <t>01nov.2021</t>
  </si>
  <si>
    <t>02nov.2021</t>
  </si>
  <si>
    <t>03nov.2021</t>
  </si>
  <si>
    <t>04nov.2021</t>
  </si>
  <si>
    <t>05nov.2021</t>
  </si>
  <si>
    <t>06nov.2021</t>
  </si>
  <si>
    <t>07nov.2021</t>
  </si>
  <si>
    <t>08nov.2021</t>
  </si>
  <si>
    <t>09nov.2021</t>
  </si>
  <si>
    <t>10nov.2021</t>
  </si>
  <si>
    <t>11nov.2021</t>
  </si>
  <si>
    <t>12nov.2021</t>
  </si>
  <si>
    <t>13nov.2021</t>
  </si>
  <si>
    <t>14nov.2021</t>
  </si>
  <si>
    <t>15nov.2021</t>
  </si>
  <si>
    <t>16nov.2021</t>
  </si>
  <si>
    <t>17nov.2021</t>
  </si>
  <si>
    <t>18nov.2021</t>
  </si>
  <si>
    <t>19nov.2021</t>
  </si>
  <si>
    <t>20nov.2021</t>
  </si>
  <si>
    <t>21nov.2021</t>
  </si>
  <si>
    <t>22nov.2021</t>
  </si>
  <si>
    <t>23nov.2021</t>
  </si>
  <si>
    <t>24nov.2021</t>
  </si>
  <si>
    <t>25nov.2021</t>
  </si>
  <si>
    <t>26nov.2021</t>
  </si>
  <si>
    <t>27nov.2021</t>
  </si>
  <si>
    <t>28nov.2021</t>
  </si>
  <si>
    <t>29nov.2021</t>
  </si>
  <si>
    <t>30nov.2021</t>
  </si>
  <si>
    <t>01déc.2021</t>
  </si>
  <si>
    <t>02déc.2021</t>
  </si>
  <si>
    <t>03déc.2021</t>
  </si>
  <si>
    <t>04déc.2021</t>
  </si>
  <si>
    <t>05déc.2021</t>
  </si>
  <si>
    <t>06déc.2021</t>
  </si>
  <si>
    <t>07déc.2021</t>
  </si>
  <si>
    <t>08déc.2021</t>
  </si>
  <si>
    <t>09déc.2021</t>
  </si>
  <si>
    <t>10déc.2021</t>
  </si>
  <si>
    <t>11déc.2021</t>
  </si>
  <si>
    <t>12déc.2021</t>
  </si>
  <si>
    <t>13déc.2021</t>
  </si>
  <si>
    <t>14déc.2021</t>
  </si>
  <si>
    <t>15déc.2021</t>
  </si>
  <si>
    <t>206.3</t>
  </si>
  <si>
    <t>16déc.2021</t>
  </si>
  <si>
    <t>17déc.2021</t>
  </si>
  <si>
    <t>18déc.2021</t>
  </si>
  <si>
    <t>19déc.2021</t>
  </si>
  <si>
    <t>20déc.2021</t>
  </si>
  <si>
    <t>21déc.2021</t>
  </si>
  <si>
    <t>22déc.2021</t>
  </si>
  <si>
    <t>228.0</t>
  </si>
  <si>
    <t>23déc.2021</t>
  </si>
  <si>
    <t>259.3</t>
  </si>
  <si>
    <t>259.2</t>
  </si>
  <si>
    <t>24déc.2021</t>
  </si>
  <si>
    <t>25déc.2021</t>
  </si>
  <si>
    <t>26déc.2021</t>
  </si>
  <si>
    <t>27déc.2021</t>
  </si>
  <si>
    <t>28déc.2021</t>
  </si>
  <si>
    <t>29déc.2021</t>
  </si>
  <si>
    <t>251.2</t>
  </si>
  <si>
    <t>30déc.2021</t>
  </si>
  <si>
    <t>31déc.2021</t>
  </si>
  <si>
    <t>01janv.2022</t>
  </si>
  <si>
    <t>02janv.2022</t>
  </si>
  <si>
    <t>03janv.2022</t>
  </si>
  <si>
    <t>04janv.2022</t>
  </si>
  <si>
    <t>05janv.2022</t>
  </si>
  <si>
    <t>06janv.2022</t>
  </si>
  <si>
    <t>07janv.2022</t>
  </si>
  <si>
    <t>08janv.2022</t>
  </si>
  <si>
    <t>09janv.2022</t>
  </si>
  <si>
    <t>10janv.2022</t>
  </si>
  <si>
    <t>11janv.2022</t>
  </si>
  <si>
    <t>12janv.2022</t>
  </si>
  <si>
    <t>13janv.2022</t>
  </si>
  <si>
    <t>208.4</t>
  </si>
  <si>
    <t>14janv.2022</t>
  </si>
  <si>
    <t>15janv.2022</t>
  </si>
  <si>
    <t>16janv.2022</t>
  </si>
  <si>
    <t>17janv.2022</t>
  </si>
  <si>
    <t>18janv.2022</t>
  </si>
  <si>
    <t>230.7</t>
  </si>
  <si>
    <t>19janv.2022</t>
  </si>
  <si>
    <t>20janv.2022</t>
  </si>
  <si>
    <t>21janv.2022</t>
  </si>
  <si>
    <t>22janv.2022</t>
  </si>
  <si>
    <t>23janv.2022</t>
  </si>
  <si>
    <t>24janv.2022</t>
  </si>
  <si>
    <t>25janv.2022</t>
  </si>
  <si>
    <t>26janv.2022</t>
  </si>
  <si>
    <t>209.4</t>
  </si>
  <si>
    <t>27janv.2022</t>
  </si>
  <si>
    <t>28janv.2022</t>
  </si>
  <si>
    <t>29janv.2022</t>
  </si>
  <si>
    <t>30janv.2022</t>
  </si>
  <si>
    <t>31janv.2022</t>
  </si>
  <si>
    <t>01févr.2022</t>
  </si>
  <si>
    <t>02févr.2022</t>
  </si>
  <si>
    <t>03févr.2022</t>
  </si>
  <si>
    <t>04févr.2022</t>
  </si>
  <si>
    <t>05févr.2022</t>
  </si>
  <si>
    <t>06févr.2022</t>
  </si>
  <si>
    <t>07févr.2022</t>
  </si>
  <si>
    <t>08févr.2022</t>
  </si>
  <si>
    <t>09févr.2022</t>
  </si>
  <si>
    <t>10févr.2022</t>
  </si>
  <si>
    <t>11févr.2022</t>
  </si>
  <si>
    <t>12févr.2022</t>
  </si>
  <si>
    <t>13févr.2022</t>
  </si>
  <si>
    <t>14févr.2022</t>
  </si>
  <si>
    <t>15févr.2022</t>
  </si>
  <si>
    <t>16févr.2022</t>
  </si>
  <si>
    <t>17févr.2022</t>
  </si>
  <si>
    <t>18févr.2022</t>
  </si>
  <si>
    <t>19févr.2022</t>
  </si>
  <si>
    <t>20févr.2022</t>
  </si>
  <si>
    <t>21févr.2022</t>
  </si>
  <si>
    <t>22févr.2022</t>
  </si>
  <si>
    <t>23févr.2022</t>
  </si>
  <si>
    <t>24févr.2022</t>
  </si>
  <si>
    <t>25févr.2022</t>
  </si>
  <si>
    <t>194.7</t>
  </si>
  <si>
    <t>26févr.2022</t>
  </si>
  <si>
    <t>27févr.2022</t>
  </si>
  <si>
    <t>28févr.2022</t>
  </si>
  <si>
    <t>01avr.2022</t>
  </si>
  <si>
    <t>02avr.2022</t>
  </si>
  <si>
    <t>03avr.2022</t>
  </si>
  <si>
    <t>04avr.2022</t>
  </si>
  <si>
    <t>05avr.2022</t>
  </si>
  <si>
    <t>06avr.2022</t>
  </si>
  <si>
    <t>07avr.2022</t>
  </si>
  <si>
    <t>08avr.2022</t>
  </si>
  <si>
    <t>09avr.2022</t>
  </si>
  <si>
    <t>10avr.2022</t>
  </si>
  <si>
    <t>11avr.2022</t>
  </si>
  <si>
    <t>12avr.2022</t>
  </si>
  <si>
    <t>13avr.2022</t>
  </si>
  <si>
    <t>14avr.2022</t>
  </si>
  <si>
    <t>15avr.2022</t>
  </si>
  <si>
    <t>16avr.2022</t>
  </si>
  <si>
    <t>17avr.2022</t>
  </si>
  <si>
    <t>18avr.2022</t>
  </si>
  <si>
    <t>19avr.2022</t>
  </si>
  <si>
    <t>20avr.2022</t>
  </si>
  <si>
    <t>21avr.2022</t>
  </si>
  <si>
    <t>22avr.2022</t>
  </si>
  <si>
    <t>23avr.2022</t>
  </si>
  <si>
    <t>24avr.2022</t>
  </si>
  <si>
    <t>25avr.2022</t>
  </si>
  <si>
    <t>26avr.2022</t>
  </si>
  <si>
    <t>27avr.2022</t>
  </si>
  <si>
    <t>28avr.2022</t>
  </si>
  <si>
    <t>29avr.2022</t>
  </si>
  <si>
    <t>30avr.2022</t>
  </si>
  <si>
    <t>122.3</t>
  </si>
  <si>
    <t>117.1</t>
  </si>
  <si>
    <t>01juil.2022</t>
  </si>
  <si>
    <t>02juil.2022</t>
  </si>
  <si>
    <t>03juil.2022</t>
  </si>
  <si>
    <t>04juil.2022</t>
  </si>
  <si>
    <t>05juil.2022</t>
  </si>
  <si>
    <t>06juil.2022</t>
  </si>
  <si>
    <t>07juil.2022</t>
  </si>
  <si>
    <t>08juil.2022</t>
  </si>
  <si>
    <t>09juil.2022</t>
  </si>
  <si>
    <t>10juil.2022</t>
  </si>
  <si>
    <t>11juil.2022</t>
  </si>
  <si>
    <t>12juil.2022</t>
  </si>
  <si>
    <t>13juil.2022</t>
  </si>
  <si>
    <t>14juil.2022</t>
  </si>
  <si>
    <t>15juil.2022</t>
  </si>
  <si>
    <t>16juil.2022</t>
  </si>
  <si>
    <t>17juil.2022</t>
  </si>
  <si>
    <t>18juil.2022</t>
  </si>
  <si>
    <t>19juil.2022</t>
  </si>
  <si>
    <t>20juil.2022</t>
  </si>
  <si>
    <t>21juil.2022</t>
  </si>
  <si>
    <t>22juil.2022</t>
  </si>
  <si>
    <t>23juil.2022</t>
  </si>
  <si>
    <t>24juil.2022</t>
  </si>
  <si>
    <t>25juil.2022</t>
  </si>
  <si>
    <t>26juil.2022</t>
  </si>
  <si>
    <t>27juil.2022</t>
  </si>
  <si>
    <t>28juil.2022</t>
  </si>
  <si>
    <t>29juil.2022</t>
  </si>
  <si>
    <t>30juil.2022</t>
  </si>
  <si>
    <t>31juil.2022</t>
  </si>
  <si>
    <t>101.8</t>
  </si>
  <si>
    <t>102.8</t>
  </si>
  <si>
    <t>99.2</t>
  </si>
  <si>
    <t>101.0</t>
  </si>
  <si>
    <t>01sept.2022</t>
  </si>
  <si>
    <t>02sept.2022</t>
  </si>
  <si>
    <t>03sept.2022</t>
  </si>
  <si>
    <t>04sept.2022</t>
  </si>
  <si>
    <t>05sept.2022</t>
  </si>
  <si>
    <t>06sept.2022</t>
  </si>
  <si>
    <t>07sept.2022</t>
  </si>
  <si>
    <t>08sept.2022</t>
  </si>
  <si>
    <t>09sept.2022</t>
  </si>
  <si>
    <t>10sept.2022</t>
  </si>
  <si>
    <t>11sept.2022</t>
  </si>
  <si>
    <t>12sept.2022</t>
  </si>
  <si>
    <t>13sept.2022</t>
  </si>
  <si>
    <t>14sept.2022</t>
  </si>
  <si>
    <t>15sept.2022</t>
  </si>
  <si>
    <t>16sept.2022</t>
  </si>
  <si>
    <t>17sept.2022</t>
  </si>
  <si>
    <t>18sept.2022</t>
  </si>
  <si>
    <t>19sept.2022</t>
  </si>
  <si>
    <t>20sept.2022</t>
  </si>
  <si>
    <t>21sept.2022</t>
  </si>
  <si>
    <t>22sept.2022</t>
  </si>
  <si>
    <t>23sept.2022</t>
  </si>
  <si>
    <t>24sept.2022</t>
  </si>
  <si>
    <t>25sept.2022</t>
  </si>
  <si>
    <t>26sept.2022</t>
  </si>
  <si>
    <t>27sept.2022</t>
  </si>
  <si>
    <t>28sept.2022</t>
  </si>
  <si>
    <t>29sept.2022</t>
  </si>
  <si>
    <t>30sept.2022</t>
  </si>
  <si>
    <t>01oct.2022</t>
  </si>
  <si>
    <t>02oct.2022</t>
  </si>
  <si>
    <t>03oct.2022</t>
  </si>
  <si>
    <t>04oct.2022</t>
  </si>
  <si>
    <t>05oct.2022</t>
  </si>
  <si>
    <t>06oct.2022</t>
  </si>
  <si>
    <t>07oct.2022</t>
  </si>
  <si>
    <t>08oct.2022</t>
  </si>
  <si>
    <t>09oct.2022</t>
  </si>
  <si>
    <t>10oct.2022</t>
  </si>
  <si>
    <t>11oct.2022</t>
  </si>
  <si>
    <t>12oct.2022</t>
  </si>
  <si>
    <t>13oct.2022</t>
  </si>
  <si>
    <t>14oct.2022</t>
  </si>
  <si>
    <t>15oct.2022</t>
  </si>
  <si>
    <t>16oct.2022</t>
  </si>
  <si>
    <t>17oct.2022</t>
  </si>
  <si>
    <t>18oct.2022</t>
  </si>
  <si>
    <t>19oct.2022</t>
  </si>
  <si>
    <t>20oct.2022</t>
  </si>
  <si>
    <t>21oct.2022</t>
  </si>
  <si>
    <t>22oct.2022</t>
  </si>
  <si>
    <t>23oct.2022</t>
  </si>
  <si>
    <t>24oct.2022</t>
  </si>
  <si>
    <t>25oct.2022</t>
  </si>
  <si>
    <t>26oct.2022</t>
  </si>
  <si>
    <t>27oct.2022</t>
  </si>
  <si>
    <t>28oct.2022</t>
  </si>
  <si>
    <t>29oct.2022</t>
  </si>
  <si>
    <t>30oct.2022</t>
  </si>
  <si>
    <t>31oct.2022</t>
  </si>
  <si>
    <t>01nov.2022</t>
  </si>
  <si>
    <t>02nov.2022</t>
  </si>
  <si>
    <t>03nov.2022</t>
  </si>
  <si>
    <t>04nov.2022</t>
  </si>
  <si>
    <t>05nov.2022</t>
  </si>
  <si>
    <t>06nov.2022</t>
  </si>
  <si>
    <t>07nov.2022</t>
  </si>
  <si>
    <t>08nov.2022</t>
  </si>
  <si>
    <t>09nov.2022</t>
  </si>
  <si>
    <t>10nov.2022</t>
  </si>
  <si>
    <t>11nov.2022</t>
  </si>
  <si>
    <t>12nov.2022</t>
  </si>
  <si>
    <t>13nov.2022</t>
  </si>
  <si>
    <t>226.7</t>
  </si>
  <si>
    <t>14nov.2022</t>
  </si>
  <si>
    <t>15nov.2022</t>
  </si>
  <si>
    <t>16nov.2022</t>
  </si>
  <si>
    <t>216.9</t>
  </si>
  <si>
    <t>17nov.2022</t>
  </si>
  <si>
    <t>18nov.2022</t>
  </si>
  <si>
    <t>19nov.2022</t>
  </si>
  <si>
    <t>20nov.2022</t>
  </si>
  <si>
    <t>21nov.2022</t>
  </si>
  <si>
    <t>22nov.2022</t>
  </si>
  <si>
    <t>23nov.2022</t>
  </si>
  <si>
    <t>24nov.2022</t>
  </si>
  <si>
    <t>25nov.2022</t>
  </si>
  <si>
    <t>26nov.2022</t>
  </si>
  <si>
    <t>27nov.2022</t>
  </si>
  <si>
    <t>28nov.2022</t>
  </si>
  <si>
    <t>29nov.2022</t>
  </si>
  <si>
    <t>30nov.2022</t>
  </si>
  <si>
    <t>01déc.2022</t>
  </si>
  <si>
    <t>02déc.2022</t>
  </si>
  <si>
    <t>203.5</t>
  </si>
  <si>
    <t>03déc.2022</t>
  </si>
  <si>
    <t>04déc.2022</t>
  </si>
  <si>
    <t>191.9</t>
  </si>
  <si>
    <t>05déc.2022</t>
  </si>
  <si>
    <t>06déc.2022</t>
  </si>
  <si>
    <t>07déc.2022</t>
  </si>
  <si>
    <t>08déc.2022</t>
  </si>
  <si>
    <t>09déc.2022</t>
  </si>
  <si>
    <t>205.1</t>
  </si>
  <si>
    <t>10déc.2022</t>
  </si>
  <si>
    <t>11déc.2022</t>
  </si>
  <si>
    <t>12déc.2022</t>
  </si>
  <si>
    <t>13déc.2022</t>
  </si>
  <si>
    <t>14déc.2022</t>
  </si>
  <si>
    <t>260.2</t>
  </si>
  <si>
    <t>260.1</t>
  </si>
  <si>
    <t>15déc.2022</t>
  </si>
  <si>
    <t>16déc.2022</t>
  </si>
  <si>
    <t>17déc.2022</t>
  </si>
  <si>
    <t>246.6</t>
  </si>
  <si>
    <t>18déc.2022</t>
  </si>
  <si>
    <t>19déc.2022</t>
  </si>
  <si>
    <t>20déc.2022</t>
  </si>
  <si>
    <t>223.2</t>
  </si>
  <si>
    <t>21déc.2022</t>
  </si>
  <si>
    <t>22déc.2022</t>
  </si>
  <si>
    <t>215.7</t>
  </si>
  <si>
    <t>23déc.2022</t>
  </si>
  <si>
    <t>24déc.2022</t>
  </si>
  <si>
    <t>25déc.2022</t>
  </si>
  <si>
    <t>26déc.2022</t>
  </si>
  <si>
    <t>27déc.2022</t>
  </si>
  <si>
    <t>28déc.2022</t>
  </si>
  <si>
    <t>29déc.2022</t>
  </si>
  <si>
    <t>30déc.2022</t>
  </si>
  <si>
    <t>236.1</t>
  </si>
  <si>
    <t>31déc.2022</t>
  </si>
  <si>
    <t>260.7</t>
  </si>
  <si>
    <t>178.9</t>
  </si>
  <si>
    <t>148.1</t>
  </si>
  <si>
    <t>Dates</t>
  </si>
  <si>
    <t>24.0</t>
  </si>
  <si>
    <t>27.0</t>
  </si>
  <si>
    <t>20.0</t>
  </si>
  <si>
    <t>18.0</t>
  </si>
  <si>
    <t>25.2</t>
  </si>
  <si>
    <t>27.8</t>
  </si>
  <si>
    <t>27.4</t>
  </si>
  <si>
    <t>18.1</t>
  </si>
  <si>
    <t>28.1</t>
  </si>
  <si>
    <t>29.7</t>
  </si>
  <si>
    <t>28.2</t>
  </si>
  <si>
    <t>18.3</t>
  </si>
  <si>
    <t>31.9</t>
  </si>
  <si>
    <t>32.8</t>
  </si>
  <si>
    <t>29.6</t>
  </si>
  <si>
    <t>18.5</t>
  </si>
  <si>
    <t>34.3</t>
  </si>
  <si>
    <t>35.7</t>
  </si>
  <si>
    <t>30.8</t>
  </si>
  <si>
    <t>18.7</t>
  </si>
  <si>
    <t>37.9</t>
  </si>
  <si>
    <t>31.6</t>
  </si>
  <si>
    <t>18.8</t>
  </si>
  <si>
    <t>35.1</t>
  </si>
  <si>
    <t>38.1</t>
  </si>
  <si>
    <t>34.0</t>
  </si>
  <si>
    <t>37.4</t>
  </si>
  <si>
    <t>31.3</t>
  </si>
  <si>
    <t>34.6</t>
  </si>
  <si>
    <t>38.4</t>
  </si>
  <si>
    <t>31.8</t>
  </si>
  <si>
    <t>38.7</t>
  </si>
  <si>
    <t>43.3</t>
  </si>
  <si>
    <t>33.7</t>
  </si>
  <si>
    <t>20.1</t>
  </si>
  <si>
    <t>19.1</t>
  </si>
  <si>
    <t>45.1</t>
  </si>
  <si>
    <t>50.7</t>
  </si>
  <si>
    <t>36.7</t>
  </si>
  <si>
    <t>19.6</t>
  </si>
  <si>
    <t>49.4</t>
  </si>
  <si>
    <t>56.4</t>
  </si>
  <si>
    <t>38.9</t>
  </si>
  <si>
    <t>48.5</t>
  </si>
  <si>
    <t>56.6</t>
  </si>
  <si>
    <t>39.0</t>
  </si>
  <si>
    <t>20.2</t>
  </si>
  <si>
    <t>43.8</t>
  </si>
  <si>
    <t>52.8</t>
  </si>
  <si>
    <t>19.9</t>
  </si>
  <si>
    <t>39.1</t>
  </si>
  <si>
    <t>48.4</t>
  </si>
  <si>
    <t>19.5</t>
  </si>
  <si>
    <t>37.8</t>
  </si>
  <si>
    <t>47.3</t>
  </si>
  <si>
    <t>35.2</t>
  </si>
  <si>
    <t>19.3</t>
  </si>
  <si>
    <t>39.9</t>
  </si>
  <si>
    <t>49.9</t>
  </si>
  <si>
    <t>36.1</t>
  </si>
  <si>
    <t>42.4</t>
  </si>
  <si>
    <t>53.5</t>
  </si>
  <si>
    <t>37.2</t>
  </si>
  <si>
    <t>42.9</t>
  </si>
  <si>
    <t>53.9</t>
  </si>
  <si>
    <t>42.1</t>
  </si>
  <si>
    <t>53.4</t>
  </si>
  <si>
    <t>19.8</t>
  </si>
  <si>
    <t>40.9</t>
  </si>
  <si>
    <t>53.1</t>
  </si>
  <si>
    <t>37.6</t>
  </si>
  <si>
    <t>40.6</t>
  </si>
  <si>
    <t>52.5</t>
  </si>
  <si>
    <t>19.7</t>
  </si>
  <si>
    <t>51.9</t>
  </si>
  <si>
    <t>39.2</t>
  </si>
  <si>
    <t>51.8</t>
  </si>
  <si>
    <t>36.9</t>
  </si>
  <si>
    <t>37.5</t>
  </si>
  <si>
    <t>52.9</t>
  </si>
  <si>
    <t>37.1</t>
  </si>
  <si>
    <t>19.4</t>
  </si>
  <si>
    <t>39.8</t>
  </si>
  <si>
    <t>55.6</t>
  </si>
  <si>
    <t>43.1</t>
  </si>
  <si>
    <t>58.1</t>
  </si>
  <si>
    <t>45.8</t>
  </si>
  <si>
    <t>60.3</t>
  </si>
  <si>
    <t>40.3</t>
  </si>
  <si>
    <t>20.4</t>
  </si>
  <si>
    <t>45.7</t>
  </si>
  <si>
    <t>60.5</t>
  </si>
  <si>
    <t>40.4</t>
  </si>
  <si>
    <t>20.6</t>
  </si>
  <si>
    <t>41.5</t>
  </si>
  <si>
    <t>52.2</t>
  </si>
  <si>
    <t>25.8</t>
  </si>
  <si>
    <t>15.8</t>
  </si>
  <si>
    <t>40.5</t>
  </si>
  <si>
    <t>50.6</t>
  </si>
  <si>
    <t>25.0</t>
  </si>
  <si>
    <t>15.9</t>
  </si>
  <si>
    <t>40.2</t>
  </si>
  <si>
    <t>48.8</t>
  </si>
  <si>
    <t>23.9</t>
  </si>
  <si>
    <t>47.1</t>
  </si>
  <si>
    <t>23.1</t>
  </si>
  <si>
    <t>39.5</t>
  </si>
  <si>
    <t>44.5</t>
  </si>
  <si>
    <t>22.1</t>
  </si>
  <si>
    <t>15.6</t>
  </si>
  <si>
    <t>42.7</t>
  </si>
  <si>
    <t>21.8</t>
  </si>
  <si>
    <t>15.1</t>
  </si>
  <si>
    <t>41.9</t>
  </si>
  <si>
    <t>21.9</t>
  </si>
  <si>
    <t>14.7</t>
  </si>
  <si>
    <t>34.7</t>
  </si>
  <si>
    <t>22.6</t>
  </si>
  <si>
    <t>35.5</t>
  </si>
  <si>
    <t>22.4</t>
  </si>
  <si>
    <t>14.9</t>
  </si>
  <si>
    <t>35.8</t>
  </si>
  <si>
    <t>21.4</t>
  </si>
  <si>
    <t>33.8</t>
  </si>
  <si>
    <t>15.0</t>
  </si>
  <si>
    <t>31.7</t>
  </si>
  <si>
    <t>32.7</t>
  </si>
  <si>
    <t>32.0</t>
  </si>
  <si>
    <t>17.6</t>
  </si>
  <si>
    <t>33.9</t>
  </si>
  <si>
    <t>17.9</t>
  </si>
  <si>
    <t>33.6</t>
  </si>
  <si>
    <t>33.4</t>
  </si>
  <si>
    <t>14.6</t>
  </si>
  <si>
    <t>35.4</t>
  </si>
  <si>
    <t>18.4</t>
  </si>
  <si>
    <t>14.5</t>
  </si>
  <si>
    <t>30.6</t>
  </si>
  <si>
    <t>36.4</t>
  </si>
  <si>
    <t>19.0</t>
  </si>
  <si>
    <t>14.4</t>
  </si>
  <si>
    <t>30.5</t>
  </si>
  <si>
    <t>14.2</t>
  </si>
  <si>
    <t>41.1</t>
  </si>
  <si>
    <t>21.6</t>
  </si>
  <si>
    <t>14.1</t>
  </si>
  <si>
    <t>44.6</t>
  </si>
  <si>
    <t>23.5</t>
  </si>
  <si>
    <t>35.9</t>
  </si>
  <si>
    <t>47.5</t>
  </si>
  <si>
    <t>24.8</t>
  </si>
  <si>
    <t>14.3</t>
  </si>
  <si>
    <t>24.4</t>
  </si>
  <si>
    <t>34.2</t>
  </si>
  <si>
    <t>43.7</t>
  </si>
  <si>
    <t>22.8</t>
  </si>
  <si>
    <t>40.7</t>
  </si>
  <si>
    <t>21.5</t>
  </si>
  <si>
    <t>32.6</t>
  </si>
  <si>
    <t>40.1</t>
  </si>
  <si>
    <t>33.0</t>
  </si>
  <si>
    <t>21.7</t>
  </si>
  <si>
    <t>46.4</t>
  </si>
  <si>
    <t>17.5</t>
  </si>
  <si>
    <t>35.3</t>
  </si>
  <si>
    <t>49.0</t>
  </si>
  <si>
    <t>34.5</t>
  </si>
  <si>
    <t>45.0</t>
  </si>
  <si>
    <t>56.3</t>
  </si>
  <si>
    <t>37.7</t>
  </si>
  <si>
    <t>59.8</t>
  </si>
  <si>
    <t>19.2</t>
  </si>
  <si>
    <t>46.7</t>
  </si>
  <si>
    <t>56.9</t>
  </si>
  <si>
    <t>38.2</t>
  </si>
  <si>
    <t>34.8</t>
  </si>
  <si>
    <t>45.2</t>
  </si>
  <si>
    <t>33.5</t>
  </si>
  <si>
    <t>17.7</t>
  </si>
  <si>
    <t>32.5</t>
  </si>
  <si>
    <t>17.2</t>
  </si>
  <si>
    <t>46.8</t>
  </si>
  <si>
    <t>17.1</t>
  </si>
  <si>
    <t>17.4</t>
  </si>
  <si>
    <t>59.7</t>
  </si>
  <si>
    <t>38.3</t>
  </si>
  <si>
    <t>17.8</t>
  </si>
  <si>
    <t>60.8</t>
  </si>
  <si>
    <t>58.6</t>
  </si>
  <si>
    <t>53.3</t>
  </si>
  <si>
    <t>33.1</t>
  </si>
  <si>
    <t>47.6</t>
  </si>
  <si>
    <t>35.0</t>
  </si>
  <si>
    <t>33.3</t>
  </si>
  <si>
    <t>49.2</t>
  </si>
  <si>
    <t>36.0</t>
  </si>
  <si>
    <t>18.2</t>
  </si>
  <si>
    <t>43.2</t>
  </si>
  <si>
    <t>55.3</t>
  </si>
  <si>
    <t>36.6</t>
  </si>
  <si>
    <t>55.8</t>
  </si>
  <si>
    <t>42.0</t>
  </si>
  <si>
    <t>54.9</t>
  </si>
  <si>
    <t>39.6</t>
  </si>
  <si>
    <t>51.4</t>
  </si>
  <si>
    <t>35.6</t>
  </si>
  <si>
    <t>48.2</t>
  </si>
  <si>
    <t>38.0</t>
  </si>
  <si>
    <t>45.6</t>
  </si>
  <si>
    <t>39.4</t>
  </si>
  <si>
    <t>44.3</t>
  </si>
  <si>
    <t>34.1</t>
  </si>
  <si>
    <t>43.9</t>
  </si>
  <si>
    <t>36.5</t>
  </si>
  <si>
    <t>50.3</t>
  </si>
  <si>
    <t>57.7</t>
  </si>
  <si>
    <t>58.3</t>
  </si>
  <si>
    <t>68.3</t>
  </si>
  <si>
    <t>44.7</t>
  </si>
  <si>
    <t>67.4</t>
  </si>
  <si>
    <t>45.5</t>
  </si>
  <si>
    <t>65.9</t>
  </si>
  <si>
    <t>218.0</t>
  </si>
  <si>
    <t>69.4</t>
  </si>
  <si>
    <t>58.5</t>
  </si>
  <si>
    <t>55.1</t>
  </si>
  <si>
    <t>36.8</t>
  </si>
  <si>
    <t>55.5</t>
  </si>
  <si>
    <t>36.3</t>
  </si>
  <si>
    <t>57.5</t>
  </si>
  <si>
    <t>59.2</t>
  </si>
  <si>
    <t>57.4</t>
  </si>
  <si>
    <t>37.0</t>
  </si>
  <si>
    <t>55.2</t>
  </si>
  <si>
    <t>54.2</t>
  </si>
  <si>
    <t>49.8</t>
  </si>
  <si>
    <t>48.6</t>
  </si>
  <si>
    <t>41.4</t>
  </si>
  <si>
    <t>64.4</t>
  </si>
  <si>
    <t>29.8</t>
  </si>
  <si>
    <t>28.4</t>
  </si>
  <si>
    <t>46.2</t>
  </si>
  <si>
    <t>32.4</t>
  </si>
  <si>
    <t>26.6</t>
  </si>
  <si>
    <t>17.0</t>
  </si>
  <si>
    <t>29.4</t>
  </si>
  <si>
    <t>26.1</t>
  </si>
  <si>
    <t>16.9</t>
  </si>
  <si>
    <t>28.6</t>
  </si>
  <si>
    <t>25.7</t>
  </si>
  <si>
    <t>16.7</t>
  </si>
  <si>
    <t>30.1</t>
  </si>
  <si>
    <t>25.5</t>
  </si>
  <si>
    <t>16.5</t>
  </si>
  <si>
    <t>28.9</t>
  </si>
  <si>
    <t>29.1</t>
  </si>
  <si>
    <t>25.9</t>
  </si>
  <si>
    <t>29.5</t>
  </si>
  <si>
    <t>27.3</t>
  </si>
  <si>
    <t>31.5</t>
  </si>
  <si>
    <t>36.2</t>
  </si>
  <si>
    <t>27.2</t>
  </si>
  <si>
    <t>34.4</t>
  </si>
  <si>
    <t>26.4</t>
  </si>
  <si>
    <t>25.4</t>
  </si>
  <si>
    <t>16.8</t>
  </si>
  <si>
    <t>32.2</t>
  </si>
  <si>
    <t>24.3</t>
  </si>
  <si>
    <t>16.6</t>
  </si>
  <si>
    <t>31.2</t>
  </si>
  <si>
    <t>23.4</t>
  </si>
  <si>
    <t>16.4</t>
  </si>
  <si>
    <t>23.7</t>
  </si>
  <si>
    <t>25.6</t>
  </si>
  <si>
    <t>28.0</t>
  </si>
  <si>
    <t>29.2</t>
  </si>
  <si>
    <t>28.7</t>
  </si>
  <si>
    <t>17.3</t>
  </si>
  <si>
    <t>26.9</t>
  </si>
  <si>
    <t>33.2</t>
  </si>
  <si>
    <t>26.5</t>
  </si>
  <si>
    <t>26.2</t>
  </si>
  <si>
    <t>26.0</t>
  </si>
  <si>
    <t>26.3</t>
  </si>
  <si>
    <t>31.0</t>
  </si>
  <si>
    <t>23.8</t>
  </si>
  <si>
    <t>16.2</t>
  </si>
  <si>
    <t>22.3</t>
  </si>
  <si>
    <t>20.9</t>
  </si>
  <si>
    <t>21.1</t>
  </si>
  <si>
    <t>15.5</t>
  </si>
  <si>
    <t>99.4</t>
  </si>
  <si>
    <t>22.9</t>
  </si>
  <si>
    <t>15.3</t>
  </si>
  <si>
    <t>22.2</t>
  </si>
  <si>
    <t>15.2</t>
  </si>
  <si>
    <t>21.3</t>
  </si>
  <si>
    <t>21.2</t>
  </si>
  <si>
    <t>16.3</t>
  </si>
  <si>
    <t>12.5</t>
  </si>
  <si>
    <t>12.6</t>
  </si>
  <si>
    <t>22.5</t>
  </si>
  <si>
    <t>12.4</t>
  </si>
  <si>
    <t>22.0</t>
  </si>
  <si>
    <t>14.8</t>
  </si>
  <si>
    <t>12.2</t>
  </si>
  <si>
    <t>23.3</t>
  </si>
  <si>
    <t>23.6</t>
  </si>
  <si>
    <t>23.2</t>
  </si>
  <si>
    <t>12.1</t>
  </si>
  <si>
    <t>12.0</t>
  </si>
  <si>
    <t>20.8</t>
  </si>
  <si>
    <t>20.5</t>
  </si>
  <si>
    <t>14.0</t>
  </si>
  <si>
    <t>20.3</t>
  </si>
  <si>
    <t>12.7</t>
  </si>
  <si>
    <t>12.8</t>
  </si>
  <si>
    <t>12.3</t>
  </si>
  <si>
    <t>10.4</t>
  </si>
  <si>
    <t>10.2</t>
  </si>
  <si>
    <t>10.0</t>
  </si>
  <si>
    <t>8.3</t>
  </si>
  <si>
    <t>49.1</t>
  </si>
  <si>
    <t>10.1</t>
  </si>
  <si>
    <t>8.4</t>
  </si>
  <si>
    <t>10.3</t>
  </si>
  <si>
    <t>48.9</t>
  </si>
  <si>
    <t>8.2</t>
  </si>
  <si>
    <t>8.1</t>
  </si>
  <si>
    <t>48.3</t>
  </si>
  <si>
    <t>48.1</t>
  </si>
  <si>
    <t>8.0</t>
  </si>
  <si>
    <t>10.8</t>
  </si>
  <si>
    <t>10.6</t>
  </si>
  <si>
    <t>50.0</t>
  </si>
  <si>
    <t>11.1</t>
  </si>
  <si>
    <t>11.3</t>
  </si>
  <si>
    <t>11.2</t>
  </si>
  <si>
    <t>11.6</t>
  </si>
  <si>
    <t>11.0</t>
  </si>
  <si>
    <t>52.0</t>
  </si>
  <si>
    <t>11.5</t>
  </si>
  <si>
    <t>10.9</t>
  </si>
  <si>
    <t>51.7</t>
  </si>
  <si>
    <t>10.7</t>
  </si>
  <si>
    <t>50.9</t>
  </si>
  <si>
    <t>10.5</t>
  </si>
  <si>
    <t>48.7</t>
  </si>
  <si>
    <t>49.7</t>
  </si>
  <si>
    <t>51.1</t>
  </si>
  <si>
    <t>11.4</t>
  </si>
  <si>
    <t>13.3</t>
  </si>
  <si>
    <t>13.2</t>
  </si>
  <si>
    <t>16.0</t>
  </si>
  <si>
    <t>64.8</t>
  </si>
  <si>
    <t>13.4</t>
  </si>
  <si>
    <t>16.1</t>
  </si>
  <si>
    <t>66.8</t>
  </si>
  <si>
    <t>13.6</t>
  </si>
  <si>
    <t>69.3</t>
  </si>
  <si>
    <t>13.8</t>
  </si>
  <si>
    <t>13.9</t>
  </si>
  <si>
    <t>69.5</t>
  </si>
  <si>
    <t>66.7</t>
  </si>
  <si>
    <t>65.1</t>
  </si>
  <si>
    <t>13.0</t>
  </si>
  <si>
    <t>65.8</t>
  </si>
  <si>
    <t>15.4</t>
  </si>
  <si>
    <t>18.6</t>
  </si>
  <si>
    <t>13.5</t>
  </si>
  <si>
    <t>22.7</t>
  </si>
  <si>
    <t>28.8</t>
  </si>
  <si>
    <t>27.6</t>
  </si>
  <si>
    <t>30.2</t>
  </si>
  <si>
    <t>30.4</t>
  </si>
  <si>
    <t>13.7</t>
  </si>
  <si>
    <t>30.9</t>
  </si>
  <si>
    <t>25.3</t>
  </si>
  <si>
    <t>32.3</t>
  </si>
  <si>
    <t>27.5</t>
  </si>
  <si>
    <t>27.1</t>
  </si>
  <si>
    <t>31.4</t>
  </si>
  <si>
    <t>30.0</t>
  </si>
  <si>
    <t>24.9</t>
  </si>
  <si>
    <t>32.9</t>
  </si>
  <si>
    <t>24.6</t>
  </si>
  <si>
    <t>26.7</t>
  </si>
  <si>
    <t>32.1</t>
  </si>
  <si>
    <t>15.7</t>
  </si>
  <si>
    <t>39.3</t>
  </si>
  <si>
    <t>34.9</t>
  </si>
  <si>
    <t>38.6</t>
  </si>
  <si>
    <t>46.3</t>
  </si>
  <si>
    <t>40.0</t>
  </si>
  <si>
    <t>44.2</t>
  </si>
  <si>
    <t>42.3</t>
  </si>
  <si>
    <t>42.5</t>
  </si>
  <si>
    <t>39.7</t>
  </si>
  <si>
    <t>42.6</t>
  </si>
  <si>
    <t>44.0</t>
  </si>
  <si>
    <t>38.5</t>
  </si>
  <si>
    <t>44.9</t>
  </si>
  <si>
    <t>46.1</t>
  </si>
  <si>
    <t>48.0</t>
  </si>
  <si>
    <t>37.3</t>
  </si>
  <si>
    <t>43.5</t>
  </si>
  <si>
    <t>43.0</t>
  </si>
  <si>
    <t>43.6</t>
  </si>
  <si>
    <t>51.6</t>
  </si>
  <si>
    <t>38.8</t>
  </si>
  <si>
    <t>47.8</t>
  </si>
  <si>
    <t>61.0</t>
  </si>
  <si>
    <t>41.3</t>
  </si>
  <si>
    <t>62.8</t>
  </si>
  <si>
    <t>42.2</t>
  </si>
  <si>
    <t>57.3</t>
  </si>
  <si>
    <t>64.9</t>
  </si>
  <si>
    <t>67.5</t>
  </si>
  <si>
    <t>44.1</t>
  </si>
  <si>
    <t>69.0</t>
  </si>
  <si>
    <t>44.4</t>
  </si>
  <si>
    <t>68.8</t>
  </si>
  <si>
    <t>66.3</t>
  </si>
  <si>
    <t>62.6</t>
  </si>
  <si>
    <t>61.6</t>
  </si>
  <si>
    <t>63.7</t>
  </si>
  <si>
    <t>64.5</t>
  </si>
  <si>
    <t>41.0</t>
  </si>
  <si>
    <t>62.5</t>
  </si>
  <si>
    <t>40.8</t>
  </si>
  <si>
    <t>59.5</t>
  </si>
  <si>
    <t>18.9</t>
  </si>
  <si>
    <t>54.0</t>
  </si>
  <si>
    <t>64.2</t>
  </si>
  <si>
    <t>51.2</t>
  </si>
  <si>
    <t>61.3</t>
  </si>
  <si>
    <t>66.4</t>
  </si>
  <si>
    <t>52.3</t>
  </si>
  <si>
    <t>54.1</t>
  </si>
  <si>
    <t>53.0</t>
  </si>
  <si>
    <t>50.5</t>
  </si>
  <si>
    <t>45.9</t>
  </si>
  <si>
    <t>50.8</t>
  </si>
  <si>
    <t>50.2</t>
  </si>
  <si>
    <t>67.0</t>
  </si>
  <si>
    <t>50.4</t>
  </si>
  <si>
    <t>60.1</t>
  </si>
  <si>
    <t>54.6</t>
  </si>
  <si>
    <t>47.0</t>
  </si>
  <si>
    <t>20.7</t>
  </si>
  <si>
    <t>50.1</t>
  </si>
  <si>
    <t>57.0</t>
  </si>
  <si>
    <t>56.7</t>
  </si>
  <si>
    <t>57.2</t>
  </si>
  <si>
    <t>61.4</t>
  </si>
  <si>
    <t>61.1</t>
  </si>
  <si>
    <t>62.4</t>
  </si>
  <si>
    <t>21.0</t>
  </si>
  <si>
    <t>63.2</t>
  </si>
  <si>
    <t>63.6</t>
  </si>
  <si>
    <t>62.2</t>
  </si>
  <si>
    <t>42.8</t>
  </si>
  <si>
    <t>61.2</t>
  </si>
  <si>
    <t>58.8</t>
  </si>
  <si>
    <t>41.8</t>
  </si>
  <si>
    <t>55.4</t>
  </si>
  <si>
    <t>60.0</t>
  </si>
  <si>
    <t>56.5</t>
  </si>
  <si>
    <t>53.6</t>
  </si>
  <si>
    <t>59.6</t>
  </si>
  <si>
    <t>61.7</t>
  </si>
  <si>
    <t>62.9</t>
  </si>
  <si>
    <t>64.3</t>
  </si>
  <si>
    <t>55.7</t>
  </si>
  <si>
    <t>51.3</t>
  </si>
  <si>
    <t>44.8</t>
  </si>
  <si>
    <t>58.2</t>
  </si>
  <si>
    <t>55.9</t>
  </si>
  <si>
    <t>41.6</t>
  </si>
  <si>
    <t>56.8</t>
  </si>
  <si>
    <t>31.1</t>
  </si>
  <si>
    <t>29.0</t>
  </si>
  <si>
    <t>24.1</t>
  </si>
  <si>
    <t>23.0</t>
  </si>
  <si>
    <t>46.0</t>
  </si>
  <si>
    <t>26.8</t>
  </si>
  <si>
    <t>51.0</t>
  </si>
  <si>
    <t>45.4</t>
  </si>
  <si>
    <t>49.5</t>
  </si>
  <si>
    <t>47.9</t>
  </si>
  <si>
    <t>46.6</t>
  </si>
  <si>
    <t>59.3</t>
  </si>
  <si>
    <t>56.0</t>
  </si>
  <si>
    <t>54.4</t>
  </si>
  <si>
    <t>45.3</t>
  </si>
  <si>
    <t>46.9</t>
  </si>
  <si>
    <t>47.4</t>
  </si>
  <si>
    <t>53.8</t>
  </si>
  <si>
    <t>56.1</t>
  </si>
  <si>
    <t>85.1</t>
  </si>
  <si>
    <t>57.1</t>
  </si>
  <si>
    <t>27.9</t>
  </si>
  <si>
    <t>27.7</t>
  </si>
  <si>
    <t>25.1</t>
  </si>
  <si>
    <t>105.7</t>
  </si>
  <si>
    <t>24.2</t>
  </si>
  <si>
    <t>12.9</t>
  </si>
  <si>
    <t>24.5</t>
  </si>
  <si>
    <t>51.5</t>
  </si>
  <si>
    <t>53.7</t>
  </si>
  <si>
    <t>52.4</t>
  </si>
  <si>
    <t>11.7</t>
  </si>
  <si>
    <t>8.5</t>
  </si>
  <si>
    <t>8.6</t>
  </si>
  <si>
    <t>52.6</t>
  </si>
  <si>
    <t>11.8</t>
  </si>
  <si>
    <t>68.4</t>
  </si>
  <si>
    <t>66.2</t>
  </si>
  <si>
    <t>13.1</t>
  </si>
  <si>
    <t>65.2</t>
  </si>
  <si>
    <t>64.0</t>
  </si>
  <si>
    <t>65.3</t>
  </si>
  <si>
    <t>63.8</t>
  </si>
  <si>
    <t>67.9</t>
  </si>
  <si>
    <t>29.3</t>
  </si>
  <si>
    <t>104.1</t>
  </si>
  <si>
    <t>29.9</t>
  </si>
  <si>
    <t>41.2</t>
  </si>
  <si>
    <t>41.7</t>
  </si>
  <si>
    <t>52.7</t>
  </si>
  <si>
    <t>54.3</t>
  </si>
  <si>
    <t>49.6</t>
  </si>
  <si>
    <t>57.9</t>
  </si>
  <si>
    <t>53.2</t>
  </si>
  <si>
    <t>62.1</t>
  </si>
  <si>
    <t>49.3</t>
  </si>
  <si>
    <t>60.7</t>
  </si>
  <si>
    <t>63.3</t>
  </si>
  <si>
    <t>54.7</t>
  </si>
  <si>
    <t>54.8</t>
  </si>
  <si>
    <t>64.1</t>
  </si>
  <si>
    <t>63.5</t>
  </si>
  <si>
    <t>60.6</t>
  </si>
  <si>
    <t>61.8</t>
  </si>
  <si>
    <t>63.4</t>
  </si>
  <si>
    <t>58.9</t>
  </si>
  <si>
    <t>56.2</t>
  </si>
  <si>
    <t>54.5</t>
  </si>
  <si>
    <t>65.7</t>
  </si>
  <si>
    <t>59.4</t>
  </si>
  <si>
    <t>43.4</t>
  </si>
  <si>
    <t>47.7</t>
  </si>
  <si>
    <t>47.2</t>
  </si>
  <si>
    <t>30.7</t>
  </si>
  <si>
    <t>24.7</t>
  </si>
  <si>
    <t>30.3</t>
  </si>
  <si>
    <t>106.5</t>
  </si>
  <si>
    <t>100.9</t>
  </si>
  <si>
    <t>57.6</t>
  </si>
  <si>
    <t>66.9</t>
  </si>
  <si>
    <t>66.1</t>
  </si>
  <si>
    <t>119.1</t>
  </si>
  <si>
    <t>46.5</t>
  </si>
  <si>
    <t>58.4</t>
  </si>
  <si>
    <t>66.5</t>
  </si>
  <si>
    <t>60.4</t>
  </si>
  <si>
    <t>66.0</t>
  </si>
  <si>
    <t>59.9</t>
  </si>
  <si>
    <t>59.0</t>
  </si>
  <si>
    <t>57.8</t>
  </si>
  <si>
    <t>65.4</t>
  </si>
  <si>
    <t>63.1</t>
  </si>
  <si>
    <t>60.2</t>
  </si>
  <si>
    <t>58.0</t>
  </si>
  <si>
    <t>61.5</t>
  </si>
  <si>
    <t>59.1</t>
  </si>
  <si>
    <t>68.9</t>
  </si>
  <si>
    <t>62.7</t>
  </si>
  <si>
    <t>28.3</t>
  </si>
  <si>
    <t>28.5</t>
  </si>
  <si>
    <t>8.8</t>
  </si>
  <si>
    <t>52.1</t>
  </si>
  <si>
    <t>58.7</t>
  </si>
  <si>
    <t>100.3</t>
  </si>
  <si>
    <t>65.5</t>
  </si>
  <si>
    <t>60.9</t>
  </si>
  <si>
    <t>55.0</t>
  </si>
  <si>
    <t>67.6</t>
  </si>
  <si>
    <t>61.9</t>
  </si>
  <si>
    <t>63.9</t>
  </si>
  <si>
    <t>65.0</t>
  </si>
  <si>
    <t>65.6</t>
  </si>
  <si>
    <t>69.2</t>
  </si>
  <si>
    <t>105.9</t>
  </si>
  <si>
    <t>98.4</t>
  </si>
  <si>
    <t>64.7</t>
  </si>
  <si>
    <t>66.6</t>
  </si>
  <si>
    <t>111.6</t>
  </si>
  <si>
    <t>105.5</t>
  </si>
  <si>
    <t>62.0</t>
  </si>
  <si>
    <t>68.2</t>
  </si>
  <si>
    <t>106.4</t>
  </si>
  <si>
    <t>102.1</t>
  </si>
  <si>
    <t>62.3</t>
  </si>
  <si>
    <t>97.3</t>
  </si>
  <si>
    <t>68.1</t>
  </si>
  <si>
    <t>68.7</t>
  </si>
  <si>
    <t>64.6</t>
  </si>
  <si>
    <t>98.6</t>
  </si>
  <si>
    <t>140.6</t>
  </si>
  <si>
    <t>104.3</t>
  </si>
  <si>
    <t>196.6</t>
  </si>
  <si>
    <t>63.0</t>
  </si>
  <si>
    <t>138.8</t>
  </si>
  <si>
    <t>103.5</t>
  </si>
  <si>
    <t>102.6</t>
  </si>
  <si>
    <t>217.5</t>
  </si>
  <si>
    <t>256.6</t>
  </si>
  <si>
    <t>105.0</t>
  </si>
  <si>
    <t>200.1</t>
  </si>
  <si>
    <t>224.9</t>
  </si>
  <si>
    <t>223.9</t>
  </si>
  <si>
    <t>241.3</t>
  </si>
  <si>
    <t>244.1</t>
  </si>
  <si>
    <t>247.0</t>
  </si>
  <si>
    <t>255.1</t>
  </si>
  <si>
    <t>241.2</t>
  </si>
  <si>
    <t>211.8</t>
  </si>
  <si>
    <t>218.5</t>
  </si>
  <si>
    <t>224.0</t>
  </si>
  <si>
    <t>242.9</t>
  </si>
  <si>
    <t>253.9</t>
  </si>
  <si>
    <t>242.1</t>
  </si>
  <si>
    <t>241.9</t>
  </si>
  <si>
    <t>244.6</t>
  </si>
  <si>
    <t>245.8</t>
  </si>
  <si>
    <t>269.5</t>
  </si>
  <si>
    <t>227.4</t>
  </si>
  <si>
    <t>267.6</t>
  </si>
  <si>
    <t>251.0</t>
  </si>
  <si>
    <t>225.0</t>
  </si>
  <si>
    <t>266.5</t>
  </si>
  <si>
    <t>189.6</t>
  </si>
  <si>
    <t>230.2</t>
  </si>
  <si>
    <t>261.6</t>
  </si>
  <si>
    <t>265.6</t>
  </si>
  <si>
    <t>234.0</t>
  </si>
  <si>
    <t>202.2</t>
  </si>
  <si>
    <t>249.9</t>
  </si>
  <si>
    <t>249.0</t>
  </si>
  <si>
    <t>235.2</t>
  </si>
  <si>
    <t>226.2</t>
  </si>
  <si>
    <t>206.6</t>
  </si>
  <si>
    <t>221.8</t>
  </si>
  <si>
    <t>263.6</t>
  </si>
  <si>
    <t>269.8</t>
  </si>
  <si>
    <t>268.1</t>
  </si>
  <si>
    <t>257.1</t>
  </si>
  <si>
    <t>212.1</t>
  </si>
  <si>
    <t>258.4</t>
  </si>
  <si>
    <t>270.9</t>
  </si>
  <si>
    <t>260.0</t>
  </si>
  <si>
    <t>236.4</t>
  </si>
  <si>
    <t>239.5</t>
  </si>
  <si>
    <t>253.2</t>
  </si>
  <si>
    <t>260.9</t>
  </si>
  <si>
    <t>228.5</t>
  </si>
  <si>
    <t>247.7</t>
  </si>
  <si>
    <t>254.1</t>
  </si>
  <si>
    <t>207.6</t>
  </si>
  <si>
    <t>256.3</t>
  </si>
  <si>
    <t>207.5</t>
  </si>
  <si>
    <t>234.4</t>
  </si>
  <si>
    <t>224.6</t>
  </si>
  <si>
    <t>270.1</t>
  </si>
  <si>
    <t>243.9</t>
  </si>
  <si>
    <t>207.7</t>
  </si>
  <si>
    <t>261.8</t>
  </si>
  <si>
    <t>249.3</t>
  </si>
  <si>
    <t>227.6</t>
  </si>
  <si>
    <t>249.8</t>
  </si>
  <si>
    <t>272.7</t>
  </si>
  <si>
    <t>237.4</t>
  </si>
  <si>
    <t>114.5</t>
  </si>
  <si>
    <t>252.8</t>
  </si>
  <si>
    <t>201.5</t>
  </si>
  <si>
    <t>225.5</t>
  </si>
  <si>
    <t>241.5</t>
  </si>
  <si>
    <t>200.4</t>
  </si>
  <si>
    <t>253.1</t>
  </si>
  <si>
    <t>224.8</t>
  </si>
  <si>
    <t>98.5</t>
  </si>
  <si>
    <t>237.2</t>
  </si>
  <si>
    <t>225.4</t>
  </si>
  <si>
    <t>298.6</t>
  </si>
  <si>
    <t>270.0</t>
  </si>
  <si>
    <t>238.3</t>
  </si>
  <si>
    <t>232.8</t>
  </si>
  <si>
    <t>214.8</t>
  </si>
  <si>
    <t>234.2</t>
  </si>
  <si>
    <t>264.3</t>
  </si>
  <si>
    <t>274.1</t>
  </si>
  <si>
    <t>268.9</t>
  </si>
  <si>
    <t>times</t>
  </si>
  <si>
    <t>Lubi(1)</t>
  </si>
  <si>
    <t>Lukeshi</t>
  </si>
  <si>
    <t>Bi(A)</t>
  </si>
  <si>
    <t>Lupaka</t>
  </si>
  <si>
    <t>Junction</t>
  </si>
  <si>
    <t>289.3</t>
  </si>
  <si>
    <t>311.5</t>
  </si>
  <si>
    <t>298.9</t>
  </si>
  <si>
    <t>269.7</t>
  </si>
  <si>
    <t>241.8</t>
  </si>
  <si>
    <t>243.6</t>
  </si>
  <si>
    <t>247.6</t>
  </si>
  <si>
    <t>252.9</t>
  </si>
  <si>
    <t>255.8</t>
  </si>
  <si>
    <t>243.8</t>
  </si>
  <si>
    <t>247.8</t>
  </si>
  <si>
    <t>238.5</t>
  </si>
  <si>
    <t>233.2</t>
  </si>
  <si>
    <t>238.4</t>
  </si>
  <si>
    <t>261.3</t>
  </si>
  <si>
    <t>265.7</t>
  </si>
  <si>
    <t>251.9</t>
  </si>
  <si>
    <t>246.5</t>
  </si>
  <si>
    <t>252.6</t>
  </si>
  <si>
    <t>240.1</t>
  </si>
  <si>
    <t>279.1</t>
  </si>
  <si>
    <t>264.4</t>
  </si>
  <si>
    <t>268.4</t>
  </si>
  <si>
    <t>256.7</t>
  </si>
  <si>
    <t>251.5</t>
  </si>
  <si>
    <t>259.6</t>
  </si>
  <si>
    <t>254.6</t>
  </si>
  <si>
    <t>285.7</t>
  </si>
  <si>
    <t>299.0</t>
  </si>
  <si>
    <t>299.4</t>
  </si>
  <si>
    <t>268.3</t>
  </si>
  <si>
    <t>246.9</t>
  </si>
  <si>
    <t>251.3</t>
  </si>
  <si>
    <t>269.9</t>
  </si>
  <si>
    <t>282.6</t>
  </si>
  <si>
    <t>283.8</t>
  </si>
  <si>
    <t>258.9</t>
  </si>
  <si>
    <t>275.0</t>
  </si>
  <si>
    <t>271.6</t>
  </si>
  <si>
    <t>282.7</t>
  </si>
  <si>
    <t>287.4</t>
  </si>
  <si>
    <t>265.1</t>
  </si>
  <si>
    <t>250.8</t>
  </si>
  <si>
    <t>253.8</t>
  </si>
  <si>
    <t>256.5</t>
  </si>
  <si>
    <t>260.4</t>
  </si>
  <si>
    <t>247.2</t>
  </si>
  <si>
    <t>272.5</t>
  </si>
  <si>
    <t>251.8</t>
  </si>
  <si>
    <t>256.9</t>
  </si>
  <si>
    <t>262.3</t>
  </si>
  <si>
    <t>274.0</t>
  </si>
  <si>
    <t>270.3</t>
  </si>
  <si>
    <t>258.0</t>
  </si>
  <si>
    <t>274.5</t>
  </si>
  <si>
    <t>278.5</t>
  </si>
  <si>
    <t>279.7</t>
  </si>
  <si>
    <t>284.2</t>
  </si>
  <si>
    <t>284.4</t>
  </si>
  <si>
    <t>202.7</t>
  </si>
  <si>
    <t>262.0</t>
  </si>
  <si>
    <t>251.1</t>
  </si>
  <si>
    <t>262.1</t>
  </si>
  <si>
    <t>278.2</t>
  </si>
  <si>
    <t>282.4</t>
  </si>
  <si>
    <t>273.8</t>
  </si>
  <si>
    <t>273.4</t>
  </si>
  <si>
    <t>292.4</t>
  </si>
  <si>
    <t>298.3</t>
  </si>
  <si>
    <t>295.8</t>
  </si>
  <si>
    <t>287.1</t>
  </si>
  <si>
    <t>289.7</t>
  </si>
  <si>
    <t>299.8</t>
  </si>
  <si>
    <t>292.8</t>
  </si>
  <si>
    <t>286.6</t>
  </si>
  <si>
    <t>271.3</t>
  </si>
  <si>
    <t>277.3</t>
  </si>
  <si>
    <t>276.4</t>
  </si>
  <si>
    <t>275.2</t>
  </si>
  <si>
    <t>241.4</t>
  </si>
  <si>
    <t>265.8</t>
  </si>
  <si>
    <t>263.8</t>
  </si>
  <si>
    <t>277.2</t>
  </si>
  <si>
    <t>257.5</t>
  </si>
  <si>
    <t>250.7</t>
  </si>
  <si>
    <t>296.7</t>
  </si>
  <si>
    <t>292.7</t>
  </si>
  <si>
    <t>268.0</t>
  </si>
  <si>
    <t>275.4</t>
  </si>
  <si>
    <t>287.5</t>
  </si>
  <si>
    <t>306.1</t>
  </si>
  <si>
    <t>309.4</t>
  </si>
  <si>
    <t>300.4</t>
  </si>
  <si>
    <t>283.2</t>
  </si>
  <si>
    <t>280.8</t>
  </si>
  <si>
    <t>278.1</t>
  </si>
  <si>
    <t>280.7</t>
  </si>
  <si>
    <t>263.0</t>
  </si>
  <si>
    <t>261.4</t>
  </si>
  <si>
    <t>266.8</t>
  </si>
  <si>
    <t>274.4</t>
  </si>
  <si>
    <t>lubi(2)</t>
  </si>
  <si>
    <t>Étiquettes de lignes</t>
  </si>
  <si>
    <t>Total général</t>
  </si>
  <si>
    <t>Saison sèche</t>
  </si>
  <si>
    <t>Saison Pluvieuse</t>
  </si>
  <si>
    <t>Saison pluvieuse(1,5m)</t>
  </si>
  <si>
    <t>285.8</t>
  </si>
  <si>
    <t>281.8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</si>
  <si>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</si>
  <si>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</si>
  <si>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</si>
  <si>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</si>
  <si>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</si>
  <si>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</si>
  <si>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</si>
  <si>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</si>
  <si>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</si>
  <si>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</si>
  <si>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</si>
  <si>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</si>
  <si>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</si>
  <si>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</si>
  <si>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</si>
  <si>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 xml:space="preserve"> </t>
  </si>
  <si>
    <t>Qsim</t>
  </si>
  <si>
    <t>9.3</t>
  </si>
  <si>
    <t>9.6</t>
  </si>
  <si>
    <t>9.9</t>
  </si>
  <si>
    <t>9.7</t>
  </si>
  <si>
    <t>9.4</t>
  </si>
  <si>
    <t>9.2</t>
  </si>
  <si>
    <t>9.1</t>
  </si>
  <si>
    <t>9.5</t>
  </si>
  <si>
    <t>9.8</t>
  </si>
  <si>
    <t>9.0</t>
  </si>
  <si>
    <t>H 1,3m</t>
  </si>
  <si>
    <t>1,5m</t>
  </si>
  <si>
    <t>1m(Etiage)</t>
  </si>
  <si>
    <t>jours/année</t>
  </si>
  <si>
    <t>Année</t>
  </si>
  <si>
    <t>Decembre</t>
  </si>
  <si>
    <t>Novembre</t>
  </si>
  <si>
    <t>Octobre</t>
  </si>
  <si>
    <t>Septembre</t>
  </si>
  <si>
    <t>Aout</t>
  </si>
  <si>
    <t>Juillet</t>
  </si>
  <si>
    <t>Juin</t>
  </si>
  <si>
    <t>Mai</t>
  </si>
  <si>
    <t>Avril</t>
  </si>
  <si>
    <t>Mars</t>
  </si>
  <si>
    <t>Fevrier</t>
  </si>
  <si>
    <t>Janvier</t>
  </si>
  <si>
    <t>Jours</t>
  </si>
  <si>
    <t>Mois</t>
  </si>
  <si>
    <t>Seche</t>
  </si>
  <si>
    <t>Nombre jours/année</t>
  </si>
  <si>
    <t>NOMBRE  JOURS</t>
  </si>
  <si>
    <t>Nombre de jours</t>
  </si>
  <si>
    <t>DATE</t>
  </si>
  <si>
    <t>Débit</t>
  </si>
  <si>
    <t>Date</t>
  </si>
  <si>
    <t>1,2m(Etiage)</t>
  </si>
  <si>
    <t>Saison Pluie</t>
  </si>
  <si>
    <t xml:space="preserve">Total </t>
  </si>
  <si>
    <t>H≥1,2m (Saison Pluie)</t>
  </si>
  <si>
    <r>
      <rPr>
        <sz val="11"/>
        <color theme="1"/>
        <rFont val="Calibri"/>
        <family val="2"/>
      </rPr>
      <t>H≥</t>
    </r>
    <r>
      <rPr>
        <sz val="11"/>
        <color theme="1"/>
        <rFont val="Calibri"/>
        <family val="2"/>
        <scheme val="minor"/>
      </rPr>
      <t>1,2m (Saison sèche)</t>
    </r>
  </si>
  <si>
    <t>Février</t>
  </si>
  <si>
    <t>Août</t>
  </si>
  <si>
    <t>Décembre</t>
  </si>
  <si>
    <t>Qmoyennes</t>
  </si>
  <si>
    <t>Tirrant</t>
  </si>
  <si>
    <t>Q</t>
  </si>
  <si>
    <t>Débits</t>
  </si>
  <si>
    <t xml:space="preserve">Total Occurance </t>
  </si>
  <si>
    <t>%CUM</t>
  </si>
  <si>
    <t>%</t>
  </si>
  <si>
    <t>Occurance</t>
  </si>
  <si>
    <t>Qsimulés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</si>
</sst>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[$-F800]dddd\,\ mmmm\ dd\,\ yyyy"/>
  </numFmts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medium">
        <color rgb="FFCCCCCC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6">
    <xf numFmtId="0" fontId="0" fillId="0" borderId="0" xfId="0"/>
    <xf numFmtId="20" fontId="0" fillId="0" borderId="0" xfId="0" applyNumberFormat="1"/>
    <xf numFmtId="1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4" fontId="1" fillId="0" borderId="1" xfId="0" applyNumberFormat="1" applyFont="1" applyFill="1" applyBorder="1" applyAlignment="1">
      <alignment horizontal="right" wrapText="1"/>
    </xf>
    <xf numFmtId="164" fontId="1" fillId="0" borderId="0" xfId="0" applyNumberFormat="1" applyFont="1" applyFill="1" applyBorder="1" applyAlignment="1">
      <alignment horizontal="right" wrapText="1"/>
    </xf>
    <xf numFmtId="14" fontId="0" fillId="0" borderId="0" xfId="0" applyNumberFormat="1"/>
    <xf numFmtId="165" fontId="0" fillId="0" borderId="2" xfId="0" applyNumberFormat="1" applyBorder="1"/>
    <xf numFmtId="14" fontId="0" fillId="2" borderId="0" xfId="0" applyNumberFormat="1" applyFill="1"/>
    <xf numFmtId="0" fontId="0" fillId="2" borderId="0" xfId="0" applyFill="1"/>
    <xf numFmtId="0" fontId="0" fillId="0" borderId="2" xfId="0" applyBorder="1"/>
    <xf numFmtId="2" fontId="0" fillId="0" borderId="0" xfId="0" applyNumberFormat="1"/>
    <xf numFmtId="0" fontId="3" fillId="3" borderId="3" xfId="0" applyNumberFormat="1" applyFont="1" applyFill="1" applyBorder="1"/>
    <xf numFmtId="0" fontId="3" fillId="3" borderId="4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424287615138232"/>
          <c:y val="0.17269538577334012"/>
          <c:w val="0.88442591374183022"/>
          <c:h val="0.58089487007603158"/>
        </c:manualLayout>
      </c:layout>
      <c:lineChart>
        <c:grouping val="standard"/>
        <c:varyColors val="0"/>
        <c:ser>
          <c:idx val="0"/>
          <c:order val="0"/>
          <c:tx>
            <c:strRef>
              <c:f>Qsim_DEC2022!$K$1</c:f>
              <c:strCache>
                <c:ptCount val="1"/>
                <c:pt idx="0">
                  <c:v>Débits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Qsim_DEC2022!$J$4:$J$5116</c:f>
              <c:strCache>
                <c:ptCount val="5111"/>
                <c:pt idx="0">
                  <c:v>03janv.2009</c:v>
                </c:pt>
                <c:pt idx="1">
                  <c:v>04janv.2009</c:v>
                </c:pt>
                <c:pt idx="2">
                  <c:v>05janv.2009</c:v>
                </c:pt>
                <c:pt idx="3">
                  <c:v>06janv.2009</c:v>
                </c:pt>
                <c:pt idx="4">
                  <c:v>07janv.2009</c:v>
                </c:pt>
                <c:pt idx="5">
                  <c:v>08janv.2009</c:v>
                </c:pt>
                <c:pt idx="6">
                  <c:v>09janv.2009</c:v>
                </c:pt>
                <c:pt idx="7">
                  <c:v>10janv.2009</c:v>
                </c:pt>
                <c:pt idx="8">
                  <c:v>11janv.2009</c:v>
                </c:pt>
                <c:pt idx="9">
                  <c:v>12janv.2009</c:v>
                </c:pt>
                <c:pt idx="10">
                  <c:v>13janv.2009</c:v>
                </c:pt>
                <c:pt idx="11">
                  <c:v>14janv.2009</c:v>
                </c:pt>
                <c:pt idx="12">
                  <c:v>15janv.2009</c:v>
                </c:pt>
                <c:pt idx="13">
                  <c:v>16janv.2009</c:v>
                </c:pt>
                <c:pt idx="14">
                  <c:v>17janv.2009</c:v>
                </c:pt>
                <c:pt idx="15">
                  <c:v>18janv.2009</c:v>
                </c:pt>
                <c:pt idx="16">
                  <c:v>19janv.2009</c:v>
                </c:pt>
                <c:pt idx="17">
                  <c:v>20janv.2009</c:v>
                </c:pt>
                <c:pt idx="18">
                  <c:v>21janv.2009</c:v>
                </c:pt>
                <c:pt idx="19">
                  <c:v>22janv.2009</c:v>
                </c:pt>
                <c:pt idx="20">
                  <c:v>23janv.2009</c:v>
                </c:pt>
                <c:pt idx="21">
                  <c:v>24janv.2009</c:v>
                </c:pt>
                <c:pt idx="22">
                  <c:v>25janv.2009</c:v>
                </c:pt>
                <c:pt idx="23">
                  <c:v>26janv.2009</c:v>
                </c:pt>
                <c:pt idx="24">
                  <c:v>27janv.2009</c:v>
                </c:pt>
                <c:pt idx="25">
                  <c:v>28janv.2009</c:v>
                </c:pt>
                <c:pt idx="26">
                  <c:v>29janv.2009</c:v>
                </c:pt>
                <c:pt idx="27">
                  <c:v>30janv.2009</c:v>
                </c:pt>
                <c:pt idx="28">
                  <c:v>31janv.2009</c:v>
                </c:pt>
                <c:pt idx="29">
                  <c:v>01févr.2009</c:v>
                </c:pt>
                <c:pt idx="30">
                  <c:v>02févr.2009</c:v>
                </c:pt>
                <c:pt idx="31">
                  <c:v>03févr.2009</c:v>
                </c:pt>
                <c:pt idx="32">
                  <c:v>04févr.2009</c:v>
                </c:pt>
                <c:pt idx="33">
                  <c:v>05févr.2009</c:v>
                </c:pt>
                <c:pt idx="34">
                  <c:v>06févr.2009</c:v>
                </c:pt>
                <c:pt idx="35">
                  <c:v>07févr.2009</c:v>
                </c:pt>
                <c:pt idx="36">
                  <c:v>08févr.2009</c:v>
                </c:pt>
                <c:pt idx="37">
                  <c:v>09févr.2009</c:v>
                </c:pt>
                <c:pt idx="38">
                  <c:v>10févr.2009</c:v>
                </c:pt>
                <c:pt idx="39">
                  <c:v>11févr.2009</c:v>
                </c:pt>
                <c:pt idx="40">
                  <c:v>12févr.2009</c:v>
                </c:pt>
                <c:pt idx="41">
                  <c:v>13févr.2009</c:v>
                </c:pt>
                <c:pt idx="42">
                  <c:v>14févr.2009</c:v>
                </c:pt>
                <c:pt idx="43">
                  <c:v>15févr.2009</c:v>
                </c:pt>
                <c:pt idx="44">
                  <c:v>16févr.2009</c:v>
                </c:pt>
                <c:pt idx="45">
                  <c:v>17févr.2009</c:v>
                </c:pt>
                <c:pt idx="46">
                  <c:v>18févr.2009</c:v>
                </c:pt>
                <c:pt idx="47">
                  <c:v>19févr.2009</c:v>
                </c:pt>
                <c:pt idx="48">
                  <c:v>20févr.2009</c:v>
                </c:pt>
                <c:pt idx="49">
                  <c:v>21févr.2009</c:v>
                </c:pt>
                <c:pt idx="50">
                  <c:v>22févr.2009</c:v>
                </c:pt>
                <c:pt idx="51">
                  <c:v>23févr.2009</c:v>
                </c:pt>
                <c:pt idx="52">
                  <c:v>24févr.2009</c:v>
                </c:pt>
                <c:pt idx="53">
                  <c:v>25févr.2009</c:v>
                </c:pt>
                <c:pt idx="54">
                  <c:v>26févr.2009</c:v>
                </c:pt>
                <c:pt idx="55">
                  <c:v>27févr.2009</c:v>
                </c:pt>
                <c:pt idx="56">
                  <c:v>28févr.2009</c:v>
                </c:pt>
                <c:pt idx="57">
                  <c:v>1-Mar-09</c:v>
                </c:pt>
                <c:pt idx="58">
                  <c:v>2-Mar-09</c:v>
                </c:pt>
                <c:pt idx="59">
                  <c:v>3-Mar-09</c:v>
                </c:pt>
                <c:pt idx="60">
                  <c:v>4-Mar-09</c:v>
                </c:pt>
                <c:pt idx="61">
                  <c:v>5-Mar-09</c:v>
                </c:pt>
                <c:pt idx="62">
                  <c:v>6-Mar-09</c:v>
                </c:pt>
                <c:pt idx="63">
                  <c:v>7-Mar-09</c:v>
                </c:pt>
                <c:pt idx="64">
                  <c:v>8-Mar-09</c:v>
                </c:pt>
                <c:pt idx="65">
                  <c:v>9-Mar-09</c:v>
                </c:pt>
                <c:pt idx="66">
                  <c:v>10-Mar-09</c:v>
                </c:pt>
                <c:pt idx="67">
                  <c:v>11-Mar-09</c:v>
                </c:pt>
                <c:pt idx="68">
                  <c:v>12-Mar-09</c:v>
                </c:pt>
                <c:pt idx="69">
                  <c:v>13-Mar-09</c:v>
                </c:pt>
                <c:pt idx="70">
                  <c:v>14-Mar-09</c:v>
                </c:pt>
                <c:pt idx="71">
                  <c:v>15-Mar-09</c:v>
                </c:pt>
                <c:pt idx="72">
                  <c:v>16-Mar-09</c:v>
                </c:pt>
                <c:pt idx="73">
                  <c:v>17-Mar-09</c:v>
                </c:pt>
                <c:pt idx="74">
                  <c:v>18-Mar-09</c:v>
                </c:pt>
                <c:pt idx="75">
                  <c:v>19-Mar-09</c:v>
                </c:pt>
                <c:pt idx="76">
                  <c:v>20-Mar-09</c:v>
                </c:pt>
                <c:pt idx="77">
                  <c:v>21-Mar-09</c:v>
                </c:pt>
                <c:pt idx="78">
                  <c:v>22-Mar-09</c:v>
                </c:pt>
                <c:pt idx="79">
                  <c:v>23-Mar-09</c:v>
                </c:pt>
                <c:pt idx="80">
                  <c:v>24-Mar-09</c:v>
                </c:pt>
                <c:pt idx="81">
                  <c:v>25-Mar-09</c:v>
                </c:pt>
                <c:pt idx="82">
                  <c:v>26-Mar-09</c:v>
                </c:pt>
                <c:pt idx="83">
                  <c:v>27-Mar-09</c:v>
                </c:pt>
                <c:pt idx="84">
                  <c:v>28-Mar-09</c:v>
                </c:pt>
                <c:pt idx="85">
                  <c:v>29-Mar-09</c:v>
                </c:pt>
                <c:pt idx="86">
                  <c:v>30-Mar-09</c:v>
                </c:pt>
                <c:pt idx="87">
                  <c:v>31-Mar-09</c:v>
                </c:pt>
                <c:pt idx="88">
                  <c:v>01avr.2009</c:v>
                </c:pt>
                <c:pt idx="89">
                  <c:v>02avr.2009</c:v>
                </c:pt>
                <c:pt idx="90">
                  <c:v>03avr.2009</c:v>
                </c:pt>
                <c:pt idx="91">
                  <c:v>04avr.2009</c:v>
                </c:pt>
                <c:pt idx="92">
                  <c:v>05avr.2009</c:v>
                </c:pt>
                <c:pt idx="93">
                  <c:v>06avr.2009</c:v>
                </c:pt>
                <c:pt idx="94">
                  <c:v>07avr.2009</c:v>
                </c:pt>
                <c:pt idx="95">
                  <c:v>08avr.2009</c:v>
                </c:pt>
                <c:pt idx="96">
                  <c:v>09avr.2009</c:v>
                </c:pt>
                <c:pt idx="97">
                  <c:v>10avr.2009</c:v>
                </c:pt>
                <c:pt idx="98">
                  <c:v>11avr.2009</c:v>
                </c:pt>
                <c:pt idx="99">
                  <c:v>12avr.2009</c:v>
                </c:pt>
                <c:pt idx="100">
                  <c:v>13avr.2009</c:v>
                </c:pt>
                <c:pt idx="101">
                  <c:v>14avr.2009</c:v>
                </c:pt>
                <c:pt idx="102">
                  <c:v>15avr.2009</c:v>
                </c:pt>
                <c:pt idx="103">
                  <c:v>16avr.2009</c:v>
                </c:pt>
                <c:pt idx="104">
                  <c:v>17avr.2009</c:v>
                </c:pt>
                <c:pt idx="105">
                  <c:v>18avr.2009</c:v>
                </c:pt>
                <c:pt idx="106">
                  <c:v>19avr.2009</c:v>
                </c:pt>
                <c:pt idx="107">
                  <c:v>20avr.2009</c:v>
                </c:pt>
                <c:pt idx="108">
                  <c:v>21avr.2009</c:v>
                </c:pt>
                <c:pt idx="109">
                  <c:v>22avr.2009</c:v>
                </c:pt>
                <c:pt idx="110">
                  <c:v>23avr.2009</c:v>
                </c:pt>
                <c:pt idx="111">
                  <c:v>24avr.2009</c:v>
                </c:pt>
                <c:pt idx="112">
                  <c:v>25avr.2009</c:v>
                </c:pt>
                <c:pt idx="113">
                  <c:v>26avr.2009</c:v>
                </c:pt>
                <c:pt idx="114">
                  <c:v>27avr.2009</c:v>
                </c:pt>
                <c:pt idx="115">
                  <c:v>28avr.2009</c:v>
                </c:pt>
                <c:pt idx="116">
                  <c:v>29avr.2009</c:v>
                </c:pt>
                <c:pt idx="117">
                  <c:v>30avr.2009</c:v>
                </c:pt>
                <c:pt idx="118">
                  <c:v>1-May-09</c:v>
                </c:pt>
                <c:pt idx="119">
                  <c:v>2-May-09</c:v>
                </c:pt>
                <c:pt idx="120">
                  <c:v>3-May-09</c:v>
                </c:pt>
                <c:pt idx="121">
                  <c:v>4-May-09</c:v>
                </c:pt>
                <c:pt idx="122">
                  <c:v>5-May-09</c:v>
                </c:pt>
                <c:pt idx="123">
                  <c:v>6-May-09</c:v>
                </c:pt>
                <c:pt idx="124">
                  <c:v>7-May-09</c:v>
                </c:pt>
                <c:pt idx="125">
                  <c:v>8-May-09</c:v>
                </c:pt>
                <c:pt idx="126">
                  <c:v>9-May-09</c:v>
                </c:pt>
                <c:pt idx="127">
                  <c:v>10-May-09</c:v>
                </c:pt>
                <c:pt idx="128">
                  <c:v>11-May-09</c:v>
                </c:pt>
                <c:pt idx="129">
                  <c:v>12-May-09</c:v>
                </c:pt>
                <c:pt idx="130">
                  <c:v>13-May-09</c:v>
                </c:pt>
                <c:pt idx="131">
                  <c:v>14-May-09</c:v>
                </c:pt>
                <c:pt idx="132">
                  <c:v>15-May-09</c:v>
                </c:pt>
                <c:pt idx="133">
                  <c:v>16-May-09</c:v>
                </c:pt>
                <c:pt idx="134">
                  <c:v>17-May-09</c:v>
                </c:pt>
                <c:pt idx="135">
                  <c:v>18-May-09</c:v>
                </c:pt>
                <c:pt idx="136">
                  <c:v>19-May-09</c:v>
                </c:pt>
                <c:pt idx="137">
                  <c:v>20-May-09</c:v>
                </c:pt>
                <c:pt idx="138">
                  <c:v>21-May-09</c:v>
                </c:pt>
                <c:pt idx="139">
                  <c:v>22-May-09</c:v>
                </c:pt>
                <c:pt idx="140">
                  <c:v>23-May-09</c:v>
                </c:pt>
                <c:pt idx="141">
                  <c:v>24-May-09</c:v>
                </c:pt>
                <c:pt idx="142">
                  <c:v>25-May-09</c:v>
                </c:pt>
                <c:pt idx="143">
                  <c:v>26-May-09</c:v>
                </c:pt>
                <c:pt idx="144">
                  <c:v>27-May-09</c:v>
                </c:pt>
                <c:pt idx="145">
                  <c:v>28-May-09</c:v>
                </c:pt>
                <c:pt idx="146">
                  <c:v>29-May-09</c:v>
                </c:pt>
                <c:pt idx="147">
                  <c:v>30-May-09</c:v>
                </c:pt>
                <c:pt idx="148">
                  <c:v>31-May-09</c:v>
                </c:pt>
                <c:pt idx="149">
                  <c:v>1-Jun-09</c:v>
                </c:pt>
                <c:pt idx="150">
                  <c:v>2-Jun-09</c:v>
                </c:pt>
                <c:pt idx="151">
                  <c:v>3-Jun-09</c:v>
                </c:pt>
                <c:pt idx="152">
                  <c:v>4-Jun-09</c:v>
                </c:pt>
                <c:pt idx="153">
                  <c:v>5-Jun-09</c:v>
                </c:pt>
                <c:pt idx="154">
                  <c:v>6-Jun-09</c:v>
                </c:pt>
                <c:pt idx="155">
                  <c:v>7-Jun-09</c:v>
                </c:pt>
                <c:pt idx="156">
                  <c:v>8-Jun-09</c:v>
                </c:pt>
                <c:pt idx="157">
                  <c:v>9-Jun-09</c:v>
                </c:pt>
                <c:pt idx="158">
                  <c:v>10-Jun-09</c:v>
                </c:pt>
                <c:pt idx="159">
                  <c:v>11-Jun-09</c:v>
                </c:pt>
                <c:pt idx="160">
                  <c:v>12-Jun-09</c:v>
                </c:pt>
                <c:pt idx="161">
                  <c:v>13-Jun-09</c:v>
                </c:pt>
                <c:pt idx="162">
                  <c:v>14-Jun-09</c:v>
                </c:pt>
                <c:pt idx="163">
                  <c:v>15-Jun-09</c:v>
                </c:pt>
                <c:pt idx="164">
                  <c:v>16-Jun-09</c:v>
                </c:pt>
                <c:pt idx="165">
                  <c:v>17-Jun-09</c:v>
                </c:pt>
                <c:pt idx="166">
                  <c:v>18-Jun-09</c:v>
                </c:pt>
                <c:pt idx="167">
                  <c:v>19-Jun-09</c:v>
                </c:pt>
                <c:pt idx="168">
                  <c:v>20-Jun-09</c:v>
                </c:pt>
                <c:pt idx="169">
                  <c:v>21-Jun-09</c:v>
                </c:pt>
                <c:pt idx="170">
                  <c:v>22-Jun-09</c:v>
                </c:pt>
                <c:pt idx="171">
                  <c:v>23-Jun-09</c:v>
                </c:pt>
                <c:pt idx="172">
                  <c:v>24-Jun-09</c:v>
                </c:pt>
                <c:pt idx="173">
                  <c:v>25-Jun-09</c:v>
                </c:pt>
                <c:pt idx="174">
                  <c:v>26-Jun-09</c:v>
                </c:pt>
                <c:pt idx="175">
                  <c:v>27-Jun-09</c:v>
                </c:pt>
                <c:pt idx="176">
                  <c:v>28-Jun-09</c:v>
                </c:pt>
                <c:pt idx="177">
                  <c:v>29-Jun-09</c:v>
                </c:pt>
                <c:pt idx="178">
                  <c:v>30-Jun-09</c:v>
                </c:pt>
                <c:pt idx="179">
                  <c:v>01juil.2009</c:v>
                </c:pt>
                <c:pt idx="180">
                  <c:v>02juil.2009</c:v>
                </c:pt>
                <c:pt idx="181">
                  <c:v>03juil.2009</c:v>
                </c:pt>
                <c:pt idx="182">
                  <c:v>04juil.2009</c:v>
                </c:pt>
                <c:pt idx="183">
                  <c:v>05juil.2009</c:v>
                </c:pt>
                <c:pt idx="184">
                  <c:v>06juil.2009</c:v>
                </c:pt>
                <c:pt idx="185">
                  <c:v>07juil.2009</c:v>
                </c:pt>
                <c:pt idx="186">
                  <c:v>08juil.2009</c:v>
                </c:pt>
                <c:pt idx="187">
                  <c:v>09juil.2009</c:v>
                </c:pt>
                <c:pt idx="188">
                  <c:v>10juil.2009</c:v>
                </c:pt>
                <c:pt idx="189">
                  <c:v>11juil.2009</c:v>
                </c:pt>
                <c:pt idx="190">
                  <c:v>12juil.2009</c:v>
                </c:pt>
                <c:pt idx="191">
                  <c:v>13juil.2009</c:v>
                </c:pt>
                <c:pt idx="192">
                  <c:v>14juil.2009</c:v>
                </c:pt>
                <c:pt idx="193">
                  <c:v>15juil.2009</c:v>
                </c:pt>
                <c:pt idx="194">
                  <c:v>16juil.2009</c:v>
                </c:pt>
                <c:pt idx="195">
                  <c:v>17juil.2009</c:v>
                </c:pt>
                <c:pt idx="196">
                  <c:v>18juil.2009</c:v>
                </c:pt>
                <c:pt idx="197">
                  <c:v>19juil.2009</c:v>
                </c:pt>
                <c:pt idx="198">
                  <c:v>20juil.2009</c:v>
                </c:pt>
                <c:pt idx="199">
                  <c:v>21juil.2009</c:v>
                </c:pt>
                <c:pt idx="200">
                  <c:v>22juil.2009</c:v>
                </c:pt>
                <c:pt idx="201">
                  <c:v>23juil.2009</c:v>
                </c:pt>
                <c:pt idx="202">
                  <c:v>24juil.2009</c:v>
                </c:pt>
                <c:pt idx="203">
                  <c:v>25juil.2009</c:v>
                </c:pt>
                <c:pt idx="204">
                  <c:v>26juil.2009</c:v>
                </c:pt>
                <c:pt idx="205">
                  <c:v>27juil.2009</c:v>
                </c:pt>
                <c:pt idx="206">
                  <c:v>28juil.2009</c:v>
                </c:pt>
                <c:pt idx="207">
                  <c:v>29juil.2009</c:v>
                </c:pt>
                <c:pt idx="208">
                  <c:v>30juil.2009</c:v>
                </c:pt>
                <c:pt idx="209">
                  <c:v>31juil.2009</c:v>
                </c:pt>
                <c:pt idx="210">
                  <c:v>1-Aug-09</c:v>
                </c:pt>
                <c:pt idx="211">
                  <c:v>2-Aug-09</c:v>
                </c:pt>
                <c:pt idx="212">
                  <c:v>3-Aug-09</c:v>
                </c:pt>
                <c:pt idx="213">
                  <c:v>4-Aug-09</c:v>
                </c:pt>
                <c:pt idx="214">
                  <c:v>5-Aug-09</c:v>
                </c:pt>
                <c:pt idx="215">
                  <c:v>6-Aug-09</c:v>
                </c:pt>
                <c:pt idx="216">
                  <c:v>7-Aug-09</c:v>
                </c:pt>
                <c:pt idx="217">
                  <c:v>8-Aug-09</c:v>
                </c:pt>
                <c:pt idx="218">
                  <c:v>9-Aug-09</c:v>
                </c:pt>
                <c:pt idx="219">
                  <c:v>10-Aug-09</c:v>
                </c:pt>
                <c:pt idx="220">
                  <c:v>11-Aug-09</c:v>
                </c:pt>
                <c:pt idx="221">
                  <c:v>12-Aug-09</c:v>
                </c:pt>
                <c:pt idx="222">
                  <c:v>13-Aug-09</c:v>
                </c:pt>
                <c:pt idx="223">
                  <c:v>14-Aug-09</c:v>
                </c:pt>
                <c:pt idx="224">
                  <c:v>15-Aug-09</c:v>
                </c:pt>
                <c:pt idx="225">
                  <c:v>16-Aug-09</c:v>
                </c:pt>
                <c:pt idx="226">
                  <c:v>17-Aug-09</c:v>
                </c:pt>
                <c:pt idx="227">
                  <c:v>18-Aug-09</c:v>
                </c:pt>
                <c:pt idx="228">
                  <c:v>19-Aug-09</c:v>
                </c:pt>
                <c:pt idx="229">
                  <c:v>20-Aug-09</c:v>
                </c:pt>
                <c:pt idx="230">
                  <c:v>21-Aug-09</c:v>
                </c:pt>
                <c:pt idx="231">
                  <c:v>22-Aug-09</c:v>
                </c:pt>
                <c:pt idx="232">
                  <c:v>23-Aug-09</c:v>
                </c:pt>
                <c:pt idx="233">
                  <c:v>24-Aug-09</c:v>
                </c:pt>
                <c:pt idx="234">
                  <c:v>25-Aug-09</c:v>
                </c:pt>
                <c:pt idx="235">
                  <c:v>26-Aug-09</c:v>
                </c:pt>
                <c:pt idx="236">
                  <c:v>27-Aug-09</c:v>
                </c:pt>
                <c:pt idx="237">
                  <c:v>28-Aug-09</c:v>
                </c:pt>
                <c:pt idx="238">
                  <c:v>29-Aug-09</c:v>
                </c:pt>
                <c:pt idx="239">
                  <c:v>30-Aug-09</c:v>
                </c:pt>
                <c:pt idx="240">
                  <c:v>31-Aug-09</c:v>
                </c:pt>
                <c:pt idx="241">
                  <c:v>01sept.2009</c:v>
                </c:pt>
                <c:pt idx="242">
                  <c:v>02sept.2009</c:v>
                </c:pt>
                <c:pt idx="243">
                  <c:v>03sept.2009</c:v>
                </c:pt>
                <c:pt idx="244">
                  <c:v>04sept.2009</c:v>
                </c:pt>
                <c:pt idx="245">
                  <c:v>05sept.2009</c:v>
                </c:pt>
                <c:pt idx="246">
                  <c:v>06sept.2009</c:v>
                </c:pt>
                <c:pt idx="247">
                  <c:v>07sept.2009</c:v>
                </c:pt>
                <c:pt idx="248">
                  <c:v>08sept.2009</c:v>
                </c:pt>
                <c:pt idx="249">
                  <c:v>09sept.2009</c:v>
                </c:pt>
                <c:pt idx="250">
                  <c:v>10sept.2009</c:v>
                </c:pt>
                <c:pt idx="251">
                  <c:v>11sept.2009</c:v>
                </c:pt>
                <c:pt idx="252">
                  <c:v>12sept.2009</c:v>
                </c:pt>
                <c:pt idx="253">
                  <c:v>13sept.2009</c:v>
                </c:pt>
                <c:pt idx="254">
                  <c:v>14sept.2009</c:v>
                </c:pt>
                <c:pt idx="255">
                  <c:v>15sept.2009</c:v>
                </c:pt>
                <c:pt idx="256">
                  <c:v>16sept.2009</c:v>
                </c:pt>
                <c:pt idx="257">
                  <c:v>17sept.2009</c:v>
                </c:pt>
                <c:pt idx="258">
                  <c:v>18sept.2009</c:v>
                </c:pt>
                <c:pt idx="259">
                  <c:v>19sept.2009</c:v>
                </c:pt>
                <c:pt idx="260">
                  <c:v>20sept.2009</c:v>
                </c:pt>
                <c:pt idx="261">
                  <c:v>21sept.2009</c:v>
                </c:pt>
                <c:pt idx="262">
                  <c:v>22sept.2009</c:v>
                </c:pt>
                <c:pt idx="263">
                  <c:v>23sept.2009</c:v>
                </c:pt>
                <c:pt idx="264">
                  <c:v>24sept.2009</c:v>
                </c:pt>
                <c:pt idx="265">
                  <c:v>25sept.2009</c:v>
                </c:pt>
                <c:pt idx="266">
                  <c:v>26sept.2009</c:v>
                </c:pt>
                <c:pt idx="267">
                  <c:v>27sept.2009</c:v>
                </c:pt>
                <c:pt idx="268">
                  <c:v>28sept.2009</c:v>
                </c:pt>
                <c:pt idx="269">
                  <c:v>29sept.2009</c:v>
                </c:pt>
                <c:pt idx="270">
                  <c:v>30sept.2009</c:v>
                </c:pt>
                <c:pt idx="271">
                  <c:v>01oct.2009</c:v>
                </c:pt>
                <c:pt idx="272">
                  <c:v>02oct.2009</c:v>
                </c:pt>
                <c:pt idx="273">
                  <c:v>03oct.2009</c:v>
                </c:pt>
                <c:pt idx="274">
                  <c:v>04oct.2009</c:v>
                </c:pt>
                <c:pt idx="275">
                  <c:v>05oct.2009</c:v>
                </c:pt>
                <c:pt idx="276">
                  <c:v>06oct.2009</c:v>
                </c:pt>
                <c:pt idx="277">
                  <c:v>07oct.2009</c:v>
                </c:pt>
                <c:pt idx="278">
                  <c:v>08oct.2009</c:v>
                </c:pt>
                <c:pt idx="279">
                  <c:v>09oct.2009</c:v>
                </c:pt>
                <c:pt idx="280">
                  <c:v>10oct.2009</c:v>
                </c:pt>
                <c:pt idx="281">
                  <c:v>11oct.2009</c:v>
                </c:pt>
                <c:pt idx="282">
                  <c:v>12oct.2009</c:v>
                </c:pt>
                <c:pt idx="283">
                  <c:v>13oct.2009</c:v>
                </c:pt>
                <c:pt idx="284">
                  <c:v>14oct.2009</c:v>
                </c:pt>
                <c:pt idx="285">
                  <c:v>15oct.2009</c:v>
                </c:pt>
                <c:pt idx="286">
                  <c:v>16oct.2009</c:v>
                </c:pt>
                <c:pt idx="287">
                  <c:v>17oct.2009</c:v>
                </c:pt>
                <c:pt idx="288">
                  <c:v>18oct.2009</c:v>
                </c:pt>
                <c:pt idx="289">
                  <c:v>19oct.2009</c:v>
                </c:pt>
                <c:pt idx="290">
                  <c:v>20oct.2009</c:v>
                </c:pt>
                <c:pt idx="291">
                  <c:v>21oct.2009</c:v>
                </c:pt>
                <c:pt idx="292">
                  <c:v>22oct.2009</c:v>
                </c:pt>
                <c:pt idx="293">
                  <c:v>23oct.2009</c:v>
                </c:pt>
                <c:pt idx="294">
                  <c:v>24oct.2009</c:v>
                </c:pt>
                <c:pt idx="295">
                  <c:v>25oct.2009</c:v>
                </c:pt>
                <c:pt idx="296">
                  <c:v>26oct.2009</c:v>
                </c:pt>
                <c:pt idx="297">
                  <c:v>27oct.2009</c:v>
                </c:pt>
                <c:pt idx="298">
                  <c:v>28oct.2009</c:v>
                </c:pt>
                <c:pt idx="299">
                  <c:v>29oct.2009</c:v>
                </c:pt>
                <c:pt idx="300">
                  <c:v>30oct.2009</c:v>
                </c:pt>
                <c:pt idx="301">
                  <c:v>31oct.2009</c:v>
                </c:pt>
                <c:pt idx="302">
                  <c:v>01nov.2009</c:v>
                </c:pt>
                <c:pt idx="303">
                  <c:v>02nov.2009</c:v>
                </c:pt>
                <c:pt idx="304">
                  <c:v>03nov.2009</c:v>
                </c:pt>
                <c:pt idx="305">
                  <c:v>04nov.2009</c:v>
                </c:pt>
                <c:pt idx="306">
                  <c:v>05nov.2009</c:v>
                </c:pt>
                <c:pt idx="307">
                  <c:v>06nov.2009</c:v>
                </c:pt>
                <c:pt idx="308">
                  <c:v>07nov.2009</c:v>
                </c:pt>
                <c:pt idx="309">
                  <c:v>08nov.2009</c:v>
                </c:pt>
                <c:pt idx="310">
                  <c:v>09nov.2009</c:v>
                </c:pt>
                <c:pt idx="311">
                  <c:v>10nov.2009</c:v>
                </c:pt>
                <c:pt idx="312">
                  <c:v>11nov.2009</c:v>
                </c:pt>
                <c:pt idx="313">
                  <c:v>12nov.2009</c:v>
                </c:pt>
                <c:pt idx="314">
                  <c:v>13nov.2009</c:v>
                </c:pt>
                <c:pt idx="315">
                  <c:v>14nov.2009</c:v>
                </c:pt>
                <c:pt idx="316">
                  <c:v>15nov.2009</c:v>
                </c:pt>
                <c:pt idx="317">
                  <c:v>16nov.2009</c:v>
                </c:pt>
                <c:pt idx="318">
                  <c:v>17nov.2009</c:v>
                </c:pt>
                <c:pt idx="319">
                  <c:v>18nov.2009</c:v>
                </c:pt>
                <c:pt idx="320">
                  <c:v>19nov.2009</c:v>
                </c:pt>
                <c:pt idx="321">
                  <c:v>20nov.2009</c:v>
                </c:pt>
                <c:pt idx="322">
                  <c:v>21nov.2009</c:v>
                </c:pt>
                <c:pt idx="323">
                  <c:v>22nov.2009</c:v>
                </c:pt>
                <c:pt idx="324">
                  <c:v>23nov.2009</c:v>
                </c:pt>
                <c:pt idx="325">
                  <c:v>24nov.2009</c:v>
                </c:pt>
                <c:pt idx="326">
                  <c:v>25nov.2009</c:v>
                </c:pt>
                <c:pt idx="327">
                  <c:v>26nov.2009</c:v>
                </c:pt>
                <c:pt idx="328">
                  <c:v>27nov.2009</c:v>
                </c:pt>
                <c:pt idx="329">
                  <c:v>28nov.2009</c:v>
                </c:pt>
                <c:pt idx="330">
                  <c:v>29nov.2009</c:v>
                </c:pt>
                <c:pt idx="331">
                  <c:v>30nov.2009</c:v>
                </c:pt>
                <c:pt idx="332">
                  <c:v>01déc.2009</c:v>
                </c:pt>
                <c:pt idx="333">
                  <c:v>02déc.2009</c:v>
                </c:pt>
                <c:pt idx="334">
                  <c:v>03déc.2009</c:v>
                </c:pt>
                <c:pt idx="335">
                  <c:v>04déc.2009</c:v>
                </c:pt>
                <c:pt idx="336">
                  <c:v>05déc.2009</c:v>
                </c:pt>
                <c:pt idx="337">
                  <c:v>06déc.2009</c:v>
                </c:pt>
                <c:pt idx="338">
                  <c:v>07déc.2009</c:v>
                </c:pt>
                <c:pt idx="339">
                  <c:v>08déc.2009</c:v>
                </c:pt>
                <c:pt idx="340">
                  <c:v>09déc.2009</c:v>
                </c:pt>
                <c:pt idx="341">
                  <c:v>10déc.2009</c:v>
                </c:pt>
                <c:pt idx="342">
                  <c:v>11déc.2009</c:v>
                </c:pt>
                <c:pt idx="343">
                  <c:v>12déc.2009</c:v>
                </c:pt>
                <c:pt idx="344">
                  <c:v>13déc.2009</c:v>
                </c:pt>
                <c:pt idx="345">
                  <c:v>14déc.2009</c:v>
                </c:pt>
                <c:pt idx="346">
                  <c:v>15déc.2009</c:v>
                </c:pt>
                <c:pt idx="347">
                  <c:v>16déc.2009</c:v>
                </c:pt>
                <c:pt idx="348">
                  <c:v>17déc.2009</c:v>
                </c:pt>
                <c:pt idx="349">
                  <c:v>18déc.2009</c:v>
                </c:pt>
                <c:pt idx="350">
                  <c:v>19déc.2009</c:v>
                </c:pt>
                <c:pt idx="351">
                  <c:v>20déc.2009</c:v>
                </c:pt>
                <c:pt idx="352">
                  <c:v>21déc.2009</c:v>
                </c:pt>
                <c:pt idx="353">
                  <c:v>22déc.2009</c:v>
                </c:pt>
                <c:pt idx="354">
                  <c:v>23déc.2009</c:v>
                </c:pt>
                <c:pt idx="355">
                  <c:v>24déc.2009</c:v>
                </c:pt>
                <c:pt idx="356">
                  <c:v>25déc.2009</c:v>
                </c:pt>
                <c:pt idx="357">
                  <c:v>26déc.2009</c:v>
                </c:pt>
                <c:pt idx="358">
                  <c:v>27déc.2009</c:v>
                </c:pt>
                <c:pt idx="359">
                  <c:v>28déc.2009</c:v>
                </c:pt>
                <c:pt idx="360">
                  <c:v>29déc.2009</c:v>
                </c:pt>
                <c:pt idx="361">
                  <c:v>30déc.2009</c:v>
                </c:pt>
                <c:pt idx="362">
                  <c:v>31déc.2009</c:v>
                </c:pt>
                <c:pt idx="363">
                  <c:v>01janv.2010</c:v>
                </c:pt>
                <c:pt idx="364">
                  <c:v>02janv.2010</c:v>
                </c:pt>
                <c:pt idx="365">
                  <c:v>03janv.2010</c:v>
                </c:pt>
                <c:pt idx="366">
                  <c:v>04janv.2010</c:v>
                </c:pt>
                <c:pt idx="367">
                  <c:v>05janv.2010</c:v>
                </c:pt>
                <c:pt idx="368">
                  <c:v>06janv.2010</c:v>
                </c:pt>
                <c:pt idx="369">
                  <c:v>07janv.2010</c:v>
                </c:pt>
                <c:pt idx="370">
                  <c:v>08janv.2010</c:v>
                </c:pt>
                <c:pt idx="371">
                  <c:v>09janv.2010</c:v>
                </c:pt>
                <c:pt idx="372">
                  <c:v>10janv.2010</c:v>
                </c:pt>
                <c:pt idx="373">
                  <c:v>11janv.2010</c:v>
                </c:pt>
                <c:pt idx="374">
                  <c:v>12janv.2010</c:v>
                </c:pt>
                <c:pt idx="375">
                  <c:v>13janv.2010</c:v>
                </c:pt>
                <c:pt idx="376">
                  <c:v>14janv.2010</c:v>
                </c:pt>
                <c:pt idx="377">
                  <c:v>15janv.2010</c:v>
                </c:pt>
                <c:pt idx="378">
                  <c:v>16janv.2010</c:v>
                </c:pt>
                <c:pt idx="379">
                  <c:v>17janv.2010</c:v>
                </c:pt>
                <c:pt idx="380">
                  <c:v>18janv.2010</c:v>
                </c:pt>
                <c:pt idx="381">
                  <c:v>19janv.2010</c:v>
                </c:pt>
                <c:pt idx="382">
                  <c:v>20janv.2010</c:v>
                </c:pt>
                <c:pt idx="383">
                  <c:v>21janv.2010</c:v>
                </c:pt>
                <c:pt idx="384">
                  <c:v>22janv.2010</c:v>
                </c:pt>
                <c:pt idx="385">
                  <c:v>23janv.2010</c:v>
                </c:pt>
                <c:pt idx="386">
                  <c:v>24janv.2010</c:v>
                </c:pt>
                <c:pt idx="387">
                  <c:v>25janv.2010</c:v>
                </c:pt>
                <c:pt idx="388">
                  <c:v>26janv.2010</c:v>
                </c:pt>
                <c:pt idx="389">
                  <c:v>27janv.2010</c:v>
                </c:pt>
                <c:pt idx="390">
                  <c:v>28janv.2010</c:v>
                </c:pt>
                <c:pt idx="391">
                  <c:v>29janv.2010</c:v>
                </c:pt>
                <c:pt idx="392">
                  <c:v>30janv.2010</c:v>
                </c:pt>
                <c:pt idx="393">
                  <c:v>31janv.2010</c:v>
                </c:pt>
                <c:pt idx="394">
                  <c:v>01févr.2010</c:v>
                </c:pt>
                <c:pt idx="395">
                  <c:v>02févr.2010</c:v>
                </c:pt>
                <c:pt idx="396">
                  <c:v>03févr.2010</c:v>
                </c:pt>
                <c:pt idx="397">
                  <c:v>04févr.2010</c:v>
                </c:pt>
                <c:pt idx="398">
                  <c:v>05févr.2010</c:v>
                </c:pt>
                <c:pt idx="399">
                  <c:v>06févr.2010</c:v>
                </c:pt>
                <c:pt idx="400">
                  <c:v>07févr.2010</c:v>
                </c:pt>
                <c:pt idx="401">
                  <c:v>08févr.2010</c:v>
                </c:pt>
                <c:pt idx="402">
                  <c:v>09févr.2010</c:v>
                </c:pt>
                <c:pt idx="403">
                  <c:v>10févr.2010</c:v>
                </c:pt>
                <c:pt idx="404">
                  <c:v>11févr.2010</c:v>
                </c:pt>
                <c:pt idx="405">
                  <c:v>12févr.2010</c:v>
                </c:pt>
                <c:pt idx="406">
                  <c:v>13févr.2010</c:v>
                </c:pt>
                <c:pt idx="407">
                  <c:v>14févr.2010</c:v>
                </c:pt>
                <c:pt idx="408">
                  <c:v>15févr.2010</c:v>
                </c:pt>
                <c:pt idx="409">
                  <c:v>16févr.2010</c:v>
                </c:pt>
                <c:pt idx="410">
                  <c:v>17févr.2010</c:v>
                </c:pt>
                <c:pt idx="411">
                  <c:v>18févr.2010</c:v>
                </c:pt>
                <c:pt idx="412">
                  <c:v>19févr.2010</c:v>
                </c:pt>
                <c:pt idx="413">
                  <c:v>20févr.2010</c:v>
                </c:pt>
                <c:pt idx="414">
                  <c:v>21févr.2010</c:v>
                </c:pt>
                <c:pt idx="415">
                  <c:v>22févr.2010</c:v>
                </c:pt>
                <c:pt idx="416">
                  <c:v>23févr.2010</c:v>
                </c:pt>
                <c:pt idx="417">
                  <c:v>24févr.2010</c:v>
                </c:pt>
                <c:pt idx="418">
                  <c:v>25févr.2010</c:v>
                </c:pt>
                <c:pt idx="419">
                  <c:v>26févr.2010</c:v>
                </c:pt>
                <c:pt idx="420">
                  <c:v>27févr.2010</c:v>
                </c:pt>
                <c:pt idx="421">
                  <c:v>28févr.2010</c:v>
                </c:pt>
                <c:pt idx="422">
                  <c:v>1-Mar-10</c:v>
                </c:pt>
                <c:pt idx="423">
                  <c:v>2-Mar-10</c:v>
                </c:pt>
                <c:pt idx="424">
                  <c:v>3-Mar-10</c:v>
                </c:pt>
                <c:pt idx="425">
                  <c:v>4-Mar-10</c:v>
                </c:pt>
                <c:pt idx="426">
                  <c:v>5-Mar-10</c:v>
                </c:pt>
                <c:pt idx="427">
                  <c:v>6-Mar-10</c:v>
                </c:pt>
                <c:pt idx="428">
                  <c:v>7-Mar-10</c:v>
                </c:pt>
                <c:pt idx="429">
                  <c:v>8-Mar-10</c:v>
                </c:pt>
                <c:pt idx="430">
                  <c:v>9-Mar-10</c:v>
                </c:pt>
                <c:pt idx="431">
                  <c:v>10-Mar-10</c:v>
                </c:pt>
                <c:pt idx="432">
                  <c:v>11-Mar-10</c:v>
                </c:pt>
                <c:pt idx="433">
                  <c:v>12-Mar-10</c:v>
                </c:pt>
                <c:pt idx="434">
                  <c:v>13-Mar-10</c:v>
                </c:pt>
                <c:pt idx="435">
                  <c:v>14-Mar-10</c:v>
                </c:pt>
                <c:pt idx="436">
                  <c:v>15-Mar-10</c:v>
                </c:pt>
                <c:pt idx="437">
                  <c:v>16-Mar-10</c:v>
                </c:pt>
                <c:pt idx="438">
                  <c:v>17-Mar-10</c:v>
                </c:pt>
                <c:pt idx="439">
                  <c:v>18-Mar-10</c:v>
                </c:pt>
                <c:pt idx="440">
                  <c:v>19-Mar-10</c:v>
                </c:pt>
                <c:pt idx="441">
                  <c:v>20-Mar-10</c:v>
                </c:pt>
                <c:pt idx="442">
                  <c:v>21-Mar-10</c:v>
                </c:pt>
                <c:pt idx="443">
                  <c:v>22-Mar-10</c:v>
                </c:pt>
                <c:pt idx="444">
                  <c:v>23-Mar-10</c:v>
                </c:pt>
                <c:pt idx="445">
                  <c:v>24-Mar-10</c:v>
                </c:pt>
                <c:pt idx="446">
                  <c:v>25-Mar-10</c:v>
                </c:pt>
                <c:pt idx="447">
                  <c:v>26-Mar-10</c:v>
                </c:pt>
                <c:pt idx="448">
                  <c:v>27-Mar-10</c:v>
                </c:pt>
                <c:pt idx="449">
                  <c:v>28-Mar-10</c:v>
                </c:pt>
                <c:pt idx="450">
                  <c:v>29-Mar-10</c:v>
                </c:pt>
                <c:pt idx="451">
                  <c:v>30-Mar-10</c:v>
                </c:pt>
                <c:pt idx="452">
                  <c:v>31-Mar-10</c:v>
                </c:pt>
                <c:pt idx="453">
                  <c:v>01avr.2010</c:v>
                </c:pt>
                <c:pt idx="454">
                  <c:v>02avr.2010</c:v>
                </c:pt>
                <c:pt idx="455">
                  <c:v>03avr.2010</c:v>
                </c:pt>
                <c:pt idx="456">
                  <c:v>04avr.2010</c:v>
                </c:pt>
                <c:pt idx="457">
                  <c:v>05avr.2010</c:v>
                </c:pt>
                <c:pt idx="458">
                  <c:v>06avr.2010</c:v>
                </c:pt>
                <c:pt idx="459">
                  <c:v>07avr.2010</c:v>
                </c:pt>
                <c:pt idx="460">
                  <c:v>08avr.2010</c:v>
                </c:pt>
                <c:pt idx="461">
                  <c:v>09avr.2010</c:v>
                </c:pt>
                <c:pt idx="462">
                  <c:v>10avr.2010</c:v>
                </c:pt>
                <c:pt idx="463">
                  <c:v>11avr.2010</c:v>
                </c:pt>
                <c:pt idx="464">
                  <c:v>12avr.2010</c:v>
                </c:pt>
                <c:pt idx="465">
                  <c:v>13avr.2010</c:v>
                </c:pt>
                <c:pt idx="466">
                  <c:v>14avr.2010</c:v>
                </c:pt>
                <c:pt idx="467">
                  <c:v>15avr.2010</c:v>
                </c:pt>
                <c:pt idx="468">
                  <c:v>16avr.2010</c:v>
                </c:pt>
                <c:pt idx="469">
                  <c:v>17avr.2010</c:v>
                </c:pt>
                <c:pt idx="470">
                  <c:v>18avr.2010</c:v>
                </c:pt>
                <c:pt idx="471">
                  <c:v>19avr.2010</c:v>
                </c:pt>
                <c:pt idx="472">
                  <c:v>20avr.2010</c:v>
                </c:pt>
                <c:pt idx="473">
                  <c:v>21avr.2010</c:v>
                </c:pt>
                <c:pt idx="474">
                  <c:v>22avr.2010</c:v>
                </c:pt>
                <c:pt idx="475">
                  <c:v>23avr.2010</c:v>
                </c:pt>
                <c:pt idx="476">
                  <c:v>24avr.2010</c:v>
                </c:pt>
                <c:pt idx="477">
                  <c:v>25avr.2010</c:v>
                </c:pt>
                <c:pt idx="478">
                  <c:v>26avr.2010</c:v>
                </c:pt>
                <c:pt idx="479">
                  <c:v>27avr.2010</c:v>
                </c:pt>
                <c:pt idx="480">
                  <c:v>28avr.2010</c:v>
                </c:pt>
                <c:pt idx="481">
                  <c:v>29avr.2010</c:v>
                </c:pt>
                <c:pt idx="482">
                  <c:v>30avr.2010</c:v>
                </c:pt>
                <c:pt idx="483">
                  <c:v>1-May-10</c:v>
                </c:pt>
                <c:pt idx="484">
                  <c:v>2-May-10</c:v>
                </c:pt>
                <c:pt idx="485">
                  <c:v>3-May-10</c:v>
                </c:pt>
                <c:pt idx="486">
                  <c:v>4-May-10</c:v>
                </c:pt>
                <c:pt idx="487">
                  <c:v>5-May-10</c:v>
                </c:pt>
                <c:pt idx="488">
                  <c:v>6-May-10</c:v>
                </c:pt>
                <c:pt idx="489">
                  <c:v>7-May-10</c:v>
                </c:pt>
                <c:pt idx="490">
                  <c:v>8-May-10</c:v>
                </c:pt>
                <c:pt idx="491">
                  <c:v>9-May-10</c:v>
                </c:pt>
                <c:pt idx="492">
                  <c:v>10-May-10</c:v>
                </c:pt>
                <c:pt idx="493">
                  <c:v>11-May-10</c:v>
                </c:pt>
                <c:pt idx="494">
                  <c:v>12-May-10</c:v>
                </c:pt>
                <c:pt idx="495">
                  <c:v>13-May-10</c:v>
                </c:pt>
                <c:pt idx="496">
                  <c:v>14-May-10</c:v>
                </c:pt>
                <c:pt idx="497">
                  <c:v>15-May-10</c:v>
                </c:pt>
                <c:pt idx="498">
                  <c:v>16-May-10</c:v>
                </c:pt>
                <c:pt idx="499">
                  <c:v>17-May-10</c:v>
                </c:pt>
                <c:pt idx="500">
                  <c:v>18-May-10</c:v>
                </c:pt>
                <c:pt idx="501">
                  <c:v>19-May-10</c:v>
                </c:pt>
                <c:pt idx="502">
                  <c:v>20-May-10</c:v>
                </c:pt>
                <c:pt idx="503">
                  <c:v>21-May-10</c:v>
                </c:pt>
                <c:pt idx="504">
                  <c:v>22-May-10</c:v>
                </c:pt>
                <c:pt idx="505">
                  <c:v>23-May-10</c:v>
                </c:pt>
                <c:pt idx="506">
                  <c:v>24-May-10</c:v>
                </c:pt>
                <c:pt idx="507">
                  <c:v>25-May-10</c:v>
                </c:pt>
                <c:pt idx="508">
                  <c:v>26-May-10</c:v>
                </c:pt>
                <c:pt idx="509">
                  <c:v>27-May-10</c:v>
                </c:pt>
                <c:pt idx="510">
                  <c:v>28-May-10</c:v>
                </c:pt>
                <c:pt idx="511">
                  <c:v>29-May-10</c:v>
                </c:pt>
                <c:pt idx="512">
                  <c:v>30-May-10</c:v>
                </c:pt>
                <c:pt idx="513">
                  <c:v>31-May-10</c:v>
                </c:pt>
                <c:pt idx="514">
                  <c:v>1-Jun-10</c:v>
                </c:pt>
                <c:pt idx="515">
                  <c:v>2-Jun-10</c:v>
                </c:pt>
                <c:pt idx="516">
                  <c:v>3-Jun-10</c:v>
                </c:pt>
                <c:pt idx="517">
                  <c:v>4-Jun-10</c:v>
                </c:pt>
                <c:pt idx="518">
                  <c:v>5-Jun-10</c:v>
                </c:pt>
                <c:pt idx="519">
                  <c:v>6-Jun-10</c:v>
                </c:pt>
                <c:pt idx="520">
                  <c:v>7-Jun-10</c:v>
                </c:pt>
                <c:pt idx="521">
                  <c:v>8-Jun-10</c:v>
                </c:pt>
                <c:pt idx="522">
                  <c:v>9-Jun-10</c:v>
                </c:pt>
                <c:pt idx="523">
                  <c:v>10-Jun-10</c:v>
                </c:pt>
                <c:pt idx="524">
                  <c:v>11-Jun-10</c:v>
                </c:pt>
                <c:pt idx="525">
                  <c:v>12-Jun-10</c:v>
                </c:pt>
                <c:pt idx="526">
                  <c:v>13-Jun-10</c:v>
                </c:pt>
                <c:pt idx="527">
                  <c:v>14-Jun-10</c:v>
                </c:pt>
                <c:pt idx="528">
                  <c:v>15-Jun-10</c:v>
                </c:pt>
                <c:pt idx="529">
                  <c:v>16-Jun-10</c:v>
                </c:pt>
                <c:pt idx="530">
                  <c:v>17-Jun-10</c:v>
                </c:pt>
                <c:pt idx="531">
                  <c:v>18-Jun-10</c:v>
                </c:pt>
                <c:pt idx="532">
                  <c:v>19-Jun-10</c:v>
                </c:pt>
                <c:pt idx="533">
                  <c:v>20-Jun-10</c:v>
                </c:pt>
                <c:pt idx="534">
                  <c:v>21-Jun-10</c:v>
                </c:pt>
                <c:pt idx="535">
                  <c:v>22-Jun-10</c:v>
                </c:pt>
                <c:pt idx="536">
                  <c:v>23-Jun-10</c:v>
                </c:pt>
                <c:pt idx="537">
                  <c:v>24-Jun-10</c:v>
                </c:pt>
                <c:pt idx="538">
                  <c:v>25-Jun-10</c:v>
                </c:pt>
                <c:pt idx="539">
                  <c:v>26-Jun-10</c:v>
                </c:pt>
                <c:pt idx="540">
                  <c:v>27-Jun-10</c:v>
                </c:pt>
                <c:pt idx="541">
                  <c:v>28-Jun-10</c:v>
                </c:pt>
                <c:pt idx="542">
                  <c:v>29-Jun-10</c:v>
                </c:pt>
                <c:pt idx="543">
                  <c:v>30-Jun-10</c:v>
                </c:pt>
                <c:pt idx="544">
                  <c:v>01juil.2010</c:v>
                </c:pt>
                <c:pt idx="545">
                  <c:v>02juil.2010</c:v>
                </c:pt>
                <c:pt idx="546">
                  <c:v>03juil.2010</c:v>
                </c:pt>
                <c:pt idx="547">
                  <c:v>04juil.2010</c:v>
                </c:pt>
                <c:pt idx="548">
                  <c:v>05juil.2010</c:v>
                </c:pt>
                <c:pt idx="549">
                  <c:v>06juil.2010</c:v>
                </c:pt>
                <c:pt idx="550">
                  <c:v>07juil.2010</c:v>
                </c:pt>
                <c:pt idx="551">
                  <c:v>08juil.2010</c:v>
                </c:pt>
                <c:pt idx="552">
                  <c:v>09juil.2010</c:v>
                </c:pt>
                <c:pt idx="553">
                  <c:v>10juil.2010</c:v>
                </c:pt>
                <c:pt idx="554">
                  <c:v>11juil.2010</c:v>
                </c:pt>
                <c:pt idx="555">
                  <c:v>12juil.2010</c:v>
                </c:pt>
                <c:pt idx="556">
                  <c:v>13juil.2010</c:v>
                </c:pt>
                <c:pt idx="557">
                  <c:v>14juil.2010</c:v>
                </c:pt>
                <c:pt idx="558">
                  <c:v>15juil.2010</c:v>
                </c:pt>
                <c:pt idx="559">
                  <c:v>16juil.2010</c:v>
                </c:pt>
                <c:pt idx="560">
                  <c:v>17juil.2010</c:v>
                </c:pt>
                <c:pt idx="561">
                  <c:v>18juil.2010</c:v>
                </c:pt>
                <c:pt idx="562">
                  <c:v>19juil.2010</c:v>
                </c:pt>
                <c:pt idx="563">
                  <c:v>20juil.2010</c:v>
                </c:pt>
                <c:pt idx="564">
                  <c:v>21juil.2010</c:v>
                </c:pt>
                <c:pt idx="565">
                  <c:v>22juil.2010</c:v>
                </c:pt>
                <c:pt idx="566">
                  <c:v>23juil.2010</c:v>
                </c:pt>
                <c:pt idx="567">
                  <c:v>24juil.2010</c:v>
                </c:pt>
                <c:pt idx="568">
                  <c:v>25juil.2010</c:v>
                </c:pt>
                <c:pt idx="569">
                  <c:v>26juil.2010</c:v>
                </c:pt>
                <c:pt idx="570">
                  <c:v>27juil.2010</c:v>
                </c:pt>
                <c:pt idx="571">
                  <c:v>28juil.2010</c:v>
                </c:pt>
                <c:pt idx="572">
                  <c:v>29juil.2010</c:v>
                </c:pt>
                <c:pt idx="573">
                  <c:v>30juil.2010</c:v>
                </c:pt>
                <c:pt idx="574">
                  <c:v>31juil.2010</c:v>
                </c:pt>
                <c:pt idx="575">
                  <c:v>1-Aug-10</c:v>
                </c:pt>
                <c:pt idx="576">
                  <c:v>2-Aug-10</c:v>
                </c:pt>
                <c:pt idx="577">
                  <c:v>3-Aug-10</c:v>
                </c:pt>
                <c:pt idx="578">
                  <c:v>4-Aug-10</c:v>
                </c:pt>
                <c:pt idx="579">
                  <c:v>5-Aug-10</c:v>
                </c:pt>
                <c:pt idx="580">
                  <c:v>6-Aug-10</c:v>
                </c:pt>
                <c:pt idx="581">
                  <c:v>7-Aug-10</c:v>
                </c:pt>
                <c:pt idx="582">
                  <c:v>8-Aug-10</c:v>
                </c:pt>
                <c:pt idx="583">
                  <c:v>9-Aug-10</c:v>
                </c:pt>
                <c:pt idx="584">
                  <c:v>10-Aug-10</c:v>
                </c:pt>
                <c:pt idx="585">
                  <c:v>11-Aug-10</c:v>
                </c:pt>
                <c:pt idx="586">
                  <c:v>12-Aug-10</c:v>
                </c:pt>
                <c:pt idx="587">
                  <c:v>13-Aug-10</c:v>
                </c:pt>
                <c:pt idx="588">
                  <c:v>14-Aug-10</c:v>
                </c:pt>
                <c:pt idx="589">
                  <c:v>15-Aug-10</c:v>
                </c:pt>
                <c:pt idx="590">
                  <c:v>16-Aug-10</c:v>
                </c:pt>
                <c:pt idx="591">
                  <c:v>17-Aug-10</c:v>
                </c:pt>
                <c:pt idx="592">
                  <c:v>18-Aug-10</c:v>
                </c:pt>
                <c:pt idx="593">
                  <c:v>19-Aug-10</c:v>
                </c:pt>
                <c:pt idx="594">
                  <c:v>20-Aug-10</c:v>
                </c:pt>
                <c:pt idx="595">
                  <c:v>21-Aug-10</c:v>
                </c:pt>
                <c:pt idx="596">
                  <c:v>22-Aug-10</c:v>
                </c:pt>
                <c:pt idx="597">
                  <c:v>23-Aug-10</c:v>
                </c:pt>
                <c:pt idx="598">
                  <c:v>24-Aug-10</c:v>
                </c:pt>
                <c:pt idx="599">
                  <c:v>25-Aug-10</c:v>
                </c:pt>
                <c:pt idx="600">
                  <c:v>26-Aug-10</c:v>
                </c:pt>
                <c:pt idx="601">
                  <c:v>27-Aug-10</c:v>
                </c:pt>
                <c:pt idx="602">
                  <c:v>28-Aug-10</c:v>
                </c:pt>
                <c:pt idx="603">
                  <c:v>29-Aug-10</c:v>
                </c:pt>
                <c:pt idx="604">
                  <c:v>30-Aug-10</c:v>
                </c:pt>
                <c:pt idx="605">
                  <c:v>31-Aug-10</c:v>
                </c:pt>
                <c:pt idx="606">
                  <c:v>01sept.2010</c:v>
                </c:pt>
                <c:pt idx="607">
                  <c:v>02sept.2010</c:v>
                </c:pt>
                <c:pt idx="608">
                  <c:v>03sept.2010</c:v>
                </c:pt>
                <c:pt idx="609">
                  <c:v>04sept.2010</c:v>
                </c:pt>
                <c:pt idx="610">
                  <c:v>05sept.2010</c:v>
                </c:pt>
                <c:pt idx="611">
                  <c:v>06sept.2010</c:v>
                </c:pt>
                <c:pt idx="612">
                  <c:v>07sept.2010</c:v>
                </c:pt>
                <c:pt idx="613">
                  <c:v>08sept.2010</c:v>
                </c:pt>
                <c:pt idx="614">
                  <c:v>09sept.2010</c:v>
                </c:pt>
                <c:pt idx="615">
                  <c:v>10sept.2010</c:v>
                </c:pt>
                <c:pt idx="616">
                  <c:v>11sept.2010</c:v>
                </c:pt>
                <c:pt idx="617">
                  <c:v>12sept.2010</c:v>
                </c:pt>
                <c:pt idx="618">
                  <c:v>13sept.2010</c:v>
                </c:pt>
                <c:pt idx="619">
                  <c:v>14sept.2010</c:v>
                </c:pt>
                <c:pt idx="620">
                  <c:v>15sept.2010</c:v>
                </c:pt>
                <c:pt idx="621">
                  <c:v>16sept.2010</c:v>
                </c:pt>
                <c:pt idx="622">
                  <c:v>17sept.2010</c:v>
                </c:pt>
                <c:pt idx="623">
                  <c:v>18sept.2010</c:v>
                </c:pt>
                <c:pt idx="624">
                  <c:v>19sept.2010</c:v>
                </c:pt>
                <c:pt idx="625">
                  <c:v>20sept.2010</c:v>
                </c:pt>
                <c:pt idx="626">
                  <c:v>21sept.2010</c:v>
                </c:pt>
                <c:pt idx="627">
                  <c:v>22sept.2010</c:v>
                </c:pt>
                <c:pt idx="628">
                  <c:v>23sept.2010</c:v>
                </c:pt>
                <c:pt idx="629">
                  <c:v>24sept.2010</c:v>
                </c:pt>
                <c:pt idx="630">
                  <c:v>25sept.2010</c:v>
                </c:pt>
                <c:pt idx="631">
                  <c:v>26sept.2010</c:v>
                </c:pt>
                <c:pt idx="632">
                  <c:v>27sept.2010</c:v>
                </c:pt>
                <c:pt idx="633">
                  <c:v>28sept.2010</c:v>
                </c:pt>
                <c:pt idx="634">
                  <c:v>29sept.2010</c:v>
                </c:pt>
                <c:pt idx="635">
                  <c:v>30sept.2010</c:v>
                </c:pt>
                <c:pt idx="636">
                  <c:v>01oct.2010</c:v>
                </c:pt>
                <c:pt idx="637">
                  <c:v>02oct.2010</c:v>
                </c:pt>
                <c:pt idx="638">
                  <c:v>03oct.2010</c:v>
                </c:pt>
                <c:pt idx="639">
                  <c:v>04oct.2010</c:v>
                </c:pt>
                <c:pt idx="640">
                  <c:v>05oct.2010</c:v>
                </c:pt>
                <c:pt idx="641">
                  <c:v>06oct.2010</c:v>
                </c:pt>
                <c:pt idx="642">
                  <c:v>07oct.2010</c:v>
                </c:pt>
                <c:pt idx="643">
                  <c:v>08oct.2010</c:v>
                </c:pt>
                <c:pt idx="644">
                  <c:v>09oct.2010</c:v>
                </c:pt>
                <c:pt idx="645">
                  <c:v>10oct.2010</c:v>
                </c:pt>
                <c:pt idx="646">
                  <c:v>11oct.2010</c:v>
                </c:pt>
                <c:pt idx="647">
                  <c:v>12oct.2010</c:v>
                </c:pt>
                <c:pt idx="648">
                  <c:v>13oct.2010</c:v>
                </c:pt>
                <c:pt idx="649">
                  <c:v>14oct.2010</c:v>
                </c:pt>
                <c:pt idx="650">
                  <c:v>15oct.2010</c:v>
                </c:pt>
                <c:pt idx="651">
                  <c:v>16oct.2010</c:v>
                </c:pt>
                <c:pt idx="652">
                  <c:v>17oct.2010</c:v>
                </c:pt>
                <c:pt idx="653">
                  <c:v>18oct.2010</c:v>
                </c:pt>
                <c:pt idx="654">
                  <c:v>19oct.2010</c:v>
                </c:pt>
                <c:pt idx="655">
                  <c:v>20oct.2010</c:v>
                </c:pt>
                <c:pt idx="656">
                  <c:v>21oct.2010</c:v>
                </c:pt>
                <c:pt idx="657">
                  <c:v>22oct.2010</c:v>
                </c:pt>
                <c:pt idx="658">
                  <c:v>23oct.2010</c:v>
                </c:pt>
                <c:pt idx="659">
                  <c:v>24oct.2010</c:v>
                </c:pt>
                <c:pt idx="660">
                  <c:v>25oct.2010</c:v>
                </c:pt>
                <c:pt idx="661">
                  <c:v>26oct.2010</c:v>
                </c:pt>
                <c:pt idx="662">
                  <c:v>27oct.2010</c:v>
                </c:pt>
                <c:pt idx="663">
                  <c:v>28oct.2010</c:v>
                </c:pt>
                <c:pt idx="664">
                  <c:v>29oct.2010</c:v>
                </c:pt>
                <c:pt idx="665">
                  <c:v>30oct.2010</c:v>
                </c:pt>
                <c:pt idx="666">
                  <c:v>31oct.2010</c:v>
                </c:pt>
                <c:pt idx="667">
                  <c:v>01nov.2010</c:v>
                </c:pt>
                <c:pt idx="668">
                  <c:v>02nov.2010</c:v>
                </c:pt>
                <c:pt idx="669">
                  <c:v>03nov.2010</c:v>
                </c:pt>
                <c:pt idx="670">
                  <c:v>04nov.2010</c:v>
                </c:pt>
                <c:pt idx="671">
                  <c:v>05nov.2010</c:v>
                </c:pt>
                <c:pt idx="672">
                  <c:v>06nov.2010</c:v>
                </c:pt>
                <c:pt idx="673">
                  <c:v>07nov.2010</c:v>
                </c:pt>
                <c:pt idx="674">
                  <c:v>08nov.2010</c:v>
                </c:pt>
                <c:pt idx="675">
                  <c:v>09nov.2010</c:v>
                </c:pt>
                <c:pt idx="676">
                  <c:v>10nov.2010</c:v>
                </c:pt>
                <c:pt idx="677">
                  <c:v>11nov.2010</c:v>
                </c:pt>
                <c:pt idx="678">
                  <c:v>12nov.2010</c:v>
                </c:pt>
                <c:pt idx="679">
                  <c:v>13nov.2010</c:v>
                </c:pt>
                <c:pt idx="680">
                  <c:v>14nov.2010</c:v>
                </c:pt>
                <c:pt idx="681">
                  <c:v>15nov.2010</c:v>
                </c:pt>
                <c:pt idx="682">
                  <c:v>16nov.2010</c:v>
                </c:pt>
                <c:pt idx="683">
                  <c:v>17nov.2010</c:v>
                </c:pt>
                <c:pt idx="684">
                  <c:v>18nov.2010</c:v>
                </c:pt>
                <c:pt idx="685">
                  <c:v>19nov.2010</c:v>
                </c:pt>
                <c:pt idx="686">
                  <c:v>20nov.2010</c:v>
                </c:pt>
                <c:pt idx="687">
                  <c:v>21nov.2010</c:v>
                </c:pt>
                <c:pt idx="688">
                  <c:v>22nov.2010</c:v>
                </c:pt>
                <c:pt idx="689">
                  <c:v>23nov.2010</c:v>
                </c:pt>
                <c:pt idx="690">
                  <c:v>24nov.2010</c:v>
                </c:pt>
                <c:pt idx="691">
                  <c:v>25nov.2010</c:v>
                </c:pt>
                <c:pt idx="692">
                  <c:v>26nov.2010</c:v>
                </c:pt>
                <c:pt idx="693">
                  <c:v>27nov.2010</c:v>
                </c:pt>
                <c:pt idx="694">
                  <c:v>28nov.2010</c:v>
                </c:pt>
                <c:pt idx="695">
                  <c:v>29nov.2010</c:v>
                </c:pt>
                <c:pt idx="696">
                  <c:v>30nov.2010</c:v>
                </c:pt>
                <c:pt idx="697">
                  <c:v>01déc.2010</c:v>
                </c:pt>
                <c:pt idx="698">
                  <c:v>02déc.2010</c:v>
                </c:pt>
                <c:pt idx="699">
                  <c:v>03déc.2010</c:v>
                </c:pt>
                <c:pt idx="700">
                  <c:v>04déc.2010</c:v>
                </c:pt>
                <c:pt idx="701">
                  <c:v>05déc.2010</c:v>
                </c:pt>
                <c:pt idx="702">
                  <c:v>06déc.2010</c:v>
                </c:pt>
                <c:pt idx="703">
                  <c:v>07déc.2010</c:v>
                </c:pt>
                <c:pt idx="704">
                  <c:v>08déc.2010</c:v>
                </c:pt>
                <c:pt idx="705">
                  <c:v>09déc.2010</c:v>
                </c:pt>
                <c:pt idx="706">
                  <c:v>10déc.2010</c:v>
                </c:pt>
                <c:pt idx="707">
                  <c:v>11déc.2010</c:v>
                </c:pt>
                <c:pt idx="708">
                  <c:v>12déc.2010</c:v>
                </c:pt>
                <c:pt idx="709">
                  <c:v>13déc.2010</c:v>
                </c:pt>
                <c:pt idx="710">
                  <c:v>14déc.2010</c:v>
                </c:pt>
                <c:pt idx="711">
                  <c:v>15déc.2010</c:v>
                </c:pt>
                <c:pt idx="712">
                  <c:v>16déc.2010</c:v>
                </c:pt>
                <c:pt idx="713">
                  <c:v>17déc.2010</c:v>
                </c:pt>
                <c:pt idx="714">
                  <c:v>18déc.2010</c:v>
                </c:pt>
                <c:pt idx="715">
                  <c:v>19déc.2010</c:v>
                </c:pt>
                <c:pt idx="716">
                  <c:v>20déc.2010</c:v>
                </c:pt>
                <c:pt idx="717">
                  <c:v>21déc.2010</c:v>
                </c:pt>
                <c:pt idx="718">
                  <c:v>22déc.2010</c:v>
                </c:pt>
                <c:pt idx="719">
                  <c:v>23déc.2010</c:v>
                </c:pt>
                <c:pt idx="720">
                  <c:v>24déc.2010</c:v>
                </c:pt>
                <c:pt idx="721">
                  <c:v>25déc.2010</c:v>
                </c:pt>
                <c:pt idx="722">
                  <c:v>26déc.2010</c:v>
                </c:pt>
                <c:pt idx="723">
                  <c:v>27déc.2010</c:v>
                </c:pt>
                <c:pt idx="724">
                  <c:v>28déc.2010</c:v>
                </c:pt>
                <c:pt idx="725">
                  <c:v>29déc.2010</c:v>
                </c:pt>
                <c:pt idx="726">
                  <c:v>30déc.2010</c:v>
                </c:pt>
                <c:pt idx="727">
                  <c:v>31déc.2010</c:v>
                </c:pt>
                <c:pt idx="728">
                  <c:v>01janv.2011</c:v>
                </c:pt>
                <c:pt idx="729">
                  <c:v>02janv.2011</c:v>
                </c:pt>
                <c:pt idx="730">
                  <c:v>03janv.2011</c:v>
                </c:pt>
                <c:pt idx="731">
                  <c:v>04janv.2011</c:v>
                </c:pt>
                <c:pt idx="732">
                  <c:v>05janv.2011</c:v>
                </c:pt>
                <c:pt idx="733">
                  <c:v>06janv.2011</c:v>
                </c:pt>
                <c:pt idx="734">
                  <c:v>07janv.2011</c:v>
                </c:pt>
                <c:pt idx="735">
                  <c:v>08janv.2011</c:v>
                </c:pt>
                <c:pt idx="736">
                  <c:v>09janv.2011</c:v>
                </c:pt>
                <c:pt idx="737">
                  <c:v>10janv.2011</c:v>
                </c:pt>
                <c:pt idx="738">
                  <c:v>11janv.2011</c:v>
                </c:pt>
                <c:pt idx="739">
                  <c:v>12janv.2011</c:v>
                </c:pt>
                <c:pt idx="740">
                  <c:v>13janv.2011</c:v>
                </c:pt>
                <c:pt idx="741">
                  <c:v>14janv.2011</c:v>
                </c:pt>
                <c:pt idx="742">
                  <c:v>15janv.2011</c:v>
                </c:pt>
                <c:pt idx="743">
                  <c:v>16janv.2011</c:v>
                </c:pt>
                <c:pt idx="744">
                  <c:v>17janv.2011</c:v>
                </c:pt>
                <c:pt idx="745">
                  <c:v>18janv.2011</c:v>
                </c:pt>
                <c:pt idx="746">
                  <c:v>19janv.2011</c:v>
                </c:pt>
                <c:pt idx="747">
                  <c:v>20janv.2011</c:v>
                </c:pt>
                <c:pt idx="748">
                  <c:v>21janv.2011</c:v>
                </c:pt>
                <c:pt idx="749">
                  <c:v>22janv.2011</c:v>
                </c:pt>
                <c:pt idx="750">
                  <c:v>23janv.2011</c:v>
                </c:pt>
                <c:pt idx="751">
                  <c:v>24janv.2011</c:v>
                </c:pt>
                <c:pt idx="752">
                  <c:v>25janv.2011</c:v>
                </c:pt>
                <c:pt idx="753">
                  <c:v>26janv.2011</c:v>
                </c:pt>
                <c:pt idx="754">
                  <c:v>27janv.2011</c:v>
                </c:pt>
                <c:pt idx="755">
                  <c:v>28janv.2011</c:v>
                </c:pt>
                <c:pt idx="756">
                  <c:v>29janv.2011</c:v>
                </c:pt>
                <c:pt idx="757">
                  <c:v>30janv.2011</c:v>
                </c:pt>
                <c:pt idx="758">
                  <c:v>31janv.2011</c:v>
                </c:pt>
                <c:pt idx="759">
                  <c:v>01févr.2011</c:v>
                </c:pt>
                <c:pt idx="760">
                  <c:v>02févr.2011</c:v>
                </c:pt>
                <c:pt idx="761">
                  <c:v>03févr.2011</c:v>
                </c:pt>
                <c:pt idx="762">
                  <c:v>04févr.2011</c:v>
                </c:pt>
                <c:pt idx="763">
                  <c:v>05févr.2011</c:v>
                </c:pt>
                <c:pt idx="764">
                  <c:v>06févr.2011</c:v>
                </c:pt>
                <c:pt idx="765">
                  <c:v>07févr.2011</c:v>
                </c:pt>
                <c:pt idx="766">
                  <c:v>08févr.2011</c:v>
                </c:pt>
                <c:pt idx="767">
                  <c:v>09févr.2011</c:v>
                </c:pt>
                <c:pt idx="768">
                  <c:v>10févr.2011</c:v>
                </c:pt>
                <c:pt idx="769">
                  <c:v>11févr.2011</c:v>
                </c:pt>
                <c:pt idx="770">
                  <c:v>12févr.2011</c:v>
                </c:pt>
                <c:pt idx="771">
                  <c:v>13févr.2011</c:v>
                </c:pt>
                <c:pt idx="772">
                  <c:v>14févr.2011</c:v>
                </c:pt>
                <c:pt idx="773">
                  <c:v>15févr.2011</c:v>
                </c:pt>
                <c:pt idx="774">
                  <c:v>16févr.2011</c:v>
                </c:pt>
                <c:pt idx="775">
                  <c:v>17févr.2011</c:v>
                </c:pt>
                <c:pt idx="776">
                  <c:v>18févr.2011</c:v>
                </c:pt>
                <c:pt idx="777">
                  <c:v>19févr.2011</c:v>
                </c:pt>
                <c:pt idx="778">
                  <c:v>20févr.2011</c:v>
                </c:pt>
                <c:pt idx="779">
                  <c:v>21févr.2011</c:v>
                </c:pt>
                <c:pt idx="780">
                  <c:v>22févr.2011</c:v>
                </c:pt>
                <c:pt idx="781">
                  <c:v>23févr.2011</c:v>
                </c:pt>
                <c:pt idx="782">
                  <c:v>24févr.2011</c:v>
                </c:pt>
                <c:pt idx="783">
                  <c:v>25févr.2011</c:v>
                </c:pt>
                <c:pt idx="784">
                  <c:v>26févr.2011</c:v>
                </c:pt>
                <c:pt idx="785">
                  <c:v>27févr.2011</c:v>
                </c:pt>
                <c:pt idx="786">
                  <c:v>28févr.2011</c:v>
                </c:pt>
                <c:pt idx="787">
                  <c:v>1-Mar-11</c:v>
                </c:pt>
                <c:pt idx="788">
                  <c:v>2-Mar-11</c:v>
                </c:pt>
                <c:pt idx="789">
                  <c:v>3-Mar-11</c:v>
                </c:pt>
                <c:pt idx="790">
                  <c:v>4-Mar-11</c:v>
                </c:pt>
                <c:pt idx="791">
                  <c:v>5-Mar-11</c:v>
                </c:pt>
                <c:pt idx="792">
                  <c:v>6-Mar-11</c:v>
                </c:pt>
                <c:pt idx="793">
                  <c:v>7-Mar-11</c:v>
                </c:pt>
                <c:pt idx="794">
                  <c:v>8-Mar-11</c:v>
                </c:pt>
                <c:pt idx="795">
                  <c:v>9-Mar-11</c:v>
                </c:pt>
                <c:pt idx="796">
                  <c:v>10-Mar-11</c:v>
                </c:pt>
                <c:pt idx="797">
                  <c:v>11-Mar-11</c:v>
                </c:pt>
                <c:pt idx="798">
                  <c:v>12-Mar-11</c:v>
                </c:pt>
                <c:pt idx="799">
                  <c:v>13-Mar-11</c:v>
                </c:pt>
                <c:pt idx="800">
                  <c:v>14-Mar-11</c:v>
                </c:pt>
                <c:pt idx="801">
                  <c:v>15-Mar-11</c:v>
                </c:pt>
                <c:pt idx="802">
                  <c:v>16-Mar-11</c:v>
                </c:pt>
                <c:pt idx="803">
                  <c:v>17-Mar-11</c:v>
                </c:pt>
                <c:pt idx="804">
                  <c:v>18-Mar-11</c:v>
                </c:pt>
                <c:pt idx="805">
                  <c:v>19-Mar-11</c:v>
                </c:pt>
                <c:pt idx="806">
                  <c:v>20-Mar-11</c:v>
                </c:pt>
                <c:pt idx="807">
                  <c:v>21-Mar-11</c:v>
                </c:pt>
                <c:pt idx="808">
                  <c:v>22-Mar-11</c:v>
                </c:pt>
                <c:pt idx="809">
                  <c:v>23-Mar-11</c:v>
                </c:pt>
                <c:pt idx="810">
                  <c:v>24-Mar-11</c:v>
                </c:pt>
                <c:pt idx="811">
                  <c:v>25-Mar-11</c:v>
                </c:pt>
                <c:pt idx="812">
                  <c:v>26-Mar-11</c:v>
                </c:pt>
                <c:pt idx="813">
                  <c:v>27-Mar-11</c:v>
                </c:pt>
                <c:pt idx="814">
                  <c:v>28-Mar-11</c:v>
                </c:pt>
                <c:pt idx="815">
                  <c:v>29-Mar-11</c:v>
                </c:pt>
                <c:pt idx="816">
                  <c:v>30-Mar-11</c:v>
                </c:pt>
                <c:pt idx="817">
                  <c:v>31-Mar-11</c:v>
                </c:pt>
                <c:pt idx="818">
                  <c:v>01avr.2011</c:v>
                </c:pt>
                <c:pt idx="819">
                  <c:v>02avr.2011</c:v>
                </c:pt>
                <c:pt idx="820">
                  <c:v>03avr.2011</c:v>
                </c:pt>
                <c:pt idx="821">
                  <c:v>04avr.2011</c:v>
                </c:pt>
                <c:pt idx="822">
                  <c:v>05avr.2011</c:v>
                </c:pt>
                <c:pt idx="823">
                  <c:v>06avr.2011</c:v>
                </c:pt>
                <c:pt idx="824">
                  <c:v>07avr.2011</c:v>
                </c:pt>
                <c:pt idx="825">
                  <c:v>08avr.2011</c:v>
                </c:pt>
                <c:pt idx="826">
                  <c:v>09avr.2011</c:v>
                </c:pt>
                <c:pt idx="827">
                  <c:v>10avr.2011</c:v>
                </c:pt>
                <c:pt idx="828">
                  <c:v>11avr.2011</c:v>
                </c:pt>
                <c:pt idx="829">
                  <c:v>12avr.2011</c:v>
                </c:pt>
                <c:pt idx="830">
                  <c:v>13avr.2011</c:v>
                </c:pt>
                <c:pt idx="831">
                  <c:v>14avr.2011</c:v>
                </c:pt>
                <c:pt idx="832">
                  <c:v>15avr.2011</c:v>
                </c:pt>
                <c:pt idx="833">
                  <c:v>16avr.2011</c:v>
                </c:pt>
                <c:pt idx="834">
                  <c:v>17avr.2011</c:v>
                </c:pt>
                <c:pt idx="835">
                  <c:v>18avr.2011</c:v>
                </c:pt>
                <c:pt idx="836">
                  <c:v>19avr.2011</c:v>
                </c:pt>
                <c:pt idx="837">
                  <c:v>20avr.2011</c:v>
                </c:pt>
                <c:pt idx="838">
                  <c:v>21avr.2011</c:v>
                </c:pt>
                <c:pt idx="839">
                  <c:v>22avr.2011</c:v>
                </c:pt>
                <c:pt idx="840">
                  <c:v>23avr.2011</c:v>
                </c:pt>
                <c:pt idx="841">
                  <c:v>24avr.2011</c:v>
                </c:pt>
                <c:pt idx="842">
                  <c:v>25avr.2011</c:v>
                </c:pt>
                <c:pt idx="843">
                  <c:v>26avr.2011</c:v>
                </c:pt>
                <c:pt idx="844">
                  <c:v>27avr.2011</c:v>
                </c:pt>
                <c:pt idx="845">
                  <c:v>28avr.2011</c:v>
                </c:pt>
                <c:pt idx="846">
                  <c:v>29avr.2011</c:v>
                </c:pt>
                <c:pt idx="847">
                  <c:v>30avr.2011</c:v>
                </c:pt>
                <c:pt idx="848">
                  <c:v>1-May-11</c:v>
                </c:pt>
                <c:pt idx="849">
                  <c:v>2-May-11</c:v>
                </c:pt>
                <c:pt idx="850">
                  <c:v>3-May-11</c:v>
                </c:pt>
                <c:pt idx="851">
                  <c:v>4-May-11</c:v>
                </c:pt>
                <c:pt idx="852">
                  <c:v>5-May-11</c:v>
                </c:pt>
                <c:pt idx="853">
                  <c:v>6-May-11</c:v>
                </c:pt>
                <c:pt idx="854">
                  <c:v>7-May-11</c:v>
                </c:pt>
                <c:pt idx="855">
                  <c:v>8-May-11</c:v>
                </c:pt>
                <c:pt idx="856">
                  <c:v>9-May-11</c:v>
                </c:pt>
                <c:pt idx="857">
                  <c:v>10-May-11</c:v>
                </c:pt>
                <c:pt idx="858">
                  <c:v>11-May-11</c:v>
                </c:pt>
                <c:pt idx="859">
                  <c:v>12-May-11</c:v>
                </c:pt>
                <c:pt idx="860">
                  <c:v>13-May-11</c:v>
                </c:pt>
                <c:pt idx="861">
                  <c:v>14-May-11</c:v>
                </c:pt>
                <c:pt idx="862">
                  <c:v>15-May-11</c:v>
                </c:pt>
                <c:pt idx="863">
                  <c:v>16-May-11</c:v>
                </c:pt>
                <c:pt idx="864">
                  <c:v>17-May-11</c:v>
                </c:pt>
                <c:pt idx="865">
                  <c:v>18-May-11</c:v>
                </c:pt>
                <c:pt idx="866">
                  <c:v>19-May-11</c:v>
                </c:pt>
                <c:pt idx="867">
                  <c:v>20-May-11</c:v>
                </c:pt>
                <c:pt idx="868">
                  <c:v>21-May-11</c:v>
                </c:pt>
                <c:pt idx="869">
                  <c:v>22-May-11</c:v>
                </c:pt>
                <c:pt idx="870">
                  <c:v>23-May-11</c:v>
                </c:pt>
                <c:pt idx="871">
                  <c:v>24-May-11</c:v>
                </c:pt>
                <c:pt idx="872">
                  <c:v>25-May-11</c:v>
                </c:pt>
                <c:pt idx="873">
                  <c:v>26-May-11</c:v>
                </c:pt>
                <c:pt idx="874">
                  <c:v>27-May-11</c:v>
                </c:pt>
                <c:pt idx="875">
                  <c:v>28-May-11</c:v>
                </c:pt>
                <c:pt idx="876">
                  <c:v>29-May-11</c:v>
                </c:pt>
                <c:pt idx="877">
                  <c:v>30-May-11</c:v>
                </c:pt>
                <c:pt idx="878">
                  <c:v>31-May-11</c:v>
                </c:pt>
                <c:pt idx="879">
                  <c:v>1-Jun-11</c:v>
                </c:pt>
                <c:pt idx="880">
                  <c:v>2-Jun-11</c:v>
                </c:pt>
                <c:pt idx="881">
                  <c:v>3-Jun-11</c:v>
                </c:pt>
                <c:pt idx="882">
                  <c:v>4-Jun-11</c:v>
                </c:pt>
                <c:pt idx="883">
                  <c:v>5-Jun-11</c:v>
                </c:pt>
                <c:pt idx="884">
                  <c:v>6-Jun-11</c:v>
                </c:pt>
                <c:pt idx="885">
                  <c:v>7-Jun-11</c:v>
                </c:pt>
                <c:pt idx="886">
                  <c:v>8-Jun-11</c:v>
                </c:pt>
                <c:pt idx="887">
                  <c:v>9-Jun-11</c:v>
                </c:pt>
                <c:pt idx="888">
                  <c:v>10-Jun-11</c:v>
                </c:pt>
                <c:pt idx="889">
                  <c:v>11-Jun-11</c:v>
                </c:pt>
                <c:pt idx="890">
                  <c:v>12-Jun-11</c:v>
                </c:pt>
                <c:pt idx="891">
                  <c:v>13-Jun-11</c:v>
                </c:pt>
                <c:pt idx="892">
                  <c:v>14-Jun-11</c:v>
                </c:pt>
                <c:pt idx="893">
                  <c:v>15-Jun-11</c:v>
                </c:pt>
                <c:pt idx="894">
                  <c:v>16-Jun-11</c:v>
                </c:pt>
                <c:pt idx="895">
                  <c:v>17-Jun-11</c:v>
                </c:pt>
                <c:pt idx="896">
                  <c:v>18-Jun-11</c:v>
                </c:pt>
                <c:pt idx="897">
                  <c:v>19-Jun-11</c:v>
                </c:pt>
                <c:pt idx="898">
                  <c:v>20-Jun-11</c:v>
                </c:pt>
                <c:pt idx="899">
                  <c:v>21-Jun-11</c:v>
                </c:pt>
                <c:pt idx="900">
                  <c:v>22-Jun-11</c:v>
                </c:pt>
                <c:pt idx="901">
                  <c:v>23-Jun-11</c:v>
                </c:pt>
                <c:pt idx="902">
                  <c:v>24-Jun-11</c:v>
                </c:pt>
                <c:pt idx="903">
                  <c:v>25-Jun-11</c:v>
                </c:pt>
                <c:pt idx="904">
                  <c:v>26-Jun-11</c:v>
                </c:pt>
                <c:pt idx="905">
                  <c:v>27-Jun-11</c:v>
                </c:pt>
                <c:pt idx="906">
                  <c:v>28-Jun-11</c:v>
                </c:pt>
                <c:pt idx="907">
                  <c:v>29-Jun-11</c:v>
                </c:pt>
                <c:pt idx="908">
                  <c:v>30-Jun-11</c:v>
                </c:pt>
                <c:pt idx="909">
                  <c:v>01juil.2011</c:v>
                </c:pt>
                <c:pt idx="910">
                  <c:v>02juil.2011</c:v>
                </c:pt>
                <c:pt idx="911">
                  <c:v>03juil.2011</c:v>
                </c:pt>
                <c:pt idx="912">
                  <c:v>04juil.2011</c:v>
                </c:pt>
                <c:pt idx="913">
                  <c:v>05juil.2011</c:v>
                </c:pt>
                <c:pt idx="914">
                  <c:v>06juil.2011</c:v>
                </c:pt>
                <c:pt idx="915">
                  <c:v>07juil.2011</c:v>
                </c:pt>
                <c:pt idx="916">
                  <c:v>08juil.2011</c:v>
                </c:pt>
                <c:pt idx="917">
                  <c:v>09juil.2011</c:v>
                </c:pt>
                <c:pt idx="918">
                  <c:v>10juil.2011</c:v>
                </c:pt>
                <c:pt idx="919">
                  <c:v>11juil.2011</c:v>
                </c:pt>
                <c:pt idx="920">
                  <c:v>12juil.2011</c:v>
                </c:pt>
                <c:pt idx="921">
                  <c:v>13juil.2011</c:v>
                </c:pt>
                <c:pt idx="922">
                  <c:v>14juil.2011</c:v>
                </c:pt>
                <c:pt idx="923">
                  <c:v>15juil.2011</c:v>
                </c:pt>
                <c:pt idx="924">
                  <c:v>16juil.2011</c:v>
                </c:pt>
                <c:pt idx="925">
                  <c:v>17juil.2011</c:v>
                </c:pt>
                <c:pt idx="926">
                  <c:v>18juil.2011</c:v>
                </c:pt>
                <c:pt idx="927">
                  <c:v>19juil.2011</c:v>
                </c:pt>
                <c:pt idx="928">
                  <c:v>20juil.2011</c:v>
                </c:pt>
                <c:pt idx="929">
                  <c:v>21juil.2011</c:v>
                </c:pt>
                <c:pt idx="930">
                  <c:v>22juil.2011</c:v>
                </c:pt>
                <c:pt idx="931">
                  <c:v>23juil.2011</c:v>
                </c:pt>
                <c:pt idx="932">
                  <c:v>24juil.2011</c:v>
                </c:pt>
                <c:pt idx="933">
                  <c:v>25juil.2011</c:v>
                </c:pt>
                <c:pt idx="934">
                  <c:v>26juil.2011</c:v>
                </c:pt>
                <c:pt idx="935">
                  <c:v>27juil.2011</c:v>
                </c:pt>
                <c:pt idx="936">
                  <c:v>28juil.2011</c:v>
                </c:pt>
                <c:pt idx="937">
                  <c:v>29juil.2011</c:v>
                </c:pt>
                <c:pt idx="938">
                  <c:v>30juil.2011</c:v>
                </c:pt>
                <c:pt idx="939">
                  <c:v>31juil.2011</c:v>
                </c:pt>
                <c:pt idx="940">
                  <c:v>1-Aug-11</c:v>
                </c:pt>
                <c:pt idx="941">
                  <c:v>2-Aug-11</c:v>
                </c:pt>
                <c:pt idx="942">
                  <c:v>3-Aug-11</c:v>
                </c:pt>
                <c:pt idx="943">
                  <c:v>4-Aug-11</c:v>
                </c:pt>
                <c:pt idx="944">
                  <c:v>5-Aug-11</c:v>
                </c:pt>
                <c:pt idx="945">
                  <c:v>6-Aug-11</c:v>
                </c:pt>
                <c:pt idx="946">
                  <c:v>7-Aug-11</c:v>
                </c:pt>
                <c:pt idx="947">
                  <c:v>8-Aug-11</c:v>
                </c:pt>
                <c:pt idx="948">
                  <c:v>9-Aug-11</c:v>
                </c:pt>
                <c:pt idx="949">
                  <c:v>10-Aug-11</c:v>
                </c:pt>
                <c:pt idx="950">
                  <c:v>11-Aug-11</c:v>
                </c:pt>
                <c:pt idx="951">
                  <c:v>12-Aug-11</c:v>
                </c:pt>
                <c:pt idx="952">
                  <c:v>13-Aug-11</c:v>
                </c:pt>
                <c:pt idx="953">
                  <c:v>14-Aug-11</c:v>
                </c:pt>
                <c:pt idx="954">
                  <c:v>15-Aug-11</c:v>
                </c:pt>
                <c:pt idx="955">
                  <c:v>16-Aug-11</c:v>
                </c:pt>
                <c:pt idx="956">
                  <c:v>17-Aug-11</c:v>
                </c:pt>
                <c:pt idx="957">
                  <c:v>18-Aug-11</c:v>
                </c:pt>
                <c:pt idx="958">
                  <c:v>19-Aug-11</c:v>
                </c:pt>
                <c:pt idx="959">
                  <c:v>20-Aug-11</c:v>
                </c:pt>
                <c:pt idx="960">
                  <c:v>21-Aug-11</c:v>
                </c:pt>
                <c:pt idx="961">
                  <c:v>22-Aug-11</c:v>
                </c:pt>
                <c:pt idx="962">
                  <c:v>23-Aug-11</c:v>
                </c:pt>
                <c:pt idx="963">
                  <c:v>24-Aug-11</c:v>
                </c:pt>
                <c:pt idx="964">
                  <c:v>25-Aug-11</c:v>
                </c:pt>
                <c:pt idx="965">
                  <c:v>26-Aug-11</c:v>
                </c:pt>
                <c:pt idx="966">
                  <c:v>27-Aug-11</c:v>
                </c:pt>
                <c:pt idx="967">
                  <c:v>28-Aug-11</c:v>
                </c:pt>
                <c:pt idx="968">
                  <c:v>29-Aug-11</c:v>
                </c:pt>
                <c:pt idx="969">
                  <c:v>30-Aug-11</c:v>
                </c:pt>
                <c:pt idx="970">
                  <c:v>31-Aug-11</c:v>
                </c:pt>
                <c:pt idx="971">
                  <c:v>01sept.2011</c:v>
                </c:pt>
                <c:pt idx="972">
                  <c:v>02sept.2011</c:v>
                </c:pt>
                <c:pt idx="973">
                  <c:v>03sept.2011</c:v>
                </c:pt>
                <c:pt idx="974">
                  <c:v>04sept.2011</c:v>
                </c:pt>
                <c:pt idx="975">
                  <c:v>05sept.2011</c:v>
                </c:pt>
                <c:pt idx="976">
                  <c:v>06sept.2011</c:v>
                </c:pt>
                <c:pt idx="977">
                  <c:v>07sept.2011</c:v>
                </c:pt>
                <c:pt idx="978">
                  <c:v>08sept.2011</c:v>
                </c:pt>
                <c:pt idx="979">
                  <c:v>09sept.2011</c:v>
                </c:pt>
                <c:pt idx="980">
                  <c:v>10sept.2011</c:v>
                </c:pt>
                <c:pt idx="981">
                  <c:v>11sept.2011</c:v>
                </c:pt>
                <c:pt idx="982">
                  <c:v>12sept.2011</c:v>
                </c:pt>
                <c:pt idx="983">
                  <c:v>13sept.2011</c:v>
                </c:pt>
                <c:pt idx="984">
                  <c:v>14sept.2011</c:v>
                </c:pt>
                <c:pt idx="985">
                  <c:v>15sept.2011</c:v>
                </c:pt>
                <c:pt idx="986">
                  <c:v>16sept.2011</c:v>
                </c:pt>
                <c:pt idx="987">
                  <c:v>17sept.2011</c:v>
                </c:pt>
                <c:pt idx="988">
                  <c:v>18sept.2011</c:v>
                </c:pt>
                <c:pt idx="989">
                  <c:v>19sept.2011</c:v>
                </c:pt>
                <c:pt idx="990">
                  <c:v>20sept.2011</c:v>
                </c:pt>
                <c:pt idx="991">
                  <c:v>21sept.2011</c:v>
                </c:pt>
                <c:pt idx="992">
                  <c:v>22sept.2011</c:v>
                </c:pt>
                <c:pt idx="993">
                  <c:v>23sept.2011</c:v>
                </c:pt>
                <c:pt idx="994">
                  <c:v>24sept.2011</c:v>
                </c:pt>
                <c:pt idx="995">
                  <c:v>25sept.2011</c:v>
                </c:pt>
                <c:pt idx="996">
                  <c:v>26sept.2011</c:v>
                </c:pt>
                <c:pt idx="997">
                  <c:v>27sept.2011</c:v>
                </c:pt>
                <c:pt idx="998">
                  <c:v>28sept.2011</c:v>
                </c:pt>
                <c:pt idx="999">
                  <c:v>29sept.2011</c:v>
                </c:pt>
                <c:pt idx="1000">
                  <c:v>30sept.2011</c:v>
                </c:pt>
                <c:pt idx="1001">
                  <c:v>01oct.2011</c:v>
                </c:pt>
                <c:pt idx="1002">
                  <c:v>02oct.2011</c:v>
                </c:pt>
                <c:pt idx="1003">
                  <c:v>03oct.2011</c:v>
                </c:pt>
                <c:pt idx="1004">
                  <c:v>04oct.2011</c:v>
                </c:pt>
                <c:pt idx="1005">
                  <c:v>05oct.2011</c:v>
                </c:pt>
                <c:pt idx="1006">
                  <c:v>06oct.2011</c:v>
                </c:pt>
                <c:pt idx="1007">
                  <c:v>07oct.2011</c:v>
                </c:pt>
                <c:pt idx="1008">
                  <c:v>08oct.2011</c:v>
                </c:pt>
                <c:pt idx="1009">
                  <c:v>09oct.2011</c:v>
                </c:pt>
                <c:pt idx="1010">
                  <c:v>10oct.2011</c:v>
                </c:pt>
                <c:pt idx="1011">
                  <c:v>11oct.2011</c:v>
                </c:pt>
                <c:pt idx="1012">
                  <c:v>12oct.2011</c:v>
                </c:pt>
                <c:pt idx="1013">
                  <c:v>13oct.2011</c:v>
                </c:pt>
                <c:pt idx="1014">
                  <c:v>14oct.2011</c:v>
                </c:pt>
                <c:pt idx="1015">
                  <c:v>15oct.2011</c:v>
                </c:pt>
                <c:pt idx="1016">
                  <c:v>16oct.2011</c:v>
                </c:pt>
                <c:pt idx="1017">
                  <c:v>17oct.2011</c:v>
                </c:pt>
                <c:pt idx="1018">
                  <c:v>18oct.2011</c:v>
                </c:pt>
                <c:pt idx="1019">
                  <c:v>19oct.2011</c:v>
                </c:pt>
                <c:pt idx="1020">
                  <c:v>20oct.2011</c:v>
                </c:pt>
                <c:pt idx="1021">
                  <c:v>21oct.2011</c:v>
                </c:pt>
                <c:pt idx="1022">
                  <c:v>22oct.2011</c:v>
                </c:pt>
                <c:pt idx="1023">
                  <c:v>23oct.2011</c:v>
                </c:pt>
                <c:pt idx="1024">
                  <c:v>24oct.2011</c:v>
                </c:pt>
                <c:pt idx="1025">
                  <c:v>25oct.2011</c:v>
                </c:pt>
                <c:pt idx="1026">
                  <c:v>26oct.2011</c:v>
                </c:pt>
                <c:pt idx="1027">
                  <c:v>27oct.2011</c:v>
                </c:pt>
                <c:pt idx="1028">
                  <c:v>28oct.2011</c:v>
                </c:pt>
                <c:pt idx="1029">
                  <c:v>29oct.2011</c:v>
                </c:pt>
                <c:pt idx="1030">
                  <c:v>30oct.2011</c:v>
                </c:pt>
                <c:pt idx="1031">
                  <c:v>31oct.2011</c:v>
                </c:pt>
                <c:pt idx="1032">
                  <c:v>01nov.2011</c:v>
                </c:pt>
                <c:pt idx="1033">
                  <c:v>02nov.2011</c:v>
                </c:pt>
                <c:pt idx="1034">
                  <c:v>03nov.2011</c:v>
                </c:pt>
                <c:pt idx="1035">
                  <c:v>04nov.2011</c:v>
                </c:pt>
                <c:pt idx="1036">
                  <c:v>05nov.2011</c:v>
                </c:pt>
                <c:pt idx="1037">
                  <c:v>06nov.2011</c:v>
                </c:pt>
                <c:pt idx="1038">
                  <c:v>07nov.2011</c:v>
                </c:pt>
                <c:pt idx="1039">
                  <c:v>08nov.2011</c:v>
                </c:pt>
                <c:pt idx="1040">
                  <c:v>09nov.2011</c:v>
                </c:pt>
                <c:pt idx="1041">
                  <c:v>10nov.2011</c:v>
                </c:pt>
                <c:pt idx="1042">
                  <c:v>11nov.2011</c:v>
                </c:pt>
                <c:pt idx="1043">
                  <c:v>12nov.2011</c:v>
                </c:pt>
                <c:pt idx="1044">
                  <c:v>13nov.2011</c:v>
                </c:pt>
                <c:pt idx="1045">
                  <c:v>14nov.2011</c:v>
                </c:pt>
                <c:pt idx="1046">
                  <c:v>15nov.2011</c:v>
                </c:pt>
                <c:pt idx="1047">
                  <c:v>16nov.2011</c:v>
                </c:pt>
                <c:pt idx="1048">
                  <c:v>17nov.2011</c:v>
                </c:pt>
                <c:pt idx="1049">
                  <c:v>18nov.2011</c:v>
                </c:pt>
                <c:pt idx="1050">
                  <c:v>19nov.2011</c:v>
                </c:pt>
                <c:pt idx="1051">
                  <c:v>20nov.2011</c:v>
                </c:pt>
                <c:pt idx="1052">
                  <c:v>21nov.2011</c:v>
                </c:pt>
                <c:pt idx="1053">
                  <c:v>22nov.2011</c:v>
                </c:pt>
                <c:pt idx="1054">
                  <c:v>23nov.2011</c:v>
                </c:pt>
                <c:pt idx="1055">
                  <c:v>24nov.2011</c:v>
                </c:pt>
                <c:pt idx="1056">
                  <c:v>25nov.2011</c:v>
                </c:pt>
                <c:pt idx="1057">
                  <c:v>26nov.2011</c:v>
                </c:pt>
                <c:pt idx="1058">
                  <c:v>27nov.2011</c:v>
                </c:pt>
                <c:pt idx="1059">
                  <c:v>28nov.2011</c:v>
                </c:pt>
                <c:pt idx="1060">
                  <c:v>29nov.2011</c:v>
                </c:pt>
                <c:pt idx="1061">
                  <c:v>30nov.2011</c:v>
                </c:pt>
                <c:pt idx="1062">
                  <c:v>01déc.2011</c:v>
                </c:pt>
                <c:pt idx="1063">
                  <c:v>02déc.2011</c:v>
                </c:pt>
                <c:pt idx="1064">
                  <c:v>03déc.2011</c:v>
                </c:pt>
                <c:pt idx="1065">
                  <c:v>04déc.2011</c:v>
                </c:pt>
                <c:pt idx="1066">
                  <c:v>05déc.2011</c:v>
                </c:pt>
                <c:pt idx="1067">
                  <c:v>06déc.2011</c:v>
                </c:pt>
                <c:pt idx="1068">
                  <c:v>07déc.2011</c:v>
                </c:pt>
                <c:pt idx="1069">
                  <c:v>08déc.2011</c:v>
                </c:pt>
                <c:pt idx="1070">
                  <c:v>09déc.2011</c:v>
                </c:pt>
                <c:pt idx="1071">
                  <c:v>10déc.2011</c:v>
                </c:pt>
                <c:pt idx="1072">
                  <c:v>11déc.2011</c:v>
                </c:pt>
                <c:pt idx="1073">
                  <c:v>12déc.2011</c:v>
                </c:pt>
                <c:pt idx="1074">
                  <c:v>13déc.2011</c:v>
                </c:pt>
                <c:pt idx="1075">
                  <c:v>14déc.2011</c:v>
                </c:pt>
                <c:pt idx="1076">
                  <c:v>15déc.2011</c:v>
                </c:pt>
                <c:pt idx="1077">
                  <c:v>16déc.2011</c:v>
                </c:pt>
                <c:pt idx="1078">
                  <c:v>17déc.2011</c:v>
                </c:pt>
                <c:pt idx="1079">
                  <c:v>18déc.2011</c:v>
                </c:pt>
                <c:pt idx="1080">
                  <c:v>19déc.2011</c:v>
                </c:pt>
                <c:pt idx="1081">
                  <c:v>20déc.2011</c:v>
                </c:pt>
                <c:pt idx="1082">
                  <c:v>21déc.2011</c:v>
                </c:pt>
                <c:pt idx="1083">
                  <c:v>22déc.2011</c:v>
                </c:pt>
                <c:pt idx="1084">
                  <c:v>23déc.2011</c:v>
                </c:pt>
                <c:pt idx="1085">
                  <c:v>24déc.2011</c:v>
                </c:pt>
                <c:pt idx="1086">
                  <c:v>25déc.2011</c:v>
                </c:pt>
                <c:pt idx="1087">
                  <c:v>26déc.2011</c:v>
                </c:pt>
                <c:pt idx="1088">
                  <c:v>27déc.2011</c:v>
                </c:pt>
                <c:pt idx="1089">
                  <c:v>28déc.2011</c:v>
                </c:pt>
                <c:pt idx="1090">
                  <c:v>29déc.2011</c:v>
                </c:pt>
                <c:pt idx="1091">
                  <c:v>30déc.2011</c:v>
                </c:pt>
                <c:pt idx="1092">
                  <c:v>31déc.2011</c:v>
                </c:pt>
                <c:pt idx="1093">
                  <c:v>01janv.2012</c:v>
                </c:pt>
                <c:pt idx="1094">
                  <c:v>02janv.2012</c:v>
                </c:pt>
                <c:pt idx="1095">
                  <c:v>03janv.2012</c:v>
                </c:pt>
                <c:pt idx="1096">
                  <c:v>04janv.2012</c:v>
                </c:pt>
                <c:pt idx="1097">
                  <c:v>05janv.2012</c:v>
                </c:pt>
                <c:pt idx="1098">
                  <c:v>06janv.2012</c:v>
                </c:pt>
                <c:pt idx="1099">
                  <c:v>07janv.2012</c:v>
                </c:pt>
                <c:pt idx="1100">
                  <c:v>08janv.2012</c:v>
                </c:pt>
                <c:pt idx="1101">
                  <c:v>09janv.2012</c:v>
                </c:pt>
                <c:pt idx="1102">
                  <c:v>10janv.2012</c:v>
                </c:pt>
                <c:pt idx="1103">
                  <c:v>11janv.2012</c:v>
                </c:pt>
                <c:pt idx="1104">
                  <c:v>12janv.2012</c:v>
                </c:pt>
                <c:pt idx="1105">
                  <c:v>13janv.2012</c:v>
                </c:pt>
                <c:pt idx="1106">
                  <c:v>14janv.2012</c:v>
                </c:pt>
                <c:pt idx="1107">
                  <c:v>15janv.2012</c:v>
                </c:pt>
                <c:pt idx="1108">
                  <c:v>16janv.2012</c:v>
                </c:pt>
                <c:pt idx="1109">
                  <c:v>17janv.2012</c:v>
                </c:pt>
                <c:pt idx="1110">
                  <c:v>18janv.2012</c:v>
                </c:pt>
                <c:pt idx="1111">
                  <c:v>19janv.2012</c:v>
                </c:pt>
                <c:pt idx="1112">
                  <c:v>20janv.2012</c:v>
                </c:pt>
                <c:pt idx="1113">
                  <c:v>21janv.2012</c:v>
                </c:pt>
                <c:pt idx="1114">
                  <c:v>22janv.2012</c:v>
                </c:pt>
                <c:pt idx="1115">
                  <c:v>23janv.2012</c:v>
                </c:pt>
                <c:pt idx="1116">
                  <c:v>24janv.2012</c:v>
                </c:pt>
                <c:pt idx="1117">
                  <c:v>25janv.2012</c:v>
                </c:pt>
                <c:pt idx="1118">
                  <c:v>26janv.2012</c:v>
                </c:pt>
                <c:pt idx="1119">
                  <c:v>27janv.2012</c:v>
                </c:pt>
                <c:pt idx="1120">
                  <c:v>28janv.2012</c:v>
                </c:pt>
                <c:pt idx="1121">
                  <c:v>29janv.2012</c:v>
                </c:pt>
                <c:pt idx="1122">
                  <c:v>30janv.2012</c:v>
                </c:pt>
                <c:pt idx="1123">
                  <c:v>31janv.2012</c:v>
                </c:pt>
                <c:pt idx="1124">
                  <c:v>01févr.2012</c:v>
                </c:pt>
                <c:pt idx="1125">
                  <c:v>02févr.2012</c:v>
                </c:pt>
                <c:pt idx="1126">
                  <c:v>03févr.2012</c:v>
                </c:pt>
                <c:pt idx="1127">
                  <c:v>04févr.2012</c:v>
                </c:pt>
                <c:pt idx="1128">
                  <c:v>05févr.2012</c:v>
                </c:pt>
                <c:pt idx="1129">
                  <c:v>06févr.2012</c:v>
                </c:pt>
                <c:pt idx="1130">
                  <c:v>07févr.2012</c:v>
                </c:pt>
                <c:pt idx="1131">
                  <c:v>08févr.2012</c:v>
                </c:pt>
                <c:pt idx="1132">
                  <c:v>09févr.2012</c:v>
                </c:pt>
                <c:pt idx="1133">
                  <c:v>10févr.2012</c:v>
                </c:pt>
                <c:pt idx="1134">
                  <c:v>11févr.2012</c:v>
                </c:pt>
                <c:pt idx="1135">
                  <c:v>12févr.2012</c:v>
                </c:pt>
                <c:pt idx="1136">
                  <c:v>13févr.2012</c:v>
                </c:pt>
                <c:pt idx="1137">
                  <c:v>14févr.2012</c:v>
                </c:pt>
                <c:pt idx="1138">
                  <c:v>15févr.2012</c:v>
                </c:pt>
                <c:pt idx="1139">
                  <c:v>16févr.2012</c:v>
                </c:pt>
                <c:pt idx="1140">
                  <c:v>17févr.2012</c:v>
                </c:pt>
                <c:pt idx="1141">
                  <c:v>18févr.2012</c:v>
                </c:pt>
                <c:pt idx="1142">
                  <c:v>19févr.2012</c:v>
                </c:pt>
                <c:pt idx="1143">
                  <c:v>20févr.2012</c:v>
                </c:pt>
                <c:pt idx="1144">
                  <c:v>21févr.2012</c:v>
                </c:pt>
                <c:pt idx="1145">
                  <c:v>22févr.2012</c:v>
                </c:pt>
                <c:pt idx="1146">
                  <c:v>23févr.2012</c:v>
                </c:pt>
                <c:pt idx="1147">
                  <c:v>24févr.2012</c:v>
                </c:pt>
                <c:pt idx="1148">
                  <c:v>25févr.2012</c:v>
                </c:pt>
                <c:pt idx="1149">
                  <c:v>26févr.2012</c:v>
                </c:pt>
                <c:pt idx="1150">
                  <c:v>27févr.2012</c:v>
                </c:pt>
                <c:pt idx="1151">
                  <c:v>28févr.2012</c:v>
                </c:pt>
                <c:pt idx="1152">
                  <c:v>29févr.2012</c:v>
                </c:pt>
                <c:pt idx="1153">
                  <c:v>1-Mar-12</c:v>
                </c:pt>
                <c:pt idx="1154">
                  <c:v>2-Mar-12</c:v>
                </c:pt>
                <c:pt idx="1155">
                  <c:v>3-Mar-12</c:v>
                </c:pt>
                <c:pt idx="1156">
                  <c:v>4-Mar-12</c:v>
                </c:pt>
                <c:pt idx="1157">
                  <c:v>5-Mar-12</c:v>
                </c:pt>
                <c:pt idx="1158">
                  <c:v>6-Mar-12</c:v>
                </c:pt>
                <c:pt idx="1159">
                  <c:v>7-Mar-12</c:v>
                </c:pt>
                <c:pt idx="1160">
                  <c:v>8-Mar-12</c:v>
                </c:pt>
                <c:pt idx="1161">
                  <c:v>9-Mar-12</c:v>
                </c:pt>
                <c:pt idx="1162">
                  <c:v>10-Mar-12</c:v>
                </c:pt>
                <c:pt idx="1163">
                  <c:v>11-Mar-12</c:v>
                </c:pt>
                <c:pt idx="1164">
                  <c:v>12-Mar-12</c:v>
                </c:pt>
                <c:pt idx="1165">
                  <c:v>13-Mar-12</c:v>
                </c:pt>
                <c:pt idx="1166">
                  <c:v>14-Mar-12</c:v>
                </c:pt>
                <c:pt idx="1167">
                  <c:v>15-Mar-12</c:v>
                </c:pt>
                <c:pt idx="1168">
                  <c:v>16-Mar-12</c:v>
                </c:pt>
                <c:pt idx="1169">
                  <c:v>17-Mar-12</c:v>
                </c:pt>
                <c:pt idx="1170">
                  <c:v>18-Mar-12</c:v>
                </c:pt>
                <c:pt idx="1171">
                  <c:v>19-Mar-12</c:v>
                </c:pt>
                <c:pt idx="1172">
                  <c:v>20-Mar-12</c:v>
                </c:pt>
                <c:pt idx="1173">
                  <c:v>21-Mar-12</c:v>
                </c:pt>
                <c:pt idx="1174">
                  <c:v>22-Mar-12</c:v>
                </c:pt>
                <c:pt idx="1175">
                  <c:v>23-Mar-12</c:v>
                </c:pt>
                <c:pt idx="1176">
                  <c:v>24-Mar-12</c:v>
                </c:pt>
                <c:pt idx="1177">
                  <c:v>25-Mar-12</c:v>
                </c:pt>
                <c:pt idx="1178">
                  <c:v>26-Mar-12</c:v>
                </c:pt>
                <c:pt idx="1179">
                  <c:v>27-Mar-12</c:v>
                </c:pt>
                <c:pt idx="1180">
                  <c:v>28-Mar-12</c:v>
                </c:pt>
                <c:pt idx="1181">
                  <c:v>29-Mar-12</c:v>
                </c:pt>
                <c:pt idx="1182">
                  <c:v>30-Mar-12</c:v>
                </c:pt>
                <c:pt idx="1183">
                  <c:v>31-Mar-12</c:v>
                </c:pt>
                <c:pt idx="1184">
                  <c:v>01avr.2012</c:v>
                </c:pt>
                <c:pt idx="1185">
                  <c:v>02avr.2012</c:v>
                </c:pt>
                <c:pt idx="1186">
                  <c:v>03avr.2012</c:v>
                </c:pt>
                <c:pt idx="1187">
                  <c:v>04avr.2012</c:v>
                </c:pt>
                <c:pt idx="1188">
                  <c:v>05avr.2012</c:v>
                </c:pt>
                <c:pt idx="1189">
                  <c:v>06avr.2012</c:v>
                </c:pt>
                <c:pt idx="1190">
                  <c:v>07avr.2012</c:v>
                </c:pt>
                <c:pt idx="1191">
                  <c:v>08avr.2012</c:v>
                </c:pt>
                <c:pt idx="1192">
                  <c:v>09avr.2012</c:v>
                </c:pt>
                <c:pt idx="1193">
                  <c:v>10avr.2012</c:v>
                </c:pt>
                <c:pt idx="1194">
                  <c:v>11avr.2012</c:v>
                </c:pt>
                <c:pt idx="1195">
                  <c:v>12avr.2012</c:v>
                </c:pt>
                <c:pt idx="1196">
                  <c:v>13avr.2012</c:v>
                </c:pt>
                <c:pt idx="1197">
                  <c:v>14avr.2012</c:v>
                </c:pt>
                <c:pt idx="1198">
                  <c:v>15avr.2012</c:v>
                </c:pt>
                <c:pt idx="1199">
                  <c:v>16avr.2012</c:v>
                </c:pt>
                <c:pt idx="1200">
                  <c:v>17avr.2012</c:v>
                </c:pt>
                <c:pt idx="1201">
                  <c:v>18avr.2012</c:v>
                </c:pt>
                <c:pt idx="1202">
                  <c:v>19avr.2012</c:v>
                </c:pt>
                <c:pt idx="1203">
                  <c:v>20avr.2012</c:v>
                </c:pt>
                <c:pt idx="1204">
                  <c:v>21avr.2012</c:v>
                </c:pt>
                <c:pt idx="1205">
                  <c:v>22avr.2012</c:v>
                </c:pt>
                <c:pt idx="1206">
                  <c:v>23avr.2012</c:v>
                </c:pt>
                <c:pt idx="1207">
                  <c:v>24avr.2012</c:v>
                </c:pt>
                <c:pt idx="1208">
                  <c:v>25avr.2012</c:v>
                </c:pt>
                <c:pt idx="1209">
                  <c:v>26avr.2012</c:v>
                </c:pt>
                <c:pt idx="1210">
                  <c:v>27avr.2012</c:v>
                </c:pt>
                <c:pt idx="1211">
                  <c:v>28avr.2012</c:v>
                </c:pt>
                <c:pt idx="1212">
                  <c:v>29avr.2012</c:v>
                </c:pt>
                <c:pt idx="1213">
                  <c:v>30avr.2012</c:v>
                </c:pt>
                <c:pt idx="1214">
                  <c:v>1-May-12</c:v>
                </c:pt>
                <c:pt idx="1215">
                  <c:v>2-May-12</c:v>
                </c:pt>
                <c:pt idx="1216">
                  <c:v>3-May-12</c:v>
                </c:pt>
                <c:pt idx="1217">
                  <c:v>4-May-12</c:v>
                </c:pt>
                <c:pt idx="1218">
                  <c:v>5-May-12</c:v>
                </c:pt>
                <c:pt idx="1219">
                  <c:v>6-May-12</c:v>
                </c:pt>
                <c:pt idx="1220">
                  <c:v>7-May-12</c:v>
                </c:pt>
                <c:pt idx="1221">
                  <c:v>8-May-12</c:v>
                </c:pt>
                <c:pt idx="1222">
                  <c:v>9-May-12</c:v>
                </c:pt>
                <c:pt idx="1223">
                  <c:v>10-May-12</c:v>
                </c:pt>
                <c:pt idx="1224">
                  <c:v>11-May-12</c:v>
                </c:pt>
                <c:pt idx="1225">
                  <c:v>12-May-12</c:v>
                </c:pt>
                <c:pt idx="1226">
                  <c:v>13-May-12</c:v>
                </c:pt>
                <c:pt idx="1227">
                  <c:v>14-May-12</c:v>
                </c:pt>
                <c:pt idx="1228">
                  <c:v>15-May-12</c:v>
                </c:pt>
                <c:pt idx="1229">
                  <c:v>16-May-12</c:v>
                </c:pt>
                <c:pt idx="1230">
                  <c:v>17-May-12</c:v>
                </c:pt>
                <c:pt idx="1231">
                  <c:v>18-May-12</c:v>
                </c:pt>
                <c:pt idx="1232">
                  <c:v>19-May-12</c:v>
                </c:pt>
                <c:pt idx="1233">
                  <c:v>20-May-12</c:v>
                </c:pt>
                <c:pt idx="1234">
                  <c:v>21-May-12</c:v>
                </c:pt>
                <c:pt idx="1235">
                  <c:v>22-May-12</c:v>
                </c:pt>
                <c:pt idx="1236">
                  <c:v>23-May-12</c:v>
                </c:pt>
                <c:pt idx="1237">
                  <c:v>24-May-12</c:v>
                </c:pt>
                <c:pt idx="1238">
                  <c:v>25-May-12</c:v>
                </c:pt>
                <c:pt idx="1239">
                  <c:v>26-May-12</c:v>
                </c:pt>
                <c:pt idx="1240">
                  <c:v>27-May-12</c:v>
                </c:pt>
                <c:pt idx="1241">
                  <c:v>28-May-12</c:v>
                </c:pt>
                <c:pt idx="1242">
                  <c:v>29-May-12</c:v>
                </c:pt>
                <c:pt idx="1243">
                  <c:v>30-May-12</c:v>
                </c:pt>
                <c:pt idx="1244">
                  <c:v>31-May-12</c:v>
                </c:pt>
                <c:pt idx="1245">
                  <c:v>1-Jun-12</c:v>
                </c:pt>
                <c:pt idx="1246">
                  <c:v>2-Jun-12</c:v>
                </c:pt>
                <c:pt idx="1247">
                  <c:v>3-Jun-12</c:v>
                </c:pt>
                <c:pt idx="1248">
                  <c:v>4-Jun-12</c:v>
                </c:pt>
                <c:pt idx="1249">
                  <c:v>5-Jun-12</c:v>
                </c:pt>
                <c:pt idx="1250">
                  <c:v>6-Jun-12</c:v>
                </c:pt>
                <c:pt idx="1251">
                  <c:v>7-Jun-12</c:v>
                </c:pt>
                <c:pt idx="1252">
                  <c:v>8-Jun-12</c:v>
                </c:pt>
                <c:pt idx="1253">
                  <c:v>9-Jun-12</c:v>
                </c:pt>
                <c:pt idx="1254">
                  <c:v>10-Jun-12</c:v>
                </c:pt>
                <c:pt idx="1255">
                  <c:v>11-Jun-12</c:v>
                </c:pt>
                <c:pt idx="1256">
                  <c:v>12-Jun-12</c:v>
                </c:pt>
                <c:pt idx="1257">
                  <c:v>13-Jun-12</c:v>
                </c:pt>
                <c:pt idx="1258">
                  <c:v>14-Jun-12</c:v>
                </c:pt>
                <c:pt idx="1259">
                  <c:v>15-Jun-12</c:v>
                </c:pt>
                <c:pt idx="1260">
                  <c:v>16-Jun-12</c:v>
                </c:pt>
                <c:pt idx="1261">
                  <c:v>17-Jun-12</c:v>
                </c:pt>
                <c:pt idx="1262">
                  <c:v>18-Jun-12</c:v>
                </c:pt>
                <c:pt idx="1263">
                  <c:v>19-Jun-12</c:v>
                </c:pt>
                <c:pt idx="1264">
                  <c:v>20-Jun-12</c:v>
                </c:pt>
                <c:pt idx="1265">
                  <c:v>21-Jun-12</c:v>
                </c:pt>
                <c:pt idx="1266">
                  <c:v>22-Jun-12</c:v>
                </c:pt>
                <c:pt idx="1267">
                  <c:v>23-Jun-12</c:v>
                </c:pt>
                <c:pt idx="1268">
                  <c:v>24-Jun-12</c:v>
                </c:pt>
                <c:pt idx="1269">
                  <c:v>25-Jun-12</c:v>
                </c:pt>
                <c:pt idx="1270">
                  <c:v>26-Jun-12</c:v>
                </c:pt>
                <c:pt idx="1271">
                  <c:v>27-Jun-12</c:v>
                </c:pt>
                <c:pt idx="1272">
                  <c:v>28-Jun-12</c:v>
                </c:pt>
                <c:pt idx="1273">
                  <c:v>29-Jun-12</c:v>
                </c:pt>
                <c:pt idx="1274">
                  <c:v>30-Jun-12</c:v>
                </c:pt>
                <c:pt idx="1275">
                  <c:v>01juil.2012</c:v>
                </c:pt>
                <c:pt idx="1276">
                  <c:v>02juil.2012</c:v>
                </c:pt>
                <c:pt idx="1277">
                  <c:v>03juil.2012</c:v>
                </c:pt>
                <c:pt idx="1278">
                  <c:v>04juil.2012</c:v>
                </c:pt>
                <c:pt idx="1279">
                  <c:v>05juil.2012</c:v>
                </c:pt>
                <c:pt idx="1280">
                  <c:v>06juil.2012</c:v>
                </c:pt>
                <c:pt idx="1281">
                  <c:v>07juil.2012</c:v>
                </c:pt>
                <c:pt idx="1282">
                  <c:v>08juil.2012</c:v>
                </c:pt>
                <c:pt idx="1283">
                  <c:v>09juil.2012</c:v>
                </c:pt>
                <c:pt idx="1284">
                  <c:v>10juil.2012</c:v>
                </c:pt>
                <c:pt idx="1285">
                  <c:v>11juil.2012</c:v>
                </c:pt>
                <c:pt idx="1286">
                  <c:v>12juil.2012</c:v>
                </c:pt>
                <c:pt idx="1287">
                  <c:v>13juil.2012</c:v>
                </c:pt>
                <c:pt idx="1288">
                  <c:v>14juil.2012</c:v>
                </c:pt>
                <c:pt idx="1289">
                  <c:v>15juil.2012</c:v>
                </c:pt>
                <c:pt idx="1290">
                  <c:v>16juil.2012</c:v>
                </c:pt>
                <c:pt idx="1291">
                  <c:v>17juil.2012</c:v>
                </c:pt>
                <c:pt idx="1292">
                  <c:v>18juil.2012</c:v>
                </c:pt>
                <c:pt idx="1293">
                  <c:v>19juil.2012</c:v>
                </c:pt>
                <c:pt idx="1294">
                  <c:v>20juil.2012</c:v>
                </c:pt>
                <c:pt idx="1295">
                  <c:v>21juil.2012</c:v>
                </c:pt>
                <c:pt idx="1296">
                  <c:v>22juil.2012</c:v>
                </c:pt>
                <c:pt idx="1297">
                  <c:v>23juil.2012</c:v>
                </c:pt>
                <c:pt idx="1298">
                  <c:v>24juil.2012</c:v>
                </c:pt>
                <c:pt idx="1299">
                  <c:v>25juil.2012</c:v>
                </c:pt>
                <c:pt idx="1300">
                  <c:v>26juil.2012</c:v>
                </c:pt>
                <c:pt idx="1301">
                  <c:v>27juil.2012</c:v>
                </c:pt>
                <c:pt idx="1302">
                  <c:v>28juil.2012</c:v>
                </c:pt>
                <c:pt idx="1303">
                  <c:v>29juil.2012</c:v>
                </c:pt>
                <c:pt idx="1304">
                  <c:v>30juil.2012</c:v>
                </c:pt>
                <c:pt idx="1305">
                  <c:v>31juil.2012</c:v>
                </c:pt>
                <c:pt idx="1306">
                  <c:v>1-Aug-12</c:v>
                </c:pt>
                <c:pt idx="1307">
                  <c:v>2-Aug-12</c:v>
                </c:pt>
                <c:pt idx="1308">
                  <c:v>3-Aug-12</c:v>
                </c:pt>
                <c:pt idx="1309">
                  <c:v>4-Aug-12</c:v>
                </c:pt>
                <c:pt idx="1310">
                  <c:v>5-Aug-12</c:v>
                </c:pt>
                <c:pt idx="1311">
                  <c:v>6-Aug-12</c:v>
                </c:pt>
                <c:pt idx="1312">
                  <c:v>7-Aug-12</c:v>
                </c:pt>
                <c:pt idx="1313">
                  <c:v>8-Aug-12</c:v>
                </c:pt>
                <c:pt idx="1314">
                  <c:v>9-Aug-12</c:v>
                </c:pt>
                <c:pt idx="1315">
                  <c:v>10-Aug-12</c:v>
                </c:pt>
                <c:pt idx="1316">
                  <c:v>11-Aug-12</c:v>
                </c:pt>
                <c:pt idx="1317">
                  <c:v>12-Aug-12</c:v>
                </c:pt>
                <c:pt idx="1318">
                  <c:v>13-Aug-12</c:v>
                </c:pt>
                <c:pt idx="1319">
                  <c:v>14-Aug-12</c:v>
                </c:pt>
                <c:pt idx="1320">
                  <c:v>15-Aug-12</c:v>
                </c:pt>
                <c:pt idx="1321">
                  <c:v>16-Aug-12</c:v>
                </c:pt>
                <c:pt idx="1322">
                  <c:v>17-Aug-12</c:v>
                </c:pt>
                <c:pt idx="1323">
                  <c:v>18-Aug-12</c:v>
                </c:pt>
                <c:pt idx="1324">
                  <c:v>19-Aug-12</c:v>
                </c:pt>
                <c:pt idx="1325">
                  <c:v>20-Aug-12</c:v>
                </c:pt>
                <c:pt idx="1326">
                  <c:v>21-Aug-12</c:v>
                </c:pt>
                <c:pt idx="1327">
                  <c:v>22-Aug-12</c:v>
                </c:pt>
                <c:pt idx="1328">
                  <c:v>23-Aug-12</c:v>
                </c:pt>
                <c:pt idx="1329">
                  <c:v>24-Aug-12</c:v>
                </c:pt>
                <c:pt idx="1330">
                  <c:v>25-Aug-12</c:v>
                </c:pt>
                <c:pt idx="1331">
                  <c:v>26-Aug-12</c:v>
                </c:pt>
                <c:pt idx="1332">
                  <c:v>27-Aug-12</c:v>
                </c:pt>
                <c:pt idx="1333">
                  <c:v>28-Aug-12</c:v>
                </c:pt>
                <c:pt idx="1334">
                  <c:v>29-Aug-12</c:v>
                </c:pt>
                <c:pt idx="1335">
                  <c:v>30-Aug-12</c:v>
                </c:pt>
                <c:pt idx="1336">
                  <c:v>31-Aug-12</c:v>
                </c:pt>
                <c:pt idx="1337">
                  <c:v>01sept.2012</c:v>
                </c:pt>
                <c:pt idx="1338">
                  <c:v>02sept.2012</c:v>
                </c:pt>
                <c:pt idx="1339">
                  <c:v>03sept.2012</c:v>
                </c:pt>
                <c:pt idx="1340">
                  <c:v>04sept.2012</c:v>
                </c:pt>
                <c:pt idx="1341">
                  <c:v>05sept.2012</c:v>
                </c:pt>
                <c:pt idx="1342">
                  <c:v>06sept.2012</c:v>
                </c:pt>
                <c:pt idx="1343">
                  <c:v>07sept.2012</c:v>
                </c:pt>
                <c:pt idx="1344">
                  <c:v>08sept.2012</c:v>
                </c:pt>
                <c:pt idx="1345">
                  <c:v>09sept.2012</c:v>
                </c:pt>
                <c:pt idx="1346">
                  <c:v>10sept.2012</c:v>
                </c:pt>
                <c:pt idx="1347">
                  <c:v>11sept.2012</c:v>
                </c:pt>
                <c:pt idx="1348">
                  <c:v>12sept.2012</c:v>
                </c:pt>
                <c:pt idx="1349">
                  <c:v>13sept.2012</c:v>
                </c:pt>
                <c:pt idx="1350">
                  <c:v>14sept.2012</c:v>
                </c:pt>
                <c:pt idx="1351">
                  <c:v>15sept.2012</c:v>
                </c:pt>
                <c:pt idx="1352">
                  <c:v>16sept.2012</c:v>
                </c:pt>
                <c:pt idx="1353">
                  <c:v>17sept.2012</c:v>
                </c:pt>
                <c:pt idx="1354">
                  <c:v>18sept.2012</c:v>
                </c:pt>
                <c:pt idx="1355">
                  <c:v>19sept.2012</c:v>
                </c:pt>
                <c:pt idx="1356">
                  <c:v>20sept.2012</c:v>
                </c:pt>
                <c:pt idx="1357">
                  <c:v>21sept.2012</c:v>
                </c:pt>
                <c:pt idx="1358">
                  <c:v>22sept.2012</c:v>
                </c:pt>
                <c:pt idx="1359">
                  <c:v>23sept.2012</c:v>
                </c:pt>
                <c:pt idx="1360">
                  <c:v>24sept.2012</c:v>
                </c:pt>
                <c:pt idx="1361">
                  <c:v>25sept.2012</c:v>
                </c:pt>
                <c:pt idx="1362">
                  <c:v>26sept.2012</c:v>
                </c:pt>
                <c:pt idx="1363">
                  <c:v>27sept.2012</c:v>
                </c:pt>
                <c:pt idx="1364">
                  <c:v>28sept.2012</c:v>
                </c:pt>
                <c:pt idx="1365">
                  <c:v>29sept.2012</c:v>
                </c:pt>
                <c:pt idx="1366">
                  <c:v>30sept.2012</c:v>
                </c:pt>
                <c:pt idx="1367">
                  <c:v>01oct.2012</c:v>
                </c:pt>
                <c:pt idx="1368">
                  <c:v>02oct.2012</c:v>
                </c:pt>
                <c:pt idx="1369">
                  <c:v>03oct.2012</c:v>
                </c:pt>
                <c:pt idx="1370">
                  <c:v>04oct.2012</c:v>
                </c:pt>
                <c:pt idx="1371">
                  <c:v>05oct.2012</c:v>
                </c:pt>
                <c:pt idx="1372">
                  <c:v>06oct.2012</c:v>
                </c:pt>
                <c:pt idx="1373">
                  <c:v>07oct.2012</c:v>
                </c:pt>
                <c:pt idx="1374">
                  <c:v>08oct.2012</c:v>
                </c:pt>
                <c:pt idx="1375">
                  <c:v>09oct.2012</c:v>
                </c:pt>
                <c:pt idx="1376">
                  <c:v>10oct.2012</c:v>
                </c:pt>
                <c:pt idx="1377">
                  <c:v>11oct.2012</c:v>
                </c:pt>
                <c:pt idx="1378">
                  <c:v>12oct.2012</c:v>
                </c:pt>
                <c:pt idx="1379">
                  <c:v>13oct.2012</c:v>
                </c:pt>
                <c:pt idx="1380">
                  <c:v>14oct.2012</c:v>
                </c:pt>
                <c:pt idx="1381">
                  <c:v>15oct.2012</c:v>
                </c:pt>
                <c:pt idx="1382">
                  <c:v>16oct.2012</c:v>
                </c:pt>
                <c:pt idx="1383">
                  <c:v>17oct.2012</c:v>
                </c:pt>
                <c:pt idx="1384">
                  <c:v>18oct.2012</c:v>
                </c:pt>
                <c:pt idx="1385">
                  <c:v>19oct.2012</c:v>
                </c:pt>
                <c:pt idx="1386">
                  <c:v>20oct.2012</c:v>
                </c:pt>
                <c:pt idx="1387">
                  <c:v>21oct.2012</c:v>
                </c:pt>
                <c:pt idx="1388">
                  <c:v>22oct.2012</c:v>
                </c:pt>
                <c:pt idx="1389">
                  <c:v>23oct.2012</c:v>
                </c:pt>
                <c:pt idx="1390">
                  <c:v>24oct.2012</c:v>
                </c:pt>
                <c:pt idx="1391">
                  <c:v>25oct.2012</c:v>
                </c:pt>
                <c:pt idx="1392">
                  <c:v>26oct.2012</c:v>
                </c:pt>
                <c:pt idx="1393">
                  <c:v>27oct.2012</c:v>
                </c:pt>
                <c:pt idx="1394">
                  <c:v>28oct.2012</c:v>
                </c:pt>
                <c:pt idx="1395">
                  <c:v>29oct.2012</c:v>
                </c:pt>
                <c:pt idx="1396">
                  <c:v>30oct.2012</c:v>
                </c:pt>
                <c:pt idx="1397">
                  <c:v>31oct.2012</c:v>
                </c:pt>
                <c:pt idx="1398">
                  <c:v>01nov.2012</c:v>
                </c:pt>
                <c:pt idx="1399">
                  <c:v>02nov.2012</c:v>
                </c:pt>
                <c:pt idx="1400">
                  <c:v>03nov.2012</c:v>
                </c:pt>
                <c:pt idx="1401">
                  <c:v>04nov.2012</c:v>
                </c:pt>
                <c:pt idx="1402">
                  <c:v>05nov.2012</c:v>
                </c:pt>
                <c:pt idx="1403">
                  <c:v>06nov.2012</c:v>
                </c:pt>
                <c:pt idx="1404">
                  <c:v>07nov.2012</c:v>
                </c:pt>
                <c:pt idx="1405">
                  <c:v>08nov.2012</c:v>
                </c:pt>
                <c:pt idx="1406">
                  <c:v>09nov.2012</c:v>
                </c:pt>
                <c:pt idx="1407">
                  <c:v>10nov.2012</c:v>
                </c:pt>
                <c:pt idx="1408">
                  <c:v>11nov.2012</c:v>
                </c:pt>
                <c:pt idx="1409">
                  <c:v>12nov.2012</c:v>
                </c:pt>
                <c:pt idx="1410">
                  <c:v>13nov.2012</c:v>
                </c:pt>
                <c:pt idx="1411">
                  <c:v>14nov.2012</c:v>
                </c:pt>
                <c:pt idx="1412">
                  <c:v>15nov.2012</c:v>
                </c:pt>
                <c:pt idx="1413">
                  <c:v>16nov.2012</c:v>
                </c:pt>
                <c:pt idx="1414">
                  <c:v>17nov.2012</c:v>
                </c:pt>
                <c:pt idx="1415">
                  <c:v>18nov.2012</c:v>
                </c:pt>
                <c:pt idx="1416">
                  <c:v>19nov.2012</c:v>
                </c:pt>
                <c:pt idx="1417">
                  <c:v>20nov.2012</c:v>
                </c:pt>
                <c:pt idx="1418">
                  <c:v>21nov.2012</c:v>
                </c:pt>
                <c:pt idx="1419">
                  <c:v>22nov.2012</c:v>
                </c:pt>
                <c:pt idx="1420">
                  <c:v>23nov.2012</c:v>
                </c:pt>
                <c:pt idx="1421">
                  <c:v>24nov.2012</c:v>
                </c:pt>
                <c:pt idx="1422">
                  <c:v>25nov.2012</c:v>
                </c:pt>
                <c:pt idx="1423">
                  <c:v>26nov.2012</c:v>
                </c:pt>
                <c:pt idx="1424">
                  <c:v>27nov.2012</c:v>
                </c:pt>
                <c:pt idx="1425">
                  <c:v>28nov.2012</c:v>
                </c:pt>
                <c:pt idx="1426">
                  <c:v>29nov.2012</c:v>
                </c:pt>
                <c:pt idx="1427">
                  <c:v>30nov.2012</c:v>
                </c:pt>
                <c:pt idx="1428">
                  <c:v>01déc.2012</c:v>
                </c:pt>
                <c:pt idx="1429">
                  <c:v>02déc.2012</c:v>
                </c:pt>
                <c:pt idx="1430">
                  <c:v>03déc.2012</c:v>
                </c:pt>
                <c:pt idx="1431">
                  <c:v>04déc.2012</c:v>
                </c:pt>
                <c:pt idx="1432">
                  <c:v>05déc.2012</c:v>
                </c:pt>
                <c:pt idx="1433">
                  <c:v>06déc.2012</c:v>
                </c:pt>
                <c:pt idx="1434">
                  <c:v>07déc.2012</c:v>
                </c:pt>
                <c:pt idx="1435">
                  <c:v>08déc.2012</c:v>
                </c:pt>
                <c:pt idx="1436">
                  <c:v>09déc.2012</c:v>
                </c:pt>
                <c:pt idx="1437">
                  <c:v>10déc.2012</c:v>
                </c:pt>
                <c:pt idx="1438">
                  <c:v>11déc.2012</c:v>
                </c:pt>
                <c:pt idx="1439">
                  <c:v>12déc.2012</c:v>
                </c:pt>
                <c:pt idx="1440">
                  <c:v>13déc.2012</c:v>
                </c:pt>
                <c:pt idx="1441">
                  <c:v>14déc.2012</c:v>
                </c:pt>
                <c:pt idx="1442">
                  <c:v>15déc.2012</c:v>
                </c:pt>
                <c:pt idx="1443">
                  <c:v>16déc.2012</c:v>
                </c:pt>
                <c:pt idx="1444">
                  <c:v>17déc.2012</c:v>
                </c:pt>
                <c:pt idx="1445">
                  <c:v>18déc.2012</c:v>
                </c:pt>
                <c:pt idx="1446">
                  <c:v>19déc.2012</c:v>
                </c:pt>
                <c:pt idx="1447">
                  <c:v>20déc.2012</c:v>
                </c:pt>
                <c:pt idx="1448">
                  <c:v>21déc.2012</c:v>
                </c:pt>
                <c:pt idx="1449">
                  <c:v>22déc.2012</c:v>
                </c:pt>
                <c:pt idx="1450">
                  <c:v>23déc.2012</c:v>
                </c:pt>
                <c:pt idx="1451">
                  <c:v>24déc.2012</c:v>
                </c:pt>
                <c:pt idx="1452">
                  <c:v>25déc.2012</c:v>
                </c:pt>
                <c:pt idx="1453">
                  <c:v>26déc.2012</c:v>
                </c:pt>
                <c:pt idx="1454">
                  <c:v>27déc.2012</c:v>
                </c:pt>
                <c:pt idx="1455">
                  <c:v>28déc.2012</c:v>
                </c:pt>
                <c:pt idx="1456">
                  <c:v>29déc.2012</c:v>
                </c:pt>
                <c:pt idx="1457">
                  <c:v>30déc.2012</c:v>
                </c:pt>
                <c:pt idx="1458">
                  <c:v>31déc.2012</c:v>
                </c:pt>
                <c:pt idx="1459">
                  <c:v>01janv.2013</c:v>
                </c:pt>
                <c:pt idx="1460">
                  <c:v>02janv.2013</c:v>
                </c:pt>
                <c:pt idx="1461">
                  <c:v>03janv.2013</c:v>
                </c:pt>
                <c:pt idx="1462">
                  <c:v>04janv.2013</c:v>
                </c:pt>
                <c:pt idx="1463">
                  <c:v>05janv.2013</c:v>
                </c:pt>
                <c:pt idx="1464">
                  <c:v>06janv.2013</c:v>
                </c:pt>
                <c:pt idx="1465">
                  <c:v>07janv.2013</c:v>
                </c:pt>
                <c:pt idx="1466">
                  <c:v>08janv.2013</c:v>
                </c:pt>
                <c:pt idx="1467">
                  <c:v>09janv.2013</c:v>
                </c:pt>
                <c:pt idx="1468">
                  <c:v>10janv.2013</c:v>
                </c:pt>
                <c:pt idx="1469">
                  <c:v>11janv.2013</c:v>
                </c:pt>
                <c:pt idx="1470">
                  <c:v>12janv.2013</c:v>
                </c:pt>
                <c:pt idx="1471">
                  <c:v>13janv.2013</c:v>
                </c:pt>
                <c:pt idx="1472">
                  <c:v>14janv.2013</c:v>
                </c:pt>
                <c:pt idx="1473">
                  <c:v>15janv.2013</c:v>
                </c:pt>
                <c:pt idx="1474">
                  <c:v>16janv.2013</c:v>
                </c:pt>
                <c:pt idx="1475">
                  <c:v>17janv.2013</c:v>
                </c:pt>
                <c:pt idx="1476">
                  <c:v>18janv.2013</c:v>
                </c:pt>
                <c:pt idx="1477">
                  <c:v>19janv.2013</c:v>
                </c:pt>
                <c:pt idx="1478">
                  <c:v>20janv.2013</c:v>
                </c:pt>
                <c:pt idx="1479">
                  <c:v>21janv.2013</c:v>
                </c:pt>
                <c:pt idx="1480">
                  <c:v>22janv.2013</c:v>
                </c:pt>
                <c:pt idx="1481">
                  <c:v>23janv.2013</c:v>
                </c:pt>
                <c:pt idx="1482">
                  <c:v>24janv.2013</c:v>
                </c:pt>
                <c:pt idx="1483">
                  <c:v>25janv.2013</c:v>
                </c:pt>
                <c:pt idx="1484">
                  <c:v>26janv.2013</c:v>
                </c:pt>
                <c:pt idx="1485">
                  <c:v>27janv.2013</c:v>
                </c:pt>
                <c:pt idx="1486">
                  <c:v>28janv.2013</c:v>
                </c:pt>
                <c:pt idx="1487">
                  <c:v>29janv.2013</c:v>
                </c:pt>
                <c:pt idx="1488">
                  <c:v>30janv.2013</c:v>
                </c:pt>
                <c:pt idx="1489">
                  <c:v>31janv.2013</c:v>
                </c:pt>
                <c:pt idx="1490">
                  <c:v>01févr.2013</c:v>
                </c:pt>
                <c:pt idx="1491">
                  <c:v>02févr.2013</c:v>
                </c:pt>
                <c:pt idx="1492">
                  <c:v>03févr.2013</c:v>
                </c:pt>
                <c:pt idx="1493">
                  <c:v>04févr.2013</c:v>
                </c:pt>
                <c:pt idx="1494">
                  <c:v>05févr.2013</c:v>
                </c:pt>
                <c:pt idx="1495">
                  <c:v>06févr.2013</c:v>
                </c:pt>
                <c:pt idx="1496">
                  <c:v>07févr.2013</c:v>
                </c:pt>
                <c:pt idx="1497">
                  <c:v>08févr.2013</c:v>
                </c:pt>
                <c:pt idx="1498">
                  <c:v>09févr.2013</c:v>
                </c:pt>
                <c:pt idx="1499">
                  <c:v>10févr.2013</c:v>
                </c:pt>
                <c:pt idx="1500">
                  <c:v>11févr.2013</c:v>
                </c:pt>
                <c:pt idx="1501">
                  <c:v>12févr.2013</c:v>
                </c:pt>
                <c:pt idx="1502">
                  <c:v>13févr.2013</c:v>
                </c:pt>
                <c:pt idx="1503">
                  <c:v>14févr.2013</c:v>
                </c:pt>
                <c:pt idx="1504">
                  <c:v>15févr.2013</c:v>
                </c:pt>
                <c:pt idx="1505">
                  <c:v>16févr.2013</c:v>
                </c:pt>
                <c:pt idx="1506">
                  <c:v>17févr.2013</c:v>
                </c:pt>
                <c:pt idx="1507">
                  <c:v>18févr.2013</c:v>
                </c:pt>
                <c:pt idx="1508">
                  <c:v>19févr.2013</c:v>
                </c:pt>
                <c:pt idx="1509">
                  <c:v>20févr.2013</c:v>
                </c:pt>
                <c:pt idx="1510">
                  <c:v>21févr.2013</c:v>
                </c:pt>
                <c:pt idx="1511">
                  <c:v>22févr.2013</c:v>
                </c:pt>
                <c:pt idx="1512">
                  <c:v>23févr.2013</c:v>
                </c:pt>
                <c:pt idx="1513">
                  <c:v>24févr.2013</c:v>
                </c:pt>
                <c:pt idx="1514">
                  <c:v>25févr.2013</c:v>
                </c:pt>
                <c:pt idx="1515">
                  <c:v>26févr.2013</c:v>
                </c:pt>
                <c:pt idx="1516">
                  <c:v>27févr.2013</c:v>
                </c:pt>
                <c:pt idx="1517">
                  <c:v>28févr.2013</c:v>
                </c:pt>
                <c:pt idx="1518">
                  <c:v>1-Mar-13</c:v>
                </c:pt>
                <c:pt idx="1519">
                  <c:v>2-Mar-13</c:v>
                </c:pt>
                <c:pt idx="1520">
                  <c:v>3-Mar-13</c:v>
                </c:pt>
                <c:pt idx="1521">
                  <c:v>4-Mar-13</c:v>
                </c:pt>
                <c:pt idx="1522">
                  <c:v>5-Mar-13</c:v>
                </c:pt>
                <c:pt idx="1523">
                  <c:v>6-Mar-13</c:v>
                </c:pt>
                <c:pt idx="1524">
                  <c:v>7-Mar-13</c:v>
                </c:pt>
                <c:pt idx="1525">
                  <c:v>8-Mar-13</c:v>
                </c:pt>
                <c:pt idx="1526">
                  <c:v>9-Mar-13</c:v>
                </c:pt>
                <c:pt idx="1527">
                  <c:v>10-Mar-13</c:v>
                </c:pt>
                <c:pt idx="1528">
                  <c:v>11-Mar-13</c:v>
                </c:pt>
                <c:pt idx="1529">
                  <c:v>12-Mar-13</c:v>
                </c:pt>
                <c:pt idx="1530">
                  <c:v>13-Mar-13</c:v>
                </c:pt>
                <c:pt idx="1531">
                  <c:v>14-Mar-13</c:v>
                </c:pt>
                <c:pt idx="1532">
                  <c:v>15-Mar-13</c:v>
                </c:pt>
                <c:pt idx="1533">
                  <c:v>16-Mar-13</c:v>
                </c:pt>
                <c:pt idx="1534">
                  <c:v>17-Mar-13</c:v>
                </c:pt>
                <c:pt idx="1535">
                  <c:v>18-Mar-13</c:v>
                </c:pt>
                <c:pt idx="1536">
                  <c:v>19-Mar-13</c:v>
                </c:pt>
                <c:pt idx="1537">
                  <c:v>20-Mar-13</c:v>
                </c:pt>
                <c:pt idx="1538">
                  <c:v>21-Mar-13</c:v>
                </c:pt>
                <c:pt idx="1539">
                  <c:v>22-Mar-13</c:v>
                </c:pt>
                <c:pt idx="1540">
                  <c:v>23-Mar-13</c:v>
                </c:pt>
                <c:pt idx="1541">
                  <c:v>24-Mar-13</c:v>
                </c:pt>
                <c:pt idx="1542">
                  <c:v>25-Mar-13</c:v>
                </c:pt>
                <c:pt idx="1543">
                  <c:v>26-Mar-13</c:v>
                </c:pt>
                <c:pt idx="1544">
                  <c:v>27-Mar-13</c:v>
                </c:pt>
                <c:pt idx="1545">
                  <c:v>28-Mar-13</c:v>
                </c:pt>
                <c:pt idx="1546">
                  <c:v>29-Mar-13</c:v>
                </c:pt>
                <c:pt idx="1547">
                  <c:v>30-Mar-13</c:v>
                </c:pt>
                <c:pt idx="1548">
                  <c:v>31-Mar-13</c:v>
                </c:pt>
                <c:pt idx="1549">
                  <c:v>01avr.2013</c:v>
                </c:pt>
                <c:pt idx="1550">
                  <c:v>02avr.2013</c:v>
                </c:pt>
                <c:pt idx="1551">
                  <c:v>03avr.2013</c:v>
                </c:pt>
                <c:pt idx="1552">
                  <c:v>04avr.2013</c:v>
                </c:pt>
                <c:pt idx="1553">
                  <c:v>05avr.2013</c:v>
                </c:pt>
                <c:pt idx="1554">
                  <c:v>06avr.2013</c:v>
                </c:pt>
                <c:pt idx="1555">
                  <c:v>07avr.2013</c:v>
                </c:pt>
                <c:pt idx="1556">
                  <c:v>08avr.2013</c:v>
                </c:pt>
                <c:pt idx="1557">
                  <c:v>09avr.2013</c:v>
                </c:pt>
                <c:pt idx="1558">
                  <c:v>10avr.2013</c:v>
                </c:pt>
                <c:pt idx="1559">
                  <c:v>11avr.2013</c:v>
                </c:pt>
                <c:pt idx="1560">
                  <c:v>12avr.2013</c:v>
                </c:pt>
                <c:pt idx="1561">
                  <c:v>13avr.2013</c:v>
                </c:pt>
                <c:pt idx="1562">
                  <c:v>14avr.2013</c:v>
                </c:pt>
                <c:pt idx="1563">
                  <c:v>15avr.2013</c:v>
                </c:pt>
                <c:pt idx="1564">
                  <c:v>16avr.2013</c:v>
                </c:pt>
                <c:pt idx="1565">
                  <c:v>17avr.2013</c:v>
                </c:pt>
                <c:pt idx="1566">
                  <c:v>18avr.2013</c:v>
                </c:pt>
                <c:pt idx="1567">
                  <c:v>19avr.2013</c:v>
                </c:pt>
                <c:pt idx="1568">
                  <c:v>20avr.2013</c:v>
                </c:pt>
                <c:pt idx="1569">
                  <c:v>21avr.2013</c:v>
                </c:pt>
                <c:pt idx="1570">
                  <c:v>22avr.2013</c:v>
                </c:pt>
                <c:pt idx="1571">
                  <c:v>23avr.2013</c:v>
                </c:pt>
                <c:pt idx="1572">
                  <c:v>24avr.2013</c:v>
                </c:pt>
                <c:pt idx="1573">
                  <c:v>25avr.2013</c:v>
                </c:pt>
                <c:pt idx="1574">
                  <c:v>26avr.2013</c:v>
                </c:pt>
                <c:pt idx="1575">
                  <c:v>27avr.2013</c:v>
                </c:pt>
                <c:pt idx="1576">
                  <c:v>28avr.2013</c:v>
                </c:pt>
                <c:pt idx="1577">
                  <c:v>29avr.2013</c:v>
                </c:pt>
                <c:pt idx="1578">
                  <c:v>30avr.2013</c:v>
                </c:pt>
                <c:pt idx="1579">
                  <c:v>1-May-13</c:v>
                </c:pt>
                <c:pt idx="1580">
                  <c:v>2-May-13</c:v>
                </c:pt>
                <c:pt idx="1581">
                  <c:v>3-May-13</c:v>
                </c:pt>
                <c:pt idx="1582">
                  <c:v>4-May-13</c:v>
                </c:pt>
                <c:pt idx="1583">
                  <c:v>5-May-13</c:v>
                </c:pt>
                <c:pt idx="1584">
                  <c:v>6-May-13</c:v>
                </c:pt>
                <c:pt idx="1585">
                  <c:v>7-May-13</c:v>
                </c:pt>
                <c:pt idx="1586">
                  <c:v>8-May-13</c:v>
                </c:pt>
                <c:pt idx="1587">
                  <c:v>9-May-13</c:v>
                </c:pt>
                <c:pt idx="1588">
                  <c:v>10-May-13</c:v>
                </c:pt>
                <c:pt idx="1589">
                  <c:v>11-May-13</c:v>
                </c:pt>
                <c:pt idx="1590">
                  <c:v>12-May-13</c:v>
                </c:pt>
                <c:pt idx="1591">
                  <c:v>13-May-13</c:v>
                </c:pt>
                <c:pt idx="1592">
                  <c:v>14-May-13</c:v>
                </c:pt>
                <c:pt idx="1593">
                  <c:v>15-May-13</c:v>
                </c:pt>
                <c:pt idx="1594">
                  <c:v>16-May-13</c:v>
                </c:pt>
                <c:pt idx="1595">
                  <c:v>17-May-13</c:v>
                </c:pt>
                <c:pt idx="1596">
                  <c:v>18-May-13</c:v>
                </c:pt>
                <c:pt idx="1597">
                  <c:v>19-May-13</c:v>
                </c:pt>
                <c:pt idx="1598">
                  <c:v>20-May-13</c:v>
                </c:pt>
                <c:pt idx="1599">
                  <c:v>21-May-13</c:v>
                </c:pt>
                <c:pt idx="1600">
                  <c:v>22-May-13</c:v>
                </c:pt>
                <c:pt idx="1601">
                  <c:v>23-May-13</c:v>
                </c:pt>
                <c:pt idx="1602">
                  <c:v>24-May-13</c:v>
                </c:pt>
                <c:pt idx="1603">
                  <c:v>25-May-13</c:v>
                </c:pt>
                <c:pt idx="1604">
                  <c:v>26-May-13</c:v>
                </c:pt>
                <c:pt idx="1605">
                  <c:v>27-May-13</c:v>
                </c:pt>
                <c:pt idx="1606">
                  <c:v>28-May-13</c:v>
                </c:pt>
                <c:pt idx="1607">
                  <c:v>29-May-13</c:v>
                </c:pt>
                <c:pt idx="1608">
                  <c:v>30-May-13</c:v>
                </c:pt>
                <c:pt idx="1609">
                  <c:v>31-May-13</c:v>
                </c:pt>
                <c:pt idx="1610">
                  <c:v>1-Jun-13</c:v>
                </c:pt>
                <c:pt idx="1611">
                  <c:v>2-Jun-13</c:v>
                </c:pt>
                <c:pt idx="1612">
                  <c:v>3-Jun-13</c:v>
                </c:pt>
                <c:pt idx="1613">
                  <c:v>4-Jun-13</c:v>
                </c:pt>
                <c:pt idx="1614">
                  <c:v>5-Jun-13</c:v>
                </c:pt>
                <c:pt idx="1615">
                  <c:v>6-Jun-13</c:v>
                </c:pt>
                <c:pt idx="1616">
                  <c:v>7-Jun-13</c:v>
                </c:pt>
                <c:pt idx="1617">
                  <c:v>8-Jun-13</c:v>
                </c:pt>
                <c:pt idx="1618">
                  <c:v>9-Jun-13</c:v>
                </c:pt>
                <c:pt idx="1619">
                  <c:v>10-Jun-13</c:v>
                </c:pt>
                <c:pt idx="1620">
                  <c:v>11-Jun-13</c:v>
                </c:pt>
                <c:pt idx="1621">
                  <c:v>12-Jun-13</c:v>
                </c:pt>
                <c:pt idx="1622">
                  <c:v>13-Jun-13</c:v>
                </c:pt>
                <c:pt idx="1623">
                  <c:v>14-Jun-13</c:v>
                </c:pt>
                <c:pt idx="1624">
                  <c:v>15-Jun-13</c:v>
                </c:pt>
                <c:pt idx="1625">
                  <c:v>16-Jun-13</c:v>
                </c:pt>
                <c:pt idx="1626">
                  <c:v>17-Jun-13</c:v>
                </c:pt>
                <c:pt idx="1627">
                  <c:v>18-Jun-13</c:v>
                </c:pt>
                <c:pt idx="1628">
                  <c:v>19-Jun-13</c:v>
                </c:pt>
                <c:pt idx="1629">
                  <c:v>20-Jun-13</c:v>
                </c:pt>
                <c:pt idx="1630">
                  <c:v>21-Jun-13</c:v>
                </c:pt>
                <c:pt idx="1631">
                  <c:v>22-Jun-13</c:v>
                </c:pt>
                <c:pt idx="1632">
                  <c:v>23-Jun-13</c:v>
                </c:pt>
                <c:pt idx="1633">
                  <c:v>24-Jun-13</c:v>
                </c:pt>
                <c:pt idx="1634">
                  <c:v>25-Jun-13</c:v>
                </c:pt>
                <c:pt idx="1635">
                  <c:v>26-Jun-13</c:v>
                </c:pt>
                <c:pt idx="1636">
                  <c:v>27-Jun-13</c:v>
                </c:pt>
                <c:pt idx="1637">
                  <c:v>28-Jun-13</c:v>
                </c:pt>
                <c:pt idx="1638">
                  <c:v>29-Jun-13</c:v>
                </c:pt>
                <c:pt idx="1639">
                  <c:v>30-Jun-13</c:v>
                </c:pt>
                <c:pt idx="1640">
                  <c:v>01juil.2013</c:v>
                </c:pt>
                <c:pt idx="1641">
                  <c:v>02juil.2013</c:v>
                </c:pt>
                <c:pt idx="1642">
                  <c:v>03juil.2013</c:v>
                </c:pt>
                <c:pt idx="1643">
                  <c:v>04juil.2013</c:v>
                </c:pt>
                <c:pt idx="1644">
                  <c:v>05juil.2013</c:v>
                </c:pt>
                <c:pt idx="1645">
                  <c:v>06juil.2013</c:v>
                </c:pt>
                <c:pt idx="1646">
                  <c:v>07juil.2013</c:v>
                </c:pt>
                <c:pt idx="1647">
                  <c:v>08juil.2013</c:v>
                </c:pt>
                <c:pt idx="1648">
                  <c:v>09juil.2013</c:v>
                </c:pt>
                <c:pt idx="1649">
                  <c:v>10juil.2013</c:v>
                </c:pt>
                <c:pt idx="1650">
                  <c:v>11juil.2013</c:v>
                </c:pt>
                <c:pt idx="1651">
                  <c:v>12juil.2013</c:v>
                </c:pt>
                <c:pt idx="1652">
                  <c:v>13juil.2013</c:v>
                </c:pt>
                <c:pt idx="1653">
                  <c:v>14juil.2013</c:v>
                </c:pt>
                <c:pt idx="1654">
                  <c:v>15juil.2013</c:v>
                </c:pt>
                <c:pt idx="1655">
                  <c:v>16juil.2013</c:v>
                </c:pt>
                <c:pt idx="1656">
                  <c:v>17juil.2013</c:v>
                </c:pt>
                <c:pt idx="1657">
                  <c:v>18juil.2013</c:v>
                </c:pt>
                <c:pt idx="1658">
                  <c:v>19juil.2013</c:v>
                </c:pt>
                <c:pt idx="1659">
                  <c:v>20juil.2013</c:v>
                </c:pt>
                <c:pt idx="1660">
                  <c:v>21juil.2013</c:v>
                </c:pt>
                <c:pt idx="1661">
                  <c:v>22juil.2013</c:v>
                </c:pt>
                <c:pt idx="1662">
                  <c:v>23juil.2013</c:v>
                </c:pt>
                <c:pt idx="1663">
                  <c:v>24juil.2013</c:v>
                </c:pt>
                <c:pt idx="1664">
                  <c:v>25juil.2013</c:v>
                </c:pt>
                <c:pt idx="1665">
                  <c:v>26juil.2013</c:v>
                </c:pt>
                <c:pt idx="1666">
                  <c:v>27juil.2013</c:v>
                </c:pt>
                <c:pt idx="1667">
                  <c:v>28juil.2013</c:v>
                </c:pt>
                <c:pt idx="1668">
                  <c:v>29juil.2013</c:v>
                </c:pt>
                <c:pt idx="1669">
                  <c:v>30juil.2013</c:v>
                </c:pt>
                <c:pt idx="1670">
                  <c:v>31juil.2013</c:v>
                </c:pt>
                <c:pt idx="1671">
                  <c:v>1-Aug-13</c:v>
                </c:pt>
                <c:pt idx="1672">
                  <c:v>2-Aug-13</c:v>
                </c:pt>
                <c:pt idx="1673">
                  <c:v>3-Aug-13</c:v>
                </c:pt>
                <c:pt idx="1674">
                  <c:v>4-Aug-13</c:v>
                </c:pt>
                <c:pt idx="1675">
                  <c:v>5-Aug-13</c:v>
                </c:pt>
                <c:pt idx="1676">
                  <c:v>6-Aug-13</c:v>
                </c:pt>
                <c:pt idx="1677">
                  <c:v>7-Aug-13</c:v>
                </c:pt>
                <c:pt idx="1678">
                  <c:v>8-Aug-13</c:v>
                </c:pt>
                <c:pt idx="1679">
                  <c:v>9-Aug-13</c:v>
                </c:pt>
                <c:pt idx="1680">
                  <c:v>10-Aug-13</c:v>
                </c:pt>
                <c:pt idx="1681">
                  <c:v>11-Aug-13</c:v>
                </c:pt>
                <c:pt idx="1682">
                  <c:v>12-Aug-13</c:v>
                </c:pt>
                <c:pt idx="1683">
                  <c:v>13-Aug-13</c:v>
                </c:pt>
                <c:pt idx="1684">
                  <c:v>14-Aug-13</c:v>
                </c:pt>
                <c:pt idx="1685">
                  <c:v>15-Aug-13</c:v>
                </c:pt>
                <c:pt idx="1686">
                  <c:v>16-Aug-13</c:v>
                </c:pt>
                <c:pt idx="1687">
                  <c:v>17-Aug-13</c:v>
                </c:pt>
                <c:pt idx="1688">
                  <c:v>18-Aug-13</c:v>
                </c:pt>
                <c:pt idx="1689">
                  <c:v>19-Aug-13</c:v>
                </c:pt>
                <c:pt idx="1690">
                  <c:v>20-Aug-13</c:v>
                </c:pt>
                <c:pt idx="1691">
                  <c:v>21-Aug-13</c:v>
                </c:pt>
                <c:pt idx="1692">
                  <c:v>22-Aug-13</c:v>
                </c:pt>
                <c:pt idx="1693">
                  <c:v>23-Aug-13</c:v>
                </c:pt>
                <c:pt idx="1694">
                  <c:v>24-Aug-13</c:v>
                </c:pt>
                <c:pt idx="1695">
                  <c:v>25-Aug-13</c:v>
                </c:pt>
                <c:pt idx="1696">
                  <c:v>26-Aug-13</c:v>
                </c:pt>
                <c:pt idx="1697">
                  <c:v>27-Aug-13</c:v>
                </c:pt>
                <c:pt idx="1698">
                  <c:v>28-Aug-13</c:v>
                </c:pt>
                <c:pt idx="1699">
                  <c:v>29-Aug-13</c:v>
                </c:pt>
                <c:pt idx="1700">
                  <c:v>30-Aug-13</c:v>
                </c:pt>
                <c:pt idx="1701">
                  <c:v>31-Aug-13</c:v>
                </c:pt>
                <c:pt idx="1702">
                  <c:v>01sept.2013</c:v>
                </c:pt>
                <c:pt idx="1703">
                  <c:v>02sept.2013</c:v>
                </c:pt>
                <c:pt idx="1704">
                  <c:v>03sept.2013</c:v>
                </c:pt>
                <c:pt idx="1705">
                  <c:v>04sept.2013</c:v>
                </c:pt>
                <c:pt idx="1706">
                  <c:v>05sept.2013</c:v>
                </c:pt>
                <c:pt idx="1707">
                  <c:v>06sept.2013</c:v>
                </c:pt>
                <c:pt idx="1708">
                  <c:v>07sept.2013</c:v>
                </c:pt>
                <c:pt idx="1709">
                  <c:v>08sept.2013</c:v>
                </c:pt>
                <c:pt idx="1710">
                  <c:v>09sept.2013</c:v>
                </c:pt>
                <c:pt idx="1711">
                  <c:v>10sept.2013</c:v>
                </c:pt>
                <c:pt idx="1712">
                  <c:v>11sept.2013</c:v>
                </c:pt>
                <c:pt idx="1713">
                  <c:v>12sept.2013</c:v>
                </c:pt>
                <c:pt idx="1714">
                  <c:v>13sept.2013</c:v>
                </c:pt>
                <c:pt idx="1715">
                  <c:v>14sept.2013</c:v>
                </c:pt>
                <c:pt idx="1716">
                  <c:v>15sept.2013</c:v>
                </c:pt>
                <c:pt idx="1717">
                  <c:v>16sept.2013</c:v>
                </c:pt>
                <c:pt idx="1718">
                  <c:v>17sept.2013</c:v>
                </c:pt>
                <c:pt idx="1719">
                  <c:v>18sept.2013</c:v>
                </c:pt>
                <c:pt idx="1720">
                  <c:v>19sept.2013</c:v>
                </c:pt>
                <c:pt idx="1721">
                  <c:v>20sept.2013</c:v>
                </c:pt>
                <c:pt idx="1722">
                  <c:v>21sept.2013</c:v>
                </c:pt>
                <c:pt idx="1723">
                  <c:v>22sept.2013</c:v>
                </c:pt>
                <c:pt idx="1724">
                  <c:v>23sept.2013</c:v>
                </c:pt>
                <c:pt idx="1725">
                  <c:v>24sept.2013</c:v>
                </c:pt>
                <c:pt idx="1726">
                  <c:v>25sept.2013</c:v>
                </c:pt>
                <c:pt idx="1727">
                  <c:v>26sept.2013</c:v>
                </c:pt>
                <c:pt idx="1728">
                  <c:v>27sept.2013</c:v>
                </c:pt>
                <c:pt idx="1729">
                  <c:v>28sept.2013</c:v>
                </c:pt>
                <c:pt idx="1730">
                  <c:v>29sept.2013</c:v>
                </c:pt>
                <c:pt idx="1731">
                  <c:v>30sept.2013</c:v>
                </c:pt>
                <c:pt idx="1732">
                  <c:v>01oct.2013</c:v>
                </c:pt>
                <c:pt idx="1733">
                  <c:v>02oct.2013</c:v>
                </c:pt>
                <c:pt idx="1734">
                  <c:v>03oct.2013</c:v>
                </c:pt>
                <c:pt idx="1735">
                  <c:v>04oct.2013</c:v>
                </c:pt>
                <c:pt idx="1736">
                  <c:v>05oct.2013</c:v>
                </c:pt>
                <c:pt idx="1737">
                  <c:v>06oct.2013</c:v>
                </c:pt>
                <c:pt idx="1738">
                  <c:v>07oct.2013</c:v>
                </c:pt>
                <c:pt idx="1739">
                  <c:v>08oct.2013</c:v>
                </c:pt>
                <c:pt idx="1740">
                  <c:v>09oct.2013</c:v>
                </c:pt>
                <c:pt idx="1741">
                  <c:v>10oct.2013</c:v>
                </c:pt>
                <c:pt idx="1742">
                  <c:v>11oct.2013</c:v>
                </c:pt>
                <c:pt idx="1743">
                  <c:v>12oct.2013</c:v>
                </c:pt>
                <c:pt idx="1744">
                  <c:v>13oct.2013</c:v>
                </c:pt>
                <c:pt idx="1745">
                  <c:v>14oct.2013</c:v>
                </c:pt>
                <c:pt idx="1746">
                  <c:v>15oct.2013</c:v>
                </c:pt>
                <c:pt idx="1747">
                  <c:v>16oct.2013</c:v>
                </c:pt>
                <c:pt idx="1748">
                  <c:v>17oct.2013</c:v>
                </c:pt>
                <c:pt idx="1749">
                  <c:v>18oct.2013</c:v>
                </c:pt>
                <c:pt idx="1750">
                  <c:v>19oct.2013</c:v>
                </c:pt>
                <c:pt idx="1751">
                  <c:v>20oct.2013</c:v>
                </c:pt>
                <c:pt idx="1752">
                  <c:v>21oct.2013</c:v>
                </c:pt>
                <c:pt idx="1753">
                  <c:v>22oct.2013</c:v>
                </c:pt>
                <c:pt idx="1754">
                  <c:v>23oct.2013</c:v>
                </c:pt>
                <c:pt idx="1755">
                  <c:v>24oct.2013</c:v>
                </c:pt>
                <c:pt idx="1756">
                  <c:v>25oct.2013</c:v>
                </c:pt>
                <c:pt idx="1757">
                  <c:v>26oct.2013</c:v>
                </c:pt>
                <c:pt idx="1758">
                  <c:v>27oct.2013</c:v>
                </c:pt>
                <c:pt idx="1759">
                  <c:v>28oct.2013</c:v>
                </c:pt>
                <c:pt idx="1760">
                  <c:v>29oct.2013</c:v>
                </c:pt>
                <c:pt idx="1761">
                  <c:v>30oct.2013</c:v>
                </c:pt>
                <c:pt idx="1762">
                  <c:v>31oct.2013</c:v>
                </c:pt>
                <c:pt idx="1763">
                  <c:v>01nov.2013</c:v>
                </c:pt>
                <c:pt idx="1764">
                  <c:v>02nov.2013</c:v>
                </c:pt>
                <c:pt idx="1765">
                  <c:v>03nov.2013</c:v>
                </c:pt>
                <c:pt idx="1766">
                  <c:v>04nov.2013</c:v>
                </c:pt>
                <c:pt idx="1767">
                  <c:v>05nov.2013</c:v>
                </c:pt>
                <c:pt idx="1768">
                  <c:v>06nov.2013</c:v>
                </c:pt>
                <c:pt idx="1769">
                  <c:v>07nov.2013</c:v>
                </c:pt>
                <c:pt idx="1770">
                  <c:v>08nov.2013</c:v>
                </c:pt>
                <c:pt idx="1771">
                  <c:v>09nov.2013</c:v>
                </c:pt>
                <c:pt idx="1772">
                  <c:v>10nov.2013</c:v>
                </c:pt>
                <c:pt idx="1773">
                  <c:v>11nov.2013</c:v>
                </c:pt>
                <c:pt idx="1774">
                  <c:v>12nov.2013</c:v>
                </c:pt>
                <c:pt idx="1775">
                  <c:v>13nov.2013</c:v>
                </c:pt>
                <c:pt idx="1776">
                  <c:v>14nov.2013</c:v>
                </c:pt>
                <c:pt idx="1777">
                  <c:v>15nov.2013</c:v>
                </c:pt>
                <c:pt idx="1778">
                  <c:v>16nov.2013</c:v>
                </c:pt>
                <c:pt idx="1779">
                  <c:v>17nov.2013</c:v>
                </c:pt>
                <c:pt idx="1780">
                  <c:v>18nov.2013</c:v>
                </c:pt>
                <c:pt idx="1781">
                  <c:v>19nov.2013</c:v>
                </c:pt>
                <c:pt idx="1782">
                  <c:v>20nov.2013</c:v>
                </c:pt>
                <c:pt idx="1783">
                  <c:v>21nov.2013</c:v>
                </c:pt>
                <c:pt idx="1784">
                  <c:v>22nov.2013</c:v>
                </c:pt>
                <c:pt idx="1785">
                  <c:v>23nov.2013</c:v>
                </c:pt>
                <c:pt idx="1786">
                  <c:v>24nov.2013</c:v>
                </c:pt>
                <c:pt idx="1787">
                  <c:v>25nov.2013</c:v>
                </c:pt>
                <c:pt idx="1788">
                  <c:v>26nov.2013</c:v>
                </c:pt>
                <c:pt idx="1789">
                  <c:v>27nov.2013</c:v>
                </c:pt>
                <c:pt idx="1790">
                  <c:v>28nov.2013</c:v>
                </c:pt>
                <c:pt idx="1791">
                  <c:v>29nov.2013</c:v>
                </c:pt>
                <c:pt idx="1792">
                  <c:v>30nov.2013</c:v>
                </c:pt>
                <c:pt idx="1793">
                  <c:v>01déc.2013</c:v>
                </c:pt>
                <c:pt idx="1794">
                  <c:v>02déc.2013</c:v>
                </c:pt>
                <c:pt idx="1795">
                  <c:v>03déc.2013</c:v>
                </c:pt>
                <c:pt idx="1796">
                  <c:v>04déc.2013</c:v>
                </c:pt>
                <c:pt idx="1797">
                  <c:v>05déc.2013</c:v>
                </c:pt>
                <c:pt idx="1798">
                  <c:v>06déc.2013</c:v>
                </c:pt>
                <c:pt idx="1799">
                  <c:v>07déc.2013</c:v>
                </c:pt>
                <c:pt idx="1800">
                  <c:v>08déc.2013</c:v>
                </c:pt>
                <c:pt idx="1801">
                  <c:v>09déc.2013</c:v>
                </c:pt>
                <c:pt idx="1802">
                  <c:v>10déc.2013</c:v>
                </c:pt>
                <c:pt idx="1803">
                  <c:v>11déc.2013</c:v>
                </c:pt>
                <c:pt idx="1804">
                  <c:v>12déc.2013</c:v>
                </c:pt>
                <c:pt idx="1805">
                  <c:v>13déc.2013</c:v>
                </c:pt>
                <c:pt idx="1806">
                  <c:v>14déc.2013</c:v>
                </c:pt>
                <c:pt idx="1807">
                  <c:v>15déc.2013</c:v>
                </c:pt>
                <c:pt idx="1808">
                  <c:v>16déc.2013</c:v>
                </c:pt>
                <c:pt idx="1809">
                  <c:v>17déc.2013</c:v>
                </c:pt>
                <c:pt idx="1810">
                  <c:v>18déc.2013</c:v>
                </c:pt>
                <c:pt idx="1811">
                  <c:v>19déc.2013</c:v>
                </c:pt>
                <c:pt idx="1812">
                  <c:v>20déc.2013</c:v>
                </c:pt>
                <c:pt idx="1813">
                  <c:v>21déc.2013</c:v>
                </c:pt>
                <c:pt idx="1814">
                  <c:v>22déc.2013</c:v>
                </c:pt>
                <c:pt idx="1815">
                  <c:v>23déc.2013</c:v>
                </c:pt>
                <c:pt idx="1816">
                  <c:v>24déc.2013</c:v>
                </c:pt>
                <c:pt idx="1817">
                  <c:v>25déc.2013</c:v>
                </c:pt>
                <c:pt idx="1818">
                  <c:v>26déc.2013</c:v>
                </c:pt>
                <c:pt idx="1819">
                  <c:v>27déc.2013</c:v>
                </c:pt>
                <c:pt idx="1820">
                  <c:v>28déc.2013</c:v>
                </c:pt>
                <c:pt idx="1821">
                  <c:v>29déc.2013</c:v>
                </c:pt>
                <c:pt idx="1822">
                  <c:v>30déc.2013</c:v>
                </c:pt>
                <c:pt idx="1823">
                  <c:v>31déc.2013</c:v>
                </c:pt>
                <c:pt idx="1824">
                  <c:v>01janv.2014</c:v>
                </c:pt>
                <c:pt idx="1825">
                  <c:v>02janv.2014</c:v>
                </c:pt>
                <c:pt idx="1826">
                  <c:v>03janv.2014</c:v>
                </c:pt>
                <c:pt idx="1827">
                  <c:v>04janv.2014</c:v>
                </c:pt>
                <c:pt idx="1828">
                  <c:v>05janv.2014</c:v>
                </c:pt>
                <c:pt idx="1829">
                  <c:v>06janv.2014</c:v>
                </c:pt>
                <c:pt idx="1830">
                  <c:v>07janv.2014</c:v>
                </c:pt>
                <c:pt idx="1831">
                  <c:v>08janv.2014</c:v>
                </c:pt>
                <c:pt idx="1832">
                  <c:v>09janv.2014</c:v>
                </c:pt>
                <c:pt idx="1833">
                  <c:v>10janv.2014</c:v>
                </c:pt>
                <c:pt idx="1834">
                  <c:v>11janv.2014</c:v>
                </c:pt>
                <c:pt idx="1835">
                  <c:v>12janv.2014</c:v>
                </c:pt>
                <c:pt idx="1836">
                  <c:v>13janv.2014</c:v>
                </c:pt>
                <c:pt idx="1837">
                  <c:v>14janv.2014</c:v>
                </c:pt>
                <c:pt idx="1838">
                  <c:v>15janv.2014</c:v>
                </c:pt>
                <c:pt idx="1839">
                  <c:v>16janv.2014</c:v>
                </c:pt>
                <c:pt idx="1840">
                  <c:v>17janv.2014</c:v>
                </c:pt>
                <c:pt idx="1841">
                  <c:v>18janv.2014</c:v>
                </c:pt>
                <c:pt idx="1842">
                  <c:v>19janv.2014</c:v>
                </c:pt>
                <c:pt idx="1843">
                  <c:v>20janv.2014</c:v>
                </c:pt>
                <c:pt idx="1844">
                  <c:v>21janv.2014</c:v>
                </c:pt>
                <c:pt idx="1845">
                  <c:v>22janv.2014</c:v>
                </c:pt>
                <c:pt idx="1846">
                  <c:v>23janv.2014</c:v>
                </c:pt>
                <c:pt idx="1847">
                  <c:v>24janv.2014</c:v>
                </c:pt>
                <c:pt idx="1848">
                  <c:v>25janv.2014</c:v>
                </c:pt>
                <c:pt idx="1849">
                  <c:v>26janv.2014</c:v>
                </c:pt>
                <c:pt idx="1850">
                  <c:v>27janv.2014</c:v>
                </c:pt>
                <c:pt idx="1851">
                  <c:v>28janv.2014</c:v>
                </c:pt>
                <c:pt idx="1852">
                  <c:v>29janv.2014</c:v>
                </c:pt>
                <c:pt idx="1853">
                  <c:v>30janv.2014</c:v>
                </c:pt>
                <c:pt idx="1854">
                  <c:v>31janv.2014</c:v>
                </c:pt>
                <c:pt idx="1855">
                  <c:v>01févr.2014</c:v>
                </c:pt>
                <c:pt idx="1856">
                  <c:v>02févr.2014</c:v>
                </c:pt>
                <c:pt idx="1857">
                  <c:v>03févr.2014</c:v>
                </c:pt>
                <c:pt idx="1858">
                  <c:v>04févr.2014</c:v>
                </c:pt>
                <c:pt idx="1859">
                  <c:v>05févr.2014</c:v>
                </c:pt>
                <c:pt idx="1860">
                  <c:v>06févr.2014</c:v>
                </c:pt>
                <c:pt idx="1861">
                  <c:v>07févr.2014</c:v>
                </c:pt>
                <c:pt idx="1862">
                  <c:v>08févr.2014</c:v>
                </c:pt>
                <c:pt idx="1863">
                  <c:v>09févr.2014</c:v>
                </c:pt>
                <c:pt idx="1864">
                  <c:v>10févr.2014</c:v>
                </c:pt>
                <c:pt idx="1865">
                  <c:v>11févr.2014</c:v>
                </c:pt>
                <c:pt idx="1866">
                  <c:v>12févr.2014</c:v>
                </c:pt>
                <c:pt idx="1867">
                  <c:v>13févr.2014</c:v>
                </c:pt>
                <c:pt idx="1868">
                  <c:v>14févr.2014</c:v>
                </c:pt>
                <c:pt idx="1869">
                  <c:v>15févr.2014</c:v>
                </c:pt>
                <c:pt idx="1870">
                  <c:v>16févr.2014</c:v>
                </c:pt>
                <c:pt idx="1871">
                  <c:v>17févr.2014</c:v>
                </c:pt>
                <c:pt idx="1872">
                  <c:v>18févr.2014</c:v>
                </c:pt>
                <c:pt idx="1873">
                  <c:v>19févr.2014</c:v>
                </c:pt>
                <c:pt idx="1874">
                  <c:v>20févr.2014</c:v>
                </c:pt>
                <c:pt idx="1875">
                  <c:v>21févr.2014</c:v>
                </c:pt>
                <c:pt idx="1876">
                  <c:v>22févr.2014</c:v>
                </c:pt>
                <c:pt idx="1877">
                  <c:v>23févr.2014</c:v>
                </c:pt>
                <c:pt idx="1878">
                  <c:v>24févr.2014</c:v>
                </c:pt>
                <c:pt idx="1879">
                  <c:v>25févr.2014</c:v>
                </c:pt>
                <c:pt idx="1880">
                  <c:v>26févr.2014</c:v>
                </c:pt>
                <c:pt idx="1881">
                  <c:v>27févr.2014</c:v>
                </c:pt>
                <c:pt idx="1882">
                  <c:v>28févr.2014</c:v>
                </c:pt>
                <c:pt idx="1883">
                  <c:v>1-Mar-14</c:v>
                </c:pt>
                <c:pt idx="1884">
                  <c:v>2-Mar-14</c:v>
                </c:pt>
                <c:pt idx="1885">
                  <c:v>3-Mar-14</c:v>
                </c:pt>
                <c:pt idx="1886">
                  <c:v>4-Mar-14</c:v>
                </c:pt>
                <c:pt idx="1887">
                  <c:v>5-Mar-14</c:v>
                </c:pt>
                <c:pt idx="1888">
                  <c:v>6-Mar-14</c:v>
                </c:pt>
                <c:pt idx="1889">
                  <c:v>7-Mar-14</c:v>
                </c:pt>
                <c:pt idx="1890">
                  <c:v>8-Mar-14</c:v>
                </c:pt>
                <c:pt idx="1891">
                  <c:v>9-Mar-14</c:v>
                </c:pt>
                <c:pt idx="1892">
                  <c:v>10-Mar-14</c:v>
                </c:pt>
                <c:pt idx="1893">
                  <c:v>11-Mar-14</c:v>
                </c:pt>
                <c:pt idx="1894">
                  <c:v>12-Mar-14</c:v>
                </c:pt>
                <c:pt idx="1895">
                  <c:v>13-Mar-14</c:v>
                </c:pt>
                <c:pt idx="1896">
                  <c:v>14-Mar-14</c:v>
                </c:pt>
                <c:pt idx="1897">
                  <c:v>15-Mar-14</c:v>
                </c:pt>
                <c:pt idx="1898">
                  <c:v>16-Mar-14</c:v>
                </c:pt>
                <c:pt idx="1899">
                  <c:v>17-Mar-14</c:v>
                </c:pt>
                <c:pt idx="1900">
                  <c:v>18-Mar-14</c:v>
                </c:pt>
                <c:pt idx="1901">
                  <c:v>19-Mar-14</c:v>
                </c:pt>
                <c:pt idx="1902">
                  <c:v>20-Mar-14</c:v>
                </c:pt>
                <c:pt idx="1903">
                  <c:v>21-Mar-14</c:v>
                </c:pt>
                <c:pt idx="1904">
                  <c:v>22-Mar-14</c:v>
                </c:pt>
                <c:pt idx="1905">
                  <c:v>23-Mar-14</c:v>
                </c:pt>
                <c:pt idx="1906">
                  <c:v>24-Mar-14</c:v>
                </c:pt>
                <c:pt idx="1907">
                  <c:v>25-Mar-14</c:v>
                </c:pt>
                <c:pt idx="1908">
                  <c:v>26-Mar-14</c:v>
                </c:pt>
                <c:pt idx="1909">
                  <c:v>27-Mar-14</c:v>
                </c:pt>
                <c:pt idx="1910">
                  <c:v>28-Mar-14</c:v>
                </c:pt>
                <c:pt idx="1911">
                  <c:v>29-Mar-14</c:v>
                </c:pt>
                <c:pt idx="1912">
                  <c:v>30-Mar-14</c:v>
                </c:pt>
                <c:pt idx="1913">
                  <c:v>31-Mar-14</c:v>
                </c:pt>
                <c:pt idx="1914">
                  <c:v>01avr.2014</c:v>
                </c:pt>
                <c:pt idx="1915">
                  <c:v>02avr.2014</c:v>
                </c:pt>
                <c:pt idx="1916">
                  <c:v>03avr.2014</c:v>
                </c:pt>
                <c:pt idx="1917">
                  <c:v>04avr.2014</c:v>
                </c:pt>
                <c:pt idx="1918">
                  <c:v>05avr.2014</c:v>
                </c:pt>
                <c:pt idx="1919">
                  <c:v>06avr.2014</c:v>
                </c:pt>
                <c:pt idx="1920">
                  <c:v>07avr.2014</c:v>
                </c:pt>
                <c:pt idx="1921">
                  <c:v>08avr.2014</c:v>
                </c:pt>
                <c:pt idx="1922">
                  <c:v>09avr.2014</c:v>
                </c:pt>
                <c:pt idx="1923">
                  <c:v>10avr.2014</c:v>
                </c:pt>
                <c:pt idx="1924">
                  <c:v>11avr.2014</c:v>
                </c:pt>
                <c:pt idx="1925">
                  <c:v>12avr.2014</c:v>
                </c:pt>
                <c:pt idx="1926">
                  <c:v>13avr.2014</c:v>
                </c:pt>
                <c:pt idx="1927">
                  <c:v>14avr.2014</c:v>
                </c:pt>
                <c:pt idx="1928">
                  <c:v>15avr.2014</c:v>
                </c:pt>
                <c:pt idx="1929">
                  <c:v>16avr.2014</c:v>
                </c:pt>
                <c:pt idx="1930">
                  <c:v>17avr.2014</c:v>
                </c:pt>
                <c:pt idx="1931">
                  <c:v>18avr.2014</c:v>
                </c:pt>
                <c:pt idx="1932">
                  <c:v>19avr.2014</c:v>
                </c:pt>
                <c:pt idx="1933">
                  <c:v>20avr.2014</c:v>
                </c:pt>
                <c:pt idx="1934">
                  <c:v>21avr.2014</c:v>
                </c:pt>
                <c:pt idx="1935">
                  <c:v>22avr.2014</c:v>
                </c:pt>
                <c:pt idx="1936">
                  <c:v>23avr.2014</c:v>
                </c:pt>
                <c:pt idx="1937">
                  <c:v>24avr.2014</c:v>
                </c:pt>
                <c:pt idx="1938">
                  <c:v>25avr.2014</c:v>
                </c:pt>
                <c:pt idx="1939">
                  <c:v>26avr.2014</c:v>
                </c:pt>
                <c:pt idx="1940">
                  <c:v>27avr.2014</c:v>
                </c:pt>
                <c:pt idx="1941">
                  <c:v>28avr.2014</c:v>
                </c:pt>
                <c:pt idx="1942">
                  <c:v>29avr.2014</c:v>
                </c:pt>
                <c:pt idx="1943">
                  <c:v>30avr.2014</c:v>
                </c:pt>
                <c:pt idx="1944">
                  <c:v>1-May-14</c:v>
                </c:pt>
                <c:pt idx="1945">
                  <c:v>2-May-14</c:v>
                </c:pt>
                <c:pt idx="1946">
                  <c:v>3-May-14</c:v>
                </c:pt>
                <c:pt idx="1947">
                  <c:v>4-May-14</c:v>
                </c:pt>
                <c:pt idx="1948">
                  <c:v>5-May-14</c:v>
                </c:pt>
                <c:pt idx="1949">
                  <c:v>6-May-14</c:v>
                </c:pt>
                <c:pt idx="1950">
                  <c:v>7-May-14</c:v>
                </c:pt>
                <c:pt idx="1951">
                  <c:v>8-May-14</c:v>
                </c:pt>
                <c:pt idx="1952">
                  <c:v>9-May-14</c:v>
                </c:pt>
                <c:pt idx="1953">
                  <c:v>10-May-14</c:v>
                </c:pt>
                <c:pt idx="1954">
                  <c:v>11-May-14</c:v>
                </c:pt>
                <c:pt idx="1955">
                  <c:v>12-May-14</c:v>
                </c:pt>
                <c:pt idx="1956">
                  <c:v>13-May-14</c:v>
                </c:pt>
                <c:pt idx="1957">
                  <c:v>14-May-14</c:v>
                </c:pt>
                <c:pt idx="1958">
                  <c:v>15-May-14</c:v>
                </c:pt>
                <c:pt idx="1959">
                  <c:v>16-May-14</c:v>
                </c:pt>
                <c:pt idx="1960">
                  <c:v>17-May-14</c:v>
                </c:pt>
                <c:pt idx="1961">
                  <c:v>18-May-14</c:v>
                </c:pt>
                <c:pt idx="1962">
                  <c:v>19-May-14</c:v>
                </c:pt>
                <c:pt idx="1963">
                  <c:v>20-May-14</c:v>
                </c:pt>
                <c:pt idx="1964">
                  <c:v>21-May-14</c:v>
                </c:pt>
                <c:pt idx="1965">
                  <c:v>22-May-14</c:v>
                </c:pt>
                <c:pt idx="1966">
                  <c:v>23-May-14</c:v>
                </c:pt>
                <c:pt idx="1967">
                  <c:v>24-May-14</c:v>
                </c:pt>
                <c:pt idx="1968">
                  <c:v>25-May-14</c:v>
                </c:pt>
                <c:pt idx="1969">
                  <c:v>26-May-14</c:v>
                </c:pt>
                <c:pt idx="1970">
                  <c:v>27-May-14</c:v>
                </c:pt>
                <c:pt idx="1971">
                  <c:v>28-May-14</c:v>
                </c:pt>
                <c:pt idx="1972">
                  <c:v>29-May-14</c:v>
                </c:pt>
                <c:pt idx="1973">
                  <c:v>30-May-14</c:v>
                </c:pt>
                <c:pt idx="1974">
                  <c:v>31-May-14</c:v>
                </c:pt>
                <c:pt idx="1975">
                  <c:v>1-Jun-14</c:v>
                </c:pt>
                <c:pt idx="1976">
                  <c:v>2-Jun-14</c:v>
                </c:pt>
                <c:pt idx="1977">
                  <c:v>3-Jun-14</c:v>
                </c:pt>
                <c:pt idx="1978">
                  <c:v>4-Jun-14</c:v>
                </c:pt>
                <c:pt idx="1979">
                  <c:v>5-Jun-14</c:v>
                </c:pt>
                <c:pt idx="1980">
                  <c:v>6-Jun-14</c:v>
                </c:pt>
                <c:pt idx="1981">
                  <c:v>7-Jun-14</c:v>
                </c:pt>
                <c:pt idx="1982">
                  <c:v>8-Jun-14</c:v>
                </c:pt>
                <c:pt idx="1983">
                  <c:v>9-Jun-14</c:v>
                </c:pt>
                <c:pt idx="1984">
                  <c:v>10-Jun-14</c:v>
                </c:pt>
                <c:pt idx="1985">
                  <c:v>11-Jun-14</c:v>
                </c:pt>
                <c:pt idx="1986">
                  <c:v>12-Jun-14</c:v>
                </c:pt>
                <c:pt idx="1987">
                  <c:v>13-Jun-14</c:v>
                </c:pt>
                <c:pt idx="1988">
                  <c:v>14-Jun-14</c:v>
                </c:pt>
                <c:pt idx="1989">
                  <c:v>15-Jun-14</c:v>
                </c:pt>
                <c:pt idx="1990">
                  <c:v>16-Jun-14</c:v>
                </c:pt>
                <c:pt idx="1991">
                  <c:v>17-Jun-14</c:v>
                </c:pt>
                <c:pt idx="1992">
                  <c:v>18-Jun-14</c:v>
                </c:pt>
                <c:pt idx="1993">
                  <c:v>19-Jun-14</c:v>
                </c:pt>
                <c:pt idx="1994">
                  <c:v>20-Jun-14</c:v>
                </c:pt>
                <c:pt idx="1995">
                  <c:v>21-Jun-14</c:v>
                </c:pt>
                <c:pt idx="1996">
                  <c:v>22-Jun-14</c:v>
                </c:pt>
                <c:pt idx="1997">
                  <c:v>23-Jun-14</c:v>
                </c:pt>
                <c:pt idx="1998">
                  <c:v>24-Jun-14</c:v>
                </c:pt>
                <c:pt idx="1999">
                  <c:v>25-Jun-14</c:v>
                </c:pt>
                <c:pt idx="2000">
                  <c:v>26-Jun-14</c:v>
                </c:pt>
                <c:pt idx="2001">
                  <c:v>27-Jun-14</c:v>
                </c:pt>
                <c:pt idx="2002">
                  <c:v>28-Jun-14</c:v>
                </c:pt>
                <c:pt idx="2003">
                  <c:v>29-Jun-14</c:v>
                </c:pt>
                <c:pt idx="2004">
                  <c:v>30-Jun-14</c:v>
                </c:pt>
                <c:pt idx="2005">
                  <c:v>01juil.2014</c:v>
                </c:pt>
                <c:pt idx="2006">
                  <c:v>02juil.2014</c:v>
                </c:pt>
                <c:pt idx="2007">
                  <c:v>03juil.2014</c:v>
                </c:pt>
                <c:pt idx="2008">
                  <c:v>04juil.2014</c:v>
                </c:pt>
                <c:pt idx="2009">
                  <c:v>05juil.2014</c:v>
                </c:pt>
                <c:pt idx="2010">
                  <c:v>06juil.2014</c:v>
                </c:pt>
                <c:pt idx="2011">
                  <c:v>07juil.2014</c:v>
                </c:pt>
                <c:pt idx="2012">
                  <c:v>08juil.2014</c:v>
                </c:pt>
                <c:pt idx="2013">
                  <c:v>09juil.2014</c:v>
                </c:pt>
                <c:pt idx="2014">
                  <c:v>10juil.2014</c:v>
                </c:pt>
                <c:pt idx="2015">
                  <c:v>11juil.2014</c:v>
                </c:pt>
                <c:pt idx="2016">
                  <c:v>12juil.2014</c:v>
                </c:pt>
                <c:pt idx="2017">
                  <c:v>13juil.2014</c:v>
                </c:pt>
                <c:pt idx="2018">
                  <c:v>14juil.2014</c:v>
                </c:pt>
                <c:pt idx="2019">
                  <c:v>15juil.2014</c:v>
                </c:pt>
                <c:pt idx="2020">
                  <c:v>16juil.2014</c:v>
                </c:pt>
                <c:pt idx="2021">
                  <c:v>17juil.2014</c:v>
                </c:pt>
                <c:pt idx="2022">
                  <c:v>18juil.2014</c:v>
                </c:pt>
                <c:pt idx="2023">
                  <c:v>19juil.2014</c:v>
                </c:pt>
                <c:pt idx="2024">
                  <c:v>20juil.2014</c:v>
                </c:pt>
                <c:pt idx="2025">
                  <c:v>21juil.2014</c:v>
                </c:pt>
                <c:pt idx="2026">
                  <c:v>22juil.2014</c:v>
                </c:pt>
                <c:pt idx="2027">
                  <c:v>23juil.2014</c:v>
                </c:pt>
                <c:pt idx="2028">
                  <c:v>24juil.2014</c:v>
                </c:pt>
                <c:pt idx="2029">
                  <c:v>25juil.2014</c:v>
                </c:pt>
                <c:pt idx="2030">
                  <c:v>26juil.2014</c:v>
                </c:pt>
                <c:pt idx="2031">
                  <c:v>27juil.2014</c:v>
                </c:pt>
                <c:pt idx="2032">
                  <c:v>28juil.2014</c:v>
                </c:pt>
                <c:pt idx="2033">
                  <c:v>29juil.2014</c:v>
                </c:pt>
                <c:pt idx="2034">
                  <c:v>30juil.2014</c:v>
                </c:pt>
                <c:pt idx="2035">
                  <c:v>31juil.2014</c:v>
                </c:pt>
                <c:pt idx="2036">
                  <c:v>1-Aug-14</c:v>
                </c:pt>
                <c:pt idx="2037">
                  <c:v>2-Aug-14</c:v>
                </c:pt>
                <c:pt idx="2038">
                  <c:v>3-Aug-14</c:v>
                </c:pt>
                <c:pt idx="2039">
                  <c:v>4-Aug-14</c:v>
                </c:pt>
                <c:pt idx="2040">
                  <c:v>5-Aug-14</c:v>
                </c:pt>
                <c:pt idx="2041">
                  <c:v>6-Aug-14</c:v>
                </c:pt>
                <c:pt idx="2042">
                  <c:v>7-Aug-14</c:v>
                </c:pt>
                <c:pt idx="2043">
                  <c:v>8-Aug-14</c:v>
                </c:pt>
                <c:pt idx="2044">
                  <c:v>9-Aug-14</c:v>
                </c:pt>
                <c:pt idx="2045">
                  <c:v>10-Aug-14</c:v>
                </c:pt>
                <c:pt idx="2046">
                  <c:v>11-Aug-14</c:v>
                </c:pt>
                <c:pt idx="2047">
                  <c:v>12-Aug-14</c:v>
                </c:pt>
                <c:pt idx="2048">
                  <c:v>13-Aug-14</c:v>
                </c:pt>
                <c:pt idx="2049">
                  <c:v>14-Aug-14</c:v>
                </c:pt>
                <c:pt idx="2050">
                  <c:v>15-Aug-14</c:v>
                </c:pt>
                <c:pt idx="2051">
                  <c:v>16-Aug-14</c:v>
                </c:pt>
                <c:pt idx="2052">
                  <c:v>17-Aug-14</c:v>
                </c:pt>
                <c:pt idx="2053">
                  <c:v>18-Aug-14</c:v>
                </c:pt>
                <c:pt idx="2054">
                  <c:v>19-Aug-14</c:v>
                </c:pt>
                <c:pt idx="2055">
                  <c:v>20-Aug-14</c:v>
                </c:pt>
                <c:pt idx="2056">
                  <c:v>21-Aug-14</c:v>
                </c:pt>
                <c:pt idx="2057">
                  <c:v>22-Aug-14</c:v>
                </c:pt>
                <c:pt idx="2058">
                  <c:v>23-Aug-14</c:v>
                </c:pt>
                <c:pt idx="2059">
                  <c:v>24-Aug-14</c:v>
                </c:pt>
                <c:pt idx="2060">
                  <c:v>25-Aug-14</c:v>
                </c:pt>
                <c:pt idx="2061">
                  <c:v>26-Aug-14</c:v>
                </c:pt>
                <c:pt idx="2062">
                  <c:v>27-Aug-14</c:v>
                </c:pt>
                <c:pt idx="2063">
                  <c:v>28-Aug-14</c:v>
                </c:pt>
                <c:pt idx="2064">
                  <c:v>29-Aug-14</c:v>
                </c:pt>
                <c:pt idx="2065">
                  <c:v>30-Aug-14</c:v>
                </c:pt>
                <c:pt idx="2066">
                  <c:v>31-Aug-14</c:v>
                </c:pt>
                <c:pt idx="2067">
                  <c:v>01sept.2014</c:v>
                </c:pt>
                <c:pt idx="2068">
                  <c:v>02sept.2014</c:v>
                </c:pt>
                <c:pt idx="2069">
                  <c:v>03sept.2014</c:v>
                </c:pt>
                <c:pt idx="2070">
                  <c:v>04sept.2014</c:v>
                </c:pt>
                <c:pt idx="2071">
                  <c:v>05sept.2014</c:v>
                </c:pt>
                <c:pt idx="2072">
                  <c:v>06sept.2014</c:v>
                </c:pt>
                <c:pt idx="2073">
                  <c:v>07sept.2014</c:v>
                </c:pt>
                <c:pt idx="2074">
                  <c:v>08sept.2014</c:v>
                </c:pt>
                <c:pt idx="2075">
                  <c:v>09sept.2014</c:v>
                </c:pt>
                <c:pt idx="2076">
                  <c:v>10sept.2014</c:v>
                </c:pt>
                <c:pt idx="2077">
                  <c:v>11sept.2014</c:v>
                </c:pt>
                <c:pt idx="2078">
                  <c:v>12sept.2014</c:v>
                </c:pt>
                <c:pt idx="2079">
                  <c:v>13sept.2014</c:v>
                </c:pt>
                <c:pt idx="2080">
                  <c:v>14sept.2014</c:v>
                </c:pt>
                <c:pt idx="2081">
                  <c:v>15sept.2014</c:v>
                </c:pt>
                <c:pt idx="2082">
                  <c:v>16sept.2014</c:v>
                </c:pt>
                <c:pt idx="2083">
                  <c:v>17sept.2014</c:v>
                </c:pt>
                <c:pt idx="2084">
                  <c:v>18sept.2014</c:v>
                </c:pt>
                <c:pt idx="2085">
                  <c:v>19sept.2014</c:v>
                </c:pt>
                <c:pt idx="2086">
                  <c:v>20sept.2014</c:v>
                </c:pt>
                <c:pt idx="2087">
                  <c:v>21sept.2014</c:v>
                </c:pt>
                <c:pt idx="2088">
                  <c:v>22sept.2014</c:v>
                </c:pt>
                <c:pt idx="2089">
                  <c:v>23sept.2014</c:v>
                </c:pt>
                <c:pt idx="2090">
                  <c:v>24sept.2014</c:v>
                </c:pt>
                <c:pt idx="2091">
                  <c:v>25sept.2014</c:v>
                </c:pt>
                <c:pt idx="2092">
                  <c:v>26sept.2014</c:v>
                </c:pt>
                <c:pt idx="2093">
                  <c:v>27sept.2014</c:v>
                </c:pt>
                <c:pt idx="2094">
                  <c:v>28sept.2014</c:v>
                </c:pt>
                <c:pt idx="2095">
                  <c:v>29sept.2014</c:v>
                </c:pt>
                <c:pt idx="2096">
                  <c:v>30sept.2014</c:v>
                </c:pt>
                <c:pt idx="2097">
                  <c:v>01oct.2014</c:v>
                </c:pt>
                <c:pt idx="2098">
                  <c:v>02oct.2014</c:v>
                </c:pt>
                <c:pt idx="2099">
                  <c:v>03oct.2014</c:v>
                </c:pt>
                <c:pt idx="2100">
                  <c:v>04oct.2014</c:v>
                </c:pt>
                <c:pt idx="2101">
                  <c:v>05oct.2014</c:v>
                </c:pt>
                <c:pt idx="2102">
                  <c:v>06oct.2014</c:v>
                </c:pt>
                <c:pt idx="2103">
                  <c:v>07oct.2014</c:v>
                </c:pt>
                <c:pt idx="2104">
                  <c:v>08oct.2014</c:v>
                </c:pt>
                <c:pt idx="2105">
                  <c:v>09oct.2014</c:v>
                </c:pt>
                <c:pt idx="2106">
                  <c:v>10oct.2014</c:v>
                </c:pt>
                <c:pt idx="2107">
                  <c:v>11oct.2014</c:v>
                </c:pt>
                <c:pt idx="2108">
                  <c:v>12oct.2014</c:v>
                </c:pt>
                <c:pt idx="2109">
                  <c:v>13oct.2014</c:v>
                </c:pt>
                <c:pt idx="2110">
                  <c:v>14oct.2014</c:v>
                </c:pt>
                <c:pt idx="2111">
                  <c:v>15oct.2014</c:v>
                </c:pt>
                <c:pt idx="2112">
                  <c:v>16oct.2014</c:v>
                </c:pt>
                <c:pt idx="2113">
                  <c:v>17oct.2014</c:v>
                </c:pt>
                <c:pt idx="2114">
                  <c:v>18oct.2014</c:v>
                </c:pt>
                <c:pt idx="2115">
                  <c:v>19oct.2014</c:v>
                </c:pt>
                <c:pt idx="2116">
                  <c:v>20oct.2014</c:v>
                </c:pt>
                <c:pt idx="2117">
                  <c:v>21oct.2014</c:v>
                </c:pt>
                <c:pt idx="2118">
                  <c:v>22oct.2014</c:v>
                </c:pt>
                <c:pt idx="2119">
                  <c:v>23oct.2014</c:v>
                </c:pt>
                <c:pt idx="2120">
                  <c:v>24oct.2014</c:v>
                </c:pt>
                <c:pt idx="2121">
                  <c:v>25oct.2014</c:v>
                </c:pt>
                <c:pt idx="2122">
                  <c:v>26oct.2014</c:v>
                </c:pt>
                <c:pt idx="2123">
                  <c:v>27oct.2014</c:v>
                </c:pt>
                <c:pt idx="2124">
                  <c:v>28oct.2014</c:v>
                </c:pt>
                <c:pt idx="2125">
                  <c:v>29oct.2014</c:v>
                </c:pt>
                <c:pt idx="2126">
                  <c:v>30oct.2014</c:v>
                </c:pt>
                <c:pt idx="2127">
                  <c:v>31oct.2014</c:v>
                </c:pt>
                <c:pt idx="2128">
                  <c:v>01nov.2014</c:v>
                </c:pt>
                <c:pt idx="2129">
                  <c:v>02nov.2014</c:v>
                </c:pt>
                <c:pt idx="2130">
                  <c:v>03nov.2014</c:v>
                </c:pt>
                <c:pt idx="2131">
                  <c:v>04nov.2014</c:v>
                </c:pt>
                <c:pt idx="2132">
                  <c:v>05nov.2014</c:v>
                </c:pt>
                <c:pt idx="2133">
                  <c:v>06nov.2014</c:v>
                </c:pt>
                <c:pt idx="2134">
                  <c:v>07nov.2014</c:v>
                </c:pt>
                <c:pt idx="2135">
                  <c:v>08nov.2014</c:v>
                </c:pt>
                <c:pt idx="2136">
                  <c:v>09nov.2014</c:v>
                </c:pt>
                <c:pt idx="2137">
                  <c:v>10nov.2014</c:v>
                </c:pt>
                <c:pt idx="2138">
                  <c:v>11nov.2014</c:v>
                </c:pt>
                <c:pt idx="2139">
                  <c:v>12nov.2014</c:v>
                </c:pt>
                <c:pt idx="2140">
                  <c:v>13nov.2014</c:v>
                </c:pt>
                <c:pt idx="2141">
                  <c:v>14nov.2014</c:v>
                </c:pt>
                <c:pt idx="2142">
                  <c:v>15nov.2014</c:v>
                </c:pt>
                <c:pt idx="2143">
                  <c:v>16nov.2014</c:v>
                </c:pt>
                <c:pt idx="2144">
                  <c:v>17nov.2014</c:v>
                </c:pt>
                <c:pt idx="2145">
                  <c:v>18nov.2014</c:v>
                </c:pt>
                <c:pt idx="2146">
                  <c:v>19nov.2014</c:v>
                </c:pt>
                <c:pt idx="2147">
                  <c:v>20nov.2014</c:v>
                </c:pt>
                <c:pt idx="2148">
                  <c:v>21nov.2014</c:v>
                </c:pt>
                <c:pt idx="2149">
                  <c:v>22nov.2014</c:v>
                </c:pt>
                <c:pt idx="2150">
                  <c:v>23nov.2014</c:v>
                </c:pt>
                <c:pt idx="2151">
                  <c:v>24nov.2014</c:v>
                </c:pt>
                <c:pt idx="2152">
                  <c:v>25nov.2014</c:v>
                </c:pt>
                <c:pt idx="2153">
                  <c:v>26nov.2014</c:v>
                </c:pt>
                <c:pt idx="2154">
                  <c:v>27nov.2014</c:v>
                </c:pt>
                <c:pt idx="2155">
                  <c:v>28nov.2014</c:v>
                </c:pt>
                <c:pt idx="2156">
                  <c:v>29nov.2014</c:v>
                </c:pt>
                <c:pt idx="2157">
                  <c:v>30nov.2014</c:v>
                </c:pt>
                <c:pt idx="2158">
                  <c:v>01déc.2014</c:v>
                </c:pt>
                <c:pt idx="2159">
                  <c:v>02déc.2014</c:v>
                </c:pt>
                <c:pt idx="2160">
                  <c:v>03déc.2014</c:v>
                </c:pt>
                <c:pt idx="2161">
                  <c:v>04déc.2014</c:v>
                </c:pt>
                <c:pt idx="2162">
                  <c:v>05déc.2014</c:v>
                </c:pt>
                <c:pt idx="2163">
                  <c:v>06déc.2014</c:v>
                </c:pt>
                <c:pt idx="2164">
                  <c:v>07déc.2014</c:v>
                </c:pt>
                <c:pt idx="2165">
                  <c:v>08déc.2014</c:v>
                </c:pt>
                <c:pt idx="2166">
                  <c:v>09déc.2014</c:v>
                </c:pt>
                <c:pt idx="2167">
                  <c:v>10déc.2014</c:v>
                </c:pt>
                <c:pt idx="2168">
                  <c:v>11déc.2014</c:v>
                </c:pt>
                <c:pt idx="2169">
                  <c:v>12déc.2014</c:v>
                </c:pt>
                <c:pt idx="2170">
                  <c:v>13déc.2014</c:v>
                </c:pt>
                <c:pt idx="2171">
                  <c:v>14déc.2014</c:v>
                </c:pt>
                <c:pt idx="2172">
                  <c:v>15déc.2014</c:v>
                </c:pt>
                <c:pt idx="2173">
                  <c:v>16déc.2014</c:v>
                </c:pt>
                <c:pt idx="2174">
                  <c:v>17déc.2014</c:v>
                </c:pt>
                <c:pt idx="2175">
                  <c:v>18déc.2014</c:v>
                </c:pt>
                <c:pt idx="2176">
                  <c:v>19déc.2014</c:v>
                </c:pt>
                <c:pt idx="2177">
                  <c:v>20déc.2014</c:v>
                </c:pt>
                <c:pt idx="2178">
                  <c:v>21déc.2014</c:v>
                </c:pt>
                <c:pt idx="2179">
                  <c:v>22déc.2014</c:v>
                </c:pt>
                <c:pt idx="2180">
                  <c:v>23déc.2014</c:v>
                </c:pt>
                <c:pt idx="2181">
                  <c:v>24déc.2014</c:v>
                </c:pt>
                <c:pt idx="2182">
                  <c:v>25déc.2014</c:v>
                </c:pt>
                <c:pt idx="2183">
                  <c:v>26déc.2014</c:v>
                </c:pt>
                <c:pt idx="2184">
                  <c:v>27déc.2014</c:v>
                </c:pt>
                <c:pt idx="2185">
                  <c:v>28déc.2014</c:v>
                </c:pt>
                <c:pt idx="2186">
                  <c:v>29déc.2014</c:v>
                </c:pt>
                <c:pt idx="2187">
                  <c:v>30déc.2014</c:v>
                </c:pt>
                <c:pt idx="2188">
                  <c:v>31déc.2014</c:v>
                </c:pt>
                <c:pt idx="2189">
                  <c:v>01janv.2015</c:v>
                </c:pt>
                <c:pt idx="2190">
                  <c:v>02janv.2015</c:v>
                </c:pt>
                <c:pt idx="2191">
                  <c:v>03janv.2015</c:v>
                </c:pt>
                <c:pt idx="2192">
                  <c:v>04janv.2015</c:v>
                </c:pt>
                <c:pt idx="2193">
                  <c:v>05janv.2015</c:v>
                </c:pt>
                <c:pt idx="2194">
                  <c:v>06janv.2015</c:v>
                </c:pt>
                <c:pt idx="2195">
                  <c:v>07janv.2015</c:v>
                </c:pt>
                <c:pt idx="2196">
                  <c:v>08janv.2015</c:v>
                </c:pt>
                <c:pt idx="2197">
                  <c:v>09janv.2015</c:v>
                </c:pt>
                <c:pt idx="2198">
                  <c:v>10janv.2015</c:v>
                </c:pt>
                <c:pt idx="2199">
                  <c:v>11janv.2015</c:v>
                </c:pt>
                <c:pt idx="2200">
                  <c:v>12janv.2015</c:v>
                </c:pt>
                <c:pt idx="2201">
                  <c:v>13janv.2015</c:v>
                </c:pt>
                <c:pt idx="2202">
                  <c:v>14janv.2015</c:v>
                </c:pt>
                <c:pt idx="2203">
                  <c:v>15janv.2015</c:v>
                </c:pt>
                <c:pt idx="2204">
                  <c:v>16janv.2015</c:v>
                </c:pt>
                <c:pt idx="2205">
                  <c:v>17janv.2015</c:v>
                </c:pt>
                <c:pt idx="2206">
                  <c:v>18janv.2015</c:v>
                </c:pt>
                <c:pt idx="2207">
                  <c:v>19janv.2015</c:v>
                </c:pt>
                <c:pt idx="2208">
                  <c:v>20janv.2015</c:v>
                </c:pt>
                <c:pt idx="2209">
                  <c:v>21janv.2015</c:v>
                </c:pt>
                <c:pt idx="2210">
                  <c:v>22janv.2015</c:v>
                </c:pt>
                <c:pt idx="2211">
                  <c:v>23janv.2015</c:v>
                </c:pt>
                <c:pt idx="2212">
                  <c:v>24janv.2015</c:v>
                </c:pt>
                <c:pt idx="2213">
                  <c:v>25janv.2015</c:v>
                </c:pt>
                <c:pt idx="2214">
                  <c:v>26janv.2015</c:v>
                </c:pt>
                <c:pt idx="2215">
                  <c:v>27janv.2015</c:v>
                </c:pt>
                <c:pt idx="2216">
                  <c:v>28janv.2015</c:v>
                </c:pt>
                <c:pt idx="2217">
                  <c:v>29janv.2015</c:v>
                </c:pt>
                <c:pt idx="2218">
                  <c:v>30janv.2015</c:v>
                </c:pt>
                <c:pt idx="2219">
                  <c:v>31janv.2015</c:v>
                </c:pt>
                <c:pt idx="2220">
                  <c:v>01févr.2015</c:v>
                </c:pt>
                <c:pt idx="2221">
                  <c:v>02févr.2015</c:v>
                </c:pt>
                <c:pt idx="2222">
                  <c:v>03févr.2015</c:v>
                </c:pt>
                <c:pt idx="2223">
                  <c:v>04févr.2015</c:v>
                </c:pt>
                <c:pt idx="2224">
                  <c:v>05févr.2015</c:v>
                </c:pt>
                <c:pt idx="2225">
                  <c:v>06févr.2015</c:v>
                </c:pt>
                <c:pt idx="2226">
                  <c:v>07févr.2015</c:v>
                </c:pt>
                <c:pt idx="2227">
                  <c:v>08févr.2015</c:v>
                </c:pt>
                <c:pt idx="2228">
                  <c:v>09févr.2015</c:v>
                </c:pt>
                <c:pt idx="2229">
                  <c:v>10févr.2015</c:v>
                </c:pt>
                <c:pt idx="2230">
                  <c:v>11févr.2015</c:v>
                </c:pt>
                <c:pt idx="2231">
                  <c:v>12févr.2015</c:v>
                </c:pt>
                <c:pt idx="2232">
                  <c:v>13févr.2015</c:v>
                </c:pt>
                <c:pt idx="2233">
                  <c:v>14févr.2015</c:v>
                </c:pt>
                <c:pt idx="2234">
                  <c:v>15févr.2015</c:v>
                </c:pt>
                <c:pt idx="2235">
                  <c:v>16févr.2015</c:v>
                </c:pt>
                <c:pt idx="2236">
                  <c:v>17févr.2015</c:v>
                </c:pt>
                <c:pt idx="2237">
                  <c:v>18févr.2015</c:v>
                </c:pt>
                <c:pt idx="2238">
                  <c:v>19févr.2015</c:v>
                </c:pt>
                <c:pt idx="2239">
                  <c:v>20févr.2015</c:v>
                </c:pt>
                <c:pt idx="2240">
                  <c:v>21févr.2015</c:v>
                </c:pt>
                <c:pt idx="2241">
                  <c:v>22févr.2015</c:v>
                </c:pt>
                <c:pt idx="2242">
                  <c:v>23févr.2015</c:v>
                </c:pt>
                <c:pt idx="2243">
                  <c:v>24févr.2015</c:v>
                </c:pt>
                <c:pt idx="2244">
                  <c:v>25févr.2015</c:v>
                </c:pt>
                <c:pt idx="2245">
                  <c:v>26févr.2015</c:v>
                </c:pt>
                <c:pt idx="2246">
                  <c:v>27févr.2015</c:v>
                </c:pt>
                <c:pt idx="2247">
                  <c:v>28févr.2015</c:v>
                </c:pt>
                <c:pt idx="2248">
                  <c:v>1-Mar-15</c:v>
                </c:pt>
                <c:pt idx="2249">
                  <c:v>2-Mar-15</c:v>
                </c:pt>
                <c:pt idx="2250">
                  <c:v>3-Mar-15</c:v>
                </c:pt>
                <c:pt idx="2251">
                  <c:v>4-Mar-15</c:v>
                </c:pt>
                <c:pt idx="2252">
                  <c:v>5-Mar-15</c:v>
                </c:pt>
                <c:pt idx="2253">
                  <c:v>6-Mar-15</c:v>
                </c:pt>
                <c:pt idx="2254">
                  <c:v>7-Mar-15</c:v>
                </c:pt>
                <c:pt idx="2255">
                  <c:v>8-Mar-15</c:v>
                </c:pt>
                <c:pt idx="2256">
                  <c:v>9-Mar-15</c:v>
                </c:pt>
                <c:pt idx="2257">
                  <c:v>10-Mar-15</c:v>
                </c:pt>
                <c:pt idx="2258">
                  <c:v>11-Mar-15</c:v>
                </c:pt>
                <c:pt idx="2259">
                  <c:v>12-Mar-15</c:v>
                </c:pt>
                <c:pt idx="2260">
                  <c:v>13-Mar-15</c:v>
                </c:pt>
                <c:pt idx="2261">
                  <c:v>14-Mar-15</c:v>
                </c:pt>
                <c:pt idx="2262">
                  <c:v>15-Mar-15</c:v>
                </c:pt>
                <c:pt idx="2263">
                  <c:v>16-Mar-15</c:v>
                </c:pt>
                <c:pt idx="2264">
                  <c:v>17-Mar-15</c:v>
                </c:pt>
                <c:pt idx="2265">
                  <c:v>18-Mar-15</c:v>
                </c:pt>
                <c:pt idx="2266">
                  <c:v>19-Mar-15</c:v>
                </c:pt>
                <c:pt idx="2267">
                  <c:v>20-Mar-15</c:v>
                </c:pt>
                <c:pt idx="2268">
                  <c:v>21-Mar-15</c:v>
                </c:pt>
                <c:pt idx="2269">
                  <c:v>22-Mar-15</c:v>
                </c:pt>
                <c:pt idx="2270">
                  <c:v>23-Mar-15</c:v>
                </c:pt>
                <c:pt idx="2271">
                  <c:v>24-Mar-15</c:v>
                </c:pt>
                <c:pt idx="2272">
                  <c:v>25-Mar-15</c:v>
                </c:pt>
                <c:pt idx="2273">
                  <c:v>26-Mar-15</c:v>
                </c:pt>
                <c:pt idx="2274">
                  <c:v>27-Mar-15</c:v>
                </c:pt>
                <c:pt idx="2275">
                  <c:v>28-Mar-15</c:v>
                </c:pt>
                <c:pt idx="2276">
                  <c:v>29-Mar-15</c:v>
                </c:pt>
                <c:pt idx="2277">
                  <c:v>30-Mar-15</c:v>
                </c:pt>
                <c:pt idx="2278">
                  <c:v>31-Mar-15</c:v>
                </c:pt>
                <c:pt idx="2279">
                  <c:v>01avr.2015</c:v>
                </c:pt>
                <c:pt idx="2280">
                  <c:v>02avr.2015</c:v>
                </c:pt>
                <c:pt idx="2281">
                  <c:v>03avr.2015</c:v>
                </c:pt>
                <c:pt idx="2282">
                  <c:v>04avr.2015</c:v>
                </c:pt>
                <c:pt idx="2283">
                  <c:v>05avr.2015</c:v>
                </c:pt>
                <c:pt idx="2284">
                  <c:v>06avr.2015</c:v>
                </c:pt>
                <c:pt idx="2285">
                  <c:v>07avr.2015</c:v>
                </c:pt>
                <c:pt idx="2286">
                  <c:v>08avr.2015</c:v>
                </c:pt>
                <c:pt idx="2287">
                  <c:v>09avr.2015</c:v>
                </c:pt>
                <c:pt idx="2288">
                  <c:v>10avr.2015</c:v>
                </c:pt>
                <c:pt idx="2289">
                  <c:v>11avr.2015</c:v>
                </c:pt>
                <c:pt idx="2290">
                  <c:v>12avr.2015</c:v>
                </c:pt>
                <c:pt idx="2291">
                  <c:v>13avr.2015</c:v>
                </c:pt>
                <c:pt idx="2292">
                  <c:v>14avr.2015</c:v>
                </c:pt>
                <c:pt idx="2293">
                  <c:v>15avr.2015</c:v>
                </c:pt>
                <c:pt idx="2294">
                  <c:v>16avr.2015</c:v>
                </c:pt>
                <c:pt idx="2295">
                  <c:v>17avr.2015</c:v>
                </c:pt>
                <c:pt idx="2296">
                  <c:v>18avr.2015</c:v>
                </c:pt>
                <c:pt idx="2297">
                  <c:v>19avr.2015</c:v>
                </c:pt>
                <c:pt idx="2298">
                  <c:v>20avr.2015</c:v>
                </c:pt>
                <c:pt idx="2299">
                  <c:v>21avr.2015</c:v>
                </c:pt>
                <c:pt idx="2300">
                  <c:v>22avr.2015</c:v>
                </c:pt>
                <c:pt idx="2301">
                  <c:v>23avr.2015</c:v>
                </c:pt>
                <c:pt idx="2302">
                  <c:v>24avr.2015</c:v>
                </c:pt>
                <c:pt idx="2303">
                  <c:v>25avr.2015</c:v>
                </c:pt>
                <c:pt idx="2304">
                  <c:v>26avr.2015</c:v>
                </c:pt>
                <c:pt idx="2305">
                  <c:v>27avr.2015</c:v>
                </c:pt>
                <c:pt idx="2306">
                  <c:v>28avr.2015</c:v>
                </c:pt>
                <c:pt idx="2307">
                  <c:v>29avr.2015</c:v>
                </c:pt>
                <c:pt idx="2308">
                  <c:v>30avr.2015</c:v>
                </c:pt>
                <c:pt idx="2309">
                  <c:v>1-May-15</c:v>
                </c:pt>
                <c:pt idx="2310">
                  <c:v>2-May-15</c:v>
                </c:pt>
                <c:pt idx="2311">
                  <c:v>3-May-15</c:v>
                </c:pt>
                <c:pt idx="2312">
                  <c:v>4-May-15</c:v>
                </c:pt>
                <c:pt idx="2313">
                  <c:v>5-May-15</c:v>
                </c:pt>
                <c:pt idx="2314">
                  <c:v>6-May-15</c:v>
                </c:pt>
                <c:pt idx="2315">
                  <c:v>7-May-15</c:v>
                </c:pt>
                <c:pt idx="2316">
                  <c:v>8-May-15</c:v>
                </c:pt>
                <c:pt idx="2317">
                  <c:v>9-May-15</c:v>
                </c:pt>
                <c:pt idx="2318">
                  <c:v>10-May-15</c:v>
                </c:pt>
                <c:pt idx="2319">
                  <c:v>11-May-15</c:v>
                </c:pt>
                <c:pt idx="2320">
                  <c:v>12-May-15</c:v>
                </c:pt>
                <c:pt idx="2321">
                  <c:v>13-May-15</c:v>
                </c:pt>
                <c:pt idx="2322">
                  <c:v>14-May-15</c:v>
                </c:pt>
                <c:pt idx="2323">
                  <c:v>15-May-15</c:v>
                </c:pt>
                <c:pt idx="2324">
                  <c:v>16-May-15</c:v>
                </c:pt>
                <c:pt idx="2325">
                  <c:v>17-May-15</c:v>
                </c:pt>
                <c:pt idx="2326">
                  <c:v>18-May-15</c:v>
                </c:pt>
                <c:pt idx="2327">
                  <c:v>19-May-15</c:v>
                </c:pt>
                <c:pt idx="2328">
                  <c:v>20-May-15</c:v>
                </c:pt>
                <c:pt idx="2329">
                  <c:v>21-May-15</c:v>
                </c:pt>
                <c:pt idx="2330">
                  <c:v>22-May-15</c:v>
                </c:pt>
                <c:pt idx="2331">
                  <c:v>23-May-15</c:v>
                </c:pt>
                <c:pt idx="2332">
                  <c:v>24-May-15</c:v>
                </c:pt>
                <c:pt idx="2333">
                  <c:v>25-May-15</c:v>
                </c:pt>
                <c:pt idx="2334">
                  <c:v>26-May-15</c:v>
                </c:pt>
                <c:pt idx="2335">
                  <c:v>27-May-15</c:v>
                </c:pt>
                <c:pt idx="2336">
                  <c:v>28-May-15</c:v>
                </c:pt>
                <c:pt idx="2337">
                  <c:v>29-May-15</c:v>
                </c:pt>
                <c:pt idx="2338">
                  <c:v>30-May-15</c:v>
                </c:pt>
                <c:pt idx="2339">
                  <c:v>31-May-15</c:v>
                </c:pt>
                <c:pt idx="2340">
                  <c:v>1-Jun-15</c:v>
                </c:pt>
                <c:pt idx="2341">
                  <c:v>2-Jun-15</c:v>
                </c:pt>
                <c:pt idx="2342">
                  <c:v>3-Jun-15</c:v>
                </c:pt>
                <c:pt idx="2343">
                  <c:v>4-Jun-15</c:v>
                </c:pt>
                <c:pt idx="2344">
                  <c:v>5-Jun-15</c:v>
                </c:pt>
                <c:pt idx="2345">
                  <c:v>6-Jun-15</c:v>
                </c:pt>
                <c:pt idx="2346">
                  <c:v>7-Jun-15</c:v>
                </c:pt>
                <c:pt idx="2347">
                  <c:v>8-Jun-15</c:v>
                </c:pt>
                <c:pt idx="2348">
                  <c:v>9-Jun-15</c:v>
                </c:pt>
                <c:pt idx="2349">
                  <c:v>10-Jun-15</c:v>
                </c:pt>
                <c:pt idx="2350">
                  <c:v>11-Jun-15</c:v>
                </c:pt>
                <c:pt idx="2351">
                  <c:v>12-Jun-15</c:v>
                </c:pt>
                <c:pt idx="2352">
                  <c:v>13-Jun-15</c:v>
                </c:pt>
                <c:pt idx="2353">
                  <c:v>14-Jun-15</c:v>
                </c:pt>
                <c:pt idx="2354">
                  <c:v>15-Jun-15</c:v>
                </c:pt>
                <c:pt idx="2355">
                  <c:v>16-Jun-15</c:v>
                </c:pt>
                <c:pt idx="2356">
                  <c:v>17-Jun-15</c:v>
                </c:pt>
                <c:pt idx="2357">
                  <c:v>18-Jun-15</c:v>
                </c:pt>
                <c:pt idx="2358">
                  <c:v>19-Jun-15</c:v>
                </c:pt>
                <c:pt idx="2359">
                  <c:v>20-Jun-15</c:v>
                </c:pt>
                <c:pt idx="2360">
                  <c:v>21-Jun-15</c:v>
                </c:pt>
                <c:pt idx="2361">
                  <c:v>22-Jun-15</c:v>
                </c:pt>
                <c:pt idx="2362">
                  <c:v>23-Jun-15</c:v>
                </c:pt>
                <c:pt idx="2363">
                  <c:v>24-Jun-15</c:v>
                </c:pt>
                <c:pt idx="2364">
                  <c:v>25-Jun-15</c:v>
                </c:pt>
                <c:pt idx="2365">
                  <c:v>26-Jun-15</c:v>
                </c:pt>
                <c:pt idx="2366">
                  <c:v>27-Jun-15</c:v>
                </c:pt>
                <c:pt idx="2367">
                  <c:v>28-Jun-15</c:v>
                </c:pt>
                <c:pt idx="2368">
                  <c:v>29-Jun-15</c:v>
                </c:pt>
                <c:pt idx="2369">
                  <c:v>30-Jun-15</c:v>
                </c:pt>
                <c:pt idx="2370">
                  <c:v>01juil.2015</c:v>
                </c:pt>
                <c:pt idx="2371">
                  <c:v>02juil.2015</c:v>
                </c:pt>
                <c:pt idx="2372">
                  <c:v>03juil.2015</c:v>
                </c:pt>
                <c:pt idx="2373">
                  <c:v>04juil.2015</c:v>
                </c:pt>
                <c:pt idx="2374">
                  <c:v>05juil.2015</c:v>
                </c:pt>
                <c:pt idx="2375">
                  <c:v>06juil.2015</c:v>
                </c:pt>
                <c:pt idx="2376">
                  <c:v>07juil.2015</c:v>
                </c:pt>
                <c:pt idx="2377">
                  <c:v>08juil.2015</c:v>
                </c:pt>
                <c:pt idx="2378">
                  <c:v>09juil.2015</c:v>
                </c:pt>
                <c:pt idx="2379">
                  <c:v>10juil.2015</c:v>
                </c:pt>
                <c:pt idx="2380">
                  <c:v>11juil.2015</c:v>
                </c:pt>
                <c:pt idx="2381">
                  <c:v>12juil.2015</c:v>
                </c:pt>
                <c:pt idx="2382">
                  <c:v>13juil.2015</c:v>
                </c:pt>
                <c:pt idx="2383">
                  <c:v>14juil.2015</c:v>
                </c:pt>
                <c:pt idx="2384">
                  <c:v>15juil.2015</c:v>
                </c:pt>
                <c:pt idx="2385">
                  <c:v>16juil.2015</c:v>
                </c:pt>
                <c:pt idx="2386">
                  <c:v>17juil.2015</c:v>
                </c:pt>
                <c:pt idx="2387">
                  <c:v>18juil.2015</c:v>
                </c:pt>
                <c:pt idx="2388">
                  <c:v>19juil.2015</c:v>
                </c:pt>
                <c:pt idx="2389">
                  <c:v>20juil.2015</c:v>
                </c:pt>
                <c:pt idx="2390">
                  <c:v>21juil.2015</c:v>
                </c:pt>
                <c:pt idx="2391">
                  <c:v>22juil.2015</c:v>
                </c:pt>
                <c:pt idx="2392">
                  <c:v>23juil.2015</c:v>
                </c:pt>
                <c:pt idx="2393">
                  <c:v>24juil.2015</c:v>
                </c:pt>
                <c:pt idx="2394">
                  <c:v>25juil.2015</c:v>
                </c:pt>
                <c:pt idx="2395">
                  <c:v>26juil.2015</c:v>
                </c:pt>
                <c:pt idx="2396">
                  <c:v>27juil.2015</c:v>
                </c:pt>
                <c:pt idx="2397">
                  <c:v>28juil.2015</c:v>
                </c:pt>
                <c:pt idx="2398">
                  <c:v>29juil.2015</c:v>
                </c:pt>
                <c:pt idx="2399">
                  <c:v>30juil.2015</c:v>
                </c:pt>
                <c:pt idx="2400">
                  <c:v>31juil.2015</c:v>
                </c:pt>
                <c:pt idx="2401">
                  <c:v>1-Aug-15</c:v>
                </c:pt>
                <c:pt idx="2402">
                  <c:v>2-Aug-15</c:v>
                </c:pt>
                <c:pt idx="2403">
                  <c:v>3-Aug-15</c:v>
                </c:pt>
                <c:pt idx="2404">
                  <c:v>4-Aug-15</c:v>
                </c:pt>
                <c:pt idx="2405">
                  <c:v>5-Aug-15</c:v>
                </c:pt>
                <c:pt idx="2406">
                  <c:v>6-Aug-15</c:v>
                </c:pt>
                <c:pt idx="2407">
                  <c:v>7-Aug-15</c:v>
                </c:pt>
                <c:pt idx="2408">
                  <c:v>8-Aug-15</c:v>
                </c:pt>
                <c:pt idx="2409">
                  <c:v>9-Aug-15</c:v>
                </c:pt>
                <c:pt idx="2410">
                  <c:v>10-Aug-15</c:v>
                </c:pt>
                <c:pt idx="2411">
                  <c:v>11-Aug-15</c:v>
                </c:pt>
                <c:pt idx="2412">
                  <c:v>12-Aug-15</c:v>
                </c:pt>
                <c:pt idx="2413">
                  <c:v>13-Aug-15</c:v>
                </c:pt>
                <c:pt idx="2414">
                  <c:v>14-Aug-15</c:v>
                </c:pt>
                <c:pt idx="2415">
                  <c:v>15-Aug-15</c:v>
                </c:pt>
                <c:pt idx="2416">
                  <c:v>16-Aug-15</c:v>
                </c:pt>
                <c:pt idx="2417">
                  <c:v>17-Aug-15</c:v>
                </c:pt>
                <c:pt idx="2418">
                  <c:v>18-Aug-15</c:v>
                </c:pt>
                <c:pt idx="2419">
                  <c:v>19-Aug-15</c:v>
                </c:pt>
                <c:pt idx="2420">
                  <c:v>20-Aug-15</c:v>
                </c:pt>
                <c:pt idx="2421">
                  <c:v>21-Aug-15</c:v>
                </c:pt>
                <c:pt idx="2422">
                  <c:v>22-Aug-15</c:v>
                </c:pt>
                <c:pt idx="2423">
                  <c:v>23-Aug-15</c:v>
                </c:pt>
                <c:pt idx="2424">
                  <c:v>24-Aug-15</c:v>
                </c:pt>
                <c:pt idx="2425">
                  <c:v>25-Aug-15</c:v>
                </c:pt>
                <c:pt idx="2426">
                  <c:v>26-Aug-15</c:v>
                </c:pt>
                <c:pt idx="2427">
                  <c:v>27-Aug-15</c:v>
                </c:pt>
                <c:pt idx="2428">
                  <c:v>28-Aug-15</c:v>
                </c:pt>
                <c:pt idx="2429">
                  <c:v>29-Aug-15</c:v>
                </c:pt>
                <c:pt idx="2430">
                  <c:v>30-Aug-15</c:v>
                </c:pt>
                <c:pt idx="2431">
                  <c:v>31-Aug-15</c:v>
                </c:pt>
                <c:pt idx="2432">
                  <c:v>01sept.2015</c:v>
                </c:pt>
                <c:pt idx="2433">
                  <c:v>02sept.2015</c:v>
                </c:pt>
                <c:pt idx="2434">
                  <c:v>03sept.2015</c:v>
                </c:pt>
                <c:pt idx="2435">
                  <c:v>04sept.2015</c:v>
                </c:pt>
                <c:pt idx="2436">
                  <c:v>05sept.2015</c:v>
                </c:pt>
                <c:pt idx="2437">
                  <c:v>06sept.2015</c:v>
                </c:pt>
                <c:pt idx="2438">
                  <c:v>07sept.2015</c:v>
                </c:pt>
                <c:pt idx="2439">
                  <c:v>08sept.2015</c:v>
                </c:pt>
                <c:pt idx="2440">
                  <c:v>09sept.2015</c:v>
                </c:pt>
                <c:pt idx="2441">
                  <c:v>10sept.2015</c:v>
                </c:pt>
                <c:pt idx="2442">
                  <c:v>11sept.2015</c:v>
                </c:pt>
                <c:pt idx="2443">
                  <c:v>12sept.2015</c:v>
                </c:pt>
                <c:pt idx="2444">
                  <c:v>13sept.2015</c:v>
                </c:pt>
                <c:pt idx="2445">
                  <c:v>14sept.2015</c:v>
                </c:pt>
                <c:pt idx="2446">
                  <c:v>15sept.2015</c:v>
                </c:pt>
                <c:pt idx="2447">
                  <c:v>16sept.2015</c:v>
                </c:pt>
                <c:pt idx="2448">
                  <c:v>17sept.2015</c:v>
                </c:pt>
                <c:pt idx="2449">
                  <c:v>18sept.2015</c:v>
                </c:pt>
                <c:pt idx="2450">
                  <c:v>19sept.2015</c:v>
                </c:pt>
                <c:pt idx="2451">
                  <c:v>20sept.2015</c:v>
                </c:pt>
                <c:pt idx="2452">
                  <c:v>21sept.2015</c:v>
                </c:pt>
                <c:pt idx="2453">
                  <c:v>22sept.2015</c:v>
                </c:pt>
                <c:pt idx="2454">
                  <c:v>23sept.2015</c:v>
                </c:pt>
                <c:pt idx="2455">
                  <c:v>24sept.2015</c:v>
                </c:pt>
                <c:pt idx="2456">
                  <c:v>25sept.2015</c:v>
                </c:pt>
                <c:pt idx="2457">
                  <c:v>26sept.2015</c:v>
                </c:pt>
                <c:pt idx="2458">
                  <c:v>27sept.2015</c:v>
                </c:pt>
                <c:pt idx="2459">
                  <c:v>28sept.2015</c:v>
                </c:pt>
                <c:pt idx="2460">
                  <c:v>29sept.2015</c:v>
                </c:pt>
                <c:pt idx="2461">
                  <c:v>30sept.2015</c:v>
                </c:pt>
                <c:pt idx="2462">
                  <c:v>01oct.2015</c:v>
                </c:pt>
                <c:pt idx="2463">
                  <c:v>02oct.2015</c:v>
                </c:pt>
                <c:pt idx="2464">
                  <c:v>03oct.2015</c:v>
                </c:pt>
                <c:pt idx="2465">
                  <c:v>04oct.2015</c:v>
                </c:pt>
                <c:pt idx="2466">
                  <c:v>05oct.2015</c:v>
                </c:pt>
                <c:pt idx="2467">
                  <c:v>06oct.2015</c:v>
                </c:pt>
                <c:pt idx="2468">
                  <c:v>07oct.2015</c:v>
                </c:pt>
                <c:pt idx="2469">
                  <c:v>08oct.2015</c:v>
                </c:pt>
                <c:pt idx="2470">
                  <c:v>09oct.2015</c:v>
                </c:pt>
                <c:pt idx="2471">
                  <c:v>10oct.2015</c:v>
                </c:pt>
                <c:pt idx="2472">
                  <c:v>11oct.2015</c:v>
                </c:pt>
                <c:pt idx="2473">
                  <c:v>12oct.2015</c:v>
                </c:pt>
                <c:pt idx="2474">
                  <c:v>13oct.2015</c:v>
                </c:pt>
                <c:pt idx="2475">
                  <c:v>14oct.2015</c:v>
                </c:pt>
                <c:pt idx="2476">
                  <c:v>15oct.2015</c:v>
                </c:pt>
                <c:pt idx="2477">
                  <c:v>16oct.2015</c:v>
                </c:pt>
                <c:pt idx="2478">
                  <c:v>17oct.2015</c:v>
                </c:pt>
                <c:pt idx="2479">
                  <c:v>18oct.2015</c:v>
                </c:pt>
                <c:pt idx="2480">
                  <c:v>19oct.2015</c:v>
                </c:pt>
                <c:pt idx="2481">
                  <c:v>20oct.2015</c:v>
                </c:pt>
                <c:pt idx="2482">
                  <c:v>21oct.2015</c:v>
                </c:pt>
                <c:pt idx="2483">
                  <c:v>22oct.2015</c:v>
                </c:pt>
                <c:pt idx="2484">
                  <c:v>23oct.2015</c:v>
                </c:pt>
                <c:pt idx="2485">
                  <c:v>24oct.2015</c:v>
                </c:pt>
                <c:pt idx="2486">
                  <c:v>25oct.2015</c:v>
                </c:pt>
                <c:pt idx="2487">
                  <c:v>26oct.2015</c:v>
                </c:pt>
                <c:pt idx="2488">
                  <c:v>27oct.2015</c:v>
                </c:pt>
                <c:pt idx="2489">
                  <c:v>28oct.2015</c:v>
                </c:pt>
                <c:pt idx="2490">
                  <c:v>29oct.2015</c:v>
                </c:pt>
                <c:pt idx="2491">
                  <c:v>30oct.2015</c:v>
                </c:pt>
                <c:pt idx="2492">
                  <c:v>31oct.2015</c:v>
                </c:pt>
                <c:pt idx="2493">
                  <c:v>01nov.2015</c:v>
                </c:pt>
                <c:pt idx="2494">
                  <c:v>02nov.2015</c:v>
                </c:pt>
                <c:pt idx="2495">
                  <c:v>03nov.2015</c:v>
                </c:pt>
                <c:pt idx="2496">
                  <c:v>04nov.2015</c:v>
                </c:pt>
                <c:pt idx="2497">
                  <c:v>05nov.2015</c:v>
                </c:pt>
                <c:pt idx="2498">
                  <c:v>06nov.2015</c:v>
                </c:pt>
                <c:pt idx="2499">
                  <c:v>07nov.2015</c:v>
                </c:pt>
                <c:pt idx="2500">
                  <c:v>08nov.2015</c:v>
                </c:pt>
                <c:pt idx="2501">
                  <c:v>09nov.2015</c:v>
                </c:pt>
                <c:pt idx="2502">
                  <c:v>10nov.2015</c:v>
                </c:pt>
                <c:pt idx="2503">
                  <c:v>11nov.2015</c:v>
                </c:pt>
                <c:pt idx="2504">
                  <c:v>12nov.2015</c:v>
                </c:pt>
                <c:pt idx="2505">
                  <c:v>13nov.2015</c:v>
                </c:pt>
                <c:pt idx="2506">
                  <c:v>14nov.2015</c:v>
                </c:pt>
                <c:pt idx="2507">
                  <c:v>15nov.2015</c:v>
                </c:pt>
                <c:pt idx="2508">
                  <c:v>16nov.2015</c:v>
                </c:pt>
                <c:pt idx="2509">
                  <c:v>17nov.2015</c:v>
                </c:pt>
                <c:pt idx="2510">
                  <c:v>18nov.2015</c:v>
                </c:pt>
                <c:pt idx="2511">
                  <c:v>19nov.2015</c:v>
                </c:pt>
                <c:pt idx="2512">
                  <c:v>20nov.2015</c:v>
                </c:pt>
                <c:pt idx="2513">
                  <c:v>21nov.2015</c:v>
                </c:pt>
                <c:pt idx="2514">
                  <c:v>22nov.2015</c:v>
                </c:pt>
                <c:pt idx="2515">
                  <c:v>23nov.2015</c:v>
                </c:pt>
                <c:pt idx="2516">
                  <c:v>24nov.2015</c:v>
                </c:pt>
                <c:pt idx="2517">
                  <c:v>25nov.2015</c:v>
                </c:pt>
                <c:pt idx="2518">
                  <c:v>26nov.2015</c:v>
                </c:pt>
                <c:pt idx="2519">
                  <c:v>27nov.2015</c:v>
                </c:pt>
                <c:pt idx="2520">
                  <c:v>28nov.2015</c:v>
                </c:pt>
                <c:pt idx="2521">
                  <c:v>29nov.2015</c:v>
                </c:pt>
                <c:pt idx="2522">
                  <c:v>30nov.2015</c:v>
                </c:pt>
                <c:pt idx="2523">
                  <c:v>01déc.2015</c:v>
                </c:pt>
                <c:pt idx="2524">
                  <c:v>02déc.2015</c:v>
                </c:pt>
                <c:pt idx="2525">
                  <c:v>03déc.2015</c:v>
                </c:pt>
                <c:pt idx="2526">
                  <c:v>04déc.2015</c:v>
                </c:pt>
                <c:pt idx="2527">
                  <c:v>05déc.2015</c:v>
                </c:pt>
                <c:pt idx="2528">
                  <c:v>06déc.2015</c:v>
                </c:pt>
                <c:pt idx="2529">
                  <c:v>07déc.2015</c:v>
                </c:pt>
                <c:pt idx="2530">
                  <c:v>08déc.2015</c:v>
                </c:pt>
                <c:pt idx="2531">
                  <c:v>09déc.2015</c:v>
                </c:pt>
                <c:pt idx="2532">
                  <c:v>10déc.2015</c:v>
                </c:pt>
                <c:pt idx="2533">
                  <c:v>11déc.2015</c:v>
                </c:pt>
                <c:pt idx="2534">
                  <c:v>12déc.2015</c:v>
                </c:pt>
                <c:pt idx="2535">
                  <c:v>13déc.2015</c:v>
                </c:pt>
                <c:pt idx="2536">
                  <c:v>14déc.2015</c:v>
                </c:pt>
                <c:pt idx="2537">
                  <c:v>15déc.2015</c:v>
                </c:pt>
                <c:pt idx="2538">
                  <c:v>16déc.2015</c:v>
                </c:pt>
                <c:pt idx="2539">
                  <c:v>17déc.2015</c:v>
                </c:pt>
                <c:pt idx="2540">
                  <c:v>18déc.2015</c:v>
                </c:pt>
                <c:pt idx="2541">
                  <c:v>19déc.2015</c:v>
                </c:pt>
                <c:pt idx="2542">
                  <c:v>20déc.2015</c:v>
                </c:pt>
                <c:pt idx="2543">
                  <c:v>21déc.2015</c:v>
                </c:pt>
                <c:pt idx="2544">
                  <c:v>22déc.2015</c:v>
                </c:pt>
                <c:pt idx="2545">
                  <c:v>23déc.2015</c:v>
                </c:pt>
                <c:pt idx="2546">
                  <c:v>24déc.2015</c:v>
                </c:pt>
                <c:pt idx="2547">
                  <c:v>25déc.2015</c:v>
                </c:pt>
                <c:pt idx="2548">
                  <c:v>26déc.2015</c:v>
                </c:pt>
                <c:pt idx="2549">
                  <c:v>27déc.2015</c:v>
                </c:pt>
                <c:pt idx="2550">
                  <c:v>28déc.2015</c:v>
                </c:pt>
                <c:pt idx="2551">
                  <c:v>29déc.2015</c:v>
                </c:pt>
                <c:pt idx="2552">
                  <c:v>30déc.2015</c:v>
                </c:pt>
                <c:pt idx="2553">
                  <c:v>31déc.2015</c:v>
                </c:pt>
                <c:pt idx="2554">
                  <c:v>01janv.2016</c:v>
                </c:pt>
                <c:pt idx="2555">
                  <c:v>02janv.2016</c:v>
                </c:pt>
                <c:pt idx="2556">
                  <c:v>03janv.2016</c:v>
                </c:pt>
                <c:pt idx="2557">
                  <c:v>04janv.2016</c:v>
                </c:pt>
                <c:pt idx="2558">
                  <c:v>05janv.2016</c:v>
                </c:pt>
                <c:pt idx="2559">
                  <c:v>06janv.2016</c:v>
                </c:pt>
                <c:pt idx="2560">
                  <c:v>07janv.2016</c:v>
                </c:pt>
                <c:pt idx="2561">
                  <c:v>08janv.2016</c:v>
                </c:pt>
                <c:pt idx="2562">
                  <c:v>09janv.2016</c:v>
                </c:pt>
                <c:pt idx="2563">
                  <c:v>10janv.2016</c:v>
                </c:pt>
                <c:pt idx="2564">
                  <c:v>11janv.2016</c:v>
                </c:pt>
                <c:pt idx="2565">
                  <c:v>12janv.2016</c:v>
                </c:pt>
                <c:pt idx="2566">
                  <c:v>13janv.2016</c:v>
                </c:pt>
                <c:pt idx="2567">
                  <c:v>14janv.2016</c:v>
                </c:pt>
                <c:pt idx="2568">
                  <c:v>15janv.2016</c:v>
                </c:pt>
                <c:pt idx="2569">
                  <c:v>16janv.2016</c:v>
                </c:pt>
                <c:pt idx="2570">
                  <c:v>17janv.2016</c:v>
                </c:pt>
                <c:pt idx="2571">
                  <c:v>18janv.2016</c:v>
                </c:pt>
                <c:pt idx="2572">
                  <c:v>19janv.2016</c:v>
                </c:pt>
                <c:pt idx="2573">
                  <c:v>20janv.2016</c:v>
                </c:pt>
                <c:pt idx="2574">
                  <c:v>21janv.2016</c:v>
                </c:pt>
                <c:pt idx="2575">
                  <c:v>22janv.2016</c:v>
                </c:pt>
                <c:pt idx="2576">
                  <c:v>23janv.2016</c:v>
                </c:pt>
                <c:pt idx="2577">
                  <c:v>24janv.2016</c:v>
                </c:pt>
                <c:pt idx="2578">
                  <c:v>25janv.2016</c:v>
                </c:pt>
                <c:pt idx="2579">
                  <c:v>26janv.2016</c:v>
                </c:pt>
                <c:pt idx="2580">
                  <c:v>27janv.2016</c:v>
                </c:pt>
                <c:pt idx="2581">
                  <c:v>28janv.2016</c:v>
                </c:pt>
                <c:pt idx="2582">
                  <c:v>29janv.2016</c:v>
                </c:pt>
                <c:pt idx="2583">
                  <c:v>30janv.2016</c:v>
                </c:pt>
                <c:pt idx="2584">
                  <c:v>31janv.2016</c:v>
                </c:pt>
                <c:pt idx="2585">
                  <c:v>01févr.2016</c:v>
                </c:pt>
                <c:pt idx="2586">
                  <c:v>02févr.2016</c:v>
                </c:pt>
                <c:pt idx="2587">
                  <c:v>03févr.2016</c:v>
                </c:pt>
                <c:pt idx="2588">
                  <c:v>04févr.2016</c:v>
                </c:pt>
                <c:pt idx="2589">
                  <c:v>05févr.2016</c:v>
                </c:pt>
                <c:pt idx="2590">
                  <c:v>06févr.2016</c:v>
                </c:pt>
                <c:pt idx="2591">
                  <c:v>07févr.2016</c:v>
                </c:pt>
                <c:pt idx="2592">
                  <c:v>08févr.2016</c:v>
                </c:pt>
                <c:pt idx="2593">
                  <c:v>09févr.2016</c:v>
                </c:pt>
                <c:pt idx="2594">
                  <c:v>10févr.2016</c:v>
                </c:pt>
                <c:pt idx="2595">
                  <c:v>11févr.2016</c:v>
                </c:pt>
                <c:pt idx="2596">
                  <c:v>12févr.2016</c:v>
                </c:pt>
                <c:pt idx="2597">
                  <c:v>13févr.2016</c:v>
                </c:pt>
                <c:pt idx="2598">
                  <c:v>14févr.2016</c:v>
                </c:pt>
                <c:pt idx="2599">
                  <c:v>15févr.2016</c:v>
                </c:pt>
                <c:pt idx="2600">
                  <c:v>16févr.2016</c:v>
                </c:pt>
                <c:pt idx="2601">
                  <c:v>17févr.2016</c:v>
                </c:pt>
                <c:pt idx="2602">
                  <c:v>18févr.2016</c:v>
                </c:pt>
                <c:pt idx="2603">
                  <c:v>19févr.2016</c:v>
                </c:pt>
                <c:pt idx="2604">
                  <c:v>20févr.2016</c:v>
                </c:pt>
                <c:pt idx="2605">
                  <c:v>21févr.2016</c:v>
                </c:pt>
                <c:pt idx="2606">
                  <c:v>22févr.2016</c:v>
                </c:pt>
                <c:pt idx="2607">
                  <c:v>23févr.2016</c:v>
                </c:pt>
                <c:pt idx="2608">
                  <c:v>24févr.2016</c:v>
                </c:pt>
                <c:pt idx="2609">
                  <c:v>25févr.2016</c:v>
                </c:pt>
                <c:pt idx="2610">
                  <c:v>26févr.2016</c:v>
                </c:pt>
                <c:pt idx="2611">
                  <c:v>27févr.2016</c:v>
                </c:pt>
                <c:pt idx="2612">
                  <c:v>28févr.2016</c:v>
                </c:pt>
                <c:pt idx="2613">
                  <c:v>29févr.2016</c:v>
                </c:pt>
                <c:pt idx="2614">
                  <c:v>1-Mar-16</c:v>
                </c:pt>
                <c:pt idx="2615">
                  <c:v>2-Mar-16</c:v>
                </c:pt>
                <c:pt idx="2616">
                  <c:v>3-Mar-16</c:v>
                </c:pt>
                <c:pt idx="2617">
                  <c:v>4-Mar-16</c:v>
                </c:pt>
                <c:pt idx="2618">
                  <c:v>5-Mar-16</c:v>
                </c:pt>
                <c:pt idx="2619">
                  <c:v>6-Mar-16</c:v>
                </c:pt>
                <c:pt idx="2620">
                  <c:v>7-Mar-16</c:v>
                </c:pt>
                <c:pt idx="2621">
                  <c:v>8-Mar-16</c:v>
                </c:pt>
                <c:pt idx="2622">
                  <c:v>9-Mar-16</c:v>
                </c:pt>
                <c:pt idx="2623">
                  <c:v>10-Mar-16</c:v>
                </c:pt>
                <c:pt idx="2624">
                  <c:v>11-Mar-16</c:v>
                </c:pt>
                <c:pt idx="2625">
                  <c:v>12-Mar-16</c:v>
                </c:pt>
                <c:pt idx="2626">
                  <c:v>13-Mar-16</c:v>
                </c:pt>
                <c:pt idx="2627">
                  <c:v>14-Mar-16</c:v>
                </c:pt>
                <c:pt idx="2628">
                  <c:v>15-Mar-16</c:v>
                </c:pt>
                <c:pt idx="2629">
                  <c:v>16-Mar-16</c:v>
                </c:pt>
                <c:pt idx="2630">
                  <c:v>17-Mar-16</c:v>
                </c:pt>
                <c:pt idx="2631">
                  <c:v>18-Mar-16</c:v>
                </c:pt>
                <c:pt idx="2632">
                  <c:v>19-Mar-16</c:v>
                </c:pt>
                <c:pt idx="2633">
                  <c:v>20-Mar-16</c:v>
                </c:pt>
                <c:pt idx="2634">
                  <c:v>21-Mar-16</c:v>
                </c:pt>
                <c:pt idx="2635">
                  <c:v>22-Mar-16</c:v>
                </c:pt>
                <c:pt idx="2636">
                  <c:v>23-Mar-16</c:v>
                </c:pt>
                <c:pt idx="2637">
                  <c:v>24-Mar-16</c:v>
                </c:pt>
                <c:pt idx="2638">
                  <c:v>25-Mar-16</c:v>
                </c:pt>
                <c:pt idx="2639">
                  <c:v>26-Mar-16</c:v>
                </c:pt>
                <c:pt idx="2640">
                  <c:v>27-Mar-16</c:v>
                </c:pt>
                <c:pt idx="2641">
                  <c:v>28-Mar-16</c:v>
                </c:pt>
                <c:pt idx="2642">
                  <c:v>29-Mar-16</c:v>
                </c:pt>
                <c:pt idx="2643">
                  <c:v>30-Mar-16</c:v>
                </c:pt>
                <c:pt idx="2644">
                  <c:v>31-Mar-16</c:v>
                </c:pt>
                <c:pt idx="2645">
                  <c:v>01avr.2016</c:v>
                </c:pt>
                <c:pt idx="2646">
                  <c:v>02avr.2016</c:v>
                </c:pt>
                <c:pt idx="2647">
                  <c:v>03avr.2016</c:v>
                </c:pt>
                <c:pt idx="2648">
                  <c:v>04avr.2016</c:v>
                </c:pt>
                <c:pt idx="2649">
                  <c:v>05avr.2016</c:v>
                </c:pt>
                <c:pt idx="2650">
                  <c:v>06avr.2016</c:v>
                </c:pt>
                <c:pt idx="2651">
                  <c:v>07avr.2016</c:v>
                </c:pt>
                <c:pt idx="2652">
                  <c:v>08avr.2016</c:v>
                </c:pt>
                <c:pt idx="2653">
                  <c:v>09avr.2016</c:v>
                </c:pt>
                <c:pt idx="2654">
                  <c:v>10avr.2016</c:v>
                </c:pt>
                <c:pt idx="2655">
                  <c:v>11avr.2016</c:v>
                </c:pt>
                <c:pt idx="2656">
                  <c:v>12avr.2016</c:v>
                </c:pt>
                <c:pt idx="2657">
                  <c:v>13avr.2016</c:v>
                </c:pt>
                <c:pt idx="2658">
                  <c:v>14avr.2016</c:v>
                </c:pt>
                <c:pt idx="2659">
                  <c:v>15avr.2016</c:v>
                </c:pt>
                <c:pt idx="2660">
                  <c:v>16avr.2016</c:v>
                </c:pt>
                <c:pt idx="2661">
                  <c:v>17avr.2016</c:v>
                </c:pt>
                <c:pt idx="2662">
                  <c:v>18avr.2016</c:v>
                </c:pt>
                <c:pt idx="2663">
                  <c:v>19avr.2016</c:v>
                </c:pt>
                <c:pt idx="2664">
                  <c:v>20avr.2016</c:v>
                </c:pt>
                <c:pt idx="2665">
                  <c:v>21avr.2016</c:v>
                </c:pt>
                <c:pt idx="2666">
                  <c:v>22avr.2016</c:v>
                </c:pt>
                <c:pt idx="2667">
                  <c:v>23avr.2016</c:v>
                </c:pt>
                <c:pt idx="2668">
                  <c:v>24avr.2016</c:v>
                </c:pt>
                <c:pt idx="2669">
                  <c:v>25avr.2016</c:v>
                </c:pt>
                <c:pt idx="2670">
                  <c:v>26avr.2016</c:v>
                </c:pt>
                <c:pt idx="2671">
                  <c:v>27avr.2016</c:v>
                </c:pt>
                <c:pt idx="2672">
                  <c:v>28avr.2016</c:v>
                </c:pt>
                <c:pt idx="2673">
                  <c:v>29avr.2016</c:v>
                </c:pt>
                <c:pt idx="2674">
                  <c:v>30avr.2016</c:v>
                </c:pt>
                <c:pt idx="2675">
                  <c:v>1-May-16</c:v>
                </c:pt>
                <c:pt idx="2676">
                  <c:v>2-May-16</c:v>
                </c:pt>
                <c:pt idx="2677">
                  <c:v>3-May-16</c:v>
                </c:pt>
                <c:pt idx="2678">
                  <c:v>4-May-16</c:v>
                </c:pt>
                <c:pt idx="2679">
                  <c:v>5-May-16</c:v>
                </c:pt>
                <c:pt idx="2680">
                  <c:v>6-May-16</c:v>
                </c:pt>
                <c:pt idx="2681">
                  <c:v>7-May-16</c:v>
                </c:pt>
                <c:pt idx="2682">
                  <c:v>8-May-16</c:v>
                </c:pt>
                <c:pt idx="2683">
                  <c:v>9-May-16</c:v>
                </c:pt>
                <c:pt idx="2684">
                  <c:v>10-May-16</c:v>
                </c:pt>
                <c:pt idx="2685">
                  <c:v>11-May-16</c:v>
                </c:pt>
                <c:pt idx="2686">
                  <c:v>12-May-16</c:v>
                </c:pt>
                <c:pt idx="2687">
                  <c:v>13-May-16</c:v>
                </c:pt>
                <c:pt idx="2688">
                  <c:v>14-May-16</c:v>
                </c:pt>
                <c:pt idx="2689">
                  <c:v>15-May-16</c:v>
                </c:pt>
                <c:pt idx="2690">
                  <c:v>16-May-16</c:v>
                </c:pt>
                <c:pt idx="2691">
                  <c:v>17-May-16</c:v>
                </c:pt>
                <c:pt idx="2692">
                  <c:v>18-May-16</c:v>
                </c:pt>
                <c:pt idx="2693">
                  <c:v>19-May-16</c:v>
                </c:pt>
                <c:pt idx="2694">
                  <c:v>20-May-16</c:v>
                </c:pt>
                <c:pt idx="2695">
                  <c:v>21-May-16</c:v>
                </c:pt>
                <c:pt idx="2696">
                  <c:v>22-May-16</c:v>
                </c:pt>
                <c:pt idx="2697">
                  <c:v>23-May-16</c:v>
                </c:pt>
                <c:pt idx="2698">
                  <c:v>24-May-16</c:v>
                </c:pt>
                <c:pt idx="2699">
                  <c:v>25-May-16</c:v>
                </c:pt>
                <c:pt idx="2700">
                  <c:v>26-May-16</c:v>
                </c:pt>
                <c:pt idx="2701">
                  <c:v>27-May-16</c:v>
                </c:pt>
                <c:pt idx="2702">
                  <c:v>28-May-16</c:v>
                </c:pt>
                <c:pt idx="2703">
                  <c:v>29-May-16</c:v>
                </c:pt>
                <c:pt idx="2704">
                  <c:v>30-May-16</c:v>
                </c:pt>
                <c:pt idx="2705">
                  <c:v>31-May-16</c:v>
                </c:pt>
                <c:pt idx="2706">
                  <c:v>1-Jun-16</c:v>
                </c:pt>
                <c:pt idx="2707">
                  <c:v>2-Jun-16</c:v>
                </c:pt>
                <c:pt idx="2708">
                  <c:v>3-Jun-16</c:v>
                </c:pt>
                <c:pt idx="2709">
                  <c:v>4-Jun-16</c:v>
                </c:pt>
                <c:pt idx="2710">
                  <c:v>5-Jun-16</c:v>
                </c:pt>
                <c:pt idx="2711">
                  <c:v>6-Jun-16</c:v>
                </c:pt>
                <c:pt idx="2712">
                  <c:v>7-Jun-16</c:v>
                </c:pt>
                <c:pt idx="2713">
                  <c:v>8-Jun-16</c:v>
                </c:pt>
                <c:pt idx="2714">
                  <c:v>9-Jun-16</c:v>
                </c:pt>
                <c:pt idx="2715">
                  <c:v>10-Jun-16</c:v>
                </c:pt>
                <c:pt idx="2716">
                  <c:v>11-Jun-16</c:v>
                </c:pt>
                <c:pt idx="2717">
                  <c:v>12-Jun-16</c:v>
                </c:pt>
                <c:pt idx="2718">
                  <c:v>13-Jun-16</c:v>
                </c:pt>
                <c:pt idx="2719">
                  <c:v>14-Jun-16</c:v>
                </c:pt>
                <c:pt idx="2720">
                  <c:v>15-Jun-16</c:v>
                </c:pt>
                <c:pt idx="2721">
                  <c:v>16-Jun-16</c:v>
                </c:pt>
                <c:pt idx="2722">
                  <c:v>17-Jun-16</c:v>
                </c:pt>
                <c:pt idx="2723">
                  <c:v>18-Jun-16</c:v>
                </c:pt>
                <c:pt idx="2724">
                  <c:v>19-Jun-16</c:v>
                </c:pt>
                <c:pt idx="2725">
                  <c:v>20-Jun-16</c:v>
                </c:pt>
                <c:pt idx="2726">
                  <c:v>21-Jun-16</c:v>
                </c:pt>
                <c:pt idx="2727">
                  <c:v>22-Jun-16</c:v>
                </c:pt>
                <c:pt idx="2728">
                  <c:v>23-Jun-16</c:v>
                </c:pt>
                <c:pt idx="2729">
                  <c:v>24-Jun-16</c:v>
                </c:pt>
                <c:pt idx="2730">
                  <c:v>25-Jun-16</c:v>
                </c:pt>
                <c:pt idx="2731">
                  <c:v>26-Jun-16</c:v>
                </c:pt>
                <c:pt idx="2732">
                  <c:v>27-Jun-16</c:v>
                </c:pt>
                <c:pt idx="2733">
                  <c:v>28-Jun-16</c:v>
                </c:pt>
                <c:pt idx="2734">
                  <c:v>29-Jun-16</c:v>
                </c:pt>
                <c:pt idx="2735">
                  <c:v>30-Jun-16</c:v>
                </c:pt>
                <c:pt idx="2736">
                  <c:v>01juil.2016</c:v>
                </c:pt>
                <c:pt idx="2737">
                  <c:v>02juil.2016</c:v>
                </c:pt>
                <c:pt idx="2738">
                  <c:v>03juil.2016</c:v>
                </c:pt>
                <c:pt idx="2739">
                  <c:v>04juil.2016</c:v>
                </c:pt>
                <c:pt idx="2740">
                  <c:v>05juil.2016</c:v>
                </c:pt>
                <c:pt idx="2741">
                  <c:v>06juil.2016</c:v>
                </c:pt>
                <c:pt idx="2742">
                  <c:v>07juil.2016</c:v>
                </c:pt>
                <c:pt idx="2743">
                  <c:v>08juil.2016</c:v>
                </c:pt>
                <c:pt idx="2744">
                  <c:v>09juil.2016</c:v>
                </c:pt>
                <c:pt idx="2745">
                  <c:v>10juil.2016</c:v>
                </c:pt>
                <c:pt idx="2746">
                  <c:v>11juil.2016</c:v>
                </c:pt>
                <c:pt idx="2747">
                  <c:v>12juil.2016</c:v>
                </c:pt>
                <c:pt idx="2748">
                  <c:v>13juil.2016</c:v>
                </c:pt>
                <c:pt idx="2749">
                  <c:v>14juil.2016</c:v>
                </c:pt>
                <c:pt idx="2750">
                  <c:v>15juil.2016</c:v>
                </c:pt>
                <c:pt idx="2751">
                  <c:v>16juil.2016</c:v>
                </c:pt>
                <c:pt idx="2752">
                  <c:v>17juil.2016</c:v>
                </c:pt>
                <c:pt idx="2753">
                  <c:v>18juil.2016</c:v>
                </c:pt>
                <c:pt idx="2754">
                  <c:v>19juil.2016</c:v>
                </c:pt>
                <c:pt idx="2755">
                  <c:v>20juil.2016</c:v>
                </c:pt>
                <c:pt idx="2756">
                  <c:v>21juil.2016</c:v>
                </c:pt>
                <c:pt idx="2757">
                  <c:v>22juil.2016</c:v>
                </c:pt>
                <c:pt idx="2758">
                  <c:v>23juil.2016</c:v>
                </c:pt>
                <c:pt idx="2759">
                  <c:v>24juil.2016</c:v>
                </c:pt>
                <c:pt idx="2760">
                  <c:v>25juil.2016</c:v>
                </c:pt>
                <c:pt idx="2761">
                  <c:v>26juil.2016</c:v>
                </c:pt>
                <c:pt idx="2762">
                  <c:v>27juil.2016</c:v>
                </c:pt>
                <c:pt idx="2763">
                  <c:v>28juil.2016</c:v>
                </c:pt>
                <c:pt idx="2764">
                  <c:v>29juil.2016</c:v>
                </c:pt>
                <c:pt idx="2765">
                  <c:v>30juil.2016</c:v>
                </c:pt>
                <c:pt idx="2766">
                  <c:v>31juil.2016</c:v>
                </c:pt>
                <c:pt idx="2767">
                  <c:v>1-Aug-16</c:v>
                </c:pt>
                <c:pt idx="2768">
                  <c:v>2-Aug-16</c:v>
                </c:pt>
                <c:pt idx="2769">
                  <c:v>3-Aug-16</c:v>
                </c:pt>
                <c:pt idx="2770">
                  <c:v>4-Aug-16</c:v>
                </c:pt>
                <c:pt idx="2771">
                  <c:v>5-Aug-16</c:v>
                </c:pt>
                <c:pt idx="2772">
                  <c:v>6-Aug-16</c:v>
                </c:pt>
                <c:pt idx="2773">
                  <c:v>7-Aug-16</c:v>
                </c:pt>
                <c:pt idx="2774">
                  <c:v>8-Aug-16</c:v>
                </c:pt>
                <c:pt idx="2775">
                  <c:v>9-Aug-16</c:v>
                </c:pt>
                <c:pt idx="2776">
                  <c:v>10-Aug-16</c:v>
                </c:pt>
                <c:pt idx="2777">
                  <c:v>11-Aug-16</c:v>
                </c:pt>
                <c:pt idx="2778">
                  <c:v>12-Aug-16</c:v>
                </c:pt>
                <c:pt idx="2779">
                  <c:v>13-Aug-16</c:v>
                </c:pt>
                <c:pt idx="2780">
                  <c:v>14-Aug-16</c:v>
                </c:pt>
                <c:pt idx="2781">
                  <c:v>15-Aug-16</c:v>
                </c:pt>
                <c:pt idx="2782">
                  <c:v>16-Aug-16</c:v>
                </c:pt>
                <c:pt idx="2783">
                  <c:v>17-Aug-16</c:v>
                </c:pt>
                <c:pt idx="2784">
                  <c:v>18-Aug-16</c:v>
                </c:pt>
                <c:pt idx="2785">
                  <c:v>19-Aug-16</c:v>
                </c:pt>
                <c:pt idx="2786">
                  <c:v>20-Aug-16</c:v>
                </c:pt>
                <c:pt idx="2787">
                  <c:v>21-Aug-16</c:v>
                </c:pt>
                <c:pt idx="2788">
                  <c:v>22-Aug-16</c:v>
                </c:pt>
                <c:pt idx="2789">
                  <c:v>23-Aug-16</c:v>
                </c:pt>
                <c:pt idx="2790">
                  <c:v>24-Aug-16</c:v>
                </c:pt>
                <c:pt idx="2791">
                  <c:v>25-Aug-16</c:v>
                </c:pt>
                <c:pt idx="2792">
                  <c:v>26-Aug-16</c:v>
                </c:pt>
                <c:pt idx="2793">
                  <c:v>27-Aug-16</c:v>
                </c:pt>
                <c:pt idx="2794">
                  <c:v>28-Aug-16</c:v>
                </c:pt>
                <c:pt idx="2795">
                  <c:v>29-Aug-16</c:v>
                </c:pt>
                <c:pt idx="2796">
                  <c:v>30-Aug-16</c:v>
                </c:pt>
                <c:pt idx="2797">
                  <c:v>31-Aug-16</c:v>
                </c:pt>
                <c:pt idx="2798">
                  <c:v>01sept.2016</c:v>
                </c:pt>
                <c:pt idx="2799">
                  <c:v>02sept.2016</c:v>
                </c:pt>
                <c:pt idx="2800">
                  <c:v>03sept.2016</c:v>
                </c:pt>
                <c:pt idx="2801">
                  <c:v>04sept.2016</c:v>
                </c:pt>
                <c:pt idx="2802">
                  <c:v>05sept.2016</c:v>
                </c:pt>
                <c:pt idx="2803">
                  <c:v>06sept.2016</c:v>
                </c:pt>
                <c:pt idx="2804">
                  <c:v>07sept.2016</c:v>
                </c:pt>
                <c:pt idx="2805">
                  <c:v>08sept.2016</c:v>
                </c:pt>
                <c:pt idx="2806">
                  <c:v>09sept.2016</c:v>
                </c:pt>
                <c:pt idx="2807">
                  <c:v>10sept.2016</c:v>
                </c:pt>
                <c:pt idx="2808">
                  <c:v>11sept.2016</c:v>
                </c:pt>
                <c:pt idx="2809">
                  <c:v>12sept.2016</c:v>
                </c:pt>
                <c:pt idx="2810">
                  <c:v>13sept.2016</c:v>
                </c:pt>
                <c:pt idx="2811">
                  <c:v>14sept.2016</c:v>
                </c:pt>
                <c:pt idx="2812">
                  <c:v>15sept.2016</c:v>
                </c:pt>
                <c:pt idx="2813">
                  <c:v>16sept.2016</c:v>
                </c:pt>
                <c:pt idx="2814">
                  <c:v>17sept.2016</c:v>
                </c:pt>
                <c:pt idx="2815">
                  <c:v>18sept.2016</c:v>
                </c:pt>
                <c:pt idx="2816">
                  <c:v>19sept.2016</c:v>
                </c:pt>
                <c:pt idx="2817">
                  <c:v>20sept.2016</c:v>
                </c:pt>
                <c:pt idx="2818">
                  <c:v>21sept.2016</c:v>
                </c:pt>
                <c:pt idx="2819">
                  <c:v>22sept.2016</c:v>
                </c:pt>
                <c:pt idx="2820">
                  <c:v>23sept.2016</c:v>
                </c:pt>
                <c:pt idx="2821">
                  <c:v>24sept.2016</c:v>
                </c:pt>
                <c:pt idx="2822">
                  <c:v>25sept.2016</c:v>
                </c:pt>
                <c:pt idx="2823">
                  <c:v>26sept.2016</c:v>
                </c:pt>
                <c:pt idx="2824">
                  <c:v>27sept.2016</c:v>
                </c:pt>
                <c:pt idx="2825">
                  <c:v>28sept.2016</c:v>
                </c:pt>
                <c:pt idx="2826">
                  <c:v>29sept.2016</c:v>
                </c:pt>
                <c:pt idx="2827">
                  <c:v>30sept.2016</c:v>
                </c:pt>
                <c:pt idx="2828">
                  <c:v>01oct.2016</c:v>
                </c:pt>
                <c:pt idx="2829">
                  <c:v>02oct.2016</c:v>
                </c:pt>
                <c:pt idx="2830">
                  <c:v>03oct.2016</c:v>
                </c:pt>
                <c:pt idx="2831">
                  <c:v>04oct.2016</c:v>
                </c:pt>
                <c:pt idx="2832">
                  <c:v>05oct.2016</c:v>
                </c:pt>
                <c:pt idx="2833">
                  <c:v>06oct.2016</c:v>
                </c:pt>
                <c:pt idx="2834">
                  <c:v>07oct.2016</c:v>
                </c:pt>
                <c:pt idx="2835">
                  <c:v>08oct.2016</c:v>
                </c:pt>
                <c:pt idx="2836">
                  <c:v>09oct.2016</c:v>
                </c:pt>
                <c:pt idx="2837">
                  <c:v>10oct.2016</c:v>
                </c:pt>
                <c:pt idx="2838">
                  <c:v>11oct.2016</c:v>
                </c:pt>
                <c:pt idx="2839">
                  <c:v>12oct.2016</c:v>
                </c:pt>
                <c:pt idx="2840">
                  <c:v>13oct.2016</c:v>
                </c:pt>
                <c:pt idx="2841">
                  <c:v>14oct.2016</c:v>
                </c:pt>
                <c:pt idx="2842">
                  <c:v>15oct.2016</c:v>
                </c:pt>
                <c:pt idx="2843">
                  <c:v>16oct.2016</c:v>
                </c:pt>
                <c:pt idx="2844">
                  <c:v>17oct.2016</c:v>
                </c:pt>
                <c:pt idx="2845">
                  <c:v>18oct.2016</c:v>
                </c:pt>
                <c:pt idx="2846">
                  <c:v>19oct.2016</c:v>
                </c:pt>
                <c:pt idx="2847">
                  <c:v>20oct.2016</c:v>
                </c:pt>
                <c:pt idx="2848">
                  <c:v>21oct.2016</c:v>
                </c:pt>
                <c:pt idx="2849">
                  <c:v>22oct.2016</c:v>
                </c:pt>
                <c:pt idx="2850">
                  <c:v>23oct.2016</c:v>
                </c:pt>
                <c:pt idx="2851">
                  <c:v>24oct.2016</c:v>
                </c:pt>
                <c:pt idx="2852">
                  <c:v>25oct.2016</c:v>
                </c:pt>
                <c:pt idx="2853">
                  <c:v>26oct.2016</c:v>
                </c:pt>
                <c:pt idx="2854">
                  <c:v>27oct.2016</c:v>
                </c:pt>
                <c:pt idx="2855">
                  <c:v>28oct.2016</c:v>
                </c:pt>
                <c:pt idx="2856">
                  <c:v>29oct.2016</c:v>
                </c:pt>
                <c:pt idx="2857">
                  <c:v>30oct.2016</c:v>
                </c:pt>
                <c:pt idx="2858">
                  <c:v>31oct.2016</c:v>
                </c:pt>
                <c:pt idx="2859">
                  <c:v>01nov.2016</c:v>
                </c:pt>
                <c:pt idx="2860">
                  <c:v>02nov.2016</c:v>
                </c:pt>
                <c:pt idx="2861">
                  <c:v>03nov.2016</c:v>
                </c:pt>
                <c:pt idx="2862">
                  <c:v>04nov.2016</c:v>
                </c:pt>
                <c:pt idx="2863">
                  <c:v>05nov.2016</c:v>
                </c:pt>
                <c:pt idx="2864">
                  <c:v>06nov.2016</c:v>
                </c:pt>
                <c:pt idx="2865">
                  <c:v>07nov.2016</c:v>
                </c:pt>
                <c:pt idx="2866">
                  <c:v>08nov.2016</c:v>
                </c:pt>
                <c:pt idx="2867">
                  <c:v>09nov.2016</c:v>
                </c:pt>
                <c:pt idx="2868">
                  <c:v>10nov.2016</c:v>
                </c:pt>
                <c:pt idx="2869">
                  <c:v>11nov.2016</c:v>
                </c:pt>
                <c:pt idx="2870">
                  <c:v>12nov.2016</c:v>
                </c:pt>
                <c:pt idx="2871">
                  <c:v>13nov.2016</c:v>
                </c:pt>
                <c:pt idx="2872">
                  <c:v>14nov.2016</c:v>
                </c:pt>
                <c:pt idx="2873">
                  <c:v>15nov.2016</c:v>
                </c:pt>
                <c:pt idx="2874">
                  <c:v>16nov.2016</c:v>
                </c:pt>
                <c:pt idx="2875">
                  <c:v>17nov.2016</c:v>
                </c:pt>
                <c:pt idx="2876">
                  <c:v>18nov.2016</c:v>
                </c:pt>
                <c:pt idx="2877">
                  <c:v>19nov.2016</c:v>
                </c:pt>
                <c:pt idx="2878">
                  <c:v>20nov.2016</c:v>
                </c:pt>
                <c:pt idx="2879">
                  <c:v>21nov.2016</c:v>
                </c:pt>
                <c:pt idx="2880">
                  <c:v>22nov.2016</c:v>
                </c:pt>
                <c:pt idx="2881">
                  <c:v>23nov.2016</c:v>
                </c:pt>
                <c:pt idx="2882">
                  <c:v>24nov.2016</c:v>
                </c:pt>
                <c:pt idx="2883">
                  <c:v>25nov.2016</c:v>
                </c:pt>
                <c:pt idx="2884">
                  <c:v>26nov.2016</c:v>
                </c:pt>
                <c:pt idx="2885">
                  <c:v>27nov.2016</c:v>
                </c:pt>
                <c:pt idx="2886">
                  <c:v>28nov.2016</c:v>
                </c:pt>
                <c:pt idx="2887">
                  <c:v>29nov.2016</c:v>
                </c:pt>
                <c:pt idx="2888">
                  <c:v>30nov.2016</c:v>
                </c:pt>
                <c:pt idx="2889">
                  <c:v>01déc.2016</c:v>
                </c:pt>
                <c:pt idx="2890">
                  <c:v>02déc.2016</c:v>
                </c:pt>
                <c:pt idx="2891">
                  <c:v>03déc.2016</c:v>
                </c:pt>
                <c:pt idx="2892">
                  <c:v>04déc.2016</c:v>
                </c:pt>
                <c:pt idx="2893">
                  <c:v>05déc.2016</c:v>
                </c:pt>
                <c:pt idx="2894">
                  <c:v>06déc.2016</c:v>
                </c:pt>
                <c:pt idx="2895">
                  <c:v>07déc.2016</c:v>
                </c:pt>
                <c:pt idx="2896">
                  <c:v>08déc.2016</c:v>
                </c:pt>
                <c:pt idx="2897">
                  <c:v>09déc.2016</c:v>
                </c:pt>
                <c:pt idx="2898">
                  <c:v>10déc.2016</c:v>
                </c:pt>
                <c:pt idx="2899">
                  <c:v>11déc.2016</c:v>
                </c:pt>
                <c:pt idx="2900">
                  <c:v>12déc.2016</c:v>
                </c:pt>
                <c:pt idx="2901">
                  <c:v>13déc.2016</c:v>
                </c:pt>
                <c:pt idx="2902">
                  <c:v>14déc.2016</c:v>
                </c:pt>
                <c:pt idx="2903">
                  <c:v>15déc.2016</c:v>
                </c:pt>
                <c:pt idx="2904">
                  <c:v>16déc.2016</c:v>
                </c:pt>
                <c:pt idx="2905">
                  <c:v>17déc.2016</c:v>
                </c:pt>
                <c:pt idx="2906">
                  <c:v>18déc.2016</c:v>
                </c:pt>
                <c:pt idx="2907">
                  <c:v>19déc.2016</c:v>
                </c:pt>
                <c:pt idx="2908">
                  <c:v>20déc.2016</c:v>
                </c:pt>
                <c:pt idx="2909">
                  <c:v>21déc.2016</c:v>
                </c:pt>
                <c:pt idx="2910">
                  <c:v>22déc.2016</c:v>
                </c:pt>
                <c:pt idx="2911">
                  <c:v>23déc.2016</c:v>
                </c:pt>
                <c:pt idx="2912">
                  <c:v>24déc.2016</c:v>
                </c:pt>
                <c:pt idx="2913">
                  <c:v>25déc.2016</c:v>
                </c:pt>
                <c:pt idx="2914">
                  <c:v>26déc.2016</c:v>
                </c:pt>
                <c:pt idx="2915">
                  <c:v>27déc.2016</c:v>
                </c:pt>
                <c:pt idx="2916">
                  <c:v>28déc.2016</c:v>
                </c:pt>
                <c:pt idx="2917">
                  <c:v>29déc.2016</c:v>
                </c:pt>
                <c:pt idx="2918">
                  <c:v>30déc.2016</c:v>
                </c:pt>
                <c:pt idx="2919">
                  <c:v>31déc.2016</c:v>
                </c:pt>
                <c:pt idx="2920">
                  <c:v>01janv.2017</c:v>
                </c:pt>
                <c:pt idx="2921">
                  <c:v>02janv.2017</c:v>
                </c:pt>
                <c:pt idx="2922">
                  <c:v>03janv.2017</c:v>
                </c:pt>
                <c:pt idx="2923">
                  <c:v>04janv.2017</c:v>
                </c:pt>
                <c:pt idx="2924">
                  <c:v>05janv.2017</c:v>
                </c:pt>
                <c:pt idx="2925">
                  <c:v>06janv.2017</c:v>
                </c:pt>
                <c:pt idx="2926">
                  <c:v>07janv.2017</c:v>
                </c:pt>
                <c:pt idx="2927">
                  <c:v>08janv.2017</c:v>
                </c:pt>
                <c:pt idx="2928">
                  <c:v>09janv.2017</c:v>
                </c:pt>
                <c:pt idx="2929">
                  <c:v>10janv.2017</c:v>
                </c:pt>
                <c:pt idx="2930">
                  <c:v>11janv.2017</c:v>
                </c:pt>
                <c:pt idx="2931">
                  <c:v>12janv.2017</c:v>
                </c:pt>
                <c:pt idx="2932">
                  <c:v>13janv.2017</c:v>
                </c:pt>
                <c:pt idx="2933">
                  <c:v>14janv.2017</c:v>
                </c:pt>
                <c:pt idx="2934">
                  <c:v>15janv.2017</c:v>
                </c:pt>
                <c:pt idx="2935">
                  <c:v>16janv.2017</c:v>
                </c:pt>
                <c:pt idx="2936">
                  <c:v>17janv.2017</c:v>
                </c:pt>
                <c:pt idx="2937">
                  <c:v>18janv.2017</c:v>
                </c:pt>
                <c:pt idx="2938">
                  <c:v>19janv.2017</c:v>
                </c:pt>
                <c:pt idx="2939">
                  <c:v>20janv.2017</c:v>
                </c:pt>
                <c:pt idx="2940">
                  <c:v>21janv.2017</c:v>
                </c:pt>
                <c:pt idx="2941">
                  <c:v>22janv.2017</c:v>
                </c:pt>
                <c:pt idx="2942">
                  <c:v>23janv.2017</c:v>
                </c:pt>
                <c:pt idx="2943">
                  <c:v>24janv.2017</c:v>
                </c:pt>
                <c:pt idx="2944">
                  <c:v>25janv.2017</c:v>
                </c:pt>
                <c:pt idx="2945">
                  <c:v>26janv.2017</c:v>
                </c:pt>
                <c:pt idx="2946">
                  <c:v>27janv.2017</c:v>
                </c:pt>
                <c:pt idx="2947">
                  <c:v>28janv.2017</c:v>
                </c:pt>
                <c:pt idx="2948">
                  <c:v>29janv.2017</c:v>
                </c:pt>
                <c:pt idx="2949">
                  <c:v>30janv.2017</c:v>
                </c:pt>
                <c:pt idx="2950">
                  <c:v>31janv.2017</c:v>
                </c:pt>
                <c:pt idx="2951">
                  <c:v>01févr.2017</c:v>
                </c:pt>
                <c:pt idx="2952">
                  <c:v>02févr.2017</c:v>
                </c:pt>
                <c:pt idx="2953">
                  <c:v>03févr.2017</c:v>
                </c:pt>
                <c:pt idx="2954">
                  <c:v>04févr.2017</c:v>
                </c:pt>
                <c:pt idx="2955">
                  <c:v>05févr.2017</c:v>
                </c:pt>
                <c:pt idx="2956">
                  <c:v>06févr.2017</c:v>
                </c:pt>
                <c:pt idx="2957">
                  <c:v>07févr.2017</c:v>
                </c:pt>
                <c:pt idx="2958">
                  <c:v>08févr.2017</c:v>
                </c:pt>
                <c:pt idx="2959">
                  <c:v>09févr.2017</c:v>
                </c:pt>
                <c:pt idx="2960">
                  <c:v>10févr.2017</c:v>
                </c:pt>
                <c:pt idx="2961">
                  <c:v>11févr.2017</c:v>
                </c:pt>
                <c:pt idx="2962">
                  <c:v>12févr.2017</c:v>
                </c:pt>
                <c:pt idx="2963">
                  <c:v>13févr.2017</c:v>
                </c:pt>
                <c:pt idx="2964">
                  <c:v>14févr.2017</c:v>
                </c:pt>
                <c:pt idx="2965">
                  <c:v>15févr.2017</c:v>
                </c:pt>
                <c:pt idx="2966">
                  <c:v>16févr.2017</c:v>
                </c:pt>
                <c:pt idx="2967">
                  <c:v>17févr.2017</c:v>
                </c:pt>
                <c:pt idx="2968">
                  <c:v>18févr.2017</c:v>
                </c:pt>
                <c:pt idx="2969">
                  <c:v>19févr.2017</c:v>
                </c:pt>
                <c:pt idx="2970">
                  <c:v>20févr.2017</c:v>
                </c:pt>
                <c:pt idx="2971">
                  <c:v>21févr.2017</c:v>
                </c:pt>
                <c:pt idx="2972">
                  <c:v>22févr.2017</c:v>
                </c:pt>
                <c:pt idx="2973">
                  <c:v>23févr.2017</c:v>
                </c:pt>
                <c:pt idx="2974">
                  <c:v>24févr.2017</c:v>
                </c:pt>
                <c:pt idx="2975">
                  <c:v>25févr.2017</c:v>
                </c:pt>
                <c:pt idx="2976">
                  <c:v>26févr.2017</c:v>
                </c:pt>
                <c:pt idx="2977">
                  <c:v>27févr.2017</c:v>
                </c:pt>
                <c:pt idx="2978">
                  <c:v>28févr.2017</c:v>
                </c:pt>
                <c:pt idx="2979">
                  <c:v>1-Mar-17</c:v>
                </c:pt>
                <c:pt idx="2980">
                  <c:v>2-Mar-17</c:v>
                </c:pt>
                <c:pt idx="2981">
                  <c:v>3-Mar-17</c:v>
                </c:pt>
                <c:pt idx="2982">
                  <c:v>4-Mar-17</c:v>
                </c:pt>
                <c:pt idx="2983">
                  <c:v>5-Mar-17</c:v>
                </c:pt>
                <c:pt idx="2984">
                  <c:v>6-Mar-17</c:v>
                </c:pt>
                <c:pt idx="2985">
                  <c:v>7-Mar-17</c:v>
                </c:pt>
                <c:pt idx="2986">
                  <c:v>8-Mar-17</c:v>
                </c:pt>
                <c:pt idx="2987">
                  <c:v>9-Mar-17</c:v>
                </c:pt>
                <c:pt idx="2988">
                  <c:v>10-Mar-17</c:v>
                </c:pt>
                <c:pt idx="2989">
                  <c:v>11-Mar-17</c:v>
                </c:pt>
                <c:pt idx="2990">
                  <c:v>12-Mar-17</c:v>
                </c:pt>
                <c:pt idx="2991">
                  <c:v>13-Mar-17</c:v>
                </c:pt>
                <c:pt idx="2992">
                  <c:v>14-Mar-17</c:v>
                </c:pt>
                <c:pt idx="2993">
                  <c:v>15-Mar-17</c:v>
                </c:pt>
                <c:pt idx="2994">
                  <c:v>16-Mar-17</c:v>
                </c:pt>
                <c:pt idx="2995">
                  <c:v>17-Mar-17</c:v>
                </c:pt>
                <c:pt idx="2996">
                  <c:v>18-Mar-17</c:v>
                </c:pt>
                <c:pt idx="2997">
                  <c:v>19-Mar-17</c:v>
                </c:pt>
                <c:pt idx="2998">
                  <c:v>20-Mar-17</c:v>
                </c:pt>
                <c:pt idx="2999">
                  <c:v>21-Mar-17</c:v>
                </c:pt>
                <c:pt idx="3000">
                  <c:v>22-Mar-17</c:v>
                </c:pt>
                <c:pt idx="3001">
                  <c:v>23-Mar-17</c:v>
                </c:pt>
                <c:pt idx="3002">
                  <c:v>24-Mar-17</c:v>
                </c:pt>
                <c:pt idx="3003">
                  <c:v>25-Mar-17</c:v>
                </c:pt>
                <c:pt idx="3004">
                  <c:v>26-Mar-17</c:v>
                </c:pt>
                <c:pt idx="3005">
                  <c:v>27-Mar-17</c:v>
                </c:pt>
                <c:pt idx="3006">
                  <c:v>28-Mar-17</c:v>
                </c:pt>
                <c:pt idx="3007">
                  <c:v>29-Mar-17</c:v>
                </c:pt>
                <c:pt idx="3008">
                  <c:v>30-Mar-17</c:v>
                </c:pt>
                <c:pt idx="3009">
                  <c:v>31-Mar-17</c:v>
                </c:pt>
                <c:pt idx="3010">
                  <c:v>01avr.2017</c:v>
                </c:pt>
                <c:pt idx="3011">
                  <c:v>02avr.2017</c:v>
                </c:pt>
                <c:pt idx="3012">
                  <c:v>03avr.2017</c:v>
                </c:pt>
                <c:pt idx="3013">
                  <c:v>04avr.2017</c:v>
                </c:pt>
                <c:pt idx="3014">
                  <c:v>05avr.2017</c:v>
                </c:pt>
                <c:pt idx="3015">
                  <c:v>06avr.2017</c:v>
                </c:pt>
                <c:pt idx="3016">
                  <c:v>07avr.2017</c:v>
                </c:pt>
                <c:pt idx="3017">
                  <c:v>08avr.2017</c:v>
                </c:pt>
                <c:pt idx="3018">
                  <c:v>09avr.2017</c:v>
                </c:pt>
                <c:pt idx="3019">
                  <c:v>10avr.2017</c:v>
                </c:pt>
                <c:pt idx="3020">
                  <c:v>11avr.2017</c:v>
                </c:pt>
                <c:pt idx="3021">
                  <c:v>12avr.2017</c:v>
                </c:pt>
                <c:pt idx="3022">
                  <c:v>13avr.2017</c:v>
                </c:pt>
                <c:pt idx="3023">
                  <c:v>14avr.2017</c:v>
                </c:pt>
                <c:pt idx="3024">
                  <c:v>15avr.2017</c:v>
                </c:pt>
                <c:pt idx="3025">
                  <c:v>16avr.2017</c:v>
                </c:pt>
                <c:pt idx="3026">
                  <c:v>17avr.2017</c:v>
                </c:pt>
                <c:pt idx="3027">
                  <c:v>18avr.2017</c:v>
                </c:pt>
                <c:pt idx="3028">
                  <c:v>19avr.2017</c:v>
                </c:pt>
                <c:pt idx="3029">
                  <c:v>20avr.2017</c:v>
                </c:pt>
                <c:pt idx="3030">
                  <c:v>21avr.2017</c:v>
                </c:pt>
                <c:pt idx="3031">
                  <c:v>22avr.2017</c:v>
                </c:pt>
                <c:pt idx="3032">
                  <c:v>23avr.2017</c:v>
                </c:pt>
                <c:pt idx="3033">
                  <c:v>24avr.2017</c:v>
                </c:pt>
                <c:pt idx="3034">
                  <c:v>25avr.2017</c:v>
                </c:pt>
                <c:pt idx="3035">
                  <c:v>26avr.2017</c:v>
                </c:pt>
                <c:pt idx="3036">
                  <c:v>27avr.2017</c:v>
                </c:pt>
                <c:pt idx="3037">
                  <c:v>28avr.2017</c:v>
                </c:pt>
                <c:pt idx="3038">
                  <c:v>29avr.2017</c:v>
                </c:pt>
                <c:pt idx="3039">
                  <c:v>30avr.2017</c:v>
                </c:pt>
                <c:pt idx="3040">
                  <c:v>1-May-17</c:v>
                </c:pt>
                <c:pt idx="3041">
                  <c:v>2-May-17</c:v>
                </c:pt>
                <c:pt idx="3042">
                  <c:v>3-May-17</c:v>
                </c:pt>
                <c:pt idx="3043">
                  <c:v>4-May-17</c:v>
                </c:pt>
                <c:pt idx="3044">
                  <c:v>5-May-17</c:v>
                </c:pt>
                <c:pt idx="3045">
                  <c:v>6-May-17</c:v>
                </c:pt>
                <c:pt idx="3046">
                  <c:v>7-May-17</c:v>
                </c:pt>
                <c:pt idx="3047">
                  <c:v>8-May-17</c:v>
                </c:pt>
                <c:pt idx="3048">
                  <c:v>9-May-17</c:v>
                </c:pt>
                <c:pt idx="3049">
                  <c:v>10-May-17</c:v>
                </c:pt>
                <c:pt idx="3050">
                  <c:v>11-May-17</c:v>
                </c:pt>
                <c:pt idx="3051">
                  <c:v>12-May-17</c:v>
                </c:pt>
                <c:pt idx="3052">
                  <c:v>13-May-17</c:v>
                </c:pt>
                <c:pt idx="3053">
                  <c:v>14-May-17</c:v>
                </c:pt>
                <c:pt idx="3054">
                  <c:v>15-May-17</c:v>
                </c:pt>
                <c:pt idx="3055">
                  <c:v>16-May-17</c:v>
                </c:pt>
                <c:pt idx="3056">
                  <c:v>17-May-17</c:v>
                </c:pt>
                <c:pt idx="3057">
                  <c:v>18-May-17</c:v>
                </c:pt>
                <c:pt idx="3058">
                  <c:v>19-May-17</c:v>
                </c:pt>
                <c:pt idx="3059">
                  <c:v>20-May-17</c:v>
                </c:pt>
                <c:pt idx="3060">
                  <c:v>21-May-17</c:v>
                </c:pt>
                <c:pt idx="3061">
                  <c:v>22-May-17</c:v>
                </c:pt>
                <c:pt idx="3062">
                  <c:v>23-May-17</c:v>
                </c:pt>
                <c:pt idx="3063">
                  <c:v>24-May-17</c:v>
                </c:pt>
                <c:pt idx="3064">
                  <c:v>25-May-17</c:v>
                </c:pt>
                <c:pt idx="3065">
                  <c:v>26-May-17</c:v>
                </c:pt>
                <c:pt idx="3066">
                  <c:v>27-May-17</c:v>
                </c:pt>
                <c:pt idx="3067">
                  <c:v>28-May-17</c:v>
                </c:pt>
                <c:pt idx="3068">
                  <c:v>29-May-17</c:v>
                </c:pt>
                <c:pt idx="3069">
                  <c:v>30-May-17</c:v>
                </c:pt>
                <c:pt idx="3070">
                  <c:v>31-May-17</c:v>
                </c:pt>
                <c:pt idx="3071">
                  <c:v>1-Jun-17</c:v>
                </c:pt>
                <c:pt idx="3072">
                  <c:v>2-Jun-17</c:v>
                </c:pt>
                <c:pt idx="3073">
                  <c:v>3-Jun-17</c:v>
                </c:pt>
                <c:pt idx="3074">
                  <c:v>4-Jun-17</c:v>
                </c:pt>
                <c:pt idx="3075">
                  <c:v>5-Jun-17</c:v>
                </c:pt>
                <c:pt idx="3076">
                  <c:v>6-Jun-17</c:v>
                </c:pt>
                <c:pt idx="3077">
                  <c:v>7-Jun-17</c:v>
                </c:pt>
                <c:pt idx="3078">
                  <c:v>8-Jun-17</c:v>
                </c:pt>
                <c:pt idx="3079">
                  <c:v>9-Jun-17</c:v>
                </c:pt>
                <c:pt idx="3080">
                  <c:v>10-Jun-17</c:v>
                </c:pt>
                <c:pt idx="3081">
                  <c:v>11-Jun-17</c:v>
                </c:pt>
                <c:pt idx="3082">
                  <c:v>12-Jun-17</c:v>
                </c:pt>
                <c:pt idx="3083">
                  <c:v>13-Jun-17</c:v>
                </c:pt>
                <c:pt idx="3084">
                  <c:v>14-Jun-17</c:v>
                </c:pt>
                <c:pt idx="3085">
                  <c:v>15-Jun-17</c:v>
                </c:pt>
                <c:pt idx="3086">
                  <c:v>16-Jun-17</c:v>
                </c:pt>
                <c:pt idx="3087">
                  <c:v>17-Jun-17</c:v>
                </c:pt>
                <c:pt idx="3088">
                  <c:v>18-Jun-17</c:v>
                </c:pt>
                <c:pt idx="3089">
                  <c:v>19-Jun-17</c:v>
                </c:pt>
                <c:pt idx="3090">
                  <c:v>20-Jun-17</c:v>
                </c:pt>
                <c:pt idx="3091">
                  <c:v>21-Jun-17</c:v>
                </c:pt>
                <c:pt idx="3092">
                  <c:v>22-Jun-17</c:v>
                </c:pt>
                <c:pt idx="3093">
                  <c:v>23-Jun-17</c:v>
                </c:pt>
                <c:pt idx="3094">
                  <c:v>24-Jun-17</c:v>
                </c:pt>
                <c:pt idx="3095">
                  <c:v>25-Jun-17</c:v>
                </c:pt>
                <c:pt idx="3096">
                  <c:v>26-Jun-17</c:v>
                </c:pt>
                <c:pt idx="3097">
                  <c:v>27-Jun-17</c:v>
                </c:pt>
                <c:pt idx="3098">
                  <c:v>28-Jun-17</c:v>
                </c:pt>
                <c:pt idx="3099">
                  <c:v>29-Jun-17</c:v>
                </c:pt>
                <c:pt idx="3100">
                  <c:v>30-Jun-17</c:v>
                </c:pt>
                <c:pt idx="3101">
                  <c:v>01juil.2017</c:v>
                </c:pt>
                <c:pt idx="3102">
                  <c:v>02juil.2017</c:v>
                </c:pt>
                <c:pt idx="3103">
                  <c:v>03juil.2017</c:v>
                </c:pt>
                <c:pt idx="3104">
                  <c:v>04juil.2017</c:v>
                </c:pt>
                <c:pt idx="3105">
                  <c:v>05juil.2017</c:v>
                </c:pt>
                <c:pt idx="3106">
                  <c:v>06juil.2017</c:v>
                </c:pt>
                <c:pt idx="3107">
                  <c:v>07juil.2017</c:v>
                </c:pt>
                <c:pt idx="3108">
                  <c:v>08juil.2017</c:v>
                </c:pt>
                <c:pt idx="3109">
                  <c:v>09juil.2017</c:v>
                </c:pt>
                <c:pt idx="3110">
                  <c:v>10juil.2017</c:v>
                </c:pt>
                <c:pt idx="3111">
                  <c:v>11juil.2017</c:v>
                </c:pt>
                <c:pt idx="3112">
                  <c:v>12juil.2017</c:v>
                </c:pt>
                <c:pt idx="3113">
                  <c:v>13juil.2017</c:v>
                </c:pt>
                <c:pt idx="3114">
                  <c:v>14juil.2017</c:v>
                </c:pt>
                <c:pt idx="3115">
                  <c:v>15juil.2017</c:v>
                </c:pt>
                <c:pt idx="3116">
                  <c:v>16juil.2017</c:v>
                </c:pt>
                <c:pt idx="3117">
                  <c:v>17juil.2017</c:v>
                </c:pt>
                <c:pt idx="3118">
                  <c:v>18juil.2017</c:v>
                </c:pt>
                <c:pt idx="3119">
                  <c:v>19juil.2017</c:v>
                </c:pt>
                <c:pt idx="3120">
                  <c:v>20juil.2017</c:v>
                </c:pt>
                <c:pt idx="3121">
                  <c:v>21juil.2017</c:v>
                </c:pt>
                <c:pt idx="3122">
                  <c:v>22juil.2017</c:v>
                </c:pt>
                <c:pt idx="3123">
                  <c:v>23juil.2017</c:v>
                </c:pt>
                <c:pt idx="3124">
                  <c:v>24juil.2017</c:v>
                </c:pt>
                <c:pt idx="3125">
                  <c:v>25juil.2017</c:v>
                </c:pt>
                <c:pt idx="3126">
                  <c:v>26juil.2017</c:v>
                </c:pt>
                <c:pt idx="3127">
                  <c:v>27juil.2017</c:v>
                </c:pt>
                <c:pt idx="3128">
                  <c:v>28juil.2017</c:v>
                </c:pt>
                <c:pt idx="3129">
                  <c:v>29juil.2017</c:v>
                </c:pt>
                <c:pt idx="3130">
                  <c:v>30juil.2017</c:v>
                </c:pt>
                <c:pt idx="3131">
                  <c:v>31juil.2017</c:v>
                </c:pt>
                <c:pt idx="3132">
                  <c:v>1-Aug-17</c:v>
                </c:pt>
                <c:pt idx="3133">
                  <c:v>2-Aug-17</c:v>
                </c:pt>
                <c:pt idx="3134">
                  <c:v>3-Aug-17</c:v>
                </c:pt>
                <c:pt idx="3135">
                  <c:v>4-Aug-17</c:v>
                </c:pt>
                <c:pt idx="3136">
                  <c:v>5-Aug-17</c:v>
                </c:pt>
                <c:pt idx="3137">
                  <c:v>6-Aug-17</c:v>
                </c:pt>
                <c:pt idx="3138">
                  <c:v>7-Aug-17</c:v>
                </c:pt>
                <c:pt idx="3139">
                  <c:v>8-Aug-17</c:v>
                </c:pt>
                <c:pt idx="3140">
                  <c:v>9-Aug-17</c:v>
                </c:pt>
                <c:pt idx="3141">
                  <c:v>10-Aug-17</c:v>
                </c:pt>
                <c:pt idx="3142">
                  <c:v>11-Aug-17</c:v>
                </c:pt>
                <c:pt idx="3143">
                  <c:v>12-Aug-17</c:v>
                </c:pt>
                <c:pt idx="3144">
                  <c:v>13-Aug-17</c:v>
                </c:pt>
                <c:pt idx="3145">
                  <c:v>14-Aug-17</c:v>
                </c:pt>
                <c:pt idx="3146">
                  <c:v>15-Aug-17</c:v>
                </c:pt>
                <c:pt idx="3147">
                  <c:v>16-Aug-17</c:v>
                </c:pt>
                <c:pt idx="3148">
                  <c:v>17-Aug-17</c:v>
                </c:pt>
                <c:pt idx="3149">
                  <c:v>18-Aug-17</c:v>
                </c:pt>
                <c:pt idx="3150">
                  <c:v>19-Aug-17</c:v>
                </c:pt>
                <c:pt idx="3151">
                  <c:v>20-Aug-17</c:v>
                </c:pt>
                <c:pt idx="3152">
                  <c:v>21-Aug-17</c:v>
                </c:pt>
                <c:pt idx="3153">
                  <c:v>22-Aug-17</c:v>
                </c:pt>
                <c:pt idx="3154">
                  <c:v>23-Aug-17</c:v>
                </c:pt>
                <c:pt idx="3155">
                  <c:v>24-Aug-17</c:v>
                </c:pt>
                <c:pt idx="3156">
                  <c:v>25-Aug-17</c:v>
                </c:pt>
                <c:pt idx="3157">
                  <c:v>26-Aug-17</c:v>
                </c:pt>
                <c:pt idx="3158">
                  <c:v>27-Aug-17</c:v>
                </c:pt>
                <c:pt idx="3159">
                  <c:v>28-Aug-17</c:v>
                </c:pt>
                <c:pt idx="3160">
                  <c:v>29-Aug-17</c:v>
                </c:pt>
                <c:pt idx="3161">
                  <c:v>30-Aug-17</c:v>
                </c:pt>
                <c:pt idx="3162">
                  <c:v>31-Aug-17</c:v>
                </c:pt>
                <c:pt idx="3163">
                  <c:v>01sept.2017</c:v>
                </c:pt>
                <c:pt idx="3164">
                  <c:v>02sept.2017</c:v>
                </c:pt>
                <c:pt idx="3165">
                  <c:v>03sept.2017</c:v>
                </c:pt>
                <c:pt idx="3166">
                  <c:v>04sept.2017</c:v>
                </c:pt>
                <c:pt idx="3167">
                  <c:v>05sept.2017</c:v>
                </c:pt>
                <c:pt idx="3168">
                  <c:v>06sept.2017</c:v>
                </c:pt>
                <c:pt idx="3169">
                  <c:v>07sept.2017</c:v>
                </c:pt>
                <c:pt idx="3170">
                  <c:v>08sept.2017</c:v>
                </c:pt>
                <c:pt idx="3171">
                  <c:v>09sept.2017</c:v>
                </c:pt>
                <c:pt idx="3172">
                  <c:v>10sept.2017</c:v>
                </c:pt>
                <c:pt idx="3173">
                  <c:v>11sept.2017</c:v>
                </c:pt>
                <c:pt idx="3174">
                  <c:v>12sept.2017</c:v>
                </c:pt>
                <c:pt idx="3175">
                  <c:v>13sept.2017</c:v>
                </c:pt>
                <c:pt idx="3176">
                  <c:v>14sept.2017</c:v>
                </c:pt>
                <c:pt idx="3177">
                  <c:v>15sept.2017</c:v>
                </c:pt>
                <c:pt idx="3178">
                  <c:v>16sept.2017</c:v>
                </c:pt>
                <c:pt idx="3179">
                  <c:v>17sept.2017</c:v>
                </c:pt>
                <c:pt idx="3180">
                  <c:v>18sept.2017</c:v>
                </c:pt>
                <c:pt idx="3181">
                  <c:v>19sept.2017</c:v>
                </c:pt>
                <c:pt idx="3182">
                  <c:v>20sept.2017</c:v>
                </c:pt>
                <c:pt idx="3183">
                  <c:v>21sept.2017</c:v>
                </c:pt>
                <c:pt idx="3184">
                  <c:v>22sept.2017</c:v>
                </c:pt>
                <c:pt idx="3185">
                  <c:v>23sept.2017</c:v>
                </c:pt>
                <c:pt idx="3186">
                  <c:v>24sept.2017</c:v>
                </c:pt>
                <c:pt idx="3187">
                  <c:v>25sept.2017</c:v>
                </c:pt>
                <c:pt idx="3188">
                  <c:v>26sept.2017</c:v>
                </c:pt>
                <c:pt idx="3189">
                  <c:v>27sept.2017</c:v>
                </c:pt>
                <c:pt idx="3190">
                  <c:v>28sept.2017</c:v>
                </c:pt>
                <c:pt idx="3191">
                  <c:v>29sept.2017</c:v>
                </c:pt>
                <c:pt idx="3192">
                  <c:v>30sept.2017</c:v>
                </c:pt>
                <c:pt idx="3193">
                  <c:v>01oct.2017</c:v>
                </c:pt>
                <c:pt idx="3194">
                  <c:v>02oct.2017</c:v>
                </c:pt>
                <c:pt idx="3195">
                  <c:v>03oct.2017</c:v>
                </c:pt>
                <c:pt idx="3196">
                  <c:v>04oct.2017</c:v>
                </c:pt>
                <c:pt idx="3197">
                  <c:v>05oct.2017</c:v>
                </c:pt>
                <c:pt idx="3198">
                  <c:v>06oct.2017</c:v>
                </c:pt>
                <c:pt idx="3199">
                  <c:v>07oct.2017</c:v>
                </c:pt>
                <c:pt idx="3200">
                  <c:v>08oct.2017</c:v>
                </c:pt>
                <c:pt idx="3201">
                  <c:v>09oct.2017</c:v>
                </c:pt>
                <c:pt idx="3202">
                  <c:v>10oct.2017</c:v>
                </c:pt>
                <c:pt idx="3203">
                  <c:v>11oct.2017</c:v>
                </c:pt>
                <c:pt idx="3204">
                  <c:v>12oct.2017</c:v>
                </c:pt>
                <c:pt idx="3205">
                  <c:v>13oct.2017</c:v>
                </c:pt>
                <c:pt idx="3206">
                  <c:v>14oct.2017</c:v>
                </c:pt>
                <c:pt idx="3207">
                  <c:v>15oct.2017</c:v>
                </c:pt>
                <c:pt idx="3208">
                  <c:v>16oct.2017</c:v>
                </c:pt>
                <c:pt idx="3209">
                  <c:v>17oct.2017</c:v>
                </c:pt>
                <c:pt idx="3210">
                  <c:v>18oct.2017</c:v>
                </c:pt>
                <c:pt idx="3211">
                  <c:v>19oct.2017</c:v>
                </c:pt>
                <c:pt idx="3212">
                  <c:v>20oct.2017</c:v>
                </c:pt>
                <c:pt idx="3213">
                  <c:v>21oct.2017</c:v>
                </c:pt>
                <c:pt idx="3214">
                  <c:v>22oct.2017</c:v>
                </c:pt>
                <c:pt idx="3215">
                  <c:v>23oct.2017</c:v>
                </c:pt>
                <c:pt idx="3216">
                  <c:v>24oct.2017</c:v>
                </c:pt>
                <c:pt idx="3217">
                  <c:v>25oct.2017</c:v>
                </c:pt>
                <c:pt idx="3218">
                  <c:v>26oct.2017</c:v>
                </c:pt>
                <c:pt idx="3219">
                  <c:v>27oct.2017</c:v>
                </c:pt>
                <c:pt idx="3220">
                  <c:v>28oct.2017</c:v>
                </c:pt>
                <c:pt idx="3221">
                  <c:v>29oct.2017</c:v>
                </c:pt>
                <c:pt idx="3222">
                  <c:v>30oct.2017</c:v>
                </c:pt>
                <c:pt idx="3223">
                  <c:v>31oct.2017</c:v>
                </c:pt>
                <c:pt idx="3224">
                  <c:v>01nov.2017</c:v>
                </c:pt>
                <c:pt idx="3225">
                  <c:v>02nov.2017</c:v>
                </c:pt>
                <c:pt idx="3226">
                  <c:v>03nov.2017</c:v>
                </c:pt>
                <c:pt idx="3227">
                  <c:v>04nov.2017</c:v>
                </c:pt>
                <c:pt idx="3228">
                  <c:v>05nov.2017</c:v>
                </c:pt>
                <c:pt idx="3229">
                  <c:v>06nov.2017</c:v>
                </c:pt>
                <c:pt idx="3230">
                  <c:v>07nov.2017</c:v>
                </c:pt>
                <c:pt idx="3231">
                  <c:v>08nov.2017</c:v>
                </c:pt>
                <c:pt idx="3232">
                  <c:v>09nov.2017</c:v>
                </c:pt>
                <c:pt idx="3233">
                  <c:v>10nov.2017</c:v>
                </c:pt>
                <c:pt idx="3234">
                  <c:v>11nov.2017</c:v>
                </c:pt>
                <c:pt idx="3235">
                  <c:v>12nov.2017</c:v>
                </c:pt>
                <c:pt idx="3236">
                  <c:v>13nov.2017</c:v>
                </c:pt>
                <c:pt idx="3237">
                  <c:v>14nov.2017</c:v>
                </c:pt>
                <c:pt idx="3238">
                  <c:v>15nov.2017</c:v>
                </c:pt>
                <c:pt idx="3239">
                  <c:v>16nov.2017</c:v>
                </c:pt>
                <c:pt idx="3240">
                  <c:v>17nov.2017</c:v>
                </c:pt>
                <c:pt idx="3241">
                  <c:v>18nov.2017</c:v>
                </c:pt>
                <c:pt idx="3242">
                  <c:v>19nov.2017</c:v>
                </c:pt>
                <c:pt idx="3243">
                  <c:v>20nov.2017</c:v>
                </c:pt>
                <c:pt idx="3244">
                  <c:v>21nov.2017</c:v>
                </c:pt>
                <c:pt idx="3245">
                  <c:v>22nov.2017</c:v>
                </c:pt>
                <c:pt idx="3246">
                  <c:v>23nov.2017</c:v>
                </c:pt>
                <c:pt idx="3247">
                  <c:v>24nov.2017</c:v>
                </c:pt>
                <c:pt idx="3248">
                  <c:v>25nov.2017</c:v>
                </c:pt>
                <c:pt idx="3249">
                  <c:v>26nov.2017</c:v>
                </c:pt>
                <c:pt idx="3250">
                  <c:v>27nov.2017</c:v>
                </c:pt>
                <c:pt idx="3251">
                  <c:v>28nov.2017</c:v>
                </c:pt>
                <c:pt idx="3252">
                  <c:v>29nov.2017</c:v>
                </c:pt>
                <c:pt idx="3253">
                  <c:v>30nov.2017</c:v>
                </c:pt>
                <c:pt idx="3254">
                  <c:v>01déc.2017</c:v>
                </c:pt>
                <c:pt idx="3255">
                  <c:v>02déc.2017</c:v>
                </c:pt>
                <c:pt idx="3256">
                  <c:v>03déc.2017</c:v>
                </c:pt>
                <c:pt idx="3257">
                  <c:v>04déc.2017</c:v>
                </c:pt>
                <c:pt idx="3258">
                  <c:v>05déc.2017</c:v>
                </c:pt>
                <c:pt idx="3259">
                  <c:v>06déc.2017</c:v>
                </c:pt>
                <c:pt idx="3260">
                  <c:v>07déc.2017</c:v>
                </c:pt>
                <c:pt idx="3261">
                  <c:v>08déc.2017</c:v>
                </c:pt>
                <c:pt idx="3262">
                  <c:v>09déc.2017</c:v>
                </c:pt>
                <c:pt idx="3263">
                  <c:v>10déc.2017</c:v>
                </c:pt>
                <c:pt idx="3264">
                  <c:v>11déc.2017</c:v>
                </c:pt>
                <c:pt idx="3265">
                  <c:v>12déc.2017</c:v>
                </c:pt>
                <c:pt idx="3266">
                  <c:v>13déc.2017</c:v>
                </c:pt>
                <c:pt idx="3267">
                  <c:v>14déc.2017</c:v>
                </c:pt>
                <c:pt idx="3268">
                  <c:v>15déc.2017</c:v>
                </c:pt>
                <c:pt idx="3269">
                  <c:v>16déc.2017</c:v>
                </c:pt>
                <c:pt idx="3270">
                  <c:v>17déc.2017</c:v>
                </c:pt>
                <c:pt idx="3271">
                  <c:v>18déc.2017</c:v>
                </c:pt>
                <c:pt idx="3272">
                  <c:v>19déc.2017</c:v>
                </c:pt>
                <c:pt idx="3273">
                  <c:v>20déc.2017</c:v>
                </c:pt>
                <c:pt idx="3274">
                  <c:v>21déc.2017</c:v>
                </c:pt>
                <c:pt idx="3275">
                  <c:v>22déc.2017</c:v>
                </c:pt>
                <c:pt idx="3276">
                  <c:v>23déc.2017</c:v>
                </c:pt>
                <c:pt idx="3277">
                  <c:v>24déc.2017</c:v>
                </c:pt>
                <c:pt idx="3278">
                  <c:v>25déc.2017</c:v>
                </c:pt>
                <c:pt idx="3279">
                  <c:v>26déc.2017</c:v>
                </c:pt>
                <c:pt idx="3280">
                  <c:v>27déc.2017</c:v>
                </c:pt>
                <c:pt idx="3281">
                  <c:v>28déc.2017</c:v>
                </c:pt>
                <c:pt idx="3282">
                  <c:v>29déc.2017</c:v>
                </c:pt>
                <c:pt idx="3283">
                  <c:v>30déc.2017</c:v>
                </c:pt>
                <c:pt idx="3284">
                  <c:v>31déc.2017</c:v>
                </c:pt>
                <c:pt idx="3285">
                  <c:v>01janv.2018</c:v>
                </c:pt>
                <c:pt idx="3286">
                  <c:v>02janv.2018</c:v>
                </c:pt>
                <c:pt idx="3287">
                  <c:v>03janv.2018</c:v>
                </c:pt>
                <c:pt idx="3288">
                  <c:v>04janv.2018</c:v>
                </c:pt>
                <c:pt idx="3289">
                  <c:v>05janv.2018</c:v>
                </c:pt>
                <c:pt idx="3290">
                  <c:v>06janv.2018</c:v>
                </c:pt>
                <c:pt idx="3291">
                  <c:v>07janv.2018</c:v>
                </c:pt>
                <c:pt idx="3292">
                  <c:v>08janv.2018</c:v>
                </c:pt>
                <c:pt idx="3293">
                  <c:v>09janv.2018</c:v>
                </c:pt>
                <c:pt idx="3294">
                  <c:v>10janv.2018</c:v>
                </c:pt>
                <c:pt idx="3295">
                  <c:v>11janv.2018</c:v>
                </c:pt>
                <c:pt idx="3296">
                  <c:v>12janv.2018</c:v>
                </c:pt>
                <c:pt idx="3297">
                  <c:v>13janv.2018</c:v>
                </c:pt>
                <c:pt idx="3298">
                  <c:v>14janv.2018</c:v>
                </c:pt>
                <c:pt idx="3299">
                  <c:v>15janv.2018</c:v>
                </c:pt>
                <c:pt idx="3300">
                  <c:v>16janv.2018</c:v>
                </c:pt>
                <c:pt idx="3301">
                  <c:v>17janv.2018</c:v>
                </c:pt>
                <c:pt idx="3302">
                  <c:v>18janv.2018</c:v>
                </c:pt>
                <c:pt idx="3303">
                  <c:v>19janv.2018</c:v>
                </c:pt>
                <c:pt idx="3304">
                  <c:v>20janv.2018</c:v>
                </c:pt>
                <c:pt idx="3305">
                  <c:v>21janv.2018</c:v>
                </c:pt>
                <c:pt idx="3306">
                  <c:v>22janv.2018</c:v>
                </c:pt>
                <c:pt idx="3307">
                  <c:v>23janv.2018</c:v>
                </c:pt>
                <c:pt idx="3308">
                  <c:v>24janv.2018</c:v>
                </c:pt>
                <c:pt idx="3309">
                  <c:v>25janv.2018</c:v>
                </c:pt>
                <c:pt idx="3310">
                  <c:v>26janv.2018</c:v>
                </c:pt>
                <c:pt idx="3311">
                  <c:v>27janv.2018</c:v>
                </c:pt>
                <c:pt idx="3312">
                  <c:v>28janv.2018</c:v>
                </c:pt>
                <c:pt idx="3313">
                  <c:v>29janv.2018</c:v>
                </c:pt>
                <c:pt idx="3314">
                  <c:v>30janv.2018</c:v>
                </c:pt>
                <c:pt idx="3315">
                  <c:v>31janv.2018</c:v>
                </c:pt>
                <c:pt idx="3316">
                  <c:v>01févr.2018</c:v>
                </c:pt>
                <c:pt idx="3317">
                  <c:v>02févr.2018</c:v>
                </c:pt>
                <c:pt idx="3318">
                  <c:v>03févr.2018</c:v>
                </c:pt>
                <c:pt idx="3319">
                  <c:v>04févr.2018</c:v>
                </c:pt>
                <c:pt idx="3320">
                  <c:v>05févr.2018</c:v>
                </c:pt>
                <c:pt idx="3321">
                  <c:v>06févr.2018</c:v>
                </c:pt>
                <c:pt idx="3322">
                  <c:v>07févr.2018</c:v>
                </c:pt>
                <c:pt idx="3323">
                  <c:v>08févr.2018</c:v>
                </c:pt>
                <c:pt idx="3324">
                  <c:v>09févr.2018</c:v>
                </c:pt>
                <c:pt idx="3325">
                  <c:v>10févr.2018</c:v>
                </c:pt>
                <c:pt idx="3326">
                  <c:v>11févr.2018</c:v>
                </c:pt>
                <c:pt idx="3327">
                  <c:v>12févr.2018</c:v>
                </c:pt>
                <c:pt idx="3328">
                  <c:v>13févr.2018</c:v>
                </c:pt>
                <c:pt idx="3329">
                  <c:v>14févr.2018</c:v>
                </c:pt>
                <c:pt idx="3330">
                  <c:v>15févr.2018</c:v>
                </c:pt>
                <c:pt idx="3331">
                  <c:v>16févr.2018</c:v>
                </c:pt>
                <c:pt idx="3332">
                  <c:v>17févr.2018</c:v>
                </c:pt>
                <c:pt idx="3333">
                  <c:v>18févr.2018</c:v>
                </c:pt>
                <c:pt idx="3334">
                  <c:v>19févr.2018</c:v>
                </c:pt>
                <c:pt idx="3335">
                  <c:v>20févr.2018</c:v>
                </c:pt>
                <c:pt idx="3336">
                  <c:v>21févr.2018</c:v>
                </c:pt>
                <c:pt idx="3337">
                  <c:v>22févr.2018</c:v>
                </c:pt>
                <c:pt idx="3338">
                  <c:v>23févr.2018</c:v>
                </c:pt>
                <c:pt idx="3339">
                  <c:v>24févr.2018</c:v>
                </c:pt>
                <c:pt idx="3340">
                  <c:v>25févr.2018</c:v>
                </c:pt>
                <c:pt idx="3341">
                  <c:v>26févr.2018</c:v>
                </c:pt>
                <c:pt idx="3342">
                  <c:v>27févr.2018</c:v>
                </c:pt>
                <c:pt idx="3343">
                  <c:v>28févr.2018</c:v>
                </c:pt>
                <c:pt idx="3344">
                  <c:v>1-Mar-18</c:v>
                </c:pt>
                <c:pt idx="3345">
                  <c:v>2-Mar-18</c:v>
                </c:pt>
                <c:pt idx="3346">
                  <c:v>3-Mar-18</c:v>
                </c:pt>
                <c:pt idx="3347">
                  <c:v>4-Mar-18</c:v>
                </c:pt>
                <c:pt idx="3348">
                  <c:v>5-Mar-18</c:v>
                </c:pt>
                <c:pt idx="3349">
                  <c:v>6-Mar-18</c:v>
                </c:pt>
                <c:pt idx="3350">
                  <c:v>7-Mar-18</c:v>
                </c:pt>
                <c:pt idx="3351">
                  <c:v>8-Mar-18</c:v>
                </c:pt>
                <c:pt idx="3352">
                  <c:v>9-Mar-18</c:v>
                </c:pt>
                <c:pt idx="3353">
                  <c:v>10-Mar-18</c:v>
                </c:pt>
                <c:pt idx="3354">
                  <c:v>11-Mar-18</c:v>
                </c:pt>
                <c:pt idx="3355">
                  <c:v>12-Mar-18</c:v>
                </c:pt>
                <c:pt idx="3356">
                  <c:v>13-Mar-18</c:v>
                </c:pt>
                <c:pt idx="3357">
                  <c:v>14-Mar-18</c:v>
                </c:pt>
                <c:pt idx="3358">
                  <c:v>15-Mar-18</c:v>
                </c:pt>
                <c:pt idx="3359">
                  <c:v>16-Mar-18</c:v>
                </c:pt>
                <c:pt idx="3360">
                  <c:v>17-Mar-18</c:v>
                </c:pt>
                <c:pt idx="3361">
                  <c:v>18-Mar-18</c:v>
                </c:pt>
                <c:pt idx="3362">
                  <c:v>19-Mar-18</c:v>
                </c:pt>
                <c:pt idx="3363">
                  <c:v>20-Mar-18</c:v>
                </c:pt>
                <c:pt idx="3364">
                  <c:v>21-Mar-18</c:v>
                </c:pt>
                <c:pt idx="3365">
                  <c:v>22-Mar-18</c:v>
                </c:pt>
                <c:pt idx="3366">
                  <c:v>23-Mar-18</c:v>
                </c:pt>
                <c:pt idx="3367">
                  <c:v>24-Mar-18</c:v>
                </c:pt>
                <c:pt idx="3368">
                  <c:v>25-Mar-18</c:v>
                </c:pt>
                <c:pt idx="3369">
                  <c:v>26-Mar-18</c:v>
                </c:pt>
                <c:pt idx="3370">
                  <c:v>27-Mar-18</c:v>
                </c:pt>
                <c:pt idx="3371">
                  <c:v>28-Mar-18</c:v>
                </c:pt>
                <c:pt idx="3372">
                  <c:v>29-Mar-18</c:v>
                </c:pt>
                <c:pt idx="3373">
                  <c:v>30-Mar-18</c:v>
                </c:pt>
                <c:pt idx="3374">
                  <c:v>31-Mar-18</c:v>
                </c:pt>
                <c:pt idx="3375">
                  <c:v>01avr.2018</c:v>
                </c:pt>
                <c:pt idx="3376">
                  <c:v>02avr.2018</c:v>
                </c:pt>
                <c:pt idx="3377">
                  <c:v>03avr.2018</c:v>
                </c:pt>
                <c:pt idx="3378">
                  <c:v>04avr.2018</c:v>
                </c:pt>
                <c:pt idx="3379">
                  <c:v>05avr.2018</c:v>
                </c:pt>
                <c:pt idx="3380">
                  <c:v>06avr.2018</c:v>
                </c:pt>
                <c:pt idx="3381">
                  <c:v>07avr.2018</c:v>
                </c:pt>
                <c:pt idx="3382">
                  <c:v>08avr.2018</c:v>
                </c:pt>
                <c:pt idx="3383">
                  <c:v>09avr.2018</c:v>
                </c:pt>
                <c:pt idx="3384">
                  <c:v>10avr.2018</c:v>
                </c:pt>
                <c:pt idx="3385">
                  <c:v>11avr.2018</c:v>
                </c:pt>
                <c:pt idx="3386">
                  <c:v>12avr.2018</c:v>
                </c:pt>
                <c:pt idx="3387">
                  <c:v>13avr.2018</c:v>
                </c:pt>
                <c:pt idx="3388">
                  <c:v>14avr.2018</c:v>
                </c:pt>
                <c:pt idx="3389">
                  <c:v>15avr.2018</c:v>
                </c:pt>
                <c:pt idx="3390">
                  <c:v>16avr.2018</c:v>
                </c:pt>
                <c:pt idx="3391">
                  <c:v>17avr.2018</c:v>
                </c:pt>
                <c:pt idx="3392">
                  <c:v>18avr.2018</c:v>
                </c:pt>
                <c:pt idx="3393">
                  <c:v>19avr.2018</c:v>
                </c:pt>
                <c:pt idx="3394">
                  <c:v>20avr.2018</c:v>
                </c:pt>
                <c:pt idx="3395">
                  <c:v>21avr.2018</c:v>
                </c:pt>
                <c:pt idx="3396">
                  <c:v>22avr.2018</c:v>
                </c:pt>
                <c:pt idx="3397">
                  <c:v>23avr.2018</c:v>
                </c:pt>
                <c:pt idx="3398">
                  <c:v>24avr.2018</c:v>
                </c:pt>
                <c:pt idx="3399">
                  <c:v>25avr.2018</c:v>
                </c:pt>
                <c:pt idx="3400">
                  <c:v>26avr.2018</c:v>
                </c:pt>
                <c:pt idx="3401">
                  <c:v>27avr.2018</c:v>
                </c:pt>
                <c:pt idx="3402">
                  <c:v>28avr.2018</c:v>
                </c:pt>
                <c:pt idx="3403">
                  <c:v>29avr.2018</c:v>
                </c:pt>
                <c:pt idx="3404">
                  <c:v>30avr.2018</c:v>
                </c:pt>
                <c:pt idx="3405">
                  <c:v>1-May-18</c:v>
                </c:pt>
                <c:pt idx="3406">
                  <c:v>2-May-18</c:v>
                </c:pt>
                <c:pt idx="3407">
                  <c:v>3-May-18</c:v>
                </c:pt>
                <c:pt idx="3408">
                  <c:v>4-May-18</c:v>
                </c:pt>
                <c:pt idx="3409">
                  <c:v>5-May-18</c:v>
                </c:pt>
                <c:pt idx="3410">
                  <c:v>6-May-18</c:v>
                </c:pt>
                <c:pt idx="3411">
                  <c:v>7-May-18</c:v>
                </c:pt>
                <c:pt idx="3412">
                  <c:v>8-May-18</c:v>
                </c:pt>
                <c:pt idx="3413">
                  <c:v>9-May-18</c:v>
                </c:pt>
                <c:pt idx="3414">
                  <c:v>10-May-18</c:v>
                </c:pt>
                <c:pt idx="3415">
                  <c:v>11-May-18</c:v>
                </c:pt>
                <c:pt idx="3416">
                  <c:v>12-May-18</c:v>
                </c:pt>
                <c:pt idx="3417">
                  <c:v>13-May-18</c:v>
                </c:pt>
                <c:pt idx="3418">
                  <c:v>14-May-18</c:v>
                </c:pt>
                <c:pt idx="3419">
                  <c:v>15-May-18</c:v>
                </c:pt>
                <c:pt idx="3420">
                  <c:v>16-May-18</c:v>
                </c:pt>
                <c:pt idx="3421">
                  <c:v>17-May-18</c:v>
                </c:pt>
                <c:pt idx="3422">
                  <c:v>18-May-18</c:v>
                </c:pt>
                <c:pt idx="3423">
                  <c:v>19-May-18</c:v>
                </c:pt>
                <c:pt idx="3424">
                  <c:v>20-May-18</c:v>
                </c:pt>
                <c:pt idx="3425">
                  <c:v>21-May-18</c:v>
                </c:pt>
                <c:pt idx="3426">
                  <c:v>22-May-18</c:v>
                </c:pt>
                <c:pt idx="3427">
                  <c:v>23-May-18</c:v>
                </c:pt>
                <c:pt idx="3428">
                  <c:v>24-May-18</c:v>
                </c:pt>
                <c:pt idx="3429">
                  <c:v>25-May-18</c:v>
                </c:pt>
                <c:pt idx="3430">
                  <c:v>26-May-18</c:v>
                </c:pt>
                <c:pt idx="3431">
                  <c:v>27-May-18</c:v>
                </c:pt>
                <c:pt idx="3432">
                  <c:v>28-May-18</c:v>
                </c:pt>
                <c:pt idx="3433">
                  <c:v>29-May-18</c:v>
                </c:pt>
                <c:pt idx="3434">
                  <c:v>30-May-18</c:v>
                </c:pt>
                <c:pt idx="3435">
                  <c:v>31-May-18</c:v>
                </c:pt>
                <c:pt idx="3436">
                  <c:v>1-Jun-18</c:v>
                </c:pt>
                <c:pt idx="3437">
                  <c:v>2-Jun-18</c:v>
                </c:pt>
                <c:pt idx="3438">
                  <c:v>3-Jun-18</c:v>
                </c:pt>
                <c:pt idx="3439">
                  <c:v>4-Jun-18</c:v>
                </c:pt>
                <c:pt idx="3440">
                  <c:v>5-Jun-18</c:v>
                </c:pt>
                <c:pt idx="3441">
                  <c:v>6-Jun-18</c:v>
                </c:pt>
                <c:pt idx="3442">
                  <c:v>7-Jun-18</c:v>
                </c:pt>
                <c:pt idx="3443">
                  <c:v>8-Jun-18</c:v>
                </c:pt>
                <c:pt idx="3444">
                  <c:v>9-Jun-18</c:v>
                </c:pt>
                <c:pt idx="3445">
                  <c:v>10-Jun-18</c:v>
                </c:pt>
                <c:pt idx="3446">
                  <c:v>11-Jun-18</c:v>
                </c:pt>
                <c:pt idx="3447">
                  <c:v>12-Jun-18</c:v>
                </c:pt>
                <c:pt idx="3448">
                  <c:v>13-Jun-18</c:v>
                </c:pt>
                <c:pt idx="3449">
                  <c:v>14-Jun-18</c:v>
                </c:pt>
                <c:pt idx="3450">
                  <c:v>15-Jun-18</c:v>
                </c:pt>
                <c:pt idx="3451">
                  <c:v>16-Jun-18</c:v>
                </c:pt>
                <c:pt idx="3452">
                  <c:v>17-Jun-18</c:v>
                </c:pt>
                <c:pt idx="3453">
                  <c:v>18-Jun-18</c:v>
                </c:pt>
                <c:pt idx="3454">
                  <c:v>19-Jun-18</c:v>
                </c:pt>
                <c:pt idx="3455">
                  <c:v>20-Jun-18</c:v>
                </c:pt>
                <c:pt idx="3456">
                  <c:v>21-Jun-18</c:v>
                </c:pt>
                <c:pt idx="3457">
                  <c:v>22-Jun-18</c:v>
                </c:pt>
                <c:pt idx="3458">
                  <c:v>23-Jun-18</c:v>
                </c:pt>
                <c:pt idx="3459">
                  <c:v>24-Jun-18</c:v>
                </c:pt>
                <c:pt idx="3460">
                  <c:v>25-Jun-18</c:v>
                </c:pt>
                <c:pt idx="3461">
                  <c:v>26-Jun-18</c:v>
                </c:pt>
                <c:pt idx="3462">
                  <c:v>27-Jun-18</c:v>
                </c:pt>
                <c:pt idx="3463">
                  <c:v>28-Jun-18</c:v>
                </c:pt>
                <c:pt idx="3464">
                  <c:v>29-Jun-18</c:v>
                </c:pt>
                <c:pt idx="3465">
                  <c:v>30-Jun-18</c:v>
                </c:pt>
                <c:pt idx="3466">
                  <c:v>01juil.2018</c:v>
                </c:pt>
                <c:pt idx="3467">
                  <c:v>02juil.2018</c:v>
                </c:pt>
                <c:pt idx="3468">
                  <c:v>03juil.2018</c:v>
                </c:pt>
                <c:pt idx="3469">
                  <c:v>04juil.2018</c:v>
                </c:pt>
                <c:pt idx="3470">
                  <c:v>05juil.2018</c:v>
                </c:pt>
                <c:pt idx="3471">
                  <c:v>06juil.2018</c:v>
                </c:pt>
                <c:pt idx="3472">
                  <c:v>07juil.2018</c:v>
                </c:pt>
                <c:pt idx="3473">
                  <c:v>08juil.2018</c:v>
                </c:pt>
                <c:pt idx="3474">
                  <c:v>09juil.2018</c:v>
                </c:pt>
                <c:pt idx="3475">
                  <c:v>10juil.2018</c:v>
                </c:pt>
                <c:pt idx="3476">
                  <c:v>11juil.2018</c:v>
                </c:pt>
                <c:pt idx="3477">
                  <c:v>12juil.2018</c:v>
                </c:pt>
                <c:pt idx="3478">
                  <c:v>13juil.2018</c:v>
                </c:pt>
                <c:pt idx="3479">
                  <c:v>14juil.2018</c:v>
                </c:pt>
                <c:pt idx="3480">
                  <c:v>15juil.2018</c:v>
                </c:pt>
                <c:pt idx="3481">
                  <c:v>16juil.2018</c:v>
                </c:pt>
                <c:pt idx="3482">
                  <c:v>17juil.2018</c:v>
                </c:pt>
                <c:pt idx="3483">
                  <c:v>18juil.2018</c:v>
                </c:pt>
                <c:pt idx="3484">
                  <c:v>19juil.2018</c:v>
                </c:pt>
                <c:pt idx="3485">
                  <c:v>20juil.2018</c:v>
                </c:pt>
                <c:pt idx="3486">
                  <c:v>21juil.2018</c:v>
                </c:pt>
                <c:pt idx="3487">
                  <c:v>22juil.2018</c:v>
                </c:pt>
                <c:pt idx="3488">
                  <c:v>23juil.2018</c:v>
                </c:pt>
                <c:pt idx="3489">
                  <c:v>24juil.2018</c:v>
                </c:pt>
                <c:pt idx="3490">
                  <c:v>25juil.2018</c:v>
                </c:pt>
                <c:pt idx="3491">
                  <c:v>26juil.2018</c:v>
                </c:pt>
                <c:pt idx="3492">
                  <c:v>27juil.2018</c:v>
                </c:pt>
                <c:pt idx="3493">
                  <c:v>28juil.2018</c:v>
                </c:pt>
                <c:pt idx="3494">
                  <c:v>29juil.2018</c:v>
                </c:pt>
                <c:pt idx="3495">
                  <c:v>30juil.2018</c:v>
                </c:pt>
                <c:pt idx="3496">
                  <c:v>31juil.2018</c:v>
                </c:pt>
                <c:pt idx="3497">
                  <c:v>1-Aug-18</c:v>
                </c:pt>
                <c:pt idx="3498">
                  <c:v>2-Aug-18</c:v>
                </c:pt>
                <c:pt idx="3499">
                  <c:v>3-Aug-18</c:v>
                </c:pt>
                <c:pt idx="3500">
                  <c:v>4-Aug-18</c:v>
                </c:pt>
                <c:pt idx="3501">
                  <c:v>5-Aug-18</c:v>
                </c:pt>
                <c:pt idx="3502">
                  <c:v>6-Aug-18</c:v>
                </c:pt>
                <c:pt idx="3503">
                  <c:v>7-Aug-18</c:v>
                </c:pt>
                <c:pt idx="3504">
                  <c:v>8-Aug-18</c:v>
                </c:pt>
                <c:pt idx="3505">
                  <c:v>9-Aug-18</c:v>
                </c:pt>
                <c:pt idx="3506">
                  <c:v>10-Aug-18</c:v>
                </c:pt>
                <c:pt idx="3507">
                  <c:v>11-Aug-18</c:v>
                </c:pt>
                <c:pt idx="3508">
                  <c:v>12-Aug-18</c:v>
                </c:pt>
                <c:pt idx="3509">
                  <c:v>13-Aug-18</c:v>
                </c:pt>
                <c:pt idx="3510">
                  <c:v>14-Aug-18</c:v>
                </c:pt>
                <c:pt idx="3511">
                  <c:v>15-Aug-18</c:v>
                </c:pt>
                <c:pt idx="3512">
                  <c:v>16-Aug-18</c:v>
                </c:pt>
                <c:pt idx="3513">
                  <c:v>17-Aug-18</c:v>
                </c:pt>
                <c:pt idx="3514">
                  <c:v>18-Aug-18</c:v>
                </c:pt>
                <c:pt idx="3515">
                  <c:v>19-Aug-18</c:v>
                </c:pt>
                <c:pt idx="3516">
                  <c:v>20-Aug-18</c:v>
                </c:pt>
                <c:pt idx="3517">
                  <c:v>21-Aug-18</c:v>
                </c:pt>
                <c:pt idx="3518">
                  <c:v>22-Aug-18</c:v>
                </c:pt>
                <c:pt idx="3519">
                  <c:v>23-Aug-18</c:v>
                </c:pt>
                <c:pt idx="3520">
                  <c:v>24-Aug-18</c:v>
                </c:pt>
                <c:pt idx="3521">
                  <c:v>25-Aug-18</c:v>
                </c:pt>
                <c:pt idx="3522">
                  <c:v>26-Aug-18</c:v>
                </c:pt>
                <c:pt idx="3523">
                  <c:v>27-Aug-18</c:v>
                </c:pt>
                <c:pt idx="3524">
                  <c:v>28-Aug-18</c:v>
                </c:pt>
                <c:pt idx="3525">
                  <c:v>29-Aug-18</c:v>
                </c:pt>
                <c:pt idx="3526">
                  <c:v>30-Aug-18</c:v>
                </c:pt>
                <c:pt idx="3527">
                  <c:v>31-Aug-18</c:v>
                </c:pt>
                <c:pt idx="3528">
                  <c:v>01sept.2018</c:v>
                </c:pt>
                <c:pt idx="3529">
                  <c:v>02sept.2018</c:v>
                </c:pt>
                <c:pt idx="3530">
                  <c:v>03sept.2018</c:v>
                </c:pt>
                <c:pt idx="3531">
                  <c:v>04sept.2018</c:v>
                </c:pt>
                <c:pt idx="3532">
                  <c:v>05sept.2018</c:v>
                </c:pt>
                <c:pt idx="3533">
                  <c:v>06sept.2018</c:v>
                </c:pt>
                <c:pt idx="3534">
                  <c:v>07sept.2018</c:v>
                </c:pt>
                <c:pt idx="3535">
                  <c:v>08sept.2018</c:v>
                </c:pt>
                <c:pt idx="3536">
                  <c:v>09sept.2018</c:v>
                </c:pt>
                <c:pt idx="3537">
                  <c:v>10sept.2018</c:v>
                </c:pt>
                <c:pt idx="3538">
                  <c:v>11sept.2018</c:v>
                </c:pt>
                <c:pt idx="3539">
                  <c:v>12sept.2018</c:v>
                </c:pt>
                <c:pt idx="3540">
                  <c:v>13sept.2018</c:v>
                </c:pt>
                <c:pt idx="3541">
                  <c:v>14sept.2018</c:v>
                </c:pt>
                <c:pt idx="3542">
                  <c:v>15sept.2018</c:v>
                </c:pt>
                <c:pt idx="3543">
                  <c:v>16sept.2018</c:v>
                </c:pt>
                <c:pt idx="3544">
                  <c:v>17sept.2018</c:v>
                </c:pt>
                <c:pt idx="3545">
                  <c:v>18sept.2018</c:v>
                </c:pt>
                <c:pt idx="3546">
                  <c:v>19sept.2018</c:v>
                </c:pt>
                <c:pt idx="3547">
                  <c:v>20sept.2018</c:v>
                </c:pt>
                <c:pt idx="3548">
                  <c:v>21sept.2018</c:v>
                </c:pt>
                <c:pt idx="3549">
                  <c:v>22sept.2018</c:v>
                </c:pt>
                <c:pt idx="3550">
                  <c:v>23sept.2018</c:v>
                </c:pt>
                <c:pt idx="3551">
                  <c:v>24sept.2018</c:v>
                </c:pt>
                <c:pt idx="3552">
                  <c:v>25sept.2018</c:v>
                </c:pt>
                <c:pt idx="3553">
                  <c:v>26sept.2018</c:v>
                </c:pt>
                <c:pt idx="3554">
                  <c:v>27sept.2018</c:v>
                </c:pt>
                <c:pt idx="3555">
                  <c:v>28sept.2018</c:v>
                </c:pt>
                <c:pt idx="3556">
                  <c:v>29sept.2018</c:v>
                </c:pt>
                <c:pt idx="3557">
                  <c:v>30sept.2018</c:v>
                </c:pt>
                <c:pt idx="3558">
                  <c:v>01oct.2018</c:v>
                </c:pt>
                <c:pt idx="3559">
                  <c:v>02oct.2018</c:v>
                </c:pt>
                <c:pt idx="3560">
                  <c:v>03oct.2018</c:v>
                </c:pt>
                <c:pt idx="3561">
                  <c:v>04oct.2018</c:v>
                </c:pt>
                <c:pt idx="3562">
                  <c:v>05oct.2018</c:v>
                </c:pt>
                <c:pt idx="3563">
                  <c:v>06oct.2018</c:v>
                </c:pt>
                <c:pt idx="3564">
                  <c:v>07oct.2018</c:v>
                </c:pt>
                <c:pt idx="3565">
                  <c:v>08oct.2018</c:v>
                </c:pt>
                <c:pt idx="3566">
                  <c:v>09oct.2018</c:v>
                </c:pt>
                <c:pt idx="3567">
                  <c:v>10oct.2018</c:v>
                </c:pt>
                <c:pt idx="3568">
                  <c:v>11oct.2018</c:v>
                </c:pt>
                <c:pt idx="3569">
                  <c:v>12oct.2018</c:v>
                </c:pt>
                <c:pt idx="3570">
                  <c:v>13oct.2018</c:v>
                </c:pt>
                <c:pt idx="3571">
                  <c:v>14oct.2018</c:v>
                </c:pt>
                <c:pt idx="3572">
                  <c:v>15oct.2018</c:v>
                </c:pt>
                <c:pt idx="3573">
                  <c:v>16oct.2018</c:v>
                </c:pt>
                <c:pt idx="3574">
                  <c:v>17oct.2018</c:v>
                </c:pt>
                <c:pt idx="3575">
                  <c:v>18oct.2018</c:v>
                </c:pt>
                <c:pt idx="3576">
                  <c:v>19oct.2018</c:v>
                </c:pt>
                <c:pt idx="3577">
                  <c:v>20oct.2018</c:v>
                </c:pt>
                <c:pt idx="3578">
                  <c:v>21oct.2018</c:v>
                </c:pt>
                <c:pt idx="3579">
                  <c:v>22oct.2018</c:v>
                </c:pt>
                <c:pt idx="3580">
                  <c:v>23oct.2018</c:v>
                </c:pt>
                <c:pt idx="3581">
                  <c:v>24oct.2018</c:v>
                </c:pt>
                <c:pt idx="3582">
                  <c:v>25oct.2018</c:v>
                </c:pt>
                <c:pt idx="3583">
                  <c:v>26oct.2018</c:v>
                </c:pt>
                <c:pt idx="3584">
                  <c:v>27oct.2018</c:v>
                </c:pt>
                <c:pt idx="3585">
                  <c:v>28oct.2018</c:v>
                </c:pt>
                <c:pt idx="3586">
                  <c:v>29oct.2018</c:v>
                </c:pt>
                <c:pt idx="3587">
                  <c:v>30oct.2018</c:v>
                </c:pt>
                <c:pt idx="3588">
                  <c:v>31oct.2018</c:v>
                </c:pt>
                <c:pt idx="3589">
                  <c:v>01nov.2018</c:v>
                </c:pt>
                <c:pt idx="3590">
                  <c:v>02nov.2018</c:v>
                </c:pt>
                <c:pt idx="3591">
                  <c:v>03nov.2018</c:v>
                </c:pt>
                <c:pt idx="3592">
                  <c:v>04nov.2018</c:v>
                </c:pt>
                <c:pt idx="3593">
                  <c:v>05nov.2018</c:v>
                </c:pt>
                <c:pt idx="3594">
                  <c:v>06nov.2018</c:v>
                </c:pt>
                <c:pt idx="3595">
                  <c:v>07nov.2018</c:v>
                </c:pt>
                <c:pt idx="3596">
                  <c:v>08nov.2018</c:v>
                </c:pt>
                <c:pt idx="3597">
                  <c:v>09nov.2018</c:v>
                </c:pt>
                <c:pt idx="3598">
                  <c:v>10nov.2018</c:v>
                </c:pt>
                <c:pt idx="3599">
                  <c:v>11nov.2018</c:v>
                </c:pt>
                <c:pt idx="3600">
                  <c:v>12nov.2018</c:v>
                </c:pt>
                <c:pt idx="3601">
                  <c:v>13nov.2018</c:v>
                </c:pt>
                <c:pt idx="3602">
                  <c:v>14nov.2018</c:v>
                </c:pt>
                <c:pt idx="3603">
                  <c:v>15nov.2018</c:v>
                </c:pt>
                <c:pt idx="3604">
                  <c:v>16nov.2018</c:v>
                </c:pt>
                <c:pt idx="3605">
                  <c:v>17nov.2018</c:v>
                </c:pt>
                <c:pt idx="3606">
                  <c:v>18nov.2018</c:v>
                </c:pt>
                <c:pt idx="3607">
                  <c:v>19nov.2018</c:v>
                </c:pt>
                <c:pt idx="3608">
                  <c:v>20nov.2018</c:v>
                </c:pt>
                <c:pt idx="3609">
                  <c:v>21nov.2018</c:v>
                </c:pt>
                <c:pt idx="3610">
                  <c:v>22nov.2018</c:v>
                </c:pt>
                <c:pt idx="3611">
                  <c:v>23nov.2018</c:v>
                </c:pt>
                <c:pt idx="3612">
                  <c:v>24nov.2018</c:v>
                </c:pt>
                <c:pt idx="3613">
                  <c:v>25nov.2018</c:v>
                </c:pt>
                <c:pt idx="3614">
                  <c:v>26nov.2018</c:v>
                </c:pt>
                <c:pt idx="3615">
                  <c:v>27nov.2018</c:v>
                </c:pt>
                <c:pt idx="3616">
                  <c:v>28nov.2018</c:v>
                </c:pt>
                <c:pt idx="3617">
                  <c:v>29nov.2018</c:v>
                </c:pt>
                <c:pt idx="3618">
                  <c:v>30nov.2018</c:v>
                </c:pt>
                <c:pt idx="3619">
                  <c:v>01déc.2018</c:v>
                </c:pt>
                <c:pt idx="3620">
                  <c:v>02déc.2018</c:v>
                </c:pt>
                <c:pt idx="3621">
                  <c:v>03déc.2018</c:v>
                </c:pt>
                <c:pt idx="3622">
                  <c:v>04déc.2018</c:v>
                </c:pt>
                <c:pt idx="3623">
                  <c:v>05déc.2018</c:v>
                </c:pt>
                <c:pt idx="3624">
                  <c:v>06déc.2018</c:v>
                </c:pt>
                <c:pt idx="3625">
                  <c:v>07déc.2018</c:v>
                </c:pt>
                <c:pt idx="3626">
                  <c:v>08déc.2018</c:v>
                </c:pt>
                <c:pt idx="3627">
                  <c:v>09déc.2018</c:v>
                </c:pt>
                <c:pt idx="3628">
                  <c:v>10déc.2018</c:v>
                </c:pt>
                <c:pt idx="3629">
                  <c:v>11déc.2018</c:v>
                </c:pt>
                <c:pt idx="3630">
                  <c:v>12déc.2018</c:v>
                </c:pt>
                <c:pt idx="3631">
                  <c:v>13déc.2018</c:v>
                </c:pt>
                <c:pt idx="3632">
                  <c:v>14déc.2018</c:v>
                </c:pt>
                <c:pt idx="3633">
                  <c:v>15déc.2018</c:v>
                </c:pt>
                <c:pt idx="3634">
                  <c:v>16déc.2018</c:v>
                </c:pt>
                <c:pt idx="3635">
                  <c:v>17déc.2018</c:v>
                </c:pt>
                <c:pt idx="3636">
                  <c:v>18déc.2018</c:v>
                </c:pt>
                <c:pt idx="3637">
                  <c:v>19déc.2018</c:v>
                </c:pt>
                <c:pt idx="3638">
                  <c:v>20déc.2018</c:v>
                </c:pt>
                <c:pt idx="3639">
                  <c:v>21déc.2018</c:v>
                </c:pt>
                <c:pt idx="3640">
                  <c:v>22déc.2018</c:v>
                </c:pt>
                <c:pt idx="3641">
                  <c:v>23déc.2018</c:v>
                </c:pt>
                <c:pt idx="3642">
                  <c:v>24déc.2018</c:v>
                </c:pt>
                <c:pt idx="3643">
                  <c:v>25déc.2018</c:v>
                </c:pt>
                <c:pt idx="3644">
                  <c:v>26déc.2018</c:v>
                </c:pt>
                <c:pt idx="3645">
                  <c:v>27déc.2018</c:v>
                </c:pt>
                <c:pt idx="3646">
                  <c:v>28déc.2018</c:v>
                </c:pt>
                <c:pt idx="3647">
                  <c:v>29déc.2018</c:v>
                </c:pt>
                <c:pt idx="3648">
                  <c:v>30déc.2018</c:v>
                </c:pt>
                <c:pt idx="3649">
                  <c:v>31déc.2018</c:v>
                </c:pt>
                <c:pt idx="3650">
                  <c:v>01janv.2019</c:v>
                </c:pt>
                <c:pt idx="3651">
                  <c:v>02janv.2019</c:v>
                </c:pt>
                <c:pt idx="3652">
                  <c:v>03janv.2019</c:v>
                </c:pt>
                <c:pt idx="3653">
                  <c:v>04janv.2019</c:v>
                </c:pt>
                <c:pt idx="3654">
                  <c:v>05janv.2019</c:v>
                </c:pt>
                <c:pt idx="3655">
                  <c:v>06janv.2019</c:v>
                </c:pt>
                <c:pt idx="3656">
                  <c:v>07janv.2019</c:v>
                </c:pt>
                <c:pt idx="3657">
                  <c:v>08janv.2019</c:v>
                </c:pt>
                <c:pt idx="3658">
                  <c:v>09janv.2019</c:v>
                </c:pt>
                <c:pt idx="3659">
                  <c:v>10janv.2019</c:v>
                </c:pt>
                <c:pt idx="3660">
                  <c:v>11janv.2019</c:v>
                </c:pt>
                <c:pt idx="3661">
                  <c:v>12janv.2019</c:v>
                </c:pt>
                <c:pt idx="3662">
                  <c:v>13janv.2019</c:v>
                </c:pt>
                <c:pt idx="3663">
                  <c:v>14janv.2019</c:v>
                </c:pt>
                <c:pt idx="3664">
                  <c:v>15janv.2019</c:v>
                </c:pt>
                <c:pt idx="3665">
                  <c:v>16janv.2019</c:v>
                </c:pt>
                <c:pt idx="3666">
                  <c:v>17janv.2019</c:v>
                </c:pt>
                <c:pt idx="3667">
                  <c:v>18janv.2019</c:v>
                </c:pt>
                <c:pt idx="3668">
                  <c:v>19janv.2019</c:v>
                </c:pt>
                <c:pt idx="3669">
                  <c:v>20janv.2019</c:v>
                </c:pt>
                <c:pt idx="3670">
                  <c:v>21janv.2019</c:v>
                </c:pt>
                <c:pt idx="3671">
                  <c:v>22janv.2019</c:v>
                </c:pt>
                <c:pt idx="3672">
                  <c:v>23janv.2019</c:v>
                </c:pt>
                <c:pt idx="3673">
                  <c:v>24janv.2019</c:v>
                </c:pt>
                <c:pt idx="3674">
                  <c:v>25janv.2019</c:v>
                </c:pt>
                <c:pt idx="3675">
                  <c:v>26janv.2019</c:v>
                </c:pt>
                <c:pt idx="3676">
                  <c:v>27janv.2019</c:v>
                </c:pt>
                <c:pt idx="3677">
                  <c:v>28janv.2019</c:v>
                </c:pt>
                <c:pt idx="3678">
                  <c:v>29janv.2019</c:v>
                </c:pt>
                <c:pt idx="3679">
                  <c:v>30janv.2019</c:v>
                </c:pt>
                <c:pt idx="3680">
                  <c:v>31janv.2019</c:v>
                </c:pt>
                <c:pt idx="3681">
                  <c:v>01févr.2019</c:v>
                </c:pt>
                <c:pt idx="3682">
                  <c:v>02févr.2019</c:v>
                </c:pt>
                <c:pt idx="3683">
                  <c:v>03févr.2019</c:v>
                </c:pt>
                <c:pt idx="3684">
                  <c:v>04févr.2019</c:v>
                </c:pt>
                <c:pt idx="3685">
                  <c:v>05févr.2019</c:v>
                </c:pt>
                <c:pt idx="3686">
                  <c:v>06févr.2019</c:v>
                </c:pt>
                <c:pt idx="3687">
                  <c:v>07févr.2019</c:v>
                </c:pt>
                <c:pt idx="3688">
                  <c:v>08févr.2019</c:v>
                </c:pt>
                <c:pt idx="3689">
                  <c:v>09févr.2019</c:v>
                </c:pt>
                <c:pt idx="3690">
                  <c:v>10févr.2019</c:v>
                </c:pt>
                <c:pt idx="3691">
                  <c:v>11févr.2019</c:v>
                </c:pt>
                <c:pt idx="3692">
                  <c:v>12févr.2019</c:v>
                </c:pt>
                <c:pt idx="3693">
                  <c:v>13févr.2019</c:v>
                </c:pt>
                <c:pt idx="3694">
                  <c:v>14févr.2019</c:v>
                </c:pt>
                <c:pt idx="3695">
                  <c:v>15févr.2019</c:v>
                </c:pt>
                <c:pt idx="3696">
                  <c:v>16févr.2019</c:v>
                </c:pt>
                <c:pt idx="3697">
                  <c:v>17févr.2019</c:v>
                </c:pt>
                <c:pt idx="3698">
                  <c:v>18févr.2019</c:v>
                </c:pt>
                <c:pt idx="3699">
                  <c:v>19févr.2019</c:v>
                </c:pt>
                <c:pt idx="3700">
                  <c:v>20févr.2019</c:v>
                </c:pt>
                <c:pt idx="3701">
                  <c:v>21févr.2019</c:v>
                </c:pt>
                <c:pt idx="3702">
                  <c:v>22févr.2019</c:v>
                </c:pt>
                <c:pt idx="3703">
                  <c:v>23févr.2019</c:v>
                </c:pt>
                <c:pt idx="3704">
                  <c:v>24févr.2019</c:v>
                </c:pt>
                <c:pt idx="3705">
                  <c:v>25févr.2019</c:v>
                </c:pt>
                <c:pt idx="3706">
                  <c:v>26févr.2019</c:v>
                </c:pt>
                <c:pt idx="3707">
                  <c:v>27févr.2019</c:v>
                </c:pt>
                <c:pt idx="3708">
                  <c:v>28févr.2019</c:v>
                </c:pt>
                <c:pt idx="3709">
                  <c:v>1-Mar-19</c:v>
                </c:pt>
                <c:pt idx="3710">
                  <c:v>2-Mar-19</c:v>
                </c:pt>
                <c:pt idx="3711">
                  <c:v>3-Mar-19</c:v>
                </c:pt>
                <c:pt idx="3712">
                  <c:v>4-Mar-19</c:v>
                </c:pt>
                <c:pt idx="3713">
                  <c:v>5-Mar-19</c:v>
                </c:pt>
                <c:pt idx="3714">
                  <c:v>6-Mar-19</c:v>
                </c:pt>
                <c:pt idx="3715">
                  <c:v>7-Mar-19</c:v>
                </c:pt>
                <c:pt idx="3716">
                  <c:v>8-Mar-19</c:v>
                </c:pt>
                <c:pt idx="3717">
                  <c:v>9-Mar-19</c:v>
                </c:pt>
                <c:pt idx="3718">
                  <c:v>10-Mar-19</c:v>
                </c:pt>
                <c:pt idx="3719">
                  <c:v>11-Mar-19</c:v>
                </c:pt>
                <c:pt idx="3720">
                  <c:v>12-Mar-19</c:v>
                </c:pt>
                <c:pt idx="3721">
                  <c:v>13-Mar-19</c:v>
                </c:pt>
                <c:pt idx="3722">
                  <c:v>14-Mar-19</c:v>
                </c:pt>
                <c:pt idx="3723">
                  <c:v>15-Mar-19</c:v>
                </c:pt>
                <c:pt idx="3724">
                  <c:v>16-Mar-19</c:v>
                </c:pt>
                <c:pt idx="3725">
                  <c:v>17-Mar-19</c:v>
                </c:pt>
                <c:pt idx="3726">
                  <c:v>18-Mar-19</c:v>
                </c:pt>
                <c:pt idx="3727">
                  <c:v>19-Mar-19</c:v>
                </c:pt>
                <c:pt idx="3728">
                  <c:v>20-Mar-19</c:v>
                </c:pt>
                <c:pt idx="3729">
                  <c:v>21-Mar-19</c:v>
                </c:pt>
                <c:pt idx="3730">
                  <c:v>22-Mar-19</c:v>
                </c:pt>
                <c:pt idx="3731">
                  <c:v>23-Mar-19</c:v>
                </c:pt>
                <c:pt idx="3732">
                  <c:v>24-Mar-19</c:v>
                </c:pt>
                <c:pt idx="3733">
                  <c:v>25-Mar-19</c:v>
                </c:pt>
                <c:pt idx="3734">
                  <c:v>26-Mar-19</c:v>
                </c:pt>
                <c:pt idx="3735">
                  <c:v>27-Mar-19</c:v>
                </c:pt>
                <c:pt idx="3736">
                  <c:v>28-Mar-19</c:v>
                </c:pt>
                <c:pt idx="3737">
                  <c:v>29-Mar-19</c:v>
                </c:pt>
                <c:pt idx="3738">
                  <c:v>30-Mar-19</c:v>
                </c:pt>
                <c:pt idx="3739">
                  <c:v>31-Mar-19</c:v>
                </c:pt>
                <c:pt idx="3740">
                  <c:v>01avr.2019</c:v>
                </c:pt>
                <c:pt idx="3741">
                  <c:v>02avr.2019</c:v>
                </c:pt>
                <c:pt idx="3742">
                  <c:v>03avr.2019</c:v>
                </c:pt>
                <c:pt idx="3743">
                  <c:v>04avr.2019</c:v>
                </c:pt>
                <c:pt idx="3744">
                  <c:v>05avr.2019</c:v>
                </c:pt>
                <c:pt idx="3745">
                  <c:v>06avr.2019</c:v>
                </c:pt>
                <c:pt idx="3746">
                  <c:v>07avr.2019</c:v>
                </c:pt>
                <c:pt idx="3747">
                  <c:v>08avr.2019</c:v>
                </c:pt>
                <c:pt idx="3748">
                  <c:v>09avr.2019</c:v>
                </c:pt>
                <c:pt idx="3749">
                  <c:v>10avr.2019</c:v>
                </c:pt>
                <c:pt idx="3750">
                  <c:v>11avr.2019</c:v>
                </c:pt>
                <c:pt idx="3751">
                  <c:v>12avr.2019</c:v>
                </c:pt>
                <c:pt idx="3752">
                  <c:v>13avr.2019</c:v>
                </c:pt>
                <c:pt idx="3753">
                  <c:v>14avr.2019</c:v>
                </c:pt>
                <c:pt idx="3754">
                  <c:v>15avr.2019</c:v>
                </c:pt>
                <c:pt idx="3755">
                  <c:v>16avr.2019</c:v>
                </c:pt>
                <c:pt idx="3756">
                  <c:v>17avr.2019</c:v>
                </c:pt>
                <c:pt idx="3757">
                  <c:v>18avr.2019</c:v>
                </c:pt>
                <c:pt idx="3758">
                  <c:v>19avr.2019</c:v>
                </c:pt>
                <c:pt idx="3759">
                  <c:v>20avr.2019</c:v>
                </c:pt>
                <c:pt idx="3760">
                  <c:v>21avr.2019</c:v>
                </c:pt>
                <c:pt idx="3761">
                  <c:v>22avr.2019</c:v>
                </c:pt>
                <c:pt idx="3762">
                  <c:v>23avr.2019</c:v>
                </c:pt>
                <c:pt idx="3763">
                  <c:v>24avr.2019</c:v>
                </c:pt>
                <c:pt idx="3764">
                  <c:v>25avr.2019</c:v>
                </c:pt>
                <c:pt idx="3765">
                  <c:v>26avr.2019</c:v>
                </c:pt>
                <c:pt idx="3766">
                  <c:v>27avr.2019</c:v>
                </c:pt>
                <c:pt idx="3767">
                  <c:v>28avr.2019</c:v>
                </c:pt>
                <c:pt idx="3768">
                  <c:v>29avr.2019</c:v>
                </c:pt>
                <c:pt idx="3769">
                  <c:v>30avr.2019</c:v>
                </c:pt>
                <c:pt idx="3770">
                  <c:v>1-May-19</c:v>
                </c:pt>
                <c:pt idx="3771">
                  <c:v>2-May-19</c:v>
                </c:pt>
                <c:pt idx="3772">
                  <c:v>3-May-19</c:v>
                </c:pt>
                <c:pt idx="3773">
                  <c:v>4-May-19</c:v>
                </c:pt>
                <c:pt idx="3774">
                  <c:v>5-May-19</c:v>
                </c:pt>
                <c:pt idx="3775">
                  <c:v>6-May-19</c:v>
                </c:pt>
                <c:pt idx="3776">
                  <c:v>7-May-19</c:v>
                </c:pt>
                <c:pt idx="3777">
                  <c:v>8-May-19</c:v>
                </c:pt>
                <c:pt idx="3778">
                  <c:v>9-May-19</c:v>
                </c:pt>
                <c:pt idx="3779">
                  <c:v>10-May-19</c:v>
                </c:pt>
                <c:pt idx="3780">
                  <c:v>11-May-19</c:v>
                </c:pt>
                <c:pt idx="3781">
                  <c:v>12-May-19</c:v>
                </c:pt>
                <c:pt idx="3782">
                  <c:v>13-May-19</c:v>
                </c:pt>
                <c:pt idx="3783">
                  <c:v>14-May-19</c:v>
                </c:pt>
                <c:pt idx="3784">
                  <c:v>15-May-19</c:v>
                </c:pt>
                <c:pt idx="3785">
                  <c:v>16-May-19</c:v>
                </c:pt>
                <c:pt idx="3786">
                  <c:v>17-May-19</c:v>
                </c:pt>
                <c:pt idx="3787">
                  <c:v>18-May-19</c:v>
                </c:pt>
                <c:pt idx="3788">
                  <c:v>19-May-19</c:v>
                </c:pt>
                <c:pt idx="3789">
                  <c:v>20-May-19</c:v>
                </c:pt>
                <c:pt idx="3790">
                  <c:v>21-May-19</c:v>
                </c:pt>
                <c:pt idx="3791">
                  <c:v>22-May-19</c:v>
                </c:pt>
                <c:pt idx="3792">
                  <c:v>23-May-19</c:v>
                </c:pt>
                <c:pt idx="3793">
                  <c:v>24-May-19</c:v>
                </c:pt>
                <c:pt idx="3794">
                  <c:v>25-May-19</c:v>
                </c:pt>
                <c:pt idx="3795">
                  <c:v>26-May-19</c:v>
                </c:pt>
                <c:pt idx="3796">
                  <c:v>27-May-19</c:v>
                </c:pt>
                <c:pt idx="3797">
                  <c:v>28-May-19</c:v>
                </c:pt>
                <c:pt idx="3798">
                  <c:v>29-May-19</c:v>
                </c:pt>
                <c:pt idx="3799">
                  <c:v>30-May-19</c:v>
                </c:pt>
                <c:pt idx="3800">
                  <c:v>31-May-19</c:v>
                </c:pt>
                <c:pt idx="3801">
                  <c:v>1-Jun-19</c:v>
                </c:pt>
                <c:pt idx="3802">
                  <c:v>2-Jun-19</c:v>
                </c:pt>
                <c:pt idx="3803">
                  <c:v>3-Jun-19</c:v>
                </c:pt>
                <c:pt idx="3804">
                  <c:v>4-Jun-19</c:v>
                </c:pt>
                <c:pt idx="3805">
                  <c:v>5-Jun-19</c:v>
                </c:pt>
                <c:pt idx="3806">
                  <c:v>6-Jun-19</c:v>
                </c:pt>
                <c:pt idx="3807">
                  <c:v>7-Jun-19</c:v>
                </c:pt>
                <c:pt idx="3808">
                  <c:v>8-Jun-19</c:v>
                </c:pt>
                <c:pt idx="3809">
                  <c:v>9-Jun-19</c:v>
                </c:pt>
                <c:pt idx="3810">
                  <c:v>10-Jun-19</c:v>
                </c:pt>
                <c:pt idx="3811">
                  <c:v>11-Jun-19</c:v>
                </c:pt>
                <c:pt idx="3812">
                  <c:v>12-Jun-19</c:v>
                </c:pt>
                <c:pt idx="3813">
                  <c:v>13-Jun-19</c:v>
                </c:pt>
                <c:pt idx="3814">
                  <c:v>14-Jun-19</c:v>
                </c:pt>
                <c:pt idx="3815">
                  <c:v>15-Jun-19</c:v>
                </c:pt>
                <c:pt idx="3816">
                  <c:v>16-Jun-19</c:v>
                </c:pt>
                <c:pt idx="3817">
                  <c:v>17-Jun-19</c:v>
                </c:pt>
                <c:pt idx="3818">
                  <c:v>18-Jun-19</c:v>
                </c:pt>
                <c:pt idx="3819">
                  <c:v>19-Jun-19</c:v>
                </c:pt>
                <c:pt idx="3820">
                  <c:v>20-Jun-19</c:v>
                </c:pt>
                <c:pt idx="3821">
                  <c:v>21-Jun-19</c:v>
                </c:pt>
                <c:pt idx="3822">
                  <c:v>22-Jun-19</c:v>
                </c:pt>
                <c:pt idx="3823">
                  <c:v>23-Jun-19</c:v>
                </c:pt>
                <c:pt idx="3824">
                  <c:v>24-Jun-19</c:v>
                </c:pt>
                <c:pt idx="3825">
                  <c:v>25-Jun-19</c:v>
                </c:pt>
                <c:pt idx="3826">
                  <c:v>26-Jun-19</c:v>
                </c:pt>
                <c:pt idx="3827">
                  <c:v>27-Jun-19</c:v>
                </c:pt>
                <c:pt idx="3828">
                  <c:v>28-Jun-19</c:v>
                </c:pt>
                <c:pt idx="3829">
                  <c:v>29-Jun-19</c:v>
                </c:pt>
                <c:pt idx="3830">
                  <c:v>30-Jun-19</c:v>
                </c:pt>
                <c:pt idx="3831">
                  <c:v>01juil.2019</c:v>
                </c:pt>
                <c:pt idx="3832">
                  <c:v>02juil.2019</c:v>
                </c:pt>
                <c:pt idx="3833">
                  <c:v>03juil.2019</c:v>
                </c:pt>
                <c:pt idx="3834">
                  <c:v>04juil.2019</c:v>
                </c:pt>
                <c:pt idx="3835">
                  <c:v>05juil.2019</c:v>
                </c:pt>
                <c:pt idx="3836">
                  <c:v>06juil.2019</c:v>
                </c:pt>
                <c:pt idx="3837">
                  <c:v>07juil.2019</c:v>
                </c:pt>
                <c:pt idx="3838">
                  <c:v>08juil.2019</c:v>
                </c:pt>
                <c:pt idx="3839">
                  <c:v>09juil.2019</c:v>
                </c:pt>
                <c:pt idx="3840">
                  <c:v>10juil.2019</c:v>
                </c:pt>
                <c:pt idx="3841">
                  <c:v>11juil.2019</c:v>
                </c:pt>
                <c:pt idx="3842">
                  <c:v>12juil.2019</c:v>
                </c:pt>
                <c:pt idx="3843">
                  <c:v>13juil.2019</c:v>
                </c:pt>
                <c:pt idx="3844">
                  <c:v>14juil.2019</c:v>
                </c:pt>
                <c:pt idx="3845">
                  <c:v>15juil.2019</c:v>
                </c:pt>
                <c:pt idx="3846">
                  <c:v>16juil.2019</c:v>
                </c:pt>
                <c:pt idx="3847">
                  <c:v>17juil.2019</c:v>
                </c:pt>
                <c:pt idx="3848">
                  <c:v>18juil.2019</c:v>
                </c:pt>
                <c:pt idx="3849">
                  <c:v>19juil.2019</c:v>
                </c:pt>
                <c:pt idx="3850">
                  <c:v>20juil.2019</c:v>
                </c:pt>
                <c:pt idx="3851">
                  <c:v>21juil.2019</c:v>
                </c:pt>
                <c:pt idx="3852">
                  <c:v>22juil.2019</c:v>
                </c:pt>
                <c:pt idx="3853">
                  <c:v>23juil.2019</c:v>
                </c:pt>
                <c:pt idx="3854">
                  <c:v>24juil.2019</c:v>
                </c:pt>
                <c:pt idx="3855">
                  <c:v>25juil.2019</c:v>
                </c:pt>
                <c:pt idx="3856">
                  <c:v>26juil.2019</c:v>
                </c:pt>
                <c:pt idx="3857">
                  <c:v>27juil.2019</c:v>
                </c:pt>
                <c:pt idx="3858">
                  <c:v>28juil.2019</c:v>
                </c:pt>
                <c:pt idx="3859">
                  <c:v>29juil.2019</c:v>
                </c:pt>
                <c:pt idx="3860">
                  <c:v>30juil.2019</c:v>
                </c:pt>
                <c:pt idx="3861">
                  <c:v>31juil.2019</c:v>
                </c:pt>
                <c:pt idx="3862">
                  <c:v>1-Aug-19</c:v>
                </c:pt>
                <c:pt idx="3863">
                  <c:v>2-Aug-19</c:v>
                </c:pt>
                <c:pt idx="3864">
                  <c:v>3-Aug-19</c:v>
                </c:pt>
                <c:pt idx="3865">
                  <c:v>4-Aug-19</c:v>
                </c:pt>
                <c:pt idx="3866">
                  <c:v>5-Aug-19</c:v>
                </c:pt>
                <c:pt idx="3867">
                  <c:v>6-Aug-19</c:v>
                </c:pt>
                <c:pt idx="3868">
                  <c:v>7-Aug-19</c:v>
                </c:pt>
                <c:pt idx="3869">
                  <c:v>8-Aug-19</c:v>
                </c:pt>
                <c:pt idx="3870">
                  <c:v>9-Aug-19</c:v>
                </c:pt>
                <c:pt idx="3871">
                  <c:v>10-Aug-19</c:v>
                </c:pt>
                <c:pt idx="3872">
                  <c:v>11-Aug-19</c:v>
                </c:pt>
                <c:pt idx="3873">
                  <c:v>12-Aug-19</c:v>
                </c:pt>
                <c:pt idx="3874">
                  <c:v>13-Aug-19</c:v>
                </c:pt>
                <c:pt idx="3875">
                  <c:v>14-Aug-19</c:v>
                </c:pt>
                <c:pt idx="3876">
                  <c:v>15-Aug-19</c:v>
                </c:pt>
                <c:pt idx="3877">
                  <c:v>16-Aug-19</c:v>
                </c:pt>
                <c:pt idx="3878">
                  <c:v>17-Aug-19</c:v>
                </c:pt>
                <c:pt idx="3879">
                  <c:v>18-Aug-19</c:v>
                </c:pt>
                <c:pt idx="3880">
                  <c:v>19-Aug-19</c:v>
                </c:pt>
                <c:pt idx="3881">
                  <c:v>20-Aug-19</c:v>
                </c:pt>
                <c:pt idx="3882">
                  <c:v>21-Aug-19</c:v>
                </c:pt>
                <c:pt idx="3883">
                  <c:v>22-Aug-19</c:v>
                </c:pt>
                <c:pt idx="3884">
                  <c:v>23-Aug-19</c:v>
                </c:pt>
                <c:pt idx="3885">
                  <c:v>24-Aug-19</c:v>
                </c:pt>
                <c:pt idx="3886">
                  <c:v>25-Aug-19</c:v>
                </c:pt>
                <c:pt idx="3887">
                  <c:v>26-Aug-19</c:v>
                </c:pt>
                <c:pt idx="3888">
                  <c:v>27-Aug-19</c:v>
                </c:pt>
                <c:pt idx="3889">
                  <c:v>28-Aug-19</c:v>
                </c:pt>
                <c:pt idx="3890">
                  <c:v>29-Aug-19</c:v>
                </c:pt>
                <c:pt idx="3891">
                  <c:v>30-Aug-19</c:v>
                </c:pt>
                <c:pt idx="3892">
                  <c:v>31-Aug-19</c:v>
                </c:pt>
                <c:pt idx="3893">
                  <c:v>01sept.2019</c:v>
                </c:pt>
                <c:pt idx="3894">
                  <c:v>02sept.2019</c:v>
                </c:pt>
                <c:pt idx="3895">
                  <c:v>03sept.2019</c:v>
                </c:pt>
                <c:pt idx="3896">
                  <c:v>04sept.2019</c:v>
                </c:pt>
                <c:pt idx="3897">
                  <c:v>05sept.2019</c:v>
                </c:pt>
                <c:pt idx="3898">
                  <c:v>06sept.2019</c:v>
                </c:pt>
                <c:pt idx="3899">
                  <c:v>07sept.2019</c:v>
                </c:pt>
                <c:pt idx="3900">
                  <c:v>08sept.2019</c:v>
                </c:pt>
                <c:pt idx="3901">
                  <c:v>09sept.2019</c:v>
                </c:pt>
                <c:pt idx="3902">
                  <c:v>10sept.2019</c:v>
                </c:pt>
                <c:pt idx="3903">
                  <c:v>11sept.2019</c:v>
                </c:pt>
                <c:pt idx="3904">
                  <c:v>12sept.2019</c:v>
                </c:pt>
                <c:pt idx="3905">
                  <c:v>13sept.2019</c:v>
                </c:pt>
                <c:pt idx="3906">
                  <c:v>14sept.2019</c:v>
                </c:pt>
                <c:pt idx="3907">
                  <c:v>15sept.2019</c:v>
                </c:pt>
                <c:pt idx="3908">
                  <c:v>16sept.2019</c:v>
                </c:pt>
                <c:pt idx="3909">
                  <c:v>17sept.2019</c:v>
                </c:pt>
                <c:pt idx="3910">
                  <c:v>18sept.2019</c:v>
                </c:pt>
                <c:pt idx="3911">
                  <c:v>19sept.2019</c:v>
                </c:pt>
                <c:pt idx="3912">
                  <c:v>20sept.2019</c:v>
                </c:pt>
                <c:pt idx="3913">
                  <c:v>21sept.2019</c:v>
                </c:pt>
                <c:pt idx="3914">
                  <c:v>22sept.2019</c:v>
                </c:pt>
                <c:pt idx="3915">
                  <c:v>23sept.2019</c:v>
                </c:pt>
                <c:pt idx="3916">
                  <c:v>24sept.2019</c:v>
                </c:pt>
                <c:pt idx="3917">
                  <c:v>25sept.2019</c:v>
                </c:pt>
                <c:pt idx="3918">
                  <c:v>26sept.2019</c:v>
                </c:pt>
                <c:pt idx="3919">
                  <c:v>27sept.2019</c:v>
                </c:pt>
                <c:pt idx="3920">
                  <c:v>28sept.2019</c:v>
                </c:pt>
                <c:pt idx="3921">
                  <c:v>29sept.2019</c:v>
                </c:pt>
                <c:pt idx="3922">
                  <c:v>30sept.2019</c:v>
                </c:pt>
                <c:pt idx="3923">
                  <c:v>01oct.2019</c:v>
                </c:pt>
                <c:pt idx="3924">
                  <c:v>02oct.2019</c:v>
                </c:pt>
                <c:pt idx="3925">
                  <c:v>03oct.2019</c:v>
                </c:pt>
                <c:pt idx="3926">
                  <c:v>04oct.2019</c:v>
                </c:pt>
                <c:pt idx="3927">
                  <c:v>05oct.2019</c:v>
                </c:pt>
                <c:pt idx="3928">
                  <c:v>06oct.2019</c:v>
                </c:pt>
                <c:pt idx="3929">
                  <c:v>07oct.2019</c:v>
                </c:pt>
                <c:pt idx="3930">
                  <c:v>08oct.2019</c:v>
                </c:pt>
                <c:pt idx="3931">
                  <c:v>09oct.2019</c:v>
                </c:pt>
                <c:pt idx="3932">
                  <c:v>10oct.2019</c:v>
                </c:pt>
                <c:pt idx="3933">
                  <c:v>11oct.2019</c:v>
                </c:pt>
                <c:pt idx="3934">
                  <c:v>12oct.2019</c:v>
                </c:pt>
                <c:pt idx="3935">
                  <c:v>13oct.2019</c:v>
                </c:pt>
                <c:pt idx="3936">
                  <c:v>14oct.2019</c:v>
                </c:pt>
                <c:pt idx="3937">
                  <c:v>15oct.2019</c:v>
                </c:pt>
                <c:pt idx="3938">
                  <c:v>16oct.2019</c:v>
                </c:pt>
                <c:pt idx="3939">
                  <c:v>17oct.2019</c:v>
                </c:pt>
                <c:pt idx="3940">
                  <c:v>18oct.2019</c:v>
                </c:pt>
                <c:pt idx="3941">
                  <c:v>19oct.2019</c:v>
                </c:pt>
                <c:pt idx="3942">
                  <c:v>20oct.2019</c:v>
                </c:pt>
                <c:pt idx="3943">
                  <c:v>21oct.2019</c:v>
                </c:pt>
                <c:pt idx="3944">
                  <c:v>22oct.2019</c:v>
                </c:pt>
                <c:pt idx="3945">
                  <c:v>23oct.2019</c:v>
                </c:pt>
                <c:pt idx="3946">
                  <c:v>24oct.2019</c:v>
                </c:pt>
                <c:pt idx="3947">
                  <c:v>25oct.2019</c:v>
                </c:pt>
                <c:pt idx="3948">
                  <c:v>26oct.2019</c:v>
                </c:pt>
                <c:pt idx="3949">
                  <c:v>27oct.2019</c:v>
                </c:pt>
                <c:pt idx="3950">
                  <c:v>28oct.2019</c:v>
                </c:pt>
                <c:pt idx="3951">
                  <c:v>29oct.2019</c:v>
                </c:pt>
                <c:pt idx="3952">
                  <c:v>30oct.2019</c:v>
                </c:pt>
                <c:pt idx="3953">
                  <c:v>31oct.2019</c:v>
                </c:pt>
                <c:pt idx="3954">
                  <c:v>01nov.2019</c:v>
                </c:pt>
                <c:pt idx="3955">
                  <c:v>02nov.2019</c:v>
                </c:pt>
                <c:pt idx="3956">
                  <c:v>03nov.2019</c:v>
                </c:pt>
                <c:pt idx="3957">
                  <c:v>04nov.2019</c:v>
                </c:pt>
                <c:pt idx="3958">
                  <c:v>05nov.2019</c:v>
                </c:pt>
                <c:pt idx="3959">
                  <c:v>06nov.2019</c:v>
                </c:pt>
                <c:pt idx="3960">
                  <c:v>07nov.2019</c:v>
                </c:pt>
                <c:pt idx="3961">
                  <c:v>08nov.2019</c:v>
                </c:pt>
                <c:pt idx="3962">
                  <c:v>09nov.2019</c:v>
                </c:pt>
                <c:pt idx="3963">
                  <c:v>10nov.2019</c:v>
                </c:pt>
                <c:pt idx="3964">
                  <c:v>11nov.2019</c:v>
                </c:pt>
                <c:pt idx="3965">
                  <c:v>12nov.2019</c:v>
                </c:pt>
                <c:pt idx="3966">
                  <c:v>13nov.2019</c:v>
                </c:pt>
                <c:pt idx="3967">
                  <c:v>14nov.2019</c:v>
                </c:pt>
                <c:pt idx="3968">
                  <c:v>15nov.2019</c:v>
                </c:pt>
                <c:pt idx="3969">
                  <c:v>16nov.2019</c:v>
                </c:pt>
                <c:pt idx="3970">
                  <c:v>17nov.2019</c:v>
                </c:pt>
                <c:pt idx="3971">
                  <c:v>18nov.2019</c:v>
                </c:pt>
                <c:pt idx="3972">
                  <c:v>19nov.2019</c:v>
                </c:pt>
                <c:pt idx="3973">
                  <c:v>20nov.2019</c:v>
                </c:pt>
                <c:pt idx="3974">
                  <c:v>21nov.2019</c:v>
                </c:pt>
                <c:pt idx="3975">
                  <c:v>22nov.2019</c:v>
                </c:pt>
                <c:pt idx="3976">
                  <c:v>23nov.2019</c:v>
                </c:pt>
                <c:pt idx="3977">
                  <c:v>24nov.2019</c:v>
                </c:pt>
                <c:pt idx="3978">
                  <c:v>25nov.2019</c:v>
                </c:pt>
                <c:pt idx="3979">
                  <c:v>26nov.2019</c:v>
                </c:pt>
                <c:pt idx="3980">
                  <c:v>27nov.2019</c:v>
                </c:pt>
                <c:pt idx="3981">
                  <c:v>28nov.2019</c:v>
                </c:pt>
                <c:pt idx="3982">
                  <c:v>29nov.2019</c:v>
                </c:pt>
                <c:pt idx="3983">
                  <c:v>30nov.2019</c:v>
                </c:pt>
                <c:pt idx="3984">
                  <c:v>01déc.2019</c:v>
                </c:pt>
                <c:pt idx="3985">
                  <c:v>02déc.2019</c:v>
                </c:pt>
                <c:pt idx="3986">
                  <c:v>03déc.2019</c:v>
                </c:pt>
                <c:pt idx="3987">
                  <c:v>04déc.2019</c:v>
                </c:pt>
                <c:pt idx="3988">
                  <c:v>05déc.2019</c:v>
                </c:pt>
                <c:pt idx="3989">
                  <c:v>06déc.2019</c:v>
                </c:pt>
                <c:pt idx="3990">
                  <c:v>07déc.2019</c:v>
                </c:pt>
                <c:pt idx="3991">
                  <c:v>08déc.2019</c:v>
                </c:pt>
                <c:pt idx="3992">
                  <c:v>09déc.2019</c:v>
                </c:pt>
                <c:pt idx="3993">
                  <c:v>10déc.2019</c:v>
                </c:pt>
                <c:pt idx="3994">
                  <c:v>11déc.2019</c:v>
                </c:pt>
                <c:pt idx="3995">
                  <c:v>12déc.2019</c:v>
                </c:pt>
                <c:pt idx="3996">
                  <c:v>13déc.2019</c:v>
                </c:pt>
                <c:pt idx="3997">
                  <c:v>14déc.2019</c:v>
                </c:pt>
                <c:pt idx="3998">
                  <c:v>15déc.2019</c:v>
                </c:pt>
                <c:pt idx="3999">
                  <c:v>16déc.2019</c:v>
                </c:pt>
                <c:pt idx="4000">
                  <c:v>17déc.2019</c:v>
                </c:pt>
                <c:pt idx="4001">
                  <c:v>18déc.2019</c:v>
                </c:pt>
                <c:pt idx="4002">
                  <c:v>19déc.2019</c:v>
                </c:pt>
                <c:pt idx="4003">
                  <c:v>20déc.2019</c:v>
                </c:pt>
                <c:pt idx="4004">
                  <c:v>21déc.2019</c:v>
                </c:pt>
                <c:pt idx="4005">
                  <c:v>22déc.2019</c:v>
                </c:pt>
                <c:pt idx="4006">
                  <c:v>23déc.2019</c:v>
                </c:pt>
                <c:pt idx="4007">
                  <c:v>24déc.2019</c:v>
                </c:pt>
                <c:pt idx="4008">
                  <c:v>25déc.2019</c:v>
                </c:pt>
                <c:pt idx="4009">
                  <c:v>26déc.2019</c:v>
                </c:pt>
                <c:pt idx="4010">
                  <c:v>27déc.2019</c:v>
                </c:pt>
                <c:pt idx="4011">
                  <c:v>28déc.2019</c:v>
                </c:pt>
                <c:pt idx="4012">
                  <c:v>29déc.2019</c:v>
                </c:pt>
                <c:pt idx="4013">
                  <c:v>30déc.2019</c:v>
                </c:pt>
                <c:pt idx="4014">
                  <c:v>31déc.2019</c:v>
                </c:pt>
                <c:pt idx="4015">
                  <c:v>01janv.2020</c:v>
                </c:pt>
                <c:pt idx="4016">
                  <c:v>02janv.2020</c:v>
                </c:pt>
                <c:pt idx="4017">
                  <c:v>03janv.2020</c:v>
                </c:pt>
                <c:pt idx="4018">
                  <c:v>04janv.2020</c:v>
                </c:pt>
                <c:pt idx="4019">
                  <c:v>05janv.2020</c:v>
                </c:pt>
                <c:pt idx="4020">
                  <c:v>06janv.2020</c:v>
                </c:pt>
                <c:pt idx="4021">
                  <c:v>07janv.2020</c:v>
                </c:pt>
                <c:pt idx="4022">
                  <c:v>08janv.2020</c:v>
                </c:pt>
                <c:pt idx="4023">
                  <c:v>09janv.2020</c:v>
                </c:pt>
                <c:pt idx="4024">
                  <c:v>10janv.2020</c:v>
                </c:pt>
                <c:pt idx="4025">
                  <c:v>11janv.2020</c:v>
                </c:pt>
                <c:pt idx="4026">
                  <c:v>12janv.2020</c:v>
                </c:pt>
                <c:pt idx="4027">
                  <c:v>13janv.2020</c:v>
                </c:pt>
                <c:pt idx="4028">
                  <c:v>14janv.2020</c:v>
                </c:pt>
                <c:pt idx="4029">
                  <c:v>15janv.2020</c:v>
                </c:pt>
                <c:pt idx="4030">
                  <c:v>16janv.2020</c:v>
                </c:pt>
                <c:pt idx="4031">
                  <c:v>17janv.2020</c:v>
                </c:pt>
                <c:pt idx="4032">
                  <c:v>18janv.2020</c:v>
                </c:pt>
                <c:pt idx="4033">
                  <c:v>19janv.2020</c:v>
                </c:pt>
                <c:pt idx="4034">
                  <c:v>20janv.2020</c:v>
                </c:pt>
                <c:pt idx="4035">
                  <c:v>21janv.2020</c:v>
                </c:pt>
                <c:pt idx="4036">
                  <c:v>22janv.2020</c:v>
                </c:pt>
                <c:pt idx="4037">
                  <c:v>23janv.2020</c:v>
                </c:pt>
                <c:pt idx="4038">
                  <c:v>24janv.2020</c:v>
                </c:pt>
                <c:pt idx="4039">
                  <c:v>25janv.2020</c:v>
                </c:pt>
                <c:pt idx="4040">
                  <c:v>26janv.2020</c:v>
                </c:pt>
                <c:pt idx="4041">
                  <c:v>27janv.2020</c:v>
                </c:pt>
                <c:pt idx="4042">
                  <c:v>28janv.2020</c:v>
                </c:pt>
                <c:pt idx="4043">
                  <c:v>29janv.2020</c:v>
                </c:pt>
                <c:pt idx="4044">
                  <c:v>30janv.2020</c:v>
                </c:pt>
                <c:pt idx="4045">
                  <c:v>31janv.2020</c:v>
                </c:pt>
                <c:pt idx="4046">
                  <c:v>01févr.2020</c:v>
                </c:pt>
                <c:pt idx="4047">
                  <c:v>02févr.2020</c:v>
                </c:pt>
                <c:pt idx="4048">
                  <c:v>03févr.2020</c:v>
                </c:pt>
                <c:pt idx="4049">
                  <c:v>04févr.2020</c:v>
                </c:pt>
                <c:pt idx="4050">
                  <c:v>05févr.2020</c:v>
                </c:pt>
                <c:pt idx="4051">
                  <c:v>06févr.2020</c:v>
                </c:pt>
                <c:pt idx="4052">
                  <c:v>07févr.2020</c:v>
                </c:pt>
                <c:pt idx="4053">
                  <c:v>08févr.2020</c:v>
                </c:pt>
                <c:pt idx="4054">
                  <c:v>09févr.2020</c:v>
                </c:pt>
                <c:pt idx="4055">
                  <c:v>10févr.2020</c:v>
                </c:pt>
                <c:pt idx="4056">
                  <c:v>11févr.2020</c:v>
                </c:pt>
                <c:pt idx="4057">
                  <c:v>12févr.2020</c:v>
                </c:pt>
                <c:pt idx="4058">
                  <c:v>13févr.2020</c:v>
                </c:pt>
                <c:pt idx="4059">
                  <c:v>14févr.2020</c:v>
                </c:pt>
                <c:pt idx="4060">
                  <c:v>15févr.2020</c:v>
                </c:pt>
                <c:pt idx="4061">
                  <c:v>16févr.2020</c:v>
                </c:pt>
                <c:pt idx="4062">
                  <c:v>17févr.2020</c:v>
                </c:pt>
                <c:pt idx="4063">
                  <c:v>18févr.2020</c:v>
                </c:pt>
                <c:pt idx="4064">
                  <c:v>19févr.2020</c:v>
                </c:pt>
                <c:pt idx="4065">
                  <c:v>20févr.2020</c:v>
                </c:pt>
                <c:pt idx="4066">
                  <c:v>21févr.2020</c:v>
                </c:pt>
                <c:pt idx="4067">
                  <c:v>22févr.2020</c:v>
                </c:pt>
                <c:pt idx="4068">
                  <c:v>23févr.2020</c:v>
                </c:pt>
                <c:pt idx="4069">
                  <c:v>24févr.2020</c:v>
                </c:pt>
                <c:pt idx="4070">
                  <c:v>25févr.2020</c:v>
                </c:pt>
                <c:pt idx="4071">
                  <c:v>26févr.2020</c:v>
                </c:pt>
                <c:pt idx="4072">
                  <c:v>27févr.2020</c:v>
                </c:pt>
                <c:pt idx="4073">
                  <c:v>28févr.2020</c:v>
                </c:pt>
                <c:pt idx="4074">
                  <c:v>29févr.2020</c:v>
                </c:pt>
                <c:pt idx="4075">
                  <c:v>1-Mar-20</c:v>
                </c:pt>
                <c:pt idx="4076">
                  <c:v>2-Mar-20</c:v>
                </c:pt>
                <c:pt idx="4077">
                  <c:v>3-Mar-20</c:v>
                </c:pt>
                <c:pt idx="4078">
                  <c:v>4-Mar-20</c:v>
                </c:pt>
                <c:pt idx="4079">
                  <c:v>5-Mar-20</c:v>
                </c:pt>
                <c:pt idx="4080">
                  <c:v>6-Mar-20</c:v>
                </c:pt>
                <c:pt idx="4081">
                  <c:v>7-Mar-20</c:v>
                </c:pt>
                <c:pt idx="4082">
                  <c:v>8-Mar-20</c:v>
                </c:pt>
                <c:pt idx="4083">
                  <c:v>9-Mar-20</c:v>
                </c:pt>
                <c:pt idx="4084">
                  <c:v>10-Mar-20</c:v>
                </c:pt>
                <c:pt idx="4085">
                  <c:v>11-Mar-20</c:v>
                </c:pt>
                <c:pt idx="4086">
                  <c:v>12-Mar-20</c:v>
                </c:pt>
                <c:pt idx="4087">
                  <c:v>13-Mar-20</c:v>
                </c:pt>
                <c:pt idx="4088">
                  <c:v>14-Mar-20</c:v>
                </c:pt>
                <c:pt idx="4089">
                  <c:v>15-Mar-20</c:v>
                </c:pt>
                <c:pt idx="4090">
                  <c:v>16-Mar-20</c:v>
                </c:pt>
                <c:pt idx="4091">
                  <c:v>17-Mar-20</c:v>
                </c:pt>
                <c:pt idx="4092">
                  <c:v>18-Mar-20</c:v>
                </c:pt>
                <c:pt idx="4093">
                  <c:v>19-Mar-20</c:v>
                </c:pt>
                <c:pt idx="4094">
                  <c:v>20-Mar-20</c:v>
                </c:pt>
                <c:pt idx="4095">
                  <c:v>21-Mar-20</c:v>
                </c:pt>
                <c:pt idx="4096">
                  <c:v>22-Mar-20</c:v>
                </c:pt>
                <c:pt idx="4097">
                  <c:v>23-Mar-20</c:v>
                </c:pt>
                <c:pt idx="4098">
                  <c:v>24-Mar-20</c:v>
                </c:pt>
                <c:pt idx="4099">
                  <c:v>25-Mar-20</c:v>
                </c:pt>
                <c:pt idx="4100">
                  <c:v>26-Mar-20</c:v>
                </c:pt>
                <c:pt idx="4101">
                  <c:v>27-Mar-20</c:v>
                </c:pt>
                <c:pt idx="4102">
                  <c:v>28-Mar-20</c:v>
                </c:pt>
                <c:pt idx="4103">
                  <c:v>29-Mar-20</c:v>
                </c:pt>
                <c:pt idx="4104">
                  <c:v>30-Mar-20</c:v>
                </c:pt>
                <c:pt idx="4105">
                  <c:v>31-Mar-20</c:v>
                </c:pt>
                <c:pt idx="4106">
                  <c:v>01avr.2020</c:v>
                </c:pt>
                <c:pt idx="4107">
                  <c:v>02avr.2020</c:v>
                </c:pt>
                <c:pt idx="4108">
                  <c:v>03avr.2020</c:v>
                </c:pt>
                <c:pt idx="4109">
                  <c:v>04avr.2020</c:v>
                </c:pt>
                <c:pt idx="4110">
                  <c:v>05avr.2020</c:v>
                </c:pt>
                <c:pt idx="4111">
                  <c:v>06avr.2020</c:v>
                </c:pt>
                <c:pt idx="4112">
                  <c:v>07avr.2020</c:v>
                </c:pt>
                <c:pt idx="4113">
                  <c:v>08avr.2020</c:v>
                </c:pt>
                <c:pt idx="4114">
                  <c:v>09avr.2020</c:v>
                </c:pt>
                <c:pt idx="4115">
                  <c:v>10avr.2020</c:v>
                </c:pt>
                <c:pt idx="4116">
                  <c:v>11avr.2020</c:v>
                </c:pt>
                <c:pt idx="4117">
                  <c:v>12avr.2020</c:v>
                </c:pt>
                <c:pt idx="4118">
                  <c:v>13avr.2020</c:v>
                </c:pt>
                <c:pt idx="4119">
                  <c:v>14avr.2020</c:v>
                </c:pt>
                <c:pt idx="4120">
                  <c:v>15avr.2020</c:v>
                </c:pt>
                <c:pt idx="4121">
                  <c:v>16avr.2020</c:v>
                </c:pt>
                <c:pt idx="4122">
                  <c:v>17avr.2020</c:v>
                </c:pt>
                <c:pt idx="4123">
                  <c:v>18avr.2020</c:v>
                </c:pt>
                <c:pt idx="4124">
                  <c:v>19avr.2020</c:v>
                </c:pt>
                <c:pt idx="4125">
                  <c:v>20avr.2020</c:v>
                </c:pt>
                <c:pt idx="4126">
                  <c:v>21avr.2020</c:v>
                </c:pt>
                <c:pt idx="4127">
                  <c:v>22avr.2020</c:v>
                </c:pt>
                <c:pt idx="4128">
                  <c:v>23avr.2020</c:v>
                </c:pt>
                <c:pt idx="4129">
                  <c:v>24avr.2020</c:v>
                </c:pt>
                <c:pt idx="4130">
                  <c:v>25avr.2020</c:v>
                </c:pt>
                <c:pt idx="4131">
                  <c:v>26avr.2020</c:v>
                </c:pt>
                <c:pt idx="4132">
                  <c:v>27avr.2020</c:v>
                </c:pt>
                <c:pt idx="4133">
                  <c:v>28avr.2020</c:v>
                </c:pt>
                <c:pt idx="4134">
                  <c:v>29avr.2020</c:v>
                </c:pt>
                <c:pt idx="4135">
                  <c:v>30avr.2020</c:v>
                </c:pt>
                <c:pt idx="4136">
                  <c:v>1-May-20</c:v>
                </c:pt>
                <c:pt idx="4137">
                  <c:v>2-May-20</c:v>
                </c:pt>
                <c:pt idx="4138">
                  <c:v>3-May-20</c:v>
                </c:pt>
                <c:pt idx="4139">
                  <c:v>4-May-20</c:v>
                </c:pt>
                <c:pt idx="4140">
                  <c:v>5-May-20</c:v>
                </c:pt>
                <c:pt idx="4141">
                  <c:v>6-May-20</c:v>
                </c:pt>
                <c:pt idx="4142">
                  <c:v>7-May-20</c:v>
                </c:pt>
                <c:pt idx="4143">
                  <c:v>8-May-20</c:v>
                </c:pt>
                <c:pt idx="4144">
                  <c:v>9-May-20</c:v>
                </c:pt>
                <c:pt idx="4145">
                  <c:v>10-May-20</c:v>
                </c:pt>
                <c:pt idx="4146">
                  <c:v>11-May-20</c:v>
                </c:pt>
                <c:pt idx="4147">
                  <c:v>12-May-20</c:v>
                </c:pt>
                <c:pt idx="4148">
                  <c:v>13-May-20</c:v>
                </c:pt>
                <c:pt idx="4149">
                  <c:v>14-May-20</c:v>
                </c:pt>
                <c:pt idx="4150">
                  <c:v>15-May-20</c:v>
                </c:pt>
                <c:pt idx="4151">
                  <c:v>16-May-20</c:v>
                </c:pt>
                <c:pt idx="4152">
                  <c:v>17-May-20</c:v>
                </c:pt>
                <c:pt idx="4153">
                  <c:v>18-May-20</c:v>
                </c:pt>
                <c:pt idx="4154">
                  <c:v>19-May-20</c:v>
                </c:pt>
                <c:pt idx="4155">
                  <c:v>20-May-20</c:v>
                </c:pt>
                <c:pt idx="4156">
                  <c:v>21-May-20</c:v>
                </c:pt>
                <c:pt idx="4157">
                  <c:v>22-May-20</c:v>
                </c:pt>
                <c:pt idx="4158">
                  <c:v>23-May-20</c:v>
                </c:pt>
                <c:pt idx="4159">
                  <c:v>24-May-20</c:v>
                </c:pt>
                <c:pt idx="4160">
                  <c:v>25-May-20</c:v>
                </c:pt>
                <c:pt idx="4161">
                  <c:v>26-May-20</c:v>
                </c:pt>
                <c:pt idx="4162">
                  <c:v>27-May-20</c:v>
                </c:pt>
                <c:pt idx="4163">
                  <c:v>28-May-20</c:v>
                </c:pt>
                <c:pt idx="4164">
                  <c:v>29-May-20</c:v>
                </c:pt>
                <c:pt idx="4165">
                  <c:v>30-May-20</c:v>
                </c:pt>
                <c:pt idx="4166">
                  <c:v>31-May-20</c:v>
                </c:pt>
                <c:pt idx="4167">
                  <c:v>1-Jun-20</c:v>
                </c:pt>
                <c:pt idx="4168">
                  <c:v>2-Jun-20</c:v>
                </c:pt>
                <c:pt idx="4169">
                  <c:v>3-Jun-20</c:v>
                </c:pt>
                <c:pt idx="4170">
                  <c:v>4-Jun-20</c:v>
                </c:pt>
                <c:pt idx="4171">
                  <c:v>5-Jun-20</c:v>
                </c:pt>
                <c:pt idx="4172">
                  <c:v>6-Jun-20</c:v>
                </c:pt>
                <c:pt idx="4173">
                  <c:v>7-Jun-20</c:v>
                </c:pt>
                <c:pt idx="4174">
                  <c:v>8-Jun-20</c:v>
                </c:pt>
                <c:pt idx="4175">
                  <c:v>9-Jun-20</c:v>
                </c:pt>
                <c:pt idx="4176">
                  <c:v>10-Jun-20</c:v>
                </c:pt>
                <c:pt idx="4177">
                  <c:v>11-Jun-20</c:v>
                </c:pt>
                <c:pt idx="4178">
                  <c:v>12-Jun-20</c:v>
                </c:pt>
                <c:pt idx="4179">
                  <c:v>13-Jun-20</c:v>
                </c:pt>
                <c:pt idx="4180">
                  <c:v>14-Jun-20</c:v>
                </c:pt>
                <c:pt idx="4181">
                  <c:v>15-Jun-20</c:v>
                </c:pt>
                <c:pt idx="4182">
                  <c:v>16-Jun-20</c:v>
                </c:pt>
                <c:pt idx="4183">
                  <c:v>17-Jun-20</c:v>
                </c:pt>
                <c:pt idx="4184">
                  <c:v>18-Jun-20</c:v>
                </c:pt>
                <c:pt idx="4185">
                  <c:v>19-Jun-20</c:v>
                </c:pt>
                <c:pt idx="4186">
                  <c:v>20-Jun-20</c:v>
                </c:pt>
                <c:pt idx="4187">
                  <c:v>21-Jun-20</c:v>
                </c:pt>
                <c:pt idx="4188">
                  <c:v>22-Jun-20</c:v>
                </c:pt>
                <c:pt idx="4189">
                  <c:v>23-Jun-20</c:v>
                </c:pt>
                <c:pt idx="4190">
                  <c:v>24-Jun-20</c:v>
                </c:pt>
                <c:pt idx="4191">
                  <c:v>25-Jun-20</c:v>
                </c:pt>
                <c:pt idx="4192">
                  <c:v>26-Jun-20</c:v>
                </c:pt>
                <c:pt idx="4193">
                  <c:v>27-Jun-20</c:v>
                </c:pt>
                <c:pt idx="4194">
                  <c:v>28-Jun-20</c:v>
                </c:pt>
                <c:pt idx="4195">
                  <c:v>29-Jun-20</c:v>
                </c:pt>
                <c:pt idx="4196">
                  <c:v>30-Jun-20</c:v>
                </c:pt>
                <c:pt idx="4197">
                  <c:v>01juil.2020</c:v>
                </c:pt>
                <c:pt idx="4198">
                  <c:v>02juil.2020</c:v>
                </c:pt>
                <c:pt idx="4199">
                  <c:v>03juil.2020</c:v>
                </c:pt>
                <c:pt idx="4200">
                  <c:v>04juil.2020</c:v>
                </c:pt>
                <c:pt idx="4201">
                  <c:v>05juil.2020</c:v>
                </c:pt>
                <c:pt idx="4202">
                  <c:v>06juil.2020</c:v>
                </c:pt>
                <c:pt idx="4203">
                  <c:v>07juil.2020</c:v>
                </c:pt>
                <c:pt idx="4204">
                  <c:v>08juil.2020</c:v>
                </c:pt>
                <c:pt idx="4205">
                  <c:v>09juil.2020</c:v>
                </c:pt>
                <c:pt idx="4206">
                  <c:v>10juil.2020</c:v>
                </c:pt>
                <c:pt idx="4207">
                  <c:v>11juil.2020</c:v>
                </c:pt>
                <c:pt idx="4208">
                  <c:v>12juil.2020</c:v>
                </c:pt>
                <c:pt idx="4209">
                  <c:v>13juil.2020</c:v>
                </c:pt>
                <c:pt idx="4210">
                  <c:v>14juil.2020</c:v>
                </c:pt>
                <c:pt idx="4211">
                  <c:v>15juil.2020</c:v>
                </c:pt>
                <c:pt idx="4212">
                  <c:v>16juil.2020</c:v>
                </c:pt>
                <c:pt idx="4213">
                  <c:v>17juil.2020</c:v>
                </c:pt>
                <c:pt idx="4214">
                  <c:v>18juil.2020</c:v>
                </c:pt>
                <c:pt idx="4215">
                  <c:v>19juil.2020</c:v>
                </c:pt>
                <c:pt idx="4216">
                  <c:v>20juil.2020</c:v>
                </c:pt>
                <c:pt idx="4217">
                  <c:v>21juil.2020</c:v>
                </c:pt>
                <c:pt idx="4218">
                  <c:v>22juil.2020</c:v>
                </c:pt>
                <c:pt idx="4219">
                  <c:v>23juil.2020</c:v>
                </c:pt>
                <c:pt idx="4220">
                  <c:v>24juil.2020</c:v>
                </c:pt>
                <c:pt idx="4221">
                  <c:v>25juil.2020</c:v>
                </c:pt>
                <c:pt idx="4222">
                  <c:v>26juil.2020</c:v>
                </c:pt>
                <c:pt idx="4223">
                  <c:v>27juil.2020</c:v>
                </c:pt>
                <c:pt idx="4224">
                  <c:v>28juil.2020</c:v>
                </c:pt>
                <c:pt idx="4225">
                  <c:v>29juil.2020</c:v>
                </c:pt>
                <c:pt idx="4226">
                  <c:v>30juil.2020</c:v>
                </c:pt>
                <c:pt idx="4227">
                  <c:v>31juil.2020</c:v>
                </c:pt>
                <c:pt idx="4228">
                  <c:v>1-Aug-20</c:v>
                </c:pt>
                <c:pt idx="4229">
                  <c:v>2-Aug-20</c:v>
                </c:pt>
                <c:pt idx="4230">
                  <c:v>3-Aug-20</c:v>
                </c:pt>
                <c:pt idx="4231">
                  <c:v>4-Aug-20</c:v>
                </c:pt>
                <c:pt idx="4232">
                  <c:v>5-Aug-20</c:v>
                </c:pt>
                <c:pt idx="4233">
                  <c:v>6-Aug-20</c:v>
                </c:pt>
                <c:pt idx="4234">
                  <c:v>7-Aug-20</c:v>
                </c:pt>
                <c:pt idx="4235">
                  <c:v>8-Aug-20</c:v>
                </c:pt>
                <c:pt idx="4236">
                  <c:v>9-Aug-20</c:v>
                </c:pt>
                <c:pt idx="4237">
                  <c:v>10-Aug-20</c:v>
                </c:pt>
                <c:pt idx="4238">
                  <c:v>11-Aug-20</c:v>
                </c:pt>
                <c:pt idx="4239">
                  <c:v>12-Aug-20</c:v>
                </c:pt>
                <c:pt idx="4240">
                  <c:v>13-Aug-20</c:v>
                </c:pt>
                <c:pt idx="4241">
                  <c:v>14-Aug-20</c:v>
                </c:pt>
                <c:pt idx="4242">
                  <c:v>15-Aug-20</c:v>
                </c:pt>
                <c:pt idx="4243">
                  <c:v>16-Aug-20</c:v>
                </c:pt>
                <c:pt idx="4244">
                  <c:v>17-Aug-20</c:v>
                </c:pt>
                <c:pt idx="4245">
                  <c:v>18-Aug-20</c:v>
                </c:pt>
                <c:pt idx="4246">
                  <c:v>19-Aug-20</c:v>
                </c:pt>
                <c:pt idx="4247">
                  <c:v>20-Aug-20</c:v>
                </c:pt>
                <c:pt idx="4248">
                  <c:v>21-Aug-20</c:v>
                </c:pt>
                <c:pt idx="4249">
                  <c:v>22-Aug-20</c:v>
                </c:pt>
                <c:pt idx="4250">
                  <c:v>23-Aug-20</c:v>
                </c:pt>
                <c:pt idx="4251">
                  <c:v>24-Aug-20</c:v>
                </c:pt>
                <c:pt idx="4252">
                  <c:v>25-Aug-20</c:v>
                </c:pt>
                <c:pt idx="4253">
                  <c:v>26-Aug-20</c:v>
                </c:pt>
                <c:pt idx="4254">
                  <c:v>27-Aug-20</c:v>
                </c:pt>
                <c:pt idx="4255">
                  <c:v>28-Aug-20</c:v>
                </c:pt>
                <c:pt idx="4256">
                  <c:v>29-Aug-20</c:v>
                </c:pt>
                <c:pt idx="4257">
                  <c:v>30-Aug-20</c:v>
                </c:pt>
                <c:pt idx="4258">
                  <c:v>31-Aug-20</c:v>
                </c:pt>
                <c:pt idx="4259">
                  <c:v>01sept.2020</c:v>
                </c:pt>
                <c:pt idx="4260">
                  <c:v>02sept.2020</c:v>
                </c:pt>
                <c:pt idx="4261">
                  <c:v>03sept.2020</c:v>
                </c:pt>
                <c:pt idx="4262">
                  <c:v>04sept.2020</c:v>
                </c:pt>
                <c:pt idx="4263">
                  <c:v>05sept.2020</c:v>
                </c:pt>
                <c:pt idx="4264">
                  <c:v>06sept.2020</c:v>
                </c:pt>
                <c:pt idx="4265">
                  <c:v>07sept.2020</c:v>
                </c:pt>
                <c:pt idx="4266">
                  <c:v>08sept.2020</c:v>
                </c:pt>
                <c:pt idx="4267">
                  <c:v>09sept.2020</c:v>
                </c:pt>
                <c:pt idx="4268">
                  <c:v>10sept.2020</c:v>
                </c:pt>
                <c:pt idx="4269">
                  <c:v>11sept.2020</c:v>
                </c:pt>
                <c:pt idx="4270">
                  <c:v>12sept.2020</c:v>
                </c:pt>
                <c:pt idx="4271">
                  <c:v>13sept.2020</c:v>
                </c:pt>
                <c:pt idx="4272">
                  <c:v>14sept.2020</c:v>
                </c:pt>
                <c:pt idx="4273">
                  <c:v>15sept.2020</c:v>
                </c:pt>
                <c:pt idx="4274">
                  <c:v>16sept.2020</c:v>
                </c:pt>
                <c:pt idx="4275">
                  <c:v>17sept.2020</c:v>
                </c:pt>
                <c:pt idx="4276">
                  <c:v>18sept.2020</c:v>
                </c:pt>
                <c:pt idx="4277">
                  <c:v>19sept.2020</c:v>
                </c:pt>
                <c:pt idx="4278">
                  <c:v>20sept.2020</c:v>
                </c:pt>
                <c:pt idx="4279">
                  <c:v>21sept.2020</c:v>
                </c:pt>
                <c:pt idx="4280">
                  <c:v>22sept.2020</c:v>
                </c:pt>
                <c:pt idx="4281">
                  <c:v>23sept.2020</c:v>
                </c:pt>
                <c:pt idx="4282">
                  <c:v>24sept.2020</c:v>
                </c:pt>
                <c:pt idx="4283">
                  <c:v>25sept.2020</c:v>
                </c:pt>
                <c:pt idx="4284">
                  <c:v>26sept.2020</c:v>
                </c:pt>
                <c:pt idx="4285">
                  <c:v>27sept.2020</c:v>
                </c:pt>
                <c:pt idx="4286">
                  <c:v>28sept.2020</c:v>
                </c:pt>
                <c:pt idx="4287">
                  <c:v>29sept.2020</c:v>
                </c:pt>
                <c:pt idx="4288">
                  <c:v>30sept.2020</c:v>
                </c:pt>
                <c:pt idx="4289">
                  <c:v>01oct.2020</c:v>
                </c:pt>
                <c:pt idx="4290">
                  <c:v>02oct.2020</c:v>
                </c:pt>
                <c:pt idx="4291">
                  <c:v>03oct.2020</c:v>
                </c:pt>
                <c:pt idx="4292">
                  <c:v>04oct.2020</c:v>
                </c:pt>
                <c:pt idx="4293">
                  <c:v>05oct.2020</c:v>
                </c:pt>
                <c:pt idx="4294">
                  <c:v>06oct.2020</c:v>
                </c:pt>
                <c:pt idx="4295">
                  <c:v>07oct.2020</c:v>
                </c:pt>
                <c:pt idx="4296">
                  <c:v>08oct.2020</c:v>
                </c:pt>
                <c:pt idx="4297">
                  <c:v>09oct.2020</c:v>
                </c:pt>
                <c:pt idx="4298">
                  <c:v>10oct.2020</c:v>
                </c:pt>
                <c:pt idx="4299">
                  <c:v>11oct.2020</c:v>
                </c:pt>
                <c:pt idx="4300">
                  <c:v>12oct.2020</c:v>
                </c:pt>
                <c:pt idx="4301">
                  <c:v>13oct.2020</c:v>
                </c:pt>
                <c:pt idx="4302">
                  <c:v>14oct.2020</c:v>
                </c:pt>
                <c:pt idx="4303">
                  <c:v>15oct.2020</c:v>
                </c:pt>
                <c:pt idx="4304">
                  <c:v>16oct.2020</c:v>
                </c:pt>
                <c:pt idx="4305">
                  <c:v>17oct.2020</c:v>
                </c:pt>
                <c:pt idx="4306">
                  <c:v>18oct.2020</c:v>
                </c:pt>
                <c:pt idx="4307">
                  <c:v>19oct.2020</c:v>
                </c:pt>
                <c:pt idx="4308">
                  <c:v>20oct.2020</c:v>
                </c:pt>
                <c:pt idx="4309">
                  <c:v>21oct.2020</c:v>
                </c:pt>
                <c:pt idx="4310">
                  <c:v>22oct.2020</c:v>
                </c:pt>
                <c:pt idx="4311">
                  <c:v>23oct.2020</c:v>
                </c:pt>
                <c:pt idx="4312">
                  <c:v>24oct.2020</c:v>
                </c:pt>
                <c:pt idx="4313">
                  <c:v>25oct.2020</c:v>
                </c:pt>
                <c:pt idx="4314">
                  <c:v>26oct.2020</c:v>
                </c:pt>
                <c:pt idx="4315">
                  <c:v>27oct.2020</c:v>
                </c:pt>
                <c:pt idx="4316">
                  <c:v>28oct.2020</c:v>
                </c:pt>
                <c:pt idx="4317">
                  <c:v>29oct.2020</c:v>
                </c:pt>
                <c:pt idx="4318">
                  <c:v>30oct.2020</c:v>
                </c:pt>
                <c:pt idx="4319">
                  <c:v>31oct.2020</c:v>
                </c:pt>
                <c:pt idx="4320">
                  <c:v>01nov.2020</c:v>
                </c:pt>
                <c:pt idx="4321">
                  <c:v>02nov.2020</c:v>
                </c:pt>
                <c:pt idx="4322">
                  <c:v>03nov.2020</c:v>
                </c:pt>
                <c:pt idx="4323">
                  <c:v>04nov.2020</c:v>
                </c:pt>
                <c:pt idx="4324">
                  <c:v>05nov.2020</c:v>
                </c:pt>
                <c:pt idx="4325">
                  <c:v>06nov.2020</c:v>
                </c:pt>
                <c:pt idx="4326">
                  <c:v>07nov.2020</c:v>
                </c:pt>
                <c:pt idx="4327">
                  <c:v>08nov.2020</c:v>
                </c:pt>
                <c:pt idx="4328">
                  <c:v>09nov.2020</c:v>
                </c:pt>
                <c:pt idx="4329">
                  <c:v>10nov.2020</c:v>
                </c:pt>
                <c:pt idx="4330">
                  <c:v>11nov.2020</c:v>
                </c:pt>
                <c:pt idx="4331">
                  <c:v>12nov.2020</c:v>
                </c:pt>
                <c:pt idx="4332">
                  <c:v>13nov.2020</c:v>
                </c:pt>
                <c:pt idx="4333">
                  <c:v>14nov.2020</c:v>
                </c:pt>
                <c:pt idx="4334">
                  <c:v>15nov.2020</c:v>
                </c:pt>
                <c:pt idx="4335">
                  <c:v>16nov.2020</c:v>
                </c:pt>
                <c:pt idx="4336">
                  <c:v>17nov.2020</c:v>
                </c:pt>
                <c:pt idx="4337">
                  <c:v>18nov.2020</c:v>
                </c:pt>
                <c:pt idx="4338">
                  <c:v>19nov.2020</c:v>
                </c:pt>
                <c:pt idx="4339">
                  <c:v>20nov.2020</c:v>
                </c:pt>
                <c:pt idx="4340">
                  <c:v>21nov.2020</c:v>
                </c:pt>
                <c:pt idx="4341">
                  <c:v>22nov.2020</c:v>
                </c:pt>
                <c:pt idx="4342">
                  <c:v>23nov.2020</c:v>
                </c:pt>
                <c:pt idx="4343">
                  <c:v>24nov.2020</c:v>
                </c:pt>
                <c:pt idx="4344">
                  <c:v>25nov.2020</c:v>
                </c:pt>
                <c:pt idx="4345">
                  <c:v>26nov.2020</c:v>
                </c:pt>
                <c:pt idx="4346">
                  <c:v>27nov.2020</c:v>
                </c:pt>
                <c:pt idx="4347">
                  <c:v>28nov.2020</c:v>
                </c:pt>
                <c:pt idx="4348">
                  <c:v>29nov.2020</c:v>
                </c:pt>
                <c:pt idx="4349">
                  <c:v>30nov.2020</c:v>
                </c:pt>
                <c:pt idx="4350">
                  <c:v>01déc.2020</c:v>
                </c:pt>
                <c:pt idx="4351">
                  <c:v>02déc.2020</c:v>
                </c:pt>
                <c:pt idx="4352">
                  <c:v>03déc.2020</c:v>
                </c:pt>
                <c:pt idx="4353">
                  <c:v>04déc.2020</c:v>
                </c:pt>
                <c:pt idx="4354">
                  <c:v>05déc.2020</c:v>
                </c:pt>
                <c:pt idx="4355">
                  <c:v>06déc.2020</c:v>
                </c:pt>
                <c:pt idx="4356">
                  <c:v>07déc.2020</c:v>
                </c:pt>
                <c:pt idx="4357">
                  <c:v>08déc.2020</c:v>
                </c:pt>
                <c:pt idx="4358">
                  <c:v>09déc.2020</c:v>
                </c:pt>
                <c:pt idx="4359">
                  <c:v>10déc.2020</c:v>
                </c:pt>
                <c:pt idx="4360">
                  <c:v>11déc.2020</c:v>
                </c:pt>
                <c:pt idx="4361">
                  <c:v>12déc.2020</c:v>
                </c:pt>
                <c:pt idx="4362">
                  <c:v>13déc.2020</c:v>
                </c:pt>
                <c:pt idx="4363">
                  <c:v>14déc.2020</c:v>
                </c:pt>
                <c:pt idx="4364">
                  <c:v>15déc.2020</c:v>
                </c:pt>
                <c:pt idx="4365">
                  <c:v>16déc.2020</c:v>
                </c:pt>
                <c:pt idx="4366">
                  <c:v>17déc.2020</c:v>
                </c:pt>
                <c:pt idx="4367">
                  <c:v>18déc.2020</c:v>
                </c:pt>
                <c:pt idx="4368">
                  <c:v>19déc.2020</c:v>
                </c:pt>
                <c:pt idx="4369">
                  <c:v>20déc.2020</c:v>
                </c:pt>
                <c:pt idx="4370">
                  <c:v>21déc.2020</c:v>
                </c:pt>
                <c:pt idx="4371">
                  <c:v>22déc.2020</c:v>
                </c:pt>
                <c:pt idx="4372">
                  <c:v>23déc.2020</c:v>
                </c:pt>
                <c:pt idx="4373">
                  <c:v>24déc.2020</c:v>
                </c:pt>
                <c:pt idx="4374">
                  <c:v>25déc.2020</c:v>
                </c:pt>
                <c:pt idx="4375">
                  <c:v>26déc.2020</c:v>
                </c:pt>
                <c:pt idx="4376">
                  <c:v>27déc.2020</c:v>
                </c:pt>
                <c:pt idx="4377">
                  <c:v>28déc.2020</c:v>
                </c:pt>
                <c:pt idx="4378">
                  <c:v>29déc.2020</c:v>
                </c:pt>
                <c:pt idx="4379">
                  <c:v>30déc.2020</c:v>
                </c:pt>
                <c:pt idx="4380">
                  <c:v>31déc.2020</c:v>
                </c:pt>
                <c:pt idx="4381">
                  <c:v>01janv.2021</c:v>
                </c:pt>
                <c:pt idx="4382">
                  <c:v>02janv.2021</c:v>
                </c:pt>
                <c:pt idx="4383">
                  <c:v>03janv.2021</c:v>
                </c:pt>
                <c:pt idx="4384">
                  <c:v>04janv.2021</c:v>
                </c:pt>
                <c:pt idx="4385">
                  <c:v>05janv.2021</c:v>
                </c:pt>
                <c:pt idx="4386">
                  <c:v>06janv.2021</c:v>
                </c:pt>
                <c:pt idx="4387">
                  <c:v>07janv.2021</c:v>
                </c:pt>
                <c:pt idx="4388">
                  <c:v>08janv.2021</c:v>
                </c:pt>
                <c:pt idx="4389">
                  <c:v>09janv.2021</c:v>
                </c:pt>
                <c:pt idx="4390">
                  <c:v>10janv.2021</c:v>
                </c:pt>
                <c:pt idx="4391">
                  <c:v>11janv.2021</c:v>
                </c:pt>
                <c:pt idx="4392">
                  <c:v>12janv.2021</c:v>
                </c:pt>
                <c:pt idx="4393">
                  <c:v>13janv.2021</c:v>
                </c:pt>
                <c:pt idx="4394">
                  <c:v>14janv.2021</c:v>
                </c:pt>
                <c:pt idx="4395">
                  <c:v>15janv.2021</c:v>
                </c:pt>
                <c:pt idx="4396">
                  <c:v>16janv.2021</c:v>
                </c:pt>
                <c:pt idx="4397">
                  <c:v>17janv.2021</c:v>
                </c:pt>
                <c:pt idx="4398">
                  <c:v>18janv.2021</c:v>
                </c:pt>
                <c:pt idx="4399">
                  <c:v>19janv.2021</c:v>
                </c:pt>
                <c:pt idx="4400">
                  <c:v>20janv.2021</c:v>
                </c:pt>
                <c:pt idx="4401">
                  <c:v>21janv.2021</c:v>
                </c:pt>
                <c:pt idx="4402">
                  <c:v>22janv.2021</c:v>
                </c:pt>
                <c:pt idx="4403">
                  <c:v>23janv.2021</c:v>
                </c:pt>
                <c:pt idx="4404">
                  <c:v>24janv.2021</c:v>
                </c:pt>
                <c:pt idx="4405">
                  <c:v>25janv.2021</c:v>
                </c:pt>
                <c:pt idx="4406">
                  <c:v>26janv.2021</c:v>
                </c:pt>
                <c:pt idx="4407">
                  <c:v>27janv.2021</c:v>
                </c:pt>
                <c:pt idx="4408">
                  <c:v>28janv.2021</c:v>
                </c:pt>
                <c:pt idx="4409">
                  <c:v>29janv.2021</c:v>
                </c:pt>
                <c:pt idx="4410">
                  <c:v>30janv.2021</c:v>
                </c:pt>
                <c:pt idx="4411">
                  <c:v>31janv.2021</c:v>
                </c:pt>
                <c:pt idx="4412">
                  <c:v>01févr.2021</c:v>
                </c:pt>
                <c:pt idx="4413">
                  <c:v>02févr.2021</c:v>
                </c:pt>
                <c:pt idx="4414">
                  <c:v>03févr.2021</c:v>
                </c:pt>
                <c:pt idx="4415">
                  <c:v>04févr.2021</c:v>
                </c:pt>
                <c:pt idx="4416">
                  <c:v>05févr.2021</c:v>
                </c:pt>
                <c:pt idx="4417">
                  <c:v>06févr.2021</c:v>
                </c:pt>
                <c:pt idx="4418">
                  <c:v>07févr.2021</c:v>
                </c:pt>
                <c:pt idx="4419">
                  <c:v>08févr.2021</c:v>
                </c:pt>
                <c:pt idx="4420">
                  <c:v>09févr.2021</c:v>
                </c:pt>
                <c:pt idx="4421">
                  <c:v>10févr.2021</c:v>
                </c:pt>
                <c:pt idx="4422">
                  <c:v>11févr.2021</c:v>
                </c:pt>
                <c:pt idx="4423">
                  <c:v>12févr.2021</c:v>
                </c:pt>
                <c:pt idx="4424">
                  <c:v>13févr.2021</c:v>
                </c:pt>
                <c:pt idx="4425">
                  <c:v>14févr.2021</c:v>
                </c:pt>
                <c:pt idx="4426">
                  <c:v>15févr.2021</c:v>
                </c:pt>
                <c:pt idx="4427">
                  <c:v>16févr.2021</c:v>
                </c:pt>
                <c:pt idx="4428">
                  <c:v>17févr.2021</c:v>
                </c:pt>
                <c:pt idx="4429">
                  <c:v>18févr.2021</c:v>
                </c:pt>
                <c:pt idx="4430">
                  <c:v>19févr.2021</c:v>
                </c:pt>
                <c:pt idx="4431">
                  <c:v>20févr.2021</c:v>
                </c:pt>
                <c:pt idx="4432">
                  <c:v>21févr.2021</c:v>
                </c:pt>
                <c:pt idx="4433">
                  <c:v>22févr.2021</c:v>
                </c:pt>
                <c:pt idx="4434">
                  <c:v>23févr.2021</c:v>
                </c:pt>
                <c:pt idx="4435">
                  <c:v>24févr.2021</c:v>
                </c:pt>
                <c:pt idx="4436">
                  <c:v>25févr.2021</c:v>
                </c:pt>
                <c:pt idx="4437">
                  <c:v>26févr.2021</c:v>
                </c:pt>
                <c:pt idx="4438">
                  <c:v>27févr.2021</c:v>
                </c:pt>
                <c:pt idx="4439">
                  <c:v>28févr.2021</c:v>
                </c:pt>
                <c:pt idx="4440">
                  <c:v>1-Mar-21</c:v>
                </c:pt>
                <c:pt idx="4441">
                  <c:v>2-Mar-21</c:v>
                </c:pt>
                <c:pt idx="4442">
                  <c:v>3-Mar-21</c:v>
                </c:pt>
                <c:pt idx="4443">
                  <c:v>4-Mar-21</c:v>
                </c:pt>
                <c:pt idx="4444">
                  <c:v>5-Mar-21</c:v>
                </c:pt>
                <c:pt idx="4445">
                  <c:v>6-Mar-21</c:v>
                </c:pt>
                <c:pt idx="4446">
                  <c:v>7-Mar-21</c:v>
                </c:pt>
                <c:pt idx="4447">
                  <c:v>8-Mar-21</c:v>
                </c:pt>
                <c:pt idx="4448">
                  <c:v>9-Mar-21</c:v>
                </c:pt>
                <c:pt idx="4449">
                  <c:v>10-Mar-21</c:v>
                </c:pt>
                <c:pt idx="4450">
                  <c:v>11-Mar-21</c:v>
                </c:pt>
                <c:pt idx="4451">
                  <c:v>12-Mar-21</c:v>
                </c:pt>
                <c:pt idx="4452">
                  <c:v>13-Mar-21</c:v>
                </c:pt>
                <c:pt idx="4453">
                  <c:v>14-Mar-21</c:v>
                </c:pt>
                <c:pt idx="4454">
                  <c:v>15-Mar-21</c:v>
                </c:pt>
                <c:pt idx="4455">
                  <c:v>16-Mar-21</c:v>
                </c:pt>
                <c:pt idx="4456">
                  <c:v>17-Mar-21</c:v>
                </c:pt>
                <c:pt idx="4457">
                  <c:v>18-Mar-21</c:v>
                </c:pt>
                <c:pt idx="4458">
                  <c:v>19-Mar-21</c:v>
                </c:pt>
                <c:pt idx="4459">
                  <c:v>20-Mar-21</c:v>
                </c:pt>
                <c:pt idx="4460">
                  <c:v>21-Mar-21</c:v>
                </c:pt>
                <c:pt idx="4461">
                  <c:v>22-Mar-21</c:v>
                </c:pt>
                <c:pt idx="4462">
                  <c:v>23-Mar-21</c:v>
                </c:pt>
                <c:pt idx="4463">
                  <c:v>24-Mar-21</c:v>
                </c:pt>
                <c:pt idx="4464">
                  <c:v>25-Mar-21</c:v>
                </c:pt>
                <c:pt idx="4465">
                  <c:v>26-Mar-21</c:v>
                </c:pt>
                <c:pt idx="4466">
                  <c:v>27-Mar-21</c:v>
                </c:pt>
                <c:pt idx="4467">
                  <c:v>28-Mar-21</c:v>
                </c:pt>
                <c:pt idx="4468">
                  <c:v>29-Mar-21</c:v>
                </c:pt>
                <c:pt idx="4469">
                  <c:v>30-Mar-21</c:v>
                </c:pt>
                <c:pt idx="4470">
                  <c:v>31-Mar-21</c:v>
                </c:pt>
                <c:pt idx="4471">
                  <c:v>01avr.2021</c:v>
                </c:pt>
                <c:pt idx="4472">
                  <c:v>02avr.2021</c:v>
                </c:pt>
                <c:pt idx="4473">
                  <c:v>03avr.2021</c:v>
                </c:pt>
                <c:pt idx="4474">
                  <c:v>04avr.2021</c:v>
                </c:pt>
                <c:pt idx="4475">
                  <c:v>05avr.2021</c:v>
                </c:pt>
                <c:pt idx="4476">
                  <c:v>06avr.2021</c:v>
                </c:pt>
                <c:pt idx="4477">
                  <c:v>07avr.2021</c:v>
                </c:pt>
                <c:pt idx="4478">
                  <c:v>08avr.2021</c:v>
                </c:pt>
                <c:pt idx="4479">
                  <c:v>09avr.2021</c:v>
                </c:pt>
                <c:pt idx="4480">
                  <c:v>10avr.2021</c:v>
                </c:pt>
                <c:pt idx="4481">
                  <c:v>11avr.2021</c:v>
                </c:pt>
                <c:pt idx="4482">
                  <c:v>12avr.2021</c:v>
                </c:pt>
                <c:pt idx="4483">
                  <c:v>13avr.2021</c:v>
                </c:pt>
                <c:pt idx="4484">
                  <c:v>14avr.2021</c:v>
                </c:pt>
                <c:pt idx="4485">
                  <c:v>15avr.2021</c:v>
                </c:pt>
                <c:pt idx="4486">
                  <c:v>16avr.2021</c:v>
                </c:pt>
                <c:pt idx="4487">
                  <c:v>17avr.2021</c:v>
                </c:pt>
                <c:pt idx="4488">
                  <c:v>18avr.2021</c:v>
                </c:pt>
                <c:pt idx="4489">
                  <c:v>19avr.2021</c:v>
                </c:pt>
                <c:pt idx="4490">
                  <c:v>20avr.2021</c:v>
                </c:pt>
                <c:pt idx="4491">
                  <c:v>21avr.2021</c:v>
                </c:pt>
                <c:pt idx="4492">
                  <c:v>22avr.2021</c:v>
                </c:pt>
                <c:pt idx="4493">
                  <c:v>23avr.2021</c:v>
                </c:pt>
                <c:pt idx="4494">
                  <c:v>24avr.2021</c:v>
                </c:pt>
                <c:pt idx="4495">
                  <c:v>25avr.2021</c:v>
                </c:pt>
                <c:pt idx="4496">
                  <c:v>26avr.2021</c:v>
                </c:pt>
                <c:pt idx="4497">
                  <c:v>27avr.2021</c:v>
                </c:pt>
                <c:pt idx="4498">
                  <c:v>28avr.2021</c:v>
                </c:pt>
                <c:pt idx="4499">
                  <c:v>29avr.2021</c:v>
                </c:pt>
                <c:pt idx="4500">
                  <c:v>30avr.2021</c:v>
                </c:pt>
                <c:pt idx="4501">
                  <c:v>1-May-21</c:v>
                </c:pt>
                <c:pt idx="4502">
                  <c:v>2-May-21</c:v>
                </c:pt>
                <c:pt idx="4503">
                  <c:v>3-May-21</c:v>
                </c:pt>
                <c:pt idx="4504">
                  <c:v>4-May-21</c:v>
                </c:pt>
                <c:pt idx="4505">
                  <c:v>5-May-21</c:v>
                </c:pt>
                <c:pt idx="4506">
                  <c:v>6-May-21</c:v>
                </c:pt>
                <c:pt idx="4507">
                  <c:v>7-May-21</c:v>
                </c:pt>
                <c:pt idx="4508">
                  <c:v>8-May-21</c:v>
                </c:pt>
                <c:pt idx="4509">
                  <c:v>9-May-21</c:v>
                </c:pt>
                <c:pt idx="4510">
                  <c:v>10-May-21</c:v>
                </c:pt>
                <c:pt idx="4511">
                  <c:v>11-May-21</c:v>
                </c:pt>
                <c:pt idx="4512">
                  <c:v>12-May-21</c:v>
                </c:pt>
                <c:pt idx="4513">
                  <c:v>13-May-21</c:v>
                </c:pt>
                <c:pt idx="4514">
                  <c:v>14-May-21</c:v>
                </c:pt>
                <c:pt idx="4515">
                  <c:v>15-May-21</c:v>
                </c:pt>
                <c:pt idx="4516">
                  <c:v>16-May-21</c:v>
                </c:pt>
                <c:pt idx="4517">
                  <c:v>17-May-21</c:v>
                </c:pt>
                <c:pt idx="4518">
                  <c:v>18-May-21</c:v>
                </c:pt>
                <c:pt idx="4519">
                  <c:v>19-May-21</c:v>
                </c:pt>
                <c:pt idx="4520">
                  <c:v>20-May-21</c:v>
                </c:pt>
                <c:pt idx="4521">
                  <c:v>21-May-21</c:v>
                </c:pt>
                <c:pt idx="4522">
                  <c:v>22-May-21</c:v>
                </c:pt>
                <c:pt idx="4523">
                  <c:v>23-May-21</c:v>
                </c:pt>
                <c:pt idx="4524">
                  <c:v>24-May-21</c:v>
                </c:pt>
                <c:pt idx="4525">
                  <c:v>25-May-21</c:v>
                </c:pt>
                <c:pt idx="4526">
                  <c:v>26-May-21</c:v>
                </c:pt>
                <c:pt idx="4527">
                  <c:v>27-May-21</c:v>
                </c:pt>
                <c:pt idx="4528">
                  <c:v>28-May-21</c:v>
                </c:pt>
                <c:pt idx="4529">
                  <c:v>29-May-21</c:v>
                </c:pt>
                <c:pt idx="4530">
                  <c:v>30-May-21</c:v>
                </c:pt>
                <c:pt idx="4531">
                  <c:v>31-May-21</c:v>
                </c:pt>
                <c:pt idx="4532">
                  <c:v>1-Jun-21</c:v>
                </c:pt>
                <c:pt idx="4533">
                  <c:v>2-Jun-21</c:v>
                </c:pt>
                <c:pt idx="4534">
                  <c:v>3-Jun-21</c:v>
                </c:pt>
                <c:pt idx="4535">
                  <c:v>4-Jun-21</c:v>
                </c:pt>
                <c:pt idx="4536">
                  <c:v>5-Jun-21</c:v>
                </c:pt>
                <c:pt idx="4537">
                  <c:v>6-Jun-21</c:v>
                </c:pt>
                <c:pt idx="4538">
                  <c:v>7-Jun-21</c:v>
                </c:pt>
                <c:pt idx="4539">
                  <c:v>8-Jun-21</c:v>
                </c:pt>
                <c:pt idx="4540">
                  <c:v>9-Jun-21</c:v>
                </c:pt>
                <c:pt idx="4541">
                  <c:v>10-Jun-21</c:v>
                </c:pt>
                <c:pt idx="4542">
                  <c:v>11-Jun-21</c:v>
                </c:pt>
                <c:pt idx="4543">
                  <c:v>12-Jun-21</c:v>
                </c:pt>
                <c:pt idx="4544">
                  <c:v>13-Jun-21</c:v>
                </c:pt>
                <c:pt idx="4545">
                  <c:v>14-Jun-21</c:v>
                </c:pt>
                <c:pt idx="4546">
                  <c:v>15-Jun-21</c:v>
                </c:pt>
                <c:pt idx="4547">
                  <c:v>16-Jun-21</c:v>
                </c:pt>
                <c:pt idx="4548">
                  <c:v>17-Jun-21</c:v>
                </c:pt>
                <c:pt idx="4549">
                  <c:v>18-Jun-21</c:v>
                </c:pt>
                <c:pt idx="4550">
                  <c:v>19-Jun-21</c:v>
                </c:pt>
                <c:pt idx="4551">
                  <c:v>20-Jun-21</c:v>
                </c:pt>
                <c:pt idx="4552">
                  <c:v>21-Jun-21</c:v>
                </c:pt>
                <c:pt idx="4553">
                  <c:v>22-Jun-21</c:v>
                </c:pt>
                <c:pt idx="4554">
                  <c:v>23-Jun-21</c:v>
                </c:pt>
                <c:pt idx="4555">
                  <c:v>24-Jun-21</c:v>
                </c:pt>
                <c:pt idx="4556">
                  <c:v>25-Jun-21</c:v>
                </c:pt>
                <c:pt idx="4557">
                  <c:v>26-Jun-21</c:v>
                </c:pt>
                <c:pt idx="4558">
                  <c:v>27-Jun-21</c:v>
                </c:pt>
                <c:pt idx="4559">
                  <c:v>28-Jun-21</c:v>
                </c:pt>
                <c:pt idx="4560">
                  <c:v>29-Jun-21</c:v>
                </c:pt>
                <c:pt idx="4561">
                  <c:v>30-Jun-21</c:v>
                </c:pt>
                <c:pt idx="4562">
                  <c:v>01juil.2021</c:v>
                </c:pt>
                <c:pt idx="4563">
                  <c:v>02juil.2021</c:v>
                </c:pt>
                <c:pt idx="4564">
                  <c:v>03juil.2021</c:v>
                </c:pt>
                <c:pt idx="4565">
                  <c:v>04juil.2021</c:v>
                </c:pt>
                <c:pt idx="4566">
                  <c:v>05juil.2021</c:v>
                </c:pt>
                <c:pt idx="4567">
                  <c:v>06juil.2021</c:v>
                </c:pt>
                <c:pt idx="4568">
                  <c:v>07juil.2021</c:v>
                </c:pt>
                <c:pt idx="4569">
                  <c:v>08juil.2021</c:v>
                </c:pt>
                <c:pt idx="4570">
                  <c:v>09juil.2021</c:v>
                </c:pt>
                <c:pt idx="4571">
                  <c:v>10juil.2021</c:v>
                </c:pt>
                <c:pt idx="4572">
                  <c:v>11juil.2021</c:v>
                </c:pt>
                <c:pt idx="4573">
                  <c:v>12juil.2021</c:v>
                </c:pt>
                <c:pt idx="4574">
                  <c:v>13juil.2021</c:v>
                </c:pt>
                <c:pt idx="4575">
                  <c:v>14juil.2021</c:v>
                </c:pt>
                <c:pt idx="4576">
                  <c:v>15juil.2021</c:v>
                </c:pt>
                <c:pt idx="4577">
                  <c:v>16juil.2021</c:v>
                </c:pt>
                <c:pt idx="4578">
                  <c:v>17juil.2021</c:v>
                </c:pt>
                <c:pt idx="4579">
                  <c:v>18juil.2021</c:v>
                </c:pt>
                <c:pt idx="4580">
                  <c:v>19juil.2021</c:v>
                </c:pt>
                <c:pt idx="4581">
                  <c:v>20juil.2021</c:v>
                </c:pt>
                <c:pt idx="4582">
                  <c:v>21juil.2021</c:v>
                </c:pt>
                <c:pt idx="4583">
                  <c:v>22juil.2021</c:v>
                </c:pt>
                <c:pt idx="4584">
                  <c:v>23juil.2021</c:v>
                </c:pt>
                <c:pt idx="4585">
                  <c:v>24juil.2021</c:v>
                </c:pt>
                <c:pt idx="4586">
                  <c:v>25juil.2021</c:v>
                </c:pt>
                <c:pt idx="4587">
                  <c:v>26juil.2021</c:v>
                </c:pt>
                <c:pt idx="4588">
                  <c:v>27juil.2021</c:v>
                </c:pt>
                <c:pt idx="4589">
                  <c:v>28juil.2021</c:v>
                </c:pt>
                <c:pt idx="4590">
                  <c:v>29juil.2021</c:v>
                </c:pt>
                <c:pt idx="4591">
                  <c:v>30juil.2021</c:v>
                </c:pt>
                <c:pt idx="4592">
                  <c:v>31juil.2021</c:v>
                </c:pt>
                <c:pt idx="4593">
                  <c:v>1-Aug-21</c:v>
                </c:pt>
                <c:pt idx="4594">
                  <c:v>2-Aug-21</c:v>
                </c:pt>
                <c:pt idx="4595">
                  <c:v>3-Aug-21</c:v>
                </c:pt>
                <c:pt idx="4596">
                  <c:v>4-Aug-21</c:v>
                </c:pt>
                <c:pt idx="4597">
                  <c:v>5-Aug-21</c:v>
                </c:pt>
                <c:pt idx="4598">
                  <c:v>6-Aug-21</c:v>
                </c:pt>
                <c:pt idx="4599">
                  <c:v>7-Aug-21</c:v>
                </c:pt>
                <c:pt idx="4600">
                  <c:v>8-Aug-21</c:v>
                </c:pt>
                <c:pt idx="4601">
                  <c:v>9-Aug-21</c:v>
                </c:pt>
                <c:pt idx="4602">
                  <c:v>10-Aug-21</c:v>
                </c:pt>
                <c:pt idx="4603">
                  <c:v>11-Aug-21</c:v>
                </c:pt>
                <c:pt idx="4604">
                  <c:v>12-Aug-21</c:v>
                </c:pt>
                <c:pt idx="4605">
                  <c:v>13-Aug-21</c:v>
                </c:pt>
                <c:pt idx="4606">
                  <c:v>14-Aug-21</c:v>
                </c:pt>
                <c:pt idx="4607">
                  <c:v>15-Aug-21</c:v>
                </c:pt>
                <c:pt idx="4608">
                  <c:v>16-Aug-21</c:v>
                </c:pt>
                <c:pt idx="4609">
                  <c:v>17-Aug-21</c:v>
                </c:pt>
                <c:pt idx="4610">
                  <c:v>18-Aug-21</c:v>
                </c:pt>
                <c:pt idx="4611">
                  <c:v>19-Aug-21</c:v>
                </c:pt>
                <c:pt idx="4612">
                  <c:v>20-Aug-21</c:v>
                </c:pt>
                <c:pt idx="4613">
                  <c:v>21-Aug-21</c:v>
                </c:pt>
                <c:pt idx="4614">
                  <c:v>22-Aug-21</c:v>
                </c:pt>
                <c:pt idx="4615">
                  <c:v>23-Aug-21</c:v>
                </c:pt>
                <c:pt idx="4616">
                  <c:v>24-Aug-21</c:v>
                </c:pt>
                <c:pt idx="4617">
                  <c:v>25-Aug-21</c:v>
                </c:pt>
                <c:pt idx="4618">
                  <c:v>26-Aug-21</c:v>
                </c:pt>
                <c:pt idx="4619">
                  <c:v>27-Aug-21</c:v>
                </c:pt>
                <c:pt idx="4620">
                  <c:v>28-Aug-21</c:v>
                </c:pt>
                <c:pt idx="4621">
                  <c:v>29-Aug-21</c:v>
                </c:pt>
                <c:pt idx="4622">
                  <c:v>30-Aug-21</c:v>
                </c:pt>
                <c:pt idx="4623">
                  <c:v>31-Aug-21</c:v>
                </c:pt>
                <c:pt idx="4624">
                  <c:v>01sept.2021</c:v>
                </c:pt>
                <c:pt idx="4625">
                  <c:v>02sept.2021</c:v>
                </c:pt>
                <c:pt idx="4626">
                  <c:v>03sept.2021</c:v>
                </c:pt>
                <c:pt idx="4627">
                  <c:v>04sept.2021</c:v>
                </c:pt>
                <c:pt idx="4628">
                  <c:v>05sept.2021</c:v>
                </c:pt>
                <c:pt idx="4629">
                  <c:v>06sept.2021</c:v>
                </c:pt>
                <c:pt idx="4630">
                  <c:v>07sept.2021</c:v>
                </c:pt>
                <c:pt idx="4631">
                  <c:v>08sept.2021</c:v>
                </c:pt>
                <c:pt idx="4632">
                  <c:v>09sept.2021</c:v>
                </c:pt>
                <c:pt idx="4633">
                  <c:v>10sept.2021</c:v>
                </c:pt>
                <c:pt idx="4634">
                  <c:v>11sept.2021</c:v>
                </c:pt>
                <c:pt idx="4635">
                  <c:v>12sept.2021</c:v>
                </c:pt>
                <c:pt idx="4636">
                  <c:v>13sept.2021</c:v>
                </c:pt>
                <c:pt idx="4637">
                  <c:v>14sept.2021</c:v>
                </c:pt>
                <c:pt idx="4638">
                  <c:v>15sept.2021</c:v>
                </c:pt>
                <c:pt idx="4639">
                  <c:v>16sept.2021</c:v>
                </c:pt>
                <c:pt idx="4640">
                  <c:v>17sept.2021</c:v>
                </c:pt>
                <c:pt idx="4641">
                  <c:v>18sept.2021</c:v>
                </c:pt>
                <c:pt idx="4642">
                  <c:v>19sept.2021</c:v>
                </c:pt>
                <c:pt idx="4643">
                  <c:v>20sept.2021</c:v>
                </c:pt>
                <c:pt idx="4644">
                  <c:v>21sept.2021</c:v>
                </c:pt>
                <c:pt idx="4645">
                  <c:v>22sept.2021</c:v>
                </c:pt>
                <c:pt idx="4646">
                  <c:v>23sept.2021</c:v>
                </c:pt>
                <c:pt idx="4647">
                  <c:v>24sept.2021</c:v>
                </c:pt>
                <c:pt idx="4648">
                  <c:v>25sept.2021</c:v>
                </c:pt>
                <c:pt idx="4649">
                  <c:v>26sept.2021</c:v>
                </c:pt>
                <c:pt idx="4650">
                  <c:v>27sept.2021</c:v>
                </c:pt>
                <c:pt idx="4651">
                  <c:v>28sept.2021</c:v>
                </c:pt>
                <c:pt idx="4652">
                  <c:v>29sept.2021</c:v>
                </c:pt>
                <c:pt idx="4653">
                  <c:v>30sept.2021</c:v>
                </c:pt>
                <c:pt idx="4654">
                  <c:v>01oct.2021</c:v>
                </c:pt>
                <c:pt idx="4655">
                  <c:v>02oct.2021</c:v>
                </c:pt>
                <c:pt idx="4656">
                  <c:v>03oct.2021</c:v>
                </c:pt>
                <c:pt idx="4657">
                  <c:v>04oct.2021</c:v>
                </c:pt>
                <c:pt idx="4658">
                  <c:v>05oct.2021</c:v>
                </c:pt>
                <c:pt idx="4659">
                  <c:v>06oct.2021</c:v>
                </c:pt>
                <c:pt idx="4660">
                  <c:v>07oct.2021</c:v>
                </c:pt>
                <c:pt idx="4661">
                  <c:v>08oct.2021</c:v>
                </c:pt>
                <c:pt idx="4662">
                  <c:v>09oct.2021</c:v>
                </c:pt>
                <c:pt idx="4663">
                  <c:v>10oct.2021</c:v>
                </c:pt>
                <c:pt idx="4664">
                  <c:v>11oct.2021</c:v>
                </c:pt>
                <c:pt idx="4665">
                  <c:v>12oct.2021</c:v>
                </c:pt>
                <c:pt idx="4666">
                  <c:v>13oct.2021</c:v>
                </c:pt>
                <c:pt idx="4667">
                  <c:v>14oct.2021</c:v>
                </c:pt>
                <c:pt idx="4668">
                  <c:v>15oct.2021</c:v>
                </c:pt>
                <c:pt idx="4669">
                  <c:v>16oct.2021</c:v>
                </c:pt>
                <c:pt idx="4670">
                  <c:v>17oct.2021</c:v>
                </c:pt>
                <c:pt idx="4671">
                  <c:v>18oct.2021</c:v>
                </c:pt>
                <c:pt idx="4672">
                  <c:v>19oct.2021</c:v>
                </c:pt>
                <c:pt idx="4673">
                  <c:v>20oct.2021</c:v>
                </c:pt>
                <c:pt idx="4674">
                  <c:v>21oct.2021</c:v>
                </c:pt>
                <c:pt idx="4675">
                  <c:v>22oct.2021</c:v>
                </c:pt>
                <c:pt idx="4676">
                  <c:v>23oct.2021</c:v>
                </c:pt>
                <c:pt idx="4677">
                  <c:v>24oct.2021</c:v>
                </c:pt>
                <c:pt idx="4678">
                  <c:v>25oct.2021</c:v>
                </c:pt>
                <c:pt idx="4679">
                  <c:v>26oct.2021</c:v>
                </c:pt>
                <c:pt idx="4680">
                  <c:v>27oct.2021</c:v>
                </c:pt>
                <c:pt idx="4681">
                  <c:v>28oct.2021</c:v>
                </c:pt>
                <c:pt idx="4682">
                  <c:v>29oct.2021</c:v>
                </c:pt>
                <c:pt idx="4683">
                  <c:v>30oct.2021</c:v>
                </c:pt>
                <c:pt idx="4684">
                  <c:v>31oct.2021</c:v>
                </c:pt>
                <c:pt idx="4685">
                  <c:v>01nov.2021</c:v>
                </c:pt>
                <c:pt idx="4686">
                  <c:v>02nov.2021</c:v>
                </c:pt>
                <c:pt idx="4687">
                  <c:v>03nov.2021</c:v>
                </c:pt>
                <c:pt idx="4688">
                  <c:v>04nov.2021</c:v>
                </c:pt>
                <c:pt idx="4689">
                  <c:v>05nov.2021</c:v>
                </c:pt>
                <c:pt idx="4690">
                  <c:v>06nov.2021</c:v>
                </c:pt>
                <c:pt idx="4691">
                  <c:v>07nov.2021</c:v>
                </c:pt>
                <c:pt idx="4692">
                  <c:v>08nov.2021</c:v>
                </c:pt>
                <c:pt idx="4693">
                  <c:v>09nov.2021</c:v>
                </c:pt>
                <c:pt idx="4694">
                  <c:v>10nov.2021</c:v>
                </c:pt>
                <c:pt idx="4695">
                  <c:v>11nov.2021</c:v>
                </c:pt>
                <c:pt idx="4696">
                  <c:v>12nov.2021</c:v>
                </c:pt>
                <c:pt idx="4697">
                  <c:v>13nov.2021</c:v>
                </c:pt>
                <c:pt idx="4698">
                  <c:v>14nov.2021</c:v>
                </c:pt>
                <c:pt idx="4699">
                  <c:v>15nov.2021</c:v>
                </c:pt>
                <c:pt idx="4700">
                  <c:v>16nov.2021</c:v>
                </c:pt>
                <c:pt idx="4701">
                  <c:v>17nov.2021</c:v>
                </c:pt>
                <c:pt idx="4702">
                  <c:v>18nov.2021</c:v>
                </c:pt>
                <c:pt idx="4703">
                  <c:v>19nov.2021</c:v>
                </c:pt>
                <c:pt idx="4704">
                  <c:v>20nov.2021</c:v>
                </c:pt>
                <c:pt idx="4705">
                  <c:v>21nov.2021</c:v>
                </c:pt>
                <c:pt idx="4706">
                  <c:v>22nov.2021</c:v>
                </c:pt>
                <c:pt idx="4707">
                  <c:v>23nov.2021</c:v>
                </c:pt>
                <c:pt idx="4708">
                  <c:v>24nov.2021</c:v>
                </c:pt>
                <c:pt idx="4709">
                  <c:v>25nov.2021</c:v>
                </c:pt>
                <c:pt idx="4710">
                  <c:v>26nov.2021</c:v>
                </c:pt>
                <c:pt idx="4711">
                  <c:v>27nov.2021</c:v>
                </c:pt>
                <c:pt idx="4712">
                  <c:v>28nov.2021</c:v>
                </c:pt>
                <c:pt idx="4713">
                  <c:v>29nov.2021</c:v>
                </c:pt>
                <c:pt idx="4714">
                  <c:v>30nov.2021</c:v>
                </c:pt>
                <c:pt idx="4715">
                  <c:v>01déc.2021</c:v>
                </c:pt>
                <c:pt idx="4716">
                  <c:v>02déc.2021</c:v>
                </c:pt>
                <c:pt idx="4717">
                  <c:v>03déc.2021</c:v>
                </c:pt>
                <c:pt idx="4718">
                  <c:v>04déc.2021</c:v>
                </c:pt>
                <c:pt idx="4719">
                  <c:v>05déc.2021</c:v>
                </c:pt>
                <c:pt idx="4720">
                  <c:v>06déc.2021</c:v>
                </c:pt>
                <c:pt idx="4721">
                  <c:v>07déc.2021</c:v>
                </c:pt>
                <c:pt idx="4722">
                  <c:v>08déc.2021</c:v>
                </c:pt>
                <c:pt idx="4723">
                  <c:v>09déc.2021</c:v>
                </c:pt>
                <c:pt idx="4724">
                  <c:v>10déc.2021</c:v>
                </c:pt>
                <c:pt idx="4725">
                  <c:v>11déc.2021</c:v>
                </c:pt>
                <c:pt idx="4726">
                  <c:v>12déc.2021</c:v>
                </c:pt>
                <c:pt idx="4727">
                  <c:v>13déc.2021</c:v>
                </c:pt>
                <c:pt idx="4728">
                  <c:v>14déc.2021</c:v>
                </c:pt>
                <c:pt idx="4729">
                  <c:v>15déc.2021</c:v>
                </c:pt>
                <c:pt idx="4730">
                  <c:v>16déc.2021</c:v>
                </c:pt>
                <c:pt idx="4731">
                  <c:v>17déc.2021</c:v>
                </c:pt>
                <c:pt idx="4732">
                  <c:v>18déc.2021</c:v>
                </c:pt>
                <c:pt idx="4733">
                  <c:v>19déc.2021</c:v>
                </c:pt>
                <c:pt idx="4734">
                  <c:v>20déc.2021</c:v>
                </c:pt>
                <c:pt idx="4735">
                  <c:v>21déc.2021</c:v>
                </c:pt>
                <c:pt idx="4736">
                  <c:v>22déc.2021</c:v>
                </c:pt>
                <c:pt idx="4737">
                  <c:v>23déc.2021</c:v>
                </c:pt>
                <c:pt idx="4738">
                  <c:v>24déc.2021</c:v>
                </c:pt>
                <c:pt idx="4739">
                  <c:v>25déc.2021</c:v>
                </c:pt>
                <c:pt idx="4740">
                  <c:v>26déc.2021</c:v>
                </c:pt>
                <c:pt idx="4741">
                  <c:v>27déc.2021</c:v>
                </c:pt>
                <c:pt idx="4742">
                  <c:v>28déc.2021</c:v>
                </c:pt>
                <c:pt idx="4743">
                  <c:v>29déc.2021</c:v>
                </c:pt>
                <c:pt idx="4744">
                  <c:v>30déc.2021</c:v>
                </c:pt>
                <c:pt idx="4745">
                  <c:v>31déc.2021</c:v>
                </c:pt>
                <c:pt idx="4746">
                  <c:v>01janv.2022</c:v>
                </c:pt>
                <c:pt idx="4747">
                  <c:v>02janv.2022</c:v>
                </c:pt>
                <c:pt idx="4748">
                  <c:v>03janv.2022</c:v>
                </c:pt>
                <c:pt idx="4749">
                  <c:v>04janv.2022</c:v>
                </c:pt>
                <c:pt idx="4750">
                  <c:v>05janv.2022</c:v>
                </c:pt>
                <c:pt idx="4751">
                  <c:v>06janv.2022</c:v>
                </c:pt>
                <c:pt idx="4752">
                  <c:v>07janv.2022</c:v>
                </c:pt>
                <c:pt idx="4753">
                  <c:v>08janv.2022</c:v>
                </c:pt>
                <c:pt idx="4754">
                  <c:v>09janv.2022</c:v>
                </c:pt>
                <c:pt idx="4755">
                  <c:v>10janv.2022</c:v>
                </c:pt>
                <c:pt idx="4756">
                  <c:v>11janv.2022</c:v>
                </c:pt>
                <c:pt idx="4757">
                  <c:v>12janv.2022</c:v>
                </c:pt>
                <c:pt idx="4758">
                  <c:v>13janv.2022</c:v>
                </c:pt>
                <c:pt idx="4759">
                  <c:v>14janv.2022</c:v>
                </c:pt>
                <c:pt idx="4760">
                  <c:v>15janv.2022</c:v>
                </c:pt>
                <c:pt idx="4761">
                  <c:v>16janv.2022</c:v>
                </c:pt>
                <c:pt idx="4762">
                  <c:v>17janv.2022</c:v>
                </c:pt>
                <c:pt idx="4763">
                  <c:v>18janv.2022</c:v>
                </c:pt>
                <c:pt idx="4764">
                  <c:v>19janv.2022</c:v>
                </c:pt>
                <c:pt idx="4765">
                  <c:v>20janv.2022</c:v>
                </c:pt>
                <c:pt idx="4766">
                  <c:v>21janv.2022</c:v>
                </c:pt>
                <c:pt idx="4767">
                  <c:v>22janv.2022</c:v>
                </c:pt>
                <c:pt idx="4768">
                  <c:v>23janv.2022</c:v>
                </c:pt>
                <c:pt idx="4769">
                  <c:v>24janv.2022</c:v>
                </c:pt>
                <c:pt idx="4770">
                  <c:v>25janv.2022</c:v>
                </c:pt>
                <c:pt idx="4771">
                  <c:v>26janv.2022</c:v>
                </c:pt>
                <c:pt idx="4772">
                  <c:v>27janv.2022</c:v>
                </c:pt>
                <c:pt idx="4773">
                  <c:v>28janv.2022</c:v>
                </c:pt>
                <c:pt idx="4774">
                  <c:v>29janv.2022</c:v>
                </c:pt>
                <c:pt idx="4775">
                  <c:v>30janv.2022</c:v>
                </c:pt>
                <c:pt idx="4776">
                  <c:v>31janv.2022</c:v>
                </c:pt>
                <c:pt idx="4777">
                  <c:v>01févr.2022</c:v>
                </c:pt>
                <c:pt idx="4778">
                  <c:v>02févr.2022</c:v>
                </c:pt>
                <c:pt idx="4779">
                  <c:v>03févr.2022</c:v>
                </c:pt>
                <c:pt idx="4780">
                  <c:v>04févr.2022</c:v>
                </c:pt>
                <c:pt idx="4781">
                  <c:v>05févr.2022</c:v>
                </c:pt>
                <c:pt idx="4782">
                  <c:v>06févr.2022</c:v>
                </c:pt>
                <c:pt idx="4783">
                  <c:v>07févr.2022</c:v>
                </c:pt>
                <c:pt idx="4784">
                  <c:v>08févr.2022</c:v>
                </c:pt>
                <c:pt idx="4785">
                  <c:v>09févr.2022</c:v>
                </c:pt>
                <c:pt idx="4786">
                  <c:v>10févr.2022</c:v>
                </c:pt>
                <c:pt idx="4787">
                  <c:v>11févr.2022</c:v>
                </c:pt>
                <c:pt idx="4788">
                  <c:v>12févr.2022</c:v>
                </c:pt>
                <c:pt idx="4789">
                  <c:v>13févr.2022</c:v>
                </c:pt>
                <c:pt idx="4790">
                  <c:v>14févr.2022</c:v>
                </c:pt>
                <c:pt idx="4791">
                  <c:v>15févr.2022</c:v>
                </c:pt>
                <c:pt idx="4792">
                  <c:v>16févr.2022</c:v>
                </c:pt>
                <c:pt idx="4793">
                  <c:v>17févr.2022</c:v>
                </c:pt>
                <c:pt idx="4794">
                  <c:v>18févr.2022</c:v>
                </c:pt>
                <c:pt idx="4795">
                  <c:v>19févr.2022</c:v>
                </c:pt>
                <c:pt idx="4796">
                  <c:v>20févr.2022</c:v>
                </c:pt>
                <c:pt idx="4797">
                  <c:v>21févr.2022</c:v>
                </c:pt>
                <c:pt idx="4798">
                  <c:v>22févr.2022</c:v>
                </c:pt>
                <c:pt idx="4799">
                  <c:v>23févr.2022</c:v>
                </c:pt>
                <c:pt idx="4800">
                  <c:v>24févr.2022</c:v>
                </c:pt>
                <c:pt idx="4801">
                  <c:v>25févr.2022</c:v>
                </c:pt>
                <c:pt idx="4802">
                  <c:v>26févr.2022</c:v>
                </c:pt>
                <c:pt idx="4803">
                  <c:v>27févr.2022</c:v>
                </c:pt>
                <c:pt idx="4804">
                  <c:v>28févr.2022</c:v>
                </c:pt>
                <c:pt idx="4805">
                  <c:v>1-Mar-22</c:v>
                </c:pt>
                <c:pt idx="4806">
                  <c:v>2-Mar-22</c:v>
                </c:pt>
                <c:pt idx="4807">
                  <c:v>3-Mar-22</c:v>
                </c:pt>
                <c:pt idx="4808">
                  <c:v>4-Mar-22</c:v>
                </c:pt>
                <c:pt idx="4809">
                  <c:v>5-Mar-22</c:v>
                </c:pt>
                <c:pt idx="4810">
                  <c:v>6-Mar-22</c:v>
                </c:pt>
                <c:pt idx="4811">
                  <c:v>7-Mar-22</c:v>
                </c:pt>
                <c:pt idx="4812">
                  <c:v>8-Mar-22</c:v>
                </c:pt>
                <c:pt idx="4813">
                  <c:v>9-Mar-22</c:v>
                </c:pt>
                <c:pt idx="4814">
                  <c:v>10-Mar-22</c:v>
                </c:pt>
                <c:pt idx="4815">
                  <c:v>11-Mar-22</c:v>
                </c:pt>
                <c:pt idx="4816">
                  <c:v>12-Mar-22</c:v>
                </c:pt>
                <c:pt idx="4817">
                  <c:v>13-Mar-22</c:v>
                </c:pt>
                <c:pt idx="4818">
                  <c:v>14-Mar-22</c:v>
                </c:pt>
                <c:pt idx="4819">
                  <c:v>15-Mar-22</c:v>
                </c:pt>
                <c:pt idx="4820">
                  <c:v>16-Mar-22</c:v>
                </c:pt>
                <c:pt idx="4821">
                  <c:v>17-Mar-22</c:v>
                </c:pt>
                <c:pt idx="4822">
                  <c:v>18-Mar-22</c:v>
                </c:pt>
                <c:pt idx="4823">
                  <c:v>19-Mar-22</c:v>
                </c:pt>
                <c:pt idx="4824">
                  <c:v>20-Mar-22</c:v>
                </c:pt>
                <c:pt idx="4825">
                  <c:v>21-Mar-22</c:v>
                </c:pt>
                <c:pt idx="4826">
                  <c:v>22-Mar-22</c:v>
                </c:pt>
                <c:pt idx="4827">
                  <c:v>23-Mar-22</c:v>
                </c:pt>
                <c:pt idx="4828">
                  <c:v>24-Mar-22</c:v>
                </c:pt>
                <c:pt idx="4829">
                  <c:v>25-Mar-22</c:v>
                </c:pt>
                <c:pt idx="4830">
                  <c:v>26-Mar-22</c:v>
                </c:pt>
                <c:pt idx="4831">
                  <c:v>27-Mar-22</c:v>
                </c:pt>
                <c:pt idx="4832">
                  <c:v>28-Mar-22</c:v>
                </c:pt>
                <c:pt idx="4833">
                  <c:v>29-Mar-22</c:v>
                </c:pt>
                <c:pt idx="4834">
                  <c:v>30-Mar-22</c:v>
                </c:pt>
                <c:pt idx="4835">
                  <c:v>31-Mar-22</c:v>
                </c:pt>
                <c:pt idx="4836">
                  <c:v>01avr.2022</c:v>
                </c:pt>
                <c:pt idx="4837">
                  <c:v>02avr.2022</c:v>
                </c:pt>
                <c:pt idx="4838">
                  <c:v>03avr.2022</c:v>
                </c:pt>
                <c:pt idx="4839">
                  <c:v>04avr.2022</c:v>
                </c:pt>
                <c:pt idx="4840">
                  <c:v>05avr.2022</c:v>
                </c:pt>
                <c:pt idx="4841">
                  <c:v>06avr.2022</c:v>
                </c:pt>
                <c:pt idx="4842">
                  <c:v>07avr.2022</c:v>
                </c:pt>
                <c:pt idx="4843">
                  <c:v>08avr.2022</c:v>
                </c:pt>
                <c:pt idx="4844">
                  <c:v>09avr.2022</c:v>
                </c:pt>
                <c:pt idx="4845">
                  <c:v>10avr.2022</c:v>
                </c:pt>
                <c:pt idx="4846">
                  <c:v>11avr.2022</c:v>
                </c:pt>
                <c:pt idx="4847">
                  <c:v>12avr.2022</c:v>
                </c:pt>
                <c:pt idx="4848">
                  <c:v>13avr.2022</c:v>
                </c:pt>
                <c:pt idx="4849">
                  <c:v>14avr.2022</c:v>
                </c:pt>
                <c:pt idx="4850">
                  <c:v>15avr.2022</c:v>
                </c:pt>
                <c:pt idx="4851">
                  <c:v>16avr.2022</c:v>
                </c:pt>
                <c:pt idx="4852">
                  <c:v>17avr.2022</c:v>
                </c:pt>
                <c:pt idx="4853">
                  <c:v>18avr.2022</c:v>
                </c:pt>
                <c:pt idx="4854">
                  <c:v>19avr.2022</c:v>
                </c:pt>
                <c:pt idx="4855">
                  <c:v>20avr.2022</c:v>
                </c:pt>
                <c:pt idx="4856">
                  <c:v>21avr.2022</c:v>
                </c:pt>
                <c:pt idx="4857">
                  <c:v>22avr.2022</c:v>
                </c:pt>
                <c:pt idx="4858">
                  <c:v>23avr.2022</c:v>
                </c:pt>
                <c:pt idx="4859">
                  <c:v>24avr.2022</c:v>
                </c:pt>
                <c:pt idx="4860">
                  <c:v>25avr.2022</c:v>
                </c:pt>
                <c:pt idx="4861">
                  <c:v>26avr.2022</c:v>
                </c:pt>
                <c:pt idx="4862">
                  <c:v>27avr.2022</c:v>
                </c:pt>
                <c:pt idx="4863">
                  <c:v>28avr.2022</c:v>
                </c:pt>
                <c:pt idx="4864">
                  <c:v>29avr.2022</c:v>
                </c:pt>
                <c:pt idx="4865">
                  <c:v>30avr.2022</c:v>
                </c:pt>
                <c:pt idx="4866">
                  <c:v>1-May-22</c:v>
                </c:pt>
                <c:pt idx="4867">
                  <c:v>2-May-22</c:v>
                </c:pt>
                <c:pt idx="4868">
                  <c:v>3-May-22</c:v>
                </c:pt>
                <c:pt idx="4869">
                  <c:v>4-May-22</c:v>
                </c:pt>
                <c:pt idx="4870">
                  <c:v>5-May-22</c:v>
                </c:pt>
                <c:pt idx="4871">
                  <c:v>6-May-22</c:v>
                </c:pt>
                <c:pt idx="4872">
                  <c:v>7-May-22</c:v>
                </c:pt>
                <c:pt idx="4873">
                  <c:v>8-May-22</c:v>
                </c:pt>
                <c:pt idx="4874">
                  <c:v>9-May-22</c:v>
                </c:pt>
                <c:pt idx="4875">
                  <c:v>10-May-22</c:v>
                </c:pt>
                <c:pt idx="4876">
                  <c:v>11-May-22</c:v>
                </c:pt>
                <c:pt idx="4877">
                  <c:v>12-May-22</c:v>
                </c:pt>
                <c:pt idx="4878">
                  <c:v>13-May-22</c:v>
                </c:pt>
                <c:pt idx="4879">
                  <c:v>14-May-22</c:v>
                </c:pt>
                <c:pt idx="4880">
                  <c:v>15-May-22</c:v>
                </c:pt>
                <c:pt idx="4881">
                  <c:v>16-May-22</c:v>
                </c:pt>
                <c:pt idx="4882">
                  <c:v>17-May-22</c:v>
                </c:pt>
                <c:pt idx="4883">
                  <c:v>18-May-22</c:v>
                </c:pt>
                <c:pt idx="4884">
                  <c:v>19-May-22</c:v>
                </c:pt>
                <c:pt idx="4885">
                  <c:v>20-May-22</c:v>
                </c:pt>
                <c:pt idx="4886">
                  <c:v>21-May-22</c:v>
                </c:pt>
                <c:pt idx="4887">
                  <c:v>22-May-22</c:v>
                </c:pt>
                <c:pt idx="4888">
                  <c:v>23-May-22</c:v>
                </c:pt>
                <c:pt idx="4889">
                  <c:v>24-May-22</c:v>
                </c:pt>
                <c:pt idx="4890">
                  <c:v>25-May-22</c:v>
                </c:pt>
                <c:pt idx="4891">
                  <c:v>26-May-22</c:v>
                </c:pt>
                <c:pt idx="4892">
                  <c:v>27-May-22</c:v>
                </c:pt>
                <c:pt idx="4893">
                  <c:v>28-May-22</c:v>
                </c:pt>
                <c:pt idx="4894">
                  <c:v>29-May-22</c:v>
                </c:pt>
                <c:pt idx="4895">
                  <c:v>30-May-22</c:v>
                </c:pt>
                <c:pt idx="4896">
                  <c:v>31-May-22</c:v>
                </c:pt>
                <c:pt idx="4897">
                  <c:v>1-Jun-22</c:v>
                </c:pt>
                <c:pt idx="4898">
                  <c:v>2-Jun-22</c:v>
                </c:pt>
                <c:pt idx="4899">
                  <c:v>3-Jun-22</c:v>
                </c:pt>
                <c:pt idx="4900">
                  <c:v>4-Jun-22</c:v>
                </c:pt>
                <c:pt idx="4901">
                  <c:v>5-Jun-22</c:v>
                </c:pt>
                <c:pt idx="4902">
                  <c:v>6-Jun-22</c:v>
                </c:pt>
                <c:pt idx="4903">
                  <c:v>7-Jun-22</c:v>
                </c:pt>
                <c:pt idx="4904">
                  <c:v>8-Jun-22</c:v>
                </c:pt>
                <c:pt idx="4905">
                  <c:v>9-Jun-22</c:v>
                </c:pt>
                <c:pt idx="4906">
                  <c:v>10-Jun-22</c:v>
                </c:pt>
                <c:pt idx="4907">
                  <c:v>11-Jun-22</c:v>
                </c:pt>
                <c:pt idx="4908">
                  <c:v>12-Jun-22</c:v>
                </c:pt>
                <c:pt idx="4909">
                  <c:v>13-Jun-22</c:v>
                </c:pt>
                <c:pt idx="4910">
                  <c:v>14-Jun-22</c:v>
                </c:pt>
                <c:pt idx="4911">
                  <c:v>15-Jun-22</c:v>
                </c:pt>
                <c:pt idx="4912">
                  <c:v>16-Jun-22</c:v>
                </c:pt>
                <c:pt idx="4913">
                  <c:v>17-Jun-22</c:v>
                </c:pt>
                <c:pt idx="4914">
                  <c:v>18-Jun-22</c:v>
                </c:pt>
                <c:pt idx="4915">
                  <c:v>19-Jun-22</c:v>
                </c:pt>
                <c:pt idx="4916">
                  <c:v>20-Jun-22</c:v>
                </c:pt>
                <c:pt idx="4917">
                  <c:v>21-Jun-22</c:v>
                </c:pt>
                <c:pt idx="4918">
                  <c:v>22-Jun-22</c:v>
                </c:pt>
                <c:pt idx="4919">
                  <c:v>23-Jun-22</c:v>
                </c:pt>
                <c:pt idx="4920">
                  <c:v>24-Jun-22</c:v>
                </c:pt>
                <c:pt idx="4921">
                  <c:v>25-Jun-22</c:v>
                </c:pt>
                <c:pt idx="4922">
                  <c:v>26-Jun-22</c:v>
                </c:pt>
                <c:pt idx="4923">
                  <c:v>27-Jun-22</c:v>
                </c:pt>
                <c:pt idx="4924">
                  <c:v>28-Jun-22</c:v>
                </c:pt>
                <c:pt idx="4925">
                  <c:v>29-Jun-22</c:v>
                </c:pt>
                <c:pt idx="4926">
                  <c:v>30-Jun-22</c:v>
                </c:pt>
                <c:pt idx="4927">
                  <c:v>01juil.2022</c:v>
                </c:pt>
                <c:pt idx="4928">
                  <c:v>02juil.2022</c:v>
                </c:pt>
                <c:pt idx="4929">
                  <c:v>03juil.2022</c:v>
                </c:pt>
                <c:pt idx="4930">
                  <c:v>04juil.2022</c:v>
                </c:pt>
                <c:pt idx="4931">
                  <c:v>05juil.2022</c:v>
                </c:pt>
                <c:pt idx="4932">
                  <c:v>06juil.2022</c:v>
                </c:pt>
                <c:pt idx="4933">
                  <c:v>07juil.2022</c:v>
                </c:pt>
                <c:pt idx="4934">
                  <c:v>08juil.2022</c:v>
                </c:pt>
                <c:pt idx="4935">
                  <c:v>09juil.2022</c:v>
                </c:pt>
                <c:pt idx="4936">
                  <c:v>10juil.2022</c:v>
                </c:pt>
                <c:pt idx="4937">
                  <c:v>11juil.2022</c:v>
                </c:pt>
                <c:pt idx="4938">
                  <c:v>12juil.2022</c:v>
                </c:pt>
                <c:pt idx="4939">
                  <c:v>13juil.2022</c:v>
                </c:pt>
                <c:pt idx="4940">
                  <c:v>14juil.2022</c:v>
                </c:pt>
                <c:pt idx="4941">
                  <c:v>15juil.2022</c:v>
                </c:pt>
                <c:pt idx="4942">
                  <c:v>16juil.2022</c:v>
                </c:pt>
                <c:pt idx="4943">
                  <c:v>17juil.2022</c:v>
                </c:pt>
                <c:pt idx="4944">
                  <c:v>18juil.2022</c:v>
                </c:pt>
                <c:pt idx="4945">
                  <c:v>19juil.2022</c:v>
                </c:pt>
                <c:pt idx="4946">
                  <c:v>20juil.2022</c:v>
                </c:pt>
                <c:pt idx="4947">
                  <c:v>21juil.2022</c:v>
                </c:pt>
                <c:pt idx="4948">
                  <c:v>22juil.2022</c:v>
                </c:pt>
                <c:pt idx="4949">
                  <c:v>23juil.2022</c:v>
                </c:pt>
                <c:pt idx="4950">
                  <c:v>24juil.2022</c:v>
                </c:pt>
                <c:pt idx="4951">
                  <c:v>25juil.2022</c:v>
                </c:pt>
                <c:pt idx="4952">
                  <c:v>26juil.2022</c:v>
                </c:pt>
                <c:pt idx="4953">
                  <c:v>27juil.2022</c:v>
                </c:pt>
                <c:pt idx="4954">
                  <c:v>28juil.2022</c:v>
                </c:pt>
                <c:pt idx="4955">
                  <c:v>29juil.2022</c:v>
                </c:pt>
                <c:pt idx="4956">
                  <c:v>30juil.2022</c:v>
                </c:pt>
                <c:pt idx="4957">
                  <c:v>31juil.2022</c:v>
                </c:pt>
                <c:pt idx="4958">
                  <c:v>1-Aug-22</c:v>
                </c:pt>
                <c:pt idx="4959">
                  <c:v>2-Aug-22</c:v>
                </c:pt>
                <c:pt idx="4960">
                  <c:v>3-Aug-22</c:v>
                </c:pt>
                <c:pt idx="4961">
                  <c:v>4-Aug-22</c:v>
                </c:pt>
                <c:pt idx="4962">
                  <c:v>5-Aug-22</c:v>
                </c:pt>
                <c:pt idx="4963">
                  <c:v>6-Aug-22</c:v>
                </c:pt>
                <c:pt idx="4964">
                  <c:v>7-Aug-22</c:v>
                </c:pt>
                <c:pt idx="4965">
                  <c:v>8-Aug-22</c:v>
                </c:pt>
                <c:pt idx="4966">
                  <c:v>9-Aug-22</c:v>
                </c:pt>
                <c:pt idx="4967">
                  <c:v>10-Aug-22</c:v>
                </c:pt>
                <c:pt idx="4968">
                  <c:v>11-Aug-22</c:v>
                </c:pt>
                <c:pt idx="4969">
                  <c:v>12-Aug-22</c:v>
                </c:pt>
                <c:pt idx="4970">
                  <c:v>13-Aug-22</c:v>
                </c:pt>
                <c:pt idx="4971">
                  <c:v>14-Aug-22</c:v>
                </c:pt>
                <c:pt idx="4972">
                  <c:v>15-Aug-22</c:v>
                </c:pt>
                <c:pt idx="4973">
                  <c:v>16-Aug-22</c:v>
                </c:pt>
                <c:pt idx="4974">
                  <c:v>17-Aug-22</c:v>
                </c:pt>
                <c:pt idx="4975">
                  <c:v>18-Aug-22</c:v>
                </c:pt>
                <c:pt idx="4976">
                  <c:v>19-Aug-22</c:v>
                </c:pt>
                <c:pt idx="4977">
                  <c:v>20-Aug-22</c:v>
                </c:pt>
                <c:pt idx="4978">
                  <c:v>21-Aug-22</c:v>
                </c:pt>
                <c:pt idx="4979">
                  <c:v>22-Aug-22</c:v>
                </c:pt>
                <c:pt idx="4980">
                  <c:v>23-Aug-22</c:v>
                </c:pt>
                <c:pt idx="4981">
                  <c:v>24-Aug-22</c:v>
                </c:pt>
                <c:pt idx="4982">
                  <c:v>25-Aug-22</c:v>
                </c:pt>
                <c:pt idx="4983">
                  <c:v>26-Aug-22</c:v>
                </c:pt>
                <c:pt idx="4984">
                  <c:v>27-Aug-22</c:v>
                </c:pt>
                <c:pt idx="4985">
                  <c:v>28-Aug-22</c:v>
                </c:pt>
                <c:pt idx="4986">
                  <c:v>29-Aug-22</c:v>
                </c:pt>
                <c:pt idx="4987">
                  <c:v>30-Aug-22</c:v>
                </c:pt>
                <c:pt idx="4988">
                  <c:v>31-Aug-22</c:v>
                </c:pt>
                <c:pt idx="4989">
                  <c:v>01sept.2022</c:v>
                </c:pt>
                <c:pt idx="4990">
                  <c:v>02sept.2022</c:v>
                </c:pt>
                <c:pt idx="4991">
                  <c:v>03sept.2022</c:v>
                </c:pt>
                <c:pt idx="4992">
                  <c:v>04sept.2022</c:v>
                </c:pt>
                <c:pt idx="4993">
                  <c:v>05sept.2022</c:v>
                </c:pt>
                <c:pt idx="4994">
                  <c:v>06sept.2022</c:v>
                </c:pt>
                <c:pt idx="4995">
                  <c:v>07sept.2022</c:v>
                </c:pt>
                <c:pt idx="4996">
                  <c:v>08sept.2022</c:v>
                </c:pt>
                <c:pt idx="4997">
                  <c:v>09sept.2022</c:v>
                </c:pt>
                <c:pt idx="4998">
                  <c:v>10sept.2022</c:v>
                </c:pt>
                <c:pt idx="4999">
                  <c:v>11sept.2022</c:v>
                </c:pt>
                <c:pt idx="5000">
                  <c:v>12sept.2022</c:v>
                </c:pt>
                <c:pt idx="5001">
                  <c:v>13sept.2022</c:v>
                </c:pt>
                <c:pt idx="5002">
                  <c:v>14sept.2022</c:v>
                </c:pt>
                <c:pt idx="5003">
                  <c:v>15sept.2022</c:v>
                </c:pt>
                <c:pt idx="5004">
                  <c:v>16sept.2022</c:v>
                </c:pt>
                <c:pt idx="5005">
                  <c:v>17sept.2022</c:v>
                </c:pt>
                <c:pt idx="5006">
                  <c:v>18sept.2022</c:v>
                </c:pt>
                <c:pt idx="5007">
                  <c:v>19sept.2022</c:v>
                </c:pt>
                <c:pt idx="5008">
                  <c:v>20sept.2022</c:v>
                </c:pt>
                <c:pt idx="5009">
                  <c:v>21sept.2022</c:v>
                </c:pt>
                <c:pt idx="5010">
                  <c:v>22sept.2022</c:v>
                </c:pt>
                <c:pt idx="5011">
                  <c:v>23sept.2022</c:v>
                </c:pt>
                <c:pt idx="5012">
                  <c:v>24sept.2022</c:v>
                </c:pt>
                <c:pt idx="5013">
                  <c:v>25sept.2022</c:v>
                </c:pt>
                <c:pt idx="5014">
                  <c:v>26sept.2022</c:v>
                </c:pt>
                <c:pt idx="5015">
                  <c:v>27sept.2022</c:v>
                </c:pt>
                <c:pt idx="5016">
                  <c:v>28sept.2022</c:v>
                </c:pt>
                <c:pt idx="5017">
                  <c:v>29sept.2022</c:v>
                </c:pt>
                <c:pt idx="5018">
                  <c:v>30sept.2022</c:v>
                </c:pt>
                <c:pt idx="5019">
                  <c:v>01oct.2022</c:v>
                </c:pt>
                <c:pt idx="5020">
                  <c:v>02oct.2022</c:v>
                </c:pt>
                <c:pt idx="5021">
                  <c:v>03oct.2022</c:v>
                </c:pt>
                <c:pt idx="5022">
                  <c:v>04oct.2022</c:v>
                </c:pt>
                <c:pt idx="5023">
                  <c:v>05oct.2022</c:v>
                </c:pt>
                <c:pt idx="5024">
                  <c:v>06oct.2022</c:v>
                </c:pt>
                <c:pt idx="5025">
                  <c:v>07oct.2022</c:v>
                </c:pt>
                <c:pt idx="5026">
                  <c:v>08oct.2022</c:v>
                </c:pt>
                <c:pt idx="5027">
                  <c:v>09oct.2022</c:v>
                </c:pt>
                <c:pt idx="5028">
                  <c:v>10oct.2022</c:v>
                </c:pt>
                <c:pt idx="5029">
                  <c:v>11oct.2022</c:v>
                </c:pt>
                <c:pt idx="5030">
                  <c:v>12oct.2022</c:v>
                </c:pt>
                <c:pt idx="5031">
                  <c:v>13oct.2022</c:v>
                </c:pt>
                <c:pt idx="5032">
                  <c:v>14oct.2022</c:v>
                </c:pt>
                <c:pt idx="5033">
                  <c:v>15oct.2022</c:v>
                </c:pt>
                <c:pt idx="5034">
                  <c:v>16oct.2022</c:v>
                </c:pt>
                <c:pt idx="5035">
                  <c:v>17oct.2022</c:v>
                </c:pt>
                <c:pt idx="5036">
                  <c:v>18oct.2022</c:v>
                </c:pt>
                <c:pt idx="5037">
                  <c:v>19oct.2022</c:v>
                </c:pt>
                <c:pt idx="5038">
                  <c:v>20oct.2022</c:v>
                </c:pt>
                <c:pt idx="5039">
                  <c:v>21oct.2022</c:v>
                </c:pt>
                <c:pt idx="5040">
                  <c:v>22oct.2022</c:v>
                </c:pt>
                <c:pt idx="5041">
                  <c:v>23oct.2022</c:v>
                </c:pt>
                <c:pt idx="5042">
                  <c:v>24oct.2022</c:v>
                </c:pt>
                <c:pt idx="5043">
                  <c:v>25oct.2022</c:v>
                </c:pt>
                <c:pt idx="5044">
                  <c:v>26oct.2022</c:v>
                </c:pt>
                <c:pt idx="5045">
                  <c:v>27oct.2022</c:v>
                </c:pt>
                <c:pt idx="5046">
                  <c:v>28oct.2022</c:v>
                </c:pt>
                <c:pt idx="5047">
                  <c:v>29oct.2022</c:v>
                </c:pt>
                <c:pt idx="5048">
                  <c:v>30oct.2022</c:v>
                </c:pt>
                <c:pt idx="5049">
                  <c:v>31oct.2022</c:v>
                </c:pt>
                <c:pt idx="5050">
                  <c:v>01nov.2022</c:v>
                </c:pt>
                <c:pt idx="5051">
                  <c:v>02nov.2022</c:v>
                </c:pt>
                <c:pt idx="5052">
                  <c:v>03nov.2022</c:v>
                </c:pt>
                <c:pt idx="5053">
                  <c:v>04nov.2022</c:v>
                </c:pt>
                <c:pt idx="5054">
                  <c:v>05nov.2022</c:v>
                </c:pt>
                <c:pt idx="5055">
                  <c:v>06nov.2022</c:v>
                </c:pt>
                <c:pt idx="5056">
                  <c:v>07nov.2022</c:v>
                </c:pt>
                <c:pt idx="5057">
                  <c:v>08nov.2022</c:v>
                </c:pt>
                <c:pt idx="5058">
                  <c:v>09nov.2022</c:v>
                </c:pt>
                <c:pt idx="5059">
                  <c:v>10nov.2022</c:v>
                </c:pt>
                <c:pt idx="5060">
                  <c:v>11nov.2022</c:v>
                </c:pt>
                <c:pt idx="5061">
                  <c:v>12nov.2022</c:v>
                </c:pt>
                <c:pt idx="5062">
                  <c:v>13nov.2022</c:v>
                </c:pt>
                <c:pt idx="5063">
                  <c:v>14nov.2022</c:v>
                </c:pt>
                <c:pt idx="5064">
                  <c:v>15nov.2022</c:v>
                </c:pt>
                <c:pt idx="5065">
                  <c:v>16nov.2022</c:v>
                </c:pt>
                <c:pt idx="5066">
                  <c:v>17nov.2022</c:v>
                </c:pt>
                <c:pt idx="5067">
                  <c:v>18nov.2022</c:v>
                </c:pt>
                <c:pt idx="5068">
                  <c:v>19nov.2022</c:v>
                </c:pt>
                <c:pt idx="5069">
                  <c:v>20nov.2022</c:v>
                </c:pt>
                <c:pt idx="5070">
                  <c:v>21nov.2022</c:v>
                </c:pt>
                <c:pt idx="5071">
                  <c:v>22nov.2022</c:v>
                </c:pt>
                <c:pt idx="5072">
                  <c:v>23nov.2022</c:v>
                </c:pt>
                <c:pt idx="5073">
                  <c:v>24nov.2022</c:v>
                </c:pt>
                <c:pt idx="5074">
                  <c:v>25nov.2022</c:v>
                </c:pt>
                <c:pt idx="5075">
                  <c:v>26nov.2022</c:v>
                </c:pt>
                <c:pt idx="5076">
                  <c:v>27nov.2022</c:v>
                </c:pt>
                <c:pt idx="5077">
                  <c:v>28nov.2022</c:v>
                </c:pt>
                <c:pt idx="5078">
                  <c:v>29nov.2022</c:v>
                </c:pt>
                <c:pt idx="5079">
                  <c:v>30nov.2022</c:v>
                </c:pt>
                <c:pt idx="5080">
                  <c:v>01déc.2022</c:v>
                </c:pt>
                <c:pt idx="5081">
                  <c:v>02déc.2022</c:v>
                </c:pt>
                <c:pt idx="5082">
                  <c:v>03déc.2022</c:v>
                </c:pt>
                <c:pt idx="5083">
                  <c:v>04déc.2022</c:v>
                </c:pt>
                <c:pt idx="5084">
                  <c:v>05déc.2022</c:v>
                </c:pt>
                <c:pt idx="5085">
                  <c:v>06déc.2022</c:v>
                </c:pt>
                <c:pt idx="5086">
                  <c:v>07déc.2022</c:v>
                </c:pt>
                <c:pt idx="5087">
                  <c:v>08déc.2022</c:v>
                </c:pt>
                <c:pt idx="5088">
                  <c:v>09déc.2022</c:v>
                </c:pt>
                <c:pt idx="5089">
                  <c:v>10déc.2022</c:v>
                </c:pt>
                <c:pt idx="5090">
                  <c:v>11déc.2022</c:v>
                </c:pt>
                <c:pt idx="5091">
                  <c:v>12déc.2022</c:v>
                </c:pt>
                <c:pt idx="5092">
                  <c:v>13déc.2022</c:v>
                </c:pt>
                <c:pt idx="5093">
                  <c:v>14déc.2022</c:v>
                </c:pt>
                <c:pt idx="5094">
                  <c:v>15déc.2022</c:v>
                </c:pt>
                <c:pt idx="5095">
                  <c:v>16déc.2022</c:v>
                </c:pt>
                <c:pt idx="5096">
                  <c:v>17déc.2022</c:v>
                </c:pt>
                <c:pt idx="5097">
                  <c:v>18déc.2022</c:v>
                </c:pt>
                <c:pt idx="5098">
                  <c:v>19déc.2022</c:v>
                </c:pt>
                <c:pt idx="5099">
                  <c:v>20déc.2022</c:v>
                </c:pt>
                <c:pt idx="5100">
                  <c:v>21déc.2022</c:v>
                </c:pt>
                <c:pt idx="5101">
                  <c:v>22déc.2022</c:v>
                </c:pt>
                <c:pt idx="5102">
                  <c:v>23déc.2022</c:v>
                </c:pt>
                <c:pt idx="5103">
                  <c:v>24déc.2022</c:v>
                </c:pt>
                <c:pt idx="5104">
                  <c:v>25déc.2022</c:v>
                </c:pt>
                <c:pt idx="5105">
                  <c:v>26déc.2022</c:v>
                </c:pt>
                <c:pt idx="5106">
                  <c:v>27déc.2022</c:v>
                </c:pt>
                <c:pt idx="5107">
                  <c:v>28déc.2022</c:v>
                </c:pt>
                <c:pt idx="5108">
                  <c:v>29déc.2022</c:v>
                </c:pt>
                <c:pt idx="5109">
                  <c:v>30déc.2022</c:v>
                </c:pt>
                <c:pt idx="5110">
                  <c:v>31déc.2022</c:v>
                </c:pt>
              </c:strCache>
            </c:strRef>
          </c:cat>
          <c:val>
            <c:numRef>
              <c:f>Qsim_DEC2022!$K$4:$K$5116</c:f>
              <c:numCache>
                <c:formatCode>General</c:formatCode>
                <c:ptCount val="5113"/>
                <c:pt idx="0">
                  <c:v>127.7</c:v>
                </c:pt>
                <c:pt idx="1">
                  <c:v>134</c:v>
                </c:pt>
                <c:pt idx="2">
                  <c:v>143.5</c:v>
                </c:pt>
                <c:pt idx="3">
                  <c:v>151.19999999999999</c:v>
                </c:pt>
                <c:pt idx="4">
                  <c:v>156.69999999999999</c:v>
                </c:pt>
                <c:pt idx="5">
                  <c:v>156.80000000000001</c:v>
                </c:pt>
                <c:pt idx="6">
                  <c:v>154.9</c:v>
                </c:pt>
                <c:pt idx="7">
                  <c:v>158.6</c:v>
                </c:pt>
                <c:pt idx="8">
                  <c:v>175</c:v>
                </c:pt>
                <c:pt idx="9">
                  <c:v>199.8</c:v>
                </c:pt>
                <c:pt idx="10">
                  <c:v>218.5</c:v>
                </c:pt>
                <c:pt idx="11">
                  <c:v>218.3</c:v>
                </c:pt>
                <c:pt idx="12">
                  <c:v>203.8</c:v>
                </c:pt>
                <c:pt idx="13">
                  <c:v>188.2</c:v>
                </c:pt>
                <c:pt idx="14">
                  <c:v>185</c:v>
                </c:pt>
                <c:pt idx="15">
                  <c:v>194.9</c:v>
                </c:pt>
                <c:pt idx="16">
                  <c:v>207.1</c:v>
                </c:pt>
                <c:pt idx="17">
                  <c:v>209.6</c:v>
                </c:pt>
                <c:pt idx="18">
                  <c:v>207.8</c:v>
                </c:pt>
                <c:pt idx="19">
                  <c:v>205.4</c:v>
                </c:pt>
                <c:pt idx="20">
                  <c:v>205.5</c:v>
                </c:pt>
                <c:pt idx="21">
                  <c:v>206.9</c:v>
                </c:pt>
                <c:pt idx="22">
                  <c:v>205.7</c:v>
                </c:pt>
                <c:pt idx="23">
                  <c:v>201.7</c:v>
                </c:pt>
                <c:pt idx="24">
                  <c:v>197.3</c:v>
                </c:pt>
                <c:pt idx="25">
                  <c:v>198.7</c:v>
                </c:pt>
                <c:pt idx="26">
                  <c:v>209.5</c:v>
                </c:pt>
                <c:pt idx="27">
                  <c:v>222.9</c:v>
                </c:pt>
                <c:pt idx="28">
                  <c:v>234.7</c:v>
                </c:pt>
                <c:pt idx="29">
                  <c:v>235.4</c:v>
                </c:pt>
                <c:pt idx="30">
                  <c:v>212.8</c:v>
                </c:pt>
                <c:pt idx="31">
                  <c:v>208.1</c:v>
                </c:pt>
                <c:pt idx="32">
                  <c:v>204.6</c:v>
                </c:pt>
                <c:pt idx="33">
                  <c:v>203.7</c:v>
                </c:pt>
                <c:pt idx="34">
                  <c:v>197</c:v>
                </c:pt>
                <c:pt idx="35">
                  <c:v>187.8</c:v>
                </c:pt>
                <c:pt idx="36">
                  <c:v>180.7</c:v>
                </c:pt>
                <c:pt idx="37">
                  <c:v>180.9</c:v>
                </c:pt>
                <c:pt idx="38">
                  <c:v>183.3</c:v>
                </c:pt>
                <c:pt idx="39">
                  <c:v>181.2</c:v>
                </c:pt>
                <c:pt idx="40">
                  <c:v>169.8</c:v>
                </c:pt>
                <c:pt idx="41">
                  <c:v>158.30000000000001</c:v>
                </c:pt>
                <c:pt idx="42">
                  <c:v>156.1</c:v>
                </c:pt>
                <c:pt idx="43">
                  <c:v>162.80000000000001</c:v>
                </c:pt>
                <c:pt idx="44">
                  <c:v>167.2</c:v>
                </c:pt>
                <c:pt idx="45">
                  <c:v>166.4</c:v>
                </c:pt>
                <c:pt idx="46">
                  <c:v>164.5</c:v>
                </c:pt>
                <c:pt idx="47">
                  <c:v>163</c:v>
                </c:pt>
                <c:pt idx="48">
                  <c:v>160.1</c:v>
                </c:pt>
                <c:pt idx="49">
                  <c:v>161.9</c:v>
                </c:pt>
                <c:pt idx="50">
                  <c:v>170.8</c:v>
                </c:pt>
                <c:pt idx="51">
                  <c:v>182.8</c:v>
                </c:pt>
                <c:pt idx="52">
                  <c:v>193.2</c:v>
                </c:pt>
                <c:pt idx="53">
                  <c:v>193.4</c:v>
                </c:pt>
                <c:pt idx="54">
                  <c:v>182.3</c:v>
                </c:pt>
                <c:pt idx="55">
                  <c:v>173.4</c:v>
                </c:pt>
                <c:pt idx="56">
                  <c:v>172.5</c:v>
                </c:pt>
                <c:pt idx="57">
                  <c:v>174.8</c:v>
                </c:pt>
                <c:pt idx="58">
                  <c:v>184.2</c:v>
                </c:pt>
                <c:pt idx="59">
                  <c:v>185.5</c:v>
                </c:pt>
                <c:pt idx="60">
                  <c:v>194.2</c:v>
                </c:pt>
                <c:pt idx="61">
                  <c:v>209.6</c:v>
                </c:pt>
                <c:pt idx="62">
                  <c:v>230.2</c:v>
                </c:pt>
                <c:pt idx="63">
                  <c:v>242.5</c:v>
                </c:pt>
                <c:pt idx="64">
                  <c:v>242.2</c:v>
                </c:pt>
                <c:pt idx="65">
                  <c:v>228.2</c:v>
                </c:pt>
                <c:pt idx="66">
                  <c:v>203.9</c:v>
                </c:pt>
                <c:pt idx="67">
                  <c:v>182.4</c:v>
                </c:pt>
                <c:pt idx="68">
                  <c:v>171.7</c:v>
                </c:pt>
                <c:pt idx="69">
                  <c:v>180.9</c:v>
                </c:pt>
                <c:pt idx="70">
                  <c:v>201.8</c:v>
                </c:pt>
                <c:pt idx="71">
                  <c:v>219.6</c:v>
                </c:pt>
                <c:pt idx="72">
                  <c:v>221.4</c:v>
                </c:pt>
                <c:pt idx="73">
                  <c:v>212.9</c:v>
                </c:pt>
                <c:pt idx="74">
                  <c:v>196.9</c:v>
                </c:pt>
                <c:pt idx="75">
                  <c:v>181.2</c:v>
                </c:pt>
                <c:pt idx="76">
                  <c:v>180</c:v>
                </c:pt>
                <c:pt idx="77">
                  <c:v>193.5</c:v>
                </c:pt>
                <c:pt idx="78">
                  <c:v>212.8</c:v>
                </c:pt>
                <c:pt idx="79">
                  <c:v>223.6</c:v>
                </c:pt>
                <c:pt idx="80">
                  <c:v>226.1</c:v>
                </c:pt>
                <c:pt idx="81">
                  <c:v>219.4</c:v>
                </c:pt>
                <c:pt idx="82">
                  <c:v>207</c:v>
                </c:pt>
                <c:pt idx="83">
                  <c:v>198.6</c:v>
                </c:pt>
                <c:pt idx="84">
                  <c:v>195</c:v>
                </c:pt>
                <c:pt idx="85">
                  <c:v>198.3</c:v>
                </c:pt>
                <c:pt idx="86">
                  <c:v>219.7</c:v>
                </c:pt>
                <c:pt idx="87">
                  <c:v>254.1</c:v>
                </c:pt>
                <c:pt idx="88">
                  <c:v>289.3</c:v>
                </c:pt>
                <c:pt idx="89">
                  <c:v>311.5</c:v>
                </c:pt>
                <c:pt idx="90">
                  <c:v>298.89999999999998</c:v>
                </c:pt>
                <c:pt idx="91">
                  <c:v>269.7</c:v>
                </c:pt>
                <c:pt idx="92">
                  <c:v>242.2</c:v>
                </c:pt>
                <c:pt idx="93">
                  <c:v>228.9</c:v>
                </c:pt>
                <c:pt idx="94">
                  <c:v>229.2</c:v>
                </c:pt>
                <c:pt idx="95">
                  <c:v>237.5</c:v>
                </c:pt>
                <c:pt idx="96">
                  <c:v>241.8</c:v>
                </c:pt>
                <c:pt idx="97">
                  <c:v>235.2</c:v>
                </c:pt>
                <c:pt idx="98">
                  <c:v>228.5</c:v>
                </c:pt>
                <c:pt idx="99">
                  <c:v>225.2</c:v>
                </c:pt>
                <c:pt idx="100">
                  <c:v>219.8</c:v>
                </c:pt>
                <c:pt idx="101">
                  <c:v>211.2</c:v>
                </c:pt>
                <c:pt idx="102">
                  <c:v>205.8</c:v>
                </c:pt>
                <c:pt idx="103">
                  <c:v>207.1</c:v>
                </c:pt>
                <c:pt idx="104">
                  <c:v>209.9</c:v>
                </c:pt>
                <c:pt idx="105">
                  <c:v>205.4</c:v>
                </c:pt>
                <c:pt idx="106">
                  <c:v>194.8</c:v>
                </c:pt>
                <c:pt idx="107">
                  <c:v>178.7</c:v>
                </c:pt>
                <c:pt idx="108">
                  <c:v>163.9</c:v>
                </c:pt>
                <c:pt idx="109">
                  <c:v>152.6</c:v>
                </c:pt>
                <c:pt idx="110">
                  <c:v>144.30000000000001</c:v>
                </c:pt>
                <c:pt idx="111">
                  <c:v>138.19999999999999</c:v>
                </c:pt>
                <c:pt idx="112">
                  <c:v>133.5</c:v>
                </c:pt>
                <c:pt idx="113">
                  <c:v>130.30000000000001</c:v>
                </c:pt>
                <c:pt idx="114">
                  <c:v>132</c:v>
                </c:pt>
                <c:pt idx="115">
                  <c:v>140.69999999999999</c:v>
                </c:pt>
                <c:pt idx="116">
                  <c:v>156.1</c:v>
                </c:pt>
                <c:pt idx="117">
                  <c:v>174.2</c:v>
                </c:pt>
                <c:pt idx="118">
                  <c:v>191.3</c:v>
                </c:pt>
                <c:pt idx="119">
                  <c:v>199.7</c:v>
                </c:pt>
                <c:pt idx="120">
                  <c:v>195.3</c:v>
                </c:pt>
                <c:pt idx="121">
                  <c:v>188.2</c:v>
                </c:pt>
                <c:pt idx="122">
                  <c:v>180.1</c:v>
                </c:pt>
                <c:pt idx="123">
                  <c:v>173.5</c:v>
                </c:pt>
                <c:pt idx="124">
                  <c:v>176.8</c:v>
                </c:pt>
                <c:pt idx="125">
                  <c:v>190.7</c:v>
                </c:pt>
                <c:pt idx="126">
                  <c:v>205.7</c:v>
                </c:pt>
                <c:pt idx="127">
                  <c:v>211.8</c:v>
                </c:pt>
                <c:pt idx="128">
                  <c:v>209.7</c:v>
                </c:pt>
                <c:pt idx="129">
                  <c:v>204.3</c:v>
                </c:pt>
                <c:pt idx="130">
                  <c:v>195.2</c:v>
                </c:pt>
                <c:pt idx="131">
                  <c:v>190.1</c:v>
                </c:pt>
                <c:pt idx="132">
                  <c:v>190</c:v>
                </c:pt>
                <c:pt idx="133">
                  <c:v>193.9</c:v>
                </c:pt>
                <c:pt idx="134">
                  <c:v>196.3</c:v>
                </c:pt>
                <c:pt idx="135">
                  <c:v>197.8</c:v>
                </c:pt>
                <c:pt idx="136">
                  <c:v>191.5</c:v>
                </c:pt>
                <c:pt idx="137">
                  <c:v>178.3</c:v>
                </c:pt>
                <c:pt idx="138">
                  <c:v>163.69999999999999</c:v>
                </c:pt>
                <c:pt idx="139">
                  <c:v>150.5</c:v>
                </c:pt>
                <c:pt idx="140">
                  <c:v>141</c:v>
                </c:pt>
                <c:pt idx="141">
                  <c:v>135.1</c:v>
                </c:pt>
                <c:pt idx="142">
                  <c:v>131.30000000000001</c:v>
                </c:pt>
                <c:pt idx="143">
                  <c:v>128.69999999999999</c:v>
                </c:pt>
                <c:pt idx="144">
                  <c:v>127.1</c:v>
                </c:pt>
                <c:pt idx="145">
                  <c:v>126</c:v>
                </c:pt>
                <c:pt idx="146">
                  <c:v>125.3</c:v>
                </c:pt>
                <c:pt idx="147">
                  <c:v>124.8</c:v>
                </c:pt>
                <c:pt idx="148">
                  <c:v>125</c:v>
                </c:pt>
                <c:pt idx="149">
                  <c:v>126.7</c:v>
                </c:pt>
                <c:pt idx="150">
                  <c:v>88.8</c:v>
                </c:pt>
                <c:pt idx="151">
                  <c:v>91.7</c:v>
                </c:pt>
                <c:pt idx="152">
                  <c:v>92.6</c:v>
                </c:pt>
                <c:pt idx="153">
                  <c:v>91.7</c:v>
                </c:pt>
                <c:pt idx="154">
                  <c:v>90.8</c:v>
                </c:pt>
                <c:pt idx="155">
                  <c:v>92.1</c:v>
                </c:pt>
                <c:pt idx="156">
                  <c:v>94.8</c:v>
                </c:pt>
                <c:pt idx="157">
                  <c:v>95.5</c:v>
                </c:pt>
                <c:pt idx="158">
                  <c:v>94.2</c:v>
                </c:pt>
                <c:pt idx="159">
                  <c:v>92</c:v>
                </c:pt>
                <c:pt idx="160">
                  <c:v>90</c:v>
                </c:pt>
                <c:pt idx="161">
                  <c:v>88.4</c:v>
                </c:pt>
                <c:pt idx="162">
                  <c:v>86.9</c:v>
                </c:pt>
                <c:pt idx="163">
                  <c:v>85.6</c:v>
                </c:pt>
                <c:pt idx="164">
                  <c:v>84.7</c:v>
                </c:pt>
                <c:pt idx="165">
                  <c:v>84.1</c:v>
                </c:pt>
                <c:pt idx="166">
                  <c:v>85.3</c:v>
                </c:pt>
                <c:pt idx="167">
                  <c:v>88.8</c:v>
                </c:pt>
                <c:pt idx="168">
                  <c:v>92.9</c:v>
                </c:pt>
                <c:pt idx="169">
                  <c:v>93.7</c:v>
                </c:pt>
                <c:pt idx="170">
                  <c:v>92.1</c:v>
                </c:pt>
                <c:pt idx="171">
                  <c:v>89.4</c:v>
                </c:pt>
                <c:pt idx="172">
                  <c:v>87</c:v>
                </c:pt>
                <c:pt idx="173">
                  <c:v>85.8</c:v>
                </c:pt>
                <c:pt idx="174">
                  <c:v>84.9</c:v>
                </c:pt>
                <c:pt idx="175">
                  <c:v>84.3</c:v>
                </c:pt>
                <c:pt idx="176">
                  <c:v>83.8</c:v>
                </c:pt>
                <c:pt idx="177">
                  <c:v>83.6</c:v>
                </c:pt>
                <c:pt idx="178">
                  <c:v>83.8</c:v>
                </c:pt>
                <c:pt idx="179">
                  <c:v>84.4</c:v>
                </c:pt>
                <c:pt idx="180">
                  <c:v>62</c:v>
                </c:pt>
                <c:pt idx="181">
                  <c:v>62.1</c:v>
                </c:pt>
                <c:pt idx="182">
                  <c:v>61.7</c:v>
                </c:pt>
                <c:pt idx="183">
                  <c:v>61.2</c:v>
                </c:pt>
                <c:pt idx="184">
                  <c:v>60.8</c:v>
                </c:pt>
                <c:pt idx="185">
                  <c:v>60.7</c:v>
                </c:pt>
                <c:pt idx="186">
                  <c:v>60.7</c:v>
                </c:pt>
                <c:pt idx="187">
                  <c:v>60.6</c:v>
                </c:pt>
                <c:pt idx="188">
                  <c:v>60.5</c:v>
                </c:pt>
                <c:pt idx="189">
                  <c:v>60.3</c:v>
                </c:pt>
                <c:pt idx="190">
                  <c:v>60.2</c:v>
                </c:pt>
                <c:pt idx="191">
                  <c:v>60.3</c:v>
                </c:pt>
                <c:pt idx="192">
                  <c:v>60.7</c:v>
                </c:pt>
                <c:pt idx="193">
                  <c:v>61.8</c:v>
                </c:pt>
                <c:pt idx="194">
                  <c:v>63.7</c:v>
                </c:pt>
                <c:pt idx="195">
                  <c:v>65.900000000000006</c:v>
                </c:pt>
                <c:pt idx="196">
                  <c:v>66.8</c:v>
                </c:pt>
                <c:pt idx="197">
                  <c:v>66.2</c:v>
                </c:pt>
                <c:pt idx="198">
                  <c:v>64.7</c:v>
                </c:pt>
                <c:pt idx="199">
                  <c:v>63.1</c:v>
                </c:pt>
                <c:pt idx="200">
                  <c:v>62</c:v>
                </c:pt>
                <c:pt idx="201">
                  <c:v>61.3</c:v>
                </c:pt>
                <c:pt idx="202">
                  <c:v>60.9</c:v>
                </c:pt>
                <c:pt idx="203">
                  <c:v>60.6</c:v>
                </c:pt>
                <c:pt idx="204">
                  <c:v>61.7</c:v>
                </c:pt>
                <c:pt idx="205">
                  <c:v>64.599999999999994</c:v>
                </c:pt>
                <c:pt idx="206">
                  <c:v>68</c:v>
                </c:pt>
                <c:pt idx="207">
                  <c:v>68.599999999999994</c:v>
                </c:pt>
                <c:pt idx="208">
                  <c:v>67.3</c:v>
                </c:pt>
                <c:pt idx="209">
                  <c:v>65.099999999999994</c:v>
                </c:pt>
                <c:pt idx="210">
                  <c:v>63.2</c:v>
                </c:pt>
                <c:pt idx="211">
                  <c:v>69.7</c:v>
                </c:pt>
                <c:pt idx="212">
                  <c:v>75.2</c:v>
                </c:pt>
                <c:pt idx="213">
                  <c:v>81.7</c:v>
                </c:pt>
                <c:pt idx="214">
                  <c:v>83.3</c:v>
                </c:pt>
                <c:pt idx="215">
                  <c:v>81.599999999999994</c:v>
                </c:pt>
                <c:pt idx="216">
                  <c:v>78.400000000000006</c:v>
                </c:pt>
                <c:pt idx="217">
                  <c:v>75</c:v>
                </c:pt>
                <c:pt idx="218">
                  <c:v>72.7</c:v>
                </c:pt>
                <c:pt idx="219">
                  <c:v>70.599999999999994</c:v>
                </c:pt>
                <c:pt idx="220">
                  <c:v>68.8</c:v>
                </c:pt>
                <c:pt idx="221">
                  <c:v>70.099999999999994</c:v>
                </c:pt>
                <c:pt idx="222">
                  <c:v>75.3</c:v>
                </c:pt>
                <c:pt idx="223">
                  <c:v>81.8</c:v>
                </c:pt>
                <c:pt idx="224">
                  <c:v>86.6</c:v>
                </c:pt>
                <c:pt idx="225">
                  <c:v>91.6</c:v>
                </c:pt>
                <c:pt idx="226">
                  <c:v>95.6</c:v>
                </c:pt>
                <c:pt idx="227">
                  <c:v>93.2</c:v>
                </c:pt>
                <c:pt idx="228">
                  <c:v>87.8</c:v>
                </c:pt>
                <c:pt idx="229">
                  <c:v>80.900000000000006</c:v>
                </c:pt>
                <c:pt idx="230">
                  <c:v>77.900000000000006</c:v>
                </c:pt>
                <c:pt idx="231">
                  <c:v>83.7</c:v>
                </c:pt>
                <c:pt idx="232">
                  <c:v>94.8</c:v>
                </c:pt>
                <c:pt idx="233">
                  <c:v>101.3</c:v>
                </c:pt>
                <c:pt idx="234">
                  <c:v>99.1</c:v>
                </c:pt>
                <c:pt idx="235">
                  <c:v>91.5</c:v>
                </c:pt>
                <c:pt idx="236">
                  <c:v>83.3</c:v>
                </c:pt>
                <c:pt idx="237">
                  <c:v>78.099999999999994</c:v>
                </c:pt>
                <c:pt idx="238">
                  <c:v>76.400000000000006</c:v>
                </c:pt>
                <c:pt idx="239">
                  <c:v>77</c:v>
                </c:pt>
                <c:pt idx="240">
                  <c:v>81.7</c:v>
                </c:pt>
                <c:pt idx="241">
                  <c:v>89.1</c:v>
                </c:pt>
                <c:pt idx="242">
                  <c:v>121.4</c:v>
                </c:pt>
                <c:pt idx="243">
                  <c:v>120.6</c:v>
                </c:pt>
                <c:pt idx="244">
                  <c:v>115.2</c:v>
                </c:pt>
                <c:pt idx="245">
                  <c:v>110.9</c:v>
                </c:pt>
                <c:pt idx="246">
                  <c:v>114.8</c:v>
                </c:pt>
                <c:pt idx="247">
                  <c:v>126.3</c:v>
                </c:pt>
                <c:pt idx="248">
                  <c:v>138</c:v>
                </c:pt>
                <c:pt idx="249">
                  <c:v>144.4</c:v>
                </c:pt>
                <c:pt idx="250">
                  <c:v>145.5</c:v>
                </c:pt>
                <c:pt idx="251">
                  <c:v>142.1</c:v>
                </c:pt>
                <c:pt idx="252">
                  <c:v>141.9</c:v>
                </c:pt>
                <c:pt idx="253">
                  <c:v>147.5</c:v>
                </c:pt>
                <c:pt idx="254">
                  <c:v>152.80000000000001</c:v>
                </c:pt>
                <c:pt idx="255">
                  <c:v>159.6</c:v>
                </c:pt>
                <c:pt idx="256">
                  <c:v>161.69999999999999</c:v>
                </c:pt>
                <c:pt idx="257">
                  <c:v>162.69999999999999</c:v>
                </c:pt>
                <c:pt idx="258">
                  <c:v>165.3</c:v>
                </c:pt>
                <c:pt idx="259">
                  <c:v>166.3</c:v>
                </c:pt>
                <c:pt idx="260">
                  <c:v>166.8</c:v>
                </c:pt>
                <c:pt idx="261">
                  <c:v>168.7</c:v>
                </c:pt>
                <c:pt idx="262">
                  <c:v>167.6</c:v>
                </c:pt>
                <c:pt idx="263">
                  <c:v>162.80000000000001</c:v>
                </c:pt>
                <c:pt idx="264">
                  <c:v>155.6</c:v>
                </c:pt>
                <c:pt idx="265">
                  <c:v>145</c:v>
                </c:pt>
                <c:pt idx="266">
                  <c:v>141.4</c:v>
                </c:pt>
                <c:pt idx="267">
                  <c:v>145.5</c:v>
                </c:pt>
                <c:pt idx="268">
                  <c:v>150.9</c:v>
                </c:pt>
                <c:pt idx="269">
                  <c:v>157.1</c:v>
                </c:pt>
                <c:pt idx="270">
                  <c:v>165.4</c:v>
                </c:pt>
                <c:pt idx="271">
                  <c:v>168.1</c:v>
                </c:pt>
                <c:pt idx="272">
                  <c:v>179.2</c:v>
                </c:pt>
                <c:pt idx="273">
                  <c:v>176</c:v>
                </c:pt>
                <c:pt idx="274">
                  <c:v>177.2</c:v>
                </c:pt>
                <c:pt idx="275">
                  <c:v>183.4</c:v>
                </c:pt>
                <c:pt idx="276">
                  <c:v>191.2</c:v>
                </c:pt>
                <c:pt idx="277">
                  <c:v>197.3</c:v>
                </c:pt>
                <c:pt idx="278">
                  <c:v>194.9</c:v>
                </c:pt>
                <c:pt idx="279">
                  <c:v>194.1</c:v>
                </c:pt>
                <c:pt idx="280">
                  <c:v>194.3</c:v>
                </c:pt>
                <c:pt idx="281">
                  <c:v>190.9</c:v>
                </c:pt>
                <c:pt idx="282">
                  <c:v>191</c:v>
                </c:pt>
                <c:pt idx="283">
                  <c:v>194.3</c:v>
                </c:pt>
                <c:pt idx="284">
                  <c:v>197.3</c:v>
                </c:pt>
                <c:pt idx="285">
                  <c:v>194.8</c:v>
                </c:pt>
                <c:pt idx="286">
                  <c:v>190.7</c:v>
                </c:pt>
                <c:pt idx="287">
                  <c:v>192.2</c:v>
                </c:pt>
                <c:pt idx="288">
                  <c:v>204.4</c:v>
                </c:pt>
                <c:pt idx="289">
                  <c:v>216.8</c:v>
                </c:pt>
                <c:pt idx="290">
                  <c:v>217</c:v>
                </c:pt>
                <c:pt idx="291">
                  <c:v>207.9</c:v>
                </c:pt>
                <c:pt idx="292">
                  <c:v>196.5</c:v>
                </c:pt>
                <c:pt idx="293">
                  <c:v>189.3</c:v>
                </c:pt>
                <c:pt idx="294">
                  <c:v>192.2</c:v>
                </c:pt>
                <c:pt idx="295">
                  <c:v>197</c:v>
                </c:pt>
                <c:pt idx="296">
                  <c:v>200.6</c:v>
                </c:pt>
                <c:pt idx="297">
                  <c:v>206.2</c:v>
                </c:pt>
                <c:pt idx="298">
                  <c:v>213.5</c:v>
                </c:pt>
                <c:pt idx="299">
                  <c:v>215.5</c:v>
                </c:pt>
                <c:pt idx="300">
                  <c:v>216</c:v>
                </c:pt>
                <c:pt idx="301">
                  <c:v>218.7</c:v>
                </c:pt>
                <c:pt idx="302">
                  <c:v>221.1</c:v>
                </c:pt>
                <c:pt idx="303">
                  <c:v>238.3</c:v>
                </c:pt>
                <c:pt idx="304">
                  <c:v>243.6</c:v>
                </c:pt>
                <c:pt idx="305">
                  <c:v>247.6</c:v>
                </c:pt>
                <c:pt idx="306">
                  <c:v>252.9</c:v>
                </c:pt>
                <c:pt idx="307">
                  <c:v>253.9</c:v>
                </c:pt>
                <c:pt idx="308">
                  <c:v>252.4</c:v>
                </c:pt>
                <c:pt idx="309">
                  <c:v>244</c:v>
                </c:pt>
                <c:pt idx="310">
                  <c:v>233.7</c:v>
                </c:pt>
                <c:pt idx="311">
                  <c:v>235</c:v>
                </c:pt>
                <c:pt idx="312">
                  <c:v>248.9</c:v>
                </c:pt>
                <c:pt idx="313">
                  <c:v>255.8</c:v>
                </c:pt>
                <c:pt idx="314">
                  <c:v>246.6</c:v>
                </c:pt>
                <c:pt idx="315">
                  <c:v>229</c:v>
                </c:pt>
                <c:pt idx="316">
                  <c:v>212.7</c:v>
                </c:pt>
                <c:pt idx="317">
                  <c:v>202.9</c:v>
                </c:pt>
                <c:pt idx="318">
                  <c:v>192.4</c:v>
                </c:pt>
                <c:pt idx="319">
                  <c:v>186.7</c:v>
                </c:pt>
                <c:pt idx="320">
                  <c:v>192.4</c:v>
                </c:pt>
                <c:pt idx="321">
                  <c:v>208</c:v>
                </c:pt>
                <c:pt idx="322">
                  <c:v>219.4</c:v>
                </c:pt>
                <c:pt idx="323">
                  <c:v>217.6</c:v>
                </c:pt>
                <c:pt idx="324">
                  <c:v>207.6</c:v>
                </c:pt>
                <c:pt idx="325">
                  <c:v>191.1</c:v>
                </c:pt>
                <c:pt idx="326">
                  <c:v>181.8</c:v>
                </c:pt>
                <c:pt idx="327">
                  <c:v>186.7</c:v>
                </c:pt>
                <c:pt idx="328">
                  <c:v>198.6</c:v>
                </c:pt>
                <c:pt idx="329">
                  <c:v>209.5</c:v>
                </c:pt>
                <c:pt idx="330">
                  <c:v>216.5</c:v>
                </c:pt>
                <c:pt idx="331">
                  <c:v>220.2</c:v>
                </c:pt>
                <c:pt idx="332">
                  <c:v>214.6</c:v>
                </c:pt>
                <c:pt idx="333">
                  <c:v>220.7</c:v>
                </c:pt>
                <c:pt idx="334">
                  <c:v>220.7</c:v>
                </c:pt>
                <c:pt idx="335">
                  <c:v>221.5</c:v>
                </c:pt>
                <c:pt idx="336">
                  <c:v>220.4</c:v>
                </c:pt>
                <c:pt idx="337">
                  <c:v>215.1</c:v>
                </c:pt>
                <c:pt idx="338">
                  <c:v>209.1</c:v>
                </c:pt>
                <c:pt idx="339">
                  <c:v>211.8</c:v>
                </c:pt>
                <c:pt idx="340">
                  <c:v>223.7</c:v>
                </c:pt>
                <c:pt idx="341">
                  <c:v>235.9</c:v>
                </c:pt>
                <c:pt idx="342">
                  <c:v>243.8</c:v>
                </c:pt>
                <c:pt idx="343">
                  <c:v>238.1</c:v>
                </c:pt>
                <c:pt idx="344">
                  <c:v>224.9</c:v>
                </c:pt>
                <c:pt idx="345">
                  <c:v>211.2</c:v>
                </c:pt>
                <c:pt idx="346">
                  <c:v>209.4</c:v>
                </c:pt>
                <c:pt idx="347">
                  <c:v>221.1</c:v>
                </c:pt>
                <c:pt idx="348">
                  <c:v>237.9</c:v>
                </c:pt>
                <c:pt idx="349">
                  <c:v>247.8</c:v>
                </c:pt>
                <c:pt idx="350">
                  <c:v>252.8</c:v>
                </c:pt>
                <c:pt idx="351">
                  <c:v>249</c:v>
                </c:pt>
                <c:pt idx="352">
                  <c:v>238.5</c:v>
                </c:pt>
                <c:pt idx="353">
                  <c:v>232.8</c:v>
                </c:pt>
                <c:pt idx="354">
                  <c:v>233.9</c:v>
                </c:pt>
                <c:pt idx="355">
                  <c:v>233.2</c:v>
                </c:pt>
                <c:pt idx="356">
                  <c:v>230.8</c:v>
                </c:pt>
                <c:pt idx="357">
                  <c:v>222.7</c:v>
                </c:pt>
                <c:pt idx="358">
                  <c:v>214.1</c:v>
                </c:pt>
                <c:pt idx="359">
                  <c:v>214.1</c:v>
                </c:pt>
                <c:pt idx="360">
                  <c:v>216.1</c:v>
                </c:pt>
                <c:pt idx="361">
                  <c:v>217.8</c:v>
                </c:pt>
                <c:pt idx="362">
                  <c:v>225.1</c:v>
                </c:pt>
                <c:pt idx="363">
                  <c:v>240.3</c:v>
                </c:pt>
                <c:pt idx="364">
                  <c:v>246.4</c:v>
                </c:pt>
                <c:pt idx="365">
                  <c:v>245.7</c:v>
                </c:pt>
                <c:pt idx="366">
                  <c:v>237.3</c:v>
                </c:pt>
                <c:pt idx="367">
                  <c:v>223.1</c:v>
                </c:pt>
                <c:pt idx="368">
                  <c:v>207.3</c:v>
                </c:pt>
                <c:pt idx="369">
                  <c:v>192.1</c:v>
                </c:pt>
                <c:pt idx="370">
                  <c:v>177.7</c:v>
                </c:pt>
                <c:pt idx="371">
                  <c:v>167.7</c:v>
                </c:pt>
                <c:pt idx="372">
                  <c:v>167.6</c:v>
                </c:pt>
                <c:pt idx="373">
                  <c:v>177</c:v>
                </c:pt>
                <c:pt idx="374">
                  <c:v>192.6</c:v>
                </c:pt>
                <c:pt idx="375">
                  <c:v>204.9</c:v>
                </c:pt>
                <c:pt idx="376">
                  <c:v>214.5</c:v>
                </c:pt>
                <c:pt idx="377">
                  <c:v>217.3</c:v>
                </c:pt>
                <c:pt idx="378">
                  <c:v>207.8</c:v>
                </c:pt>
                <c:pt idx="379">
                  <c:v>195</c:v>
                </c:pt>
                <c:pt idx="380">
                  <c:v>187.5</c:v>
                </c:pt>
                <c:pt idx="381">
                  <c:v>188.3</c:v>
                </c:pt>
                <c:pt idx="382">
                  <c:v>191.1</c:v>
                </c:pt>
                <c:pt idx="383">
                  <c:v>190.8</c:v>
                </c:pt>
                <c:pt idx="384">
                  <c:v>185.9</c:v>
                </c:pt>
                <c:pt idx="385">
                  <c:v>176.7</c:v>
                </c:pt>
                <c:pt idx="386">
                  <c:v>170.9</c:v>
                </c:pt>
                <c:pt idx="387">
                  <c:v>170.3</c:v>
                </c:pt>
                <c:pt idx="388">
                  <c:v>177.7</c:v>
                </c:pt>
                <c:pt idx="389">
                  <c:v>189.1</c:v>
                </c:pt>
                <c:pt idx="390">
                  <c:v>203.9</c:v>
                </c:pt>
                <c:pt idx="391">
                  <c:v>219</c:v>
                </c:pt>
                <c:pt idx="392">
                  <c:v>227.1</c:v>
                </c:pt>
                <c:pt idx="393">
                  <c:v>220.8</c:v>
                </c:pt>
                <c:pt idx="394">
                  <c:v>204.3</c:v>
                </c:pt>
                <c:pt idx="395">
                  <c:v>173.1</c:v>
                </c:pt>
                <c:pt idx="396">
                  <c:v>171.8</c:v>
                </c:pt>
                <c:pt idx="397">
                  <c:v>178.9</c:v>
                </c:pt>
                <c:pt idx="398">
                  <c:v>178.2</c:v>
                </c:pt>
                <c:pt idx="399">
                  <c:v>169.9</c:v>
                </c:pt>
                <c:pt idx="400">
                  <c:v>161.30000000000001</c:v>
                </c:pt>
                <c:pt idx="401">
                  <c:v>156.19999999999999</c:v>
                </c:pt>
                <c:pt idx="402">
                  <c:v>158.6</c:v>
                </c:pt>
                <c:pt idx="403">
                  <c:v>168.9</c:v>
                </c:pt>
                <c:pt idx="404">
                  <c:v>181.6</c:v>
                </c:pt>
                <c:pt idx="405">
                  <c:v>183.1</c:v>
                </c:pt>
                <c:pt idx="406">
                  <c:v>173.6</c:v>
                </c:pt>
                <c:pt idx="407">
                  <c:v>164.8</c:v>
                </c:pt>
                <c:pt idx="408">
                  <c:v>169.6</c:v>
                </c:pt>
                <c:pt idx="409">
                  <c:v>186.4</c:v>
                </c:pt>
                <c:pt idx="410">
                  <c:v>197.9</c:v>
                </c:pt>
                <c:pt idx="411">
                  <c:v>190.6</c:v>
                </c:pt>
                <c:pt idx="412">
                  <c:v>176.8</c:v>
                </c:pt>
                <c:pt idx="413">
                  <c:v>171.9</c:v>
                </c:pt>
                <c:pt idx="414">
                  <c:v>183.3</c:v>
                </c:pt>
                <c:pt idx="415">
                  <c:v>198.1</c:v>
                </c:pt>
                <c:pt idx="416">
                  <c:v>206.9</c:v>
                </c:pt>
                <c:pt idx="417">
                  <c:v>213.5</c:v>
                </c:pt>
                <c:pt idx="418">
                  <c:v>221.5</c:v>
                </c:pt>
                <c:pt idx="419">
                  <c:v>222.3</c:v>
                </c:pt>
                <c:pt idx="420">
                  <c:v>211.5</c:v>
                </c:pt>
                <c:pt idx="421">
                  <c:v>197.1</c:v>
                </c:pt>
                <c:pt idx="422">
                  <c:v>190.6</c:v>
                </c:pt>
                <c:pt idx="423">
                  <c:v>201.9</c:v>
                </c:pt>
                <c:pt idx="424">
                  <c:v>208.7</c:v>
                </c:pt>
                <c:pt idx="425">
                  <c:v>200.2</c:v>
                </c:pt>
                <c:pt idx="426">
                  <c:v>184.6</c:v>
                </c:pt>
                <c:pt idx="427">
                  <c:v>176.3</c:v>
                </c:pt>
                <c:pt idx="428">
                  <c:v>181.1</c:v>
                </c:pt>
                <c:pt idx="429">
                  <c:v>192.8</c:v>
                </c:pt>
                <c:pt idx="430">
                  <c:v>199.2</c:v>
                </c:pt>
                <c:pt idx="431">
                  <c:v>202</c:v>
                </c:pt>
                <c:pt idx="432">
                  <c:v>199.8</c:v>
                </c:pt>
                <c:pt idx="433">
                  <c:v>192</c:v>
                </c:pt>
                <c:pt idx="434">
                  <c:v>185.6</c:v>
                </c:pt>
                <c:pt idx="435">
                  <c:v>189.3</c:v>
                </c:pt>
                <c:pt idx="436">
                  <c:v>200.3</c:v>
                </c:pt>
                <c:pt idx="437">
                  <c:v>210.6</c:v>
                </c:pt>
                <c:pt idx="438">
                  <c:v>205.4</c:v>
                </c:pt>
                <c:pt idx="439">
                  <c:v>198.1</c:v>
                </c:pt>
                <c:pt idx="440">
                  <c:v>197.8</c:v>
                </c:pt>
                <c:pt idx="441">
                  <c:v>204.1</c:v>
                </c:pt>
                <c:pt idx="442">
                  <c:v>204.2</c:v>
                </c:pt>
                <c:pt idx="443">
                  <c:v>202</c:v>
                </c:pt>
                <c:pt idx="444">
                  <c:v>206.2</c:v>
                </c:pt>
                <c:pt idx="445">
                  <c:v>218.7</c:v>
                </c:pt>
                <c:pt idx="446">
                  <c:v>229.9</c:v>
                </c:pt>
                <c:pt idx="447">
                  <c:v>232.4</c:v>
                </c:pt>
                <c:pt idx="448">
                  <c:v>234.8</c:v>
                </c:pt>
                <c:pt idx="449">
                  <c:v>245.4</c:v>
                </c:pt>
                <c:pt idx="450">
                  <c:v>257</c:v>
                </c:pt>
                <c:pt idx="451">
                  <c:v>244.4</c:v>
                </c:pt>
                <c:pt idx="452">
                  <c:v>223.4</c:v>
                </c:pt>
                <c:pt idx="453">
                  <c:v>206.3</c:v>
                </c:pt>
                <c:pt idx="454">
                  <c:v>205.5</c:v>
                </c:pt>
                <c:pt idx="455">
                  <c:v>199.1</c:v>
                </c:pt>
                <c:pt idx="456">
                  <c:v>196.7</c:v>
                </c:pt>
                <c:pt idx="457">
                  <c:v>204.4</c:v>
                </c:pt>
                <c:pt idx="458">
                  <c:v>217.4</c:v>
                </c:pt>
                <c:pt idx="459">
                  <c:v>228.7</c:v>
                </c:pt>
                <c:pt idx="460">
                  <c:v>233.1</c:v>
                </c:pt>
                <c:pt idx="461">
                  <c:v>231.9</c:v>
                </c:pt>
                <c:pt idx="462">
                  <c:v>226.9</c:v>
                </c:pt>
                <c:pt idx="463">
                  <c:v>226</c:v>
                </c:pt>
                <c:pt idx="464">
                  <c:v>231</c:v>
                </c:pt>
                <c:pt idx="465">
                  <c:v>233</c:v>
                </c:pt>
                <c:pt idx="466">
                  <c:v>231.3</c:v>
                </c:pt>
                <c:pt idx="467">
                  <c:v>229.8</c:v>
                </c:pt>
                <c:pt idx="468">
                  <c:v>227.3</c:v>
                </c:pt>
                <c:pt idx="469">
                  <c:v>219</c:v>
                </c:pt>
                <c:pt idx="470">
                  <c:v>212.6</c:v>
                </c:pt>
                <c:pt idx="471">
                  <c:v>208.1</c:v>
                </c:pt>
                <c:pt idx="472">
                  <c:v>204.5</c:v>
                </c:pt>
                <c:pt idx="473">
                  <c:v>201.4</c:v>
                </c:pt>
                <c:pt idx="474">
                  <c:v>208.7</c:v>
                </c:pt>
                <c:pt idx="475">
                  <c:v>227.2</c:v>
                </c:pt>
                <c:pt idx="476">
                  <c:v>238.4</c:v>
                </c:pt>
                <c:pt idx="477">
                  <c:v>232.4</c:v>
                </c:pt>
                <c:pt idx="478">
                  <c:v>214.7</c:v>
                </c:pt>
                <c:pt idx="479">
                  <c:v>192.9</c:v>
                </c:pt>
                <c:pt idx="480">
                  <c:v>173.1</c:v>
                </c:pt>
                <c:pt idx="481">
                  <c:v>158.19999999999999</c:v>
                </c:pt>
                <c:pt idx="482">
                  <c:v>151.1</c:v>
                </c:pt>
                <c:pt idx="483">
                  <c:v>154.19999999999999</c:v>
                </c:pt>
                <c:pt idx="484">
                  <c:v>171.3</c:v>
                </c:pt>
                <c:pt idx="485">
                  <c:v>194.3</c:v>
                </c:pt>
                <c:pt idx="486">
                  <c:v>219.6</c:v>
                </c:pt>
                <c:pt idx="487">
                  <c:v>238.4</c:v>
                </c:pt>
                <c:pt idx="488">
                  <c:v>253.3</c:v>
                </c:pt>
                <c:pt idx="489">
                  <c:v>264</c:v>
                </c:pt>
                <c:pt idx="490">
                  <c:v>257.7</c:v>
                </c:pt>
                <c:pt idx="491">
                  <c:v>243.9</c:v>
                </c:pt>
                <c:pt idx="492">
                  <c:v>227.3</c:v>
                </c:pt>
                <c:pt idx="493">
                  <c:v>208.5</c:v>
                </c:pt>
                <c:pt idx="494">
                  <c:v>189.1</c:v>
                </c:pt>
                <c:pt idx="495">
                  <c:v>170.4</c:v>
                </c:pt>
                <c:pt idx="496">
                  <c:v>154.80000000000001</c:v>
                </c:pt>
                <c:pt idx="497">
                  <c:v>143.80000000000001</c:v>
                </c:pt>
                <c:pt idx="498">
                  <c:v>137.1</c:v>
                </c:pt>
                <c:pt idx="499">
                  <c:v>132.80000000000001</c:v>
                </c:pt>
                <c:pt idx="500">
                  <c:v>129.9</c:v>
                </c:pt>
                <c:pt idx="501">
                  <c:v>128</c:v>
                </c:pt>
                <c:pt idx="502">
                  <c:v>126.6</c:v>
                </c:pt>
                <c:pt idx="503">
                  <c:v>125.7</c:v>
                </c:pt>
                <c:pt idx="504">
                  <c:v>125</c:v>
                </c:pt>
                <c:pt idx="505">
                  <c:v>124.6</c:v>
                </c:pt>
                <c:pt idx="506">
                  <c:v>124.3</c:v>
                </c:pt>
                <c:pt idx="507">
                  <c:v>124.2</c:v>
                </c:pt>
                <c:pt idx="508">
                  <c:v>124.1</c:v>
                </c:pt>
                <c:pt idx="509">
                  <c:v>124</c:v>
                </c:pt>
                <c:pt idx="510">
                  <c:v>124</c:v>
                </c:pt>
                <c:pt idx="511">
                  <c:v>124</c:v>
                </c:pt>
                <c:pt idx="512">
                  <c:v>124.5</c:v>
                </c:pt>
                <c:pt idx="513">
                  <c:v>125.8</c:v>
                </c:pt>
                <c:pt idx="514">
                  <c:v>129</c:v>
                </c:pt>
                <c:pt idx="515">
                  <c:v>92.5</c:v>
                </c:pt>
                <c:pt idx="516">
                  <c:v>96.2</c:v>
                </c:pt>
                <c:pt idx="517">
                  <c:v>96.2</c:v>
                </c:pt>
                <c:pt idx="518">
                  <c:v>93.8</c:v>
                </c:pt>
                <c:pt idx="519">
                  <c:v>90.7</c:v>
                </c:pt>
                <c:pt idx="520">
                  <c:v>88.2</c:v>
                </c:pt>
                <c:pt idx="521">
                  <c:v>86.7</c:v>
                </c:pt>
                <c:pt idx="522">
                  <c:v>85.8</c:v>
                </c:pt>
                <c:pt idx="523">
                  <c:v>85.1</c:v>
                </c:pt>
                <c:pt idx="524">
                  <c:v>86.6</c:v>
                </c:pt>
                <c:pt idx="525">
                  <c:v>92</c:v>
                </c:pt>
                <c:pt idx="526">
                  <c:v>99.2</c:v>
                </c:pt>
                <c:pt idx="527">
                  <c:v>102.4</c:v>
                </c:pt>
                <c:pt idx="528">
                  <c:v>101.2</c:v>
                </c:pt>
                <c:pt idx="529">
                  <c:v>97.5</c:v>
                </c:pt>
                <c:pt idx="530">
                  <c:v>93.3</c:v>
                </c:pt>
                <c:pt idx="531">
                  <c:v>90.1</c:v>
                </c:pt>
                <c:pt idx="532">
                  <c:v>87.8</c:v>
                </c:pt>
                <c:pt idx="533">
                  <c:v>86.1</c:v>
                </c:pt>
                <c:pt idx="534">
                  <c:v>85</c:v>
                </c:pt>
                <c:pt idx="535">
                  <c:v>84.3</c:v>
                </c:pt>
                <c:pt idx="536">
                  <c:v>83.9</c:v>
                </c:pt>
                <c:pt idx="537">
                  <c:v>83.7</c:v>
                </c:pt>
                <c:pt idx="538">
                  <c:v>83.7</c:v>
                </c:pt>
                <c:pt idx="539">
                  <c:v>83.8</c:v>
                </c:pt>
                <c:pt idx="540">
                  <c:v>84</c:v>
                </c:pt>
                <c:pt idx="541">
                  <c:v>84</c:v>
                </c:pt>
                <c:pt idx="542">
                  <c:v>83.8</c:v>
                </c:pt>
                <c:pt idx="543">
                  <c:v>83.7</c:v>
                </c:pt>
                <c:pt idx="544">
                  <c:v>83.5</c:v>
                </c:pt>
                <c:pt idx="545">
                  <c:v>60.4</c:v>
                </c:pt>
                <c:pt idx="546">
                  <c:v>60.3</c:v>
                </c:pt>
                <c:pt idx="547">
                  <c:v>60.3</c:v>
                </c:pt>
                <c:pt idx="548">
                  <c:v>60.3</c:v>
                </c:pt>
                <c:pt idx="549">
                  <c:v>60.4</c:v>
                </c:pt>
                <c:pt idx="550">
                  <c:v>60.4</c:v>
                </c:pt>
                <c:pt idx="551">
                  <c:v>60.3</c:v>
                </c:pt>
                <c:pt idx="552">
                  <c:v>60.2</c:v>
                </c:pt>
                <c:pt idx="553">
                  <c:v>60.1</c:v>
                </c:pt>
                <c:pt idx="554">
                  <c:v>60.1</c:v>
                </c:pt>
                <c:pt idx="555">
                  <c:v>60.1</c:v>
                </c:pt>
                <c:pt idx="556">
                  <c:v>60</c:v>
                </c:pt>
                <c:pt idx="557">
                  <c:v>60</c:v>
                </c:pt>
                <c:pt idx="558">
                  <c:v>60</c:v>
                </c:pt>
                <c:pt idx="559">
                  <c:v>60.3</c:v>
                </c:pt>
                <c:pt idx="560">
                  <c:v>61.9</c:v>
                </c:pt>
                <c:pt idx="561">
                  <c:v>65.2</c:v>
                </c:pt>
                <c:pt idx="562">
                  <c:v>68.5</c:v>
                </c:pt>
                <c:pt idx="563">
                  <c:v>69.5</c:v>
                </c:pt>
                <c:pt idx="564">
                  <c:v>68.8</c:v>
                </c:pt>
                <c:pt idx="565">
                  <c:v>67.8</c:v>
                </c:pt>
                <c:pt idx="566">
                  <c:v>67.5</c:v>
                </c:pt>
                <c:pt idx="567">
                  <c:v>67.2</c:v>
                </c:pt>
                <c:pt idx="568">
                  <c:v>66.099999999999994</c:v>
                </c:pt>
                <c:pt idx="569">
                  <c:v>64.599999999999994</c:v>
                </c:pt>
                <c:pt idx="570">
                  <c:v>63.1</c:v>
                </c:pt>
                <c:pt idx="571">
                  <c:v>62.7</c:v>
                </c:pt>
                <c:pt idx="572">
                  <c:v>63.9</c:v>
                </c:pt>
                <c:pt idx="573">
                  <c:v>66.2</c:v>
                </c:pt>
                <c:pt idx="574">
                  <c:v>68.400000000000006</c:v>
                </c:pt>
                <c:pt idx="575">
                  <c:v>70.099999999999994</c:v>
                </c:pt>
                <c:pt idx="576">
                  <c:v>75.599999999999994</c:v>
                </c:pt>
                <c:pt idx="577">
                  <c:v>74.2</c:v>
                </c:pt>
                <c:pt idx="578">
                  <c:v>71.900000000000006</c:v>
                </c:pt>
                <c:pt idx="579">
                  <c:v>69.7</c:v>
                </c:pt>
                <c:pt idx="580">
                  <c:v>68.099999999999994</c:v>
                </c:pt>
                <c:pt idx="581">
                  <c:v>67.2</c:v>
                </c:pt>
                <c:pt idx="582">
                  <c:v>69.900000000000006</c:v>
                </c:pt>
                <c:pt idx="583">
                  <c:v>76.900000000000006</c:v>
                </c:pt>
                <c:pt idx="584">
                  <c:v>85</c:v>
                </c:pt>
                <c:pt idx="585">
                  <c:v>88.3</c:v>
                </c:pt>
                <c:pt idx="586">
                  <c:v>89.4</c:v>
                </c:pt>
                <c:pt idx="587">
                  <c:v>88.4</c:v>
                </c:pt>
                <c:pt idx="588">
                  <c:v>84.4</c:v>
                </c:pt>
                <c:pt idx="589">
                  <c:v>79.900000000000006</c:v>
                </c:pt>
                <c:pt idx="590">
                  <c:v>75.099999999999994</c:v>
                </c:pt>
                <c:pt idx="591">
                  <c:v>71.400000000000006</c:v>
                </c:pt>
                <c:pt idx="592">
                  <c:v>69.2</c:v>
                </c:pt>
                <c:pt idx="593">
                  <c:v>67.7</c:v>
                </c:pt>
                <c:pt idx="594">
                  <c:v>66.8</c:v>
                </c:pt>
                <c:pt idx="595">
                  <c:v>66.7</c:v>
                </c:pt>
                <c:pt idx="596">
                  <c:v>68.3</c:v>
                </c:pt>
                <c:pt idx="597">
                  <c:v>71.099999999999994</c:v>
                </c:pt>
                <c:pt idx="598">
                  <c:v>73.2</c:v>
                </c:pt>
                <c:pt idx="599">
                  <c:v>73.3</c:v>
                </c:pt>
                <c:pt idx="600">
                  <c:v>72.5</c:v>
                </c:pt>
                <c:pt idx="601">
                  <c:v>71.3</c:v>
                </c:pt>
                <c:pt idx="602">
                  <c:v>73.3</c:v>
                </c:pt>
                <c:pt idx="603">
                  <c:v>81.099999999999994</c:v>
                </c:pt>
                <c:pt idx="604">
                  <c:v>94</c:v>
                </c:pt>
                <c:pt idx="605">
                  <c:v>105.9</c:v>
                </c:pt>
                <c:pt idx="606">
                  <c:v>114.5</c:v>
                </c:pt>
                <c:pt idx="607">
                  <c:v>142.19999999999999</c:v>
                </c:pt>
                <c:pt idx="608">
                  <c:v>137</c:v>
                </c:pt>
                <c:pt idx="609">
                  <c:v>131.6</c:v>
                </c:pt>
                <c:pt idx="610">
                  <c:v>131.5</c:v>
                </c:pt>
                <c:pt idx="611">
                  <c:v>137.5</c:v>
                </c:pt>
                <c:pt idx="612">
                  <c:v>146.30000000000001</c:v>
                </c:pt>
                <c:pt idx="613">
                  <c:v>151.6</c:v>
                </c:pt>
                <c:pt idx="614">
                  <c:v>155.9</c:v>
                </c:pt>
                <c:pt idx="615">
                  <c:v>158.1</c:v>
                </c:pt>
                <c:pt idx="616">
                  <c:v>157.69999999999999</c:v>
                </c:pt>
                <c:pt idx="617">
                  <c:v>163.4</c:v>
                </c:pt>
                <c:pt idx="618">
                  <c:v>171.3</c:v>
                </c:pt>
                <c:pt idx="619">
                  <c:v>167.5</c:v>
                </c:pt>
                <c:pt idx="620">
                  <c:v>154.9</c:v>
                </c:pt>
                <c:pt idx="621">
                  <c:v>137.80000000000001</c:v>
                </c:pt>
                <c:pt idx="622">
                  <c:v>123.8</c:v>
                </c:pt>
                <c:pt idx="623">
                  <c:v>121.6</c:v>
                </c:pt>
                <c:pt idx="624">
                  <c:v>130.9</c:v>
                </c:pt>
                <c:pt idx="625">
                  <c:v>143.6</c:v>
                </c:pt>
                <c:pt idx="626">
                  <c:v>151.6</c:v>
                </c:pt>
                <c:pt idx="627">
                  <c:v>154.5</c:v>
                </c:pt>
                <c:pt idx="628">
                  <c:v>156.30000000000001</c:v>
                </c:pt>
                <c:pt idx="629">
                  <c:v>156.5</c:v>
                </c:pt>
                <c:pt idx="630">
                  <c:v>157.69999999999999</c:v>
                </c:pt>
                <c:pt idx="631">
                  <c:v>153.4</c:v>
                </c:pt>
                <c:pt idx="632">
                  <c:v>144.69999999999999</c:v>
                </c:pt>
                <c:pt idx="633">
                  <c:v>137.5</c:v>
                </c:pt>
                <c:pt idx="634">
                  <c:v>140.4</c:v>
                </c:pt>
                <c:pt idx="635">
                  <c:v>153.6</c:v>
                </c:pt>
                <c:pt idx="636">
                  <c:v>163.19999999999999</c:v>
                </c:pt>
                <c:pt idx="637">
                  <c:v>177.3</c:v>
                </c:pt>
                <c:pt idx="638">
                  <c:v>166.9</c:v>
                </c:pt>
                <c:pt idx="639">
                  <c:v>162.69999999999999</c:v>
                </c:pt>
                <c:pt idx="640">
                  <c:v>174.2</c:v>
                </c:pt>
                <c:pt idx="641">
                  <c:v>192.1</c:v>
                </c:pt>
                <c:pt idx="642">
                  <c:v>197.4</c:v>
                </c:pt>
                <c:pt idx="643">
                  <c:v>197</c:v>
                </c:pt>
                <c:pt idx="644">
                  <c:v>198.4</c:v>
                </c:pt>
                <c:pt idx="645">
                  <c:v>200.4</c:v>
                </c:pt>
                <c:pt idx="646">
                  <c:v>206</c:v>
                </c:pt>
                <c:pt idx="647">
                  <c:v>200.2</c:v>
                </c:pt>
                <c:pt idx="648">
                  <c:v>189.8</c:v>
                </c:pt>
                <c:pt idx="649">
                  <c:v>187.5</c:v>
                </c:pt>
                <c:pt idx="650">
                  <c:v>193.5</c:v>
                </c:pt>
                <c:pt idx="651">
                  <c:v>198.4</c:v>
                </c:pt>
                <c:pt idx="652">
                  <c:v>198.8</c:v>
                </c:pt>
                <c:pt idx="653">
                  <c:v>194.9</c:v>
                </c:pt>
                <c:pt idx="654">
                  <c:v>193.4</c:v>
                </c:pt>
                <c:pt idx="655">
                  <c:v>193.5</c:v>
                </c:pt>
                <c:pt idx="656">
                  <c:v>194.3</c:v>
                </c:pt>
                <c:pt idx="657">
                  <c:v>188.4</c:v>
                </c:pt>
                <c:pt idx="658">
                  <c:v>183.1</c:v>
                </c:pt>
                <c:pt idx="659">
                  <c:v>184.6</c:v>
                </c:pt>
                <c:pt idx="660">
                  <c:v>187.3</c:v>
                </c:pt>
                <c:pt idx="661">
                  <c:v>187.5</c:v>
                </c:pt>
                <c:pt idx="662">
                  <c:v>185</c:v>
                </c:pt>
                <c:pt idx="663">
                  <c:v>187.2</c:v>
                </c:pt>
                <c:pt idx="664">
                  <c:v>195.9</c:v>
                </c:pt>
                <c:pt idx="665">
                  <c:v>199.3</c:v>
                </c:pt>
                <c:pt idx="666">
                  <c:v>197.5</c:v>
                </c:pt>
                <c:pt idx="667">
                  <c:v>197</c:v>
                </c:pt>
                <c:pt idx="668">
                  <c:v>207.5</c:v>
                </c:pt>
                <c:pt idx="669">
                  <c:v>203.1</c:v>
                </c:pt>
                <c:pt idx="670">
                  <c:v>202.4</c:v>
                </c:pt>
                <c:pt idx="671">
                  <c:v>205.7</c:v>
                </c:pt>
                <c:pt idx="672">
                  <c:v>207.4</c:v>
                </c:pt>
                <c:pt idx="673">
                  <c:v>220.2</c:v>
                </c:pt>
                <c:pt idx="674">
                  <c:v>241.8</c:v>
                </c:pt>
                <c:pt idx="675">
                  <c:v>260.89999999999998</c:v>
                </c:pt>
                <c:pt idx="676">
                  <c:v>260.10000000000002</c:v>
                </c:pt>
                <c:pt idx="677">
                  <c:v>249.3</c:v>
                </c:pt>
                <c:pt idx="678">
                  <c:v>243.4</c:v>
                </c:pt>
                <c:pt idx="679">
                  <c:v>246.1</c:v>
                </c:pt>
                <c:pt idx="680">
                  <c:v>249.3</c:v>
                </c:pt>
                <c:pt idx="681">
                  <c:v>243.5</c:v>
                </c:pt>
                <c:pt idx="682">
                  <c:v>235.4</c:v>
                </c:pt>
                <c:pt idx="683">
                  <c:v>223.6</c:v>
                </c:pt>
                <c:pt idx="684">
                  <c:v>219</c:v>
                </c:pt>
                <c:pt idx="685">
                  <c:v>223.2</c:v>
                </c:pt>
                <c:pt idx="686">
                  <c:v>228.1</c:v>
                </c:pt>
                <c:pt idx="687">
                  <c:v>221.7</c:v>
                </c:pt>
                <c:pt idx="688">
                  <c:v>213.5</c:v>
                </c:pt>
                <c:pt idx="689">
                  <c:v>206.9</c:v>
                </c:pt>
                <c:pt idx="690">
                  <c:v>204.1</c:v>
                </c:pt>
                <c:pt idx="691">
                  <c:v>203.2</c:v>
                </c:pt>
                <c:pt idx="692">
                  <c:v>204.7</c:v>
                </c:pt>
                <c:pt idx="693">
                  <c:v>207.8</c:v>
                </c:pt>
                <c:pt idx="694">
                  <c:v>215</c:v>
                </c:pt>
                <c:pt idx="695">
                  <c:v>225.7</c:v>
                </c:pt>
                <c:pt idx="696">
                  <c:v>229.5</c:v>
                </c:pt>
                <c:pt idx="697">
                  <c:v>222.5</c:v>
                </c:pt>
                <c:pt idx="698">
                  <c:v>218.6</c:v>
                </c:pt>
                <c:pt idx="699">
                  <c:v>205.9</c:v>
                </c:pt>
                <c:pt idx="700">
                  <c:v>199.4</c:v>
                </c:pt>
                <c:pt idx="701">
                  <c:v>202.9</c:v>
                </c:pt>
                <c:pt idx="702">
                  <c:v>221.6</c:v>
                </c:pt>
                <c:pt idx="703">
                  <c:v>245</c:v>
                </c:pt>
                <c:pt idx="704">
                  <c:v>259.89999999999998</c:v>
                </c:pt>
                <c:pt idx="705">
                  <c:v>256.39999999999998</c:v>
                </c:pt>
                <c:pt idx="706">
                  <c:v>245</c:v>
                </c:pt>
                <c:pt idx="707">
                  <c:v>236.4</c:v>
                </c:pt>
                <c:pt idx="708">
                  <c:v>236.2</c:v>
                </c:pt>
                <c:pt idx="709">
                  <c:v>240.9</c:v>
                </c:pt>
                <c:pt idx="710">
                  <c:v>246.5</c:v>
                </c:pt>
                <c:pt idx="711">
                  <c:v>254</c:v>
                </c:pt>
                <c:pt idx="712">
                  <c:v>253.2</c:v>
                </c:pt>
                <c:pt idx="713">
                  <c:v>241.2</c:v>
                </c:pt>
                <c:pt idx="714">
                  <c:v>220.5</c:v>
                </c:pt>
                <c:pt idx="715">
                  <c:v>206.4</c:v>
                </c:pt>
                <c:pt idx="716">
                  <c:v>209.9</c:v>
                </c:pt>
                <c:pt idx="717">
                  <c:v>223.3</c:v>
                </c:pt>
                <c:pt idx="718">
                  <c:v>236.9</c:v>
                </c:pt>
                <c:pt idx="719">
                  <c:v>247.7</c:v>
                </c:pt>
                <c:pt idx="720">
                  <c:v>252.1</c:v>
                </c:pt>
                <c:pt idx="721">
                  <c:v>238.7</c:v>
                </c:pt>
                <c:pt idx="722">
                  <c:v>223</c:v>
                </c:pt>
                <c:pt idx="723">
                  <c:v>214.2</c:v>
                </c:pt>
                <c:pt idx="724">
                  <c:v>215</c:v>
                </c:pt>
                <c:pt idx="725">
                  <c:v>224.3</c:v>
                </c:pt>
                <c:pt idx="726">
                  <c:v>232.8</c:v>
                </c:pt>
                <c:pt idx="727">
                  <c:v>239.9</c:v>
                </c:pt>
                <c:pt idx="728">
                  <c:v>244.5</c:v>
                </c:pt>
                <c:pt idx="729">
                  <c:v>244.7</c:v>
                </c:pt>
                <c:pt idx="730">
                  <c:v>243.3</c:v>
                </c:pt>
                <c:pt idx="731">
                  <c:v>239.8</c:v>
                </c:pt>
                <c:pt idx="732">
                  <c:v>231.2</c:v>
                </c:pt>
                <c:pt idx="733">
                  <c:v>227.7</c:v>
                </c:pt>
                <c:pt idx="734">
                  <c:v>234.8</c:v>
                </c:pt>
                <c:pt idx="735">
                  <c:v>244.6</c:v>
                </c:pt>
                <c:pt idx="736">
                  <c:v>247.4</c:v>
                </c:pt>
                <c:pt idx="737">
                  <c:v>236.7</c:v>
                </c:pt>
                <c:pt idx="738">
                  <c:v>219.6</c:v>
                </c:pt>
                <c:pt idx="739">
                  <c:v>210.2</c:v>
                </c:pt>
                <c:pt idx="740">
                  <c:v>212.9</c:v>
                </c:pt>
                <c:pt idx="741">
                  <c:v>218.5</c:v>
                </c:pt>
                <c:pt idx="742">
                  <c:v>219.4</c:v>
                </c:pt>
                <c:pt idx="743">
                  <c:v>210</c:v>
                </c:pt>
                <c:pt idx="744">
                  <c:v>196.6</c:v>
                </c:pt>
                <c:pt idx="745">
                  <c:v>193.5</c:v>
                </c:pt>
                <c:pt idx="746">
                  <c:v>206.5</c:v>
                </c:pt>
                <c:pt idx="747">
                  <c:v>224.8</c:v>
                </c:pt>
                <c:pt idx="748">
                  <c:v>230.3</c:v>
                </c:pt>
                <c:pt idx="749">
                  <c:v>221.3</c:v>
                </c:pt>
                <c:pt idx="750">
                  <c:v>212.9</c:v>
                </c:pt>
                <c:pt idx="751">
                  <c:v>218.9</c:v>
                </c:pt>
                <c:pt idx="752">
                  <c:v>232.5</c:v>
                </c:pt>
                <c:pt idx="753">
                  <c:v>241.2</c:v>
                </c:pt>
                <c:pt idx="754">
                  <c:v>237.5</c:v>
                </c:pt>
                <c:pt idx="755">
                  <c:v>226.8</c:v>
                </c:pt>
                <c:pt idx="756">
                  <c:v>209.2</c:v>
                </c:pt>
                <c:pt idx="757">
                  <c:v>200.1</c:v>
                </c:pt>
                <c:pt idx="758">
                  <c:v>206.9</c:v>
                </c:pt>
                <c:pt idx="759">
                  <c:v>220.4</c:v>
                </c:pt>
                <c:pt idx="760">
                  <c:v>201.3</c:v>
                </c:pt>
                <c:pt idx="761">
                  <c:v>191.1</c:v>
                </c:pt>
                <c:pt idx="762">
                  <c:v>178.8</c:v>
                </c:pt>
                <c:pt idx="763">
                  <c:v>173.1</c:v>
                </c:pt>
                <c:pt idx="764">
                  <c:v>173.6</c:v>
                </c:pt>
                <c:pt idx="765">
                  <c:v>178.5</c:v>
                </c:pt>
                <c:pt idx="766">
                  <c:v>185.1</c:v>
                </c:pt>
                <c:pt idx="767">
                  <c:v>190.3</c:v>
                </c:pt>
                <c:pt idx="768">
                  <c:v>190.9</c:v>
                </c:pt>
                <c:pt idx="769">
                  <c:v>190.2</c:v>
                </c:pt>
                <c:pt idx="770">
                  <c:v>194.8</c:v>
                </c:pt>
                <c:pt idx="771">
                  <c:v>196.2</c:v>
                </c:pt>
                <c:pt idx="772">
                  <c:v>189.5</c:v>
                </c:pt>
                <c:pt idx="773">
                  <c:v>179.2</c:v>
                </c:pt>
                <c:pt idx="774">
                  <c:v>170.9</c:v>
                </c:pt>
                <c:pt idx="775">
                  <c:v>165.7</c:v>
                </c:pt>
                <c:pt idx="776">
                  <c:v>169.1</c:v>
                </c:pt>
                <c:pt idx="777">
                  <c:v>177.8</c:v>
                </c:pt>
                <c:pt idx="778">
                  <c:v>190</c:v>
                </c:pt>
                <c:pt idx="779">
                  <c:v>194.6</c:v>
                </c:pt>
                <c:pt idx="780">
                  <c:v>193.1</c:v>
                </c:pt>
                <c:pt idx="781">
                  <c:v>181.2</c:v>
                </c:pt>
                <c:pt idx="782">
                  <c:v>167.9</c:v>
                </c:pt>
                <c:pt idx="783">
                  <c:v>163.80000000000001</c:v>
                </c:pt>
                <c:pt idx="784">
                  <c:v>166.6</c:v>
                </c:pt>
                <c:pt idx="785">
                  <c:v>167.5</c:v>
                </c:pt>
                <c:pt idx="786">
                  <c:v>164.8</c:v>
                </c:pt>
                <c:pt idx="787">
                  <c:v>163.1</c:v>
                </c:pt>
                <c:pt idx="788">
                  <c:v>172.8</c:v>
                </c:pt>
                <c:pt idx="789">
                  <c:v>182.4</c:v>
                </c:pt>
                <c:pt idx="790">
                  <c:v>200.9</c:v>
                </c:pt>
                <c:pt idx="791">
                  <c:v>217.2</c:v>
                </c:pt>
                <c:pt idx="792">
                  <c:v>217.4</c:v>
                </c:pt>
                <c:pt idx="793">
                  <c:v>207</c:v>
                </c:pt>
                <c:pt idx="794">
                  <c:v>199.7</c:v>
                </c:pt>
                <c:pt idx="795">
                  <c:v>205.8</c:v>
                </c:pt>
                <c:pt idx="796">
                  <c:v>219.9</c:v>
                </c:pt>
                <c:pt idx="797">
                  <c:v>224.5</c:v>
                </c:pt>
                <c:pt idx="798">
                  <c:v>218.3</c:v>
                </c:pt>
                <c:pt idx="799">
                  <c:v>207.1</c:v>
                </c:pt>
                <c:pt idx="800">
                  <c:v>200.7</c:v>
                </c:pt>
                <c:pt idx="801">
                  <c:v>200.6</c:v>
                </c:pt>
                <c:pt idx="802">
                  <c:v>202.3</c:v>
                </c:pt>
                <c:pt idx="803">
                  <c:v>196.7</c:v>
                </c:pt>
                <c:pt idx="804">
                  <c:v>190.3</c:v>
                </c:pt>
                <c:pt idx="805">
                  <c:v>187.6</c:v>
                </c:pt>
                <c:pt idx="806">
                  <c:v>186.6</c:v>
                </c:pt>
                <c:pt idx="807">
                  <c:v>186.3</c:v>
                </c:pt>
                <c:pt idx="808">
                  <c:v>181.4</c:v>
                </c:pt>
                <c:pt idx="809">
                  <c:v>172.9</c:v>
                </c:pt>
                <c:pt idx="810">
                  <c:v>166.1</c:v>
                </c:pt>
                <c:pt idx="811">
                  <c:v>167.6</c:v>
                </c:pt>
                <c:pt idx="812">
                  <c:v>177</c:v>
                </c:pt>
                <c:pt idx="813">
                  <c:v>189.1</c:v>
                </c:pt>
                <c:pt idx="814">
                  <c:v>193.9</c:v>
                </c:pt>
                <c:pt idx="815">
                  <c:v>194.2</c:v>
                </c:pt>
                <c:pt idx="816">
                  <c:v>198.8</c:v>
                </c:pt>
                <c:pt idx="817">
                  <c:v>212.7</c:v>
                </c:pt>
                <c:pt idx="818">
                  <c:v>223.4</c:v>
                </c:pt>
                <c:pt idx="819">
                  <c:v>227.9</c:v>
                </c:pt>
                <c:pt idx="820">
                  <c:v>219.1</c:v>
                </c:pt>
                <c:pt idx="821">
                  <c:v>212.4</c:v>
                </c:pt>
                <c:pt idx="822">
                  <c:v>209.1</c:v>
                </c:pt>
                <c:pt idx="823">
                  <c:v>216.2</c:v>
                </c:pt>
                <c:pt idx="824">
                  <c:v>227</c:v>
                </c:pt>
                <c:pt idx="825">
                  <c:v>234.5</c:v>
                </c:pt>
                <c:pt idx="826">
                  <c:v>232</c:v>
                </c:pt>
                <c:pt idx="827">
                  <c:v>217.9</c:v>
                </c:pt>
                <c:pt idx="828">
                  <c:v>196.7</c:v>
                </c:pt>
                <c:pt idx="829">
                  <c:v>178.9</c:v>
                </c:pt>
                <c:pt idx="830">
                  <c:v>172.9</c:v>
                </c:pt>
                <c:pt idx="831">
                  <c:v>178.3</c:v>
                </c:pt>
                <c:pt idx="832">
                  <c:v>193.5</c:v>
                </c:pt>
                <c:pt idx="833">
                  <c:v>213.2</c:v>
                </c:pt>
                <c:pt idx="834">
                  <c:v>235.1</c:v>
                </c:pt>
                <c:pt idx="835">
                  <c:v>244</c:v>
                </c:pt>
                <c:pt idx="836">
                  <c:v>237.3</c:v>
                </c:pt>
                <c:pt idx="837">
                  <c:v>218.1</c:v>
                </c:pt>
                <c:pt idx="838">
                  <c:v>201.6</c:v>
                </c:pt>
                <c:pt idx="839">
                  <c:v>199.8</c:v>
                </c:pt>
                <c:pt idx="840">
                  <c:v>210.2</c:v>
                </c:pt>
                <c:pt idx="841">
                  <c:v>222</c:v>
                </c:pt>
                <c:pt idx="842">
                  <c:v>231.2</c:v>
                </c:pt>
                <c:pt idx="843">
                  <c:v>230.3</c:v>
                </c:pt>
                <c:pt idx="844">
                  <c:v>222</c:v>
                </c:pt>
                <c:pt idx="845">
                  <c:v>214.5</c:v>
                </c:pt>
                <c:pt idx="846">
                  <c:v>218</c:v>
                </c:pt>
                <c:pt idx="847">
                  <c:v>230.4</c:v>
                </c:pt>
                <c:pt idx="848">
                  <c:v>234.3</c:v>
                </c:pt>
                <c:pt idx="849">
                  <c:v>235</c:v>
                </c:pt>
                <c:pt idx="850">
                  <c:v>232.8</c:v>
                </c:pt>
                <c:pt idx="851">
                  <c:v>222.6</c:v>
                </c:pt>
                <c:pt idx="852">
                  <c:v>206.3</c:v>
                </c:pt>
                <c:pt idx="853">
                  <c:v>185.3</c:v>
                </c:pt>
                <c:pt idx="854">
                  <c:v>165.2</c:v>
                </c:pt>
                <c:pt idx="855">
                  <c:v>150.80000000000001</c:v>
                </c:pt>
                <c:pt idx="856">
                  <c:v>141.4</c:v>
                </c:pt>
                <c:pt idx="857">
                  <c:v>135.4</c:v>
                </c:pt>
                <c:pt idx="858">
                  <c:v>137.1</c:v>
                </c:pt>
                <c:pt idx="859">
                  <c:v>148.1</c:v>
                </c:pt>
                <c:pt idx="860">
                  <c:v>162</c:v>
                </c:pt>
                <c:pt idx="861">
                  <c:v>165.1</c:v>
                </c:pt>
                <c:pt idx="862">
                  <c:v>161.5</c:v>
                </c:pt>
                <c:pt idx="863">
                  <c:v>160</c:v>
                </c:pt>
                <c:pt idx="864">
                  <c:v>168.4</c:v>
                </c:pt>
                <c:pt idx="865">
                  <c:v>183.8</c:v>
                </c:pt>
                <c:pt idx="866">
                  <c:v>194.1</c:v>
                </c:pt>
                <c:pt idx="867">
                  <c:v>193</c:v>
                </c:pt>
                <c:pt idx="868">
                  <c:v>182.9</c:v>
                </c:pt>
                <c:pt idx="869">
                  <c:v>168.5</c:v>
                </c:pt>
                <c:pt idx="870">
                  <c:v>154.9</c:v>
                </c:pt>
                <c:pt idx="871">
                  <c:v>144.5</c:v>
                </c:pt>
                <c:pt idx="872">
                  <c:v>137.4</c:v>
                </c:pt>
                <c:pt idx="873">
                  <c:v>138.80000000000001</c:v>
                </c:pt>
                <c:pt idx="874">
                  <c:v>150.4</c:v>
                </c:pt>
                <c:pt idx="875">
                  <c:v>166.3</c:v>
                </c:pt>
                <c:pt idx="876">
                  <c:v>173.8</c:v>
                </c:pt>
                <c:pt idx="877">
                  <c:v>174.9</c:v>
                </c:pt>
                <c:pt idx="878">
                  <c:v>170.9</c:v>
                </c:pt>
                <c:pt idx="879">
                  <c:v>163.30000000000001</c:v>
                </c:pt>
                <c:pt idx="880">
                  <c:v>115.5</c:v>
                </c:pt>
                <c:pt idx="881">
                  <c:v>109.1</c:v>
                </c:pt>
                <c:pt idx="882">
                  <c:v>102.6</c:v>
                </c:pt>
                <c:pt idx="883">
                  <c:v>97.1</c:v>
                </c:pt>
                <c:pt idx="884">
                  <c:v>92.5</c:v>
                </c:pt>
                <c:pt idx="885">
                  <c:v>89.1</c:v>
                </c:pt>
                <c:pt idx="886">
                  <c:v>87</c:v>
                </c:pt>
                <c:pt idx="887">
                  <c:v>87.5</c:v>
                </c:pt>
                <c:pt idx="888">
                  <c:v>93.8</c:v>
                </c:pt>
                <c:pt idx="889">
                  <c:v>105.4</c:v>
                </c:pt>
                <c:pt idx="890">
                  <c:v>114.7</c:v>
                </c:pt>
                <c:pt idx="891">
                  <c:v>115.3</c:v>
                </c:pt>
                <c:pt idx="892">
                  <c:v>109.5</c:v>
                </c:pt>
                <c:pt idx="893">
                  <c:v>101.4</c:v>
                </c:pt>
                <c:pt idx="894">
                  <c:v>94.8</c:v>
                </c:pt>
                <c:pt idx="895">
                  <c:v>90.9</c:v>
                </c:pt>
                <c:pt idx="896">
                  <c:v>88.2</c:v>
                </c:pt>
                <c:pt idx="897">
                  <c:v>86.5</c:v>
                </c:pt>
                <c:pt idx="898">
                  <c:v>85.3</c:v>
                </c:pt>
                <c:pt idx="899">
                  <c:v>84.5</c:v>
                </c:pt>
                <c:pt idx="900">
                  <c:v>84</c:v>
                </c:pt>
                <c:pt idx="901">
                  <c:v>84</c:v>
                </c:pt>
                <c:pt idx="902">
                  <c:v>84.6</c:v>
                </c:pt>
                <c:pt idx="903">
                  <c:v>86.3</c:v>
                </c:pt>
                <c:pt idx="904">
                  <c:v>88.8</c:v>
                </c:pt>
                <c:pt idx="905">
                  <c:v>91</c:v>
                </c:pt>
                <c:pt idx="906">
                  <c:v>90.9</c:v>
                </c:pt>
                <c:pt idx="907">
                  <c:v>89.5</c:v>
                </c:pt>
                <c:pt idx="908">
                  <c:v>87.5</c:v>
                </c:pt>
                <c:pt idx="909">
                  <c:v>85.8</c:v>
                </c:pt>
                <c:pt idx="910">
                  <c:v>61.9</c:v>
                </c:pt>
                <c:pt idx="911">
                  <c:v>61.7</c:v>
                </c:pt>
                <c:pt idx="912">
                  <c:v>62.3</c:v>
                </c:pt>
                <c:pt idx="913">
                  <c:v>63.2</c:v>
                </c:pt>
                <c:pt idx="914">
                  <c:v>63.2</c:v>
                </c:pt>
                <c:pt idx="915">
                  <c:v>62.7</c:v>
                </c:pt>
                <c:pt idx="916">
                  <c:v>61.9</c:v>
                </c:pt>
                <c:pt idx="917">
                  <c:v>61.2</c:v>
                </c:pt>
                <c:pt idx="918">
                  <c:v>60.8</c:v>
                </c:pt>
                <c:pt idx="919">
                  <c:v>60.5</c:v>
                </c:pt>
                <c:pt idx="920">
                  <c:v>60.3</c:v>
                </c:pt>
                <c:pt idx="921">
                  <c:v>60.2</c:v>
                </c:pt>
                <c:pt idx="922">
                  <c:v>60.1</c:v>
                </c:pt>
                <c:pt idx="923">
                  <c:v>60.1</c:v>
                </c:pt>
                <c:pt idx="924">
                  <c:v>60.1</c:v>
                </c:pt>
                <c:pt idx="925">
                  <c:v>60</c:v>
                </c:pt>
                <c:pt idx="926">
                  <c:v>60</c:v>
                </c:pt>
                <c:pt idx="927">
                  <c:v>60</c:v>
                </c:pt>
                <c:pt idx="928">
                  <c:v>60</c:v>
                </c:pt>
                <c:pt idx="929">
                  <c:v>60.3</c:v>
                </c:pt>
                <c:pt idx="930">
                  <c:v>60.9</c:v>
                </c:pt>
                <c:pt idx="931">
                  <c:v>61.5</c:v>
                </c:pt>
                <c:pt idx="932">
                  <c:v>61.8</c:v>
                </c:pt>
                <c:pt idx="933">
                  <c:v>61.8</c:v>
                </c:pt>
                <c:pt idx="934">
                  <c:v>61.7</c:v>
                </c:pt>
                <c:pt idx="935">
                  <c:v>62</c:v>
                </c:pt>
                <c:pt idx="936">
                  <c:v>65.099999999999994</c:v>
                </c:pt>
                <c:pt idx="937">
                  <c:v>71</c:v>
                </c:pt>
                <c:pt idx="938">
                  <c:v>76.8</c:v>
                </c:pt>
                <c:pt idx="939">
                  <c:v>78.2</c:v>
                </c:pt>
                <c:pt idx="940">
                  <c:v>76.400000000000006</c:v>
                </c:pt>
                <c:pt idx="941">
                  <c:v>77.5</c:v>
                </c:pt>
                <c:pt idx="942">
                  <c:v>73.599999999999994</c:v>
                </c:pt>
                <c:pt idx="943">
                  <c:v>70.900000000000006</c:v>
                </c:pt>
                <c:pt idx="944">
                  <c:v>69.5</c:v>
                </c:pt>
                <c:pt idx="945">
                  <c:v>70.2</c:v>
                </c:pt>
                <c:pt idx="946">
                  <c:v>75.2</c:v>
                </c:pt>
                <c:pt idx="947">
                  <c:v>83.2</c:v>
                </c:pt>
                <c:pt idx="948">
                  <c:v>90.3</c:v>
                </c:pt>
                <c:pt idx="949">
                  <c:v>91</c:v>
                </c:pt>
                <c:pt idx="950">
                  <c:v>87.8</c:v>
                </c:pt>
                <c:pt idx="951">
                  <c:v>83.2</c:v>
                </c:pt>
                <c:pt idx="952">
                  <c:v>78.8</c:v>
                </c:pt>
                <c:pt idx="953">
                  <c:v>75.5</c:v>
                </c:pt>
                <c:pt idx="954">
                  <c:v>73.900000000000006</c:v>
                </c:pt>
                <c:pt idx="955">
                  <c:v>78.900000000000006</c:v>
                </c:pt>
                <c:pt idx="956">
                  <c:v>90.2</c:v>
                </c:pt>
                <c:pt idx="957">
                  <c:v>100.3</c:v>
                </c:pt>
                <c:pt idx="958">
                  <c:v>100.4</c:v>
                </c:pt>
                <c:pt idx="959">
                  <c:v>93.8</c:v>
                </c:pt>
                <c:pt idx="960">
                  <c:v>84.9</c:v>
                </c:pt>
                <c:pt idx="961">
                  <c:v>77.599999999999994</c:v>
                </c:pt>
                <c:pt idx="962">
                  <c:v>73.900000000000006</c:v>
                </c:pt>
                <c:pt idx="963">
                  <c:v>74.7</c:v>
                </c:pt>
                <c:pt idx="964">
                  <c:v>80.900000000000006</c:v>
                </c:pt>
                <c:pt idx="965">
                  <c:v>89.2</c:v>
                </c:pt>
                <c:pt idx="966">
                  <c:v>92.7</c:v>
                </c:pt>
                <c:pt idx="967">
                  <c:v>94.2</c:v>
                </c:pt>
                <c:pt idx="968">
                  <c:v>98.3</c:v>
                </c:pt>
                <c:pt idx="969">
                  <c:v>103.9</c:v>
                </c:pt>
                <c:pt idx="970">
                  <c:v>103.5</c:v>
                </c:pt>
                <c:pt idx="971">
                  <c:v>101.9</c:v>
                </c:pt>
                <c:pt idx="972">
                  <c:v>128.6</c:v>
                </c:pt>
                <c:pt idx="973">
                  <c:v>130.1</c:v>
                </c:pt>
                <c:pt idx="974">
                  <c:v>130.6</c:v>
                </c:pt>
                <c:pt idx="975">
                  <c:v>130.9</c:v>
                </c:pt>
                <c:pt idx="976">
                  <c:v>129</c:v>
                </c:pt>
                <c:pt idx="977">
                  <c:v>125.4</c:v>
                </c:pt>
                <c:pt idx="978">
                  <c:v>120.7</c:v>
                </c:pt>
                <c:pt idx="979">
                  <c:v>116.2</c:v>
                </c:pt>
                <c:pt idx="980">
                  <c:v>112.6</c:v>
                </c:pt>
                <c:pt idx="981">
                  <c:v>113.2</c:v>
                </c:pt>
                <c:pt idx="982">
                  <c:v>122.5</c:v>
                </c:pt>
                <c:pt idx="983">
                  <c:v>138.30000000000001</c:v>
                </c:pt>
                <c:pt idx="984">
                  <c:v>150.4</c:v>
                </c:pt>
                <c:pt idx="985">
                  <c:v>153.1</c:v>
                </c:pt>
                <c:pt idx="986">
                  <c:v>151.80000000000001</c:v>
                </c:pt>
                <c:pt idx="987">
                  <c:v>148.30000000000001</c:v>
                </c:pt>
                <c:pt idx="988">
                  <c:v>144</c:v>
                </c:pt>
                <c:pt idx="989">
                  <c:v>143.30000000000001</c:v>
                </c:pt>
                <c:pt idx="990">
                  <c:v>147.6</c:v>
                </c:pt>
                <c:pt idx="991">
                  <c:v>157.30000000000001</c:v>
                </c:pt>
                <c:pt idx="992">
                  <c:v>167.9</c:v>
                </c:pt>
                <c:pt idx="993">
                  <c:v>167.2</c:v>
                </c:pt>
                <c:pt idx="994">
                  <c:v>162.9</c:v>
                </c:pt>
                <c:pt idx="995">
                  <c:v>161.19999999999999</c:v>
                </c:pt>
                <c:pt idx="996">
                  <c:v>164.3</c:v>
                </c:pt>
                <c:pt idx="997">
                  <c:v>165.1</c:v>
                </c:pt>
                <c:pt idx="998">
                  <c:v>164.4</c:v>
                </c:pt>
                <c:pt idx="999">
                  <c:v>163.30000000000001</c:v>
                </c:pt>
                <c:pt idx="1000">
                  <c:v>160.1</c:v>
                </c:pt>
                <c:pt idx="1001">
                  <c:v>160.1</c:v>
                </c:pt>
                <c:pt idx="1002">
                  <c:v>181.5</c:v>
                </c:pt>
                <c:pt idx="1003">
                  <c:v>188.1</c:v>
                </c:pt>
                <c:pt idx="1004">
                  <c:v>193.3</c:v>
                </c:pt>
                <c:pt idx="1005">
                  <c:v>196.1</c:v>
                </c:pt>
                <c:pt idx="1006">
                  <c:v>204.6</c:v>
                </c:pt>
                <c:pt idx="1007">
                  <c:v>221.8</c:v>
                </c:pt>
                <c:pt idx="1008">
                  <c:v>240.7</c:v>
                </c:pt>
                <c:pt idx="1009">
                  <c:v>252.6</c:v>
                </c:pt>
                <c:pt idx="1010">
                  <c:v>253</c:v>
                </c:pt>
                <c:pt idx="1011">
                  <c:v>242.8</c:v>
                </c:pt>
                <c:pt idx="1012">
                  <c:v>229.6</c:v>
                </c:pt>
                <c:pt idx="1013">
                  <c:v>223.6</c:v>
                </c:pt>
                <c:pt idx="1014">
                  <c:v>223.6</c:v>
                </c:pt>
                <c:pt idx="1015">
                  <c:v>216.8</c:v>
                </c:pt>
                <c:pt idx="1016">
                  <c:v>208</c:v>
                </c:pt>
                <c:pt idx="1017">
                  <c:v>208.4</c:v>
                </c:pt>
                <c:pt idx="1018">
                  <c:v>216.2</c:v>
                </c:pt>
                <c:pt idx="1019">
                  <c:v>218.1</c:v>
                </c:pt>
                <c:pt idx="1020">
                  <c:v>206.7</c:v>
                </c:pt>
                <c:pt idx="1021">
                  <c:v>190.3</c:v>
                </c:pt>
                <c:pt idx="1022">
                  <c:v>185.5</c:v>
                </c:pt>
                <c:pt idx="1023">
                  <c:v>195.3</c:v>
                </c:pt>
                <c:pt idx="1024">
                  <c:v>202.6</c:v>
                </c:pt>
                <c:pt idx="1025">
                  <c:v>197.4</c:v>
                </c:pt>
                <c:pt idx="1026">
                  <c:v>190.2</c:v>
                </c:pt>
                <c:pt idx="1027">
                  <c:v>189.2</c:v>
                </c:pt>
                <c:pt idx="1028">
                  <c:v>193.6</c:v>
                </c:pt>
                <c:pt idx="1029">
                  <c:v>199.9</c:v>
                </c:pt>
                <c:pt idx="1030">
                  <c:v>201.8</c:v>
                </c:pt>
                <c:pt idx="1031">
                  <c:v>196.8</c:v>
                </c:pt>
                <c:pt idx="1032">
                  <c:v>191.8</c:v>
                </c:pt>
                <c:pt idx="1033">
                  <c:v>201.7</c:v>
                </c:pt>
                <c:pt idx="1034">
                  <c:v>201.6</c:v>
                </c:pt>
                <c:pt idx="1035">
                  <c:v>203.5</c:v>
                </c:pt>
                <c:pt idx="1036">
                  <c:v>205.5</c:v>
                </c:pt>
                <c:pt idx="1037">
                  <c:v>202.5</c:v>
                </c:pt>
                <c:pt idx="1038">
                  <c:v>206.6</c:v>
                </c:pt>
                <c:pt idx="1039">
                  <c:v>222.7</c:v>
                </c:pt>
                <c:pt idx="1040">
                  <c:v>243</c:v>
                </c:pt>
                <c:pt idx="1041">
                  <c:v>258.39999999999998</c:v>
                </c:pt>
                <c:pt idx="1042">
                  <c:v>256.39999999999998</c:v>
                </c:pt>
                <c:pt idx="1043">
                  <c:v>243.9</c:v>
                </c:pt>
                <c:pt idx="1044">
                  <c:v>235.1</c:v>
                </c:pt>
                <c:pt idx="1045">
                  <c:v>234.1</c:v>
                </c:pt>
                <c:pt idx="1046">
                  <c:v>234</c:v>
                </c:pt>
                <c:pt idx="1047">
                  <c:v>227.5</c:v>
                </c:pt>
                <c:pt idx="1048">
                  <c:v>217</c:v>
                </c:pt>
                <c:pt idx="1049">
                  <c:v>213.3</c:v>
                </c:pt>
                <c:pt idx="1050">
                  <c:v>220.9</c:v>
                </c:pt>
                <c:pt idx="1051">
                  <c:v>231.1</c:v>
                </c:pt>
                <c:pt idx="1052">
                  <c:v>237.1</c:v>
                </c:pt>
                <c:pt idx="1053">
                  <c:v>237</c:v>
                </c:pt>
                <c:pt idx="1054">
                  <c:v>230.1</c:v>
                </c:pt>
                <c:pt idx="1055">
                  <c:v>227.6</c:v>
                </c:pt>
                <c:pt idx="1056">
                  <c:v>224.1</c:v>
                </c:pt>
                <c:pt idx="1057">
                  <c:v>217.1</c:v>
                </c:pt>
                <c:pt idx="1058">
                  <c:v>213.3</c:v>
                </c:pt>
                <c:pt idx="1059">
                  <c:v>219.9</c:v>
                </c:pt>
                <c:pt idx="1060">
                  <c:v>235.8</c:v>
                </c:pt>
                <c:pt idx="1061">
                  <c:v>253</c:v>
                </c:pt>
                <c:pt idx="1062">
                  <c:v>256.10000000000002</c:v>
                </c:pt>
                <c:pt idx="1063">
                  <c:v>249.9</c:v>
                </c:pt>
                <c:pt idx="1064">
                  <c:v>233.4</c:v>
                </c:pt>
                <c:pt idx="1065">
                  <c:v>224.8</c:v>
                </c:pt>
                <c:pt idx="1066">
                  <c:v>228.4</c:v>
                </c:pt>
                <c:pt idx="1067">
                  <c:v>235.9</c:v>
                </c:pt>
                <c:pt idx="1068">
                  <c:v>242</c:v>
                </c:pt>
                <c:pt idx="1069">
                  <c:v>240.1</c:v>
                </c:pt>
                <c:pt idx="1070">
                  <c:v>233.7</c:v>
                </c:pt>
                <c:pt idx="1071">
                  <c:v>226.8</c:v>
                </c:pt>
                <c:pt idx="1072">
                  <c:v>220.3</c:v>
                </c:pt>
                <c:pt idx="1073">
                  <c:v>214</c:v>
                </c:pt>
                <c:pt idx="1074">
                  <c:v>212.7</c:v>
                </c:pt>
                <c:pt idx="1075">
                  <c:v>216.5</c:v>
                </c:pt>
                <c:pt idx="1076">
                  <c:v>222</c:v>
                </c:pt>
                <c:pt idx="1077">
                  <c:v>222.3</c:v>
                </c:pt>
                <c:pt idx="1078">
                  <c:v>215.9</c:v>
                </c:pt>
                <c:pt idx="1079">
                  <c:v>206.1</c:v>
                </c:pt>
                <c:pt idx="1080">
                  <c:v>199.5</c:v>
                </c:pt>
                <c:pt idx="1081">
                  <c:v>200.5</c:v>
                </c:pt>
                <c:pt idx="1082">
                  <c:v>211.1</c:v>
                </c:pt>
                <c:pt idx="1083">
                  <c:v>224</c:v>
                </c:pt>
                <c:pt idx="1084">
                  <c:v>236.9</c:v>
                </c:pt>
                <c:pt idx="1085">
                  <c:v>239.7</c:v>
                </c:pt>
                <c:pt idx="1086">
                  <c:v>225.2</c:v>
                </c:pt>
                <c:pt idx="1087">
                  <c:v>208.6</c:v>
                </c:pt>
                <c:pt idx="1088">
                  <c:v>203.6</c:v>
                </c:pt>
                <c:pt idx="1089">
                  <c:v>216</c:v>
                </c:pt>
                <c:pt idx="1090">
                  <c:v>234.2</c:v>
                </c:pt>
                <c:pt idx="1091">
                  <c:v>241.2</c:v>
                </c:pt>
                <c:pt idx="1092">
                  <c:v>230.8</c:v>
                </c:pt>
                <c:pt idx="1093">
                  <c:v>209.5</c:v>
                </c:pt>
                <c:pt idx="1094">
                  <c:v>186.1</c:v>
                </c:pt>
                <c:pt idx="1095">
                  <c:v>175.6</c:v>
                </c:pt>
                <c:pt idx="1096">
                  <c:v>171.2</c:v>
                </c:pt>
                <c:pt idx="1097">
                  <c:v>171</c:v>
                </c:pt>
                <c:pt idx="1098">
                  <c:v>179.6</c:v>
                </c:pt>
                <c:pt idx="1099">
                  <c:v>196.3</c:v>
                </c:pt>
                <c:pt idx="1100">
                  <c:v>211.2</c:v>
                </c:pt>
                <c:pt idx="1101">
                  <c:v>214.7</c:v>
                </c:pt>
                <c:pt idx="1102">
                  <c:v>213</c:v>
                </c:pt>
                <c:pt idx="1103">
                  <c:v>212.6</c:v>
                </c:pt>
                <c:pt idx="1104">
                  <c:v>217</c:v>
                </c:pt>
                <c:pt idx="1105">
                  <c:v>216</c:v>
                </c:pt>
                <c:pt idx="1106">
                  <c:v>208.4</c:v>
                </c:pt>
                <c:pt idx="1107">
                  <c:v>201.1</c:v>
                </c:pt>
                <c:pt idx="1108">
                  <c:v>197.5</c:v>
                </c:pt>
                <c:pt idx="1109">
                  <c:v>198.6</c:v>
                </c:pt>
                <c:pt idx="1110">
                  <c:v>207.2</c:v>
                </c:pt>
                <c:pt idx="1111">
                  <c:v>216.2</c:v>
                </c:pt>
                <c:pt idx="1112">
                  <c:v>212.1</c:v>
                </c:pt>
                <c:pt idx="1113">
                  <c:v>200.3</c:v>
                </c:pt>
                <c:pt idx="1114">
                  <c:v>192.5</c:v>
                </c:pt>
                <c:pt idx="1115">
                  <c:v>196</c:v>
                </c:pt>
                <c:pt idx="1116">
                  <c:v>205.2</c:v>
                </c:pt>
                <c:pt idx="1117">
                  <c:v>210.2</c:v>
                </c:pt>
                <c:pt idx="1118">
                  <c:v>210.8</c:v>
                </c:pt>
                <c:pt idx="1119">
                  <c:v>211.6</c:v>
                </c:pt>
                <c:pt idx="1120">
                  <c:v>210.2</c:v>
                </c:pt>
                <c:pt idx="1121">
                  <c:v>212.3</c:v>
                </c:pt>
                <c:pt idx="1122">
                  <c:v>213.6</c:v>
                </c:pt>
                <c:pt idx="1123">
                  <c:v>218.2</c:v>
                </c:pt>
                <c:pt idx="1124">
                  <c:v>218.1</c:v>
                </c:pt>
                <c:pt idx="1125">
                  <c:v>193.3</c:v>
                </c:pt>
                <c:pt idx="1126">
                  <c:v>180.9</c:v>
                </c:pt>
                <c:pt idx="1127">
                  <c:v>170.8</c:v>
                </c:pt>
                <c:pt idx="1128">
                  <c:v>169.8</c:v>
                </c:pt>
                <c:pt idx="1129">
                  <c:v>171.6</c:v>
                </c:pt>
                <c:pt idx="1130">
                  <c:v>178</c:v>
                </c:pt>
                <c:pt idx="1131">
                  <c:v>186.7</c:v>
                </c:pt>
                <c:pt idx="1132">
                  <c:v>197.9</c:v>
                </c:pt>
                <c:pt idx="1133">
                  <c:v>202.3</c:v>
                </c:pt>
                <c:pt idx="1134">
                  <c:v>197.2</c:v>
                </c:pt>
                <c:pt idx="1135">
                  <c:v>184.4</c:v>
                </c:pt>
                <c:pt idx="1136">
                  <c:v>171.9</c:v>
                </c:pt>
                <c:pt idx="1137">
                  <c:v>169</c:v>
                </c:pt>
                <c:pt idx="1138">
                  <c:v>174.4</c:v>
                </c:pt>
                <c:pt idx="1139">
                  <c:v>176.1</c:v>
                </c:pt>
                <c:pt idx="1140">
                  <c:v>176.6</c:v>
                </c:pt>
                <c:pt idx="1141">
                  <c:v>180.3</c:v>
                </c:pt>
                <c:pt idx="1142">
                  <c:v>192.3</c:v>
                </c:pt>
                <c:pt idx="1143">
                  <c:v>210.3</c:v>
                </c:pt>
                <c:pt idx="1144">
                  <c:v>217.4</c:v>
                </c:pt>
                <c:pt idx="1145">
                  <c:v>215.5</c:v>
                </c:pt>
                <c:pt idx="1146">
                  <c:v>211</c:v>
                </c:pt>
                <c:pt idx="1147">
                  <c:v>207</c:v>
                </c:pt>
                <c:pt idx="1148">
                  <c:v>200.9</c:v>
                </c:pt>
                <c:pt idx="1149">
                  <c:v>188.3</c:v>
                </c:pt>
                <c:pt idx="1150">
                  <c:v>174.2</c:v>
                </c:pt>
                <c:pt idx="1151">
                  <c:v>165.1</c:v>
                </c:pt>
                <c:pt idx="1152">
                  <c:v>161.4</c:v>
                </c:pt>
                <c:pt idx="1153">
                  <c:v>162</c:v>
                </c:pt>
                <c:pt idx="1154">
                  <c:v>167.5</c:v>
                </c:pt>
                <c:pt idx="1155">
                  <c:v>161.9</c:v>
                </c:pt>
                <c:pt idx="1156">
                  <c:v>153.69999999999999</c:v>
                </c:pt>
                <c:pt idx="1157">
                  <c:v>154.30000000000001</c:v>
                </c:pt>
                <c:pt idx="1158">
                  <c:v>169.9</c:v>
                </c:pt>
                <c:pt idx="1159">
                  <c:v>195.9</c:v>
                </c:pt>
                <c:pt idx="1160">
                  <c:v>217.1</c:v>
                </c:pt>
                <c:pt idx="1161">
                  <c:v>232.9</c:v>
                </c:pt>
                <c:pt idx="1162">
                  <c:v>231.9</c:v>
                </c:pt>
                <c:pt idx="1163">
                  <c:v>217.2</c:v>
                </c:pt>
                <c:pt idx="1164">
                  <c:v>204.1</c:v>
                </c:pt>
                <c:pt idx="1165">
                  <c:v>197.2</c:v>
                </c:pt>
                <c:pt idx="1166">
                  <c:v>193.9</c:v>
                </c:pt>
                <c:pt idx="1167">
                  <c:v>185.8</c:v>
                </c:pt>
                <c:pt idx="1168">
                  <c:v>173.1</c:v>
                </c:pt>
                <c:pt idx="1169">
                  <c:v>163.4</c:v>
                </c:pt>
                <c:pt idx="1170">
                  <c:v>164.9</c:v>
                </c:pt>
                <c:pt idx="1171">
                  <c:v>179.5</c:v>
                </c:pt>
                <c:pt idx="1172">
                  <c:v>195.2</c:v>
                </c:pt>
                <c:pt idx="1173">
                  <c:v>202.9</c:v>
                </c:pt>
                <c:pt idx="1174">
                  <c:v>208.6</c:v>
                </c:pt>
                <c:pt idx="1175">
                  <c:v>214.8</c:v>
                </c:pt>
                <c:pt idx="1176">
                  <c:v>221.3</c:v>
                </c:pt>
                <c:pt idx="1177">
                  <c:v>219.1</c:v>
                </c:pt>
                <c:pt idx="1178">
                  <c:v>203.9</c:v>
                </c:pt>
                <c:pt idx="1179">
                  <c:v>187</c:v>
                </c:pt>
                <c:pt idx="1180">
                  <c:v>179.4</c:v>
                </c:pt>
                <c:pt idx="1181">
                  <c:v>183.7</c:v>
                </c:pt>
                <c:pt idx="1182">
                  <c:v>195.6</c:v>
                </c:pt>
                <c:pt idx="1183">
                  <c:v>210.8</c:v>
                </c:pt>
                <c:pt idx="1184">
                  <c:v>225.4</c:v>
                </c:pt>
                <c:pt idx="1185">
                  <c:v>235</c:v>
                </c:pt>
                <c:pt idx="1186">
                  <c:v>234.4</c:v>
                </c:pt>
                <c:pt idx="1187">
                  <c:v>236.9</c:v>
                </c:pt>
                <c:pt idx="1188">
                  <c:v>238.2</c:v>
                </c:pt>
                <c:pt idx="1189">
                  <c:v>236.3</c:v>
                </c:pt>
                <c:pt idx="1190">
                  <c:v>234.7</c:v>
                </c:pt>
                <c:pt idx="1191">
                  <c:v>228.6</c:v>
                </c:pt>
                <c:pt idx="1192">
                  <c:v>219</c:v>
                </c:pt>
                <c:pt idx="1193">
                  <c:v>207.4</c:v>
                </c:pt>
                <c:pt idx="1194">
                  <c:v>201.2</c:v>
                </c:pt>
                <c:pt idx="1195">
                  <c:v>210.7</c:v>
                </c:pt>
                <c:pt idx="1196">
                  <c:v>230.1</c:v>
                </c:pt>
                <c:pt idx="1197">
                  <c:v>240</c:v>
                </c:pt>
                <c:pt idx="1198">
                  <c:v>243.3</c:v>
                </c:pt>
                <c:pt idx="1199">
                  <c:v>241.2</c:v>
                </c:pt>
                <c:pt idx="1200">
                  <c:v>238.2</c:v>
                </c:pt>
                <c:pt idx="1201">
                  <c:v>237.4</c:v>
                </c:pt>
                <c:pt idx="1202">
                  <c:v>235.3</c:v>
                </c:pt>
                <c:pt idx="1203">
                  <c:v>234.8</c:v>
                </c:pt>
                <c:pt idx="1204">
                  <c:v>227.7</c:v>
                </c:pt>
                <c:pt idx="1205">
                  <c:v>211.9</c:v>
                </c:pt>
                <c:pt idx="1206">
                  <c:v>197.6</c:v>
                </c:pt>
                <c:pt idx="1207">
                  <c:v>189.6</c:v>
                </c:pt>
                <c:pt idx="1208">
                  <c:v>186.1</c:v>
                </c:pt>
                <c:pt idx="1209">
                  <c:v>181.5</c:v>
                </c:pt>
                <c:pt idx="1210">
                  <c:v>171.1</c:v>
                </c:pt>
                <c:pt idx="1211">
                  <c:v>157.9</c:v>
                </c:pt>
                <c:pt idx="1212">
                  <c:v>147.80000000000001</c:v>
                </c:pt>
                <c:pt idx="1213">
                  <c:v>146.19999999999999</c:v>
                </c:pt>
                <c:pt idx="1214">
                  <c:v>152.6</c:v>
                </c:pt>
                <c:pt idx="1215">
                  <c:v>162.5</c:v>
                </c:pt>
                <c:pt idx="1216">
                  <c:v>171.5</c:v>
                </c:pt>
                <c:pt idx="1217">
                  <c:v>182.5</c:v>
                </c:pt>
                <c:pt idx="1218">
                  <c:v>193.1</c:v>
                </c:pt>
                <c:pt idx="1219">
                  <c:v>203.8</c:v>
                </c:pt>
                <c:pt idx="1220">
                  <c:v>217.3</c:v>
                </c:pt>
                <c:pt idx="1221">
                  <c:v>230.2</c:v>
                </c:pt>
                <c:pt idx="1222">
                  <c:v>228.4</c:v>
                </c:pt>
                <c:pt idx="1223">
                  <c:v>211.8</c:v>
                </c:pt>
                <c:pt idx="1224">
                  <c:v>188.8</c:v>
                </c:pt>
                <c:pt idx="1225">
                  <c:v>170</c:v>
                </c:pt>
                <c:pt idx="1226">
                  <c:v>161.6</c:v>
                </c:pt>
                <c:pt idx="1227">
                  <c:v>161.30000000000001</c:v>
                </c:pt>
                <c:pt idx="1228">
                  <c:v>163.69999999999999</c:v>
                </c:pt>
                <c:pt idx="1229">
                  <c:v>169.7</c:v>
                </c:pt>
                <c:pt idx="1230">
                  <c:v>173.9</c:v>
                </c:pt>
                <c:pt idx="1231">
                  <c:v>173.8</c:v>
                </c:pt>
                <c:pt idx="1232">
                  <c:v>173.3</c:v>
                </c:pt>
                <c:pt idx="1233">
                  <c:v>173.3</c:v>
                </c:pt>
                <c:pt idx="1234">
                  <c:v>170.4</c:v>
                </c:pt>
                <c:pt idx="1235">
                  <c:v>163.4</c:v>
                </c:pt>
                <c:pt idx="1236">
                  <c:v>156.19999999999999</c:v>
                </c:pt>
                <c:pt idx="1237">
                  <c:v>153</c:v>
                </c:pt>
                <c:pt idx="1238">
                  <c:v>155.69999999999999</c:v>
                </c:pt>
                <c:pt idx="1239">
                  <c:v>157.6</c:v>
                </c:pt>
                <c:pt idx="1240">
                  <c:v>156.6</c:v>
                </c:pt>
                <c:pt idx="1241">
                  <c:v>156.4</c:v>
                </c:pt>
                <c:pt idx="1242">
                  <c:v>159.1</c:v>
                </c:pt>
                <c:pt idx="1243">
                  <c:v>161.19999999999999</c:v>
                </c:pt>
                <c:pt idx="1244">
                  <c:v>159.4</c:v>
                </c:pt>
                <c:pt idx="1245">
                  <c:v>152.9</c:v>
                </c:pt>
                <c:pt idx="1246">
                  <c:v>103.6</c:v>
                </c:pt>
                <c:pt idx="1247">
                  <c:v>96.7</c:v>
                </c:pt>
                <c:pt idx="1248">
                  <c:v>91.9</c:v>
                </c:pt>
                <c:pt idx="1249">
                  <c:v>89</c:v>
                </c:pt>
                <c:pt idx="1250">
                  <c:v>87.1</c:v>
                </c:pt>
                <c:pt idx="1251">
                  <c:v>85.8</c:v>
                </c:pt>
                <c:pt idx="1252">
                  <c:v>84.9</c:v>
                </c:pt>
                <c:pt idx="1253">
                  <c:v>84.3</c:v>
                </c:pt>
                <c:pt idx="1254">
                  <c:v>83.8</c:v>
                </c:pt>
                <c:pt idx="1255">
                  <c:v>83.5</c:v>
                </c:pt>
                <c:pt idx="1256">
                  <c:v>83.4</c:v>
                </c:pt>
                <c:pt idx="1257">
                  <c:v>83.3</c:v>
                </c:pt>
                <c:pt idx="1258">
                  <c:v>83.2</c:v>
                </c:pt>
                <c:pt idx="1259">
                  <c:v>83.2</c:v>
                </c:pt>
                <c:pt idx="1260">
                  <c:v>83.3</c:v>
                </c:pt>
                <c:pt idx="1261">
                  <c:v>83.2</c:v>
                </c:pt>
                <c:pt idx="1262">
                  <c:v>83.2</c:v>
                </c:pt>
                <c:pt idx="1263">
                  <c:v>83.3</c:v>
                </c:pt>
                <c:pt idx="1264">
                  <c:v>83.5</c:v>
                </c:pt>
                <c:pt idx="1265">
                  <c:v>83.6</c:v>
                </c:pt>
                <c:pt idx="1266">
                  <c:v>83.6</c:v>
                </c:pt>
                <c:pt idx="1267">
                  <c:v>83.6</c:v>
                </c:pt>
                <c:pt idx="1268">
                  <c:v>83.6</c:v>
                </c:pt>
                <c:pt idx="1269">
                  <c:v>83.6</c:v>
                </c:pt>
                <c:pt idx="1270">
                  <c:v>83.8</c:v>
                </c:pt>
                <c:pt idx="1271">
                  <c:v>86.8</c:v>
                </c:pt>
                <c:pt idx="1272">
                  <c:v>94.4</c:v>
                </c:pt>
                <c:pt idx="1273">
                  <c:v>103.5</c:v>
                </c:pt>
                <c:pt idx="1274">
                  <c:v>106.7</c:v>
                </c:pt>
                <c:pt idx="1275">
                  <c:v>104.1</c:v>
                </c:pt>
                <c:pt idx="1276">
                  <c:v>75.400000000000006</c:v>
                </c:pt>
                <c:pt idx="1277">
                  <c:v>70.900000000000006</c:v>
                </c:pt>
                <c:pt idx="1278">
                  <c:v>70.8</c:v>
                </c:pt>
                <c:pt idx="1279">
                  <c:v>73.7</c:v>
                </c:pt>
                <c:pt idx="1280">
                  <c:v>75.599999999999994</c:v>
                </c:pt>
                <c:pt idx="1281">
                  <c:v>74.3</c:v>
                </c:pt>
                <c:pt idx="1282">
                  <c:v>71</c:v>
                </c:pt>
                <c:pt idx="1283">
                  <c:v>67.400000000000006</c:v>
                </c:pt>
                <c:pt idx="1284">
                  <c:v>64.7</c:v>
                </c:pt>
                <c:pt idx="1285">
                  <c:v>63.1</c:v>
                </c:pt>
                <c:pt idx="1286">
                  <c:v>62</c:v>
                </c:pt>
                <c:pt idx="1287">
                  <c:v>61.3</c:v>
                </c:pt>
                <c:pt idx="1288">
                  <c:v>61.1</c:v>
                </c:pt>
                <c:pt idx="1289">
                  <c:v>61.3</c:v>
                </c:pt>
                <c:pt idx="1290">
                  <c:v>61.9</c:v>
                </c:pt>
                <c:pt idx="1291">
                  <c:v>62</c:v>
                </c:pt>
                <c:pt idx="1292">
                  <c:v>61.8</c:v>
                </c:pt>
                <c:pt idx="1293">
                  <c:v>61.4</c:v>
                </c:pt>
                <c:pt idx="1294">
                  <c:v>60.9</c:v>
                </c:pt>
                <c:pt idx="1295">
                  <c:v>60.6</c:v>
                </c:pt>
                <c:pt idx="1296">
                  <c:v>60.4</c:v>
                </c:pt>
                <c:pt idx="1297">
                  <c:v>60.2</c:v>
                </c:pt>
                <c:pt idx="1298">
                  <c:v>60.2</c:v>
                </c:pt>
                <c:pt idx="1299">
                  <c:v>60.3</c:v>
                </c:pt>
                <c:pt idx="1300">
                  <c:v>60.5</c:v>
                </c:pt>
                <c:pt idx="1301">
                  <c:v>60.6</c:v>
                </c:pt>
                <c:pt idx="1302">
                  <c:v>60.8</c:v>
                </c:pt>
                <c:pt idx="1303">
                  <c:v>61</c:v>
                </c:pt>
                <c:pt idx="1304">
                  <c:v>61.1</c:v>
                </c:pt>
                <c:pt idx="1305">
                  <c:v>61</c:v>
                </c:pt>
                <c:pt idx="1306">
                  <c:v>60.7</c:v>
                </c:pt>
                <c:pt idx="1307">
                  <c:v>65.5</c:v>
                </c:pt>
                <c:pt idx="1308">
                  <c:v>65.3</c:v>
                </c:pt>
                <c:pt idx="1309">
                  <c:v>65.3</c:v>
                </c:pt>
                <c:pt idx="1310">
                  <c:v>65.400000000000006</c:v>
                </c:pt>
                <c:pt idx="1311">
                  <c:v>65.7</c:v>
                </c:pt>
                <c:pt idx="1312">
                  <c:v>65.900000000000006</c:v>
                </c:pt>
                <c:pt idx="1313">
                  <c:v>65.900000000000006</c:v>
                </c:pt>
                <c:pt idx="1314">
                  <c:v>67.400000000000006</c:v>
                </c:pt>
                <c:pt idx="1315">
                  <c:v>70.900000000000006</c:v>
                </c:pt>
                <c:pt idx="1316">
                  <c:v>75.5</c:v>
                </c:pt>
                <c:pt idx="1317">
                  <c:v>78.400000000000006</c:v>
                </c:pt>
                <c:pt idx="1318">
                  <c:v>80.8</c:v>
                </c:pt>
                <c:pt idx="1319">
                  <c:v>82.6</c:v>
                </c:pt>
                <c:pt idx="1320">
                  <c:v>83.7</c:v>
                </c:pt>
                <c:pt idx="1321">
                  <c:v>83</c:v>
                </c:pt>
                <c:pt idx="1322">
                  <c:v>80.400000000000006</c:v>
                </c:pt>
                <c:pt idx="1323">
                  <c:v>79.7</c:v>
                </c:pt>
                <c:pt idx="1324">
                  <c:v>82.4</c:v>
                </c:pt>
                <c:pt idx="1325">
                  <c:v>87.1</c:v>
                </c:pt>
                <c:pt idx="1326">
                  <c:v>87.9</c:v>
                </c:pt>
                <c:pt idx="1327">
                  <c:v>86.4</c:v>
                </c:pt>
                <c:pt idx="1328">
                  <c:v>84</c:v>
                </c:pt>
                <c:pt idx="1329">
                  <c:v>81.7</c:v>
                </c:pt>
                <c:pt idx="1330">
                  <c:v>79.7</c:v>
                </c:pt>
                <c:pt idx="1331">
                  <c:v>77.7</c:v>
                </c:pt>
                <c:pt idx="1332">
                  <c:v>77.099999999999994</c:v>
                </c:pt>
                <c:pt idx="1333">
                  <c:v>80.599999999999994</c:v>
                </c:pt>
                <c:pt idx="1334">
                  <c:v>92.8</c:v>
                </c:pt>
                <c:pt idx="1335">
                  <c:v>112.6</c:v>
                </c:pt>
                <c:pt idx="1336">
                  <c:v>128.19999999999999</c:v>
                </c:pt>
                <c:pt idx="1337">
                  <c:v>131.9</c:v>
                </c:pt>
                <c:pt idx="1338">
                  <c:v>156.9</c:v>
                </c:pt>
                <c:pt idx="1339">
                  <c:v>150.30000000000001</c:v>
                </c:pt>
                <c:pt idx="1340">
                  <c:v>139.6</c:v>
                </c:pt>
                <c:pt idx="1341">
                  <c:v>131.80000000000001</c:v>
                </c:pt>
                <c:pt idx="1342">
                  <c:v>127.9</c:v>
                </c:pt>
                <c:pt idx="1343">
                  <c:v>128.30000000000001</c:v>
                </c:pt>
                <c:pt idx="1344">
                  <c:v>132.30000000000001</c:v>
                </c:pt>
                <c:pt idx="1345">
                  <c:v>140.6</c:v>
                </c:pt>
                <c:pt idx="1346">
                  <c:v>147.80000000000001</c:v>
                </c:pt>
                <c:pt idx="1347">
                  <c:v>149</c:v>
                </c:pt>
                <c:pt idx="1348">
                  <c:v>148.30000000000001</c:v>
                </c:pt>
                <c:pt idx="1349">
                  <c:v>146.5</c:v>
                </c:pt>
                <c:pt idx="1350">
                  <c:v>144.19999999999999</c:v>
                </c:pt>
                <c:pt idx="1351">
                  <c:v>146.9</c:v>
                </c:pt>
                <c:pt idx="1352">
                  <c:v>152.4</c:v>
                </c:pt>
                <c:pt idx="1353">
                  <c:v>156.80000000000001</c:v>
                </c:pt>
                <c:pt idx="1354">
                  <c:v>161.1</c:v>
                </c:pt>
                <c:pt idx="1355">
                  <c:v>162.6</c:v>
                </c:pt>
                <c:pt idx="1356">
                  <c:v>158.30000000000001</c:v>
                </c:pt>
                <c:pt idx="1357">
                  <c:v>155.19999999999999</c:v>
                </c:pt>
                <c:pt idx="1358">
                  <c:v>158.5</c:v>
                </c:pt>
                <c:pt idx="1359">
                  <c:v>163.1</c:v>
                </c:pt>
                <c:pt idx="1360">
                  <c:v>160.4</c:v>
                </c:pt>
                <c:pt idx="1361">
                  <c:v>152.5</c:v>
                </c:pt>
                <c:pt idx="1362">
                  <c:v>147.1</c:v>
                </c:pt>
                <c:pt idx="1363">
                  <c:v>148.4</c:v>
                </c:pt>
                <c:pt idx="1364">
                  <c:v>151.69999999999999</c:v>
                </c:pt>
                <c:pt idx="1365">
                  <c:v>153.80000000000001</c:v>
                </c:pt>
                <c:pt idx="1366">
                  <c:v>155.30000000000001</c:v>
                </c:pt>
                <c:pt idx="1367">
                  <c:v>160.5</c:v>
                </c:pt>
                <c:pt idx="1368">
                  <c:v>187.5</c:v>
                </c:pt>
                <c:pt idx="1369">
                  <c:v>190.9</c:v>
                </c:pt>
                <c:pt idx="1370">
                  <c:v>185.7</c:v>
                </c:pt>
                <c:pt idx="1371">
                  <c:v>181.5</c:v>
                </c:pt>
                <c:pt idx="1372">
                  <c:v>181.2</c:v>
                </c:pt>
                <c:pt idx="1373">
                  <c:v>188.3</c:v>
                </c:pt>
                <c:pt idx="1374">
                  <c:v>204.6</c:v>
                </c:pt>
                <c:pt idx="1375">
                  <c:v>224.5</c:v>
                </c:pt>
                <c:pt idx="1376">
                  <c:v>235.7</c:v>
                </c:pt>
                <c:pt idx="1377">
                  <c:v>234</c:v>
                </c:pt>
                <c:pt idx="1378">
                  <c:v>227.4</c:v>
                </c:pt>
                <c:pt idx="1379">
                  <c:v>219.3</c:v>
                </c:pt>
                <c:pt idx="1380">
                  <c:v>215.4</c:v>
                </c:pt>
                <c:pt idx="1381">
                  <c:v>212.6</c:v>
                </c:pt>
                <c:pt idx="1382">
                  <c:v>199.1</c:v>
                </c:pt>
                <c:pt idx="1383">
                  <c:v>187.3</c:v>
                </c:pt>
                <c:pt idx="1384">
                  <c:v>186</c:v>
                </c:pt>
                <c:pt idx="1385">
                  <c:v>198.8</c:v>
                </c:pt>
                <c:pt idx="1386">
                  <c:v>217</c:v>
                </c:pt>
                <c:pt idx="1387">
                  <c:v>232.7</c:v>
                </c:pt>
                <c:pt idx="1388">
                  <c:v>243</c:v>
                </c:pt>
                <c:pt idx="1389">
                  <c:v>245.6</c:v>
                </c:pt>
                <c:pt idx="1390">
                  <c:v>236.5</c:v>
                </c:pt>
                <c:pt idx="1391">
                  <c:v>225.3</c:v>
                </c:pt>
                <c:pt idx="1392">
                  <c:v>223.3</c:v>
                </c:pt>
                <c:pt idx="1393">
                  <c:v>226.5</c:v>
                </c:pt>
                <c:pt idx="1394">
                  <c:v>225.7</c:v>
                </c:pt>
                <c:pt idx="1395">
                  <c:v>224.6</c:v>
                </c:pt>
                <c:pt idx="1396">
                  <c:v>228</c:v>
                </c:pt>
                <c:pt idx="1397">
                  <c:v>229.3</c:v>
                </c:pt>
                <c:pt idx="1398">
                  <c:v>225.7</c:v>
                </c:pt>
                <c:pt idx="1399">
                  <c:v>222.9</c:v>
                </c:pt>
                <c:pt idx="1400">
                  <c:v>210.2</c:v>
                </c:pt>
                <c:pt idx="1401">
                  <c:v>214.2</c:v>
                </c:pt>
                <c:pt idx="1402">
                  <c:v>230.8</c:v>
                </c:pt>
                <c:pt idx="1403">
                  <c:v>241.2</c:v>
                </c:pt>
                <c:pt idx="1404">
                  <c:v>241.1</c:v>
                </c:pt>
                <c:pt idx="1405">
                  <c:v>234.9</c:v>
                </c:pt>
                <c:pt idx="1406">
                  <c:v>235.6</c:v>
                </c:pt>
                <c:pt idx="1407">
                  <c:v>244.4</c:v>
                </c:pt>
                <c:pt idx="1408">
                  <c:v>251.9</c:v>
                </c:pt>
                <c:pt idx="1409">
                  <c:v>247.3</c:v>
                </c:pt>
                <c:pt idx="1410">
                  <c:v>240</c:v>
                </c:pt>
                <c:pt idx="1411">
                  <c:v>231.5</c:v>
                </c:pt>
                <c:pt idx="1412">
                  <c:v>230.1</c:v>
                </c:pt>
                <c:pt idx="1413">
                  <c:v>229.1</c:v>
                </c:pt>
                <c:pt idx="1414">
                  <c:v>225.4</c:v>
                </c:pt>
                <c:pt idx="1415">
                  <c:v>218.1</c:v>
                </c:pt>
                <c:pt idx="1416">
                  <c:v>214.5</c:v>
                </c:pt>
                <c:pt idx="1417">
                  <c:v>220.1</c:v>
                </c:pt>
                <c:pt idx="1418">
                  <c:v>230.5</c:v>
                </c:pt>
                <c:pt idx="1419">
                  <c:v>239.9</c:v>
                </c:pt>
                <c:pt idx="1420">
                  <c:v>242.6</c:v>
                </c:pt>
                <c:pt idx="1421">
                  <c:v>235.9</c:v>
                </c:pt>
                <c:pt idx="1422">
                  <c:v>223.2</c:v>
                </c:pt>
                <c:pt idx="1423">
                  <c:v>211.4</c:v>
                </c:pt>
                <c:pt idx="1424">
                  <c:v>204.2</c:v>
                </c:pt>
                <c:pt idx="1425">
                  <c:v>208.3</c:v>
                </c:pt>
                <c:pt idx="1426">
                  <c:v>217.1</c:v>
                </c:pt>
                <c:pt idx="1427">
                  <c:v>220.7</c:v>
                </c:pt>
                <c:pt idx="1428">
                  <c:v>221.1</c:v>
                </c:pt>
                <c:pt idx="1429">
                  <c:v>231.8</c:v>
                </c:pt>
                <c:pt idx="1430">
                  <c:v>243.7</c:v>
                </c:pt>
                <c:pt idx="1431">
                  <c:v>261.60000000000002</c:v>
                </c:pt>
                <c:pt idx="1432">
                  <c:v>275.60000000000002</c:v>
                </c:pt>
                <c:pt idx="1433">
                  <c:v>279.10000000000002</c:v>
                </c:pt>
                <c:pt idx="1434">
                  <c:v>267.5</c:v>
                </c:pt>
                <c:pt idx="1435">
                  <c:v>252.5</c:v>
                </c:pt>
                <c:pt idx="1436">
                  <c:v>242.8</c:v>
                </c:pt>
                <c:pt idx="1437">
                  <c:v>236.7</c:v>
                </c:pt>
                <c:pt idx="1438">
                  <c:v>231.7</c:v>
                </c:pt>
                <c:pt idx="1439">
                  <c:v>219.6</c:v>
                </c:pt>
                <c:pt idx="1440">
                  <c:v>207.6</c:v>
                </c:pt>
                <c:pt idx="1441">
                  <c:v>204.8</c:v>
                </c:pt>
                <c:pt idx="1442">
                  <c:v>211.7</c:v>
                </c:pt>
                <c:pt idx="1443">
                  <c:v>220.7</c:v>
                </c:pt>
                <c:pt idx="1444">
                  <c:v>218.5</c:v>
                </c:pt>
                <c:pt idx="1445">
                  <c:v>216</c:v>
                </c:pt>
                <c:pt idx="1446">
                  <c:v>225.4</c:v>
                </c:pt>
                <c:pt idx="1447">
                  <c:v>246.6</c:v>
                </c:pt>
                <c:pt idx="1448">
                  <c:v>265.5</c:v>
                </c:pt>
                <c:pt idx="1449">
                  <c:v>266.2</c:v>
                </c:pt>
                <c:pt idx="1450">
                  <c:v>249</c:v>
                </c:pt>
                <c:pt idx="1451">
                  <c:v>231.8</c:v>
                </c:pt>
                <c:pt idx="1452">
                  <c:v>223.2</c:v>
                </c:pt>
                <c:pt idx="1453">
                  <c:v>222.2</c:v>
                </c:pt>
                <c:pt idx="1454">
                  <c:v>223</c:v>
                </c:pt>
                <c:pt idx="1455">
                  <c:v>229.1</c:v>
                </c:pt>
                <c:pt idx="1456">
                  <c:v>238</c:v>
                </c:pt>
                <c:pt idx="1457">
                  <c:v>251.9</c:v>
                </c:pt>
                <c:pt idx="1458">
                  <c:v>264.39999999999998</c:v>
                </c:pt>
                <c:pt idx="1459">
                  <c:v>268.39999999999998</c:v>
                </c:pt>
                <c:pt idx="1460">
                  <c:v>257.7</c:v>
                </c:pt>
                <c:pt idx="1461">
                  <c:v>248.1</c:v>
                </c:pt>
                <c:pt idx="1462">
                  <c:v>238.5</c:v>
                </c:pt>
                <c:pt idx="1463">
                  <c:v>232.1</c:v>
                </c:pt>
                <c:pt idx="1464">
                  <c:v>218.6</c:v>
                </c:pt>
                <c:pt idx="1465">
                  <c:v>199.7</c:v>
                </c:pt>
                <c:pt idx="1466">
                  <c:v>182.7</c:v>
                </c:pt>
                <c:pt idx="1467">
                  <c:v>174.5</c:v>
                </c:pt>
                <c:pt idx="1468">
                  <c:v>178.6</c:v>
                </c:pt>
                <c:pt idx="1469">
                  <c:v>189.9</c:v>
                </c:pt>
                <c:pt idx="1470">
                  <c:v>197.9</c:v>
                </c:pt>
                <c:pt idx="1471">
                  <c:v>200.6</c:v>
                </c:pt>
                <c:pt idx="1472">
                  <c:v>202.2</c:v>
                </c:pt>
                <c:pt idx="1473">
                  <c:v>205.1</c:v>
                </c:pt>
                <c:pt idx="1474">
                  <c:v>208</c:v>
                </c:pt>
                <c:pt idx="1475">
                  <c:v>204.1</c:v>
                </c:pt>
                <c:pt idx="1476">
                  <c:v>200.1</c:v>
                </c:pt>
                <c:pt idx="1477">
                  <c:v>199</c:v>
                </c:pt>
                <c:pt idx="1478">
                  <c:v>204.9</c:v>
                </c:pt>
                <c:pt idx="1479">
                  <c:v>209.9</c:v>
                </c:pt>
                <c:pt idx="1480">
                  <c:v>208.2</c:v>
                </c:pt>
                <c:pt idx="1481">
                  <c:v>206.2</c:v>
                </c:pt>
                <c:pt idx="1482">
                  <c:v>209.2</c:v>
                </c:pt>
                <c:pt idx="1483">
                  <c:v>214</c:v>
                </c:pt>
                <c:pt idx="1484">
                  <c:v>217.5</c:v>
                </c:pt>
                <c:pt idx="1485">
                  <c:v>220.4</c:v>
                </c:pt>
                <c:pt idx="1486">
                  <c:v>222.4</c:v>
                </c:pt>
                <c:pt idx="1487">
                  <c:v>223.2</c:v>
                </c:pt>
                <c:pt idx="1488">
                  <c:v>224.5</c:v>
                </c:pt>
                <c:pt idx="1489">
                  <c:v>218.6</c:v>
                </c:pt>
                <c:pt idx="1490">
                  <c:v>211.8</c:v>
                </c:pt>
                <c:pt idx="1491">
                  <c:v>183.6</c:v>
                </c:pt>
                <c:pt idx="1492">
                  <c:v>170.8</c:v>
                </c:pt>
                <c:pt idx="1493">
                  <c:v>160.1</c:v>
                </c:pt>
                <c:pt idx="1494">
                  <c:v>151.1</c:v>
                </c:pt>
                <c:pt idx="1495">
                  <c:v>143.4</c:v>
                </c:pt>
                <c:pt idx="1496">
                  <c:v>141.5</c:v>
                </c:pt>
                <c:pt idx="1497">
                  <c:v>147.4</c:v>
                </c:pt>
                <c:pt idx="1498">
                  <c:v>156.30000000000001</c:v>
                </c:pt>
                <c:pt idx="1499">
                  <c:v>161.5</c:v>
                </c:pt>
                <c:pt idx="1500">
                  <c:v>165.3</c:v>
                </c:pt>
                <c:pt idx="1501">
                  <c:v>171.5</c:v>
                </c:pt>
                <c:pt idx="1502">
                  <c:v>178.5</c:v>
                </c:pt>
                <c:pt idx="1503">
                  <c:v>184.9</c:v>
                </c:pt>
                <c:pt idx="1504">
                  <c:v>191.2</c:v>
                </c:pt>
                <c:pt idx="1505">
                  <c:v>191.1</c:v>
                </c:pt>
                <c:pt idx="1506">
                  <c:v>187.2</c:v>
                </c:pt>
                <c:pt idx="1507">
                  <c:v>183.1</c:v>
                </c:pt>
                <c:pt idx="1508">
                  <c:v>184.8</c:v>
                </c:pt>
                <c:pt idx="1509">
                  <c:v>190.1</c:v>
                </c:pt>
                <c:pt idx="1510">
                  <c:v>192.3</c:v>
                </c:pt>
                <c:pt idx="1511">
                  <c:v>185.9</c:v>
                </c:pt>
                <c:pt idx="1512">
                  <c:v>178</c:v>
                </c:pt>
                <c:pt idx="1513">
                  <c:v>170.9</c:v>
                </c:pt>
                <c:pt idx="1514">
                  <c:v>167.8</c:v>
                </c:pt>
                <c:pt idx="1515">
                  <c:v>177.7</c:v>
                </c:pt>
                <c:pt idx="1516">
                  <c:v>194.5</c:v>
                </c:pt>
                <c:pt idx="1517">
                  <c:v>200.2</c:v>
                </c:pt>
                <c:pt idx="1518">
                  <c:v>190.4</c:v>
                </c:pt>
                <c:pt idx="1519">
                  <c:v>184.9</c:v>
                </c:pt>
                <c:pt idx="1520">
                  <c:v>182.2</c:v>
                </c:pt>
                <c:pt idx="1521">
                  <c:v>194.1</c:v>
                </c:pt>
                <c:pt idx="1522">
                  <c:v>207.6</c:v>
                </c:pt>
                <c:pt idx="1523">
                  <c:v>213.6</c:v>
                </c:pt>
                <c:pt idx="1524">
                  <c:v>216.8</c:v>
                </c:pt>
                <c:pt idx="1525">
                  <c:v>214.2</c:v>
                </c:pt>
                <c:pt idx="1526">
                  <c:v>212.4</c:v>
                </c:pt>
                <c:pt idx="1527">
                  <c:v>206.9</c:v>
                </c:pt>
                <c:pt idx="1528">
                  <c:v>205.2</c:v>
                </c:pt>
                <c:pt idx="1529">
                  <c:v>207.5</c:v>
                </c:pt>
                <c:pt idx="1530">
                  <c:v>209.1</c:v>
                </c:pt>
                <c:pt idx="1531">
                  <c:v>205.4</c:v>
                </c:pt>
                <c:pt idx="1532">
                  <c:v>198.6</c:v>
                </c:pt>
                <c:pt idx="1533">
                  <c:v>199.8</c:v>
                </c:pt>
                <c:pt idx="1534">
                  <c:v>211.4</c:v>
                </c:pt>
                <c:pt idx="1535">
                  <c:v>223.4</c:v>
                </c:pt>
                <c:pt idx="1536">
                  <c:v>227.1</c:v>
                </c:pt>
                <c:pt idx="1537">
                  <c:v>223.6</c:v>
                </c:pt>
                <c:pt idx="1538">
                  <c:v>212.8</c:v>
                </c:pt>
                <c:pt idx="1539">
                  <c:v>205.3</c:v>
                </c:pt>
                <c:pt idx="1540">
                  <c:v>204.4</c:v>
                </c:pt>
                <c:pt idx="1541">
                  <c:v>208.5</c:v>
                </c:pt>
                <c:pt idx="1542">
                  <c:v>210.8</c:v>
                </c:pt>
                <c:pt idx="1543">
                  <c:v>210</c:v>
                </c:pt>
                <c:pt idx="1544">
                  <c:v>221.6</c:v>
                </c:pt>
                <c:pt idx="1545">
                  <c:v>244.1</c:v>
                </c:pt>
                <c:pt idx="1546">
                  <c:v>259.3</c:v>
                </c:pt>
                <c:pt idx="1547">
                  <c:v>263.60000000000002</c:v>
                </c:pt>
                <c:pt idx="1548">
                  <c:v>264.3</c:v>
                </c:pt>
                <c:pt idx="1549">
                  <c:v>260</c:v>
                </c:pt>
                <c:pt idx="1550">
                  <c:v>256.7</c:v>
                </c:pt>
                <c:pt idx="1551">
                  <c:v>235.1</c:v>
                </c:pt>
                <c:pt idx="1552">
                  <c:v>210.8</c:v>
                </c:pt>
                <c:pt idx="1553">
                  <c:v>197.9</c:v>
                </c:pt>
                <c:pt idx="1554">
                  <c:v>198.6</c:v>
                </c:pt>
                <c:pt idx="1555">
                  <c:v>204.4</c:v>
                </c:pt>
                <c:pt idx="1556">
                  <c:v>199.4</c:v>
                </c:pt>
                <c:pt idx="1557">
                  <c:v>189.7</c:v>
                </c:pt>
                <c:pt idx="1558">
                  <c:v>185.4</c:v>
                </c:pt>
                <c:pt idx="1559">
                  <c:v>193.5</c:v>
                </c:pt>
                <c:pt idx="1560">
                  <c:v>209.4</c:v>
                </c:pt>
                <c:pt idx="1561">
                  <c:v>222.6</c:v>
                </c:pt>
                <c:pt idx="1562">
                  <c:v>222.1</c:v>
                </c:pt>
                <c:pt idx="1563">
                  <c:v>207.2</c:v>
                </c:pt>
                <c:pt idx="1564">
                  <c:v>193.1</c:v>
                </c:pt>
                <c:pt idx="1565">
                  <c:v>187.5</c:v>
                </c:pt>
                <c:pt idx="1566">
                  <c:v>189.1</c:v>
                </c:pt>
                <c:pt idx="1567">
                  <c:v>188.2</c:v>
                </c:pt>
                <c:pt idx="1568">
                  <c:v>188.7</c:v>
                </c:pt>
                <c:pt idx="1569">
                  <c:v>194</c:v>
                </c:pt>
                <c:pt idx="1570">
                  <c:v>204.3</c:v>
                </c:pt>
                <c:pt idx="1571">
                  <c:v>211.1</c:v>
                </c:pt>
                <c:pt idx="1572">
                  <c:v>217.3</c:v>
                </c:pt>
                <c:pt idx="1573">
                  <c:v>226.2</c:v>
                </c:pt>
                <c:pt idx="1574">
                  <c:v>238.1</c:v>
                </c:pt>
                <c:pt idx="1575">
                  <c:v>247.4</c:v>
                </c:pt>
                <c:pt idx="1576">
                  <c:v>240.5</c:v>
                </c:pt>
                <c:pt idx="1577">
                  <c:v>218.8</c:v>
                </c:pt>
                <c:pt idx="1578">
                  <c:v>199.9</c:v>
                </c:pt>
                <c:pt idx="1579">
                  <c:v>194.1</c:v>
                </c:pt>
                <c:pt idx="1580">
                  <c:v>199.1</c:v>
                </c:pt>
                <c:pt idx="1581">
                  <c:v>193.5</c:v>
                </c:pt>
                <c:pt idx="1582">
                  <c:v>179.9</c:v>
                </c:pt>
                <c:pt idx="1583">
                  <c:v>166.6</c:v>
                </c:pt>
                <c:pt idx="1584">
                  <c:v>167.2</c:v>
                </c:pt>
                <c:pt idx="1585">
                  <c:v>186.3</c:v>
                </c:pt>
                <c:pt idx="1586">
                  <c:v>206.4</c:v>
                </c:pt>
                <c:pt idx="1587">
                  <c:v>210.1</c:v>
                </c:pt>
                <c:pt idx="1588">
                  <c:v>201.1</c:v>
                </c:pt>
                <c:pt idx="1589">
                  <c:v>190.6</c:v>
                </c:pt>
                <c:pt idx="1590">
                  <c:v>185.9</c:v>
                </c:pt>
                <c:pt idx="1591">
                  <c:v>182.9</c:v>
                </c:pt>
                <c:pt idx="1592">
                  <c:v>180.3</c:v>
                </c:pt>
                <c:pt idx="1593">
                  <c:v>173.2</c:v>
                </c:pt>
                <c:pt idx="1594">
                  <c:v>162</c:v>
                </c:pt>
                <c:pt idx="1595">
                  <c:v>151.1</c:v>
                </c:pt>
                <c:pt idx="1596">
                  <c:v>141.9</c:v>
                </c:pt>
                <c:pt idx="1597">
                  <c:v>135.5</c:v>
                </c:pt>
                <c:pt idx="1598">
                  <c:v>131.5</c:v>
                </c:pt>
                <c:pt idx="1599">
                  <c:v>129</c:v>
                </c:pt>
                <c:pt idx="1600">
                  <c:v>127.2</c:v>
                </c:pt>
                <c:pt idx="1601">
                  <c:v>126.1</c:v>
                </c:pt>
                <c:pt idx="1602">
                  <c:v>125.3</c:v>
                </c:pt>
                <c:pt idx="1603">
                  <c:v>125</c:v>
                </c:pt>
                <c:pt idx="1604">
                  <c:v>125.1</c:v>
                </c:pt>
                <c:pt idx="1605">
                  <c:v>125.6</c:v>
                </c:pt>
                <c:pt idx="1606">
                  <c:v>126.2</c:v>
                </c:pt>
                <c:pt idx="1607">
                  <c:v>127.2</c:v>
                </c:pt>
                <c:pt idx="1608">
                  <c:v>128</c:v>
                </c:pt>
                <c:pt idx="1609">
                  <c:v>128.30000000000001</c:v>
                </c:pt>
                <c:pt idx="1610">
                  <c:v>127.8</c:v>
                </c:pt>
                <c:pt idx="1611">
                  <c:v>85.9</c:v>
                </c:pt>
                <c:pt idx="1612">
                  <c:v>85.1</c:v>
                </c:pt>
                <c:pt idx="1613">
                  <c:v>84.4</c:v>
                </c:pt>
                <c:pt idx="1614">
                  <c:v>84.2</c:v>
                </c:pt>
                <c:pt idx="1615">
                  <c:v>84.3</c:v>
                </c:pt>
                <c:pt idx="1616">
                  <c:v>84.6</c:v>
                </c:pt>
                <c:pt idx="1617">
                  <c:v>84.7</c:v>
                </c:pt>
                <c:pt idx="1618">
                  <c:v>84.5</c:v>
                </c:pt>
                <c:pt idx="1619">
                  <c:v>84.3</c:v>
                </c:pt>
                <c:pt idx="1620">
                  <c:v>84.2</c:v>
                </c:pt>
                <c:pt idx="1621">
                  <c:v>83.9</c:v>
                </c:pt>
                <c:pt idx="1622">
                  <c:v>83.7</c:v>
                </c:pt>
                <c:pt idx="1623">
                  <c:v>83.5</c:v>
                </c:pt>
                <c:pt idx="1624">
                  <c:v>83.7</c:v>
                </c:pt>
                <c:pt idx="1625">
                  <c:v>84.6</c:v>
                </c:pt>
                <c:pt idx="1626">
                  <c:v>85.6</c:v>
                </c:pt>
                <c:pt idx="1627">
                  <c:v>86.1</c:v>
                </c:pt>
                <c:pt idx="1628">
                  <c:v>85.9</c:v>
                </c:pt>
                <c:pt idx="1629">
                  <c:v>85.4</c:v>
                </c:pt>
                <c:pt idx="1630">
                  <c:v>84.8</c:v>
                </c:pt>
                <c:pt idx="1631">
                  <c:v>84.3</c:v>
                </c:pt>
                <c:pt idx="1632">
                  <c:v>85.3</c:v>
                </c:pt>
                <c:pt idx="1633">
                  <c:v>88.5</c:v>
                </c:pt>
                <c:pt idx="1634">
                  <c:v>92.1</c:v>
                </c:pt>
                <c:pt idx="1635">
                  <c:v>92.8</c:v>
                </c:pt>
                <c:pt idx="1636">
                  <c:v>91.4</c:v>
                </c:pt>
                <c:pt idx="1637">
                  <c:v>88.9</c:v>
                </c:pt>
                <c:pt idx="1638">
                  <c:v>86.8</c:v>
                </c:pt>
                <c:pt idx="1639">
                  <c:v>85.6</c:v>
                </c:pt>
                <c:pt idx="1640">
                  <c:v>84.8</c:v>
                </c:pt>
                <c:pt idx="1641">
                  <c:v>61.3</c:v>
                </c:pt>
                <c:pt idx="1642">
                  <c:v>62</c:v>
                </c:pt>
                <c:pt idx="1643">
                  <c:v>64.3</c:v>
                </c:pt>
                <c:pt idx="1644">
                  <c:v>67.099999999999994</c:v>
                </c:pt>
                <c:pt idx="1645">
                  <c:v>67.900000000000006</c:v>
                </c:pt>
                <c:pt idx="1646">
                  <c:v>67.5</c:v>
                </c:pt>
                <c:pt idx="1647">
                  <c:v>66.599999999999994</c:v>
                </c:pt>
                <c:pt idx="1648">
                  <c:v>65.7</c:v>
                </c:pt>
                <c:pt idx="1649">
                  <c:v>65</c:v>
                </c:pt>
                <c:pt idx="1650">
                  <c:v>64</c:v>
                </c:pt>
                <c:pt idx="1651">
                  <c:v>62.8</c:v>
                </c:pt>
                <c:pt idx="1652">
                  <c:v>61.9</c:v>
                </c:pt>
                <c:pt idx="1653">
                  <c:v>61.2</c:v>
                </c:pt>
                <c:pt idx="1654">
                  <c:v>60.8</c:v>
                </c:pt>
                <c:pt idx="1655">
                  <c:v>60.6</c:v>
                </c:pt>
                <c:pt idx="1656">
                  <c:v>60.8</c:v>
                </c:pt>
                <c:pt idx="1657">
                  <c:v>61</c:v>
                </c:pt>
                <c:pt idx="1658">
                  <c:v>61.7</c:v>
                </c:pt>
                <c:pt idx="1659">
                  <c:v>63.1</c:v>
                </c:pt>
                <c:pt idx="1660">
                  <c:v>64.5</c:v>
                </c:pt>
                <c:pt idx="1661">
                  <c:v>64.599999999999994</c:v>
                </c:pt>
                <c:pt idx="1662">
                  <c:v>63.8</c:v>
                </c:pt>
                <c:pt idx="1663">
                  <c:v>62.6</c:v>
                </c:pt>
                <c:pt idx="1664">
                  <c:v>61.6</c:v>
                </c:pt>
                <c:pt idx="1665">
                  <c:v>61.1</c:v>
                </c:pt>
                <c:pt idx="1666">
                  <c:v>60.7</c:v>
                </c:pt>
                <c:pt idx="1667">
                  <c:v>60.5</c:v>
                </c:pt>
                <c:pt idx="1668">
                  <c:v>60.9</c:v>
                </c:pt>
                <c:pt idx="1669">
                  <c:v>63</c:v>
                </c:pt>
                <c:pt idx="1670">
                  <c:v>66.3</c:v>
                </c:pt>
                <c:pt idx="1671">
                  <c:v>68.599999999999994</c:v>
                </c:pt>
                <c:pt idx="1672">
                  <c:v>73.5</c:v>
                </c:pt>
                <c:pt idx="1673">
                  <c:v>71.8</c:v>
                </c:pt>
                <c:pt idx="1674">
                  <c:v>69.599999999999994</c:v>
                </c:pt>
                <c:pt idx="1675">
                  <c:v>67.900000000000006</c:v>
                </c:pt>
                <c:pt idx="1676">
                  <c:v>66.900000000000006</c:v>
                </c:pt>
                <c:pt idx="1677">
                  <c:v>66.3</c:v>
                </c:pt>
                <c:pt idx="1678">
                  <c:v>66.2</c:v>
                </c:pt>
                <c:pt idx="1679">
                  <c:v>69.5</c:v>
                </c:pt>
                <c:pt idx="1680">
                  <c:v>77.599999999999994</c:v>
                </c:pt>
                <c:pt idx="1681">
                  <c:v>89.1</c:v>
                </c:pt>
                <c:pt idx="1682">
                  <c:v>96.9</c:v>
                </c:pt>
                <c:pt idx="1683">
                  <c:v>99.2</c:v>
                </c:pt>
                <c:pt idx="1684">
                  <c:v>94.5</c:v>
                </c:pt>
                <c:pt idx="1685">
                  <c:v>87</c:v>
                </c:pt>
                <c:pt idx="1686">
                  <c:v>80.099999999999994</c:v>
                </c:pt>
                <c:pt idx="1687">
                  <c:v>74.8</c:v>
                </c:pt>
                <c:pt idx="1688">
                  <c:v>72.599999999999994</c:v>
                </c:pt>
                <c:pt idx="1689">
                  <c:v>76.599999999999994</c:v>
                </c:pt>
                <c:pt idx="1690">
                  <c:v>86.8</c:v>
                </c:pt>
                <c:pt idx="1691">
                  <c:v>96.5</c:v>
                </c:pt>
                <c:pt idx="1692">
                  <c:v>98.3</c:v>
                </c:pt>
                <c:pt idx="1693">
                  <c:v>98.1</c:v>
                </c:pt>
                <c:pt idx="1694">
                  <c:v>100.3</c:v>
                </c:pt>
                <c:pt idx="1695">
                  <c:v>104</c:v>
                </c:pt>
                <c:pt idx="1696">
                  <c:v>103.3</c:v>
                </c:pt>
                <c:pt idx="1697">
                  <c:v>97.1</c:v>
                </c:pt>
                <c:pt idx="1698">
                  <c:v>88.3</c:v>
                </c:pt>
                <c:pt idx="1699">
                  <c:v>80.599999999999994</c:v>
                </c:pt>
                <c:pt idx="1700">
                  <c:v>76.2</c:v>
                </c:pt>
                <c:pt idx="1701">
                  <c:v>78.900000000000006</c:v>
                </c:pt>
                <c:pt idx="1702">
                  <c:v>90.1</c:v>
                </c:pt>
                <c:pt idx="1703">
                  <c:v>132</c:v>
                </c:pt>
                <c:pt idx="1704">
                  <c:v>143.1</c:v>
                </c:pt>
                <c:pt idx="1705">
                  <c:v>152.1</c:v>
                </c:pt>
                <c:pt idx="1706">
                  <c:v>157.4</c:v>
                </c:pt>
                <c:pt idx="1707">
                  <c:v>150.9</c:v>
                </c:pt>
                <c:pt idx="1708">
                  <c:v>142.30000000000001</c:v>
                </c:pt>
                <c:pt idx="1709">
                  <c:v>136.1</c:v>
                </c:pt>
                <c:pt idx="1710">
                  <c:v>133.1</c:v>
                </c:pt>
                <c:pt idx="1711">
                  <c:v>133</c:v>
                </c:pt>
                <c:pt idx="1712">
                  <c:v>136.69999999999999</c:v>
                </c:pt>
                <c:pt idx="1713">
                  <c:v>141.80000000000001</c:v>
                </c:pt>
                <c:pt idx="1714">
                  <c:v>140.6</c:v>
                </c:pt>
                <c:pt idx="1715">
                  <c:v>137.6</c:v>
                </c:pt>
                <c:pt idx="1716">
                  <c:v>136.19999999999999</c:v>
                </c:pt>
                <c:pt idx="1717">
                  <c:v>136.4</c:v>
                </c:pt>
                <c:pt idx="1718">
                  <c:v>139.4</c:v>
                </c:pt>
                <c:pt idx="1719">
                  <c:v>146.30000000000001</c:v>
                </c:pt>
                <c:pt idx="1720">
                  <c:v>152.69999999999999</c:v>
                </c:pt>
                <c:pt idx="1721">
                  <c:v>153.4</c:v>
                </c:pt>
                <c:pt idx="1722">
                  <c:v>155.1</c:v>
                </c:pt>
                <c:pt idx="1723">
                  <c:v>159.30000000000001</c:v>
                </c:pt>
                <c:pt idx="1724">
                  <c:v>161.80000000000001</c:v>
                </c:pt>
                <c:pt idx="1725">
                  <c:v>160.5</c:v>
                </c:pt>
                <c:pt idx="1726">
                  <c:v>157.5</c:v>
                </c:pt>
                <c:pt idx="1727">
                  <c:v>156.6</c:v>
                </c:pt>
                <c:pt idx="1728">
                  <c:v>158.4</c:v>
                </c:pt>
                <c:pt idx="1729">
                  <c:v>162.5</c:v>
                </c:pt>
                <c:pt idx="1730">
                  <c:v>170.5</c:v>
                </c:pt>
                <c:pt idx="1731">
                  <c:v>173.9</c:v>
                </c:pt>
                <c:pt idx="1732">
                  <c:v>167.1</c:v>
                </c:pt>
                <c:pt idx="1733">
                  <c:v>175.4</c:v>
                </c:pt>
                <c:pt idx="1734">
                  <c:v>173</c:v>
                </c:pt>
                <c:pt idx="1735">
                  <c:v>175.4</c:v>
                </c:pt>
                <c:pt idx="1736">
                  <c:v>180.4</c:v>
                </c:pt>
                <c:pt idx="1737">
                  <c:v>189.3</c:v>
                </c:pt>
                <c:pt idx="1738">
                  <c:v>204.6</c:v>
                </c:pt>
                <c:pt idx="1739">
                  <c:v>220.7</c:v>
                </c:pt>
                <c:pt idx="1740">
                  <c:v>233.6</c:v>
                </c:pt>
                <c:pt idx="1741">
                  <c:v>240.6</c:v>
                </c:pt>
                <c:pt idx="1742">
                  <c:v>243</c:v>
                </c:pt>
                <c:pt idx="1743">
                  <c:v>244.9</c:v>
                </c:pt>
                <c:pt idx="1744">
                  <c:v>242.1</c:v>
                </c:pt>
                <c:pt idx="1745">
                  <c:v>229.8</c:v>
                </c:pt>
                <c:pt idx="1746">
                  <c:v>215.4</c:v>
                </c:pt>
                <c:pt idx="1747">
                  <c:v>202.6</c:v>
                </c:pt>
                <c:pt idx="1748">
                  <c:v>194.8</c:v>
                </c:pt>
                <c:pt idx="1749">
                  <c:v>197.5</c:v>
                </c:pt>
                <c:pt idx="1750">
                  <c:v>205.6</c:v>
                </c:pt>
                <c:pt idx="1751">
                  <c:v>212.1</c:v>
                </c:pt>
                <c:pt idx="1752">
                  <c:v>216.6</c:v>
                </c:pt>
                <c:pt idx="1753">
                  <c:v>215.6</c:v>
                </c:pt>
                <c:pt idx="1754">
                  <c:v>207.8</c:v>
                </c:pt>
                <c:pt idx="1755">
                  <c:v>202.5</c:v>
                </c:pt>
                <c:pt idx="1756">
                  <c:v>205</c:v>
                </c:pt>
                <c:pt idx="1757">
                  <c:v>208.4</c:v>
                </c:pt>
                <c:pt idx="1758">
                  <c:v>203.4</c:v>
                </c:pt>
                <c:pt idx="1759">
                  <c:v>196.8</c:v>
                </c:pt>
                <c:pt idx="1760">
                  <c:v>195.8</c:v>
                </c:pt>
                <c:pt idx="1761">
                  <c:v>201.9</c:v>
                </c:pt>
                <c:pt idx="1762">
                  <c:v>205</c:v>
                </c:pt>
                <c:pt idx="1763">
                  <c:v>194.5</c:v>
                </c:pt>
                <c:pt idx="1764">
                  <c:v>194.6</c:v>
                </c:pt>
                <c:pt idx="1765">
                  <c:v>194.8</c:v>
                </c:pt>
                <c:pt idx="1766">
                  <c:v>211.1</c:v>
                </c:pt>
                <c:pt idx="1767">
                  <c:v>232.7</c:v>
                </c:pt>
                <c:pt idx="1768">
                  <c:v>248.4</c:v>
                </c:pt>
                <c:pt idx="1769">
                  <c:v>251.5</c:v>
                </c:pt>
                <c:pt idx="1770">
                  <c:v>240</c:v>
                </c:pt>
                <c:pt idx="1771">
                  <c:v>226.1</c:v>
                </c:pt>
                <c:pt idx="1772">
                  <c:v>218.7</c:v>
                </c:pt>
                <c:pt idx="1773">
                  <c:v>219.2</c:v>
                </c:pt>
                <c:pt idx="1774">
                  <c:v>228.2</c:v>
                </c:pt>
                <c:pt idx="1775">
                  <c:v>239.1</c:v>
                </c:pt>
                <c:pt idx="1776">
                  <c:v>248.5</c:v>
                </c:pt>
                <c:pt idx="1777">
                  <c:v>259.60000000000002</c:v>
                </c:pt>
                <c:pt idx="1778">
                  <c:v>263.60000000000002</c:v>
                </c:pt>
                <c:pt idx="1779">
                  <c:v>254.6</c:v>
                </c:pt>
                <c:pt idx="1780">
                  <c:v>241.5</c:v>
                </c:pt>
                <c:pt idx="1781">
                  <c:v>230.4</c:v>
                </c:pt>
                <c:pt idx="1782">
                  <c:v>223.7</c:v>
                </c:pt>
                <c:pt idx="1783">
                  <c:v>214.9</c:v>
                </c:pt>
                <c:pt idx="1784">
                  <c:v>205.3</c:v>
                </c:pt>
                <c:pt idx="1785">
                  <c:v>203.4</c:v>
                </c:pt>
                <c:pt idx="1786">
                  <c:v>206.8</c:v>
                </c:pt>
                <c:pt idx="1787">
                  <c:v>211.4</c:v>
                </c:pt>
                <c:pt idx="1788">
                  <c:v>215.3</c:v>
                </c:pt>
                <c:pt idx="1789">
                  <c:v>219.3</c:v>
                </c:pt>
                <c:pt idx="1790">
                  <c:v>216.5</c:v>
                </c:pt>
                <c:pt idx="1791">
                  <c:v>212.4</c:v>
                </c:pt>
                <c:pt idx="1792">
                  <c:v>210.2</c:v>
                </c:pt>
                <c:pt idx="1793">
                  <c:v>210.5</c:v>
                </c:pt>
                <c:pt idx="1794">
                  <c:v>220.5</c:v>
                </c:pt>
                <c:pt idx="1795">
                  <c:v>224.9</c:v>
                </c:pt>
                <c:pt idx="1796">
                  <c:v>231.1</c:v>
                </c:pt>
                <c:pt idx="1797">
                  <c:v>228</c:v>
                </c:pt>
                <c:pt idx="1798">
                  <c:v>222.5</c:v>
                </c:pt>
                <c:pt idx="1799">
                  <c:v>217.5</c:v>
                </c:pt>
                <c:pt idx="1800">
                  <c:v>208.8</c:v>
                </c:pt>
                <c:pt idx="1801">
                  <c:v>202.1</c:v>
                </c:pt>
                <c:pt idx="1802">
                  <c:v>204.4</c:v>
                </c:pt>
                <c:pt idx="1803">
                  <c:v>215.7</c:v>
                </c:pt>
                <c:pt idx="1804">
                  <c:v>225.8</c:v>
                </c:pt>
                <c:pt idx="1805">
                  <c:v>227.9</c:v>
                </c:pt>
                <c:pt idx="1806">
                  <c:v>218.1</c:v>
                </c:pt>
                <c:pt idx="1807">
                  <c:v>202.6</c:v>
                </c:pt>
                <c:pt idx="1808">
                  <c:v>189.5</c:v>
                </c:pt>
                <c:pt idx="1809">
                  <c:v>178.7</c:v>
                </c:pt>
                <c:pt idx="1810">
                  <c:v>168.6</c:v>
                </c:pt>
                <c:pt idx="1811">
                  <c:v>163.9</c:v>
                </c:pt>
                <c:pt idx="1812">
                  <c:v>171.4</c:v>
                </c:pt>
                <c:pt idx="1813">
                  <c:v>188.2</c:v>
                </c:pt>
                <c:pt idx="1814">
                  <c:v>202.1</c:v>
                </c:pt>
                <c:pt idx="1815">
                  <c:v>207.3</c:v>
                </c:pt>
                <c:pt idx="1816">
                  <c:v>209.5</c:v>
                </c:pt>
                <c:pt idx="1817">
                  <c:v>214</c:v>
                </c:pt>
                <c:pt idx="1818">
                  <c:v>227.7</c:v>
                </c:pt>
                <c:pt idx="1819">
                  <c:v>242.9</c:v>
                </c:pt>
                <c:pt idx="1820">
                  <c:v>263.3</c:v>
                </c:pt>
                <c:pt idx="1821">
                  <c:v>285.7</c:v>
                </c:pt>
                <c:pt idx="1822">
                  <c:v>299</c:v>
                </c:pt>
                <c:pt idx="1823">
                  <c:v>299.39999999999998</c:v>
                </c:pt>
                <c:pt idx="1824">
                  <c:v>291.3</c:v>
                </c:pt>
                <c:pt idx="1825">
                  <c:v>268.3</c:v>
                </c:pt>
                <c:pt idx="1826">
                  <c:v>243.1</c:v>
                </c:pt>
                <c:pt idx="1827">
                  <c:v>228.1</c:v>
                </c:pt>
                <c:pt idx="1828">
                  <c:v>227.9</c:v>
                </c:pt>
                <c:pt idx="1829">
                  <c:v>233.4</c:v>
                </c:pt>
                <c:pt idx="1830">
                  <c:v>232.5</c:v>
                </c:pt>
                <c:pt idx="1831">
                  <c:v>228.2</c:v>
                </c:pt>
                <c:pt idx="1832">
                  <c:v>219</c:v>
                </c:pt>
                <c:pt idx="1833">
                  <c:v>210.8</c:v>
                </c:pt>
                <c:pt idx="1834">
                  <c:v>208.7</c:v>
                </c:pt>
                <c:pt idx="1835">
                  <c:v>210.8</c:v>
                </c:pt>
                <c:pt idx="1836">
                  <c:v>214.2</c:v>
                </c:pt>
                <c:pt idx="1837">
                  <c:v>225.2</c:v>
                </c:pt>
                <c:pt idx="1838">
                  <c:v>243.8</c:v>
                </c:pt>
                <c:pt idx="1839">
                  <c:v>256.3</c:v>
                </c:pt>
                <c:pt idx="1840">
                  <c:v>255.8</c:v>
                </c:pt>
                <c:pt idx="1841">
                  <c:v>249.2</c:v>
                </c:pt>
                <c:pt idx="1842">
                  <c:v>235.9</c:v>
                </c:pt>
                <c:pt idx="1843">
                  <c:v>221.8</c:v>
                </c:pt>
                <c:pt idx="1844">
                  <c:v>214.5</c:v>
                </c:pt>
                <c:pt idx="1845">
                  <c:v>210.9</c:v>
                </c:pt>
                <c:pt idx="1846">
                  <c:v>209.1</c:v>
                </c:pt>
                <c:pt idx="1847">
                  <c:v>209.4</c:v>
                </c:pt>
                <c:pt idx="1848">
                  <c:v>206</c:v>
                </c:pt>
                <c:pt idx="1849">
                  <c:v>198</c:v>
                </c:pt>
                <c:pt idx="1850">
                  <c:v>188.8</c:v>
                </c:pt>
                <c:pt idx="1851">
                  <c:v>180.7</c:v>
                </c:pt>
                <c:pt idx="1852">
                  <c:v>177.8</c:v>
                </c:pt>
                <c:pt idx="1853">
                  <c:v>183.6</c:v>
                </c:pt>
                <c:pt idx="1854">
                  <c:v>198.3</c:v>
                </c:pt>
                <c:pt idx="1855">
                  <c:v>215.5</c:v>
                </c:pt>
                <c:pt idx="1856">
                  <c:v>205.4</c:v>
                </c:pt>
                <c:pt idx="1857">
                  <c:v>206.1</c:v>
                </c:pt>
                <c:pt idx="1858">
                  <c:v>202.3</c:v>
                </c:pt>
                <c:pt idx="1859">
                  <c:v>193.4</c:v>
                </c:pt>
                <c:pt idx="1860">
                  <c:v>186.7</c:v>
                </c:pt>
                <c:pt idx="1861">
                  <c:v>179.4</c:v>
                </c:pt>
                <c:pt idx="1862">
                  <c:v>171.9</c:v>
                </c:pt>
                <c:pt idx="1863">
                  <c:v>164.6</c:v>
                </c:pt>
                <c:pt idx="1864">
                  <c:v>159.80000000000001</c:v>
                </c:pt>
                <c:pt idx="1865">
                  <c:v>161.1</c:v>
                </c:pt>
                <c:pt idx="1866">
                  <c:v>167.7</c:v>
                </c:pt>
                <c:pt idx="1867">
                  <c:v>177.3</c:v>
                </c:pt>
                <c:pt idx="1868">
                  <c:v>183.7</c:v>
                </c:pt>
                <c:pt idx="1869">
                  <c:v>189.1</c:v>
                </c:pt>
                <c:pt idx="1870">
                  <c:v>195.4</c:v>
                </c:pt>
                <c:pt idx="1871">
                  <c:v>198.7</c:v>
                </c:pt>
                <c:pt idx="1872">
                  <c:v>191</c:v>
                </c:pt>
                <c:pt idx="1873">
                  <c:v>182.4</c:v>
                </c:pt>
                <c:pt idx="1874">
                  <c:v>180.8</c:v>
                </c:pt>
                <c:pt idx="1875">
                  <c:v>191.8</c:v>
                </c:pt>
                <c:pt idx="1876">
                  <c:v>207.5</c:v>
                </c:pt>
                <c:pt idx="1877">
                  <c:v>217.5</c:v>
                </c:pt>
                <c:pt idx="1878">
                  <c:v>222.1</c:v>
                </c:pt>
                <c:pt idx="1879">
                  <c:v>218.4</c:v>
                </c:pt>
                <c:pt idx="1880">
                  <c:v>212.4</c:v>
                </c:pt>
                <c:pt idx="1881">
                  <c:v>200.5</c:v>
                </c:pt>
                <c:pt idx="1882">
                  <c:v>189</c:v>
                </c:pt>
                <c:pt idx="1883">
                  <c:v>177.1</c:v>
                </c:pt>
                <c:pt idx="1884">
                  <c:v>175.9</c:v>
                </c:pt>
                <c:pt idx="1885">
                  <c:v>178.1</c:v>
                </c:pt>
                <c:pt idx="1886">
                  <c:v>188.7</c:v>
                </c:pt>
                <c:pt idx="1887">
                  <c:v>198.1</c:v>
                </c:pt>
                <c:pt idx="1888">
                  <c:v>205.7</c:v>
                </c:pt>
                <c:pt idx="1889">
                  <c:v>208.1</c:v>
                </c:pt>
                <c:pt idx="1890">
                  <c:v>201.2</c:v>
                </c:pt>
                <c:pt idx="1891">
                  <c:v>197</c:v>
                </c:pt>
                <c:pt idx="1892">
                  <c:v>209.3</c:v>
                </c:pt>
                <c:pt idx="1893">
                  <c:v>239.8</c:v>
                </c:pt>
                <c:pt idx="1894">
                  <c:v>269.5</c:v>
                </c:pt>
                <c:pt idx="1895">
                  <c:v>281.10000000000002</c:v>
                </c:pt>
                <c:pt idx="1896">
                  <c:v>273.7</c:v>
                </c:pt>
                <c:pt idx="1897">
                  <c:v>254.1</c:v>
                </c:pt>
                <c:pt idx="1898">
                  <c:v>232.1</c:v>
                </c:pt>
                <c:pt idx="1899">
                  <c:v>211.3</c:v>
                </c:pt>
                <c:pt idx="1900">
                  <c:v>195.4</c:v>
                </c:pt>
                <c:pt idx="1901">
                  <c:v>193.9</c:v>
                </c:pt>
                <c:pt idx="1902">
                  <c:v>204.1</c:v>
                </c:pt>
                <c:pt idx="1903">
                  <c:v>210.3</c:v>
                </c:pt>
                <c:pt idx="1904">
                  <c:v>208</c:v>
                </c:pt>
                <c:pt idx="1905">
                  <c:v>205.5</c:v>
                </c:pt>
                <c:pt idx="1906">
                  <c:v>206.3</c:v>
                </c:pt>
                <c:pt idx="1907">
                  <c:v>208</c:v>
                </c:pt>
                <c:pt idx="1908">
                  <c:v>210.4</c:v>
                </c:pt>
                <c:pt idx="1909">
                  <c:v>215.6</c:v>
                </c:pt>
                <c:pt idx="1910">
                  <c:v>220.9</c:v>
                </c:pt>
                <c:pt idx="1911">
                  <c:v>223.7</c:v>
                </c:pt>
                <c:pt idx="1912">
                  <c:v>225.8</c:v>
                </c:pt>
                <c:pt idx="1913">
                  <c:v>226.1</c:v>
                </c:pt>
                <c:pt idx="1914">
                  <c:v>215.6</c:v>
                </c:pt>
                <c:pt idx="1915">
                  <c:v>209.9</c:v>
                </c:pt>
                <c:pt idx="1916">
                  <c:v>200.9</c:v>
                </c:pt>
                <c:pt idx="1917">
                  <c:v>197.9</c:v>
                </c:pt>
                <c:pt idx="1918">
                  <c:v>200.4</c:v>
                </c:pt>
                <c:pt idx="1919">
                  <c:v>201.6</c:v>
                </c:pt>
                <c:pt idx="1920">
                  <c:v>202.5</c:v>
                </c:pt>
                <c:pt idx="1921">
                  <c:v>204.5</c:v>
                </c:pt>
                <c:pt idx="1922">
                  <c:v>204.7</c:v>
                </c:pt>
                <c:pt idx="1923">
                  <c:v>201.1</c:v>
                </c:pt>
                <c:pt idx="1924">
                  <c:v>199.2</c:v>
                </c:pt>
                <c:pt idx="1925">
                  <c:v>199.1</c:v>
                </c:pt>
                <c:pt idx="1926">
                  <c:v>203.8</c:v>
                </c:pt>
                <c:pt idx="1927">
                  <c:v>205.7</c:v>
                </c:pt>
                <c:pt idx="1928">
                  <c:v>204.7</c:v>
                </c:pt>
                <c:pt idx="1929">
                  <c:v>204.5</c:v>
                </c:pt>
                <c:pt idx="1930">
                  <c:v>207.3</c:v>
                </c:pt>
                <c:pt idx="1931">
                  <c:v>208.8</c:v>
                </c:pt>
                <c:pt idx="1932">
                  <c:v>203.8</c:v>
                </c:pt>
                <c:pt idx="1933">
                  <c:v>195.8</c:v>
                </c:pt>
                <c:pt idx="1934">
                  <c:v>188.6</c:v>
                </c:pt>
                <c:pt idx="1935">
                  <c:v>185.4</c:v>
                </c:pt>
                <c:pt idx="1936">
                  <c:v>187</c:v>
                </c:pt>
                <c:pt idx="1937">
                  <c:v>191.6</c:v>
                </c:pt>
                <c:pt idx="1938">
                  <c:v>204.7</c:v>
                </c:pt>
                <c:pt idx="1939">
                  <c:v>220.8</c:v>
                </c:pt>
                <c:pt idx="1940">
                  <c:v>231</c:v>
                </c:pt>
                <c:pt idx="1941">
                  <c:v>226.8</c:v>
                </c:pt>
                <c:pt idx="1942">
                  <c:v>208.8</c:v>
                </c:pt>
                <c:pt idx="1943">
                  <c:v>188</c:v>
                </c:pt>
                <c:pt idx="1944">
                  <c:v>174.1</c:v>
                </c:pt>
                <c:pt idx="1945">
                  <c:v>170.9</c:v>
                </c:pt>
                <c:pt idx="1946">
                  <c:v>172.4</c:v>
                </c:pt>
                <c:pt idx="1947">
                  <c:v>170.1</c:v>
                </c:pt>
                <c:pt idx="1948">
                  <c:v>162.80000000000001</c:v>
                </c:pt>
                <c:pt idx="1949">
                  <c:v>153.30000000000001</c:v>
                </c:pt>
                <c:pt idx="1950">
                  <c:v>145.1</c:v>
                </c:pt>
                <c:pt idx="1951">
                  <c:v>142.6</c:v>
                </c:pt>
                <c:pt idx="1952">
                  <c:v>146.4</c:v>
                </c:pt>
                <c:pt idx="1953">
                  <c:v>153.6</c:v>
                </c:pt>
                <c:pt idx="1954">
                  <c:v>159.6</c:v>
                </c:pt>
                <c:pt idx="1955">
                  <c:v>170.9</c:v>
                </c:pt>
                <c:pt idx="1956">
                  <c:v>189.3</c:v>
                </c:pt>
                <c:pt idx="1957">
                  <c:v>204.2</c:v>
                </c:pt>
                <c:pt idx="1958">
                  <c:v>203.2</c:v>
                </c:pt>
                <c:pt idx="1959">
                  <c:v>191.9</c:v>
                </c:pt>
                <c:pt idx="1960">
                  <c:v>180.7</c:v>
                </c:pt>
                <c:pt idx="1961">
                  <c:v>175.7</c:v>
                </c:pt>
                <c:pt idx="1962">
                  <c:v>172.5</c:v>
                </c:pt>
                <c:pt idx="1963">
                  <c:v>166.9</c:v>
                </c:pt>
                <c:pt idx="1964">
                  <c:v>157.5</c:v>
                </c:pt>
                <c:pt idx="1965">
                  <c:v>147.9</c:v>
                </c:pt>
                <c:pt idx="1966">
                  <c:v>140.6</c:v>
                </c:pt>
                <c:pt idx="1967">
                  <c:v>135.9</c:v>
                </c:pt>
                <c:pt idx="1968">
                  <c:v>133.19999999999999</c:v>
                </c:pt>
                <c:pt idx="1969">
                  <c:v>131.4</c:v>
                </c:pt>
                <c:pt idx="1970">
                  <c:v>129.69999999999999</c:v>
                </c:pt>
                <c:pt idx="1971">
                  <c:v>128.1</c:v>
                </c:pt>
                <c:pt idx="1972">
                  <c:v>127.5</c:v>
                </c:pt>
                <c:pt idx="1973">
                  <c:v>130.19999999999999</c:v>
                </c:pt>
                <c:pt idx="1974">
                  <c:v>135.80000000000001</c:v>
                </c:pt>
                <c:pt idx="1975">
                  <c:v>140.4</c:v>
                </c:pt>
                <c:pt idx="1976">
                  <c:v>99.4</c:v>
                </c:pt>
                <c:pt idx="1977">
                  <c:v>96.2</c:v>
                </c:pt>
                <c:pt idx="1978">
                  <c:v>92.3</c:v>
                </c:pt>
                <c:pt idx="1979">
                  <c:v>90.1</c:v>
                </c:pt>
                <c:pt idx="1980">
                  <c:v>90.1</c:v>
                </c:pt>
                <c:pt idx="1981">
                  <c:v>90.6</c:v>
                </c:pt>
                <c:pt idx="1982">
                  <c:v>90</c:v>
                </c:pt>
                <c:pt idx="1983">
                  <c:v>88.6</c:v>
                </c:pt>
                <c:pt idx="1984">
                  <c:v>86.9</c:v>
                </c:pt>
                <c:pt idx="1985">
                  <c:v>85.5</c:v>
                </c:pt>
                <c:pt idx="1986">
                  <c:v>84.6</c:v>
                </c:pt>
                <c:pt idx="1987">
                  <c:v>84.1</c:v>
                </c:pt>
                <c:pt idx="1988">
                  <c:v>83.7</c:v>
                </c:pt>
                <c:pt idx="1989">
                  <c:v>83.5</c:v>
                </c:pt>
                <c:pt idx="1990">
                  <c:v>83.3</c:v>
                </c:pt>
                <c:pt idx="1991">
                  <c:v>83.5</c:v>
                </c:pt>
                <c:pt idx="1992">
                  <c:v>86.7</c:v>
                </c:pt>
                <c:pt idx="1993">
                  <c:v>93.5</c:v>
                </c:pt>
                <c:pt idx="1994">
                  <c:v>100.8</c:v>
                </c:pt>
                <c:pt idx="1995">
                  <c:v>102.5</c:v>
                </c:pt>
                <c:pt idx="1996">
                  <c:v>99.8</c:v>
                </c:pt>
                <c:pt idx="1997">
                  <c:v>94.8</c:v>
                </c:pt>
                <c:pt idx="1998">
                  <c:v>90.5</c:v>
                </c:pt>
                <c:pt idx="1999">
                  <c:v>87.9</c:v>
                </c:pt>
                <c:pt idx="2000">
                  <c:v>86.2</c:v>
                </c:pt>
                <c:pt idx="2001">
                  <c:v>85.2</c:v>
                </c:pt>
                <c:pt idx="2002">
                  <c:v>84.9</c:v>
                </c:pt>
                <c:pt idx="2003">
                  <c:v>84.8</c:v>
                </c:pt>
                <c:pt idx="2004">
                  <c:v>84.7</c:v>
                </c:pt>
                <c:pt idx="2005">
                  <c:v>84.4</c:v>
                </c:pt>
                <c:pt idx="2006">
                  <c:v>61</c:v>
                </c:pt>
                <c:pt idx="2007">
                  <c:v>60.8</c:v>
                </c:pt>
                <c:pt idx="2008">
                  <c:v>60.6</c:v>
                </c:pt>
                <c:pt idx="2009">
                  <c:v>60.5</c:v>
                </c:pt>
                <c:pt idx="2010">
                  <c:v>60.4</c:v>
                </c:pt>
                <c:pt idx="2011">
                  <c:v>60.5</c:v>
                </c:pt>
                <c:pt idx="2012">
                  <c:v>60.5</c:v>
                </c:pt>
                <c:pt idx="2013">
                  <c:v>62.7</c:v>
                </c:pt>
                <c:pt idx="2014">
                  <c:v>67.7</c:v>
                </c:pt>
                <c:pt idx="2015">
                  <c:v>73.2</c:v>
                </c:pt>
                <c:pt idx="2016">
                  <c:v>74.2</c:v>
                </c:pt>
                <c:pt idx="2017">
                  <c:v>72.099999999999994</c:v>
                </c:pt>
                <c:pt idx="2018">
                  <c:v>68.5</c:v>
                </c:pt>
                <c:pt idx="2019">
                  <c:v>65.3</c:v>
                </c:pt>
                <c:pt idx="2020">
                  <c:v>63.5</c:v>
                </c:pt>
                <c:pt idx="2021">
                  <c:v>62.3</c:v>
                </c:pt>
                <c:pt idx="2022">
                  <c:v>61.5</c:v>
                </c:pt>
                <c:pt idx="2023">
                  <c:v>61</c:v>
                </c:pt>
                <c:pt idx="2024">
                  <c:v>60.6</c:v>
                </c:pt>
                <c:pt idx="2025">
                  <c:v>60.5</c:v>
                </c:pt>
                <c:pt idx="2026">
                  <c:v>60.4</c:v>
                </c:pt>
                <c:pt idx="2027">
                  <c:v>60.4</c:v>
                </c:pt>
                <c:pt idx="2028">
                  <c:v>60.4</c:v>
                </c:pt>
                <c:pt idx="2029">
                  <c:v>60.3</c:v>
                </c:pt>
                <c:pt idx="2030">
                  <c:v>60.2</c:v>
                </c:pt>
                <c:pt idx="2031">
                  <c:v>60.3</c:v>
                </c:pt>
                <c:pt idx="2032">
                  <c:v>60.6</c:v>
                </c:pt>
                <c:pt idx="2033">
                  <c:v>61</c:v>
                </c:pt>
                <c:pt idx="2034">
                  <c:v>61.3</c:v>
                </c:pt>
                <c:pt idx="2035">
                  <c:v>61.6</c:v>
                </c:pt>
                <c:pt idx="2036">
                  <c:v>61.7</c:v>
                </c:pt>
                <c:pt idx="2037">
                  <c:v>66.900000000000006</c:v>
                </c:pt>
                <c:pt idx="2038">
                  <c:v>67.099999999999994</c:v>
                </c:pt>
                <c:pt idx="2039">
                  <c:v>68</c:v>
                </c:pt>
                <c:pt idx="2040">
                  <c:v>70.2</c:v>
                </c:pt>
                <c:pt idx="2041">
                  <c:v>72.8</c:v>
                </c:pt>
                <c:pt idx="2042">
                  <c:v>74.8</c:v>
                </c:pt>
                <c:pt idx="2043">
                  <c:v>78.2</c:v>
                </c:pt>
                <c:pt idx="2044">
                  <c:v>82.9</c:v>
                </c:pt>
                <c:pt idx="2045">
                  <c:v>86.4</c:v>
                </c:pt>
                <c:pt idx="2046">
                  <c:v>90</c:v>
                </c:pt>
                <c:pt idx="2047">
                  <c:v>94.8</c:v>
                </c:pt>
                <c:pt idx="2048">
                  <c:v>98.5</c:v>
                </c:pt>
                <c:pt idx="2049">
                  <c:v>97.7</c:v>
                </c:pt>
                <c:pt idx="2050">
                  <c:v>95.5</c:v>
                </c:pt>
                <c:pt idx="2051">
                  <c:v>93.3</c:v>
                </c:pt>
                <c:pt idx="2052">
                  <c:v>92.4</c:v>
                </c:pt>
                <c:pt idx="2053">
                  <c:v>95.1</c:v>
                </c:pt>
                <c:pt idx="2054">
                  <c:v>97.2</c:v>
                </c:pt>
                <c:pt idx="2055">
                  <c:v>95.4</c:v>
                </c:pt>
                <c:pt idx="2056">
                  <c:v>93</c:v>
                </c:pt>
                <c:pt idx="2057">
                  <c:v>90.8</c:v>
                </c:pt>
                <c:pt idx="2058">
                  <c:v>91.1</c:v>
                </c:pt>
                <c:pt idx="2059">
                  <c:v>92.7</c:v>
                </c:pt>
                <c:pt idx="2060">
                  <c:v>93.6</c:v>
                </c:pt>
                <c:pt idx="2061">
                  <c:v>90.9</c:v>
                </c:pt>
                <c:pt idx="2062">
                  <c:v>90.5</c:v>
                </c:pt>
                <c:pt idx="2063">
                  <c:v>98.8</c:v>
                </c:pt>
                <c:pt idx="2064">
                  <c:v>112.7</c:v>
                </c:pt>
                <c:pt idx="2065">
                  <c:v>122.6</c:v>
                </c:pt>
                <c:pt idx="2066">
                  <c:v>124.9</c:v>
                </c:pt>
                <c:pt idx="2067">
                  <c:v>126.3</c:v>
                </c:pt>
                <c:pt idx="2068">
                  <c:v>153.9</c:v>
                </c:pt>
                <c:pt idx="2069">
                  <c:v>150.4</c:v>
                </c:pt>
                <c:pt idx="2070">
                  <c:v>148.19999999999999</c:v>
                </c:pt>
                <c:pt idx="2071">
                  <c:v>149.4</c:v>
                </c:pt>
                <c:pt idx="2072">
                  <c:v>149.69999999999999</c:v>
                </c:pt>
                <c:pt idx="2073">
                  <c:v>146.69999999999999</c:v>
                </c:pt>
                <c:pt idx="2074">
                  <c:v>142.9</c:v>
                </c:pt>
                <c:pt idx="2075">
                  <c:v>141.69999999999999</c:v>
                </c:pt>
                <c:pt idx="2076">
                  <c:v>145</c:v>
                </c:pt>
                <c:pt idx="2077">
                  <c:v>151.69999999999999</c:v>
                </c:pt>
                <c:pt idx="2078">
                  <c:v>154.6</c:v>
                </c:pt>
                <c:pt idx="2079">
                  <c:v>149.30000000000001</c:v>
                </c:pt>
                <c:pt idx="2080">
                  <c:v>144.69999999999999</c:v>
                </c:pt>
                <c:pt idx="2081">
                  <c:v>147.4</c:v>
                </c:pt>
                <c:pt idx="2082">
                  <c:v>156</c:v>
                </c:pt>
                <c:pt idx="2083">
                  <c:v>166.8</c:v>
                </c:pt>
                <c:pt idx="2084">
                  <c:v>174.3</c:v>
                </c:pt>
                <c:pt idx="2085">
                  <c:v>177.8</c:v>
                </c:pt>
                <c:pt idx="2086">
                  <c:v>174.7</c:v>
                </c:pt>
                <c:pt idx="2087">
                  <c:v>168.9</c:v>
                </c:pt>
                <c:pt idx="2088">
                  <c:v>167.5</c:v>
                </c:pt>
                <c:pt idx="2089">
                  <c:v>166.9</c:v>
                </c:pt>
                <c:pt idx="2090">
                  <c:v>159.5</c:v>
                </c:pt>
                <c:pt idx="2091">
                  <c:v>151.4</c:v>
                </c:pt>
                <c:pt idx="2092">
                  <c:v>148.4</c:v>
                </c:pt>
                <c:pt idx="2093">
                  <c:v>152.80000000000001</c:v>
                </c:pt>
                <c:pt idx="2094">
                  <c:v>160.19999999999999</c:v>
                </c:pt>
                <c:pt idx="2095">
                  <c:v>159.9</c:v>
                </c:pt>
                <c:pt idx="2096">
                  <c:v>155.4</c:v>
                </c:pt>
                <c:pt idx="2097">
                  <c:v>150.9</c:v>
                </c:pt>
                <c:pt idx="2098">
                  <c:v>161.30000000000001</c:v>
                </c:pt>
                <c:pt idx="2099">
                  <c:v>158.5</c:v>
                </c:pt>
                <c:pt idx="2100">
                  <c:v>160.6</c:v>
                </c:pt>
                <c:pt idx="2101">
                  <c:v>165.7</c:v>
                </c:pt>
                <c:pt idx="2102">
                  <c:v>169.9</c:v>
                </c:pt>
                <c:pt idx="2103">
                  <c:v>173.8</c:v>
                </c:pt>
                <c:pt idx="2104">
                  <c:v>171.7</c:v>
                </c:pt>
                <c:pt idx="2105">
                  <c:v>173.8</c:v>
                </c:pt>
                <c:pt idx="2106">
                  <c:v>182.7</c:v>
                </c:pt>
                <c:pt idx="2107">
                  <c:v>192.5</c:v>
                </c:pt>
                <c:pt idx="2108">
                  <c:v>191</c:v>
                </c:pt>
                <c:pt idx="2109">
                  <c:v>183.6</c:v>
                </c:pt>
                <c:pt idx="2110">
                  <c:v>176.2</c:v>
                </c:pt>
                <c:pt idx="2111">
                  <c:v>176.4</c:v>
                </c:pt>
                <c:pt idx="2112">
                  <c:v>188.4</c:v>
                </c:pt>
                <c:pt idx="2113">
                  <c:v>202.6</c:v>
                </c:pt>
                <c:pt idx="2114">
                  <c:v>216.5</c:v>
                </c:pt>
                <c:pt idx="2115">
                  <c:v>230.8</c:v>
                </c:pt>
                <c:pt idx="2116">
                  <c:v>241.1</c:v>
                </c:pt>
                <c:pt idx="2117">
                  <c:v>246.6</c:v>
                </c:pt>
                <c:pt idx="2118">
                  <c:v>246.9</c:v>
                </c:pt>
                <c:pt idx="2119">
                  <c:v>237.2</c:v>
                </c:pt>
                <c:pt idx="2120">
                  <c:v>221.2</c:v>
                </c:pt>
                <c:pt idx="2121">
                  <c:v>206.6</c:v>
                </c:pt>
                <c:pt idx="2122">
                  <c:v>194.7</c:v>
                </c:pt>
                <c:pt idx="2123">
                  <c:v>190.9</c:v>
                </c:pt>
                <c:pt idx="2124">
                  <c:v>195.6</c:v>
                </c:pt>
                <c:pt idx="2125">
                  <c:v>203.9</c:v>
                </c:pt>
                <c:pt idx="2126">
                  <c:v>209</c:v>
                </c:pt>
                <c:pt idx="2127">
                  <c:v>212.8</c:v>
                </c:pt>
                <c:pt idx="2128">
                  <c:v>217.7</c:v>
                </c:pt>
                <c:pt idx="2129">
                  <c:v>230.3</c:v>
                </c:pt>
                <c:pt idx="2130">
                  <c:v>221</c:v>
                </c:pt>
                <c:pt idx="2131">
                  <c:v>204.2</c:v>
                </c:pt>
                <c:pt idx="2132">
                  <c:v>190.1</c:v>
                </c:pt>
                <c:pt idx="2133">
                  <c:v>185.7</c:v>
                </c:pt>
                <c:pt idx="2134">
                  <c:v>190.2</c:v>
                </c:pt>
                <c:pt idx="2135">
                  <c:v>193.5</c:v>
                </c:pt>
                <c:pt idx="2136">
                  <c:v>191.1</c:v>
                </c:pt>
                <c:pt idx="2137">
                  <c:v>188.3</c:v>
                </c:pt>
                <c:pt idx="2138">
                  <c:v>197.3</c:v>
                </c:pt>
                <c:pt idx="2139">
                  <c:v>219.6</c:v>
                </c:pt>
                <c:pt idx="2140">
                  <c:v>240.4</c:v>
                </c:pt>
                <c:pt idx="2141">
                  <c:v>252.3</c:v>
                </c:pt>
                <c:pt idx="2142">
                  <c:v>254.5</c:v>
                </c:pt>
                <c:pt idx="2143">
                  <c:v>243.9</c:v>
                </c:pt>
                <c:pt idx="2144">
                  <c:v>221.6</c:v>
                </c:pt>
                <c:pt idx="2145">
                  <c:v>207</c:v>
                </c:pt>
                <c:pt idx="2146">
                  <c:v>211</c:v>
                </c:pt>
                <c:pt idx="2147">
                  <c:v>226.3</c:v>
                </c:pt>
                <c:pt idx="2148">
                  <c:v>228.9</c:v>
                </c:pt>
                <c:pt idx="2149">
                  <c:v>217.4</c:v>
                </c:pt>
                <c:pt idx="2150">
                  <c:v>201.1</c:v>
                </c:pt>
                <c:pt idx="2151">
                  <c:v>189.6</c:v>
                </c:pt>
                <c:pt idx="2152">
                  <c:v>187.8</c:v>
                </c:pt>
                <c:pt idx="2153">
                  <c:v>191.8</c:v>
                </c:pt>
                <c:pt idx="2154">
                  <c:v>198.1</c:v>
                </c:pt>
                <c:pt idx="2155">
                  <c:v>206.2</c:v>
                </c:pt>
                <c:pt idx="2156">
                  <c:v>208.6</c:v>
                </c:pt>
                <c:pt idx="2157">
                  <c:v>212.9</c:v>
                </c:pt>
                <c:pt idx="2158">
                  <c:v>218.8</c:v>
                </c:pt>
                <c:pt idx="2159">
                  <c:v>232.2</c:v>
                </c:pt>
                <c:pt idx="2160">
                  <c:v>235</c:v>
                </c:pt>
                <c:pt idx="2161">
                  <c:v>230.5</c:v>
                </c:pt>
                <c:pt idx="2162">
                  <c:v>227.7</c:v>
                </c:pt>
                <c:pt idx="2163">
                  <c:v>232.5</c:v>
                </c:pt>
                <c:pt idx="2164">
                  <c:v>244.6</c:v>
                </c:pt>
                <c:pt idx="2165">
                  <c:v>249.3</c:v>
                </c:pt>
                <c:pt idx="2166">
                  <c:v>241.2</c:v>
                </c:pt>
                <c:pt idx="2167">
                  <c:v>232.8</c:v>
                </c:pt>
                <c:pt idx="2168">
                  <c:v>227.1</c:v>
                </c:pt>
                <c:pt idx="2169">
                  <c:v>228.5</c:v>
                </c:pt>
                <c:pt idx="2170">
                  <c:v>228.4</c:v>
                </c:pt>
                <c:pt idx="2171">
                  <c:v>230.4</c:v>
                </c:pt>
                <c:pt idx="2172">
                  <c:v>232</c:v>
                </c:pt>
                <c:pt idx="2173">
                  <c:v>240.2</c:v>
                </c:pt>
                <c:pt idx="2174">
                  <c:v>246.7</c:v>
                </c:pt>
                <c:pt idx="2175">
                  <c:v>252.4</c:v>
                </c:pt>
                <c:pt idx="2176">
                  <c:v>248.1</c:v>
                </c:pt>
                <c:pt idx="2177">
                  <c:v>239.5</c:v>
                </c:pt>
                <c:pt idx="2178">
                  <c:v>227.6</c:v>
                </c:pt>
                <c:pt idx="2179">
                  <c:v>218.9</c:v>
                </c:pt>
                <c:pt idx="2180">
                  <c:v>213.3</c:v>
                </c:pt>
                <c:pt idx="2181">
                  <c:v>212.3</c:v>
                </c:pt>
                <c:pt idx="2182">
                  <c:v>211.3</c:v>
                </c:pt>
                <c:pt idx="2183">
                  <c:v>211</c:v>
                </c:pt>
                <c:pt idx="2184">
                  <c:v>206.8</c:v>
                </c:pt>
                <c:pt idx="2185">
                  <c:v>197.5</c:v>
                </c:pt>
                <c:pt idx="2186">
                  <c:v>194.9</c:v>
                </c:pt>
                <c:pt idx="2187">
                  <c:v>200.4</c:v>
                </c:pt>
                <c:pt idx="2188">
                  <c:v>209.9</c:v>
                </c:pt>
                <c:pt idx="2189">
                  <c:v>207.1</c:v>
                </c:pt>
                <c:pt idx="2190">
                  <c:v>193.7</c:v>
                </c:pt>
                <c:pt idx="2191">
                  <c:v>183.4</c:v>
                </c:pt>
                <c:pt idx="2192">
                  <c:v>174.2</c:v>
                </c:pt>
                <c:pt idx="2193">
                  <c:v>169</c:v>
                </c:pt>
                <c:pt idx="2194">
                  <c:v>168.7</c:v>
                </c:pt>
                <c:pt idx="2195">
                  <c:v>174.6</c:v>
                </c:pt>
                <c:pt idx="2196">
                  <c:v>184</c:v>
                </c:pt>
                <c:pt idx="2197">
                  <c:v>193</c:v>
                </c:pt>
                <c:pt idx="2198">
                  <c:v>192.3</c:v>
                </c:pt>
                <c:pt idx="2199">
                  <c:v>182.8</c:v>
                </c:pt>
                <c:pt idx="2200">
                  <c:v>168.7</c:v>
                </c:pt>
                <c:pt idx="2201">
                  <c:v>155.1</c:v>
                </c:pt>
                <c:pt idx="2202">
                  <c:v>146.69999999999999</c:v>
                </c:pt>
                <c:pt idx="2203">
                  <c:v>145.80000000000001</c:v>
                </c:pt>
                <c:pt idx="2204">
                  <c:v>152.30000000000001</c:v>
                </c:pt>
                <c:pt idx="2205">
                  <c:v>161.4</c:v>
                </c:pt>
                <c:pt idx="2206">
                  <c:v>169.9</c:v>
                </c:pt>
                <c:pt idx="2207">
                  <c:v>174.7</c:v>
                </c:pt>
                <c:pt idx="2208">
                  <c:v>176.3</c:v>
                </c:pt>
                <c:pt idx="2209">
                  <c:v>174.1</c:v>
                </c:pt>
                <c:pt idx="2210">
                  <c:v>170.6</c:v>
                </c:pt>
                <c:pt idx="2211">
                  <c:v>166.5</c:v>
                </c:pt>
                <c:pt idx="2212">
                  <c:v>169.5</c:v>
                </c:pt>
                <c:pt idx="2213">
                  <c:v>180.9</c:v>
                </c:pt>
                <c:pt idx="2214">
                  <c:v>197.8</c:v>
                </c:pt>
                <c:pt idx="2215">
                  <c:v>213.4</c:v>
                </c:pt>
                <c:pt idx="2216">
                  <c:v>225.9</c:v>
                </c:pt>
                <c:pt idx="2217">
                  <c:v>230.5</c:v>
                </c:pt>
                <c:pt idx="2218">
                  <c:v>228.2</c:v>
                </c:pt>
                <c:pt idx="2219">
                  <c:v>225.1</c:v>
                </c:pt>
                <c:pt idx="2220">
                  <c:v>217.2</c:v>
                </c:pt>
                <c:pt idx="2221">
                  <c:v>190.5</c:v>
                </c:pt>
                <c:pt idx="2222">
                  <c:v>182.5</c:v>
                </c:pt>
                <c:pt idx="2223">
                  <c:v>174.5</c:v>
                </c:pt>
                <c:pt idx="2224">
                  <c:v>171.8</c:v>
                </c:pt>
                <c:pt idx="2225">
                  <c:v>174.7</c:v>
                </c:pt>
                <c:pt idx="2226">
                  <c:v>181.2</c:v>
                </c:pt>
                <c:pt idx="2227">
                  <c:v>190.1</c:v>
                </c:pt>
                <c:pt idx="2228">
                  <c:v>193.7</c:v>
                </c:pt>
                <c:pt idx="2229">
                  <c:v>190.3</c:v>
                </c:pt>
                <c:pt idx="2230">
                  <c:v>181.6</c:v>
                </c:pt>
                <c:pt idx="2231">
                  <c:v>171.9</c:v>
                </c:pt>
                <c:pt idx="2232">
                  <c:v>165.9</c:v>
                </c:pt>
                <c:pt idx="2233">
                  <c:v>167.3</c:v>
                </c:pt>
                <c:pt idx="2234">
                  <c:v>173.2</c:v>
                </c:pt>
                <c:pt idx="2235">
                  <c:v>170.9</c:v>
                </c:pt>
                <c:pt idx="2236">
                  <c:v>164.2</c:v>
                </c:pt>
                <c:pt idx="2237">
                  <c:v>158.6</c:v>
                </c:pt>
                <c:pt idx="2238">
                  <c:v>156.5</c:v>
                </c:pt>
                <c:pt idx="2239">
                  <c:v>158.5</c:v>
                </c:pt>
                <c:pt idx="2240">
                  <c:v>169.5</c:v>
                </c:pt>
                <c:pt idx="2241">
                  <c:v>185.2</c:v>
                </c:pt>
                <c:pt idx="2242">
                  <c:v>197.6</c:v>
                </c:pt>
                <c:pt idx="2243">
                  <c:v>206.6</c:v>
                </c:pt>
                <c:pt idx="2244">
                  <c:v>211</c:v>
                </c:pt>
                <c:pt idx="2245">
                  <c:v>204.8</c:v>
                </c:pt>
                <c:pt idx="2246">
                  <c:v>192.9</c:v>
                </c:pt>
                <c:pt idx="2247">
                  <c:v>184.2</c:v>
                </c:pt>
                <c:pt idx="2248">
                  <c:v>182</c:v>
                </c:pt>
                <c:pt idx="2249">
                  <c:v>193.2</c:v>
                </c:pt>
                <c:pt idx="2250">
                  <c:v>199.9</c:v>
                </c:pt>
                <c:pt idx="2251">
                  <c:v>208.7</c:v>
                </c:pt>
                <c:pt idx="2252">
                  <c:v>215.7</c:v>
                </c:pt>
                <c:pt idx="2253">
                  <c:v>224.4</c:v>
                </c:pt>
                <c:pt idx="2254">
                  <c:v>227.8</c:v>
                </c:pt>
                <c:pt idx="2255">
                  <c:v>231.6</c:v>
                </c:pt>
                <c:pt idx="2256">
                  <c:v>236.5</c:v>
                </c:pt>
                <c:pt idx="2257">
                  <c:v>244.8</c:v>
                </c:pt>
                <c:pt idx="2258">
                  <c:v>255.3</c:v>
                </c:pt>
                <c:pt idx="2259">
                  <c:v>251.3</c:v>
                </c:pt>
                <c:pt idx="2260">
                  <c:v>231.1</c:v>
                </c:pt>
                <c:pt idx="2261">
                  <c:v>211.4</c:v>
                </c:pt>
                <c:pt idx="2262">
                  <c:v>201.7</c:v>
                </c:pt>
                <c:pt idx="2263">
                  <c:v>199.1</c:v>
                </c:pt>
                <c:pt idx="2264">
                  <c:v>190.7</c:v>
                </c:pt>
                <c:pt idx="2265">
                  <c:v>184.8</c:v>
                </c:pt>
                <c:pt idx="2266">
                  <c:v>193</c:v>
                </c:pt>
                <c:pt idx="2267">
                  <c:v>219</c:v>
                </c:pt>
                <c:pt idx="2268">
                  <c:v>247.9</c:v>
                </c:pt>
                <c:pt idx="2269">
                  <c:v>269.89999999999998</c:v>
                </c:pt>
                <c:pt idx="2270">
                  <c:v>282.60000000000002</c:v>
                </c:pt>
                <c:pt idx="2271">
                  <c:v>283.8</c:v>
                </c:pt>
                <c:pt idx="2272">
                  <c:v>274.10000000000002</c:v>
                </c:pt>
                <c:pt idx="2273">
                  <c:v>255.3</c:v>
                </c:pt>
                <c:pt idx="2274">
                  <c:v>241.8</c:v>
                </c:pt>
                <c:pt idx="2275">
                  <c:v>244.9</c:v>
                </c:pt>
                <c:pt idx="2276">
                  <c:v>254</c:v>
                </c:pt>
                <c:pt idx="2277">
                  <c:v>258.89999999999998</c:v>
                </c:pt>
                <c:pt idx="2278">
                  <c:v>248.8</c:v>
                </c:pt>
                <c:pt idx="2279">
                  <c:v>234</c:v>
                </c:pt>
                <c:pt idx="2280">
                  <c:v>230</c:v>
                </c:pt>
                <c:pt idx="2281">
                  <c:v>224.3</c:v>
                </c:pt>
                <c:pt idx="2282">
                  <c:v>222.5</c:v>
                </c:pt>
                <c:pt idx="2283">
                  <c:v>220</c:v>
                </c:pt>
                <c:pt idx="2284">
                  <c:v>213.9</c:v>
                </c:pt>
                <c:pt idx="2285">
                  <c:v>203.2</c:v>
                </c:pt>
                <c:pt idx="2286">
                  <c:v>196.2</c:v>
                </c:pt>
                <c:pt idx="2287">
                  <c:v>195.6</c:v>
                </c:pt>
                <c:pt idx="2288">
                  <c:v>198.2</c:v>
                </c:pt>
                <c:pt idx="2289">
                  <c:v>205.5</c:v>
                </c:pt>
                <c:pt idx="2290">
                  <c:v>210.5</c:v>
                </c:pt>
                <c:pt idx="2291">
                  <c:v>211.5</c:v>
                </c:pt>
                <c:pt idx="2292">
                  <c:v>214.4</c:v>
                </c:pt>
                <c:pt idx="2293">
                  <c:v>212.7</c:v>
                </c:pt>
                <c:pt idx="2294">
                  <c:v>213</c:v>
                </c:pt>
                <c:pt idx="2295">
                  <c:v>216.3</c:v>
                </c:pt>
                <c:pt idx="2296">
                  <c:v>221.9</c:v>
                </c:pt>
                <c:pt idx="2297">
                  <c:v>223.1</c:v>
                </c:pt>
                <c:pt idx="2298">
                  <c:v>214.1</c:v>
                </c:pt>
                <c:pt idx="2299">
                  <c:v>204.2</c:v>
                </c:pt>
                <c:pt idx="2300">
                  <c:v>196.3</c:v>
                </c:pt>
                <c:pt idx="2301">
                  <c:v>188.4</c:v>
                </c:pt>
                <c:pt idx="2302">
                  <c:v>186</c:v>
                </c:pt>
                <c:pt idx="2303">
                  <c:v>192.1</c:v>
                </c:pt>
                <c:pt idx="2304">
                  <c:v>205.8</c:v>
                </c:pt>
                <c:pt idx="2305">
                  <c:v>222.3</c:v>
                </c:pt>
                <c:pt idx="2306">
                  <c:v>226.8</c:v>
                </c:pt>
                <c:pt idx="2307">
                  <c:v>219.8</c:v>
                </c:pt>
                <c:pt idx="2308">
                  <c:v>211.4</c:v>
                </c:pt>
                <c:pt idx="2309">
                  <c:v>207.9</c:v>
                </c:pt>
                <c:pt idx="2310">
                  <c:v>203.5</c:v>
                </c:pt>
                <c:pt idx="2311">
                  <c:v>191.9</c:v>
                </c:pt>
                <c:pt idx="2312">
                  <c:v>178.1</c:v>
                </c:pt>
                <c:pt idx="2313">
                  <c:v>167.1</c:v>
                </c:pt>
                <c:pt idx="2314">
                  <c:v>164</c:v>
                </c:pt>
                <c:pt idx="2315">
                  <c:v>171.6</c:v>
                </c:pt>
                <c:pt idx="2316">
                  <c:v>191.3</c:v>
                </c:pt>
                <c:pt idx="2317">
                  <c:v>211</c:v>
                </c:pt>
                <c:pt idx="2318">
                  <c:v>215.1</c:v>
                </c:pt>
                <c:pt idx="2319">
                  <c:v>208.3</c:v>
                </c:pt>
                <c:pt idx="2320">
                  <c:v>197.2</c:v>
                </c:pt>
                <c:pt idx="2321">
                  <c:v>191.4</c:v>
                </c:pt>
                <c:pt idx="2322">
                  <c:v>193.2</c:v>
                </c:pt>
                <c:pt idx="2323">
                  <c:v>202.5</c:v>
                </c:pt>
                <c:pt idx="2324">
                  <c:v>212.4</c:v>
                </c:pt>
                <c:pt idx="2325">
                  <c:v>221.8</c:v>
                </c:pt>
                <c:pt idx="2326">
                  <c:v>228.1</c:v>
                </c:pt>
                <c:pt idx="2327">
                  <c:v>226.7</c:v>
                </c:pt>
                <c:pt idx="2328">
                  <c:v>213.2</c:v>
                </c:pt>
                <c:pt idx="2329">
                  <c:v>193.2</c:v>
                </c:pt>
                <c:pt idx="2330">
                  <c:v>172.5</c:v>
                </c:pt>
                <c:pt idx="2331">
                  <c:v>155.9</c:v>
                </c:pt>
                <c:pt idx="2332">
                  <c:v>144.80000000000001</c:v>
                </c:pt>
                <c:pt idx="2333">
                  <c:v>137.5</c:v>
                </c:pt>
                <c:pt idx="2334">
                  <c:v>132.9</c:v>
                </c:pt>
                <c:pt idx="2335">
                  <c:v>130.5</c:v>
                </c:pt>
                <c:pt idx="2336">
                  <c:v>129.9</c:v>
                </c:pt>
                <c:pt idx="2337">
                  <c:v>129.9</c:v>
                </c:pt>
                <c:pt idx="2338">
                  <c:v>129.30000000000001</c:v>
                </c:pt>
                <c:pt idx="2339">
                  <c:v>128.30000000000001</c:v>
                </c:pt>
                <c:pt idx="2340">
                  <c:v>127</c:v>
                </c:pt>
                <c:pt idx="2341">
                  <c:v>85.3</c:v>
                </c:pt>
                <c:pt idx="2342">
                  <c:v>85.7</c:v>
                </c:pt>
                <c:pt idx="2343">
                  <c:v>88.7</c:v>
                </c:pt>
                <c:pt idx="2344">
                  <c:v>95.5</c:v>
                </c:pt>
                <c:pt idx="2345">
                  <c:v>104.1</c:v>
                </c:pt>
                <c:pt idx="2346">
                  <c:v>108.6</c:v>
                </c:pt>
                <c:pt idx="2347">
                  <c:v>108.3</c:v>
                </c:pt>
                <c:pt idx="2348">
                  <c:v>107</c:v>
                </c:pt>
                <c:pt idx="2349">
                  <c:v>106.5</c:v>
                </c:pt>
                <c:pt idx="2350">
                  <c:v>104.6</c:v>
                </c:pt>
                <c:pt idx="2351">
                  <c:v>100.8</c:v>
                </c:pt>
                <c:pt idx="2352">
                  <c:v>96</c:v>
                </c:pt>
                <c:pt idx="2353">
                  <c:v>91.4</c:v>
                </c:pt>
                <c:pt idx="2354">
                  <c:v>88.4</c:v>
                </c:pt>
                <c:pt idx="2355">
                  <c:v>86.6</c:v>
                </c:pt>
                <c:pt idx="2356">
                  <c:v>85.5</c:v>
                </c:pt>
                <c:pt idx="2357">
                  <c:v>84.9</c:v>
                </c:pt>
                <c:pt idx="2358">
                  <c:v>84.4</c:v>
                </c:pt>
                <c:pt idx="2359">
                  <c:v>84</c:v>
                </c:pt>
                <c:pt idx="2360">
                  <c:v>83.6</c:v>
                </c:pt>
                <c:pt idx="2361">
                  <c:v>83.4</c:v>
                </c:pt>
                <c:pt idx="2362">
                  <c:v>83.2</c:v>
                </c:pt>
                <c:pt idx="2363">
                  <c:v>83.1</c:v>
                </c:pt>
                <c:pt idx="2364">
                  <c:v>83.1</c:v>
                </c:pt>
                <c:pt idx="2365">
                  <c:v>83.1</c:v>
                </c:pt>
                <c:pt idx="2366">
                  <c:v>83.3</c:v>
                </c:pt>
                <c:pt idx="2367">
                  <c:v>83.6</c:v>
                </c:pt>
                <c:pt idx="2368">
                  <c:v>83.6</c:v>
                </c:pt>
                <c:pt idx="2369">
                  <c:v>83.5</c:v>
                </c:pt>
                <c:pt idx="2370">
                  <c:v>83.4</c:v>
                </c:pt>
                <c:pt idx="2371">
                  <c:v>60.2</c:v>
                </c:pt>
                <c:pt idx="2372">
                  <c:v>60.2</c:v>
                </c:pt>
                <c:pt idx="2373">
                  <c:v>60.1</c:v>
                </c:pt>
                <c:pt idx="2374">
                  <c:v>60.1</c:v>
                </c:pt>
                <c:pt idx="2375">
                  <c:v>60</c:v>
                </c:pt>
                <c:pt idx="2376">
                  <c:v>60</c:v>
                </c:pt>
                <c:pt idx="2377">
                  <c:v>60</c:v>
                </c:pt>
                <c:pt idx="2378">
                  <c:v>60</c:v>
                </c:pt>
                <c:pt idx="2379">
                  <c:v>60</c:v>
                </c:pt>
                <c:pt idx="2380">
                  <c:v>60</c:v>
                </c:pt>
                <c:pt idx="2381">
                  <c:v>60</c:v>
                </c:pt>
                <c:pt idx="2382">
                  <c:v>60</c:v>
                </c:pt>
                <c:pt idx="2383">
                  <c:v>60</c:v>
                </c:pt>
                <c:pt idx="2384">
                  <c:v>60</c:v>
                </c:pt>
                <c:pt idx="2385">
                  <c:v>60</c:v>
                </c:pt>
                <c:pt idx="2386">
                  <c:v>60.1</c:v>
                </c:pt>
                <c:pt idx="2387">
                  <c:v>60.5</c:v>
                </c:pt>
                <c:pt idx="2388">
                  <c:v>61.4</c:v>
                </c:pt>
                <c:pt idx="2389">
                  <c:v>62.5</c:v>
                </c:pt>
                <c:pt idx="2390">
                  <c:v>63.3</c:v>
                </c:pt>
                <c:pt idx="2391">
                  <c:v>63.4</c:v>
                </c:pt>
                <c:pt idx="2392">
                  <c:v>63.4</c:v>
                </c:pt>
                <c:pt idx="2393">
                  <c:v>63.4</c:v>
                </c:pt>
                <c:pt idx="2394">
                  <c:v>65</c:v>
                </c:pt>
                <c:pt idx="2395">
                  <c:v>69.8</c:v>
                </c:pt>
                <c:pt idx="2396">
                  <c:v>76.5</c:v>
                </c:pt>
                <c:pt idx="2397">
                  <c:v>79.7</c:v>
                </c:pt>
                <c:pt idx="2398">
                  <c:v>78.599999999999994</c:v>
                </c:pt>
                <c:pt idx="2399">
                  <c:v>74.599999999999994</c:v>
                </c:pt>
                <c:pt idx="2400">
                  <c:v>70.099999999999994</c:v>
                </c:pt>
                <c:pt idx="2401">
                  <c:v>67.900000000000006</c:v>
                </c:pt>
                <c:pt idx="2402">
                  <c:v>74.5</c:v>
                </c:pt>
                <c:pt idx="2403">
                  <c:v>79.599999999999994</c:v>
                </c:pt>
                <c:pt idx="2404">
                  <c:v>83.7</c:v>
                </c:pt>
                <c:pt idx="2405">
                  <c:v>83.4</c:v>
                </c:pt>
                <c:pt idx="2406">
                  <c:v>79.900000000000006</c:v>
                </c:pt>
                <c:pt idx="2407">
                  <c:v>75.099999999999994</c:v>
                </c:pt>
                <c:pt idx="2408">
                  <c:v>71.5</c:v>
                </c:pt>
                <c:pt idx="2409">
                  <c:v>69.3</c:v>
                </c:pt>
                <c:pt idx="2410">
                  <c:v>68</c:v>
                </c:pt>
                <c:pt idx="2411">
                  <c:v>67.5</c:v>
                </c:pt>
                <c:pt idx="2412">
                  <c:v>67.400000000000006</c:v>
                </c:pt>
                <c:pt idx="2413">
                  <c:v>67.099999999999994</c:v>
                </c:pt>
                <c:pt idx="2414">
                  <c:v>66.599999999999994</c:v>
                </c:pt>
                <c:pt idx="2415">
                  <c:v>68.599999999999994</c:v>
                </c:pt>
                <c:pt idx="2416">
                  <c:v>74.2</c:v>
                </c:pt>
                <c:pt idx="2417">
                  <c:v>80.8</c:v>
                </c:pt>
                <c:pt idx="2418">
                  <c:v>82.4</c:v>
                </c:pt>
                <c:pt idx="2419">
                  <c:v>80</c:v>
                </c:pt>
                <c:pt idx="2420">
                  <c:v>75.8</c:v>
                </c:pt>
                <c:pt idx="2421">
                  <c:v>73.7</c:v>
                </c:pt>
                <c:pt idx="2422">
                  <c:v>76.5</c:v>
                </c:pt>
                <c:pt idx="2423">
                  <c:v>83.3</c:v>
                </c:pt>
                <c:pt idx="2424">
                  <c:v>90</c:v>
                </c:pt>
                <c:pt idx="2425">
                  <c:v>93.2</c:v>
                </c:pt>
                <c:pt idx="2426">
                  <c:v>90.1</c:v>
                </c:pt>
                <c:pt idx="2427">
                  <c:v>84.1</c:v>
                </c:pt>
                <c:pt idx="2428">
                  <c:v>81.3</c:v>
                </c:pt>
                <c:pt idx="2429">
                  <c:v>84.5</c:v>
                </c:pt>
                <c:pt idx="2430">
                  <c:v>91.2</c:v>
                </c:pt>
                <c:pt idx="2431">
                  <c:v>95.4</c:v>
                </c:pt>
                <c:pt idx="2432">
                  <c:v>99.7</c:v>
                </c:pt>
                <c:pt idx="2433">
                  <c:v>130.1</c:v>
                </c:pt>
                <c:pt idx="2434">
                  <c:v>132.69999999999999</c:v>
                </c:pt>
                <c:pt idx="2435">
                  <c:v>136.6</c:v>
                </c:pt>
                <c:pt idx="2436">
                  <c:v>139.80000000000001</c:v>
                </c:pt>
                <c:pt idx="2437">
                  <c:v>138.5</c:v>
                </c:pt>
                <c:pt idx="2438">
                  <c:v>138.6</c:v>
                </c:pt>
                <c:pt idx="2439">
                  <c:v>140.30000000000001</c:v>
                </c:pt>
                <c:pt idx="2440">
                  <c:v>137.6</c:v>
                </c:pt>
                <c:pt idx="2441">
                  <c:v>136.30000000000001</c:v>
                </c:pt>
                <c:pt idx="2442">
                  <c:v>137.30000000000001</c:v>
                </c:pt>
                <c:pt idx="2443">
                  <c:v>140.6</c:v>
                </c:pt>
                <c:pt idx="2444">
                  <c:v>139.9</c:v>
                </c:pt>
                <c:pt idx="2445">
                  <c:v>133.69999999999999</c:v>
                </c:pt>
                <c:pt idx="2446">
                  <c:v>124.1</c:v>
                </c:pt>
                <c:pt idx="2447">
                  <c:v>118.5</c:v>
                </c:pt>
                <c:pt idx="2448">
                  <c:v>121.2</c:v>
                </c:pt>
                <c:pt idx="2449">
                  <c:v>128.6</c:v>
                </c:pt>
                <c:pt idx="2450">
                  <c:v>133.4</c:v>
                </c:pt>
                <c:pt idx="2451">
                  <c:v>137.6</c:v>
                </c:pt>
                <c:pt idx="2452">
                  <c:v>138.80000000000001</c:v>
                </c:pt>
                <c:pt idx="2453">
                  <c:v>135.30000000000001</c:v>
                </c:pt>
                <c:pt idx="2454">
                  <c:v>134.1</c:v>
                </c:pt>
                <c:pt idx="2455">
                  <c:v>140.9</c:v>
                </c:pt>
                <c:pt idx="2456">
                  <c:v>153.4</c:v>
                </c:pt>
                <c:pt idx="2457">
                  <c:v>163.80000000000001</c:v>
                </c:pt>
                <c:pt idx="2458">
                  <c:v>167.2</c:v>
                </c:pt>
                <c:pt idx="2459">
                  <c:v>166.6</c:v>
                </c:pt>
                <c:pt idx="2460">
                  <c:v>162.19999999999999</c:v>
                </c:pt>
                <c:pt idx="2461">
                  <c:v>161.9</c:v>
                </c:pt>
                <c:pt idx="2462">
                  <c:v>169</c:v>
                </c:pt>
                <c:pt idx="2463">
                  <c:v>193.5</c:v>
                </c:pt>
                <c:pt idx="2464">
                  <c:v>197.2</c:v>
                </c:pt>
                <c:pt idx="2465">
                  <c:v>200.2</c:v>
                </c:pt>
                <c:pt idx="2466">
                  <c:v>199.7</c:v>
                </c:pt>
                <c:pt idx="2467">
                  <c:v>206.3</c:v>
                </c:pt>
                <c:pt idx="2468">
                  <c:v>215.1</c:v>
                </c:pt>
                <c:pt idx="2469">
                  <c:v>221.2</c:v>
                </c:pt>
                <c:pt idx="2470">
                  <c:v>221.4</c:v>
                </c:pt>
                <c:pt idx="2471">
                  <c:v>219.1</c:v>
                </c:pt>
                <c:pt idx="2472">
                  <c:v>216</c:v>
                </c:pt>
                <c:pt idx="2473">
                  <c:v>204.2</c:v>
                </c:pt>
                <c:pt idx="2474">
                  <c:v>193.7</c:v>
                </c:pt>
                <c:pt idx="2475">
                  <c:v>193.4</c:v>
                </c:pt>
                <c:pt idx="2476">
                  <c:v>199.1</c:v>
                </c:pt>
                <c:pt idx="2477">
                  <c:v>198.3</c:v>
                </c:pt>
                <c:pt idx="2478">
                  <c:v>188.7</c:v>
                </c:pt>
                <c:pt idx="2479">
                  <c:v>178.3</c:v>
                </c:pt>
                <c:pt idx="2480">
                  <c:v>175.4</c:v>
                </c:pt>
                <c:pt idx="2481">
                  <c:v>181.9</c:v>
                </c:pt>
                <c:pt idx="2482">
                  <c:v>194.5</c:v>
                </c:pt>
                <c:pt idx="2483">
                  <c:v>204</c:v>
                </c:pt>
                <c:pt idx="2484">
                  <c:v>208.3</c:v>
                </c:pt>
                <c:pt idx="2485">
                  <c:v>206.6</c:v>
                </c:pt>
                <c:pt idx="2486">
                  <c:v>201.4</c:v>
                </c:pt>
                <c:pt idx="2487">
                  <c:v>196.4</c:v>
                </c:pt>
                <c:pt idx="2488">
                  <c:v>196.9</c:v>
                </c:pt>
                <c:pt idx="2489">
                  <c:v>197.6</c:v>
                </c:pt>
                <c:pt idx="2490">
                  <c:v>193.9</c:v>
                </c:pt>
                <c:pt idx="2491">
                  <c:v>194.5</c:v>
                </c:pt>
                <c:pt idx="2492">
                  <c:v>198.1</c:v>
                </c:pt>
                <c:pt idx="2493">
                  <c:v>198.3</c:v>
                </c:pt>
                <c:pt idx="2494">
                  <c:v>203.3</c:v>
                </c:pt>
                <c:pt idx="2495">
                  <c:v>195</c:v>
                </c:pt>
                <c:pt idx="2496">
                  <c:v>191.2</c:v>
                </c:pt>
                <c:pt idx="2497">
                  <c:v>196.1</c:v>
                </c:pt>
                <c:pt idx="2498">
                  <c:v>201.9</c:v>
                </c:pt>
                <c:pt idx="2499">
                  <c:v>207.3</c:v>
                </c:pt>
                <c:pt idx="2500">
                  <c:v>208.2</c:v>
                </c:pt>
                <c:pt idx="2501">
                  <c:v>206.1</c:v>
                </c:pt>
                <c:pt idx="2502">
                  <c:v>199.7</c:v>
                </c:pt>
                <c:pt idx="2503">
                  <c:v>195.7</c:v>
                </c:pt>
                <c:pt idx="2504">
                  <c:v>192.6</c:v>
                </c:pt>
                <c:pt idx="2505">
                  <c:v>184.9</c:v>
                </c:pt>
                <c:pt idx="2506">
                  <c:v>179.1</c:v>
                </c:pt>
                <c:pt idx="2507">
                  <c:v>181.2</c:v>
                </c:pt>
                <c:pt idx="2508">
                  <c:v>194.2</c:v>
                </c:pt>
                <c:pt idx="2509">
                  <c:v>210.4</c:v>
                </c:pt>
                <c:pt idx="2510">
                  <c:v>213.3</c:v>
                </c:pt>
                <c:pt idx="2511">
                  <c:v>215.4</c:v>
                </c:pt>
                <c:pt idx="2512">
                  <c:v>221.6</c:v>
                </c:pt>
                <c:pt idx="2513">
                  <c:v>225.8</c:v>
                </c:pt>
                <c:pt idx="2514">
                  <c:v>222.6</c:v>
                </c:pt>
                <c:pt idx="2515">
                  <c:v>213.8</c:v>
                </c:pt>
                <c:pt idx="2516">
                  <c:v>203.9</c:v>
                </c:pt>
                <c:pt idx="2517">
                  <c:v>204.9</c:v>
                </c:pt>
                <c:pt idx="2518">
                  <c:v>220.8</c:v>
                </c:pt>
                <c:pt idx="2519">
                  <c:v>242.3</c:v>
                </c:pt>
                <c:pt idx="2520">
                  <c:v>256.2</c:v>
                </c:pt>
                <c:pt idx="2521">
                  <c:v>261</c:v>
                </c:pt>
                <c:pt idx="2522">
                  <c:v>255.5</c:v>
                </c:pt>
                <c:pt idx="2523">
                  <c:v>241</c:v>
                </c:pt>
                <c:pt idx="2524">
                  <c:v>239.9</c:v>
                </c:pt>
                <c:pt idx="2525">
                  <c:v>232.1</c:v>
                </c:pt>
                <c:pt idx="2526">
                  <c:v>228.8</c:v>
                </c:pt>
                <c:pt idx="2527">
                  <c:v>223</c:v>
                </c:pt>
                <c:pt idx="2528">
                  <c:v>218.5</c:v>
                </c:pt>
                <c:pt idx="2529">
                  <c:v>220.2</c:v>
                </c:pt>
                <c:pt idx="2530">
                  <c:v>227.8</c:v>
                </c:pt>
                <c:pt idx="2531">
                  <c:v>237.4</c:v>
                </c:pt>
                <c:pt idx="2532">
                  <c:v>238</c:v>
                </c:pt>
                <c:pt idx="2533">
                  <c:v>233.4</c:v>
                </c:pt>
                <c:pt idx="2534">
                  <c:v>222.2</c:v>
                </c:pt>
                <c:pt idx="2535">
                  <c:v>217.3</c:v>
                </c:pt>
                <c:pt idx="2536">
                  <c:v>221.3</c:v>
                </c:pt>
                <c:pt idx="2537">
                  <c:v>228</c:v>
                </c:pt>
                <c:pt idx="2538">
                  <c:v>228.2</c:v>
                </c:pt>
                <c:pt idx="2539">
                  <c:v>229.4</c:v>
                </c:pt>
                <c:pt idx="2540">
                  <c:v>235.3</c:v>
                </c:pt>
                <c:pt idx="2541">
                  <c:v>241.9</c:v>
                </c:pt>
                <c:pt idx="2542">
                  <c:v>248.6</c:v>
                </c:pt>
                <c:pt idx="2543">
                  <c:v>240.2</c:v>
                </c:pt>
                <c:pt idx="2544">
                  <c:v>222.8</c:v>
                </c:pt>
                <c:pt idx="2545">
                  <c:v>210.9</c:v>
                </c:pt>
                <c:pt idx="2546">
                  <c:v>212.6</c:v>
                </c:pt>
                <c:pt idx="2547">
                  <c:v>223.5</c:v>
                </c:pt>
                <c:pt idx="2548">
                  <c:v>229.9</c:v>
                </c:pt>
                <c:pt idx="2549">
                  <c:v>232</c:v>
                </c:pt>
                <c:pt idx="2550">
                  <c:v>237.1</c:v>
                </c:pt>
                <c:pt idx="2551">
                  <c:v>252.2</c:v>
                </c:pt>
                <c:pt idx="2552">
                  <c:v>266.39999999999998</c:v>
                </c:pt>
                <c:pt idx="2553">
                  <c:v>275</c:v>
                </c:pt>
                <c:pt idx="2554">
                  <c:v>271.60000000000002</c:v>
                </c:pt>
                <c:pt idx="2555">
                  <c:v>256.60000000000002</c:v>
                </c:pt>
                <c:pt idx="2556">
                  <c:v>244.5</c:v>
                </c:pt>
                <c:pt idx="2557">
                  <c:v>234.3</c:v>
                </c:pt>
                <c:pt idx="2558">
                  <c:v>228.6</c:v>
                </c:pt>
                <c:pt idx="2559">
                  <c:v>224.3</c:v>
                </c:pt>
                <c:pt idx="2560">
                  <c:v>223.2</c:v>
                </c:pt>
                <c:pt idx="2561">
                  <c:v>220.2</c:v>
                </c:pt>
                <c:pt idx="2562">
                  <c:v>214.8</c:v>
                </c:pt>
                <c:pt idx="2563">
                  <c:v>214.6</c:v>
                </c:pt>
                <c:pt idx="2564">
                  <c:v>220.4</c:v>
                </c:pt>
                <c:pt idx="2565">
                  <c:v>220</c:v>
                </c:pt>
                <c:pt idx="2566">
                  <c:v>216.4</c:v>
                </c:pt>
                <c:pt idx="2567">
                  <c:v>218.8</c:v>
                </c:pt>
                <c:pt idx="2568">
                  <c:v>227.1</c:v>
                </c:pt>
                <c:pt idx="2569">
                  <c:v>231.5</c:v>
                </c:pt>
                <c:pt idx="2570">
                  <c:v>228.7</c:v>
                </c:pt>
                <c:pt idx="2571">
                  <c:v>226.1</c:v>
                </c:pt>
                <c:pt idx="2572">
                  <c:v>223.3</c:v>
                </c:pt>
                <c:pt idx="2573">
                  <c:v>221</c:v>
                </c:pt>
                <c:pt idx="2574">
                  <c:v>218.3</c:v>
                </c:pt>
                <c:pt idx="2575">
                  <c:v>215.2</c:v>
                </c:pt>
                <c:pt idx="2576">
                  <c:v>210.4</c:v>
                </c:pt>
                <c:pt idx="2577">
                  <c:v>203.8</c:v>
                </c:pt>
                <c:pt idx="2578">
                  <c:v>194.4</c:v>
                </c:pt>
                <c:pt idx="2579">
                  <c:v>191.5</c:v>
                </c:pt>
                <c:pt idx="2580">
                  <c:v>194.9</c:v>
                </c:pt>
                <c:pt idx="2581">
                  <c:v>193.8</c:v>
                </c:pt>
                <c:pt idx="2582">
                  <c:v>188</c:v>
                </c:pt>
                <c:pt idx="2583">
                  <c:v>178.9</c:v>
                </c:pt>
                <c:pt idx="2584">
                  <c:v>172.2</c:v>
                </c:pt>
                <c:pt idx="2585">
                  <c:v>176.2</c:v>
                </c:pt>
                <c:pt idx="2586">
                  <c:v>169.5</c:v>
                </c:pt>
                <c:pt idx="2587">
                  <c:v>176.9</c:v>
                </c:pt>
                <c:pt idx="2588">
                  <c:v>175.5</c:v>
                </c:pt>
                <c:pt idx="2589">
                  <c:v>167.6</c:v>
                </c:pt>
                <c:pt idx="2590">
                  <c:v>153.9</c:v>
                </c:pt>
                <c:pt idx="2591">
                  <c:v>145.9</c:v>
                </c:pt>
                <c:pt idx="2592">
                  <c:v>147.4</c:v>
                </c:pt>
                <c:pt idx="2593">
                  <c:v>154.19999999999999</c:v>
                </c:pt>
                <c:pt idx="2594">
                  <c:v>155.30000000000001</c:v>
                </c:pt>
                <c:pt idx="2595">
                  <c:v>153.30000000000001</c:v>
                </c:pt>
                <c:pt idx="2596">
                  <c:v>151.4</c:v>
                </c:pt>
                <c:pt idx="2597">
                  <c:v>154.4</c:v>
                </c:pt>
                <c:pt idx="2598">
                  <c:v>163</c:v>
                </c:pt>
                <c:pt idx="2599">
                  <c:v>168.3</c:v>
                </c:pt>
                <c:pt idx="2600">
                  <c:v>163.9</c:v>
                </c:pt>
                <c:pt idx="2601">
                  <c:v>158.1</c:v>
                </c:pt>
                <c:pt idx="2602">
                  <c:v>160.19999999999999</c:v>
                </c:pt>
                <c:pt idx="2603">
                  <c:v>170.3</c:v>
                </c:pt>
                <c:pt idx="2604">
                  <c:v>177</c:v>
                </c:pt>
                <c:pt idx="2605">
                  <c:v>178.1</c:v>
                </c:pt>
                <c:pt idx="2606">
                  <c:v>179.5</c:v>
                </c:pt>
                <c:pt idx="2607">
                  <c:v>185.9</c:v>
                </c:pt>
                <c:pt idx="2608">
                  <c:v>193.9</c:v>
                </c:pt>
                <c:pt idx="2609">
                  <c:v>196.1</c:v>
                </c:pt>
                <c:pt idx="2610">
                  <c:v>193.7</c:v>
                </c:pt>
                <c:pt idx="2611">
                  <c:v>186.5</c:v>
                </c:pt>
                <c:pt idx="2612">
                  <c:v>177.6</c:v>
                </c:pt>
                <c:pt idx="2613">
                  <c:v>169</c:v>
                </c:pt>
                <c:pt idx="2614">
                  <c:v>166.4</c:v>
                </c:pt>
                <c:pt idx="2615">
                  <c:v>185.5</c:v>
                </c:pt>
                <c:pt idx="2616">
                  <c:v>204.3</c:v>
                </c:pt>
                <c:pt idx="2617">
                  <c:v>223.4</c:v>
                </c:pt>
                <c:pt idx="2618">
                  <c:v>235.3</c:v>
                </c:pt>
                <c:pt idx="2619">
                  <c:v>240</c:v>
                </c:pt>
                <c:pt idx="2620">
                  <c:v>245.1</c:v>
                </c:pt>
                <c:pt idx="2621">
                  <c:v>260.7</c:v>
                </c:pt>
                <c:pt idx="2622">
                  <c:v>282.7</c:v>
                </c:pt>
                <c:pt idx="2623">
                  <c:v>287.39999999999998</c:v>
                </c:pt>
                <c:pt idx="2624">
                  <c:v>274.60000000000002</c:v>
                </c:pt>
                <c:pt idx="2625">
                  <c:v>256.2</c:v>
                </c:pt>
                <c:pt idx="2626">
                  <c:v>240.5</c:v>
                </c:pt>
                <c:pt idx="2627">
                  <c:v>235.1</c:v>
                </c:pt>
                <c:pt idx="2628">
                  <c:v>238.1</c:v>
                </c:pt>
                <c:pt idx="2629">
                  <c:v>242.9</c:v>
                </c:pt>
                <c:pt idx="2630">
                  <c:v>245.6</c:v>
                </c:pt>
                <c:pt idx="2631">
                  <c:v>240.4</c:v>
                </c:pt>
                <c:pt idx="2632">
                  <c:v>231.5</c:v>
                </c:pt>
                <c:pt idx="2633">
                  <c:v>219.9</c:v>
                </c:pt>
                <c:pt idx="2634">
                  <c:v>217.4</c:v>
                </c:pt>
                <c:pt idx="2635">
                  <c:v>221.2</c:v>
                </c:pt>
                <c:pt idx="2636">
                  <c:v>221.3</c:v>
                </c:pt>
                <c:pt idx="2637">
                  <c:v>215.5</c:v>
                </c:pt>
                <c:pt idx="2638">
                  <c:v>207.7</c:v>
                </c:pt>
                <c:pt idx="2639">
                  <c:v>205.2</c:v>
                </c:pt>
                <c:pt idx="2640">
                  <c:v>209.9</c:v>
                </c:pt>
                <c:pt idx="2641">
                  <c:v>213.8</c:v>
                </c:pt>
                <c:pt idx="2642">
                  <c:v>208.7</c:v>
                </c:pt>
                <c:pt idx="2643">
                  <c:v>200.8</c:v>
                </c:pt>
                <c:pt idx="2644">
                  <c:v>205.7</c:v>
                </c:pt>
                <c:pt idx="2645">
                  <c:v>227.8</c:v>
                </c:pt>
                <c:pt idx="2646">
                  <c:v>263.10000000000002</c:v>
                </c:pt>
                <c:pt idx="2647">
                  <c:v>270.89999999999998</c:v>
                </c:pt>
                <c:pt idx="2648">
                  <c:v>256</c:v>
                </c:pt>
                <c:pt idx="2649">
                  <c:v>232</c:v>
                </c:pt>
                <c:pt idx="2650">
                  <c:v>211.3</c:v>
                </c:pt>
                <c:pt idx="2651">
                  <c:v>208.3</c:v>
                </c:pt>
                <c:pt idx="2652">
                  <c:v>222.4</c:v>
                </c:pt>
                <c:pt idx="2653">
                  <c:v>236.3</c:v>
                </c:pt>
                <c:pt idx="2654">
                  <c:v>235</c:v>
                </c:pt>
                <c:pt idx="2655">
                  <c:v>218.4</c:v>
                </c:pt>
                <c:pt idx="2656">
                  <c:v>198.6</c:v>
                </c:pt>
                <c:pt idx="2657">
                  <c:v>186.3</c:v>
                </c:pt>
                <c:pt idx="2658">
                  <c:v>182.1</c:v>
                </c:pt>
                <c:pt idx="2659">
                  <c:v>180.8</c:v>
                </c:pt>
                <c:pt idx="2660">
                  <c:v>181.2</c:v>
                </c:pt>
                <c:pt idx="2661">
                  <c:v>194</c:v>
                </c:pt>
                <c:pt idx="2662">
                  <c:v>220.4</c:v>
                </c:pt>
                <c:pt idx="2663">
                  <c:v>250.9</c:v>
                </c:pt>
                <c:pt idx="2664">
                  <c:v>264.5</c:v>
                </c:pt>
                <c:pt idx="2665">
                  <c:v>259.2</c:v>
                </c:pt>
                <c:pt idx="2666">
                  <c:v>238.5</c:v>
                </c:pt>
                <c:pt idx="2667">
                  <c:v>226.5</c:v>
                </c:pt>
                <c:pt idx="2668">
                  <c:v>234.2</c:v>
                </c:pt>
                <c:pt idx="2669">
                  <c:v>246</c:v>
                </c:pt>
                <c:pt idx="2670">
                  <c:v>249</c:v>
                </c:pt>
                <c:pt idx="2671">
                  <c:v>244.9</c:v>
                </c:pt>
                <c:pt idx="2672">
                  <c:v>237.3</c:v>
                </c:pt>
                <c:pt idx="2673">
                  <c:v>224.5</c:v>
                </c:pt>
                <c:pt idx="2674">
                  <c:v>211.3</c:v>
                </c:pt>
                <c:pt idx="2675">
                  <c:v>199.7</c:v>
                </c:pt>
                <c:pt idx="2676">
                  <c:v>195.1</c:v>
                </c:pt>
                <c:pt idx="2677">
                  <c:v>196.6</c:v>
                </c:pt>
                <c:pt idx="2678">
                  <c:v>202.3</c:v>
                </c:pt>
                <c:pt idx="2679">
                  <c:v>215.6</c:v>
                </c:pt>
                <c:pt idx="2680">
                  <c:v>238.1</c:v>
                </c:pt>
                <c:pt idx="2681">
                  <c:v>257.10000000000002</c:v>
                </c:pt>
                <c:pt idx="2682">
                  <c:v>255.5</c:v>
                </c:pt>
                <c:pt idx="2683">
                  <c:v>237.5</c:v>
                </c:pt>
                <c:pt idx="2684">
                  <c:v>211.6</c:v>
                </c:pt>
                <c:pt idx="2685">
                  <c:v>188.1</c:v>
                </c:pt>
                <c:pt idx="2686">
                  <c:v>169.7</c:v>
                </c:pt>
                <c:pt idx="2687">
                  <c:v>155.69999999999999</c:v>
                </c:pt>
                <c:pt idx="2688">
                  <c:v>145.19999999999999</c:v>
                </c:pt>
                <c:pt idx="2689">
                  <c:v>138.5</c:v>
                </c:pt>
                <c:pt idx="2690">
                  <c:v>136.9</c:v>
                </c:pt>
                <c:pt idx="2691">
                  <c:v>138.6</c:v>
                </c:pt>
                <c:pt idx="2692">
                  <c:v>140</c:v>
                </c:pt>
                <c:pt idx="2693">
                  <c:v>138.5</c:v>
                </c:pt>
                <c:pt idx="2694">
                  <c:v>135.19999999999999</c:v>
                </c:pt>
                <c:pt idx="2695">
                  <c:v>131.5</c:v>
                </c:pt>
                <c:pt idx="2696">
                  <c:v>128.69999999999999</c:v>
                </c:pt>
                <c:pt idx="2697">
                  <c:v>127</c:v>
                </c:pt>
                <c:pt idx="2698">
                  <c:v>125.9</c:v>
                </c:pt>
                <c:pt idx="2699">
                  <c:v>125.2</c:v>
                </c:pt>
                <c:pt idx="2700">
                  <c:v>124.8</c:v>
                </c:pt>
                <c:pt idx="2701">
                  <c:v>124.5</c:v>
                </c:pt>
                <c:pt idx="2702">
                  <c:v>124.3</c:v>
                </c:pt>
                <c:pt idx="2703">
                  <c:v>124.2</c:v>
                </c:pt>
                <c:pt idx="2704">
                  <c:v>124.5</c:v>
                </c:pt>
                <c:pt idx="2705">
                  <c:v>125.3</c:v>
                </c:pt>
                <c:pt idx="2706">
                  <c:v>126.3</c:v>
                </c:pt>
                <c:pt idx="2707">
                  <c:v>85.8</c:v>
                </c:pt>
                <c:pt idx="2708">
                  <c:v>85.7</c:v>
                </c:pt>
                <c:pt idx="2709">
                  <c:v>85.1</c:v>
                </c:pt>
                <c:pt idx="2710">
                  <c:v>84.4</c:v>
                </c:pt>
                <c:pt idx="2711">
                  <c:v>83.9</c:v>
                </c:pt>
                <c:pt idx="2712">
                  <c:v>83.6</c:v>
                </c:pt>
                <c:pt idx="2713">
                  <c:v>83.4</c:v>
                </c:pt>
                <c:pt idx="2714">
                  <c:v>83.3</c:v>
                </c:pt>
                <c:pt idx="2715">
                  <c:v>83.2</c:v>
                </c:pt>
                <c:pt idx="2716">
                  <c:v>83.1</c:v>
                </c:pt>
                <c:pt idx="2717">
                  <c:v>83.1</c:v>
                </c:pt>
                <c:pt idx="2718">
                  <c:v>83</c:v>
                </c:pt>
                <c:pt idx="2719">
                  <c:v>83</c:v>
                </c:pt>
                <c:pt idx="2720">
                  <c:v>83</c:v>
                </c:pt>
                <c:pt idx="2721">
                  <c:v>83</c:v>
                </c:pt>
                <c:pt idx="2722">
                  <c:v>83</c:v>
                </c:pt>
                <c:pt idx="2723">
                  <c:v>83.5</c:v>
                </c:pt>
                <c:pt idx="2724">
                  <c:v>84.7</c:v>
                </c:pt>
                <c:pt idx="2725">
                  <c:v>86</c:v>
                </c:pt>
                <c:pt idx="2726">
                  <c:v>86.4</c:v>
                </c:pt>
                <c:pt idx="2727">
                  <c:v>87.3</c:v>
                </c:pt>
                <c:pt idx="2728">
                  <c:v>89.4</c:v>
                </c:pt>
                <c:pt idx="2729">
                  <c:v>91.9</c:v>
                </c:pt>
                <c:pt idx="2730">
                  <c:v>92.2</c:v>
                </c:pt>
                <c:pt idx="2731">
                  <c:v>90.7</c:v>
                </c:pt>
                <c:pt idx="2732">
                  <c:v>88.3</c:v>
                </c:pt>
                <c:pt idx="2733">
                  <c:v>86.8</c:v>
                </c:pt>
                <c:pt idx="2734">
                  <c:v>87.1</c:v>
                </c:pt>
                <c:pt idx="2735">
                  <c:v>88.2</c:v>
                </c:pt>
                <c:pt idx="2736">
                  <c:v>88.6</c:v>
                </c:pt>
                <c:pt idx="2737">
                  <c:v>64.900000000000006</c:v>
                </c:pt>
                <c:pt idx="2738">
                  <c:v>63.6</c:v>
                </c:pt>
                <c:pt idx="2739">
                  <c:v>62.4</c:v>
                </c:pt>
                <c:pt idx="2740">
                  <c:v>61.7</c:v>
                </c:pt>
                <c:pt idx="2741">
                  <c:v>61.2</c:v>
                </c:pt>
                <c:pt idx="2742">
                  <c:v>60.8</c:v>
                </c:pt>
                <c:pt idx="2743">
                  <c:v>60.5</c:v>
                </c:pt>
                <c:pt idx="2744">
                  <c:v>60.3</c:v>
                </c:pt>
                <c:pt idx="2745">
                  <c:v>60.2</c:v>
                </c:pt>
                <c:pt idx="2746">
                  <c:v>60.1</c:v>
                </c:pt>
                <c:pt idx="2747">
                  <c:v>60.1</c:v>
                </c:pt>
                <c:pt idx="2748">
                  <c:v>60.2</c:v>
                </c:pt>
                <c:pt idx="2749">
                  <c:v>60.2</c:v>
                </c:pt>
                <c:pt idx="2750">
                  <c:v>60.2</c:v>
                </c:pt>
                <c:pt idx="2751">
                  <c:v>60.2</c:v>
                </c:pt>
                <c:pt idx="2752">
                  <c:v>60.1</c:v>
                </c:pt>
                <c:pt idx="2753">
                  <c:v>60.1</c:v>
                </c:pt>
                <c:pt idx="2754">
                  <c:v>60</c:v>
                </c:pt>
                <c:pt idx="2755">
                  <c:v>60</c:v>
                </c:pt>
                <c:pt idx="2756">
                  <c:v>60</c:v>
                </c:pt>
                <c:pt idx="2757">
                  <c:v>60.1</c:v>
                </c:pt>
                <c:pt idx="2758">
                  <c:v>60.3</c:v>
                </c:pt>
                <c:pt idx="2759">
                  <c:v>60.5</c:v>
                </c:pt>
                <c:pt idx="2760">
                  <c:v>61.2</c:v>
                </c:pt>
                <c:pt idx="2761">
                  <c:v>64.2</c:v>
                </c:pt>
                <c:pt idx="2762">
                  <c:v>69.2</c:v>
                </c:pt>
                <c:pt idx="2763">
                  <c:v>73.3</c:v>
                </c:pt>
                <c:pt idx="2764">
                  <c:v>75.599999999999994</c:v>
                </c:pt>
                <c:pt idx="2765">
                  <c:v>77.8</c:v>
                </c:pt>
                <c:pt idx="2766">
                  <c:v>79.599999999999994</c:v>
                </c:pt>
                <c:pt idx="2767">
                  <c:v>78.099999999999994</c:v>
                </c:pt>
                <c:pt idx="2768">
                  <c:v>79.599999999999994</c:v>
                </c:pt>
                <c:pt idx="2769">
                  <c:v>75.2</c:v>
                </c:pt>
                <c:pt idx="2770">
                  <c:v>71.400000000000006</c:v>
                </c:pt>
                <c:pt idx="2771">
                  <c:v>69.2</c:v>
                </c:pt>
                <c:pt idx="2772">
                  <c:v>67.8</c:v>
                </c:pt>
                <c:pt idx="2773">
                  <c:v>66.8</c:v>
                </c:pt>
                <c:pt idx="2774">
                  <c:v>66.3</c:v>
                </c:pt>
                <c:pt idx="2775">
                  <c:v>66.2</c:v>
                </c:pt>
                <c:pt idx="2776">
                  <c:v>66.599999999999994</c:v>
                </c:pt>
                <c:pt idx="2777">
                  <c:v>68.900000000000006</c:v>
                </c:pt>
                <c:pt idx="2778">
                  <c:v>73</c:v>
                </c:pt>
                <c:pt idx="2779">
                  <c:v>77</c:v>
                </c:pt>
                <c:pt idx="2780">
                  <c:v>80.400000000000006</c:v>
                </c:pt>
                <c:pt idx="2781">
                  <c:v>86.8</c:v>
                </c:pt>
                <c:pt idx="2782">
                  <c:v>95.2</c:v>
                </c:pt>
                <c:pt idx="2783">
                  <c:v>98.5</c:v>
                </c:pt>
                <c:pt idx="2784">
                  <c:v>97.3</c:v>
                </c:pt>
                <c:pt idx="2785">
                  <c:v>94.4</c:v>
                </c:pt>
                <c:pt idx="2786">
                  <c:v>92.4</c:v>
                </c:pt>
                <c:pt idx="2787">
                  <c:v>92.5</c:v>
                </c:pt>
                <c:pt idx="2788">
                  <c:v>96.1</c:v>
                </c:pt>
                <c:pt idx="2789">
                  <c:v>102</c:v>
                </c:pt>
                <c:pt idx="2790">
                  <c:v>109.6</c:v>
                </c:pt>
                <c:pt idx="2791">
                  <c:v>117.7</c:v>
                </c:pt>
                <c:pt idx="2792">
                  <c:v>123.4</c:v>
                </c:pt>
                <c:pt idx="2793">
                  <c:v>121.7</c:v>
                </c:pt>
                <c:pt idx="2794">
                  <c:v>115.9</c:v>
                </c:pt>
                <c:pt idx="2795">
                  <c:v>105.3</c:v>
                </c:pt>
                <c:pt idx="2796">
                  <c:v>95.1</c:v>
                </c:pt>
                <c:pt idx="2797">
                  <c:v>87.4</c:v>
                </c:pt>
                <c:pt idx="2798">
                  <c:v>81.400000000000006</c:v>
                </c:pt>
                <c:pt idx="2799">
                  <c:v>105.8</c:v>
                </c:pt>
                <c:pt idx="2800">
                  <c:v>106.3</c:v>
                </c:pt>
                <c:pt idx="2801">
                  <c:v>108.6</c:v>
                </c:pt>
                <c:pt idx="2802">
                  <c:v>111.6</c:v>
                </c:pt>
                <c:pt idx="2803">
                  <c:v>117.8</c:v>
                </c:pt>
                <c:pt idx="2804">
                  <c:v>124.8</c:v>
                </c:pt>
                <c:pt idx="2805">
                  <c:v>128.4</c:v>
                </c:pt>
                <c:pt idx="2806">
                  <c:v>127.4</c:v>
                </c:pt>
                <c:pt idx="2807">
                  <c:v>127.6</c:v>
                </c:pt>
                <c:pt idx="2808">
                  <c:v>130.80000000000001</c:v>
                </c:pt>
                <c:pt idx="2809">
                  <c:v>135.69999999999999</c:v>
                </c:pt>
                <c:pt idx="2810">
                  <c:v>133.9</c:v>
                </c:pt>
                <c:pt idx="2811">
                  <c:v>131.69999999999999</c:v>
                </c:pt>
                <c:pt idx="2812">
                  <c:v>133.4</c:v>
                </c:pt>
                <c:pt idx="2813">
                  <c:v>136.1</c:v>
                </c:pt>
                <c:pt idx="2814">
                  <c:v>134</c:v>
                </c:pt>
                <c:pt idx="2815">
                  <c:v>130.80000000000001</c:v>
                </c:pt>
                <c:pt idx="2816">
                  <c:v>133.9</c:v>
                </c:pt>
                <c:pt idx="2817">
                  <c:v>143.19999999999999</c:v>
                </c:pt>
                <c:pt idx="2818">
                  <c:v>150.4</c:v>
                </c:pt>
                <c:pt idx="2819">
                  <c:v>152.80000000000001</c:v>
                </c:pt>
                <c:pt idx="2820">
                  <c:v>151.19999999999999</c:v>
                </c:pt>
                <c:pt idx="2821">
                  <c:v>144.1</c:v>
                </c:pt>
                <c:pt idx="2822">
                  <c:v>139.6</c:v>
                </c:pt>
                <c:pt idx="2823">
                  <c:v>137.5</c:v>
                </c:pt>
                <c:pt idx="2824">
                  <c:v>136.5</c:v>
                </c:pt>
                <c:pt idx="2825">
                  <c:v>136.9</c:v>
                </c:pt>
                <c:pt idx="2826">
                  <c:v>136.80000000000001</c:v>
                </c:pt>
                <c:pt idx="2827">
                  <c:v>136.19999999999999</c:v>
                </c:pt>
                <c:pt idx="2828">
                  <c:v>143.6</c:v>
                </c:pt>
                <c:pt idx="2829">
                  <c:v>173.6</c:v>
                </c:pt>
                <c:pt idx="2830">
                  <c:v>180.5</c:v>
                </c:pt>
                <c:pt idx="2831">
                  <c:v>182.3</c:v>
                </c:pt>
                <c:pt idx="2832">
                  <c:v>185.1</c:v>
                </c:pt>
                <c:pt idx="2833">
                  <c:v>188.3</c:v>
                </c:pt>
                <c:pt idx="2834">
                  <c:v>185.7</c:v>
                </c:pt>
                <c:pt idx="2835">
                  <c:v>183.5</c:v>
                </c:pt>
                <c:pt idx="2836">
                  <c:v>187.6</c:v>
                </c:pt>
                <c:pt idx="2837">
                  <c:v>197.6</c:v>
                </c:pt>
                <c:pt idx="2838">
                  <c:v>211.5</c:v>
                </c:pt>
                <c:pt idx="2839">
                  <c:v>215.6</c:v>
                </c:pt>
                <c:pt idx="2840">
                  <c:v>212</c:v>
                </c:pt>
                <c:pt idx="2841">
                  <c:v>208.6</c:v>
                </c:pt>
                <c:pt idx="2842">
                  <c:v>205.6</c:v>
                </c:pt>
                <c:pt idx="2843">
                  <c:v>207.3</c:v>
                </c:pt>
                <c:pt idx="2844">
                  <c:v>208.1</c:v>
                </c:pt>
                <c:pt idx="2845">
                  <c:v>205.8</c:v>
                </c:pt>
                <c:pt idx="2846">
                  <c:v>208.9</c:v>
                </c:pt>
                <c:pt idx="2847">
                  <c:v>216.2</c:v>
                </c:pt>
                <c:pt idx="2848">
                  <c:v>216.4</c:v>
                </c:pt>
                <c:pt idx="2849">
                  <c:v>207.4</c:v>
                </c:pt>
                <c:pt idx="2850">
                  <c:v>188.7</c:v>
                </c:pt>
                <c:pt idx="2851">
                  <c:v>167.5</c:v>
                </c:pt>
                <c:pt idx="2852">
                  <c:v>156.1</c:v>
                </c:pt>
                <c:pt idx="2853">
                  <c:v>158</c:v>
                </c:pt>
                <c:pt idx="2854">
                  <c:v>171.4</c:v>
                </c:pt>
                <c:pt idx="2855">
                  <c:v>184.1</c:v>
                </c:pt>
                <c:pt idx="2856">
                  <c:v>193.7</c:v>
                </c:pt>
                <c:pt idx="2857">
                  <c:v>190.3</c:v>
                </c:pt>
                <c:pt idx="2858">
                  <c:v>179.3</c:v>
                </c:pt>
                <c:pt idx="2859">
                  <c:v>170.7</c:v>
                </c:pt>
                <c:pt idx="2860">
                  <c:v>186.8</c:v>
                </c:pt>
                <c:pt idx="2861">
                  <c:v>204.8</c:v>
                </c:pt>
                <c:pt idx="2862">
                  <c:v>220.8</c:v>
                </c:pt>
                <c:pt idx="2863">
                  <c:v>217.2</c:v>
                </c:pt>
                <c:pt idx="2864">
                  <c:v>209.6</c:v>
                </c:pt>
                <c:pt idx="2865">
                  <c:v>207.3</c:v>
                </c:pt>
                <c:pt idx="2866">
                  <c:v>210.5</c:v>
                </c:pt>
                <c:pt idx="2867">
                  <c:v>212.3</c:v>
                </c:pt>
                <c:pt idx="2868">
                  <c:v>211.1</c:v>
                </c:pt>
                <c:pt idx="2869">
                  <c:v>204.5</c:v>
                </c:pt>
                <c:pt idx="2870">
                  <c:v>198.2</c:v>
                </c:pt>
                <c:pt idx="2871">
                  <c:v>191.3</c:v>
                </c:pt>
                <c:pt idx="2872">
                  <c:v>185.5</c:v>
                </c:pt>
                <c:pt idx="2873">
                  <c:v>190.2</c:v>
                </c:pt>
                <c:pt idx="2874">
                  <c:v>207.9</c:v>
                </c:pt>
                <c:pt idx="2875">
                  <c:v>234.9</c:v>
                </c:pt>
                <c:pt idx="2876">
                  <c:v>250.8</c:v>
                </c:pt>
                <c:pt idx="2877">
                  <c:v>244.2</c:v>
                </c:pt>
                <c:pt idx="2878">
                  <c:v>226.1</c:v>
                </c:pt>
                <c:pt idx="2879">
                  <c:v>218</c:v>
                </c:pt>
                <c:pt idx="2880">
                  <c:v>232.1</c:v>
                </c:pt>
                <c:pt idx="2881">
                  <c:v>253.1</c:v>
                </c:pt>
                <c:pt idx="2882">
                  <c:v>259.8</c:v>
                </c:pt>
                <c:pt idx="2883">
                  <c:v>248.7</c:v>
                </c:pt>
                <c:pt idx="2884">
                  <c:v>232.1</c:v>
                </c:pt>
                <c:pt idx="2885">
                  <c:v>221</c:v>
                </c:pt>
                <c:pt idx="2886">
                  <c:v>215.7</c:v>
                </c:pt>
                <c:pt idx="2887">
                  <c:v>217.3</c:v>
                </c:pt>
                <c:pt idx="2888">
                  <c:v>223.7</c:v>
                </c:pt>
                <c:pt idx="2889">
                  <c:v>233.5</c:v>
                </c:pt>
                <c:pt idx="2890">
                  <c:v>253.8</c:v>
                </c:pt>
                <c:pt idx="2891">
                  <c:v>256.5</c:v>
                </c:pt>
                <c:pt idx="2892">
                  <c:v>246.1</c:v>
                </c:pt>
                <c:pt idx="2893">
                  <c:v>236</c:v>
                </c:pt>
                <c:pt idx="2894">
                  <c:v>231.3</c:v>
                </c:pt>
                <c:pt idx="2895">
                  <c:v>230.7</c:v>
                </c:pt>
                <c:pt idx="2896">
                  <c:v>223.6</c:v>
                </c:pt>
                <c:pt idx="2897">
                  <c:v>219.1</c:v>
                </c:pt>
                <c:pt idx="2898">
                  <c:v>221.3</c:v>
                </c:pt>
                <c:pt idx="2899">
                  <c:v>220.3</c:v>
                </c:pt>
                <c:pt idx="2900">
                  <c:v>213.9</c:v>
                </c:pt>
                <c:pt idx="2901">
                  <c:v>214</c:v>
                </c:pt>
                <c:pt idx="2902">
                  <c:v>225.3</c:v>
                </c:pt>
                <c:pt idx="2903">
                  <c:v>235.9</c:v>
                </c:pt>
                <c:pt idx="2904">
                  <c:v>233.4</c:v>
                </c:pt>
                <c:pt idx="2905">
                  <c:v>222.2</c:v>
                </c:pt>
                <c:pt idx="2906">
                  <c:v>213</c:v>
                </c:pt>
                <c:pt idx="2907">
                  <c:v>210.7</c:v>
                </c:pt>
                <c:pt idx="2908">
                  <c:v>216.9</c:v>
                </c:pt>
                <c:pt idx="2909">
                  <c:v>225.7</c:v>
                </c:pt>
                <c:pt idx="2910">
                  <c:v>239.2</c:v>
                </c:pt>
                <c:pt idx="2911">
                  <c:v>247.9</c:v>
                </c:pt>
                <c:pt idx="2912">
                  <c:v>255.7</c:v>
                </c:pt>
                <c:pt idx="2913">
                  <c:v>260.39999999999998</c:v>
                </c:pt>
                <c:pt idx="2914">
                  <c:v>265.10000000000002</c:v>
                </c:pt>
                <c:pt idx="2915">
                  <c:v>270.10000000000002</c:v>
                </c:pt>
                <c:pt idx="2916">
                  <c:v>276.60000000000002</c:v>
                </c:pt>
                <c:pt idx="2917">
                  <c:v>281.5</c:v>
                </c:pt>
                <c:pt idx="2918">
                  <c:v>275.60000000000002</c:v>
                </c:pt>
                <c:pt idx="2919">
                  <c:v>266.5</c:v>
                </c:pt>
                <c:pt idx="2920">
                  <c:v>255.3</c:v>
                </c:pt>
                <c:pt idx="2921">
                  <c:v>236.6</c:v>
                </c:pt>
                <c:pt idx="2922">
                  <c:v>216.2</c:v>
                </c:pt>
                <c:pt idx="2923">
                  <c:v>199.8</c:v>
                </c:pt>
                <c:pt idx="2924">
                  <c:v>198</c:v>
                </c:pt>
                <c:pt idx="2925">
                  <c:v>211.4</c:v>
                </c:pt>
                <c:pt idx="2926">
                  <c:v>227.2</c:v>
                </c:pt>
                <c:pt idx="2927">
                  <c:v>233.5</c:v>
                </c:pt>
                <c:pt idx="2928">
                  <c:v>227.4</c:v>
                </c:pt>
                <c:pt idx="2929">
                  <c:v>209.3</c:v>
                </c:pt>
                <c:pt idx="2930">
                  <c:v>190.7</c:v>
                </c:pt>
                <c:pt idx="2931">
                  <c:v>179.2</c:v>
                </c:pt>
                <c:pt idx="2932">
                  <c:v>177.9</c:v>
                </c:pt>
                <c:pt idx="2933">
                  <c:v>183.8</c:v>
                </c:pt>
                <c:pt idx="2934">
                  <c:v>185.1</c:v>
                </c:pt>
                <c:pt idx="2935">
                  <c:v>179.3</c:v>
                </c:pt>
                <c:pt idx="2936">
                  <c:v>175</c:v>
                </c:pt>
                <c:pt idx="2937">
                  <c:v>178.1</c:v>
                </c:pt>
                <c:pt idx="2938">
                  <c:v>187.4</c:v>
                </c:pt>
                <c:pt idx="2939">
                  <c:v>198.1</c:v>
                </c:pt>
                <c:pt idx="2940">
                  <c:v>207</c:v>
                </c:pt>
                <c:pt idx="2941">
                  <c:v>212.8</c:v>
                </c:pt>
                <c:pt idx="2942">
                  <c:v>216.5</c:v>
                </c:pt>
                <c:pt idx="2943">
                  <c:v>222.4</c:v>
                </c:pt>
                <c:pt idx="2944">
                  <c:v>223.2</c:v>
                </c:pt>
                <c:pt idx="2945">
                  <c:v>221.2</c:v>
                </c:pt>
                <c:pt idx="2946">
                  <c:v>216.9</c:v>
                </c:pt>
                <c:pt idx="2947">
                  <c:v>215.1</c:v>
                </c:pt>
                <c:pt idx="2948">
                  <c:v>213.2</c:v>
                </c:pt>
                <c:pt idx="2949">
                  <c:v>212.9</c:v>
                </c:pt>
                <c:pt idx="2950">
                  <c:v>214.5</c:v>
                </c:pt>
                <c:pt idx="2951">
                  <c:v>212.6</c:v>
                </c:pt>
                <c:pt idx="2952">
                  <c:v>190.1</c:v>
                </c:pt>
                <c:pt idx="2953">
                  <c:v>188.8</c:v>
                </c:pt>
                <c:pt idx="2954">
                  <c:v>186.4</c:v>
                </c:pt>
                <c:pt idx="2955">
                  <c:v>177</c:v>
                </c:pt>
                <c:pt idx="2956">
                  <c:v>167.1</c:v>
                </c:pt>
                <c:pt idx="2957">
                  <c:v>158.1</c:v>
                </c:pt>
                <c:pt idx="2958">
                  <c:v>152.80000000000001</c:v>
                </c:pt>
                <c:pt idx="2959">
                  <c:v>154</c:v>
                </c:pt>
                <c:pt idx="2960">
                  <c:v>161.30000000000001</c:v>
                </c:pt>
                <c:pt idx="2961">
                  <c:v>168.7</c:v>
                </c:pt>
                <c:pt idx="2962">
                  <c:v>178</c:v>
                </c:pt>
                <c:pt idx="2963">
                  <c:v>179.9</c:v>
                </c:pt>
                <c:pt idx="2964">
                  <c:v>176.5</c:v>
                </c:pt>
                <c:pt idx="2965">
                  <c:v>176.4</c:v>
                </c:pt>
                <c:pt idx="2966">
                  <c:v>192.3</c:v>
                </c:pt>
                <c:pt idx="2967">
                  <c:v>220.9</c:v>
                </c:pt>
                <c:pt idx="2968">
                  <c:v>237.1</c:v>
                </c:pt>
                <c:pt idx="2969">
                  <c:v>231.2</c:v>
                </c:pt>
                <c:pt idx="2970">
                  <c:v>218.5</c:v>
                </c:pt>
                <c:pt idx="2971">
                  <c:v>213.1</c:v>
                </c:pt>
                <c:pt idx="2972">
                  <c:v>217.9</c:v>
                </c:pt>
                <c:pt idx="2973">
                  <c:v>218.6</c:v>
                </c:pt>
                <c:pt idx="2974">
                  <c:v>214.2</c:v>
                </c:pt>
                <c:pt idx="2975">
                  <c:v>203.6</c:v>
                </c:pt>
                <c:pt idx="2976">
                  <c:v>190.7</c:v>
                </c:pt>
                <c:pt idx="2977">
                  <c:v>180.8</c:v>
                </c:pt>
                <c:pt idx="2978">
                  <c:v>171.8</c:v>
                </c:pt>
                <c:pt idx="2979">
                  <c:v>168.8</c:v>
                </c:pt>
                <c:pt idx="2980">
                  <c:v>176.7</c:v>
                </c:pt>
                <c:pt idx="2981">
                  <c:v>176.6</c:v>
                </c:pt>
                <c:pt idx="2982">
                  <c:v>178.9</c:v>
                </c:pt>
                <c:pt idx="2983">
                  <c:v>187.7</c:v>
                </c:pt>
                <c:pt idx="2984">
                  <c:v>197.2</c:v>
                </c:pt>
                <c:pt idx="2985">
                  <c:v>199.7</c:v>
                </c:pt>
                <c:pt idx="2986">
                  <c:v>201.9</c:v>
                </c:pt>
                <c:pt idx="2987">
                  <c:v>199.4</c:v>
                </c:pt>
                <c:pt idx="2988">
                  <c:v>188.7</c:v>
                </c:pt>
                <c:pt idx="2989">
                  <c:v>181.2</c:v>
                </c:pt>
                <c:pt idx="2990">
                  <c:v>183</c:v>
                </c:pt>
                <c:pt idx="2991">
                  <c:v>199.1</c:v>
                </c:pt>
                <c:pt idx="2992">
                  <c:v>224.3</c:v>
                </c:pt>
                <c:pt idx="2993">
                  <c:v>244.4</c:v>
                </c:pt>
                <c:pt idx="2994">
                  <c:v>247.2</c:v>
                </c:pt>
                <c:pt idx="2995">
                  <c:v>233.9</c:v>
                </c:pt>
                <c:pt idx="2996">
                  <c:v>213.1</c:v>
                </c:pt>
                <c:pt idx="2997">
                  <c:v>205</c:v>
                </c:pt>
                <c:pt idx="2998">
                  <c:v>216.1</c:v>
                </c:pt>
                <c:pt idx="2999">
                  <c:v>232.1</c:v>
                </c:pt>
                <c:pt idx="3000">
                  <c:v>240.8</c:v>
                </c:pt>
                <c:pt idx="3001">
                  <c:v>244.1</c:v>
                </c:pt>
                <c:pt idx="3002">
                  <c:v>242</c:v>
                </c:pt>
                <c:pt idx="3003">
                  <c:v>233.4</c:v>
                </c:pt>
                <c:pt idx="3004">
                  <c:v>221.1</c:v>
                </c:pt>
                <c:pt idx="3005">
                  <c:v>210.7</c:v>
                </c:pt>
                <c:pt idx="3006">
                  <c:v>203.9</c:v>
                </c:pt>
                <c:pt idx="3007">
                  <c:v>201.9</c:v>
                </c:pt>
                <c:pt idx="3008">
                  <c:v>210.2</c:v>
                </c:pt>
                <c:pt idx="3009">
                  <c:v>218.7</c:v>
                </c:pt>
                <c:pt idx="3010">
                  <c:v>211.7</c:v>
                </c:pt>
                <c:pt idx="3011">
                  <c:v>204.1</c:v>
                </c:pt>
                <c:pt idx="3012">
                  <c:v>189.7</c:v>
                </c:pt>
                <c:pt idx="3013">
                  <c:v>183.7</c:v>
                </c:pt>
                <c:pt idx="3014">
                  <c:v>181.4</c:v>
                </c:pt>
                <c:pt idx="3015">
                  <c:v>173.4</c:v>
                </c:pt>
                <c:pt idx="3016">
                  <c:v>163.6</c:v>
                </c:pt>
                <c:pt idx="3017">
                  <c:v>161.5</c:v>
                </c:pt>
                <c:pt idx="3018">
                  <c:v>174.5</c:v>
                </c:pt>
                <c:pt idx="3019">
                  <c:v>196.7</c:v>
                </c:pt>
                <c:pt idx="3020">
                  <c:v>216.4</c:v>
                </c:pt>
                <c:pt idx="3021">
                  <c:v>236</c:v>
                </c:pt>
                <c:pt idx="3022">
                  <c:v>251.5</c:v>
                </c:pt>
                <c:pt idx="3023">
                  <c:v>261.8</c:v>
                </c:pt>
                <c:pt idx="3024">
                  <c:v>267</c:v>
                </c:pt>
                <c:pt idx="3025">
                  <c:v>272.5</c:v>
                </c:pt>
                <c:pt idx="3026">
                  <c:v>265.3</c:v>
                </c:pt>
                <c:pt idx="3027">
                  <c:v>251.9</c:v>
                </c:pt>
                <c:pt idx="3028">
                  <c:v>229.6</c:v>
                </c:pt>
                <c:pt idx="3029">
                  <c:v>208.6</c:v>
                </c:pt>
                <c:pt idx="3030">
                  <c:v>200.2</c:v>
                </c:pt>
                <c:pt idx="3031">
                  <c:v>202.6</c:v>
                </c:pt>
                <c:pt idx="3032">
                  <c:v>217.3</c:v>
                </c:pt>
                <c:pt idx="3033">
                  <c:v>233.5</c:v>
                </c:pt>
                <c:pt idx="3034">
                  <c:v>242.1</c:v>
                </c:pt>
                <c:pt idx="3035">
                  <c:v>240.2</c:v>
                </c:pt>
                <c:pt idx="3036">
                  <c:v>236.3</c:v>
                </c:pt>
                <c:pt idx="3037">
                  <c:v>230.6</c:v>
                </c:pt>
                <c:pt idx="3038">
                  <c:v>216.5</c:v>
                </c:pt>
                <c:pt idx="3039">
                  <c:v>196.5</c:v>
                </c:pt>
                <c:pt idx="3040">
                  <c:v>175.2</c:v>
                </c:pt>
                <c:pt idx="3041">
                  <c:v>158.1</c:v>
                </c:pt>
                <c:pt idx="3042">
                  <c:v>146.30000000000001</c:v>
                </c:pt>
                <c:pt idx="3043">
                  <c:v>138.80000000000001</c:v>
                </c:pt>
                <c:pt idx="3044">
                  <c:v>133.69999999999999</c:v>
                </c:pt>
                <c:pt idx="3045">
                  <c:v>133.4</c:v>
                </c:pt>
                <c:pt idx="3046">
                  <c:v>145.19999999999999</c:v>
                </c:pt>
                <c:pt idx="3047">
                  <c:v>169</c:v>
                </c:pt>
                <c:pt idx="3048">
                  <c:v>190.1</c:v>
                </c:pt>
                <c:pt idx="3049">
                  <c:v>192.6</c:v>
                </c:pt>
                <c:pt idx="3050">
                  <c:v>181.4</c:v>
                </c:pt>
                <c:pt idx="3051">
                  <c:v>166</c:v>
                </c:pt>
                <c:pt idx="3052">
                  <c:v>156.4</c:v>
                </c:pt>
                <c:pt idx="3053">
                  <c:v>157.9</c:v>
                </c:pt>
                <c:pt idx="3054">
                  <c:v>165</c:v>
                </c:pt>
                <c:pt idx="3055">
                  <c:v>174.8</c:v>
                </c:pt>
                <c:pt idx="3056">
                  <c:v>182.3</c:v>
                </c:pt>
                <c:pt idx="3057">
                  <c:v>190.2</c:v>
                </c:pt>
                <c:pt idx="3058">
                  <c:v>192.5</c:v>
                </c:pt>
                <c:pt idx="3059">
                  <c:v>186.5</c:v>
                </c:pt>
                <c:pt idx="3060">
                  <c:v>174.1</c:v>
                </c:pt>
                <c:pt idx="3061">
                  <c:v>159.69999999999999</c:v>
                </c:pt>
                <c:pt idx="3062">
                  <c:v>147.69999999999999</c:v>
                </c:pt>
                <c:pt idx="3063">
                  <c:v>139.19999999999999</c:v>
                </c:pt>
                <c:pt idx="3064">
                  <c:v>133.9</c:v>
                </c:pt>
                <c:pt idx="3065">
                  <c:v>130.5</c:v>
                </c:pt>
                <c:pt idx="3066">
                  <c:v>128.4</c:v>
                </c:pt>
                <c:pt idx="3067">
                  <c:v>127.1</c:v>
                </c:pt>
                <c:pt idx="3068">
                  <c:v>126.9</c:v>
                </c:pt>
                <c:pt idx="3069">
                  <c:v>127.6</c:v>
                </c:pt>
                <c:pt idx="3070">
                  <c:v>128.5</c:v>
                </c:pt>
                <c:pt idx="3071">
                  <c:v>128.4</c:v>
                </c:pt>
                <c:pt idx="3072">
                  <c:v>86.5</c:v>
                </c:pt>
                <c:pt idx="3073">
                  <c:v>85.4</c:v>
                </c:pt>
                <c:pt idx="3074">
                  <c:v>84.4</c:v>
                </c:pt>
                <c:pt idx="3075">
                  <c:v>83.9</c:v>
                </c:pt>
                <c:pt idx="3076">
                  <c:v>83.7</c:v>
                </c:pt>
                <c:pt idx="3077">
                  <c:v>83.6</c:v>
                </c:pt>
                <c:pt idx="3078">
                  <c:v>83.5</c:v>
                </c:pt>
                <c:pt idx="3079">
                  <c:v>83.4</c:v>
                </c:pt>
                <c:pt idx="3080">
                  <c:v>83.3</c:v>
                </c:pt>
                <c:pt idx="3081">
                  <c:v>83.3</c:v>
                </c:pt>
                <c:pt idx="3082">
                  <c:v>83.3</c:v>
                </c:pt>
                <c:pt idx="3083">
                  <c:v>83.3</c:v>
                </c:pt>
                <c:pt idx="3084">
                  <c:v>83.2</c:v>
                </c:pt>
                <c:pt idx="3085">
                  <c:v>83.1</c:v>
                </c:pt>
                <c:pt idx="3086">
                  <c:v>83.1</c:v>
                </c:pt>
                <c:pt idx="3087">
                  <c:v>83.2</c:v>
                </c:pt>
                <c:pt idx="3088">
                  <c:v>83.6</c:v>
                </c:pt>
                <c:pt idx="3089">
                  <c:v>84.4</c:v>
                </c:pt>
                <c:pt idx="3090">
                  <c:v>85.3</c:v>
                </c:pt>
                <c:pt idx="3091">
                  <c:v>85.5</c:v>
                </c:pt>
                <c:pt idx="3092">
                  <c:v>86</c:v>
                </c:pt>
                <c:pt idx="3093">
                  <c:v>87.3</c:v>
                </c:pt>
                <c:pt idx="3094">
                  <c:v>88.9</c:v>
                </c:pt>
                <c:pt idx="3095">
                  <c:v>89</c:v>
                </c:pt>
                <c:pt idx="3096">
                  <c:v>87.9</c:v>
                </c:pt>
                <c:pt idx="3097">
                  <c:v>86.4</c:v>
                </c:pt>
                <c:pt idx="3098">
                  <c:v>85.5</c:v>
                </c:pt>
                <c:pt idx="3099">
                  <c:v>85.6</c:v>
                </c:pt>
                <c:pt idx="3100">
                  <c:v>86.6</c:v>
                </c:pt>
                <c:pt idx="3101">
                  <c:v>88.1</c:v>
                </c:pt>
                <c:pt idx="3102">
                  <c:v>66.5</c:v>
                </c:pt>
                <c:pt idx="3103">
                  <c:v>66.3</c:v>
                </c:pt>
                <c:pt idx="3104">
                  <c:v>65.400000000000006</c:v>
                </c:pt>
                <c:pt idx="3105">
                  <c:v>64.2</c:v>
                </c:pt>
                <c:pt idx="3106">
                  <c:v>63.5</c:v>
                </c:pt>
                <c:pt idx="3107">
                  <c:v>64</c:v>
                </c:pt>
                <c:pt idx="3108">
                  <c:v>65.5</c:v>
                </c:pt>
                <c:pt idx="3109">
                  <c:v>66.8</c:v>
                </c:pt>
                <c:pt idx="3110">
                  <c:v>66.400000000000006</c:v>
                </c:pt>
                <c:pt idx="3111">
                  <c:v>65.099999999999994</c:v>
                </c:pt>
                <c:pt idx="3112">
                  <c:v>63.5</c:v>
                </c:pt>
                <c:pt idx="3113">
                  <c:v>62.3</c:v>
                </c:pt>
                <c:pt idx="3114">
                  <c:v>61.6</c:v>
                </c:pt>
                <c:pt idx="3115">
                  <c:v>61.1</c:v>
                </c:pt>
                <c:pt idx="3116">
                  <c:v>60.8</c:v>
                </c:pt>
                <c:pt idx="3117">
                  <c:v>60.6</c:v>
                </c:pt>
                <c:pt idx="3118">
                  <c:v>60.5</c:v>
                </c:pt>
                <c:pt idx="3119">
                  <c:v>60.3</c:v>
                </c:pt>
                <c:pt idx="3120">
                  <c:v>60.2</c:v>
                </c:pt>
                <c:pt idx="3121">
                  <c:v>60.3</c:v>
                </c:pt>
                <c:pt idx="3122">
                  <c:v>61.6</c:v>
                </c:pt>
                <c:pt idx="3123">
                  <c:v>64.400000000000006</c:v>
                </c:pt>
                <c:pt idx="3124">
                  <c:v>67.8</c:v>
                </c:pt>
                <c:pt idx="3125">
                  <c:v>70.099999999999994</c:v>
                </c:pt>
                <c:pt idx="3126">
                  <c:v>72</c:v>
                </c:pt>
                <c:pt idx="3127">
                  <c:v>73.7</c:v>
                </c:pt>
                <c:pt idx="3128">
                  <c:v>74.8</c:v>
                </c:pt>
                <c:pt idx="3129">
                  <c:v>73.3</c:v>
                </c:pt>
                <c:pt idx="3130">
                  <c:v>70.3</c:v>
                </c:pt>
                <c:pt idx="3131">
                  <c:v>67.099999999999994</c:v>
                </c:pt>
                <c:pt idx="3132">
                  <c:v>64.5</c:v>
                </c:pt>
                <c:pt idx="3133">
                  <c:v>69</c:v>
                </c:pt>
                <c:pt idx="3134">
                  <c:v>72</c:v>
                </c:pt>
                <c:pt idx="3135">
                  <c:v>78.099999999999994</c:v>
                </c:pt>
                <c:pt idx="3136">
                  <c:v>86.9</c:v>
                </c:pt>
                <c:pt idx="3137">
                  <c:v>95.9</c:v>
                </c:pt>
                <c:pt idx="3138">
                  <c:v>103.1</c:v>
                </c:pt>
                <c:pt idx="3139">
                  <c:v>101.7</c:v>
                </c:pt>
                <c:pt idx="3140">
                  <c:v>95.8</c:v>
                </c:pt>
                <c:pt idx="3141">
                  <c:v>89.6</c:v>
                </c:pt>
                <c:pt idx="3142">
                  <c:v>84.8</c:v>
                </c:pt>
                <c:pt idx="3143">
                  <c:v>80.7</c:v>
                </c:pt>
                <c:pt idx="3144">
                  <c:v>76.8</c:v>
                </c:pt>
                <c:pt idx="3145">
                  <c:v>74.099999999999994</c:v>
                </c:pt>
                <c:pt idx="3146">
                  <c:v>73.400000000000006</c:v>
                </c:pt>
                <c:pt idx="3147">
                  <c:v>74.2</c:v>
                </c:pt>
                <c:pt idx="3148">
                  <c:v>74.3</c:v>
                </c:pt>
                <c:pt idx="3149">
                  <c:v>74.400000000000006</c:v>
                </c:pt>
                <c:pt idx="3150">
                  <c:v>77.2</c:v>
                </c:pt>
                <c:pt idx="3151">
                  <c:v>83.5</c:v>
                </c:pt>
                <c:pt idx="3152">
                  <c:v>89.7</c:v>
                </c:pt>
                <c:pt idx="3153">
                  <c:v>90.2</c:v>
                </c:pt>
                <c:pt idx="3154">
                  <c:v>86.3</c:v>
                </c:pt>
                <c:pt idx="3155">
                  <c:v>81.3</c:v>
                </c:pt>
                <c:pt idx="3156">
                  <c:v>79.599999999999994</c:v>
                </c:pt>
                <c:pt idx="3157">
                  <c:v>83.4</c:v>
                </c:pt>
                <c:pt idx="3158">
                  <c:v>89.1</c:v>
                </c:pt>
                <c:pt idx="3159">
                  <c:v>91.4</c:v>
                </c:pt>
                <c:pt idx="3160">
                  <c:v>88.9</c:v>
                </c:pt>
                <c:pt idx="3161">
                  <c:v>83.8</c:v>
                </c:pt>
                <c:pt idx="3162">
                  <c:v>78.8</c:v>
                </c:pt>
                <c:pt idx="3163">
                  <c:v>77.5</c:v>
                </c:pt>
                <c:pt idx="3164">
                  <c:v>108.8</c:v>
                </c:pt>
                <c:pt idx="3165">
                  <c:v>116.1</c:v>
                </c:pt>
                <c:pt idx="3166">
                  <c:v>122.6</c:v>
                </c:pt>
                <c:pt idx="3167">
                  <c:v>127.3</c:v>
                </c:pt>
                <c:pt idx="3168">
                  <c:v>128.80000000000001</c:v>
                </c:pt>
                <c:pt idx="3169">
                  <c:v>127.9</c:v>
                </c:pt>
                <c:pt idx="3170">
                  <c:v>132.69999999999999</c:v>
                </c:pt>
                <c:pt idx="3171">
                  <c:v>146.80000000000001</c:v>
                </c:pt>
                <c:pt idx="3172">
                  <c:v>161.30000000000001</c:v>
                </c:pt>
                <c:pt idx="3173">
                  <c:v>165.8</c:v>
                </c:pt>
                <c:pt idx="3174">
                  <c:v>162.5</c:v>
                </c:pt>
                <c:pt idx="3175">
                  <c:v>160.9</c:v>
                </c:pt>
                <c:pt idx="3176">
                  <c:v>162.19999999999999</c:v>
                </c:pt>
                <c:pt idx="3177">
                  <c:v>158.9</c:v>
                </c:pt>
                <c:pt idx="3178">
                  <c:v>149.69999999999999</c:v>
                </c:pt>
                <c:pt idx="3179">
                  <c:v>138.5</c:v>
                </c:pt>
                <c:pt idx="3180">
                  <c:v>130.1</c:v>
                </c:pt>
                <c:pt idx="3181">
                  <c:v>130.30000000000001</c:v>
                </c:pt>
                <c:pt idx="3182">
                  <c:v>140.80000000000001</c:v>
                </c:pt>
                <c:pt idx="3183">
                  <c:v>153.4</c:v>
                </c:pt>
                <c:pt idx="3184">
                  <c:v>156.9</c:v>
                </c:pt>
                <c:pt idx="3185">
                  <c:v>150.1</c:v>
                </c:pt>
                <c:pt idx="3186">
                  <c:v>138.30000000000001</c:v>
                </c:pt>
                <c:pt idx="3187">
                  <c:v>127.6</c:v>
                </c:pt>
                <c:pt idx="3188">
                  <c:v>122.7</c:v>
                </c:pt>
                <c:pt idx="3189">
                  <c:v>122.7</c:v>
                </c:pt>
                <c:pt idx="3190">
                  <c:v>128</c:v>
                </c:pt>
                <c:pt idx="3191">
                  <c:v>139.30000000000001</c:v>
                </c:pt>
                <c:pt idx="3192">
                  <c:v>151.9</c:v>
                </c:pt>
                <c:pt idx="3193">
                  <c:v>153.6</c:v>
                </c:pt>
                <c:pt idx="3194">
                  <c:v>165.7</c:v>
                </c:pt>
                <c:pt idx="3195">
                  <c:v>169</c:v>
                </c:pt>
                <c:pt idx="3196">
                  <c:v>183.2</c:v>
                </c:pt>
                <c:pt idx="3197">
                  <c:v>198.1</c:v>
                </c:pt>
                <c:pt idx="3198">
                  <c:v>200</c:v>
                </c:pt>
                <c:pt idx="3199">
                  <c:v>197.9</c:v>
                </c:pt>
                <c:pt idx="3200">
                  <c:v>204</c:v>
                </c:pt>
                <c:pt idx="3201">
                  <c:v>213.9</c:v>
                </c:pt>
                <c:pt idx="3202">
                  <c:v>221.4</c:v>
                </c:pt>
                <c:pt idx="3203">
                  <c:v>221.4</c:v>
                </c:pt>
                <c:pt idx="3204">
                  <c:v>222.1</c:v>
                </c:pt>
                <c:pt idx="3205">
                  <c:v>222.1</c:v>
                </c:pt>
                <c:pt idx="3206">
                  <c:v>223.1</c:v>
                </c:pt>
                <c:pt idx="3207">
                  <c:v>217.8</c:v>
                </c:pt>
                <c:pt idx="3208">
                  <c:v>204.7</c:v>
                </c:pt>
                <c:pt idx="3209">
                  <c:v>187.5</c:v>
                </c:pt>
                <c:pt idx="3210">
                  <c:v>171.1</c:v>
                </c:pt>
                <c:pt idx="3211">
                  <c:v>159.69999999999999</c:v>
                </c:pt>
                <c:pt idx="3212">
                  <c:v>152.19999999999999</c:v>
                </c:pt>
                <c:pt idx="3213">
                  <c:v>151.1</c:v>
                </c:pt>
                <c:pt idx="3214">
                  <c:v>154.5</c:v>
                </c:pt>
                <c:pt idx="3215">
                  <c:v>157.69999999999999</c:v>
                </c:pt>
                <c:pt idx="3216">
                  <c:v>164.1</c:v>
                </c:pt>
                <c:pt idx="3217">
                  <c:v>175.5</c:v>
                </c:pt>
                <c:pt idx="3218">
                  <c:v>199.7</c:v>
                </c:pt>
                <c:pt idx="3219">
                  <c:v>227.5</c:v>
                </c:pt>
                <c:pt idx="3220">
                  <c:v>245.8</c:v>
                </c:pt>
                <c:pt idx="3221">
                  <c:v>245.1</c:v>
                </c:pt>
                <c:pt idx="3222">
                  <c:v>238.7</c:v>
                </c:pt>
                <c:pt idx="3223">
                  <c:v>234.9</c:v>
                </c:pt>
                <c:pt idx="3224">
                  <c:v>230.8</c:v>
                </c:pt>
                <c:pt idx="3225">
                  <c:v>244.1</c:v>
                </c:pt>
                <c:pt idx="3226">
                  <c:v>247.2</c:v>
                </c:pt>
                <c:pt idx="3227">
                  <c:v>255.1</c:v>
                </c:pt>
                <c:pt idx="3228">
                  <c:v>260.7</c:v>
                </c:pt>
                <c:pt idx="3229">
                  <c:v>263.60000000000002</c:v>
                </c:pt>
                <c:pt idx="3230">
                  <c:v>257.7</c:v>
                </c:pt>
                <c:pt idx="3231">
                  <c:v>251.8</c:v>
                </c:pt>
                <c:pt idx="3232">
                  <c:v>248.9</c:v>
                </c:pt>
                <c:pt idx="3233">
                  <c:v>250.6</c:v>
                </c:pt>
                <c:pt idx="3234">
                  <c:v>255.7</c:v>
                </c:pt>
                <c:pt idx="3235">
                  <c:v>256.89999999999998</c:v>
                </c:pt>
                <c:pt idx="3236">
                  <c:v>257.60000000000002</c:v>
                </c:pt>
                <c:pt idx="3237">
                  <c:v>262.3</c:v>
                </c:pt>
                <c:pt idx="3238">
                  <c:v>268.89999999999998</c:v>
                </c:pt>
                <c:pt idx="3239">
                  <c:v>274</c:v>
                </c:pt>
                <c:pt idx="3240">
                  <c:v>275.60000000000002</c:v>
                </c:pt>
                <c:pt idx="3241">
                  <c:v>270.3</c:v>
                </c:pt>
                <c:pt idx="3242">
                  <c:v>266.5</c:v>
                </c:pt>
                <c:pt idx="3243">
                  <c:v>258</c:v>
                </c:pt>
                <c:pt idx="3244">
                  <c:v>247.7</c:v>
                </c:pt>
                <c:pt idx="3245">
                  <c:v>234.4</c:v>
                </c:pt>
                <c:pt idx="3246">
                  <c:v>220.4</c:v>
                </c:pt>
                <c:pt idx="3247">
                  <c:v>208.1</c:v>
                </c:pt>
                <c:pt idx="3248">
                  <c:v>199.1</c:v>
                </c:pt>
                <c:pt idx="3249">
                  <c:v>194.5</c:v>
                </c:pt>
                <c:pt idx="3250">
                  <c:v>194.2</c:v>
                </c:pt>
                <c:pt idx="3251">
                  <c:v>198.8</c:v>
                </c:pt>
                <c:pt idx="3252">
                  <c:v>210.3</c:v>
                </c:pt>
                <c:pt idx="3253">
                  <c:v>220.1</c:v>
                </c:pt>
                <c:pt idx="3254">
                  <c:v>220.6</c:v>
                </c:pt>
                <c:pt idx="3255">
                  <c:v>226.4</c:v>
                </c:pt>
                <c:pt idx="3256">
                  <c:v>223.9</c:v>
                </c:pt>
                <c:pt idx="3257">
                  <c:v>225.2</c:v>
                </c:pt>
                <c:pt idx="3258">
                  <c:v>226.3</c:v>
                </c:pt>
                <c:pt idx="3259">
                  <c:v>229.4</c:v>
                </c:pt>
                <c:pt idx="3260">
                  <c:v>237.5</c:v>
                </c:pt>
                <c:pt idx="3261">
                  <c:v>251.2</c:v>
                </c:pt>
                <c:pt idx="3262">
                  <c:v>265.7</c:v>
                </c:pt>
                <c:pt idx="3263">
                  <c:v>274.5</c:v>
                </c:pt>
                <c:pt idx="3264">
                  <c:v>278.5</c:v>
                </c:pt>
                <c:pt idx="3265">
                  <c:v>279.7</c:v>
                </c:pt>
                <c:pt idx="3266">
                  <c:v>276.60000000000002</c:v>
                </c:pt>
                <c:pt idx="3267">
                  <c:v>271.60000000000002</c:v>
                </c:pt>
                <c:pt idx="3268">
                  <c:v>258.89999999999998</c:v>
                </c:pt>
                <c:pt idx="3269">
                  <c:v>242.2</c:v>
                </c:pt>
                <c:pt idx="3270">
                  <c:v>226.5</c:v>
                </c:pt>
                <c:pt idx="3271">
                  <c:v>219</c:v>
                </c:pt>
                <c:pt idx="3272">
                  <c:v>228.1</c:v>
                </c:pt>
                <c:pt idx="3273">
                  <c:v>245.7</c:v>
                </c:pt>
                <c:pt idx="3274">
                  <c:v>252.1</c:v>
                </c:pt>
                <c:pt idx="3275">
                  <c:v>248.5</c:v>
                </c:pt>
                <c:pt idx="3276">
                  <c:v>240.5</c:v>
                </c:pt>
                <c:pt idx="3277">
                  <c:v>234.5</c:v>
                </c:pt>
                <c:pt idx="3278">
                  <c:v>227.3</c:v>
                </c:pt>
                <c:pt idx="3279">
                  <c:v>221.8</c:v>
                </c:pt>
                <c:pt idx="3280">
                  <c:v>227.5</c:v>
                </c:pt>
                <c:pt idx="3281">
                  <c:v>243.6</c:v>
                </c:pt>
                <c:pt idx="3282">
                  <c:v>268.89999999999998</c:v>
                </c:pt>
                <c:pt idx="3283">
                  <c:v>284.2</c:v>
                </c:pt>
                <c:pt idx="3284">
                  <c:v>284.39999999999998</c:v>
                </c:pt>
                <c:pt idx="3285">
                  <c:v>267</c:v>
                </c:pt>
                <c:pt idx="3286">
                  <c:v>240.6</c:v>
                </c:pt>
                <c:pt idx="3287">
                  <c:v>218.6</c:v>
                </c:pt>
                <c:pt idx="3288">
                  <c:v>201.8</c:v>
                </c:pt>
                <c:pt idx="3289">
                  <c:v>192.3</c:v>
                </c:pt>
                <c:pt idx="3290">
                  <c:v>190.3</c:v>
                </c:pt>
                <c:pt idx="3291">
                  <c:v>190.2</c:v>
                </c:pt>
                <c:pt idx="3292">
                  <c:v>186.6</c:v>
                </c:pt>
                <c:pt idx="3293">
                  <c:v>178.1</c:v>
                </c:pt>
                <c:pt idx="3294">
                  <c:v>173.9</c:v>
                </c:pt>
                <c:pt idx="3295">
                  <c:v>181.2</c:v>
                </c:pt>
                <c:pt idx="3296">
                  <c:v>196.5</c:v>
                </c:pt>
                <c:pt idx="3297">
                  <c:v>210.4</c:v>
                </c:pt>
                <c:pt idx="3298">
                  <c:v>216.5</c:v>
                </c:pt>
                <c:pt idx="3299">
                  <c:v>211.7</c:v>
                </c:pt>
                <c:pt idx="3300">
                  <c:v>196.2</c:v>
                </c:pt>
                <c:pt idx="3301">
                  <c:v>181.2</c:v>
                </c:pt>
                <c:pt idx="3302">
                  <c:v>177.1</c:v>
                </c:pt>
                <c:pt idx="3303">
                  <c:v>185.7</c:v>
                </c:pt>
                <c:pt idx="3304">
                  <c:v>194.8</c:v>
                </c:pt>
                <c:pt idx="3305">
                  <c:v>196.2</c:v>
                </c:pt>
                <c:pt idx="3306">
                  <c:v>196.2</c:v>
                </c:pt>
                <c:pt idx="3307">
                  <c:v>198.5</c:v>
                </c:pt>
                <c:pt idx="3308">
                  <c:v>199.4</c:v>
                </c:pt>
                <c:pt idx="3309">
                  <c:v>196.5</c:v>
                </c:pt>
                <c:pt idx="3310">
                  <c:v>191.4</c:v>
                </c:pt>
                <c:pt idx="3311">
                  <c:v>183.2</c:v>
                </c:pt>
                <c:pt idx="3312">
                  <c:v>176.7</c:v>
                </c:pt>
                <c:pt idx="3313">
                  <c:v>177.5</c:v>
                </c:pt>
                <c:pt idx="3314">
                  <c:v>186.4</c:v>
                </c:pt>
                <c:pt idx="3315">
                  <c:v>201.6</c:v>
                </c:pt>
                <c:pt idx="3316">
                  <c:v>206.3</c:v>
                </c:pt>
                <c:pt idx="3317">
                  <c:v>190.3</c:v>
                </c:pt>
                <c:pt idx="3318">
                  <c:v>193.4</c:v>
                </c:pt>
                <c:pt idx="3319">
                  <c:v>198.1</c:v>
                </c:pt>
                <c:pt idx="3320">
                  <c:v>195.8</c:v>
                </c:pt>
                <c:pt idx="3321">
                  <c:v>187.3</c:v>
                </c:pt>
                <c:pt idx="3322">
                  <c:v>173.4</c:v>
                </c:pt>
                <c:pt idx="3323">
                  <c:v>162.6</c:v>
                </c:pt>
                <c:pt idx="3324">
                  <c:v>161.9</c:v>
                </c:pt>
                <c:pt idx="3325">
                  <c:v>168.9</c:v>
                </c:pt>
                <c:pt idx="3326">
                  <c:v>174.9</c:v>
                </c:pt>
                <c:pt idx="3327">
                  <c:v>174.3</c:v>
                </c:pt>
                <c:pt idx="3328">
                  <c:v>172</c:v>
                </c:pt>
                <c:pt idx="3329">
                  <c:v>173.6</c:v>
                </c:pt>
                <c:pt idx="3330">
                  <c:v>178.7</c:v>
                </c:pt>
                <c:pt idx="3331">
                  <c:v>189.8</c:v>
                </c:pt>
                <c:pt idx="3332">
                  <c:v>204.9</c:v>
                </c:pt>
                <c:pt idx="3333">
                  <c:v>222.3</c:v>
                </c:pt>
                <c:pt idx="3334">
                  <c:v>232.2</c:v>
                </c:pt>
                <c:pt idx="3335">
                  <c:v>233.3</c:v>
                </c:pt>
                <c:pt idx="3336">
                  <c:v>221.1</c:v>
                </c:pt>
                <c:pt idx="3337">
                  <c:v>207.7</c:v>
                </c:pt>
                <c:pt idx="3338">
                  <c:v>201.9</c:v>
                </c:pt>
                <c:pt idx="3339">
                  <c:v>207.6</c:v>
                </c:pt>
                <c:pt idx="3340">
                  <c:v>215.5</c:v>
                </c:pt>
                <c:pt idx="3341">
                  <c:v>213.9</c:v>
                </c:pt>
                <c:pt idx="3342">
                  <c:v>204.3</c:v>
                </c:pt>
                <c:pt idx="3343">
                  <c:v>194</c:v>
                </c:pt>
                <c:pt idx="3344">
                  <c:v>188.5</c:v>
                </c:pt>
                <c:pt idx="3345">
                  <c:v>194.5</c:v>
                </c:pt>
                <c:pt idx="3346">
                  <c:v>200.3</c:v>
                </c:pt>
                <c:pt idx="3347">
                  <c:v>209.7</c:v>
                </c:pt>
                <c:pt idx="3348">
                  <c:v>213.9</c:v>
                </c:pt>
                <c:pt idx="3349">
                  <c:v>207.9</c:v>
                </c:pt>
                <c:pt idx="3350">
                  <c:v>201.2</c:v>
                </c:pt>
                <c:pt idx="3351">
                  <c:v>197.6</c:v>
                </c:pt>
                <c:pt idx="3352">
                  <c:v>198.3</c:v>
                </c:pt>
                <c:pt idx="3353">
                  <c:v>202.2</c:v>
                </c:pt>
                <c:pt idx="3354">
                  <c:v>206.9</c:v>
                </c:pt>
                <c:pt idx="3355">
                  <c:v>205.5</c:v>
                </c:pt>
                <c:pt idx="3356">
                  <c:v>195.2</c:v>
                </c:pt>
                <c:pt idx="3357">
                  <c:v>183.9</c:v>
                </c:pt>
                <c:pt idx="3358">
                  <c:v>175.3</c:v>
                </c:pt>
                <c:pt idx="3359">
                  <c:v>173</c:v>
                </c:pt>
                <c:pt idx="3360">
                  <c:v>181.4</c:v>
                </c:pt>
                <c:pt idx="3361">
                  <c:v>196.8</c:v>
                </c:pt>
                <c:pt idx="3362">
                  <c:v>209.1</c:v>
                </c:pt>
                <c:pt idx="3363">
                  <c:v>217.9</c:v>
                </c:pt>
                <c:pt idx="3364">
                  <c:v>226.7</c:v>
                </c:pt>
                <c:pt idx="3365">
                  <c:v>231.1</c:v>
                </c:pt>
                <c:pt idx="3366">
                  <c:v>225.3</c:v>
                </c:pt>
                <c:pt idx="3367">
                  <c:v>216.2</c:v>
                </c:pt>
                <c:pt idx="3368">
                  <c:v>205.7</c:v>
                </c:pt>
                <c:pt idx="3369">
                  <c:v>192.3</c:v>
                </c:pt>
                <c:pt idx="3370">
                  <c:v>183.4</c:v>
                </c:pt>
                <c:pt idx="3371">
                  <c:v>190.7</c:v>
                </c:pt>
                <c:pt idx="3372">
                  <c:v>213.7</c:v>
                </c:pt>
                <c:pt idx="3373">
                  <c:v>231.1</c:v>
                </c:pt>
                <c:pt idx="3374">
                  <c:v>226.4</c:v>
                </c:pt>
                <c:pt idx="3375">
                  <c:v>208.2</c:v>
                </c:pt>
                <c:pt idx="3376">
                  <c:v>201.2</c:v>
                </c:pt>
                <c:pt idx="3377">
                  <c:v>198.1</c:v>
                </c:pt>
                <c:pt idx="3378">
                  <c:v>202.1</c:v>
                </c:pt>
                <c:pt idx="3379">
                  <c:v>205.3</c:v>
                </c:pt>
                <c:pt idx="3380">
                  <c:v>209.9</c:v>
                </c:pt>
                <c:pt idx="3381">
                  <c:v>212.5</c:v>
                </c:pt>
                <c:pt idx="3382">
                  <c:v>212.7</c:v>
                </c:pt>
                <c:pt idx="3383">
                  <c:v>216.4</c:v>
                </c:pt>
                <c:pt idx="3384">
                  <c:v>221.3</c:v>
                </c:pt>
                <c:pt idx="3385">
                  <c:v>228.2</c:v>
                </c:pt>
                <c:pt idx="3386">
                  <c:v>239.4</c:v>
                </c:pt>
                <c:pt idx="3387">
                  <c:v>255.9</c:v>
                </c:pt>
                <c:pt idx="3388">
                  <c:v>270</c:v>
                </c:pt>
                <c:pt idx="3389">
                  <c:v>271.60000000000002</c:v>
                </c:pt>
                <c:pt idx="3390">
                  <c:v>257</c:v>
                </c:pt>
                <c:pt idx="3391">
                  <c:v>236</c:v>
                </c:pt>
                <c:pt idx="3392">
                  <c:v>217.5</c:v>
                </c:pt>
                <c:pt idx="3393">
                  <c:v>202.7</c:v>
                </c:pt>
                <c:pt idx="3394">
                  <c:v>189.1</c:v>
                </c:pt>
                <c:pt idx="3395">
                  <c:v>178.7</c:v>
                </c:pt>
                <c:pt idx="3396">
                  <c:v>173.7</c:v>
                </c:pt>
                <c:pt idx="3397">
                  <c:v>171.9</c:v>
                </c:pt>
                <c:pt idx="3398">
                  <c:v>171.4</c:v>
                </c:pt>
                <c:pt idx="3399">
                  <c:v>164.4</c:v>
                </c:pt>
                <c:pt idx="3400">
                  <c:v>154.80000000000001</c:v>
                </c:pt>
                <c:pt idx="3401">
                  <c:v>145.30000000000001</c:v>
                </c:pt>
                <c:pt idx="3402">
                  <c:v>142.9</c:v>
                </c:pt>
                <c:pt idx="3403">
                  <c:v>156</c:v>
                </c:pt>
                <c:pt idx="3404">
                  <c:v>186.2</c:v>
                </c:pt>
                <c:pt idx="3405">
                  <c:v>217.9</c:v>
                </c:pt>
                <c:pt idx="3406">
                  <c:v>236.5</c:v>
                </c:pt>
                <c:pt idx="3407">
                  <c:v>230.3</c:v>
                </c:pt>
                <c:pt idx="3408">
                  <c:v>213.9</c:v>
                </c:pt>
                <c:pt idx="3409">
                  <c:v>201.3</c:v>
                </c:pt>
                <c:pt idx="3410">
                  <c:v>198.9</c:v>
                </c:pt>
                <c:pt idx="3411">
                  <c:v>198.7</c:v>
                </c:pt>
                <c:pt idx="3412">
                  <c:v>192.9</c:v>
                </c:pt>
                <c:pt idx="3413">
                  <c:v>183.3</c:v>
                </c:pt>
                <c:pt idx="3414">
                  <c:v>180.9</c:v>
                </c:pt>
                <c:pt idx="3415">
                  <c:v>193.7</c:v>
                </c:pt>
                <c:pt idx="3416">
                  <c:v>214.6</c:v>
                </c:pt>
                <c:pt idx="3417">
                  <c:v>225.6</c:v>
                </c:pt>
                <c:pt idx="3418">
                  <c:v>226.9</c:v>
                </c:pt>
                <c:pt idx="3419">
                  <c:v>227.7</c:v>
                </c:pt>
                <c:pt idx="3420">
                  <c:v>235.7</c:v>
                </c:pt>
                <c:pt idx="3421">
                  <c:v>241.2</c:v>
                </c:pt>
                <c:pt idx="3422">
                  <c:v>238.5</c:v>
                </c:pt>
                <c:pt idx="3423">
                  <c:v>229.6</c:v>
                </c:pt>
                <c:pt idx="3424">
                  <c:v>223.3</c:v>
                </c:pt>
                <c:pt idx="3425">
                  <c:v>224.1</c:v>
                </c:pt>
                <c:pt idx="3426">
                  <c:v>221</c:v>
                </c:pt>
                <c:pt idx="3427">
                  <c:v>214.2</c:v>
                </c:pt>
                <c:pt idx="3428">
                  <c:v>201.9</c:v>
                </c:pt>
                <c:pt idx="3429">
                  <c:v>184.6</c:v>
                </c:pt>
                <c:pt idx="3430">
                  <c:v>168.5</c:v>
                </c:pt>
                <c:pt idx="3431">
                  <c:v>154.4</c:v>
                </c:pt>
                <c:pt idx="3432">
                  <c:v>143.80000000000001</c:v>
                </c:pt>
                <c:pt idx="3433">
                  <c:v>137</c:v>
                </c:pt>
                <c:pt idx="3434">
                  <c:v>132.4</c:v>
                </c:pt>
                <c:pt idx="3435">
                  <c:v>129.5</c:v>
                </c:pt>
                <c:pt idx="3436">
                  <c:v>127.5</c:v>
                </c:pt>
                <c:pt idx="3437">
                  <c:v>85.2</c:v>
                </c:pt>
                <c:pt idx="3438">
                  <c:v>84.5</c:v>
                </c:pt>
                <c:pt idx="3439">
                  <c:v>84.3</c:v>
                </c:pt>
                <c:pt idx="3440">
                  <c:v>84.3</c:v>
                </c:pt>
                <c:pt idx="3441">
                  <c:v>84.1</c:v>
                </c:pt>
                <c:pt idx="3442">
                  <c:v>83.8</c:v>
                </c:pt>
                <c:pt idx="3443">
                  <c:v>83.5</c:v>
                </c:pt>
                <c:pt idx="3444">
                  <c:v>83.3</c:v>
                </c:pt>
                <c:pt idx="3445">
                  <c:v>83.2</c:v>
                </c:pt>
                <c:pt idx="3446">
                  <c:v>83.1</c:v>
                </c:pt>
                <c:pt idx="3447">
                  <c:v>83.2</c:v>
                </c:pt>
                <c:pt idx="3448">
                  <c:v>83.2</c:v>
                </c:pt>
                <c:pt idx="3449">
                  <c:v>83.2</c:v>
                </c:pt>
                <c:pt idx="3450">
                  <c:v>83.2</c:v>
                </c:pt>
                <c:pt idx="3451">
                  <c:v>83.2</c:v>
                </c:pt>
                <c:pt idx="3452">
                  <c:v>83.5</c:v>
                </c:pt>
                <c:pt idx="3453">
                  <c:v>84</c:v>
                </c:pt>
                <c:pt idx="3454">
                  <c:v>84.2</c:v>
                </c:pt>
                <c:pt idx="3455">
                  <c:v>84.3</c:v>
                </c:pt>
                <c:pt idx="3456">
                  <c:v>84.5</c:v>
                </c:pt>
                <c:pt idx="3457">
                  <c:v>84.9</c:v>
                </c:pt>
                <c:pt idx="3458">
                  <c:v>85.4</c:v>
                </c:pt>
                <c:pt idx="3459">
                  <c:v>86.4</c:v>
                </c:pt>
                <c:pt idx="3460">
                  <c:v>87.6</c:v>
                </c:pt>
                <c:pt idx="3461">
                  <c:v>88.5</c:v>
                </c:pt>
                <c:pt idx="3462">
                  <c:v>88.9</c:v>
                </c:pt>
                <c:pt idx="3463">
                  <c:v>90.7</c:v>
                </c:pt>
                <c:pt idx="3464">
                  <c:v>93.6</c:v>
                </c:pt>
                <c:pt idx="3465">
                  <c:v>95.6</c:v>
                </c:pt>
                <c:pt idx="3466">
                  <c:v>94.8</c:v>
                </c:pt>
                <c:pt idx="3467">
                  <c:v>69.2</c:v>
                </c:pt>
                <c:pt idx="3468">
                  <c:v>67.7</c:v>
                </c:pt>
                <c:pt idx="3469">
                  <c:v>68.900000000000006</c:v>
                </c:pt>
                <c:pt idx="3470">
                  <c:v>71.3</c:v>
                </c:pt>
                <c:pt idx="3471">
                  <c:v>71.2</c:v>
                </c:pt>
                <c:pt idx="3472">
                  <c:v>69.2</c:v>
                </c:pt>
                <c:pt idx="3473">
                  <c:v>66.3</c:v>
                </c:pt>
                <c:pt idx="3474">
                  <c:v>64</c:v>
                </c:pt>
                <c:pt idx="3475">
                  <c:v>62.6</c:v>
                </c:pt>
                <c:pt idx="3476">
                  <c:v>61.7</c:v>
                </c:pt>
                <c:pt idx="3477">
                  <c:v>61.1</c:v>
                </c:pt>
                <c:pt idx="3478">
                  <c:v>60.7</c:v>
                </c:pt>
                <c:pt idx="3479">
                  <c:v>60.5</c:v>
                </c:pt>
                <c:pt idx="3480">
                  <c:v>60.3</c:v>
                </c:pt>
                <c:pt idx="3481">
                  <c:v>60.2</c:v>
                </c:pt>
                <c:pt idx="3482">
                  <c:v>60.1</c:v>
                </c:pt>
                <c:pt idx="3483">
                  <c:v>60.1</c:v>
                </c:pt>
                <c:pt idx="3484">
                  <c:v>60.1</c:v>
                </c:pt>
                <c:pt idx="3485">
                  <c:v>60</c:v>
                </c:pt>
                <c:pt idx="3486">
                  <c:v>60</c:v>
                </c:pt>
                <c:pt idx="3487">
                  <c:v>60</c:v>
                </c:pt>
                <c:pt idx="3488">
                  <c:v>60</c:v>
                </c:pt>
                <c:pt idx="3489">
                  <c:v>60</c:v>
                </c:pt>
                <c:pt idx="3490">
                  <c:v>60</c:v>
                </c:pt>
                <c:pt idx="3491">
                  <c:v>60</c:v>
                </c:pt>
                <c:pt idx="3492">
                  <c:v>60</c:v>
                </c:pt>
                <c:pt idx="3493">
                  <c:v>60</c:v>
                </c:pt>
                <c:pt idx="3494">
                  <c:v>60</c:v>
                </c:pt>
                <c:pt idx="3495">
                  <c:v>60.1</c:v>
                </c:pt>
                <c:pt idx="3496">
                  <c:v>62</c:v>
                </c:pt>
                <c:pt idx="3497">
                  <c:v>66.3</c:v>
                </c:pt>
                <c:pt idx="3498">
                  <c:v>76</c:v>
                </c:pt>
                <c:pt idx="3499">
                  <c:v>77</c:v>
                </c:pt>
                <c:pt idx="3500">
                  <c:v>75.3</c:v>
                </c:pt>
                <c:pt idx="3501">
                  <c:v>72.400000000000006</c:v>
                </c:pt>
                <c:pt idx="3502">
                  <c:v>69.7</c:v>
                </c:pt>
                <c:pt idx="3503">
                  <c:v>68.2</c:v>
                </c:pt>
                <c:pt idx="3504">
                  <c:v>67.3</c:v>
                </c:pt>
                <c:pt idx="3505">
                  <c:v>66.7</c:v>
                </c:pt>
                <c:pt idx="3506">
                  <c:v>68.2</c:v>
                </c:pt>
                <c:pt idx="3507">
                  <c:v>72.099999999999994</c:v>
                </c:pt>
                <c:pt idx="3508">
                  <c:v>77</c:v>
                </c:pt>
                <c:pt idx="3509">
                  <c:v>80</c:v>
                </c:pt>
                <c:pt idx="3510">
                  <c:v>81.900000000000006</c:v>
                </c:pt>
                <c:pt idx="3511">
                  <c:v>81.8</c:v>
                </c:pt>
                <c:pt idx="3512">
                  <c:v>79</c:v>
                </c:pt>
                <c:pt idx="3513">
                  <c:v>75.7</c:v>
                </c:pt>
                <c:pt idx="3514">
                  <c:v>72.3</c:v>
                </c:pt>
                <c:pt idx="3515">
                  <c:v>70.099999999999994</c:v>
                </c:pt>
                <c:pt idx="3516">
                  <c:v>71.7</c:v>
                </c:pt>
                <c:pt idx="3517">
                  <c:v>76.900000000000006</c:v>
                </c:pt>
                <c:pt idx="3518">
                  <c:v>84.5</c:v>
                </c:pt>
                <c:pt idx="3519">
                  <c:v>93.2</c:v>
                </c:pt>
                <c:pt idx="3520">
                  <c:v>105.7</c:v>
                </c:pt>
                <c:pt idx="3521">
                  <c:v>116.6</c:v>
                </c:pt>
                <c:pt idx="3522">
                  <c:v>120.6</c:v>
                </c:pt>
                <c:pt idx="3523">
                  <c:v>117.4</c:v>
                </c:pt>
                <c:pt idx="3524">
                  <c:v>112.9</c:v>
                </c:pt>
                <c:pt idx="3525">
                  <c:v>112.4</c:v>
                </c:pt>
                <c:pt idx="3526">
                  <c:v>118.4</c:v>
                </c:pt>
                <c:pt idx="3527">
                  <c:v>122</c:v>
                </c:pt>
                <c:pt idx="3528">
                  <c:v>117.5</c:v>
                </c:pt>
                <c:pt idx="3529">
                  <c:v>138.19999999999999</c:v>
                </c:pt>
                <c:pt idx="3530">
                  <c:v>135.30000000000001</c:v>
                </c:pt>
                <c:pt idx="3531">
                  <c:v>136.4</c:v>
                </c:pt>
                <c:pt idx="3532">
                  <c:v>140.4</c:v>
                </c:pt>
                <c:pt idx="3533">
                  <c:v>142.1</c:v>
                </c:pt>
                <c:pt idx="3534">
                  <c:v>145.80000000000001</c:v>
                </c:pt>
                <c:pt idx="3535">
                  <c:v>153.9</c:v>
                </c:pt>
                <c:pt idx="3536">
                  <c:v>164.6</c:v>
                </c:pt>
                <c:pt idx="3537">
                  <c:v>170.2</c:v>
                </c:pt>
                <c:pt idx="3538">
                  <c:v>168.3</c:v>
                </c:pt>
                <c:pt idx="3539">
                  <c:v>165.5</c:v>
                </c:pt>
                <c:pt idx="3540">
                  <c:v>163.6</c:v>
                </c:pt>
                <c:pt idx="3541">
                  <c:v>156</c:v>
                </c:pt>
                <c:pt idx="3542">
                  <c:v>148</c:v>
                </c:pt>
                <c:pt idx="3543">
                  <c:v>147.5</c:v>
                </c:pt>
                <c:pt idx="3544">
                  <c:v>157.9</c:v>
                </c:pt>
                <c:pt idx="3545">
                  <c:v>169.3</c:v>
                </c:pt>
                <c:pt idx="3546">
                  <c:v>168.8</c:v>
                </c:pt>
                <c:pt idx="3547">
                  <c:v>160.1</c:v>
                </c:pt>
                <c:pt idx="3548">
                  <c:v>150.4</c:v>
                </c:pt>
                <c:pt idx="3549">
                  <c:v>145.69999999999999</c:v>
                </c:pt>
                <c:pt idx="3550">
                  <c:v>149.4</c:v>
                </c:pt>
                <c:pt idx="3551">
                  <c:v>161.6</c:v>
                </c:pt>
                <c:pt idx="3552">
                  <c:v>171.3</c:v>
                </c:pt>
                <c:pt idx="3553">
                  <c:v>169.7</c:v>
                </c:pt>
                <c:pt idx="3554">
                  <c:v>162.5</c:v>
                </c:pt>
                <c:pt idx="3555">
                  <c:v>161.1</c:v>
                </c:pt>
                <c:pt idx="3556">
                  <c:v>168.5</c:v>
                </c:pt>
                <c:pt idx="3557">
                  <c:v>178.4</c:v>
                </c:pt>
                <c:pt idx="3558">
                  <c:v>185.4</c:v>
                </c:pt>
                <c:pt idx="3559">
                  <c:v>203.9</c:v>
                </c:pt>
                <c:pt idx="3560">
                  <c:v>195.2</c:v>
                </c:pt>
                <c:pt idx="3561">
                  <c:v>181.6</c:v>
                </c:pt>
                <c:pt idx="3562">
                  <c:v>173.5</c:v>
                </c:pt>
                <c:pt idx="3563">
                  <c:v>174.7</c:v>
                </c:pt>
                <c:pt idx="3564">
                  <c:v>185.6</c:v>
                </c:pt>
                <c:pt idx="3565">
                  <c:v>198</c:v>
                </c:pt>
                <c:pt idx="3566">
                  <c:v>209.3</c:v>
                </c:pt>
                <c:pt idx="3567">
                  <c:v>212.9</c:v>
                </c:pt>
                <c:pt idx="3568">
                  <c:v>218.2</c:v>
                </c:pt>
                <c:pt idx="3569">
                  <c:v>225.8</c:v>
                </c:pt>
                <c:pt idx="3570">
                  <c:v>223.1</c:v>
                </c:pt>
                <c:pt idx="3571">
                  <c:v>208.9</c:v>
                </c:pt>
                <c:pt idx="3572">
                  <c:v>193</c:v>
                </c:pt>
                <c:pt idx="3573">
                  <c:v>182.1</c:v>
                </c:pt>
                <c:pt idx="3574">
                  <c:v>184.1</c:v>
                </c:pt>
                <c:pt idx="3575">
                  <c:v>200.1</c:v>
                </c:pt>
                <c:pt idx="3576">
                  <c:v>218.6</c:v>
                </c:pt>
                <c:pt idx="3577">
                  <c:v>221.6</c:v>
                </c:pt>
                <c:pt idx="3578">
                  <c:v>211.2</c:v>
                </c:pt>
                <c:pt idx="3579">
                  <c:v>198.3</c:v>
                </c:pt>
                <c:pt idx="3580">
                  <c:v>187.7</c:v>
                </c:pt>
                <c:pt idx="3581">
                  <c:v>182.8</c:v>
                </c:pt>
                <c:pt idx="3582">
                  <c:v>177.5</c:v>
                </c:pt>
                <c:pt idx="3583">
                  <c:v>173.9</c:v>
                </c:pt>
                <c:pt idx="3584">
                  <c:v>177.7</c:v>
                </c:pt>
                <c:pt idx="3585">
                  <c:v>188.2</c:v>
                </c:pt>
                <c:pt idx="3586">
                  <c:v>209.8</c:v>
                </c:pt>
                <c:pt idx="3587">
                  <c:v>229.4</c:v>
                </c:pt>
                <c:pt idx="3588">
                  <c:v>239.1</c:v>
                </c:pt>
                <c:pt idx="3589">
                  <c:v>232.4</c:v>
                </c:pt>
                <c:pt idx="3590">
                  <c:v>228.2</c:v>
                </c:pt>
                <c:pt idx="3591">
                  <c:v>216.8</c:v>
                </c:pt>
                <c:pt idx="3592">
                  <c:v>220</c:v>
                </c:pt>
                <c:pt idx="3593">
                  <c:v>229.9</c:v>
                </c:pt>
                <c:pt idx="3594">
                  <c:v>226.6</c:v>
                </c:pt>
                <c:pt idx="3595">
                  <c:v>215.3</c:v>
                </c:pt>
                <c:pt idx="3596">
                  <c:v>212.3</c:v>
                </c:pt>
                <c:pt idx="3597">
                  <c:v>222.7</c:v>
                </c:pt>
                <c:pt idx="3598">
                  <c:v>233.9</c:v>
                </c:pt>
                <c:pt idx="3599">
                  <c:v>232.6</c:v>
                </c:pt>
                <c:pt idx="3600">
                  <c:v>222.7</c:v>
                </c:pt>
                <c:pt idx="3601">
                  <c:v>212.5</c:v>
                </c:pt>
                <c:pt idx="3602">
                  <c:v>217.8</c:v>
                </c:pt>
                <c:pt idx="3603">
                  <c:v>240.7</c:v>
                </c:pt>
                <c:pt idx="3604">
                  <c:v>262</c:v>
                </c:pt>
                <c:pt idx="3605">
                  <c:v>268.10000000000002</c:v>
                </c:pt>
                <c:pt idx="3606">
                  <c:v>265.60000000000002</c:v>
                </c:pt>
                <c:pt idx="3607">
                  <c:v>257.10000000000002</c:v>
                </c:pt>
                <c:pt idx="3608">
                  <c:v>243</c:v>
                </c:pt>
                <c:pt idx="3609">
                  <c:v>231.7</c:v>
                </c:pt>
                <c:pt idx="3610">
                  <c:v>231.6</c:v>
                </c:pt>
                <c:pt idx="3611">
                  <c:v>238.2</c:v>
                </c:pt>
                <c:pt idx="3612">
                  <c:v>241.6</c:v>
                </c:pt>
                <c:pt idx="3613">
                  <c:v>245.1</c:v>
                </c:pt>
                <c:pt idx="3614">
                  <c:v>251.1</c:v>
                </c:pt>
                <c:pt idx="3615">
                  <c:v>262.10000000000002</c:v>
                </c:pt>
                <c:pt idx="3616">
                  <c:v>278.2</c:v>
                </c:pt>
                <c:pt idx="3617">
                  <c:v>282.39999999999998</c:v>
                </c:pt>
                <c:pt idx="3618">
                  <c:v>273.8</c:v>
                </c:pt>
                <c:pt idx="3619">
                  <c:v>273.39999999999998</c:v>
                </c:pt>
                <c:pt idx="3620">
                  <c:v>292.39999999999998</c:v>
                </c:pt>
                <c:pt idx="3621">
                  <c:v>298.3</c:v>
                </c:pt>
                <c:pt idx="3622">
                  <c:v>298.60000000000002</c:v>
                </c:pt>
                <c:pt idx="3623">
                  <c:v>295.8</c:v>
                </c:pt>
                <c:pt idx="3624">
                  <c:v>287.10000000000002</c:v>
                </c:pt>
                <c:pt idx="3625">
                  <c:v>268.39999999999998</c:v>
                </c:pt>
                <c:pt idx="3626">
                  <c:v>260.2</c:v>
                </c:pt>
                <c:pt idx="3627">
                  <c:v>271.39999999999998</c:v>
                </c:pt>
                <c:pt idx="3628">
                  <c:v>289.7</c:v>
                </c:pt>
                <c:pt idx="3629">
                  <c:v>299.8</c:v>
                </c:pt>
                <c:pt idx="3630">
                  <c:v>299.39999999999998</c:v>
                </c:pt>
                <c:pt idx="3631">
                  <c:v>292.8</c:v>
                </c:pt>
                <c:pt idx="3632">
                  <c:v>286.60000000000002</c:v>
                </c:pt>
                <c:pt idx="3633">
                  <c:v>276.10000000000002</c:v>
                </c:pt>
                <c:pt idx="3634">
                  <c:v>271.3</c:v>
                </c:pt>
                <c:pt idx="3635">
                  <c:v>272.7</c:v>
                </c:pt>
                <c:pt idx="3636">
                  <c:v>277.3</c:v>
                </c:pt>
                <c:pt idx="3637">
                  <c:v>276.39999999999998</c:v>
                </c:pt>
                <c:pt idx="3638">
                  <c:v>267.2</c:v>
                </c:pt>
                <c:pt idx="3639">
                  <c:v>256.5</c:v>
                </c:pt>
                <c:pt idx="3640">
                  <c:v>246</c:v>
                </c:pt>
                <c:pt idx="3641">
                  <c:v>240.2</c:v>
                </c:pt>
                <c:pt idx="3642">
                  <c:v>233.5</c:v>
                </c:pt>
                <c:pt idx="3643">
                  <c:v>224.5</c:v>
                </c:pt>
                <c:pt idx="3644">
                  <c:v>222.2</c:v>
                </c:pt>
                <c:pt idx="3645">
                  <c:v>228</c:v>
                </c:pt>
                <c:pt idx="3646">
                  <c:v>235</c:v>
                </c:pt>
                <c:pt idx="3647">
                  <c:v>236</c:v>
                </c:pt>
                <c:pt idx="3648">
                  <c:v>230.5</c:v>
                </c:pt>
                <c:pt idx="3649">
                  <c:v>236.7</c:v>
                </c:pt>
                <c:pt idx="3650">
                  <c:v>259.2</c:v>
                </c:pt>
                <c:pt idx="3651">
                  <c:v>275.2</c:v>
                </c:pt>
                <c:pt idx="3652">
                  <c:v>276.7</c:v>
                </c:pt>
                <c:pt idx="3653">
                  <c:v>261.10000000000002</c:v>
                </c:pt>
                <c:pt idx="3654">
                  <c:v>241.4</c:v>
                </c:pt>
                <c:pt idx="3655">
                  <c:v>220.7</c:v>
                </c:pt>
                <c:pt idx="3656">
                  <c:v>204.5</c:v>
                </c:pt>
                <c:pt idx="3657">
                  <c:v>192.5</c:v>
                </c:pt>
                <c:pt idx="3658">
                  <c:v>185.1</c:v>
                </c:pt>
                <c:pt idx="3659">
                  <c:v>181.8</c:v>
                </c:pt>
                <c:pt idx="3660">
                  <c:v>179.9</c:v>
                </c:pt>
                <c:pt idx="3661">
                  <c:v>179</c:v>
                </c:pt>
                <c:pt idx="3662">
                  <c:v>183.3</c:v>
                </c:pt>
                <c:pt idx="3663">
                  <c:v>191.2</c:v>
                </c:pt>
                <c:pt idx="3664">
                  <c:v>201</c:v>
                </c:pt>
                <c:pt idx="3665">
                  <c:v>207.3</c:v>
                </c:pt>
                <c:pt idx="3666">
                  <c:v>209.7</c:v>
                </c:pt>
                <c:pt idx="3667">
                  <c:v>207.2</c:v>
                </c:pt>
                <c:pt idx="3668">
                  <c:v>198.6</c:v>
                </c:pt>
                <c:pt idx="3669">
                  <c:v>193.5</c:v>
                </c:pt>
                <c:pt idx="3670">
                  <c:v>191.2</c:v>
                </c:pt>
                <c:pt idx="3671">
                  <c:v>187.1</c:v>
                </c:pt>
                <c:pt idx="3672">
                  <c:v>189.4</c:v>
                </c:pt>
                <c:pt idx="3673">
                  <c:v>197.4</c:v>
                </c:pt>
                <c:pt idx="3674">
                  <c:v>201.3</c:v>
                </c:pt>
                <c:pt idx="3675">
                  <c:v>197.6</c:v>
                </c:pt>
                <c:pt idx="3676">
                  <c:v>194.3</c:v>
                </c:pt>
                <c:pt idx="3677">
                  <c:v>197.6</c:v>
                </c:pt>
                <c:pt idx="3678">
                  <c:v>210.8</c:v>
                </c:pt>
                <c:pt idx="3679">
                  <c:v>226.6</c:v>
                </c:pt>
                <c:pt idx="3680">
                  <c:v>238.9</c:v>
                </c:pt>
                <c:pt idx="3681">
                  <c:v>242.7</c:v>
                </c:pt>
                <c:pt idx="3682">
                  <c:v>226.3</c:v>
                </c:pt>
                <c:pt idx="3683">
                  <c:v>221.3</c:v>
                </c:pt>
                <c:pt idx="3684">
                  <c:v>210.2</c:v>
                </c:pt>
                <c:pt idx="3685">
                  <c:v>201.1</c:v>
                </c:pt>
                <c:pt idx="3686">
                  <c:v>197.7</c:v>
                </c:pt>
                <c:pt idx="3687">
                  <c:v>194.8</c:v>
                </c:pt>
                <c:pt idx="3688">
                  <c:v>185.5</c:v>
                </c:pt>
                <c:pt idx="3689">
                  <c:v>179.3</c:v>
                </c:pt>
                <c:pt idx="3690">
                  <c:v>183.8</c:v>
                </c:pt>
                <c:pt idx="3691">
                  <c:v>194.6</c:v>
                </c:pt>
                <c:pt idx="3692">
                  <c:v>199.3</c:v>
                </c:pt>
                <c:pt idx="3693">
                  <c:v>196.4</c:v>
                </c:pt>
                <c:pt idx="3694">
                  <c:v>195.7</c:v>
                </c:pt>
                <c:pt idx="3695">
                  <c:v>199.5</c:v>
                </c:pt>
                <c:pt idx="3696">
                  <c:v>198.4</c:v>
                </c:pt>
                <c:pt idx="3697">
                  <c:v>199.7</c:v>
                </c:pt>
                <c:pt idx="3698">
                  <c:v>207.3</c:v>
                </c:pt>
                <c:pt idx="3699">
                  <c:v>215.2</c:v>
                </c:pt>
                <c:pt idx="3700">
                  <c:v>217.3</c:v>
                </c:pt>
                <c:pt idx="3701">
                  <c:v>212.3</c:v>
                </c:pt>
                <c:pt idx="3702">
                  <c:v>214.4</c:v>
                </c:pt>
                <c:pt idx="3703">
                  <c:v>231.9</c:v>
                </c:pt>
                <c:pt idx="3704">
                  <c:v>247.8</c:v>
                </c:pt>
                <c:pt idx="3705">
                  <c:v>241.9</c:v>
                </c:pt>
                <c:pt idx="3706">
                  <c:v>219.4</c:v>
                </c:pt>
                <c:pt idx="3707">
                  <c:v>195.2</c:v>
                </c:pt>
                <c:pt idx="3708">
                  <c:v>181.7</c:v>
                </c:pt>
                <c:pt idx="3709">
                  <c:v>180.9</c:v>
                </c:pt>
                <c:pt idx="3710">
                  <c:v>190.9</c:v>
                </c:pt>
                <c:pt idx="3711">
                  <c:v>195.7</c:v>
                </c:pt>
                <c:pt idx="3712">
                  <c:v>203.4</c:v>
                </c:pt>
                <c:pt idx="3713">
                  <c:v>219</c:v>
                </c:pt>
                <c:pt idx="3714">
                  <c:v>233.2</c:v>
                </c:pt>
                <c:pt idx="3715">
                  <c:v>242.9</c:v>
                </c:pt>
                <c:pt idx="3716">
                  <c:v>244</c:v>
                </c:pt>
                <c:pt idx="3717">
                  <c:v>244.4</c:v>
                </c:pt>
                <c:pt idx="3718">
                  <c:v>240.7</c:v>
                </c:pt>
                <c:pt idx="3719">
                  <c:v>234.3</c:v>
                </c:pt>
                <c:pt idx="3720">
                  <c:v>233.7</c:v>
                </c:pt>
                <c:pt idx="3721">
                  <c:v>232.9</c:v>
                </c:pt>
                <c:pt idx="3722">
                  <c:v>229.1</c:v>
                </c:pt>
                <c:pt idx="3723">
                  <c:v>224.7</c:v>
                </c:pt>
                <c:pt idx="3724">
                  <c:v>214.8</c:v>
                </c:pt>
                <c:pt idx="3725">
                  <c:v>207.5</c:v>
                </c:pt>
                <c:pt idx="3726">
                  <c:v>207.2</c:v>
                </c:pt>
                <c:pt idx="3727">
                  <c:v>212.4</c:v>
                </c:pt>
                <c:pt idx="3728">
                  <c:v>225.3</c:v>
                </c:pt>
                <c:pt idx="3729">
                  <c:v>238.6</c:v>
                </c:pt>
                <c:pt idx="3730">
                  <c:v>239.2</c:v>
                </c:pt>
                <c:pt idx="3731">
                  <c:v>231.9</c:v>
                </c:pt>
                <c:pt idx="3732">
                  <c:v>229.1</c:v>
                </c:pt>
                <c:pt idx="3733">
                  <c:v>232.9</c:v>
                </c:pt>
                <c:pt idx="3734">
                  <c:v>238.4</c:v>
                </c:pt>
                <c:pt idx="3735">
                  <c:v>248.5</c:v>
                </c:pt>
                <c:pt idx="3736">
                  <c:v>261.3</c:v>
                </c:pt>
                <c:pt idx="3737">
                  <c:v>265.8</c:v>
                </c:pt>
                <c:pt idx="3738">
                  <c:v>263.8</c:v>
                </c:pt>
                <c:pt idx="3739">
                  <c:v>257.10000000000002</c:v>
                </c:pt>
                <c:pt idx="3740">
                  <c:v>247.3</c:v>
                </c:pt>
                <c:pt idx="3741">
                  <c:v>238.4</c:v>
                </c:pt>
                <c:pt idx="3742">
                  <c:v>219.1</c:v>
                </c:pt>
                <c:pt idx="3743">
                  <c:v>202.4</c:v>
                </c:pt>
                <c:pt idx="3744">
                  <c:v>196.1</c:v>
                </c:pt>
                <c:pt idx="3745">
                  <c:v>199.1</c:v>
                </c:pt>
                <c:pt idx="3746">
                  <c:v>209.5</c:v>
                </c:pt>
                <c:pt idx="3747">
                  <c:v>221.1</c:v>
                </c:pt>
                <c:pt idx="3748">
                  <c:v>231.4</c:v>
                </c:pt>
                <c:pt idx="3749">
                  <c:v>233.5</c:v>
                </c:pt>
                <c:pt idx="3750">
                  <c:v>229.4</c:v>
                </c:pt>
                <c:pt idx="3751">
                  <c:v>225.1</c:v>
                </c:pt>
                <c:pt idx="3752">
                  <c:v>214.3</c:v>
                </c:pt>
                <c:pt idx="3753">
                  <c:v>211.4</c:v>
                </c:pt>
                <c:pt idx="3754">
                  <c:v>214.9</c:v>
                </c:pt>
                <c:pt idx="3755">
                  <c:v>219.6</c:v>
                </c:pt>
                <c:pt idx="3756">
                  <c:v>215.2</c:v>
                </c:pt>
                <c:pt idx="3757">
                  <c:v>207.4</c:v>
                </c:pt>
                <c:pt idx="3758">
                  <c:v>199</c:v>
                </c:pt>
                <c:pt idx="3759">
                  <c:v>184.7</c:v>
                </c:pt>
                <c:pt idx="3760">
                  <c:v>174.8</c:v>
                </c:pt>
                <c:pt idx="3761">
                  <c:v>175.8</c:v>
                </c:pt>
                <c:pt idx="3762">
                  <c:v>190.5</c:v>
                </c:pt>
                <c:pt idx="3763">
                  <c:v>208</c:v>
                </c:pt>
                <c:pt idx="3764">
                  <c:v>219.8</c:v>
                </c:pt>
                <c:pt idx="3765">
                  <c:v>224.8</c:v>
                </c:pt>
                <c:pt idx="3766">
                  <c:v>224.9</c:v>
                </c:pt>
                <c:pt idx="3767">
                  <c:v>215.8</c:v>
                </c:pt>
                <c:pt idx="3768">
                  <c:v>200.4</c:v>
                </c:pt>
                <c:pt idx="3769">
                  <c:v>186.3</c:v>
                </c:pt>
                <c:pt idx="3770">
                  <c:v>184.4</c:v>
                </c:pt>
                <c:pt idx="3771">
                  <c:v>195.2</c:v>
                </c:pt>
                <c:pt idx="3772">
                  <c:v>199.9</c:v>
                </c:pt>
                <c:pt idx="3773">
                  <c:v>192.5</c:v>
                </c:pt>
                <c:pt idx="3774">
                  <c:v>177</c:v>
                </c:pt>
                <c:pt idx="3775">
                  <c:v>161.1</c:v>
                </c:pt>
                <c:pt idx="3776">
                  <c:v>153.69999999999999</c:v>
                </c:pt>
                <c:pt idx="3777">
                  <c:v>156</c:v>
                </c:pt>
                <c:pt idx="3778">
                  <c:v>161.4</c:v>
                </c:pt>
                <c:pt idx="3779">
                  <c:v>161.4</c:v>
                </c:pt>
                <c:pt idx="3780">
                  <c:v>160.4</c:v>
                </c:pt>
                <c:pt idx="3781">
                  <c:v>167</c:v>
                </c:pt>
                <c:pt idx="3782">
                  <c:v>181.8</c:v>
                </c:pt>
                <c:pt idx="3783">
                  <c:v>197.3</c:v>
                </c:pt>
                <c:pt idx="3784">
                  <c:v>210.8</c:v>
                </c:pt>
                <c:pt idx="3785">
                  <c:v>222.3</c:v>
                </c:pt>
                <c:pt idx="3786">
                  <c:v>226.4</c:v>
                </c:pt>
                <c:pt idx="3787">
                  <c:v>224.3</c:v>
                </c:pt>
                <c:pt idx="3788">
                  <c:v>222.4</c:v>
                </c:pt>
                <c:pt idx="3789">
                  <c:v>217.8</c:v>
                </c:pt>
                <c:pt idx="3790">
                  <c:v>211.2</c:v>
                </c:pt>
                <c:pt idx="3791">
                  <c:v>208.4</c:v>
                </c:pt>
                <c:pt idx="3792">
                  <c:v>213</c:v>
                </c:pt>
                <c:pt idx="3793">
                  <c:v>220.6</c:v>
                </c:pt>
                <c:pt idx="3794">
                  <c:v>215.1</c:v>
                </c:pt>
                <c:pt idx="3795">
                  <c:v>198.8</c:v>
                </c:pt>
                <c:pt idx="3796">
                  <c:v>178.8</c:v>
                </c:pt>
                <c:pt idx="3797">
                  <c:v>165.9</c:v>
                </c:pt>
                <c:pt idx="3798">
                  <c:v>167.3</c:v>
                </c:pt>
                <c:pt idx="3799">
                  <c:v>178.4</c:v>
                </c:pt>
                <c:pt idx="3800">
                  <c:v>186.9</c:v>
                </c:pt>
                <c:pt idx="3801">
                  <c:v>187.7</c:v>
                </c:pt>
                <c:pt idx="3802">
                  <c:v>141.80000000000001</c:v>
                </c:pt>
                <c:pt idx="3803">
                  <c:v>134.30000000000001</c:v>
                </c:pt>
                <c:pt idx="3804">
                  <c:v>125.7</c:v>
                </c:pt>
                <c:pt idx="3805">
                  <c:v>115.8</c:v>
                </c:pt>
                <c:pt idx="3806">
                  <c:v>106.3</c:v>
                </c:pt>
                <c:pt idx="3807">
                  <c:v>98.3</c:v>
                </c:pt>
                <c:pt idx="3808">
                  <c:v>92.8</c:v>
                </c:pt>
                <c:pt idx="3809">
                  <c:v>89.4</c:v>
                </c:pt>
                <c:pt idx="3810">
                  <c:v>87.1</c:v>
                </c:pt>
                <c:pt idx="3811">
                  <c:v>85.7</c:v>
                </c:pt>
                <c:pt idx="3812">
                  <c:v>84.9</c:v>
                </c:pt>
                <c:pt idx="3813">
                  <c:v>84.6</c:v>
                </c:pt>
                <c:pt idx="3814">
                  <c:v>85.2</c:v>
                </c:pt>
                <c:pt idx="3815">
                  <c:v>86.6</c:v>
                </c:pt>
                <c:pt idx="3816">
                  <c:v>87.8</c:v>
                </c:pt>
                <c:pt idx="3817">
                  <c:v>87.9</c:v>
                </c:pt>
                <c:pt idx="3818">
                  <c:v>87.1</c:v>
                </c:pt>
                <c:pt idx="3819">
                  <c:v>85.8</c:v>
                </c:pt>
                <c:pt idx="3820">
                  <c:v>84.8</c:v>
                </c:pt>
                <c:pt idx="3821">
                  <c:v>84.2</c:v>
                </c:pt>
                <c:pt idx="3822">
                  <c:v>83.8</c:v>
                </c:pt>
                <c:pt idx="3823">
                  <c:v>83.5</c:v>
                </c:pt>
                <c:pt idx="3824">
                  <c:v>83.3</c:v>
                </c:pt>
                <c:pt idx="3825">
                  <c:v>83.2</c:v>
                </c:pt>
                <c:pt idx="3826">
                  <c:v>83.1</c:v>
                </c:pt>
                <c:pt idx="3827">
                  <c:v>83.6</c:v>
                </c:pt>
                <c:pt idx="3828">
                  <c:v>84.6</c:v>
                </c:pt>
                <c:pt idx="3829">
                  <c:v>85.8</c:v>
                </c:pt>
                <c:pt idx="3830">
                  <c:v>86</c:v>
                </c:pt>
                <c:pt idx="3831">
                  <c:v>85.5</c:v>
                </c:pt>
                <c:pt idx="3832">
                  <c:v>61.7</c:v>
                </c:pt>
                <c:pt idx="3833">
                  <c:v>61.1</c:v>
                </c:pt>
                <c:pt idx="3834">
                  <c:v>60.8</c:v>
                </c:pt>
                <c:pt idx="3835">
                  <c:v>60.6</c:v>
                </c:pt>
                <c:pt idx="3836">
                  <c:v>60.5</c:v>
                </c:pt>
                <c:pt idx="3837">
                  <c:v>60.4</c:v>
                </c:pt>
                <c:pt idx="3838">
                  <c:v>60.4</c:v>
                </c:pt>
                <c:pt idx="3839">
                  <c:v>60.4</c:v>
                </c:pt>
                <c:pt idx="3840">
                  <c:v>60.4</c:v>
                </c:pt>
                <c:pt idx="3841">
                  <c:v>60.4</c:v>
                </c:pt>
                <c:pt idx="3842">
                  <c:v>60.4</c:v>
                </c:pt>
                <c:pt idx="3843">
                  <c:v>60.4</c:v>
                </c:pt>
                <c:pt idx="3844">
                  <c:v>60.4</c:v>
                </c:pt>
                <c:pt idx="3845">
                  <c:v>60.4</c:v>
                </c:pt>
                <c:pt idx="3846">
                  <c:v>60.6</c:v>
                </c:pt>
                <c:pt idx="3847">
                  <c:v>61.4</c:v>
                </c:pt>
                <c:pt idx="3848">
                  <c:v>62.3</c:v>
                </c:pt>
                <c:pt idx="3849">
                  <c:v>62.5</c:v>
                </c:pt>
                <c:pt idx="3850">
                  <c:v>62.1</c:v>
                </c:pt>
                <c:pt idx="3851">
                  <c:v>61.5</c:v>
                </c:pt>
                <c:pt idx="3852">
                  <c:v>60.9</c:v>
                </c:pt>
                <c:pt idx="3853">
                  <c:v>60.6</c:v>
                </c:pt>
                <c:pt idx="3854">
                  <c:v>60.4</c:v>
                </c:pt>
                <c:pt idx="3855">
                  <c:v>60.3</c:v>
                </c:pt>
                <c:pt idx="3856">
                  <c:v>60.2</c:v>
                </c:pt>
                <c:pt idx="3857">
                  <c:v>60.1</c:v>
                </c:pt>
                <c:pt idx="3858">
                  <c:v>60.1</c:v>
                </c:pt>
                <c:pt idx="3859">
                  <c:v>60.3</c:v>
                </c:pt>
                <c:pt idx="3860">
                  <c:v>60.5</c:v>
                </c:pt>
                <c:pt idx="3861">
                  <c:v>61</c:v>
                </c:pt>
                <c:pt idx="3862">
                  <c:v>61.6</c:v>
                </c:pt>
                <c:pt idx="3863">
                  <c:v>72.2</c:v>
                </c:pt>
                <c:pt idx="3864">
                  <c:v>84.3</c:v>
                </c:pt>
                <c:pt idx="3865">
                  <c:v>98.1</c:v>
                </c:pt>
                <c:pt idx="3866">
                  <c:v>101.6</c:v>
                </c:pt>
                <c:pt idx="3867">
                  <c:v>98.4</c:v>
                </c:pt>
                <c:pt idx="3868">
                  <c:v>93.8</c:v>
                </c:pt>
                <c:pt idx="3869">
                  <c:v>92.7</c:v>
                </c:pt>
                <c:pt idx="3870">
                  <c:v>96.3</c:v>
                </c:pt>
                <c:pt idx="3871">
                  <c:v>102.2</c:v>
                </c:pt>
                <c:pt idx="3872">
                  <c:v>107.9</c:v>
                </c:pt>
                <c:pt idx="3873">
                  <c:v>110.1</c:v>
                </c:pt>
                <c:pt idx="3874">
                  <c:v>106</c:v>
                </c:pt>
                <c:pt idx="3875">
                  <c:v>99</c:v>
                </c:pt>
                <c:pt idx="3876">
                  <c:v>91.1</c:v>
                </c:pt>
                <c:pt idx="3877">
                  <c:v>83.7</c:v>
                </c:pt>
                <c:pt idx="3878">
                  <c:v>78.099999999999994</c:v>
                </c:pt>
                <c:pt idx="3879">
                  <c:v>73.8</c:v>
                </c:pt>
                <c:pt idx="3880">
                  <c:v>71</c:v>
                </c:pt>
                <c:pt idx="3881">
                  <c:v>70.400000000000006</c:v>
                </c:pt>
                <c:pt idx="3882">
                  <c:v>71.8</c:v>
                </c:pt>
                <c:pt idx="3883">
                  <c:v>73.3</c:v>
                </c:pt>
                <c:pt idx="3884">
                  <c:v>73</c:v>
                </c:pt>
                <c:pt idx="3885">
                  <c:v>71.3</c:v>
                </c:pt>
                <c:pt idx="3886">
                  <c:v>70.7</c:v>
                </c:pt>
                <c:pt idx="3887">
                  <c:v>72.2</c:v>
                </c:pt>
                <c:pt idx="3888">
                  <c:v>75.400000000000006</c:v>
                </c:pt>
                <c:pt idx="3889">
                  <c:v>77.3</c:v>
                </c:pt>
                <c:pt idx="3890">
                  <c:v>79.400000000000006</c:v>
                </c:pt>
                <c:pt idx="3891">
                  <c:v>81.8</c:v>
                </c:pt>
                <c:pt idx="3892">
                  <c:v>84</c:v>
                </c:pt>
                <c:pt idx="3893">
                  <c:v>84.8</c:v>
                </c:pt>
                <c:pt idx="3894">
                  <c:v>110</c:v>
                </c:pt>
                <c:pt idx="3895">
                  <c:v>111.2</c:v>
                </c:pt>
                <c:pt idx="3896">
                  <c:v>117.7</c:v>
                </c:pt>
                <c:pt idx="3897">
                  <c:v>126.1</c:v>
                </c:pt>
                <c:pt idx="3898">
                  <c:v>129.5</c:v>
                </c:pt>
                <c:pt idx="3899">
                  <c:v>131.80000000000001</c:v>
                </c:pt>
                <c:pt idx="3900">
                  <c:v>133.4</c:v>
                </c:pt>
                <c:pt idx="3901">
                  <c:v>130.6</c:v>
                </c:pt>
                <c:pt idx="3902">
                  <c:v>124.7</c:v>
                </c:pt>
                <c:pt idx="3903">
                  <c:v>116.7</c:v>
                </c:pt>
                <c:pt idx="3904">
                  <c:v>112.2</c:v>
                </c:pt>
                <c:pt idx="3905">
                  <c:v>115.3</c:v>
                </c:pt>
                <c:pt idx="3906">
                  <c:v>122.9</c:v>
                </c:pt>
                <c:pt idx="3907">
                  <c:v>130.6</c:v>
                </c:pt>
                <c:pt idx="3908">
                  <c:v>140.19999999999999</c:v>
                </c:pt>
                <c:pt idx="3909">
                  <c:v>150.30000000000001</c:v>
                </c:pt>
                <c:pt idx="3910">
                  <c:v>153.1</c:v>
                </c:pt>
                <c:pt idx="3911">
                  <c:v>152.5</c:v>
                </c:pt>
                <c:pt idx="3912">
                  <c:v>153.9</c:v>
                </c:pt>
                <c:pt idx="3913">
                  <c:v>159.19999999999999</c:v>
                </c:pt>
                <c:pt idx="3914">
                  <c:v>161.4</c:v>
                </c:pt>
                <c:pt idx="3915">
                  <c:v>155.80000000000001</c:v>
                </c:pt>
                <c:pt idx="3916">
                  <c:v>151.1</c:v>
                </c:pt>
                <c:pt idx="3917">
                  <c:v>153.5</c:v>
                </c:pt>
                <c:pt idx="3918">
                  <c:v>160.4</c:v>
                </c:pt>
                <c:pt idx="3919">
                  <c:v>160.4</c:v>
                </c:pt>
                <c:pt idx="3920">
                  <c:v>156.19999999999999</c:v>
                </c:pt>
                <c:pt idx="3921">
                  <c:v>153.9</c:v>
                </c:pt>
                <c:pt idx="3922">
                  <c:v>161.1</c:v>
                </c:pt>
                <c:pt idx="3923">
                  <c:v>177.3</c:v>
                </c:pt>
                <c:pt idx="3924">
                  <c:v>210.7</c:v>
                </c:pt>
                <c:pt idx="3925">
                  <c:v>223.9</c:v>
                </c:pt>
                <c:pt idx="3926">
                  <c:v>225.2</c:v>
                </c:pt>
                <c:pt idx="3927">
                  <c:v>214.7</c:v>
                </c:pt>
                <c:pt idx="3928">
                  <c:v>195.7</c:v>
                </c:pt>
                <c:pt idx="3929">
                  <c:v>179.9</c:v>
                </c:pt>
                <c:pt idx="3930">
                  <c:v>176.4</c:v>
                </c:pt>
                <c:pt idx="3931">
                  <c:v>182.1</c:v>
                </c:pt>
                <c:pt idx="3932">
                  <c:v>192.3</c:v>
                </c:pt>
                <c:pt idx="3933">
                  <c:v>202.2</c:v>
                </c:pt>
                <c:pt idx="3934">
                  <c:v>216.3</c:v>
                </c:pt>
                <c:pt idx="3935">
                  <c:v>225.8</c:v>
                </c:pt>
                <c:pt idx="3936">
                  <c:v>225.2</c:v>
                </c:pt>
                <c:pt idx="3937">
                  <c:v>217.5</c:v>
                </c:pt>
                <c:pt idx="3938">
                  <c:v>214.1</c:v>
                </c:pt>
                <c:pt idx="3939">
                  <c:v>217.9</c:v>
                </c:pt>
                <c:pt idx="3940">
                  <c:v>221.9</c:v>
                </c:pt>
                <c:pt idx="3941">
                  <c:v>218.9</c:v>
                </c:pt>
                <c:pt idx="3942">
                  <c:v>215.5</c:v>
                </c:pt>
                <c:pt idx="3943">
                  <c:v>211</c:v>
                </c:pt>
                <c:pt idx="3944">
                  <c:v>209.2</c:v>
                </c:pt>
                <c:pt idx="3945">
                  <c:v>211.3</c:v>
                </c:pt>
                <c:pt idx="3946">
                  <c:v>211.5</c:v>
                </c:pt>
                <c:pt idx="3947">
                  <c:v>208.3</c:v>
                </c:pt>
                <c:pt idx="3948">
                  <c:v>204.5</c:v>
                </c:pt>
                <c:pt idx="3949">
                  <c:v>196.1</c:v>
                </c:pt>
                <c:pt idx="3950">
                  <c:v>180.4</c:v>
                </c:pt>
                <c:pt idx="3951">
                  <c:v>167.1</c:v>
                </c:pt>
                <c:pt idx="3952">
                  <c:v>166.2</c:v>
                </c:pt>
                <c:pt idx="3953">
                  <c:v>178.6</c:v>
                </c:pt>
                <c:pt idx="3954">
                  <c:v>191.6</c:v>
                </c:pt>
                <c:pt idx="3955">
                  <c:v>206.4</c:v>
                </c:pt>
                <c:pt idx="3956">
                  <c:v>205.6</c:v>
                </c:pt>
                <c:pt idx="3957">
                  <c:v>206.6</c:v>
                </c:pt>
                <c:pt idx="3958">
                  <c:v>215.6</c:v>
                </c:pt>
                <c:pt idx="3959">
                  <c:v>229.7</c:v>
                </c:pt>
                <c:pt idx="3960">
                  <c:v>235.9</c:v>
                </c:pt>
                <c:pt idx="3961">
                  <c:v>231.9</c:v>
                </c:pt>
                <c:pt idx="3962">
                  <c:v>225.3</c:v>
                </c:pt>
                <c:pt idx="3963">
                  <c:v>220.5</c:v>
                </c:pt>
                <c:pt idx="3964">
                  <c:v>224.3</c:v>
                </c:pt>
                <c:pt idx="3965">
                  <c:v>237.9</c:v>
                </c:pt>
                <c:pt idx="3966">
                  <c:v>247</c:v>
                </c:pt>
                <c:pt idx="3967">
                  <c:v>249</c:v>
                </c:pt>
                <c:pt idx="3968">
                  <c:v>247</c:v>
                </c:pt>
                <c:pt idx="3969">
                  <c:v>244.9</c:v>
                </c:pt>
                <c:pt idx="3970">
                  <c:v>254.3</c:v>
                </c:pt>
                <c:pt idx="3971">
                  <c:v>269.89999999999998</c:v>
                </c:pt>
                <c:pt idx="3972">
                  <c:v>277.2</c:v>
                </c:pt>
                <c:pt idx="3973">
                  <c:v>269.8</c:v>
                </c:pt>
                <c:pt idx="3974">
                  <c:v>247.8</c:v>
                </c:pt>
                <c:pt idx="3975">
                  <c:v>227.7</c:v>
                </c:pt>
                <c:pt idx="3976">
                  <c:v>226.1</c:v>
                </c:pt>
                <c:pt idx="3977">
                  <c:v>243.7</c:v>
                </c:pt>
                <c:pt idx="3978">
                  <c:v>258</c:v>
                </c:pt>
                <c:pt idx="3979">
                  <c:v>252.5</c:v>
                </c:pt>
                <c:pt idx="3980">
                  <c:v>243.9</c:v>
                </c:pt>
                <c:pt idx="3981">
                  <c:v>239.9</c:v>
                </c:pt>
                <c:pt idx="3982">
                  <c:v>237.2</c:v>
                </c:pt>
                <c:pt idx="3983">
                  <c:v>236.2</c:v>
                </c:pt>
                <c:pt idx="3984">
                  <c:v>234.7</c:v>
                </c:pt>
                <c:pt idx="3985">
                  <c:v>240.7</c:v>
                </c:pt>
                <c:pt idx="3986">
                  <c:v>235.9</c:v>
                </c:pt>
                <c:pt idx="3987">
                  <c:v>234.9</c:v>
                </c:pt>
                <c:pt idx="3988">
                  <c:v>237.1</c:v>
                </c:pt>
                <c:pt idx="3989">
                  <c:v>244.4</c:v>
                </c:pt>
                <c:pt idx="3990">
                  <c:v>251</c:v>
                </c:pt>
                <c:pt idx="3991">
                  <c:v>249.9</c:v>
                </c:pt>
                <c:pt idx="3992">
                  <c:v>243.4</c:v>
                </c:pt>
                <c:pt idx="3993">
                  <c:v>234.4</c:v>
                </c:pt>
                <c:pt idx="3994">
                  <c:v>218.6</c:v>
                </c:pt>
                <c:pt idx="3995">
                  <c:v>201.3</c:v>
                </c:pt>
                <c:pt idx="3996">
                  <c:v>185.6</c:v>
                </c:pt>
                <c:pt idx="3997">
                  <c:v>176</c:v>
                </c:pt>
                <c:pt idx="3998">
                  <c:v>178.6</c:v>
                </c:pt>
                <c:pt idx="3999">
                  <c:v>189.5</c:v>
                </c:pt>
                <c:pt idx="4000">
                  <c:v>198.5</c:v>
                </c:pt>
                <c:pt idx="4001">
                  <c:v>206.2</c:v>
                </c:pt>
                <c:pt idx="4002">
                  <c:v>220.9</c:v>
                </c:pt>
                <c:pt idx="4003">
                  <c:v>238</c:v>
                </c:pt>
                <c:pt idx="4004">
                  <c:v>249.2</c:v>
                </c:pt>
                <c:pt idx="4005">
                  <c:v>251.1</c:v>
                </c:pt>
                <c:pt idx="4006">
                  <c:v>248.6</c:v>
                </c:pt>
                <c:pt idx="4007">
                  <c:v>236.9</c:v>
                </c:pt>
                <c:pt idx="4008">
                  <c:v>222.8</c:v>
                </c:pt>
                <c:pt idx="4009">
                  <c:v>206.6</c:v>
                </c:pt>
                <c:pt idx="4010">
                  <c:v>190.5</c:v>
                </c:pt>
                <c:pt idx="4011">
                  <c:v>177.4</c:v>
                </c:pt>
                <c:pt idx="4012">
                  <c:v>175.5</c:v>
                </c:pt>
                <c:pt idx="4013">
                  <c:v>187.7</c:v>
                </c:pt>
                <c:pt idx="4014">
                  <c:v>207.8</c:v>
                </c:pt>
                <c:pt idx="4015">
                  <c:v>219.2</c:v>
                </c:pt>
                <c:pt idx="4016">
                  <c:v>221.4</c:v>
                </c:pt>
                <c:pt idx="4017">
                  <c:v>225.3</c:v>
                </c:pt>
                <c:pt idx="4018">
                  <c:v>236.1</c:v>
                </c:pt>
                <c:pt idx="4019">
                  <c:v>251</c:v>
                </c:pt>
                <c:pt idx="4020">
                  <c:v>256.60000000000002</c:v>
                </c:pt>
                <c:pt idx="4021">
                  <c:v>257.5</c:v>
                </c:pt>
                <c:pt idx="4022">
                  <c:v>253.6</c:v>
                </c:pt>
                <c:pt idx="4023">
                  <c:v>249.1</c:v>
                </c:pt>
                <c:pt idx="4024">
                  <c:v>241.3</c:v>
                </c:pt>
                <c:pt idx="4025">
                  <c:v>229.7</c:v>
                </c:pt>
                <c:pt idx="4026">
                  <c:v>216</c:v>
                </c:pt>
                <c:pt idx="4027">
                  <c:v>196.6</c:v>
                </c:pt>
                <c:pt idx="4028">
                  <c:v>179</c:v>
                </c:pt>
                <c:pt idx="4029">
                  <c:v>172.8</c:v>
                </c:pt>
                <c:pt idx="4030">
                  <c:v>180.4</c:v>
                </c:pt>
                <c:pt idx="4031">
                  <c:v>195.3</c:v>
                </c:pt>
                <c:pt idx="4032">
                  <c:v>203.6</c:v>
                </c:pt>
                <c:pt idx="4033">
                  <c:v>205.8</c:v>
                </c:pt>
                <c:pt idx="4034">
                  <c:v>197.2</c:v>
                </c:pt>
                <c:pt idx="4035">
                  <c:v>189.5</c:v>
                </c:pt>
                <c:pt idx="4036">
                  <c:v>191.4</c:v>
                </c:pt>
                <c:pt idx="4037">
                  <c:v>198.5</c:v>
                </c:pt>
                <c:pt idx="4038">
                  <c:v>199.8</c:v>
                </c:pt>
                <c:pt idx="4039">
                  <c:v>192.8</c:v>
                </c:pt>
                <c:pt idx="4040">
                  <c:v>179.4</c:v>
                </c:pt>
                <c:pt idx="4041">
                  <c:v>173.6</c:v>
                </c:pt>
                <c:pt idx="4042">
                  <c:v>182.4</c:v>
                </c:pt>
                <c:pt idx="4043">
                  <c:v>197.3</c:v>
                </c:pt>
                <c:pt idx="4044">
                  <c:v>200.6</c:v>
                </c:pt>
                <c:pt idx="4045">
                  <c:v>193.4</c:v>
                </c:pt>
                <c:pt idx="4046">
                  <c:v>180.6</c:v>
                </c:pt>
                <c:pt idx="4047">
                  <c:v>153.1</c:v>
                </c:pt>
                <c:pt idx="4048">
                  <c:v>149.6</c:v>
                </c:pt>
                <c:pt idx="4049">
                  <c:v>149.6</c:v>
                </c:pt>
                <c:pt idx="4050">
                  <c:v>155.6</c:v>
                </c:pt>
                <c:pt idx="4051">
                  <c:v>162.80000000000001</c:v>
                </c:pt>
                <c:pt idx="4052">
                  <c:v>160.6</c:v>
                </c:pt>
                <c:pt idx="4053">
                  <c:v>157.9</c:v>
                </c:pt>
                <c:pt idx="4054">
                  <c:v>157.80000000000001</c:v>
                </c:pt>
                <c:pt idx="4055">
                  <c:v>160.69999999999999</c:v>
                </c:pt>
                <c:pt idx="4056">
                  <c:v>162.80000000000001</c:v>
                </c:pt>
                <c:pt idx="4057">
                  <c:v>161.4</c:v>
                </c:pt>
                <c:pt idx="4058">
                  <c:v>154.4</c:v>
                </c:pt>
                <c:pt idx="4059">
                  <c:v>147.5</c:v>
                </c:pt>
                <c:pt idx="4060">
                  <c:v>144.9</c:v>
                </c:pt>
                <c:pt idx="4061">
                  <c:v>145.6</c:v>
                </c:pt>
                <c:pt idx="4062">
                  <c:v>154.4</c:v>
                </c:pt>
                <c:pt idx="4063">
                  <c:v>165.2</c:v>
                </c:pt>
                <c:pt idx="4064">
                  <c:v>172.2</c:v>
                </c:pt>
                <c:pt idx="4065">
                  <c:v>171.1</c:v>
                </c:pt>
                <c:pt idx="4066">
                  <c:v>164.2</c:v>
                </c:pt>
                <c:pt idx="4067">
                  <c:v>152.80000000000001</c:v>
                </c:pt>
                <c:pt idx="4068">
                  <c:v>150.6</c:v>
                </c:pt>
                <c:pt idx="4069">
                  <c:v>165.9</c:v>
                </c:pt>
                <c:pt idx="4070">
                  <c:v>190.9</c:v>
                </c:pt>
                <c:pt idx="4071">
                  <c:v>202.5</c:v>
                </c:pt>
                <c:pt idx="4072">
                  <c:v>203.9</c:v>
                </c:pt>
                <c:pt idx="4073">
                  <c:v>199.1</c:v>
                </c:pt>
                <c:pt idx="4074">
                  <c:v>190.8</c:v>
                </c:pt>
                <c:pt idx="4075">
                  <c:v>181.4</c:v>
                </c:pt>
                <c:pt idx="4076">
                  <c:v>182.3</c:v>
                </c:pt>
                <c:pt idx="4077">
                  <c:v>178.2</c:v>
                </c:pt>
                <c:pt idx="4078">
                  <c:v>174.2</c:v>
                </c:pt>
                <c:pt idx="4079">
                  <c:v>169.7</c:v>
                </c:pt>
                <c:pt idx="4080">
                  <c:v>162.80000000000001</c:v>
                </c:pt>
                <c:pt idx="4081">
                  <c:v>157.5</c:v>
                </c:pt>
                <c:pt idx="4082">
                  <c:v>161.30000000000001</c:v>
                </c:pt>
                <c:pt idx="4083">
                  <c:v>178</c:v>
                </c:pt>
                <c:pt idx="4084">
                  <c:v>201.6</c:v>
                </c:pt>
                <c:pt idx="4085">
                  <c:v>216.9</c:v>
                </c:pt>
                <c:pt idx="4086">
                  <c:v>227.4</c:v>
                </c:pt>
                <c:pt idx="4087">
                  <c:v>230.5</c:v>
                </c:pt>
                <c:pt idx="4088">
                  <c:v>224.6</c:v>
                </c:pt>
                <c:pt idx="4089">
                  <c:v>216.4</c:v>
                </c:pt>
                <c:pt idx="4090">
                  <c:v>209.8</c:v>
                </c:pt>
                <c:pt idx="4091">
                  <c:v>204.8</c:v>
                </c:pt>
                <c:pt idx="4092">
                  <c:v>202.8</c:v>
                </c:pt>
                <c:pt idx="4093">
                  <c:v>194.3</c:v>
                </c:pt>
                <c:pt idx="4094">
                  <c:v>184.5</c:v>
                </c:pt>
                <c:pt idx="4095">
                  <c:v>185.2</c:v>
                </c:pt>
                <c:pt idx="4096">
                  <c:v>196.5</c:v>
                </c:pt>
                <c:pt idx="4097">
                  <c:v>206</c:v>
                </c:pt>
                <c:pt idx="4098">
                  <c:v>206.5</c:v>
                </c:pt>
                <c:pt idx="4099">
                  <c:v>203</c:v>
                </c:pt>
                <c:pt idx="4100">
                  <c:v>203.7</c:v>
                </c:pt>
                <c:pt idx="4101">
                  <c:v>205.8</c:v>
                </c:pt>
                <c:pt idx="4102">
                  <c:v>202.1</c:v>
                </c:pt>
                <c:pt idx="4103">
                  <c:v>193.6</c:v>
                </c:pt>
                <c:pt idx="4104">
                  <c:v>183.6</c:v>
                </c:pt>
                <c:pt idx="4105">
                  <c:v>176.3</c:v>
                </c:pt>
                <c:pt idx="4106">
                  <c:v>169</c:v>
                </c:pt>
                <c:pt idx="4107">
                  <c:v>177.3</c:v>
                </c:pt>
                <c:pt idx="4108">
                  <c:v>184.8</c:v>
                </c:pt>
                <c:pt idx="4109">
                  <c:v>192.4</c:v>
                </c:pt>
                <c:pt idx="4110">
                  <c:v>192.7</c:v>
                </c:pt>
                <c:pt idx="4111">
                  <c:v>192.1</c:v>
                </c:pt>
                <c:pt idx="4112">
                  <c:v>193.8</c:v>
                </c:pt>
                <c:pt idx="4113">
                  <c:v>193.1</c:v>
                </c:pt>
                <c:pt idx="4114">
                  <c:v>193.2</c:v>
                </c:pt>
                <c:pt idx="4115">
                  <c:v>196.1</c:v>
                </c:pt>
                <c:pt idx="4116">
                  <c:v>200.1</c:v>
                </c:pt>
                <c:pt idx="4117">
                  <c:v>199.6</c:v>
                </c:pt>
                <c:pt idx="4118">
                  <c:v>200.3</c:v>
                </c:pt>
                <c:pt idx="4119">
                  <c:v>207.3</c:v>
                </c:pt>
                <c:pt idx="4120">
                  <c:v>213.1</c:v>
                </c:pt>
                <c:pt idx="4121">
                  <c:v>211.6</c:v>
                </c:pt>
                <c:pt idx="4122">
                  <c:v>215.8</c:v>
                </c:pt>
                <c:pt idx="4123">
                  <c:v>232.4</c:v>
                </c:pt>
                <c:pt idx="4124">
                  <c:v>251.2</c:v>
                </c:pt>
                <c:pt idx="4125">
                  <c:v>260.89999999999998</c:v>
                </c:pt>
                <c:pt idx="4126">
                  <c:v>256.7</c:v>
                </c:pt>
                <c:pt idx="4127">
                  <c:v>247.8</c:v>
                </c:pt>
                <c:pt idx="4128">
                  <c:v>240.7</c:v>
                </c:pt>
                <c:pt idx="4129">
                  <c:v>225.8</c:v>
                </c:pt>
                <c:pt idx="4130">
                  <c:v>205.3</c:v>
                </c:pt>
                <c:pt idx="4131">
                  <c:v>184.1</c:v>
                </c:pt>
                <c:pt idx="4132">
                  <c:v>170.9</c:v>
                </c:pt>
                <c:pt idx="4133">
                  <c:v>171.4</c:v>
                </c:pt>
                <c:pt idx="4134">
                  <c:v>179.6</c:v>
                </c:pt>
                <c:pt idx="4135">
                  <c:v>186.5</c:v>
                </c:pt>
                <c:pt idx="4136">
                  <c:v>192.3</c:v>
                </c:pt>
                <c:pt idx="4137">
                  <c:v>204.2</c:v>
                </c:pt>
                <c:pt idx="4138">
                  <c:v>215.1</c:v>
                </c:pt>
                <c:pt idx="4139">
                  <c:v>218.3</c:v>
                </c:pt>
                <c:pt idx="4140">
                  <c:v>208.6</c:v>
                </c:pt>
                <c:pt idx="4141">
                  <c:v>195.5</c:v>
                </c:pt>
                <c:pt idx="4142">
                  <c:v>185.2</c:v>
                </c:pt>
                <c:pt idx="4143">
                  <c:v>175.1</c:v>
                </c:pt>
                <c:pt idx="4144">
                  <c:v>165.1</c:v>
                </c:pt>
                <c:pt idx="4145">
                  <c:v>155.1</c:v>
                </c:pt>
                <c:pt idx="4146">
                  <c:v>146.30000000000001</c:v>
                </c:pt>
                <c:pt idx="4147">
                  <c:v>141.19999999999999</c:v>
                </c:pt>
                <c:pt idx="4148">
                  <c:v>142.4</c:v>
                </c:pt>
                <c:pt idx="4149">
                  <c:v>149</c:v>
                </c:pt>
                <c:pt idx="4150">
                  <c:v>156.1</c:v>
                </c:pt>
                <c:pt idx="4151">
                  <c:v>158</c:v>
                </c:pt>
                <c:pt idx="4152">
                  <c:v>155</c:v>
                </c:pt>
                <c:pt idx="4153">
                  <c:v>148.30000000000001</c:v>
                </c:pt>
                <c:pt idx="4154">
                  <c:v>141.30000000000001</c:v>
                </c:pt>
                <c:pt idx="4155">
                  <c:v>135.80000000000001</c:v>
                </c:pt>
                <c:pt idx="4156">
                  <c:v>131.9</c:v>
                </c:pt>
                <c:pt idx="4157">
                  <c:v>130.19999999999999</c:v>
                </c:pt>
                <c:pt idx="4158">
                  <c:v>130.1</c:v>
                </c:pt>
                <c:pt idx="4159">
                  <c:v>130.5</c:v>
                </c:pt>
                <c:pt idx="4160">
                  <c:v>130</c:v>
                </c:pt>
                <c:pt idx="4161">
                  <c:v>128.80000000000001</c:v>
                </c:pt>
                <c:pt idx="4162">
                  <c:v>127.3</c:v>
                </c:pt>
                <c:pt idx="4163">
                  <c:v>126.1</c:v>
                </c:pt>
                <c:pt idx="4164">
                  <c:v>125.5</c:v>
                </c:pt>
                <c:pt idx="4165">
                  <c:v>125.1</c:v>
                </c:pt>
                <c:pt idx="4166">
                  <c:v>126.8</c:v>
                </c:pt>
                <c:pt idx="4167">
                  <c:v>131.30000000000001</c:v>
                </c:pt>
                <c:pt idx="4168">
                  <c:v>95.5</c:v>
                </c:pt>
                <c:pt idx="4169">
                  <c:v>96.5</c:v>
                </c:pt>
                <c:pt idx="4170">
                  <c:v>94.5</c:v>
                </c:pt>
                <c:pt idx="4171">
                  <c:v>91.7</c:v>
                </c:pt>
                <c:pt idx="4172">
                  <c:v>89.9</c:v>
                </c:pt>
                <c:pt idx="4173">
                  <c:v>89.7</c:v>
                </c:pt>
                <c:pt idx="4174">
                  <c:v>89.4</c:v>
                </c:pt>
                <c:pt idx="4175">
                  <c:v>89.3</c:v>
                </c:pt>
                <c:pt idx="4176">
                  <c:v>89.1</c:v>
                </c:pt>
                <c:pt idx="4177">
                  <c:v>88.1</c:v>
                </c:pt>
                <c:pt idx="4178">
                  <c:v>88.7</c:v>
                </c:pt>
                <c:pt idx="4179">
                  <c:v>92.3</c:v>
                </c:pt>
                <c:pt idx="4180">
                  <c:v>97.5</c:v>
                </c:pt>
                <c:pt idx="4181">
                  <c:v>99.6</c:v>
                </c:pt>
                <c:pt idx="4182">
                  <c:v>97.9</c:v>
                </c:pt>
                <c:pt idx="4183">
                  <c:v>94.1</c:v>
                </c:pt>
                <c:pt idx="4184">
                  <c:v>90.2</c:v>
                </c:pt>
                <c:pt idx="4185">
                  <c:v>87.6</c:v>
                </c:pt>
                <c:pt idx="4186">
                  <c:v>86</c:v>
                </c:pt>
                <c:pt idx="4187">
                  <c:v>85</c:v>
                </c:pt>
                <c:pt idx="4188">
                  <c:v>84.4</c:v>
                </c:pt>
                <c:pt idx="4189">
                  <c:v>84.3</c:v>
                </c:pt>
                <c:pt idx="4190">
                  <c:v>84.4</c:v>
                </c:pt>
                <c:pt idx="4191">
                  <c:v>84.3</c:v>
                </c:pt>
                <c:pt idx="4192">
                  <c:v>84</c:v>
                </c:pt>
                <c:pt idx="4193">
                  <c:v>83.9</c:v>
                </c:pt>
                <c:pt idx="4194">
                  <c:v>84.9</c:v>
                </c:pt>
                <c:pt idx="4195">
                  <c:v>87.2</c:v>
                </c:pt>
                <c:pt idx="4196">
                  <c:v>89.5</c:v>
                </c:pt>
                <c:pt idx="4197">
                  <c:v>90</c:v>
                </c:pt>
                <c:pt idx="4198">
                  <c:v>66.3</c:v>
                </c:pt>
                <c:pt idx="4199">
                  <c:v>65</c:v>
                </c:pt>
                <c:pt idx="4200">
                  <c:v>63.7</c:v>
                </c:pt>
                <c:pt idx="4201">
                  <c:v>62.7</c:v>
                </c:pt>
                <c:pt idx="4202">
                  <c:v>61.8</c:v>
                </c:pt>
                <c:pt idx="4203">
                  <c:v>61.1</c:v>
                </c:pt>
                <c:pt idx="4204">
                  <c:v>60.7</c:v>
                </c:pt>
                <c:pt idx="4205">
                  <c:v>60.5</c:v>
                </c:pt>
                <c:pt idx="4206">
                  <c:v>60.3</c:v>
                </c:pt>
                <c:pt idx="4207">
                  <c:v>60.2</c:v>
                </c:pt>
                <c:pt idx="4208">
                  <c:v>60.2</c:v>
                </c:pt>
                <c:pt idx="4209">
                  <c:v>60.4</c:v>
                </c:pt>
                <c:pt idx="4210">
                  <c:v>61.1</c:v>
                </c:pt>
                <c:pt idx="4211">
                  <c:v>62.3</c:v>
                </c:pt>
                <c:pt idx="4212">
                  <c:v>63.6</c:v>
                </c:pt>
                <c:pt idx="4213">
                  <c:v>63.9</c:v>
                </c:pt>
                <c:pt idx="4214">
                  <c:v>63.9</c:v>
                </c:pt>
                <c:pt idx="4215">
                  <c:v>63.9</c:v>
                </c:pt>
                <c:pt idx="4216">
                  <c:v>64</c:v>
                </c:pt>
                <c:pt idx="4217">
                  <c:v>63.9</c:v>
                </c:pt>
                <c:pt idx="4218">
                  <c:v>63.5</c:v>
                </c:pt>
                <c:pt idx="4219">
                  <c:v>62.7</c:v>
                </c:pt>
                <c:pt idx="4220">
                  <c:v>62</c:v>
                </c:pt>
                <c:pt idx="4221">
                  <c:v>61.4</c:v>
                </c:pt>
                <c:pt idx="4222">
                  <c:v>61</c:v>
                </c:pt>
                <c:pt idx="4223">
                  <c:v>60.9</c:v>
                </c:pt>
                <c:pt idx="4224">
                  <c:v>60.8</c:v>
                </c:pt>
                <c:pt idx="4225">
                  <c:v>60.7</c:v>
                </c:pt>
                <c:pt idx="4226">
                  <c:v>60.5</c:v>
                </c:pt>
                <c:pt idx="4227">
                  <c:v>60.5</c:v>
                </c:pt>
                <c:pt idx="4228">
                  <c:v>60.4</c:v>
                </c:pt>
                <c:pt idx="4229">
                  <c:v>66.5</c:v>
                </c:pt>
                <c:pt idx="4230">
                  <c:v>69.3</c:v>
                </c:pt>
                <c:pt idx="4231">
                  <c:v>72.3</c:v>
                </c:pt>
                <c:pt idx="4232">
                  <c:v>73</c:v>
                </c:pt>
                <c:pt idx="4233">
                  <c:v>72.400000000000006</c:v>
                </c:pt>
                <c:pt idx="4234">
                  <c:v>71.400000000000006</c:v>
                </c:pt>
                <c:pt idx="4235">
                  <c:v>73.3</c:v>
                </c:pt>
                <c:pt idx="4236">
                  <c:v>79.900000000000006</c:v>
                </c:pt>
                <c:pt idx="4237">
                  <c:v>88</c:v>
                </c:pt>
                <c:pt idx="4238">
                  <c:v>91.3</c:v>
                </c:pt>
                <c:pt idx="4239">
                  <c:v>90.1</c:v>
                </c:pt>
                <c:pt idx="4240">
                  <c:v>86.8</c:v>
                </c:pt>
                <c:pt idx="4241">
                  <c:v>82.5</c:v>
                </c:pt>
                <c:pt idx="4242">
                  <c:v>79.099999999999994</c:v>
                </c:pt>
                <c:pt idx="4243">
                  <c:v>75.8</c:v>
                </c:pt>
                <c:pt idx="4244">
                  <c:v>72.900000000000006</c:v>
                </c:pt>
                <c:pt idx="4245">
                  <c:v>71.599999999999994</c:v>
                </c:pt>
                <c:pt idx="4246">
                  <c:v>74.5</c:v>
                </c:pt>
                <c:pt idx="4247">
                  <c:v>81.900000000000006</c:v>
                </c:pt>
                <c:pt idx="4248">
                  <c:v>91.2</c:v>
                </c:pt>
                <c:pt idx="4249">
                  <c:v>97.6</c:v>
                </c:pt>
                <c:pt idx="4250">
                  <c:v>99.9</c:v>
                </c:pt>
                <c:pt idx="4251">
                  <c:v>96</c:v>
                </c:pt>
                <c:pt idx="4252">
                  <c:v>90.2</c:v>
                </c:pt>
                <c:pt idx="4253">
                  <c:v>88.5</c:v>
                </c:pt>
                <c:pt idx="4254">
                  <c:v>94.2</c:v>
                </c:pt>
                <c:pt idx="4255">
                  <c:v>103.5</c:v>
                </c:pt>
                <c:pt idx="4256">
                  <c:v>106.7</c:v>
                </c:pt>
                <c:pt idx="4257">
                  <c:v>105.7</c:v>
                </c:pt>
                <c:pt idx="4258">
                  <c:v>107.6</c:v>
                </c:pt>
                <c:pt idx="4259">
                  <c:v>116.3</c:v>
                </c:pt>
                <c:pt idx="4260">
                  <c:v>154.1</c:v>
                </c:pt>
                <c:pt idx="4261">
                  <c:v>159.4</c:v>
                </c:pt>
                <c:pt idx="4262">
                  <c:v>156</c:v>
                </c:pt>
                <c:pt idx="4263">
                  <c:v>143.69999999999999</c:v>
                </c:pt>
                <c:pt idx="4264">
                  <c:v>130.80000000000001</c:v>
                </c:pt>
                <c:pt idx="4265">
                  <c:v>124.4</c:v>
                </c:pt>
                <c:pt idx="4266">
                  <c:v>127.6</c:v>
                </c:pt>
                <c:pt idx="4267">
                  <c:v>135.80000000000001</c:v>
                </c:pt>
                <c:pt idx="4268">
                  <c:v>139.4</c:v>
                </c:pt>
                <c:pt idx="4269">
                  <c:v>134.80000000000001</c:v>
                </c:pt>
                <c:pt idx="4270">
                  <c:v>127.2</c:v>
                </c:pt>
                <c:pt idx="4271">
                  <c:v>122.3</c:v>
                </c:pt>
                <c:pt idx="4272">
                  <c:v>124.3</c:v>
                </c:pt>
                <c:pt idx="4273">
                  <c:v>132.4</c:v>
                </c:pt>
                <c:pt idx="4274">
                  <c:v>140.19999999999999</c:v>
                </c:pt>
                <c:pt idx="4275">
                  <c:v>144.30000000000001</c:v>
                </c:pt>
                <c:pt idx="4276">
                  <c:v>147.69999999999999</c:v>
                </c:pt>
                <c:pt idx="4277">
                  <c:v>150.19999999999999</c:v>
                </c:pt>
                <c:pt idx="4278">
                  <c:v>152.1</c:v>
                </c:pt>
                <c:pt idx="4279">
                  <c:v>155.1</c:v>
                </c:pt>
                <c:pt idx="4280">
                  <c:v>159.9</c:v>
                </c:pt>
                <c:pt idx="4281">
                  <c:v>163.69999999999999</c:v>
                </c:pt>
                <c:pt idx="4282">
                  <c:v>161.19999999999999</c:v>
                </c:pt>
                <c:pt idx="4283">
                  <c:v>158.9</c:v>
                </c:pt>
                <c:pt idx="4284">
                  <c:v>157.5</c:v>
                </c:pt>
                <c:pt idx="4285">
                  <c:v>157.80000000000001</c:v>
                </c:pt>
                <c:pt idx="4286">
                  <c:v>161.69999999999999</c:v>
                </c:pt>
                <c:pt idx="4287">
                  <c:v>170.6</c:v>
                </c:pt>
                <c:pt idx="4288">
                  <c:v>176.2</c:v>
                </c:pt>
                <c:pt idx="4289">
                  <c:v>181.6</c:v>
                </c:pt>
                <c:pt idx="4290">
                  <c:v>197.5</c:v>
                </c:pt>
                <c:pt idx="4291">
                  <c:v>198.3</c:v>
                </c:pt>
                <c:pt idx="4292">
                  <c:v>196.6</c:v>
                </c:pt>
                <c:pt idx="4293">
                  <c:v>191.9</c:v>
                </c:pt>
                <c:pt idx="4294">
                  <c:v>183.6</c:v>
                </c:pt>
                <c:pt idx="4295">
                  <c:v>176.3</c:v>
                </c:pt>
                <c:pt idx="4296">
                  <c:v>177.1</c:v>
                </c:pt>
                <c:pt idx="4297">
                  <c:v>186.7</c:v>
                </c:pt>
                <c:pt idx="4298">
                  <c:v>197.8</c:v>
                </c:pt>
                <c:pt idx="4299">
                  <c:v>199.2</c:v>
                </c:pt>
                <c:pt idx="4300">
                  <c:v>191.9</c:v>
                </c:pt>
                <c:pt idx="4301">
                  <c:v>188.9</c:v>
                </c:pt>
                <c:pt idx="4302">
                  <c:v>192.6</c:v>
                </c:pt>
                <c:pt idx="4303">
                  <c:v>195.6</c:v>
                </c:pt>
                <c:pt idx="4304">
                  <c:v>197.9</c:v>
                </c:pt>
                <c:pt idx="4305">
                  <c:v>199.4</c:v>
                </c:pt>
                <c:pt idx="4306">
                  <c:v>199.5</c:v>
                </c:pt>
                <c:pt idx="4307">
                  <c:v>199.6</c:v>
                </c:pt>
                <c:pt idx="4308">
                  <c:v>201</c:v>
                </c:pt>
                <c:pt idx="4309">
                  <c:v>197.6</c:v>
                </c:pt>
                <c:pt idx="4310">
                  <c:v>195.8</c:v>
                </c:pt>
                <c:pt idx="4311">
                  <c:v>198</c:v>
                </c:pt>
                <c:pt idx="4312">
                  <c:v>201.5</c:v>
                </c:pt>
                <c:pt idx="4313">
                  <c:v>197.5</c:v>
                </c:pt>
                <c:pt idx="4314">
                  <c:v>195</c:v>
                </c:pt>
                <c:pt idx="4315">
                  <c:v>198.1</c:v>
                </c:pt>
                <c:pt idx="4316">
                  <c:v>201.1</c:v>
                </c:pt>
                <c:pt idx="4317">
                  <c:v>203.7</c:v>
                </c:pt>
                <c:pt idx="4318">
                  <c:v>203.5</c:v>
                </c:pt>
                <c:pt idx="4319">
                  <c:v>202.5</c:v>
                </c:pt>
                <c:pt idx="4320">
                  <c:v>200.1</c:v>
                </c:pt>
                <c:pt idx="4321">
                  <c:v>206.4</c:v>
                </c:pt>
                <c:pt idx="4322">
                  <c:v>206.2</c:v>
                </c:pt>
                <c:pt idx="4323">
                  <c:v>215.8</c:v>
                </c:pt>
                <c:pt idx="4324">
                  <c:v>231.9</c:v>
                </c:pt>
                <c:pt idx="4325">
                  <c:v>250.4</c:v>
                </c:pt>
                <c:pt idx="4326">
                  <c:v>262.3</c:v>
                </c:pt>
                <c:pt idx="4327">
                  <c:v>258.89999999999998</c:v>
                </c:pt>
                <c:pt idx="4328">
                  <c:v>249.2</c:v>
                </c:pt>
                <c:pt idx="4329">
                  <c:v>245.4</c:v>
                </c:pt>
                <c:pt idx="4330">
                  <c:v>242.8</c:v>
                </c:pt>
                <c:pt idx="4331">
                  <c:v>231.8</c:v>
                </c:pt>
                <c:pt idx="4332">
                  <c:v>219.9</c:v>
                </c:pt>
                <c:pt idx="4333">
                  <c:v>213.4</c:v>
                </c:pt>
                <c:pt idx="4334">
                  <c:v>212.2</c:v>
                </c:pt>
                <c:pt idx="4335">
                  <c:v>210.3</c:v>
                </c:pt>
                <c:pt idx="4336">
                  <c:v>210.4</c:v>
                </c:pt>
                <c:pt idx="4337">
                  <c:v>213.9</c:v>
                </c:pt>
                <c:pt idx="4338">
                  <c:v>213.9</c:v>
                </c:pt>
                <c:pt idx="4339">
                  <c:v>213.6</c:v>
                </c:pt>
                <c:pt idx="4340">
                  <c:v>219.3</c:v>
                </c:pt>
                <c:pt idx="4341">
                  <c:v>229.7</c:v>
                </c:pt>
                <c:pt idx="4342">
                  <c:v>237.7</c:v>
                </c:pt>
                <c:pt idx="4343">
                  <c:v>250.7</c:v>
                </c:pt>
                <c:pt idx="4344">
                  <c:v>272</c:v>
                </c:pt>
                <c:pt idx="4345">
                  <c:v>292.39999999999998</c:v>
                </c:pt>
                <c:pt idx="4346">
                  <c:v>299.39999999999998</c:v>
                </c:pt>
                <c:pt idx="4347">
                  <c:v>296.7</c:v>
                </c:pt>
                <c:pt idx="4348">
                  <c:v>292.7</c:v>
                </c:pt>
                <c:pt idx="4349">
                  <c:v>282.7</c:v>
                </c:pt>
                <c:pt idx="4350">
                  <c:v>268</c:v>
                </c:pt>
                <c:pt idx="4351">
                  <c:v>256.7</c:v>
                </c:pt>
                <c:pt idx="4352">
                  <c:v>240.8</c:v>
                </c:pt>
                <c:pt idx="4353">
                  <c:v>233.9</c:v>
                </c:pt>
                <c:pt idx="4354">
                  <c:v>236.3</c:v>
                </c:pt>
                <c:pt idx="4355">
                  <c:v>236.7</c:v>
                </c:pt>
                <c:pt idx="4356">
                  <c:v>230.8</c:v>
                </c:pt>
                <c:pt idx="4357">
                  <c:v>222.4</c:v>
                </c:pt>
                <c:pt idx="4358">
                  <c:v>217.9</c:v>
                </c:pt>
                <c:pt idx="4359">
                  <c:v>216.7</c:v>
                </c:pt>
                <c:pt idx="4360">
                  <c:v>220.1</c:v>
                </c:pt>
                <c:pt idx="4361">
                  <c:v>224</c:v>
                </c:pt>
                <c:pt idx="4362">
                  <c:v>229.8</c:v>
                </c:pt>
                <c:pt idx="4363">
                  <c:v>227.1</c:v>
                </c:pt>
                <c:pt idx="4364">
                  <c:v>214.5</c:v>
                </c:pt>
                <c:pt idx="4365">
                  <c:v>201</c:v>
                </c:pt>
                <c:pt idx="4366">
                  <c:v>196.8</c:v>
                </c:pt>
                <c:pt idx="4367">
                  <c:v>208.6</c:v>
                </c:pt>
                <c:pt idx="4368">
                  <c:v>231.6</c:v>
                </c:pt>
                <c:pt idx="4369">
                  <c:v>247.2</c:v>
                </c:pt>
                <c:pt idx="4370">
                  <c:v>248.9</c:v>
                </c:pt>
                <c:pt idx="4371">
                  <c:v>237.5</c:v>
                </c:pt>
                <c:pt idx="4372">
                  <c:v>229.6</c:v>
                </c:pt>
                <c:pt idx="4373">
                  <c:v>230</c:v>
                </c:pt>
                <c:pt idx="4374">
                  <c:v>225.6</c:v>
                </c:pt>
                <c:pt idx="4375">
                  <c:v>214.9</c:v>
                </c:pt>
                <c:pt idx="4376">
                  <c:v>202.3</c:v>
                </c:pt>
                <c:pt idx="4377">
                  <c:v>197.4</c:v>
                </c:pt>
                <c:pt idx="4378">
                  <c:v>207.5</c:v>
                </c:pt>
                <c:pt idx="4379">
                  <c:v>229.5</c:v>
                </c:pt>
                <c:pt idx="4380">
                  <c:v>245.5</c:v>
                </c:pt>
                <c:pt idx="4381">
                  <c:v>256</c:v>
                </c:pt>
                <c:pt idx="4382">
                  <c:v>254.6</c:v>
                </c:pt>
                <c:pt idx="4383">
                  <c:v>251.9</c:v>
                </c:pt>
                <c:pt idx="4384">
                  <c:v>239.2</c:v>
                </c:pt>
                <c:pt idx="4385">
                  <c:v>225</c:v>
                </c:pt>
                <c:pt idx="4386">
                  <c:v>216.3</c:v>
                </c:pt>
                <c:pt idx="4387">
                  <c:v>217</c:v>
                </c:pt>
                <c:pt idx="4388">
                  <c:v>225.7</c:v>
                </c:pt>
                <c:pt idx="4389">
                  <c:v>232.7</c:v>
                </c:pt>
                <c:pt idx="4390">
                  <c:v>229.1</c:v>
                </c:pt>
                <c:pt idx="4391">
                  <c:v>220.9</c:v>
                </c:pt>
                <c:pt idx="4392">
                  <c:v>217.6</c:v>
                </c:pt>
                <c:pt idx="4393">
                  <c:v>218.3</c:v>
                </c:pt>
                <c:pt idx="4394">
                  <c:v>220.2</c:v>
                </c:pt>
                <c:pt idx="4395">
                  <c:v>215.1</c:v>
                </c:pt>
                <c:pt idx="4396">
                  <c:v>200.9</c:v>
                </c:pt>
                <c:pt idx="4397">
                  <c:v>184.3</c:v>
                </c:pt>
                <c:pt idx="4398">
                  <c:v>171.3</c:v>
                </c:pt>
                <c:pt idx="4399">
                  <c:v>165.1</c:v>
                </c:pt>
                <c:pt idx="4400">
                  <c:v>164.4</c:v>
                </c:pt>
                <c:pt idx="4401">
                  <c:v>164.2</c:v>
                </c:pt>
                <c:pt idx="4402">
                  <c:v>166.5</c:v>
                </c:pt>
                <c:pt idx="4403">
                  <c:v>168.8</c:v>
                </c:pt>
                <c:pt idx="4404">
                  <c:v>176.4</c:v>
                </c:pt>
                <c:pt idx="4405">
                  <c:v>185.2</c:v>
                </c:pt>
                <c:pt idx="4406">
                  <c:v>194.6</c:v>
                </c:pt>
                <c:pt idx="4407">
                  <c:v>201.4</c:v>
                </c:pt>
                <c:pt idx="4408">
                  <c:v>208.6</c:v>
                </c:pt>
                <c:pt idx="4409">
                  <c:v>210.5</c:v>
                </c:pt>
                <c:pt idx="4410">
                  <c:v>202.8</c:v>
                </c:pt>
                <c:pt idx="4411">
                  <c:v>196.6</c:v>
                </c:pt>
                <c:pt idx="4412">
                  <c:v>199</c:v>
                </c:pt>
                <c:pt idx="4413">
                  <c:v>187.6</c:v>
                </c:pt>
                <c:pt idx="4414">
                  <c:v>186.3</c:v>
                </c:pt>
                <c:pt idx="4415">
                  <c:v>176</c:v>
                </c:pt>
                <c:pt idx="4416">
                  <c:v>165.2</c:v>
                </c:pt>
                <c:pt idx="4417">
                  <c:v>160.9</c:v>
                </c:pt>
                <c:pt idx="4418">
                  <c:v>163.6</c:v>
                </c:pt>
                <c:pt idx="4419">
                  <c:v>162.5</c:v>
                </c:pt>
                <c:pt idx="4420">
                  <c:v>155.80000000000001</c:v>
                </c:pt>
                <c:pt idx="4421">
                  <c:v>145.69999999999999</c:v>
                </c:pt>
                <c:pt idx="4422">
                  <c:v>141.6</c:v>
                </c:pt>
                <c:pt idx="4423">
                  <c:v>149.80000000000001</c:v>
                </c:pt>
                <c:pt idx="4424">
                  <c:v>164.5</c:v>
                </c:pt>
                <c:pt idx="4425">
                  <c:v>169.9</c:v>
                </c:pt>
                <c:pt idx="4426">
                  <c:v>164.4</c:v>
                </c:pt>
                <c:pt idx="4427">
                  <c:v>154.80000000000001</c:v>
                </c:pt>
                <c:pt idx="4428">
                  <c:v>153.80000000000001</c:v>
                </c:pt>
                <c:pt idx="4429">
                  <c:v>167.8</c:v>
                </c:pt>
                <c:pt idx="4430">
                  <c:v>191.7</c:v>
                </c:pt>
                <c:pt idx="4431">
                  <c:v>209.6</c:v>
                </c:pt>
                <c:pt idx="4432">
                  <c:v>220.1</c:v>
                </c:pt>
                <c:pt idx="4433">
                  <c:v>223.5</c:v>
                </c:pt>
                <c:pt idx="4434">
                  <c:v>223.3</c:v>
                </c:pt>
                <c:pt idx="4435">
                  <c:v>223.5</c:v>
                </c:pt>
                <c:pt idx="4436">
                  <c:v>216.5</c:v>
                </c:pt>
                <c:pt idx="4437">
                  <c:v>202.8</c:v>
                </c:pt>
                <c:pt idx="4438">
                  <c:v>190.8</c:v>
                </c:pt>
                <c:pt idx="4439">
                  <c:v>182.1</c:v>
                </c:pt>
                <c:pt idx="4440">
                  <c:v>172.5</c:v>
                </c:pt>
                <c:pt idx="4441">
                  <c:v>179.9</c:v>
                </c:pt>
                <c:pt idx="4442">
                  <c:v>193.8</c:v>
                </c:pt>
                <c:pt idx="4443">
                  <c:v>217.4</c:v>
                </c:pt>
                <c:pt idx="4444">
                  <c:v>233.3</c:v>
                </c:pt>
                <c:pt idx="4445">
                  <c:v>237.2</c:v>
                </c:pt>
                <c:pt idx="4446">
                  <c:v>242.5</c:v>
                </c:pt>
                <c:pt idx="4447">
                  <c:v>247.8</c:v>
                </c:pt>
                <c:pt idx="4448">
                  <c:v>251.8</c:v>
                </c:pt>
                <c:pt idx="4449">
                  <c:v>235.2</c:v>
                </c:pt>
                <c:pt idx="4450">
                  <c:v>207.7</c:v>
                </c:pt>
                <c:pt idx="4451">
                  <c:v>182.4</c:v>
                </c:pt>
                <c:pt idx="4452">
                  <c:v>168.6</c:v>
                </c:pt>
                <c:pt idx="4453">
                  <c:v>170.2</c:v>
                </c:pt>
                <c:pt idx="4454">
                  <c:v>177.5</c:v>
                </c:pt>
                <c:pt idx="4455">
                  <c:v>185.3</c:v>
                </c:pt>
                <c:pt idx="4456">
                  <c:v>192.7</c:v>
                </c:pt>
                <c:pt idx="4457">
                  <c:v>199.3</c:v>
                </c:pt>
                <c:pt idx="4458">
                  <c:v>203.4</c:v>
                </c:pt>
                <c:pt idx="4459">
                  <c:v>204.3</c:v>
                </c:pt>
                <c:pt idx="4460">
                  <c:v>208.7</c:v>
                </c:pt>
                <c:pt idx="4461">
                  <c:v>214.5</c:v>
                </c:pt>
                <c:pt idx="4462">
                  <c:v>219.4</c:v>
                </c:pt>
                <c:pt idx="4463">
                  <c:v>216.4</c:v>
                </c:pt>
                <c:pt idx="4464">
                  <c:v>206.9</c:v>
                </c:pt>
                <c:pt idx="4465">
                  <c:v>195.5</c:v>
                </c:pt>
                <c:pt idx="4466">
                  <c:v>182.6</c:v>
                </c:pt>
                <c:pt idx="4467">
                  <c:v>173.2</c:v>
                </c:pt>
                <c:pt idx="4468">
                  <c:v>174.3</c:v>
                </c:pt>
                <c:pt idx="4469">
                  <c:v>187</c:v>
                </c:pt>
                <c:pt idx="4470">
                  <c:v>198.5</c:v>
                </c:pt>
                <c:pt idx="4471">
                  <c:v>205</c:v>
                </c:pt>
                <c:pt idx="4472">
                  <c:v>214.7</c:v>
                </c:pt>
                <c:pt idx="4473">
                  <c:v>214.6</c:v>
                </c:pt>
                <c:pt idx="4474">
                  <c:v>213.6</c:v>
                </c:pt>
                <c:pt idx="4475">
                  <c:v>216.4</c:v>
                </c:pt>
                <c:pt idx="4476">
                  <c:v>223.5</c:v>
                </c:pt>
                <c:pt idx="4477">
                  <c:v>228.4</c:v>
                </c:pt>
                <c:pt idx="4478">
                  <c:v>229.1</c:v>
                </c:pt>
                <c:pt idx="4479">
                  <c:v>225.9</c:v>
                </c:pt>
                <c:pt idx="4480">
                  <c:v>212.9</c:v>
                </c:pt>
                <c:pt idx="4481">
                  <c:v>197.8</c:v>
                </c:pt>
                <c:pt idx="4482">
                  <c:v>186.4</c:v>
                </c:pt>
                <c:pt idx="4483">
                  <c:v>182.4</c:v>
                </c:pt>
                <c:pt idx="4484">
                  <c:v>185.6</c:v>
                </c:pt>
                <c:pt idx="4485">
                  <c:v>191</c:v>
                </c:pt>
                <c:pt idx="4486">
                  <c:v>190.6</c:v>
                </c:pt>
                <c:pt idx="4487">
                  <c:v>182.8</c:v>
                </c:pt>
                <c:pt idx="4488">
                  <c:v>171.7</c:v>
                </c:pt>
                <c:pt idx="4489">
                  <c:v>160.4</c:v>
                </c:pt>
                <c:pt idx="4490">
                  <c:v>153.5</c:v>
                </c:pt>
                <c:pt idx="4491">
                  <c:v>154.4</c:v>
                </c:pt>
                <c:pt idx="4492">
                  <c:v>161.19999999999999</c:v>
                </c:pt>
                <c:pt idx="4493">
                  <c:v>170.3</c:v>
                </c:pt>
                <c:pt idx="4494">
                  <c:v>182.9</c:v>
                </c:pt>
                <c:pt idx="4495">
                  <c:v>200.4</c:v>
                </c:pt>
                <c:pt idx="4496">
                  <c:v>216.9</c:v>
                </c:pt>
                <c:pt idx="4497">
                  <c:v>226.2</c:v>
                </c:pt>
                <c:pt idx="4498">
                  <c:v>232.5</c:v>
                </c:pt>
                <c:pt idx="4499">
                  <c:v>236.7</c:v>
                </c:pt>
                <c:pt idx="4500">
                  <c:v>253.2</c:v>
                </c:pt>
                <c:pt idx="4501">
                  <c:v>275.39999999999998</c:v>
                </c:pt>
                <c:pt idx="4502">
                  <c:v>285.8</c:v>
                </c:pt>
                <c:pt idx="4503">
                  <c:v>281.8</c:v>
                </c:pt>
                <c:pt idx="4504">
                  <c:v>267.60000000000002</c:v>
                </c:pt>
                <c:pt idx="4505">
                  <c:v>253.2</c:v>
                </c:pt>
                <c:pt idx="4506">
                  <c:v>234.2</c:v>
                </c:pt>
                <c:pt idx="4507">
                  <c:v>219.4</c:v>
                </c:pt>
                <c:pt idx="4508">
                  <c:v>209.7</c:v>
                </c:pt>
                <c:pt idx="4509">
                  <c:v>206.6</c:v>
                </c:pt>
                <c:pt idx="4510">
                  <c:v>204.8</c:v>
                </c:pt>
                <c:pt idx="4511">
                  <c:v>199.7</c:v>
                </c:pt>
                <c:pt idx="4512">
                  <c:v>186.1</c:v>
                </c:pt>
                <c:pt idx="4513">
                  <c:v>169.5</c:v>
                </c:pt>
                <c:pt idx="4514">
                  <c:v>155</c:v>
                </c:pt>
                <c:pt idx="4515">
                  <c:v>143.80000000000001</c:v>
                </c:pt>
                <c:pt idx="4516">
                  <c:v>137.1</c:v>
                </c:pt>
                <c:pt idx="4517">
                  <c:v>133.1</c:v>
                </c:pt>
                <c:pt idx="4518">
                  <c:v>130.69999999999999</c:v>
                </c:pt>
                <c:pt idx="4519">
                  <c:v>129</c:v>
                </c:pt>
                <c:pt idx="4520">
                  <c:v>127.6</c:v>
                </c:pt>
                <c:pt idx="4521">
                  <c:v>126.5</c:v>
                </c:pt>
                <c:pt idx="4522">
                  <c:v>126.1</c:v>
                </c:pt>
                <c:pt idx="4523">
                  <c:v>126.6</c:v>
                </c:pt>
                <c:pt idx="4524">
                  <c:v>127.5</c:v>
                </c:pt>
                <c:pt idx="4525">
                  <c:v>127.5</c:v>
                </c:pt>
                <c:pt idx="4526">
                  <c:v>126.9</c:v>
                </c:pt>
                <c:pt idx="4527">
                  <c:v>126</c:v>
                </c:pt>
                <c:pt idx="4528">
                  <c:v>125.2</c:v>
                </c:pt>
                <c:pt idx="4529">
                  <c:v>124.8</c:v>
                </c:pt>
                <c:pt idx="4530">
                  <c:v>124.6</c:v>
                </c:pt>
                <c:pt idx="4531">
                  <c:v>124.5</c:v>
                </c:pt>
                <c:pt idx="4532">
                  <c:v>124.4</c:v>
                </c:pt>
                <c:pt idx="4533">
                  <c:v>83.3</c:v>
                </c:pt>
                <c:pt idx="4534">
                  <c:v>85.1</c:v>
                </c:pt>
                <c:pt idx="4535">
                  <c:v>89.5</c:v>
                </c:pt>
                <c:pt idx="4536">
                  <c:v>94.5</c:v>
                </c:pt>
                <c:pt idx="4537">
                  <c:v>96.8</c:v>
                </c:pt>
                <c:pt idx="4538">
                  <c:v>97.5</c:v>
                </c:pt>
                <c:pt idx="4539">
                  <c:v>96.9</c:v>
                </c:pt>
                <c:pt idx="4540">
                  <c:v>94.4</c:v>
                </c:pt>
                <c:pt idx="4541">
                  <c:v>91.7</c:v>
                </c:pt>
                <c:pt idx="4542">
                  <c:v>88.9</c:v>
                </c:pt>
                <c:pt idx="4543">
                  <c:v>86.7</c:v>
                </c:pt>
                <c:pt idx="4544">
                  <c:v>85.4</c:v>
                </c:pt>
                <c:pt idx="4545">
                  <c:v>84.6</c:v>
                </c:pt>
                <c:pt idx="4546">
                  <c:v>84</c:v>
                </c:pt>
                <c:pt idx="4547">
                  <c:v>83.7</c:v>
                </c:pt>
                <c:pt idx="4548">
                  <c:v>83.4</c:v>
                </c:pt>
                <c:pt idx="4549">
                  <c:v>84.2</c:v>
                </c:pt>
                <c:pt idx="4550">
                  <c:v>86.2</c:v>
                </c:pt>
                <c:pt idx="4551">
                  <c:v>88.5</c:v>
                </c:pt>
                <c:pt idx="4552">
                  <c:v>88.9</c:v>
                </c:pt>
                <c:pt idx="4553">
                  <c:v>88</c:v>
                </c:pt>
                <c:pt idx="4554">
                  <c:v>86.5</c:v>
                </c:pt>
                <c:pt idx="4555">
                  <c:v>85.1</c:v>
                </c:pt>
                <c:pt idx="4556">
                  <c:v>84.4</c:v>
                </c:pt>
                <c:pt idx="4557">
                  <c:v>83.9</c:v>
                </c:pt>
                <c:pt idx="4558">
                  <c:v>83.6</c:v>
                </c:pt>
                <c:pt idx="4559">
                  <c:v>83.4</c:v>
                </c:pt>
                <c:pt idx="4560">
                  <c:v>83.3</c:v>
                </c:pt>
                <c:pt idx="4561">
                  <c:v>83.4</c:v>
                </c:pt>
                <c:pt idx="4562">
                  <c:v>83.5</c:v>
                </c:pt>
                <c:pt idx="4563">
                  <c:v>60.4</c:v>
                </c:pt>
                <c:pt idx="4564">
                  <c:v>60.4</c:v>
                </c:pt>
                <c:pt idx="4565">
                  <c:v>60.2</c:v>
                </c:pt>
                <c:pt idx="4566">
                  <c:v>60.2</c:v>
                </c:pt>
                <c:pt idx="4567">
                  <c:v>60.2</c:v>
                </c:pt>
                <c:pt idx="4568">
                  <c:v>60.3</c:v>
                </c:pt>
                <c:pt idx="4569">
                  <c:v>60.4</c:v>
                </c:pt>
                <c:pt idx="4570">
                  <c:v>60.4</c:v>
                </c:pt>
                <c:pt idx="4571">
                  <c:v>60.3</c:v>
                </c:pt>
                <c:pt idx="4572">
                  <c:v>60.2</c:v>
                </c:pt>
                <c:pt idx="4573">
                  <c:v>60.1</c:v>
                </c:pt>
                <c:pt idx="4574">
                  <c:v>60.1</c:v>
                </c:pt>
                <c:pt idx="4575">
                  <c:v>60.1</c:v>
                </c:pt>
                <c:pt idx="4576">
                  <c:v>60</c:v>
                </c:pt>
                <c:pt idx="4577">
                  <c:v>60</c:v>
                </c:pt>
                <c:pt idx="4578">
                  <c:v>60</c:v>
                </c:pt>
                <c:pt idx="4579">
                  <c:v>60</c:v>
                </c:pt>
                <c:pt idx="4580">
                  <c:v>60</c:v>
                </c:pt>
                <c:pt idx="4581">
                  <c:v>60</c:v>
                </c:pt>
                <c:pt idx="4582">
                  <c:v>60</c:v>
                </c:pt>
                <c:pt idx="4583">
                  <c:v>60</c:v>
                </c:pt>
                <c:pt idx="4584">
                  <c:v>60</c:v>
                </c:pt>
                <c:pt idx="4585">
                  <c:v>60</c:v>
                </c:pt>
                <c:pt idx="4586">
                  <c:v>60</c:v>
                </c:pt>
                <c:pt idx="4587">
                  <c:v>60</c:v>
                </c:pt>
                <c:pt idx="4588">
                  <c:v>60</c:v>
                </c:pt>
                <c:pt idx="4589">
                  <c:v>60</c:v>
                </c:pt>
                <c:pt idx="4590">
                  <c:v>60</c:v>
                </c:pt>
                <c:pt idx="4591">
                  <c:v>60</c:v>
                </c:pt>
                <c:pt idx="4592">
                  <c:v>60</c:v>
                </c:pt>
                <c:pt idx="4593">
                  <c:v>60</c:v>
                </c:pt>
                <c:pt idx="4594">
                  <c:v>65</c:v>
                </c:pt>
                <c:pt idx="4595">
                  <c:v>65</c:v>
                </c:pt>
                <c:pt idx="4596">
                  <c:v>65.3</c:v>
                </c:pt>
                <c:pt idx="4597">
                  <c:v>65.900000000000006</c:v>
                </c:pt>
                <c:pt idx="4598">
                  <c:v>67.3</c:v>
                </c:pt>
                <c:pt idx="4599">
                  <c:v>69</c:v>
                </c:pt>
                <c:pt idx="4600">
                  <c:v>70.599999999999994</c:v>
                </c:pt>
                <c:pt idx="4601">
                  <c:v>70.5</c:v>
                </c:pt>
                <c:pt idx="4602">
                  <c:v>69.400000000000006</c:v>
                </c:pt>
                <c:pt idx="4603">
                  <c:v>68.400000000000006</c:v>
                </c:pt>
                <c:pt idx="4604">
                  <c:v>71</c:v>
                </c:pt>
                <c:pt idx="4605">
                  <c:v>78.5</c:v>
                </c:pt>
                <c:pt idx="4606">
                  <c:v>86.6</c:v>
                </c:pt>
                <c:pt idx="4607">
                  <c:v>88</c:v>
                </c:pt>
                <c:pt idx="4608">
                  <c:v>84.7</c:v>
                </c:pt>
                <c:pt idx="4609">
                  <c:v>79.2</c:v>
                </c:pt>
                <c:pt idx="4610">
                  <c:v>76</c:v>
                </c:pt>
                <c:pt idx="4611">
                  <c:v>77.7</c:v>
                </c:pt>
                <c:pt idx="4612">
                  <c:v>82.8</c:v>
                </c:pt>
                <c:pt idx="4613">
                  <c:v>88.7</c:v>
                </c:pt>
                <c:pt idx="4614">
                  <c:v>94.4</c:v>
                </c:pt>
                <c:pt idx="4615">
                  <c:v>97.9</c:v>
                </c:pt>
                <c:pt idx="4616">
                  <c:v>100.1</c:v>
                </c:pt>
                <c:pt idx="4617">
                  <c:v>103.1</c:v>
                </c:pt>
                <c:pt idx="4618">
                  <c:v>103.8</c:v>
                </c:pt>
                <c:pt idx="4619">
                  <c:v>102.8</c:v>
                </c:pt>
                <c:pt idx="4620">
                  <c:v>103.7</c:v>
                </c:pt>
                <c:pt idx="4621">
                  <c:v>105.3</c:v>
                </c:pt>
                <c:pt idx="4622">
                  <c:v>106.5</c:v>
                </c:pt>
                <c:pt idx="4623">
                  <c:v>108.2</c:v>
                </c:pt>
                <c:pt idx="4624">
                  <c:v>108.5</c:v>
                </c:pt>
                <c:pt idx="4625">
                  <c:v>131.19999999999999</c:v>
                </c:pt>
                <c:pt idx="4626">
                  <c:v>127.9</c:v>
                </c:pt>
                <c:pt idx="4627">
                  <c:v>126.7</c:v>
                </c:pt>
                <c:pt idx="4628">
                  <c:v>128.30000000000001</c:v>
                </c:pt>
                <c:pt idx="4629">
                  <c:v>133.5</c:v>
                </c:pt>
                <c:pt idx="4630">
                  <c:v>141.9</c:v>
                </c:pt>
                <c:pt idx="4631">
                  <c:v>149.30000000000001</c:v>
                </c:pt>
                <c:pt idx="4632">
                  <c:v>156.9</c:v>
                </c:pt>
                <c:pt idx="4633">
                  <c:v>156.6</c:v>
                </c:pt>
                <c:pt idx="4634">
                  <c:v>151.9</c:v>
                </c:pt>
                <c:pt idx="4635">
                  <c:v>143.4</c:v>
                </c:pt>
                <c:pt idx="4636">
                  <c:v>133.1</c:v>
                </c:pt>
                <c:pt idx="4637">
                  <c:v>123.4</c:v>
                </c:pt>
                <c:pt idx="4638">
                  <c:v>121.8</c:v>
                </c:pt>
                <c:pt idx="4639">
                  <c:v>131</c:v>
                </c:pt>
                <c:pt idx="4640">
                  <c:v>143.1</c:v>
                </c:pt>
                <c:pt idx="4641">
                  <c:v>146.9</c:v>
                </c:pt>
                <c:pt idx="4642">
                  <c:v>148</c:v>
                </c:pt>
                <c:pt idx="4643">
                  <c:v>148.1</c:v>
                </c:pt>
                <c:pt idx="4644">
                  <c:v>143.9</c:v>
                </c:pt>
                <c:pt idx="4645">
                  <c:v>142.6</c:v>
                </c:pt>
                <c:pt idx="4646">
                  <c:v>150.4</c:v>
                </c:pt>
                <c:pt idx="4647">
                  <c:v>164.9</c:v>
                </c:pt>
                <c:pt idx="4648">
                  <c:v>172.9</c:v>
                </c:pt>
                <c:pt idx="4649">
                  <c:v>168</c:v>
                </c:pt>
                <c:pt idx="4650">
                  <c:v>159.30000000000001</c:v>
                </c:pt>
                <c:pt idx="4651">
                  <c:v>155.30000000000001</c:v>
                </c:pt>
                <c:pt idx="4652">
                  <c:v>157.6</c:v>
                </c:pt>
                <c:pt idx="4653">
                  <c:v>160.5</c:v>
                </c:pt>
                <c:pt idx="4654">
                  <c:v>164.9</c:v>
                </c:pt>
                <c:pt idx="4655">
                  <c:v>182.9</c:v>
                </c:pt>
                <c:pt idx="4656">
                  <c:v>186</c:v>
                </c:pt>
                <c:pt idx="4657">
                  <c:v>193</c:v>
                </c:pt>
                <c:pt idx="4658">
                  <c:v>206.2</c:v>
                </c:pt>
                <c:pt idx="4659">
                  <c:v>217.6</c:v>
                </c:pt>
                <c:pt idx="4660">
                  <c:v>223.3</c:v>
                </c:pt>
                <c:pt idx="4661">
                  <c:v>211.7</c:v>
                </c:pt>
                <c:pt idx="4662">
                  <c:v>192</c:v>
                </c:pt>
                <c:pt idx="4663">
                  <c:v>180.2</c:v>
                </c:pt>
                <c:pt idx="4664">
                  <c:v>187.9</c:v>
                </c:pt>
                <c:pt idx="4665">
                  <c:v>212.2</c:v>
                </c:pt>
                <c:pt idx="4666">
                  <c:v>226.2</c:v>
                </c:pt>
                <c:pt idx="4667">
                  <c:v>217.3</c:v>
                </c:pt>
                <c:pt idx="4668">
                  <c:v>200.9</c:v>
                </c:pt>
                <c:pt idx="4669">
                  <c:v>190.4</c:v>
                </c:pt>
                <c:pt idx="4670">
                  <c:v>189.8</c:v>
                </c:pt>
                <c:pt idx="4671">
                  <c:v>192.6</c:v>
                </c:pt>
                <c:pt idx="4672">
                  <c:v>194.9</c:v>
                </c:pt>
                <c:pt idx="4673">
                  <c:v>196.8</c:v>
                </c:pt>
                <c:pt idx="4674">
                  <c:v>196.2</c:v>
                </c:pt>
                <c:pt idx="4675">
                  <c:v>194.7</c:v>
                </c:pt>
                <c:pt idx="4676">
                  <c:v>189.8</c:v>
                </c:pt>
                <c:pt idx="4677">
                  <c:v>182.1</c:v>
                </c:pt>
                <c:pt idx="4678">
                  <c:v>182.8</c:v>
                </c:pt>
                <c:pt idx="4679">
                  <c:v>193.8</c:v>
                </c:pt>
                <c:pt idx="4680">
                  <c:v>201.1</c:v>
                </c:pt>
                <c:pt idx="4681">
                  <c:v>202</c:v>
                </c:pt>
                <c:pt idx="4682">
                  <c:v>202.6</c:v>
                </c:pt>
                <c:pt idx="4683">
                  <c:v>202.9</c:v>
                </c:pt>
                <c:pt idx="4684">
                  <c:v>194.3</c:v>
                </c:pt>
                <c:pt idx="4685">
                  <c:v>189</c:v>
                </c:pt>
                <c:pt idx="4686">
                  <c:v>203.2</c:v>
                </c:pt>
                <c:pt idx="4687">
                  <c:v>206.8</c:v>
                </c:pt>
                <c:pt idx="4688">
                  <c:v>199.8</c:v>
                </c:pt>
                <c:pt idx="4689">
                  <c:v>188.8</c:v>
                </c:pt>
                <c:pt idx="4690">
                  <c:v>179.3</c:v>
                </c:pt>
                <c:pt idx="4691">
                  <c:v>176.5</c:v>
                </c:pt>
                <c:pt idx="4692">
                  <c:v>174.1</c:v>
                </c:pt>
                <c:pt idx="4693">
                  <c:v>170.1</c:v>
                </c:pt>
                <c:pt idx="4694">
                  <c:v>162.6</c:v>
                </c:pt>
                <c:pt idx="4695">
                  <c:v>158.9</c:v>
                </c:pt>
                <c:pt idx="4696">
                  <c:v>166.2</c:v>
                </c:pt>
                <c:pt idx="4697">
                  <c:v>182.3</c:v>
                </c:pt>
                <c:pt idx="4698">
                  <c:v>195.8</c:v>
                </c:pt>
                <c:pt idx="4699">
                  <c:v>202</c:v>
                </c:pt>
                <c:pt idx="4700">
                  <c:v>210.2</c:v>
                </c:pt>
                <c:pt idx="4701">
                  <c:v>220.8</c:v>
                </c:pt>
                <c:pt idx="4702">
                  <c:v>223.2</c:v>
                </c:pt>
                <c:pt idx="4703">
                  <c:v>214</c:v>
                </c:pt>
                <c:pt idx="4704">
                  <c:v>197.4</c:v>
                </c:pt>
                <c:pt idx="4705">
                  <c:v>181.9</c:v>
                </c:pt>
                <c:pt idx="4706">
                  <c:v>175.2</c:v>
                </c:pt>
                <c:pt idx="4707">
                  <c:v>177.8</c:v>
                </c:pt>
                <c:pt idx="4708">
                  <c:v>185.9</c:v>
                </c:pt>
                <c:pt idx="4709">
                  <c:v>202.8</c:v>
                </c:pt>
                <c:pt idx="4710">
                  <c:v>217.3</c:v>
                </c:pt>
                <c:pt idx="4711">
                  <c:v>220.7</c:v>
                </c:pt>
                <c:pt idx="4712">
                  <c:v>216.2</c:v>
                </c:pt>
                <c:pt idx="4713">
                  <c:v>214.6</c:v>
                </c:pt>
                <c:pt idx="4714">
                  <c:v>220.7</c:v>
                </c:pt>
                <c:pt idx="4715">
                  <c:v>233.9</c:v>
                </c:pt>
                <c:pt idx="4716">
                  <c:v>250.4</c:v>
                </c:pt>
                <c:pt idx="4717">
                  <c:v>247.6</c:v>
                </c:pt>
                <c:pt idx="4718">
                  <c:v>238.1</c:v>
                </c:pt>
                <c:pt idx="4719">
                  <c:v>230.3</c:v>
                </c:pt>
                <c:pt idx="4720">
                  <c:v>229.5</c:v>
                </c:pt>
                <c:pt idx="4721">
                  <c:v>229.4</c:v>
                </c:pt>
                <c:pt idx="4722">
                  <c:v>227.2</c:v>
                </c:pt>
                <c:pt idx="4723">
                  <c:v>226.1</c:v>
                </c:pt>
                <c:pt idx="4724">
                  <c:v>225.3</c:v>
                </c:pt>
                <c:pt idx="4725">
                  <c:v>218.3</c:v>
                </c:pt>
                <c:pt idx="4726">
                  <c:v>219.3</c:v>
                </c:pt>
                <c:pt idx="4727">
                  <c:v>234.4</c:v>
                </c:pt>
                <c:pt idx="4728">
                  <c:v>255.7</c:v>
                </c:pt>
                <c:pt idx="4729">
                  <c:v>267</c:v>
                </c:pt>
                <c:pt idx="4730">
                  <c:v>262.10000000000002</c:v>
                </c:pt>
                <c:pt idx="4731">
                  <c:v>254.6</c:v>
                </c:pt>
                <c:pt idx="4732">
                  <c:v>248.1</c:v>
                </c:pt>
                <c:pt idx="4733">
                  <c:v>243.7</c:v>
                </c:pt>
                <c:pt idx="4734">
                  <c:v>243.3</c:v>
                </c:pt>
                <c:pt idx="4735">
                  <c:v>250.9</c:v>
                </c:pt>
                <c:pt idx="4736">
                  <c:v>264.3</c:v>
                </c:pt>
                <c:pt idx="4737">
                  <c:v>287.5</c:v>
                </c:pt>
                <c:pt idx="4738">
                  <c:v>306.10000000000002</c:v>
                </c:pt>
                <c:pt idx="4739">
                  <c:v>309.39999999999998</c:v>
                </c:pt>
                <c:pt idx="4740">
                  <c:v>300.39999999999998</c:v>
                </c:pt>
                <c:pt idx="4741">
                  <c:v>292.39999999999998</c:v>
                </c:pt>
                <c:pt idx="4742">
                  <c:v>283.2</c:v>
                </c:pt>
                <c:pt idx="4743">
                  <c:v>280.8</c:v>
                </c:pt>
                <c:pt idx="4744">
                  <c:v>278.10000000000002</c:v>
                </c:pt>
                <c:pt idx="4745">
                  <c:v>280.7</c:v>
                </c:pt>
                <c:pt idx="4746">
                  <c:v>277.60000000000002</c:v>
                </c:pt>
                <c:pt idx="4747">
                  <c:v>258.89999999999998</c:v>
                </c:pt>
                <c:pt idx="4748">
                  <c:v>242.8</c:v>
                </c:pt>
                <c:pt idx="4749">
                  <c:v>232.3</c:v>
                </c:pt>
                <c:pt idx="4750">
                  <c:v>228.2</c:v>
                </c:pt>
                <c:pt idx="4751">
                  <c:v>224.9</c:v>
                </c:pt>
                <c:pt idx="4752">
                  <c:v>223.4</c:v>
                </c:pt>
                <c:pt idx="4753">
                  <c:v>223.3</c:v>
                </c:pt>
                <c:pt idx="4754">
                  <c:v>225.4</c:v>
                </c:pt>
                <c:pt idx="4755">
                  <c:v>225.2</c:v>
                </c:pt>
                <c:pt idx="4756">
                  <c:v>221.9</c:v>
                </c:pt>
                <c:pt idx="4757">
                  <c:v>215.7</c:v>
                </c:pt>
                <c:pt idx="4758">
                  <c:v>217.8</c:v>
                </c:pt>
                <c:pt idx="4759">
                  <c:v>225.5</c:v>
                </c:pt>
                <c:pt idx="4760">
                  <c:v>229.4</c:v>
                </c:pt>
                <c:pt idx="4761">
                  <c:v>232.3</c:v>
                </c:pt>
                <c:pt idx="4762">
                  <c:v>237.8</c:v>
                </c:pt>
                <c:pt idx="4763">
                  <c:v>239.6</c:v>
                </c:pt>
                <c:pt idx="4764">
                  <c:v>235.9</c:v>
                </c:pt>
                <c:pt idx="4765">
                  <c:v>227.6</c:v>
                </c:pt>
                <c:pt idx="4766">
                  <c:v>219.6</c:v>
                </c:pt>
                <c:pt idx="4767">
                  <c:v>219.6</c:v>
                </c:pt>
                <c:pt idx="4768">
                  <c:v>223.2</c:v>
                </c:pt>
                <c:pt idx="4769">
                  <c:v>222.4</c:v>
                </c:pt>
                <c:pt idx="4770">
                  <c:v>221.8</c:v>
                </c:pt>
                <c:pt idx="4771">
                  <c:v>218.3</c:v>
                </c:pt>
                <c:pt idx="4772">
                  <c:v>211.8</c:v>
                </c:pt>
                <c:pt idx="4773">
                  <c:v>206.2</c:v>
                </c:pt>
                <c:pt idx="4774">
                  <c:v>204.2</c:v>
                </c:pt>
                <c:pt idx="4775">
                  <c:v>205.4</c:v>
                </c:pt>
                <c:pt idx="4776">
                  <c:v>217.8</c:v>
                </c:pt>
                <c:pt idx="4777">
                  <c:v>232.3</c:v>
                </c:pt>
                <c:pt idx="4778">
                  <c:v>220.7</c:v>
                </c:pt>
                <c:pt idx="4779">
                  <c:v>216.7</c:v>
                </c:pt>
                <c:pt idx="4780">
                  <c:v>208.7</c:v>
                </c:pt>
                <c:pt idx="4781">
                  <c:v>197.2</c:v>
                </c:pt>
                <c:pt idx="4782">
                  <c:v>182.1</c:v>
                </c:pt>
                <c:pt idx="4783">
                  <c:v>169.6</c:v>
                </c:pt>
                <c:pt idx="4784">
                  <c:v>160.6</c:v>
                </c:pt>
                <c:pt idx="4785">
                  <c:v>154.1</c:v>
                </c:pt>
                <c:pt idx="4786">
                  <c:v>152.80000000000001</c:v>
                </c:pt>
                <c:pt idx="4787">
                  <c:v>155.4</c:v>
                </c:pt>
                <c:pt idx="4788">
                  <c:v>163</c:v>
                </c:pt>
                <c:pt idx="4789">
                  <c:v>170.8</c:v>
                </c:pt>
                <c:pt idx="4790">
                  <c:v>176.1</c:v>
                </c:pt>
                <c:pt idx="4791">
                  <c:v>179.3</c:v>
                </c:pt>
                <c:pt idx="4792">
                  <c:v>180.1</c:v>
                </c:pt>
                <c:pt idx="4793">
                  <c:v>181.7</c:v>
                </c:pt>
                <c:pt idx="4794">
                  <c:v>179.9</c:v>
                </c:pt>
                <c:pt idx="4795">
                  <c:v>177.9</c:v>
                </c:pt>
                <c:pt idx="4796">
                  <c:v>177.7</c:v>
                </c:pt>
                <c:pt idx="4797">
                  <c:v>175.1</c:v>
                </c:pt>
                <c:pt idx="4798">
                  <c:v>174.7</c:v>
                </c:pt>
                <c:pt idx="4799">
                  <c:v>181.2</c:v>
                </c:pt>
                <c:pt idx="4800">
                  <c:v>195.7</c:v>
                </c:pt>
                <c:pt idx="4801">
                  <c:v>207.8</c:v>
                </c:pt>
                <c:pt idx="4802">
                  <c:v>206.8</c:v>
                </c:pt>
                <c:pt idx="4803">
                  <c:v>195</c:v>
                </c:pt>
                <c:pt idx="4804">
                  <c:v>182.3</c:v>
                </c:pt>
                <c:pt idx="4805">
                  <c:v>180</c:v>
                </c:pt>
                <c:pt idx="4806">
                  <c:v>194.1</c:v>
                </c:pt>
                <c:pt idx="4807">
                  <c:v>201.7</c:v>
                </c:pt>
                <c:pt idx="4808">
                  <c:v>200.3</c:v>
                </c:pt>
                <c:pt idx="4809">
                  <c:v>195.4</c:v>
                </c:pt>
                <c:pt idx="4810">
                  <c:v>192.7</c:v>
                </c:pt>
                <c:pt idx="4811">
                  <c:v>190.8</c:v>
                </c:pt>
                <c:pt idx="4812">
                  <c:v>189.3</c:v>
                </c:pt>
                <c:pt idx="4813">
                  <c:v>188.5</c:v>
                </c:pt>
                <c:pt idx="4814">
                  <c:v>188.7</c:v>
                </c:pt>
                <c:pt idx="4815">
                  <c:v>194.5</c:v>
                </c:pt>
                <c:pt idx="4816">
                  <c:v>203.7</c:v>
                </c:pt>
                <c:pt idx="4817">
                  <c:v>218.4</c:v>
                </c:pt>
                <c:pt idx="4818">
                  <c:v>228.9</c:v>
                </c:pt>
                <c:pt idx="4819">
                  <c:v>222.5</c:v>
                </c:pt>
                <c:pt idx="4820">
                  <c:v>213.3</c:v>
                </c:pt>
                <c:pt idx="4821">
                  <c:v>214.6</c:v>
                </c:pt>
                <c:pt idx="4822">
                  <c:v>225.4</c:v>
                </c:pt>
                <c:pt idx="4823">
                  <c:v>226.7</c:v>
                </c:pt>
                <c:pt idx="4824">
                  <c:v>213.2</c:v>
                </c:pt>
                <c:pt idx="4825">
                  <c:v>202.3</c:v>
                </c:pt>
                <c:pt idx="4826">
                  <c:v>204.8</c:v>
                </c:pt>
                <c:pt idx="4827">
                  <c:v>214.2</c:v>
                </c:pt>
                <c:pt idx="4828">
                  <c:v>209</c:v>
                </c:pt>
                <c:pt idx="4829">
                  <c:v>192.4</c:v>
                </c:pt>
                <c:pt idx="4830">
                  <c:v>172.8</c:v>
                </c:pt>
                <c:pt idx="4831">
                  <c:v>158.80000000000001</c:v>
                </c:pt>
                <c:pt idx="4832">
                  <c:v>158.80000000000001</c:v>
                </c:pt>
                <c:pt idx="4833">
                  <c:v>172.1</c:v>
                </c:pt>
                <c:pt idx="4834">
                  <c:v>193.6</c:v>
                </c:pt>
                <c:pt idx="4835">
                  <c:v>210.3</c:v>
                </c:pt>
                <c:pt idx="4836">
                  <c:v>214.8</c:v>
                </c:pt>
                <c:pt idx="4837">
                  <c:v>220.2</c:v>
                </c:pt>
                <c:pt idx="4838">
                  <c:v>219.7</c:v>
                </c:pt>
                <c:pt idx="4839">
                  <c:v>223.4</c:v>
                </c:pt>
                <c:pt idx="4840">
                  <c:v>219.1</c:v>
                </c:pt>
                <c:pt idx="4841">
                  <c:v>205.5</c:v>
                </c:pt>
                <c:pt idx="4842">
                  <c:v>191.6</c:v>
                </c:pt>
                <c:pt idx="4843">
                  <c:v>184.4</c:v>
                </c:pt>
                <c:pt idx="4844">
                  <c:v>183.1</c:v>
                </c:pt>
                <c:pt idx="4845">
                  <c:v>180.3</c:v>
                </c:pt>
                <c:pt idx="4846">
                  <c:v>177.2</c:v>
                </c:pt>
                <c:pt idx="4847">
                  <c:v>173</c:v>
                </c:pt>
                <c:pt idx="4848">
                  <c:v>168.1</c:v>
                </c:pt>
                <c:pt idx="4849">
                  <c:v>169.5</c:v>
                </c:pt>
                <c:pt idx="4850">
                  <c:v>177.9</c:v>
                </c:pt>
                <c:pt idx="4851">
                  <c:v>189.5</c:v>
                </c:pt>
                <c:pt idx="4852">
                  <c:v>190.5</c:v>
                </c:pt>
                <c:pt idx="4853">
                  <c:v>188.1</c:v>
                </c:pt>
                <c:pt idx="4854">
                  <c:v>188.5</c:v>
                </c:pt>
                <c:pt idx="4855">
                  <c:v>198.4</c:v>
                </c:pt>
                <c:pt idx="4856">
                  <c:v>213.7</c:v>
                </c:pt>
                <c:pt idx="4857">
                  <c:v>220.6</c:v>
                </c:pt>
                <c:pt idx="4858">
                  <c:v>218.4</c:v>
                </c:pt>
                <c:pt idx="4859">
                  <c:v>219.1</c:v>
                </c:pt>
                <c:pt idx="4860">
                  <c:v>223.5</c:v>
                </c:pt>
                <c:pt idx="4861">
                  <c:v>224.1</c:v>
                </c:pt>
                <c:pt idx="4862">
                  <c:v>227.4</c:v>
                </c:pt>
                <c:pt idx="4863">
                  <c:v>232.1</c:v>
                </c:pt>
                <c:pt idx="4864">
                  <c:v>236.3</c:v>
                </c:pt>
                <c:pt idx="4865">
                  <c:v>242.7</c:v>
                </c:pt>
                <c:pt idx="4866">
                  <c:v>248.3</c:v>
                </c:pt>
                <c:pt idx="4867">
                  <c:v>249.8</c:v>
                </c:pt>
                <c:pt idx="4868">
                  <c:v>240.7</c:v>
                </c:pt>
                <c:pt idx="4869">
                  <c:v>220.2</c:v>
                </c:pt>
                <c:pt idx="4870">
                  <c:v>195</c:v>
                </c:pt>
                <c:pt idx="4871">
                  <c:v>172.3</c:v>
                </c:pt>
                <c:pt idx="4872">
                  <c:v>156.80000000000001</c:v>
                </c:pt>
                <c:pt idx="4873">
                  <c:v>152</c:v>
                </c:pt>
                <c:pt idx="4874">
                  <c:v>157.19999999999999</c:v>
                </c:pt>
                <c:pt idx="4875">
                  <c:v>166.9</c:v>
                </c:pt>
                <c:pt idx="4876">
                  <c:v>171.7</c:v>
                </c:pt>
                <c:pt idx="4877">
                  <c:v>169.9</c:v>
                </c:pt>
                <c:pt idx="4878">
                  <c:v>163.80000000000001</c:v>
                </c:pt>
                <c:pt idx="4879">
                  <c:v>156.69999999999999</c:v>
                </c:pt>
                <c:pt idx="4880">
                  <c:v>149.19999999999999</c:v>
                </c:pt>
                <c:pt idx="4881">
                  <c:v>142.4</c:v>
                </c:pt>
                <c:pt idx="4882">
                  <c:v>136.6</c:v>
                </c:pt>
                <c:pt idx="4883">
                  <c:v>132</c:v>
                </c:pt>
                <c:pt idx="4884">
                  <c:v>129.19999999999999</c:v>
                </c:pt>
                <c:pt idx="4885">
                  <c:v>127.6</c:v>
                </c:pt>
                <c:pt idx="4886">
                  <c:v>128.4</c:v>
                </c:pt>
                <c:pt idx="4887">
                  <c:v>132.30000000000001</c:v>
                </c:pt>
                <c:pt idx="4888">
                  <c:v>139.69999999999999</c:v>
                </c:pt>
                <c:pt idx="4889">
                  <c:v>147.19999999999999</c:v>
                </c:pt>
                <c:pt idx="4890">
                  <c:v>152.5</c:v>
                </c:pt>
                <c:pt idx="4891">
                  <c:v>152.69999999999999</c:v>
                </c:pt>
                <c:pt idx="4892">
                  <c:v>150</c:v>
                </c:pt>
                <c:pt idx="4893">
                  <c:v>146.4</c:v>
                </c:pt>
                <c:pt idx="4894">
                  <c:v>144.9</c:v>
                </c:pt>
                <c:pt idx="4895">
                  <c:v>144.80000000000001</c:v>
                </c:pt>
                <c:pt idx="4896">
                  <c:v>144.19999999999999</c:v>
                </c:pt>
                <c:pt idx="4897">
                  <c:v>143.1</c:v>
                </c:pt>
                <c:pt idx="4898">
                  <c:v>100.2</c:v>
                </c:pt>
                <c:pt idx="4899">
                  <c:v>97.2</c:v>
                </c:pt>
                <c:pt idx="4900">
                  <c:v>93.7</c:v>
                </c:pt>
                <c:pt idx="4901">
                  <c:v>90.4</c:v>
                </c:pt>
                <c:pt idx="4902">
                  <c:v>87.8</c:v>
                </c:pt>
                <c:pt idx="4903">
                  <c:v>86.1</c:v>
                </c:pt>
                <c:pt idx="4904">
                  <c:v>85.1</c:v>
                </c:pt>
                <c:pt idx="4905">
                  <c:v>84.5</c:v>
                </c:pt>
                <c:pt idx="4906">
                  <c:v>84.2</c:v>
                </c:pt>
                <c:pt idx="4907">
                  <c:v>83.9</c:v>
                </c:pt>
                <c:pt idx="4908">
                  <c:v>83.7</c:v>
                </c:pt>
                <c:pt idx="4909">
                  <c:v>83.4</c:v>
                </c:pt>
                <c:pt idx="4910">
                  <c:v>83.3</c:v>
                </c:pt>
                <c:pt idx="4911">
                  <c:v>84</c:v>
                </c:pt>
                <c:pt idx="4912">
                  <c:v>85.4</c:v>
                </c:pt>
                <c:pt idx="4913">
                  <c:v>87</c:v>
                </c:pt>
                <c:pt idx="4914">
                  <c:v>87.3</c:v>
                </c:pt>
                <c:pt idx="4915">
                  <c:v>86.9</c:v>
                </c:pt>
                <c:pt idx="4916">
                  <c:v>87.1</c:v>
                </c:pt>
                <c:pt idx="4917">
                  <c:v>89.3</c:v>
                </c:pt>
                <c:pt idx="4918">
                  <c:v>92.4</c:v>
                </c:pt>
                <c:pt idx="4919">
                  <c:v>93.6</c:v>
                </c:pt>
                <c:pt idx="4920">
                  <c:v>92.5</c:v>
                </c:pt>
                <c:pt idx="4921">
                  <c:v>90</c:v>
                </c:pt>
                <c:pt idx="4922">
                  <c:v>87.7</c:v>
                </c:pt>
                <c:pt idx="4923">
                  <c:v>86.3</c:v>
                </c:pt>
                <c:pt idx="4924">
                  <c:v>85.5</c:v>
                </c:pt>
                <c:pt idx="4925">
                  <c:v>85</c:v>
                </c:pt>
                <c:pt idx="4926">
                  <c:v>84.5</c:v>
                </c:pt>
                <c:pt idx="4927">
                  <c:v>84.1</c:v>
                </c:pt>
                <c:pt idx="4928">
                  <c:v>60.7</c:v>
                </c:pt>
                <c:pt idx="4929">
                  <c:v>60.5</c:v>
                </c:pt>
                <c:pt idx="4930">
                  <c:v>60.3</c:v>
                </c:pt>
                <c:pt idx="4931">
                  <c:v>60.2</c:v>
                </c:pt>
                <c:pt idx="4932">
                  <c:v>60.1</c:v>
                </c:pt>
                <c:pt idx="4933">
                  <c:v>60.1</c:v>
                </c:pt>
                <c:pt idx="4934">
                  <c:v>60</c:v>
                </c:pt>
                <c:pt idx="4935">
                  <c:v>60</c:v>
                </c:pt>
                <c:pt idx="4936">
                  <c:v>60</c:v>
                </c:pt>
                <c:pt idx="4937">
                  <c:v>60</c:v>
                </c:pt>
                <c:pt idx="4938">
                  <c:v>60</c:v>
                </c:pt>
                <c:pt idx="4939">
                  <c:v>60</c:v>
                </c:pt>
                <c:pt idx="4940">
                  <c:v>60</c:v>
                </c:pt>
                <c:pt idx="4941">
                  <c:v>60</c:v>
                </c:pt>
                <c:pt idx="4942">
                  <c:v>60</c:v>
                </c:pt>
                <c:pt idx="4943">
                  <c:v>60</c:v>
                </c:pt>
                <c:pt idx="4944">
                  <c:v>60</c:v>
                </c:pt>
                <c:pt idx="4945">
                  <c:v>60</c:v>
                </c:pt>
                <c:pt idx="4946">
                  <c:v>60</c:v>
                </c:pt>
                <c:pt idx="4947">
                  <c:v>60.2</c:v>
                </c:pt>
                <c:pt idx="4948">
                  <c:v>60.6</c:v>
                </c:pt>
                <c:pt idx="4949">
                  <c:v>61</c:v>
                </c:pt>
                <c:pt idx="4950">
                  <c:v>61.1</c:v>
                </c:pt>
                <c:pt idx="4951">
                  <c:v>61</c:v>
                </c:pt>
                <c:pt idx="4952">
                  <c:v>60.8</c:v>
                </c:pt>
                <c:pt idx="4953">
                  <c:v>60.6</c:v>
                </c:pt>
                <c:pt idx="4954">
                  <c:v>60.4</c:v>
                </c:pt>
                <c:pt idx="4955">
                  <c:v>60.3</c:v>
                </c:pt>
                <c:pt idx="4956">
                  <c:v>60.3</c:v>
                </c:pt>
                <c:pt idx="4957">
                  <c:v>62.3</c:v>
                </c:pt>
                <c:pt idx="4958">
                  <c:v>66.8</c:v>
                </c:pt>
                <c:pt idx="4959">
                  <c:v>76.599999999999994</c:v>
                </c:pt>
                <c:pt idx="4960">
                  <c:v>77.7</c:v>
                </c:pt>
                <c:pt idx="4961">
                  <c:v>75.900000000000006</c:v>
                </c:pt>
                <c:pt idx="4962">
                  <c:v>72.8</c:v>
                </c:pt>
                <c:pt idx="4963">
                  <c:v>70</c:v>
                </c:pt>
                <c:pt idx="4964">
                  <c:v>68.400000000000006</c:v>
                </c:pt>
                <c:pt idx="4965">
                  <c:v>67.7</c:v>
                </c:pt>
                <c:pt idx="4966">
                  <c:v>67.3</c:v>
                </c:pt>
                <c:pt idx="4967">
                  <c:v>67.400000000000006</c:v>
                </c:pt>
                <c:pt idx="4968">
                  <c:v>68.3</c:v>
                </c:pt>
                <c:pt idx="4969">
                  <c:v>69.5</c:v>
                </c:pt>
                <c:pt idx="4970">
                  <c:v>69.8</c:v>
                </c:pt>
                <c:pt idx="4971">
                  <c:v>69.599999999999994</c:v>
                </c:pt>
                <c:pt idx="4972">
                  <c:v>69.7</c:v>
                </c:pt>
                <c:pt idx="4973">
                  <c:v>70.7</c:v>
                </c:pt>
                <c:pt idx="4974">
                  <c:v>73.099999999999994</c:v>
                </c:pt>
                <c:pt idx="4975">
                  <c:v>76.099999999999994</c:v>
                </c:pt>
                <c:pt idx="4976">
                  <c:v>78.099999999999994</c:v>
                </c:pt>
                <c:pt idx="4977">
                  <c:v>80.2</c:v>
                </c:pt>
                <c:pt idx="4978">
                  <c:v>87.7</c:v>
                </c:pt>
                <c:pt idx="4979">
                  <c:v>102</c:v>
                </c:pt>
                <c:pt idx="4980">
                  <c:v>114.2</c:v>
                </c:pt>
                <c:pt idx="4981">
                  <c:v>117.3</c:v>
                </c:pt>
                <c:pt idx="4982">
                  <c:v>109.8</c:v>
                </c:pt>
                <c:pt idx="4983">
                  <c:v>98.8</c:v>
                </c:pt>
                <c:pt idx="4984">
                  <c:v>90.6</c:v>
                </c:pt>
                <c:pt idx="4985">
                  <c:v>88.5</c:v>
                </c:pt>
                <c:pt idx="4986">
                  <c:v>95.5</c:v>
                </c:pt>
                <c:pt idx="4987">
                  <c:v>110.1</c:v>
                </c:pt>
                <c:pt idx="4988">
                  <c:v>122.1</c:v>
                </c:pt>
                <c:pt idx="4989">
                  <c:v>124.8</c:v>
                </c:pt>
                <c:pt idx="4990">
                  <c:v>152.19999999999999</c:v>
                </c:pt>
                <c:pt idx="4991">
                  <c:v>151.69999999999999</c:v>
                </c:pt>
                <c:pt idx="4992">
                  <c:v>145.6</c:v>
                </c:pt>
                <c:pt idx="4993">
                  <c:v>138.80000000000001</c:v>
                </c:pt>
                <c:pt idx="4994">
                  <c:v>130.80000000000001</c:v>
                </c:pt>
                <c:pt idx="4995">
                  <c:v>126.3</c:v>
                </c:pt>
                <c:pt idx="4996">
                  <c:v>129.4</c:v>
                </c:pt>
                <c:pt idx="4997">
                  <c:v>135.80000000000001</c:v>
                </c:pt>
                <c:pt idx="4998">
                  <c:v>139.6</c:v>
                </c:pt>
                <c:pt idx="4999">
                  <c:v>141.19999999999999</c:v>
                </c:pt>
                <c:pt idx="5000">
                  <c:v>140.1</c:v>
                </c:pt>
                <c:pt idx="5001">
                  <c:v>134</c:v>
                </c:pt>
                <c:pt idx="5002">
                  <c:v>131.80000000000001</c:v>
                </c:pt>
                <c:pt idx="5003">
                  <c:v>137.30000000000001</c:v>
                </c:pt>
                <c:pt idx="5004">
                  <c:v>147.80000000000001</c:v>
                </c:pt>
                <c:pt idx="5005">
                  <c:v>154.9</c:v>
                </c:pt>
                <c:pt idx="5006">
                  <c:v>162.4</c:v>
                </c:pt>
                <c:pt idx="5007">
                  <c:v>170</c:v>
                </c:pt>
                <c:pt idx="5008">
                  <c:v>171.2</c:v>
                </c:pt>
                <c:pt idx="5009">
                  <c:v>170.8</c:v>
                </c:pt>
                <c:pt idx="5010">
                  <c:v>174.5</c:v>
                </c:pt>
                <c:pt idx="5011">
                  <c:v>178.9</c:v>
                </c:pt>
                <c:pt idx="5012">
                  <c:v>180</c:v>
                </c:pt>
                <c:pt idx="5013">
                  <c:v>176.5</c:v>
                </c:pt>
                <c:pt idx="5014">
                  <c:v>170.4</c:v>
                </c:pt>
                <c:pt idx="5015">
                  <c:v>158.19999999999999</c:v>
                </c:pt>
                <c:pt idx="5016">
                  <c:v>148.4</c:v>
                </c:pt>
                <c:pt idx="5017">
                  <c:v>146.1</c:v>
                </c:pt>
                <c:pt idx="5018">
                  <c:v>151.30000000000001</c:v>
                </c:pt>
                <c:pt idx="5019">
                  <c:v>155.6</c:v>
                </c:pt>
                <c:pt idx="5020">
                  <c:v>171.8</c:v>
                </c:pt>
                <c:pt idx="5021">
                  <c:v>169.8</c:v>
                </c:pt>
                <c:pt idx="5022">
                  <c:v>165.5</c:v>
                </c:pt>
                <c:pt idx="5023">
                  <c:v>159.4</c:v>
                </c:pt>
                <c:pt idx="5024">
                  <c:v>159</c:v>
                </c:pt>
                <c:pt idx="5025">
                  <c:v>165.2</c:v>
                </c:pt>
                <c:pt idx="5026">
                  <c:v>174.1</c:v>
                </c:pt>
                <c:pt idx="5027">
                  <c:v>182.1</c:v>
                </c:pt>
                <c:pt idx="5028">
                  <c:v>186.1</c:v>
                </c:pt>
                <c:pt idx="5029">
                  <c:v>181.5</c:v>
                </c:pt>
                <c:pt idx="5030">
                  <c:v>173.7</c:v>
                </c:pt>
                <c:pt idx="5031">
                  <c:v>161.9</c:v>
                </c:pt>
                <c:pt idx="5032">
                  <c:v>152.80000000000001</c:v>
                </c:pt>
                <c:pt idx="5033">
                  <c:v>155.4</c:v>
                </c:pt>
                <c:pt idx="5034">
                  <c:v>172.3</c:v>
                </c:pt>
                <c:pt idx="5035">
                  <c:v>191.4</c:v>
                </c:pt>
                <c:pt idx="5036">
                  <c:v>199.4</c:v>
                </c:pt>
                <c:pt idx="5037">
                  <c:v>198.8</c:v>
                </c:pt>
                <c:pt idx="5038">
                  <c:v>202.6</c:v>
                </c:pt>
                <c:pt idx="5039">
                  <c:v>212.9</c:v>
                </c:pt>
                <c:pt idx="5040">
                  <c:v>218</c:v>
                </c:pt>
                <c:pt idx="5041">
                  <c:v>215.5</c:v>
                </c:pt>
                <c:pt idx="5042">
                  <c:v>205.6</c:v>
                </c:pt>
                <c:pt idx="5043">
                  <c:v>190.5</c:v>
                </c:pt>
                <c:pt idx="5044">
                  <c:v>183.8</c:v>
                </c:pt>
                <c:pt idx="5045">
                  <c:v>187</c:v>
                </c:pt>
                <c:pt idx="5046">
                  <c:v>193</c:v>
                </c:pt>
                <c:pt idx="5047">
                  <c:v>193.7</c:v>
                </c:pt>
                <c:pt idx="5048">
                  <c:v>193.5</c:v>
                </c:pt>
                <c:pt idx="5049">
                  <c:v>195.7</c:v>
                </c:pt>
                <c:pt idx="5050">
                  <c:v>197.1</c:v>
                </c:pt>
                <c:pt idx="5051">
                  <c:v>213.8</c:v>
                </c:pt>
                <c:pt idx="5052">
                  <c:v>220.4</c:v>
                </c:pt>
                <c:pt idx="5053">
                  <c:v>219.9</c:v>
                </c:pt>
                <c:pt idx="5054">
                  <c:v>215.1</c:v>
                </c:pt>
                <c:pt idx="5055">
                  <c:v>213.4</c:v>
                </c:pt>
                <c:pt idx="5056">
                  <c:v>216.6</c:v>
                </c:pt>
                <c:pt idx="5057">
                  <c:v>221.1</c:v>
                </c:pt>
                <c:pt idx="5058">
                  <c:v>232.3</c:v>
                </c:pt>
                <c:pt idx="5059">
                  <c:v>248.9</c:v>
                </c:pt>
                <c:pt idx="5060">
                  <c:v>260.39999999999998</c:v>
                </c:pt>
                <c:pt idx="5061">
                  <c:v>263</c:v>
                </c:pt>
                <c:pt idx="5062">
                  <c:v>254.1</c:v>
                </c:pt>
                <c:pt idx="5063">
                  <c:v>238.5</c:v>
                </c:pt>
                <c:pt idx="5064">
                  <c:v>229.1</c:v>
                </c:pt>
                <c:pt idx="5065">
                  <c:v>225</c:v>
                </c:pt>
                <c:pt idx="5066">
                  <c:v>226.7</c:v>
                </c:pt>
                <c:pt idx="5067">
                  <c:v>225.7</c:v>
                </c:pt>
                <c:pt idx="5068">
                  <c:v>218</c:v>
                </c:pt>
                <c:pt idx="5069">
                  <c:v>206.8</c:v>
                </c:pt>
                <c:pt idx="5070">
                  <c:v>195.3</c:v>
                </c:pt>
                <c:pt idx="5071">
                  <c:v>193</c:v>
                </c:pt>
                <c:pt idx="5072">
                  <c:v>195.5</c:v>
                </c:pt>
                <c:pt idx="5073">
                  <c:v>187.6</c:v>
                </c:pt>
                <c:pt idx="5074">
                  <c:v>180</c:v>
                </c:pt>
                <c:pt idx="5075">
                  <c:v>184.1</c:v>
                </c:pt>
                <c:pt idx="5076">
                  <c:v>202.8</c:v>
                </c:pt>
                <c:pt idx="5077">
                  <c:v>223.4</c:v>
                </c:pt>
                <c:pt idx="5078">
                  <c:v>235.8</c:v>
                </c:pt>
                <c:pt idx="5079">
                  <c:v>245.2</c:v>
                </c:pt>
                <c:pt idx="5080">
                  <c:v>252.3</c:v>
                </c:pt>
                <c:pt idx="5081">
                  <c:v>261.39999999999998</c:v>
                </c:pt>
                <c:pt idx="5082">
                  <c:v>251.8</c:v>
                </c:pt>
                <c:pt idx="5083">
                  <c:v>238.6</c:v>
                </c:pt>
                <c:pt idx="5084">
                  <c:v>234.3</c:v>
                </c:pt>
                <c:pt idx="5085">
                  <c:v>236.1</c:v>
                </c:pt>
                <c:pt idx="5086">
                  <c:v>232.9</c:v>
                </c:pt>
                <c:pt idx="5087">
                  <c:v>230.5</c:v>
                </c:pt>
                <c:pt idx="5088">
                  <c:v>236.1</c:v>
                </c:pt>
                <c:pt idx="5089">
                  <c:v>245.4</c:v>
                </c:pt>
                <c:pt idx="5090">
                  <c:v>246.8</c:v>
                </c:pt>
                <c:pt idx="5091">
                  <c:v>247.6</c:v>
                </c:pt>
                <c:pt idx="5092">
                  <c:v>255.3</c:v>
                </c:pt>
                <c:pt idx="5093">
                  <c:v>266.8</c:v>
                </c:pt>
                <c:pt idx="5094">
                  <c:v>274.39999999999998</c:v>
                </c:pt>
                <c:pt idx="5095">
                  <c:v>268.39999999999998</c:v>
                </c:pt>
                <c:pt idx="5096">
                  <c:v>250.5</c:v>
                </c:pt>
                <c:pt idx="5097">
                  <c:v>237.2</c:v>
                </c:pt>
                <c:pt idx="5098">
                  <c:v>232.1</c:v>
                </c:pt>
                <c:pt idx="5099">
                  <c:v>226.5</c:v>
                </c:pt>
                <c:pt idx="5100">
                  <c:v>221.8</c:v>
                </c:pt>
                <c:pt idx="5101">
                  <c:v>218.7</c:v>
                </c:pt>
                <c:pt idx="5102">
                  <c:v>219</c:v>
                </c:pt>
                <c:pt idx="5103">
                  <c:v>214.3</c:v>
                </c:pt>
                <c:pt idx="5104">
                  <c:v>207.3</c:v>
                </c:pt>
                <c:pt idx="5105">
                  <c:v>202.7</c:v>
                </c:pt>
                <c:pt idx="5106">
                  <c:v>200.9</c:v>
                </c:pt>
                <c:pt idx="5107">
                  <c:v>202.3</c:v>
                </c:pt>
                <c:pt idx="5108">
                  <c:v>216.2</c:v>
                </c:pt>
                <c:pt idx="5109">
                  <c:v>239.2</c:v>
                </c:pt>
                <c:pt idx="5110">
                  <c:v>259</c:v>
                </c:pt>
                <c:pt idx="51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E4-49C9-B656-B43E640DDB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01440"/>
        <c:axId val="10998528"/>
      </c:lineChart>
      <c:catAx>
        <c:axId val="110014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Dates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98528"/>
        <c:crosses val="autoZero"/>
        <c:auto val="1"/>
        <c:lblAlgn val="ctr"/>
        <c:lblOffset val="100"/>
        <c:noMultiLvlLbl val="0"/>
      </c:catAx>
      <c:valAx>
        <c:axId val="10998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Débits</a:t>
                </a:r>
                <a:r>
                  <a:rPr lang="fr-FR" baseline="0"/>
                  <a:t> (m3/s)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0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Qsim_DEC2022!$J$5109:$J$5114</c:f>
              <c:strCache>
                <c:ptCount val="6"/>
                <c:pt idx="0">
                  <c:v>26déc.2022</c:v>
                </c:pt>
                <c:pt idx="1">
                  <c:v>27déc.2022</c:v>
                </c:pt>
                <c:pt idx="2">
                  <c:v>28déc.2022</c:v>
                </c:pt>
                <c:pt idx="3">
                  <c:v>29déc.2022</c:v>
                </c:pt>
                <c:pt idx="4">
                  <c:v>30déc.2022</c:v>
                </c:pt>
                <c:pt idx="5">
                  <c:v>31déc.2022</c:v>
                </c:pt>
              </c:strCache>
            </c:strRef>
          </c:cat>
          <c:val>
            <c:numRef>
              <c:f>Qsim_DEC2022!$K$5109:$K$5114</c:f>
              <c:numCache>
                <c:formatCode>General</c:formatCode>
                <c:ptCount val="6"/>
                <c:pt idx="0">
                  <c:v>202.7</c:v>
                </c:pt>
                <c:pt idx="1">
                  <c:v>200.9</c:v>
                </c:pt>
                <c:pt idx="2">
                  <c:v>202.3</c:v>
                </c:pt>
                <c:pt idx="3">
                  <c:v>216.2</c:v>
                </c:pt>
                <c:pt idx="4">
                  <c:v>239.2</c:v>
                </c:pt>
                <c:pt idx="5">
                  <c:v>259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73-40C5-8E1F-46A523A514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438624"/>
        <c:axId val="142444448"/>
      </c:lineChart>
      <c:catAx>
        <c:axId val="142438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44448"/>
        <c:crosses val="autoZero"/>
        <c:auto val="1"/>
        <c:lblAlgn val="ctr"/>
        <c:lblOffset val="100"/>
        <c:noMultiLvlLbl val="0"/>
      </c:catAx>
      <c:valAx>
        <c:axId val="142444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38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cked"/>
        <c:varyColors val="0"/>
        <c:ser>
          <c:idx val="1"/>
          <c:order val="0"/>
          <c:tx>
            <c:strRef>
              <c:f>'Jour_Navigable (3)'!$O$17</c:f>
              <c:strCache>
                <c:ptCount val="1"/>
                <c:pt idx="0">
                  <c:v>H≥1,2m (Saison Pluie)</c:v>
                </c:pt>
              </c:strCache>
            </c:strRef>
          </c:tx>
          <c:spPr>
            <a:pattFill prst="solidDmnd">
              <a:fgClr>
                <a:schemeClr val="accent1"/>
              </a:fgClr>
              <a:bgClr>
                <a:schemeClr val="bg1"/>
              </a:bgClr>
            </a:pattFill>
            <a:ln>
              <a:solidFill>
                <a:schemeClr val="accent1"/>
              </a:solidFill>
            </a:ln>
            <a:effectLst>
              <a:innerShdw blurRad="114300">
                <a:schemeClr val="accent2"/>
              </a:innerShdw>
            </a:effectLst>
          </c:spPr>
          <c:cat>
            <c:numRef>
              <c:f>'Jour_Navigable (3)'!$M$18:$M$31</c:f>
              <c:numCache>
                <c:formatCode>General</c:formatCode>
                <c:ptCount val="14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</c:numCache>
            </c:numRef>
          </c:cat>
          <c:val>
            <c:numRef>
              <c:f>'Jour_Navigable (3)'!$O$18:$O$31</c:f>
              <c:numCache>
                <c:formatCode>General</c:formatCode>
                <c:ptCount val="14"/>
                <c:pt idx="0">
                  <c:v>272</c:v>
                </c:pt>
                <c:pt idx="1">
                  <c:v>273</c:v>
                </c:pt>
                <c:pt idx="2">
                  <c:v>273</c:v>
                </c:pt>
                <c:pt idx="3">
                  <c:v>274</c:v>
                </c:pt>
                <c:pt idx="4">
                  <c:v>273</c:v>
                </c:pt>
                <c:pt idx="5">
                  <c:v>273</c:v>
                </c:pt>
                <c:pt idx="6">
                  <c:v>273</c:v>
                </c:pt>
                <c:pt idx="7">
                  <c:v>273</c:v>
                </c:pt>
                <c:pt idx="8">
                  <c:v>272</c:v>
                </c:pt>
                <c:pt idx="9">
                  <c:v>273</c:v>
                </c:pt>
                <c:pt idx="10">
                  <c:v>272</c:v>
                </c:pt>
                <c:pt idx="11">
                  <c:v>274</c:v>
                </c:pt>
                <c:pt idx="12">
                  <c:v>273</c:v>
                </c:pt>
                <c:pt idx="13">
                  <c:v>273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98-44C4-9A59-3B46E15D0938}"/>
            </c:ext>
          </c:extLst>
        </c:ser>
        <c:ser>
          <c:idx val="2"/>
          <c:order val="1"/>
          <c:tx>
            <c:strRef>
              <c:f>'Jour_Navigable (3)'!$P$17</c:f>
              <c:strCache>
                <c:ptCount val="1"/>
                <c:pt idx="0">
                  <c:v>H≥1,2m (Saison sèche)</c:v>
                </c:pt>
              </c:strCache>
            </c:strRef>
          </c:tx>
          <c:spPr>
            <a:pattFill prst="lgConfetti">
              <a:fgClr>
                <a:schemeClr val="accent2"/>
              </a:fgClr>
              <a:bgClr>
                <a:schemeClr val="bg1"/>
              </a:bgClr>
            </a:pattFill>
            <a:ln>
              <a:solidFill>
                <a:schemeClr val="accent2"/>
              </a:solidFill>
            </a:ln>
            <a:effectLst>
              <a:innerShdw blurRad="114300">
                <a:schemeClr val="accent3"/>
              </a:innerShdw>
            </a:effectLst>
          </c:spPr>
          <c:cat>
            <c:numRef>
              <c:f>'Jour_Navigable (3)'!$M$18:$M$31</c:f>
              <c:numCache>
                <c:formatCode>General</c:formatCode>
                <c:ptCount val="14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</c:numCache>
            </c:numRef>
          </c:cat>
          <c:val>
            <c:numRef>
              <c:f>'Jour_Navigable (3)'!$P$18:$P$31</c:f>
              <c:numCache>
                <c:formatCode>General</c:formatCode>
                <c:ptCount val="14"/>
                <c:pt idx="0">
                  <c:v>74</c:v>
                </c:pt>
                <c:pt idx="1">
                  <c:v>76</c:v>
                </c:pt>
                <c:pt idx="2">
                  <c:v>70</c:v>
                </c:pt>
                <c:pt idx="3">
                  <c:v>71</c:v>
                </c:pt>
                <c:pt idx="4">
                  <c:v>78</c:v>
                </c:pt>
                <c:pt idx="5">
                  <c:v>70</c:v>
                </c:pt>
                <c:pt idx="6">
                  <c:v>74</c:v>
                </c:pt>
                <c:pt idx="7">
                  <c:v>71</c:v>
                </c:pt>
                <c:pt idx="8">
                  <c:v>83</c:v>
                </c:pt>
                <c:pt idx="9">
                  <c:v>71</c:v>
                </c:pt>
                <c:pt idx="10">
                  <c:v>64</c:v>
                </c:pt>
                <c:pt idx="11">
                  <c:v>74</c:v>
                </c:pt>
                <c:pt idx="12">
                  <c:v>61</c:v>
                </c:pt>
                <c:pt idx="13">
                  <c:v>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98-44C4-9A59-3B46E15D09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5446975"/>
        <c:axId val="495450719"/>
      </c:areaChart>
      <c:catAx>
        <c:axId val="4954469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200" b="0">
                    <a:solidFill>
                      <a:sysClr val="windowText" lastClr="000000"/>
                    </a:solidFill>
                  </a:rPr>
                  <a:t>Années</a:t>
                </a:r>
              </a:p>
            </c:rich>
          </c:tx>
          <c:layout>
            <c:manualLayout>
              <c:xMode val="edge"/>
              <c:yMode val="edge"/>
              <c:x val="0.46788451443569556"/>
              <c:y val="0.902847039953339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450719"/>
        <c:crosses val="autoZero"/>
        <c:auto val="1"/>
        <c:lblAlgn val="ctr"/>
        <c:lblOffset val="100"/>
        <c:noMultiLvlLbl val="0"/>
      </c:catAx>
      <c:valAx>
        <c:axId val="495450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200" b="0">
                    <a:solidFill>
                      <a:sysClr val="windowText" lastClr="000000"/>
                    </a:solidFill>
                  </a:rPr>
                  <a:t>Jours navigables</a:t>
                </a:r>
              </a:p>
            </c:rich>
          </c:tx>
          <c:layout>
            <c:manualLayout>
              <c:xMode val="edge"/>
              <c:yMode val="edge"/>
              <c:x val="1.41280353200883E-2"/>
              <c:y val="0.1923884514435695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4469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692850548377585"/>
          <c:y val="6.6565809379727683E-2"/>
          <c:w val="0.85606105866600934"/>
          <c:h val="0.55713295293458964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'Jour_Navigable (3)'!$S$2</c:f>
              <c:strCache>
                <c:ptCount val="1"/>
                <c:pt idx="0">
                  <c:v>Jours</c:v>
                </c:pt>
              </c:strCache>
            </c:strRef>
          </c:tx>
          <c:spPr>
            <a:pattFill prst="solidDmnd">
              <a:fgClr>
                <a:schemeClr val="accent1"/>
              </a:fgClr>
              <a:bgClr>
                <a:schemeClr val="bg1"/>
              </a:bgClr>
            </a:pattFill>
            <a:ln>
              <a:solidFill>
                <a:schemeClr val="accent1"/>
              </a:solidFill>
            </a:ln>
            <a:effectLst/>
          </c:spPr>
          <c:invertIfNegative val="0"/>
          <c:dPt>
            <c:idx val="5"/>
            <c:invertIfNegative val="0"/>
            <c:bubble3D val="0"/>
            <c:spPr>
              <a:pattFill prst="lgConfetti">
                <a:fgClr>
                  <a:schemeClr val="accent2"/>
                </a:fgClr>
                <a:bgClr>
                  <a:schemeClr val="bg1"/>
                </a:bgClr>
              </a:pattFill>
              <a:ln>
                <a:solidFill>
                  <a:schemeClr val="accent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144-44D5-956F-E1647A9282CE}"/>
              </c:ext>
            </c:extLst>
          </c:dPt>
          <c:dPt>
            <c:idx val="6"/>
            <c:invertIfNegative val="0"/>
            <c:bubble3D val="0"/>
            <c:spPr>
              <a:pattFill prst="lgConfetti">
                <a:fgClr>
                  <a:schemeClr val="accent2"/>
                </a:fgClr>
                <a:bgClr>
                  <a:schemeClr val="bg1"/>
                </a:bgClr>
              </a:pattFill>
              <a:ln>
                <a:solidFill>
                  <a:schemeClr val="accent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5144-44D5-956F-E1647A9282CE}"/>
              </c:ext>
            </c:extLst>
          </c:dPt>
          <c:dPt>
            <c:idx val="7"/>
            <c:invertIfNegative val="0"/>
            <c:bubble3D val="0"/>
            <c:spPr>
              <a:pattFill prst="lgConfetti">
                <a:fgClr>
                  <a:schemeClr val="accent2"/>
                </a:fgClr>
                <a:bgClr>
                  <a:schemeClr val="bg1"/>
                </a:bgClr>
              </a:pattFill>
              <a:ln>
                <a:solidFill>
                  <a:schemeClr val="accent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144-44D5-956F-E1647A9282C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'Jour_Navigable (3)'!$Q$3:$Q$14</c:f>
              <c:strCache>
                <c:ptCount val="12"/>
                <c:pt idx="0">
                  <c:v>Janvier</c:v>
                </c:pt>
                <c:pt idx="1">
                  <c:v>Fevrier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Aout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Decembre</c:v>
                </c:pt>
              </c:strCache>
            </c:strRef>
          </c:cat>
          <c:val>
            <c:numRef>
              <c:f>'Jour_Navigable (3)'!$S$3:$S$14</c:f>
              <c:numCache>
                <c:formatCode>General</c:formatCode>
                <c:ptCount val="12"/>
                <c:pt idx="0">
                  <c:v>31</c:v>
                </c:pt>
                <c:pt idx="1">
                  <c:v>28</c:v>
                </c:pt>
                <c:pt idx="2">
                  <c:v>31</c:v>
                </c:pt>
                <c:pt idx="3">
                  <c:v>30</c:v>
                </c:pt>
                <c:pt idx="4">
                  <c:v>31</c:v>
                </c:pt>
                <c:pt idx="5">
                  <c:v>30</c:v>
                </c:pt>
                <c:pt idx="6">
                  <c:v>10</c:v>
                </c:pt>
                <c:pt idx="7">
                  <c:v>30</c:v>
                </c:pt>
                <c:pt idx="8">
                  <c:v>29</c:v>
                </c:pt>
                <c:pt idx="9">
                  <c:v>31</c:v>
                </c:pt>
                <c:pt idx="10">
                  <c:v>30</c:v>
                </c:pt>
                <c:pt idx="11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44-44D5-956F-E1647A9282C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7"/>
        <c:axId val="495276111"/>
        <c:axId val="495272783"/>
      </c:barChart>
      <c:catAx>
        <c:axId val="4952761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200">
                    <a:solidFill>
                      <a:sysClr val="windowText" lastClr="000000"/>
                    </a:solidFill>
                  </a:rPr>
                  <a:t>Mois</a:t>
                </a:r>
              </a:p>
            </c:rich>
          </c:tx>
          <c:layout>
            <c:manualLayout>
              <c:xMode val="edge"/>
              <c:yMode val="edge"/>
              <c:x val="0.48106707656018138"/>
              <c:y val="0.868986384266263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272783"/>
        <c:crosses val="autoZero"/>
        <c:auto val="1"/>
        <c:lblAlgn val="ctr"/>
        <c:lblOffset val="100"/>
        <c:noMultiLvlLbl val="0"/>
      </c:catAx>
      <c:valAx>
        <c:axId val="49527278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200">
                    <a:solidFill>
                      <a:sysClr val="windowText" lastClr="000000"/>
                    </a:solidFill>
                  </a:rPr>
                  <a:t>Jours</a:t>
                </a:r>
                <a:r>
                  <a:rPr lang="fr-FR" sz="1200" baseline="0">
                    <a:solidFill>
                      <a:sysClr val="windowText" lastClr="000000"/>
                    </a:solidFill>
                  </a:rPr>
                  <a:t> Navigables</a:t>
                </a:r>
                <a:endParaRPr lang="fr-FR" sz="1200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4.910988336402701E-2"/>
              <c:y val="9.3982155407578594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4952761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'Jour_Navigable (3)'!$C$4480:$C$4484</c:f>
              <c:numCache>
                <c:formatCode>General</c:formatCode>
                <c:ptCount val="5"/>
                <c:pt idx="0">
                  <c:v>365.5</c:v>
                </c:pt>
                <c:pt idx="1">
                  <c:v>349.3</c:v>
                </c:pt>
                <c:pt idx="2">
                  <c:v>347.1</c:v>
                </c:pt>
                <c:pt idx="3">
                  <c:v>325.5</c:v>
                </c:pt>
                <c:pt idx="4">
                  <c:v>296.7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B6-4B15-91E7-08EA0B3B22F7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'Jour_Navigable (3)'!$D$4480:$D$4484</c:f>
              <c:numCache>
                <c:formatCode>General</c:formatCode>
                <c:ptCount val="5"/>
                <c:pt idx="0">
                  <c:v>274.3</c:v>
                </c:pt>
                <c:pt idx="1">
                  <c:v>290.8</c:v>
                </c:pt>
                <c:pt idx="2">
                  <c:v>292.89999999999998</c:v>
                </c:pt>
                <c:pt idx="3">
                  <c:v>287.5</c:v>
                </c:pt>
                <c:pt idx="4">
                  <c:v>277.3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5B6-4B15-91E7-08EA0B3B22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67483391"/>
        <c:axId val="1467475487"/>
      </c:lineChart>
      <c:catAx>
        <c:axId val="146748339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7475487"/>
        <c:crosses val="autoZero"/>
        <c:auto val="1"/>
        <c:lblAlgn val="ctr"/>
        <c:lblOffset val="100"/>
        <c:noMultiLvlLbl val="0"/>
      </c:catAx>
      <c:valAx>
        <c:axId val="1467475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7483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2"/>
          <c:order val="2"/>
          <c:tx>
            <c:strRef>
              <c:f>'Jour_Navigable (3)'!$O$17</c:f>
              <c:strCache>
                <c:ptCount val="1"/>
                <c:pt idx="0">
                  <c:v>H≥1,2m (Saison Pluie)</c:v>
                </c:pt>
              </c:strCache>
            </c:strRef>
          </c:tx>
          <c:spPr>
            <a:pattFill prst="solidDmnd">
              <a:fgClr>
                <a:schemeClr val="accent1"/>
              </a:fgClr>
              <a:bgClr>
                <a:schemeClr val="bg1"/>
              </a:bgClr>
            </a:pattFill>
            <a:ln>
              <a:solidFill>
                <a:schemeClr val="accent1"/>
              </a:solidFill>
            </a:ln>
            <a:effectLst/>
          </c:spPr>
          <c:invertIfNegative val="0"/>
          <c:cat>
            <c:numRef>
              <c:f>'Jour_Navigable (3)'!$M$18:$M$31</c:f>
              <c:numCache>
                <c:formatCode>General</c:formatCode>
                <c:ptCount val="14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</c:numCache>
            </c:numRef>
          </c:cat>
          <c:val>
            <c:numRef>
              <c:f>'Jour_Navigable (3)'!$O$18:$O$31</c:f>
              <c:numCache>
                <c:formatCode>General</c:formatCode>
                <c:ptCount val="14"/>
                <c:pt idx="0">
                  <c:v>272</c:v>
                </c:pt>
                <c:pt idx="1">
                  <c:v>273</c:v>
                </c:pt>
                <c:pt idx="2">
                  <c:v>273</c:v>
                </c:pt>
                <c:pt idx="3">
                  <c:v>274</c:v>
                </c:pt>
                <c:pt idx="4">
                  <c:v>273</c:v>
                </c:pt>
                <c:pt idx="5">
                  <c:v>273</c:v>
                </c:pt>
                <c:pt idx="6">
                  <c:v>273</c:v>
                </c:pt>
                <c:pt idx="7">
                  <c:v>273</c:v>
                </c:pt>
                <c:pt idx="8">
                  <c:v>272</c:v>
                </c:pt>
                <c:pt idx="9">
                  <c:v>273</c:v>
                </c:pt>
                <c:pt idx="10">
                  <c:v>272</c:v>
                </c:pt>
                <c:pt idx="11">
                  <c:v>274</c:v>
                </c:pt>
                <c:pt idx="12">
                  <c:v>273</c:v>
                </c:pt>
                <c:pt idx="13">
                  <c:v>273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406-4D64-BE27-97F42C899992}"/>
            </c:ext>
          </c:extLst>
        </c:ser>
        <c:ser>
          <c:idx val="3"/>
          <c:order val="3"/>
          <c:tx>
            <c:strRef>
              <c:f>'Jour_Navigable (3)'!$P$17</c:f>
              <c:strCache>
                <c:ptCount val="1"/>
                <c:pt idx="0">
                  <c:v>H≥1,2m (Saison sèche)</c:v>
                </c:pt>
              </c:strCache>
            </c:strRef>
          </c:tx>
          <c:spPr>
            <a:pattFill prst="lgConfetti">
              <a:fgClr>
                <a:schemeClr val="accent2"/>
              </a:fgClr>
              <a:bgClr>
                <a:schemeClr val="bg1"/>
              </a:bgClr>
            </a:pattFill>
            <a:ln>
              <a:solidFill>
                <a:schemeClr val="accent2"/>
              </a:solidFill>
            </a:ln>
            <a:effectLst/>
          </c:spPr>
          <c:invertIfNegative val="0"/>
          <c:cat>
            <c:numRef>
              <c:f>'Jour_Navigable (3)'!$M$18:$M$31</c:f>
              <c:numCache>
                <c:formatCode>General</c:formatCode>
                <c:ptCount val="14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</c:numCache>
            </c:numRef>
          </c:cat>
          <c:val>
            <c:numRef>
              <c:f>'Jour_Navigable (3)'!$P$18:$P$31</c:f>
              <c:numCache>
                <c:formatCode>General</c:formatCode>
                <c:ptCount val="14"/>
                <c:pt idx="0">
                  <c:v>74</c:v>
                </c:pt>
                <c:pt idx="1">
                  <c:v>76</c:v>
                </c:pt>
                <c:pt idx="2">
                  <c:v>70</c:v>
                </c:pt>
                <c:pt idx="3">
                  <c:v>71</c:v>
                </c:pt>
                <c:pt idx="4">
                  <c:v>78</c:v>
                </c:pt>
                <c:pt idx="5">
                  <c:v>70</c:v>
                </c:pt>
                <c:pt idx="6">
                  <c:v>74</c:v>
                </c:pt>
                <c:pt idx="7">
                  <c:v>71</c:v>
                </c:pt>
                <c:pt idx="8">
                  <c:v>83</c:v>
                </c:pt>
                <c:pt idx="9">
                  <c:v>71</c:v>
                </c:pt>
                <c:pt idx="10">
                  <c:v>64</c:v>
                </c:pt>
                <c:pt idx="11">
                  <c:v>74</c:v>
                </c:pt>
                <c:pt idx="12">
                  <c:v>61</c:v>
                </c:pt>
                <c:pt idx="13">
                  <c:v>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406-4D64-BE27-97F42C8999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2000135167"/>
        <c:axId val="2000130175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'Jour_Navigable (3)'!$M$17</c15:sqref>
                        </c15:formulaRef>
                      </c:ext>
                    </c:extLst>
                    <c:strCache>
                      <c:ptCount val="1"/>
                      <c:pt idx="0">
                        <c:v>Année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'Jour_Navigable (3)'!$M$18:$M$31</c15:sqref>
                        </c15:formulaRef>
                      </c:ext>
                    </c:extLst>
                    <c:numCache>
                      <c:formatCode>General</c:formatCode>
                      <c:ptCount val="14"/>
                      <c:pt idx="0">
                        <c:v>2009</c:v>
                      </c:pt>
                      <c:pt idx="1">
                        <c:v>2010</c:v>
                      </c:pt>
                      <c:pt idx="2">
                        <c:v>2011</c:v>
                      </c:pt>
                      <c:pt idx="3">
                        <c:v>2012</c:v>
                      </c:pt>
                      <c:pt idx="4">
                        <c:v>2013</c:v>
                      </c:pt>
                      <c:pt idx="5">
                        <c:v>2014</c:v>
                      </c:pt>
                      <c:pt idx="6">
                        <c:v>2015</c:v>
                      </c:pt>
                      <c:pt idx="7">
                        <c:v>2016</c:v>
                      </c:pt>
                      <c:pt idx="8">
                        <c:v>2017</c:v>
                      </c:pt>
                      <c:pt idx="9">
                        <c:v>2018</c:v>
                      </c:pt>
                      <c:pt idx="10">
                        <c:v>2019</c:v>
                      </c:pt>
                      <c:pt idx="11">
                        <c:v>2020</c:v>
                      </c:pt>
                      <c:pt idx="12">
                        <c:v>2021</c:v>
                      </c:pt>
                      <c:pt idx="13">
                        <c:v>2022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'Jour_Navigable (3)'!$M$18:$M$31</c15:sqref>
                        </c15:formulaRef>
                      </c:ext>
                    </c:extLst>
                    <c:numCache>
                      <c:formatCode>General</c:formatCode>
                      <c:ptCount val="14"/>
                      <c:pt idx="0">
                        <c:v>2009</c:v>
                      </c:pt>
                      <c:pt idx="1">
                        <c:v>2010</c:v>
                      </c:pt>
                      <c:pt idx="2">
                        <c:v>2011</c:v>
                      </c:pt>
                      <c:pt idx="3">
                        <c:v>2012</c:v>
                      </c:pt>
                      <c:pt idx="4">
                        <c:v>2013</c:v>
                      </c:pt>
                      <c:pt idx="5">
                        <c:v>2014</c:v>
                      </c:pt>
                      <c:pt idx="6">
                        <c:v>2015</c:v>
                      </c:pt>
                      <c:pt idx="7">
                        <c:v>2016</c:v>
                      </c:pt>
                      <c:pt idx="8">
                        <c:v>2017</c:v>
                      </c:pt>
                      <c:pt idx="9">
                        <c:v>2018</c:v>
                      </c:pt>
                      <c:pt idx="10">
                        <c:v>2019</c:v>
                      </c:pt>
                      <c:pt idx="11">
                        <c:v>2020</c:v>
                      </c:pt>
                      <c:pt idx="12">
                        <c:v>2021</c:v>
                      </c:pt>
                      <c:pt idx="13">
                        <c:v>2022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5406-4D64-BE27-97F42C899992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'Jour_Navigable (3)'!$N$17</c15:sqref>
                        </c15:formulaRef>
                      </c:ext>
                    </c:extLst>
                    <c:strCache>
                      <c:ptCount val="1"/>
                      <c:pt idx="0">
                        <c:v>jours/année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'Jour_Navigable (3)'!$M$18:$M$31</c15:sqref>
                        </c15:formulaRef>
                      </c:ext>
                    </c:extLst>
                    <c:numCache>
                      <c:formatCode>General</c:formatCode>
                      <c:ptCount val="14"/>
                      <c:pt idx="0">
                        <c:v>2009</c:v>
                      </c:pt>
                      <c:pt idx="1">
                        <c:v>2010</c:v>
                      </c:pt>
                      <c:pt idx="2">
                        <c:v>2011</c:v>
                      </c:pt>
                      <c:pt idx="3">
                        <c:v>2012</c:v>
                      </c:pt>
                      <c:pt idx="4">
                        <c:v>2013</c:v>
                      </c:pt>
                      <c:pt idx="5">
                        <c:v>2014</c:v>
                      </c:pt>
                      <c:pt idx="6">
                        <c:v>2015</c:v>
                      </c:pt>
                      <c:pt idx="7">
                        <c:v>2016</c:v>
                      </c:pt>
                      <c:pt idx="8">
                        <c:v>2017</c:v>
                      </c:pt>
                      <c:pt idx="9">
                        <c:v>2018</c:v>
                      </c:pt>
                      <c:pt idx="10">
                        <c:v>2019</c:v>
                      </c:pt>
                      <c:pt idx="11">
                        <c:v>2020</c:v>
                      </c:pt>
                      <c:pt idx="12">
                        <c:v>2021</c:v>
                      </c:pt>
                      <c:pt idx="13">
                        <c:v>2022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'Jour_Navigable (3)'!$N$18:$N$31</c15:sqref>
                        </c15:formulaRef>
                      </c:ext>
                    </c:extLst>
                    <c:numCache>
                      <c:formatCode>General</c:formatCode>
                      <c:ptCount val="14"/>
                      <c:pt idx="0">
                        <c:v>240</c:v>
                      </c:pt>
                      <c:pt idx="1">
                        <c:v>238</c:v>
                      </c:pt>
                      <c:pt idx="2">
                        <c:v>258</c:v>
                      </c:pt>
                      <c:pt idx="3">
                        <c:v>263</c:v>
                      </c:pt>
                      <c:pt idx="4">
                        <c:v>251</c:v>
                      </c:pt>
                      <c:pt idx="5">
                        <c:v>263</c:v>
                      </c:pt>
                      <c:pt idx="6">
                        <c:v>242</c:v>
                      </c:pt>
                      <c:pt idx="7">
                        <c:v>241</c:v>
                      </c:pt>
                      <c:pt idx="8">
                        <c:v>240</c:v>
                      </c:pt>
                      <c:pt idx="9">
                        <c:v>265</c:v>
                      </c:pt>
                      <c:pt idx="10">
                        <c:v>265</c:v>
                      </c:pt>
                      <c:pt idx="11">
                        <c:v>251</c:v>
                      </c:pt>
                      <c:pt idx="12">
                        <c:v>246</c:v>
                      </c:pt>
                      <c:pt idx="13">
                        <c:v>247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5406-4D64-BE27-97F42C899992}"/>
                  </c:ext>
                </c:extLst>
              </c15:ser>
            </c15:filteredBarSeries>
          </c:ext>
        </c:extLst>
      </c:barChart>
      <c:catAx>
        <c:axId val="20001351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Année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130175"/>
        <c:crosses val="autoZero"/>
        <c:auto val="1"/>
        <c:lblAlgn val="ctr"/>
        <c:lblOffset val="100"/>
        <c:noMultiLvlLbl val="0"/>
      </c:catAx>
      <c:valAx>
        <c:axId val="2000130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Nombre de jours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135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2"/>
          <c:order val="2"/>
          <c:tx>
            <c:strRef>
              <c:f>Qmoyennes!$G$1</c:f>
              <c:strCache>
                <c:ptCount val="1"/>
                <c:pt idx="0">
                  <c:v>Qmoyennes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Qmoyennes!$G$2:$G$13</c:f>
              <c:numCache>
                <c:formatCode>General</c:formatCode>
                <c:ptCount val="12"/>
                <c:pt idx="0">
                  <c:v>207.22741935483876</c:v>
                </c:pt>
                <c:pt idx="1">
                  <c:v>184.00987341772176</c:v>
                </c:pt>
                <c:pt idx="2">
                  <c:v>200.03433179723501</c:v>
                </c:pt>
                <c:pt idx="3">
                  <c:v>210.07547619047622</c:v>
                </c:pt>
                <c:pt idx="4">
                  <c:v>170.20115207373277</c:v>
                </c:pt>
                <c:pt idx="5">
                  <c:v>90.211190476190453</c:v>
                </c:pt>
                <c:pt idx="6">
                  <c:v>63.456912442396309</c:v>
                </c:pt>
                <c:pt idx="7">
                  <c:v>83.158064516129045</c:v>
                </c:pt>
                <c:pt idx="8">
                  <c:v>144.65690476190488</c:v>
                </c:pt>
                <c:pt idx="9">
                  <c:v>197.88133640552988</c:v>
                </c:pt>
                <c:pt idx="10">
                  <c:v>228.79928571428599</c:v>
                </c:pt>
                <c:pt idx="11">
                  <c:v>227.77672811059901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9E-46B6-A58A-B3E80F227F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00155967"/>
        <c:axId val="2000160543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Qmoyennes!$E$13</c15:sqref>
                        </c15:formulaRef>
                      </c:ext>
                    </c:extLst>
                    <c:strCache>
                      <c:ptCount val="1"/>
                      <c:pt idx="0">
                        <c:v>234.7767281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Qmoyennes!$F$2:$F$13</c15:sqref>
                        </c15:formulaRef>
                      </c:ext>
                    </c:extLst>
                    <c:strCache>
                      <c:ptCount val="12"/>
                      <c:pt idx="0">
                        <c:v>Janvier</c:v>
                      </c:pt>
                      <c:pt idx="1">
                        <c:v>Février</c:v>
                      </c:pt>
                      <c:pt idx="2">
                        <c:v>Mars</c:v>
                      </c:pt>
                      <c:pt idx="3">
                        <c:v>Avril</c:v>
                      </c:pt>
                      <c:pt idx="4">
                        <c:v>Mai</c:v>
                      </c:pt>
                      <c:pt idx="5">
                        <c:v>Juin</c:v>
                      </c:pt>
                      <c:pt idx="6">
                        <c:v>Juillet</c:v>
                      </c:pt>
                      <c:pt idx="7">
                        <c:v>Août</c:v>
                      </c:pt>
                      <c:pt idx="8">
                        <c:v>Septembre</c:v>
                      </c:pt>
                      <c:pt idx="9">
                        <c:v>Octobre</c:v>
                      </c:pt>
                      <c:pt idx="10">
                        <c:v>Novembre</c:v>
                      </c:pt>
                      <c:pt idx="11">
                        <c:v>Décembre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Qmoyennes!$F$13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A8EF-4666-835E-9D26807E178D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Qmoyennes!$E$1</c15:sqref>
                        </c15:formulaRef>
                      </c:ext>
                    </c:extLst>
                    <c:strCache>
                      <c:ptCount val="1"/>
                      <c:pt idx="0">
                        <c:v>Qmoyennes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Qmoyennes!$F$2:$F$13</c15:sqref>
                        </c15:formulaRef>
                      </c:ext>
                    </c:extLst>
                    <c:strCache>
                      <c:ptCount val="12"/>
                      <c:pt idx="0">
                        <c:v>Janvier</c:v>
                      </c:pt>
                      <c:pt idx="1">
                        <c:v>Février</c:v>
                      </c:pt>
                      <c:pt idx="2">
                        <c:v>Mars</c:v>
                      </c:pt>
                      <c:pt idx="3">
                        <c:v>Avril</c:v>
                      </c:pt>
                      <c:pt idx="4">
                        <c:v>Mai</c:v>
                      </c:pt>
                      <c:pt idx="5">
                        <c:v>Juin</c:v>
                      </c:pt>
                      <c:pt idx="6">
                        <c:v>Juillet</c:v>
                      </c:pt>
                      <c:pt idx="7">
                        <c:v>Août</c:v>
                      </c:pt>
                      <c:pt idx="8">
                        <c:v>Septembre</c:v>
                      </c:pt>
                      <c:pt idx="9">
                        <c:v>Octobre</c:v>
                      </c:pt>
                      <c:pt idx="10">
                        <c:v>Novembre</c:v>
                      </c:pt>
                      <c:pt idx="11">
                        <c:v>Décembre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Qmoyennes!$E$2:$E$13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207.22741935483876</c:v>
                      </c:pt>
                      <c:pt idx="1">
                        <c:v>184.00987341772176</c:v>
                      </c:pt>
                      <c:pt idx="2">
                        <c:v>209.03433179723496</c:v>
                      </c:pt>
                      <c:pt idx="3">
                        <c:v>210.07547619047622</c:v>
                      </c:pt>
                      <c:pt idx="4">
                        <c:v>170.20115207373277</c:v>
                      </c:pt>
                      <c:pt idx="5">
                        <c:v>90.211190476190453</c:v>
                      </c:pt>
                      <c:pt idx="6">
                        <c:v>63.456912442396309</c:v>
                      </c:pt>
                      <c:pt idx="7">
                        <c:v>83.158064516129045</c:v>
                      </c:pt>
                      <c:pt idx="8">
                        <c:v>144.65690476190488</c:v>
                      </c:pt>
                      <c:pt idx="9">
                        <c:v>197.88133640552988</c:v>
                      </c:pt>
                      <c:pt idx="10">
                        <c:v>223.79928571428556</c:v>
                      </c:pt>
                      <c:pt idx="11">
                        <c:v>234.77672811059907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A8EF-4666-835E-9D26807E178D}"/>
                  </c:ext>
                </c:extLst>
              </c15:ser>
            </c15:filteredBarSeries>
          </c:ext>
        </c:extLst>
      </c:barChart>
      <c:catAx>
        <c:axId val="20001559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Mois (2009 à 2022)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160543"/>
        <c:crosses val="autoZero"/>
        <c:auto val="1"/>
        <c:lblAlgn val="ctr"/>
        <c:lblOffset val="100"/>
        <c:noMultiLvlLbl val="0"/>
      </c:catAx>
      <c:valAx>
        <c:axId val="2000160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Débit (M3/s)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1559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Qmoyennes!$G$1</c:f>
              <c:strCache>
                <c:ptCount val="1"/>
                <c:pt idx="0">
                  <c:v>Qmoyennes</c:v>
                </c:pt>
              </c:strCache>
            </c:strRef>
          </c:tx>
          <c:spPr>
            <a:pattFill prst="wdDnDiag">
              <a:fgClr>
                <a:schemeClr val="accent1"/>
              </a:fgClr>
              <a:bgClr>
                <a:schemeClr val="bg1"/>
              </a:bgClr>
            </a:pattFill>
            <a:ln>
              <a:solidFill>
                <a:schemeClr val="accent1"/>
              </a:solidFill>
            </a:ln>
            <a:effectLst/>
          </c:spPr>
          <c:invertIfNegative val="0"/>
          <c:cat>
            <c:strRef>
              <c:f>Qmoyennes!$F$2:$F$13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Qmoyennes!$G$2:$G$13</c:f>
              <c:numCache>
                <c:formatCode>General</c:formatCode>
                <c:ptCount val="12"/>
                <c:pt idx="0">
                  <c:v>207.22741935483876</c:v>
                </c:pt>
                <c:pt idx="1">
                  <c:v>184.00987341772176</c:v>
                </c:pt>
                <c:pt idx="2">
                  <c:v>200.03433179723501</c:v>
                </c:pt>
                <c:pt idx="3">
                  <c:v>210.07547619047622</c:v>
                </c:pt>
                <c:pt idx="4">
                  <c:v>170.20115207373277</c:v>
                </c:pt>
                <c:pt idx="5">
                  <c:v>90.211190476190453</c:v>
                </c:pt>
                <c:pt idx="6">
                  <c:v>63.456912442396309</c:v>
                </c:pt>
                <c:pt idx="7">
                  <c:v>83.158064516129045</c:v>
                </c:pt>
                <c:pt idx="8">
                  <c:v>144.65690476190488</c:v>
                </c:pt>
                <c:pt idx="9">
                  <c:v>197.88133640552988</c:v>
                </c:pt>
                <c:pt idx="10">
                  <c:v>228.79928571428599</c:v>
                </c:pt>
                <c:pt idx="11">
                  <c:v>227.77672811059901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E1-4D3B-A3A4-B6C683AFE6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3"/>
        <c:overlap val="-27"/>
        <c:axId val="526284944"/>
        <c:axId val="526286192"/>
      </c:barChart>
      <c:catAx>
        <c:axId val="5262849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>
                    <a:solidFill>
                      <a:sysClr val="windowText" lastClr="000000"/>
                    </a:solidFill>
                  </a:rPr>
                  <a:t>Mois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286192"/>
        <c:crosses val="autoZero"/>
        <c:auto val="1"/>
        <c:lblAlgn val="ctr"/>
        <c:lblOffset val="100"/>
        <c:noMultiLvlLbl val="0"/>
      </c:catAx>
      <c:valAx>
        <c:axId val="526286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>
                    <a:solidFill>
                      <a:sysClr val="windowText" lastClr="000000"/>
                    </a:solidFill>
                  </a:rPr>
                  <a:t>Qmoyen</a:t>
                </a:r>
                <a:r>
                  <a:rPr lang="fr-FR" baseline="0">
                    <a:solidFill>
                      <a:sysClr val="windowText" lastClr="000000"/>
                    </a:solidFill>
                  </a:rPr>
                  <a:t> </a:t>
                </a:r>
                <a:r>
                  <a:rPr lang="fr-FR">
                    <a:solidFill>
                      <a:sysClr val="windowText" lastClr="000000"/>
                    </a:solidFill>
                  </a:rPr>
                  <a:t>(m3/s)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284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'courbe debit classé (2)'!$A$1</c:f>
              <c:strCache>
                <c:ptCount val="1"/>
                <c:pt idx="0">
                  <c:v>Qsimulés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'courbe debit classé (2)'!$D$2:$D$1758</c:f>
              <c:numCache>
                <c:formatCode>General</c:formatCode>
                <c:ptCount val="1757"/>
                <c:pt idx="0">
                  <c:v>1.9557989438685704E-2</c:v>
                </c:pt>
                <c:pt idx="1">
                  <c:v>3.9115978877371407E-2</c:v>
                </c:pt>
                <c:pt idx="2">
                  <c:v>5.8673968316057111E-2</c:v>
                </c:pt>
                <c:pt idx="3">
                  <c:v>7.8231957754742815E-2</c:v>
                </c:pt>
                <c:pt idx="4">
                  <c:v>9.7789947193428511E-2</c:v>
                </c:pt>
                <c:pt idx="5">
                  <c:v>0.15646391550948563</c:v>
                </c:pt>
                <c:pt idx="6">
                  <c:v>0.17602190494817133</c:v>
                </c:pt>
                <c:pt idx="7">
                  <c:v>0.19557989438685702</c:v>
                </c:pt>
                <c:pt idx="8">
                  <c:v>0.21513788382554272</c:v>
                </c:pt>
                <c:pt idx="9">
                  <c:v>0.23469587326422842</c:v>
                </c:pt>
                <c:pt idx="10">
                  <c:v>0.25425386270291411</c:v>
                </c:pt>
                <c:pt idx="11">
                  <c:v>0.27381185214159981</c:v>
                </c:pt>
                <c:pt idx="12">
                  <c:v>0.29336984158028551</c:v>
                </c:pt>
                <c:pt idx="13">
                  <c:v>0.3129278310189712</c:v>
                </c:pt>
                <c:pt idx="14">
                  <c:v>0.37160179933502829</c:v>
                </c:pt>
                <c:pt idx="15">
                  <c:v>0.39115978877371399</c:v>
                </c:pt>
                <c:pt idx="16">
                  <c:v>0.41071777821239969</c:v>
                </c:pt>
                <c:pt idx="17">
                  <c:v>0.43027576765108538</c:v>
                </c:pt>
                <c:pt idx="18">
                  <c:v>0.44983375708977108</c:v>
                </c:pt>
                <c:pt idx="19">
                  <c:v>0.46939174652845678</c:v>
                </c:pt>
                <c:pt idx="20">
                  <c:v>0.48894973596714247</c:v>
                </c:pt>
                <c:pt idx="21">
                  <c:v>0.50850772540582823</c:v>
                </c:pt>
                <c:pt idx="22">
                  <c:v>0.52806571484451392</c:v>
                </c:pt>
                <c:pt idx="23">
                  <c:v>0.54762370428319962</c:v>
                </c:pt>
                <c:pt idx="24">
                  <c:v>0.56718169372188532</c:v>
                </c:pt>
                <c:pt idx="25">
                  <c:v>0.58673968316057101</c:v>
                </c:pt>
                <c:pt idx="26">
                  <c:v>0.60629767259925671</c:v>
                </c:pt>
                <c:pt idx="27">
                  <c:v>0.62585566203794241</c:v>
                </c:pt>
                <c:pt idx="28">
                  <c:v>0.6649716409153138</c:v>
                </c:pt>
                <c:pt idx="29">
                  <c:v>0.6845296303539995</c:v>
                </c:pt>
                <c:pt idx="30">
                  <c:v>0.70408761979268519</c:v>
                </c:pt>
                <c:pt idx="31">
                  <c:v>0.72364560923137089</c:v>
                </c:pt>
                <c:pt idx="32">
                  <c:v>0.74320359867005659</c:v>
                </c:pt>
                <c:pt idx="33">
                  <c:v>0.76276158810874228</c:v>
                </c:pt>
                <c:pt idx="34">
                  <c:v>0.78231957754742798</c:v>
                </c:pt>
                <c:pt idx="35">
                  <c:v>0.80187756698611368</c:v>
                </c:pt>
                <c:pt idx="36">
                  <c:v>0.82143555642479937</c:v>
                </c:pt>
                <c:pt idx="37">
                  <c:v>0.84099354586348507</c:v>
                </c:pt>
                <c:pt idx="38">
                  <c:v>0.86055153530217077</c:v>
                </c:pt>
                <c:pt idx="39">
                  <c:v>0.88010952474085646</c:v>
                </c:pt>
                <c:pt idx="40">
                  <c:v>0.89966751417954216</c:v>
                </c:pt>
                <c:pt idx="41">
                  <c:v>0.91922550361822786</c:v>
                </c:pt>
                <c:pt idx="42">
                  <c:v>0.93878349305691355</c:v>
                </c:pt>
                <c:pt idx="43">
                  <c:v>0.95834148249559925</c:v>
                </c:pt>
                <c:pt idx="44">
                  <c:v>0.97789947193428495</c:v>
                </c:pt>
                <c:pt idx="45">
                  <c:v>1.0170154508116565</c:v>
                </c:pt>
                <c:pt idx="46">
                  <c:v>1.0365734402503421</c:v>
                </c:pt>
                <c:pt idx="47">
                  <c:v>1.0561314296890278</c:v>
                </c:pt>
                <c:pt idx="48">
                  <c:v>1.1148053980050849</c:v>
                </c:pt>
                <c:pt idx="49">
                  <c:v>1.1343633874437706</c:v>
                </c:pt>
                <c:pt idx="50">
                  <c:v>1.1539213768824563</c:v>
                </c:pt>
                <c:pt idx="51">
                  <c:v>1.173479366321142</c:v>
                </c:pt>
                <c:pt idx="52">
                  <c:v>1.1930373557598277</c:v>
                </c:pt>
                <c:pt idx="53">
                  <c:v>1.2125953451985134</c:v>
                </c:pt>
                <c:pt idx="54">
                  <c:v>1.2321533346371991</c:v>
                </c:pt>
                <c:pt idx="55">
                  <c:v>1.2517113240758848</c:v>
                </c:pt>
                <c:pt idx="56">
                  <c:v>1.2712693135145705</c:v>
                </c:pt>
                <c:pt idx="57">
                  <c:v>1.2908273029532562</c:v>
                </c:pt>
                <c:pt idx="58">
                  <c:v>1.3103852923919419</c:v>
                </c:pt>
                <c:pt idx="59">
                  <c:v>1.3299432818306276</c:v>
                </c:pt>
                <c:pt idx="60">
                  <c:v>1.3495012712693133</c:v>
                </c:pt>
                <c:pt idx="61">
                  <c:v>1.369059260707999</c:v>
                </c:pt>
                <c:pt idx="62">
                  <c:v>1.3886172501466847</c:v>
                </c:pt>
                <c:pt idx="63">
                  <c:v>1.4472912184627418</c:v>
                </c:pt>
                <c:pt idx="64">
                  <c:v>1.4668492079014275</c:v>
                </c:pt>
                <c:pt idx="65">
                  <c:v>1.4864071973401132</c:v>
                </c:pt>
                <c:pt idx="66">
                  <c:v>1.5059651867787989</c:v>
                </c:pt>
                <c:pt idx="67">
                  <c:v>1.5255231762174846</c:v>
                </c:pt>
                <c:pt idx="68">
                  <c:v>1.5450811656561703</c:v>
                </c:pt>
                <c:pt idx="69">
                  <c:v>1.564639155094856</c:v>
                </c:pt>
                <c:pt idx="70">
                  <c:v>1.6037551339722274</c:v>
                </c:pt>
                <c:pt idx="71">
                  <c:v>1.6233131234109131</c:v>
                </c:pt>
                <c:pt idx="72">
                  <c:v>1.6428711128495987</c:v>
                </c:pt>
                <c:pt idx="73">
                  <c:v>1.6624291022882844</c:v>
                </c:pt>
                <c:pt idx="74">
                  <c:v>1.7015450811656558</c:v>
                </c:pt>
                <c:pt idx="75">
                  <c:v>1.7602190494817129</c:v>
                </c:pt>
                <c:pt idx="76">
                  <c:v>1.7797770389203986</c:v>
                </c:pt>
                <c:pt idx="77">
                  <c:v>1.7993350283590843</c:v>
                </c:pt>
                <c:pt idx="78">
                  <c:v>1.81889301779777</c:v>
                </c:pt>
                <c:pt idx="79">
                  <c:v>1.8384510072364557</c:v>
                </c:pt>
                <c:pt idx="80">
                  <c:v>1.8580089966751414</c:v>
                </c:pt>
                <c:pt idx="81">
                  <c:v>1.8775669861138271</c:v>
                </c:pt>
                <c:pt idx="82">
                  <c:v>1.9362409544298842</c:v>
                </c:pt>
                <c:pt idx="83">
                  <c:v>1.9557989438685699</c:v>
                </c:pt>
                <c:pt idx="84">
                  <c:v>1.9949149227459413</c:v>
                </c:pt>
                <c:pt idx="85">
                  <c:v>2.014472912184627</c:v>
                </c:pt>
                <c:pt idx="86">
                  <c:v>2.0340309016233129</c:v>
                </c:pt>
                <c:pt idx="87">
                  <c:v>2.0535888910619988</c:v>
                </c:pt>
                <c:pt idx="88">
                  <c:v>2.0731468805006847</c:v>
                </c:pt>
                <c:pt idx="89">
                  <c:v>2.0927048699393707</c:v>
                </c:pt>
                <c:pt idx="90">
                  <c:v>2.1122628593780566</c:v>
                </c:pt>
                <c:pt idx="91">
                  <c:v>2.1318208488167425</c:v>
                </c:pt>
                <c:pt idx="92">
                  <c:v>2.1513788382554284</c:v>
                </c:pt>
                <c:pt idx="93">
                  <c:v>2.1709368276941143</c:v>
                </c:pt>
                <c:pt idx="94">
                  <c:v>2.1904948171328003</c:v>
                </c:pt>
                <c:pt idx="95">
                  <c:v>2.2296107960101716</c:v>
                </c:pt>
                <c:pt idx="96">
                  <c:v>2.2491687854488576</c:v>
                </c:pt>
                <c:pt idx="97">
                  <c:v>2.2687267748875435</c:v>
                </c:pt>
                <c:pt idx="98">
                  <c:v>2.3274007432036008</c:v>
                </c:pt>
                <c:pt idx="99">
                  <c:v>2.3469587326422867</c:v>
                </c:pt>
                <c:pt idx="100">
                  <c:v>2.3665167220809726</c:v>
                </c:pt>
                <c:pt idx="101">
                  <c:v>2.3860747115196586</c:v>
                </c:pt>
                <c:pt idx="102">
                  <c:v>2.4251906903970299</c:v>
                </c:pt>
                <c:pt idx="103">
                  <c:v>2.4643066692744013</c:v>
                </c:pt>
                <c:pt idx="104">
                  <c:v>2.4838646587130873</c:v>
                </c:pt>
                <c:pt idx="105">
                  <c:v>2.5034226481517732</c:v>
                </c:pt>
                <c:pt idx="106">
                  <c:v>2.5229806375904591</c:v>
                </c:pt>
                <c:pt idx="107">
                  <c:v>2.542538627029145</c:v>
                </c:pt>
                <c:pt idx="108">
                  <c:v>2.5620966164678309</c:v>
                </c:pt>
                <c:pt idx="109">
                  <c:v>2.5816546059065169</c:v>
                </c:pt>
                <c:pt idx="110">
                  <c:v>2.6012125953452028</c:v>
                </c:pt>
                <c:pt idx="111">
                  <c:v>2.6403285742225742</c:v>
                </c:pt>
                <c:pt idx="112">
                  <c:v>2.6794445530999456</c:v>
                </c:pt>
                <c:pt idx="113">
                  <c:v>2.718560531977317</c:v>
                </c:pt>
                <c:pt idx="114">
                  <c:v>2.7381185214160029</c:v>
                </c:pt>
                <c:pt idx="115">
                  <c:v>2.7576765108546888</c:v>
                </c:pt>
                <c:pt idx="116">
                  <c:v>2.7772345002933747</c:v>
                </c:pt>
                <c:pt idx="117">
                  <c:v>2.7967924897320606</c:v>
                </c:pt>
                <c:pt idx="118">
                  <c:v>2.8163504791707465</c:v>
                </c:pt>
                <c:pt idx="119">
                  <c:v>2.8359084686094325</c:v>
                </c:pt>
                <c:pt idx="120">
                  <c:v>2.8554664580481184</c:v>
                </c:pt>
                <c:pt idx="121">
                  <c:v>2.8945824369254898</c:v>
                </c:pt>
                <c:pt idx="122">
                  <c:v>2.9141404263641757</c:v>
                </c:pt>
                <c:pt idx="123">
                  <c:v>2.9923723841189185</c:v>
                </c:pt>
                <c:pt idx="124">
                  <c:v>3.0119303735576044</c:v>
                </c:pt>
                <c:pt idx="125">
                  <c:v>3.0510463524349758</c:v>
                </c:pt>
                <c:pt idx="126">
                  <c:v>3.1097203207510331</c:v>
                </c:pt>
                <c:pt idx="127">
                  <c:v>3.129278310189719</c:v>
                </c:pt>
                <c:pt idx="128">
                  <c:v>3.1488362996284049</c:v>
                </c:pt>
                <c:pt idx="129">
                  <c:v>3.2075102679444623</c:v>
                </c:pt>
                <c:pt idx="130">
                  <c:v>3.2466262468218337</c:v>
                </c:pt>
                <c:pt idx="131">
                  <c:v>3.2661842362605196</c:v>
                </c:pt>
                <c:pt idx="132">
                  <c:v>3.3248582045765769</c:v>
                </c:pt>
                <c:pt idx="133">
                  <c:v>3.3639741834539483</c:v>
                </c:pt>
                <c:pt idx="134">
                  <c:v>3.4030901623313197</c:v>
                </c:pt>
                <c:pt idx="135">
                  <c:v>3.4422061412086911</c:v>
                </c:pt>
                <c:pt idx="136">
                  <c:v>3.461764130647377</c:v>
                </c:pt>
                <c:pt idx="137">
                  <c:v>3.5008801095247484</c:v>
                </c:pt>
                <c:pt idx="138">
                  <c:v>3.5204380989634343</c:v>
                </c:pt>
                <c:pt idx="139">
                  <c:v>3.5595540778408057</c:v>
                </c:pt>
                <c:pt idx="140">
                  <c:v>3.5791120672794916</c:v>
                </c:pt>
                <c:pt idx="141">
                  <c:v>3.618228046156863</c:v>
                </c:pt>
                <c:pt idx="142">
                  <c:v>3.6769020144729203</c:v>
                </c:pt>
                <c:pt idx="143">
                  <c:v>3.7160179933502917</c:v>
                </c:pt>
                <c:pt idx="144">
                  <c:v>3.7942499511050345</c:v>
                </c:pt>
                <c:pt idx="145">
                  <c:v>3.8138079405437204</c:v>
                </c:pt>
                <c:pt idx="146">
                  <c:v>3.8724819088597777</c:v>
                </c:pt>
                <c:pt idx="147">
                  <c:v>3.8920398982984636</c:v>
                </c:pt>
                <c:pt idx="148">
                  <c:v>3.9115978877371496</c:v>
                </c:pt>
                <c:pt idx="149">
                  <c:v>3.9702718560532069</c:v>
                </c:pt>
                <c:pt idx="150">
                  <c:v>4.0093878349305783</c:v>
                </c:pt>
                <c:pt idx="151">
                  <c:v>4.0289458243692637</c:v>
                </c:pt>
                <c:pt idx="152">
                  <c:v>4.0485038138079492</c:v>
                </c:pt>
                <c:pt idx="153">
                  <c:v>4.0680618032466347</c:v>
                </c:pt>
                <c:pt idx="154">
                  <c:v>4.0876197926853202</c:v>
                </c:pt>
                <c:pt idx="155">
                  <c:v>4.1462937610013775</c:v>
                </c:pt>
                <c:pt idx="156">
                  <c:v>4.165851750440063</c:v>
                </c:pt>
                <c:pt idx="157">
                  <c:v>4.2049677293174348</c:v>
                </c:pt>
                <c:pt idx="158">
                  <c:v>4.2245257187561203</c:v>
                </c:pt>
                <c:pt idx="159">
                  <c:v>4.2440837081948057</c:v>
                </c:pt>
                <c:pt idx="160">
                  <c:v>4.2636416976334912</c:v>
                </c:pt>
                <c:pt idx="161">
                  <c:v>4.302757676510863</c:v>
                </c:pt>
                <c:pt idx="162">
                  <c:v>4.3418736553882349</c:v>
                </c:pt>
                <c:pt idx="163">
                  <c:v>4.3809896342656067</c:v>
                </c:pt>
                <c:pt idx="164">
                  <c:v>4.4005476237042922</c:v>
                </c:pt>
                <c:pt idx="165">
                  <c:v>4.439663602581664</c:v>
                </c:pt>
                <c:pt idx="166">
                  <c:v>4.5178955603364068</c:v>
                </c:pt>
                <c:pt idx="167">
                  <c:v>4.5765695286524641</c:v>
                </c:pt>
                <c:pt idx="168">
                  <c:v>4.615685507529836</c:v>
                </c:pt>
                <c:pt idx="169">
                  <c:v>4.6352434969685214</c:v>
                </c:pt>
                <c:pt idx="170">
                  <c:v>4.6743594758458933</c:v>
                </c:pt>
                <c:pt idx="171">
                  <c:v>4.7134754547232651</c:v>
                </c:pt>
                <c:pt idx="172">
                  <c:v>4.752591433600637</c:v>
                </c:pt>
                <c:pt idx="173">
                  <c:v>4.7917074124780088</c:v>
                </c:pt>
                <c:pt idx="174">
                  <c:v>4.8112654019166943</c:v>
                </c:pt>
                <c:pt idx="175">
                  <c:v>4.8308233913553797</c:v>
                </c:pt>
                <c:pt idx="176">
                  <c:v>4.8503813807940652</c:v>
                </c:pt>
                <c:pt idx="177">
                  <c:v>4.8699393702327507</c:v>
                </c:pt>
                <c:pt idx="178">
                  <c:v>4.9090553491101225</c:v>
                </c:pt>
                <c:pt idx="179">
                  <c:v>4.9481713279874944</c:v>
                </c:pt>
                <c:pt idx="180">
                  <c:v>4.9677293174261798</c:v>
                </c:pt>
                <c:pt idx="181">
                  <c:v>5.0264032857422372</c:v>
                </c:pt>
                <c:pt idx="182">
                  <c:v>5.0850772540582945</c:v>
                </c:pt>
                <c:pt idx="183">
                  <c:v>5.1046352434969799</c:v>
                </c:pt>
                <c:pt idx="184">
                  <c:v>5.1828672012517227</c:v>
                </c:pt>
                <c:pt idx="185">
                  <c:v>5.2610991590064655</c:v>
                </c:pt>
                <c:pt idx="186">
                  <c:v>5.280657148445151</c:v>
                </c:pt>
                <c:pt idx="187">
                  <c:v>5.3002151378838365</c:v>
                </c:pt>
                <c:pt idx="188">
                  <c:v>5.3393311167612083</c:v>
                </c:pt>
                <c:pt idx="189">
                  <c:v>5.3980050850772656</c:v>
                </c:pt>
                <c:pt idx="190">
                  <c:v>5.4175630745159511</c:v>
                </c:pt>
                <c:pt idx="191">
                  <c:v>5.4371210639546366</c:v>
                </c:pt>
                <c:pt idx="192">
                  <c:v>5.4957950322706939</c:v>
                </c:pt>
                <c:pt idx="193">
                  <c:v>5.5349110111480657</c:v>
                </c:pt>
                <c:pt idx="194">
                  <c:v>5.632700958341494</c:v>
                </c:pt>
                <c:pt idx="195">
                  <c:v>5.6718169372188658</c:v>
                </c:pt>
                <c:pt idx="196">
                  <c:v>5.7304909055349231</c:v>
                </c:pt>
                <c:pt idx="197">
                  <c:v>5.769606884412295</c:v>
                </c:pt>
                <c:pt idx="198">
                  <c:v>5.8087228632896668</c:v>
                </c:pt>
                <c:pt idx="199">
                  <c:v>5.8673968316057241</c:v>
                </c:pt>
                <c:pt idx="200">
                  <c:v>5.906512810483096</c:v>
                </c:pt>
                <c:pt idx="201">
                  <c:v>5.9260707999217814</c:v>
                </c:pt>
                <c:pt idx="202">
                  <c:v>5.9456287893604669</c:v>
                </c:pt>
                <c:pt idx="203">
                  <c:v>5.9651867787991524</c:v>
                </c:pt>
                <c:pt idx="204">
                  <c:v>6.0238607471152097</c:v>
                </c:pt>
                <c:pt idx="205">
                  <c:v>6.0434187365538952</c:v>
                </c:pt>
                <c:pt idx="206">
                  <c:v>6.0629767259925806</c:v>
                </c:pt>
                <c:pt idx="207">
                  <c:v>6.1020927048699525</c:v>
                </c:pt>
                <c:pt idx="208">
                  <c:v>6.1412086837473243</c:v>
                </c:pt>
                <c:pt idx="209">
                  <c:v>6.1607666731860098</c:v>
                </c:pt>
                <c:pt idx="210">
                  <c:v>6.1998826520633816</c:v>
                </c:pt>
                <c:pt idx="211">
                  <c:v>6.2389986309407535</c:v>
                </c:pt>
                <c:pt idx="212">
                  <c:v>6.2585566203794389</c:v>
                </c:pt>
                <c:pt idx="213">
                  <c:v>6.3172305886954963</c:v>
                </c:pt>
                <c:pt idx="214">
                  <c:v>6.3367885781341817</c:v>
                </c:pt>
                <c:pt idx="215">
                  <c:v>6.395462546450239</c:v>
                </c:pt>
                <c:pt idx="216">
                  <c:v>6.4345785253276109</c:v>
                </c:pt>
                <c:pt idx="217">
                  <c:v>6.5128104830823537</c:v>
                </c:pt>
                <c:pt idx="218">
                  <c:v>6.5323684725210391</c:v>
                </c:pt>
                <c:pt idx="219">
                  <c:v>6.5519264619597246</c:v>
                </c:pt>
                <c:pt idx="220">
                  <c:v>6.5910424408370964</c:v>
                </c:pt>
                <c:pt idx="221">
                  <c:v>6.6301584197144683</c:v>
                </c:pt>
                <c:pt idx="222">
                  <c:v>6.7279483669078965</c:v>
                </c:pt>
                <c:pt idx="223">
                  <c:v>6.747506356346582</c:v>
                </c:pt>
                <c:pt idx="224">
                  <c:v>6.8061803246626393</c:v>
                </c:pt>
                <c:pt idx="225">
                  <c:v>6.8648542929786966</c:v>
                </c:pt>
                <c:pt idx="226">
                  <c:v>6.9430862507334394</c:v>
                </c:pt>
                <c:pt idx="227">
                  <c:v>6.9822022296108113</c:v>
                </c:pt>
                <c:pt idx="228">
                  <c:v>7.0408761979268686</c:v>
                </c:pt>
                <c:pt idx="229">
                  <c:v>7.0799921768042404</c:v>
                </c:pt>
                <c:pt idx="230">
                  <c:v>7.0995501662429259</c:v>
                </c:pt>
                <c:pt idx="231">
                  <c:v>7.1386661451202977</c:v>
                </c:pt>
                <c:pt idx="232">
                  <c:v>7.197340113436355</c:v>
                </c:pt>
                <c:pt idx="233">
                  <c:v>7.2168981028750405</c:v>
                </c:pt>
                <c:pt idx="234">
                  <c:v>7.2951300606297833</c:v>
                </c:pt>
                <c:pt idx="235">
                  <c:v>7.3538040289458406</c:v>
                </c:pt>
                <c:pt idx="236">
                  <c:v>7.4320359867005834</c:v>
                </c:pt>
                <c:pt idx="237">
                  <c:v>7.4711519655779552</c:v>
                </c:pt>
                <c:pt idx="238">
                  <c:v>7.4907099550166407</c:v>
                </c:pt>
                <c:pt idx="239">
                  <c:v>7.5298259338940126</c:v>
                </c:pt>
                <c:pt idx="240">
                  <c:v>7.549383923332698</c:v>
                </c:pt>
                <c:pt idx="241">
                  <c:v>7.6080578916487553</c:v>
                </c:pt>
                <c:pt idx="242">
                  <c:v>7.6471738705261272</c:v>
                </c:pt>
                <c:pt idx="243">
                  <c:v>7.686289849403499</c:v>
                </c:pt>
                <c:pt idx="244">
                  <c:v>7.7254058282808709</c:v>
                </c:pt>
                <c:pt idx="245">
                  <c:v>7.7840797965969282</c:v>
                </c:pt>
                <c:pt idx="246">
                  <c:v>7.8036377860356136</c:v>
                </c:pt>
                <c:pt idx="247">
                  <c:v>7.8231957754742991</c:v>
                </c:pt>
                <c:pt idx="248">
                  <c:v>7.8427537649129846</c:v>
                </c:pt>
                <c:pt idx="249">
                  <c:v>7.8623117543516701</c:v>
                </c:pt>
                <c:pt idx="250">
                  <c:v>7.9992176804224702</c:v>
                </c:pt>
                <c:pt idx="251">
                  <c:v>8.0383336592998411</c:v>
                </c:pt>
                <c:pt idx="252">
                  <c:v>8.0578916487385275</c:v>
                </c:pt>
                <c:pt idx="253">
                  <c:v>8.0774496381772138</c:v>
                </c:pt>
                <c:pt idx="254">
                  <c:v>8.1165656170545848</c:v>
                </c:pt>
                <c:pt idx="255">
                  <c:v>8.2339135536866994</c:v>
                </c:pt>
                <c:pt idx="256">
                  <c:v>8.2730295325640704</c:v>
                </c:pt>
                <c:pt idx="257">
                  <c:v>8.3317035008801277</c:v>
                </c:pt>
                <c:pt idx="258">
                  <c:v>8.3708194797574986</c:v>
                </c:pt>
                <c:pt idx="259">
                  <c:v>8.390377469196185</c:v>
                </c:pt>
                <c:pt idx="260">
                  <c:v>8.4686094269509287</c:v>
                </c:pt>
                <c:pt idx="261">
                  <c:v>8.488167416389615</c:v>
                </c:pt>
                <c:pt idx="262">
                  <c:v>8.5663993741443587</c:v>
                </c:pt>
                <c:pt idx="263">
                  <c:v>8.6446313318991024</c:v>
                </c:pt>
                <c:pt idx="264">
                  <c:v>8.6837473107764733</c:v>
                </c:pt>
                <c:pt idx="265">
                  <c:v>8.7033053002151597</c:v>
                </c:pt>
                <c:pt idx="266">
                  <c:v>8.7228632896538461</c:v>
                </c:pt>
                <c:pt idx="267">
                  <c:v>8.7424212790925324</c:v>
                </c:pt>
                <c:pt idx="268">
                  <c:v>8.7619792685312188</c:v>
                </c:pt>
                <c:pt idx="269">
                  <c:v>8.8402112262859625</c:v>
                </c:pt>
                <c:pt idx="270">
                  <c:v>8.8793272051633334</c:v>
                </c:pt>
                <c:pt idx="271">
                  <c:v>8.8988851946020198</c:v>
                </c:pt>
                <c:pt idx="272">
                  <c:v>8.9380011734793907</c:v>
                </c:pt>
                <c:pt idx="273">
                  <c:v>8.9771171523567617</c:v>
                </c:pt>
                <c:pt idx="274">
                  <c:v>9.0749070995501899</c:v>
                </c:pt>
                <c:pt idx="275">
                  <c:v>9.1531390573049336</c:v>
                </c:pt>
                <c:pt idx="276">
                  <c:v>9.17269704674362</c:v>
                </c:pt>
                <c:pt idx="277">
                  <c:v>9.2313710150596773</c:v>
                </c:pt>
                <c:pt idx="278">
                  <c:v>9.3291609622531055</c:v>
                </c:pt>
                <c:pt idx="279">
                  <c:v>9.3878349305691629</c:v>
                </c:pt>
                <c:pt idx="280">
                  <c:v>9.4269509094465338</c:v>
                </c:pt>
                <c:pt idx="281">
                  <c:v>9.4465088988852202</c:v>
                </c:pt>
                <c:pt idx="282">
                  <c:v>9.4660668883239065</c:v>
                </c:pt>
                <c:pt idx="283">
                  <c:v>9.5638568355173348</c:v>
                </c:pt>
                <c:pt idx="284">
                  <c:v>9.6029728143947057</c:v>
                </c:pt>
                <c:pt idx="285">
                  <c:v>9.661646782710763</c:v>
                </c:pt>
                <c:pt idx="286">
                  <c:v>9.7398787404655067</c:v>
                </c:pt>
                <c:pt idx="287">
                  <c:v>9.8181106982202504</c:v>
                </c:pt>
                <c:pt idx="288">
                  <c:v>9.8376686876589368</c:v>
                </c:pt>
                <c:pt idx="289">
                  <c:v>9.9159006454136804</c:v>
                </c:pt>
                <c:pt idx="290">
                  <c:v>10.013690592607109</c:v>
                </c:pt>
                <c:pt idx="291">
                  <c:v>10.033248582045795</c:v>
                </c:pt>
                <c:pt idx="292">
                  <c:v>10.091922550361852</c:v>
                </c:pt>
                <c:pt idx="293">
                  <c:v>10.111480539800539</c:v>
                </c:pt>
                <c:pt idx="294">
                  <c:v>10.209270486993967</c:v>
                </c:pt>
                <c:pt idx="295">
                  <c:v>10.248386465871338</c:v>
                </c:pt>
                <c:pt idx="296">
                  <c:v>10.307060434187395</c:v>
                </c:pt>
                <c:pt idx="297">
                  <c:v>10.385292391942139</c:v>
                </c:pt>
                <c:pt idx="298">
                  <c:v>10.541756307451625</c:v>
                </c:pt>
                <c:pt idx="299">
                  <c:v>10.580872286328995</c:v>
                </c:pt>
                <c:pt idx="300">
                  <c:v>10.619988265206366</c:v>
                </c:pt>
                <c:pt idx="301">
                  <c:v>10.639546254645053</c:v>
                </c:pt>
                <c:pt idx="302">
                  <c:v>10.678662233522424</c:v>
                </c:pt>
                <c:pt idx="303">
                  <c:v>10.737336201838481</c:v>
                </c:pt>
                <c:pt idx="304">
                  <c:v>10.776452180715852</c:v>
                </c:pt>
                <c:pt idx="305">
                  <c:v>10.854684138470596</c:v>
                </c:pt>
                <c:pt idx="306">
                  <c:v>10.97203207510271</c:v>
                </c:pt>
                <c:pt idx="307">
                  <c:v>11.050264032857454</c:v>
                </c:pt>
                <c:pt idx="308">
                  <c:v>11.108938001173511</c:v>
                </c:pt>
                <c:pt idx="309">
                  <c:v>11.167611969489569</c:v>
                </c:pt>
                <c:pt idx="310">
                  <c:v>11.20672794836694</c:v>
                </c:pt>
                <c:pt idx="311">
                  <c:v>11.284959906121683</c:v>
                </c:pt>
                <c:pt idx="312">
                  <c:v>11.363191863876427</c:v>
                </c:pt>
                <c:pt idx="313">
                  <c:v>11.421865832192484</c:v>
                </c:pt>
                <c:pt idx="314">
                  <c:v>11.441423821631171</c:v>
                </c:pt>
                <c:pt idx="315">
                  <c:v>11.500097789947228</c:v>
                </c:pt>
                <c:pt idx="316">
                  <c:v>11.597887737140656</c:v>
                </c:pt>
                <c:pt idx="317">
                  <c:v>11.656561705456713</c:v>
                </c:pt>
                <c:pt idx="318">
                  <c:v>11.6761196948954</c:v>
                </c:pt>
                <c:pt idx="319">
                  <c:v>11.773909642088828</c:v>
                </c:pt>
                <c:pt idx="320">
                  <c:v>11.871699589282256</c:v>
                </c:pt>
                <c:pt idx="321">
                  <c:v>11.910815568159627</c:v>
                </c:pt>
                <c:pt idx="322">
                  <c:v>11.949931547036998</c:v>
                </c:pt>
                <c:pt idx="323">
                  <c:v>11.969489536475685</c:v>
                </c:pt>
                <c:pt idx="324">
                  <c:v>11.989047525914371</c:v>
                </c:pt>
                <c:pt idx="325">
                  <c:v>12.067279483669115</c:v>
                </c:pt>
                <c:pt idx="326">
                  <c:v>12.145511441423858</c:v>
                </c:pt>
                <c:pt idx="327">
                  <c:v>12.204185409739916</c:v>
                </c:pt>
                <c:pt idx="328">
                  <c:v>12.223743399178602</c:v>
                </c:pt>
                <c:pt idx="329">
                  <c:v>12.301975356933346</c:v>
                </c:pt>
                <c:pt idx="330">
                  <c:v>12.380207314688089</c:v>
                </c:pt>
                <c:pt idx="331">
                  <c:v>12.458439272442833</c:v>
                </c:pt>
                <c:pt idx="332">
                  <c:v>12.497555251320204</c:v>
                </c:pt>
                <c:pt idx="333">
                  <c:v>12.65401916682969</c:v>
                </c:pt>
                <c:pt idx="334">
                  <c:v>12.732251124584433</c:v>
                </c:pt>
                <c:pt idx="335">
                  <c:v>12.849599061216548</c:v>
                </c:pt>
                <c:pt idx="336">
                  <c:v>12.908273029532605</c:v>
                </c:pt>
                <c:pt idx="337">
                  <c:v>12.947389008409976</c:v>
                </c:pt>
                <c:pt idx="338">
                  <c:v>13.006062976726033</c:v>
                </c:pt>
                <c:pt idx="339">
                  <c:v>13.064736945042091</c:v>
                </c:pt>
                <c:pt idx="340">
                  <c:v>13.084294934480777</c:v>
                </c:pt>
                <c:pt idx="341">
                  <c:v>13.123410913358148</c:v>
                </c:pt>
                <c:pt idx="342">
                  <c:v>13.182084881674205</c:v>
                </c:pt>
                <c:pt idx="343">
                  <c:v>13.279874828867634</c:v>
                </c:pt>
                <c:pt idx="344">
                  <c:v>13.318990807745005</c:v>
                </c:pt>
                <c:pt idx="345">
                  <c:v>13.436338744377119</c:v>
                </c:pt>
                <c:pt idx="346">
                  <c:v>13.455896733815806</c:v>
                </c:pt>
                <c:pt idx="347">
                  <c:v>13.475454723254492</c:v>
                </c:pt>
                <c:pt idx="348">
                  <c:v>13.592802659886607</c:v>
                </c:pt>
                <c:pt idx="349">
                  <c:v>13.651476628202664</c:v>
                </c:pt>
                <c:pt idx="350">
                  <c:v>13.749266575396092</c:v>
                </c:pt>
                <c:pt idx="351">
                  <c:v>13.788382554273463</c:v>
                </c:pt>
                <c:pt idx="352">
                  <c:v>13.84705652258952</c:v>
                </c:pt>
                <c:pt idx="353">
                  <c:v>13.886172501466891</c:v>
                </c:pt>
                <c:pt idx="354">
                  <c:v>13.944846469782949</c:v>
                </c:pt>
                <c:pt idx="355">
                  <c:v>14.003520438099006</c:v>
                </c:pt>
                <c:pt idx="356">
                  <c:v>14.062194406415063</c:v>
                </c:pt>
                <c:pt idx="357">
                  <c:v>14.140426364169807</c:v>
                </c:pt>
                <c:pt idx="358">
                  <c:v>14.199100332485864</c:v>
                </c:pt>
                <c:pt idx="359">
                  <c:v>14.316448269117979</c:v>
                </c:pt>
                <c:pt idx="360">
                  <c:v>14.336006258556665</c:v>
                </c:pt>
                <c:pt idx="361">
                  <c:v>14.355564247995352</c:v>
                </c:pt>
                <c:pt idx="362">
                  <c:v>14.492470174066151</c:v>
                </c:pt>
                <c:pt idx="363">
                  <c:v>14.512028163504837</c:v>
                </c:pt>
                <c:pt idx="364">
                  <c:v>14.570702131820894</c:v>
                </c:pt>
                <c:pt idx="365">
                  <c:v>14.590260121259581</c:v>
                </c:pt>
                <c:pt idx="366">
                  <c:v>14.629376100136952</c:v>
                </c:pt>
                <c:pt idx="367">
                  <c:v>14.668492079014323</c:v>
                </c:pt>
                <c:pt idx="368">
                  <c:v>14.707608057891694</c:v>
                </c:pt>
                <c:pt idx="369">
                  <c:v>14.785840015646437</c:v>
                </c:pt>
                <c:pt idx="370">
                  <c:v>14.942303931155923</c:v>
                </c:pt>
                <c:pt idx="371">
                  <c:v>15.020535888910667</c:v>
                </c:pt>
                <c:pt idx="372">
                  <c:v>15.09876784666541</c:v>
                </c:pt>
                <c:pt idx="373">
                  <c:v>15.157441814981468</c:v>
                </c:pt>
                <c:pt idx="374">
                  <c:v>15.216115783297525</c:v>
                </c:pt>
                <c:pt idx="375">
                  <c:v>15.33346371992964</c:v>
                </c:pt>
                <c:pt idx="376">
                  <c:v>15.392137688245697</c:v>
                </c:pt>
                <c:pt idx="377">
                  <c:v>15.450811656561754</c:v>
                </c:pt>
                <c:pt idx="378">
                  <c:v>15.529043614316498</c:v>
                </c:pt>
                <c:pt idx="379">
                  <c:v>15.587717582632555</c:v>
                </c:pt>
                <c:pt idx="380">
                  <c:v>15.646391550948612</c:v>
                </c:pt>
                <c:pt idx="381">
                  <c:v>15.744181498142041</c:v>
                </c:pt>
                <c:pt idx="382">
                  <c:v>15.763739487580727</c:v>
                </c:pt>
                <c:pt idx="383">
                  <c:v>15.802855466458098</c:v>
                </c:pt>
                <c:pt idx="384">
                  <c:v>15.881087424212842</c:v>
                </c:pt>
                <c:pt idx="385">
                  <c:v>15.959319381967585</c:v>
                </c:pt>
                <c:pt idx="386">
                  <c:v>15.998435360844956</c:v>
                </c:pt>
                <c:pt idx="387">
                  <c:v>16.0766673185997</c:v>
                </c:pt>
                <c:pt idx="388">
                  <c:v>16.135341286915757</c:v>
                </c:pt>
                <c:pt idx="389">
                  <c:v>16.194015255231815</c:v>
                </c:pt>
                <c:pt idx="390">
                  <c:v>16.252689223547872</c:v>
                </c:pt>
                <c:pt idx="391">
                  <c:v>16.389595149618671</c:v>
                </c:pt>
                <c:pt idx="392">
                  <c:v>16.409153139057356</c:v>
                </c:pt>
                <c:pt idx="393">
                  <c:v>16.448269117934728</c:v>
                </c:pt>
                <c:pt idx="394">
                  <c:v>16.565617054566843</c:v>
                </c:pt>
                <c:pt idx="395">
                  <c:v>16.682964991198958</c:v>
                </c:pt>
                <c:pt idx="396">
                  <c:v>16.72208097007633</c:v>
                </c:pt>
                <c:pt idx="397">
                  <c:v>16.741638959515015</c:v>
                </c:pt>
                <c:pt idx="398">
                  <c:v>16.839428906708445</c:v>
                </c:pt>
                <c:pt idx="399">
                  <c:v>16.976334832779244</c:v>
                </c:pt>
                <c:pt idx="400">
                  <c:v>17.113240758850043</c:v>
                </c:pt>
                <c:pt idx="401">
                  <c:v>17.171914727166101</c:v>
                </c:pt>
                <c:pt idx="402">
                  <c:v>17.211030706043474</c:v>
                </c:pt>
                <c:pt idx="403">
                  <c:v>17.289262663798215</c:v>
                </c:pt>
                <c:pt idx="404">
                  <c:v>17.347936632114273</c:v>
                </c:pt>
                <c:pt idx="405">
                  <c:v>17.367494621552957</c:v>
                </c:pt>
                <c:pt idx="406">
                  <c:v>17.40661060043033</c:v>
                </c:pt>
                <c:pt idx="407">
                  <c:v>17.50440054762376</c:v>
                </c:pt>
                <c:pt idx="408">
                  <c:v>17.523958537062445</c:v>
                </c:pt>
                <c:pt idx="409">
                  <c:v>17.641306473694559</c:v>
                </c:pt>
                <c:pt idx="410">
                  <c:v>17.699980442010617</c:v>
                </c:pt>
                <c:pt idx="411">
                  <c:v>17.739096420887989</c:v>
                </c:pt>
                <c:pt idx="412">
                  <c:v>17.778212399765362</c:v>
                </c:pt>
                <c:pt idx="413">
                  <c:v>17.856444357520104</c:v>
                </c:pt>
                <c:pt idx="414">
                  <c:v>17.973792294152219</c:v>
                </c:pt>
                <c:pt idx="415">
                  <c:v>18.071582241345649</c:v>
                </c:pt>
                <c:pt idx="416">
                  <c:v>18.208488167416448</c:v>
                </c:pt>
                <c:pt idx="417">
                  <c:v>18.345394093487247</c:v>
                </c:pt>
                <c:pt idx="418">
                  <c:v>18.501858008996734</c:v>
                </c:pt>
                <c:pt idx="419">
                  <c:v>18.580089966751476</c:v>
                </c:pt>
                <c:pt idx="420">
                  <c:v>18.638763935067534</c:v>
                </c:pt>
                <c:pt idx="421">
                  <c:v>18.677879913944906</c:v>
                </c:pt>
                <c:pt idx="422">
                  <c:v>18.716995892822279</c:v>
                </c:pt>
                <c:pt idx="423">
                  <c:v>18.795227850577021</c:v>
                </c:pt>
                <c:pt idx="424">
                  <c:v>18.853901818893078</c:v>
                </c:pt>
                <c:pt idx="425">
                  <c:v>18.93213377664782</c:v>
                </c:pt>
                <c:pt idx="426">
                  <c:v>19.049481713279935</c:v>
                </c:pt>
                <c:pt idx="427">
                  <c:v>19.147271660473365</c:v>
                </c:pt>
                <c:pt idx="428">
                  <c:v>19.225503618228107</c:v>
                </c:pt>
                <c:pt idx="429">
                  <c:v>19.303735575982849</c:v>
                </c:pt>
                <c:pt idx="430">
                  <c:v>19.362409544298906</c:v>
                </c:pt>
                <c:pt idx="431">
                  <c:v>19.421083512614963</c:v>
                </c:pt>
                <c:pt idx="432">
                  <c:v>19.538431449247078</c:v>
                </c:pt>
                <c:pt idx="433">
                  <c:v>19.557989438685762</c:v>
                </c:pt>
                <c:pt idx="434">
                  <c:v>19.655779385879192</c:v>
                </c:pt>
                <c:pt idx="435">
                  <c:v>19.694895364756565</c:v>
                </c:pt>
                <c:pt idx="436">
                  <c:v>19.792685311949995</c:v>
                </c:pt>
                <c:pt idx="437">
                  <c:v>19.929591238020794</c:v>
                </c:pt>
                <c:pt idx="438">
                  <c:v>20.007823195775536</c:v>
                </c:pt>
                <c:pt idx="439">
                  <c:v>20.144729121846336</c:v>
                </c:pt>
                <c:pt idx="440">
                  <c:v>20.222961079601077</c:v>
                </c:pt>
                <c:pt idx="441">
                  <c:v>20.320751026794508</c:v>
                </c:pt>
                <c:pt idx="442">
                  <c:v>20.418540973987938</c:v>
                </c:pt>
                <c:pt idx="443">
                  <c:v>20.594562878936109</c:v>
                </c:pt>
                <c:pt idx="444">
                  <c:v>20.653236847252167</c:v>
                </c:pt>
                <c:pt idx="445">
                  <c:v>20.711910815568224</c:v>
                </c:pt>
                <c:pt idx="446">
                  <c:v>20.848816741639023</c:v>
                </c:pt>
                <c:pt idx="447">
                  <c:v>20.887932720516396</c:v>
                </c:pt>
                <c:pt idx="448">
                  <c:v>21.024838646587195</c:v>
                </c:pt>
                <c:pt idx="449">
                  <c:v>21.103070604341937</c:v>
                </c:pt>
                <c:pt idx="450">
                  <c:v>21.161744572657994</c:v>
                </c:pt>
                <c:pt idx="451">
                  <c:v>21.259534519851425</c:v>
                </c:pt>
                <c:pt idx="452">
                  <c:v>21.318208488167482</c:v>
                </c:pt>
                <c:pt idx="453">
                  <c:v>21.357324467044855</c:v>
                </c:pt>
                <c:pt idx="454">
                  <c:v>21.513788382554342</c:v>
                </c:pt>
                <c:pt idx="455">
                  <c:v>21.631136319186457</c:v>
                </c:pt>
                <c:pt idx="456">
                  <c:v>21.709368276941198</c:v>
                </c:pt>
                <c:pt idx="457">
                  <c:v>21.748484255818571</c:v>
                </c:pt>
                <c:pt idx="458">
                  <c:v>21.88539018188937</c:v>
                </c:pt>
                <c:pt idx="459">
                  <c:v>22.061412086837542</c:v>
                </c:pt>
                <c:pt idx="460">
                  <c:v>22.1200860551536</c:v>
                </c:pt>
                <c:pt idx="461">
                  <c:v>22.178760023469657</c:v>
                </c:pt>
                <c:pt idx="462">
                  <c:v>22.276549970663087</c:v>
                </c:pt>
                <c:pt idx="463">
                  <c:v>22.413455896733886</c:v>
                </c:pt>
                <c:pt idx="464">
                  <c:v>22.511245843927316</c:v>
                </c:pt>
                <c:pt idx="465">
                  <c:v>22.589477801682058</c:v>
                </c:pt>
                <c:pt idx="466">
                  <c:v>22.726383727752857</c:v>
                </c:pt>
                <c:pt idx="467">
                  <c:v>22.76549970663023</c:v>
                </c:pt>
                <c:pt idx="468">
                  <c:v>22.86328965382366</c:v>
                </c:pt>
                <c:pt idx="469">
                  <c:v>22.941521611578402</c:v>
                </c:pt>
                <c:pt idx="470">
                  <c:v>23.058869548210517</c:v>
                </c:pt>
                <c:pt idx="471">
                  <c:v>23.176217484842631</c:v>
                </c:pt>
                <c:pt idx="472">
                  <c:v>23.195775474281316</c:v>
                </c:pt>
                <c:pt idx="473">
                  <c:v>23.254449442597373</c:v>
                </c:pt>
                <c:pt idx="474">
                  <c:v>23.352239389790803</c:v>
                </c:pt>
                <c:pt idx="475">
                  <c:v>23.469587326422918</c:v>
                </c:pt>
                <c:pt idx="476">
                  <c:v>23.64560923137109</c:v>
                </c:pt>
                <c:pt idx="477">
                  <c:v>23.723841189125832</c:v>
                </c:pt>
                <c:pt idx="478">
                  <c:v>23.782515157441889</c:v>
                </c:pt>
                <c:pt idx="479">
                  <c:v>23.880305104635319</c:v>
                </c:pt>
                <c:pt idx="480">
                  <c:v>23.958537062390061</c:v>
                </c:pt>
                <c:pt idx="481">
                  <c:v>24.036769020144803</c:v>
                </c:pt>
                <c:pt idx="482">
                  <c:v>24.075884999022175</c:v>
                </c:pt>
                <c:pt idx="483">
                  <c:v>24.115000977899548</c:v>
                </c:pt>
                <c:pt idx="484">
                  <c:v>24.271464893409036</c:v>
                </c:pt>
                <c:pt idx="485">
                  <c:v>24.408370819479835</c:v>
                </c:pt>
                <c:pt idx="486">
                  <c:v>24.467044787795892</c:v>
                </c:pt>
                <c:pt idx="487">
                  <c:v>24.623508703305379</c:v>
                </c:pt>
                <c:pt idx="488">
                  <c:v>24.662624682182752</c:v>
                </c:pt>
                <c:pt idx="489">
                  <c:v>24.779972618814867</c:v>
                </c:pt>
                <c:pt idx="490">
                  <c:v>24.799530608253551</c:v>
                </c:pt>
                <c:pt idx="491">
                  <c:v>24.858204576569609</c:v>
                </c:pt>
                <c:pt idx="492">
                  <c:v>24.936436534324351</c:v>
                </c:pt>
                <c:pt idx="493">
                  <c:v>25.053784470956465</c:v>
                </c:pt>
                <c:pt idx="494">
                  <c:v>25.190690397027264</c:v>
                </c:pt>
                <c:pt idx="495">
                  <c:v>25.249364365343322</c:v>
                </c:pt>
                <c:pt idx="496">
                  <c:v>25.288480344220694</c:v>
                </c:pt>
                <c:pt idx="497">
                  <c:v>25.347154312536752</c:v>
                </c:pt>
                <c:pt idx="498">
                  <c:v>25.503618228046239</c:v>
                </c:pt>
                <c:pt idx="499">
                  <c:v>25.542734206923612</c:v>
                </c:pt>
                <c:pt idx="500">
                  <c:v>25.601408175239669</c:v>
                </c:pt>
                <c:pt idx="501">
                  <c:v>25.679640132994411</c:v>
                </c:pt>
                <c:pt idx="502">
                  <c:v>25.757872090749153</c:v>
                </c:pt>
                <c:pt idx="503">
                  <c:v>25.875220027381268</c:v>
                </c:pt>
                <c:pt idx="504">
                  <c:v>26.012125953452067</c:v>
                </c:pt>
                <c:pt idx="505">
                  <c:v>26.05124193232944</c:v>
                </c:pt>
                <c:pt idx="506">
                  <c:v>26.090357911206812</c:v>
                </c:pt>
                <c:pt idx="507">
                  <c:v>26.227263837277611</c:v>
                </c:pt>
                <c:pt idx="508">
                  <c:v>26.305495795032353</c:v>
                </c:pt>
                <c:pt idx="509">
                  <c:v>26.403285742225783</c:v>
                </c:pt>
                <c:pt idx="510">
                  <c:v>26.559749657735271</c:v>
                </c:pt>
                <c:pt idx="511">
                  <c:v>26.618423626051328</c:v>
                </c:pt>
                <c:pt idx="512">
                  <c:v>26.657539604928701</c:v>
                </c:pt>
                <c:pt idx="513">
                  <c:v>26.735771562683443</c:v>
                </c:pt>
                <c:pt idx="514">
                  <c:v>26.7944455309995</c:v>
                </c:pt>
                <c:pt idx="515">
                  <c:v>26.853119499315557</c:v>
                </c:pt>
                <c:pt idx="516">
                  <c:v>26.950909446508987</c:v>
                </c:pt>
                <c:pt idx="517">
                  <c:v>27.029141404263729</c:v>
                </c:pt>
                <c:pt idx="518">
                  <c:v>27.087815372579787</c:v>
                </c:pt>
                <c:pt idx="519">
                  <c:v>27.166047330334528</c:v>
                </c:pt>
                <c:pt idx="520">
                  <c:v>27.322511245844016</c:v>
                </c:pt>
                <c:pt idx="521">
                  <c:v>27.420301193037446</c:v>
                </c:pt>
                <c:pt idx="522">
                  <c:v>27.518091140230876</c:v>
                </c:pt>
                <c:pt idx="523">
                  <c:v>27.615881087424306</c:v>
                </c:pt>
                <c:pt idx="524">
                  <c:v>27.654997066301679</c:v>
                </c:pt>
                <c:pt idx="525">
                  <c:v>27.772345002933793</c:v>
                </c:pt>
                <c:pt idx="526">
                  <c:v>27.870134950127223</c:v>
                </c:pt>
                <c:pt idx="527">
                  <c:v>27.909250929004596</c:v>
                </c:pt>
                <c:pt idx="528">
                  <c:v>27.948366907881969</c:v>
                </c:pt>
                <c:pt idx="529">
                  <c:v>27.967924897320653</c:v>
                </c:pt>
                <c:pt idx="530">
                  <c:v>27.987482886759338</c:v>
                </c:pt>
                <c:pt idx="531">
                  <c:v>28.085272833952768</c:v>
                </c:pt>
                <c:pt idx="532">
                  <c:v>28.16350479170751</c:v>
                </c:pt>
                <c:pt idx="533">
                  <c:v>28.222178760023567</c:v>
                </c:pt>
                <c:pt idx="534">
                  <c:v>28.300410717778309</c:v>
                </c:pt>
                <c:pt idx="535">
                  <c:v>28.437316643849108</c:v>
                </c:pt>
                <c:pt idx="536">
                  <c:v>28.535106591042538</c:v>
                </c:pt>
                <c:pt idx="537">
                  <c:v>28.632896538235968</c:v>
                </c:pt>
                <c:pt idx="538">
                  <c:v>28.71112849599071</c:v>
                </c:pt>
                <c:pt idx="539">
                  <c:v>28.828476432622825</c:v>
                </c:pt>
                <c:pt idx="540">
                  <c:v>28.867592411500198</c:v>
                </c:pt>
                <c:pt idx="541">
                  <c:v>29.024056327009685</c:v>
                </c:pt>
                <c:pt idx="542">
                  <c:v>29.102288284764427</c:v>
                </c:pt>
                <c:pt idx="543">
                  <c:v>29.121846274203111</c:v>
                </c:pt>
                <c:pt idx="544">
                  <c:v>29.200078231957853</c:v>
                </c:pt>
                <c:pt idx="545">
                  <c:v>29.297868179151283</c:v>
                </c:pt>
                <c:pt idx="546">
                  <c:v>29.395658126344713</c:v>
                </c:pt>
                <c:pt idx="547">
                  <c:v>29.571680031292885</c:v>
                </c:pt>
                <c:pt idx="548">
                  <c:v>29.59123802073157</c:v>
                </c:pt>
                <c:pt idx="549">
                  <c:v>29.630353999608943</c:v>
                </c:pt>
                <c:pt idx="550">
                  <c:v>29.767259925679742</c:v>
                </c:pt>
                <c:pt idx="551">
                  <c:v>29.806375904557115</c:v>
                </c:pt>
                <c:pt idx="552">
                  <c:v>29.884607862311857</c:v>
                </c:pt>
                <c:pt idx="553">
                  <c:v>29.962839820066598</c:v>
                </c:pt>
                <c:pt idx="554">
                  <c:v>30.060629767260028</c:v>
                </c:pt>
                <c:pt idx="555">
                  <c:v>30.119303735576086</c:v>
                </c:pt>
                <c:pt idx="556">
                  <c:v>30.177977703892143</c:v>
                </c:pt>
                <c:pt idx="557">
                  <c:v>30.2366516722082</c:v>
                </c:pt>
                <c:pt idx="558">
                  <c:v>30.33444161940163</c:v>
                </c:pt>
                <c:pt idx="559">
                  <c:v>30.373557598279003</c:v>
                </c:pt>
                <c:pt idx="560">
                  <c:v>30.412673577156376</c:v>
                </c:pt>
                <c:pt idx="561">
                  <c:v>30.471347545472433</c:v>
                </c:pt>
                <c:pt idx="562">
                  <c:v>30.608253471543232</c:v>
                </c:pt>
                <c:pt idx="563">
                  <c:v>30.76471738705272</c:v>
                </c:pt>
                <c:pt idx="564">
                  <c:v>30.803833365930092</c:v>
                </c:pt>
                <c:pt idx="565">
                  <c:v>30.882065323684834</c:v>
                </c:pt>
                <c:pt idx="566">
                  <c:v>30.979855270878264</c:v>
                </c:pt>
                <c:pt idx="567">
                  <c:v>31.038529239194322</c:v>
                </c:pt>
                <c:pt idx="568">
                  <c:v>31.136319186387752</c:v>
                </c:pt>
                <c:pt idx="569">
                  <c:v>31.253667123019866</c:v>
                </c:pt>
                <c:pt idx="570">
                  <c:v>31.331899080774608</c:v>
                </c:pt>
                <c:pt idx="571">
                  <c:v>31.449247017406723</c:v>
                </c:pt>
                <c:pt idx="572">
                  <c:v>31.50792098572278</c:v>
                </c:pt>
                <c:pt idx="573">
                  <c:v>31.586152943477522</c:v>
                </c:pt>
                <c:pt idx="574">
                  <c:v>31.683942890670952</c:v>
                </c:pt>
                <c:pt idx="575">
                  <c:v>31.762174848425694</c:v>
                </c:pt>
                <c:pt idx="576">
                  <c:v>31.957754742812551</c:v>
                </c:pt>
                <c:pt idx="577">
                  <c:v>32.035986700567292</c:v>
                </c:pt>
                <c:pt idx="578">
                  <c:v>32.114218658322038</c:v>
                </c:pt>
                <c:pt idx="579">
                  <c:v>32.212008605515464</c:v>
                </c:pt>
                <c:pt idx="580">
                  <c:v>32.348914531586267</c:v>
                </c:pt>
                <c:pt idx="581">
                  <c:v>32.446704478779694</c:v>
                </c:pt>
                <c:pt idx="582">
                  <c:v>32.466262468218382</c:v>
                </c:pt>
                <c:pt idx="583">
                  <c:v>32.603168394289185</c:v>
                </c:pt>
                <c:pt idx="584">
                  <c:v>32.642284373166554</c:v>
                </c:pt>
                <c:pt idx="585">
                  <c:v>32.720516330921299</c:v>
                </c:pt>
                <c:pt idx="586">
                  <c:v>32.818306278114726</c:v>
                </c:pt>
                <c:pt idx="587">
                  <c:v>32.974770193624209</c:v>
                </c:pt>
                <c:pt idx="588">
                  <c:v>33.033444161940267</c:v>
                </c:pt>
                <c:pt idx="589">
                  <c:v>33.092118130256324</c:v>
                </c:pt>
                <c:pt idx="590">
                  <c:v>33.111676119695012</c:v>
                </c:pt>
                <c:pt idx="591">
                  <c:v>33.229024056327127</c:v>
                </c:pt>
                <c:pt idx="592">
                  <c:v>33.36592998239793</c:v>
                </c:pt>
                <c:pt idx="593">
                  <c:v>33.444161940152675</c:v>
                </c:pt>
                <c:pt idx="594">
                  <c:v>33.581067866223478</c:v>
                </c:pt>
                <c:pt idx="595">
                  <c:v>33.698415802855592</c:v>
                </c:pt>
                <c:pt idx="596">
                  <c:v>33.776647760610338</c:v>
                </c:pt>
                <c:pt idx="597">
                  <c:v>33.835321728926395</c:v>
                </c:pt>
                <c:pt idx="598">
                  <c:v>33.854879718365083</c:v>
                </c:pt>
                <c:pt idx="599">
                  <c:v>33.933111676119829</c:v>
                </c:pt>
                <c:pt idx="600">
                  <c:v>34.011343633874574</c:v>
                </c:pt>
                <c:pt idx="601">
                  <c:v>34.128691570506689</c:v>
                </c:pt>
                <c:pt idx="602">
                  <c:v>34.226481517700115</c:v>
                </c:pt>
                <c:pt idx="603">
                  <c:v>34.304713475454861</c:v>
                </c:pt>
                <c:pt idx="604">
                  <c:v>34.422061412086975</c:v>
                </c:pt>
                <c:pt idx="605">
                  <c:v>34.519851359280402</c:v>
                </c:pt>
                <c:pt idx="606">
                  <c:v>34.637199295912517</c:v>
                </c:pt>
                <c:pt idx="607">
                  <c:v>34.793663211422</c:v>
                </c:pt>
                <c:pt idx="608">
                  <c:v>34.911011148054115</c:v>
                </c:pt>
                <c:pt idx="609">
                  <c:v>34.950127126931484</c:v>
                </c:pt>
                <c:pt idx="610">
                  <c:v>35.106591042440968</c:v>
                </c:pt>
                <c:pt idx="611">
                  <c:v>35.204380989634394</c:v>
                </c:pt>
                <c:pt idx="612">
                  <c:v>35.28261294738914</c:v>
                </c:pt>
                <c:pt idx="613">
                  <c:v>35.341286915705197</c:v>
                </c:pt>
                <c:pt idx="614">
                  <c:v>35.399960884021255</c:v>
                </c:pt>
                <c:pt idx="615">
                  <c:v>35.478192841776</c:v>
                </c:pt>
                <c:pt idx="616">
                  <c:v>35.497750831214688</c:v>
                </c:pt>
                <c:pt idx="617">
                  <c:v>35.575982788969434</c:v>
                </c:pt>
                <c:pt idx="618">
                  <c:v>35.595540778408122</c:v>
                </c:pt>
                <c:pt idx="619">
                  <c:v>35.61509876784681</c:v>
                </c:pt>
                <c:pt idx="620">
                  <c:v>35.693330725601555</c:v>
                </c:pt>
                <c:pt idx="621">
                  <c:v>35.791120672794982</c:v>
                </c:pt>
                <c:pt idx="622">
                  <c:v>35.830236651672351</c:v>
                </c:pt>
                <c:pt idx="623">
                  <c:v>35.967142577743154</c:v>
                </c:pt>
                <c:pt idx="624">
                  <c:v>36.084490514375268</c:v>
                </c:pt>
                <c:pt idx="625">
                  <c:v>36.123606493252638</c:v>
                </c:pt>
                <c:pt idx="626">
                  <c:v>36.26051241932344</c:v>
                </c:pt>
                <c:pt idx="627">
                  <c:v>36.319186387639498</c:v>
                </c:pt>
                <c:pt idx="628">
                  <c:v>36.397418345394243</c:v>
                </c:pt>
                <c:pt idx="629">
                  <c:v>36.475650303148988</c:v>
                </c:pt>
                <c:pt idx="630">
                  <c:v>36.612556229219791</c:v>
                </c:pt>
                <c:pt idx="631">
                  <c:v>36.671230197535849</c:v>
                </c:pt>
                <c:pt idx="632">
                  <c:v>36.749462155290594</c:v>
                </c:pt>
                <c:pt idx="633">
                  <c:v>36.84725210248402</c:v>
                </c:pt>
                <c:pt idx="634">
                  <c:v>36.866810091922709</c:v>
                </c:pt>
                <c:pt idx="635">
                  <c:v>36.925484060238766</c:v>
                </c:pt>
                <c:pt idx="636">
                  <c:v>37.003716017993511</c:v>
                </c:pt>
                <c:pt idx="637">
                  <c:v>37.081947975748257</c:v>
                </c:pt>
                <c:pt idx="638">
                  <c:v>37.21885390181906</c:v>
                </c:pt>
                <c:pt idx="639">
                  <c:v>37.277527870135117</c:v>
                </c:pt>
                <c:pt idx="640">
                  <c:v>37.394875806767232</c:v>
                </c:pt>
                <c:pt idx="641">
                  <c:v>37.41443379620592</c:v>
                </c:pt>
                <c:pt idx="642">
                  <c:v>37.433991785644608</c:v>
                </c:pt>
                <c:pt idx="643">
                  <c:v>37.512223743399353</c:v>
                </c:pt>
                <c:pt idx="644">
                  <c:v>37.551339722276722</c:v>
                </c:pt>
                <c:pt idx="645">
                  <c:v>37.649129669470149</c:v>
                </c:pt>
                <c:pt idx="646">
                  <c:v>37.746919616663575</c:v>
                </c:pt>
                <c:pt idx="647">
                  <c:v>37.844709563857002</c:v>
                </c:pt>
                <c:pt idx="648">
                  <c:v>37.942499511050428</c:v>
                </c:pt>
                <c:pt idx="649">
                  <c:v>37.962057500489117</c:v>
                </c:pt>
                <c:pt idx="650">
                  <c:v>38.040289458243862</c:v>
                </c:pt>
                <c:pt idx="651">
                  <c:v>38.177195384314665</c:v>
                </c:pt>
                <c:pt idx="652">
                  <c:v>38.372775278701525</c:v>
                </c:pt>
                <c:pt idx="653">
                  <c:v>38.411891257578894</c:v>
                </c:pt>
                <c:pt idx="654">
                  <c:v>38.470565225894951</c:v>
                </c:pt>
                <c:pt idx="655">
                  <c:v>38.587913162527066</c:v>
                </c:pt>
                <c:pt idx="656">
                  <c:v>38.646587130843123</c:v>
                </c:pt>
                <c:pt idx="657">
                  <c:v>38.705261099159181</c:v>
                </c:pt>
                <c:pt idx="658">
                  <c:v>38.900840993546041</c:v>
                </c:pt>
                <c:pt idx="659">
                  <c:v>38.959514961862098</c:v>
                </c:pt>
                <c:pt idx="660">
                  <c:v>38.979072951300786</c:v>
                </c:pt>
                <c:pt idx="661">
                  <c:v>39.096420887932901</c:v>
                </c:pt>
                <c:pt idx="662">
                  <c:v>39.155094856248958</c:v>
                </c:pt>
                <c:pt idx="663">
                  <c:v>39.292000782319761</c:v>
                </c:pt>
                <c:pt idx="664">
                  <c:v>39.370232740074506</c:v>
                </c:pt>
                <c:pt idx="665">
                  <c:v>39.448464697829252</c:v>
                </c:pt>
                <c:pt idx="666">
                  <c:v>39.585370623900054</c:v>
                </c:pt>
                <c:pt idx="667">
                  <c:v>39.624486602777424</c:v>
                </c:pt>
                <c:pt idx="668">
                  <c:v>39.820066497164284</c:v>
                </c:pt>
                <c:pt idx="669">
                  <c:v>39.898298454919029</c:v>
                </c:pt>
                <c:pt idx="670">
                  <c:v>40.035204380989832</c:v>
                </c:pt>
                <c:pt idx="671">
                  <c:v>40.132994328183258</c:v>
                </c:pt>
                <c:pt idx="672">
                  <c:v>40.152552317621947</c:v>
                </c:pt>
                <c:pt idx="673">
                  <c:v>40.30901623313143</c:v>
                </c:pt>
                <c:pt idx="674">
                  <c:v>40.426364169763545</c:v>
                </c:pt>
                <c:pt idx="675">
                  <c:v>40.524154116956971</c:v>
                </c:pt>
                <c:pt idx="676">
                  <c:v>40.641502053589086</c:v>
                </c:pt>
                <c:pt idx="677">
                  <c:v>40.778407979659889</c:v>
                </c:pt>
                <c:pt idx="678">
                  <c:v>40.817523958537258</c:v>
                </c:pt>
                <c:pt idx="679">
                  <c:v>40.915313905730684</c:v>
                </c:pt>
                <c:pt idx="680">
                  <c:v>40.954429884608054</c:v>
                </c:pt>
                <c:pt idx="681">
                  <c:v>41.05221983180148</c:v>
                </c:pt>
                <c:pt idx="682">
                  <c:v>41.130451789556226</c:v>
                </c:pt>
                <c:pt idx="683">
                  <c:v>41.228241736749652</c:v>
                </c:pt>
                <c:pt idx="684">
                  <c:v>41.326031683943079</c:v>
                </c:pt>
                <c:pt idx="685">
                  <c:v>41.365147662820448</c:v>
                </c:pt>
                <c:pt idx="686">
                  <c:v>41.423821631136505</c:v>
                </c:pt>
                <c:pt idx="687">
                  <c:v>41.54116956776862</c:v>
                </c:pt>
                <c:pt idx="688">
                  <c:v>41.658517504400734</c:v>
                </c:pt>
                <c:pt idx="689">
                  <c:v>41.678075493839422</c:v>
                </c:pt>
                <c:pt idx="690">
                  <c:v>41.717191472716792</c:v>
                </c:pt>
                <c:pt idx="691">
                  <c:v>41.814981419910218</c:v>
                </c:pt>
                <c:pt idx="692">
                  <c:v>41.932329356542333</c:v>
                </c:pt>
                <c:pt idx="693">
                  <c:v>42.010561314297078</c:v>
                </c:pt>
                <c:pt idx="694">
                  <c:v>42.069235282613135</c:v>
                </c:pt>
                <c:pt idx="695">
                  <c:v>42.127909250929193</c:v>
                </c:pt>
                <c:pt idx="696">
                  <c:v>42.206141208683938</c:v>
                </c:pt>
                <c:pt idx="697">
                  <c:v>42.323489145316053</c:v>
                </c:pt>
                <c:pt idx="698">
                  <c:v>42.343047134754741</c:v>
                </c:pt>
                <c:pt idx="699">
                  <c:v>42.460395071386856</c:v>
                </c:pt>
                <c:pt idx="700">
                  <c:v>42.57774300801897</c:v>
                </c:pt>
                <c:pt idx="701">
                  <c:v>42.714648934089773</c:v>
                </c:pt>
                <c:pt idx="702">
                  <c:v>42.753764912967142</c:v>
                </c:pt>
                <c:pt idx="703">
                  <c:v>42.831996870721888</c:v>
                </c:pt>
                <c:pt idx="704">
                  <c:v>42.96890279679269</c:v>
                </c:pt>
                <c:pt idx="705">
                  <c:v>42.988460786231379</c:v>
                </c:pt>
                <c:pt idx="706">
                  <c:v>43.125366712302181</c:v>
                </c:pt>
                <c:pt idx="707">
                  <c:v>43.203598670056927</c:v>
                </c:pt>
                <c:pt idx="708">
                  <c:v>43.301388617250353</c:v>
                </c:pt>
                <c:pt idx="709">
                  <c:v>43.360062585566411</c:v>
                </c:pt>
                <c:pt idx="710">
                  <c:v>43.477410522198525</c:v>
                </c:pt>
                <c:pt idx="711">
                  <c:v>43.555642479953271</c:v>
                </c:pt>
                <c:pt idx="712">
                  <c:v>43.692548406024073</c:v>
                </c:pt>
                <c:pt idx="713">
                  <c:v>43.751222374340131</c:v>
                </c:pt>
                <c:pt idx="714">
                  <c:v>43.966360258165672</c:v>
                </c:pt>
                <c:pt idx="715">
                  <c:v>44.083708194797786</c:v>
                </c:pt>
                <c:pt idx="716">
                  <c:v>44.122824173675156</c:v>
                </c:pt>
                <c:pt idx="717">
                  <c:v>44.220614120868582</c:v>
                </c:pt>
                <c:pt idx="718">
                  <c:v>44.298846078623328</c:v>
                </c:pt>
                <c:pt idx="719">
                  <c:v>44.43575200469413</c:v>
                </c:pt>
                <c:pt idx="720">
                  <c:v>44.494425973010188</c:v>
                </c:pt>
                <c:pt idx="721">
                  <c:v>44.533541951887557</c:v>
                </c:pt>
                <c:pt idx="722">
                  <c:v>44.592215920203614</c:v>
                </c:pt>
                <c:pt idx="723">
                  <c:v>44.690005867397041</c:v>
                </c:pt>
                <c:pt idx="724">
                  <c:v>44.787795814590467</c:v>
                </c:pt>
                <c:pt idx="725">
                  <c:v>44.866027772345213</c:v>
                </c:pt>
                <c:pt idx="726">
                  <c:v>45.022491687854696</c:v>
                </c:pt>
                <c:pt idx="727">
                  <c:v>45.061607666732066</c:v>
                </c:pt>
                <c:pt idx="728">
                  <c:v>45.139839624486811</c:v>
                </c:pt>
                <c:pt idx="729">
                  <c:v>45.17895560336418</c:v>
                </c:pt>
                <c:pt idx="730">
                  <c:v>45.257187561118926</c:v>
                </c:pt>
                <c:pt idx="731">
                  <c:v>45.315861529434983</c:v>
                </c:pt>
                <c:pt idx="732">
                  <c:v>45.335419518873671</c:v>
                </c:pt>
                <c:pt idx="733">
                  <c:v>45.394093487189728</c:v>
                </c:pt>
                <c:pt idx="734">
                  <c:v>45.433209466067098</c:v>
                </c:pt>
                <c:pt idx="735">
                  <c:v>45.511441423821843</c:v>
                </c:pt>
                <c:pt idx="736">
                  <c:v>45.5701153921379</c:v>
                </c:pt>
                <c:pt idx="737">
                  <c:v>45.667905339331327</c:v>
                </c:pt>
                <c:pt idx="738">
                  <c:v>45.765695286524753</c:v>
                </c:pt>
                <c:pt idx="739">
                  <c:v>45.843927244279499</c:v>
                </c:pt>
                <c:pt idx="740">
                  <c:v>45.961275180911613</c:v>
                </c:pt>
                <c:pt idx="741">
                  <c:v>46.039507138666359</c:v>
                </c:pt>
                <c:pt idx="742">
                  <c:v>46.156855075298473</c:v>
                </c:pt>
                <c:pt idx="743">
                  <c:v>46.235087033053219</c:v>
                </c:pt>
                <c:pt idx="744">
                  <c:v>46.332876980246645</c:v>
                </c:pt>
                <c:pt idx="745">
                  <c:v>46.371992959124015</c:v>
                </c:pt>
                <c:pt idx="746">
                  <c:v>46.508898885194817</c:v>
                </c:pt>
                <c:pt idx="747">
                  <c:v>46.626246821826932</c:v>
                </c:pt>
                <c:pt idx="748">
                  <c:v>46.743594758459047</c:v>
                </c:pt>
                <c:pt idx="749">
                  <c:v>46.782710737336416</c:v>
                </c:pt>
                <c:pt idx="750">
                  <c:v>46.802268726775104</c:v>
                </c:pt>
                <c:pt idx="751">
                  <c:v>46.880500684529849</c:v>
                </c:pt>
                <c:pt idx="752">
                  <c:v>46.919616663407218</c:v>
                </c:pt>
                <c:pt idx="753">
                  <c:v>46.958732642284588</c:v>
                </c:pt>
                <c:pt idx="754">
                  <c:v>47.056522589478014</c:v>
                </c:pt>
                <c:pt idx="755">
                  <c:v>47.076080578916702</c:v>
                </c:pt>
                <c:pt idx="756">
                  <c:v>47.173870526110129</c:v>
                </c:pt>
                <c:pt idx="757">
                  <c:v>47.193428515548817</c:v>
                </c:pt>
                <c:pt idx="758">
                  <c:v>47.310776452180932</c:v>
                </c:pt>
                <c:pt idx="759">
                  <c:v>47.349892431058301</c:v>
                </c:pt>
                <c:pt idx="760">
                  <c:v>47.369450420496989</c:v>
                </c:pt>
                <c:pt idx="761">
                  <c:v>47.447682378251734</c:v>
                </c:pt>
                <c:pt idx="762">
                  <c:v>47.565030314883849</c:v>
                </c:pt>
                <c:pt idx="763">
                  <c:v>47.584588304322537</c:v>
                </c:pt>
                <c:pt idx="764">
                  <c:v>47.643262272638594</c:v>
                </c:pt>
                <c:pt idx="765">
                  <c:v>47.701936240954652</c:v>
                </c:pt>
                <c:pt idx="766">
                  <c:v>47.799726188148078</c:v>
                </c:pt>
                <c:pt idx="767">
                  <c:v>47.897516135341505</c:v>
                </c:pt>
                <c:pt idx="768">
                  <c:v>47.956190103657562</c:v>
                </c:pt>
                <c:pt idx="769">
                  <c:v>47.995306082534931</c:v>
                </c:pt>
                <c:pt idx="770">
                  <c:v>48.014864071973619</c:v>
                </c:pt>
                <c:pt idx="771">
                  <c:v>48.053980050850988</c:v>
                </c:pt>
                <c:pt idx="772">
                  <c:v>48.132212008605734</c:v>
                </c:pt>
                <c:pt idx="773">
                  <c:v>48.210443966360479</c:v>
                </c:pt>
                <c:pt idx="774">
                  <c:v>48.327791902992594</c:v>
                </c:pt>
                <c:pt idx="775">
                  <c:v>48.347349892431282</c:v>
                </c:pt>
                <c:pt idx="776">
                  <c:v>48.406023860747339</c:v>
                </c:pt>
                <c:pt idx="777">
                  <c:v>48.445139839624709</c:v>
                </c:pt>
                <c:pt idx="778">
                  <c:v>48.464697829063397</c:v>
                </c:pt>
                <c:pt idx="779">
                  <c:v>48.542929786818142</c:v>
                </c:pt>
                <c:pt idx="780">
                  <c:v>48.56248777625683</c:v>
                </c:pt>
                <c:pt idx="781">
                  <c:v>48.582045765695518</c:v>
                </c:pt>
                <c:pt idx="782">
                  <c:v>48.679835712888945</c:v>
                </c:pt>
                <c:pt idx="783">
                  <c:v>48.718951691766314</c:v>
                </c:pt>
                <c:pt idx="784">
                  <c:v>48.777625660082371</c:v>
                </c:pt>
                <c:pt idx="785">
                  <c:v>48.855857617837117</c:v>
                </c:pt>
                <c:pt idx="786">
                  <c:v>48.953647565030543</c:v>
                </c:pt>
                <c:pt idx="787">
                  <c:v>48.973205554469232</c:v>
                </c:pt>
                <c:pt idx="788">
                  <c:v>49.051437512223977</c:v>
                </c:pt>
                <c:pt idx="789">
                  <c:v>49.110111480540034</c:v>
                </c:pt>
                <c:pt idx="790">
                  <c:v>49.207901427733461</c:v>
                </c:pt>
                <c:pt idx="791">
                  <c:v>49.227459417172149</c:v>
                </c:pt>
                <c:pt idx="792">
                  <c:v>49.305691374926894</c:v>
                </c:pt>
                <c:pt idx="793">
                  <c:v>49.38392333268164</c:v>
                </c:pt>
                <c:pt idx="794">
                  <c:v>49.481713279875066</c:v>
                </c:pt>
                <c:pt idx="795">
                  <c:v>49.540387248191124</c:v>
                </c:pt>
                <c:pt idx="796">
                  <c:v>49.579503227068493</c:v>
                </c:pt>
                <c:pt idx="797">
                  <c:v>49.657735184823238</c:v>
                </c:pt>
                <c:pt idx="798">
                  <c:v>49.735967142577984</c:v>
                </c:pt>
                <c:pt idx="799">
                  <c:v>49.775083121455353</c:v>
                </c:pt>
                <c:pt idx="800">
                  <c:v>49.83375708977141</c:v>
                </c:pt>
                <c:pt idx="801">
                  <c:v>49.892431058087467</c:v>
                </c:pt>
                <c:pt idx="802">
                  <c:v>49.911989047526156</c:v>
                </c:pt>
                <c:pt idx="803">
                  <c:v>49.970663015842213</c:v>
                </c:pt>
                <c:pt idx="804">
                  <c:v>49.990221005280901</c:v>
                </c:pt>
                <c:pt idx="805">
                  <c:v>50.048894973596958</c:v>
                </c:pt>
                <c:pt idx="806">
                  <c:v>50.068452963035647</c:v>
                </c:pt>
                <c:pt idx="807">
                  <c:v>50.107568941913016</c:v>
                </c:pt>
                <c:pt idx="808">
                  <c:v>50.185800899667761</c:v>
                </c:pt>
                <c:pt idx="809">
                  <c:v>50.205358889106449</c:v>
                </c:pt>
                <c:pt idx="810">
                  <c:v>50.224916878545137</c:v>
                </c:pt>
                <c:pt idx="811">
                  <c:v>50.303148836299883</c:v>
                </c:pt>
                <c:pt idx="812">
                  <c:v>50.36182280461594</c:v>
                </c:pt>
                <c:pt idx="813">
                  <c:v>50.459612751809367</c:v>
                </c:pt>
                <c:pt idx="814">
                  <c:v>50.479170741248055</c:v>
                </c:pt>
                <c:pt idx="815">
                  <c:v>50.537844709564112</c:v>
                </c:pt>
                <c:pt idx="816">
                  <c:v>50.616076667318858</c:v>
                </c:pt>
                <c:pt idx="817">
                  <c:v>50.655192646196227</c:v>
                </c:pt>
                <c:pt idx="818">
                  <c:v>50.733424603950972</c:v>
                </c:pt>
                <c:pt idx="819">
                  <c:v>50.75298259338966</c:v>
                </c:pt>
                <c:pt idx="820">
                  <c:v>50.831214551144406</c:v>
                </c:pt>
                <c:pt idx="821">
                  <c:v>50.929004498337832</c:v>
                </c:pt>
                <c:pt idx="822">
                  <c:v>50.968120477215201</c:v>
                </c:pt>
                <c:pt idx="823">
                  <c:v>50.98767846665389</c:v>
                </c:pt>
                <c:pt idx="824">
                  <c:v>51.026794445531259</c:v>
                </c:pt>
                <c:pt idx="825">
                  <c:v>51.144142382163373</c:v>
                </c:pt>
                <c:pt idx="826">
                  <c:v>51.261490318795488</c:v>
                </c:pt>
                <c:pt idx="827">
                  <c:v>51.281048308234176</c:v>
                </c:pt>
                <c:pt idx="828">
                  <c:v>51.417954234304979</c:v>
                </c:pt>
                <c:pt idx="829">
                  <c:v>51.437512223743667</c:v>
                </c:pt>
                <c:pt idx="830">
                  <c:v>51.476628202621036</c:v>
                </c:pt>
                <c:pt idx="831">
                  <c:v>51.535302170937094</c:v>
                </c:pt>
                <c:pt idx="832">
                  <c:v>51.574418149814463</c:v>
                </c:pt>
                <c:pt idx="833">
                  <c:v>51.652650107569208</c:v>
                </c:pt>
                <c:pt idx="834">
                  <c:v>51.730882065323954</c:v>
                </c:pt>
                <c:pt idx="835">
                  <c:v>51.82867201251738</c:v>
                </c:pt>
                <c:pt idx="836">
                  <c:v>52.043809896342921</c:v>
                </c:pt>
                <c:pt idx="837">
                  <c:v>52.063367885781609</c:v>
                </c:pt>
                <c:pt idx="838">
                  <c:v>52.180715822413724</c:v>
                </c:pt>
                <c:pt idx="839">
                  <c:v>52.239389790729781</c:v>
                </c:pt>
                <c:pt idx="840">
                  <c:v>52.298063759045839</c:v>
                </c:pt>
                <c:pt idx="841">
                  <c:v>52.317621748484527</c:v>
                </c:pt>
                <c:pt idx="842">
                  <c:v>52.337179737923215</c:v>
                </c:pt>
                <c:pt idx="843">
                  <c:v>52.395853706239272</c:v>
                </c:pt>
                <c:pt idx="844">
                  <c:v>52.454527674555329</c:v>
                </c:pt>
                <c:pt idx="845">
                  <c:v>52.474085663994018</c:v>
                </c:pt>
                <c:pt idx="846">
                  <c:v>52.513201642871387</c:v>
                </c:pt>
                <c:pt idx="847">
                  <c:v>52.591433600626132</c:v>
                </c:pt>
                <c:pt idx="848">
                  <c:v>52.708781537258247</c:v>
                </c:pt>
                <c:pt idx="849">
                  <c:v>52.747897516135616</c:v>
                </c:pt>
                <c:pt idx="850">
                  <c:v>52.787013495012985</c:v>
                </c:pt>
                <c:pt idx="851">
                  <c:v>52.845687463329043</c:v>
                </c:pt>
                <c:pt idx="852">
                  <c:v>52.943477410522469</c:v>
                </c:pt>
                <c:pt idx="853">
                  <c:v>53.002151378838526</c:v>
                </c:pt>
                <c:pt idx="854">
                  <c:v>53.021709368277214</c:v>
                </c:pt>
                <c:pt idx="855">
                  <c:v>53.060825347154584</c:v>
                </c:pt>
                <c:pt idx="856">
                  <c:v>53.15861529434801</c:v>
                </c:pt>
                <c:pt idx="857">
                  <c:v>53.197731273225379</c:v>
                </c:pt>
                <c:pt idx="858">
                  <c:v>53.275963230980125</c:v>
                </c:pt>
                <c:pt idx="859">
                  <c:v>53.334637199296182</c:v>
                </c:pt>
                <c:pt idx="860">
                  <c:v>53.373753178173551</c:v>
                </c:pt>
                <c:pt idx="861">
                  <c:v>53.41286915705092</c:v>
                </c:pt>
                <c:pt idx="862">
                  <c:v>53.471543125366978</c:v>
                </c:pt>
                <c:pt idx="863">
                  <c:v>53.510659104244347</c:v>
                </c:pt>
                <c:pt idx="864">
                  <c:v>53.608449051437773</c:v>
                </c:pt>
                <c:pt idx="865">
                  <c:v>53.686681009192519</c:v>
                </c:pt>
                <c:pt idx="866">
                  <c:v>53.745354977508576</c:v>
                </c:pt>
                <c:pt idx="867">
                  <c:v>53.823586935263322</c:v>
                </c:pt>
                <c:pt idx="868">
                  <c:v>53.921376882456748</c:v>
                </c:pt>
                <c:pt idx="869">
                  <c:v>53.940934871895436</c:v>
                </c:pt>
                <c:pt idx="870">
                  <c:v>53.999608840211494</c:v>
                </c:pt>
                <c:pt idx="871">
                  <c:v>54.019166829650182</c:v>
                </c:pt>
                <c:pt idx="872">
                  <c:v>54.097398787404927</c:v>
                </c:pt>
                <c:pt idx="873">
                  <c:v>54.136514766282296</c:v>
                </c:pt>
                <c:pt idx="874">
                  <c:v>54.195188734598354</c:v>
                </c:pt>
                <c:pt idx="875">
                  <c:v>54.29297868179178</c:v>
                </c:pt>
                <c:pt idx="876">
                  <c:v>54.312536671230468</c:v>
                </c:pt>
                <c:pt idx="877">
                  <c:v>54.351652650107837</c:v>
                </c:pt>
                <c:pt idx="878">
                  <c:v>54.410326618423895</c:v>
                </c:pt>
                <c:pt idx="879">
                  <c:v>54.449442597301264</c:v>
                </c:pt>
                <c:pt idx="880">
                  <c:v>54.508116565617321</c:v>
                </c:pt>
                <c:pt idx="881">
                  <c:v>54.586348523372067</c:v>
                </c:pt>
                <c:pt idx="882">
                  <c:v>54.664580481126812</c:v>
                </c:pt>
                <c:pt idx="883">
                  <c:v>54.723254449442869</c:v>
                </c:pt>
                <c:pt idx="884">
                  <c:v>54.762370428320239</c:v>
                </c:pt>
                <c:pt idx="885">
                  <c:v>54.821044396636296</c:v>
                </c:pt>
                <c:pt idx="886">
                  <c:v>54.840602386074984</c:v>
                </c:pt>
                <c:pt idx="887">
                  <c:v>54.860160375513672</c:v>
                </c:pt>
                <c:pt idx="888">
                  <c:v>54.87971836495236</c:v>
                </c:pt>
                <c:pt idx="889">
                  <c:v>54.899276354391048</c:v>
                </c:pt>
                <c:pt idx="890">
                  <c:v>54.957950322707106</c:v>
                </c:pt>
                <c:pt idx="891">
                  <c:v>55.016624291023163</c:v>
                </c:pt>
                <c:pt idx="892">
                  <c:v>55.036182280461851</c:v>
                </c:pt>
                <c:pt idx="893">
                  <c:v>55.07529825933922</c:v>
                </c:pt>
                <c:pt idx="894">
                  <c:v>55.11441423821659</c:v>
                </c:pt>
                <c:pt idx="895">
                  <c:v>55.153530217093959</c:v>
                </c:pt>
                <c:pt idx="896">
                  <c:v>55.192646195971328</c:v>
                </c:pt>
                <c:pt idx="897">
                  <c:v>55.251320164287385</c:v>
                </c:pt>
                <c:pt idx="898">
                  <c:v>55.349110111480812</c:v>
                </c:pt>
                <c:pt idx="899">
                  <c:v>55.3686681009195</c:v>
                </c:pt>
                <c:pt idx="900">
                  <c:v>55.446900058674245</c:v>
                </c:pt>
                <c:pt idx="901">
                  <c:v>55.466458048112933</c:v>
                </c:pt>
                <c:pt idx="902">
                  <c:v>55.525132016428991</c:v>
                </c:pt>
                <c:pt idx="903">
                  <c:v>55.622921963622417</c:v>
                </c:pt>
                <c:pt idx="904">
                  <c:v>55.720711910815844</c:v>
                </c:pt>
                <c:pt idx="905">
                  <c:v>55.798943868570589</c:v>
                </c:pt>
                <c:pt idx="906">
                  <c:v>55.877175826325335</c:v>
                </c:pt>
                <c:pt idx="907">
                  <c:v>55.916291805202704</c:v>
                </c:pt>
                <c:pt idx="908">
                  <c:v>56.01408175239613</c:v>
                </c:pt>
                <c:pt idx="909">
                  <c:v>56.053197731273499</c:v>
                </c:pt>
                <c:pt idx="910">
                  <c:v>56.111871699589557</c:v>
                </c:pt>
                <c:pt idx="911">
                  <c:v>56.150987678466926</c:v>
                </c:pt>
                <c:pt idx="912">
                  <c:v>56.209661646782983</c:v>
                </c:pt>
                <c:pt idx="913">
                  <c:v>56.287893604537729</c:v>
                </c:pt>
                <c:pt idx="914">
                  <c:v>56.346567572853786</c:v>
                </c:pt>
                <c:pt idx="915">
                  <c:v>56.405241541169843</c:v>
                </c:pt>
                <c:pt idx="916">
                  <c:v>56.463915509485901</c:v>
                </c:pt>
                <c:pt idx="917">
                  <c:v>56.542147467240646</c:v>
                </c:pt>
                <c:pt idx="918">
                  <c:v>56.561705456679334</c:v>
                </c:pt>
                <c:pt idx="919">
                  <c:v>56.600821435556703</c:v>
                </c:pt>
                <c:pt idx="920">
                  <c:v>56.639937414434073</c:v>
                </c:pt>
                <c:pt idx="921">
                  <c:v>56.659495403872761</c:v>
                </c:pt>
                <c:pt idx="922">
                  <c:v>56.679053393311449</c:v>
                </c:pt>
                <c:pt idx="923">
                  <c:v>56.776843340504875</c:v>
                </c:pt>
                <c:pt idx="924">
                  <c:v>56.855075298259621</c:v>
                </c:pt>
                <c:pt idx="925">
                  <c:v>56.933307256014366</c:v>
                </c:pt>
                <c:pt idx="926">
                  <c:v>56.972423234891735</c:v>
                </c:pt>
                <c:pt idx="927">
                  <c:v>57.011539213769105</c:v>
                </c:pt>
                <c:pt idx="928">
                  <c:v>57.08977117152385</c:v>
                </c:pt>
                <c:pt idx="929">
                  <c:v>57.168003129278596</c:v>
                </c:pt>
                <c:pt idx="930">
                  <c:v>57.207119108155965</c:v>
                </c:pt>
                <c:pt idx="931">
                  <c:v>57.265793076472022</c:v>
                </c:pt>
                <c:pt idx="932">
                  <c:v>57.28535106591071</c:v>
                </c:pt>
                <c:pt idx="933">
                  <c:v>57.441814981420194</c:v>
                </c:pt>
                <c:pt idx="934">
                  <c:v>57.53960492861362</c:v>
                </c:pt>
                <c:pt idx="935">
                  <c:v>57.559162918052309</c:v>
                </c:pt>
                <c:pt idx="936">
                  <c:v>57.598278896929678</c:v>
                </c:pt>
                <c:pt idx="937">
                  <c:v>57.617836886368366</c:v>
                </c:pt>
                <c:pt idx="938">
                  <c:v>57.676510854684423</c:v>
                </c:pt>
                <c:pt idx="939">
                  <c:v>57.73518482300048</c:v>
                </c:pt>
                <c:pt idx="940">
                  <c:v>57.77430080187785</c:v>
                </c:pt>
                <c:pt idx="941">
                  <c:v>57.813416780755219</c:v>
                </c:pt>
                <c:pt idx="942">
                  <c:v>57.852532759632588</c:v>
                </c:pt>
                <c:pt idx="943">
                  <c:v>57.969880696264703</c:v>
                </c:pt>
                <c:pt idx="944">
                  <c:v>58.02855466458076</c:v>
                </c:pt>
                <c:pt idx="945">
                  <c:v>58.106786622335505</c:v>
                </c:pt>
                <c:pt idx="946">
                  <c:v>58.145902601212875</c:v>
                </c:pt>
                <c:pt idx="947">
                  <c:v>58.243692548406301</c:v>
                </c:pt>
                <c:pt idx="948">
                  <c:v>58.263250537844989</c:v>
                </c:pt>
                <c:pt idx="949">
                  <c:v>58.282808527283677</c:v>
                </c:pt>
                <c:pt idx="950">
                  <c:v>58.41971445335448</c:v>
                </c:pt>
                <c:pt idx="951">
                  <c:v>58.478388421670537</c:v>
                </c:pt>
                <c:pt idx="952">
                  <c:v>58.537062389986595</c:v>
                </c:pt>
                <c:pt idx="953">
                  <c:v>58.61529434774134</c:v>
                </c:pt>
                <c:pt idx="954">
                  <c:v>58.654410326618709</c:v>
                </c:pt>
                <c:pt idx="955">
                  <c:v>58.713084294934767</c:v>
                </c:pt>
                <c:pt idx="956">
                  <c:v>58.732642284373455</c:v>
                </c:pt>
                <c:pt idx="957">
                  <c:v>58.771758263250824</c:v>
                </c:pt>
                <c:pt idx="958">
                  <c:v>58.810874242128193</c:v>
                </c:pt>
                <c:pt idx="959">
                  <c:v>58.830432231566881</c:v>
                </c:pt>
                <c:pt idx="960">
                  <c:v>58.86954821044425</c:v>
                </c:pt>
                <c:pt idx="961">
                  <c:v>58.90866418932162</c:v>
                </c:pt>
                <c:pt idx="962">
                  <c:v>58.947780168198989</c:v>
                </c:pt>
                <c:pt idx="963">
                  <c:v>59.026012125953734</c:v>
                </c:pt>
                <c:pt idx="964">
                  <c:v>59.123802073147161</c:v>
                </c:pt>
                <c:pt idx="965">
                  <c:v>59.16291805202453</c:v>
                </c:pt>
                <c:pt idx="966">
                  <c:v>59.241150009779275</c:v>
                </c:pt>
                <c:pt idx="967">
                  <c:v>59.319381967534021</c:v>
                </c:pt>
                <c:pt idx="968">
                  <c:v>59.338939956972709</c:v>
                </c:pt>
                <c:pt idx="969">
                  <c:v>59.417171914727454</c:v>
                </c:pt>
                <c:pt idx="970">
                  <c:v>59.456287893604824</c:v>
                </c:pt>
                <c:pt idx="971">
                  <c:v>59.514961861920881</c:v>
                </c:pt>
                <c:pt idx="972">
                  <c:v>59.55407784079825</c:v>
                </c:pt>
                <c:pt idx="973">
                  <c:v>59.593193819675619</c:v>
                </c:pt>
                <c:pt idx="974">
                  <c:v>59.632309798552988</c:v>
                </c:pt>
                <c:pt idx="975">
                  <c:v>59.671425777430358</c:v>
                </c:pt>
                <c:pt idx="976">
                  <c:v>59.690983766869046</c:v>
                </c:pt>
                <c:pt idx="977">
                  <c:v>59.710541756307734</c:v>
                </c:pt>
                <c:pt idx="978">
                  <c:v>59.769215724623791</c:v>
                </c:pt>
                <c:pt idx="979">
                  <c:v>59.788773714062479</c:v>
                </c:pt>
                <c:pt idx="980">
                  <c:v>59.847447682378537</c:v>
                </c:pt>
                <c:pt idx="981">
                  <c:v>59.886563661255906</c:v>
                </c:pt>
                <c:pt idx="982">
                  <c:v>59.906121650694594</c:v>
                </c:pt>
                <c:pt idx="983">
                  <c:v>59.945237629571963</c:v>
                </c:pt>
                <c:pt idx="984">
                  <c:v>60.023469587326709</c:v>
                </c:pt>
                <c:pt idx="985">
                  <c:v>60.121259534520135</c:v>
                </c:pt>
                <c:pt idx="986">
                  <c:v>60.140817523958823</c:v>
                </c:pt>
                <c:pt idx="987">
                  <c:v>60.19949149227488</c:v>
                </c:pt>
                <c:pt idx="988">
                  <c:v>60.23860747115225</c:v>
                </c:pt>
                <c:pt idx="989">
                  <c:v>60.277723450029619</c:v>
                </c:pt>
                <c:pt idx="990">
                  <c:v>60.316839428906988</c:v>
                </c:pt>
                <c:pt idx="991">
                  <c:v>60.395071386661733</c:v>
                </c:pt>
                <c:pt idx="992">
                  <c:v>60.414629376100422</c:v>
                </c:pt>
                <c:pt idx="993">
                  <c:v>60.473303344416479</c:v>
                </c:pt>
                <c:pt idx="994">
                  <c:v>60.492861333855167</c:v>
                </c:pt>
                <c:pt idx="995">
                  <c:v>60.512419323293855</c:v>
                </c:pt>
                <c:pt idx="996">
                  <c:v>60.571093291609913</c:v>
                </c:pt>
                <c:pt idx="997">
                  <c:v>60.62976725992597</c:v>
                </c:pt>
                <c:pt idx="998">
                  <c:v>60.688441228242027</c:v>
                </c:pt>
                <c:pt idx="999">
                  <c:v>60.747115196558084</c:v>
                </c:pt>
                <c:pt idx="1000">
                  <c:v>60.805789164874142</c:v>
                </c:pt>
                <c:pt idx="1001">
                  <c:v>60.844905143751511</c:v>
                </c:pt>
                <c:pt idx="1002">
                  <c:v>60.864463133190199</c:v>
                </c:pt>
                <c:pt idx="1003">
                  <c:v>60.903579112067568</c:v>
                </c:pt>
                <c:pt idx="1004">
                  <c:v>60.962253080383626</c:v>
                </c:pt>
                <c:pt idx="1005">
                  <c:v>60.981811069822314</c:v>
                </c:pt>
                <c:pt idx="1006">
                  <c:v>61.099159006454428</c:v>
                </c:pt>
                <c:pt idx="1007">
                  <c:v>61.138274985331797</c:v>
                </c:pt>
                <c:pt idx="1008">
                  <c:v>61.196948953647855</c:v>
                </c:pt>
                <c:pt idx="1009">
                  <c:v>61.294738900841281</c:v>
                </c:pt>
                <c:pt idx="1010">
                  <c:v>61.314296890279969</c:v>
                </c:pt>
                <c:pt idx="1011">
                  <c:v>61.353412869157339</c:v>
                </c:pt>
                <c:pt idx="1012">
                  <c:v>61.412086837473396</c:v>
                </c:pt>
                <c:pt idx="1013">
                  <c:v>61.509876784666822</c:v>
                </c:pt>
                <c:pt idx="1014">
                  <c:v>61.529434774105511</c:v>
                </c:pt>
                <c:pt idx="1015">
                  <c:v>61.56855075298288</c:v>
                </c:pt>
                <c:pt idx="1016">
                  <c:v>61.607666731860249</c:v>
                </c:pt>
                <c:pt idx="1017">
                  <c:v>61.666340700176306</c:v>
                </c:pt>
                <c:pt idx="1018">
                  <c:v>61.783688636808421</c:v>
                </c:pt>
                <c:pt idx="1019">
                  <c:v>61.901036573440535</c:v>
                </c:pt>
                <c:pt idx="1020">
                  <c:v>61.979268531195281</c:v>
                </c:pt>
                <c:pt idx="1021">
                  <c:v>62.077058478388707</c:v>
                </c:pt>
                <c:pt idx="1022">
                  <c:v>62.116174457266077</c:v>
                </c:pt>
                <c:pt idx="1023">
                  <c:v>62.135732446704765</c:v>
                </c:pt>
                <c:pt idx="1024">
                  <c:v>62.194406415020822</c:v>
                </c:pt>
                <c:pt idx="1025">
                  <c:v>62.253080383336879</c:v>
                </c:pt>
                <c:pt idx="1026">
                  <c:v>62.350870330530306</c:v>
                </c:pt>
                <c:pt idx="1027">
                  <c:v>62.389986309407675</c:v>
                </c:pt>
                <c:pt idx="1028">
                  <c:v>62.487776256601101</c:v>
                </c:pt>
                <c:pt idx="1029">
                  <c:v>62.50733424603979</c:v>
                </c:pt>
                <c:pt idx="1030">
                  <c:v>62.546450224917159</c:v>
                </c:pt>
                <c:pt idx="1031">
                  <c:v>62.566008214355847</c:v>
                </c:pt>
                <c:pt idx="1032">
                  <c:v>62.605124193233216</c:v>
                </c:pt>
                <c:pt idx="1033">
                  <c:v>62.644240172110585</c:v>
                </c:pt>
                <c:pt idx="1034">
                  <c:v>62.663798161549273</c:v>
                </c:pt>
                <c:pt idx="1035">
                  <c:v>62.722472129865331</c:v>
                </c:pt>
                <c:pt idx="1036">
                  <c:v>62.7615881087427</c:v>
                </c:pt>
                <c:pt idx="1037">
                  <c:v>62.781146098181388</c:v>
                </c:pt>
                <c:pt idx="1038">
                  <c:v>62.800704087620076</c:v>
                </c:pt>
                <c:pt idx="1039">
                  <c:v>62.820262077058764</c:v>
                </c:pt>
                <c:pt idx="1040">
                  <c:v>62.878936045374822</c:v>
                </c:pt>
                <c:pt idx="1041">
                  <c:v>62.918052024252191</c:v>
                </c:pt>
                <c:pt idx="1042">
                  <c:v>62.976725992568248</c:v>
                </c:pt>
                <c:pt idx="1043">
                  <c:v>63.035399960884305</c:v>
                </c:pt>
                <c:pt idx="1044">
                  <c:v>63.054957950322994</c:v>
                </c:pt>
                <c:pt idx="1045">
                  <c:v>63.094073929200363</c:v>
                </c:pt>
                <c:pt idx="1046">
                  <c:v>63.133189908077732</c:v>
                </c:pt>
                <c:pt idx="1047">
                  <c:v>63.211421865832477</c:v>
                </c:pt>
                <c:pt idx="1048">
                  <c:v>63.250537844709847</c:v>
                </c:pt>
                <c:pt idx="1049">
                  <c:v>63.328769802464592</c:v>
                </c:pt>
                <c:pt idx="1050">
                  <c:v>63.367885781341961</c:v>
                </c:pt>
                <c:pt idx="1051">
                  <c:v>63.426559749658018</c:v>
                </c:pt>
                <c:pt idx="1052">
                  <c:v>63.465675728535388</c:v>
                </c:pt>
                <c:pt idx="1053">
                  <c:v>63.543907686290133</c:v>
                </c:pt>
                <c:pt idx="1054">
                  <c:v>63.563465675728821</c:v>
                </c:pt>
                <c:pt idx="1055">
                  <c:v>63.583023665167509</c:v>
                </c:pt>
                <c:pt idx="1056">
                  <c:v>63.602581654606198</c:v>
                </c:pt>
                <c:pt idx="1057">
                  <c:v>63.622139644044886</c:v>
                </c:pt>
                <c:pt idx="1058">
                  <c:v>63.680813612360943</c:v>
                </c:pt>
                <c:pt idx="1059">
                  <c:v>63.739487580677</c:v>
                </c:pt>
                <c:pt idx="1060">
                  <c:v>63.778603559554369</c:v>
                </c:pt>
                <c:pt idx="1061">
                  <c:v>63.837277527870427</c:v>
                </c:pt>
                <c:pt idx="1062">
                  <c:v>63.876393506747796</c:v>
                </c:pt>
                <c:pt idx="1063">
                  <c:v>63.915509485625165</c:v>
                </c:pt>
                <c:pt idx="1064">
                  <c:v>63.954625464502534</c:v>
                </c:pt>
                <c:pt idx="1065">
                  <c:v>64.013299432818584</c:v>
                </c:pt>
                <c:pt idx="1066">
                  <c:v>64.091531390573323</c:v>
                </c:pt>
                <c:pt idx="1067">
                  <c:v>64.189321337766756</c:v>
                </c:pt>
                <c:pt idx="1068">
                  <c:v>64.228437316644133</c:v>
                </c:pt>
                <c:pt idx="1069">
                  <c:v>64.267553295521509</c:v>
                </c:pt>
                <c:pt idx="1070">
                  <c:v>64.306669274398885</c:v>
                </c:pt>
                <c:pt idx="1071">
                  <c:v>64.365343242714943</c:v>
                </c:pt>
                <c:pt idx="1072">
                  <c:v>64.424017211031</c:v>
                </c:pt>
                <c:pt idx="1073">
                  <c:v>64.482691179347057</c:v>
                </c:pt>
                <c:pt idx="1074">
                  <c:v>64.502249168785738</c:v>
                </c:pt>
                <c:pt idx="1075">
                  <c:v>64.580481126540477</c:v>
                </c:pt>
                <c:pt idx="1076">
                  <c:v>64.619597105417853</c:v>
                </c:pt>
                <c:pt idx="1077">
                  <c:v>64.697829063172591</c:v>
                </c:pt>
                <c:pt idx="1078">
                  <c:v>64.756503031488649</c:v>
                </c:pt>
                <c:pt idx="1079">
                  <c:v>64.77606102092733</c:v>
                </c:pt>
                <c:pt idx="1080">
                  <c:v>64.815176999804706</c:v>
                </c:pt>
                <c:pt idx="1081">
                  <c:v>64.912966946998139</c:v>
                </c:pt>
                <c:pt idx="1082">
                  <c:v>64.93252493643682</c:v>
                </c:pt>
                <c:pt idx="1083">
                  <c:v>64.971640915314197</c:v>
                </c:pt>
                <c:pt idx="1084">
                  <c:v>65.010756894191573</c:v>
                </c:pt>
                <c:pt idx="1085">
                  <c:v>65.030314883630254</c:v>
                </c:pt>
                <c:pt idx="1086">
                  <c:v>65.128104830823688</c:v>
                </c:pt>
                <c:pt idx="1087">
                  <c:v>65.167220809701064</c:v>
                </c:pt>
                <c:pt idx="1088">
                  <c:v>65.20633678857844</c:v>
                </c:pt>
                <c:pt idx="1089">
                  <c:v>65.265010756894497</c:v>
                </c:pt>
                <c:pt idx="1090">
                  <c:v>65.304126735771874</c:v>
                </c:pt>
                <c:pt idx="1091">
                  <c:v>65.382358693526612</c:v>
                </c:pt>
                <c:pt idx="1092">
                  <c:v>65.421474672403988</c:v>
                </c:pt>
                <c:pt idx="1093">
                  <c:v>65.480148640720046</c:v>
                </c:pt>
                <c:pt idx="1094">
                  <c:v>65.499706630158727</c:v>
                </c:pt>
                <c:pt idx="1095">
                  <c:v>65.519264619597408</c:v>
                </c:pt>
                <c:pt idx="1096">
                  <c:v>65.656170545668203</c:v>
                </c:pt>
                <c:pt idx="1097">
                  <c:v>65.69528652454558</c:v>
                </c:pt>
                <c:pt idx="1098">
                  <c:v>65.734402503422956</c:v>
                </c:pt>
                <c:pt idx="1099">
                  <c:v>65.793076471739013</c:v>
                </c:pt>
                <c:pt idx="1100">
                  <c:v>65.812634461177694</c:v>
                </c:pt>
                <c:pt idx="1101">
                  <c:v>65.832192450616375</c:v>
                </c:pt>
                <c:pt idx="1102">
                  <c:v>65.871308429493752</c:v>
                </c:pt>
                <c:pt idx="1103">
                  <c:v>65.910424408371128</c:v>
                </c:pt>
                <c:pt idx="1104">
                  <c:v>65.929982397809809</c:v>
                </c:pt>
                <c:pt idx="1105">
                  <c:v>65.969098376687185</c:v>
                </c:pt>
                <c:pt idx="1106">
                  <c:v>65.988656366125866</c:v>
                </c:pt>
                <c:pt idx="1107">
                  <c:v>66.047330334441924</c:v>
                </c:pt>
                <c:pt idx="1108">
                  <c:v>66.0864463133193</c:v>
                </c:pt>
                <c:pt idx="1109">
                  <c:v>66.125562292196676</c:v>
                </c:pt>
                <c:pt idx="1110">
                  <c:v>66.145120281635357</c:v>
                </c:pt>
                <c:pt idx="1111">
                  <c:v>66.184236260512733</c:v>
                </c:pt>
                <c:pt idx="1112">
                  <c:v>66.282026207706167</c:v>
                </c:pt>
                <c:pt idx="1113">
                  <c:v>66.340700176022224</c:v>
                </c:pt>
                <c:pt idx="1114">
                  <c:v>66.360258165460905</c:v>
                </c:pt>
                <c:pt idx="1115">
                  <c:v>66.379816154899586</c:v>
                </c:pt>
                <c:pt idx="1116">
                  <c:v>66.399374144338267</c:v>
                </c:pt>
                <c:pt idx="1117">
                  <c:v>66.516722080970382</c:v>
                </c:pt>
                <c:pt idx="1118">
                  <c:v>66.555838059847758</c:v>
                </c:pt>
                <c:pt idx="1119">
                  <c:v>66.575396049286439</c:v>
                </c:pt>
                <c:pt idx="1120">
                  <c:v>66.59495403872512</c:v>
                </c:pt>
                <c:pt idx="1121">
                  <c:v>66.614512028163801</c:v>
                </c:pt>
                <c:pt idx="1122">
                  <c:v>66.634070017602482</c:v>
                </c:pt>
                <c:pt idx="1123">
                  <c:v>66.673185996479859</c:v>
                </c:pt>
                <c:pt idx="1124">
                  <c:v>66.712301975357235</c:v>
                </c:pt>
                <c:pt idx="1125">
                  <c:v>66.751417954234611</c:v>
                </c:pt>
                <c:pt idx="1126">
                  <c:v>66.790533933111988</c:v>
                </c:pt>
                <c:pt idx="1127">
                  <c:v>66.810091922550669</c:v>
                </c:pt>
                <c:pt idx="1128">
                  <c:v>66.849207901428045</c:v>
                </c:pt>
                <c:pt idx="1129">
                  <c:v>66.907881869744102</c:v>
                </c:pt>
                <c:pt idx="1130">
                  <c:v>66.96655583806016</c:v>
                </c:pt>
                <c:pt idx="1131">
                  <c:v>66.986113827498841</c:v>
                </c:pt>
                <c:pt idx="1132">
                  <c:v>67.025229806376217</c:v>
                </c:pt>
                <c:pt idx="1133">
                  <c:v>67.064345785253593</c:v>
                </c:pt>
                <c:pt idx="1134">
                  <c:v>67.083903774692274</c:v>
                </c:pt>
                <c:pt idx="1135">
                  <c:v>67.142577743008331</c:v>
                </c:pt>
                <c:pt idx="1136">
                  <c:v>67.181693721885708</c:v>
                </c:pt>
                <c:pt idx="1137">
                  <c:v>67.201251711324389</c:v>
                </c:pt>
                <c:pt idx="1138">
                  <c:v>67.259925679640446</c:v>
                </c:pt>
                <c:pt idx="1139">
                  <c:v>67.318599647956503</c:v>
                </c:pt>
                <c:pt idx="1140">
                  <c:v>67.338157637395184</c:v>
                </c:pt>
                <c:pt idx="1141">
                  <c:v>67.357715626833865</c:v>
                </c:pt>
                <c:pt idx="1142">
                  <c:v>67.396831605711242</c:v>
                </c:pt>
                <c:pt idx="1143">
                  <c:v>67.416389595149923</c:v>
                </c:pt>
                <c:pt idx="1144">
                  <c:v>67.455505574027299</c:v>
                </c:pt>
                <c:pt idx="1145">
                  <c:v>67.47506356346598</c:v>
                </c:pt>
                <c:pt idx="1146">
                  <c:v>67.514179542343356</c:v>
                </c:pt>
                <c:pt idx="1147">
                  <c:v>67.592411500098095</c:v>
                </c:pt>
                <c:pt idx="1148">
                  <c:v>67.611969489536776</c:v>
                </c:pt>
                <c:pt idx="1149">
                  <c:v>67.631527478975457</c:v>
                </c:pt>
                <c:pt idx="1150">
                  <c:v>67.651085468414138</c:v>
                </c:pt>
                <c:pt idx="1151">
                  <c:v>67.690201447291514</c:v>
                </c:pt>
                <c:pt idx="1152">
                  <c:v>67.72931742616889</c:v>
                </c:pt>
                <c:pt idx="1153">
                  <c:v>67.768433405046267</c:v>
                </c:pt>
                <c:pt idx="1154">
                  <c:v>67.807549383923643</c:v>
                </c:pt>
                <c:pt idx="1155">
                  <c:v>67.827107373362324</c:v>
                </c:pt>
                <c:pt idx="1156">
                  <c:v>67.8662233522397</c:v>
                </c:pt>
                <c:pt idx="1157">
                  <c:v>67.885781341678381</c:v>
                </c:pt>
                <c:pt idx="1158">
                  <c:v>67.924897320555758</c:v>
                </c:pt>
                <c:pt idx="1159">
                  <c:v>67.964013299433134</c:v>
                </c:pt>
                <c:pt idx="1160">
                  <c:v>68.00312927831051</c:v>
                </c:pt>
                <c:pt idx="1161">
                  <c:v>68.042245257187886</c:v>
                </c:pt>
                <c:pt idx="1162">
                  <c:v>68.061803246626567</c:v>
                </c:pt>
                <c:pt idx="1163">
                  <c:v>68.081361236065248</c:v>
                </c:pt>
                <c:pt idx="1164">
                  <c:v>68.120477214942625</c:v>
                </c:pt>
                <c:pt idx="1165">
                  <c:v>68.159593193820001</c:v>
                </c:pt>
                <c:pt idx="1166">
                  <c:v>68.179151183258682</c:v>
                </c:pt>
                <c:pt idx="1167">
                  <c:v>68.198709172697363</c:v>
                </c:pt>
                <c:pt idx="1168">
                  <c:v>68.218267162136044</c:v>
                </c:pt>
                <c:pt idx="1169">
                  <c:v>68.276941130452101</c:v>
                </c:pt>
                <c:pt idx="1170">
                  <c:v>68.296499119890782</c:v>
                </c:pt>
                <c:pt idx="1171">
                  <c:v>68.335615098768159</c:v>
                </c:pt>
                <c:pt idx="1172">
                  <c:v>68.35517308820684</c:v>
                </c:pt>
                <c:pt idx="1173">
                  <c:v>68.394289067084216</c:v>
                </c:pt>
                <c:pt idx="1174">
                  <c:v>68.413847056522897</c:v>
                </c:pt>
                <c:pt idx="1175">
                  <c:v>68.433405045961578</c:v>
                </c:pt>
                <c:pt idx="1176">
                  <c:v>68.492079014277635</c:v>
                </c:pt>
                <c:pt idx="1177">
                  <c:v>68.531194993155012</c:v>
                </c:pt>
                <c:pt idx="1178">
                  <c:v>68.570310972032388</c:v>
                </c:pt>
                <c:pt idx="1179">
                  <c:v>68.609426950909764</c:v>
                </c:pt>
                <c:pt idx="1180">
                  <c:v>68.628984940348445</c:v>
                </c:pt>
                <c:pt idx="1181">
                  <c:v>68.648542929787126</c:v>
                </c:pt>
                <c:pt idx="1182">
                  <c:v>68.687658908664503</c:v>
                </c:pt>
                <c:pt idx="1183">
                  <c:v>68.74633287698056</c:v>
                </c:pt>
                <c:pt idx="1184">
                  <c:v>68.785448855857936</c:v>
                </c:pt>
                <c:pt idx="1185">
                  <c:v>68.805006845296617</c:v>
                </c:pt>
                <c:pt idx="1186">
                  <c:v>68.824564834735298</c:v>
                </c:pt>
                <c:pt idx="1187">
                  <c:v>68.844122824173979</c:v>
                </c:pt>
                <c:pt idx="1188">
                  <c:v>68.883238803051356</c:v>
                </c:pt>
                <c:pt idx="1189">
                  <c:v>68.902796792490037</c:v>
                </c:pt>
                <c:pt idx="1190">
                  <c:v>68.941912771367413</c:v>
                </c:pt>
                <c:pt idx="1191">
                  <c:v>68.961470760806094</c:v>
                </c:pt>
                <c:pt idx="1192">
                  <c:v>68.981028750244775</c:v>
                </c:pt>
                <c:pt idx="1193">
                  <c:v>69.000586739683456</c:v>
                </c:pt>
                <c:pt idx="1194">
                  <c:v>69.020144729122137</c:v>
                </c:pt>
                <c:pt idx="1195">
                  <c:v>69.098376686876875</c:v>
                </c:pt>
                <c:pt idx="1196">
                  <c:v>69.157050655192933</c:v>
                </c:pt>
                <c:pt idx="1197">
                  <c:v>69.176608644631614</c:v>
                </c:pt>
                <c:pt idx="1198">
                  <c:v>69.21572462350899</c:v>
                </c:pt>
                <c:pt idx="1199">
                  <c:v>69.235282612947671</c:v>
                </c:pt>
                <c:pt idx="1200">
                  <c:v>69.254840602386352</c:v>
                </c:pt>
                <c:pt idx="1201">
                  <c:v>69.274398591825033</c:v>
                </c:pt>
                <c:pt idx="1202">
                  <c:v>69.293956581263714</c:v>
                </c:pt>
                <c:pt idx="1203">
                  <c:v>69.313514570702395</c:v>
                </c:pt>
                <c:pt idx="1204">
                  <c:v>69.372188539018453</c:v>
                </c:pt>
                <c:pt idx="1205">
                  <c:v>69.411304517895829</c:v>
                </c:pt>
                <c:pt idx="1206">
                  <c:v>69.43086250733451</c:v>
                </c:pt>
                <c:pt idx="1207">
                  <c:v>69.450420496773191</c:v>
                </c:pt>
                <c:pt idx="1208">
                  <c:v>69.528652454527929</c:v>
                </c:pt>
                <c:pt idx="1209">
                  <c:v>69.567768433405305</c:v>
                </c:pt>
                <c:pt idx="1210">
                  <c:v>69.646000391160044</c:v>
                </c:pt>
                <c:pt idx="1211">
                  <c:v>69.68511637003742</c:v>
                </c:pt>
                <c:pt idx="1212">
                  <c:v>69.724232348914796</c:v>
                </c:pt>
                <c:pt idx="1213">
                  <c:v>69.743790338353477</c:v>
                </c:pt>
                <c:pt idx="1214">
                  <c:v>69.763348327792158</c:v>
                </c:pt>
                <c:pt idx="1215">
                  <c:v>69.822022296108216</c:v>
                </c:pt>
                <c:pt idx="1216">
                  <c:v>69.900254253862954</c:v>
                </c:pt>
                <c:pt idx="1217">
                  <c:v>69.919812243301635</c:v>
                </c:pt>
                <c:pt idx="1218">
                  <c:v>69.958928222179011</c:v>
                </c:pt>
                <c:pt idx="1219">
                  <c:v>70.017602190495069</c:v>
                </c:pt>
                <c:pt idx="1220">
                  <c:v>70.056718169372445</c:v>
                </c:pt>
                <c:pt idx="1221">
                  <c:v>70.095834148249821</c:v>
                </c:pt>
                <c:pt idx="1222">
                  <c:v>70.115392137688502</c:v>
                </c:pt>
                <c:pt idx="1223">
                  <c:v>70.134950127127183</c:v>
                </c:pt>
                <c:pt idx="1224">
                  <c:v>70.17406610600456</c:v>
                </c:pt>
                <c:pt idx="1225">
                  <c:v>70.193624095443241</c:v>
                </c:pt>
                <c:pt idx="1226">
                  <c:v>70.232740074320617</c:v>
                </c:pt>
                <c:pt idx="1227">
                  <c:v>70.252298063759298</c:v>
                </c:pt>
                <c:pt idx="1228">
                  <c:v>70.291414042636674</c:v>
                </c:pt>
                <c:pt idx="1229">
                  <c:v>70.330530021514051</c:v>
                </c:pt>
                <c:pt idx="1230">
                  <c:v>70.350088010952732</c:v>
                </c:pt>
                <c:pt idx="1231">
                  <c:v>70.42831996870747</c:v>
                </c:pt>
                <c:pt idx="1232">
                  <c:v>70.447877958146151</c:v>
                </c:pt>
                <c:pt idx="1233">
                  <c:v>70.467435947584832</c:v>
                </c:pt>
                <c:pt idx="1234">
                  <c:v>70.486993937023513</c:v>
                </c:pt>
                <c:pt idx="1235">
                  <c:v>70.526109915900889</c:v>
                </c:pt>
                <c:pt idx="1236">
                  <c:v>70.54566790533957</c:v>
                </c:pt>
                <c:pt idx="1237">
                  <c:v>70.565225894778251</c:v>
                </c:pt>
                <c:pt idx="1238">
                  <c:v>70.584783884216932</c:v>
                </c:pt>
                <c:pt idx="1239">
                  <c:v>70.604341873655613</c:v>
                </c:pt>
                <c:pt idx="1240">
                  <c:v>70.623899863094294</c:v>
                </c:pt>
                <c:pt idx="1241">
                  <c:v>70.682573831410352</c:v>
                </c:pt>
                <c:pt idx="1242">
                  <c:v>70.741247799726409</c:v>
                </c:pt>
                <c:pt idx="1243">
                  <c:v>70.780363778603785</c:v>
                </c:pt>
                <c:pt idx="1244">
                  <c:v>70.819479757481162</c:v>
                </c:pt>
                <c:pt idx="1245">
                  <c:v>70.8977117152359</c:v>
                </c:pt>
                <c:pt idx="1246">
                  <c:v>70.917269704674581</c:v>
                </c:pt>
                <c:pt idx="1247">
                  <c:v>70.975943672990638</c:v>
                </c:pt>
                <c:pt idx="1248">
                  <c:v>70.995501662429319</c:v>
                </c:pt>
                <c:pt idx="1249">
                  <c:v>71.015059651868</c:v>
                </c:pt>
                <c:pt idx="1250">
                  <c:v>71.034617641306681</c:v>
                </c:pt>
                <c:pt idx="1251">
                  <c:v>71.073733620184058</c:v>
                </c:pt>
                <c:pt idx="1252">
                  <c:v>71.112849599061434</c:v>
                </c:pt>
                <c:pt idx="1253">
                  <c:v>71.15196557793881</c:v>
                </c:pt>
                <c:pt idx="1254">
                  <c:v>71.210639546254868</c:v>
                </c:pt>
                <c:pt idx="1255">
                  <c:v>71.249755525132244</c:v>
                </c:pt>
                <c:pt idx="1256">
                  <c:v>71.308429493448301</c:v>
                </c:pt>
                <c:pt idx="1257">
                  <c:v>71.327987482886982</c:v>
                </c:pt>
                <c:pt idx="1258">
                  <c:v>71.347545472325663</c:v>
                </c:pt>
                <c:pt idx="1259">
                  <c:v>71.406219440641721</c:v>
                </c:pt>
                <c:pt idx="1260">
                  <c:v>71.425777430080402</c:v>
                </c:pt>
                <c:pt idx="1261">
                  <c:v>71.464893408957778</c:v>
                </c:pt>
                <c:pt idx="1262">
                  <c:v>71.484451398396459</c:v>
                </c:pt>
                <c:pt idx="1263">
                  <c:v>71.50400938783514</c:v>
                </c:pt>
                <c:pt idx="1264">
                  <c:v>71.543125366712516</c:v>
                </c:pt>
                <c:pt idx="1265">
                  <c:v>71.621357324467255</c:v>
                </c:pt>
                <c:pt idx="1266">
                  <c:v>71.640915313905936</c:v>
                </c:pt>
                <c:pt idx="1267">
                  <c:v>71.699589282221993</c:v>
                </c:pt>
                <c:pt idx="1268">
                  <c:v>71.75826325053805</c:v>
                </c:pt>
                <c:pt idx="1269">
                  <c:v>71.797379229415426</c:v>
                </c:pt>
                <c:pt idx="1270">
                  <c:v>71.836495208292803</c:v>
                </c:pt>
                <c:pt idx="1271">
                  <c:v>71.914727166047541</c:v>
                </c:pt>
                <c:pt idx="1272">
                  <c:v>71.934285155486222</c:v>
                </c:pt>
                <c:pt idx="1273">
                  <c:v>71.992959123802279</c:v>
                </c:pt>
                <c:pt idx="1274">
                  <c:v>72.01251711324096</c:v>
                </c:pt>
                <c:pt idx="1275">
                  <c:v>72.051633092118337</c:v>
                </c:pt>
                <c:pt idx="1276">
                  <c:v>72.071191081557018</c:v>
                </c:pt>
                <c:pt idx="1277">
                  <c:v>72.090749070995699</c:v>
                </c:pt>
                <c:pt idx="1278">
                  <c:v>72.11030706043438</c:v>
                </c:pt>
                <c:pt idx="1279">
                  <c:v>72.188539018189118</c:v>
                </c:pt>
                <c:pt idx="1280">
                  <c:v>72.227654997066495</c:v>
                </c:pt>
                <c:pt idx="1281">
                  <c:v>72.266770975943871</c:v>
                </c:pt>
                <c:pt idx="1282">
                  <c:v>72.305886954821247</c:v>
                </c:pt>
                <c:pt idx="1283">
                  <c:v>72.325444944259928</c:v>
                </c:pt>
                <c:pt idx="1284">
                  <c:v>72.403676902014666</c:v>
                </c:pt>
                <c:pt idx="1285">
                  <c:v>72.481908859769405</c:v>
                </c:pt>
                <c:pt idx="1286">
                  <c:v>72.501466849208086</c:v>
                </c:pt>
                <c:pt idx="1287">
                  <c:v>72.521024838646767</c:v>
                </c:pt>
                <c:pt idx="1288">
                  <c:v>72.579698806962824</c:v>
                </c:pt>
                <c:pt idx="1289">
                  <c:v>72.638372775278881</c:v>
                </c:pt>
                <c:pt idx="1290">
                  <c:v>72.657930764717563</c:v>
                </c:pt>
                <c:pt idx="1291">
                  <c:v>72.677488754156244</c:v>
                </c:pt>
                <c:pt idx="1292">
                  <c:v>72.794836690788358</c:v>
                </c:pt>
                <c:pt idx="1293">
                  <c:v>72.873068648543097</c:v>
                </c:pt>
                <c:pt idx="1294">
                  <c:v>72.892626637981778</c:v>
                </c:pt>
                <c:pt idx="1295">
                  <c:v>72.931742616859154</c:v>
                </c:pt>
                <c:pt idx="1296">
                  <c:v>72.990416585175211</c:v>
                </c:pt>
                <c:pt idx="1297">
                  <c:v>73.029532564052587</c:v>
                </c:pt>
                <c:pt idx="1298">
                  <c:v>73.068648542929964</c:v>
                </c:pt>
                <c:pt idx="1299">
                  <c:v>73.10776452180734</c:v>
                </c:pt>
                <c:pt idx="1300">
                  <c:v>73.127322511246021</c:v>
                </c:pt>
                <c:pt idx="1301">
                  <c:v>73.166438490123397</c:v>
                </c:pt>
                <c:pt idx="1302">
                  <c:v>73.205554469000774</c:v>
                </c:pt>
                <c:pt idx="1303">
                  <c:v>73.225112458439455</c:v>
                </c:pt>
                <c:pt idx="1304">
                  <c:v>73.303344416194193</c:v>
                </c:pt>
                <c:pt idx="1305">
                  <c:v>73.322902405632874</c:v>
                </c:pt>
                <c:pt idx="1306">
                  <c:v>73.401134363387612</c:v>
                </c:pt>
                <c:pt idx="1307">
                  <c:v>73.440250342264989</c:v>
                </c:pt>
                <c:pt idx="1308">
                  <c:v>73.45980833170367</c:v>
                </c:pt>
                <c:pt idx="1309">
                  <c:v>73.479366321142351</c:v>
                </c:pt>
                <c:pt idx="1310">
                  <c:v>73.518482300019727</c:v>
                </c:pt>
                <c:pt idx="1311">
                  <c:v>73.538040289458408</c:v>
                </c:pt>
                <c:pt idx="1312">
                  <c:v>73.557598278897089</c:v>
                </c:pt>
                <c:pt idx="1313">
                  <c:v>73.57715626833577</c:v>
                </c:pt>
                <c:pt idx="1314">
                  <c:v>73.635830236651827</c:v>
                </c:pt>
                <c:pt idx="1315">
                  <c:v>73.674946215529204</c:v>
                </c:pt>
                <c:pt idx="1316">
                  <c:v>73.733620183845261</c:v>
                </c:pt>
                <c:pt idx="1317">
                  <c:v>73.811852141599999</c:v>
                </c:pt>
                <c:pt idx="1318">
                  <c:v>73.83141013103868</c:v>
                </c:pt>
                <c:pt idx="1319">
                  <c:v>73.929200078232114</c:v>
                </c:pt>
                <c:pt idx="1320">
                  <c:v>73.948758067670795</c:v>
                </c:pt>
                <c:pt idx="1321">
                  <c:v>73.987874046548171</c:v>
                </c:pt>
                <c:pt idx="1322">
                  <c:v>74.06610600430291</c:v>
                </c:pt>
                <c:pt idx="1323">
                  <c:v>74.105221983180286</c:v>
                </c:pt>
                <c:pt idx="1324">
                  <c:v>74.163895951496343</c:v>
                </c:pt>
                <c:pt idx="1325">
                  <c:v>74.203011930373719</c:v>
                </c:pt>
                <c:pt idx="1326">
                  <c:v>74.242127909251096</c:v>
                </c:pt>
                <c:pt idx="1327">
                  <c:v>74.300801877567153</c:v>
                </c:pt>
                <c:pt idx="1328">
                  <c:v>74.320359867005834</c:v>
                </c:pt>
                <c:pt idx="1329">
                  <c:v>74.35947584588321</c:v>
                </c:pt>
                <c:pt idx="1330">
                  <c:v>74.379033835321891</c:v>
                </c:pt>
                <c:pt idx="1331">
                  <c:v>74.418149814199268</c:v>
                </c:pt>
                <c:pt idx="1332">
                  <c:v>74.457265793076644</c:v>
                </c:pt>
                <c:pt idx="1333">
                  <c:v>74.476823782515325</c:v>
                </c:pt>
                <c:pt idx="1334">
                  <c:v>74.496381771954006</c:v>
                </c:pt>
                <c:pt idx="1335">
                  <c:v>74.515939761392687</c:v>
                </c:pt>
                <c:pt idx="1336">
                  <c:v>74.535497750831368</c:v>
                </c:pt>
                <c:pt idx="1337">
                  <c:v>74.555055740270049</c:v>
                </c:pt>
                <c:pt idx="1338">
                  <c:v>74.57461372970873</c:v>
                </c:pt>
                <c:pt idx="1339">
                  <c:v>74.594171719147411</c:v>
                </c:pt>
                <c:pt idx="1340">
                  <c:v>74.613729708586092</c:v>
                </c:pt>
                <c:pt idx="1341">
                  <c:v>74.633287698024773</c:v>
                </c:pt>
                <c:pt idx="1342">
                  <c:v>74.652845687463454</c:v>
                </c:pt>
                <c:pt idx="1343">
                  <c:v>74.691961666340831</c:v>
                </c:pt>
                <c:pt idx="1344">
                  <c:v>74.711519655779512</c:v>
                </c:pt>
                <c:pt idx="1345">
                  <c:v>74.731077645218193</c:v>
                </c:pt>
                <c:pt idx="1346">
                  <c:v>74.750635634656874</c:v>
                </c:pt>
                <c:pt idx="1347">
                  <c:v>74.78975161353425</c:v>
                </c:pt>
                <c:pt idx="1348">
                  <c:v>74.809309602972931</c:v>
                </c:pt>
                <c:pt idx="1349">
                  <c:v>74.828867592411612</c:v>
                </c:pt>
                <c:pt idx="1350">
                  <c:v>74.848425581850293</c:v>
                </c:pt>
                <c:pt idx="1351">
                  <c:v>74.867983571288974</c:v>
                </c:pt>
                <c:pt idx="1352">
                  <c:v>74.887541560727655</c:v>
                </c:pt>
                <c:pt idx="1353">
                  <c:v>74.907099550166336</c:v>
                </c:pt>
                <c:pt idx="1354">
                  <c:v>74.926657539605017</c:v>
                </c:pt>
                <c:pt idx="1355">
                  <c:v>74.946215529043698</c:v>
                </c:pt>
                <c:pt idx="1356">
                  <c:v>74.965773518482379</c:v>
                </c:pt>
                <c:pt idx="1357">
                  <c:v>74.98533150792106</c:v>
                </c:pt>
                <c:pt idx="1358">
                  <c:v>75.004889497359741</c:v>
                </c:pt>
                <c:pt idx="1359">
                  <c:v>75.044005476237118</c:v>
                </c:pt>
                <c:pt idx="1360">
                  <c:v>75.063563465675799</c:v>
                </c:pt>
                <c:pt idx="1361">
                  <c:v>75.08312145511448</c:v>
                </c:pt>
                <c:pt idx="1362">
                  <c:v>75.102679444553161</c:v>
                </c:pt>
                <c:pt idx="1363">
                  <c:v>75.122237433991842</c:v>
                </c:pt>
                <c:pt idx="1364">
                  <c:v>75.141795423430523</c:v>
                </c:pt>
                <c:pt idx="1365">
                  <c:v>75.161353412869204</c:v>
                </c:pt>
                <c:pt idx="1366">
                  <c:v>75.180911402307885</c:v>
                </c:pt>
                <c:pt idx="1367">
                  <c:v>75.200469391746566</c:v>
                </c:pt>
                <c:pt idx="1368">
                  <c:v>75.239585370623942</c:v>
                </c:pt>
                <c:pt idx="1369">
                  <c:v>75.259143360062623</c:v>
                </c:pt>
                <c:pt idx="1370">
                  <c:v>75.278701349501304</c:v>
                </c:pt>
                <c:pt idx="1371">
                  <c:v>75.298259338939985</c:v>
                </c:pt>
                <c:pt idx="1372">
                  <c:v>75.317817328378666</c:v>
                </c:pt>
                <c:pt idx="1373">
                  <c:v>75.337375317817347</c:v>
                </c:pt>
                <c:pt idx="1374">
                  <c:v>75.376491296694724</c:v>
                </c:pt>
                <c:pt idx="1375">
                  <c:v>75.396049286133405</c:v>
                </c:pt>
                <c:pt idx="1376">
                  <c:v>75.415607275572086</c:v>
                </c:pt>
                <c:pt idx="1377">
                  <c:v>75.435165265010767</c:v>
                </c:pt>
                <c:pt idx="1378">
                  <c:v>75.454723254449448</c:v>
                </c:pt>
                <c:pt idx="1379">
                  <c:v>75.474281243888129</c:v>
                </c:pt>
                <c:pt idx="1380">
                  <c:v>75.49383923332681</c:v>
                </c:pt>
                <c:pt idx="1381">
                  <c:v>75.532955212204186</c:v>
                </c:pt>
                <c:pt idx="1382">
                  <c:v>75.552513201642867</c:v>
                </c:pt>
                <c:pt idx="1383">
                  <c:v>75.572071191081548</c:v>
                </c:pt>
                <c:pt idx="1384">
                  <c:v>75.591629180520229</c:v>
                </c:pt>
                <c:pt idx="1385">
                  <c:v>75.61118716995891</c:v>
                </c:pt>
                <c:pt idx="1386">
                  <c:v>75.630745159397591</c:v>
                </c:pt>
                <c:pt idx="1387">
                  <c:v>75.650303148836272</c:v>
                </c:pt>
                <c:pt idx="1388">
                  <c:v>75.689419127713649</c:v>
                </c:pt>
                <c:pt idx="1389">
                  <c:v>75.728535106591025</c:v>
                </c:pt>
                <c:pt idx="1390">
                  <c:v>75.767651085468401</c:v>
                </c:pt>
                <c:pt idx="1391">
                  <c:v>75.787209074907082</c:v>
                </c:pt>
                <c:pt idx="1392">
                  <c:v>75.806767064345763</c:v>
                </c:pt>
                <c:pt idx="1393">
                  <c:v>75.826325053784444</c:v>
                </c:pt>
                <c:pt idx="1394">
                  <c:v>75.86544103266182</c:v>
                </c:pt>
                <c:pt idx="1395">
                  <c:v>75.884999022100502</c:v>
                </c:pt>
                <c:pt idx="1396">
                  <c:v>75.924115000977878</c:v>
                </c:pt>
                <c:pt idx="1397">
                  <c:v>75.943672990416559</c:v>
                </c:pt>
                <c:pt idx="1398">
                  <c:v>75.982788969293935</c:v>
                </c:pt>
                <c:pt idx="1399">
                  <c:v>76.002346958732616</c:v>
                </c:pt>
                <c:pt idx="1400">
                  <c:v>76.021904948171297</c:v>
                </c:pt>
                <c:pt idx="1401">
                  <c:v>76.041462937609978</c:v>
                </c:pt>
                <c:pt idx="1402">
                  <c:v>76.061020927048659</c:v>
                </c:pt>
                <c:pt idx="1403">
                  <c:v>76.08057891648734</c:v>
                </c:pt>
                <c:pt idx="1404">
                  <c:v>76.139252884803398</c:v>
                </c:pt>
                <c:pt idx="1405">
                  <c:v>76.158810874242079</c:v>
                </c:pt>
                <c:pt idx="1406">
                  <c:v>76.197926853119455</c:v>
                </c:pt>
                <c:pt idx="1407">
                  <c:v>76.217484842558136</c:v>
                </c:pt>
                <c:pt idx="1408">
                  <c:v>76.237042831996817</c:v>
                </c:pt>
                <c:pt idx="1409">
                  <c:v>76.256600821435498</c:v>
                </c:pt>
                <c:pt idx="1410">
                  <c:v>76.276158810874179</c:v>
                </c:pt>
                <c:pt idx="1411">
                  <c:v>76.29571680031286</c:v>
                </c:pt>
                <c:pt idx="1412">
                  <c:v>76.334832779190236</c:v>
                </c:pt>
                <c:pt idx="1413">
                  <c:v>76.354390768628917</c:v>
                </c:pt>
                <c:pt idx="1414">
                  <c:v>76.373948758067598</c:v>
                </c:pt>
                <c:pt idx="1415">
                  <c:v>76.393506747506279</c:v>
                </c:pt>
                <c:pt idx="1416">
                  <c:v>76.41306473694496</c:v>
                </c:pt>
                <c:pt idx="1417">
                  <c:v>76.432622726383642</c:v>
                </c:pt>
                <c:pt idx="1418">
                  <c:v>76.452180715822323</c:v>
                </c:pt>
                <c:pt idx="1419">
                  <c:v>76.491296694699699</c:v>
                </c:pt>
                <c:pt idx="1420">
                  <c:v>76.51085468413838</c:v>
                </c:pt>
                <c:pt idx="1421">
                  <c:v>76.549970663015756</c:v>
                </c:pt>
                <c:pt idx="1422">
                  <c:v>76.569528652454437</c:v>
                </c:pt>
                <c:pt idx="1423">
                  <c:v>76.589086641893118</c:v>
                </c:pt>
                <c:pt idx="1424">
                  <c:v>76.608644631331799</c:v>
                </c:pt>
                <c:pt idx="1425">
                  <c:v>76.62820262077048</c:v>
                </c:pt>
                <c:pt idx="1426">
                  <c:v>76.647760610209161</c:v>
                </c:pt>
                <c:pt idx="1427">
                  <c:v>76.667318599647842</c:v>
                </c:pt>
                <c:pt idx="1428">
                  <c:v>76.686876589086523</c:v>
                </c:pt>
                <c:pt idx="1429">
                  <c:v>76.7259925679639</c:v>
                </c:pt>
                <c:pt idx="1430">
                  <c:v>76.745550557402581</c:v>
                </c:pt>
                <c:pt idx="1431">
                  <c:v>76.765108546841262</c:v>
                </c:pt>
                <c:pt idx="1432">
                  <c:v>76.804224525718638</c:v>
                </c:pt>
                <c:pt idx="1433">
                  <c:v>76.843340504596014</c:v>
                </c:pt>
                <c:pt idx="1434">
                  <c:v>76.862898494034695</c:v>
                </c:pt>
                <c:pt idx="1435">
                  <c:v>76.921572462350753</c:v>
                </c:pt>
                <c:pt idx="1436">
                  <c:v>76.960688441228129</c:v>
                </c:pt>
                <c:pt idx="1437">
                  <c:v>76.999804420105505</c:v>
                </c:pt>
                <c:pt idx="1438">
                  <c:v>77.019362409544186</c:v>
                </c:pt>
                <c:pt idx="1439">
                  <c:v>77.038920398982867</c:v>
                </c:pt>
                <c:pt idx="1440">
                  <c:v>77.097594367298925</c:v>
                </c:pt>
                <c:pt idx="1441">
                  <c:v>77.117152356737606</c:v>
                </c:pt>
                <c:pt idx="1442">
                  <c:v>77.156268335614982</c:v>
                </c:pt>
                <c:pt idx="1443">
                  <c:v>77.195384314492358</c:v>
                </c:pt>
                <c:pt idx="1444">
                  <c:v>77.234500293369734</c:v>
                </c:pt>
                <c:pt idx="1445">
                  <c:v>77.254058282808415</c:v>
                </c:pt>
                <c:pt idx="1446">
                  <c:v>77.273616272247097</c:v>
                </c:pt>
                <c:pt idx="1447">
                  <c:v>77.312732251124473</c:v>
                </c:pt>
                <c:pt idx="1448">
                  <c:v>77.332290240563154</c:v>
                </c:pt>
                <c:pt idx="1449">
                  <c:v>77.390964208879211</c:v>
                </c:pt>
                <c:pt idx="1450">
                  <c:v>77.410522198317892</c:v>
                </c:pt>
                <c:pt idx="1451">
                  <c:v>77.449638177195268</c:v>
                </c:pt>
                <c:pt idx="1452">
                  <c:v>77.469196166633949</c:v>
                </c:pt>
                <c:pt idx="1453">
                  <c:v>77.488754156072631</c:v>
                </c:pt>
                <c:pt idx="1454">
                  <c:v>77.527870134950007</c:v>
                </c:pt>
                <c:pt idx="1455">
                  <c:v>77.62566008214344</c:v>
                </c:pt>
                <c:pt idx="1456">
                  <c:v>77.664776061020817</c:v>
                </c:pt>
                <c:pt idx="1457">
                  <c:v>77.684334050459498</c:v>
                </c:pt>
                <c:pt idx="1458">
                  <c:v>77.723450029336874</c:v>
                </c:pt>
                <c:pt idx="1459">
                  <c:v>77.840797965968989</c:v>
                </c:pt>
                <c:pt idx="1460">
                  <c:v>77.899471934285046</c:v>
                </c:pt>
                <c:pt idx="1461">
                  <c:v>77.977703892039784</c:v>
                </c:pt>
                <c:pt idx="1462">
                  <c:v>78.036377860355842</c:v>
                </c:pt>
                <c:pt idx="1463">
                  <c:v>78.055935849794523</c:v>
                </c:pt>
                <c:pt idx="1464">
                  <c:v>78.075493839233204</c:v>
                </c:pt>
                <c:pt idx="1465">
                  <c:v>78.153725796987942</c:v>
                </c:pt>
                <c:pt idx="1466">
                  <c:v>78.192841775865318</c:v>
                </c:pt>
                <c:pt idx="1467">
                  <c:v>78.251515744181376</c:v>
                </c:pt>
                <c:pt idx="1468">
                  <c:v>78.271073733620057</c:v>
                </c:pt>
                <c:pt idx="1469">
                  <c:v>78.310189712497433</c:v>
                </c:pt>
                <c:pt idx="1470">
                  <c:v>78.36886368081349</c:v>
                </c:pt>
                <c:pt idx="1471">
                  <c:v>78.388421670252171</c:v>
                </c:pt>
                <c:pt idx="1472">
                  <c:v>78.407979659690852</c:v>
                </c:pt>
                <c:pt idx="1473">
                  <c:v>78.46665362800691</c:v>
                </c:pt>
                <c:pt idx="1474">
                  <c:v>78.525327596322967</c:v>
                </c:pt>
                <c:pt idx="1475">
                  <c:v>78.544885585761648</c:v>
                </c:pt>
                <c:pt idx="1476">
                  <c:v>78.623117543516386</c:v>
                </c:pt>
                <c:pt idx="1477">
                  <c:v>78.681791511832444</c:v>
                </c:pt>
                <c:pt idx="1478">
                  <c:v>78.72090749070982</c:v>
                </c:pt>
                <c:pt idx="1479">
                  <c:v>78.740465480148501</c:v>
                </c:pt>
                <c:pt idx="1480">
                  <c:v>78.799139448464558</c:v>
                </c:pt>
                <c:pt idx="1481">
                  <c:v>78.838255427341934</c:v>
                </c:pt>
                <c:pt idx="1482">
                  <c:v>78.877371406219311</c:v>
                </c:pt>
                <c:pt idx="1483">
                  <c:v>78.955603363974049</c:v>
                </c:pt>
                <c:pt idx="1484">
                  <c:v>78.97516135341273</c:v>
                </c:pt>
                <c:pt idx="1485">
                  <c:v>78.994719342851411</c:v>
                </c:pt>
                <c:pt idx="1486">
                  <c:v>79.053393311167468</c:v>
                </c:pt>
                <c:pt idx="1487">
                  <c:v>79.07295130060615</c:v>
                </c:pt>
                <c:pt idx="1488">
                  <c:v>79.112067279483526</c:v>
                </c:pt>
                <c:pt idx="1489">
                  <c:v>79.151183258360902</c:v>
                </c:pt>
                <c:pt idx="1490">
                  <c:v>79.190299237238278</c:v>
                </c:pt>
                <c:pt idx="1491">
                  <c:v>79.248973205554336</c:v>
                </c:pt>
                <c:pt idx="1492">
                  <c:v>79.288089184431712</c:v>
                </c:pt>
                <c:pt idx="1493">
                  <c:v>79.346763152747769</c:v>
                </c:pt>
                <c:pt idx="1494">
                  <c:v>79.385879131625146</c:v>
                </c:pt>
                <c:pt idx="1495">
                  <c:v>79.424995110502522</c:v>
                </c:pt>
                <c:pt idx="1496">
                  <c:v>79.444553099941203</c:v>
                </c:pt>
                <c:pt idx="1497">
                  <c:v>79.464111089379884</c:v>
                </c:pt>
                <c:pt idx="1498">
                  <c:v>79.542343047134622</c:v>
                </c:pt>
                <c:pt idx="1499">
                  <c:v>79.659690983766737</c:v>
                </c:pt>
                <c:pt idx="1500">
                  <c:v>79.777038920398851</c:v>
                </c:pt>
                <c:pt idx="1501">
                  <c:v>79.796596909837533</c:v>
                </c:pt>
                <c:pt idx="1502">
                  <c:v>79.835712888714909</c:v>
                </c:pt>
                <c:pt idx="1503">
                  <c:v>79.85527087815359</c:v>
                </c:pt>
                <c:pt idx="1504">
                  <c:v>79.913944846469647</c:v>
                </c:pt>
                <c:pt idx="1505">
                  <c:v>80.011734793663081</c:v>
                </c:pt>
                <c:pt idx="1506">
                  <c:v>80.050850772540457</c:v>
                </c:pt>
                <c:pt idx="1507">
                  <c:v>80.070408761979138</c:v>
                </c:pt>
                <c:pt idx="1508">
                  <c:v>80.168198709172572</c:v>
                </c:pt>
                <c:pt idx="1509">
                  <c:v>80.207314688049948</c:v>
                </c:pt>
                <c:pt idx="1510">
                  <c:v>80.324662624682063</c:v>
                </c:pt>
                <c:pt idx="1511">
                  <c:v>80.38333659299812</c:v>
                </c:pt>
                <c:pt idx="1512">
                  <c:v>80.442010561314177</c:v>
                </c:pt>
                <c:pt idx="1513">
                  <c:v>80.481126540191553</c:v>
                </c:pt>
                <c:pt idx="1514">
                  <c:v>80.578916487384987</c:v>
                </c:pt>
                <c:pt idx="1515">
                  <c:v>80.637590455701044</c:v>
                </c:pt>
                <c:pt idx="1516">
                  <c:v>80.696264424017102</c:v>
                </c:pt>
                <c:pt idx="1517">
                  <c:v>80.754938392333159</c:v>
                </c:pt>
                <c:pt idx="1518">
                  <c:v>80.794054371210535</c:v>
                </c:pt>
                <c:pt idx="1519">
                  <c:v>80.852728339526593</c:v>
                </c:pt>
                <c:pt idx="1520">
                  <c:v>80.930960297281331</c:v>
                </c:pt>
                <c:pt idx="1521">
                  <c:v>81.028750244474764</c:v>
                </c:pt>
                <c:pt idx="1522">
                  <c:v>81.067866223352141</c:v>
                </c:pt>
                <c:pt idx="1523">
                  <c:v>81.106982202229517</c:v>
                </c:pt>
                <c:pt idx="1524">
                  <c:v>81.146098181106893</c:v>
                </c:pt>
                <c:pt idx="1525">
                  <c:v>81.165656170545574</c:v>
                </c:pt>
                <c:pt idx="1526">
                  <c:v>81.224330138861632</c:v>
                </c:pt>
                <c:pt idx="1527">
                  <c:v>81.243888128300313</c:v>
                </c:pt>
                <c:pt idx="1528">
                  <c:v>81.361236064932427</c:v>
                </c:pt>
                <c:pt idx="1529">
                  <c:v>81.439468022687166</c:v>
                </c:pt>
                <c:pt idx="1530">
                  <c:v>81.517699980441904</c:v>
                </c:pt>
                <c:pt idx="1531">
                  <c:v>81.635047917074019</c:v>
                </c:pt>
                <c:pt idx="1532">
                  <c:v>81.693721885390076</c:v>
                </c:pt>
                <c:pt idx="1533">
                  <c:v>81.811069822022191</c:v>
                </c:pt>
                <c:pt idx="1534">
                  <c:v>81.869743790338248</c:v>
                </c:pt>
                <c:pt idx="1535">
                  <c:v>81.967533737531681</c:v>
                </c:pt>
                <c:pt idx="1536">
                  <c:v>82.026207705847739</c:v>
                </c:pt>
                <c:pt idx="1537">
                  <c:v>82.065323684725115</c:v>
                </c:pt>
                <c:pt idx="1538">
                  <c:v>82.123997653041172</c:v>
                </c:pt>
                <c:pt idx="1539">
                  <c:v>82.202229610795911</c:v>
                </c:pt>
                <c:pt idx="1540">
                  <c:v>82.241345589673287</c:v>
                </c:pt>
                <c:pt idx="1541">
                  <c:v>82.378251515744083</c:v>
                </c:pt>
                <c:pt idx="1542">
                  <c:v>82.43692548406014</c:v>
                </c:pt>
                <c:pt idx="1543">
                  <c:v>82.515157441814878</c:v>
                </c:pt>
                <c:pt idx="1544">
                  <c:v>82.632505378446993</c:v>
                </c:pt>
                <c:pt idx="1545">
                  <c:v>82.730295325640427</c:v>
                </c:pt>
                <c:pt idx="1546">
                  <c:v>82.82808527283386</c:v>
                </c:pt>
                <c:pt idx="1547">
                  <c:v>82.886759241149917</c:v>
                </c:pt>
                <c:pt idx="1548">
                  <c:v>83.004107177782032</c:v>
                </c:pt>
                <c:pt idx="1549">
                  <c:v>83.08233913553677</c:v>
                </c:pt>
                <c:pt idx="1550">
                  <c:v>83.238803051046261</c:v>
                </c:pt>
                <c:pt idx="1551">
                  <c:v>83.356150987678376</c:v>
                </c:pt>
                <c:pt idx="1552">
                  <c:v>83.45394093487181</c:v>
                </c:pt>
                <c:pt idx="1553">
                  <c:v>83.590846860942605</c:v>
                </c:pt>
                <c:pt idx="1554">
                  <c:v>83.747310776452096</c:v>
                </c:pt>
                <c:pt idx="1555">
                  <c:v>83.962448660277644</c:v>
                </c:pt>
                <c:pt idx="1556">
                  <c:v>84.197144533541874</c:v>
                </c:pt>
                <c:pt idx="1557">
                  <c:v>84.314492470173988</c:v>
                </c:pt>
                <c:pt idx="1558">
                  <c:v>84.412282417367422</c:v>
                </c:pt>
                <c:pt idx="1559">
                  <c:v>84.62742030119297</c:v>
                </c:pt>
                <c:pt idx="1560">
                  <c:v>84.764326227263766</c:v>
                </c:pt>
                <c:pt idx="1561">
                  <c:v>84.940348132211938</c:v>
                </c:pt>
                <c:pt idx="1562">
                  <c:v>85.194601994914848</c:v>
                </c:pt>
                <c:pt idx="1563">
                  <c:v>85.468413847056453</c:v>
                </c:pt>
                <c:pt idx="1564">
                  <c:v>85.742225699198059</c:v>
                </c:pt>
                <c:pt idx="1565">
                  <c:v>85.957363583023607</c:v>
                </c:pt>
                <c:pt idx="1566">
                  <c:v>86.309407392919951</c:v>
                </c:pt>
                <c:pt idx="1567">
                  <c:v>86.641893213377614</c:v>
                </c:pt>
                <c:pt idx="1568">
                  <c:v>86.817915118325786</c:v>
                </c:pt>
                <c:pt idx="1569">
                  <c:v>86.9352630549579</c:v>
                </c:pt>
                <c:pt idx="1570">
                  <c:v>86.954821044396581</c:v>
                </c:pt>
                <c:pt idx="1571">
                  <c:v>86.974379033835262</c:v>
                </c:pt>
                <c:pt idx="1572">
                  <c:v>86.993937023273944</c:v>
                </c:pt>
                <c:pt idx="1573">
                  <c:v>87.013495012712625</c:v>
                </c:pt>
                <c:pt idx="1574">
                  <c:v>87.052610991590001</c:v>
                </c:pt>
                <c:pt idx="1575">
                  <c:v>87.091726970467377</c:v>
                </c:pt>
                <c:pt idx="1576">
                  <c:v>87.150400938783434</c:v>
                </c:pt>
                <c:pt idx="1577">
                  <c:v>87.209074907099492</c:v>
                </c:pt>
                <c:pt idx="1578">
                  <c:v>87.228632896538173</c:v>
                </c:pt>
                <c:pt idx="1579">
                  <c:v>87.248190885976854</c:v>
                </c:pt>
                <c:pt idx="1580">
                  <c:v>87.28730686485423</c:v>
                </c:pt>
                <c:pt idx="1581">
                  <c:v>87.306864854292911</c:v>
                </c:pt>
                <c:pt idx="1582">
                  <c:v>87.345980833170287</c:v>
                </c:pt>
                <c:pt idx="1583">
                  <c:v>87.385096812047664</c:v>
                </c:pt>
                <c:pt idx="1584">
                  <c:v>87.404654801486345</c:v>
                </c:pt>
                <c:pt idx="1585">
                  <c:v>87.443770780363721</c:v>
                </c:pt>
                <c:pt idx="1586">
                  <c:v>87.482886759241097</c:v>
                </c:pt>
                <c:pt idx="1587">
                  <c:v>87.502444748679778</c:v>
                </c:pt>
                <c:pt idx="1588">
                  <c:v>87.522002738118459</c:v>
                </c:pt>
                <c:pt idx="1589">
                  <c:v>87.561118716995836</c:v>
                </c:pt>
                <c:pt idx="1590">
                  <c:v>87.619792685311893</c:v>
                </c:pt>
                <c:pt idx="1591">
                  <c:v>87.67846665362795</c:v>
                </c:pt>
                <c:pt idx="1592">
                  <c:v>87.756698611382689</c:v>
                </c:pt>
                <c:pt idx="1593">
                  <c:v>87.77625660082137</c:v>
                </c:pt>
                <c:pt idx="1594">
                  <c:v>87.795814590260051</c:v>
                </c:pt>
                <c:pt idx="1595">
                  <c:v>87.815372579698732</c:v>
                </c:pt>
                <c:pt idx="1596">
                  <c:v>87.834930569137413</c:v>
                </c:pt>
                <c:pt idx="1597">
                  <c:v>87.874046548014789</c:v>
                </c:pt>
                <c:pt idx="1598">
                  <c:v>87.913162526892165</c:v>
                </c:pt>
                <c:pt idx="1599">
                  <c:v>87.932720516330846</c:v>
                </c:pt>
                <c:pt idx="1600">
                  <c:v>87.952278505769527</c:v>
                </c:pt>
                <c:pt idx="1601">
                  <c:v>87.991394484646904</c:v>
                </c:pt>
                <c:pt idx="1602">
                  <c:v>88.03051046352428</c:v>
                </c:pt>
                <c:pt idx="1603">
                  <c:v>88.128300410717713</c:v>
                </c:pt>
                <c:pt idx="1604">
                  <c:v>88.147858400156395</c:v>
                </c:pt>
                <c:pt idx="1605">
                  <c:v>88.167416389595076</c:v>
                </c:pt>
                <c:pt idx="1606">
                  <c:v>88.226090357911133</c:v>
                </c:pt>
                <c:pt idx="1607">
                  <c:v>88.265206336788509</c:v>
                </c:pt>
                <c:pt idx="1608">
                  <c:v>88.304322315665885</c:v>
                </c:pt>
                <c:pt idx="1609">
                  <c:v>88.323880305104566</c:v>
                </c:pt>
                <c:pt idx="1610">
                  <c:v>88.343438294543247</c:v>
                </c:pt>
                <c:pt idx="1611">
                  <c:v>88.362996283981929</c:v>
                </c:pt>
                <c:pt idx="1612">
                  <c:v>88.441228241736667</c:v>
                </c:pt>
                <c:pt idx="1613">
                  <c:v>88.480344220614043</c:v>
                </c:pt>
                <c:pt idx="1614">
                  <c:v>88.519460199491419</c:v>
                </c:pt>
                <c:pt idx="1615">
                  <c:v>88.558576178368796</c:v>
                </c:pt>
                <c:pt idx="1616">
                  <c:v>88.597692157246172</c:v>
                </c:pt>
                <c:pt idx="1617">
                  <c:v>88.636808136123548</c:v>
                </c:pt>
                <c:pt idx="1618">
                  <c:v>88.656366125562229</c:v>
                </c:pt>
                <c:pt idx="1619">
                  <c:v>88.67592411500091</c:v>
                </c:pt>
                <c:pt idx="1620">
                  <c:v>88.715040093878287</c:v>
                </c:pt>
                <c:pt idx="1621">
                  <c:v>88.734598083316968</c:v>
                </c:pt>
                <c:pt idx="1622">
                  <c:v>88.773714062194344</c:v>
                </c:pt>
                <c:pt idx="1623">
                  <c:v>88.793272051633025</c:v>
                </c:pt>
                <c:pt idx="1624">
                  <c:v>88.851946019949082</c:v>
                </c:pt>
                <c:pt idx="1625">
                  <c:v>88.891061998826459</c:v>
                </c:pt>
                <c:pt idx="1626">
                  <c:v>88.930177977703835</c:v>
                </c:pt>
                <c:pt idx="1627">
                  <c:v>88.969293956581211</c:v>
                </c:pt>
                <c:pt idx="1628">
                  <c:v>89.027967924897268</c:v>
                </c:pt>
                <c:pt idx="1629">
                  <c:v>89.067083903774645</c:v>
                </c:pt>
                <c:pt idx="1630">
                  <c:v>89.086641893213326</c:v>
                </c:pt>
                <c:pt idx="1631">
                  <c:v>89.145315861529383</c:v>
                </c:pt>
                <c:pt idx="1632">
                  <c:v>89.164873850968064</c:v>
                </c:pt>
                <c:pt idx="1633">
                  <c:v>89.184431840406745</c:v>
                </c:pt>
                <c:pt idx="1634">
                  <c:v>89.223547819284121</c:v>
                </c:pt>
                <c:pt idx="1635">
                  <c:v>89.243105808722802</c:v>
                </c:pt>
                <c:pt idx="1636">
                  <c:v>89.282221787600179</c:v>
                </c:pt>
                <c:pt idx="1637">
                  <c:v>89.360453745354917</c:v>
                </c:pt>
                <c:pt idx="1638">
                  <c:v>89.380011734793598</c:v>
                </c:pt>
                <c:pt idx="1639">
                  <c:v>89.419127713670974</c:v>
                </c:pt>
                <c:pt idx="1640">
                  <c:v>89.438685703109655</c:v>
                </c:pt>
                <c:pt idx="1641">
                  <c:v>89.497359671425713</c:v>
                </c:pt>
                <c:pt idx="1642">
                  <c:v>89.516917660864394</c:v>
                </c:pt>
                <c:pt idx="1643">
                  <c:v>89.536475650303075</c:v>
                </c:pt>
                <c:pt idx="1644">
                  <c:v>89.556033639741756</c:v>
                </c:pt>
                <c:pt idx="1645">
                  <c:v>89.67338157637387</c:v>
                </c:pt>
                <c:pt idx="1646">
                  <c:v>89.712497555251247</c:v>
                </c:pt>
                <c:pt idx="1647">
                  <c:v>89.732055544689928</c:v>
                </c:pt>
                <c:pt idx="1648">
                  <c:v>89.790729513005985</c:v>
                </c:pt>
                <c:pt idx="1649">
                  <c:v>89.810287502444666</c:v>
                </c:pt>
                <c:pt idx="1650">
                  <c:v>89.849403481322042</c:v>
                </c:pt>
                <c:pt idx="1651">
                  <c:v>89.868961470760723</c:v>
                </c:pt>
                <c:pt idx="1652">
                  <c:v>89.888519460199404</c:v>
                </c:pt>
                <c:pt idx="1653">
                  <c:v>89.908077449638085</c:v>
                </c:pt>
                <c:pt idx="1654">
                  <c:v>89.947193428515462</c:v>
                </c:pt>
                <c:pt idx="1655">
                  <c:v>89.986309407392838</c:v>
                </c:pt>
                <c:pt idx="1656">
                  <c:v>90.025425386270214</c:v>
                </c:pt>
                <c:pt idx="1657">
                  <c:v>90.064541365147591</c:v>
                </c:pt>
                <c:pt idx="1658">
                  <c:v>90.103657344024967</c:v>
                </c:pt>
                <c:pt idx="1659">
                  <c:v>90.123215333463648</c:v>
                </c:pt>
                <c:pt idx="1660">
                  <c:v>90.162331312341024</c:v>
                </c:pt>
                <c:pt idx="1661">
                  <c:v>90.181889301779705</c:v>
                </c:pt>
                <c:pt idx="1662">
                  <c:v>90.201447291218386</c:v>
                </c:pt>
                <c:pt idx="1663">
                  <c:v>90.221005280657067</c:v>
                </c:pt>
                <c:pt idx="1664">
                  <c:v>90.279679248973125</c:v>
                </c:pt>
                <c:pt idx="1665">
                  <c:v>90.338353217289182</c:v>
                </c:pt>
                <c:pt idx="1666">
                  <c:v>90.357911206727863</c:v>
                </c:pt>
                <c:pt idx="1667">
                  <c:v>90.377469196166544</c:v>
                </c:pt>
                <c:pt idx="1668">
                  <c:v>90.455701153921282</c:v>
                </c:pt>
                <c:pt idx="1669">
                  <c:v>90.51437512223734</c:v>
                </c:pt>
                <c:pt idx="1670">
                  <c:v>90.533933111676021</c:v>
                </c:pt>
                <c:pt idx="1671">
                  <c:v>90.573049090553397</c:v>
                </c:pt>
                <c:pt idx="1672">
                  <c:v>90.612165069430773</c:v>
                </c:pt>
                <c:pt idx="1673">
                  <c:v>90.631723058869454</c:v>
                </c:pt>
                <c:pt idx="1674">
                  <c:v>90.651281048308135</c:v>
                </c:pt>
                <c:pt idx="1675">
                  <c:v>90.670839037746816</c:v>
                </c:pt>
                <c:pt idx="1676">
                  <c:v>90.709955016624193</c:v>
                </c:pt>
                <c:pt idx="1677">
                  <c:v>90.807744963817626</c:v>
                </c:pt>
                <c:pt idx="1678">
                  <c:v>90.827302953256307</c:v>
                </c:pt>
                <c:pt idx="1679">
                  <c:v>90.846860942694988</c:v>
                </c:pt>
                <c:pt idx="1680">
                  <c:v>90.885976921572365</c:v>
                </c:pt>
                <c:pt idx="1681">
                  <c:v>90.964208879327103</c:v>
                </c:pt>
                <c:pt idx="1682">
                  <c:v>91.003324858204479</c:v>
                </c:pt>
                <c:pt idx="1683">
                  <c:v>91.081556815959217</c:v>
                </c:pt>
                <c:pt idx="1684">
                  <c:v>91.101114805397899</c:v>
                </c:pt>
                <c:pt idx="1685">
                  <c:v>91.140230784275275</c:v>
                </c:pt>
                <c:pt idx="1686">
                  <c:v>91.238020731468708</c:v>
                </c:pt>
                <c:pt idx="1687">
                  <c:v>91.277136710346085</c:v>
                </c:pt>
                <c:pt idx="1688">
                  <c:v>91.316252689223461</c:v>
                </c:pt>
                <c:pt idx="1689">
                  <c:v>91.355368668100837</c:v>
                </c:pt>
                <c:pt idx="1690">
                  <c:v>91.414042636416895</c:v>
                </c:pt>
                <c:pt idx="1691">
                  <c:v>91.453158615294271</c:v>
                </c:pt>
                <c:pt idx="1692">
                  <c:v>91.511832583610328</c:v>
                </c:pt>
                <c:pt idx="1693">
                  <c:v>91.550948562487704</c:v>
                </c:pt>
                <c:pt idx="1694">
                  <c:v>91.590064541365081</c:v>
                </c:pt>
                <c:pt idx="1695">
                  <c:v>91.609622530803762</c:v>
                </c:pt>
                <c:pt idx="1696">
                  <c:v>91.668296499119819</c:v>
                </c:pt>
                <c:pt idx="1697">
                  <c:v>91.726970467435876</c:v>
                </c:pt>
                <c:pt idx="1698">
                  <c:v>91.785644435751934</c:v>
                </c:pt>
                <c:pt idx="1699">
                  <c:v>91.863876393506672</c:v>
                </c:pt>
                <c:pt idx="1700">
                  <c:v>91.922550361822729</c:v>
                </c:pt>
                <c:pt idx="1701">
                  <c:v>92.000782319577468</c:v>
                </c:pt>
                <c:pt idx="1702">
                  <c:v>92.079014277332206</c:v>
                </c:pt>
                <c:pt idx="1703">
                  <c:v>92.118130256209582</c:v>
                </c:pt>
                <c:pt idx="1704">
                  <c:v>92.196362213964321</c:v>
                </c:pt>
                <c:pt idx="1705">
                  <c:v>92.235478192841697</c:v>
                </c:pt>
                <c:pt idx="1706">
                  <c:v>92.333268140035131</c:v>
                </c:pt>
                <c:pt idx="1707">
                  <c:v>92.372384118912507</c:v>
                </c:pt>
                <c:pt idx="1708">
                  <c:v>92.431058087228564</c:v>
                </c:pt>
                <c:pt idx="1709">
                  <c:v>92.47017406610594</c:v>
                </c:pt>
                <c:pt idx="1710">
                  <c:v>92.489732055544621</c:v>
                </c:pt>
                <c:pt idx="1711">
                  <c:v>92.626637981615417</c:v>
                </c:pt>
                <c:pt idx="1712">
                  <c:v>92.704869939370155</c:v>
                </c:pt>
                <c:pt idx="1713">
                  <c:v>92.724427928808836</c:v>
                </c:pt>
                <c:pt idx="1714">
                  <c:v>92.802659886563575</c:v>
                </c:pt>
                <c:pt idx="1715">
                  <c:v>92.841775865440951</c:v>
                </c:pt>
                <c:pt idx="1716">
                  <c:v>92.880891844318327</c:v>
                </c:pt>
                <c:pt idx="1717">
                  <c:v>92.920007823195704</c:v>
                </c:pt>
                <c:pt idx="1718">
                  <c:v>92.998239780950442</c:v>
                </c:pt>
                <c:pt idx="1719">
                  <c:v>93.017797770389123</c:v>
                </c:pt>
                <c:pt idx="1720">
                  <c:v>93.07647173870518</c:v>
                </c:pt>
                <c:pt idx="1721">
                  <c:v>93.174261685898614</c:v>
                </c:pt>
                <c:pt idx="1722">
                  <c:v>93.193819675337295</c:v>
                </c:pt>
                <c:pt idx="1723">
                  <c:v>93.232935654214671</c:v>
                </c:pt>
                <c:pt idx="1724">
                  <c:v>93.291609622530729</c:v>
                </c:pt>
                <c:pt idx="1725">
                  <c:v>93.330725601408105</c:v>
                </c:pt>
                <c:pt idx="1726">
                  <c:v>93.350283590846786</c:v>
                </c:pt>
                <c:pt idx="1727">
                  <c:v>93.369841580285467</c:v>
                </c:pt>
                <c:pt idx="1728">
                  <c:v>93.408957559162843</c:v>
                </c:pt>
                <c:pt idx="1729">
                  <c:v>93.487189516917581</c:v>
                </c:pt>
                <c:pt idx="1730">
                  <c:v>93.584979464111015</c:v>
                </c:pt>
                <c:pt idx="1731">
                  <c:v>93.604537453549696</c:v>
                </c:pt>
                <c:pt idx="1732">
                  <c:v>93.643653432427072</c:v>
                </c:pt>
                <c:pt idx="1733">
                  <c:v>93.682769411304449</c:v>
                </c:pt>
                <c:pt idx="1734">
                  <c:v>93.761001369059187</c:v>
                </c:pt>
                <c:pt idx="1735">
                  <c:v>93.819675337375244</c:v>
                </c:pt>
                <c:pt idx="1736">
                  <c:v>93.839233326813925</c:v>
                </c:pt>
                <c:pt idx="1737">
                  <c:v>93.897907295129983</c:v>
                </c:pt>
                <c:pt idx="1738">
                  <c:v>93.976139252884721</c:v>
                </c:pt>
                <c:pt idx="1739">
                  <c:v>93.995697242323402</c:v>
                </c:pt>
                <c:pt idx="1740">
                  <c:v>94.015255231762083</c:v>
                </c:pt>
                <c:pt idx="1741">
                  <c:v>94.113045178955517</c:v>
                </c:pt>
                <c:pt idx="1742">
                  <c:v>94.152161157832893</c:v>
                </c:pt>
                <c:pt idx="1743">
                  <c:v>94.191277136710269</c:v>
                </c:pt>
                <c:pt idx="1744">
                  <c:v>94.21083512614895</c:v>
                </c:pt>
                <c:pt idx="1745">
                  <c:v>94.328183062781065</c:v>
                </c:pt>
                <c:pt idx="1746">
                  <c:v>94.367299041658441</c:v>
                </c:pt>
                <c:pt idx="1747">
                  <c:v>94.523762957167932</c:v>
                </c:pt>
                <c:pt idx="1748">
                  <c:v>94.621552904361366</c:v>
                </c:pt>
                <c:pt idx="1749">
                  <c:v>94.719342851554799</c:v>
                </c:pt>
                <c:pt idx="1750">
                  <c:v>94.895364756502971</c:v>
                </c:pt>
                <c:pt idx="1751">
                  <c:v>94.993154703696405</c:v>
                </c:pt>
                <c:pt idx="1752">
                  <c:v>95.051828672012462</c:v>
                </c:pt>
                <c:pt idx="1753">
                  <c:v>95.1300606297672</c:v>
                </c:pt>
                <c:pt idx="1754">
                  <c:v>95.227850576960634</c:v>
                </c:pt>
                <c:pt idx="1755">
                  <c:v>95.325640524154068</c:v>
                </c:pt>
                <c:pt idx="1756">
                  <c:v>95.50166242910224</c:v>
                </c:pt>
              </c:numCache>
            </c:numRef>
          </c:cat>
          <c:val>
            <c:numRef>
              <c:f>'courbe debit classé (2)'!$A$2:$A$1758</c:f>
              <c:numCache>
                <c:formatCode>General</c:formatCode>
                <c:ptCount val="1757"/>
                <c:pt idx="0">
                  <c:v>311.5</c:v>
                </c:pt>
                <c:pt idx="1">
                  <c:v>309.39999999999998</c:v>
                </c:pt>
                <c:pt idx="2">
                  <c:v>306.10000000000002</c:v>
                </c:pt>
                <c:pt idx="3">
                  <c:v>300.39999999999998</c:v>
                </c:pt>
                <c:pt idx="4">
                  <c:v>299.8</c:v>
                </c:pt>
                <c:pt idx="5">
                  <c:v>299.39999999999998</c:v>
                </c:pt>
                <c:pt idx="6">
                  <c:v>299</c:v>
                </c:pt>
                <c:pt idx="7">
                  <c:v>298.89999999999998</c:v>
                </c:pt>
                <c:pt idx="8">
                  <c:v>298.60000000000002</c:v>
                </c:pt>
                <c:pt idx="9">
                  <c:v>298.3</c:v>
                </c:pt>
                <c:pt idx="10">
                  <c:v>296.7</c:v>
                </c:pt>
                <c:pt idx="11">
                  <c:v>295.8</c:v>
                </c:pt>
                <c:pt idx="12">
                  <c:v>292.8</c:v>
                </c:pt>
                <c:pt idx="13">
                  <c:v>292.7</c:v>
                </c:pt>
                <c:pt idx="14">
                  <c:v>292.39999999999998</c:v>
                </c:pt>
                <c:pt idx="15">
                  <c:v>291.3</c:v>
                </c:pt>
                <c:pt idx="16">
                  <c:v>289.7</c:v>
                </c:pt>
                <c:pt idx="17">
                  <c:v>289.3</c:v>
                </c:pt>
                <c:pt idx="18">
                  <c:v>287.5</c:v>
                </c:pt>
                <c:pt idx="19">
                  <c:v>287.39999999999998</c:v>
                </c:pt>
                <c:pt idx="20">
                  <c:v>287.10000000000002</c:v>
                </c:pt>
                <c:pt idx="21">
                  <c:v>286.60000000000002</c:v>
                </c:pt>
                <c:pt idx="22">
                  <c:v>285.8</c:v>
                </c:pt>
                <c:pt idx="23">
                  <c:v>285.7</c:v>
                </c:pt>
                <c:pt idx="24">
                  <c:v>284.39999999999998</c:v>
                </c:pt>
                <c:pt idx="25">
                  <c:v>284.2</c:v>
                </c:pt>
                <c:pt idx="26">
                  <c:v>283.8</c:v>
                </c:pt>
                <c:pt idx="27">
                  <c:v>283.2</c:v>
                </c:pt>
                <c:pt idx="28">
                  <c:v>282.7</c:v>
                </c:pt>
                <c:pt idx="29">
                  <c:v>282.60000000000002</c:v>
                </c:pt>
                <c:pt idx="30">
                  <c:v>282.39999999999998</c:v>
                </c:pt>
                <c:pt idx="31">
                  <c:v>281.8</c:v>
                </c:pt>
                <c:pt idx="32">
                  <c:v>281.5</c:v>
                </c:pt>
                <c:pt idx="33">
                  <c:v>281.10000000000002</c:v>
                </c:pt>
                <c:pt idx="34">
                  <c:v>280.8</c:v>
                </c:pt>
                <c:pt idx="35">
                  <c:v>280.7</c:v>
                </c:pt>
                <c:pt idx="36">
                  <c:v>279.7</c:v>
                </c:pt>
                <c:pt idx="37">
                  <c:v>279.10000000000002</c:v>
                </c:pt>
                <c:pt idx="38">
                  <c:v>278.5</c:v>
                </c:pt>
                <c:pt idx="39">
                  <c:v>278.2</c:v>
                </c:pt>
                <c:pt idx="40">
                  <c:v>278.10000000000002</c:v>
                </c:pt>
                <c:pt idx="41">
                  <c:v>277.60000000000002</c:v>
                </c:pt>
                <c:pt idx="42">
                  <c:v>277.3</c:v>
                </c:pt>
                <c:pt idx="43">
                  <c:v>277.2</c:v>
                </c:pt>
                <c:pt idx="44">
                  <c:v>276.7</c:v>
                </c:pt>
                <c:pt idx="45">
                  <c:v>276.60000000000002</c:v>
                </c:pt>
                <c:pt idx="46">
                  <c:v>276.39999999999998</c:v>
                </c:pt>
                <c:pt idx="47">
                  <c:v>276.10000000000002</c:v>
                </c:pt>
                <c:pt idx="48">
                  <c:v>275.60000000000002</c:v>
                </c:pt>
                <c:pt idx="49">
                  <c:v>275.39999999999998</c:v>
                </c:pt>
                <c:pt idx="50">
                  <c:v>275.2</c:v>
                </c:pt>
                <c:pt idx="51">
                  <c:v>275</c:v>
                </c:pt>
                <c:pt idx="52">
                  <c:v>274.60000000000002</c:v>
                </c:pt>
                <c:pt idx="53">
                  <c:v>274.5</c:v>
                </c:pt>
                <c:pt idx="54">
                  <c:v>274.39999999999998</c:v>
                </c:pt>
                <c:pt idx="55">
                  <c:v>274.10000000000002</c:v>
                </c:pt>
                <c:pt idx="56">
                  <c:v>274</c:v>
                </c:pt>
                <c:pt idx="57">
                  <c:v>273.8</c:v>
                </c:pt>
                <c:pt idx="58">
                  <c:v>273.7</c:v>
                </c:pt>
                <c:pt idx="59">
                  <c:v>273.39999999999998</c:v>
                </c:pt>
                <c:pt idx="60">
                  <c:v>272.7</c:v>
                </c:pt>
                <c:pt idx="61">
                  <c:v>272.5</c:v>
                </c:pt>
                <c:pt idx="62">
                  <c:v>272</c:v>
                </c:pt>
                <c:pt idx="63">
                  <c:v>271.60000000000002</c:v>
                </c:pt>
                <c:pt idx="64">
                  <c:v>271.39999999999998</c:v>
                </c:pt>
                <c:pt idx="65">
                  <c:v>271.3</c:v>
                </c:pt>
                <c:pt idx="66">
                  <c:v>270.89999999999998</c:v>
                </c:pt>
                <c:pt idx="67">
                  <c:v>270.3</c:v>
                </c:pt>
                <c:pt idx="68">
                  <c:v>270.10000000000002</c:v>
                </c:pt>
                <c:pt idx="69">
                  <c:v>270</c:v>
                </c:pt>
                <c:pt idx="70">
                  <c:v>269.89999999999998</c:v>
                </c:pt>
                <c:pt idx="71">
                  <c:v>269.8</c:v>
                </c:pt>
                <c:pt idx="72">
                  <c:v>269.7</c:v>
                </c:pt>
                <c:pt idx="73">
                  <c:v>269.5</c:v>
                </c:pt>
                <c:pt idx="74">
                  <c:v>268.89999999999998</c:v>
                </c:pt>
                <c:pt idx="75">
                  <c:v>268.39999999999998</c:v>
                </c:pt>
                <c:pt idx="76">
                  <c:v>268.3</c:v>
                </c:pt>
                <c:pt idx="77">
                  <c:v>268.10000000000002</c:v>
                </c:pt>
                <c:pt idx="78">
                  <c:v>268</c:v>
                </c:pt>
                <c:pt idx="79">
                  <c:v>267.60000000000002</c:v>
                </c:pt>
                <c:pt idx="80">
                  <c:v>267.5</c:v>
                </c:pt>
                <c:pt idx="81">
                  <c:v>267.2</c:v>
                </c:pt>
                <c:pt idx="82">
                  <c:v>267</c:v>
                </c:pt>
                <c:pt idx="83">
                  <c:v>266.8</c:v>
                </c:pt>
                <c:pt idx="84">
                  <c:v>266.5</c:v>
                </c:pt>
                <c:pt idx="85">
                  <c:v>266.39999999999998</c:v>
                </c:pt>
                <c:pt idx="86">
                  <c:v>266.2</c:v>
                </c:pt>
                <c:pt idx="87">
                  <c:v>265.8</c:v>
                </c:pt>
                <c:pt idx="88">
                  <c:v>265.7</c:v>
                </c:pt>
                <c:pt idx="89">
                  <c:v>265.60000000000002</c:v>
                </c:pt>
                <c:pt idx="90">
                  <c:v>265.5</c:v>
                </c:pt>
                <c:pt idx="91">
                  <c:v>265.3</c:v>
                </c:pt>
                <c:pt idx="92">
                  <c:v>265.10000000000002</c:v>
                </c:pt>
                <c:pt idx="93">
                  <c:v>264.5</c:v>
                </c:pt>
                <c:pt idx="94">
                  <c:v>264.39999999999998</c:v>
                </c:pt>
                <c:pt idx="95">
                  <c:v>264.3</c:v>
                </c:pt>
                <c:pt idx="96">
                  <c:v>264</c:v>
                </c:pt>
                <c:pt idx="97">
                  <c:v>263.8</c:v>
                </c:pt>
                <c:pt idx="98">
                  <c:v>263.60000000000002</c:v>
                </c:pt>
                <c:pt idx="99">
                  <c:v>263.3</c:v>
                </c:pt>
                <c:pt idx="100">
                  <c:v>263.10000000000002</c:v>
                </c:pt>
                <c:pt idx="101">
                  <c:v>263</c:v>
                </c:pt>
                <c:pt idx="102">
                  <c:v>262.3</c:v>
                </c:pt>
                <c:pt idx="103">
                  <c:v>262.10000000000002</c:v>
                </c:pt>
                <c:pt idx="104">
                  <c:v>262</c:v>
                </c:pt>
                <c:pt idx="105">
                  <c:v>261.8</c:v>
                </c:pt>
                <c:pt idx="106">
                  <c:v>261.60000000000002</c:v>
                </c:pt>
                <c:pt idx="107">
                  <c:v>261.39999999999998</c:v>
                </c:pt>
                <c:pt idx="108">
                  <c:v>261.3</c:v>
                </c:pt>
                <c:pt idx="109">
                  <c:v>261.10000000000002</c:v>
                </c:pt>
                <c:pt idx="110">
                  <c:v>261</c:v>
                </c:pt>
                <c:pt idx="111">
                  <c:v>260.89999999999998</c:v>
                </c:pt>
                <c:pt idx="112">
                  <c:v>260.7</c:v>
                </c:pt>
                <c:pt idx="113">
                  <c:v>260.39999999999998</c:v>
                </c:pt>
                <c:pt idx="114">
                  <c:v>260.2</c:v>
                </c:pt>
                <c:pt idx="115">
                  <c:v>260.10000000000002</c:v>
                </c:pt>
                <c:pt idx="116">
                  <c:v>260</c:v>
                </c:pt>
                <c:pt idx="117">
                  <c:v>259.89999999999998</c:v>
                </c:pt>
                <c:pt idx="118">
                  <c:v>259.8</c:v>
                </c:pt>
                <c:pt idx="119">
                  <c:v>259.60000000000002</c:v>
                </c:pt>
                <c:pt idx="120">
                  <c:v>259.3</c:v>
                </c:pt>
                <c:pt idx="121">
                  <c:v>259.2</c:v>
                </c:pt>
                <c:pt idx="122">
                  <c:v>259</c:v>
                </c:pt>
                <c:pt idx="123">
                  <c:v>258.89999999999998</c:v>
                </c:pt>
                <c:pt idx="124">
                  <c:v>258.39999999999998</c:v>
                </c:pt>
                <c:pt idx="125">
                  <c:v>258</c:v>
                </c:pt>
                <c:pt idx="126">
                  <c:v>257.7</c:v>
                </c:pt>
                <c:pt idx="127">
                  <c:v>257.60000000000002</c:v>
                </c:pt>
                <c:pt idx="128">
                  <c:v>257.5</c:v>
                </c:pt>
                <c:pt idx="129">
                  <c:v>257.10000000000002</c:v>
                </c:pt>
                <c:pt idx="130">
                  <c:v>257</c:v>
                </c:pt>
                <c:pt idx="131">
                  <c:v>256.89999999999998</c:v>
                </c:pt>
                <c:pt idx="132">
                  <c:v>256.7</c:v>
                </c:pt>
                <c:pt idx="133">
                  <c:v>256.60000000000002</c:v>
                </c:pt>
                <c:pt idx="134">
                  <c:v>256.5</c:v>
                </c:pt>
                <c:pt idx="135">
                  <c:v>256.39999999999998</c:v>
                </c:pt>
                <c:pt idx="136">
                  <c:v>256.3</c:v>
                </c:pt>
                <c:pt idx="137">
                  <c:v>256.2</c:v>
                </c:pt>
                <c:pt idx="138">
                  <c:v>256.10000000000002</c:v>
                </c:pt>
                <c:pt idx="139">
                  <c:v>256</c:v>
                </c:pt>
                <c:pt idx="140">
                  <c:v>255.9</c:v>
                </c:pt>
                <c:pt idx="141">
                  <c:v>255.8</c:v>
                </c:pt>
                <c:pt idx="142">
                  <c:v>255.7</c:v>
                </c:pt>
                <c:pt idx="143">
                  <c:v>255.5</c:v>
                </c:pt>
                <c:pt idx="144">
                  <c:v>255.3</c:v>
                </c:pt>
                <c:pt idx="145">
                  <c:v>255.1</c:v>
                </c:pt>
                <c:pt idx="146">
                  <c:v>254.6</c:v>
                </c:pt>
                <c:pt idx="147">
                  <c:v>254.5</c:v>
                </c:pt>
                <c:pt idx="148">
                  <c:v>254.3</c:v>
                </c:pt>
                <c:pt idx="149">
                  <c:v>254.1</c:v>
                </c:pt>
                <c:pt idx="150">
                  <c:v>254</c:v>
                </c:pt>
                <c:pt idx="151">
                  <c:v>253.9</c:v>
                </c:pt>
                <c:pt idx="152">
                  <c:v>253.8</c:v>
                </c:pt>
                <c:pt idx="153">
                  <c:v>253.6</c:v>
                </c:pt>
                <c:pt idx="154">
                  <c:v>253.3</c:v>
                </c:pt>
                <c:pt idx="155">
                  <c:v>253.2</c:v>
                </c:pt>
                <c:pt idx="156">
                  <c:v>253.1</c:v>
                </c:pt>
                <c:pt idx="157">
                  <c:v>253</c:v>
                </c:pt>
                <c:pt idx="158">
                  <c:v>252.9</c:v>
                </c:pt>
                <c:pt idx="159">
                  <c:v>252.8</c:v>
                </c:pt>
                <c:pt idx="160">
                  <c:v>252.6</c:v>
                </c:pt>
                <c:pt idx="161">
                  <c:v>252.5</c:v>
                </c:pt>
                <c:pt idx="162">
                  <c:v>252.4</c:v>
                </c:pt>
                <c:pt idx="163">
                  <c:v>252.3</c:v>
                </c:pt>
                <c:pt idx="164">
                  <c:v>252.2</c:v>
                </c:pt>
                <c:pt idx="165">
                  <c:v>252.1</c:v>
                </c:pt>
                <c:pt idx="166">
                  <c:v>251.9</c:v>
                </c:pt>
                <c:pt idx="167">
                  <c:v>251.8</c:v>
                </c:pt>
                <c:pt idx="168">
                  <c:v>251.5</c:v>
                </c:pt>
                <c:pt idx="169">
                  <c:v>251.3</c:v>
                </c:pt>
                <c:pt idx="170">
                  <c:v>251.2</c:v>
                </c:pt>
                <c:pt idx="171">
                  <c:v>251.1</c:v>
                </c:pt>
                <c:pt idx="172">
                  <c:v>251</c:v>
                </c:pt>
                <c:pt idx="173">
                  <c:v>250.9</c:v>
                </c:pt>
                <c:pt idx="174">
                  <c:v>250.8</c:v>
                </c:pt>
                <c:pt idx="175">
                  <c:v>250.7</c:v>
                </c:pt>
                <c:pt idx="176">
                  <c:v>250.6</c:v>
                </c:pt>
                <c:pt idx="177">
                  <c:v>250.5</c:v>
                </c:pt>
                <c:pt idx="178">
                  <c:v>250.4</c:v>
                </c:pt>
                <c:pt idx="179">
                  <c:v>249.9</c:v>
                </c:pt>
                <c:pt idx="180">
                  <c:v>249.8</c:v>
                </c:pt>
                <c:pt idx="181">
                  <c:v>249.3</c:v>
                </c:pt>
                <c:pt idx="182">
                  <c:v>249.2</c:v>
                </c:pt>
                <c:pt idx="183">
                  <c:v>249.1</c:v>
                </c:pt>
                <c:pt idx="184">
                  <c:v>249</c:v>
                </c:pt>
                <c:pt idx="185">
                  <c:v>248.9</c:v>
                </c:pt>
                <c:pt idx="186">
                  <c:v>248.8</c:v>
                </c:pt>
                <c:pt idx="187">
                  <c:v>248.7</c:v>
                </c:pt>
                <c:pt idx="188">
                  <c:v>248.6</c:v>
                </c:pt>
                <c:pt idx="189">
                  <c:v>248.5</c:v>
                </c:pt>
                <c:pt idx="190">
                  <c:v>248.4</c:v>
                </c:pt>
                <c:pt idx="191">
                  <c:v>248.3</c:v>
                </c:pt>
                <c:pt idx="192">
                  <c:v>248.1</c:v>
                </c:pt>
                <c:pt idx="193">
                  <c:v>247.9</c:v>
                </c:pt>
                <c:pt idx="194">
                  <c:v>247.8</c:v>
                </c:pt>
                <c:pt idx="195">
                  <c:v>247.7</c:v>
                </c:pt>
                <c:pt idx="196">
                  <c:v>247.6</c:v>
                </c:pt>
                <c:pt idx="197">
                  <c:v>247.4</c:v>
                </c:pt>
                <c:pt idx="198">
                  <c:v>247.3</c:v>
                </c:pt>
                <c:pt idx="199">
                  <c:v>247.2</c:v>
                </c:pt>
                <c:pt idx="200">
                  <c:v>247</c:v>
                </c:pt>
                <c:pt idx="201">
                  <c:v>246.9</c:v>
                </c:pt>
                <c:pt idx="202">
                  <c:v>246.8</c:v>
                </c:pt>
                <c:pt idx="203">
                  <c:v>246.7</c:v>
                </c:pt>
                <c:pt idx="204">
                  <c:v>246.6</c:v>
                </c:pt>
                <c:pt idx="205">
                  <c:v>246.5</c:v>
                </c:pt>
                <c:pt idx="206">
                  <c:v>246.4</c:v>
                </c:pt>
                <c:pt idx="207">
                  <c:v>246.1</c:v>
                </c:pt>
                <c:pt idx="208">
                  <c:v>246</c:v>
                </c:pt>
                <c:pt idx="209">
                  <c:v>245.8</c:v>
                </c:pt>
                <c:pt idx="210">
                  <c:v>245.7</c:v>
                </c:pt>
                <c:pt idx="211">
                  <c:v>245.6</c:v>
                </c:pt>
                <c:pt idx="212">
                  <c:v>245.5</c:v>
                </c:pt>
                <c:pt idx="213">
                  <c:v>245.4</c:v>
                </c:pt>
                <c:pt idx="214">
                  <c:v>245.2</c:v>
                </c:pt>
                <c:pt idx="215">
                  <c:v>245.1</c:v>
                </c:pt>
                <c:pt idx="216">
                  <c:v>245</c:v>
                </c:pt>
                <c:pt idx="217">
                  <c:v>244.9</c:v>
                </c:pt>
                <c:pt idx="218">
                  <c:v>244.8</c:v>
                </c:pt>
                <c:pt idx="219">
                  <c:v>244.7</c:v>
                </c:pt>
                <c:pt idx="220">
                  <c:v>244.6</c:v>
                </c:pt>
                <c:pt idx="221">
                  <c:v>244.5</c:v>
                </c:pt>
                <c:pt idx="222">
                  <c:v>244.4</c:v>
                </c:pt>
                <c:pt idx="223">
                  <c:v>244.2</c:v>
                </c:pt>
                <c:pt idx="224">
                  <c:v>244.1</c:v>
                </c:pt>
                <c:pt idx="225">
                  <c:v>244</c:v>
                </c:pt>
                <c:pt idx="226">
                  <c:v>243.9</c:v>
                </c:pt>
                <c:pt idx="227">
                  <c:v>243.8</c:v>
                </c:pt>
                <c:pt idx="228">
                  <c:v>243.7</c:v>
                </c:pt>
                <c:pt idx="229">
                  <c:v>243.6</c:v>
                </c:pt>
                <c:pt idx="230">
                  <c:v>243.5</c:v>
                </c:pt>
                <c:pt idx="231">
                  <c:v>243.4</c:v>
                </c:pt>
                <c:pt idx="232">
                  <c:v>243.3</c:v>
                </c:pt>
                <c:pt idx="233">
                  <c:v>243.1</c:v>
                </c:pt>
                <c:pt idx="234">
                  <c:v>243</c:v>
                </c:pt>
                <c:pt idx="235">
                  <c:v>242.9</c:v>
                </c:pt>
                <c:pt idx="236">
                  <c:v>242.8</c:v>
                </c:pt>
                <c:pt idx="237">
                  <c:v>242.7</c:v>
                </c:pt>
                <c:pt idx="238">
                  <c:v>242.6</c:v>
                </c:pt>
                <c:pt idx="239">
                  <c:v>242.5</c:v>
                </c:pt>
                <c:pt idx="240">
                  <c:v>242.3</c:v>
                </c:pt>
                <c:pt idx="241">
                  <c:v>242.2</c:v>
                </c:pt>
                <c:pt idx="242">
                  <c:v>242.1</c:v>
                </c:pt>
                <c:pt idx="243">
                  <c:v>242</c:v>
                </c:pt>
                <c:pt idx="244">
                  <c:v>241.9</c:v>
                </c:pt>
                <c:pt idx="245">
                  <c:v>241.8</c:v>
                </c:pt>
                <c:pt idx="246">
                  <c:v>241.6</c:v>
                </c:pt>
                <c:pt idx="247">
                  <c:v>241.5</c:v>
                </c:pt>
                <c:pt idx="248">
                  <c:v>241.4</c:v>
                </c:pt>
                <c:pt idx="249">
                  <c:v>241.3</c:v>
                </c:pt>
                <c:pt idx="250">
                  <c:v>241.2</c:v>
                </c:pt>
                <c:pt idx="251">
                  <c:v>241.1</c:v>
                </c:pt>
                <c:pt idx="252">
                  <c:v>241</c:v>
                </c:pt>
                <c:pt idx="253">
                  <c:v>240.9</c:v>
                </c:pt>
                <c:pt idx="254">
                  <c:v>240.8</c:v>
                </c:pt>
                <c:pt idx="255">
                  <c:v>240.7</c:v>
                </c:pt>
                <c:pt idx="256">
                  <c:v>240.6</c:v>
                </c:pt>
                <c:pt idx="257">
                  <c:v>240.5</c:v>
                </c:pt>
                <c:pt idx="258">
                  <c:v>240.4</c:v>
                </c:pt>
                <c:pt idx="259">
                  <c:v>240.3</c:v>
                </c:pt>
                <c:pt idx="260">
                  <c:v>240.2</c:v>
                </c:pt>
                <c:pt idx="261">
                  <c:v>240.1</c:v>
                </c:pt>
                <c:pt idx="262">
                  <c:v>240</c:v>
                </c:pt>
                <c:pt idx="263">
                  <c:v>239.9</c:v>
                </c:pt>
                <c:pt idx="264">
                  <c:v>239.8</c:v>
                </c:pt>
                <c:pt idx="265">
                  <c:v>239.7</c:v>
                </c:pt>
                <c:pt idx="266">
                  <c:v>239.6</c:v>
                </c:pt>
                <c:pt idx="267">
                  <c:v>239.5</c:v>
                </c:pt>
                <c:pt idx="268">
                  <c:v>239.4</c:v>
                </c:pt>
                <c:pt idx="269">
                  <c:v>239.2</c:v>
                </c:pt>
                <c:pt idx="270">
                  <c:v>239.1</c:v>
                </c:pt>
                <c:pt idx="271">
                  <c:v>238.9</c:v>
                </c:pt>
                <c:pt idx="272">
                  <c:v>238.7</c:v>
                </c:pt>
                <c:pt idx="273">
                  <c:v>238.6</c:v>
                </c:pt>
                <c:pt idx="274">
                  <c:v>238.5</c:v>
                </c:pt>
                <c:pt idx="275">
                  <c:v>238.4</c:v>
                </c:pt>
                <c:pt idx="276">
                  <c:v>238.3</c:v>
                </c:pt>
                <c:pt idx="277">
                  <c:v>238.2</c:v>
                </c:pt>
                <c:pt idx="278">
                  <c:v>238.1</c:v>
                </c:pt>
                <c:pt idx="279">
                  <c:v>238</c:v>
                </c:pt>
                <c:pt idx="280">
                  <c:v>237.9</c:v>
                </c:pt>
                <c:pt idx="281">
                  <c:v>237.8</c:v>
                </c:pt>
                <c:pt idx="282">
                  <c:v>237.7</c:v>
                </c:pt>
                <c:pt idx="283">
                  <c:v>237.5</c:v>
                </c:pt>
                <c:pt idx="284">
                  <c:v>237.4</c:v>
                </c:pt>
                <c:pt idx="285">
                  <c:v>237.3</c:v>
                </c:pt>
                <c:pt idx="286">
                  <c:v>237.2</c:v>
                </c:pt>
                <c:pt idx="287">
                  <c:v>237.1</c:v>
                </c:pt>
                <c:pt idx="288">
                  <c:v>237</c:v>
                </c:pt>
                <c:pt idx="289">
                  <c:v>236.9</c:v>
                </c:pt>
                <c:pt idx="290">
                  <c:v>236.7</c:v>
                </c:pt>
                <c:pt idx="291">
                  <c:v>236.6</c:v>
                </c:pt>
                <c:pt idx="292">
                  <c:v>236.5</c:v>
                </c:pt>
                <c:pt idx="293">
                  <c:v>236.4</c:v>
                </c:pt>
                <c:pt idx="294">
                  <c:v>236.3</c:v>
                </c:pt>
                <c:pt idx="295">
                  <c:v>236.2</c:v>
                </c:pt>
                <c:pt idx="296">
                  <c:v>236.1</c:v>
                </c:pt>
                <c:pt idx="297">
                  <c:v>236</c:v>
                </c:pt>
                <c:pt idx="298">
                  <c:v>235.9</c:v>
                </c:pt>
                <c:pt idx="299">
                  <c:v>235.8</c:v>
                </c:pt>
                <c:pt idx="300">
                  <c:v>235.7</c:v>
                </c:pt>
                <c:pt idx="301">
                  <c:v>235.6</c:v>
                </c:pt>
                <c:pt idx="302">
                  <c:v>235.4</c:v>
                </c:pt>
                <c:pt idx="303">
                  <c:v>235.3</c:v>
                </c:pt>
                <c:pt idx="304">
                  <c:v>235.2</c:v>
                </c:pt>
                <c:pt idx="305">
                  <c:v>235.1</c:v>
                </c:pt>
                <c:pt idx="306">
                  <c:v>235</c:v>
                </c:pt>
                <c:pt idx="307">
                  <c:v>234.9</c:v>
                </c:pt>
                <c:pt idx="308">
                  <c:v>234.8</c:v>
                </c:pt>
                <c:pt idx="309">
                  <c:v>234.7</c:v>
                </c:pt>
                <c:pt idx="310">
                  <c:v>234.5</c:v>
                </c:pt>
                <c:pt idx="311">
                  <c:v>234.4</c:v>
                </c:pt>
                <c:pt idx="312">
                  <c:v>234.3</c:v>
                </c:pt>
                <c:pt idx="313">
                  <c:v>234.2</c:v>
                </c:pt>
                <c:pt idx="314">
                  <c:v>234.1</c:v>
                </c:pt>
                <c:pt idx="315">
                  <c:v>234</c:v>
                </c:pt>
                <c:pt idx="316">
                  <c:v>233.9</c:v>
                </c:pt>
                <c:pt idx="317">
                  <c:v>233.7</c:v>
                </c:pt>
                <c:pt idx="318">
                  <c:v>233.6</c:v>
                </c:pt>
                <c:pt idx="319">
                  <c:v>233.5</c:v>
                </c:pt>
                <c:pt idx="320">
                  <c:v>233.4</c:v>
                </c:pt>
                <c:pt idx="321">
                  <c:v>233.3</c:v>
                </c:pt>
                <c:pt idx="322">
                  <c:v>233.2</c:v>
                </c:pt>
                <c:pt idx="323">
                  <c:v>233.1</c:v>
                </c:pt>
                <c:pt idx="324">
                  <c:v>233</c:v>
                </c:pt>
                <c:pt idx="325">
                  <c:v>232.9</c:v>
                </c:pt>
                <c:pt idx="326">
                  <c:v>232.8</c:v>
                </c:pt>
                <c:pt idx="327">
                  <c:v>232.7</c:v>
                </c:pt>
                <c:pt idx="328">
                  <c:v>232.6</c:v>
                </c:pt>
                <c:pt idx="329">
                  <c:v>232.5</c:v>
                </c:pt>
                <c:pt idx="330">
                  <c:v>232.4</c:v>
                </c:pt>
                <c:pt idx="331">
                  <c:v>232.3</c:v>
                </c:pt>
                <c:pt idx="332">
                  <c:v>232.2</c:v>
                </c:pt>
                <c:pt idx="333">
                  <c:v>232.1</c:v>
                </c:pt>
                <c:pt idx="334">
                  <c:v>232</c:v>
                </c:pt>
                <c:pt idx="335">
                  <c:v>231.9</c:v>
                </c:pt>
                <c:pt idx="336">
                  <c:v>231.8</c:v>
                </c:pt>
                <c:pt idx="337">
                  <c:v>231.7</c:v>
                </c:pt>
                <c:pt idx="338">
                  <c:v>231.6</c:v>
                </c:pt>
                <c:pt idx="339">
                  <c:v>231.5</c:v>
                </c:pt>
                <c:pt idx="340">
                  <c:v>231.4</c:v>
                </c:pt>
                <c:pt idx="341">
                  <c:v>231.3</c:v>
                </c:pt>
                <c:pt idx="342">
                  <c:v>231.2</c:v>
                </c:pt>
                <c:pt idx="343">
                  <c:v>231.1</c:v>
                </c:pt>
                <c:pt idx="344">
                  <c:v>231</c:v>
                </c:pt>
                <c:pt idx="345">
                  <c:v>230.8</c:v>
                </c:pt>
                <c:pt idx="346">
                  <c:v>230.7</c:v>
                </c:pt>
                <c:pt idx="347">
                  <c:v>230.6</c:v>
                </c:pt>
                <c:pt idx="348">
                  <c:v>230.5</c:v>
                </c:pt>
                <c:pt idx="349">
                  <c:v>230.4</c:v>
                </c:pt>
                <c:pt idx="350">
                  <c:v>230.3</c:v>
                </c:pt>
                <c:pt idx="351">
                  <c:v>230.2</c:v>
                </c:pt>
                <c:pt idx="352">
                  <c:v>230.1</c:v>
                </c:pt>
                <c:pt idx="353">
                  <c:v>230</c:v>
                </c:pt>
                <c:pt idx="354">
                  <c:v>229.9</c:v>
                </c:pt>
                <c:pt idx="355">
                  <c:v>229.8</c:v>
                </c:pt>
                <c:pt idx="356">
                  <c:v>229.7</c:v>
                </c:pt>
                <c:pt idx="357">
                  <c:v>229.6</c:v>
                </c:pt>
                <c:pt idx="358">
                  <c:v>229.5</c:v>
                </c:pt>
                <c:pt idx="359">
                  <c:v>229.4</c:v>
                </c:pt>
                <c:pt idx="360">
                  <c:v>229.3</c:v>
                </c:pt>
                <c:pt idx="361">
                  <c:v>229.2</c:v>
                </c:pt>
                <c:pt idx="362">
                  <c:v>229.1</c:v>
                </c:pt>
                <c:pt idx="363">
                  <c:v>229</c:v>
                </c:pt>
                <c:pt idx="364">
                  <c:v>228.9</c:v>
                </c:pt>
                <c:pt idx="365">
                  <c:v>228.8</c:v>
                </c:pt>
                <c:pt idx="366">
                  <c:v>228.7</c:v>
                </c:pt>
                <c:pt idx="367">
                  <c:v>228.6</c:v>
                </c:pt>
                <c:pt idx="368">
                  <c:v>228.5</c:v>
                </c:pt>
                <c:pt idx="369">
                  <c:v>228.4</c:v>
                </c:pt>
                <c:pt idx="370">
                  <c:v>228.2</c:v>
                </c:pt>
                <c:pt idx="371">
                  <c:v>228.1</c:v>
                </c:pt>
                <c:pt idx="372">
                  <c:v>228</c:v>
                </c:pt>
                <c:pt idx="373">
                  <c:v>227.9</c:v>
                </c:pt>
                <c:pt idx="374">
                  <c:v>227.8</c:v>
                </c:pt>
                <c:pt idx="375">
                  <c:v>227.7</c:v>
                </c:pt>
                <c:pt idx="376">
                  <c:v>227.6</c:v>
                </c:pt>
                <c:pt idx="377">
                  <c:v>227.5</c:v>
                </c:pt>
                <c:pt idx="378">
                  <c:v>227.4</c:v>
                </c:pt>
                <c:pt idx="379">
                  <c:v>227.3</c:v>
                </c:pt>
                <c:pt idx="380">
                  <c:v>227.2</c:v>
                </c:pt>
                <c:pt idx="381">
                  <c:v>227.1</c:v>
                </c:pt>
                <c:pt idx="382">
                  <c:v>227</c:v>
                </c:pt>
                <c:pt idx="383">
                  <c:v>226.9</c:v>
                </c:pt>
                <c:pt idx="384">
                  <c:v>226.8</c:v>
                </c:pt>
                <c:pt idx="385">
                  <c:v>226.7</c:v>
                </c:pt>
                <c:pt idx="386">
                  <c:v>226.6</c:v>
                </c:pt>
                <c:pt idx="387">
                  <c:v>226.5</c:v>
                </c:pt>
                <c:pt idx="388">
                  <c:v>226.4</c:v>
                </c:pt>
                <c:pt idx="389">
                  <c:v>226.3</c:v>
                </c:pt>
                <c:pt idx="390">
                  <c:v>226.2</c:v>
                </c:pt>
                <c:pt idx="391">
                  <c:v>226.1</c:v>
                </c:pt>
                <c:pt idx="392">
                  <c:v>226</c:v>
                </c:pt>
                <c:pt idx="393">
                  <c:v>225.9</c:v>
                </c:pt>
                <c:pt idx="394">
                  <c:v>225.8</c:v>
                </c:pt>
                <c:pt idx="395">
                  <c:v>225.7</c:v>
                </c:pt>
                <c:pt idx="396">
                  <c:v>225.6</c:v>
                </c:pt>
                <c:pt idx="397">
                  <c:v>225.5</c:v>
                </c:pt>
                <c:pt idx="398">
                  <c:v>225.4</c:v>
                </c:pt>
                <c:pt idx="399">
                  <c:v>225.3</c:v>
                </c:pt>
                <c:pt idx="400">
                  <c:v>225.2</c:v>
                </c:pt>
                <c:pt idx="401">
                  <c:v>225.1</c:v>
                </c:pt>
                <c:pt idx="402">
                  <c:v>225</c:v>
                </c:pt>
                <c:pt idx="403">
                  <c:v>224.9</c:v>
                </c:pt>
                <c:pt idx="404">
                  <c:v>224.8</c:v>
                </c:pt>
                <c:pt idx="405">
                  <c:v>224.7</c:v>
                </c:pt>
                <c:pt idx="406">
                  <c:v>224.6</c:v>
                </c:pt>
                <c:pt idx="407">
                  <c:v>224.5</c:v>
                </c:pt>
                <c:pt idx="408">
                  <c:v>224.4</c:v>
                </c:pt>
                <c:pt idx="409">
                  <c:v>224.3</c:v>
                </c:pt>
                <c:pt idx="410">
                  <c:v>224.1</c:v>
                </c:pt>
                <c:pt idx="411">
                  <c:v>224</c:v>
                </c:pt>
                <c:pt idx="412">
                  <c:v>223.9</c:v>
                </c:pt>
                <c:pt idx="413">
                  <c:v>223.7</c:v>
                </c:pt>
                <c:pt idx="414">
                  <c:v>223.6</c:v>
                </c:pt>
                <c:pt idx="415">
                  <c:v>223.5</c:v>
                </c:pt>
                <c:pt idx="416">
                  <c:v>223.4</c:v>
                </c:pt>
                <c:pt idx="417">
                  <c:v>223.3</c:v>
                </c:pt>
                <c:pt idx="418">
                  <c:v>223.2</c:v>
                </c:pt>
                <c:pt idx="419">
                  <c:v>223.1</c:v>
                </c:pt>
                <c:pt idx="420">
                  <c:v>223</c:v>
                </c:pt>
                <c:pt idx="421">
                  <c:v>222.9</c:v>
                </c:pt>
                <c:pt idx="422">
                  <c:v>222.8</c:v>
                </c:pt>
                <c:pt idx="423">
                  <c:v>222.7</c:v>
                </c:pt>
                <c:pt idx="424">
                  <c:v>222.6</c:v>
                </c:pt>
                <c:pt idx="425">
                  <c:v>222.5</c:v>
                </c:pt>
                <c:pt idx="426">
                  <c:v>222.4</c:v>
                </c:pt>
                <c:pt idx="427">
                  <c:v>222.3</c:v>
                </c:pt>
                <c:pt idx="428">
                  <c:v>222.2</c:v>
                </c:pt>
                <c:pt idx="429">
                  <c:v>222.1</c:v>
                </c:pt>
                <c:pt idx="430">
                  <c:v>222</c:v>
                </c:pt>
                <c:pt idx="431">
                  <c:v>221.9</c:v>
                </c:pt>
                <c:pt idx="432">
                  <c:v>221.8</c:v>
                </c:pt>
                <c:pt idx="433">
                  <c:v>221.7</c:v>
                </c:pt>
                <c:pt idx="434">
                  <c:v>221.6</c:v>
                </c:pt>
                <c:pt idx="435">
                  <c:v>221.5</c:v>
                </c:pt>
                <c:pt idx="436">
                  <c:v>221.4</c:v>
                </c:pt>
                <c:pt idx="437">
                  <c:v>221.3</c:v>
                </c:pt>
                <c:pt idx="438">
                  <c:v>221.2</c:v>
                </c:pt>
                <c:pt idx="439">
                  <c:v>221.1</c:v>
                </c:pt>
                <c:pt idx="440">
                  <c:v>221</c:v>
                </c:pt>
                <c:pt idx="441">
                  <c:v>220.9</c:v>
                </c:pt>
                <c:pt idx="442">
                  <c:v>220.8</c:v>
                </c:pt>
                <c:pt idx="443">
                  <c:v>220.7</c:v>
                </c:pt>
                <c:pt idx="444">
                  <c:v>220.6</c:v>
                </c:pt>
                <c:pt idx="445">
                  <c:v>220.5</c:v>
                </c:pt>
                <c:pt idx="446">
                  <c:v>220.4</c:v>
                </c:pt>
                <c:pt idx="447">
                  <c:v>220.3</c:v>
                </c:pt>
                <c:pt idx="448">
                  <c:v>220.2</c:v>
                </c:pt>
                <c:pt idx="449">
                  <c:v>220.1</c:v>
                </c:pt>
                <c:pt idx="450">
                  <c:v>220</c:v>
                </c:pt>
                <c:pt idx="451">
                  <c:v>219.9</c:v>
                </c:pt>
                <c:pt idx="452">
                  <c:v>219.8</c:v>
                </c:pt>
                <c:pt idx="453">
                  <c:v>219.7</c:v>
                </c:pt>
                <c:pt idx="454">
                  <c:v>219.6</c:v>
                </c:pt>
                <c:pt idx="455">
                  <c:v>219.4</c:v>
                </c:pt>
                <c:pt idx="456">
                  <c:v>219.3</c:v>
                </c:pt>
                <c:pt idx="457">
                  <c:v>219.2</c:v>
                </c:pt>
                <c:pt idx="458">
                  <c:v>219.1</c:v>
                </c:pt>
                <c:pt idx="459">
                  <c:v>219</c:v>
                </c:pt>
                <c:pt idx="460">
                  <c:v>218.9</c:v>
                </c:pt>
                <c:pt idx="461">
                  <c:v>218.8</c:v>
                </c:pt>
                <c:pt idx="462">
                  <c:v>218.7</c:v>
                </c:pt>
                <c:pt idx="463">
                  <c:v>218.6</c:v>
                </c:pt>
                <c:pt idx="464">
                  <c:v>218.5</c:v>
                </c:pt>
                <c:pt idx="465">
                  <c:v>218.4</c:v>
                </c:pt>
                <c:pt idx="466">
                  <c:v>218.3</c:v>
                </c:pt>
                <c:pt idx="467">
                  <c:v>218.2</c:v>
                </c:pt>
                <c:pt idx="468">
                  <c:v>218.1</c:v>
                </c:pt>
                <c:pt idx="469">
                  <c:v>218</c:v>
                </c:pt>
                <c:pt idx="470">
                  <c:v>217.9</c:v>
                </c:pt>
                <c:pt idx="471">
                  <c:v>217.8</c:v>
                </c:pt>
                <c:pt idx="472">
                  <c:v>217.7</c:v>
                </c:pt>
                <c:pt idx="473">
                  <c:v>217.6</c:v>
                </c:pt>
                <c:pt idx="474">
                  <c:v>217.5</c:v>
                </c:pt>
                <c:pt idx="475">
                  <c:v>217.4</c:v>
                </c:pt>
                <c:pt idx="476">
                  <c:v>217.3</c:v>
                </c:pt>
                <c:pt idx="477">
                  <c:v>217.2</c:v>
                </c:pt>
                <c:pt idx="478">
                  <c:v>217.1</c:v>
                </c:pt>
                <c:pt idx="479">
                  <c:v>217</c:v>
                </c:pt>
                <c:pt idx="480">
                  <c:v>216.9</c:v>
                </c:pt>
                <c:pt idx="481">
                  <c:v>216.8</c:v>
                </c:pt>
                <c:pt idx="482">
                  <c:v>216.7</c:v>
                </c:pt>
                <c:pt idx="483">
                  <c:v>216.6</c:v>
                </c:pt>
                <c:pt idx="484">
                  <c:v>216.5</c:v>
                </c:pt>
                <c:pt idx="485">
                  <c:v>216.4</c:v>
                </c:pt>
                <c:pt idx="486">
                  <c:v>216.3</c:v>
                </c:pt>
                <c:pt idx="487">
                  <c:v>216.2</c:v>
                </c:pt>
                <c:pt idx="488">
                  <c:v>216.1</c:v>
                </c:pt>
                <c:pt idx="489">
                  <c:v>216</c:v>
                </c:pt>
                <c:pt idx="490">
                  <c:v>215.9</c:v>
                </c:pt>
                <c:pt idx="491">
                  <c:v>215.8</c:v>
                </c:pt>
                <c:pt idx="492">
                  <c:v>215.7</c:v>
                </c:pt>
                <c:pt idx="493">
                  <c:v>215.6</c:v>
                </c:pt>
                <c:pt idx="494">
                  <c:v>215.5</c:v>
                </c:pt>
                <c:pt idx="495">
                  <c:v>215.4</c:v>
                </c:pt>
                <c:pt idx="496">
                  <c:v>215.3</c:v>
                </c:pt>
                <c:pt idx="497">
                  <c:v>215.2</c:v>
                </c:pt>
                <c:pt idx="498">
                  <c:v>215.1</c:v>
                </c:pt>
                <c:pt idx="499">
                  <c:v>215</c:v>
                </c:pt>
                <c:pt idx="500">
                  <c:v>214.9</c:v>
                </c:pt>
                <c:pt idx="501">
                  <c:v>214.8</c:v>
                </c:pt>
                <c:pt idx="502">
                  <c:v>214.7</c:v>
                </c:pt>
                <c:pt idx="503">
                  <c:v>214.6</c:v>
                </c:pt>
                <c:pt idx="504">
                  <c:v>214.5</c:v>
                </c:pt>
                <c:pt idx="505">
                  <c:v>214.4</c:v>
                </c:pt>
                <c:pt idx="506">
                  <c:v>214.3</c:v>
                </c:pt>
                <c:pt idx="507">
                  <c:v>214.2</c:v>
                </c:pt>
                <c:pt idx="508">
                  <c:v>214.1</c:v>
                </c:pt>
                <c:pt idx="509">
                  <c:v>214</c:v>
                </c:pt>
                <c:pt idx="510">
                  <c:v>213.9</c:v>
                </c:pt>
                <c:pt idx="511">
                  <c:v>213.8</c:v>
                </c:pt>
                <c:pt idx="512">
                  <c:v>213.7</c:v>
                </c:pt>
                <c:pt idx="513">
                  <c:v>213.6</c:v>
                </c:pt>
                <c:pt idx="514">
                  <c:v>213.5</c:v>
                </c:pt>
                <c:pt idx="515">
                  <c:v>213.4</c:v>
                </c:pt>
                <c:pt idx="516">
                  <c:v>213.3</c:v>
                </c:pt>
                <c:pt idx="517">
                  <c:v>213.2</c:v>
                </c:pt>
                <c:pt idx="518">
                  <c:v>213.1</c:v>
                </c:pt>
                <c:pt idx="519">
                  <c:v>213</c:v>
                </c:pt>
                <c:pt idx="520">
                  <c:v>212.9</c:v>
                </c:pt>
                <c:pt idx="521">
                  <c:v>212.8</c:v>
                </c:pt>
                <c:pt idx="522">
                  <c:v>212.7</c:v>
                </c:pt>
                <c:pt idx="523">
                  <c:v>212.6</c:v>
                </c:pt>
                <c:pt idx="524">
                  <c:v>212.5</c:v>
                </c:pt>
                <c:pt idx="525">
                  <c:v>212.4</c:v>
                </c:pt>
                <c:pt idx="526">
                  <c:v>212.3</c:v>
                </c:pt>
                <c:pt idx="527">
                  <c:v>212.2</c:v>
                </c:pt>
                <c:pt idx="528">
                  <c:v>212.1</c:v>
                </c:pt>
                <c:pt idx="529">
                  <c:v>212</c:v>
                </c:pt>
                <c:pt idx="530">
                  <c:v>211.9</c:v>
                </c:pt>
                <c:pt idx="531">
                  <c:v>211.8</c:v>
                </c:pt>
                <c:pt idx="532">
                  <c:v>211.7</c:v>
                </c:pt>
                <c:pt idx="533">
                  <c:v>211.6</c:v>
                </c:pt>
                <c:pt idx="534">
                  <c:v>211.5</c:v>
                </c:pt>
                <c:pt idx="535">
                  <c:v>211.4</c:v>
                </c:pt>
                <c:pt idx="536">
                  <c:v>211.3</c:v>
                </c:pt>
                <c:pt idx="537">
                  <c:v>211.2</c:v>
                </c:pt>
                <c:pt idx="538">
                  <c:v>211.1</c:v>
                </c:pt>
                <c:pt idx="539">
                  <c:v>211</c:v>
                </c:pt>
                <c:pt idx="540">
                  <c:v>210.9</c:v>
                </c:pt>
                <c:pt idx="541">
                  <c:v>210.8</c:v>
                </c:pt>
                <c:pt idx="542">
                  <c:v>210.7</c:v>
                </c:pt>
                <c:pt idx="543">
                  <c:v>210.6</c:v>
                </c:pt>
                <c:pt idx="544">
                  <c:v>210.5</c:v>
                </c:pt>
                <c:pt idx="545">
                  <c:v>210.4</c:v>
                </c:pt>
                <c:pt idx="546">
                  <c:v>210.3</c:v>
                </c:pt>
                <c:pt idx="547">
                  <c:v>210.2</c:v>
                </c:pt>
                <c:pt idx="548">
                  <c:v>210.1</c:v>
                </c:pt>
                <c:pt idx="549">
                  <c:v>210</c:v>
                </c:pt>
                <c:pt idx="550">
                  <c:v>209.9</c:v>
                </c:pt>
                <c:pt idx="551">
                  <c:v>209.8</c:v>
                </c:pt>
                <c:pt idx="552">
                  <c:v>209.7</c:v>
                </c:pt>
                <c:pt idx="553">
                  <c:v>209.6</c:v>
                </c:pt>
                <c:pt idx="554">
                  <c:v>209.5</c:v>
                </c:pt>
                <c:pt idx="555">
                  <c:v>209.4</c:v>
                </c:pt>
                <c:pt idx="556">
                  <c:v>209.3</c:v>
                </c:pt>
                <c:pt idx="557">
                  <c:v>209.2</c:v>
                </c:pt>
                <c:pt idx="558">
                  <c:v>209.1</c:v>
                </c:pt>
                <c:pt idx="559">
                  <c:v>209</c:v>
                </c:pt>
                <c:pt idx="560">
                  <c:v>208.9</c:v>
                </c:pt>
                <c:pt idx="561">
                  <c:v>208.8</c:v>
                </c:pt>
                <c:pt idx="562">
                  <c:v>208.7</c:v>
                </c:pt>
                <c:pt idx="563">
                  <c:v>208.6</c:v>
                </c:pt>
                <c:pt idx="564">
                  <c:v>208.5</c:v>
                </c:pt>
                <c:pt idx="565">
                  <c:v>208.4</c:v>
                </c:pt>
                <c:pt idx="566">
                  <c:v>208.3</c:v>
                </c:pt>
                <c:pt idx="567">
                  <c:v>208.2</c:v>
                </c:pt>
                <c:pt idx="568">
                  <c:v>208.1</c:v>
                </c:pt>
                <c:pt idx="569">
                  <c:v>208</c:v>
                </c:pt>
                <c:pt idx="570">
                  <c:v>207.9</c:v>
                </c:pt>
                <c:pt idx="571">
                  <c:v>207.8</c:v>
                </c:pt>
                <c:pt idx="572">
                  <c:v>207.7</c:v>
                </c:pt>
                <c:pt idx="573">
                  <c:v>207.6</c:v>
                </c:pt>
                <c:pt idx="574">
                  <c:v>207.5</c:v>
                </c:pt>
                <c:pt idx="575">
                  <c:v>207.4</c:v>
                </c:pt>
                <c:pt idx="576">
                  <c:v>207.3</c:v>
                </c:pt>
                <c:pt idx="577">
                  <c:v>207.2</c:v>
                </c:pt>
                <c:pt idx="578">
                  <c:v>207.1</c:v>
                </c:pt>
                <c:pt idx="579">
                  <c:v>207</c:v>
                </c:pt>
                <c:pt idx="580">
                  <c:v>206.9</c:v>
                </c:pt>
                <c:pt idx="581">
                  <c:v>206.8</c:v>
                </c:pt>
                <c:pt idx="582">
                  <c:v>206.7</c:v>
                </c:pt>
                <c:pt idx="583">
                  <c:v>206.6</c:v>
                </c:pt>
                <c:pt idx="584">
                  <c:v>206.5</c:v>
                </c:pt>
                <c:pt idx="585">
                  <c:v>206.4</c:v>
                </c:pt>
                <c:pt idx="586">
                  <c:v>206.3</c:v>
                </c:pt>
                <c:pt idx="587">
                  <c:v>206.2</c:v>
                </c:pt>
                <c:pt idx="588">
                  <c:v>206.1</c:v>
                </c:pt>
                <c:pt idx="589">
                  <c:v>206</c:v>
                </c:pt>
                <c:pt idx="590">
                  <c:v>205.9</c:v>
                </c:pt>
                <c:pt idx="591">
                  <c:v>205.8</c:v>
                </c:pt>
                <c:pt idx="592">
                  <c:v>205.7</c:v>
                </c:pt>
                <c:pt idx="593">
                  <c:v>205.6</c:v>
                </c:pt>
                <c:pt idx="594">
                  <c:v>205.5</c:v>
                </c:pt>
                <c:pt idx="595">
                  <c:v>205.4</c:v>
                </c:pt>
                <c:pt idx="596">
                  <c:v>205.3</c:v>
                </c:pt>
                <c:pt idx="597">
                  <c:v>205.2</c:v>
                </c:pt>
                <c:pt idx="598">
                  <c:v>205.1</c:v>
                </c:pt>
                <c:pt idx="599">
                  <c:v>205</c:v>
                </c:pt>
                <c:pt idx="600">
                  <c:v>204.9</c:v>
                </c:pt>
                <c:pt idx="601">
                  <c:v>204.8</c:v>
                </c:pt>
                <c:pt idx="602">
                  <c:v>204.7</c:v>
                </c:pt>
                <c:pt idx="603">
                  <c:v>204.6</c:v>
                </c:pt>
                <c:pt idx="604">
                  <c:v>204.5</c:v>
                </c:pt>
                <c:pt idx="605">
                  <c:v>204.4</c:v>
                </c:pt>
                <c:pt idx="606">
                  <c:v>204.3</c:v>
                </c:pt>
                <c:pt idx="607">
                  <c:v>204.2</c:v>
                </c:pt>
                <c:pt idx="608">
                  <c:v>204.1</c:v>
                </c:pt>
                <c:pt idx="609">
                  <c:v>204</c:v>
                </c:pt>
                <c:pt idx="610">
                  <c:v>203.9</c:v>
                </c:pt>
                <c:pt idx="611">
                  <c:v>203.8</c:v>
                </c:pt>
                <c:pt idx="612">
                  <c:v>203.7</c:v>
                </c:pt>
                <c:pt idx="613">
                  <c:v>203.6</c:v>
                </c:pt>
                <c:pt idx="614">
                  <c:v>203.5</c:v>
                </c:pt>
                <c:pt idx="615">
                  <c:v>203.4</c:v>
                </c:pt>
                <c:pt idx="616">
                  <c:v>203.3</c:v>
                </c:pt>
                <c:pt idx="617">
                  <c:v>203.2</c:v>
                </c:pt>
                <c:pt idx="618">
                  <c:v>203.1</c:v>
                </c:pt>
                <c:pt idx="619">
                  <c:v>203</c:v>
                </c:pt>
                <c:pt idx="620">
                  <c:v>202.9</c:v>
                </c:pt>
                <c:pt idx="621">
                  <c:v>202.8</c:v>
                </c:pt>
                <c:pt idx="622">
                  <c:v>202.7</c:v>
                </c:pt>
                <c:pt idx="623">
                  <c:v>202.6</c:v>
                </c:pt>
                <c:pt idx="624">
                  <c:v>202.5</c:v>
                </c:pt>
                <c:pt idx="625">
                  <c:v>202.4</c:v>
                </c:pt>
                <c:pt idx="626">
                  <c:v>202.3</c:v>
                </c:pt>
                <c:pt idx="627">
                  <c:v>202.2</c:v>
                </c:pt>
                <c:pt idx="628">
                  <c:v>202.1</c:v>
                </c:pt>
                <c:pt idx="629">
                  <c:v>202</c:v>
                </c:pt>
                <c:pt idx="630">
                  <c:v>201.9</c:v>
                </c:pt>
                <c:pt idx="631">
                  <c:v>201.8</c:v>
                </c:pt>
                <c:pt idx="632">
                  <c:v>201.7</c:v>
                </c:pt>
                <c:pt idx="633">
                  <c:v>201.6</c:v>
                </c:pt>
                <c:pt idx="634">
                  <c:v>201.5</c:v>
                </c:pt>
                <c:pt idx="635">
                  <c:v>201.4</c:v>
                </c:pt>
                <c:pt idx="636">
                  <c:v>201.3</c:v>
                </c:pt>
                <c:pt idx="637">
                  <c:v>201.2</c:v>
                </c:pt>
                <c:pt idx="638">
                  <c:v>201.1</c:v>
                </c:pt>
                <c:pt idx="639">
                  <c:v>201</c:v>
                </c:pt>
                <c:pt idx="640">
                  <c:v>200.9</c:v>
                </c:pt>
                <c:pt idx="641">
                  <c:v>200.8</c:v>
                </c:pt>
                <c:pt idx="642">
                  <c:v>200.7</c:v>
                </c:pt>
                <c:pt idx="643">
                  <c:v>200.6</c:v>
                </c:pt>
                <c:pt idx="644">
                  <c:v>200.5</c:v>
                </c:pt>
                <c:pt idx="645">
                  <c:v>200.4</c:v>
                </c:pt>
                <c:pt idx="646">
                  <c:v>200.3</c:v>
                </c:pt>
                <c:pt idx="647">
                  <c:v>200.2</c:v>
                </c:pt>
                <c:pt idx="648">
                  <c:v>200.1</c:v>
                </c:pt>
                <c:pt idx="649">
                  <c:v>200</c:v>
                </c:pt>
                <c:pt idx="650">
                  <c:v>199.9</c:v>
                </c:pt>
                <c:pt idx="651">
                  <c:v>199.8</c:v>
                </c:pt>
                <c:pt idx="652">
                  <c:v>199.7</c:v>
                </c:pt>
                <c:pt idx="653">
                  <c:v>199.6</c:v>
                </c:pt>
                <c:pt idx="654">
                  <c:v>199.5</c:v>
                </c:pt>
                <c:pt idx="655">
                  <c:v>199.4</c:v>
                </c:pt>
                <c:pt idx="656">
                  <c:v>199.3</c:v>
                </c:pt>
                <c:pt idx="657">
                  <c:v>199.2</c:v>
                </c:pt>
                <c:pt idx="658">
                  <c:v>199.1</c:v>
                </c:pt>
                <c:pt idx="659">
                  <c:v>199</c:v>
                </c:pt>
                <c:pt idx="660">
                  <c:v>198.9</c:v>
                </c:pt>
                <c:pt idx="661">
                  <c:v>198.8</c:v>
                </c:pt>
                <c:pt idx="662">
                  <c:v>198.7</c:v>
                </c:pt>
                <c:pt idx="663">
                  <c:v>198.6</c:v>
                </c:pt>
                <c:pt idx="664">
                  <c:v>198.5</c:v>
                </c:pt>
                <c:pt idx="665">
                  <c:v>198.4</c:v>
                </c:pt>
                <c:pt idx="666">
                  <c:v>198.3</c:v>
                </c:pt>
                <c:pt idx="667">
                  <c:v>198.2</c:v>
                </c:pt>
                <c:pt idx="668">
                  <c:v>198.1</c:v>
                </c:pt>
                <c:pt idx="669">
                  <c:v>198</c:v>
                </c:pt>
                <c:pt idx="670">
                  <c:v>197.9</c:v>
                </c:pt>
                <c:pt idx="671">
                  <c:v>197.8</c:v>
                </c:pt>
                <c:pt idx="672">
                  <c:v>197.7</c:v>
                </c:pt>
                <c:pt idx="673">
                  <c:v>197.6</c:v>
                </c:pt>
                <c:pt idx="674">
                  <c:v>197.5</c:v>
                </c:pt>
                <c:pt idx="675">
                  <c:v>197.4</c:v>
                </c:pt>
                <c:pt idx="676">
                  <c:v>197.3</c:v>
                </c:pt>
                <c:pt idx="677">
                  <c:v>197.2</c:v>
                </c:pt>
                <c:pt idx="678">
                  <c:v>197.1</c:v>
                </c:pt>
                <c:pt idx="679">
                  <c:v>197</c:v>
                </c:pt>
                <c:pt idx="680">
                  <c:v>196.9</c:v>
                </c:pt>
                <c:pt idx="681">
                  <c:v>196.8</c:v>
                </c:pt>
                <c:pt idx="682">
                  <c:v>196.7</c:v>
                </c:pt>
                <c:pt idx="683">
                  <c:v>196.6</c:v>
                </c:pt>
                <c:pt idx="684">
                  <c:v>196.5</c:v>
                </c:pt>
                <c:pt idx="685">
                  <c:v>196.4</c:v>
                </c:pt>
                <c:pt idx="686">
                  <c:v>196.3</c:v>
                </c:pt>
                <c:pt idx="687">
                  <c:v>196.2</c:v>
                </c:pt>
                <c:pt idx="688">
                  <c:v>196.1</c:v>
                </c:pt>
                <c:pt idx="689">
                  <c:v>196</c:v>
                </c:pt>
                <c:pt idx="690">
                  <c:v>195.9</c:v>
                </c:pt>
                <c:pt idx="691">
                  <c:v>195.8</c:v>
                </c:pt>
                <c:pt idx="692">
                  <c:v>195.7</c:v>
                </c:pt>
                <c:pt idx="693">
                  <c:v>195.6</c:v>
                </c:pt>
                <c:pt idx="694">
                  <c:v>195.5</c:v>
                </c:pt>
                <c:pt idx="695">
                  <c:v>195.4</c:v>
                </c:pt>
                <c:pt idx="696">
                  <c:v>195.3</c:v>
                </c:pt>
                <c:pt idx="697">
                  <c:v>195.2</c:v>
                </c:pt>
                <c:pt idx="698">
                  <c:v>195.1</c:v>
                </c:pt>
                <c:pt idx="699">
                  <c:v>195</c:v>
                </c:pt>
                <c:pt idx="700">
                  <c:v>194.9</c:v>
                </c:pt>
                <c:pt idx="701">
                  <c:v>194.8</c:v>
                </c:pt>
                <c:pt idx="702">
                  <c:v>194.7</c:v>
                </c:pt>
                <c:pt idx="703">
                  <c:v>194.6</c:v>
                </c:pt>
                <c:pt idx="704">
                  <c:v>194.5</c:v>
                </c:pt>
                <c:pt idx="705">
                  <c:v>194.4</c:v>
                </c:pt>
                <c:pt idx="706">
                  <c:v>194.3</c:v>
                </c:pt>
                <c:pt idx="707">
                  <c:v>194.2</c:v>
                </c:pt>
                <c:pt idx="708">
                  <c:v>194.1</c:v>
                </c:pt>
                <c:pt idx="709">
                  <c:v>194</c:v>
                </c:pt>
                <c:pt idx="710">
                  <c:v>193.9</c:v>
                </c:pt>
                <c:pt idx="711">
                  <c:v>193.8</c:v>
                </c:pt>
                <c:pt idx="712">
                  <c:v>193.7</c:v>
                </c:pt>
                <c:pt idx="713">
                  <c:v>193.6</c:v>
                </c:pt>
                <c:pt idx="714">
                  <c:v>193.5</c:v>
                </c:pt>
                <c:pt idx="715">
                  <c:v>193.4</c:v>
                </c:pt>
                <c:pt idx="716">
                  <c:v>193.3</c:v>
                </c:pt>
                <c:pt idx="717">
                  <c:v>193.2</c:v>
                </c:pt>
                <c:pt idx="718">
                  <c:v>193.1</c:v>
                </c:pt>
                <c:pt idx="719">
                  <c:v>193</c:v>
                </c:pt>
                <c:pt idx="720">
                  <c:v>192.9</c:v>
                </c:pt>
                <c:pt idx="721">
                  <c:v>192.8</c:v>
                </c:pt>
                <c:pt idx="722">
                  <c:v>192.7</c:v>
                </c:pt>
                <c:pt idx="723">
                  <c:v>192.6</c:v>
                </c:pt>
                <c:pt idx="724">
                  <c:v>192.5</c:v>
                </c:pt>
                <c:pt idx="725">
                  <c:v>192.4</c:v>
                </c:pt>
                <c:pt idx="726">
                  <c:v>192.3</c:v>
                </c:pt>
                <c:pt idx="727">
                  <c:v>192.2</c:v>
                </c:pt>
                <c:pt idx="728">
                  <c:v>192.1</c:v>
                </c:pt>
                <c:pt idx="729">
                  <c:v>192</c:v>
                </c:pt>
                <c:pt idx="730">
                  <c:v>191.9</c:v>
                </c:pt>
                <c:pt idx="731">
                  <c:v>191.8</c:v>
                </c:pt>
                <c:pt idx="732">
                  <c:v>191.7</c:v>
                </c:pt>
                <c:pt idx="733">
                  <c:v>191.6</c:v>
                </c:pt>
                <c:pt idx="734">
                  <c:v>191.5</c:v>
                </c:pt>
                <c:pt idx="735">
                  <c:v>191.4</c:v>
                </c:pt>
                <c:pt idx="736">
                  <c:v>191.3</c:v>
                </c:pt>
                <c:pt idx="737">
                  <c:v>191.2</c:v>
                </c:pt>
                <c:pt idx="738">
                  <c:v>191.1</c:v>
                </c:pt>
                <c:pt idx="739">
                  <c:v>191</c:v>
                </c:pt>
                <c:pt idx="740">
                  <c:v>190.9</c:v>
                </c:pt>
                <c:pt idx="741">
                  <c:v>190.8</c:v>
                </c:pt>
                <c:pt idx="742">
                  <c:v>190.7</c:v>
                </c:pt>
                <c:pt idx="743">
                  <c:v>190.6</c:v>
                </c:pt>
                <c:pt idx="744">
                  <c:v>190.5</c:v>
                </c:pt>
                <c:pt idx="745">
                  <c:v>190.4</c:v>
                </c:pt>
                <c:pt idx="746">
                  <c:v>190.3</c:v>
                </c:pt>
                <c:pt idx="747">
                  <c:v>190.2</c:v>
                </c:pt>
                <c:pt idx="748">
                  <c:v>190.1</c:v>
                </c:pt>
                <c:pt idx="749">
                  <c:v>190</c:v>
                </c:pt>
                <c:pt idx="750">
                  <c:v>189.9</c:v>
                </c:pt>
                <c:pt idx="751">
                  <c:v>189.8</c:v>
                </c:pt>
                <c:pt idx="752">
                  <c:v>189.7</c:v>
                </c:pt>
                <c:pt idx="753">
                  <c:v>189.6</c:v>
                </c:pt>
                <c:pt idx="754">
                  <c:v>189.5</c:v>
                </c:pt>
                <c:pt idx="755">
                  <c:v>189.4</c:v>
                </c:pt>
                <c:pt idx="756">
                  <c:v>189.3</c:v>
                </c:pt>
                <c:pt idx="757">
                  <c:v>189.2</c:v>
                </c:pt>
                <c:pt idx="758">
                  <c:v>189.1</c:v>
                </c:pt>
                <c:pt idx="759">
                  <c:v>189</c:v>
                </c:pt>
                <c:pt idx="760">
                  <c:v>188.9</c:v>
                </c:pt>
                <c:pt idx="761">
                  <c:v>188.8</c:v>
                </c:pt>
                <c:pt idx="762">
                  <c:v>188.7</c:v>
                </c:pt>
                <c:pt idx="763">
                  <c:v>188.6</c:v>
                </c:pt>
                <c:pt idx="764">
                  <c:v>188.5</c:v>
                </c:pt>
                <c:pt idx="765">
                  <c:v>188.4</c:v>
                </c:pt>
                <c:pt idx="766">
                  <c:v>188.3</c:v>
                </c:pt>
                <c:pt idx="767">
                  <c:v>188.2</c:v>
                </c:pt>
                <c:pt idx="768">
                  <c:v>188.1</c:v>
                </c:pt>
                <c:pt idx="769">
                  <c:v>188</c:v>
                </c:pt>
                <c:pt idx="770">
                  <c:v>187.9</c:v>
                </c:pt>
                <c:pt idx="771">
                  <c:v>187.8</c:v>
                </c:pt>
                <c:pt idx="772">
                  <c:v>187.7</c:v>
                </c:pt>
                <c:pt idx="773">
                  <c:v>187.6</c:v>
                </c:pt>
                <c:pt idx="774">
                  <c:v>187.5</c:v>
                </c:pt>
                <c:pt idx="775">
                  <c:v>187.4</c:v>
                </c:pt>
                <c:pt idx="776">
                  <c:v>187.3</c:v>
                </c:pt>
                <c:pt idx="777">
                  <c:v>187.2</c:v>
                </c:pt>
                <c:pt idx="778">
                  <c:v>187.1</c:v>
                </c:pt>
                <c:pt idx="779">
                  <c:v>187</c:v>
                </c:pt>
                <c:pt idx="780">
                  <c:v>186.9</c:v>
                </c:pt>
                <c:pt idx="781">
                  <c:v>186.8</c:v>
                </c:pt>
                <c:pt idx="782">
                  <c:v>186.7</c:v>
                </c:pt>
                <c:pt idx="783">
                  <c:v>186.6</c:v>
                </c:pt>
                <c:pt idx="784">
                  <c:v>186.5</c:v>
                </c:pt>
                <c:pt idx="785">
                  <c:v>186.4</c:v>
                </c:pt>
                <c:pt idx="786">
                  <c:v>186.3</c:v>
                </c:pt>
                <c:pt idx="787">
                  <c:v>186.2</c:v>
                </c:pt>
                <c:pt idx="788">
                  <c:v>186.1</c:v>
                </c:pt>
                <c:pt idx="789">
                  <c:v>186</c:v>
                </c:pt>
                <c:pt idx="790">
                  <c:v>185.9</c:v>
                </c:pt>
                <c:pt idx="791">
                  <c:v>185.8</c:v>
                </c:pt>
                <c:pt idx="792">
                  <c:v>185.7</c:v>
                </c:pt>
                <c:pt idx="793">
                  <c:v>185.6</c:v>
                </c:pt>
                <c:pt idx="794">
                  <c:v>185.5</c:v>
                </c:pt>
                <c:pt idx="795">
                  <c:v>185.4</c:v>
                </c:pt>
                <c:pt idx="796">
                  <c:v>185.3</c:v>
                </c:pt>
                <c:pt idx="797">
                  <c:v>185.2</c:v>
                </c:pt>
                <c:pt idx="798">
                  <c:v>185.1</c:v>
                </c:pt>
                <c:pt idx="799">
                  <c:v>185</c:v>
                </c:pt>
                <c:pt idx="800">
                  <c:v>184.9</c:v>
                </c:pt>
                <c:pt idx="801">
                  <c:v>184.8</c:v>
                </c:pt>
                <c:pt idx="802">
                  <c:v>184.7</c:v>
                </c:pt>
                <c:pt idx="803">
                  <c:v>184.6</c:v>
                </c:pt>
                <c:pt idx="804">
                  <c:v>184.5</c:v>
                </c:pt>
                <c:pt idx="805">
                  <c:v>184.4</c:v>
                </c:pt>
                <c:pt idx="806">
                  <c:v>184.3</c:v>
                </c:pt>
                <c:pt idx="807">
                  <c:v>184.2</c:v>
                </c:pt>
                <c:pt idx="808">
                  <c:v>184.1</c:v>
                </c:pt>
                <c:pt idx="809">
                  <c:v>184</c:v>
                </c:pt>
                <c:pt idx="810">
                  <c:v>183.9</c:v>
                </c:pt>
                <c:pt idx="811">
                  <c:v>183.8</c:v>
                </c:pt>
                <c:pt idx="812">
                  <c:v>183.7</c:v>
                </c:pt>
                <c:pt idx="813">
                  <c:v>183.6</c:v>
                </c:pt>
                <c:pt idx="814">
                  <c:v>183.5</c:v>
                </c:pt>
                <c:pt idx="815">
                  <c:v>183.4</c:v>
                </c:pt>
                <c:pt idx="816">
                  <c:v>183.3</c:v>
                </c:pt>
                <c:pt idx="817">
                  <c:v>183.2</c:v>
                </c:pt>
                <c:pt idx="818">
                  <c:v>183.1</c:v>
                </c:pt>
                <c:pt idx="819">
                  <c:v>183</c:v>
                </c:pt>
                <c:pt idx="820">
                  <c:v>182.9</c:v>
                </c:pt>
                <c:pt idx="821">
                  <c:v>182.8</c:v>
                </c:pt>
                <c:pt idx="822">
                  <c:v>182.7</c:v>
                </c:pt>
                <c:pt idx="823">
                  <c:v>182.6</c:v>
                </c:pt>
                <c:pt idx="824">
                  <c:v>182.5</c:v>
                </c:pt>
                <c:pt idx="825">
                  <c:v>182.4</c:v>
                </c:pt>
                <c:pt idx="826">
                  <c:v>182.3</c:v>
                </c:pt>
                <c:pt idx="827">
                  <c:v>182.2</c:v>
                </c:pt>
                <c:pt idx="828">
                  <c:v>182.1</c:v>
                </c:pt>
                <c:pt idx="829">
                  <c:v>182</c:v>
                </c:pt>
                <c:pt idx="830">
                  <c:v>181.9</c:v>
                </c:pt>
                <c:pt idx="831">
                  <c:v>181.8</c:v>
                </c:pt>
                <c:pt idx="832">
                  <c:v>181.7</c:v>
                </c:pt>
                <c:pt idx="833">
                  <c:v>181.6</c:v>
                </c:pt>
                <c:pt idx="834">
                  <c:v>181.5</c:v>
                </c:pt>
                <c:pt idx="835">
                  <c:v>181.4</c:v>
                </c:pt>
                <c:pt idx="836">
                  <c:v>181.2</c:v>
                </c:pt>
                <c:pt idx="837">
                  <c:v>181.1</c:v>
                </c:pt>
                <c:pt idx="838">
                  <c:v>180.9</c:v>
                </c:pt>
                <c:pt idx="839">
                  <c:v>180.8</c:v>
                </c:pt>
                <c:pt idx="840">
                  <c:v>180.7</c:v>
                </c:pt>
                <c:pt idx="841">
                  <c:v>180.6</c:v>
                </c:pt>
                <c:pt idx="842">
                  <c:v>180.5</c:v>
                </c:pt>
                <c:pt idx="843">
                  <c:v>180.4</c:v>
                </c:pt>
                <c:pt idx="844">
                  <c:v>180.3</c:v>
                </c:pt>
                <c:pt idx="845">
                  <c:v>180.2</c:v>
                </c:pt>
                <c:pt idx="846">
                  <c:v>180.1</c:v>
                </c:pt>
                <c:pt idx="847">
                  <c:v>180</c:v>
                </c:pt>
                <c:pt idx="848">
                  <c:v>179.9</c:v>
                </c:pt>
                <c:pt idx="849">
                  <c:v>179.6</c:v>
                </c:pt>
                <c:pt idx="850">
                  <c:v>179.5</c:v>
                </c:pt>
                <c:pt idx="851">
                  <c:v>179.4</c:v>
                </c:pt>
                <c:pt idx="852">
                  <c:v>179.3</c:v>
                </c:pt>
                <c:pt idx="853">
                  <c:v>179.2</c:v>
                </c:pt>
                <c:pt idx="854">
                  <c:v>179.1</c:v>
                </c:pt>
                <c:pt idx="855">
                  <c:v>179</c:v>
                </c:pt>
                <c:pt idx="856">
                  <c:v>178.9</c:v>
                </c:pt>
                <c:pt idx="857">
                  <c:v>178.8</c:v>
                </c:pt>
                <c:pt idx="858">
                  <c:v>178.7</c:v>
                </c:pt>
                <c:pt idx="859">
                  <c:v>178.6</c:v>
                </c:pt>
                <c:pt idx="860">
                  <c:v>178.5</c:v>
                </c:pt>
                <c:pt idx="861">
                  <c:v>178.4</c:v>
                </c:pt>
                <c:pt idx="862">
                  <c:v>178.3</c:v>
                </c:pt>
                <c:pt idx="863">
                  <c:v>178.2</c:v>
                </c:pt>
                <c:pt idx="864">
                  <c:v>178.1</c:v>
                </c:pt>
                <c:pt idx="865">
                  <c:v>178</c:v>
                </c:pt>
                <c:pt idx="866">
                  <c:v>177.9</c:v>
                </c:pt>
                <c:pt idx="867">
                  <c:v>177.8</c:v>
                </c:pt>
                <c:pt idx="868">
                  <c:v>177.7</c:v>
                </c:pt>
                <c:pt idx="869">
                  <c:v>177.6</c:v>
                </c:pt>
                <c:pt idx="870">
                  <c:v>177.5</c:v>
                </c:pt>
                <c:pt idx="871">
                  <c:v>177.4</c:v>
                </c:pt>
                <c:pt idx="872">
                  <c:v>177.3</c:v>
                </c:pt>
                <c:pt idx="873">
                  <c:v>177.2</c:v>
                </c:pt>
                <c:pt idx="874">
                  <c:v>177.1</c:v>
                </c:pt>
                <c:pt idx="875">
                  <c:v>177</c:v>
                </c:pt>
                <c:pt idx="876">
                  <c:v>176.9</c:v>
                </c:pt>
                <c:pt idx="877">
                  <c:v>176.8</c:v>
                </c:pt>
                <c:pt idx="878">
                  <c:v>176.7</c:v>
                </c:pt>
                <c:pt idx="879">
                  <c:v>176.6</c:v>
                </c:pt>
                <c:pt idx="880">
                  <c:v>176.5</c:v>
                </c:pt>
                <c:pt idx="881">
                  <c:v>176.4</c:v>
                </c:pt>
                <c:pt idx="882">
                  <c:v>176.3</c:v>
                </c:pt>
                <c:pt idx="883">
                  <c:v>176.2</c:v>
                </c:pt>
                <c:pt idx="884">
                  <c:v>176.1</c:v>
                </c:pt>
                <c:pt idx="885">
                  <c:v>176</c:v>
                </c:pt>
                <c:pt idx="886">
                  <c:v>175.9</c:v>
                </c:pt>
                <c:pt idx="887">
                  <c:v>175.8</c:v>
                </c:pt>
                <c:pt idx="888">
                  <c:v>175.7</c:v>
                </c:pt>
                <c:pt idx="889">
                  <c:v>175.6</c:v>
                </c:pt>
                <c:pt idx="890">
                  <c:v>175.5</c:v>
                </c:pt>
                <c:pt idx="891">
                  <c:v>175.4</c:v>
                </c:pt>
                <c:pt idx="892">
                  <c:v>175.3</c:v>
                </c:pt>
                <c:pt idx="893">
                  <c:v>175.2</c:v>
                </c:pt>
                <c:pt idx="894">
                  <c:v>175.1</c:v>
                </c:pt>
                <c:pt idx="895">
                  <c:v>175</c:v>
                </c:pt>
                <c:pt idx="896">
                  <c:v>174.9</c:v>
                </c:pt>
                <c:pt idx="897">
                  <c:v>174.8</c:v>
                </c:pt>
                <c:pt idx="898">
                  <c:v>174.7</c:v>
                </c:pt>
                <c:pt idx="899">
                  <c:v>174.6</c:v>
                </c:pt>
                <c:pt idx="900">
                  <c:v>174.5</c:v>
                </c:pt>
                <c:pt idx="901">
                  <c:v>174.4</c:v>
                </c:pt>
                <c:pt idx="902">
                  <c:v>174.3</c:v>
                </c:pt>
                <c:pt idx="903">
                  <c:v>174.2</c:v>
                </c:pt>
                <c:pt idx="904">
                  <c:v>174.1</c:v>
                </c:pt>
                <c:pt idx="905">
                  <c:v>173.9</c:v>
                </c:pt>
                <c:pt idx="906">
                  <c:v>173.8</c:v>
                </c:pt>
                <c:pt idx="907">
                  <c:v>173.7</c:v>
                </c:pt>
                <c:pt idx="908">
                  <c:v>173.6</c:v>
                </c:pt>
                <c:pt idx="909">
                  <c:v>173.5</c:v>
                </c:pt>
                <c:pt idx="910">
                  <c:v>173.4</c:v>
                </c:pt>
                <c:pt idx="911">
                  <c:v>173.3</c:v>
                </c:pt>
                <c:pt idx="912">
                  <c:v>173.2</c:v>
                </c:pt>
                <c:pt idx="913">
                  <c:v>173.1</c:v>
                </c:pt>
                <c:pt idx="914">
                  <c:v>173</c:v>
                </c:pt>
                <c:pt idx="915">
                  <c:v>172.9</c:v>
                </c:pt>
                <c:pt idx="916">
                  <c:v>172.8</c:v>
                </c:pt>
                <c:pt idx="917">
                  <c:v>172.5</c:v>
                </c:pt>
                <c:pt idx="918">
                  <c:v>172.4</c:v>
                </c:pt>
                <c:pt idx="919">
                  <c:v>172.3</c:v>
                </c:pt>
                <c:pt idx="920">
                  <c:v>172.2</c:v>
                </c:pt>
                <c:pt idx="921">
                  <c:v>172.1</c:v>
                </c:pt>
                <c:pt idx="922">
                  <c:v>172</c:v>
                </c:pt>
                <c:pt idx="923">
                  <c:v>171.9</c:v>
                </c:pt>
                <c:pt idx="924">
                  <c:v>171.8</c:v>
                </c:pt>
                <c:pt idx="925">
                  <c:v>171.7</c:v>
                </c:pt>
                <c:pt idx="926">
                  <c:v>171.6</c:v>
                </c:pt>
                <c:pt idx="927">
                  <c:v>171.5</c:v>
                </c:pt>
                <c:pt idx="928">
                  <c:v>171.4</c:v>
                </c:pt>
                <c:pt idx="929">
                  <c:v>171.3</c:v>
                </c:pt>
                <c:pt idx="930">
                  <c:v>171.2</c:v>
                </c:pt>
                <c:pt idx="931">
                  <c:v>171.1</c:v>
                </c:pt>
                <c:pt idx="932">
                  <c:v>171</c:v>
                </c:pt>
                <c:pt idx="933">
                  <c:v>170.9</c:v>
                </c:pt>
                <c:pt idx="934">
                  <c:v>170.8</c:v>
                </c:pt>
                <c:pt idx="935">
                  <c:v>170.7</c:v>
                </c:pt>
                <c:pt idx="936">
                  <c:v>170.6</c:v>
                </c:pt>
                <c:pt idx="937">
                  <c:v>170.5</c:v>
                </c:pt>
                <c:pt idx="938">
                  <c:v>170.4</c:v>
                </c:pt>
                <c:pt idx="939">
                  <c:v>170.3</c:v>
                </c:pt>
                <c:pt idx="940">
                  <c:v>170.2</c:v>
                </c:pt>
                <c:pt idx="941">
                  <c:v>170.1</c:v>
                </c:pt>
                <c:pt idx="942">
                  <c:v>170</c:v>
                </c:pt>
                <c:pt idx="943">
                  <c:v>169.9</c:v>
                </c:pt>
                <c:pt idx="944">
                  <c:v>169.8</c:v>
                </c:pt>
                <c:pt idx="945">
                  <c:v>169.7</c:v>
                </c:pt>
                <c:pt idx="946">
                  <c:v>169.6</c:v>
                </c:pt>
                <c:pt idx="947">
                  <c:v>169.5</c:v>
                </c:pt>
                <c:pt idx="948">
                  <c:v>169.3</c:v>
                </c:pt>
                <c:pt idx="949">
                  <c:v>169.1</c:v>
                </c:pt>
                <c:pt idx="950">
                  <c:v>169</c:v>
                </c:pt>
                <c:pt idx="951">
                  <c:v>168.9</c:v>
                </c:pt>
                <c:pt idx="952">
                  <c:v>168.8</c:v>
                </c:pt>
                <c:pt idx="953">
                  <c:v>168.7</c:v>
                </c:pt>
                <c:pt idx="954">
                  <c:v>168.6</c:v>
                </c:pt>
                <c:pt idx="955">
                  <c:v>168.5</c:v>
                </c:pt>
                <c:pt idx="956">
                  <c:v>168.4</c:v>
                </c:pt>
                <c:pt idx="957">
                  <c:v>168.3</c:v>
                </c:pt>
                <c:pt idx="958">
                  <c:v>168.1</c:v>
                </c:pt>
                <c:pt idx="959">
                  <c:v>168</c:v>
                </c:pt>
                <c:pt idx="960">
                  <c:v>167.9</c:v>
                </c:pt>
                <c:pt idx="961">
                  <c:v>167.8</c:v>
                </c:pt>
                <c:pt idx="962">
                  <c:v>167.7</c:v>
                </c:pt>
                <c:pt idx="963">
                  <c:v>167.6</c:v>
                </c:pt>
                <c:pt idx="964">
                  <c:v>167.5</c:v>
                </c:pt>
                <c:pt idx="965">
                  <c:v>167.3</c:v>
                </c:pt>
                <c:pt idx="966">
                  <c:v>167.2</c:v>
                </c:pt>
                <c:pt idx="967">
                  <c:v>167.1</c:v>
                </c:pt>
                <c:pt idx="968">
                  <c:v>167</c:v>
                </c:pt>
                <c:pt idx="969">
                  <c:v>166.9</c:v>
                </c:pt>
                <c:pt idx="970">
                  <c:v>166.8</c:v>
                </c:pt>
                <c:pt idx="971">
                  <c:v>166.6</c:v>
                </c:pt>
                <c:pt idx="972">
                  <c:v>166.5</c:v>
                </c:pt>
                <c:pt idx="973">
                  <c:v>166.4</c:v>
                </c:pt>
                <c:pt idx="974">
                  <c:v>166.3</c:v>
                </c:pt>
                <c:pt idx="975">
                  <c:v>166.2</c:v>
                </c:pt>
                <c:pt idx="976">
                  <c:v>166.1</c:v>
                </c:pt>
                <c:pt idx="977">
                  <c:v>166</c:v>
                </c:pt>
                <c:pt idx="978">
                  <c:v>165.9</c:v>
                </c:pt>
                <c:pt idx="979">
                  <c:v>165.8</c:v>
                </c:pt>
                <c:pt idx="980">
                  <c:v>165.7</c:v>
                </c:pt>
                <c:pt idx="981">
                  <c:v>165.5</c:v>
                </c:pt>
                <c:pt idx="982">
                  <c:v>165.4</c:v>
                </c:pt>
                <c:pt idx="983">
                  <c:v>165.3</c:v>
                </c:pt>
                <c:pt idx="984">
                  <c:v>165.2</c:v>
                </c:pt>
                <c:pt idx="985">
                  <c:v>165.1</c:v>
                </c:pt>
                <c:pt idx="986">
                  <c:v>165</c:v>
                </c:pt>
                <c:pt idx="987">
                  <c:v>164.9</c:v>
                </c:pt>
                <c:pt idx="988">
                  <c:v>164.8</c:v>
                </c:pt>
                <c:pt idx="989">
                  <c:v>164.6</c:v>
                </c:pt>
                <c:pt idx="990">
                  <c:v>164.5</c:v>
                </c:pt>
                <c:pt idx="991">
                  <c:v>164.4</c:v>
                </c:pt>
                <c:pt idx="992">
                  <c:v>164.3</c:v>
                </c:pt>
                <c:pt idx="993">
                  <c:v>164.2</c:v>
                </c:pt>
                <c:pt idx="994">
                  <c:v>164.1</c:v>
                </c:pt>
                <c:pt idx="995">
                  <c:v>164</c:v>
                </c:pt>
                <c:pt idx="996">
                  <c:v>163.9</c:v>
                </c:pt>
                <c:pt idx="997">
                  <c:v>163.80000000000001</c:v>
                </c:pt>
                <c:pt idx="998">
                  <c:v>163.69999999999999</c:v>
                </c:pt>
                <c:pt idx="999">
                  <c:v>163.6</c:v>
                </c:pt>
                <c:pt idx="1000">
                  <c:v>163.4</c:v>
                </c:pt>
                <c:pt idx="1001">
                  <c:v>163.30000000000001</c:v>
                </c:pt>
                <c:pt idx="1002">
                  <c:v>163.19999999999999</c:v>
                </c:pt>
                <c:pt idx="1003">
                  <c:v>163.1</c:v>
                </c:pt>
                <c:pt idx="1004">
                  <c:v>163</c:v>
                </c:pt>
                <c:pt idx="1005">
                  <c:v>162.9</c:v>
                </c:pt>
                <c:pt idx="1006">
                  <c:v>162.80000000000001</c:v>
                </c:pt>
                <c:pt idx="1007">
                  <c:v>162.69999999999999</c:v>
                </c:pt>
                <c:pt idx="1008">
                  <c:v>162.6</c:v>
                </c:pt>
                <c:pt idx="1009">
                  <c:v>162.5</c:v>
                </c:pt>
                <c:pt idx="1010">
                  <c:v>162.4</c:v>
                </c:pt>
                <c:pt idx="1011">
                  <c:v>162.19999999999999</c:v>
                </c:pt>
                <c:pt idx="1012">
                  <c:v>162</c:v>
                </c:pt>
                <c:pt idx="1013">
                  <c:v>161.9</c:v>
                </c:pt>
                <c:pt idx="1014">
                  <c:v>161.80000000000001</c:v>
                </c:pt>
                <c:pt idx="1015">
                  <c:v>161.69999999999999</c:v>
                </c:pt>
                <c:pt idx="1016">
                  <c:v>161.6</c:v>
                </c:pt>
                <c:pt idx="1017">
                  <c:v>161.5</c:v>
                </c:pt>
                <c:pt idx="1018">
                  <c:v>161.4</c:v>
                </c:pt>
                <c:pt idx="1019">
                  <c:v>161.30000000000001</c:v>
                </c:pt>
                <c:pt idx="1020">
                  <c:v>161.19999999999999</c:v>
                </c:pt>
                <c:pt idx="1021">
                  <c:v>161.1</c:v>
                </c:pt>
                <c:pt idx="1022">
                  <c:v>160.9</c:v>
                </c:pt>
                <c:pt idx="1023">
                  <c:v>160.69999999999999</c:v>
                </c:pt>
                <c:pt idx="1024">
                  <c:v>160.6</c:v>
                </c:pt>
                <c:pt idx="1025">
                  <c:v>160.5</c:v>
                </c:pt>
                <c:pt idx="1026">
                  <c:v>160.4</c:v>
                </c:pt>
                <c:pt idx="1027">
                  <c:v>160.19999999999999</c:v>
                </c:pt>
                <c:pt idx="1028">
                  <c:v>160.1</c:v>
                </c:pt>
                <c:pt idx="1029">
                  <c:v>160</c:v>
                </c:pt>
                <c:pt idx="1030">
                  <c:v>159.9</c:v>
                </c:pt>
                <c:pt idx="1031">
                  <c:v>159.80000000000001</c:v>
                </c:pt>
                <c:pt idx="1032">
                  <c:v>159.69999999999999</c:v>
                </c:pt>
                <c:pt idx="1033">
                  <c:v>159.6</c:v>
                </c:pt>
                <c:pt idx="1034">
                  <c:v>159.5</c:v>
                </c:pt>
                <c:pt idx="1035">
                  <c:v>159.4</c:v>
                </c:pt>
                <c:pt idx="1036">
                  <c:v>159.30000000000001</c:v>
                </c:pt>
                <c:pt idx="1037">
                  <c:v>159.19999999999999</c:v>
                </c:pt>
                <c:pt idx="1038">
                  <c:v>159.1</c:v>
                </c:pt>
                <c:pt idx="1039">
                  <c:v>159</c:v>
                </c:pt>
                <c:pt idx="1040">
                  <c:v>158.9</c:v>
                </c:pt>
                <c:pt idx="1041">
                  <c:v>158.80000000000001</c:v>
                </c:pt>
                <c:pt idx="1042">
                  <c:v>158.6</c:v>
                </c:pt>
                <c:pt idx="1043">
                  <c:v>158.5</c:v>
                </c:pt>
                <c:pt idx="1044">
                  <c:v>158.4</c:v>
                </c:pt>
                <c:pt idx="1045">
                  <c:v>158.30000000000001</c:v>
                </c:pt>
                <c:pt idx="1046">
                  <c:v>158.19999999999999</c:v>
                </c:pt>
                <c:pt idx="1047">
                  <c:v>158.1</c:v>
                </c:pt>
                <c:pt idx="1048">
                  <c:v>158</c:v>
                </c:pt>
                <c:pt idx="1049">
                  <c:v>157.9</c:v>
                </c:pt>
                <c:pt idx="1050">
                  <c:v>157.80000000000001</c:v>
                </c:pt>
                <c:pt idx="1051">
                  <c:v>157.69999999999999</c:v>
                </c:pt>
                <c:pt idx="1052">
                  <c:v>157.6</c:v>
                </c:pt>
                <c:pt idx="1053">
                  <c:v>157.5</c:v>
                </c:pt>
                <c:pt idx="1054">
                  <c:v>157.4</c:v>
                </c:pt>
                <c:pt idx="1055">
                  <c:v>157.30000000000001</c:v>
                </c:pt>
                <c:pt idx="1056">
                  <c:v>157.19999999999999</c:v>
                </c:pt>
                <c:pt idx="1057">
                  <c:v>157.1</c:v>
                </c:pt>
                <c:pt idx="1058">
                  <c:v>156.9</c:v>
                </c:pt>
                <c:pt idx="1059">
                  <c:v>156.80000000000001</c:v>
                </c:pt>
                <c:pt idx="1060">
                  <c:v>156.69999999999999</c:v>
                </c:pt>
                <c:pt idx="1061">
                  <c:v>156.6</c:v>
                </c:pt>
                <c:pt idx="1062">
                  <c:v>156.5</c:v>
                </c:pt>
                <c:pt idx="1063">
                  <c:v>156.4</c:v>
                </c:pt>
                <c:pt idx="1064">
                  <c:v>156.30000000000001</c:v>
                </c:pt>
                <c:pt idx="1065">
                  <c:v>156.19999999999999</c:v>
                </c:pt>
                <c:pt idx="1066">
                  <c:v>156.1</c:v>
                </c:pt>
                <c:pt idx="1067">
                  <c:v>156</c:v>
                </c:pt>
                <c:pt idx="1068">
                  <c:v>155.9</c:v>
                </c:pt>
                <c:pt idx="1069">
                  <c:v>155.80000000000001</c:v>
                </c:pt>
                <c:pt idx="1070">
                  <c:v>155.69999999999999</c:v>
                </c:pt>
                <c:pt idx="1071">
                  <c:v>155.6</c:v>
                </c:pt>
                <c:pt idx="1072">
                  <c:v>155.4</c:v>
                </c:pt>
                <c:pt idx="1073">
                  <c:v>155.30000000000001</c:v>
                </c:pt>
                <c:pt idx="1074">
                  <c:v>155.19999999999999</c:v>
                </c:pt>
                <c:pt idx="1075">
                  <c:v>155.1</c:v>
                </c:pt>
                <c:pt idx="1076">
                  <c:v>155</c:v>
                </c:pt>
                <c:pt idx="1077">
                  <c:v>154.9</c:v>
                </c:pt>
                <c:pt idx="1078">
                  <c:v>154.80000000000001</c:v>
                </c:pt>
                <c:pt idx="1079">
                  <c:v>154.6</c:v>
                </c:pt>
                <c:pt idx="1080">
                  <c:v>154.5</c:v>
                </c:pt>
                <c:pt idx="1081">
                  <c:v>154.4</c:v>
                </c:pt>
                <c:pt idx="1082">
                  <c:v>154.30000000000001</c:v>
                </c:pt>
                <c:pt idx="1083">
                  <c:v>154.19999999999999</c:v>
                </c:pt>
                <c:pt idx="1084">
                  <c:v>154.1</c:v>
                </c:pt>
                <c:pt idx="1085">
                  <c:v>154</c:v>
                </c:pt>
                <c:pt idx="1086">
                  <c:v>153.9</c:v>
                </c:pt>
                <c:pt idx="1087">
                  <c:v>153.80000000000001</c:v>
                </c:pt>
                <c:pt idx="1088">
                  <c:v>153.69999999999999</c:v>
                </c:pt>
                <c:pt idx="1089">
                  <c:v>153.6</c:v>
                </c:pt>
                <c:pt idx="1090">
                  <c:v>153.5</c:v>
                </c:pt>
                <c:pt idx="1091">
                  <c:v>153.4</c:v>
                </c:pt>
                <c:pt idx="1092">
                  <c:v>153.30000000000001</c:v>
                </c:pt>
                <c:pt idx="1093">
                  <c:v>153.1</c:v>
                </c:pt>
                <c:pt idx="1094">
                  <c:v>153</c:v>
                </c:pt>
                <c:pt idx="1095">
                  <c:v>152.9</c:v>
                </c:pt>
                <c:pt idx="1096">
                  <c:v>152.80000000000001</c:v>
                </c:pt>
                <c:pt idx="1097">
                  <c:v>152.69999999999999</c:v>
                </c:pt>
                <c:pt idx="1098">
                  <c:v>152.6</c:v>
                </c:pt>
                <c:pt idx="1099">
                  <c:v>152.5</c:v>
                </c:pt>
                <c:pt idx="1100">
                  <c:v>152.4</c:v>
                </c:pt>
                <c:pt idx="1101">
                  <c:v>152.30000000000001</c:v>
                </c:pt>
                <c:pt idx="1102">
                  <c:v>152.19999999999999</c:v>
                </c:pt>
                <c:pt idx="1103">
                  <c:v>152.1</c:v>
                </c:pt>
                <c:pt idx="1104">
                  <c:v>152</c:v>
                </c:pt>
                <c:pt idx="1105">
                  <c:v>151.9</c:v>
                </c:pt>
                <c:pt idx="1106">
                  <c:v>151.80000000000001</c:v>
                </c:pt>
                <c:pt idx="1107">
                  <c:v>151.69999999999999</c:v>
                </c:pt>
                <c:pt idx="1108">
                  <c:v>151.6</c:v>
                </c:pt>
                <c:pt idx="1109">
                  <c:v>151.4</c:v>
                </c:pt>
                <c:pt idx="1110">
                  <c:v>151.30000000000001</c:v>
                </c:pt>
                <c:pt idx="1111">
                  <c:v>151.19999999999999</c:v>
                </c:pt>
                <c:pt idx="1112">
                  <c:v>151.1</c:v>
                </c:pt>
                <c:pt idx="1113">
                  <c:v>150.9</c:v>
                </c:pt>
                <c:pt idx="1114">
                  <c:v>150.80000000000001</c:v>
                </c:pt>
                <c:pt idx="1115">
                  <c:v>150.6</c:v>
                </c:pt>
                <c:pt idx="1116">
                  <c:v>150.5</c:v>
                </c:pt>
                <c:pt idx="1117">
                  <c:v>150.4</c:v>
                </c:pt>
                <c:pt idx="1118">
                  <c:v>150.30000000000001</c:v>
                </c:pt>
                <c:pt idx="1119">
                  <c:v>150.19999999999999</c:v>
                </c:pt>
                <c:pt idx="1120">
                  <c:v>150.1</c:v>
                </c:pt>
                <c:pt idx="1121">
                  <c:v>150</c:v>
                </c:pt>
                <c:pt idx="1122">
                  <c:v>149.80000000000001</c:v>
                </c:pt>
                <c:pt idx="1123">
                  <c:v>149.69999999999999</c:v>
                </c:pt>
                <c:pt idx="1124">
                  <c:v>149.6</c:v>
                </c:pt>
                <c:pt idx="1125">
                  <c:v>149.4</c:v>
                </c:pt>
                <c:pt idx="1126">
                  <c:v>149.30000000000001</c:v>
                </c:pt>
                <c:pt idx="1127">
                  <c:v>149.19999999999999</c:v>
                </c:pt>
                <c:pt idx="1128">
                  <c:v>149</c:v>
                </c:pt>
                <c:pt idx="1129">
                  <c:v>148.4</c:v>
                </c:pt>
                <c:pt idx="1130">
                  <c:v>148.30000000000001</c:v>
                </c:pt>
                <c:pt idx="1131">
                  <c:v>148.19999999999999</c:v>
                </c:pt>
                <c:pt idx="1132">
                  <c:v>148.1</c:v>
                </c:pt>
                <c:pt idx="1133">
                  <c:v>148</c:v>
                </c:pt>
                <c:pt idx="1134">
                  <c:v>147.9</c:v>
                </c:pt>
                <c:pt idx="1135">
                  <c:v>147.80000000000001</c:v>
                </c:pt>
                <c:pt idx="1136">
                  <c:v>147.69999999999999</c:v>
                </c:pt>
                <c:pt idx="1137">
                  <c:v>147.6</c:v>
                </c:pt>
                <c:pt idx="1138">
                  <c:v>147.5</c:v>
                </c:pt>
                <c:pt idx="1139">
                  <c:v>147.4</c:v>
                </c:pt>
                <c:pt idx="1140">
                  <c:v>147.19999999999999</c:v>
                </c:pt>
                <c:pt idx="1141">
                  <c:v>147.1</c:v>
                </c:pt>
                <c:pt idx="1142">
                  <c:v>146.9</c:v>
                </c:pt>
                <c:pt idx="1143">
                  <c:v>146.80000000000001</c:v>
                </c:pt>
                <c:pt idx="1144">
                  <c:v>146.69999999999999</c:v>
                </c:pt>
                <c:pt idx="1145">
                  <c:v>146.5</c:v>
                </c:pt>
                <c:pt idx="1146">
                  <c:v>146.4</c:v>
                </c:pt>
                <c:pt idx="1147">
                  <c:v>146.30000000000001</c:v>
                </c:pt>
                <c:pt idx="1148">
                  <c:v>146.19999999999999</c:v>
                </c:pt>
                <c:pt idx="1149">
                  <c:v>146.1</c:v>
                </c:pt>
                <c:pt idx="1150">
                  <c:v>145.9</c:v>
                </c:pt>
                <c:pt idx="1151">
                  <c:v>145.80000000000001</c:v>
                </c:pt>
                <c:pt idx="1152">
                  <c:v>145.69999999999999</c:v>
                </c:pt>
                <c:pt idx="1153">
                  <c:v>145.6</c:v>
                </c:pt>
                <c:pt idx="1154">
                  <c:v>145.5</c:v>
                </c:pt>
                <c:pt idx="1155">
                  <c:v>145.30000000000001</c:v>
                </c:pt>
                <c:pt idx="1156">
                  <c:v>145.19999999999999</c:v>
                </c:pt>
                <c:pt idx="1157">
                  <c:v>145.1</c:v>
                </c:pt>
                <c:pt idx="1158">
                  <c:v>145</c:v>
                </c:pt>
                <c:pt idx="1159">
                  <c:v>144.9</c:v>
                </c:pt>
                <c:pt idx="1160">
                  <c:v>144.80000000000001</c:v>
                </c:pt>
                <c:pt idx="1161">
                  <c:v>144.69999999999999</c:v>
                </c:pt>
                <c:pt idx="1162">
                  <c:v>144.5</c:v>
                </c:pt>
                <c:pt idx="1163">
                  <c:v>144.4</c:v>
                </c:pt>
                <c:pt idx="1164">
                  <c:v>144.30000000000001</c:v>
                </c:pt>
                <c:pt idx="1165">
                  <c:v>144.19999999999999</c:v>
                </c:pt>
                <c:pt idx="1166">
                  <c:v>144.1</c:v>
                </c:pt>
                <c:pt idx="1167">
                  <c:v>144</c:v>
                </c:pt>
                <c:pt idx="1168">
                  <c:v>143.9</c:v>
                </c:pt>
                <c:pt idx="1169">
                  <c:v>143.80000000000001</c:v>
                </c:pt>
                <c:pt idx="1170">
                  <c:v>143.69999999999999</c:v>
                </c:pt>
                <c:pt idx="1171">
                  <c:v>143.6</c:v>
                </c:pt>
                <c:pt idx="1172">
                  <c:v>143.5</c:v>
                </c:pt>
                <c:pt idx="1173">
                  <c:v>143.4</c:v>
                </c:pt>
                <c:pt idx="1174">
                  <c:v>143.30000000000001</c:v>
                </c:pt>
                <c:pt idx="1175">
                  <c:v>143.19999999999999</c:v>
                </c:pt>
                <c:pt idx="1176">
                  <c:v>143.1</c:v>
                </c:pt>
                <c:pt idx="1177">
                  <c:v>142.9</c:v>
                </c:pt>
                <c:pt idx="1178">
                  <c:v>142.6</c:v>
                </c:pt>
                <c:pt idx="1179">
                  <c:v>142.4</c:v>
                </c:pt>
                <c:pt idx="1180">
                  <c:v>142.30000000000001</c:v>
                </c:pt>
                <c:pt idx="1181">
                  <c:v>142.19999999999999</c:v>
                </c:pt>
                <c:pt idx="1182">
                  <c:v>142.1</c:v>
                </c:pt>
                <c:pt idx="1183">
                  <c:v>141.9</c:v>
                </c:pt>
                <c:pt idx="1184">
                  <c:v>141.80000000000001</c:v>
                </c:pt>
                <c:pt idx="1185">
                  <c:v>141.69999999999999</c:v>
                </c:pt>
                <c:pt idx="1186">
                  <c:v>141.6</c:v>
                </c:pt>
                <c:pt idx="1187">
                  <c:v>141.5</c:v>
                </c:pt>
                <c:pt idx="1188">
                  <c:v>141.4</c:v>
                </c:pt>
                <c:pt idx="1189">
                  <c:v>141.30000000000001</c:v>
                </c:pt>
                <c:pt idx="1190">
                  <c:v>141.19999999999999</c:v>
                </c:pt>
                <c:pt idx="1191">
                  <c:v>141</c:v>
                </c:pt>
                <c:pt idx="1192">
                  <c:v>140.9</c:v>
                </c:pt>
                <c:pt idx="1193">
                  <c:v>140.80000000000001</c:v>
                </c:pt>
                <c:pt idx="1194">
                  <c:v>140.69999999999999</c:v>
                </c:pt>
                <c:pt idx="1195">
                  <c:v>140.6</c:v>
                </c:pt>
                <c:pt idx="1196">
                  <c:v>140.4</c:v>
                </c:pt>
                <c:pt idx="1197">
                  <c:v>140.30000000000001</c:v>
                </c:pt>
                <c:pt idx="1198">
                  <c:v>140.19999999999999</c:v>
                </c:pt>
                <c:pt idx="1199">
                  <c:v>140.1</c:v>
                </c:pt>
                <c:pt idx="1200">
                  <c:v>140</c:v>
                </c:pt>
                <c:pt idx="1201">
                  <c:v>139.9</c:v>
                </c:pt>
                <c:pt idx="1202">
                  <c:v>139.80000000000001</c:v>
                </c:pt>
                <c:pt idx="1203">
                  <c:v>139.69999999999999</c:v>
                </c:pt>
                <c:pt idx="1204">
                  <c:v>139.6</c:v>
                </c:pt>
                <c:pt idx="1205">
                  <c:v>139.4</c:v>
                </c:pt>
                <c:pt idx="1206">
                  <c:v>139.30000000000001</c:v>
                </c:pt>
                <c:pt idx="1207">
                  <c:v>139.19999999999999</c:v>
                </c:pt>
                <c:pt idx="1208">
                  <c:v>138.80000000000001</c:v>
                </c:pt>
                <c:pt idx="1209">
                  <c:v>138.6</c:v>
                </c:pt>
                <c:pt idx="1210">
                  <c:v>138.5</c:v>
                </c:pt>
                <c:pt idx="1211">
                  <c:v>138.30000000000001</c:v>
                </c:pt>
                <c:pt idx="1212">
                  <c:v>138.19999999999999</c:v>
                </c:pt>
                <c:pt idx="1213">
                  <c:v>138</c:v>
                </c:pt>
                <c:pt idx="1214">
                  <c:v>137.80000000000001</c:v>
                </c:pt>
                <c:pt idx="1215">
                  <c:v>137.6</c:v>
                </c:pt>
                <c:pt idx="1216">
                  <c:v>137.5</c:v>
                </c:pt>
                <c:pt idx="1217">
                  <c:v>137.4</c:v>
                </c:pt>
                <c:pt idx="1218">
                  <c:v>137.30000000000001</c:v>
                </c:pt>
                <c:pt idx="1219">
                  <c:v>137.1</c:v>
                </c:pt>
                <c:pt idx="1220">
                  <c:v>137</c:v>
                </c:pt>
                <c:pt idx="1221">
                  <c:v>136.9</c:v>
                </c:pt>
                <c:pt idx="1222">
                  <c:v>136.80000000000001</c:v>
                </c:pt>
                <c:pt idx="1223">
                  <c:v>136.69999999999999</c:v>
                </c:pt>
                <c:pt idx="1224">
                  <c:v>136.6</c:v>
                </c:pt>
                <c:pt idx="1225">
                  <c:v>136.5</c:v>
                </c:pt>
                <c:pt idx="1226">
                  <c:v>136.4</c:v>
                </c:pt>
                <c:pt idx="1227">
                  <c:v>136.30000000000001</c:v>
                </c:pt>
                <c:pt idx="1228">
                  <c:v>136.19999999999999</c:v>
                </c:pt>
                <c:pt idx="1229">
                  <c:v>136.1</c:v>
                </c:pt>
                <c:pt idx="1230">
                  <c:v>135.9</c:v>
                </c:pt>
                <c:pt idx="1231">
                  <c:v>135.80000000000001</c:v>
                </c:pt>
                <c:pt idx="1232">
                  <c:v>135.69999999999999</c:v>
                </c:pt>
                <c:pt idx="1233">
                  <c:v>135.5</c:v>
                </c:pt>
                <c:pt idx="1234">
                  <c:v>135.4</c:v>
                </c:pt>
                <c:pt idx="1235">
                  <c:v>135.30000000000001</c:v>
                </c:pt>
                <c:pt idx="1236">
                  <c:v>135.19999999999999</c:v>
                </c:pt>
                <c:pt idx="1237">
                  <c:v>135.1</c:v>
                </c:pt>
                <c:pt idx="1238">
                  <c:v>134.80000000000001</c:v>
                </c:pt>
                <c:pt idx="1239">
                  <c:v>134.30000000000001</c:v>
                </c:pt>
                <c:pt idx="1240">
                  <c:v>134.1</c:v>
                </c:pt>
                <c:pt idx="1241">
                  <c:v>134</c:v>
                </c:pt>
                <c:pt idx="1242">
                  <c:v>133.9</c:v>
                </c:pt>
                <c:pt idx="1243">
                  <c:v>133.69999999999999</c:v>
                </c:pt>
                <c:pt idx="1244">
                  <c:v>133.5</c:v>
                </c:pt>
                <c:pt idx="1245">
                  <c:v>133.4</c:v>
                </c:pt>
                <c:pt idx="1246">
                  <c:v>133.19999999999999</c:v>
                </c:pt>
                <c:pt idx="1247">
                  <c:v>133.1</c:v>
                </c:pt>
                <c:pt idx="1248">
                  <c:v>133</c:v>
                </c:pt>
                <c:pt idx="1249">
                  <c:v>132.9</c:v>
                </c:pt>
                <c:pt idx="1250">
                  <c:v>132.80000000000001</c:v>
                </c:pt>
                <c:pt idx="1251">
                  <c:v>132.69999999999999</c:v>
                </c:pt>
                <c:pt idx="1252">
                  <c:v>132.4</c:v>
                </c:pt>
                <c:pt idx="1253">
                  <c:v>132.30000000000001</c:v>
                </c:pt>
                <c:pt idx="1254">
                  <c:v>132</c:v>
                </c:pt>
                <c:pt idx="1255">
                  <c:v>131.9</c:v>
                </c:pt>
                <c:pt idx="1256">
                  <c:v>131.80000000000001</c:v>
                </c:pt>
                <c:pt idx="1257">
                  <c:v>131.69999999999999</c:v>
                </c:pt>
                <c:pt idx="1258">
                  <c:v>131.6</c:v>
                </c:pt>
                <c:pt idx="1259">
                  <c:v>131.5</c:v>
                </c:pt>
                <c:pt idx="1260">
                  <c:v>131.4</c:v>
                </c:pt>
                <c:pt idx="1261">
                  <c:v>131.30000000000001</c:v>
                </c:pt>
                <c:pt idx="1262">
                  <c:v>131.19999999999999</c:v>
                </c:pt>
                <c:pt idx="1263">
                  <c:v>131</c:v>
                </c:pt>
                <c:pt idx="1264">
                  <c:v>130.9</c:v>
                </c:pt>
                <c:pt idx="1265">
                  <c:v>130.80000000000001</c:v>
                </c:pt>
                <c:pt idx="1266">
                  <c:v>130.69999999999999</c:v>
                </c:pt>
                <c:pt idx="1267">
                  <c:v>130.6</c:v>
                </c:pt>
                <c:pt idx="1268">
                  <c:v>130.5</c:v>
                </c:pt>
                <c:pt idx="1269">
                  <c:v>130.30000000000001</c:v>
                </c:pt>
                <c:pt idx="1270">
                  <c:v>130.19999999999999</c:v>
                </c:pt>
                <c:pt idx="1271">
                  <c:v>130.1</c:v>
                </c:pt>
                <c:pt idx="1272">
                  <c:v>130</c:v>
                </c:pt>
                <c:pt idx="1273">
                  <c:v>129.9</c:v>
                </c:pt>
                <c:pt idx="1274">
                  <c:v>129.69999999999999</c:v>
                </c:pt>
                <c:pt idx="1275">
                  <c:v>129.5</c:v>
                </c:pt>
                <c:pt idx="1276">
                  <c:v>129.4</c:v>
                </c:pt>
                <c:pt idx="1277">
                  <c:v>129.30000000000001</c:v>
                </c:pt>
                <c:pt idx="1278">
                  <c:v>129.19999999999999</c:v>
                </c:pt>
                <c:pt idx="1279">
                  <c:v>129</c:v>
                </c:pt>
                <c:pt idx="1280">
                  <c:v>128.80000000000001</c:v>
                </c:pt>
                <c:pt idx="1281">
                  <c:v>128.69999999999999</c:v>
                </c:pt>
                <c:pt idx="1282">
                  <c:v>128.6</c:v>
                </c:pt>
                <c:pt idx="1283">
                  <c:v>128.5</c:v>
                </c:pt>
                <c:pt idx="1284">
                  <c:v>128.4</c:v>
                </c:pt>
                <c:pt idx="1285">
                  <c:v>128.30000000000001</c:v>
                </c:pt>
                <c:pt idx="1286">
                  <c:v>128.19999999999999</c:v>
                </c:pt>
                <c:pt idx="1287">
                  <c:v>128.1</c:v>
                </c:pt>
                <c:pt idx="1288">
                  <c:v>128</c:v>
                </c:pt>
                <c:pt idx="1289">
                  <c:v>127.9</c:v>
                </c:pt>
                <c:pt idx="1290">
                  <c:v>127.8</c:v>
                </c:pt>
                <c:pt idx="1291">
                  <c:v>127.7</c:v>
                </c:pt>
                <c:pt idx="1292">
                  <c:v>127.6</c:v>
                </c:pt>
                <c:pt idx="1293">
                  <c:v>127.5</c:v>
                </c:pt>
                <c:pt idx="1294">
                  <c:v>127.4</c:v>
                </c:pt>
                <c:pt idx="1295">
                  <c:v>127.3</c:v>
                </c:pt>
                <c:pt idx="1296">
                  <c:v>127.2</c:v>
                </c:pt>
                <c:pt idx="1297">
                  <c:v>127.1</c:v>
                </c:pt>
                <c:pt idx="1298">
                  <c:v>127</c:v>
                </c:pt>
                <c:pt idx="1299">
                  <c:v>126.9</c:v>
                </c:pt>
                <c:pt idx="1300">
                  <c:v>126.8</c:v>
                </c:pt>
                <c:pt idx="1301">
                  <c:v>126.7</c:v>
                </c:pt>
                <c:pt idx="1302">
                  <c:v>126.6</c:v>
                </c:pt>
                <c:pt idx="1303">
                  <c:v>126.5</c:v>
                </c:pt>
                <c:pt idx="1304">
                  <c:v>126.3</c:v>
                </c:pt>
                <c:pt idx="1305">
                  <c:v>126.2</c:v>
                </c:pt>
                <c:pt idx="1306">
                  <c:v>126.1</c:v>
                </c:pt>
                <c:pt idx="1307">
                  <c:v>126</c:v>
                </c:pt>
                <c:pt idx="1308">
                  <c:v>125.9</c:v>
                </c:pt>
                <c:pt idx="1309">
                  <c:v>125.8</c:v>
                </c:pt>
                <c:pt idx="1310">
                  <c:v>125.7</c:v>
                </c:pt>
                <c:pt idx="1311">
                  <c:v>125.6</c:v>
                </c:pt>
                <c:pt idx="1312">
                  <c:v>125.5</c:v>
                </c:pt>
                <c:pt idx="1313">
                  <c:v>125.4</c:v>
                </c:pt>
                <c:pt idx="1314">
                  <c:v>125.3</c:v>
                </c:pt>
                <c:pt idx="1315">
                  <c:v>125.2</c:v>
                </c:pt>
                <c:pt idx="1316">
                  <c:v>125.1</c:v>
                </c:pt>
                <c:pt idx="1317">
                  <c:v>125</c:v>
                </c:pt>
                <c:pt idx="1318">
                  <c:v>124.9</c:v>
                </c:pt>
                <c:pt idx="1319">
                  <c:v>124.8</c:v>
                </c:pt>
                <c:pt idx="1320">
                  <c:v>124.7</c:v>
                </c:pt>
                <c:pt idx="1321">
                  <c:v>124.6</c:v>
                </c:pt>
                <c:pt idx="1322">
                  <c:v>124.5</c:v>
                </c:pt>
                <c:pt idx="1323">
                  <c:v>124.4</c:v>
                </c:pt>
                <c:pt idx="1324">
                  <c:v>124.3</c:v>
                </c:pt>
                <c:pt idx="1325">
                  <c:v>124.2</c:v>
                </c:pt>
                <c:pt idx="1326">
                  <c:v>124.1</c:v>
                </c:pt>
                <c:pt idx="1327">
                  <c:v>124</c:v>
                </c:pt>
                <c:pt idx="1328">
                  <c:v>123.8</c:v>
                </c:pt>
                <c:pt idx="1329">
                  <c:v>123.4</c:v>
                </c:pt>
                <c:pt idx="1330">
                  <c:v>122.9</c:v>
                </c:pt>
                <c:pt idx="1331">
                  <c:v>122.7</c:v>
                </c:pt>
                <c:pt idx="1332">
                  <c:v>122.6</c:v>
                </c:pt>
                <c:pt idx="1333">
                  <c:v>122.5</c:v>
                </c:pt>
                <c:pt idx="1334">
                  <c:v>122.3</c:v>
                </c:pt>
                <c:pt idx="1335">
                  <c:v>122.1</c:v>
                </c:pt>
                <c:pt idx="1336">
                  <c:v>122</c:v>
                </c:pt>
                <c:pt idx="1337">
                  <c:v>121.8</c:v>
                </c:pt>
                <c:pt idx="1338">
                  <c:v>121.7</c:v>
                </c:pt>
                <c:pt idx="1339">
                  <c:v>121.6</c:v>
                </c:pt>
                <c:pt idx="1340">
                  <c:v>121.4</c:v>
                </c:pt>
                <c:pt idx="1341">
                  <c:v>121.2</c:v>
                </c:pt>
                <c:pt idx="1342">
                  <c:v>120.7</c:v>
                </c:pt>
                <c:pt idx="1343">
                  <c:v>120.6</c:v>
                </c:pt>
                <c:pt idx="1344">
                  <c:v>118.5</c:v>
                </c:pt>
                <c:pt idx="1345">
                  <c:v>118.4</c:v>
                </c:pt>
                <c:pt idx="1346">
                  <c:v>117.8</c:v>
                </c:pt>
                <c:pt idx="1347">
                  <c:v>117.7</c:v>
                </c:pt>
                <c:pt idx="1348">
                  <c:v>117.5</c:v>
                </c:pt>
                <c:pt idx="1349">
                  <c:v>117.4</c:v>
                </c:pt>
                <c:pt idx="1350">
                  <c:v>117.3</c:v>
                </c:pt>
                <c:pt idx="1351">
                  <c:v>116.7</c:v>
                </c:pt>
                <c:pt idx="1352">
                  <c:v>116.6</c:v>
                </c:pt>
                <c:pt idx="1353">
                  <c:v>116.3</c:v>
                </c:pt>
                <c:pt idx="1354">
                  <c:v>116.2</c:v>
                </c:pt>
                <c:pt idx="1355">
                  <c:v>116.1</c:v>
                </c:pt>
                <c:pt idx="1356">
                  <c:v>115.9</c:v>
                </c:pt>
                <c:pt idx="1357">
                  <c:v>115.8</c:v>
                </c:pt>
                <c:pt idx="1358">
                  <c:v>115.5</c:v>
                </c:pt>
                <c:pt idx="1359">
                  <c:v>115.3</c:v>
                </c:pt>
                <c:pt idx="1360">
                  <c:v>115.2</c:v>
                </c:pt>
                <c:pt idx="1361">
                  <c:v>114.8</c:v>
                </c:pt>
                <c:pt idx="1362">
                  <c:v>114.7</c:v>
                </c:pt>
                <c:pt idx="1363">
                  <c:v>114.5</c:v>
                </c:pt>
                <c:pt idx="1364">
                  <c:v>114.2</c:v>
                </c:pt>
                <c:pt idx="1365">
                  <c:v>113.2</c:v>
                </c:pt>
                <c:pt idx="1366">
                  <c:v>112.9</c:v>
                </c:pt>
                <c:pt idx="1367">
                  <c:v>112.7</c:v>
                </c:pt>
                <c:pt idx="1368">
                  <c:v>112.6</c:v>
                </c:pt>
                <c:pt idx="1369">
                  <c:v>112.4</c:v>
                </c:pt>
                <c:pt idx="1370">
                  <c:v>112.2</c:v>
                </c:pt>
                <c:pt idx="1371">
                  <c:v>111.6</c:v>
                </c:pt>
                <c:pt idx="1372">
                  <c:v>111.2</c:v>
                </c:pt>
                <c:pt idx="1373">
                  <c:v>110.9</c:v>
                </c:pt>
                <c:pt idx="1374">
                  <c:v>110.1</c:v>
                </c:pt>
                <c:pt idx="1375">
                  <c:v>110</c:v>
                </c:pt>
                <c:pt idx="1376">
                  <c:v>109.8</c:v>
                </c:pt>
                <c:pt idx="1377">
                  <c:v>109.6</c:v>
                </c:pt>
                <c:pt idx="1378">
                  <c:v>109.5</c:v>
                </c:pt>
                <c:pt idx="1379">
                  <c:v>109.1</c:v>
                </c:pt>
                <c:pt idx="1380">
                  <c:v>108.8</c:v>
                </c:pt>
                <c:pt idx="1381">
                  <c:v>108.6</c:v>
                </c:pt>
                <c:pt idx="1382">
                  <c:v>108.5</c:v>
                </c:pt>
                <c:pt idx="1383">
                  <c:v>108.3</c:v>
                </c:pt>
                <c:pt idx="1384">
                  <c:v>108.2</c:v>
                </c:pt>
                <c:pt idx="1385">
                  <c:v>107.9</c:v>
                </c:pt>
                <c:pt idx="1386">
                  <c:v>107.6</c:v>
                </c:pt>
                <c:pt idx="1387">
                  <c:v>107</c:v>
                </c:pt>
                <c:pt idx="1388">
                  <c:v>106.7</c:v>
                </c:pt>
                <c:pt idx="1389">
                  <c:v>106.5</c:v>
                </c:pt>
                <c:pt idx="1390">
                  <c:v>106.3</c:v>
                </c:pt>
                <c:pt idx="1391">
                  <c:v>106</c:v>
                </c:pt>
                <c:pt idx="1392">
                  <c:v>105.9</c:v>
                </c:pt>
                <c:pt idx="1393">
                  <c:v>105.8</c:v>
                </c:pt>
                <c:pt idx="1394">
                  <c:v>105.7</c:v>
                </c:pt>
                <c:pt idx="1395">
                  <c:v>105.4</c:v>
                </c:pt>
                <c:pt idx="1396">
                  <c:v>105.3</c:v>
                </c:pt>
                <c:pt idx="1397">
                  <c:v>104.6</c:v>
                </c:pt>
                <c:pt idx="1398">
                  <c:v>104.1</c:v>
                </c:pt>
                <c:pt idx="1399">
                  <c:v>104</c:v>
                </c:pt>
                <c:pt idx="1400">
                  <c:v>103.9</c:v>
                </c:pt>
                <c:pt idx="1401">
                  <c:v>103.8</c:v>
                </c:pt>
                <c:pt idx="1402">
                  <c:v>103.7</c:v>
                </c:pt>
                <c:pt idx="1403">
                  <c:v>103.6</c:v>
                </c:pt>
                <c:pt idx="1404">
                  <c:v>103.5</c:v>
                </c:pt>
                <c:pt idx="1405">
                  <c:v>103.3</c:v>
                </c:pt>
                <c:pt idx="1406">
                  <c:v>103.1</c:v>
                </c:pt>
                <c:pt idx="1407">
                  <c:v>102.8</c:v>
                </c:pt>
                <c:pt idx="1408">
                  <c:v>102.6</c:v>
                </c:pt>
                <c:pt idx="1409">
                  <c:v>102.5</c:v>
                </c:pt>
                <c:pt idx="1410">
                  <c:v>102.4</c:v>
                </c:pt>
                <c:pt idx="1411">
                  <c:v>102.2</c:v>
                </c:pt>
                <c:pt idx="1412">
                  <c:v>102</c:v>
                </c:pt>
                <c:pt idx="1413">
                  <c:v>101.9</c:v>
                </c:pt>
                <c:pt idx="1414">
                  <c:v>101.7</c:v>
                </c:pt>
                <c:pt idx="1415">
                  <c:v>101.6</c:v>
                </c:pt>
                <c:pt idx="1416">
                  <c:v>101.4</c:v>
                </c:pt>
                <c:pt idx="1417">
                  <c:v>101.3</c:v>
                </c:pt>
                <c:pt idx="1418">
                  <c:v>101.2</c:v>
                </c:pt>
                <c:pt idx="1419">
                  <c:v>100.8</c:v>
                </c:pt>
                <c:pt idx="1420">
                  <c:v>100.4</c:v>
                </c:pt>
                <c:pt idx="1421">
                  <c:v>100.3</c:v>
                </c:pt>
                <c:pt idx="1422">
                  <c:v>100.2</c:v>
                </c:pt>
                <c:pt idx="1423">
                  <c:v>100.1</c:v>
                </c:pt>
                <c:pt idx="1424">
                  <c:v>99.9</c:v>
                </c:pt>
                <c:pt idx="1425">
                  <c:v>99.8</c:v>
                </c:pt>
                <c:pt idx="1426">
                  <c:v>99.7</c:v>
                </c:pt>
                <c:pt idx="1427">
                  <c:v>99.6</c:v>
                </c:pt>
                <c:pt idx="1428">
                  <c:v>99.4</c:v>
                </c:pt>
                <c:pt idx="1429">
                  <c:v>99.2</c:v>
                </c:pt>
                <c:pt idx="1430">
                  <c:v>99.1</c:v>
                </c:pt>
                <c:pt idx="1431">
                  <c:v>99</c:v>
                </c:pt>
                <c:pt idx="1432">
                  <c:v>98.8</c:v>
                </c:pt>
                <c:pt idx="1433">
                  <c:v>98.5</c:v>
                </c:pt>
                <c:pt idx="1434">
                  <c:v>98.4</c:v>
                </c:pt>
                <c:pt idx="1435">
                  <c:v>98.3</c:v>
                </c:pt>
                <c:pt idx="1436">
                  <c:v>98.1</c:v>
                </c:pt>
                <c:pt idx="1437">
                  <c:v>97.9</c:v>
                </c:pt>
                <c:pt idx="1438">
                  <c:v>97.7</c:v>
                </c:pt>
                <c:pt idx="1439">
                  <c:v>97.6</c:v>
                </c:pt>
                <c:pt idx="1440">
                  <c:v>97.5</c:v>
                </c:pt>
                <c:pt idx="1441">
                  <c:v>97.3</c:v>
                </c:pt>
                <c:pt idx="1442">
                  <c:v>97.2</c:v>
                </c:pt>
                <c:pt idx="1443">
                  <c:v>97.1</c:v>
                </c:pt>
                <c:pt idx="1444">
                  <c:v>96.9</c:v>
                </c:pt>
                <c:pt idx="1445">
                  <c:v>96.8</c:v>
                </c:pt>
                <c:pt idx="1446">
                  <c:v>96.7</c:v>
                </c:pt>
                <c:pt idx="1447">
                  <c:v>96.5</c:v>
                </c:pt>
                <c:pt idx="1448">
                  <c:v>96.3</c:v>
                </c:pt>
                <c:pt idx="1449">
                  <c:v>96.2</c:v>
                </c:pt>
                <c:pt idx="1450">
                  <c:v>96.1</c:v>
                </c:pt>
                <c:pt idx="1451">
                  <c:v>96</c:v>
                </c:pt>
                <c:pt idx="1452">
                  <c:v>95.9</c:v>
                </c:pt>
                <c:pt idx="1453">
                  <c:v>95.8</c:v>
                </c:pt>
                <c:pt idx="1454">
                  <c:v>95.6</c:v>
                </c:pt>
                <c:pt idx="1455">
                  <c:v>95.5</c:v>
                </c:pt>
                <c:pt idx="1456">
                  <c:v>95.4</c:v>
                </c:pt>
                <c:pt idx="1457">
                  <c:v>95.2</c:v>
                </c:pt>
                <c:pt idx="1458">
                  <c:v>95.1</c:v>
                </c:pt>
                <c:pt idx="1459">
                  <c:v>94.8</c:v>
                </c:pt>
                <c:pt idx="1460">
                  <c:v>94.5</c:v>
                </c:pt>
                <c:pt idx="1461">
                  <c:v>94.4</c:v>
                </c:pt>
                <c:pt idx="1462">
                  <c:v>94.2</c:v>
                </c:pt>
                <c:pt idx="1463">
                  <c:v>94.1</c:v>
                </c:pt>
                <c:pt idx="1464">
                  <c:v>94</c:v>
                </c:pt>
                <c:pt idx="1465">
                  <c:v>93.8</c:v>
                </c:pt>
                <c:pt idx="1466">
                  <c:v>93.7</c:v>
                </c:pt>
                <c:pt idx="1467">
                  <c:v>93.6</c:v>
                </c:pt>
                <c:pt idx="1468">
                  <c:v>93.5</c:v>
                </c:pt>
                <c:pt idx="1469">
                  <c:v>93.3</c:v>
                </c:pt>
                <c:pt idx="1470">
                  <c:v>93.2</c:v>
                </c:pt>
                <c:pt idx="1471">
                  <c:v>93</c:v>
                </c:pt>
                <c:pt idx="1472">
                  <c:v>92.9</c:v>
                </c:pt>
                <c:pt idx="1473">
                  <c:v>92.8</c:v>
                </c:pt>
                <c:pt idx="1474">
                  <c:v>92.7</c:v>
                </c:pt>
                <c:pt idx="1475">
                  <c:v>92.6</c:v>
                </c:pt>
                <c:pt idx="1476">
                  <c:v>92.5</c:v>
                </c:pt>
                <c:pt idx="1477">
                  <c:v>92.4</c:v>
                </c:pt>
                <c:pt idx="1478">
                  <c:v>92.3</c:v>
                </c:pt>
                <c:pt idx="1479">
                  <c:v>92.2</c:v>
                </c:pt>
                <c:pt idx="1480">
                  <c:v>92.1</c:v>
                </c:pt>
                <c:pt idx="1481">
                  <c:v>92</c:v>
                </c:pt>
                <c:pt idx="1482">
                  <c:v>91.9</c:v>
                </c:pt>
                <c:pt idx="1483">
                  <c:v>91.7</c:v>
                </c:pt>
                <c:pt idx="1484">
                  <c:v>91.6</c:v>
                </c:pt>
                <c:pt idx="1485">
                  <c:v>91.5</c:v>
                </c:pt>
                <c:pt idx="1486">
                  <c:v>91.4</c:v>
                </c:pt>
                <c:pt idx="1487">
                  <c:v>91.3</c:v>
                </c:pt>
                <c:pt idx="1488">
                  <c:v>91.2</c:v>
                </c:pt>
                <c:pt idx="1489">
                  <c:v>91.1</c:v>
                </c:pt>
                <c:pt idx="1490">
                  <c:v>91</c:v>
                </c:pt>
                <c:pt idx="1491">
                  <c:v>90.9</c:v>
                </c:pt>
                <c:pt idx="1492">
                  <c:v>90.8</c:v>
                </c:pt>
                <c:pt idx="1493">
                  <c:v>90.7</c:v>
                </c:pt>
                <c:pt idx="1494">
                  <c:v>90.6</c:v>
                </c:pt>
                <c:pt idx="1495">
                  <c:v>90.5</c:v>
                </c:pt>
                <c:pt idx="1496">
                  <c:v>90.4</c:v>
                </c:pt>
                <c:pt idx="1497">
                  <c:v>90.3</c:v>
                </c:pt>
                <c:pt idx="1498">
                  <c:v>90.2</c:v>
                </c:pt>
                <c:pt idx="1499">
                  <c:v>90.1</c:v>
                </c:pt>
                <c:pt idx="1500">
                  <c:v>90</c:v>
                </c:pt>
                <c:pt idx="1501">
                  <c:v>89.9</c:v>
                </c:pt>
                <c:pt idx="1502">
                  <c:v>89.7</c:v>
                </c:pt>
                <c:pt idx="1503">
                  <c:v>89.6</c:v>
                </c:pt>
                <c:pt idx="1504">
                  <c:v>89.5</c:v>
                </c:pt>
                <c:pt idx="1505">
                  <c:v>89.4</c:v>
                </c:pt>
                <c:pt idx="1506">
                  <c:v>89.3</c:v>
                </c:pt>
                <c:pt idx="1507">
                  <c:v>89.2</c:v>
                </c:pt>
                <c:pt idx="1508">
                  <c:v>89.1</c:v>
                </c:pt>
                <c:pt idx="1509">
                  <c:v>89</c:v>
                </c:pt>
                <c:pt idx="1510">
                  <c:v>88.9</c:v>
                </c:pt>
                <c:pt idx="1511">
                  <c:v>88.8</c:v>
                </c:pt>
                <c:pt idx="1512">
                  <c:v>88.7</c:v>
                </c:pt>
                <c:pt idx="1513">
                  <c:v>88.6</c:v>
                </c:pt>
                <c:pt idx="1514">
                  <c:v>88.5</c:v>
                </c:pt>
                <c:pt idx="1515">
                  <c:v>88.4</c:v>
                </c:pt>
                <c:pt idx="1516">
                  <c:v>88.3</c:v>
                </c:pt>
                <c:pt idx="1517">
                  <c:v>88.2</c:v>
                </c:pt>
                <c:pt idx="1518">
                  <c:v>88.1</c:v>
                </c:pt>
                <c:pt idx="1519">
                  <c:v>88</c:v>
                </c:pt>
                <c:pt idx="1520">
                  <c:v>87.9</c:v>
                </c:pt>
                <c:pt idx="1521">
                  <c:v>87.8</c:v>
                </c:pt>
                <c:pt idx="1522">
                  <c:v>87.7</c:v>
                </c:pt>
                <c:pt idx="1523">
                  <c:v>87.6</c:v>
                </c:pt>
                <c:pt idx="1524">
                  <c:v>87.5</c:v>
                </c:pt>
                <c:pt idx="1525">
                  <c:v>87.4</c:v>
                </c:pt>
                <c:pt idx="1526">
                  <c:v>87.3</c:v>
                </c:pt>
                <c:pt idx="1527">
                  <c:v>87.2</c:v>
                </c:pt>
                <c:pt idx="1528">
                  <c:v>87.1</c:v>
                </c:pt>
                <c:pt idx="1529">
                  <c:v>87</c:v>
                </c:pt>
                <c:pt idx="1530">
                  <c:v>86.9</c:v>
                </c:pt>
                <c:pt idx="1531">
                  <c:v>86.8</c:v>
                </c:pt>
                <c:pt idx="1532">
                  <c:v>86.7</c:v>
                </c:pt>
                <c:pt idx="1533">
                  <c:v>86.6</c:v>
                </c:pt>
                <c:pt idx="1534">
                  <c:v>86.5</c:v>
                </c:pt>
                <c:pt idx="1535">
                  <c:v>86.4</c:v>
                </c:pt>
                <c:pt idx="1536">
                  <c:v>86.3</c:v>
                </c:pt>
                <c:pt idx="1537">
                  <c:v>86.2</c:v>
                </c:pt>
                <c:pt idx="1538">
                  <c:v>86.1</c:v>
                </c:pt>
                <c:pt idx="1539">
                  <c:v>86</c:v>
                </c:pt>
                <c:pt idx="1540">
                  <c:v>85.9</c:v>
                </c:pt>
                <c:pt idx="1541">
                  <c:v>85.8</c:v>
                </c:pt>
                <c:pt idx="1542">
                  <c:v>85.7</c:v>
                </c:pt>
                <c:pt idx="1543">
                  <c:v>85.6</c:v>
                </c:pt>
                <c:pt idx="1544">
                  <c:v>85.5</c:v>
                </c:pt>
                <c:pt idx="1545">
                  <c:v>85.4</c:v>
                </c:pt>
                <c:pt idx="1546">
                  <c:v>85.3</c:v>
                </c:pt>
                <c:pt idx="1547">
                  <c:v>85.2</c:v>
                </c:pt>
                <c:pt idx="1548">
                  <c:v>85.1</c:v>
                </c:pt>
                <c:pt idx="1549">
                  <c:v>85</c:v>
                </c:pt>
                <c:pt idx="1550">
                  <c:v>84.9</c:v>
                </c:pt>
                <c:pt idx="1551">
                  <c:v>84.8</c:v>
                </c:pt>
                <c:pt idx="1552">
                  <c:v>84.7</c:v>
                </c:pt>
                <c:pt idx="1553">
                  <c:v>84.6</c:v>
                </c:pt>
                <c:pt idx="1554">
                  <c:v>84.5</c:v>
                </c:pt>
                <c:pt idx="1555">
                  <c:v>84.4</c:v>
                </c:pt>
                <c:pt idx="1556">
                  <c:v>84.3</c:v>
                </c:pt>
                <c:pt idx="1557">
                  <c:v>84.2</c:v>
                </c:pt>
                <c:pt idx="1558">
                  <c:v>84.1</c:v>
                </c:pt>
                <c:pt idx="1559">
                  <c:v>84</c:v>
                </c:pt>
                <c:pt idx="1560">
                  <c:v>83.9</c:v>
                </c:pt>
                <c:pt idx="1561">
                  <c:v>83.8</c:v>
                </c:pt>
                <c:pt idx="1562">
                  <c:v>83.7</c:v>
                </c:pt>
                <c:pt idx="1563">
                  <c:v>83.6</c:v>
                </c:pt>
                <c:pt idx="1564">
                  <c:v>83.5</c:v>
                </c:pt>
                <c:pt idx="1565">
                  <c:v>83.4</c:v>
                </c:pt>
                <c:pt idx="1566">
                  <c:v>83.3</c:v>
                </c:pt>
                <c:pt idx="1567">
                  <c:v>83.2</c:v>
                </c:pt>
                <c:pt idx="1568">
                  <c:v>83.1</c:v>
                </c:pt>
                <c:pt idx="1569">
                  <c:v>83</c:v>
                </c:pt>
                <c:pt idx="1570">
                  <c:v>82.9</c:v>
                </c:pt>
                <c:pt idx="1571">
                  <c:v>82.8</c:v>
                </c:pt>
                <c:pt idx="1572">
                  <c:v>82.6</c:v>
                </c:pt>
                <c:pt idx="1573">
                  <c:v>82.5</c:v>
                </c:pt>
                <c:pt idx="1574">
                  <c:v>82.4</c:v>
                </c:pt>
                <c:pt idx="1575">
                  <c:v>81.900000000000006</c:v>
                </c:pt>
                <c:pt idx="1576">
                  <c:v>81.8</c:v>
                </c:pt>
                <c:pt idx="1577">
                  <c:v>81.7</c:v>
                </c:pt>
                <c:pt idx="1578">
                  <c:v>81.599999999999994</c:v>
                </c:pt>
                <c:pt idx="1579">
                  <c:v>81.400000000000006</c:v>
                </c:pt>
                <c:pt idx="1580">
                  <c:v>81.3</c:v>
                </c:pt>
                <c:pt idx="1581">
                  <c:v>81.099999999999994</c:v>
                </c:pt>
                <c:pt idx="1582">
                  <c:v>80.900000000000006</c:v>
                </c:pt>
                <c:pt idx="1583">
                  <c:v>80.8</c:v>
                </c:pt>
                <c:pt idx="1584">
                  <c:v>80.7</c:v>
                </c:pt>
                <c:pt idx="1585">
                  <c:v>80.599999999999994</c:v>
                </c:pt>
                <c:pt idx="1586">
                  <c:v>80.400000000000006</c:v>
                </c:pt>
                <c:pt idx="1587">
                  <c:v>80.2</c:v>
                </c:pt>
                <c:pt idx="1588">
                  <c:v>80.099999999999994</c:v>
                </c:pt>
                <c:pt idx="1589">
                  <c:v>80</c:v>
                </c:pt>
                <c:pt idx="1590">
                  <c:v>79.900000000000006</c:v>
                </c:pt>
                <c:pt idx="1591">
                  <c:v>79.7</c:v>
                </c:pt>
                <c:pt idx="1592">
                  <c:v>79.599999999999994</c:v>
                </c:pt>
                <c:pt idx="1593">
                  <c:v>79.400000000000006</c:v>
                </c:pt>
                <c:pt idx="1594">
                  <c:v>79.2</c:v>
                </c:pt>
                <c:pt idx="1595">
                  <c:v>79.099999999999994</c:v>
                </c:pt>
                <c:pt idx="1596">
                  <c:v>79</c:v>
                </c:pt>
                <c:pt idx="1597">
                  <c:v>78.900000000000006</c:v>
                </c:pt>
                <c:pt idx="1598">
                  <c:v>78.8</c:v>
                </c:pt>
                <c:pt idx="1599">
                  <c:v>78.599999999999994</c:v>
                </c:pt>
                <c:pt idx="1600">
                  <c:v>78.5</c:v>
                </c:pt>
                <c:pt idx="1601">
                  <c:v>78.400000000000006</c:v>
                </c:pt>
                <c:pt idx="1602">
                  <c:v>78.2</c:v>
                </c:pt>
                <c:pt idx="1603">
                  <c:v>78.099999999999994</c:v>
                </c:pt>
                <c:pt idx="1604">
                  <c:v>77.900000000000006</c:v>
                </c:pt>
                <c:pt idx="1605">
                  <c:v>77.8</c:v>
                </c:pt>
                <c:pt idx="1606">
                  <c:v>77.7</c:v>
                </c:pt>
                <c:pt idx="1607">
                  <c:v>77.599999999999994</c:v>
                </c:pt>
                <c:pt idx="1608">
                  <c:v>77.5</c:v>
                </c:pt>
                <c:pt idx="1609">
                  <c:v>77.3</c:v>
                </c:pt>
                <c:pt idx="1610">
                  <c:v>77.2</c:v>
                </c:pt>
                <c:pt idx="1611">
                  <c:v>77.099999999999994</c:v>
                </c:pt>
                <c:pt idx="1612">
                  <c:v>77</c:v>
                </c:pt>
                <c:pt idx="1613">
                  <c:v>76.900000000000006</c:v>
                </c:pt>
                <c:pt idx="1614">
                  <c:v>76.8</c:v>
                </c:pt>
                <c:pt idx="1615">
                  <c:v>76.599999999999994</c:v>
                </c:pt>
                <c:pt idx="1616">
                  <c:v>76.5</c:v>
                </c:pt>
                <c:pt idx="1617">
                  <c:v>76.400000000000006</c:v>
                </c:pt>
                <c:pt idx="1618">
                  <c:v>76.2</c:v>
                </c:pt>
                <c:pt idx="1619">
                  <c:v>76.099999999999994</c:v>
                </c:pt>
                <c:pt idx="1620">
                  <c:v>76</c:v>
                </c:pt>
                <c:pt idx="1621">
                  <c:v>75.900000000000006</c:v>
                </c:pt>
                <c:pt idx="1622">
                  <c:v>75.8</c:v>
                </c:pt>
                <c:pt idx="1623">
                  <c:v>75.7</c:v>
                </c:pt>
                <c:pt idx="1624">
                  <c:v>75.599999999999994</c:v>
                </c:pt>
                <c:pt idx="1625">
                  <c:v>75.5</c:v>
                </c:pt>
                <c:pt idx="1626">
                  <c:v>75.400000000000006</c:v>
                </c:pt>
                <c:pt idx="1627">
                  <c:v>75.3</c:v>
                </c:pt>
                <c:pt idx="1628">
                  <c:v>75.2</c:v>
                </c:pt>
                <c:pt idx="1629">
                  <c:v>75.099999999999994</c:v>
                </c:pt>
                <c:pt idx="1630">
                  <c:v>75</c:v>
                </c:pt>
                <c:pt idx="1631">
                  <c:v>74.8</c:v>
                </c:pt>
                <c:pt idx="1632">
                  <c:v>74.7</c:v>
                </c:pt>
                <c:pt idx="1633">
                  <c:v>74.599999999999994</c:v>
                </c:pt>
                <c:pt idx="1634">
                  <c:v>74.5</c:v>
                </c:pt>
                <c:pt idx="1635">
                  <c:v>74.400000000000006</c:v>
                </c:pt>
                <c:pt idx="1636">
                  <c:v>74.3</c:v>
                </c:pt>
                <c:pt idx="1637">
                  <c:v>74.2</c:v>
                </c:pt>
                <c:pt idx="1638">
                  <c:v>74.099999999999994</c:v>
                </c:pt>
                <c:pt idx="1639">
                  <c:v>73.900000000000006</c:v>
                </c:pt>
                <c:pt idx="1640">
                  <c:v>73.8</c:v>
                </c:pt>
                <c:pt idx="1641">
                  <c:v>73.7</c:v>
                </c:pt>
                <c:pt idx="1642">
                  <c:v>73.599999999999994</c:v>
                </c:pt>
                <c:pt idx="1643">
                  <c:v>73.5</c:v>
                </c:pt>
                <c:pt idx="1644">
                  <c:v>73.400000000000006</c:v>
                </c:pt>
                <c:pt idx="1645">
                  <c:v>73.3</c:v>
                </c:pt>
                <c:pt idx="1646">
                  <c:v>73.2</c:v>
                </c:pt>
                <c:pt idx="1647">
                  <c:v>73.099999999999994</c:v>
                </c:pt>
                <c:pt idx="1648">
                  <c:v>73</c:v>
                </c:pt>
                <c:pt idx="1649">
                  <c:v>72.900000000000006</c:v>
                </c:pt>
                <c:pt idx="1650">
                  <c:v>72.8</c:v>
                </c:pt>
                <c:pt idx="1651">
                  <c:v>72.7</c:v>
                </c:pt>
                <c:pt idx="1652">
                  <c:v>72.599999999999994</c:v>
                </c:pt>
                <c:pt idx="1653">
                  <c:v>72.5</c:v>
                </c:pt>
                <c:pt idx="1654">
                  <c:v>72.400000000000006</c:v>
                </c:pt>
                <c:pt idx="1655">
                  <c:v>72.3</c:v>
                </c:pt>
                <c:pt idx="1656">
                  <c:v>72.2</c:v>
                </c:pt>
                <c:pt idx="1657">
                  <c:v>72.099999999999994</c:v>
                </c:pt>
                <c:pt idx="1658">
                  <c:v>72</c:v>
                </c:pt>
                <c:pt idx="1659">
                  <c:v>71.900000000000006</c:v>
                </c:pt>
                <c:pt idx="1660">
                  <c:v>71.8</c:v>
                </c:pt>
                <c:pt idx="1661">
                  <c:v>71.7</c:v>
                </c:pt>
                <c:pt idx="1662">
                  <c:v>71.599999999999994</c:v>
                </c:pt>
                <c:pt idx="1663">
                  <c:v>71.5</c:v>
                </c:pt>
                <c:pt idx="1664">
                  <c:v>71.400000000000006</c:v>
                </c:pt>
                <c:pt idx="1665">
                  <c:v>71.3</c:v>
                </c:pt>
                <c:pt idx="1666">
                  <c:v>71.2</c:v>
                </c:pt>
                <c:pt idx="1667">
                  <c:v>71.099999999999994</c:v>
                </c:pt>
                <c:pt idx="1668">
                  <c:v>71</c:v>
                </c:pt>
                <c:pt idx="1669">
                  <c:v>70.900000000000006</c:v>
                </c:pt>
                <c:pt idx="1670">
                  <c:v>70.8</c:v>
                </c:pt>
                <c:pt idx="1671">
                  <c:v>70.7</c:v>
                </c:pt>
                <c:pt idx="1672">
                  <c:v>70.599999999999994</c:v>
                </c:pt>
                <c:pt idx="1673">
                  <c:v>70.5</c:v>
                </c:pt>
                <c:pt idx="1674">
                  <c:v>70.400000000000006</c:v>
                </c:pt>
                <c:pt idx="1675">
                  <c:v>70.3</c:v>
                </c:pt>
                <c:pt idx="1676">
                  <c:v>70.2</c:v>
                </c:pt>
                <c:pt idx="1677">
                  <c:v>70.099999999999994</c:v>
                </c:pt>
                <c:pt idx="1678">
                  <c:v>70</c:v>
                </c:pt>
                <c:pt idx="1679">
                  <c:v>69.900000000000006</c:v>
                </c:pt>
                <c:pt idx="1680">
                  <c:v>69.8</c:v>
                </c:pt>
                <c:pt idx="1681">
                  <c:v>69.7</c:v>
                </c:pt>
                <c:pt idx="1682">
                  <c:v>69.599999999999994</c:v>
                </c:pt>
                <c:pt idx="1683">
                  <c:v>69.5</c:v>
                </c:pt>
                <c:pt idx="1684">
                  <c:v>69.400000000000006</c:v>
                </c:pt>
                <c:pt idx="1685">
                  <c:v>69.3</c:v>
                </c:pt>
                <c:pt idx="1686">
                  <c:v>69.2</c:v>
                </c:pt>
                <c:pt idx="1687">
                  <c:v>69</c:v>
                </c:pt>
                <c:pt idx="1688">
                  <c:v>68.900000000000006</c:v>
                </c:pt>
                <c:pt idx="1689">
                  <c:v>68.8</c:v>
                </c:pt>
                <c:pt idx="1690">
                  <c:v>68.599999999999994</c:v>
                </c:pt>
                <c:pt idx="1691">
                  <c:v>68.5</c:v>
                </c:pt>
                <c:pt idx="1692">
                  <c:v>68.400000000000006</c:v>
                </c:pt>
                <c:pt idx="1693">
                  <c:v>68.3</c:v>
                </c:pt>
                <c:pt idx="1694">
                  <c:v>68.2</c:v>
                </c:pt>
                <c:pt idx="1695">
                  <c:v>68.099999999999994</c:v>
                </c:pt>
                <c:pt idx="1696">
                  <c:v>68</c:v>
                </c:pt>
                <c:pt idx="1697">
                  <c:v>67.900000000000006</c:v>
                </c:pt>
                <c:pt idx="1698">
                  <c:v>67.8</c:v>
                </c:pt>
                <c:pt idx="1699">
                  <c:v>67.7</c:v>
                </c:pt>
                <c:pt idx="1700">
                  <c:v>67.5</c:v>
                </c:pt>
                <c:pt idx="1701">
                  <c:v>67.400000000000006</c:v>
                </c:pt>
                <c:pt idx="1702">
                  <c:v>67.3</c:v>
                </c:pt>
                <c:pt idx="1703">
                  <c:v>67.2</c:v>
                </c:pt>
                <c:pt idx="1704">
                  <c:v>67.099999999999994</c:v>
                </c:pt>
                <c:pt idx="1705">
                  <c:v>66.900000000000006</c:v>
                </c:pt>
                <c:pt idx="1706">
                  <c:v>66.8</c:v>
                </c:pt>
                <c:pt idx="1707">
                  <c:v>66.7</c:v>
                </c:pt>
                <c:pt idx="1708">
                  <c:v>66.599999999999994</c:v>
                </c:pt>
                <c:pt idx="1709">
                  <c:v>66.5</c:v>
                </c:pt>
                <c:pt idx="1710">
                  <c:v>66.400000000000006</c:v>
                </c:pt>
                <c:pt idx="1711">
                  <c:v>66.3</c:v>
                </c:pt>
                <c:pt idx="1712">
                  <c:v>66.2</c:v>
                </c:pt>
                <c:pt idx="1713">
                  <c:v>66.099999999999994</c:v>
                </c:pt>
                <c:pt idx="1714">
                  <c:v>65.900000000000006</c:v>
                </c:pt>
                <c:pt idx="1715">
                  <c:v>65.7</c:v>
                </c:pt>
                <c:pt idx="1716">
                  <c:v>65.5</c:v>
                </c:pt>
                <c:pt idx="1717">
                  <c:v>65.400000000000006</c:v>
                </c:pt>
                <c:pt idx="1718">
                  <c:v>65.3</c:v>
                </c:pt>
                <c:pt idx="1719">
                  <c:v>65.2</c:v>
                </c:pt>
                <c:pt idx="1720">
                  <c:v>65.099999999999994</c:v>
                </c:pt>
                <c:pt idx="1721">
                  <c:v>65</c:v>
                </c:pt>
                <c:pt idx="1722">
                  <c:v>64.900000000000006</c:v>
                </c:pt>
                <c:pt idx="1723">
                  <c:v>64.7</c:v>
                </c:pt>
                <c:pt idx="1724">
                  <c:v>64.599999999999994</c:v>
                </c:pt>
                <c:pt idx="1725">
                  <c:v>64.5</c:v>
                </c:pt>
                <c:pt idx="1726">
                  <c:v>64.400000000000006</c:v>
                </c:pt>
                <c:pt idx="1727">
                  <c:v>64.3</c:v>
                </c:pt>
                <c:pt idx="1728">
                  <c:v>64.2</c:v>
                </c:pt>
                <c:pt idx="1729">
                  <c:v>64</c:v>
                </c:pt>
                <c:pt idx="1730">
                  <c:v>63.9</c:v>
                </c:pt>
                <c:pt idx="1731">
                  <c:v>63.8</c:v>
                </c:pt>
                <c:pt idx="1732">
                  <c:v>63.7</c:v>
                </c:pt>
                <c:pt idx="1733">
                  <c:v>63.6</c:v>
                </c:pt>
                <c:pt idx="1734">
                  <c:v>63.5</c:v>
                </c:pt>
                <c:pt idx="1735">
                  <c:v>63.4</c:v>
                </c:pt>
                <c:pt idx="1736">
                  <c:v>63.3</c:v>
                </c:pt>
                <c:pt idx="1737">
                  <c:v>63.2</c:v>
                </c:pt>
                <c:pt idx="1738">
                  <c:v>63.1</c:v>
                </c:pt>
                <c:pt idx="1739">
                  <c:v>63</c:v>
                </c:pt>
                <c:pt idx="1740">
                  <c:v>62.8</c:v>
                </c:pt>
                <c:pt idx="1741">
                  <c:v>62.7</c:v>
                </c:pt>
                <c:pt idx="1742">
                  <c:v>62.6</c:v>
                </c:pt>
                <c:pt idx="1743">
                  <c:v>62.5</c:v>
                </c:pt>
                <c:pt idx="1744">
                  <c:v>62.4</c:v>
                </c:pt>
                <c:pt idx="1745">
                  <c:v>62.3</c:v>
                </c:pt>
                <c:pt idx="1746">
                  <c:v>62.1</c:v>
                </c:pt>
                <c:pt idx="1747">
                  <c:v>62</c:v>
                </c:pt>
                <c:pt idx="1748">
                  <c:v>61.9</c:v>
                </c:pt>
                <c:pt idx="1749">
                  <c:v>61.8</c:v>
                </c:pt>
                <c:pt idx="1750">
                  <c:v>61.7</c:v>
                </c:pt>
                <c:pt idx="1751">
                  <c:v>61.6</c:v>
                </c:pt>
                <c:pt idx="1752">
                  <c:v>61.5</c:v>
                </c:pt>
                <c:pt idx="1753">
                  <c:v>61.4</c:v>
                </c:pt>
                <c:pt idx="1754">
                  <c:v>61.3</c:v>
                </c:pt>
                <c:pt idx="1755">
                  <c:v>61.2</c:v>
                </c:pt>
                <c:pt idx="1756">
                  <c:v>61.1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9E-4D8D-82AC-F58A08310A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52819919"/>
        <c:axId val="1752826575"/>
      </c:lineChart>
      <c:catAx>
        <c:axId val="17528199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numFmt formatCode="General" sourceLinked="1"/>
        <c:majorTickMark val="cross"/>
        <c:minorTickMark val="cross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2826575"/>
        <c:crosses val="autoZero"/>
        <c:auto val="1"/>
        <c:lblAlgn val="ctr"/>
        <c:lblOffset val="100"/>
        <c:tickLblSkip val="20"/>
        <c:tickMarkSkip val="5"/>
        <c:noMultiLvlLbl val="0"/>
      </c:catAx>
      <c:valAx>
        <c:axId val="1752826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2819919"/>
        <c:crossesAt val="10"/>
        <c:crossBetween val="midCat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7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tx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lt1"/>
      </a:solidFill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olidFill>
        <a:schemeClr val="lt1"/>
      </a:solidFill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603250</xdr:colOff>
      <xdr:row>9</xdr:row>
      <xdr:rowOff>123825</xdr:rowOff>
    </xdr:from>
    <xdr:to>
      <xdr:col>21</xdr:col>
      <xdr:colOff>120649</xdr:colOff>
      <xdr:row>24</xdr:row>
      <xdr:rowOff>82551</xdr:rowOff>
    </xdr:to>
    <xdr:graphicFrame macro="">
      <xdr:nvGraphicFramePr>
        <xdr:cNvPr id="2" name="Graphiqu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444499</xdr:colOff>
      <xdr:row>5106</xdr:row>
      <xdr:rowOff>152399</xdr:rowOff>
    </xdr:from>
    <xdr:to>
      <xdr:col>16</xdr:col>
      <xdr:colOff>22224</xdr:colOff>
      <xdr:row>5115</xdr:row>
      <xdr:rowOff>34924</xdr:rowOff>
    </xdr:to>
    <xdr:graphicFrame macro="">
      <xdr:nvGraphicFramePr>
        <xdr:cNvPr id="3" name="Graphique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457200</xdr:colOff>
      <xdr:row>1</xdr:row>
      <xdr:rowOff>127000</xdr:rowOff>
    </xdr:from>
    <xdr:to>
      <xdr:col>28</xdr:col>
      <xdr:colOff>622300</xdr:colOff>
      <xdr:row>13</xdr:row>
      <xdr:rowOff>88900</xdr:rowOff>
    </xdr:to>
    <xdr:graphicFrame macro="">
      <xdr:nvGraphicFramePr>
        <xdr:cNvPr id="2" name="Graphique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342900</xdr:colOff>
      <xdr:row>13</xdr:row>
      <xdr:rowOff>168275</xdr:rowOff>
    </xdr:from>
    <xdr:to>
      <xdr:col>27</xdr:col>
      <xdr:colOff>698499</xdr:colOff>
      <xdr:row>25</xdr:row>
      <xdr:rowOff>57150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0</xdr:colOff>
      <xdr:row>4469</xdr:row>
      <xdr:rowOff>28575</xdr:rowOff>
    </xdr:from>
    <xdr:to>
      <xdr:col>10</xdr:col>
      <xdr:colOff>276225</xdr:colOff>
      <xdr:row>4484</xdr:row>
      <xdr:rowOff>9525</xdr:rowOff>
    </xdr:to>
    <xdr:graphicFrame macro="">
      <xdr:nvGraphicFramePr>
        <xdr:cNvPr id="4" name="Graphique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396875</xdr:colOff>
      <xdr:row>32</xdr:row>
      <xdr:rowOff>142875</xdr:rowOff>
    </xdr:from>
    <xdr:to>
      <xdr:col>21</xdr:col>
      <xdr:colOff>498475</xdr:colOff>
      <xdr:row>47</xdr:row>
      <xdr:rowOff>123825</xdr:rowOff>
    </xdr:to>
    <xdr:graphicFrame macro="">
      <xdr:nvGraphicFramePr>
        <xdr:cNvPr id="6" name="Graphique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701674</xdr:colOff>
      <xdr:row>1</xdr:row>
      <xdr:rowOff>158750</xdr:rowOff>
    </xdr:from>
    <xdr:to>
      <xdr:col>15</xdr:col>
      <xdr:colOff>292099</xdr:colOff>
      <xdr:row>13</xdr:row>
      <xdr:rowOff>69849</xdr:rowOff>
    </xdr:to>
    <xdr:graphicFrame macro="">
      <xdr:nvGraphicFramePr>
        <xdr:cNvPr id="2" name="Graphiqu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749300</xdr:colOff>
      <xdr:row>21</xdr:row>
      <xdr:rowOff>47625</xdr:rowOff>
    </xdr:from>
    <xdr:to>
      <xdr:col>9</xdr:col>
      <xdr:colOff>749300</xdr:colOff>
      <xdr:row>36</xdr:row>
      <xdr:rowOff>28575</xdr:rowOff>
    </xdr:to>
    <xdr:graphicFrame macro="">
      <xdr:nvGraphicFramePr>
        <xdr:cNvPr id="3" name="Graphique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476862</xdr:colOff>
      <xdr:row>5</xdr:row>
      <xdr:rowOff>58596</xdr:rowOff>
    </xdr:from>
    <xdr:to>
      <xdr:col>37</xdr:col>
      <xdr:colOff>200527</xdr:colOff>
      <xdr:row>26</xdr:row>
      <xdr:rowOff>22280</xdr:rowOff>
    </xdr:to>
    <xdr:graphicFrame macro="">
      <xdr:nvGraphicFramePr>
        <xdr:cNvPr id="2" name="Graphique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HP/Documents/Article%20Navigabilit&#233;%20Modele&amp;Bathy/Modele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" refreshedDate="45870.893131365738" createdVersion="6" refreshedVersion="6" minRefreshableVersion="3" recordCount="5191">
  <cacheSource type="worksheet">
    <worksheetSource ref="B1:C5192" sheet="Jour_Navigable" r:id="rId2"/>
  </cacheSource>
  <cacheFields count="4">
    <cacheField name="Date" numFmtId="15">
      <sharedItems containsSemiMixedTypes="0" containsNonDate="0" containsDate="1" containsString="0" minDate="2009-01-01T00:00:00" maxDate="2023-03-20T00:00:00" count="5191">
        <d v="2009-01-01T00:00:00"/>
        <d v="2009-01-02T00:00:00"/>
        <d v="2009-01-03T00:00:00"/>
        <d v="2009-01-04T00:00:00"/>
        <d v="2009-01-05T00:00:00"/>
        <d v="2009-01-06T00:00:00"/>
        <d v="2009-01-07T00:00:00"/>
        <d v="2009-01-08T00:00:00"/>
        <d v="2009-01-09T00:00:00"/>
        <d v="2009-01-10T00:00:00"/>
        <d v="2009-01-11T00:00:00"/>
        <d v="2009-01-12T00:00:00"/>
        <d v="2009-01-13T00:00:00"/>
        <d v="2009-01-14T00:00:00"/>
        <d v="2009-01-15T00:00:00"/>
        <d v="2009-01-16T00:00:00"/>
        <d v="2009-01-17T00:00:00"/>
        <d v="2009-01-18T00:00:00"/>
        <d v="2009-01-19T00:00:00"/>
        <d v="2009-01-20T00:00:00"/>
        <d v="2009-01-21T00:00:00"/>
        <d v="2009-01-22T00:00:00"/>
        <d v="2009-01-23T00:00:00"/>
        <d v="2009-01-24T00:00:00"/>
        <d v="2009-01-25T00:00:00"/>
        <d v="2009-01-26T00:00:00"/>
        <d v="2009-01-27T00:00:00"/>
        <d v="2009-01-28T00:00:00"/>
        <d v="2009-01-29T00:00:00"/>
        <d v="2009-01-30T00:00:00"/>
        <d v="2009-01-31T00:00:00"/>
        <d v="2009-02-01T00:00:00"/>
        <d v="2009-02-02T00:00:00"/>
        <d v="2009-02-03T00:00:00"/>
        <d v="2009-02-04T00:00:00"/>
        <d v="2009-02-05T00:00:00"/>
        <d v="2009-02-06T00:00:00"/>
        <d v="2009-02-07T00:00:00"/>
        <d v="2009-02-08T00:00:00"/>
        <d v="2009-02-09T00:00:00"/>
        <d v="2009-02-10T00:00:00"/>
        <d v="2009-02-11T00:00:00"/>
        <d v="2009-02-12T00:00:00"/>
        <d v="2009-02-13T00:00:00"/>
        <d v="2009-02-14T00:00:00"/>
        <d v="2009-02-15T00:00:00"/>
        <d v="2009-02-16T00:00:00"/>
        <d v="2009-02-17T00:00:00"/>
        <d v="2009-02-18T00:00:00"/>
        <d v="2009-02-19T00:00:00"/>
        <d v="2009-02-20T00:00:00"/>
        <d v="2009-02-21T00:00:00"/>
        <d v="2009-02-22T00:00:00"/>
        <d v="2009-02-23T00:00:00"/>
        <d v="2009-02-24T00:00:00"/>
        <d v="2009-02-25T00:00:00"/>
        <d v="2009-02-26T00:00:00"/>
        <d v="2009-02-27T00:00:00"/>
        <d v="2009-02-28T00:00:00"/>
        <d v="2009-03-01T00:00:00"/>
        <d v="2009-03-02T00:00:00"/>
        <d v="2009-03-03T00:00:00"/>
        <d v="2009-03-04T00:00:00"/>
        <d v="2009-03-05T00:00:00"/>
        <d v="2009-03-06T00:00:00"/>
        <d v="2009-03-07T00:00:00"/>
        <d v="2009-03-08T00:00:00"/>
        <d v="2009-03-09T00:00:00"/>
        <d v="2009-03-10T00:00:00"/>
        <d v="2009-03-11T00:00:00"/>
        <d v="2009-03-12T00:00:00"/>
        <d v="2009-03-13T00:00:00"/>
        <d v="2009-03-14T00:00:00"/>
        <d v="2009-03-15T00:00:00"/>
        <d v="2009-03-16T00:00:00"/>
        <d v="2009-03-17T00:00:00"/>
        <d v="2009-03-18T00:00:00"/>
        <d v="2009-03-19T00:00:00"/>
        <d v="2009-03-20T00:00:00"/>
        <d v="2009-03-21T00:00:00"/>
        <d v="2009-03-22T00:00:00"/>
        <d v="2009-03-23T00:00:00"/>
        <d v="2009-03-24T00:00:00"/>
        <d v="2009-03-25T00:00:00"/>
        <d v="2009-03-26T00:00:00"/>
        <d v="2009-03-27T00:00:00"/>
        <d v="2009-03-28T00:00:00"/>
        <d v="2009-03-29T00:00:00"/>
        <d v="2009-03-30T00:00:00"/>
        <d v="2009-03-31T00:00:00"/>
        <d v="2009-04-01T00:00:00"/>
        <d v="2009-04-02T00:00:00"/>
        <d v="2009-04-03T00:00:00"/>
        <d v="2009-04-04T00:00:00"/>
        <d v="2009-04-05T00:00:00"/>
        <d v="2009-04-06T00:00:00"/>
        <d v="2009-04-07T00:00:00"/>
        <d v="2009-04-08T00:00:00"/>
        <d v="2009-04-09T00:00:00"/>
        <d v="2009-04-10T00:00:00"/>
        <d v="2009-04-11T00:00:00"/>
        <d v="2009-04-12T00:00:00"/>
        <d v="2009-04-13T00:00:00"/>
        <d v="2009-04-14T00:00:00"/>
        <d v="2009-04-15T00:00:00"/>
        <d v="2009-04-16T00:00:00"/>
        <d v="2009-04-17T00:00:00"/>
        <d v="2009-04-18T00:00:00"/>
        <d v="2009-04-19T00:00:00"/>
        <d v="2009-04-20T00:00:00"/>
        <d v="2009-04-21T00:00:00"/>
        <d v="2009-04-22T00:00:00"/>
        <d v="2009-04-23T00:00:00"/>
        <d v="2009-04-24T00:00:00"/>
        <d v="2009-04-25T00:00:00"/>
        <d v="2009-04-26T00:00:00"/>
        <d v="2009-04-27T00:00:00"/>
        <d v="2009-04-28T00:00:00"/>
        <d v="2009-04-29T00:00:00"/>
        <d v="2009-04-30T00:00:00"/>
        <d v="2009-05-01T00:00:00"/>
        <d v="2009-05-02T00:00:00"/>
        <d v="2009-05-03T00:00:00"/>
        <d v="2009-05-04T00:00:00"/>
        <d v="2009-05-05T00:00:00"/>
        <d v="2009-05-06T00:00:00"/>
        <d v="2009-05-07T00:00:00"/>
        <d v="2009-05-08T00:00:00"/>
        <d v="2009-05-09T00:00:00"/>
        <d v="2009-05-10T00:00:00"/>
        <d v="2009-05-11T00:00:00"/>
        <d v="2009-05-12T00:00:00"/>
        <d v="2009-05-13T00:00:00"/>
        <d v="2009-05-14T00:00:00"/>
        <d v="2009-05-15T00:00:00"/>
        <d v="2009-05-16T00:00:00"/>
        <d v="2009-05-17T00:00:00"/>
        <d v="2009-05-18T00:00:00"/>
        <d v="2009-05-19T00:00:00"/>
        <d v="2009-05-20T00:00:00"/>
        <d v="2009-05-21T00:00:00"/>
        <d v="2009-05-22T00:00:00"/>
        <d v="2009-05-23T00:00:00"/>
        <d v="2009-05-24T00:00:00"/>
        <d v="2009-05-25T00:00:00"/>
        <d v="2009-05-26T00:00:00"/>
        <d v="2009-05-27T00:00:00"/>
        <d v="2009-05-28T00:00:00"/>
        <d v="2009-05-29T00:00:00"/>
        <d v="2009-05-30T00:00:00"/>
        <d v="2009-05-31T00:00:00"/>
        <d v="2009-06-01T00:00:00"/>
        <d v="2009-06-02T00:00:00"/>
        <d v="2009-06-03T00:00:00"/>
        <d v="2009-06-04T00:00:00"/>
        <d v="2009-06-05T00:00:00"/>
        <d v="2009-06-06T00:00:00"/>
        <d v="2009-06-07T00:00:00"/>
        <d v="2009-06-08T00:00:00"/>
        <d v="2009-06-09T00:00:00"/>
        <d v="2009-06-10T00:00:00"/>
        <d v="2009-06-11T00:00:00"/>
        <d v="2009-06-12T00:00:00"/>
        <d v="2009-06-13T00:00:00"/>
        <d v="2009-06-14T00:00:00"/>
        <d v="2009-06-15T00:00:00"/>
        <d v="2009-06-16T00:00:00"/>
        <d v="2009-06-17T00:00:00"/>
        <d v="2009-06-18T00:00:00"/>
        <d v="2009-06-19T00:00:00"/>
        <d v="2009-06-20T00:00:00"/>
        <d v="2009-06-21T00:00:00"/>
        <d v="2009-06-22T00:00:00"/>
        <d v="2009-06-23T00:00:00"/>
        <d v="2009-06-24T00:00:00"/>
        <d v="2009-06-25T00:00:00"/>
        <d v="2009-06-26T00:00:00"/>
        <d v="2009-06-27T00:00:00"/>
        <d v="2009-06-28T00:00:00"/>
        <d v="2009-06-29T00:00:00"/>
        <d v="2009-06-30T00:00:00"/>
        <d v="2009-07-01T00:00:00"/>
        <d v="2009-07-02T00:00:00"/>
        <d v="2009-07-03T00:00:00"/>
        <d v="2009-07-04T00:00:00"/>
        <d v="2009-07-05T00:00:00"/>
        <d v="2009-07-06T00:00:00"/>
        <d v="2009-07-07T00:00:00"/>
        <d v="2009-07-08T00:00:00"/>
        <d v="2009-07-09T00:00:00"/>
        <d v="2009-07-10T00:00:00"/>
        <d v="2009-07-11T00:00:00"/>
        <d v="2009-07-12T00:00:00"/>
        <d v="2009-07-13T00:00:00"/>
        <d v="2009-07-14T00:00:00"/>
        <d v="2009-07-15T00:00:00"/>
        <d v="2009-07-16T00:00:00"/>
        <d v="2009-07-17T00:00:00"/>
        <d v="2009-07-18T00:00:00"/>
        <d v="2009-07-19T00:00:00"/>
        <d v="2009-07-20T00:00:00"/>
        <d v="2009-07-21T00:00:00"/>
        <d v="2009-07-22T00:00:00"/>
        <d v="2009-07-23T00:00:00"/>
        <d v="2009-07-24T00:00:00"/>
        <d v="2009-07-25T00:00:00"/>
        <d v="2009-07-26T00:00:00"/>
        <d v="2009-07-27T00:00:00"/>
        <d v="2009-07-28T00:00:00"/>
        <d v="2009-07-29T00:00:00"/>
        <d v="2009-07-30T00:00:00"/>
        <d v="2009-07-31T00:00:00"/>
        <d v="2009-08-01T00:00:00"/>
        <d v="2009-08-02T00:00:00"/>
        <d v="2009-08-03T00:00:00"/>
        <d v="2009-08-04T00:00:00"/>
        <d v="2009-08-05T00:00:00"/>
        <d v="2009-08-06T00:00:00"/>
        <d v="2009-08-07T00:00:00"/>
        <d v="2009-08-08T00:00:00"/>
        <d v="2009-08-09T00:00:00"/>
        <d v="2009-08-10T00:00:00"/>
        <d v="2009-08-11T00:00:00"/>
        <d v="2009-08-12T00:00:00"/>
        <d v="2009-08-13T00:00:00"/>
        <d v="2009-08-14T00:00:00"/>
        <d v="2009-08-15T00:00:00"/>
        <d v="2009-08-16T00:00:00"/>
        <d v="2009-08-17T00:00:00"/>
        <d v="2009-08-18T00:00:00"/>
        <d v="2009-08-19T00:00:00"/>
        <d v="2009-08-20T00:00:00"/>
        <d v="2009-08-21T00:00:00"/>
        <d v="2009-08-22T00:00:00"/>
        <d v="2009-08-23T00:00:00"/>
        <d v="2009-08-24T00:00:00"/>
        <d v="2009-08-25T00:00:00"/>
        <d v="2009-08-26T00:00:00"/>
        <d v="2009-08-27T00:00:00"/>
        <d v="2009-08-28T00:00:00"/>
        <d v="2009-08-29T00:00:00"/>
        <d v="2009-08-30T00:00:00"/>
        <d v="2009-08-31T00:00:00"/>
        <d v="2009-09-01T00:00:00"/>
        <d v="2009-09-02T00:00:00"/>
        <d v="2009-09-03T00:00:00"/>
        <d v="2009-09-04T00:00:00"/>
        <d v="2009-09-05T00:00:00"/>
        <d v="2009-09-06T00:00:00"/>
        <d v="2009-09-07T00:00:00"/>
        <d v="2009-09-08T00:00:00"/>
        <d v="2009-09-09T00:00:00"/>
        <d v="2009-09-10T00:00:00"/>
        <d v="2009-09-11T00:00:00"/>
        <d v="2009-09-12T00:00:00"/>
        <d v="2009-09-13T00:00:00"/>
        <d v="2009-09-14T00:00:00"/>
        <d v="2009-09-15T00:00:00"/>
        <d v="2009-09-16T00:00:00"/>
        <d v="2009-09-17T00:00:00"/>
        <d v="2009-09-18T00:00:00"/>
        <d v="2009-09-19T00:00:00"/>
        <d v="2009-09-20T00:00:00"/>
        <d v="2009-09-21T00:00:00"/>
        <d v="2009-09-22T00:00:00"/>
        <d v="2009-09-23T00:00:00"/>
        <d v="2009-09-24T00:00:00"/>
        <d v="2009-09-25T00:00:00"/>
        <d v="2009-09-26T00:00:00"/>
        <d v="2009-09-27T00:00:00"/>
        <d v="2009-09-28T00:00:00"/>
        <d v="2009-09-29T00:00:00"/>
        <d v="2009-09-30T00:00:00"/>
        <d v="2009-10-01T00:00:00"/>
        <d v="2009-10-02T00:00:00"/>
        <d v="2009-10-03T00:00:00"/>
        <d v="2009-10-04T00:00:00"/>
        <d v="2009-10-05T00:00:00"/>
        <d v="2009-10-06T00:00:00"/>
        <d v="2009-10-07T00:00:00"/>
        <d v="2009-10-08T00:00:00"/>
        <d v="2009-10-09T00:00:00"/>
        <d v="2009-10-10T00:00:00"/>
        <d v="2009-10-11T00:00:00"/>
        <d v="2009-10-12T00:00:00"/>
        <d v="2009-10-13T00:00:00"/>
        <d v="2009-10-14T00:00:00"/>
        <d v="2009-10-15T00:00:00"/>
        <d v="2009-10-16T00:00:00"/>
        <d v="2009-10-17T00:00:00"/>
        <d v="2009-10-18T00:00:00"/>
        <d v="2009-10-19T00:00:00"/>
        <d v="2009-10-20T00:00:00"/>
        <d v="2009-10-21T00:00:00"/>
        <d v="2009-10-22T00:00:00"/>
        <d v="2009-10-23T00:00:00"/>
        <d v="2009-10-24T00:00:00"/>
        <d v="2009-10-25T00:00:00"/>
        <d v="2009-10-26T00:00:00"/>
        <d v="2009-10-27T00:00:00"/>
        <d v="2009-10-28T00:00:00"/>
        <d v="2009-10-29T00:00:00"/>
        <d v="2009-10-30T00:00:00"/>
        <d v="2009-10-31T00:00:00"/>
        <d v="2009-11-01T00:00:00"/>
        <d v="2009-11-02T00:00:00"/>
        <d v="2009-11-03T00:00:00"/>
        <d v="2009-11-04T00:00:00"/>
        <d v="2009-11-05T00:00:00"/>
        <d v="2009-11-06T00:00:00"/>
        <d v="2009-11-07T00:00:00"/>
        <d v="2009-11-08T00:00:00"/>
        <d v="2009-11-09T00:00:00"/>
        <d v="2009-11-10T00:00:00"/>
        <d v="2009-11-11T00:00:00"/>
        <d v="2009-11-12T00:00:00"/>
        <d v="2009-11-13T00:00:00"/>
        <d v="2009-11-14T00:00:00"/>
        <d v="2009-11-15T00:00:00"/>
        <d v="2009-11-16T00:00:00"/>
        <d v="2009-11-17T00:00:00"/>
        <d v="2009-11-18T00:00:00"/>
        <d v="2009-11-19T00:00:00"/>
        <d v="2009-11-20T00:00:00"/>
        <d v="2009-11-21T00:00:00"/>
        <d v="2009-11-22T00:00:00"/>
        <d v="2009-11-23T00:00:00"/>
        <d v="2009-11-24T00:00:00"/>
        <d v="2009-11-25T00:00:00"/>
        <d v="2009-11-26T00:00:00"/>
        <d v="2009-11-27T00:00:00"/>
        <d v="2009-11-28T00:00:00"/>
        <d v="2009-11-29T00:00:00"/>
        <d v="2009-11-30T00:00:00"/>
        <d v="2009-12-01T00:00:00"/>
        <d v="2009-12-02T00:00:00"/>
        <d v="2009-12-03T00:00:00"/>
        <d v="2009-12-04T00:00:00"/>
        <d v="2009-12-05T00:00:00"/>
        <d v="2009-12-06T00:00:00"/>
        <d v="2009-12-07T00:00:00"/>
        <d v="2009-12-08T00:00:00"/>
        <d v="2009-12-09T00:00:00"/>
        <d v="2009-12-10T00:00:00"/>
        <d v="2009-12-11T00:00:00"/>
        <d v="2009-12-12T00:00:00"/>
        <d v="2009-12-13T00:00:00"/>
        <d v="2009-12-14T00:00:00"/>
        <d v="2009-12-15T00:00:00"/>
        <d v="2009-12-16T00:00:00"/>
        <d v="2009-12-17T00:00:00"/>
        <d v="2009-12-18T00:00:00"/>
        <d v="2009-12-19T00:00:00"/>
        <d v="2009-12-20T00:00:00"/>
        <d v="2009-12-21T00:00:00"/>
        <d v="2009-12-22T00:00:00"/>
        <d v="2009-12-23T00:00:00"/>
        <d v="2009-12-24T00:00:00"/>
        <d v="2009-12-25T00:00:00"/>
        <d v="2009-12-26T00:00:00"/>
        <d v="2009-12-27T00:00:00"/>
        <d v="2009-12-28T00:00:00"/>
        <d v="2009-12-29T00:00:00"/>
        <d v="2009-12-30T00:00:00"/>
        <d v="2009-12-31T00:00:00"/>
        <d v="2010-01-01T00:00:00"/>
        <d v="2010-01-02T00:00:00"/>
        <d v="2010-01-03T00:00:00"/>
        <d v="2010-01-04T00:00:00"/>
        <d v="2010-01-05T00:00:00"/>
        <d v="2010-01-06T00:00:00"/>
        <d v="2010-01-07T00:00:00"/>
        <d v="2010-01-08T00:00:00"/>
        <d v="2010-01-09T00:00:00"/>
        <d v="2010-01-10T00:00:00"/>
        <d v="2010-01-11T00:00:00"/>
        <d v="2010-01-12T00:00:00"/>
        <d v="2010-01-13T00:00:00"/>
        <d v="2010-01-14T00:00:00"/>
        <d v="2010-01-15T00:00:00"/>
        <d v="2010-01-16T00:00:00"/>
        <d v="2010-01-17T00:00:00"/>
        <d v="2010-01-18T00:00:00"/>
        <d v="2010-01-19T00:00:00"/>
        <d v="2010-01-20T00:00:00"/>
        <d v="2010-01-21T00:00:00"/>
        <d v="2010-01-22T00:00:00"/>
        <d v="2010-01-23T00:00:00"/>
        <d v="2010-01-24T00:00:00"/>
        <d v="2010-01-25T00:00:00"/>
        <d v="2010-01-26T00:00:00"/>
        <d v="2010-01-27T00:00:00"/>
        <d v="2010-01-28T00:00:00"/>
        <d v="2010-01-29T00:00:00"/>
        <d v="2010-01-30T00:00:00"/>
        <d v="2010-01-31T00:00:00"/>
        <d v="2010-02-01T00:00:00"/>
        <d v="2010-02-02T00:00:00"/>
        <d v="2010-02-03T00:00:00"/>
        <d v="2010-02-04T00:00:00"/>
        <d v="2010-02-05T00:00:00"/>
        <d v="2010-02-06T00:00:00"/>
        <d v="2010-02-07T00:00:00"/>
        <d v="2010-02-08T00:00:00"/>
        <d v="2010-02-09T00:00:00"/>
        <d v="2010-02-10T00:00:00"/>
        <d v="2010-02-11T00:00:00"/>
        <d v="2010-02-12T00:00:00"/>
        <d v="2010-02-13T00:00:00"/>
        <d v="2010-02-14T00:00:00"/>
        <d v="2010-02-15T00:00:00"/>
        <d v="2010-02-16T00:00:00"/>
        <d v="2010-02-17T00:00:00"/>
        <d v="2010-02-18T00:00:00"/>
        <d v="2010-02-19T00:00:00"/>
        <d v="2010-02-20T00:00:00"/>
        <d v="2010-02-21T00:00:00"/>
        <d v="2010-02-22T00:00:00"/>
        <d v="2010-02-23T00:00:00"/>
        <d v="2010-02-24T00:00:00"/>
        <d v="2010-02-25T00:00:00"/>
        <d v="2010-02-26T00:00:00"/>
        <d v="2010-02-27T00:00:00"/>
        <d v="2010-02-28T00:00:00"/>
        <d v="2010-03-01T00:00:00"/>
        <d v="2010-03-02T00:00:00"/>
        <d v="2010-03-03T00:00:00"/>
        <d v="2010-03-04T00:00:00"/>
        <d v="2010-03-05T00:00:00"/>
        <d v="2010-03-06T00:00:00"/>
        <d v="2010-03-07T00:00:00"/>
        <d v="2010-03-08T00:00:00"/>
        <d v="2010-03-09T00:00:00"/>
        <d v="2010-03-10T00:00:00"/>
        <d v="2010-03-11T00:00:00"/>
        <d v="2010-03-12T00:00:00"/>
        <d v="2010-03-13T00:00:00"/>
        <d v="2010-03-14T00:00:00"/>
        <d v="2010-03-15T00:00:00"/>
        <d v="2010-03-16T00:00:00"/>
        <d v="2010-03-17T00:00:00"/>
        <d v="2010-03-18T00:00:00"/>
        <d v="2010-03-19T00:00:00"/>
        <d v="2010-03-20T00:00:00"/>
        <d v="2010-03-21T00:00:00"/>
        <d v="2010-03-22T00:00:00"/>
        <d v="2010-03-23T00:00:00"/>
        <d v="2010-03-24T00:00:00"/>
        <d v="2010-03-25T00:00:00"/>
        <d v="2010-03-26T00:00:00"/>
        <d v="2010-03-27T00:00:00"/>
        <d v="2010-03-28T00:00:00"/>
        <d v="2010-03-29T00:00:00"/>
        <d v="2010-03-30T00:00:00"/>
        <d v="2010-03-31T00:00:00"/>
        <d v="2010-04-01T00:00:00"/>
        <d v="2010-04-02T00:00:00"/>
        <d v="2010-04-03T00:00:00"/>
        <d v="2010-04-04T00:00:00"/>
        <d v="2010-04-05T00:00:00"/>
        <d v="2010-04-06T00:00:00"/>
        <d v="2010-04-07T00:00:00"/>
        <d v="2010-04-08T00:00:00"/>
        <d v="2010-04-09T00:00:00"/>
        <d v="2010-04-10T00:00:00"/>
        <d v="2010-04-11T00:00:00"/>
        <d v="2010-04-12T00:00:00"/>
        <d v="2010-04-13T00:00:00"/>
        <d v="2010-04-14T00:00:00"/>
        <d v="2010-04-15T00:00:00"/>
        <d v="2010-04-16T00:00:00"/>
        <d v="2010-04-17T00:00:00"/>
        <d v="2010-04-18T00:00:00"/>
        <d v="2010-04-19T00:00:00"/>
        <d v="2010-04-20T00:00:00"/>
        <d v="2010-04-21T00:00:00"/>
        <d v="2010-04-22T00:00:00"/>
        <d v="2010-04-23T00:00:00"/>
        <d v="2010-04-24T00:00:00"/>
        <d v="2010-04-25T00:00:00"/>
        <d v="2010-04-26T00:00:00"/>
        <d v="2010-04-27T00:00:00"/>
        <d v="2010-04-28T00:00:00"/>
        <d v="2010-04-29T00:00:00"/>
        <d v="2010-04-30T00:00:00"/>
        <d v="2010-05-01T00:00:00"/>
        <d v="2010-05-02T00:00:00"/>
        <d v="2010-05-03T00:00:00"/>
        <d v="2010-05-04T00:00:00"/>
        <d v="2010-05-05T00:00:00"/>
        <d v="2010-05-06T00:00:00"/>
        <d v="2010-05-07T00:00:00"/>
        <d v="2010-05-08T00:00:00"/>
        <d v="2010-05-09T00:00:00"/>
        <d v="2010-05-10T00:00:00"/>
        <d v="2010-05-11T00:00:00"/>
        <d v="2010-05-12T00:00:00"/>
        <d v="2010-05-13T00:00:00"/>
        <d v="2010-05-14T00:00:00"/>
        <d v="2010-05-15T00:00:00"/>
        <d v="2010-05-16T00:00:00"/>
        <d v="2010-05-17T00:00:00"/>
        <d v="2010-05-18T00:00:00"/>
        <d v="2010-05-19T00:00:00"/>
        <d v="2010-05-20T00:00:00"/>
        <d v="2010-05-21T00:00:00"/>
        <d v="2010-05-22T00:00:00"/>
        <d v="2010-05-23T00:00:00"/>
        <d v="2010-05-24T00:00:00"/>
        <d v="2010-05-25T00:00:00"/>
        <d v="2010-05-26T00:00:00"/>
        <d v="2010-05-27T00:00:00"/>
        <d v="2010-05-28T00:00:00"/>
        <d v="2010-05-29T00:00:00"/>
        <d v="2010-05-30T00:00:00"/>
        <d v="2010-05-31T00:00:00"/>
        <d v="2010-06-01T00:00:00"/>
        <d v="2010-06-02T00:00:00"/>
        <d v="2010-06-03T00:00:00"/>
        <d v="2010-06-04T00:00:00"/>
        <d v="2010-06-05T00:00:00"/>
        <d v="2010-06-06T00:00:00"/>
        <d v="2010-06-07T00:00:00"/>
        <d v="2010-06-08T00:00:00"/>
        <d v="2010-06-09T00:00:00"/>
        <d v="2010-06-10T00:00:00"/>
        <d v="2010-06-11T00:00:00"/>
        <d v="2010-06-12T00:00:00"/>
        <d v="2010-06-13T00:00:00"/>
        <d v="2010-06-14T00:00:00"/>
        <d v="2010-06-15T00:00:00"/>
        <d v="2010-06-16T00:00:00"/>
        <d v="2010-06-17T00:00:00"/>
        <d v="2010-06-18T00:00:00"/>
        <d v="2010-06-19T00:00:00"/>
        <d v="2010-06-20T00:00:00"/>
        <d v="2010-06-21T00:00:00"/>
        <d v="2010-06-22T00:00:00"/>
        <d v="2010-06-23T00:00:00"/>
        <d v="2010-06-24T00:00:00"/>
        <d v="2010-06-25T00:00:00"/>
        <d v="2010-06-26T00:00:00"/>
        <d v="2010-06-27T00:00:00"/>
        <d v="2010-06-28T00:00:00"/>
        <d v="2010-06-29T00:00:00"/>
        <d v="2010-06-30T00:00:00"/>
        <d v="2010-07-01T00:00:00"/>
        <d v="2010-07-02T00:00:00"/>
        <d v="2010-07-03T00:00:00"/>
        <d v="2010-07-04T00:00:00"/>
        <d v="2010-07-05T00:00:00"/>
        <d v="2010-07-06T00:00:00"/>
        <d v="2010-07-07T00:00:00"/>
        <d v="2010-07-08T00:00:00"/>
        <d v="2010-07-09T00:00:00"/>
        <d v="2010-07-10T00:00:00"/>
        <d v="2010-07-11T00:00:00"/>
        <d v="2010-07-12T00:00:00"/>
        <d v="2010-07-13T00:00:00"/>
        <d v="2010-07-14T00:00:00"/>
        <d v="2010-07-15T00:00:00"/>
        <d v="2010-07-16T00:00:00"/>
        <d v="2010-07-17T00:00:00"/>
        <d v="2010-07-18T00:00:00"/>
        <d v="2010-07-19T00:00:00"/>
        <d v="2010-07-20T00:00:00"/>
        <d v="2010-07-21T00:00:00"/>
        <d v="2010-07-22T00:00:00"/>
        <d v="2010-07-23T00:00:00"/>
        <d v="2010-07-24T00:00:00"/>
        <d v="2010-07-25T00:00:00"/>
        <d v="2010-07-26T00:00:00"/>
        <d v="2010-07-27T00:00:00"/>
        <d v="2010-07-28T00:00:00"/>
        <d v="2010-07-29T00:00:00"/>
        <d v="2010-07-30T00:00:00"/>
        <d v="2010-07-31T00:00:00"/>
        <d v="2010-08-01T00:00:00"/>
        <d v="2010-08-02T00:00:00"/>
        <d v="2010-08-03T00:00:00"/>
        <d v="2010-08-04T00:00:00"/>
        <d v="2010-08-05T00:00:00"/>
        <d v="2010-08-06T00:00:00"/>
        <d v="2010-08-07T00:00:00"/>
        <d v="2010-08-08T00:00:00"/>
        <d v="2010-08-09T00:00:00"/>
        <d v="2010-08-10T00:00:00"/>
        <d v="2010-08-11T00:00:00"/>
        <d v="2010-08-12T00:00:00"/>
        <d v="2010-08-13T00:00:00"/>
        <d v="2010-08-14T00:00:00"/>
        <d v="2010-08-15T00:00:00"/>
        <d v="2010-08-16T00:00:00"/>
        <d v="2010-08-17T00:00:00"/>
        <d v="2010-08-18T00:00:00"/>
        <d v="2010-08-19T00:00:00"/>
        <d v="2010-08-20T00:00:00"/>
        <d v="2010-08-21T00:00:00"/>
        <d v="2010-08-22T00:00:00"/>
        <d v="2010-08-23T00:00:00"/>
        <d v="2010-08-24T00:00:00"/>
        <d v="2010-08-25T00:00:00"/>
        <d v="2010-08-26T00:00:00"/>
        <d v="2010-08-27T00:00:00"/>
        <d v="2010-08-28T00:00:00"/>
        <d v="2010-08-29T00:00:00"/>
        <d v="2010-08-30T00:00:00"/>
        <d v="2010-08-31T00:00:00"/>
        <d v="2010-09-01T00:00:00"/>
        <d v="2010-09-02T00:00:00"/>
        <d v="2010-09-03T00:00:00"/>
        <d v="2010-09-04T00:00:00"/>
        <d v="2010-09-05T00:00:00"/>
        <d v="2010-09-06T00:00:00"/>
        <d v="2010-09-07T00:00:00"/>
        <d v="2010-09-08T00:00:00"/>
        <d v="2010-09-09T00:00:00"/>
        <d v="2010-09-10T00:00:00"/>
        <d v="2010-09-11T00:00:00"/>
        <d v="2010-09-12T00:00:00"/>
        <d v="2010-09-13T00:00:00"/>
        <d v="2010-09-14T00:00:00"/>
        <d v="2010-09-15T00:00:00"/>
        <d v="2010-09-16T00:00:00"/>
        <d v="2010-09-17T00:00:00"/>
        <d v="2010-09-18T00:00:00"/>
        <d v="2010-09-19T00:00:00"/>
        <d v="2010-09-20T00:00:00"/>
        <d v="2010-09-21T00:00:00"/>
        <d v="2010-09-22T00:00:00"/>
        <d v="2010-09-23T00:00:00"/>
        <d v="2010-09-24T00:00:00"/>
        <d v="2010-09-25T00:00:00"/>
        <d v="2010-09-26T00:00:00"/>
        <d v="2010-09-27T00:00:00"/>
        <d v="2010-09-28T00:00:00"/>
        <d v="2010-09-29T00:00:00"/>
        <d v="2010-09-30T00:00:00"/>
        <d v="2010-10-01T00:00:00"/>
        <d v="2010-10-02T00:00:00"/>
        <d v="2010-10-03T00:00:00"/>
        <d v="2010-10-04T00:00:00"/>
        <d v="2010-10-05T00:00:00"/>
        <d v="2010-10-06T00:00:00"/>
        <d v="2010-10-07T00:00:00"/>
        <d v="2010-10-08T00:00:00"/>
        <d v="2010-10-09T00:00:00"/>
        <d v="2010-10-10T00:00:00"/>
        <d v="2010-10-11T00:00:00"/>
        <d v="2010-10-12T00:00:00"/>
        <d v="2010-10-13T00:00:00"/>
        <d v="2010-10-14T00:00:00"/>
        <d v="2010-10-15T00:00:00"/>
        <d v="2010-10-16T00:00:00"/>
        <d v="2010-10-17T00:00:00"/>
        <d v="2010-10-18T00:00:00"/>
        <d v="2010-10-19T00:00:00"/>
        <d v="2010-10-20T00:00:00"/>
        <d v="2010-10-21T00:00:00"/>
        <d v="2010-10-22T00:00:00"/>
        <d v="2010-10-23T00:00:00"/>
        <d v="2010-10-24T00:00:00"/>
        <d v="2010-10-25T00:00:00"/>
        <d v="2010-10-26T00:00:00"/>
        <d v="2010-10-27T00:00:00"/>
        <d v="2010-10-28T00:00:00"/>
        <d v="2010-10-29T00:00:00"/>
        <d v="2010-10-30T00:00:00"/>
        <d v="2010-10-31T00:00:00"/>
        <d v="2010-11-01T00:00:00"/>
        <d v="2010-11-02T00:00:00"/>
        <d v="2010-11-03T00:00:00"/>
        <d v="2010-11-04T00:00:00"/>
        <d v="2010-11-05T00:00:00"/>
        <d v="2010-11-06T00:00:00"/>
        <d v="2010-11-07T00:00:00"/>
        <d v="2010-11-08T00:00:00"/>
        <d v="2010-11-09T00:00:00"/>
        <d v="2010-11-10T00:00:00"/>
        <d v="2010-11-11T00:00:00"/>
        <d v="2010-11-12T00:00:00"/>
        <d v="2010-11-13T00:00:00"/>
        <d v="2010-11-14T00:00:00"/>
        <d v="2010-11-15T00:00:00"/>
        <d v="2010-11-16T00:00:00"/>
        <d v="2010-11-17T00:00:00"/>
        <d v="2010-11-18T00:00:00"/>
        <d v="2010-11-19T00:00:00"/>
        <d v="2010-11-20T00:00:00"/>
        <d v="2010-11-21T00:00:00"/>
        <d v="2010-11-22T00:00:00"/>
        <d v="2010-11-23T00:00:00"/>
        <d v="2010-11-24T00:00:00"/>
        <d v="2010-11-25T00:00:00"/>
        <d v="2010-11-26T00:00:00"/>
        <d v="2010-11-27T00:00:00"/>
        <d v="2010-11-28T00:00:00"/>
        <d v="2010-11-29T00:00:00"/>
        <d v="2010-11-30T00:00:00"/>
        <d v="2010-12-01T00:00:00"/>
        <d v="2010-12-02T00:00:00"/>
        <d v="2010-12-03T00:00:00"/>
        <d v="2010-12-04T00:00:00"/>
        <d v="2010-12-05T00:00:00"/>
        <d v="2010-12-06T00:00:00"/>
        <d v="2010-12-07T00:00:00"/>
        <d v="2010-12-08T00:00:00"/>
        <d v="2010-12-09T00:00:00"/>
        <d v="2010-12-10T00:00:00"/>
        <d v="2010-12-11T00:00:00"/>
        <d v="2010-12-12T00:00:00"/>
        <d v="2010-12-13T00:00:00"/>
        <d v="2010-12-14T00:00:00"/>
        <d v="2010-12-15T00:00:00"/>
        <d v="2010-12-16T00:00:00"/>
        <d v="2010-12-17T00:00:00"/>
        <d v="2010-12-18T00:00:00"/>
        <d v="2010-12-19T00:00:00"/>
        <d v="2010-12-20T00:00:00"/>
        <d v="2010-12-21T00:00:00"/>
        <d v="2010-12-22T00:00:00"/>
        <d v="2010-12-23T00:00:00"/>
        <d v="2010-12-24T00:00:00"/>
        <d v="2010-12-25T00:00:00"/>
        <d v="2010-12-26T00:00:00"/>
        <d v="2010-12-27T00:00:00"/>
        <d v="2010-12-28T00:00:00"/>
        <d v="2010-12-29T00:00:00"/>
        <d v="2010-12-30T00:00:00"/>
        <d v="2010-12-31T00:00:00"/>
        <d v="2011-01-01T00:00:00"/>
        <d v="2011-01-02T00:00:00"/>
        <d v="2011-01-03T00:00:00"/>
        <d v="2011-01-04T00:00:00"/>
        <d v="2011-01-05T00:00:00"/>
        <d v="2011-01-06T00:00:00"/>
        <d v="2011-01-07T00:00:00"/>
        <d v="2011-01-08T00:00:00"/>
        <d v="2011-01-09T00:00:00"/>
        <d v="2011-01-10T00:00:00"/>
        <d v="2011-01-11T00:00:00"/>
        <d v="2011-01-12T00:00:00"/>
        <d v="2011-01-13T00:00:00"/>
        <d v="2011-01-14T00:00:00"/>
        <d v="2011-01-15T00:00:00"/>
        <d v="2011-01-16T00:00:00"/>
        <d v="2011-01-17T00:00:00"/>
        <d v="2011-01-18T00:00:00"/>
        <d v="2011-01-19T00:00:00"/>
        <d v="2011-01-20T00:00:00"/>
        <d v="2011-01-21T00:00:00"/>
        <d v="2011-01-22T00:00:00"/>
        <d v="2011-01-23T00:00:00"/>
        <d v="2011-01-24T00:00:00"/>
        <d v="2011-01-25T00:00:00"/>
        <d v="2011-01-26T00:00:00"/>
        <d v="2011-01-27T00:00:00"/>
        <d v="2011-01-28T00:00:00"/>
        <d v="2011-01-29T00:00:00"/>
        <d v="2011-01-30T00:00:00"/>
        <d v="2011-01-31T00:00:00"/>
        <d v="2011-02-01T00:00:00"/>
        <d v="2011-02-02T00:00:00"/>
        <d v="2011-02-03T00:00:00"/>
        <d v="2011-02-04T00:00:00"/>
        <d v="2011-02-05T00:00:00"/>
        <d v="2011-02-06T00:00:00"/>
        <d v="2011-02-07T00:00:00"/>
        <d v="2011-02-08T00:00:00"/>
        <d v="2011-02-09T00:00:00"/>
        <d v="2011-02-10T00:00:00"/>
        <d v="2011-02-11T00:00:00"/>
        <d v="2011-02-12T00:00:00"/>
        <d v="2011-02-13T00:00:00"/>
        <d v="2011-02-14T00:00:00"/>
        <d v="2011-02-15T00:00:00"/>
        <d v="2011-02-16T00:00:00"/>
        <d v="2011-02-17T00:00:00"/>
        <d v="2011-02-18T00:00:00"/>
        <d v="2011-02-19T00:00:00"/>
        <d v="2011-02-20T00:00:00"/>
        <d v="2011-02-21T00:00:00"/>
        <d v="2011-02-22T00:00:00"/>
        <d v="2011-02-23T00:00:00"/>
        <d v="2011-02-24T00:00:00"/>
        <d v="2011-02-25T00:00:00"/>
        <d v="2011-02-26T00:00:00"/>
        <d v="2011-02-27T00:00:00"/>
        <d v="2011-02-28T00:00:00"/>
        <d v="2011-03-01T00:00:00"/>
        <d v="2011-03-02T00:00:00"/>
        <d v="2011-03-03T00:00:00"/>
        <d v="2011-03-04T00:00:00"/>
        <d v="2011-03-05T00:00:00"/>
        <d v="2011-03-06T00:00:00"/>
        <d v="2011-03-07T00:00:00"/>
        <d v="2011-03-08T00:00:00"/>
        <d v="2011-03-09T00:00:00"/>
        <d v="2011-03-10T00:00:00"/>
        <d v="2011-03-11T00:00:00"/>
        <d v="2011-03-12T00:00:00"/>
        <d v="2011-03-13T00:00:00"/>
        <d v="2011-03-14T00:00:00"/>
        <d v="2011-03-15T00:00:00"/>
        <d v="2011-03-16T00:00:00"/>
        <d v="2011-03-17T00:00:00"/>
        <d v="2011-03-18T00:00:00"/>
        <d v="2011-03-19T00:00:00"/>
        <d v="2011-03-20T00:00:00"/>
        <d v="2011-03-21T00:00:00"/>
        <d v="2011-03-22T00:00:00"/>
        <d v="2011-03-23T00:00:00"/>
        <d v="2011-03-24T00:00:00"/>
        <d v="2011-03-25T00:00:00"/>
        <d v="2011-03-26T00:00:00"/>
        <d v="2011-03-27T00:00:00"/>
        <d v="2011-03-28T00:00:00"/>
        <d v="2011-03-29T00:00:00"/>
        <d v="2011-03-30T00:00:00"/>
        <d v="2011-03-31T00:00:00"/>
        <d v="2011-04-01T00:00:00"/>
        <d v="2011-04-02T00:00:00"/>
        <d v="2011-04-03T00:00:00"/>
        <d v="2011-04-04T00:00:00"/>
        <d v="2011-04-05T00:00:00"/>
        <d v="2011-04-06T00:00:00"/>
        <d v="2011-04-07T00:00:00"/>
        <d v="2011-04-08T00:00:00"/>
        <d v="2011-04-09T00:00:00"/>
        <d v="2011-04-10T00:00:00"/>
        <d v="2011-04-11T00:00:00"/>
        <d v="2011-04-12T00:00:00"/>
        <d v="2011-04-13T00:00:00"/>
        <d v="2011-04-14T00:00:00"/>
        <d v="2011-04-15T00:00:00"/>
        <d v="2011-04-16T00:00:00"/>
        <d v="2011-04-17T00:00:00"/>
        <d v="2011-04-18T00:00:00"/>
        <d v="2011-04-19T00:00:00"/>
        <d v="2011-04-20T00:00:00"/>
        <d v="2011-04-21T00:00:00"/>
        <d v="2011-04-22T00:00:00"/>
        <d v="2011-04-23T00:00:00"/>
        <d v="2011-04-24T00:00:00"/>
        <d v="2011-04-25T00:00:00"/>
        <d v="2011-04-26T00:00:00"/>
        <d v="2011-04-27T00:00:00"/>
        <d v="2011-04-28T00:00:00"/>
        <d v="2011-04-29T00:00:00"/>
        <d v="2011-04-30T00:00:00"/>
        <d v="2011-05-01T00:00:00"/>
        <d v="2011-05-02T00:00:00"/>
        <d v="2011-05-03T00:00:00"/>
        <d v="2011-05-04T00:00:00"/>
        <d v="2011-05-05T00:00:00"/>
        <d v="2011-05-06T00:00:00"/>
        <d v="2011-05-07T00:00:00"/>
        <d v="2011-05-08T00:00:00"/>
        <d v="2011-05-09T00:00:00"/>
        <d v="2011-05-10T00:00:00"/>
        <d v="2011-05-11T00:00:00"/>
        <d v="2011-05-12T00:00:00"/>
        <d v="2011-05-13T00:00:00"/>
        <d v="2011-05-14T00:00:00"/>
        <d v="2011-05-15T00:00:00"/>
        <d v="2011-05-16T00:00:00"/>
        <d v="2011-05-17T00:00:00"/>
        <d v="2011-05-18T00:00:00"/>
        <d v="2011-05-19T00:00:00"/>
        <d v="2011-05-20T00:00:00"/>
        <d v="2011-05-21T00:00:00"/>
        <d v="2011-05-22T00:00:00"/>
        <d v="2011-05-23T00:00:00"/>
        <d v="2011-05-24T00:00:00"/>
        <d v="2011-05-25T00:00:00"/>
        <d v="2011-05-26T00:00:00"/>
        <d v="2011-05-27T00:00:00"/>
        <d v="2011-05-28T00:00:00"/>
        <d v="2011-05-29T00:00:00"/>
        <d v="2011-05-30T00:00:00"/>
        <d v="2011-05-31T00:00:00"/>
        <d v="2011-06-01T00:00:00"/>
        <d v="2011-06-02T00:00:00"/>
        <d v="2011-06-03T00:00:00"/>
        <d v="2011-06-04T00:00:00"/>
        <d v="2011-06-05T00:00:00"/>
        <d v="2011-06-06T00:00:00"/>
        <d v="2011-06-07T00:00:00"/>
        <d v="2011-06-08T00:00:00"/>
        <d v="2011-06-09T00:00:00"/>
        <d v="2011-06-10T00:00:00"/>
        <d v="2011-06-11T00:00:00"/>
        <d v="2011-06-12T00:00:00"/>
        <d v="2011-06-13T00:00:00"/>
        <d v="2011-06-14T00:00:00"/>
        <d v="2011-06-15T00:00:00"/>
        <d v="2011-06-16T00:00:00"/>
        <d v="2011-06-17T00:00:00"/>
        <d v="2011-06-18T00:00:00"/>
        <d v="2011-06-19T00:00:00"/>
        <d v="2011-06-20T00:00:00"/>
        <d v="2011-06-21T00:00:00"/>
        <d v="2011-06-22T00:00:00"/>
        <d v="2011-06-23T00:00:00"/>
        <d v="2011-06-24T00:00:00"/>
        <d v="2011-06-25T00:00:00"/>
        <d v="2011-06-26T00:00:00"/>
        <d v="2011-06-27T00:00:00"/>
        <d v="2011-06-28T00:00:00"/>
        <d v="2011-06-29T00:00:00"/>
        <d v="2011-06-30T00:00:00"/>
        <d v="2011-07-01T00:00:00"/>
        <d v="2011-07-02T00:00:00"/>
        <d v="2011-07-03T00:00:00"/>
        <d v="2011-07-04T00:00:00"/>
        <d v="2011-07-05T00:00:00"/>
        <d v="2011-07-06T00:00:00"/>
        <d v="2011-07-07T00:00:00"/>
        <d v="2011-07-08T00:00:00"/>
        <d v="2011-07-09T00:00:00"/>
        <d v="2011-07-10T00:00:00"/>
        <d v="2011-07-11T00:00:00"/>
        <d v="2011-07-12T00:00:00"/>
        <d v="2011-07-13T00:00:00"/>
        <d v="2011-07-14T00:00:00"/>
        <d v="2011-07-15T00:00:00"/>
        <d v="2011-07-16T00:00:00"/>
        <d v="2011-07-17T00:00:00"/>
        <d v="2011-07-18T00:00:00"/>
        <d v="2011-07-19T00:00:00"/>
        <d v="2011-07-20T00:00:00"/>
        <d v="2011-07-21T00:00:00"/>
        <d v="2011-07-22T00:00:00"/>
        <d v="2011-07-23T00:00:00"/>
        <d v="2011-07-24T00:00:00"/>
        <d v="2011-07-25T00:00:00"/>
        <d v="2011-07-26T00:00:00"/>
        <d v="2011-07-27T00:00:00"/>
        <d v="2011-07-28T00:00:00"/>
        <d v="2011-07-29T00:00:00"/>
        <d v="2011-07-30T00:00:00"/>
        <d v="2011-07-31T00:00:00"/>
        <d v="2011-08-01T00:00:00"/>
        <d v="2011-08-02T00:00:00"/>
        <d v="2011-08-03T00:00:00"/>
        <d v="2011-08-04T00:00:00"/>
        <d v="2011-08-05T00:00:00"/>
        <d v="2011-08-06T00:00:00"/>
        <d v="2011-08-07T00:00:00"/>
        <d v="2011-08-08T00:00:00"/>
        <d v="2011-08-09T00:00:00"/>
        <d v="2011-08-10T00:00:00"/>
        <d v="2011-08-11T00:00:00"/>
        <d v="2011-08-12T00:00:00"/>
        <d v="2011-08-13T00:00:00"/>
        <d v="2011-08-14T00:00:00"/>
        <d v="2011-08-15T00:00:00"/>
        <d v="2011-08-16T00:00:00"/>
        <d v="2011-08-17T00:00:00"/>
        <d v="2011-08-18T00:00:00"/>
        <d v="2011-08-19T00:00:00"/>
        <d v="2011-08-20T00:00:00"/>
        <d v="2011-08-21T00:00:00"/>
        <d v="2011-08-22T00:00:00"/>
        <d v="2011-08-23T00:00:00"/>
        <d v="2011-08-24T00:00:00"/>
        <d v="2011-08-25T00:00:00"/>
        <d v="2011-08-26T00:00:00"/>
        <d v="2011-08-27T00:00:00"/>
        <d v="2011-08-28T00:00:00"/>
        <d v="2011-08-29T00:00:00"/>
        <d v="2011-08-30T00:00:00"/>
        <d v="2011-08-31T00:00:00"/>
        <d v="2011-09-01T00:00:00"/>
        <d v="2011-09-02T00:00:00"/>
        <d v="2011-09-03T00:00:00"/>
        <d v="2011-09-04T00:00:00"/>
        <d v="2011-09-05T00:00:00"/>
        <d v="2011-09-06T00:00:00"/>
        <d v="2011-09-07T00:00:00"/>
        <d v="2011-09-08T00:00:00"/>
        <d v="2011-09-09T00:00:00"/>
        <d v="2011-09-10T00:00:00"/>
        <d v="2011-09-11T00:00:00"/>
        <d v="2011-09-12T00:00:00"/>
        <d v="2011-09-13T00:00:00"/>
        <d v="2011-09-14T00:00:00"/>
        <d v="2011-09-15T00:00:00"/>
        <d v="2011-09-16T00:00:00"/>
        <d v="2011-09-17T00:00:00"/>
        <d v="2011-09-18T00:00:00"/>
        <d v="2011-09-19T00:00:00"/>
        <d v="2011-09-20T00:00:00"/>
        <d v="2011-09-21T00:00:00"/>
        <d v="2011-09-22T00:00:00"/>
        <d v="2011-09-23T00:00:00"/>
        <d v="2011-09-24T00:00:00"/>
        <d v="2011-09-25T00:00:00"/>
        <d v="2011-09-26T00:00:00"/>
        <d v="2011-09-27T00:00:00"/>
        <d v="2011-09-28T00:00:00"/>
        <d v="2011-09-29T00:00:00"/>
        <d v="2011-09-30T00:00:00"/>
        <d v="2011-10-01T00:00:00"/>
        <d v="2011-10-02T00:00:00"/>
        <d v="2011-10-03T00:00:00"/>
        <d v="2011-10-04T00:00:00"/>
        <d v="2011-10-05T00:00:00"/>
        <d v="2011-10-06T00:00:00"/>
        <d v="2011-10-07T00:00:00"/>
        <d v="2011-10-08T00:00:00"/>
        <d v="2011-10-09T00:00:00"/>
        <d v="2011-10-10T00:00:00"/>
        <d v="2011-10-11T00:00:00"/>
        <d v="2011-10-12T00:00:00"/>
        <d v="2011-10-13T00:00:00"/>
        <d v="2011-10-14T00:00:00"/>
        <d v="2011-10-15T00:00:00"/>
        <d v="2011-10-16T00:00:00"/>
        <d v="2011-10-17T00:00:00"/>
        <d v="2011-10-18T00:00:00"/>
        <d v="2011-10-19T00:00:00"/>
        <d v="2011-10-20T00:00:00"/>
        <d v="2011-10-21T00:00:00"/>
        <d v="2011-10-22T00:00:00"/>
        <d v="2011-10-23T00:00:00"/>
        <d v="2011-10-24T00:00:00"/>
        <d v="2011-10-25T00:00:00"/>
        <d v="2011-10-26T00:00:00"/>
        <d v="2011-10-27T00:00:00"/>
        <d v="2011-10-28T00:00:00"/>
        <d v="2011-10-29T00:00:00"/>
        <d v="2011-10-30T00:00:00"/>
        <d v="2011-10-31T00:00:00"/>
        <d v="2011-11-01T00:00:00"/>
        <d v="2011-11-02T00:00:00"/>
        <d v="2011-11-03T00:00:00"/>
        <d v="2011-11-04T00:00:00"/>
        <d v="2011-11-05T00:00:00"/>
        <d v="2011-11-06T00:00:00"/>
        <d v="2011-11-07T00:00:00"/>
        <d v="2011-11-08T00:00:00"/>
        <d v="2011-11-09T00:00:00"/>
        <d v="2011-11-10T00:00:00"/>
        <d v="2011-11-11T00:00:00"/>
        <d v="2011-11-12T00:00:00"/>
        <d v="2011-11-13T00:00:00"/>
        <d v="2011-11-14T00:00:00"/>
        <d v="2011-11-15T00:00:00"/>
        <d v="2011-11-16T00:00:00"/>
        <d v="2011-11-17T00:00:00"/>
        <d v="2011-11-18T00:00:00"/>
        <d v="2011-11-19T00:00:00"/>
        <d v="2011-11-20T00:00:00"/>
        <d v="2011-11-21T00:00:00"/>
        <d v="2011-11-22T00:00:00"/>
        <d v="2011-11-23T00:00:00"/>
        <d v="2011-11-24T00:00:00"/>
        <d v="2011-11-25T00:00:00"/>
        <d v="2011-11-26T00:00:00"/>
        <d v="2011-11-27T00:00:00"/>
        <d v="2011-11-28T00:00:00"/>
        <d v="2011-11-29T00:00:00"/>
        <d v="2011-11-30T00:00:00"/>
        <d v="2011-12-01T00:00:00"/>
        <d v="2011-12-02T00:00:00"/>
        <d v="2011-12-03T00:00:00"/>
        <d v="2011-12-04T00:00:00"/>
        <d v="2011-12-05T00:00:00"/>
        <d v="2011-12-06T00:00:00"/>
        <d v="2011-12-07T00:00:00"/>
        <d v="2011-12-08T00:00:00"/>
        <d v="2011-12-09T00:00:00"/>
        <d v="2011-12-10T00:00:00"/>
        <d v="2011-12-11T00:00:00"/>
        <d v="2011-12-12T00:00:00"/>
        <d v="2011-12-13T00:00:00"/>
        <d v="2011-12-14T00:00:00"/>
        <d v="2011-12-15T00:00:00"/>
        <d v="2011-12-16T00:00:00"/>
        <d v="2011-12-17T00:00:00"/>
        <d v="2011-12-18T00:00:00"/>
        <d v="2011-12-19T00:00:00"/>
        <d v="2011-12-20T00:00:00"/>
        <d v="2011-12-21T00:00:00"/>
        <d v="2011-12-22T00:00:00"/>
        <d v="2011-12-23T00:00:00"/>
        <d v="2011-12-24T00:00:00"/>
        <d v="2011-12-25T00:00:00"/>
        <d v="2011-12-26T00:00:00"/>
        <d v="2011-12-27T00:00:00"/>
        <d v="2011-12-28T00:00:00"/>
        <d v="2011-12-29T00:00:00"/>
        <d v="2011-12-30T00:00:00"/>
        <d v="2011-12-31T00:00:00"/>
        <d v="2012-01-01T00:00:00"/>
        <d v="2012-01-02T00:00:00"/>
        <d v="2012-01-03T00:00:00"/>
        <d v="2012-01-04T00:00:00"/>
        <d v="2012-01-05T00:00:00"/>
        <d v="2012-01-06T00:00:00"/>
        <d v="2012-01-07T00:00:00"/>
        <d v="2012-01-08T00:00:00"/>
        <d v="2012-01-09T00:00:00"/>
        <d v="2012-01-10T00:00:00"/>
        <d v="2012-01-11T00:00:00"/>
        <d v="2012-01-12T00:00:00"/>
        <d v="2012-01-13T00:00:00"/>
        <d v="2012-01-14T00:00:00"/>
        <d v="2012-01-15T00:00:00"/>
        <d v="2012-01-16T00:00:00"/>
        <d v="2012-01-17T00:00:00"/>
        <d v="2012-01-18T00:00:00"/>
        <d v="2012-01-19T00:00:00"/>
        <d v="2012-01-20T00:00:00"/>
        <d v="2012-01-21T00:00:00"/>
        <d v="2012-01-22T00:00:00"/>
        <d v="2012-01-23T00:00:00"/>
        <d v="2012-01-24T00:00:00"/>
        <d v="2012-01-25T00:00:00"/>
        <d v="2012-01-26T00:00:00"/>
        <d v="2012-01-27T00:00:00"/>
        <d v="2012-01-28T00:00:00"/>
        <d v="2012-01-29T00:00:00"/>
        <d v="2012-01-30T00:00:00"/>
        <d v="2012-01-31T00:00:00"/>
        <d v="2012-02-01T00:00:00"/>
        <d v="2012-02-02T00:00:00"/>
        <d v="2012-02-03T00:00:00"/>
        <d v="2012-02-04T00:00:00"/>
        <d v="2012-02-05T00:00:00"/>
        <d v="2012-02-06T00:00:00"/>
        <d v="2012-02-07T00:00:00"/>
        <d v="2012-02-08T00:00:00"/>
        <d v="2012-02-09T00:00:00"/>
        <d v="2012-02-10T00:00:00"/>
        <d v="2012-02-11T00:00:00"/>
        <d v="2012-02-12T00:00:00"/>
        <d v="2012-02-13T00:00:00"/>
        <d v="2012-02-14T00:00:00"/>
        <d v="2012-02-15T00:00:00"/>
        <d v="2012-02-16T00:00:00"/>
        <d v="2012-02-17T00:00:00"/>
        <d v="2012-02-18T00:00:00"/>
        <d v="2012-02-19T00:00:00"/>
        <d v="2012-02-20T00:00:00"/>
        <d v="2012-02-21T00:00:00"/>
        <d v="2012-02-22T00:00:00"/>
        <d v="2012-02-23T00:00:00"/>
        <d v="2012-02-24T00:00:00"/>
        <d v="2012-02-25T00:00:00"/>
        <d v="2012-02-26T00:00:00"/>
        <d v="2012-02-27T00:00:00"/>
        <d v="2012-02-28T00:00:00"/>
        <d v="2012-02-29T00:00:00"/>
        <d v="2012-03-01T00:00:00"/>
        <d v="2012-03-02T00:00:00"/>
        <d v="2012-03-03T00:00:00"/>
        <d v="2012-03-04T00:00:00"/>
        <d v="2012-03-05T00:00:00"/>
        <d v="2012-03-06T00:00:00"/>
        <d v="2012-03-07T00:00:00"/>
        <d v="2012-03-08T00:00:00"/>
        <d v="2012-03-09T00:00:00"/>
        <d v="2012-03-10T00:00:00"/>
        <d v="2012-03-11T00:00:00"/>
        <d v="2012-03-12T00:00:00"/>
        <d v="2012-03-13T00:00:00"/>
        <d v="2012-03-14T00:00:00"/>
        <d v="2012-03-15T00:00:00"/>
        <d v="2012-03-16T00:00:00"/>
        <d v="2012-03-17T00:00:00"/>
        <d v="2012-03-18T00:00:00"/>
        <d v="2012-03-19T00:00:00"/>
        <d v="2012-03-20T00:00:00"/>
        <d v="2012-03-21T00:00:00"/>
        <d v="2012-03-22T00:00:00"/>
        <d v="2012-03-23T00:00:00"/>
        <d v="2012-03-24T00:00:00"/>
        <d v="2012-03-25T00:00:00"/>
        <d v="2012-03-26T00:00:00"/>
        <d v="2012-03-27T00:00:00"/>
        <d v="2012-03-28T00:00:00"/>
        <d v="2012-03-29T00:00:00"/>
        <d v="2012-03-30T00:00:00"/>
        <d v="2012-03-31T00:00:00"/>
        <d v="2012-04-01T00:00:00"/>
        <d v="2012-04-02T00:00:00"/>
        <d v="2012-04-03T00:00:00"/>
        <d v="2012-04-04T00:00:00"/>
        <d v="2012-04-05T00:00:00"/>
        <d v="2012-04-06T00:00:00"/>
        <d v="2012-04-07T00:00:00"/>
        <d v="2012-04-08T00:00:00"/>
        <d v="2012-04-09T00:00:00"/>
        <d v="2012-04-10T00:00:00"/>
        <d v="2012-04-11T00:00:00"/>
        <d v="2012-04-12T00:00:00"/>
        <d v="2012-04-13T00:00:00"/>
        <d v="2012-04-14T00:00:00"/>
        <d v="2012-04-15T00:00:00"/>
        <d v="2012-04-16T00:00:00"/>
        <d v="2012-04-17T00:00:00"/>
        <d v="2012-04-18T00:00:00"/>
        <d v="2012-04-19T00:00:00"/>
        <d v="2012-04-20T00:00:00"/>
        <d v="2012-04-21T00:00:00"/>
        <d v="2012-04-22T00:00:00"/>
        <d v="2012-04-23T00:00:00"/>
        <d v="2012-04-24T00:00:00"/>
        <d v="2012-04-25T00:00:00"/>
        <d v="2012-04-26T00:00:00"/>
        <d v="2012-04-27T00:00:00"/>
        <d v="2012-04-28T00:00:00"/>
        <d v="2012-04-29T00:00:00"/>
        <d v="2012-04-30T00:00:00"/>
        <d v="2012-05-01T00:00:00"/>
        <d v="2012-05-02T00:00:00"/>
        <d v="2012-05-03T00:00:00"/>
        <d v="2012-05-04T00:00:00"/>
        <d v="2012-05-05T00:00:00"/>
        <d v="2012-05-06T00:00:00"/>
        <d v="2012-05-07T00:00:00"/>
        <d v="2012-05-08T00:00:00"/>
        <d v="2012-05-09T00:00:00"/>
        <d v="2012-05-10T00:00:00"/>
        <d v="2012-05-11T00:00:00"/>
        <d v="2012-05-12T00:00:00"/>
        <d v="2012-05-13T00:00:00"/>
        <d v="2012-05-14T00:00:00"/>
        <d v="2012-05-15T00:00:00"/>
        <d v="2012-05-16T00:00:00"/>
        <d v="2012-05-17T00:00:00"/>
        <d v="2012-05-18T00:00:00"/>
        <d v="2012-05-19T00:00:00"/>
        <d v="2012-05-20T00:00:00"/>
        <d v="2012-05-21T00:00:00"/>
        <d v="2012-05-22T00:00:00"/>
        <d v="2012-05-23T00:00:00"/>
        <d v="2012-05-24T00:00:00"/>
        <d v="2012-05-25T00:00:00"/>
        <d v="2012-05-26T00:00:00"/>
        <d v="2012-05-27T00:00:00"/>
        <d v="2012-05-28T00:00:00"/>
        <d v="2012-05-29T00:00:00"/>
        <d v="2012-05-30T00:00:00"/>
        <d v="2012-05-31T00:00:00"/>
        <d v="2012-06-01T00:00:00"/>
        <d v="2012-06-02T00:00:00"/>
        <d v="2012-06-03T00:00:00"/>
        <d v="2012-06-04T00:00:00"/>
        <d v="2012-06-05T00:00:00"/>
        <d v="2012-06-06T00:00:00"/>
        <d v="2012-06-07T00:00:00"/>
        <d v="2012-06-08T00:00:00"/>
        <d v="2012-06-09T00:00:00"/>
        <d v="2012-06-10T00:00:00"/>
        <d v="2012-06-11T00:00:00"/>
        <d v="2012-06-12T00:00:00"/>
        <d v="2012-06-13T00:00:00"/>
        <d v="2012-06-14T00:00:00"/>
        <d v="2012-06-15T00:00:00"/>
        <d v="2012-06-16T00:00:00"/>
        <d v="2012-06-17T00:00:00"/>
        <d v="2012-06-18T00:00:00"/>
        <d v="2012-06-19T00:00:00"/>
        <d v="2012-06-20T00:00:00"/>
        <d v="2012-06-21T00:00:00"/>
        <d v="2012-06-22T00:00:00"/>
        <d v="2012-06-23T00:00:00"/>
        <d v="2012-06-24T00:00:00"/>
        <d v="2012-06-25T00:00:00"/>
        <d v="2012-06-26T00:00:00"/>
        <d v="2012-06-27T00:00:00"/>
        <d v="2012-06-28T00:00:00"/>
        <d v="2012-06-29T00:00:00"/>
        <d v="2012-06-30T00:00:00"/>
        <d v="2012-07-01T00:00:00"/>
        <d v="2012-07-02T00:00:00"/>
        <d v="2012-07-03T00:00:00"/>
        <d v="2012-07-04T00:00:00"/>
        <d v="2012-07-05T00:00:00"/>
        <d v="2012-07-06T00:00:00"/>
        <d v="2012-07-07T00:00:00"/>
        <d v="2012-07-08T00:00:00"/>
        <d v="2012-07-09T00:00:00"/>
        <d v="2012-07-10T00:00:00"/>
        <d v="2012-07-11T00:00:00"/>
        <d v="2012-07-12T00:00:00"/>
        <d v="2012-07-13T00:00:00"/>
        <d v="2012-07-14T00:00:00"/>
        <d v="2012-07-15T00:00:00"/>
        <d v="2012-07-16T00:00:00"/>
        <d v="2012-07-17T00:00:00"/>
        <d v="2012-07-18T00:00:00"/>
        <d v="2012-07-19T00:00:00"/>
        <d v="2012-07-20T00:00:00"/>
        <d v="2012-07-21T00:00:00"/>
        <d v="2012-07-22T00:00:00"/>
        <d v="2012-07-23T00:00:00"/>
        <d v="2012-07-24T00:00:00"/>
        <d v="2012-07-25T00:00:00"/>
        <d v="2012-07-26T00:00:00"/>
        <d v="2012-07-27T00:00:00"/>
        <d v="2012-07-28T00:00:00"/>
        <d v="2012-07-29T00:00:00"/>
        <d v="2012-07-30T00:00:00"/>
        <d v="2012-07-31T00:00:00"/>
        <d v="2012-08-01T00:00:00"/>
        <d v="2012-08-02T00:00:00"/>
        <d v="2012-08-03T00:00:00"/>
        <d v="2012-08-04T00:00:00"/>
        <d v="2012-08-05T00:00:00"/>
        <d v="2012-08-06T00:00:00"/>
        <d v="2012-08-07T00:00:00"/>
        <d v="2012-08-08T00:00:00"/>
        <d v="2012-08-09T00:00:00"/>
        <d v="2012-08-10T00:00:00"/>
        <d v="2012-08-11T00:00:00"/>
        <d v="2012-08-12T00:00:00"/>
        <d v="2012-08-13T00:00:00"/>
        <d v="2012-08-14T00:00:00"/>
        <d v="2012-08-15T00:00:00"/>
        <d v="2012-08-16T00:00:00"/>
        <d v="2012-08-17T00:00:00"/>
        <d v="2012-08-18T00:00:00"/>
        <d v="2012-08-19T00:00:00"/>
        <d v="2012-08-20T00:00:00"/>
        <d v="2012-08-21T00:00:00"/>
        <d v="2012-08-22T00:00:00"/>
        <d v="2012-08-23T00:00:00"/>
        <d v="2012-08-24T00:00:00"/>
        <d v="2012-08-25T00:00:00"/>
        <d v="2012-08-26T00:00:00"/>
        <d v="2012-08-27T00:00:00"/>
        <d v="2012-08-28T00:00:00"/>
        <d v="2012-08-29T00:00:00"/>
        <d v="2012-08-30T00:00:00"/>
        <d v="2012-08-31T00:00:00"/>
        <d v="2012-09-01T00:00:00"/>
        <d v="2012-09-02T00:00:00"/>
        <d v="2012-09-03T00:00:00"/>
        <d v="2012-09-04T00:00:00"/>
        <d v="2012-09-05T00:00:00"/>
        <d v="2012-09-06T00:00:00"/>
        <d v="2012-09-07T00:00:00"/>
        <d v="2012-09-08T00:00:00"/>
        <d v="2012-09-09T00:00:00"/>
        <d v="2012-09-10T00:00:00"/>
        <d v="2012-09-11T00:00:00"/>
        <d v="2012-09-12T00:00:00"/>
        <d v="2012-09-13T00:00:00"/>
        <d v="2012-09-14T00:00:00"/>
        <d v="2012-09-15T00:00:00"/>
        <d v="2012-09-16T00:00:00"/>
        <d v="2012-09-17T00:00:00"/>
        <d v="2012-09-18T00:00:00"/>
        <d v="2012-09-19T00:00:00"/>
        <d v="2012-09-20T00:00:00"/>
        <d v="2012-09-21T00:00:00"/>
        <d v="2012-09-22T00:00:00"/>
        <d v="2012-09-23T00:00:00"/>
        <d v="2012-09-24T00:00:00"/>
        <d v="2012-09-25T00:00:00"/>
        <d v="2012-09-26T00:00:00"/>
        <d v="2012-09-27T00:00:00"/>
        <d v="2012-09-28T00:00:00"/>
        <d v="2012-09-29T00:00:00"/>
        <d v="2012-09-30T00:00:00"/>
        <d v="2012-10-01T00:00:00"/>
        <d v="2012-10-02T00:00:00"/>
        <d v="2012-10-03T00:00:00"/>
        <d v="2012-10-04T00:00:00"/>
        <d v="2012-10-05T00:00:00"/>
        <d v="2012-10-06T00:00:00"/>
        <d v="2012-10-07T00:00:00"/>
        <d v="2012-10-08T00:00:00"/>
        <d v="2012-10-09T00:00:00"/>
        <d v="2012-10-10T00:00:00"/>
        <d v="2012-10-11T00:00:00"/>
        <d v="2012-10-12T00:00:00"/>
        <d v="2012-10-13T00:00:00"/>
        <d v="2012-10-14T00:00:00"/>
        <d v="2012-10-15T00:00:00"/>
        <d v="2012-10-16T00:00:00"/>
        <d v="2012-10-17T00:00:00"/>
        <d v="2012-10-18T00:00:00"/>
        <d v="2012-10-19T00:00:00"/>
        <d v="2012-10-20T00:00:00"/>
        <d v="2012-10-21T00:00:00"/>
        <d v="2012-10-22T00:00:00"/>
        <d v="2012-10-23T00:00:00"/>
        <d v="2012-10-24T00:00:00"/>
        <d v="2012-10-25T00:00:00"/>
        <d v="2012-10-26T00:00:00"/>
        <d v="2012-10-27T00:00:00"/>
        <d v="2012-10-28T00:00:00"/>
        <d v="2012-10-29T00:00:00"/>
        <d v="2012-10-30T00:00:00"/>
        <d v="2012-10-31T00:00:00"/>
        <d v="2012-11-01T00:00:00"/>
        <d v="2012-11-02T00:00:00"/>
        <d v="2012-11-03T00:00:00"/>
        <d v="2012-11-04T00:00:00"/>
        <d v="2012-11-05T00:00:00"/>
        <d v="2012-11-06T00:00:00"/>
        <d v="2012-11-07T00:00:00"/>
        <d v="2012-11-08T00:00:00"/>
        <d v="2012-11-09T00:00:00"/>
        <d v="2012-11-10T00:00:00"/>
        <d v="2012-11-11T00:00:00"/>
        <d v="2012-11-12T00:00:00"/>
        <d v="2012-11-13T00:00:00"/>
        <d v="2012-11-14T00:00:00"/>
        <d v="2012-11-15T00:00:00"/>
        <d v="2012-11-16T00:00:00"/>
        <d v="2012-11-17T00:00:00"/>
        <d v="2012-11-18T00:00:00"/>
        <d v="2012-11-19T00:00:00"/>
        <d v="2012-11-20T00:00:00"/>
        <d v="2012-11-21T00:00:00"/>
        <d v="2012-11-22T00:00:00"/>
        <d v="2012-11-23T00:00:00"/>
        <d v="2012-11-24T00:00:00"/>
        <d v="2012-11-25T00:00:00"/>
        <d v="2012-11-26T00:00:00"/>
        <d v="2012-11-27T00:00:00"/>
        <d v="2012-11-28T00:00:00"/>
        <d v="2012-11-29T00:00:00"/>
        <d v="2012-11-30T00:00:00"/>
        <d v="2012-12-01T00:00:00"/>
        <d v="2012-12-02T00:00:00"/>
        <d v="2012-12-03T00:00:00"/>
        <d v="2012-12-04T00:00:00"/>
        <d v="2012-12-05T00:00:00"/>
        <d v="2012-12-06T00:00:00"/>
        <d v="2012-12-07T00:00:00"/>
        <d v="2012-12-08T00:00:00"/>
        <d v="2012-12-09T00:00:00"/>
        <d v="2012-12-10T00:00:00"/>
        <d v="2012-12-11T00:00:00"/>
        <d v="2012-12-12T00:00:00"/>
        <d v="2012-12-13T00:00:00"/>
        <d v="2012-12-14T00:00:00"/>
        <d v="2012-12-15T00:00:00"/>
        <d v="2012-12-16T00:00:00"/>
        <d v="2012-12-17T00:00:00"/>
        <d v="2012-12-18T00:00:00"/>
        <d v="2012-12-19T00:00:00"/>
        <d v="2012-12-20T00:00:00"/>
        <d v="2012-12-21T00:00:00"/>
        <d v="2012-12-22T00:00:00"/>
        <d v="2012-12-23T00:00:00"/>
        <d v="2012-12-24T00:00:00"/>
        <d v="2012-12-25T00:00:00"/>
        <d v="2012-12-26T00:00:00"/>
        <d v="2012-12-27T00:00:00"/>
        <d v="2012-12-28T00:00:00"/>
        <d v="2012-12-29T00:00:00"/>
        <d v="2012-12-30T00:00:00"/>
        <d v="2012-12-31T00:00:00"/>
        <d v="2013-01-01T00:00:00"/>
        <d v="2013-01-02T00:00:00"/>
        <d v="2013-01-03T00:00:00"/>
        <d v="2013-01-04T00:00:00"/>
        <d v="2013-01-05T00:00:00"/>
        <d v="2013-01-06T00:00:00"/>
        <d v="2013-01-07T00:00:00"/>
        <d v="2013-01-08T00:00:00"/>
        <d v="2013-01-09T00:00:00"/>
        <d v="2013-01-10T00:00:00"/>
        <d v="2013-01-11T00:00:00"/>
        <d v="2013-01-12T00:00:00"/>
        <d v="2013-01-13T00:00:00"/>
        <d v="2013-01-14T00:00:00"/>
        <d v="2013-01-15T00:00:00"/>
        <d v="2013-01-16T00:00:00"/>
        <d v="2013-01-17T00:00:00"/>
        <d v="2013-01-18T00:00:00"/>
        <d v="2013-01-19T00:00:00"/>
        <d v="2013-01-20T00:00:00"/>
        <d v="2013-01-21T00:00:00"/>
        <d v="2013-01-22T00:00:00"/>
        <d v="2013-01-23T00:00:00"/>
        <d v="2013-01-24T00:00:00"/>
        <d v="2013-01-25T00:00:00"/>
        <d v="2013-01-26T00:00:00"/>
        <d v="2013-01-27T00:00:00"/>
        <d v="2013-01-28T00:00:00"/>
        <d v="2013-01-29T00:00:00"/>
        <d v="2013-01-30T00:00:00"/>
        <d v="2013-01-31T00:00:00"/>
        <d v="2013-02-01T00:00:00"/>
        <d v="2013-02-02T00:00:00"/>
        <d v="2013-02-03T00:00:00"/>
        <d v="2013-02-04T00:00:00"/>
        <d v="2013-02-05T00:00:00"/>
        <d v="2013-02-06T00:00:00"/>
        <d v="2013-02-07T00:00:00"/>
        <d v="2013-02-08T00:00:00"/>
        <d v="2013-02-09T00:00:00"/>
        <d v="2013-02-10T00:00:00"/>
        <d v="2013-02-11T00:00:00"/>
        <d v="2013-02-12T00:00:00"/>
        <d v="2013-02-13T00:00:00"/>
        <d v="2013-02-14T00:00:00"/>
        <d v="2013-02-15T00:00:00"/>
        <d v="2013-02-16T00:00:00"/>
        <d v="2013-02-17T00:00:00"/>
        <d v="2013-02-18T00:00:00"/>
        <d v="2013-02-19T00:00:00"/>
        <d v="2013-02-20T00:00:00"/>
        <d v="2013-02-21T00:00:00"/>
        <d v="2013-02-22T00:00:00"/>
        <d v="2013-02-23T00:00:00"/>
        <d v="2013-02-24T00:00:00"/>
        <d v="2013-02-25T00:00:00"/>
        <d v="2013-02-26T00:00:00"/>
        <d v="2013-02-27T00:00:00"/>
        <d v="2013-02-28T00:00:00"/>
        <d v="2013-03-01T00:00:00"/>
        <d v="2013-03-02T00:00:00"/>
        <d v="2013-03-03T00:00:00"/>
        <d v="2013-03-04T00:00:00"/>
        <d v="2013-03-05T00:00:00"/>
        <d v="2013-03-06T00:00:00"/>
        <d v="2013-03-07T00:00:00"/>
        <d v="2013-03-08T00:00:00"/>
        <d v="2013-03-09T00:00:00"/>
        <d v="2013-03-10T00:00:00"/>
        <d v="2013-03-11T00:00:00"/>
        <d v="2013-03-12T00:00:00"/>
        <d v="2013-03-13T00:00:00"/>
        <d v="2013-03-14T00:00:00"/>
        <d v="2013-03-15T00:00:00"/>
        <d v="2013-03-16T00:00:00"/>
        <d v="2013-03-17T00:00:00"/>
        <d v="2013-03-18T00:00:00"/>
        <d v="2013-03-19T00:00:00"/>
        <d v="2013-03-20T00:00:00"/>
        <d v="2013-03-21T00:00:00"/>
        <d v="2013-03-22T00:00:00"/>
        <d v="2013-03-23T00:00:00"/>
        <d v="2013-03-24T00:00:00"/>
        <d v="2013-03-25T00:00:00"/>
        <d v="2013-03-26T00:00:00"/>
        <d v="2013-03-27T00:00:00"/>
        <d v="2013-03-28T00:00:00"/>
        <d v="2013-03-29T00:00:00"/>
        <d v="2013-03-30T00:00:00"/>
        <d v="2013-03-31T00:00:00"/>
        <d v="2013-04-01T00:00:00"/>
        <d v="2013-04-02T00:00:00"/>
        <d v="2013-04-03T00:00:00"/>
        <d v="2013-04-04T00:00:00"/>
        <d v="2013-04-05T00:00:00"/>
        <d v="2013-04-06T00:00:00"/>
        <d v="2013-04-07T00:00:00"/>
        <d v="2013-04-08T00:00:00"/>
        <d v="2013-04-09T00:00:00"/>
        <d v="2013-04-10T00:00:00"/>
        <d v="2013-04-11T00:00:00"/>
        <d v="2013-04-12T00:00:00"/>
        <d v="2013-04-13T00:00:00"/>
        <d v="2013-04-14T00:00:00"/>
        <d v="2013-04-15T00:00:00"/>
        <d v="2013-04-16T00:00:00"/>
        <d v="2013-04-17T00:00:00"/>
        <d v="2013-04-18T00:00:00"/>
        <d v="2013-04-19T00:00:00"/>
        <d v="2013-04-20T00:00:00"/>
        <d v="2013-04-21T00:00:00"/>
        <d v="2013-04-22T00:00:00"/>
        <d v="2013-04-23T00:00:00"/>
        <d v="2013-04-24T00:00:00"/>
        <d v="2013-04-25T00:00:00"/>
        <d v="2013-04-26T00:00:00"/>
        <d v="2013-04-27T00:00:00"/>
        <d v="2013-04-28T00:00:00"/>
        <d v="2013-04-29T00:00:00"/>
        <d v="2013-04-30T00:00:00"/>
        <d v="2013-05-01T00:00:00"/>
        <d v="2013-05-02T00:00:00"/>
        <d v="2013-05-03T00:00:00"/>
        <d v="2013-05-04T00:00:00"/>
        <d v="2013-05-05T00:00:00"/>
        <d v="2013-05-06T00:00:00"/>
        <d v="2013-05-07T00:00:00"/>
        <d v="2013-05-08T00:00:00"/>
        <d v="2013-05-09T00:00:00"/>
        <d v="2013-05-10T00:00:00"/>
        <d v="2013-05-11T00:00:00"/>
        <d v="2013-05-12T00:00:00"/>
        <d v="2013-05-13T00:00:00"/>
        <d v="2013-05-14T00:00:00"/>
        <d v="2013-05-15T00:00:00"/>
        <d v="2013-05-16T00:00:00"/>
        <d v="2013-05-17T00:00:00"/>
        <d v="2013-05-18T00:00:00"/>
        <d v="2013-05-19T00:00:00"/>
        <d v="2013-05-20T00:00:00"/>
        <d v="2013-05-21T00:00:00"/>
        <d v="2013-05-22T00:00:00"/>
        <d v="2013-05-23T00:00:00"/>
        <d v="2013-05-24T00:00:00"/>
        <d v="2013-05-25T00:00:00"/>
        <d v="2013-05-26T00:00:00"/>
        <d v="2013-05-27T00:00:00"/>
        <d v="2013-05-28T00:00:00"/>
        <d v="2013-05-29T00:00:00"/>
        <d v="2013-05-30T00:00:00"/>
        <d v="2013-05-31T00:00:00"/>
        <d v="2013-06-01T00:00:00"/>
        <d v="2013-06-02T00:00:00"/>
        <d v="2013-06-03T00:00:00"/>
        <d v="2013-06-04T00:00:00"/>
        <d v="2013-06-05T00:00:00"/>
        <d v="2013-06-06T00:00:00"/>
        <d v="2013-06-07T00:00:00"/>
        <d v="2013-06-08T00:00:00"/>
        <d v="2013-06-09T00:00:00"/>
        <d v="2013-06-10T00:00:00"/>
        <d v="2013-06-11T00:00:00"/>
        <d v="2013-06-12T00:00:00"/>
        <d v="2013-06-13T00:00:00"/>
        <d v="2013-06-14T00:00:00"/>
        <d v="2013-06-15T00:00:00"/>
        <d v="2013-06-16T00:00:00"/>
        <d v="2013-06-17T00:00:00"/>
        <d v="2013-06-18T00:00:00"/>
        <d v="2013-06-19T00:00:00"/>
        <d v="2013-06-20T00:00:00"/>
        <d v="2013-06-21T00:00:00"/>
        <d v="2013-06-22T00:00:00"/>
        <d v="2013-06-23T00:00:00"/>
        <d v="2013-06-24T00:00:00"/>
        <d v="2013-06-25T00:00:00"/>
        <d v="2013-06-26T00:00:00"/>
        <d v="2013-06-27T00:00:00"/>
        <d v="2013-06-28T00:00:00"/>
        <d v="2013-06-29T00:00:00"/>
        <d v="2013-06-30T00:00:00"/>
        <d v="2013-07-01T00:00:00"/>
        <d v="2013-07-02T00:00:00"/>
        <d v="2013-07-03T00:00:00"/>
        <d v="2013-07-04T00:00:00"/>
        <d v="2013-07-05T00:00:00"/>
        <d v="2013-07-06T00:00:00"/>
        <d v="2013-07-07T00:00:00"/>
        <d v="2013-07-08T00:00:00"/>
        <d v="2013-07-09T00:00:00"/>
        <d v="2013-07-10T00:00:00"/>
        <d v="2013-07-11T00:00:00"/>
        <d v="2013-07-12T00:00:00"/>
        <d v="2013-07-13T00:00:00"/>
        <d v="2013-07-14T00:00:00"/>
        <d v="2013-07-15T00:00:00"/>
        <d v="2013-07-16T00:00:00"/>
        <d v="2013-07-17T00:00:00"/>
        <d v="2013-07-18T00:00:00"/>
        <d v="2013-07-19T00:00:00"/>
        <d v="2013-07-20T00:00:00"/>
        <d v="2013-07-21T00:00:00"/>
        <d v="2013-07-22T00:00:00"/>
        <d v="2013-07-23T00:00:00"/>
        <d v="2013-07-24T00:00:00"/>
        <d v="2013-07-25T00:00:00"/>
        <d v="2013-07-26T00:00:00"/>
        <d v="2013-07-27T00:00:00"/>
        <d v="2013-07-28T00:00:00"/>
        <d v="2013-07-29T00:00:00"/>
        <d v="2013-07-30T00:00:00"/>
        <d v="2013-07-31T00:00:00"/>
        <d v="2013-08-01T00:00:00"/>
        <d v="2013-08-02T00:00:00"/>
        <d v="2013-08-03T00:00:00"/>
        <d v="2013-08-04T00:00:00"/>
        <d v="2013-08-05T00:00:00"/>
        <d v="2013-08-06T00:00:00"/>
        <d v="2013-08-07T00:00:00"/>
        <d v="2013-08-08T00:00:00"/>
        <d v="2013-08-09T00:00:00"/>
        <d v="2013-08-10T00:00:00"/>
        <d v="2013-08-11T00:00:00"/>
        <d v="2013-08-12T00:00:00"/>
        <d v="2013-08-13T00:00:00"/>
        <d v="2013-08-14T00:00:00"/>
        <d v="2013-08-15T00:00:00"/>
        <d v="2013-08-16T00:00:00"/>
        <d v="2013-08-17T00:00:00"/>
        <d v="2013-08-18T00:00:00"/>
        <d v="2013-08-19T00:00:00"/>
        <d v="2013-08-20T00:00:00"/>
        <d v="2013-08-21T00:00:00"/>
        <d v="2013-08-22T00:00:00"/>
        <d v="2013-08-23T00:00:00"/>
        <d v="2013-08-24T00:00:00"/>
        <d v="2013-08-25T00:00:00"/>
        <d v="2013-08-26T00:00:00"/>
        <d v="2013-08-27T00:00:00"/>
        <d v="2013-08-28T00:00:00"/>
        <d v="2013-08-29T00:00:00"/>
        <d v="2013-08-30T00:00:00"/>
        <d v="2013-08-31T00:00:00"/>
        <d v="2013-09-01T00:00:00"/>
        <d v="2013-09-02T00:00:00"/>
        <d v="2013-09-03T00:00:00"/>
        <d v="2013-09-04T00:00:00"/>
        <d v="2013-09-05T00:00:00"/>
        <d v="2013-09-06T00:00:00"/>
        <d v="2013-09-07T00:00:00"/>
        <d v="2013-09-08T00:00:00"/>
        <d v="2013-09-09T00:00:00"/>
        <d v="2013-09-10T00:00:00"/>
        <d v="2013-09-11T00:00:00"/>
        <d v="2013-09-12T00:00:00"/>
        <d v="2013-09-13T00:00:00"/>
        <d v="2013-09-14T00:00:00"/>
        <d v="2013-09-15T00:00:00"/>
        <d v="2013-09-16T00:00:00"/>
        <d v="2013-09-17T00:00:00"/>
        <d v="2013-09-18T00:00:00"/>
        <d v="2013-09-19T00:00:00"/>
        <d v="2013-09-20T00:00:00"/>
        <d v="2013-09-21T00:00:00"/>
        <d v="2013-09-22T00:00:00"/>
        <d v="2013-09-23T00:00:00"/>
        <d v="2013-09-24T00:00:00"/>
        <d v="2013-09-25T00:00:00"/>
        <d v="2013-09-26T00:00:00"/>
        <d v="2013-09-27T00:00:00"/>
        <d v="2013-09-28T00:00:00"/>
        <d v="2013-09-29T00:00:00"/>
        <d v="2013-09-30T00:00:00"/>
        <d v="2013-10-01T00:00:00"/>
        <d v="2013-10-02T00:00:00"/>
        <d v="2013-10-03T00:00:00"/>
        <d v="2013-10-04T00:00:00"/>
        <d v="2013-10-05T00:00:00"/>
        <d v="2013-10-06T00:00:00"/>
        <d v="2013-10-07T00:00:00"/>
        <d v="2013-10-08T00:00:00"/>
        <d v="2013-10-09T00:00:00"/>
        <d v="2013-10-10T00:00:00"/>
        <d v="2013-10-11T00:00:00"/>
        <d v="2013-10-12T00:00:00"/>
        <d v="2013-10-13T00:00:00"/>
        <d v="2013-10-14T00:00:00"/>
        <d v="2013-10-15T00:00:00"/>
        <d v="2013-10-16T00:00:00"/>
        <d v="2013-10-17T00:00:00"/>
        <d v="2013-10-18T00:00:00"/>
        <d v="2013-10-19T00:00:00"/>
        <d v="2013-10-20T00:00:00"/>
        <d v="2013-10-21T00:00:00"/>
        <d v="2013-10-22T00:00:00"/>
        <d v="2013-10-23T00:00:00"/>
        <d v="2013-10-24T00:00:00"/>
        <d v="2013-10-25T00:00:00"/>
        <d v="2013-10-26T00:00:00"/>
        <d v="2013-10-27T00:00:00"/>
        <d v="2013-10-28T00:00:00"/>
        <d v="2013-10-29T00:00:00"/>
        <d v="2013-10-30T00:00:00"/>
        <d v="2013-10-31T00:00:00"/>
        <d v="2013-11-01T00:00:00"/>
        <d v="2013-11-02T00:00:00"/>
        <d v="2013-11-03T00:00:00"/>
        <d v="2013-11-04T00:00:00"/>
        <d v="2013-11-05T00:00:00"/>
        <d v="2013-11-06T00:00:00"/>
        <d v="2013-11-07T00:00:00"/>
        <d v="2013-11-08T00:00:00"/>
        <d v="2013-11-09T00:00:00"/>
        <d v="2013-11-10T00:00:00"/>
        <d v="2013-11-11T00:00:00"/>
        <d v="2013-11-12T00:00:00"/>
        <d v="2013-11-13T00:00:00"/>
        <d v="2013-11-14T00:00:00"/>
        <d v="2013-11-15T00:00:00"/>
        <d v="2013-11-16T00:00:00"/>
        <d v="2013-11-17T00:00:00"/>
        <d v="2013-11-18T00:00:00"/>
        <d v="2013-11-19T00:00:00"/>
        <d v="2013-11-20T00:00:00"/>
        <d v="2013-11-21T00:00:00"/>
        <d v="2013-11-22T00:00:00"/>
        <d v="2013-11-23T00:00:00"/>
        <d v="2013-11-24T00:00:00"/>
        <d v="2013-11-25T00:00:00"/>
        <d v="2013-11-26T00:00:00"/>
        <d v="2013-11-27T00:00:00"/>
        <d v="2013-11-28T00:00:00"/>
        <d v="2013-11-29T00:00:00"/>
        <d v="2013-11-30T00:00:00"/>
        <d v="2013-12-01T00:00:00"/>
        <d v="2013-12-02T00:00:00"/>
        <d v="2013-12-03T00:00:00"/>
        <d v="2013-12-04T00:00:00"/>
        <d v="2013-12-05T00:00:00"/>
        <d v="2013-12-06T00:00:00"/>
        <d v="2013-12-07T00:00:00"/>
        <d v="2013-12-08T00:00:00"/>
        <d v="2013-12-09T00:00:00"/>
        <d v="2013-12-10T00:00:00"/>
        <d v="2013-12-11T00:00:00"/>
        <d v="2013-12-12T00:00:00"/>
        <d v="2013-12-13T00:00:00"/>
        <d v="2013-12-14T00:00:00"/>
        <d v="2013-12-15T00:00:00"/>
        <d v="2013-12-16T00:00:00"/>
        <d v="2013-12-17T00:00:00"/>
        <d v="2013-12-18T00:00:00"/>
        <d v="2013-12-19T00:00:00"/>
        <d v="2013-12-20T00:00:00"/>
        <d v="2013-12-21T00:00:00"/>
        <d v="2013-12-22T00:00:00"/>
        <d v="2013-12-23T00:00:00"/>
        <d v="2013-12-24T00:00:00"/>
        <d v="2013-12-25T00:00:00"/>
        <d v="2013-12-26T00:00:00"/>
        <d v="2013-12-27T00:00:00"/>
        <d v="2013-12-28T00:00:00"/>
        <d v="2013-12-29T00:00:00"/>
        <d v="2013-12-30T00:00:00"/>
        <d v="2013-12-31T00:00:00"/>
        <d v="2014-01-01T00:00:00"/>
        <d v="2014-01-02T00:00:00"/>
        <d v="2014-01-03T00:00:00"/>
        <d v="2014-01-04T00:00:00"/>
        <d v="2014-01-05T00:00:00"/>
        <d v="2014-01-06T00:00:00"/>
        <d v="2014-01-07T00:00:00"/>
        <d v="2014-01-08T00:00:00"/>
        <d v="2014-01-09T00:00:00"/>
        <d v="2014-01-10T00:00:00"/>
        <d v="2014-01-11T00:00:00"/>
        <d v="2014-01-12T00:00:00"/>
        <d v="2014-01-13T00:00:00"/>
        <d v="2014-01-14T00:00:00"/>
        <d v="2014-01-15T00:00:00"/>
        <d v="2014-01-16T00:00:00"/>
        <d v="2014-01-17T00:00:00"/>
        <d v="2014-01-18T00:00:00"/>
        <d v="2014-01-19T00:00:00"/>
        <d v="2014-01-20T00:00:00"/>
        <d v="2014-01-21T00:00:00"/>
        <d v="2014-01-22T00:00:00"/>
        <d v="2014-01-23T00:00:00"/>
        <d v="2014-01-24T00:00:00"/>
        <d v="2014-01-25T00:00:00"/>
        <d v="2014-01-26T00:00:00"/>
        <d v="2014-01-27T00:00:00"/>
        <d v="2014-01-28T00:00:00"/>
        <d v="2014-01-29T00:00:00"/>
        <d v="2014-01-30T00:00:00"/>
        <d v="2014-01-31T00:00:00"/>
        <d v="2014-02-01T00:00:00"/>
        <d v="2014-02-02T00:00:00"/>
        <d v="2014-02-03T00:00:00"/>
        <d v="2014-02-04T00:00:00"/>
        <d v="2014-02-05T00:00:00"/>
        <d v="2014-02-06T00:00:00"/>
        <d v="2014-02-07T00:00:00"/>
        <d v="2014-02-08T00:00:00"/>
        <d v="2014-02-09T00:00:00"/>
        <d v="2014-02-10T00:00:00"/>
        <d v="2014-02-11T00:00:00"/>
        <d v="2014-02-12T00:00:00"/>
        <d v="2014-02-13T00:00:00"/>
        <d v="2014-02-14T00:00:00"/>
        <d v="2014-02-15T00:00:00"/>
        <d v="2014-02-16T00:00:00"/>
        <d v="2014-02-17T00:00:00"/>
        <d v="2014-02-18T00:00:00"/>
        <d v="2014-02-19T00:00:00"/>
        <d v="2014-02-20T00:00:00"/>
        <d v="2014-02-21T00:00:00"/>
        <d v="2014-02-22T00:00:00"/>
        <d v="2014-02-23T00:00:00"/>
        <d v="2014-02-24T00:00:00"/>
        <d v="2014-02-25T00:00:00"/>
        <d v="2014-02-26T00:00:00"/>
        <d v="2014-02-27T00:00:00"/>
        <d v="2014-02-28T00:00:00"/>
        <d v="2014-03-01T00:00:00"/>
        <d v="2014-03-02T00:00:00"/>
        <d v="2014-03-03T00:00:00"/>
        <d v="2014-03-04T00:00:00"/>
        <d v="2014-03-05T00:00:00"/>
        <d v="2014-03-06T00:00:00"/>
        <d v="2014-03-07T00:00:00"/>
        <d v="2014-03-08T00:00:00"/>
        <d v="2014-03-09T00:00:00"/>
        <d v="2014-03-10T00:00:00"/>
        <d v="2014-03-11T00:00:00"/>
        <d v="2014-03-12T00:00:00"/>
        <d v="2014-03-13T00:00:00"/>
        <d v="2014-03-14T00:00:00"/>
        <d v="2014-03-15T00:00:00"/>
        <d v="2014-03-16T00:00:00"/>
        <d v="2014-03-17T00:00:00"/>
        <d v="2014-03-18T00:00:00"/>
        <d v="2014-03-19T00:00:00"/>
        <d v="2014-03-20T00:00:00"/>
        <d v="2014-03-21T00:00:00"/>
        <d v="2014-03-22T00:00:00"/>
        <d v="2014-03-23T00:00:00"/>
        <d v="2014-03-24T00:00:00"/>
        <d v="2014-03-25T00:00:00"/>
        <d v="2014-03-26T00:00:00"/>
        <d v="2014-03-27T00:00:00"/>
        <d v="2014-03-28T00:00:00"/>
        <d v="2014-03-29T00:00:00"/>
        <d v="2014-03-30T00:00:00"/>
        <d v="2014-03-31T00:00:00"/>
        <d v="2014-04-01T00:00:00"/>
        <d v="2014-04-02T00:00:00"/>
        <d v="2014-04-03T00:00:00"/>
        <d v="2014-04-04T00:00:00"/>
        <d v="2014-04-05T00:00:00"/>
        <d v="2014-04-06T00:00:00"/>
        <d v="2014-04-07T00:00:00"/>
        <d v="2014-04-08T00:00:00"/>
        <d v="2014-04-09T00:00:00"/>
        <d v="2014-04-10T00:00:00"/>
        <d v="2014-04-11T00:00:00"/>
        <d v="2014-04-12T00:00:00"/>
        <d v="2014-04-13T00:00:00"/>
        <d v="2014-04-14T00:00:00"/>
        <d v="2014-04-15T00:00:00"/>
        <d v="2014-04-16T00:00:00"/>
        <d v="2014-04-17T00:00:00"/>
        <d v="2014-04-18T00:00:00"/>
        <d v="2014-04-19T00:00:00"/>
        <d v="2014-04-20T00:00:00"/>
        <d v="2014-04-21T00:00:00"/>
        <d v="2014-04-22T00:00:00"/>
        <d v="2014-04-23T00:00:00"/>
        <d v="2014-04-24T00:00:00"/>
        <d v="2014-04-25T00:00:00"/>
        <d v="2014-04-26T00:00:00"/>
        <d v="2014-04-27T00:00:00"/>
        <d v="2014-04-28T00:00:00"/>
        <d v="2014-04-29T00:00:00"/>
        <d v="2014-04-30T00:00:00"/>
        <d v="2014-05-01T00:00:00"/>
        <d v="2014-05-02T00:00:00"/>
        <d v="2014-05-03T00:00:00"/>
        <d v="2014-05-04T00:00:00"/>
        <d v="2014-05-05T00:00:00"/>
        <d v="2014-05-06T00:00:00"/>
        <d v="2014-05-07T00:00:00"/>
        <d v="2014-05-08T00:00:00"/>
        <d v="2014-05-09T00:00:00"/>
        <d v="2014-05-10T00:00:00"/>
        <d v="2014-05-11T00:00:00"/>
        <d v="2014-05-12T00:00:00"/>
        <d v="2014-05-13T00:00:00"/>
        <d v="2014-05-14T00:00:00"/>
        <d v="2014-05-15T00:00:00"/>
        <d v="2014-05-16T00:00:00"/>
        <d v="2014-05-17T00:00:00"/>
        <d v="2014-05-18T00:00:00"/>
        <d v="2014-05-19T00:00:00"/>
        <d v="2014-05-20T00:00:00"/>
        <d v="2014-05-21T00:00:00"/>
        <d v="2014-05-22T00:00:00"/>
        <d v="2014-05-23T00:00:00"/>
        <d v="2014-05-24T00:00:00"/>
        <d v="2014-05-25T00:00:00"/>
        <d v="2014-05-26T00:00:00"/>
        <d v="2014-05-27T00:00:00"/>
        <d v="2014-05-28T00:00:00"/>
        <d v="2014-05-29T00:00:00"/>
        <d v="2014-05-30T00:00:00"/>
        <d v="2014-05-31T00:00:00"/>
        <d v="2014-06-01T00:00:00"/>
        <d v="2014-06-02T00:00:00"/>
        <d v="2014-06-03T00:00:00"/>
        <d v="2014-06-04T00:00:00"/>
        <d v="2014-06-05T00:00:00"/>
        <d v="2014-06-06T00:00:00"/>
        <d v="2014-06-07T00:00:00"/>
        <d v="2014-06-08T00:00:00"/>
        <d v="2014-06-09T00:00:00"/>
        <d v="2014-06-10T00:00:00"/>
        <d v="2014-06-11T00:00:00"/>
        <d v="2014-06-12T00:00:00"/>
        <d v="2014-06-13T00:00:00"/>
        <d v="2014-06-14T00:00:00"/>
        <d v="2014-06-15T00:00:00"/>
        <d v="2014-06-16T00:00:00"/>
        <d v="2014-06-17T00:00:00"/>
        <d v="2014-06-18T00:00:00"/>
        <d v="2014-06-19T00:00:00"/>
        <d v="2014-06-20T00:00:00"/>
        <d v="2014-06-21T00:00:00"/>
        <d v="2014-06-22T00:00:00"/>
        <d v="2014-06-23T00:00:00"/>
        <d v="2014-06-24T00:00:00"/>
        <d v="2014-06-25T00:00:00"/>
        <d v="2014-06-26T00:00:00"/>
        <d v="2014-06-27T00:00:00"/>
        <d v="2014-06-28T00:00:00"/>
        <d v="2014-06-29T00:00:00"/>
        <d v="2014-06-30T00:00:00"/>
        <d v="2014-07-01T00:00:00"/>
        <d v="2014-07-02T00:00:00"/>
        <d v="2014-07-03T00:00:00"/>
        <d v="2014-07-04T00:00:00"/>
        <d v="2014-07-05T00:00:00"/>
        <d v="2014-07-06T00:00:00"/>
        <d v="2014-07-07T00:00:00"/>
        <d v="2014-07-08T00:00:00"/>
        <d v="2014-07-09T00:00:00"/>
        <d v="2014-07-10T00:00:00"/>
        <d v="2014-07-11T00:00:00"/>
        <d v="2014-07-12T00:00:00"/>
        <d v="2014-07-13T00:00:00"/>
        <d v="2014-07-14T00:00:00"/>
        <d v="2014-07-15T00:00:00"/>
        <d v="2014-07-16T00:00:00"/>
        <d v="2014-07-17T00:00:00"/>
        <d v="2014-07-18T00:00:00"/>
        <d v="2014-07-19T00:00:00"/>
        <d v="2014-07-20T00:00:00"/>
        <d v="2014-07-21T00:00:00"/>
        <d v="2014-07-22T00:00:00"/>
        <d v="2014-07-23T00:00:00"/>
        <d v="2014-07-24T00:00:00"/>
        <d v="2014-07-25T00:00:00"/>
        <d v="2014-07-26T00:00:00"/>
        <d v="2014-07-27T00:00:00"/>
        <d v="2014-07-28T00:00:00"/>
        <d v="2014-07-29T00:00:00"/>
        <d v="2014-07-30T00:00:00"/>
        <d v="2014-07-31T00:00:00"/>
        <d v="2014-08-01T00:00:00"/>
        <d v="2014-08-02T00:00:00"/>
        <d v="2014-08-03T00:00:00"/>
        <d v="2014-08-04T00:00:00"/>
        <d v="2014-08-05T00:00:00"/>
        <d v="2014-08-06T00:00:00"/>
        <d v="2014-08-07T00:00:00"/>
        <d v="2014-08-08T00:00:00"/>
        <d v="2014-08-09T00:00:00"/>
        <d v="2014-08-10T00:00:00"/>
        <d v="2014-08-11T00:00:00"/>
        <d v="2014-08-12T00:00:00"/>
        <d v="2014-08-13T00:00:00"/>
        <d v="2014-08-14T00:00:00"/>
        <d v="2014-08-15T00:00:00"/>
        <d v="2014-08-16T00:00:00"/>
        <d v="2014-08-17T00:00:00"/>
        <d v="2014-08-18T00:00:00"/>
        <d v="2014-08-19T00:00:00"/>
        <d v="2014-08-20T00:00:00"/>
        <d v="2014-08-21T00:00:00"/>
        <d v="2014-08-22T00:00:00"/>
        <d v="2014-08-23T00:00:00"/>
        <d v="2014-08-24T00:00:00"/>
        <d v="2014-08-25T00:00:00"/>
        <d v="2014-08-26T00:00:00"/>
        <d v="2014-08-27T00:00:00"/>
        <d v="2014-08-28T00:00:00"/>
        <d v="2014-08-29T00:00:00"/>
        <d v="2014-08-30T00:00:00"/>
        <d v="2014-08-31T00:00:00"/>
        <d v="2014-09-01T00:00:00"/>
        <d v="2014-09-02T00:00:00"/>
        <d v="2014-09-03T00:00:00"/>
        <d v="2014-09-04T00:00:00"/>
        <d v="2014-09-05T00:00:00"/>
        <d v="2014-09-06T00:00:00"/>
        <d v="2014-09-07T00:00:00"/>
        <d v="2014-09-08T00:00:00"/>
        <d v="2014-09-09T00:00:00"/>
        <d v="2014-09-10T00:00:00"/>
        <d v="2014-09-11T00:00:00"/>
        <d v="2014-09-12T00:00:00"/>
        <d v="2014-09-13T00:00:00"/>
        <d v="2014-09-14T00:00:00"/>
        <d v="2014-09-15T00:00:00"/>
        <d v="2014-09-16T00:00:00"/>
        <d v="2014-09-17T00:00:00"/>
        <d v="2014-09-18T00:00:00"/>
        <d v="2014-09-19T00:00:00"/>
        <d v="2014-09-20T00:00:00"/>
        <d v="2014-09-21T00:00:00"/>
        <d v="2014-09-22T00:00:00"/>
        <d v="2014-09-23T00:00:00"/>
        <d v="2014-09-24T00:00:00"/>
        <d v="2014-09-25T00:00:00"/>
        <d v="2014-09-26T00:00:00"/>
        <d v="2014-09-27T00:00:00"/>
        <d v="2014-09-28T00:00:00"/>
        <d v="2014-09-29T00:00:00"/>
        <d v="2014-09-30T00:00:00"/>
        <d v="2014-10-01T00:00:00"/>
        <d v="2014-10-02T00:00:00"/>
        <d v="2014-10-03T00:00:00"/>
        <d v="2014-10-04T00:00:00"/>
        <d v="2014-10-05T00:00:00"/>
        <d v="2014-10-06T00:00:00"/>
        <d v="2014-10-07T00:00:00"/>
        <d v="2014-10-08T00:00:00"/>
        <d v="2014-10-09T00:00:00"/>
        <d v="2014-10-10T00:00:00"/>
        <d v="2014-10-11T00:00:00"/>
        <d v="2014-10-12T00:00:00"/>
        <d v="2014-10-13T00:00:00"/>
        <d v="2014-10-14T00:00:00"/>
        <d v="2014-10-15T00:00:00"/>
        <d v="2014-10-16T00:00:00"/>
        <d v="2014-10-17T00:00:00"/>
        <d v="2014-10-18T00:00:00"/>
        <d v="2014-10-19T00:00:00"/>
        <d v="2014-10-20T00:00:00"/>
        <d v="2014-10-21T00:00:00"/>
        <d v="2014-10-22T00:00:00"/>
        <d v="2014-10-23T00:00:00"/>
        <d v="2014-10-24T00:00:00"/>
        <d v="2014-10-25T00:00:00"/>
        <d v="2014-10-26T00:00:00"/>
        <d v="2014-10-27T00:00:00"/>
        <d v="2014-10-28T00:00:00"/>
        <d v="2014-10-29T00:00:00"/>
        <d v="2014-10-30T00:00:00"/>
        <d v="2014-10-31T00:00:00"/>
        <d v="2014-11-01T00:00:00"/>
        <d v="2014-11-02T00:00:00"/>
        <d v="2014-11-03T00:00:00"/>
        <d v="2014-11-04T00:00:00"/>
        <d v="2014-11-05T00:00:00"/>
        <d v="2014-11-06T00:00:00"/>
        <d v="2014-11-07T00:00:00"/>
        <d v="2014-11-08T00:00:00"/>
        <d v="2014-11-09T00:00:00"/>
        <d v="2014-11-10T00:00:00"/>
        <d v="2014-11-11T00:00:00"/>
        <d v="2014-11-12T00:00:00"/>
        <d v="2014-11-13T00:00:00"/>
        <d v="2014-11-14T00:00:00"/>
        <d v="2014-11-15T00:00:00"/>
        <d v="2014-11-16T00:00:00"/>
        <d v="2014-11-17T00:00:00"/>
        <d v="2014-11-18T00:00:00"/>
        <d v="2014-11-19T00:00:00"/>
        <d v="2014-11-20T00:00:00"/>
        <d v="2014-11-21T00:00:00"/>
        <d v="2014-11-22T00:00:00"/>
        <d v="2014-11-23T00:00:00"/>
        <d v="2014-11-24T00:00:00"/>
        <d v="2014-11-25T00:00:00"/>
        <d v="2014-11-26T00:00:00"/>
        <d v="2014-11-27T00:00:00"/>
        <d v="2014-11-28T00:00:00"/>
        <d v="2014-11-29T00:00:00"/>
        <d v="2014-11-30T00:00:00"/>
        <d v="2014-12-01T00:00:00"/>
        <d v="2014-12-02T00:00:00"/>
        <d v="2014-12-03T00:00:00"/>
        <d v="2014-12-04T00:00:00"/>
        <d v="2014-12-05T00:00:00"/>
        <d v="2014-12-06T00:00:00"/>
        <d v="2014-12-07T00:00:00"/>
        <d v="2014-12-08T00:00:00"/>
        <d v="2014-12-09T00:00:00"/>
        <d v="2014-12-10T00:00:00"/>
        <d v="2014-12-11T00:00:00"/>
        <d v="2014-12-12T00:00:00"/>
        <d v="2014-12-13T00:00:00"/>
        <d v="2014-12-14T00:00:00"/>
        <d v="2014-12-15T00:00:00"/>
        <d v="2014-12-16T00:00:00"/>
        <d v="2014-12-17T00:00:00"/>
        <d v="2014-12-18T00:00:00"/>
        <d v="2014-12-19T00:00:00"/>
        <d v="2014-12-20T00:00:00"/>
        <d v="2014-12-21T00:00:00"/>
        <d v="2014-12-22T00:00:00"/>
        <d v="2014-12-23T00:00:00"/>
        <d v="2014-12-24T00:00:00"/>
        <d v="2014-12-25T00:00:00"/>
        <d v="2014-12-26T00:00:00"/>
        <d v="2014-12-27T00:00:00"/>
        <d v="2014-12-28T00:00:00"/>
        <d v="2014-12-29T00:00:00"/>
        <d v="2014-12-30T00:00:00"/>
        <d v="2014-12-31T00:00:00"/>
        <d v="2015-01-01T00:00:00"/>
        <d v="2015-01-02T00:00:00"/>
        <d v="2015-01-03T00:00:00"/>
        <d v="2015-01-04T00:00:00"/>
        <d v="2015-01-05T00:00:00"/>
        <d v="2015-01-06T00:00:00"/>
        <d v="2015-01-07T00:00:00"/>
        <d v="2015-01-08T00:00:00"/>
        <d v="2015-01-09T00:00:00"/>
        <d v="2015-01-10T00:00:00"/>
        <d v="2015-01-11T00:00:00"/>
        <d v="2015-01-12T00:00:00"/>
        <d v="2015-01-13T00:00:00"/>
        <d v="2015-01-14T00:00:00"/>
        <d v="2015-01-15T00:00:00"/>
        <d v="2015-01-16T00:00:00"/>
        <d v="2015-01-17T00:00:00"/>
        <d v="2015-01-18T00:00:00"/>
        <d v="2015-01-19T00:00:00"/>
        <d v="2015-01-20T00:00:00"/>
        <d v="2015-01-21T00:00:00"/>
        <d v="2015-01-22T00:00:00"/>
        <d v="2015-01-23T00:00:00"/>
        <d v="2015-01-24T00:00:00"/>
        <d v="2015-01-25T00:00:00"/>
        <d v="2015-01-26T00:00:00"/>
        <d v="2015-01-27T00:00:00"/>
        <d v="2015-01-28T00:00:00"/>
        <d v="2015-01-29T00:00:00"/>
        <d v="2015-01-30T00:00:00"/>
        <d v="2015-01-31T00:00:00"/>
        <d v="2015-02-01T00:00:00"/>
        <d v="2015-02-02T00:00:00"/>
        <d v="2015-02-03T00:00:00"/>
        <d v="2015-02-04T00:00:00"/>
        <d v="2015-02-05T00:00:00"/>
        <d v="2015-02-06T00:00:00"/>
        <d v="2015-02-07T00:00:00"/>
        <d v="2015-02-08T00:00:00"/>
        <d v="2015-02-09T00:00:00"/>
        <d v="2015-02-10T00:00:00"/>
        <d v="2015-02-11T00:00:00"/>
        <d v="2015-02-12T00:00:00"/>
        <d v="2015-02-13T00:00:00"/>
        <d v="2015-02-14T00:00:00"/>
        <d v="2015-02-15T00:00:00"/>
        <d v="2015-02-16T00:00:00"/>
        <d v="2015-02-17T00:00:00"/>
        <d v="2015-02-18T00:00:00"/>
        <d v="2015-02-19T00:00:00"/>
        <d v="2015-02-20T00:00:00"/>
        <d v="2015-02-21T00:00:00"/>
        <d v="2015-02-22T00:00:00"/>
        <d v="2015-02-23T00:00:00"/>
        <d v="2015-02-24T00:00:00"/>
        <d v="2015-02-25T00:00:00"/>
        <d v="2015-02-26T00:00:00"/>
        <d v="2015-02-27T00:00:00"/>
        <d v="2015-02-28T00:00:00"/>
        <d v="2015-03-01T00:00:00"/>
        <d v="2015-03-02T00:00:00"/>
        <d v="2015-03-03T00:00:00"/>
        <d v="2015-03-04T00:00:00"/>
        <d v="2015-03-05T00:00:00"/>
        <d v="2015-03-06T00:00:00"/>
        <d v="2015-03-07T00:00:00"/>
        <d v="2015-03-08T00:00:00"/>
        <d v="2015-03-09T00:00:00"/>
        <d v="2015-03-10T00:00:00"/>
        <d v="2015-03-11T00:00:00"/>
        <d v="2015-03-12T00:00:00"/>
        <d v="2015-03-13T00:00:00"/>
        <d v="2015-03-14T00:00:00"/>
        <d v="2015-03-15T00:00:00"/>
        <d v="2015-03-16T00:00:00"/>
        <d v="2015-03-17T00:00:00"/>
        <d v="2015-03-18T00:00:00"/>
        <d v="2015-03-19T00:00:00"/>
        <d v="2015-03-20T00:00:00"/>
        <d v="2015-03-21T00:00:00"/>
        <d v="2015-03-22T00:00:00"/>
        <d v="2015-03-23T00:00:00"/>
        <d v="2015-03-24T00:00:00"/>
        <d v="2015-03-25T00:00:00"/>
        <d v="2015-03-26T00:00:00"/>
        <d v="2015-03-27T00:00:00"/>
        <d v="2015-03-28T00:00:00"/>
        <d v="2015-03-29T00:00:00"/>
        <d v="2015-03-30T00:00:00"/>
        <d v="2015-03-31T00:00:00"/>
        <d v="2015-04-01T00:00:00"/>
        <d v="2015-04-02T00:00:00"/>
        <d v="2015-04-03T00:00:00"/>
        <d v="2015-04-04T00:00:00"/>
        <d v="2015-04-05T00:00:00"/>
        <d v="2015-04-06T00:00:00"/>
        <d v="2015-04-07T00:00:00"/>
        <d v="2015-04-08T00:00:00"/>
        <d v="2015-04-09T00:00:00"/>
        <d v="2015-04-10T00:00:00"/>
        <d v="2015-04-11T00:00:00"/>
        <d v="2015-04-12T00:00:00"/>
        <d v="2015-04-13T00:00:00"/>
        <d v="2015-04-14T00:00:00"/>
        <d v="2015-04-15T00:00:00"/>
        <d v="2015-04-16T00:00:00"/>
        <d v="2015-04-17T00:00:00"/>
        <d v="2015-04-18T00:00:00"/>
        <d v="2015-04-19T00:00:00"/>
        <d v="2015-04-20T00:00:00"/>
        <d v="2015-04-21T00:00:00"/>
        <d v="2015-04-22T00:00:00"/>
        <d v="2015-04-23T00:00:00"/>
        <d v="2015-04-24T00:00:00"/>
        <d v="2015-04-25T00:00:00"/>
        <d v="2015-04-26T00:00:00"/>
        <d v="2015-04-27T00:00:00"/>
        <d v="2015-04-28T00:00:00"/>
        <d v="2015-04-29T00:00:00"/>
        <d v="2015-04-30T00:00:00"/>
        <d v="2015-05-01T00:00:00"/>
        <d v="2015-05-02T00:00:00"/>
        <d v="2015-05-03T00:00:00"/>
        <d v="2015-05-04T00:00:00"/>
        <d v="2015-05-05T00:00:00"/>
        <d v="2015-05-06T00:00:00"/>
        <d v="2015-05-07T00:00:00"/>
        <d v="2015-05-08T00:00:00"/>
        <d v="2015-05-09T00:00:00"/>
        <d v="2015-05-10T00:00:00"/>
        <d v="2015-05-11T00:00:00"/>
        <d v="2015-05-12T00:00:00"/>
        <d v="2015-05-13T00:00:00"/>
        <d v="2015-05-14T00:00:00"/>
        <d v="2015-05-15T00:00:00"/>
        <d v="2015-05-16T00:00:00"/>
        <d v="2015-05-17T00:00:00"/>
        <d v="2015-05-18T00:00:00"/>
        <d v="2015-05-19T00:00:00"/>
        <d v="2015-05-20T00:00:00"/>
        <d v="2015-05-21T00:00:00"/>
        <d v="2015-05-22T00:00:00"/>
        <d v="2015-05-23T00:00:00"/>
        <d v="2015-05-24T00:00:00"/>
        <d v="2015-05-25T00:00:00"/>
        <d v="2015-05-26T00:00:00"/>
        <d v="2015-05-27T00:00:00"/>
        <d v="2015-05-28T00:00:00"/>
        <d v="2015-05-29T00:00:00"/>
        <d v="2015-05-30T00:00:00"/>
        <d v="2015-05-31T00:00:00"/>
        <d v="2015-06-01T00:00:00"/>
        <d v="2015-06-02T00:00:00"/>
        <d v="2015-06-03T00:00:00"/>
        <d v="2015-06-04T00:00:00"/>
        <d v="2015-06-05T00:00:00"/>
        <d v="2015-06-06T00:00:00"/>
        <d v="2015-06-07T00:00:00"/>
        <d v="2015-06-08T00:00:00"/>
        <d v="2015-06-09T00:00:00"/>
        <d v="2015-06-10T00:00:00"/>
        <d v="2015-06-11T00:00:00"/>
        <d v="2015-06-12T00:00:00"/>
        <d v="2015-06-13T00:00:00"/>
        <d v="2015-06-14T00:00:00"/>
        <d v="2015-06-15T00:00:00"/>
        <d v="2015-06-16T00:00:00"/>
        <d v="2015-06-17T00:00:00"/>
        <d v="2015-06-18T00:00:00"/>
        <d v="2015-06-19T00:00:00"/>
        <d v="2015-06-20T00:00:00"/>
        <d v="2015-06-21T00:00:00"/>
        <d v="2015-06-22T00:00:00"/>
        <d v="2015-06-23T00:00:00"/>
        <d v="2015-06-24T00:00:00"/>
        <d v="2015-06-25T00:00:00"/>
        <d v="2015-06-26T00:00:00"/>
        <d v="2015-06-27T00:00:00"/>
        <d v="2015-06-28T00:00:00"/>
        <d v="2015-06-29T00:00:00"/>
        <d v="2015-06-30T00:00:00"/>
        <d v="2015-07-01T00:00:00"/>
        <d v="2015-07-02T00:00:00"/>
        <d v="2015-07-03T00:00:00"/>
        <d v="2015-07-04T00:00:00"/>
        <d v="2015-07-05T00:00:00"/>
        <d v="2015-07-06T00:00:00"/>
        <d v="2015-07-07T00:00:00"/>
        <d v="2015-07-08T00:00:00"/>
        <d v="2015-07-09T00:00:00"/>
        <d v="2015-07-10T00:00:00"/>
        <d v="2015-07-11T00:00:00"/>
        <d v="2015-07-12T00:00:00"/>
        <d v="2015-07-13T00:00:00"/>
        <d v="2015-07-14T00:00:00"/>
        <d v="2015-07-15T00:00:00"/>
        <d v="2015-07-16T00:00:00"/>
        <d v="2015-07-17T00:00:00"/>
        <d v="2015-07-18T00:00:00"/>
        <d v="2015-07-19T00:00:00"/>
        <d v="2015-07-20T00:00:00"/>
        <d v="2015-07-21T00:00:00"/>
        <d v="2015-07-22T00:00:00"/>
        <d v="2015-07-23T00:00:00"/>
        <d v="2015-07-24T00:00:00"/>
        <d v="2015-07-25T00:00:00"/>
        <d v="2015-07-26T00:00:00"/>
        <d v="2015-07-27T00:00:00"/>
        <d v="2015-07-28T00:00:00"/>
        <d v="2015-07-29T00:00:00"/>
        <d v="2015-07-30T00:00:00"/>
        <d v="2015-07-31T00:00:00"/>
        <d v="2015-08-01T00:00:00"/>
        <d v="2015-08-02T00:00:00"/>
        <d v="2015-08-03T00:00:00"/>
        <d v="2015-08-04T00:00:00"/>
        <d v="2015-08-05T00:00:00"/>
        <d v="2015-08-06T00:00:00"/>
        <d v="2015-08-07T00:00:00"/>
        <d v="2015-08-08T00:00:00"/>
        <d v="2015-08-09T00:00:00"/>
        <d v="2015-08-10T00:00:00"/>
        <d v="2015-08-11T00:00:00"/>
        <d v="2015-08-12T00:00:00"/>
        <d v="2015-08-13T00:00:00"/>
        <d v="2015-08-14T00:00:00"/>
        <d v="2015-08-15T00:00:00"/>
        <d v="2015-08-16T00:00:00"/>
        <d v="2015-08-17T00:00:00"/>
        <d v="2015-08-18T00:00:00"/>
        <d v="2015-08-19T00:00:00"/>
        <d v="2015-08-20T00:00:00"/>
        <d v="2015-08-21T00:00:00"/>
        <d v="2015-08-22T00:00:00"/>
        <d v="2015-08-23T00:00:00"/>
        <d v="2015-08-24T00:00:00"/>
        <d v="2015-08-25T00:00:00"/>
        <d v="2015-08-26T00:00:00"/>
        <d v="2015-08-27T00:00:00"/>
        <d v="2015-08-28T00:00:00"/>
        <d v="2015-08-29T00:00:00"/>
        <d v="2015-08-30T00:00:00"/>
        <d v="2015-08-31T00:00:00"/>
        <d v="2015-09-01T00:00:00"/>
        <d v="2015-09-02T00:00:00"/>
        <d v="2015-09-03T00:00:00"/>
        <d v="2015-09-04T00:00:00"/>
        <d v="2015-09-05T00:00:00"/>
        <d v="2015-09-06T00:00:00"/>
        <d v="2015-09-07T00:00:00"/>
        <d v="2015-09-08T00:00:00"/>
        <d v="2015-09-09T00:00:00"/>
        <d v="2015-09-10T00:00:00"/>
        <d v="2015-09-11T00:00:00"/>
        <d v="2015-09-12T00:00:00"/>
        <d v="2015-09-13T00:00:00"/>
        <d v="2015-09-14T00:00:00"/>
        <d v="2015-09-15T00:00:00"/>
        <d v="2015-09-16T00:00:00"/>
        <d v="2015-09-17T00:00:00"/>
        <d v="2015-09-18T00:00:00"/>
        <d v="2015-09-19T00:00:00"/>
        <d v="2015-09-20T00:00:00"/>
        <d v="2015-09-21T00:00:00"/>
        <d v="2015-09-22T00:00:00"/>
        <d v="2015-09-23T00:00:00"/>
        <d v="2015-09-24T00:00:00"/>
        <d v="2015-09-25T00:00:00"/>
        <d v="2015-09-26T00:00:00"/>
        <d v="2015-09-27T00:00:00"/>
        <d v="2015-09-28T00:00:00"/>
        <d v="2015-09-29T00:00:00"/>
        <d v="2015-09-30T00:00:00"/>
        <d v="2015-10-01T00:00:00"/>
        <d v="2015-10-02T00:00:00"/>
        <d v="2015-10-03T00:00:00"/>
        <d v="2015-10-04T00:00:00"/>
        <d v="2015-10-05T00:00:00"/>
        <d v="2015-10-06T00:00:00"/>
        <d v="2015-10-07T00:00:00"/>
        <d v="2015-10-08T00:00:00"/>
        <d v="2015-10-09T00:00:00"/>
        <d v="2015-10-10T00:00:00"/>
        <d v="2015-10-11T00:00:00"/>
        <d v="2015-10-12T00:00:00"/>
        <d v="2015-10-13T00:00:00"/>
        <d v="2015-10-14T00:00:00"/>
        <d v="2015-10-15T00:00:00"/>
        <d v="2015-10-16T00:00:00"/>
        <d v="2015-10-17T00:00:00"/>
        <d v="2015-10-18T00:00:00"/>
        <d v="2015-10-19T00:00:00"/>
        <d v="2015-10-20T00:00:00"/>
        <d v="2015-10-21T00:00:00"/>
        <d v="2015-10-22T00:00:00"/>
        <d v="2015-10-23T00:00:00"/>
        <d v="2015-10-24T00:00:00"/>
        <d v="2015-10-25T00:00:00"/>
        <d v="2015-10-26T00:00:00"/>
        <d v="2015-10-27T00:00:00"/>
        <d v="2015-10-28T00:00:00"/>
        <d v="2015-10-29T00:00:00"/>
        <d v="2015-10-30T00:00:00"/>
        <d v="2015-10-31T00:00:00"/>
        <d v="2015-11-01T00:00:00"/>
        <d v="2015-11-02T00:00:00"/>
        <d v="2015-11-03T00:00:00"/>
        <d v="2015-11-04T00:00:00"/>
        <d v="2015-11-05T00:00:00"/>
        <d v="2015-11-06T00:00:00"/>
        <d v="2015-11-07T00:00:00"/>
        <d v="2015-11-08T00:00:00"/>
        <d v="2015-11-09T00:00:00"/>
        <d v="2015-11-10T00:00:00"/>
        <d v="2015-11-11T00:00:00"/>
        <d v="2015-11-12T00:00:00"/>
        <d v="2015-11-13T00:00:00"/>
        <d v="2015-11-14T00:00:00"/>
        <d v="2015-11-15T00:00:00"/>
        <d v="2015-11-16T00:00:00"/>
        <d v="2015-11-17T00:00:00"/>
        <d v="2015-11-18T00:00:00"/>
        <d v="2015-11-19T00:00:00"/>
        <d v="2015-11-20T00:00:00"/>
        <d v="2015-11-21T00:00:00"/>
        <d v="2015-11-22T00:00:00"/>
        <d v="2015-11-23T00:00:00"/>
        <d v="2015-11-24T00:00:00"/>
        <d v="2015-11-25T00:00:00"/>
        <d v="2015-11-26T00:00:00"/>
        <d v="2015-11-27T00:00:00"/>
        <d v="2015-11-28T00:00:00"/>
        <d v="2015-11-29T00:00:00"/>
        <d v="2015-11-30T00:00:00"/>
        <d v="2015-12-01T00:00:00"/>
        <d v="2015-12-02T00:00:00"/>
        <d v="2015-12-03T00:00:00"/>
        <d v="2015-12-04T00:00:00"/>
        <d v="2015-12-05T00:00:00"/>
        <d v="2015-12-06T00:00:00"/>
        <d v="2015-12-07T00:00:00"/>
        <d v="2015-12-08T00:00:00"/>
        <d v="2015-12-09T00:00:00"/>
        <d v="2015-12-10T00:00:00"/>
        <d v="2015-12-11T00:00:00"/>
        <d v="2015-12-12T00:00:00"/>
        <d v="2015-12-13T00:00:00"/>
        <d v="2015-12-14T00:00:00"/>
        <d v="2015-12-15T00:00:00"/>
        <d v="2015-12-16T00:00:00"/>
        <d v="2015-12-17T00:00:00"/>
        <d v="2015-12-18T00:00:00"/>
        <d v="2015-12-19T00:00:00"/>
        <d v="2015-12-20T00:00:00"/>
        <d v="2015-12-21T00:00:00"/>
        <d v="2015-12-22T00:00:00"/>
        <d v="2015-12-23T00:00:00"/>
        <d v="2015-12-24T00:00:00"/>
        <d v="2015-12-25T00:00:00"/>
        <d v="2015-12-26T00:00:00"/>
        <d v="2015-12-27T00:00:00"/>
        <d v="2015-12-28T00:00:00"/>
        <d v="2015-12-29T00:00:00"/>
        <d v="2015-12-30T00:00:00"/>
        <d v="2015-12-31T00:00:00"/>
        <d v="2016-01-01T00:00:00"/>
        <d v="2016-01-02T00:00:00"/>
        <d v="2016-01-03T00:00:00"/>
        <d v="2016-01-04T00:00:00"/>
        <d v="2016-01-05T00:00:00"/>
        <d v="2016-01-06T00:00:00"/>
        <d v="2016-01-07T00:00:00"/>
        <d v="2016-01-08T00:00:00"/>
        <d v="2016-01-09T00:00:00"/>
        <d v="2016-01-10T00:00:00"/>
        <d v="2016-01-11T00:00:00"/>
        <d v="2016-01-12T00:00:00"/>
        <d v="2016-01-13T00:00:00"/>
        <d v="2016-01-14T00:00:00"/>
        <d v="2016-01-15T00:00:00"/>
        <d v="2016-01-16T00:00:00"/>
        <d v="2016-01-17T00:00:00"/>
        <d v="2016-01-18T00:00:00"/>
        <d v="2016-01-19T00:00:00"/>
        <d v="2016-01-20T00:00:00"/>
        <d v="2016-01-21T00:00:00"/>
        <d v="2016-01-22T00:00:00"/>
        <d v="2016-01-23T00:00:00"/>
        <d v="2016-01-24T00:00:00"/>
        <d v="2016-01-25T00:00:00"/>
        <d v="2016-01-26T00:00:00"/>
        <d v="2016-01-27T00:00:00"/>
        <d v="2016-01-28T00:00:00"/>
        <d v="2016-01-29T00:00:00"/>
        <d v="2016-01-30T00:00:00"/>
        <d v="2016-01-31T00:00:00"/>
        <d v="2016-02-01T00:00:00"/>
        <d v="2016-02-02T00:00:00"/>
        <d v="2016-02-03T00:00:00"/>
        <d v="2016-02-04T00:00:00"/>
        <d v="2016-02-05T00:00:00"/>
        <d v="2016-02-06T00:00:00"/>
        <d v="2016-02-07T00:00:00"/>
        <d v="2016-02-08T00:00:00"/>
        <d v="2016-02-09T00:00:00"/>
        <d v="2016-02-10T00:00:00"/>
        <d v="2016-02-11T00:00:00"/>
        <d v="2016-02-12T00:00:00"/>
        <d v="2016-02-13T00:00:00"/>
        <d v="2016-02-14T00:00:00"/>
        <d v="2016-02-15T00:00:00"/>
        <d v="2016-02-16T00:00:00"/>
        <d v="2016-02-17T00:00:00"/>
        <d v="2016-02-18T00:00:00"/>
        <d v="2016-02-19T00:00:00"/>
        <d v="2016-02-20T00:00:00"/>
        <d v="2016-02-21T00:00:00"/>
        <d v="2016-02-22T00:00:00"/>
        <d v="2016-02-23T00:00:00"/>
        <d v="2016-02-24T00:00:00"/>
        <d v="2016-02-25T00:00:00"/>
        <d v="2016-02-26T00:00:00"/>
        <d v="2016-02-27T00:00:00"/>
        <d v="2016-02-28T00:00:00"/>
        <d v="2016-02-29T00:00:00"/>
        <d v="2016-03-01T00:00:00"/>
        <d v="2016-03-02T00:00:00"/>
        <d v="2016-03-03T00:00:00"/>
        <d v="2016-03-04T00:00:00"/>
        <d v="2016-03-05T00:00:00"/>
        <d v="2016-03-06T00:00:00"/>
        <d v="2016-03-07T00:00:00"/>
        <d v="2016-03-08T00:00:00"/>
        <d v="2016-03-09T00:00:00"/>
        <d v="2016-03-10T00:00:00"/>
        <d v="2016-03-11T00:00:00"/>
        <d v="2016-03-12T00:00:00"/>
        <d v="2016-03-13T00:00:00"/>
        <d v="2016-03-14T00:00:00"/>
        <d v="2016-03-15T00:00:00"/>
        <d v="2016-03-16T00:00:00"/>
        <d v="2016-03-17T00:00:00"/>
        <d v="2016-03-18T00:00:00"/>
        <d v="2016-03-19T00:00:00"/>
        <d v="2016-03-20T00:00:00"/>
        <d v="2016-03-21T00:00:00"/>
        <d v="2016-03-22T00:00:00"/>
        <d v="2016-03-23T00:00:00"/>
        <d v="2016-03-24T00:00:00"/>
        <d v="2016-03-25T00:00:00"/>
        <d v="2016-03-26T00:00:00"/>
        <d v="2016-03-27T00:00:00"/>
        <d v="2016-03-28T00:00:00"/>
        <d v="2016-03-29T00:00:00"/>
        <d v="2016-03-30T00:00:00"/>
        <d v="2016-03-31T00:00:00"/>
        <d v="2016-04-01T00:00:00"/>
        <d v="2016-04-02T00:00:00"/>
        <d v="2016-04-03T00:00:00"/>
        <d v="2016-04-04T00:00:00"/>
        <d v="2016-04-05T00:00:00"/>
        <d v="2016-04-06T00:00:00"/>
        <d v="2016-04-07T00:00:00"/>
        <d v="2016-04-08T00:00:00"/>
        <d v="2016-04-09T00:00:00"/>
        <d v="2016-04-10T00:00:00"/>
        <d v="2016-04-11T00:00:00"/>
        <d v="2016-04-12T00:00:00"/>
        <d v="2016-04-13T00:00:00"/>
        <d v="2016-04-14T00:00:00"/>
        <d v="2016-04-15T00:00:00"/>
        <d v="2016-04-16T00:00:00"/>
        <d v="2016-04-17T00:00:00"/>
        <d v="2016-04-18T00:00:00"/>
        <d v="2016-04-19T00:00:00"/>
        <d v="2016-04-20T00:00:00"/>
        <d v="2016-04-21T00:00:00"/>
        <d v="2016-04-22T00:00:00"/>
        <d v="2016-04-23T00:00:00"/>
        <d v="2016-04-24T00:00:00"/>
        <d v="2016-04-25T00:00:00"/>
        <d v="2016-04-26T00:00:00"/>
        <d v="2016-04-27T00:00:00"/>
        <d v="2016-04-28T00:00:00"/>
        <d v="2016-04-29T00:00:00"/>
        <d v="2016-04-30T00:00:00"/>
        <d v="2016-05-01T00:00:00"/>
        <d v="2016-05-02T00:00:00"/>
        <d v="2016-05-03T00:00:00"/>
        <d v="2016-05-04T00:00:00"/>
        <d v="2016-05-05T00:00:00"/>
        <d v="2016-05-06T00:00:00"/>
        <d v="2016-05-07T00:00:00"/>
        <d v="2016-05-08T00:00:00"/>
        <d v="2016-05-09T00:00:00"/>
        <d v="2016-05-10T00:00:00"/>
        <d v="2016-05-11T00:00:00"/>
        <d v="2016-05-12T00:00:00"/>
        <d v="2016-05-13T00:00:00"/>
        <d v="2016-05-14T00:00:00"/>
        <d v="2016-05-15T00:00:00"/>
        <d v="2016-05-16T00:00:00"/>
        <d v="2016-05-17T00:00:00"/>
        <d v="2016-05-18T00:00:00"/>
        <d v="2016-05-19T00:00:00"/>
        <d v="2016-05-20T00:00:00"/>
        <d v="2016-05-21T00:00:00"/>
        <d v="2016-05-22T00:00:00"/>
        <d v="2016-05-23T00:00:00"/>
        <d v="2016-05-24T00:00:00"/>
        <d v="2016-05-25T00:00:00"/>
        <d v="2016-05-26T00:00:00"/>
        <d v="2016-05-27T00:00:00"/>
        <d v="2016-05-28T00:00:00"/>
        <d v="2016-05-29T00:00:00"/>
        <d v="2016-05-30T00:00:00"/>
        <d v="2016-05-31T00:00:00"/>
        <d v="2016-06-01T00:00:00"/>
        <d v="2016-06-02T00:00:00"/>
        <d v="2016-06-03T00:00:00"/>
        <d v="2016-06-04T00:00:00"/>
        <d v="2016-06-05T00:00:00"/>
        <d v="2016-06-06T00:00:00"/>
        <d v="2016-06-07T00:00:00"/>
        <d v="2016-06-08T00:00:00"/>
        <d v="2016-06-09T00:00:00"/>
        <d v="2016-06-10T00:00:00"/>
        <d v="2016-06-11T00:00:00"/>
        <d v="2016-06-12T00:00:00"/>
        <d v="2016-06-13T00:00:00"/>
        <d v="2016-06-14T00:00:00"/>
        <d v="2016-06-15T00:00:00"/>
        <d v="2016-06-16T00:00:00"/>
        <d v="2016-06-17T00:00:00"/>
        <d v="2016-06-18T00:00:00"/>
        <d v="2016-06-19T00:00:00"/>
        <d v="2016-06-20T00:00:00"/>
        <d v="2016-06-21T00:00:00"/>
        <d v="2016-06-22T00:00:00"/>
        <d v="2016-06-23T00:00:00"/>
        <d v="2016-06-24T00:00:00"/>
        <d v="2016-06-25T00:00:00"/>
        <d v="2016-06-26T00:00:00"/>
        <d v="2016-06-27T00:00:00"/>
        <d v="2016-06-28T00:00:00"/>
        <d v="2016-06-29T00:00:00"/>
        <d v="2016-06-30T00:00:00"/>
        <d v="2016-07-01T00:00:00"/>
        <d v="2016-07-02T00:00:00"/>
        <d v="2016-07-03T00:00:00"/>
        <d v="2016-07-04T00:00:00"/>
        <d v="2016-07-05T00:00:00"/>
        <d v="2016-07-06T00:00:00"/>
        <d v="2016-07-07T00:00:00"/>
        <d v="2016-07-08T00:00:00"/>
        <d v="2016-07-09T00:00:00"/>
        <d v="2016-07-10T00:00:00"/>
        <d v="2016-07-11T00:00:00"/>
        <d v="2016-07-12T00:00:00"/>
        <d v="2016-07-13T00:00:00"/>
        <d v="2016-07-14T00:00:00"/>
        <d v="2016-07-15T00:00:00"/>
        <d v="2016-07-16T00:00:00"/>
        <d v="2016-07-17T00:00:00"/>
        <d v="2016-07-18T00:00:00"/>
        <d v="2016-07-19T00:00:00"/>
        <d v="2016-07-20T00:00:00"/>
        <d v="2016-07-21T00:00:00"/>
        <d v="2016-07-22T00:00:00"/>
        <d v="2016-07-23T00:00:00"/>
        <d v="2016-07-24T00:00:00"/>
        <d v="2016-07-25T00:00:00"/>
        <d v="2016-07-26T00:00:00"/>
        <d v="2016-07-27T00:00:00"/>
        <d v="2016-07-28T00:00:00"/>
        <d v="2016-07-29T00:00:00"/>
        <d v="2016-07-30T00:00:00"/>
        <d v="2016-07-31T00:00:00"/>
        <d v="2016-08-01T00:00:00"/>
        <d v="2016-08-02T00:00:00"/>
        <d v="2016-08-03T00:00:00"/>
        <d v="2016-08-04T00:00:00"/>
        <d v="2016-08-05T00:00:00"/>
        <d v="2016-08-06T00:00:00"/>
        <d v="2016-08-07T00:00:00"/>
        <d v="2016-08-08T00:00:00"/>
        <d v="2016-08-09T00:00:00"/>
        <d v="2016-08-10T00:00:00"/>
        <d v="2016-08-11T00:00:00"/>
        <d v="2016-08-12T00:00:00"/>
        <d v="2016-08-13T00:00:00"/>
        <d v="2016-08-14T00:00:00"/>
        <d v="2016-08-15T00:00:00"/>
        <d v="2016-08-16T00:00:00"/>
        <d v="2016-08-17T00:00:00"/>
        <d v="2016-08-18T00:00:00"/>
        <d v="2016-08-19T00:00:00"/>
        <d v="2016-08-20T00:00:00"/>
        <d v="2016-08-21T00:00:00"/>
        <d v="2016-08-22T00:00:00"/>
        <d v="2016-08-23T00:00:00"/>
        <d v="2016-08-24T00:00:00"/>
        <d v="2016-08-25T00:00:00"/>
        <d v="2016-08-26T00:00:00"/>
        <d v="2016-08-27T00:00:00"/>
        <d v="2016-08-28T00:00:00"/>
        <d v="2016-08-29T00:00:00"/>
        <d v="2016-08-30T00:00:00"/>
        <d v="2016-08-31T00:00:00"/>
        <d v="2016-09-01T00:00:00"/>
        <d v="2016-09-02T00:00:00"/>
        <d v="2016-09-03T00:00:00"/>
        <d v="2016-09-04T00:00:00"/>
        <d v="2016-09-05T00:00:00"/>
        <d v="2016-09-06T00:00:00"/>
        <d v="2016-09-07T00:00:00"/>
        <d v="2016-09-08T00:00:00"/>
        <d v="2016-09-09T00:00:00"/>
        <d v="2016-09-10T00:00:00"/>
        <d v="2016-09-11T00:00:00"/>
        <d v="2016-09-12T00:00:00"/>
        <d v="2016-09-13T00:00:00"/>
        <d v="2016-09-14T00:00:00"/>
        <d v="2016-09-15T00:00:00"/>
        <d v="2016-09-16T00:00:00"/>
        <d v="2016-09-17T00:00:00"/>
        <d v="2016-09-18T00:00:00"/>
        <d v="2016-09-19T00:00:00"/>
        <d v="2016-09-20T00:00:00"/>
        <d v="2016-09-21T00:00:00"/>
        <d v="2016-09-22T00:00:00"/>
        <d v="2016-09-23T00:00:00"/>
        <d v="2016-09-24T00:00:00"/>
        <d v="2016-09-25T00:00:00"/>
        <d v="2016-09-26T00:00:00"/>
        <d v="2016-09-27T00:00:00"/>
        <d v="2016-09-28T00:00:00"/>
        <d v="2016-09-29T00:00:00"/>
        <d v="2016-09-30T00:00:00"/>
        <d v="2016-10-01T00:00:00"/>
        <d v="2016-10-02T00:00:00"/>
        <d v="2016-10-03T00:00:00"/>
        <d v="2016-10-04T00:00:00"/>
        <d v="2016-10-05T00:00:00"/>
        <d v="2016-10-06T00:00:00"/>
        <d v="2016-10-07T00:00:00"/>
        <d v="2016-10-08T00:00:00"/>
        <d v="2016-10-09T00:00:00"/>
        <d v="2016-10-10T00:00:00"/>
        <d v="2016-10-11T00:00:00"/>
        <d v="2016-10-12T00:00:00"/>
        <d v="2016-10-13T00:00:00"/>
        <d v="2016-10-14T00:00:00"/>
        <d v="2016-10-15T00:00:00"/>
        <d v="2016-10-16T00:00:00"/>
        <d v="2016-10-17T00:00:00"/>
        <d v="2016-10-18T00:00:00"/>
        <d v="2016-10-19T00:00:00"/>
        <d v="2016-10-20T00:00:00"/>
        <d v="2016-10-21T00:00:00"/>
        <d v="2016-10-22T00:00:00"/>
        <d v="2016-10-23T00:00:00"/>
        <d v="2016-10-24T00:00:00"/>
        <d v="2016-10-25T00:00:00"/>
        <d v="2016-10-26T00:00:00"/>
        <d v="2016-10-27T00:00:00"/>
        <d v="2016-10-28T00:00:00"/>
        <d v="2016-10-29T00:00:00"/>
        <d v="2016-10-30T00:00:00"/>
        <d v="2016-10-31T00:00:00"/>
        <d v="2016-11-01T00:00:00"/>
        <d v="2016-11-02T00:00:00"/>
        <d v="2016-11-03T00:00:00"/>
        <d v="2016-11-04T00:00:00"/>
        <d v="2016-11-05T00:00:00"/>
        <d v="2016-11-06T00:00:00"/>
        <d v="2016-11-07T00:00:00"/>
        <d v="2016-11-08T00:00:00"/>
        <d v="2016-11-09T00:00:00"/>
        <d v="2016-11-10T00:00:00"/>
        <d v="2016-11-11T00:00:00"/>
        <d v="2016-11-12T00:00:00"/>
        <d v="2016-11-13T00:00:00"/>
        <d v="2016-11-14T00:00:00"/>
        <d v="2016-11-15T00:00:00"/>
        <d v="2016-11-16T00:00:00"/>
        <d v="2016-11-17T00:00:00"/>
        <d v="2016-11-18T00:00:00"/>
        <d v="2016-11-19T00:00:00"/>
        <d v="2016-11-20T00:00:00"/>
        <d v="2016-11-21T00:00:00"/>
        <d v="2016-11-22T00:00:00"/>
        <d v="2016-11-23T00:00:00"/>
        <d v="2016-11-24T00:00:00"/>
        <d v="2016-11-25T00:00:00"/>
        <d v="2016-11-26T00:00:00"/>
        <d v="2016-11-27T00:00:00"/>
        <d v="2016-11-28T00:00:00"/>
        <d v="2016-11-29T00:00:00"/>
        <d v="2016-11-30T00:00:00"/>
        <d v="2016-12-01T00:00:00"/>
        <d v="2016-12-02T00:00:00"/>
        <d v="2016-12-03T00:00:00"/>
        <d v="2016-12-04T00:00:00"/>
        <d v="2016-12-05T00:00:00"/>
        <d v="2016-12-06T00:00:00"/>
        <d v="2016-12-07T00:00:00"/>
        <d v="2016-12-08T00:00:00"/>
        <d v="2016-12-09T00:00:00"/>
        <d v="2016-12-10T00:00:00"/>
        <d v="2016-12-11T00:00:00"/>
        <d v="2016-12-12T00:00:00"/>
        <d v="2016-12-13T00:00:00"/>
        <d v="2016-12-14T00:00:00"/>
        <d v="2016-12-15T00:00:00"/>
        <d v="2016-12-16T00:00:00"/>
        <d v="2016-12-17T00:00:00"/>
        <d v="2016-12-18T00:00:00"/>
        <d v="2016-12-19T00:00:00"/>
        <d v="2016-12-20T00:00:00"/>
        <d v="2016-12-21T00:00:00"/>
        <d v="2016-12-22T00:00:00"/>
        <d v="2016-12-23T00:00:00"/>
        <d v="2016-12-24T00:00:00"/>
        <d v="2016-12-25T00:00:00"/>
        <d v="2016-12-26T00:00:00"/>
        <d v="2016-12-27T00:00:00"/>
        <d v="2016-12-28T00:00:00"/>
        <d v="2016-12-29T00:00:00"/>
        <d v="2016-12-30T00:00:00"/>
        <d v="2016-12-31T00:00:00"/>
        <d v="2017-01-01T00:00:00"/>
        <d v="2017-01-02T00:00:00"/>
        <d v="2017-01-03T00:00:00"/>
        <d v="2017-01-04T00:00:00"/>
        <d v="2017-01-05T00:00:00"/>
        <d v="2017-01-06T00:00:00"/>
        <d v="2017-01-07T00:00:00"/>
        <d v="2017-01-08T00:00:00"/>
        <d v="2017-01-09T00:00:00"/>
        <d v="2017-01-10T00:00:00"/>
        <d v="2017-01-11T00:00:00"/>
        <d v="2017-01-12T00:00:00"/>
        <d v="2017-01-13T00:00:00"/>
        <d v="2017-01-14T00:00:00"/>
        <d v="2017-01-15T00:00:00"/>
        <d v="2017-01-16T00:00:00"/>
        <d v="2017-01-17T00:00:00"/>
        <d v="2017-01-18T00:00:00"/>
        <d v="2017-01-19T00:00:00"/>
        <d v="2017-01-20T00:00:00"/>
        <d v="2017-01-21T00:00:00"/>
        <d v="2017-01-22T00:00:00"/>
        <d v="2017-01-23T00:00:00"/>
        <d v="2017-01-24T00:00:00"/>
        <d v="2017-01-25T00:00:00"/>
        <d v="2017-01-26T00:00:00"/>
        <d v="2017-01-27T00:00:00"/>
        <d v="2017-01-28T00:00:00"/>
        <d v="2017-01-29T00:00:00"/>
        <d v="2017-01-30T00:00:00"/>
        <d v="2017-01-31T00:00:00"/>
        <d v="2017-02-01T00:00:00"/>
        <d v="2017-02-02T00:00:00"/>
        <d v="2017-02-03T00:00:00"/>
        <d v="2017-02-04T00:00:00"/>
        <d v="2017-02-05T00:00:00"/>
        <d v="2017-02-06T00:00:00"/>
        <d v="2017-02-07T00:00:00"/>
        <d v="2017-02-08T00:00:00"/>
        <d v="2017-02-09T00:00:00"/>
        <d v="2017-02-10T00:00:00"/>
        <d v="2017-02-11T00:00:00"/>
        <d v="2017-02-12T00:00:00"/>
        <d v="2017-02-13T00:00:00"/>
        <d v="2017-02-14T00:00:00"/>
        <d v="2017-02-15T00:00:00"/>
        <d v="2017-02-16T00:00:00"/>
        <d v="2017-02-17T00:00:00"/>
        <d v="2017-02-18T00:00:00"/>
        <d v="2017-02-19T00:00:00"/>
        <d v="2017-02-20T00:00:00"/>
        <d v="2017-02-21T00:00:00"/>
        <d v="2017-02-22T00:00:00"/>
        <d v="2017-02-23T00:00:00"/>
        <d v="2017-02-24T00:00:00"/>
        <d v="2017-02-25T00:00:00"/>
        <d v="2017-02-26T00:00:00"/>
        <d v="2017-02-27T00:00:00"/>
        <d v="2017-02-28T00:00:00"/>
        <d v="2017-03-01T00:00:00"/>
        <d v="2017-03-02T00:00:00"/>
        <d v="2017-03-03T00:00:00"/>
        <d v="2017-03-04T00:00:00"/>
        <d v="2017-03-05T00:00:00"/>
        <d v="2017-03-06T00:00:00"/>
        <d v="2017-03-07T00:00:00"/>
        <d v="2017-03-08T00:00:00"/>
        <d v="2017-03-09T00:00:00"/>
        <d v="2017-03-10T00:00:00"/>
        <d v="2017-03-11T00:00:00"/>
        <d v="2017-03-12T00:00:00"/>
        <d v="2017-03-13T00:00:00"/>
        <d v="2017-03-14T00:00:00"/>
        <d v="2017-03-15T00:00:00"/>
        <d v="2017-03-16T00:00:00"/>
        <d v="2017-03-17T00:00:00"/>
        <d v="2017-03-18T00:00:00"/>
        <d v="2017-03-19T00:00:00"/>
        <d v="2017-03-20T00:00:00"/>
        <d v="2017-03-21T00:00:00"/>
        <d v="2017-03-22T00:00:00"/>
        <d v="2017-03-23T00:00:00"/>
        <d v="2017-03-24T00:00:00"/>
        <d v="2017-03-25T00:00:00"/>
        <d v="2017-03-26T00:00:00"/>
        <d v="2017-03-27T00:00:00"/>
        <d v="2017-03-28T00:00:00"/>
        <d v="2017-03-29T00:00:00"/>
        <d v="2017-03-30T00:00:00"/>
        <d v="2017-03-31T00:00:00"/>
        <d v="2017-04-01T00:00:00"/>
        <d v="2017-04-02T00:00:00"/>
        <d v="2017-04-03T00:00:00"/>
        <d v="2017-04-04T00:00:00"/>
        <d v="2017-04-05T00:00:00"/>
        <d v="2017-04-06T00:00:00"/>
        <d v="2017-04-07T00:00:00"/>
        <d v="2017-04-08T00:00:00"/>
        <d v="2017-04-09T00:00:00"/>
        <d v="2017-04-10T00:00:00"/>
        <d v="2017-04-11T00:00:00"/>
        <d v="2017-04-12T00:00:00"/>
        <d v="2017-04-13T00:00:00"/>
        <d v="2017-04-14T00:00:00"/>
        <d v="2017-04-15T00:00:00"/>
        <d v="2017-04-16T00:00:00"/>
        <d v="2017-04-17T00:00:00"/>
        <d v="2017-04-18T00:00:00"/>
        <d v="2017-04-19T00:00:00"/>
        <d v="2017-04-20T00:00:00"/>
        <d v="2017-04-21T00:00:00"/>
        <d v="2017-04-22T00:00:00"/>
        <d v="2017-04-23T00:00:00"/>
        <d v="2017-04-24T00:00:00"/>
        <d v="2017-04-25T00:00:00"/>
        <d v="2017-04-26T00:00:00"/>
        <d v="2017-04-27T00:00:00"/>
        <d v="2017-04-28T00:00:00"/>
        <d v="2017-04-29T00:00:00"/>
        <d v="2017-04-30T00:00:00"/>
        <d v="2017-05-01T00:00:00"/>
        <d v="2017-05-02T00:00:00"/>
        <d v="2017-05-03T00:00:00"/>
        <d v="2017-05-04T00:00:00"/>
        <d v="2017-05-05T00:00:00"/>
        <d v="2017-05-06T00:00:00"/>
        <d v="2017-05-07T00:00:00"/>
        <d v="2017-05-08T00:00:00"/>
        <d v="2017-05-09T00:00:00"/>
        <d v="2017-05-10T00:00:00"/>
        <d v="2017-05-11T00:00:00"/>
        <d v="2017-05-12T00:00:00"/>
        <d v="2017-05-13T00:00:00"/>
        <d v="2017-05-14T00:00:00"/>
        <d v="2017-05-15T00:00:00"/>
        <d v="2017-05-16T00:00:00"/>
        <d v="2017-05-17T00:00:00"/>
        <d v="2017-05-18T00:00:00"/>
        <d v="2017-05-19T00:00:00"/>
        <d v="2017-05-20T00:00:00"/>
        <d v="2017-05-21T00:00:00"/>
        <d v="2017-05-22T00:00:00"/>
        <d v="2017-05-23T00:00:00"/>
        <d v="2017-05-24T00:00:00"/>
        <d v="2017-05-25T00:00:00"/>
        <d v="2017-05-26T00:00:00"/>
        <d v="2017-05-27T00:00:00"/>
        <d v="2017-05-28T00:00:00"/>
        <d v="2017-05-29T00:00:00"/>
        <d v="2017-05-30T00:00:00"/>
        <d v="2017-05-31T00:00:00"/>
        <d v="2017-06-01T00:00:00"/>
        <d v="2017-06-02T00:00:00"/>
        <d v="2017-06-03T00:00:00"/>
        <d v="2017-06-04T00:00:00"/>
        <d v="2017-06-05T00:00:00"/>
        <d v="2017-06-06T00:00:00"/>
        <d v="2017-06-07T00:00:00"/>
        <d v="2017-06-08T00:00:00"/>
        <d v="2017-06-09T00:00:00"/>
        <d v="2017-06-10T00:00:00"/>
        <d v="2017-06-11T00:00:00"/>
        <d v="2017-06-12T00:00:00"/>
        <d v="2017-06-13T00:00:00"/>
        <d v="2017-06-14T00:00:00"/>
        <d v="2017-06-15T00:00:00"/>
        <d v="2017-06-16T00:00:00"/>
        <d v="2017-06-17T00:00:00"/>
        <d v="2017-06-18T00:00:00"/>
        <d v="2017-06-19T00:00:00"/>
        <d v="2017-06-20T00:00:00"/>
        <d v="2017-06-21T00:00:00"/>
        <d v="2017-06-22T00:00:00"/>
        <d v="2017-06-23T00:00:00"/>
        <d v="2017-06-24T00:00:00"/>
        <d v="2017-06-25T00:00:00"/>
        <d v="2017-06-26T00:00:00"/>
        <d v="2017-06-27T00:00:00"/>
        <d v="2017-06-28T00:00:00"/>
        <d v="2017-06-29T00:00:00"/>
        <d v="2017-06-30T00:00:00"/>
        <d v="2017-07-01T00:00:00"/>
        <d v="2017-07-02T00:00:00"/>
        <d v="2017-07-03T00:00:00"/>
        <d v="2017-07-04T00:00:00"/>
        <d v="2017-07-05T00:00:00"/>
        <d v="2017-07-06T00:00:00"/>
        <d v="2017-07-07T00:00:00"/>
        <d v="2017-07-08T00:00:00"/>
        <d v="2017-07-09T00:00:00"/>
        <d v="2017-07-10T00:00:00"/>
        <d v="2017-07-11T00:00:00"/>
        <d v="2017-07-12T00:00:00"/>
        <d v="2017-07-13T00:00:00"/>
        <d v="2017-07-14T00:00:00"/>
        <d v="2017-07-15T00:00:00"/>
        <d v="2017-07-16T00:00:00"/>
        <d v="2017-07-17T00:00:00"/>
        <d v="2017-07-18T00:00:00"/>
        <d v="2017-07-19T00:00:00"/>
        <d v="2017-07-20T00:00:00"/>
        <d v="2017-07-21T00:00:00"/>
        <d v="2017-07-22T00:00:00"/>
        <d v="2017-07-23T00:00:00"/>
        <d v="2017-07-24T00:00:00"/>
        <d v="2017-07-25T00:00:00"/>
        <d v="2017-07-26T00:00:00"/>
        <d v="2017-07-27T00:00:00"/>
        <d v="2017-07-28T00:00:00"/>
        <d v="2017-07-29T00:00:00"/>
        <d v="2017-07-30T00:00:00"/>
        <d v="2017-07-31T00:00:00"/>
        <d v="2017-08-01T00:00:00"/>
        <d v="2017-08-02T00:00:00"/>
        <d v="2017-08-03T00:00:00"/>
        <d v="2017-08-04T00:00:00"/>
        <d v="2017-08-05T00:00:00"/>
        <d v="2017-08-06T00:00:00"/>
        <d v="2017-08-07T00:00:00"/>
        <d v="2017-08-08T00:00:00"/>
        <d v="2017-08-09T00:00:00"/>
        <d v="2017-08-10T00:00:00"/>
        <d v="2017-08-11T00:00:00"/>
        <d v="2017-08-12T00:00:00"/>
        <d v="2017-08-13T00:00:00"/>
        <d v="2017-08-14T00:00:00"/>
        <d v="2017-08-15T00:00:00"/>
        <d v="2017-08-16T00:00:00"/>
        <d v="2017-08-17T00:00:00"/>
        <d v="2017-08-18T00:00:00"/>
        <d v="2017-08-19T00:00:00"/>
        <d v="2017-08-20T00:00:00"/>
        <d v="2017-08-21T00:00:00"/>
        <d v="2017-08-22T00:00:00"/>
        <d v="2017-08-23T00:00:00"/>
        <d v="2017-08-24T00:00:00"/>
        <d v="2017-08-25T00:00:00"/>
        <d v="2017-08-26T00:00:00"/>
        <d v="2017-08-27T00:00:00"/>
        <d v="2017-08-28T00:00:00"/>
        <d v="2017-08-29T00:00:00"/>
        <d v="2017-08-30T00:00:00"/>
        <d v="2017-08-31T00:00:00"/>
        <d v="2017-09-01T00:00:00"/>
        <d v="2017-09-02T00:00:00"/>
        <d v="2017-09-03T00:00:00"/>
        <d v="2017-09-04T00:00:00"/>
        <d v="2017-09-05T00:00:00"/>
        <d v="2017-09-06T00:00:00"/>
        <d v="2017-09-07T00:00:00"/>
        <d v="2017-09-08T00:00:00"/>
        <d v="2017-09-09T00:00:00"/>
        <d v="2017-09-10T00:00:00"/>
        <d v="2017-09-11T00:00:00"/>
        <d v="2017-09-12T00:00:00"/>
        <d v="2017-09-13T00:00:00"/>
        <d v="2017-09-14T00:00:00"/>
        <d v="2017-09-15T00:00:00"/>
        <d v="2017-09-16T00:00:00"/>
        <d v="2017-09-17T00:00:00"/>
        <d v="2017-09-18T00:00:00"/>
        <d v="2017-09-19T00:00:00"/>
        <d v="2017-09-20T00:00:00"/>
        <d v="2017-09-21T00:00:00"/>
        <d v="2017-09-22T00:00:00"/>
        <d v="2017-09-23T00:00:00"/>
        <d v="2017-09-24T00:00:00"/>
        <d v="2017-09-25T00:00:00"/>
        <d v="2017-09-26T00:00:00"/>
        <d v="2017-09-27T00:00:00"/>
        <d v="2017-09-28T00:00:00"/>
        <d v="2017-09-29T00:00:00"/>
        <d v="2017-09-30T00:00:00"/>
        <d v="2017-10-01T00:00:00"/>
        <d v="2017-10-02T00:00:00"/>
        <d v="2017-10-03T00:00:00"/>
        <d v="2017-10-04T00:00:00"/>
        <d v="2017-10-05T00:00:00"/>
        <d v="2017-10-06T00:00:00"/>
        <d v="2017-10-07T00:00:00"/>
        <d v="2017-10-08T00:00:00"/>
        <d v="2017-10-09T00:00:00"/>
        <d v="2017-10-10T00:00:00"/>
        <d v="2017-10-11T00:00:00"/>
        <d v="2017-10-12T00:00:00"/>
        <d v="2017-10-13T00:00:00"/>
        <d v="2017-10-14T00:00:00"/>
        <d v="2017-10-15T00:00:00"/>
        <d v="2017-10-16T00:00:00"/>
        <d v="2017-10-17T00:00:00"/>
        <d v="2017-10-18T00:00:00"/>
        <d v="2017-10-19T00:00:00"/>
        <d v="2017-10-20T00:00:00"/>
        <d v="2017-10-21T00:00:00"/>
        <d v="2017-10-22T00:00:00"/>
        <d v="2017-10-23T00:00:00"/>
        <d v="2017-10-24T00:00:00"/>
        <d v="2017-10-25T00:00:00"/>
        <d v="2017-10-26T00:00:00"/>
        <d v="2017-10-27T00:00:00"/>
        <d v="2017-10-28T00:00:00"/>
        <d v="2017-10-29T00:00:00"/>
        <d v="2017-10-30T00:00:00"/>
        <d v="2017-10-31T00:00:00"/>
        <d v="2017-11-01T00:00:00"/>
        <d v="2017-11-02T00:00:00"/>
        <d v="2017-11-03T00:00:00"/>
        <d v="2017-11-04T00:00:00"/>
        <d v="2017-11-05T00:00:00"/>
        <d v="2017-11-06T00:00:00"/>
        <d v="2017-11-07T00:00:00"/>
        <d v="2017-11-08T00:00:00"/>
        <d v="2017-11-09T00:00:00"/>
        <d v="2017-11-10T00:00:00"/>
        <d v="2017-11-11T00:00:00"/>
        <d v="2017-11-12T00:00:00"/>
        <d v="2017-11-13T00:00:00"/>
        <d v="2017-11-14T00:00:00"/>
        <d v="2017-11-15T00:00:00"/>
        <d v="2017-11-16T00:00:00"/>
        <d v="2017-11-17T00:00:00"/>
        <d v="2017-11-18T00:00:00"/>
        <d v="2017-11-19T00:00:00"/>
        <d v="2017-11-20T00:00:00"/>
        <d v="2017-11-21T00:00:00"/>
        <d v="2017-11-22T00:00:00"/>
        <d v="2017-11-23T00:00:00"/>
        <d v="2017-11-24T00:00:00"/>
        <d v="2017-11-25T00:00:00"/>
        <d v="2017-11-26T00:00:00"/>
        <d v="2017-11-27T00:00:00"/>
        <d v="2017-11-28T00:00:00"/>
        <d v="2017-11-29T00:00:00"/>
        <d v="2017-11-30T00:00:00"/>
        <d v="2017-12-01T00:00:00"/>
        <d v="2017-12-02T00:00:00"/>
        <d v="2017-12-03T00:00:00"/>
        <d v="2017-12-04T00:00:00"/>
        <d v="2017-12-05T00:00:00"/>
        <d v="2017-12-06T00:00:00"/>
        <d v="2017-12-07T00:00:00"/>
        <d v="2017-12-08T00:00:00"/>
        <d v="2017-12-09T00:00:00"/>
        <d v="2017-12-10T00:00:00"/>
        <d v="2017-12-11T00:00:00"/>
        <d v="2017-12-12T00:00:00"/>
        <d v="2017-12-13T00:00:00"/>
        <d v="2017-12-14T00:00:00"/>
        <d v="2017-12-15T00:00:00"/>
        <d v="2017-12-16T00:00:00"/>
        <d v="2017-12-17T00:00:00"/>
        <d v="2017-12-18T00:00:00"/>
        <d v="2017-12-19T00:00:00"/>
        <d v="2017-12-20T00:00:00"/>
        <d v="2017-12-21T00:00:00"/>
        <d v="2017-12-22T00:00:00"/>
        <d v="2017-12-23T00:00:00"/>
        <d v="2017-12-24T00:00:00"/>
        <d v="2017-12-25T00:00:00"/>
        <d v="2017-12-26T00:00:00"/>
        <d v="2017-12-27T00:00:00"/>
        <d v="2017-12-28T00:00:00"/>
        <d v="2017-12-29T00:00:00"/>
        <d v="2017-12-30T00:00:00"/>
        <d v="2017-12-31T00:00:00"/>
        <d v="2018-01-01T00:00:00"/>
        <d v="2018-01-02T00:00:00"/>
        <d v="2018-01-03T00:00:00"/>
        <d v="2018-01-04T00:00:00"/>
        <d v="2018-01-05T00:00:00"/>
        <d v="2018-01-06T00:00:00"/>
        <d v="2018-01-07T00:00:00"/>
        <d v="2018-01-08T00:00:00"/>
        <d v="2018-01-09T00:00:00"/>
        <d v="2018-01-10T00:00:00"/>
        <d v="2018-01-11T00:00:00"/>
        <d v="2018-01-12T00:00:00"/>
        <d v="2018-01-13T00:00:00"/>
        <d v="2018-01-14T00:00:00"/>
        <d v="2018-01-15T00:00:00"/>
        <d v="2018-01-16T00:00:00"/>
        <d v="2018-01-17T00:00:00"/>
        <d v="2018-01-18T00:00:00"/>
        <d v="2018-01-19T00:00:00"/>
        <d v="2018-01-20T00:00:00"/>
        <d v="2018-01-21T00:00:00"/>
        <d v="2018-01-22T00:00:00"/>
        <d v="2018-01-23T00:00:00"/>
        <d v="2018-01-24T00:00:00"/>
        <d v="2018-01-25T00:00:00"/>
        <d v="2018-01-26T00:00:00"/>
        <d v="2018-01-27T00:00:00"/>
        <d v="2018-01-28T00:00:00"/>
        <d v="2018-01-29T00:00:00"/>
        <d v="2018-01-30T00:00:00"/>
        <d v="2018-01-31T00:00:00"/>
        <d v="2018-02-01T00:00:00"/>
        <d v="2018-02-02T00:00:00"/>
        <d v="2018-02-03T00:00:00"/>
        <d v="2018-02-04T00:00:00"/>
        <d v="2018-02-05T00:00:00"/>
        <d v="2018-02-06T00:00:00"/>
        <d v="2018-02-07T00:00:00"/>
        <d v="2018-02-08T00:00:00"/>
        <d v="2018-02-09T00:00:00"/>
        <d v="2018-02-10T00:00:00"/>
        <d v="2018-02-11T00:00:00"/>
        <d v="2018-02-12T00:00:00"/>
        <d v="2018-02-13T00:00:00"/>
        <d v="2018-02-14T00:00:00"/>
        <d v="2018-02-15T00:00:00"/>
        <d v="2018-02-16T00:00:00"/>
        <d v="2018-02-17T00:00:00"/>
        <d v="2018-02-18T00:00:00"/>
        <d v="2018-02-19T00:00:00"/>
        <d v="2018-02-20T00:00:00"/>
        <d v="2018-02-21T00:00:00"/>
        <d v="2018-02-22T00:00:00"/>
        <d v="2018-02-23T00:00:00"/>
        <d v="2018-02-24T00:00:00"/>
        <d v="2018-02-25T00:00:00"/>
        <d v="2018-02-26T00:00:00"/>
        <d v="2018-02-27T00:00:00"/>
        <d v="2018-02-28T00:00:00"/>
        <d v="2018-03-01T00:00:00"/>
        <d v="2018-03-02T00:00:00"/>
        <d v="2018-03-03T00:00:00"/>
        <d v="2018-03-04T00:00:00"/>
        <d v="2018-03-05T00:00:00"/>
        <d v="2018-03-06T00:00:00"/>
        <d v="2018-03-07T00:00:00"/>
        <d v="2018-03-08T00:00:00"/>
        <d v="2018-03-09T00:00:00"/>
        <d v="2018-03-10T00:00:00"/>
        <d v="2018-03-11T00:00:00"/>
        <d v="2018-03-12T00:00:00"/>
        <d v="2018-03-13T00:00:00"/>
        <d v="2018-03-14T00:00:00"/>
        <d v="2018-03-15T00:00:00"/>
        <d v="2018-03-16T00:00:00"/>
        <d v="2018-03-17T00:00:00"/>
        <d v="2018-03-18T00:00:00"/>
        <d v="2018-03-19T00:00:00"/>
        <d v="2018-03-20T00:00:00"/>
        <d v="2018-03-21T00:00:00"/>
        <d v="2018-03-22T00:00:00"/>
        <d v="2018-03-23T00:00:00"/>
        <d v="2018-03-24T00:00:00"/>
        <d v="2018-03-25T00:00:00"/>
        <d v="2018-03-26T00:00:00"/>
        <d v="2018-03-27T00:00:00"/>
        <d v="2018-03-28T00:00:00"/>
        <d v="2018-03-29T00:00:00"/>
        <d v="2018-03-30T00:00:00"/>
        <d v="2018-03-31T00:00:00"/>
        <d v="2018-04-01T00:00:00"/>
        <d v="2018-04-02T00:00:00"/>
        <d v="2018-04-03T00:00:00"/>
        <d v="2018-04-04T00:00:00"/>
        <d v="2018-04-05T00:00:00"/>
        <d v="2018-04-06T00:00:00"/>
        <d v="2018-04-07T00:00:00"/>
        <d v="2018-04-08T00:00:00"/>
        <d v="2018-04-09T00:00:00"/>
        <d v="2018-04-10T00:00:00"/>
        <d v="2018-04-11T00:00:00"/>
        <d v="2018-04-12T00:00:00"/>
        <d v="2018-04-13T00:00:00"/>
        <d v="2018-04-14T00:00:00"/>
        <d v="2018-04-15T00:00:00"/>
        <d v="2018-04-16T00:00:00"/>
        <d v="2018-04-17T00:00:00"/>
        <d v="2018-04-18T00:00:00"/>
        <d v="2018-04-19T00:00:00"/>
        <d v="2018-04-20T00:00:00"/>
        <d v="2018-04-21T00:00:00"/>
        <d v="2018-04-22T00:00:00"/>
        <d v="2018-04-23T00:00:00"/>
        <d v="2018-04-24T00:00:00"/>
        <d v="2018-04-25T00:00:00"/>
        <d v="2018-04-26T00:00:00"/>
        <d v="2018-04-27T00:00:00"/>
        <d v="2018-04-28T00:00:00"/>
        <d v="2018-04-29T00:00:00"/>
        <d v="2018-04-30T00:00:00"/>
        <d v="2018-05-01T00:00:00"/>
        <d v="2018-05-02T00:00:00"/>
        <d v="2018-05-03T00:00:00"/>
        <d v="2018-05-04T00:00:00"/>
        <d v="2018-05-05T00:00:00"/>
        <d v="2018-05-06T00:00:00"/>
        <d v="2018-05-07T00:00:00"/>
        <d v="2018-05-08T00:00:00"/>
        <d v="2018-05-09T00:00:00"/>
        <d v="2018-05-10T00:00:00"/>
        <d v="2018-05-11T00:00:00"/>
        <d v="2018-05-12T00:00:00"/>
        <d v="2018-05-13T00:00:00"/>
        <d v="2018-05-14T00:00:00"/>
        <d v="2018-05-15T00:00:00"/>
        <d v="2018-05-16T00:00:00"/>
        <d v="2018-05-17T00:00:00"/>
        <d v="2018-05-18T00:00:00"/>
        <d v="2018-05-19T00:00:00"/>
        <d v="2018-05-20T00:00:00"/>
        <d v="2018-05-21T00:00:00"/>
        <d v="2018-05-22T00:00:00"/>
        <d v="2018-05-23T00:00:00"/>
        <d v="2018-05-24T00:00:00"/>
        <d v="2018-05-25T00:00:00"/>
        <d v="2018-05-26T00:00:00"/>
        <d v="2018-05-27T00:00:00"/>
        <d v="2018-05-28T00:00:00"/>
        <d v="2018-05-29T00:00:00"/>
        <d v="2018-05-30T00:00:00"/>
        <d v="2018-05-31T00:00:00"/>
        <d v="2018-06-01T00:00:00"/>
        <d v="2018-06-02T00:00:00"/>
        <d v="2018-06-03T00:00:00"/>
        <d v="2018-06-04T00:00:00"/>
        <d v="2018-06-05T00:00:00"/>
        <d v="2018-06-06T00:00:00"/>
        <d v="2018-06-07T00:00:00"/>
        <d v="2018-06-08T00:00:00"/>
        <d v="2018-06-09T00:00:00"/>
        <d v="2018-06-10T00:00:00"/>
        <d v="2018-06-11T00:00:00"/>
        <d v="2018-06-12T00:00:00"/>
        <d v="2018-06-13T00:00:00"/>
        <d v="2018-06-14T00:00:00"/>
        <d v="2018-06-15T00:00:00"/>
        <d v="2018-06-16T00:00:00"/>
        <d v="2018-06-17T00:00:00"/>
        <d v="2018-06-18T00:00:00"/>
        <d v="2018-06-19T00:00:00"/>
        <d v="2018-06-20T00:00:00"/>
        <d v="2018-06-21T00:00:00"/>
        <d v="2018-06-22T00:00:00"/>
        <d v="2018-06-23T00:00:00"/>
        <d v="2018-06-24T00:00:00"/>
        <d v="2018-06-25T00:00:00"/>
        <d v="2018-06-26T00:00:00"/>
        <d v="2018-06-27T00:00:00"/>
        <d v="2018-06-28T00:00:00"/>
        <d v="2018-06-29T00:00:00"/>
        <d v="2018-06-30T00:00:00"/>
        <d v="2018-07-01T00:00:00"/>
        <d v="2018-07-02T00:00:00"/>
        <d v="2018-07-03T00:00:00"/>
        <d v="2018-07-04T00:00:00"/>
        <d v="2018-07-05T00:00:00"/>
        <d v="2018-07-06T00:00:00"/>
        <d v="2018-07-07T00:00:00"/>
        <d v="2018-07-08T00:00:00"/>
        <d v="2018-07-09T00:00:00"/>
        <d v="2018-07-10T00:00:00"/>
        <d v="2018-07-11T00:00:00"/>
        <d v="2018-07-12T00:00:00"/>
        <d v="2018-07-13T00:00:00"/>
        <d v="2018-07-14T00:00:00"/>
        <d v="2018-07-15T00:00:00"/>
        <d v="2018-07-16T00:00:00"/>
        <d v="2018-07-17T00:00:00"/>
        <d v="2018-07-18T00:00:00"/>
        <d v="2018-07-19T00:00:00"/>
        <d v="2018-07-20T00:00:00"/>
        <d v="2018-07-21T00:00:00"/>
        <d v="2018-07-22T00:00:00"/>
        <d v="2018-07-23T00:00:00"/>
        <d v="2018-07-24T00:00:00"/>
        <d v="2018-07-25T00:00:00"/>
        <d v="2018-07-26T00:00:00"/>
        <d v="2018-07-27T00:00:00"/>
        <d v="2018-07-28T00:00:00"/>
        <d v="2018-07-29T00:00:00"/>
        <d v="2018-07-30T00:00:00"/>
        <d v="2018-07-31T00:00:00"/>
        <d v="2018-08-01T00:00:00"/>
        <d v="2018-08-02T00:00:00"/>
        <d v="2018-08-03T00:00:00"/>
        <d v="2018-08-04T00:00:00"/>
        <d v="2018-08-05T00:00:00"/>
        <d v="2018-08-06T00:00:00"/>
        <d v="2018-08-07T00:00:00"/>
        <d v="2018-08-08T00:00:00"/>
        <d v="2018-08-09T00:00:00"/>
        <d v="2018-08-10T00:00:00"/>
        <d v="2018-08-11T00:00:00"/>
        <d v="2018-08-12T00:00:00"/>
        <d v="2018-08-13T00:00:00"/>
        <d v="2018-08-14T00:00:00"/>
        <d v="2018-08-15T00:00:00"/>
        <d v="2018-08-16T00:00:00"/>
        <d v="2018-08-17T00:00:00"/>
        <d v="2018-08-18T00:00:00"/>
        <d v="2018-08-19T00:00:00"/>
        <d v="2018-08-20T00:00:00"/>
        <d v="2018-08-21T00:00:00"/>
        <d v="2018-08-22T00:00:00"/>
        <d v="2018-08-23T00:00:00"/>
        <d v="2018-08-24T00:00:00"/>
        <d v="2018-08-25T00:00:00"/>
        <d v="2018-08-26T00:00:00"/>
        <d v="2018-08-27T00:00:00"/>
        <d v="2018-08-28T00:00:00"/>
        <d v="2018-08-29T00:00:00"/>
        <d v="2018-08-30T00:00:00"/>
        <d v="2018-08-31T00:00:00"/>
        <d v="2018-09-01T00:00:00"/>
        <d v="2018-09-02T00:00:00"/>
        <d v="2018-09-03T00:00:00"/>
        <d v="2018-09-04T00:00:00"/>
        <d v="2018-09-05T00:00:00"/>
        <d v="2018-09-06T00:00:00"/>
        <d v="2018-09-07T00:00:00"/>
        <d v="2018-09-08T00:00:00"/>
        <d v="2018-09-09T00:00:00"/>
        <d v="2018-09-10T00:00:00"/>
        <d v="2018-09-11T00:00:00"/>
        <d v="2018-09-12T00:00:00"/>
        <d v="2018-09-13T00:00:00"/>
        <d v="2018-09-14T00:00:00"/>
        <d v="2018-09-15T00:00:00"/>
        <d v="2018-09-16T00:00:00"/>
        <d v="2018-09-17T00:00:00"/>
        <d v="2018-09-18T00:00:00"/>
        <d v="2018-09-19T00:00:00"/>
        <d v="2018-09-20T00:00:00"/>
        <d v="2018-09-21T00:00:00"/>
        <d v="2018-09-22T00:00:00"/>
        <d v="2018-09-23T00:00:00"/>
        <d v="2018-09-24T00:00:00"/>
        <d v="2018-09-25T00:00:00"/>
        <d v="2018-09-26T00:00:00"/>
        <d v="2018-09-27T00:00:00"/>
        <d v="2018-09-28T00:00:00"/>
        <d v="2018-09-29T00:00:00"/>
        <d v="2018-09-30T00:00:00"/>
        <d v="2018-10-01T00:00:00"/>
        <d v="2018-10-02T00:00:00"/>
        <d v="2018-10-03T00:00:00"/>
        <d v="2018-10-04T00:00:00"/>
        <d v="2018-10-05T00:00:00"/>
        <d v="2018-10-06T00:00:00"/>
        <d v="2018-10-07T00:00:00"/>
        <d v="2018-10-08T00:00:00"/>
        <d v="2018-10-09T00:00:00"/>
        <d v="2018-10-10T00:00:00"/>
        <d v="2018-10-11T00:00:00"/>
        <d v="2018-10-12T00:00:00"/>
        <d v="2018-10-13T00:00:00"/>
        <d v="2018-10-14T00:00:00"/>
        <d v="2018-10-15T00:00:00"/>
        <d v="2018-10-16T00:00:00"/>
        <d v="2018-10-17T00:00:00"/>
        <d v="2018-10-18T00:00:00"/>
        <d v="2018-10-19T00:00:00"/>
        <d v="2018-10-20T00:00:00"/>
        <d v="2018-10-21T00:00:00"/>
        <d v="2018-10-22T00:00:00"/>
        <d v="2018-10-23T00:00:00"/>
        <d v="2018-10-24T00:00:00"/>
        <d v="2018-10-25T00:00:00"/>
        <d v="2018-10-26T00:00:00"/>
        <d v="2018-10-27T00:00:00"/>
        <d v="2018-10-28T00:00:00"/>
        <d v="2018-10-29T00:00:00"/>
        <d v="2018-10-30T00:00:00"/>
        <d v="2018-10-31T00:00:00"/>
        <d v="2018-11-01T00:00:00"/>
        <d v="2018-11-02T00:00:00"/>
        <d v="2018-11-03T00:00:00"/>
        <d v="2018-11-04T00:00:00"/>
        <d v="2018-11-05T00:00:00"/>
        <d v="2018-11-06T00:00:00"/>
        <d v="2018-11-07T00:00:00"/>
        <d v="2018-11-08T00:00:00"/>
        <d v="2018-11-09T00:00:00"/>
        <d v="2018-11-10T00:00:00"/>
        <d v="2018-11-11T00:00:00"/>
        <d v="2018-11-12T00:00:00"/>
        <d v="2018-11-13T00:00:00"/>
        <d v="2018-11-14T00:00:00"/>
        <d v="2018-11-15T00:00:00"/>
        <d v="2018-11-16T00:00:00"/>
        <d v="2018-11-17T00:00:00"/>
        <d v="2018-11-18T00:00:00"/>
        <d v="2018-11-19T00:00:00"/>
        <d v="2018-11-20T00:00:00"/>
        <d v="2018-11-21T00:00:00"/>
        <d v="2018-11-22T00:00:00"/>
        <d v="2018-11-23T00:00:00"/>
        <d v="2018-11-24T00:00:00"/>
        <d v="2018-11-25T00:00:00"/>
        <d v="2018-11-26T00:00:00"/>
        <d v="2018-11-27T00:00:00"/>
        <d v="2018-11-28T00:00:00"/>
        <d v="2018-11-29T00:00:00"/>
        <d v="2018-11-30T00:00:00"/>
        <d v="2018-12-01T00:00:00"/>
        <d v="2018-12-02T00:00:00"/>
        <d v="2018-12-03T00:00:00"/>
        <d v="2018-12-04T00:00:00"/>
        <d v="2018-12-05T00:00:00"/>
        <d v="2018-12-06T00:00:00"/>
        <d v="2018-12-07T00:00:00"/>
        <d v="2018-12-08T00:00:00"/>
        <d v="2018-12-09T00:00:00"/>
        <d v="2018-12-10T00:00:00"/>
        <d v="2018-12-11T00:00:00"/>
        <d v="2018-12-12T00:00:00"/>
        <d v="2018-12-13T00:00:00"/>
        <d v="2018-12-14T00:00:00"/>
        <d v="2018-12-15T00:00:00"/>
        <d v="2018-12-16T00:00:00"/>
        <d v="2018-12-17T00:00:00"/>
        <d v="2018-12-18T00:00:00"/>
        <d v="2018-12-19T00:00:00"/>
        <d v="2018-12-20T00:00:00"/>
        <d v="2018-12-21T00:00:00"/>
        <d v="2018-12-22T00:00:00"/>
        <d v="2018-12-23T00:00:00"/>
        <d v="2018-12-24T00:00:00"/>
        <d v="2018-12-25T00:00:00"/>
        <d v="2018-12-26T00:00:00"/>
        <d v="2018-12-27T00:00:00"/>
        <d v="2018-12-28T00:00:00"/>
        <d v="2018-12-29T00:00:00"/>
        <d v="2018-12-30T00:00:00"/>
        <d v="2018-12-31T00:00:00"/>
        <d v="2019-01-01T00:00:00"/>
        <d v="2019-01-02T00:00:00"/>
        <d v="2019-01-03T00:00:00"/>
        <d v="2019-01-04T00:00:00"/>
        <d v="2019-01-05T00:00:00"/>
        <d v="2019-01-06T00:00:00"/>
        <d v="2019-01-07T00:00:00"/>
        <d v="2019-01-08T00:00:00"/>
        <d v="2019-01-09T00:00:00"/>
        <d v="2019-01-10T00:00:00"/>
        <d v="2019-01-11T00:00:00"/>
        <d v="2019-01-12T00:00:00"/>
        <d v="2019-01-13T00:00:00"/>
        <d v="2019-01-14T00:00:00"/>
        <d v="2019-01-15T00:00:00"/>
        <d v="2019-01-16T00:00:00"/>
        <d v="2019-01-17T00:00:00"/>
        <d v="2019-01-18T00:00:00"/>
        <d v="2019-01-19T00:00:00"/>
        <d v="2019-01-20T00:00:00"/>
        <d v="2019-01-21T00:00:00"/>
        <d v="2019-01-22T00:00:00"/>
        <d v="2019-01-23T00:00:00"/>
        <d v="2019-01-24T00:00:00"/>
        <d v="2019-01-25T00:00:00"/>
        <d v="2019-01-26T00:00:00"/>
        <d v="2019-01-27T00:00:00"/>
        <d v="2019-01-28T00:00:00"/>
        <d v="2019-01-29T00:00:00"/>
        <d v="2019-01-30T00:00:00"/>
        <d v="2019-01-31T00:00:00"/>
        <d v="2019-02-01T00:00:00"/>
        <d v="2019-02-02T00:00:00"/>
        <d v="2019-02-03T00:00:00"/>
        <d v="2019-02-04T00:00:00"/>
        <d v="2019-02-05T00:00:00"/>
        <d v="2019-02-06T00:00:00"/>
        <d v="2019-02-07T00:00:00"/>
        <d v="2019-02-08T00:00:00"/>
        <d v="2019-02-09T00:00:00"/>
        <d v="2019-02-10T00:00:00"/>
        <d v="2019-02-11T00:00:00"/>
        <d v="2019-02-12T00:00:00"/>
        <d v="2019-02-13T00:00:00"/>
        <d v="2019-02-14T00:00:00"/>
        <d v="2019-02-15T00:00:00"/>
        <d v="2019-02-16T00:00:00"/>
        <d v="2019-02-17T00:00:00"/>
        <d v="2019-02-18T00:00:00"/>
        <d v="2019-02-19T00:00:00"/>
        <d v="2019-02-20T00:00:00"/>
        <d v="2019-02-21T00:00:00"/>
        <d v="2019-02-22T00:00:00"/>
        <d v="2019-02-23T00:00:00"/>
        <d v="2019-02-24T00:00:00"/>
        <d v="2019-02-25T00:00:00"/>
        <d v="2019-02-26T00:00:00"/>
        <d v="2019-02-27T00:00:00"/>
        <d v="2019-02-28T00:00:00"/>
        <d v="2019-03-01T00:00:00"/>
        <d v="2019-03-02T00:00:00"/>
        <d v="2019-03-03T00:00:00"/>
        <d v="2019-03-04T00:00:00"/>
        <d v="2019-03-05T00:00:00"/>
        <d v="2019-03-06T00:00:00"/>
        <d v="2019-03-07T00:00:00"/>
        <d v="2019-03-08T00:00:00"/>
        <d v="2019-03-09T00:00:00"/>
        <d v="2019-03-10T00:00:00"/>
        <d v="2019-03-11T00:00:00"/>
        <d v="2019-03-12T00:00:00"/>
        <d v="2019-03-13T00:00:00"/>
        <d v="2019-03-14T00:00:00"/>
        <d v="2019-03-15T00:00:00"/>
        <d v="2019-03-16T00:00:00"/>
        <d v="2019-03-17T00:00:00"/>
        <d v="2019-03-18T00:00:00"/>
        <d v="2019-03-19T00:00:00"/>
        <d v="2019-03-20T00:00:00"/>
        <d v="2019-03-21T00:00:00"/>
        <d v="2019-03-22T00:00:00"/>
        <d v="2019-03-23T00:00:00"/>
        <d v="2019-03-24T00:00:00"/>
        <d v="2019-03-25T00:00:00"/>
        <d v="2019-03-26T00:00:00"/>
        <d v="2019-03-27T00:00:00"/>
        <d v="2019-03-28T00:00:00"/>
        <d v="2019-03-29T00:00:00"/>
        <d v="2019-03-30T00:00:00"/>
        <d v="2019-03-31T00:00:00"/>
        <d v="2019-04-01T00:00:00"/>
        <d v="2019-04-02T00:00:00"/>
        <d v="2019-04-03T00:00:00"/>
        <d v="2019-04-04T00:00:00"/>
        <d v="2019-04-05T00:00:00"/>
        <d v="2019-04-06T00:00:00"/>
        <d v="2019-04-07T00:00:00"/>
        <d v="2019-04-08T00:00:00"/>
        <d v="2019-04-09T00:00:00"/>
        <d v="2019-04-10T00:00:00"/>
        <d v="2019-04-11T00:00:00"/>
        <d v="2019-04-12T00:00:00"/>
        <d v="2019-04-13T00:00:00"/>
        <d v="2019-04-14T00:00:00"/>
        <d v="2019-04-15T00:00:00"/>
        <d v="2019-04-16T00:00:00"/>
        <d v="2019-04-17T00:00:00"/>
        <d v="2019-04-18T00:00:00"/>
        <d v="2019-04-19T00:00:00"/>
        <d v="2019-04-20T00:00:00"/>
        <d v="2019-04-21T00:00:00"/>
        <d v="2019-04-22T00:00:00"/>
        <d v="2019-04-23T00:00:00"/>
        <d v="2019-04-24T00:00:00"/>
        <d v="2019-04-25T00:00:00"/>
        <d v="2019-04-26T00:00:00"/>
        <d v="2019-04-27T00:00:00"/>
        <d v="2019-04-28T00:00:00"/>
        <d v="2019-04-29T00:00:00"/>
        <d v="2019-04-30T00:00:00"/>
        <d v="2019-05-01T00:00:00"/>
        <d v="2019-05-02T00:00:00"/>
        <d v="2019-05-03T00:00:00"/>
        <d v="2019-05-04T00:00:00"/>
        <d v="2019-05-05T00:00:00"/>
        <d v="2019-05-06T00:00:00"/>
        <d v="2019-05-07T00:00:00"/>
        <d v="2019-05-08T00:00:00"/>
        <d v="2019-05-09T00:00:00"/>
        <d v="2019-05-10T00:00:00"/>
        <d v="2019-05-11T00:00:00"/>
        <d v="2019-05-12T00:00:00"/>
        <d v="2019-05-13T00:00:00"/>
        <d v="2019-05-14T00:00:00"/>
        <d v="2019-05-15T00:00:00"/>
        <d v="2019-05-16T00:00:00"/>
        <d v="2019-05-17T00:00:00"/>
        <d v="2019-05-18T00:00:00"/>
        <d v="2019-05-19T00:00:00"/>
        <d v="2019-05-20T00:00:00"/>
        <d v="2019-05-21T00:00:00"/>
        <d v="2019-05-22T00:00:00"/>
        <d v="2019-05-23T00:00:00"/>
        <d v="2019-05-24T00:00:00"/>
        <d v="2019-05-25T00:00:00"/>
        <d v="2019-05-26T00:00:00"/>
        <d v="2019-05-27T00:00:00"/>
        <d v="2019-05-28T00:00:00"/>
        <d v="2019-05-29T00:00:00"/>
        <d v="2019-05-30T00:00:00"/>
        <d v="2019-05-31T00:00:00"/>
        <d v="2019-06-01T00:00:00"/>
        <d v="2019-06-02T00:00:00"/>
        <d v="2019-06-03T00:00:00"/>
        <d v="2019-06-04T00:00:00"/>
        <d v="2019-06-05T00:00:00"/>
        <d v="2019-06-06T00:00:00"/>
        <d v="2019-06-07T00:00:00"/>
        <d v="2019-06-08T00:00:00"/>
        <d v="2019-06-09T00:00:00"/>
        <d v="2019-06-10T00:00:00"/>
        <d v="2019-06-11T00:00:00"/>
        <d v="2019-06-12T00:00:00"/>
        <d v="2019-06-13T00:00:00"/>
        <d v="2019-06-14T00:00:00"/>
        <d v="2019-06-15T00:00:00"/>
        <d v="2019-06-16T00:00:00"/>
        <d v="2019-06-17T00:00:00"/>
        <d v="2019-06-18T00:00:00"/>
        <d v="2019-06-19T00:00:00"/>
        <d v="2019-06-20T00:00:00"/>
        <d v="2019-06-21T00:00:00"/>
        <d v="2019-06-22T00:00:00"/>
        <d v="2019-06-23T00:00:00"/>
        <d v="2019-06-24T00:00:00"/>
        <d v="2019-06-25T00:00:00"/>
        <d v="2019-06-26T00:00:00"/>
        <d v="2019-06-27T00:00:00"/>
        <d v="2019-06-28T00:00:00"/>
        <d v="2019-06-29T00:00:00"/>
        <d v="2019-06-30T00:00:00"/>
        <d v="2019-07-01T00:00:00"/>
        <d v="2019-07-02T00:00:00"/>
        <d v="2019-07-03T00:00:00"/>
        <d v="2019-07-04T00:00:00"/>
        <d v="2019-07-05T00:00:00"/>
        <d v="2019-07-06T00:00:00"/>
        <d v="2019-07-07T00:00:00"/>
        <d v="2019-07-08T00:00:00"/>
        <d v="2019-07-09T00:00:00"/>
        <d v="2019-07-10T00:00:00"/>
        <d v="2019-07-11T00:00:00"/>
        <d v="2019-07-12T00:00:00"/>
        <d v="2019-07-13T00:00:00"/>
        <d v="2019-07-14T00:00:00"/>
        <d v="2019-07-15T00:00:00"/>
        <d v="2019-07-16T00:00:00"/>
        <d v="2019-07-17T00:00:00"/>
        <d v="2019-07-18T00:00:00"/>
        <d v="2019-07-19T00:00:00"/>
        <d v="2019-07-20T00:00:00"/>
        <d v="2019-07-21T00:00:00"/>
        <d v="2019-07-22T00:00:00"/>
        <d v="2019-07-23T00:00:00"/>
        <d v="2019-07-24T00:00:00"/>
        <d v="2019-07-25T00:00:00"/>
        <d v="2019-07-26T00:00:00"/>
        <d v="2019-07-27T00:00:00"/>
        <d v="2019-07-28T00:00:00"/>
        <d v="2019-07-29T00:00:00"/>
        <d v="2019-07-30T00:00:00"/>
        <d v="2019-07-31T00:00:00"/>
        <d v="2019-08-01T00:00:00"/>
        <d v="2019-08-02T00:00:00"/>
        <d v="2019-08-03T00:00:00"/>
        <d v="2019-08-04T00:00:00"/>
        <d v="2019-08-05T00:00:00"/>
        <d v="2019-08-06T00:00:00"/>
        <d v="2019-08-07T00:00:00"/>
        <d v="2019-08-08T00:00:00"/>
        <d v="2019-08-09T00:00:00"/>
        <d v="2019-08-10T00:00:00"/>
        <d v="2019-08-11T00:00:00"/>
        <d v="2019-08-12T00:00:00"/>
        <d v="2019-08-13T00:00:00"/>
        <d v="2019-08-14T00:00:00"/>
        <d v="2019-08-15T00:00:00"/>
        <d v="2019-08-16T00:00:00"/>
        <d v="2019-08-17T00:00:00"/>
        <d v="2019-08-18T00:00:00"/>
        <d v="2019-08-19T00:00:00"/>
        <d v="2019-08-20T00:00:00"/>
        <d v="2019-08-21T00:00:00"/>
        <d v="2019-08-22T00:00:00"/>
        <d v="2019-08-23T00:00:00"/>
        <d v="2019-08-24T00:00:00"/>
        <d v="2019-08-25T00:00:00"/>
        <d v="2019-08-26T00:00:00"/>
        <d v="2019-08-27T00:00:00"/>
        <d v="2019-08-28T00:00:00"/>
        <d v="2019-08-29T00:00:00"/>
        <d v="2019-08-30T00:00:00"/>
        <d v="2019-08-31T00:00:00"/>
        <d v="2019-09-01T00:00:00"/>
        <d v="2019-09-02T00:00:00"/>
        <d v="2019-09-03T00:00:00"/>
        <d v="2019-09-04T00:00:00"/>
        <d v="2019-09-05T00:00:00"/>
        <d v="2019-09-06T00:00:00"/>
        <d v="2019-09-07T00:00:00"/>
        <d v="2019-09-08T00:00:00"/>
        <d v="2019-09-09T00:00:00"/>
        <d v="2019-09-10T00:00:00"/>
        <d v="2019-09-11T00:00:00"/>
        <d v="2019-09-12T00:00:00"/>
        <d v="2019-09-13T00:00:00"/>
        <d v="2019-09-14T00:00:00"/>
        <d v="2019-09-15T00:00:00"/>
        <d v="2019-09-16T00:00:00"/>
        <d v="2019-09-17T00:00:00"/>
        <d v="2019-09-18T00:00:00"/>
        <d v="2019-09-19T00:00:00"/>
        <d v="2019-09-20T00:00:00"/>
        <d v="2019-09-21T00:00:00"/>
        <d v="2019-09-22T00:00:00"/>
        <d v="2019-09-23T00:00:00"/>
        <d v="2019-09-24T00:00:00"/>
        <d v="2019-09-25T00:00:00"/>
        <d v="2019-09-26T00:00:00"/>
        <d v="2019-09-27T00:00:00"/>
        <d v="2019-09-28T00:00:00"/>
        <d v="2019-09-29T00:00:00"/>
        <d v="2019-09-30T00:00:00"/>
        <d v="2019-10-01T00:00:00"/>
        <d v="2019-10-02T00:00:00"/>
        <d v="2019-10-03T00:00:00"/>
        <d v="2019-10-04T00:00:00"/>
        <d v="2019-10-05T00:00:00"/>
        <d v="2019-10-06T00:00:00"/>
        <d v="2019-10-07T00:00:00"/>
        <d v="2019-10-08T00:00:00"/>
        <d v="2019-10-09T00:00:00"/>
        <d v="2019-10-10T00:00:00"/>
        <d v="2019-10-11T00:00:00"/>
        <d v="2019-10-12T00:00:00"/>
        <d v="2019-10-13T00:00:00"/>
        <d v="2019-10-14T00:00:00"/>
        <d v="2019-10-15T00:00:00"/>
        <d v="2019-10-16T00:00:00"/>
        <d v="2019-10-17T00:00:00"/>
        <d v="2019-10-18T00:00:00"/>
        <d v="2019-10-19T00:00:00"/>
        <d v="2019-10-20T00:00:00"/>
        <d v="2019-10-21T00:00:00"/>
        <d v="2019-10-22T00:00:00"/>
        <d v="2019-10-23T00:00:00"/>
        <d v="2019-10-24T00:00:00"/>
        <d v="2019-10-25T00:00:00"/>
        <d v="2019-10-26T00:00:00"/>
        <d v="2019-10-27T00:00:00"/>
        <d v="2019-10-28T00:00:00"/>
        <d v="2019-10-29T00:00:00"/>
        <d v="2019-10-30T00:00:00"/>
        <d v="2019-10-31T00:00:00"/>
        <d v="2019-11-01T00:00:00"/>
        <d v="2019-11-02T00:00:00"/>
        <d v="2019-11-03T00:00:00"/>
        <d v="2019-11-04T00:00:00"/>
        <d v="2019-11-05T00:00:00"/>
        <d v="2019-11-06T00:00:00"/>
        <d v="2019-11-07T00:00:00"/>
        <d v="2019-11-08T00:00:00"/>
        <d v="2019-11-09T00:00:00"/>
        <d v="2019-11-10T00:00:00"/>
        <d v="2019-11-11T00:00:00"/>
        <d v="2019-11-12T00:00:00"/>
        <d v="2019-11-13T00:00:00"/>
        <d v="2019-11-14T00:00:00"/>
        <d v="2019-11-15T00:00:00"/>
        <d v="2019-11-16T00:00:00"/>
        <d v="2019-11-17T00:00:00"/>
        <d v="2019-11-18T00:00:00"/>
        <d v="2019-11-19T00:00:00"/>
        <d v="2019-11-20T00:00:00"/>
        <d v="2019-11-21T00:00:00"/>
        <d v="2019-11-22T00:00:00"/>
        <d v="2019-11-23T00:00:00"/>
        <d v="2019-11-24T00:00:00"/>
        <d v="2019-11-25T00:00:00"/>
        <d v="2019-11-26T00:00:00"/>
        <d v="2019-11-27T00:00:00"/>
        <d v="2019-11-28T00:00:00"/>
        <d v="2019-11-29T00:00:00"/>
        <d v="2019-11-30T00:00:00"/>
        <d v="2019-12-01T00:00:00"/>
        <d v="2019-12-02T00:00:00"/>
        <d v="2019-12-03T00:00:00"/>
        <d v="2019-12-04T00:00:00"/>
        <d v="2019-12-05T00:00:00"/>
        <d v="2019-12-06T00:00:00"/>
        <d v="2019-12-07T00:00:00"/>
        <d v="2019-12-08T00:00:00"/>
        <d v="2019-12-09T00:00:00"/>
        <d v="2019-12-10T00:00:00"/>
        <d v="2019-12-11T00:00:00"/>
        <d v="2019-12-12T00:00:00"/>
        <d v="2019-12-13T00:00:00"/>
        <d v="2019-12-14T00:00:00"/>
        <d v="2019-12-15T00:00:00"/>
        <d v="2019-12-16T00:00:00"/>
        <d v="2019-12-17T00:00:00"/>
        <d v="2019-12-18T00:00:00"/>
        <d v="2019-12-19T00:00:00"/>
        <d v="2019-12-20T00:00:00"/>
        <d v="2019-12-21T00:00:00"/>
        <d v="2019-12-22T00:00:00"/>
        <d v="2019-12-23T00:00:00"/>
        <d v="2019-12-24T00:00:00"/>
        <d v="2019-12-25T00:00:00"/>
        <d v="2019-12-26T00:00:00"/>
        <d v="2019-12-27T00:00:00"/>
        <d v="2019-12-28T00:00:00"/>
        <d v="2019-12-29T00:00:00"/>
        <d v="2019-12-30T00:00:00"/>
        <d v="2019-12-31T00:00:00"/>
        <d v="2020-01-01T00:00:00"/>
        <d v="2020-01-02T00:00:00"/>
        <d v="2020-01-03T00:00:00"/>
        <d v="2020-01-04T00:00:00"/>
        <d v="2020-01-05T00:00:00"/>
        <d v="2020-01-06T00:00:00"/>
        <d v="2020-01-07T00:00:00"/>
        <d v="2020-01-08T00:00:00"/>
        <d v="2020-01-09T00:00:00"/>
        <d v="2020-01-10T00:00:00"/>
        <d v="2020-01-11T00:00:00"/>
        <d v="2020-01-12T00:00:00"/>
        <d v="2020-01-13T00:00:00"/>
        <d v="2020-01-14T00:00:00"/>
        <d v="2020-01-15T00:00:00"/>
        <d v="2020-01-16T00:00:00"/>
        <d v="2020-01-17T00:00:00"/>
        <d v="2020-01-18T00:00:00"/>
        <d v="2020-01-19T00:00:00"/>
        <d v="2020-01-20T00:00:00"/>
        <d v="2020-01-21T00:00:00"/>
        <d v="2020-01-22T00:00:00"/>
        <d v="2020-01-23T00:00:00"/>
        <d v="2020-01-24T00:00:00"/>
        <d v="2020-01-25T00:00:00"/>
        <d v="2020-01-26T00:00:00"/>
        <d v="2020-01-27T00:00:00"/>
        <d v="2020-01-28T00:00:00"/>
        <d v="2020-01-29T00:00:00"/>
        <d v="2020-01-30T00:00:00"/>
        <d v="2020-01-31T00:00:00"/>
        <d v="2020-02-01T00:00:00"/>
        <d v="2020-02-02T00:00:00"/>
        <d v="2020-02-03T00:00:00"/>
        <d v="2020-02-04T00:00:00"/>
        <d v="2020-02-05T00:00:00"/>
        <d v="2020-02-06T00:00:00"/>
        <d v="2020-02-07T00:00:00"/>
        <d v="2020-02-08T00:00:00"/>
        <d v="2020-02-09T00:00:00"/>
        <d v="2020-02-10T00:00:00"/>
        <d v="2020-02-11T00:00:00"/>
        <d v="2020-02-12T00:00:00"/>
        <d v="2020-02-13T00:00:00"/>
        <d v="2020-02-14T00:00:00"/>
        <d v="2020-02-15T00:00:00"/>
        <d v="2020-02-16T00:00:00"/>
        <d v="2020-02-17T00:00:00"/>
        <d v="2020-02-18T00:00:00"/>
        <d v="2020-02-19T00:00:00"/>
        <d v="2020-02-20T00:00:00"/>
        <d v="2020-02-21T00:00:00"/>
        <d v="2020-02-22T00:00:00"/>
        <d v="2020-02-23T00:00:00"/>
        <d v="2020-02-24T00:00:00"/>
        <d v="2020-02-25T00:00:00"/>
        <d v="2020-02-26T00:00:00"/>
        <d v="2020-02-27T00:00:00"/>
        <d v="2020-02-28T00:00:00"/>
        <d v="2020-02-29T00:00:00"/>
        <d v="2020-03-01T00:00:00"/>
        <d v="2020-03-02T00:00:00"/>
        <d v="2020-03-03T00:00:00"/>
        <d v="2020-03-04T00:00:00"/>
        <d v="2020-03-05T00:00:00"/>
        <d v="2020-03-06T00:00:00"/>
        <d v="2020-03-07T00:00:00"/>
        <d v="2020-03-08T00:00:00"/>
        <d v="2020-03-09T00:00:00"/>
        <d v="2020-03-10T00:00:00"/>
        <d v="2020-03-11T00:00:00"/>
        <d v="2020-03-12T00:00:00"/>
        <d v="2020-03-13T00:00:00"/>
        <d v="2020-03-14T00:00:00"/>
        <d v="2020-03-15T00:00:00"/>
        <d v="2020-03-16T00:00:00"/>
        <d v="2020-03-17T00:00:00"/>
        <d v="2020-03-18T00:00:00"/>
        <d v="2020-03-19T00:00:00"/>
        <d v="2020-03-20T00:00:00"/>
        <d v="2020-03-21T00:00:00"/>
        <d v="2020-03-22T00:00:00"/>
        <d v="2020-03-23T00:00:00"/>
        <d v="2020-03-24T00:00:00"/>
        <d v="2020-03-25T00:00:00"/>
        <d v="2020-03-26T00:00:00"/>
        <d v="2020-03-27T00:00:00"/>
        <d v="2020-03-28T00:00:00"/>
        <d v="2020-03-29T00:00:00"/>
        <d v="2020-03-30T00:00:00"/>
        <d v="2020-03-31T00:00:00"/>
        <d v="2020-04-01T00:00:00"/>
        <d v="2020-04-02T00:00:00"/>
        <d v="2020-04-03T00:00:00"/>
        <d v="2020-04-04T00:00:00"/>
        <d v="2020-04-05T00:00:00"/>
        <d v="2020-04-06T00:00:00"/>
        <d v="2020-04-07T00:00:00"/>
        <d v="2020-04-08T00:00:00"/>
        <d v="2020-04-09T00:00:00"/>
        <d v="2020-04-10T00:00:00"/>
        <d v="2020-04-11T00:00:00"/>
        <d v="2020-04-12T00:00:00"/>
        <d v="2020-04-13T00:00:00"/>
        <d v="2020-04-14T00:00:00"/>
        <d v="2020-04-15T00:00:00"/>
        <d v="2020-04-16T00:00:00"/>
        <d v="2020-04-17T00:00:00"/>
        <d v="2020-04-18T00:00:00"/>
        <d v="2020-04-19T00:00:00"/>
        <d v="2020-04-20T00:00:00"/>
        <d v="2020-04-21T00:00:00"/>
        <d v="2020-04-22T00:00:00"/>
        <d v="2020-04-23T00:00:00"/>
        <d v="2020-04-24T00:00:00"/>
        <d v="2020-04-25T00:00:00"/>
        <d v="2020-04-26T00:00:00"/>
        <d v="2020-04-27T00:00:00"/>
        <d v="2020-04-28T00:00:00"/>
        <d v="2020-04-29T00:00:00"/>
        <d v="2020-04-30T00:00:00"/>
        <d v="2020-05-01T00:00:00"/>
        <d v="2020-05-02T00:00:00"/>
        <d v="2020-05-03T00:00:00"/>
        <d v="2020-05-04T00:00:00"/>
        <d v="2020-05-05T00:00:00"/>
        <d v="2020-05-06T00:00:00"/>
        <d v="2020-05-07T00:00:00"/>
        <d v="2020-05-08T00:00:00"/>
        <d v="2020-05-09T00:00:00"/>
        <d v="2020-05-10T00:00:00"/>
        <d v="2020-05-11T00:00:00"/>
        <d v="2020-05-12T00:00:00"/>
        <d v="2020-05-13T00:00:00"/>
        <d v="2020-05-14T00:00:00"/>
        <d v="2020-05-15T00:00:00"/>
        <d v="2020-05-16T00:00:00"/>
        <d v="2020-05-17T00:00:00"/>
        <d v="2020-05-18T00:00:00"/>
        <d v="2020-05-19T00:00:00"/>
        <d v="2020-05-20T00:00:00"/>
        <d v="2020-05-21T00:00:00"/>
        <d v="2020-05-22T00:00:00"/>
        <d v="2020-05-23T00:00:00"/>
        <d v="2020-05-24T00:00:00"/>
        <d v="2020-05-25T00:00:00"/>
        <d v="2020-05-26T00:00:00"/>
        <d v="2020-05-27T00:00:00"/>
        <d v="2020-05-28T00:00:00"/>
        <d v="2020-05-29T00:00:00"/>
        <d v="2020-05-30T00:00:00"/>
        <d v="2020-05-31T00:00:00"/>
        <d v="2020-06-01T00:00:00"/>
        <d v="2020-06-02T00:00:00"/>
        <d v="2020-06-03T00:00:00"/>
        <d v="2020-06-04T00:00:00"/>
        <d v="2020-06-05T00:00:00"/>
        <d v="2020-06-06T00:00:00"/>
        <d v="2020-06-07T00:00:00"/>
        <d v="2020-06-08T00:00:00"/>
        <d v="2020-06-09T00:00:00"/>
        <d v="2020-06-10T00:00:00"/>
        <d v="2020-06-11T00:00:00"/>
        <d v="2020-06-12T00:00:00"/>
        <d v="2020-06-13T00:00:00"/>
        <d v="2020-06-14T00:00:00"/>
        <d v="2020-06-15T00:00:00"/>
        <d v="2020-06-16T00:00:00"/>
        <d v="2020-06-17T00:00:00"/>
        <d v="2020-06-18T00:00:00"/>
        <d v="2020-06-19T00:00:00"/>
        <d v="2020-06-20T00:00:00"/>
        <d v="2020-06-21T00:00:00"/>
        <d v="2020-06-22T00:00:00"/>
        <d v="2020-06-23T00:00:00"/>
        <d v="2020-06-24T00:00:00"/>
        <d v="2020-06-25T00:00:00"/>
        <d v="2020-06-26T00:00:00"/>
        <d v="2020-06-27T00:00:00"/>
        <d v="2020-06-28T00:00:00"/>
        <d v="2020-06-29T00:00:00"/>
        <d v="2020-06-30T00:00:00"/>
        <d v="2020-07-01T00:00:00"/>
        <d v="2020-07-02T00:00:00"/>
        <d v="2020-07-03T00:00:00"/>
        <d v="2020-07-04T00:00:00"/>
        <d v="2020-07-05T00:00:00"/>
        <d v="2020-07-06T00:00:00"/>
        <d v="2020-07-07T00:00:00"/>
        <d v="2020-07-08T00:00:00"/>
        <d v="2020-07-09T00:00:00"/>
        <d v="2020-07-10T00:00:00"/>
        <d v="2020-07-11T00:00:00"/>
        <d v="2020-07-12T00:00:00"/>
        <d v="2020-07-13T00:00:00"/>
        <d v="2020-07-14T00:00:00"/>
        <d v="2020-07-15T00:00:00"/>
        <d v="2020-07-16T00:00:00"/>
        <d v="2020-07-17T00:00:00"/>
        <d v="2020-07-18T00:00:00"/>
        <d v="2020-07-19T00:00:00"/>
        <d v="2020-07-20T00:00:00"/>
        <d v="2020-07-21T00:00:00"/>
        <d v="2020-07-22T00:00:00"/>
        <d v="2020-07-23T00:00:00"/>
        <d v="2020-07-24T00:00:00"/>
        <d v="2020-07-25T00:00:00"/>
        <d v="2020-07-26T00:00:00"/>
        <d v="2020-07-27T00:00:00"/>
        <d v="2020-07-28T00:00:00"/>
        <d v="2020-07-29T00:00:00"/>
        <d v="2020-07-30T00:00:00"/>
        <d v="2020-07-31T00:00:00"/>
        <d v="2020-08-01T00:00:00"/>
        <d v="2020-08-02T00:00:00"/>
        <d v="2020-08-03T00:00:00"/>
        <d v="2020-08-04T00:00:00"/>
        <d v="2020-08-05T00:00:00"/>
        <d v="2020-08-06T00:00:00"/>
        <d v="2020-08-07T00:00:00"/>
        <d v="2020-08-08T00:00:00"/>
        <d v="2020-08-09T00:00:00"/>
        <d v="2020-08-10T00:00:00"/>
        <d v="2020-08-11T00:00:00"/>
        <d v="2020-08-12T00:00:00"/>
        <d v="2020-08-13T00:00:00"/>
        <d v="2020-08-14T00:00:00"/>
        <d v="2020-08-15T00:00:00"/>
        <d v="2020-08-16T00:00:00"/>
        <d v="2020-08-17T00:00:00"/>
        <d v="2020-08-18T00:00:00"/>
        <d v="2020-08-19T00:00:00"/>
        <d v="2020-08-20T00:00:00"/>
        <d v="2020-08-21T00:00:00"/>
        <d v="2020-08-22T00:00:00"/>
        <d v="2020-08-23T00:00:00"/>
        <d v="2020-08-24T00:00:00"/>
        <d v="2020-08-25T00:00:00"/>
        <d v="2020-08-26T00:00:00"/>
        <d v="2020-08-27T00:00:00"/>
        <d v="2020-08-28T00:00:00"/>
        <d v="2020-08-29T00:00:00"/>
        <d v="2020-08-30T00:00:00"/>
        <d v="2020-08-31T00:00:00"/>
        <d v="2020-09-01T00:00:00"/>
        <d v="2020-09-02T00:00:00"/>
        <d v="2020-09-03T00:00:00"/>
        <d v="2020-09-04T00:00:00"/>
        <d v="2020-09-05T00:00:00"/>
        <d v="2020-09-06T00:00:00"/>
        <d v="2020-09-07T00:00:00"/>
        <d v="2020-09-08T00:00:00"/>
        <d v="2020-09-09T00:00:00"/>
        <d v="2020-09-10T00:00:00"/>
        <d v="2020-09-11T00:00:00"/>
        <d v="2020-09-12T00:00:00"/>
        <d v="2020-09-13T00:00:00"/>
        <d v="2020-09-14T00:00:00"/>
        <d v="2020-09-15T00:00:00"/>
        <d v="2020-09-16T00:00:00"/>
        <d v="2020-09-17T00:00:00"/>
        <d v="2020-09-18T00:00:00"/>
        <d v="2020-09-19T00:00:00"/>
        <d v="2020-09-20T00:00:00"/>
        <d v="2020-09-21T00:00:00"/>
        <d v="2020-09-22T00:00:00"/>
        <d v="2020-09-23T00:00:00"/>
        <d v="2020-09-24T00:00:00"/>
        <d v="2020-09-25T00:00:00"/>
        <d v="2020-09-26T00:00:00"/>
        <d v="2020-09-27T00:00:00"/>
        <d v="2020-09-28T00:00:00"/>
        <d v="2020-09-29T00:00:00"/>
        <d v="2020-09-30T00:00:00"/>
        <d v="2020-10-01T00:00:00"/>
        <d v="2020-10-02T00:00:00"/>
        <d v="2020-10-03T00:00:00"/>
        <d v="2020-10-04T00:00:00"/>
        <d v="2020-10-05T00:00:00"/>
        <d v="2020-10-06T00:00:00"/>
        <d v="2020-10-07T00:00:00"/>
        <d v="2020-10-08T00:00:00"/>
        <d v="2020-10-09T00:00:00"/>
        <d v="2020-10-10T00:00:00"/>
        <d v="2020-10-11T00:00:00"/>
        <d v="2020-10-12T00:00:00"/>
        <d v="2020-10-13T00:00:00"/>
        <d v="2020-10-14T00:00:00"/>
        <d v="2020-10-15T00:00:00"/>
        <d v="2020-10-16T00:00:00"/>
        <d v="2020-10-17T00:00:00"/>
        <d v="2020-10-18T00:00:00"/>
        <d v="2020-10-19T00:00:00"/>
        <d v="2020-10-20T00:00:00"/>
        <d v="2020-10-21T00:00:00"/>
        <d v="2020-10-22T00:00:00"/>
        <d v="2020-10-23T00:00:00"/>
        <d v="2020-10-24T00:00:00"/>
        <d v="2020-10-25T00:00:00"/>
        <d v="2020-10-26T00:00:00"/>
        <d v="2020-10-27T00:00:00"/>
        <d v="2020-10-28T00:00:00"/>
        <d v="2020-10-29T00:00:00"/>
        <d v="2020-10-30T00:00:00"/>
        <d v="2020-10-31T00:00:00"/>
        <d v="2020-11-01T00:00:00"/>
        <d v="2020-11-02T00:00:00"/>
        <d v="2020-11-03T00:00:00"/>
        <d v="2020-11-04T00:00:00"/>
        <d v="2020-11-05T00:00:00"/>
        <d v="2020-11-06T00:00:00"/>
        <d v="2020-11-07T00:00:00"/>
        <d v="2020-11-08T00:00:00"/>
        <d v="2020-11-09T00:00:00"/>
        <d v="2020-11-10T00:00:00"/>
        <d v="2020-11-11T00:00:00"/>
        <d v="2020-11-12T00:00:00"/>
        <d v="2020-11-13T00:00:00"/>
        <d v="2020-11-14T00:00:00"/>
        <d v="2020-11-15T00:00:00"/>
        <d v="2020-11-16T00:00:00"/>
        <d v="2020-11-17T00:00:00"/>
        <d v="2020-11-18T00:00:00"/>
        <d v="2020-11-19T00:00:00"/>
        <d v="2020-11-20T00:00:00"/>
        <d v="2020-11-21T00:00:00"/>
        <d v="2020-11-22T00:00:00"/>
        <d v="2020-11-23T00:00:00"/>
        <d v="2020-11-24T00:00:00"/>
        <d v="2020-11-25T00:00:00"/>
        <d v="2020-11-26T00:00:00"/>
        <d v="2020-11-27T00:00:00"/>
        <d v="2020-11-28T00:00:00"/>
        <d v="2020-11-29T00:00:00"/>
        <d v="2020-11-30T00:00:00"/>
        <d v="2020-12-01T00:00:00"/>
        <d v="2020-12-02T00:00:00"/>
        <d v="2020-12-03T00:00:00"/>
        <d v="2020-12-04T00:00:00"/>
        <d v="2020-12-05T00:00:00"/>
        <d v="2020-12-06T00:00:00"/>
        <d v="2020-12-07T00:00:00"/>
        <d v="2020-12-08T00:00:00"/>
        <d v="2020-12-09T00:00:00"/>
        <d v="2020-12-10T00:00:00"/>
        <d v="2020-12-11T00:00:00"/>
        <d v="2020-12-12T00:00:00"/>
        <d v="2020-12-13T00:00:00"/>
        <d v="2020-12-14T00:00:00"/>
        <d v="2020-12-15T00:00:00"/>
        <d v="2020-12-16T00:00:00"/>
        <d v="2020-12-17T00:00:00"/>
        <d v="2020-12-18T00:00:00"/>
        <d v="2020-12-19T00:00:00"/>
        <d v="2020-12-20T00:00:00"/>
        <d v="2020-12-21T00:00:00"/>
        <d v="2020-12-22T00:00:00"/>
        <d v="2020-12-23T00:00:00"/>
        <d v="2020-12-24T00:00:00"/>
        <d v="2020-12-25T00:00:00"/>
        <d v="2020-12-26T00:00:00"/>
        <d v="2020-12-27T00:00:00"/>
        <d v="2020-12-28T00:00:00"/>
        <d v="2020-12-29T00:00:00"/>
        <d v="2020-12-30T00:00:00"/>
        <d v="2020-12-31T00:00:00"/>
        <d v="2021-01-01T00:00:00"/>
        <d v="2021-01-02T00:00:00"/>
        <d v="2021-01-03T00:00:00"/>
        <d v="2021-01-04T00:00:00"/>
        <d v="2021-01-05T00:00:00"/>
        <d v="2021-01-06T00:00:00"/>
        <d v="2021-01-07T00:00:00"/>
        <d v="2021-01-08T00:00:00"/>
        <d v="2021-01-09T00:00:00"/>
        <d v="2021-01-10T00:00:00"/>
        <d v="2021-01-11T00:00:00"/>
        <d v="2021-01-12T00:00:00"/>
        <d v="2021-01-13T00:00:00"/>
        <d v="2021-01-14T00:00:00"/>
        <d v="2021-01-15T00:00:00"/>
        <d v="2021-01-16T00:00:00"/>
        <d v="2021-01-17T00:00:00"/>
        <d v="2021-01-18T00:00:00"/>
        <d v="2021-01-19T00:00:00"/>
        <d v="2021-01-20T00:00:00"/>
        <d v="2021-01-21T00:00:00"/>
        <d v="2021-01-22T00:00:00"/>
        <d v="2021-01-23T00:00:00"/>
        <d v="2021-01-24T00:00:00"/>
        <d v="2021-01-25T00:00:00"/>
        <d v="2021-01-26T00:00:00"/>
        <d v="2021-01-27T00:00:00"/>
        <d v="2021-01-28T00:00:00"/>
        <d v="2021-01-29T00:00:00"/>
        <d v="2021-01-30T00:00:00"/>
        <d v="2021-01-31T00:00:00"/>
        <d v="2021-02-01T00:00:00"/>
        <d v="2021-02-02T00:00:00"/>
        <d v="2021-02-03T00:00:00"/>
        <d v="2021-02-04T00:00:00"/>
        <d v="2021-02-05T00:00:00"/>
        <d v="2021-02-06T00:00:00"/>
        <d v="2021-02-07T00:00:00"/>
        <d v="2021-02-08T00:00:00"/>
        <d v="2021-02-09T00:00:00"/>
        <d v="2021-02-10T00:00:00"/>
        <d v="2021-02-11T00:00:00"/>
        <d v="2021-02-12T00:00:00"/>
        <d v="2021-02-13T00:00:00"/>
        <d v="2021-02-14T00:00:00"/>
        <d v="2021-02-15T00:00:00"/>
        <d v="2021-02-16T00:00:00"/>
        <d v="2021-02-17T00:00:00"/>
        <d v="2021-02-18T00:00:00"/>
        <d v="2021-02-19T00:00:00"/>
        <d v="2021-02-20T00:00:00"/>
        <d v="2021-02-21T00:00:00"/>
        <d v="2021-02-22T00:00:00"/>
        <d v="2021-02-23T00:00:00"/>
        <d v="2021-02-24T00:00:00"/>
        <d v="2021-02-25T00:00:00"/>
        <d v="2021-02-26T00:00:00"/>
        <d v="2021-02-27T00:00:00"/>
        <d v="2021-02-28T00:00:00"/>
        <d v="2021-03-01T00:00:00"/>
        <d v="2021-03-02T00:00:00"/>
        <d v="2021-03-03T00:00:00"/>
        <d v="2021-03-04T00:00:00"/>
        <d v="2021-03-05T00:00:00"/>
        <d v="2021-03-06T00:00:00"/>
        <d v="2021-03-07T00:00:00"/>
        <d v="2021-03-08T00:00:00"/>
        <d v="2021-03-09T00:00:00"/>
        <d v="2021-03-10T00:00:00"/>
        <d v="2021-03-11T00:00:00"/>
        <d v="2021-03-12T00:00:00"/>
        <d v="2021-03-13T00:00:00"/>
        <d v="2021-03-14T00:00:00"/>
        <d v="2021-03-15T00:00:00"/>
        <d v="2021-03-16T00:00:00"/>
        <d v="2021-03-17T00:00:00"/>
        <d v="2021-03-18T00:00:00"/>
        <d v="2021-03-19T00:00:00"/>
        <d v="2021-03-20T00:00:00"/>
        <d v="2021-03-21T00:00:00"/>
        <d v="2021-03-22T00:00:00"/>
        <d v="2021-03-23T00:00:00"/>
        <d v="2021-03-24T00:00:00"/>
        <d v="2021-03-25T00:00:00"/>
        <d v="2021-03-26T00:00:00"/>
        <d v="2021-03-27T00:00:00"/>
        <d v="2021-03-28T00:00:00"/>
        <d v="2021-03-29T00:00:00"/>
        <d v="2021-03-30T00:00:00"/>
        <d v="2021-03-31T00:00:00"/>
        <d v="2021-04-01T00:00:00"/>
        <d v="2021-04-02T00:00:00"/>
        <d v="2021-04-03T00:00:00"/>
        <d v="2021-04-04T00:00:00"/>
        <d v="2021-04-05T00:00:00"/>
        <d v="2021-04-06T00:00:00"/>
        <d v="2021-04-07T00:00:00"/>
        <d v="2021-04-08T00:00:00"/>
        <d v="2021-04-09T00:00:00"/>
        <d v="2021-04-10T00:00:00"/>
        <d v="2021-04-11T00:00:00"/>
        <d v="2021-04-12T00:00:00"/>
        <d v="2021-04-13T00:00:00"/>
        <d v="2021-04-14T00:00:00"/>
        <d v="2021-04-15T00:00:00"/>
        <d v="2021-04-16T00:00:00"/>
        <d v="2021-04-17T00:00:00"/>
        <d v="2021-04-18T00:00:00"/>
        <d v="2021-04-19T00:00:00"/>
        <d v="2021-04-20T00:00:00"/>
        <d v="2021-04-21T00:00:00"/>
        <d v="2021-04-22T00:00:00"/>
        <d v="2021-04-23T00:00:00"/>
        <d v="2021-04-24T00:00:00"/>
        <d v="2021-04-25T00:00:00"/>
        <d v="2021-04-26T00:00:00"/>
        <d v="2021-04-27T00:00:00"/>
        <d v="2021-04-28T00:00:00"/>
        <d v="2021-04-29T00:00:00"/>
        <d v="2021-04-30T00:00:00"/>
        <d v="2021-05-01T00:00:00"/>
        <d v="2021-05-02T00:00:00"/>
        <d v="2021-05-03T00:00:00"/>
        <d v="2021-05-04T00:00:00"/>
        <d v="2021-05-05T00:00:00"/>
        <d v="2021-05-06T00:00:00"/>
        <d v="2021-05-07T00:00:00"/>
        <d v="2021-05-08T00:00:00"/>
        <d v="2021-05-09T00:00:00"/>
        <d v="2021-05-10T00:00:00"/>
        <d v="2021-05-11T00:00:00"/>
        <d v="2021-05-12T00:00:00"/>
        <d v="2021-05-13T00:00:00"/>
        <d v="2021-05-14T00:00:00"/>
        <d v="2021-05-15T00:00:00"/>
        <d v="2021-05-16T00:00:00"/>
        <d v="2021-05-17T00:00:00"/>
        <d v="2021-05-18T00:00:00"/>
        <d v="2021-05-19T00:00:00"/>
        <d v="2021-05-20T00:00:00"/>
        <d v="2021-05-21T00:00:00"/>
        <d v="2021-05-22T00:00:00"/>
        <d v="2021-05-23T00:00:00"/>
        <d v="2021-05-24T00:00:00"/>
        <d v="2021-05-25T00:00:00"/>
        <d v="2021-05-26T00:00:00"/>
        <d v="2021-05-27T00:00:00"/>
        <d v="2021-05-28T00:00:00"/>
        <d v="2021-05-29T00:00:00"/>
        <d v="2021-05-30T00:00:00"/>
        <d v="2021-05-31T00:00:00"/>
        <d v="2021-06-01T00:00:00"/>
        <d v="2021-06-02T00:00:00"/>
        <d v="2021-06-03T00:00:00"/>
        <d v="2021-06-04T00:00:00"/>
        <d v="2021-06-05T00:00:00"/>
        <d v="2021-06-06T00:00:00"/>
        <d v="2021-06-07T00:00:00"/>
        <d v="2021-06-08T00:00:00"/>
        <d v="2021-06-09T00:00:00"/>
        <d v="2021-06-10T00:00:00"/>
        <d v="2021-06-11T00:00:00"/>
        <d v="2021-06-12T00:00:00"/>
        <d v="2021-06-13T00:00:00"/>
        <d v="2021-06-14T00:00:00"/>
        <d v="2021-06-15T00:00:00"/>
        <d v="2021-06-16T00:00:00"/>
        <d v="2021-06-17T00:00:00"/>
        <d v="2021-06-18T00:00:00"/>
        <d v="2021-06-19T00:00:00"/>
        <d v="2021-06-20T00:00:00"/>
        <d v="2021-06-21T00:00:00"/>
        <d v="2021-06-22T00:00:00"/>
        <d v="2021-06-23T00:00:00"/>
        <d v="2021-06-24T00:00:00"/>
        <d v="2021-06-25T00:00:00"/>
        <d v="2021-06-26T00:00:00"/>
        <d v="2021-06-27T00:00:00"/>
        <d v="2021-06-28T00:00:00"/>
        <d v="2021-06-29T00:00:00"/>
        <d v="2021-06-30T00:00:00"/>
        <d v="2021-07-01T00:00:00"/>
        <d v="2021-07-02T00:00:00"/>
        <d v="2021-07-03T00:00:00"/>
        <d v="2021-07-04T00:00:00"/>
        <d v="2021-07-05T00:00:00"/>
        <d v="2021-07-06T00:00:00"/>
        <d v="2021-07-07T00:00:00"/>
        <d v="2021-07-08T00:00:00"/>
        <d v="2021-07-09T00:00:00"/>
        <d v="2021-07-10T00:00:00"/>
        <d v="2021-07-11T00:00:00"/>
        <d v="2021-07-12T00:00:00"/>
        <d v="2021-07-13T00:00:00"/>
        <d v="2021-07-14T00:00:00"/>
        <d v="2021-07-15T00:00:00"/>
        <d v="2021-07-16T00:00:00"/>
        <d v="2021-07-17T00:00:00"/>
        <d v="2021-07-18T00:00:00"/>
        <d v="2021-07-19T00:00:00"/>
        <d v="2021-07-20T00:00:00"/>
        <d v="2021-07-21T00:00:00"/>
        <d v="2021-07-22T00:00:00"/>
        <d v="2021-07-23T00:00:00"/>
        <d v="2021-07-24T00:00:00"/>
        <d v="2021-07-25T00:00:00"/>
        <d v="2021-07-26T00:00:00"/>
        <d v="2021-07-27T00:00:00"/>
        <d v="2021-07-28T00:00:00"/>
        <d v="2021-07-29T00:00:00"/>
        <d v="2021-07-30T00:00:00"/>
        <d v="2021-07-31T00:00:00"/>
        <d v="2021-08-01T00:00:00"/>
        <d v="2021-08-02T00:00:00"/>
        <d v="2021-08-03T00:00:00"/>
        <d v="2021-08-04T00:00:00"/>
        <d v="2021-08-05T00:00:00"/>
        <d v="2021-08-06T00:00:00"/>
        <d v="2021-08-07T00:00:00"/>
        <d v="2021-08-08T00:00:00"/>
        <d v="2021-08-09T00:00:00"/>
        <d v="2021-08-10T00:00:00"/>
        <d v="2021-08-11T00:00:00"/>
        <d v="2021-08-12T00:00:00"/>
        <d v="2021-08-13T00:00:00"/>
        <d v="2021-08-14T00:00:00"/>
        <d v="2021-08-15T00:00:00"/>
        <d v="2021-08-16T00:00:00"/>
        <d v="2021-08-17T00:00:00"/>
        <d v="2021-08-18T00:00:00"/>
        <d v="2021-08-19T00:00:00"/>
        <d v="2021-08-20T00:00:00"/>
        <d v="2021-08-21T00:00:00"/>
        <d v="2021-08-22T00:00:00"/>
        <d v="2021-08-23T00:00:00"/>
        <d v="2021-08-24T00:00:00"/>
        <d v="2021-08-25T00:00:00"/>
        <d v="2021-08-26T00:00:00"/>
        <d v="2021-08-27T00:00:00"/>
        <d v="2021-08-28T00:00:00"/>
        <d v="2021-08-29T00:00:00"/>
        <d v="2021-08-30T00:00:00"/>
        <d v="2021-08-31T00:00:00"/>
        <d v="2021-09-01T00:00:00"/>
        <d v="2021-09-02T00:00:00"/>
        <d v="2021-09-03T00:00:00"/>
        <d v="2021-09-04T00:00:00"/>
        <d v="2021-09-05T00:00:00"/>
        <d v="2021-09-06T00:00:00"/>
        <d v="2021-09-07T00:00:00"/>
        <d v="2021-09-08T00:00:00"/>
        <d v="2021-09-09T00:00:00"/>
        <d v="2021-09-10T00:00:00"/>
        <d v="2021-09-11T00:00:00"/>
        <d v="2021-09-12T00:00:00"/>
        <d v="2021-09-13T00:00:00"/>
        <d v="2021-09-14T00:00:00"/>
        <d v="2021-09-15T00:00:00"/>
        <d v="2021-09-16T00:00:00"/>
        <d v="2021-09-17T00:00:00"/>
        <d v="2021-09-18T00:00:00"/>
        <d v="2021-09-19T00:00:00"/>
        <d v="2021-09-20T00:00:00"/>
        <d v="2021-09-21T00:00:00"/>
        <d v="2021-09-22T00:00:00"/>
        <d v="2021-09-23T00:00:00"/>
        <d v="2021-09-24T00:00:00"/>
        <d v="2021-09-25T00:00:00"/>
        <d v="2021-09-26T00:00:00"/>
        <d v="2021-09-27T00:00:00"/>
        <d v="2021-09-28T00:00:00"/>
        <d v="2021-09-29T00:00:00"/>
        <d v="2021-09-30T00:00:00"/>
        <d v="2021-10-01T00:00:00"/>
        <d v="2021-10-02T00:00:00"/>
        <d v="2021-10-03T00:00:00"/>
        <d v="2021-10-04T00:00:00"/>
        <d v="2021-10-05T00:00:00"/>
        <d v="2021-10-06T00:00:00"/>
        <d v="2021-10-07T00:00:00"/>
        <d v="2021-10-08T00:00:00"/>
        <d v="2021-10-09T00:00:00"/>
        <d v="2021-10-10T00:00:00"/>
        <d v="2021-10-11T00:00:00"/>
        <d v="2021-10-12T00:00:00"/>
        <d v="2021-10-13T00:00:00"/>
        <d v="2021-10-14T00:00:00"/>
        <d v="2021-10-15T00:00:00"/>
        <d v="2021-10-16T00:00:00"/>
        <d v="2021-10-17T00:00:00"/>
        <d v="2021-10-18T00:00:00"/>
        <d v="2021-10-19T00:00:00"/>
        <d v="2021-10-20T00:00:00"/>
        <d v="2021-10-21T00:00:00"/>
        <d v="2021-10-22T00:00:00"/>
        <d v="2021-10-23T00:00:00"/>
        <d v="2021-10-24T00:00:00"/>
        <d v="2021-10-25T00:00:00"/>
        <d v="2021-10-26T00:00:00"/>
        <d v="2021-10-27T00:00:00"/>
        <d v="2021-10-28T00:00:00"/>
        <d v="2021-10-29T00:00:00"/>
        <d v="2021-10-30T00:00:00"/>
        <d v="2021-10-31T00:00:00"/>
        <d v="2021-11-01T00:00:00"/>
        <d v="2021-11-02T00:00:00"/>
        <d v="2021-11-03T00:00:00"/>
        <d v="2021-11-04T00:00:00"/>
        <d v="2021-11-05T00:00:00"/>
        <d v="2021-11-06T00:00:00"/>
        <d v="2021-11-07T00:00:00"/>
        <d v="2021-11-08T00:00:00"/>
        <d v="2021-11-09T00:00:00"/>
        <d v="2021-11-10T00:00:00"/>
        <d v="2021-11-11T00:00:00"/>
        <d v="2021-11-12T00:00:00"/>
        <d v="2021-11-13T00:00:00"/>
        <d v="2021-11-14T00:00:00"/>
        <d v="2021-11-15T00:00:00"/>
        <d v="2021-11-16T00:00:00"/>
        <d v="2021-11-17T00:00:00"/>
        <d v="2021-11-18T00:00:00"/>
        <d v="2021-11-19T00:00:00"/>
        <d v="2021-11-20T00:00:00"/>
        <d v="2021-11-21T00:00:00"/>
        <d v="2021-11-22T00:00:00"/>
        <d v="2021-11-23T00:00:00"/>
        <d v="2021-11-24T00:00:00"/>
        <d v="2021-11-25T00:00:00"/>
        <d v="2021-11-26T00:00:00"/>
        <d v="2021-11-27T00:00:00"/>
        <d v="2021-11-28T00:00:00"/>
        <d v="2021-11-29T00:00:00"/>
        <d v="2021-11-30T00:00:00"/>
        <d v="2021-12-01T00:00:00"/>
        <d v="2021-12-02T00:00:00"/>
        <d v="2021-12-03T00:00:00"/>
        <d v="2021-12-04T00:00:00"/>
        <d v="2021-12-05T00:00:00"/>
        <d v="2021-12-06T00:00:00"/>
        <d v="2021-12-07T00:00:00"/>
        <d v="2021-12-08T00:00:00"/>
        <d v="2021-12-09T00:00:00"/>
        <d v="2021-12-10T00:00:00"/>
        <d v="2021-12-11T00:00:00"/>
        <d v="2021-12-12T00:00:00"/>
        <d v="2021-12-13T00:00:00"/>
        <d v="2021-12-14T00:00:00"/>
        <d v="2021-12-15T00:00:00"/>
        <d v="2021-12-16T00:00:00"/>
        <d v="2021-12-17T00:00:00"/>
        <d v="2021-12-18T00:00:00"/>
        <d v="2021-12-19T00:00:00"/>
        <d v="2021-12-20T00:00:00"/>
        <d v="2021-12-21T00:00:00"/>
        <d v="2021-12-22T00:00:00"/>
        <d v="2021-12-23T00:00:00"/>
        <d v="2021-12-24T00:00:00"/>
        <d v="2021-12-25T00:00:00"/>
        <d v="2021-12-26T00:00:00"/>
        <d v="2021-12-27T00:00:00"/>
        <d v="2021-12-28T00:00:00"/>
        <d v="2021-12-29T00:00:00"/>
        <d v="2021-12-30T00:00:00"/>
        <d v="2021-12-31T00:00:00"/>
        <d v="2022-01-01T00:00:00"/>
        <d v="2022-01-02T00:00:00"/>
        <d v="2022-01-03T00:00:00"/>
        <d v="2022-01-04T00:00:00"/>
        <d v="2022-01-05T00:00:00"/>
        <d v="2022-01-06T00:00:00"/>
        <d v="2022-01-07T00:00:00"/>
        <d v="2022-01-08T00:00:00"/>
        <d v="2022-01-09T00:00:00"/>
        <d v="2022-01-10T00:00:00"/>
        <d v="2022-01-11T00:00:00"/>
        <d v="2022-01-12T00:00:00"/>
        <d v="2022-01-13T00:00:00"/>
        <d v="2022-01-14T00:00:00"/>
        <d v="2022-01-15T00:00:00"/>
        <d v="2022-01-16T00:00:00"/>
        <d v="2022-01-17T00:00:00"/>
        <d v="2022-01-18T00:00:00"/>
        <d v="2022-01-19T00:00:00"/>
        <d v="2022-01-20T00:00:00"/>
        <d v="2022-01-21T00:00:00"/>
        <d v="2022-01-22T00:00:00"/>
        <d v="2022-01-23T00:00:00"/>
        <d v="2022-01-24T00:00:00"/>
        <d v="2022-01-25T00:00:00"/>
        <d v="2022-01-26T00:00:00"/>
        <d v="2022-01-27T00:00:00"/>
        <d v="2022-01-28T00:00:00"/>
        <d v="2022-01-29T00:00:00"/>
        <d v="2022-01-30T00:00:00"/>
        <d v="2022-01-31T00:00:00"/>
        <d v="2022-02-01T00:00:00"/>
        <d v="2022-02-02T00:00:00"/>
        <d v="2022-02-03T00:00:00"/>
        <d v="2022-02-04T00:00:00"/>
        <d v="2022-02-05T00:00:00"/>
        <d v="2022-02-06T00:00:00"/>
        <d v="2022-02-07T00:00:00"/>
        <d v="2022-02-08T00:00:00"/>
        <d v="2022-02-09T00:00:00"/>
        <d v="2022-02-10T00:00:00"/>
        <d v="2022-02-11T00:00:00"/>
        <d v="2022-02-12T00:00:00"/>
        <d v="2022-02-13T00:00:00"/>
        <d v="2022-02-14T00:00:00"/>
        <d v="2022-02-15T00:00:00"/>
        <d v="2022-02-16T00:00:00"/>
        <d v="2022-02-17T00:00:00"/>
        <d v="2022-02-18T00:00:00"/>
        <d v="2022-02-19T00:00:00"/>
        <d v="2022-02-20T00:00:00"/>
        <d v="2022-02-21T00:00:00"/>
        <d v="2022-02-22T00:00:00"/>
        <d v="2022-02-23T00:00:00"/>
        <d v="2022-02-24T00:00:00"/>
        <d v="2022-02-25T00:00:00"/>
        <d v="2022-02-26T00:00:00"/>
        <d v="2022-02-27T00:00:00"/>
        <d v="2022-02-28T00:00:00"/>
        <d v="2022-03-01T00:00:00"/>
        <d v="2022-03-02T00:00:00"/>
        <d v="2022-03-03T00:00:00"/>
        <d v="2022-03-04T00:00:00"/>
        <d v="2022-03-05T00:00:00"/>
        <d v="2022-03-06T00:00:00"/>
        <d v="2022-03-07T00:00:00"/>
        <d v="2022-03-08T00:00:00"/>
        <d v="2022-03-09T00:00:00"/>
        <d v="2022-03-10T00:00:00"/>
        <d v="2022-03-11T00:00:00"/>
        <d v="2022-03-12T00:00:00"/>
        <d v="2022-03-13T00:00:00"/>
        <d v="2022-03-14T00:00:00"/>
        <d v="2022-03-15T00:00:00"/>
        <d v="2022-03-16T00:00:00"/>
        <d v="2022-03-17T00:00:00"/>
        <d v="2022-03-18T00:00:00"/>
        <d v="2022-03-19T00:00:00"/>
        <d v="2022-03-20T00:00:00"/>
        <d v="2022-03-21T00:00:00"/>
        <d v="2022-03-22T00:00:00"/>
        <d v="2022-03-23T00:00:00"/>
        <d v="2022-03-24T00:00:00"/>
        <d v="2022-03-25T00:00:00"/>
        <d v="2022-03-26T00:00:00"/>
        <d v="2022-03-27T00:00:00"/>
        <d v="2022-03-28T00:00:00"/>
        <d v="2022-03-29T00:00:00"/>
        <d v="2022-03-30T00:00:00"/>
        <d v="2022-03-31T00:00:00"/>
        <d v="2022-04-01T00:00:00"/>
        <d v="2022-04-02T00:00:00"/>
        <d v="2022-04-03T00:00:00"/>
        <d v="2022-04-04T00:00:00"/>
        <d v="2022-04-05T00:00:00"/>
        <d v="2022-04-06T00:00:00"/>
        <d v="2022-04-07T00:00:00"/>
        <d v="2022-04-08T00:00:00"/>
        <d v="2022-04-09T00:00:00"/>
        <d v="2022-04-10T00:00:00"/>
        <d v="2022-04-11T00:00:00"/>
        <d v="2022-04-12T00:00:00"/>
        <d v="2022-04-13T00:00:00"/>
        <d v="2022-04-14T00:00:00"/>
        <d v="2022-04-15T00:00:00"/>
        <d v="2022-04-16T00:00:00"/>
        <d v="2022-04-17T00:00:00"/>
        <d v="2022-04-18T00:00:00"/>
        <d v="2022-04-19T00:00:00"/>
        <d v="2022-04-20T00:00:00"/>
        <d v="2022-04-21T00:00:00"/>
        <d v="2022-04-22T00:00:00"/>
        <d v="2022-04-23T00:00:00"/>
        <d v="2022-04-24T00:00:00"/>
        <d v="2022-04-25T00:00:00"/>
        <d v="2022-04-26T00:00:00"/>
        <d v="2022-04-27T00:00:00"/>
        <d v="2022-04-28T00:00:00"/>
        <d v="2022-04-29T00:00:00"/>
        <d v="2022-04-30T00:00:00"/>
        <d v="2022-05-01T00:00:00"/>
        <d v="2022-05-02T00:00:00"/>
        <d v="2022-05-03T00:00:00"/>
        <d v="2022-05-04T00:00:00"/>
        <d v="2022-05-05T00:00:00"/>
        <d v="2022-05-06T00:00:00"/>
        <d v="2022-05-07T00:00:00"/>
        <d v="2022-05-08T00:00:00"/>
        <d v="2022-05-09T00:00:00"/>
        <d v="2022-05-10T00:00:00"/>
        <d v="2022-05-11T00:00:00"/>
        <d v="2022-05-12T00:00:00"/>
        <d v="2022-05-13T00:00:00"/>
        <d v="2022-05-14T00:00:00"/>
        <d v="2022-05-15T00:00:00"/>
        <d v="2022-05-16T00:00:00"/>
        <d v="2022-05-17T00:00:00"/>
        <d v="2022-05-18T00:00:00"/>
        <d v="2022-05-19T00:00:00"/>
        <d v="2022-05-20T00:00:00"/>
        <d v="2022-05-21T00:00:00"/>
        <d v="2022-05-22T00:00:00"/>
        <d v="2022-05-23T00:00:00"/>
        <d v="2022-05-24T00:00:00"/>
        <d v="2022-05-25T00:00:00"/>
        <d v="2022-05-26T00:00:00"/>
        <d v="2022-05-27T00:00:00"/>
        <d v="2022-05-28T00:00:00"/>
        <d v="2022-05-29T00:00:00"/>
        <d v="2022-05-30T00:00:00"/>
        <d v="2022-05-31T00:00:00"/>
        <d v="2022-06-01T00:00:00"/>
        <d v="2022-06-02T00:00:00"/>
        <d v="2022-06-03T00:00:00"/>
        <d v="2022-06-04T00:00:00"/>
        <d v="2022-06-05T00:00:00"/>
        <d v="2022-06-06T00:00:00"/>
        <d v="2022-06-07T00:00:00"/>
        <d v="2022-06-08T00:00:00"/>
        <d v="2022-06-09T00:00:00"/>
        <d v="2022-06-10T00:00:00"/>
        <d v="2022-06-11T00:00:00"/>
        <d v="2022-06-12T00:00:00"/>
        <d v="2022-06-13T00:00:00"/>
        <d v="2022-06-14T00:00:00"/>
        <d v="2022-06-15T00:00:00"/>
        <d v="2022-06-16T00:00:00"/>
        <d v="2022-06-17T00:00:00"/>
        <d v="2022-06-18T00:00:00"/>
        <d v="2022-06-19T00:00:00"/>
        <d v="2022-06-20T00:00:00"/>
        <d v="2022-06-21T00:00:00"/>
        <d v="2022-06-22T00:00:00"/>
        <d v="2022-06-23T00:00:00"/>
        <d v="2022-06-24T00:00:00"/>
        <d v="2022-06-25T00:00:00"/>
        <d v="2022-06-26T00:00:00"/>
        <d v="2022-06-27T00:00:00"/>
        <d v="2022-06-28T00:00:00"/>
        <d v="2022-06-29T00:00:00"/>
        <d v="2022-06-30T00:00:00"/>
        <d v="2022-07-01T00:00:00"/>
        <d v="2022-07-02T00:00:00"/>
        <d v="2022-07-03T00:00:00"/>
        <d v="2022-07-04T00:00:00"/>
        <d v="2022-07-05T00:00:00"/>
        <d v="2022-07-06T00:00:00"/>
        <d v="2022-07-07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5T00:00:00"/>
        <d v="2022-07-16T00:00:00"/>
        <d v="2022-07-17T00:00:00"/>
        <d v="2022-07-18T00:00:00"/>
        <d v="2022-07-19T00:00:00"/>
        <d v="2022-07-20T00:00:00"/>
        <d v="2022-07-21T00:00:00"/>
        <d v="2022-07-22T00:00:00"/>
        <d v="2022-07-23T00:00:00"/>
        <d v="2022-07-24T00:00:00"/>
        <d v="2022-07-25T00:00:00"/>
        <d v="2022-07-26T00:00:00"/>
        <d v="2022-07-27T00:00:00"/>
        <d v="2022-07-28T00:00:00"/>
        <d v="2022-07-29T00:00:00"/>
        <d v="2022-07-30T00:00:00"/>
        <d v="2022-07-31T00:00:00"/>
        <d v="2022-08-01T00:00:00"/>
        <d v="2022-08-02T00:00:00"/>
        <d v="2022-08-03T00:00:00"/>
        <d v="2022-08-04T00:00:00"/>
        <d v="2022-08-05T00:00:00"/>
        <d v="2022-08-06T00:00:00"/>
        <d v="2022-08-07T00:00:00"/>
        <d v="2022-08-08T00:00:00"/>
        <d v="2022-08-09T00:00:00"/>
        <d v="2022-08-10T00:00:00"/>
        <d v="2022-08-11T00:00:00"/>
        <d v="2022-08-12T00:00:00"/>
        <d v="2022-08-13T00:00:00"/>
        <d v="2022-08-14T00:00:00"/>
        <d v="2022-08-15T00:00:00"/>
        <d v="2022-08-16T00:00:00"/>
        <d v="2022-08-17T00:00:00"/>
        <d v="2022-08-18T00:00:00"/>
        <d v="2022-08-19T00:00:00"/>
        <d v="2022-08-20T00:00:00"/>
        <d v="2022-08-21T00:00:00"/>
        <d v="2022-08-22T00:00:00"/>
        <d v="2022-08-23T00:00:00"/>
        <d v="2022-08-24T00:00:00"/>
        <d v="2022-08-25T00:00:00"/>
        <d v="2022-08-26T00:00:00"/>
        <d v="2022-08-27T00:00:00"/>
        <d v="2022-08-28T00:00:00"/>
        <d v="2022-08-29T00:00:00"/>
        <d v="2022-08-30T00:00:00"/>
        <d v="2022-08-31T00:00:00"/>
        <d v="2022-09-01T00:00:00"/>
        <d v="2022-09-02T00:00:00"/>
        <d v="2022-09-03T00:00:00"/>
        <d v="2022-09-04T00:00:00"/>
        <d v="2022-09-05T00:00:00"/>
        <d v="2022-09-06T00:00:00"/>
        <d v="2022-09-07T00:00:00"/>
        <d v="2022-09-08T00:00:00"/>
        <d v="2022-09-09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09-17T00:00:00"/>
        <d v="2022-09-18T00:00:00"/>
        <d v="2022-09-19T00:00:00"/>
        <d v="2022-09-20T00:00:00"/>
        <d v="2022-09-21T00:00:00"/>
        <d v="2022-09-22T00:00:00"/>
        <d v="2022-09-23T00:00:00"/>
        <d v="2022-09-24T00:00:00"/>
        <d v="2022-09-25T00:00:00"/>
        <d v="2022-09-26T00:00:00"/>
        <d v="2022-09-27T00:00:00"/>
        <d v="2022-09-28T00:00:00"/>
        <d v="2022-09-29T00:00:00"/>
        <d v="2022-09-30T00:00:00"/>
        <d v="2022-10-01T00:00:00"/>
        <d v="2022-10-02T00:00:00"/>
        <d v="2022-10-03T00:00:00"/>
        <d v="2022-10-04T00:00:00"/>
        <d v="2022-10-05T00:00:00"/>
        <d v="2022-10-06T00:00:00"/>
        <d v="2022-10-07T00:00:00"/>
        <d v="2022-10-08T00:00:00"/>
        <d v="2022-10-09T00:00:00"/>
        <d v="2022-10-10T00:00:00"/>
        <d v="2022-10-11T00:00:00"/>
        <d v="2022-10-12T00:00:00"/>
        <d v="2022-10-13T00:00:00"/>
        <d v="2022-10-14T00:00:00"/>
        <d v="2022-10-15T00:00:00"/>
        <d v="2022-10-16T00:00:00"/>
        <d v="2022-10-17T00:00:00"/>
        <d v="2022-10-18T00:00:00"/>
        <d v="2022-10-19T00:00:00"/>
        <d v="2022-10-20T00:00:00"/>
        <d v="2022-10-21T00:00:00"/>
        <d v="2022-10-22T00:00:00"/>
        <d v="2022-10-23T00:00:00"/>
        <d v="2022-10-24T00:00:00"/>
        <d v="2022-10-25T00:00:00"/>
        <d v="2022-10-26T00:00:00"/>
        <d v="2022-10-27T00:00:00"/>
        <d v="2022-10-28T00:00:00"/>
        <d v="2022-10-29T00:00:00"/>
        <d v="2022-10-30T00:00:00"/>
        <d v="2022-10-31T00:00:00"/>
        <d v="2022-11-01T00:00:00"/>
        <d v="2022-11-02T00:00:00"/>
        <d v="2022-11-03T00:00:00"/>
        <d v="2022-11-04T00:00:00"/>
        <d v="2022-11-05T00:00:00"/>
        <d v="2022-11-06T00:00:00"/>
        <d v="2022-11-07T00:00:00"/>
        <d v="2022-11-08T00:00:00"/>
        <d v="2022-11-09T00:00:00"/>
        <d v="2022-11-10T00:00:00"/>
        <d v="2022-11-11T00:00:00"/>
        <d v="2022-11-12T00:00:00"/>
        <d v="2022-11-13T00:00:00"/>
        <d v="2022-11-14T00:00:00"/>
        <d v="2022-11-15T00:00:00"/>
        <d v="2022-11-16T00:00:00"/>
        <d v="2022-11-17T00:00:00"/>
        <d v="2022-11-18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1-30T00:00:00"/>
        <d v="2022-12-01T00:00:00"/>
        <d v="2022-12-02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  <d v="2022-12-30T00:00:00"/>
        <d v="2022-12-31T00:00:00"/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</sharedItems>
      <fieldGroup par="3" base="0">
        <rangePr groupBy="months" startDate="2009-01-01T00:00:00" endDate="2023-03-20T00:00:00"/>
        <groupItems count="14">
          <s v="&lt;01-01-09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0-03-23"/>
        </groupItems>
      </fieldGroup>
    </cacheField>
    <cacheField name="Débit" numFmtId="0">
      <sharedItems containsSemiMixedTypes="0" containsString="0" containsNumber="1" minValue="0.1" maxValue="448.5"/>
    </cacheField>
    <cacheField name="Trimestres" numFmtId="0" databaseField="0">
      <fieldGroup base="0">
        <rangePr groupBy="quarters" startDate="2009-01-01T00:00:00" endDate="2023-03-20T00:00:00"/>
        <groupItems count="6">
          <s v="&lt;01-01-09"/>
          <s v="Trimestre1"/>
          <s v="Trimestre2"/>
          <s v="Trimestre3"/>
          <s v="Trimestre4"/>
          <s v="&gt;20-03-23"/>
        </groupItems>
      </fieldGroup>
    </cacheField>
    <cacheField name="Années" numFmtId="0" databaseField="0">
      <fieldGroup base="0">
        <rangePr groupBy="years" startDate="2009-01-01T00:00:00" endDate="2023-03-20T00:00:00"/>
        <groupItems count="17">
          <s v="&lt;01-01-09"/>
          <s v="2009"/>
          <s v="2010"/>
          <s v="2011"/>
          <s v="2012"/>
          <s v="2013"/>
          <s v="2014"/>
          <s v="2015"/>
          <s v="2016"/>
          <s v="2017"/>
          <s v="2018"/>
          <s v="2019"/>
          <s v="2020"/>
          <s v="2021"/>
          <s v="2022"/>
          <s v="2023"/>
          <s v="&gt;20-03-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191">
  <r>
    <x v="0"/>
    <n v="172"/>
  </r>
  <r>
    <x v="1"/>
    <n v="156.1"/>
  </r>
  <r>
    <x v="2"/>
    <n v="128.5"/>
  </r>
  <r>
    <x v="3"/>
    <n v="107.8"/>
  </r>
  <r>
    <x v="4"/>
    <n v="92.8"/>
  </r>
  <r>
    <x v="5"/>
    <n v="82.1"/>
  </r>
  <r>
    <x v="6"/>
    <n v="74.400000000000006"/>
  </r>
  <r>
    <x v="7"/>
    <n v="66.7"/>
  </r>
  <r>
    <x v="8"/>
    <n v="59.1"/>
  </r>
  <r>
    <x v="9"/>
    <n v="64.3"/>
  </r>
  <r>
    <x v="10"/>
    <n v="86.5"/>
  </r>
  <r>
    <x v="11"/>
    <n v="123.6"/>
  </r>
  <r>
    <x v="12"/>
    <n v="113"/>
  </r>
  <r>
    <x v="13"/>
    <n v="82.2"/>
  </r>
  <r>
    <x v="14"/>
    <n v="63.8"/>
  </r>
  <r>
    <x v="15"/>
    <n v="60.9"/>
  </r>
  <r>
    <x v="16"/>
    <n v="78.5"/>
  </r>
  <r>
    <x v="17"/>
    <n v="122.2"/>
  </r>
  <r>
    <x v="18"/>
    <n v="102.6"/>
  </r>
  <r>
    <x v="19"/>
    <n v="96.9"/>
  </r>
  <r>
    <x v="20"/>
    <n v="89.7"/>
  </r>
  <r>
    <x v="21"/>
    <n v="94.8"/>
  </r>
  <r>
    <x v="22"/>
    <n v="99.9"/>
  </r>
  <r>
    <x v="23"/>
    <n v="92.4"/>
  </r>
  <r>
    <x v="24"/>
    <n v="96.2"/>
  </r>
  <r>
    <x v="25"/>
    <n v="76.7"/>
  </r>
  <r>
    <x v="26"/>
    <n v="66.099999999999994"/>
  </r>
  <r>
    <x v="27"/>
    <n v="103.1"/>
  </r>
  <r>
    <x v="28"/>
    <n v="98.2"/>
  </r>
  <r>
    <x v="29"/>
    <n v="149.19999999999999"/>
  </r>
  <r>
    <x v="30"/>
    <n v="125.8"/>
  </r>
  <r>
    <x v="31"/>
    <n v="104.5"/>
  </r>
  <r>
    <x v="32"/>
    <n v="108.9"/>
  </r>
  <r>
    <x v="33"/>
    <n v="92.7"/>
  </r>
  <r>
    <x v="34"/>
    <n v="107.8"/>
  </r>
  <r>
    <x v="35"/>
    <n v="104.5"/>
  </r>
  <r>
    <x v="36"/>
    <n v="88.4"/>
  </r>
  <r>
    <x v="37"/>
    <n v="74"/>
  </r>
  <r>
    <x v="38"/>
    <n v="96"/>
  </r>
  <r>
    <x v="39"/>
    <n v="100.5"/>
  </r>
  <r>
    <x v="40"/>
    <n v="119.6"/>
  </r>
  <r>
    <x v="41"/>
    <n v="92.1"/>
  </r>
  <r>
    <x v="42"/>
    <n v="73"/>
  </r>
  <r>
    <x v="43"/>
    <n v="64.7"/>
  </r>
  <r>
    <x v="44"/>
    <n v="101.4"/>
  </r>
  <r>
    <x v="45"/>
    <n v="113.4"/>
  </r>
  <r>
    <x v="46"/>
    <n v="94.7"/>
  </r>
  <r>
    <x v="47"/>
    <n v="77.8"/>
  </r>
  <r>
    <x v="48"/>
    <n v="106.4"/>
  </r>
  <r>
    <x v="49"/>
    <n v="87.8"/>
  </r>
  <r>
    <x v="50"/>
    <n v="74.2"/>
  </r>
  <r>
    <x v="51"/>
    <n v="104.6"/>
  </r>
  <r>
    <x v="52"/>
    <n v="118.3"/>
  </r>
  <r>
    <x v="53"/>
    <n v="125.9"/>
  </r>
  <r>
    <x v="54"/>
    <n v="137.6"/>
  </r>
  <r>
    <x v="55"/>
    <n v="101.4"/>
  </r>
  <r>
    <x v="56"/>
    <n v="79.900000000000006"/>
  </r>
  <r>
    <x v="57"/>
    <n v="94.1"/>
  </r>
  <r>
    <x v="58"/>
    <n v="117.8"/>
  </r>
  <r>
    <x v="59"/>
    <n v="108.8"/>
  </r>
  <r>
    <x v="60"/>
    <n v="87.9"/>
  </r>
  <r>
    <x v="61"/>
    <n v="119.5"/>
  </r>
  <r>
    <x v="62"/>
    <n v="116.1"/>
  </r>
  <r>
    <x v="63"/>
    <n v="173.9"/>
  </r>
  <r>
    <x v="64"/>
    <n v="175.7"/>
  </r>
  <r>
    <x v="65"/>
    <n v="163.5"/>
  </r>
  <r>
    <x v="66"/>
    <n v="145.9"/>
  </r>
  <r>
    <x v="67"/>
    <n v="104.9"/>
  </r>
  <r>
    <x v="68"/>
    <n v="81.599999999999994"/>
  </r>
  <r>
    <x v="69"/>
    <n v="69.099999999999994"/>
  </r>
  <r>
    <x v="70"/>
    <n v="92"/>
  </r>
  <r>
    <x v="71"/>
    <n v="124.8"/>
  </r>
  <r>
    <x v="72"/>
    <n v="184.5"/>
  </r>
  <r>
    <x v="73"/>
    <n v="148.5"/>
  </r>
  <r>
    <x v="74"/>
    <n v="130"/>
  </r>
  <r>
    <x v="75"/>
    <n v="114.8"/>
  </r>
  <r>
    <x v="76"/>
    <n v="91.8"/>
  </r>
  <r>
    <x v="77"/>
    <n v="81.900000000000006"/>
  </r>
  <r>
    <x v="78"/>
    <n v="101.9"/>
  </r>
  <r>
    <x v="79"/>
    <n v="178"/>
  </r>
  <r>
    <x v="80"/>
    <n v="158"/>
  </r>
  <r>
    <x v="81"/>
    <n v="144.30000000000001"/>
  </r>
  <r>
    <x v="82"/>
    <n v="155.69999999999999"/>
  </r>
  <r>
    <x v="83"/>
    <n v="114.1"/>
  </r>
  <r>
    <x v="84"/>
    <n v="98.1"/>
  </r>
  <r>
    <x v="85"/>
    <n v="118.7"/>
  </r>
  <r>
    <x v="86"/>
    <n v="98.6"/>
  </r>
  <r>
    <x v="87"/>
    <n v="127.8"/>
  </r>
  <r>
    <x v="88"/>
    <n v="174.4"/>
  </r>
  <r>
    <x v="89"/>
    <n v="249.7"/>
  </r>
  <r>
    <x v="90"/>
    <n v="245.2"/>
  </r>
  <r>
    <x v="91"/>
    <n v="208.6"/>
  </r>
  <r>
    <x v="92"/>
    <n v="150.30000000000001"/>
  </r>
  <r>
    <x v="93"/>
    <n v="114.5"/>
  </r>
  <r>
    <x v="94"/>
    <n v="130.5"/>
  </r>
  <r>
    <x v="95"/>
    <n v="129.80000000000001"/>
  </r>
  <r>
    <x v="96"/>
    <n v="147.6"/>
  </r>
  <r>
    <x v="97"/>
    <n v="185.7"/>
  </r>
  <r>
    <x v="98"/>
    <n v="147"/>
  </r>
  <r>
    <x v="99"/>
    <n v="118"/>
  </r>
  <r>
    <x v="100"/>
    <n v="130.1"/>
  </r>
  <r>
    <x v="101"/>
    <n v="139.4"/>
  </r>
  <r>
    <x v="102"/>
    <n v="111.9"/>
  </r>
  <r>
    <x v="103"/>
    <n v="94.1"/>
  </r>
  <r>
    <x v="104"/>
    <n v="112.3"/>
  </r>
  <r>
    <x v="105"/>
    <n v="147.5"/>
  </r>
  <r>
    <x v="106"/>
    <n v="121.5"/>
  </r>
  <r>
    <x v="107"/>
    <n v="114.5"/>
  </r>
  <r>
    <x v="108"/>
    <n v="93"/>
  </r>
  <r>
    <x v="109"/>
    <n v="78.900000000000006"/>
  </r>
  <r>
    <x v="110"/>
    <n v="69.5"/>
  </r>
  <r>
    <x v="111"/>
    <n v="65.599999999999994"/>
  </r>
  <r>
    <x v="112"/>
    <n v="59.8"/>
  </r>
  <r>
    <x v="113"/>
    <n v="54.1"/>
  </r>
  <r>
    <x v="114"/>
    <n v="48.8"/>
  </r>
  <r>
    <x v="115"/>
    <n v="45.2"/>
  </r>
  <r>
    <x v="116"/>
    <n v="45.3"/>
  </r>
  <r>
    <x v="117"/>
    <n v="82.2"/>
  </r>
  <r>
    <x v="118"/>
    <n v="86"/>
  </r>
  <r>
    <x v="119"/>
    <n v="109.2"/>
  </r>
  <r>
    <x v="120"/>
    <n v="135.30000000000001"/>
  </r>
  <r>
    <x v="121"/>
    <n v="100.1"/>
  </r>
  <r>
    <x v="122"/>
    <n v="81.400000000000006"/>
  </r>
  <r>
    <x v="123"/>
    <n v="91"/>
  </r>
  <r>
    <x v="124"/>
    <n v="76.7"/>
  </r>
  <r>
    <x v="125"/>
    <n v="67.400000000000006"/>
  </r>
  <r>
    <x v="126"/>
    <n v="99.2"/>
  </r>
  <r>
    <x v="127"/>
    <n v="147.1"/>
  </r>
  <r>
    <x v="128"/>
    <n v="139.1"/>
  </r>
  <r>
    <x v="129"/>
    <n v="108.1"/>
  </r>
  <r>
    <x v="130"/>
    <n v="120.3"/>
  </r>
  <r>
    <x v="131"/>
    <n v="103.4"/>
  </r>
  <r>
    <x v="132"/>
    <n v="91.4"/>
  </r>
  <r>
    <x v="133"/>
    <n v="85.1"/>
  </r>
  <r>
    <x v="134"/>
    <n v="130.69999999999999"/>
  </r>
  <r>
    <x v="135"/>
    <n v="107.1"/>
  </r>
  <r>
    <x v="136"/>
    <n v="124.3"/>
  </r>
  <r>
    <x v="137"/>
    <n v="116"/>
  </r>
  <r>
    <x v="138"/>
    <n v="93.2"/>
  </r>
  <r>
    <x v="139"/>
    <n v="78.3"/>
  </r>
  <r>
    <x v="140"/>
    <n v="67.7"/>
  </r>
  <r>
    <x v="141"/>
    <n v="59.4"/>
  </r>
  <r>
    <x v="142"/>
    <n v="52.6"/>
  </r>
  <r>
    <x v="143"/>
    <n v="46.9"/>
  </r>
  <r>
    <x v="144"/>
    <n v="41.9"/>
  </r>
  <r>
    <x v="145"/>
    <n v="37.6"/>
  </r>
  <r>
    <x v="146"/>
    <n v="33.700000000000003"/>
  </r>
  <r>
    <x v="147"/>
    <n v="30.2"/>
  </r>
  <r>
    <x v="148"/>
    <n v="27.1"/>
  </r>
  <r>
    <x v="149"/>
    <n v="24.4"/>
  </r>
  <r>
    <x v="150"/>
    <n v="22.4"/>
  </r>
  <r>
    <x v="151"/>
    <n v="26.4"/>
  </r>
  <r>
    <x v="152"/>
    <n v="32.700000000000003"/>
  </r>
  <r>
    <x v="153"/>
    <n v="30.1"/>
  </r>
  <r>
    <x v="154"/>
    <n v="24.9"/>
  </r>
  <r>
    <x v="155"/>
    <n v="18.899999999999999"/>
  </r>
  <r>
    <x v="156"/>
    <n v="15"/>
  </r>
  <r>
    <x v="157"/>
    <n v="27.8"/>
  </r>
  <r>
    <x v="158"/>
    <n v="28.6"/>
  </r>
  <r>
    <x v="159"/>
    <n v="20.5"/>
  </r>
  <r>
    <x v="160"/>
    <n v="15.2"/>
  </r>
  <r>
    <x v="161"/>
    <n v="16"/>
  </r>
  <r>
    <x v="162"/>
    <n v="12.8"/>
  </r>
  <r>
    <x v="163"/>
    <n v="10.7"/>
  </r>
  <r>
    <x v="164"/>
    <n v="9.1999999999999993"/>
  </r>
  <r>
    <x v="165"/>
    <n v="8.1"/>
  </r>
  <r>
    <x v="166"/>
    <n v="7.2"/>
  </r>
  <r>
    <x v="167"/>
    <n v="6.4"/>
  </r>
  <r>
    <x v="168"/>
    <n v="6.8"/>
  </r>
  <r>
    <x v="169"/>
    <n v="25.9"/>
  </r>
  <r>
    <x v="170"/>
    <n v="20.2"/>
  </r>
  <r>
    <x v="171"/>
    <n v="14.7"/>
  </r>
  <r>
    <x v="172"/>
    <n v="11.6"/>
  </r>
  <r>
    <x v="173"/>
    <n v="9.6"/>
  </r>
  <r>
    <x v="174"/>
    <n v="8.3000000000000007"/>
  </r>
  <r>
    <x v="175"/>
    <n v="7.4"/>
  </r>
  <r>
    <x v="176"/>
    <n v="6.5"/>
  </r>
  <r>
    <x v="177"/>
    <n v="5.9"/>
  </r>
  <r>
    <x v="178"/>
    <n v="5.2"/>
  </r>
  <r>
    <x v="179"/>
    <n v="4.8"/>
  </r>
  <r>
    <x v="180"/>
    <n v="5.2"/>
  </r>
  <r>
    <x v="181"/>
    <n v="8.1"/>
  </r>
  <r>
    <x v="182"/>
    <n v="6.6"/>
  </r>
  <r>
    <x v="183"/>
    <n v="5.0999999999999996"/>
  </r>
  <r>
    <x v="184"/>
    <n v="4.0999999999999996"/>
  </r>
  <r>
    <x v="185"/>
    <n v="3.4"/>
  </r>
  <r>
    <x v="186"/>
    <n v="3"/>
  </r>
  <r>
    <x v="187"/>
    <n v="3.3"/>
  </r>
  <r>
    <x v="188"/>
    <n v="2.8"/>
  </r>
  <r>
    <x v="189"/>
    <n v="2.2999999999999998"/>
  </r>
  <r>
    <x v="190"/>
    <n v="2"/>
  </r>
  <r>
    <x v="191"/>
    <n v="1.7"/>
  </r>
  <r>
    <x v="192"/>
    <n v="1.5"/>
  </r>
  <r>
    <x v="193"/>
    <n v="1.5"/>
  </r>
  <r>
    <x v="194"/>
    <n v="4"/>
  </r>
  <r>
    <x v="195"/>
    <n v="3.6"/>
  </r>
  <r>
    <x v="196"/>
    <n v="10"/>
  </r>
  <r>
    <x v="197"/>
    <n v="11.7"/>
  </r>
  <r>
    <x v="198"/>
    <n v="8.5"/>
  </r>
  <r>
    <x v="199"/>
    <n v="6.6"/>
  </r>
  <r>
    <x v="200"/>
    <n v="5.4"/>
  </r>
  <r>
    <x v="201"/>
    <n v="4.5999999999999996"/>
  </r>
  <r>
    <x v="202"/>
    <n v="4"/>
  </r>
  <r>
    <x v="203"/>
    <n v="3.5"/>
  </r>
  <r>
    <x v="204"/>
    <n v="3.1"/>
  </r>
  <r>
    <x v="205"/>
    <n v="2.8"/>
  </r>
  <r>
    <x v="206"/>
    <n v="3"/>
  </r>
  <r>
    <x v="207"/>
    <n v="20.5"/>
  </r>
  <r>
    <x v="208"/>
    <n v="15.6"/>
  </r>
  <r>
    <x v="209"/>
    <n v="11.2"/>
  </r>
  <r>
    <x v="210"/>
    <n v="8.6999999999999993"/>
  </r>
  <r>
    <x v="211"/>
    <n v="7"/>
  </r>
  <r>
    <x v="212"/>
    <n v="5.9"/>
  </r>
  <r>
    <x v="213"/>
    <n v="6.3"/>
  </r>
  <r>
    <x v="214"/>
    <n v="39.299999999999997"/>
  </r>
  <r>
    <x v="215"/>
    <n v="30.1"/>
  </r>
  <r>
    <x v="216"/>
    <n v="21.8"/>
  </r>
  <r>
    <x v="217"/>
    <n v="22"/>
  </r>
  <r>
    <x v="218"/>
    <n v="17.899999999999999"/>
  </r>
  <r>
    <x v="219"/>
    <n v="16.100000000000001"/>
  </r>
  <r>
    <x v="220"/>
    <n v="13.7"/>
  </r>
  <r>
    <x v="221"/>
    <n v="11.9"/>
  </r>
  <r>
    <x v="222"/>
    <n v="10.5"/>
  </r>
  <r>
    <x v="223"/>
    <n v="11.5"/>
  </r>
  <r>
    <x v="224"/>
    <n v="41.6"/>
  </r>
  <r>
    <x v="225"/>
    <n v="35.200000000000003"/>
  </r>
  <r>
    <x v="226"/>
    <n v="29"/>
  </r>
  <r>
    <x v="227"/>
    <n v="61.3"/>
  </r>
  <r>
    <x v="228"/>
    <n v="48.7"/>
  </r>
  <r>
    <x v="229"/>
    <n v="36.299999999999997"/>
  </r>
  <r>
    <x v="230"/>
    <n v="29"/>
  </r>
  <r>
    <x v="231"/>
    <n v="24.2"/>
  </r>
  <r>
    <x v="232"/>
    <n v="23.3"/>
  </r>
  <r>
    <x v="233"/>
    <n v="57.8"/>
  </r>
  <r>
    <x v="234"/>
    <n v="72.900000000000006"/>
  </r>
  <r>
    <x v="235"/>
    <n v="53.4"/>
  </r>
  <r>
    <x v="236"/>
    <n v="39.299999999999997"/>
  </r>
  <r>
    <x v="237"/>
    <n v="31.3"/>
  </r>
  <r>
    <x v="238"/>
    <n v="26.8"/>
  </r>
  <r>
    <x v="239"/>
    <n v="27.8"/>
  </r>
  <r>
    <x v="240"/>
    <n v="25.3"/>
  </r>
  <r>
    <x v="241"/>
    <n v="30"/>
  </r>
  <r>
    <x v="242"/>
    <n v="39.299999999999997"/>
  </r>
  <r>
    <x v="243"/>
    <n v="62"/>
  </r>
  <r>
    <x v="244"/>
    <n v="52.8"/>
  </r>
  <r>
    <x v="245"/>
    <n v="38.4"/>
  </r>
  <r>
    <x v="246"/>
    <n v="30.8"/>
  </r>
  <r>
    <x v="247"/>
    <n v="28.2"/>
  </r>
  <r>
    <x v="248"/>
    <n v="55.6"/>
  </r>
  <r>
    <x v="249"/>
    <n v="85"/>
  </r>
  <r>
    <x v="250"/>
    <n v="66.400000000000006"/>
  </r>
  <r>
    <x v="251"/>
    <n v="85.7"/>
  </r>
  <r>
    <x v="252"/>
    <n v="66.599999999999994"/>
  </r>
  <r>
    <x v="253"/>
    <n v="53.1"/>
  </r>
  <r>
    <x v="254"/>
    <n v="96.3"/>
  </r>
  <r>
    <x v="255"/>
    <n v="80.8"/>
  </r>
  <r>
    <x v="256"/>
    <n v="100"/>
  </r>
  <r>
    <x v="257"/>
    <n v="105.2"/>
  </r>
  <r>
    <x v="258"/>
    <n v="87.7"/>
  </r>
  <r>
    <x v="259"/>
    <n v="92.4"/>
  </r>
  <r>
    <x v="260"/>
    <n v="112.3"/>
  </r>
  <r>
    <x v="261"/>
    <n v="85.5"/>
  </r>
  <r>
    <x v="262"/>
    <n v="101.2"/>
  </r>
  <r>
    <x v="263"/>
    <n v="110.3"/>
  </r>
  <r>
    <x v="264"/>
    <n v="83.2"/>
  </r>
  <r>
    <x v="265"/>
    <n v="90.2"/>
  </r>
  <r>
    <x v="266"/>
    <n v="69.5"/>
  </r>
  <r>
    <x v="267"/>
    <n v="58"/>
  </r>
  <r>
    <x v="268"/>
    <n v="85.8"/>
  </r>
  <r>
    <x v="269"/>
    <n v="116.1"/>
  </r>
  <r>
    <x v="270"/>
    <n v="90.9"/>
  </r>
  <r>
    <x v="271"/>
    <n v="106"/>
  </r>
  <r>
    <x v="272"/>
    <n v="131.69999999999999"/>
  </r>
  <r>
    <x v="273"/>
    <n v="104"/>
  </r>
  <r>
    <x v="274"/>
    <n v="79.099999999999994"/>
  </r>
  <r>
    <x v="275"/>
    <n v="96.4"/>
  </r>
  <r>
    <x v="276"/>
    <n v="116.4"/>
  </r>
  <r>
    <x v="277"/>
    <n v="94.3"/>
  </r>
  <r>
    <x v="278"/>
    <n v="149.30000000000001"/>
  </r>
  <r>
    <x v="279"/>
    <n v="112.3"/>
  </r>
  <r>
    <x v="280"/>
    <n v="98.8"/>
  </r>
  <r>
    <x v="281"/>
    <n v="127.8"/>
  </r>
  <r>
    <x v="282"/>
    <n v="114.4"/>
  </r>
  <r>
    <x v="283"/>
    <n v="93"/>
  </r>
  <r>
    <x v="284"/>
    <n v="107"/>
  </r>
  <r>
    <x v="285"/>
    <n v="135"/>
  </r>
  <r>
    <x v="286"/>
    <n v="108.2"/>
  </r>
  <r>
    <x v="287"/>
    <n v="98.7"/>
  </r>
  <r>
    <x v="288"/>
    <n v="82"/>
  </r>
  <r>
    <x v="289"/>
    <n v="106.3"/>
  </r>
  <r>
    <x v="290"/>
    <n v="160.80000000000001"/>
  </r>
  <r>
    <x v="291"/>
    <n v="146.19999999999999"/>
  </r>
  <r>
    <x v="292"/>
    <n v="108.7"/>
  </r>
  <r>
    <x v="293"/>
    <n v="103.1"/>
  </r>
  <r>
    <x v="294"/>
    <n v="85.7"/>
  </r>
  <r>
    <x v="295"/>
    <n v="93.2"/>
  </r>
  <r>
    <x v="296"/>
    <n v="119.9"/>
  </r>
  <r>
    <x v="297"/>
    <n v="122.7"/>
  </r>
  <r>
    <x v="298"/>
    <n v="95.3"/>
  </r>
  <r>
    <x v="299"/>
    <n v="144.5"/>
  </r>
  <r>
    <x v="300"/>
    <n v="140.4"/>
  </r>
  <r>
    <x v="301"/>
    <n v="106.6"/>
  </r>
  <r>
    <x v="302"/>
    <n v="136.1"/>
  </r>
  <r>
    <x v="303"/>
    <n v="129.80000000000001"/>
  </r>
  <r>
    <x v="304"/>
    <n v="133.5"/>
  </r>
  <r>
    <x v="305"/>
    <n v="149.30000000000001"/>
  </r>
  <r>
    <x v="306"/>
    <n v="127.7"/>
  </r>
  <r>
    <x v="307"/>
    <n v="158.19999999999999"/>
  </r>
  <r>
    <x v="308"/>
    <n v="139.6"/>
  </r>
  <r>
    <x v="309"/>
    <n v="135.80000000000001"/>
  </r>
  <r>
    <x v="310"/>
    <n v="136.4"/>
  </r>
  <r>
    <x v="311"/>
    <n v="113"/>
  </r>
  <r>
    <x v="312"/>
    <n v="87.9"/>
  </r>
  <r>
    <x v="313"/>
    <n v="163.4"/>
  </r>
  <r>
    <x v="314"/>
    <n v="194.6"/>
  </r>
  <r>
    <x v="315"/>
    <n v="157.1"/>
  </r>
  <r>
    <x v="316"/>
    <n v="112.3"/>
  </r>
  <r>
    <x v="317"/>
    <n v="88.8"/>
  </r>
  <r>
    <x v="318"/>
    <n v="114.3"/>
  </r>
  <r>
    <x v="319"/>
    <n v="95.1"/>
  </r>
  <r>
    <x v="320"/>
    <n v="83.9"/>
  </r>
  <r>
    <x v="321"/>
    <n v="76.8"/>
  </r>
  <r>
    <x v="322"/>
    <n v="135.69999999999999"/>
  </r>
  <r>
    <x v="323"/>
    <n v="171"/>
  </r>
  <r>
    <x v="324"/>
    <n v="124.8"/>
  </r>
  <r>
    <x v="325"/>
    <n v="121.9"/>
  </r>
  <r>
    <x v="326"/>
    <n v="94.9"/>
  </r>
  <r>
    <x v="327"/>
    <n v="76.8"/>
  </r>
  <r>
    <x v="328"/>
    <n v="79"/>
  </r>
  <r>
    <x v="329"/>
    <n v="138.9"/>
  </r>
  <r>
    <x v="330"/>
    <n v="150.30000000000001"/>
  </r>
  <r>
    <x v="331"/>
    <n v="115.4"/>
  </r>
  <r>
    <x v="332"/>
    <n v="168.3"/>
  </r>
  <r>
    <x v="333"/>
    <n v="126.2"/>
  </r>
  <r>
    <x v="334"/>
    <n v="111.8"/>
  </r>
  <r>
    <x v="335"/>
    <n v="120.3"/>
  </r>
  <r>
    <x v="336"/>
    <n v="131.19999999999999"/>
  </r>
  <r>
    <x v="337"/>
    <n v="115.3"/>
  </r>
  <r>
    <x v="338"/>
    <n v="119.7"/>
  </r>
  <r>
    <x v="339"/>
    <n v="93.1"/>
  </r>
  <r>
    <x v="340"/>
    <n v="98.6"/>
  </r>
  <r>
    <x v="341"/>
    <n v="143.6"/>
  </r>
  <r>
    <x v="342"/>
    <n v="143.6"/>
  </r>
  <r>
    <x v="343"/>
    <n v="170.1"/>
  </r>
  <r>
    <x v="344"/>
    <n v="144"/>
  </r>
  <r>
    <x v="345"/>
    <n v="121.7"/>
  </r>
  <r>
    <x v="346"/>
    <n v="96"/>
  </r>
  <r>
    <x v="347"/>
    <n v="94.1"/>
  </r>
  <r>
    <x v="348"/>
    <n v="101.8"/>
  </r>
  <r>
    <x v="349"/>
    <n v="171"/>
  </r>
  <r>
    <x v="350"/>
    <n v="148.80000000000001"/>
  </r>
  <r>
    <x v="351"/>
    <n v="142.5"/>
  </r>
  <r>
    <x v="352"/>
    <n v="165.7"/>
  </r>
  <r>
    <x v="353"/>
    <n v="124.8"/>
  </r>
  <r>
    <x v="354"/>
    <n v="98.5"/>
  </r>
  <r>
    <x v="355"/>
    <n v="157.5"/>
  </r>
  <r>
    <x v="356"/>
    <n v="137.69999999999999"/>
  </r>
  <r>
    <x v="357"/>
    <n v="141.4"/>
  </r>
  <r>
    <x v="358"/>
    <n v="138.5"/>
  </r>
  <r>
    <x v="359"/>
    <n v="103.1"/>
  </r>
  <r>
    <x v="360"/>
    <n v="111.7"/>
  </r>
  <r>
    <x v="361"/>
    <n v="134.30000000000001"/>
  </r>
  <r>
    <x v="362"/>
    <n v="133.19999999999999"/>
  </r>
  <r>
    <x v="363"/>
    <n v="105.7"/>
  </r>
  <r>
    <x v="364"/>
    <n v="150.19999999999999"/>
  </r>
  <r>
    <x v="365"/>
    <n v="182.9"/>
  </r>
  <r>
    <x v="366"/>
    <n v="151.30000000000001"/>
  </r>
  <r>
    <x v="367"/>
    <n v="123.4"/>
  </r>
  <r>
    <x v="368"/>
    <n v="122.6"/>
  </r>
  <r>
    <x v="369"/>
    <n v="101.9"/>
  </r>
  <r>
    <x v="370"/>
    <n v="89.2"/>
  </r>
  <r>
    <x v="371"/>
    <n v="77.599999999999994"/>
  </r>
  <r>
    <x v="372"/>
    <n v="67.8"/>
  </r>
  <r>
    <x v="373"/>
    <n v="80.400000000000006"/>
  </r>
  <r>
    <x v="374"/>
    <n v="77.400000000000006"/>
  </r>
  <r>
    <x v="375"/>
    <n v="133"/>
  </r>
  <r>
    <x v="376"/>
    <n v="122.9"/>
  </r>
  <r>
    <x v="377"/>
    <n v="117.2"/>
  </r>
  <r>
    <x v="378"/>
    <n v="142.69999999999999"/>
  </r>
  <r>
    <x v="379"/>
    <n v="116.5"/>
  </r>
  <r>
    <x v="380"/>
    <n v="86.9"/>
  </r>
  <r>
    <x v="381"/>
    <n v="72.7"/>
  </r>
  <r>
    <x v="382"/>
    <n v="102.1"/>
  </r>
  <r>
    <x v="383"/>
    <n v="109.9"/>
  </r>
  <r>
    <x v="384"/>
    <n v="95.4"/>
  </r>
  <r>
    <x v="385"/>
    <n v="96.1"/>
  </r>
  <r>
    <x v="386"/>
    <n v="77.8"/>
  </r>
  <r>
    <x v="387"/>
    <n v="74.5"/>
  </r>
  <r>
    <x v="388"/>
    <n v="65.3"/>
  </r>
  <r>
    <x v="389"/>
    <n v="94.4"/>
  </r>
  <r>
    <x v="390"/>
    <n v="104.4"/>
  </r>
  <r>
    <x v="391"/>
    <n v="117"/>
  </r>
  <r>
    <x v="392"/>
    <n v="129.9"/>
  </r>
  <r>
    <x v="393"/>
    <n v="154.4"/>
  </r>
  <r>
    <x v="394"/>
    <n v="133.5"/>
  </r>
  <r>
    <x v="395"/>
    <n v="98.5"/>
  </r>
  <r>
    <x v="396"/>
    <n v="79.8"/>
  </r>
  <r>
    <x v="397"/>
    <n v="72.900000000000006"/>
  </r>
  <r>
    <x v="398"/>
    <n v="133"/>
  </r>
  <r>
    <x v="399"/>
    <n v="121"/>
  </r>
  <r>
    <x v="400"/>
    <n v="92.7"/>
  </r>
  <r>
    <x v="401"/>
    <n v="77.7"/>
  </r>
  <r>
    <x v="402"/>
    <n v="88.7"/>
  </r>
  <r>
    <x v="403"/>
    <n v="86.8"/>
  </r>
  <r>
    <x v="404"/>
    <n v="81.2"/>
  </r>
  <r>
    <x v="405"/>
    <n v="139.9"/>
  </r>
  <r>
    <x v="406"/>
    <n v="134.4"/>
  </r>
  <r>
    <x v="407"/>
    <n v="100.9"/>
  </r>
  <r>
    <x v="408"/>
    <n v="81.900000000000006"/>
  </r>
  <r>
    <x v="409"/>
    <n v="86.6"/>
  </r>
  <r>
    <x v="410"/>
    <n v="133.69999999999999"/>
  </r>
  <r>
    <x v="411"/>
    <n v="178.6"/>
  </r>
  <r>
    <x v="412"/>
    <n v="133.19999999999999"/>
  </r>
  <r>
    <x v="413"/>
    <n v="98.6"/>
  </r>
  <r>
    <x v="414"/>
    <n v="82.5"/>
  </r>
  <r>
    <x v="415"/>
    <n v="128.5"/>
  </r>
  <r>
    <x v="416"/>
    <n v="161.19999999999999"/>
  </r>
  <r>
    <x v="417"/>
    <n v="159.69999999999999"/>
  </r>
  <r>
    <x v="418"/>
    <n v="130.69999999999999"/>
  </r>
  <r>
    <x v="419"/>
    <n v="155.30000000000001"/>
  </r>
  <r>
    <x v="420"/>
    <n v="182.1"/>
  </r>
  <r>
    <x v="421"/>
    <n v="133.69999999999999"/>
  </r>
  <r>
    <x v="422"/>
    <n v="100.5"/>
  </r>
  <r>
    <x v="423"/>
    <n v="113.4"/>
  </r>
  <r>
    <x v="424"/>
    <n v="99.3"/>
  </r>
  <r>
    <x v="425"/>
    <n v="167.3"/>
  </r>
  <r>
    <x v="426"/>
    <n v="129.80000000000001"/>
  </r>
  <r>
    <x v="427"/>
    <n v="96.9"/>
  </r>
  <r>
    <x v="428"/>
    <n v="79.099999999999994"/>
  </r>
  <r>
    <x v="429"/>
    <n v="103.2"/>
  </r>
  <r>
    <x v="430"/>
    <n v="156.80000000000001"/>
  </r>
  <r>
    <x v="431"/>
    <n v="134.69999999999999"/>
  </r>
  <r>
    <x v="432"/>
    <n v="121.8"/>
  </r>
  <r>
    <x v="433"/>
    <n v="138.5"/>
  </r>
  <r>
    <x v="434"/>
    <n v="112.6"/>
  </r>
  <r>
    <x v="435"/>
    <n v="89.7"/>
  </r>
  <r>
    <x v="436"/>
    <n v="106.9"/>
  </r>
  <r>
    <x v="437"/>
    <n v="111"/>
  </r>
  <r>
    <x v="438"/>
    <n v="171.4"/>
  </r>
  <r>
    <x v="439"/>
    <n v="129.4"/>
  </r>
  <r>
    <x v="440"/>
    <n v="105.8"/>
  </r>
  <r>
    <x v="441"/>
    <n v="91.5"/>
  </r>
  <r>
    <x v="442"/>
    <n v="153.6"/>
  </r>
  <r>
    <x v="443"/>
    <n v="139.80000000000001"/>
  </r>
  <r>
    <x v="444"/>
    <n v="109.9"/>
  </r>
  <r>
    <x v="445"/>
    <n v="105.4"/>
  </r>
  <r>
    <x v="446"/>
    <n v="152.19999999999999"/>
  </r>
  <r>
    <x v="447"/>
    <n v="163.30000000000001"/>
  </r>
  <r>
    <x v="448"/>
    <n v="157.1"/>
  </r>
  <r>
    <x v="449"/>
    <n v="131.1"/>
  </r>
  <r>
    <x v="450"/>
    <n v="122.8"/>
  </r>
  <r>
    <x v="451"/>
    <n v="236"/>
  </r>
  <r>
    <x v="452"/>
    <n v="169.3"/>
  </r>
  <r>
    <x v="453"/>
    <n v="122.8"/>
  </r>
  <r>
    <x v="454"/>
    <n v="101.7"/>
  </r>
  <r>
    <x v="455"/>
    <n v="148.9"/>
  </r>
  <r>
    <x v="456"/>
    <n v="129.1"/>
  </r>
  <r>
    <x v="457"/>
    <n v="105.4"/>
  </r>
  <r>
    <x v="458"/>
    <n v="124.5"/>
  </r>
  <r>
    <x v="459"/>
    <n v="165.3"/>
  </r>
  <r>
    <x v="460"/>
    <n v="179.5"/>
  </r>
  <r>
    <x v="461"/>
    <n v="149"/>
  </r>
  <r>
    <x v="462"/>
    <n v="151.69999999999999"/>
  </r>
  <r>
    <x v="463"/>
    <n v="141.30000000000001"/>
  </r>
  <r>
    <x v="464"/>
    <n v="116.4"/>
  </r>
  <r>
    <x v="465"/>
    <n v="138.5"/>
  </r>
  <r>
    <x v="466"/>
    <n v="164.1"/>
  </r>
  <r>
    <x v="467"/>
    <n v="138.5"/>
  </r>
  <r>
    <x v="468"/>
    <n v="122.2"/>
  </r>
  <r>
    <x v="469"/>
    <n v="155.19999999999999"/>
  </r>
  <r>
    <x v="470"/>
    <n v="131.4"/>
  </r>
  <r>
    <x v="471"/>
    <n v="116.8"/>
  </r>
  <r>
    <x v="472"/>
    <n v="101.5"/>
  </r>
  <r>
    <x v="473"/>
    <n v="131.9"/>
  </r>
  <r>
    <x v="474"/>
    <n v="107.4"/>
  </r>
  <r>
    <x v="475"/>
    <n v="95.3"/>
  </r>
  <r>
    <x v="476"/>
    <n v="162.4"/>
  </r>
  <r>
    <x v="477"/>
    <n v="200.8"/>
  </r>
  <r>
    <x v="478"/>
    <n v="160.69999999999999"/>
  </r>
  <r>
    <x v="479"/>
    <n v="119.1"/>
  </r>
  <r>
    <x v="480"/>
    <n v="109.1"/>
  </r>
  <r>
    <x v="481"/>
    <n v="90.5"/>
  </r>
  <r>
    <x v="482"/>
    <n v="77.7"/>
  </r>
  <r>
    <x v="483"/>
    <n v="68"/>
  </r>
  <r>
    <x v="484"/>
    <n v="64"/>
  </r>
  <r>
    <x v="485"/>
    <n v="112.9"/>
  </r>
  <r>
    <x v="486"/>
    <n v="106"/>
  </r>
  <r>
    <x v="487"/>
    <n v="174.9"/>
  </r>
  <r>
    <x v="488"/>
    <n v="180.8"/>
  </r>
  <r>
    <x v="489"/>
    <n v="144.4"/>
  </r>
  <r>
    <x v="490"/>
    <n v="214.1"/>
  </r>
  <r>
    <x v="491"/>
    <n v="178.7"/>
  </r>
  <r>
    <x v="492"/>
    <n v="134.19999999999999"/>
  </r>
  <r>
    <x v="493"/>
    <n v="121.1"/>
  </r>
  <r>
    <x v="494"/>
    <n v="115.7"/>
  </r>
  <r>
    <x v="495"/>
    <n v="93"/>
  </r>
  <r>
    <x v="496"/>
    <n v="77.8"/>
  </r>
  <r>
    <x v="497"/>
    <n v="67.099999999999994"/>
  </r>
  <r>
    <x v="498"/>
    <n v="58.7"/>
  </r>
  <r>
    <x v="499"/>
    <n v="51.9"/>
  </r>
  <r>
    <x v="500"/>
    <n v="46.3"/>
  </r>
  <r>
    <x v="501"/>
    <n v="42.3"/>
  </r>
  <r>
    <x v="502"/>
    <n v="37.799999999999997"/>
  </r>
  <r>
    <x v="503"/>
    <n v="33.700000000000003"/>
  </r>
  <r>
    <x v="504"/>
    <n v="30.2"/>
  </r>
  <r>
    <x v="505"/>
    <n v="27"/>
  </r>
  <r>
    <x v="506"/>
    <n v="24.3"/>
  </r>
  <r>
    <x v="507"/>
    <n v="21.8"/>
  </r>
  <r>
    <x v="508"/>
    <n v="19.600000000000001"/>
  </r>
  <r>
    <x v="509"/>
    <n v="17.600000000000001"/>
  </r>
  <r>
    <x v="510"/>
    <n v="15.8"/>
  </r>
  <r>
    <x v="511"/>
    <n v="14.2"/>
  </r>
  <r>
    <x v="512"/>
    <n v="12.8"/>
  </r>
  <r>
    <x v="513"/>
    <n v="11.6"/>
  </r>
  <r>
    <x v="514"/>
    <n v="10.9"/>
  </r>
  <r>
    <x v="515"/>
    <n v="14.1"/>
  </r>
  <r>
    <x v="516"/>
    <n v="15.5"/>
  </r>
  <r>
    <x v="517"/>
    <n v="32"/>
  </r>
  <r>
    <x v="518"/>
    <n v="24.4"/>
  </r>
  <r>
    <x v="519"/>
    <n v="17.600000000000001"/>
  </r>
  <r>
    <x v="520"/>
    <n v="14.1"/>
  </r>
  <r>
    <x v="521"/>
    <n v="11.6"/>
  </r>
  <r>
    <x v="522"/>
    <n v="10"/>
  </r>
  <r>
    <x v="523"/>
    <n v="10.4"/>
  </r>
  <r>
    <x v="524"/>
    <n v="9.4"/>
  </r>
  <r>
    <x v="525"/>
    <n v="8.3000000000000007"/>
  </r>
  <r>
    <x v="526"/>
    <n v="8.4"/>
  </r>
  <r>
    <x v="527"/>
    <n v="35.4"/>
  </r>
  <r>
    <x v="528"/>
    <n v="37.1"/>
  </r>
  <r>
    <x v="529"/>
    <n v="25.4"/>
  </r>
  <r>
    <x v="530"/>
    <n v="19.100000000000001"/>
  </r>
  <r>
    <x v="531"/>
    <n v="15.1"/>
  </r>
  <r>
    <x v="532"/>
    <n v="12.5"/>
  </r>
  <r>
    <x v="533"/>
    <n v="10.7"/>
  </r>
  <r>
    <x v="534"/>
    <n v="9.4"/>
  </r>
  <r>
    <x v="535"/>
    <n v="8.3000000000000007"/>
  </r>
  <r>
    <x v="536"/>
    <n v="7.4"/>
  </r>
  <r>
    <x v="537"/>
    <n v="6.6"/>
  </r>
  <r>
    <x v="538"/>
    <n v="5.9"/>
  </r>
  <r>
    <x v="539"/>
    <n v="5.5"/>
  </r>
  <r>
    <x v="540"/>
    <n v="5"/>
  </r>
  <r>
    <x v="541"/>
    <n v="6.3"/>
  </r>
  <r>
    <x v="542"/>
    <n v="5.3"/>
  </r>
  <r>
    <x v="543"/>
    <n v="4.3"/>
  </r>
  <r>
    <x v="544"/>
    <n v="3.8"/>
  </r>
  <r>
    <x v="545"/>
    <n v="3.2"/>
  </r>
  <r>
    <x v="546"/>
    <n v="2.7"/>
  </r>
  <r>
    <x v="547"/>
    <n v="2.4"/>
  </r>
  <r>
    <x v="548"/>
    <n v="2.1"/>
  </r>
  <r>
    <x v="549"/>
    <n v="2.1"/>
  </r>
  <r>
    <x v="550"/>
    <n v="2.2999999999999998"/>
  </r>
  <r>
    <x v="551"/>
    <n v="2.2000000000000002"/>
  </r>
  <r>
    <x v="552"/>
    <n v="1.8"/>
  </r>
  <r>
    <x v="553"/>
    <n v="1.5"/>
  </r>
  <r>
    <x v="554"/>
    <n v="1.3"/>
  </r>
  <r>
    <x v="555"/>
    <n v="1.2"/>
  </r>
  <r>
    <x v="556"/>
    <n v="1"/>
  </r>
  <r>
    <x v="557"/>
    <n v="0.9"/>
  </r>
  <r>
    <x v="558"/>
    <n v="0.8"/>
  </r>
  <r>
    <x v="559"/>
    <n v="0.8"/>
  </r>
  <r>
    <x v="560"/>
    <n v="0.9"/>
  </r>
  <r>
    <x v="561"/>
    <n v="1.2"/>
  </r>
  <r>
    <x v="562"/>
    <n v="4.5"/>
  </r>
  <r>
    <x v="563"/>
    <n v="14.6"/>
  </r>
  <r>
    <x v="564"/>
    <n v="15"/>
  </r>
  <r>
    <x v="565"/>
    <n v="10.8"/>
  </r>
  <r>
    <x v="566"/>
    <n v="8.6"/>
  </r>
  <r>
    <x v="567"/>
    <n v="12.3"/>
  </r>
  <r>
    <x v="568"/>
    <n v="13.9"/>
  </r>
  <r>
    <x v="569"/>
    <n v="10.7"/>
  </r>
  <r>
    <x v="570"/>
    <n v="8.3000000000000007"/>
  </r>
  <r>
    <x v="571"/>
    <n v="6.8"/>
  </r>
  <r>
    <x v="572"/>
    <n v="5.8"/>
  </r>
  <r>
    <x v="573"/>
    <n v="5.5"/>
  </r>
  <r>
    <x v="574"/>
    <n v="13.1"/>
  </r>
  <r>
    <x v="575"/>
    <n v="14.5"/>
  </r>
  <r>
    <x v="576"/>
    <n v="13.3"/>
  </r>
  <r>
    <x v="577"/>
    <n v="19.8"/>
  </r>
  <r>
    <x v="578"/>
    <n v="15.1"/>
  </r>
  <r>
    <x v="579"/>
    <n v="11.3"/>
  </r>
  <r>
    <x v="580"/>
    <n v="9"/>
  </r>
  <r>
    <x v="581"/>
    <n v="7.5"/>
  </r>
  <r>
    <x v="582"/>
    <n v="6.4"/>
  </r>
  <r>
    <x v="583"/>
    <n v="6.5"/>
  </r>
  <r>
    <x v="584"/>
    <n v="7.3"/>
  </r>
  <r>
    <x v="585"/>
    <n v="45.2"/>
  </r>
  <r>
    <x v="586"/>
    <n v="36.200000000000003"/>
  </r>
  <r>
    <x v="587"/>
    <n v="28.3"/>
  </r>
  <r>
    <x v="588"/>
    <n v="42.3"/>
  </r>
  <r>
    <x v="589"/>
    <n v="32.1"/>
  </r>
  <r>
    <x v="590"/>
    <n v="24.7"/>
  </r>
  <r>
    <x v="591"/>
    <n v="20.100000000000001"/>
  </r>
  <r>
    <x v="592"/>
    <n v="16.899999999999999"/>
  </r>
  <r>
    <x v="593"/>
    <n v="14.6"/>
  </r>
  <r>
    <x v="594"/>
    <n v="12.8"/>
  </r>
  <r>
    <x v="595"/>
    <n v="11.4"/>
  </r>
  <r>
    <x v="596"/>
    <n v="10.199999999999999"/>
  </r>
  <r>
    <x v="597"/>
    <n v="9.6"/>
  </r>
  <r>
    <x v="598"/>
    <n v="16.7"/>
  </r>
  <r>
    <x v="599"/>
    <n v="21.4"/>
  </r>
  <r>
    <x v="600"/>
    <n v="17.899999999999999"/>
  </r>
  <r>
    <x v="601"/>
    <n v="15.2"/>
  </r>
  <r>
    <x v="602"/>
    <n v="15.9"/>
  </r>
  <r>
    <x v="603"/>
    <n v="13.6"/>
  </r>
  <r>
    <x v="604"/>
    <n v="14.4"/>
  </r>
  <r>
    <x v="605"/>
    <n v="55"/>
  </r>
  <r>
    <x v="606"/>
    <n v="53.4"/>
  </r>
  <r>
    <x v="607"/>
    <n v="67.8"/>
  </r>
  <r>
    <x v="608"/>
    <n v="66.099999999999994"/>
  </r>
  <r>
    <x v="609"/>
    <n v="48.9"/>
  </r>
  <r>
    <x v="610"/>
    <n v="39.5"/>
  </r>
  <r>
    <x v="611"/>
    <n v="48.5"/>
  </r>
  <r>
    <x v="612"/>
    <n v="47"/>
  </r>
  <r>
    <x v="613"/>
    <n v="89"/>
  </r>
  <r>
    <x v="614"/>
    <n v="83.9"/>
  </r>
  <r>
    <x v="615"/>
    <n v="67.2"/>
  </r>
  <r>
    <x v="616"/>
    <n v="100.3"/>
  </r>
  <r>
    <x v="617"/>
    <n v="83.1"/>
  </r>
  <r>
    <x v="618"/>
    <n v="66.099999999999994"/>
  </r>
  <r>
    <x v="619"/>
    <n v="129.80000000000001"/>
  </r>
  <r>
    <x v="620"/>
    <n v="118.5"/>
  </r>
  <r>
    <x v="621"/>
    <n v="85.3"/>
  </r>
  <r>
    <x v="622"/>
    <n v="66.599999999999994"/>
  </r>
  <r>
    <x v="623"/>
    <n v="55.5"/>
  </r>
  <r>
    <x v="624"/>
    <n v="49.5"/>
  </r>
  <r>
    <x v="625"/>
    <n v="62.8"/>
  </r>
  <r>
    <x v="626"/>
    <n v="104.2"/>
  </r>
  <r>
    <x v="627"/>
    <n v="103"/>
  </r>
  <r>
    <x v="628"/>
    <n v="86.7"/>
  </r>
  <r>
    <x v="629"/>
    <n v="104.5"/>
  </r>
  <r>
    <x v="630"/>
    <n v="86.9"/>
  </r>
  <r>
    <x v="631"/>
    <n v="108.1"/>
  </r>
  <r>
    <x v="632"/>
    <n v="90.1"/>
  </r>
  <r>
    <x v="633"/>
    <n v="84.7"/>
  </r>
  <r>
    <x v="634"/>
    <n v="67"/>
  </r>
  <r>
    <x v="635"/>
    <n v="59.6"/>
  </r>
  <r>
    <x v="636"/>
    <n v="105"/>
  </r>
  <r>
    <x v="637"/>
    <n v="136.19999999999999"/>
  </r>
  <r>
    <x v="638"/>
    <n v="108.2"/>
  </r>
  <r>
    <x v="639"/>
    <n v="88.1"/>
  </r>
  <r>
    <x v="640"/>
    <n v="69.3"/>
  </r>
  <r>
    <x v="641"/>
    <n v="65.400000000000006"/>
  </r>
  <r>
    <x v="642"/>
    <n v="179.1"/>
  </r>
  <r>
    <x v="643"/>
    <n v="145.80000000000001"/>
  </r>
  <r>
    <x v="644"/>
    <n v="112.5"/>
  </r>
  <r>
    <x v="645"/>
    <n v="154.9"/>
  </r>
  <r>
    <x v="646"/>
    <n v="124.2"/>
  </r>
  <r>
    <x v="647"/>
    <n v="162.6"/>
  </r>
  <r>
    <x v="648"/>
    <n v="149.6"/>
  </r>
  <r>
    <x v="649"/>
    <n v="112.1"/>
  </r>
  <r>
    <x v="650"/>
    <n v="98.6"/>
  </r>
  <r>
    <x v="651"/>
    <n v="135.80000000000001"/>
  </r>
  <r>
    <x v="652"/>
    <n v="148.19999999999999"/>
  </r>
  <r>
    <x v="653"/>
    <n v="134.1"/>
  </r>
  <r>
    <x v="654"/>
    <n v="108.4"/>
  </r>
  <r>
    <x v="655"/>
    <n v="133.1"/>
  </r>
  <r>
    <x v="656"/>
    <n v="105.4"/>
  </r>
  <r>
    <x v="657"/>
    <n v="143"/>
  </r>
  <r>
    <x v="658"/>
    <n v="119"/>
  </r>
  <r>
    <x v="659"/>
    <n v="96.7"/>
  </r>
  <r>
    <x v="660"/>
    <n v="120.6"/>
  </r>
  <r>
    <x v="661"/>
    <n v="124"/>
  </r>
  <r>
    <x v="662"/>
    <n v="136.30000000000001"/>
  </r>
  <r>
    <x v="663"/>
    <n v="117.4"/>
  </r>
  <r>
    <x v="664"/>
    <n v="99.3"/>
  </r>
  <r>
    <x v="665"/>
    <n v="141.6"/>
  </r>
  <r>
    <x v="666"/>
    <n v="158"/>
  </r>
  <r>
    <x v="667"/>
    <n v="124.6"/>
  </r>
  <r>
    <x v="668"/>
    <n v="108.2"/>
  </r>
  <r>
    <x v="669"/>
    <n v="155.19999999999999"/>
  </r>
  <r>
    <x v="670"/>
    <n v="122.6"/>
  </r>
  <r>
    <x v="671"/>
    <n v="101.6"/>
  </r>
  <r>
    <x v="672"/>
    <n v="154.30000000000001"/>
  </r>
  <r>
    <x v="673"/>
    <n v="131"/>
  </r>
  <r>
    <x v="674"/>
    <n v="132.19999999999999"/>
  </r>
  <r>
    <x v="675"/>
    <n v="145"/>
  </r>
  <r>
    <x v="676"/>
    <n v="237.3"/>
  </r>
  <r>
    <x v="677"/>
    <n v="193.9"/>
  </r>
  <r>
    <x v="678"/>
    <n v="144.1"/>
  </r>
  <r>
    <x v="679"/>
    <n v="123.5"/>
  </r>
  <r>
    <x v="680"/>
    <n v="155.19999999999999"/>
  </r>
  <r>
    <x v="681"/>
    <n v="188.9"/>
  </r>
  <r>
    <x v="682"/>
    <n v="140.9"/>
  </r>
  <r>
    <x v="683"/>
    <n v="140.9"/>
  </r>
  <r>
    <x v="684"/>
    <n v="133.69999999999999"/>
  </r>
  <r>
    <x v="685"/>
    <n v="118.9"/>
  </r>
  <r>
    <x v="686"/>
    <n v="107.8"/>
  </r>
  <r>
    <x v="687"/>
    <n v="182.6"/>
  </r>
  <r>
    <x v="688"/>
    <n v="140.30000000000001"/>
  </r>
  <r>
    <x v="689"/>
    <n v="115.9"/>
  </r>
  <r>
    <x v="690"/>
    <n v="106.2"/>
  </r>
  <r>
    <x v="691"/>
    <n v="133.19999999999999"/>
  </r>
  <r>
    <x v="692"/>
    <n v="109.8"/>
  </r>
  <r>
    <x v="693"/>
    <n v="125.8"/>
  </r>
  <r>
    <x v="694"/>
    <n v="130.9"/>
  </r>
  <r>
    <x v="695"/>
    <n v="121"/>
  </r>
  <r>
    <x v="696"/>
    <n v="151.1"/>
  </r>
  <r>
    <x v="697"/>
    <n v="162.30000000000001"/>
  </r>
  <r>
    <x v="698"/>
    <n v="141.9"/>
  </r>
  <r>
    <x v="699"/>
    <n v="115.3"/>
  </r>
  <r>
    <x v="700"/>
    <n v="103"/>
  </r>
  <r>
    <x v="701"/>
    <n v="104"/>
  </r>
  <r>
    <x v="702"/>
    <n v="94.5"/>
  </r>
  <r>
    <x v="703"/>
    <n v="130"/>
  </r>
  <r>
    <x v="704"/>
    <n v="169.3"/>
  </r>
  <r>
    <x v="705"/>
    <n v="213"/>
  </r>
  <r>
    <x v="706"/>
    <n v="164.1"/>
  </r>
  <r>
    <x v="707"/>
    <n v="138.4"/>
  </r>
  <r>
    <x v="708"/>
    <n v="113.3"/>
  </r>
  <r>
    <x v="709"/>
    <n v="133.19999999999999"/>
  </r>
  <r>
    <x v="710"/>
    <n v="150.6"/>
  </r>
  <r>
    <x v="711"/>
    <n v="130.9"/>
  </r>
  <r>
    <x v="712"/>
    <n v="160.6"/>
  </r>
  <r>
    <x v="713"/>
    <n v="161.6"/>
  </r>
  <r>
    <x v="714"/>
    <n v="145.5"/>
  </r>
  <r>
    <x v="715"/>
    <n v="111.3"/>
  </r>
  <r>
    <x v="716"/>
    <n v="92.6"/>
  </r>
  <r>
    <x v="717"/>
    <n v="104.1"/>
  </r>
  <r>
    <x v="718"/>
    <n v="167.6"/>
  </r>
  <r>
    <x v="719"/>
    <n v="175.3"/>
  </r>
  <r>
    <x v="720"/>
    <n v="141.5"/>
  </r>
  <r>
    <x v="721"/>
    <n v="215.5"/>
  </r>
  <r>
    <x v="722"/>
    <n v="160.4"/>
  </r>
  <r>
    <x v="723"/>
    <n v="121.5"/>
  </r>
  <r>
    <x v="724"/>
    <n v="121.9"/>
  </r>
  <r>
    <x v="725"/>
    <n v="135.1"/>
  </r>
  <r>
    <x v="726"/>
    <n v="152.6"/>
  </r>
  <r>
    <x v="727"/>
    <n v="159"/>
  </r>
  <r>
    <x v="728"/>
    <n v="159.9"/>
  </r>
  <r>
    <x v="729"/>
    <n v="144.19999999999999"/>
  </r>
  <r>
    <x v="730"/>
    <n v="179.5"/>
  </r>
  <r>
    <x v="731"/>
    <n v="138.5"/>
  </r>
  <r>
    <x v="732"/>
    <n v="162.6"/>
  </r>
  <r>
    <x v="733"/>
    <n v="133.1"/>
  </r>
  <r>
    <x v="734"/>
    <n v="110.8"/>
  </r>
  <r>
    <x v="735"/>
    <n v="131.9"/>
  </r>
  <r>
    <x v="736"/>
    <n v="164.8"/>
  </r>
  <r>
    <x v="737"/>
    <n v="163.1"/>
  </r>
  <r>
    <x v="738"/>
    <n v="144.6"/>
  </r>
  <r>
    <x v="739"/>
    <n v="111.6"/>
  </r>
  <r>
    <x v="740"/>
    <n v="95.5"/>
  </r>
  <r>
    <x v="741"/>
    <n v="133.6"/>
  </r>
  <r>
    <x v="742"/>
    <n v="142.6"/>
  </r>
  <r>
    <x v="743"/>
    <n v="142.5"/>
  </r>
  <r>
    <x v="744"/>
    <n v="126.3"/>
  </r>
  <r>
    <x v="745"/>
    <n v="101.8"/>
  </r>
  <r>
    <x v="746"/>
    <n v="90.2"/>
  </r>
  <r>
    <x v="747"/>
    <n v="117.7"/>
  </r>
  <r>
    <x v="748"/>
    <n v="175"/>
  </r>
  <r>
    <x v="749"/>
    <n v="181.6"/>
  </r>
  <r>
    <x v="750"/>
    <n v="137.19999999999999"/>
  </r>
  <r>
    <x v="751"/>
    <n v="108.2"/>
  </r>
  <r>
    <x v="752"/>
    <n v="135.1"/>
  </r>
  <r>
    <x v="753"/>
    <n v="173.6"/>
  </r>
  <r>
    <x v="754"/>
    <n v="197.9"/>
  </r>
  <r>
    <x v="755"/>
    <n v="147.80000000000001"/>
  </r>
  <r>
    <x v="756"/>
    <n v="150.69999999999999"/>
  </r>
  <r>
    <x v="757"/>
    <n v="126"/>
  </r>
  <r>
    <x v="758"/>
    <n v="102.4"/>
  </r>
  <r>
    <x v="759"/>
    <n v="99.1"/>
  </r>
  <r>
    <x v="760"/>
    <n v="198.6"/>
  </r>
  <r>
    <x v="761"/>
    <n v="161.6"/>
  </r>
  <r>
    <x v="762"/>
    <n v="122.7"/>
  </r>
  <r>
    <x v="763"/>
    <n v="101.5"/>
  </r>
  <r>
    <x v="764"/>
    <n v="124.4"/>
  </r>
  <r>
    <x v="765"/>
    <n v="118.9"/>
  </r>
  <r>
    <x v="766"/>
    <n v="128.6"/>
  </r>
  <r>
    <x v="767"/>
    <n v="125.1"/>
  </r>
  <r>
    <x v="768"/>
    <n v="143.1"/>
  </r>
  <r>
    <x v="769"/>
    <n v="141.4"/>
  </r>
  <r>
    <x v="770"/>
    <n v="114.5"/>
  </r>
  <r>
    <x v="771"/>
    <n v="133.30000000000001"/>
  </r>
  <r>
    <x v="772"/>
    <n v="161.5"/>
  </r>
  <r>
    <x v="773"/>
    <n v="134.5"/>
  </r>
  <r>
    <x v="774"/>
    <n v="108.4"/>
  </r>
  <r>
    <x v="775"/>
    <n v="111.6"/>
  </r>
  <r>
    <x v="776"/>
    <n v="105"/>
  </r>
  <r>
    <x v="777"/>
    <n v="108.1"/>
  </r>
  <r>
    <x v="778"/>
    <n v="101"/>
  </r>
  <r>
    <x v="779"/>
    <n v="162.4"/>
  </r>
  <r>
    <x v="780"/>
    <n v="131.80000000000001"/>
  </r>
  <r>
    <x v="781"/>
    <n v="145.30000000000001"/>
  </r>
  <r>
    <x v="782"/>
    <n v="121.3"/>
  </r>
  <r>
    <x v="783"/>
    <n v="100"/>
  </r>
  <r>
    <x v="784"/>
    <n v="90.4"/>
  </r>
  <r>
    <x v="785"/>
    <n v="121.8"/>
  </r>
  <r>
    <x v="786"/>
    <n v="132.69999999999999"/>
  </r>
  <r>
    <x v="787"/>
    <n v="108"/>
  </r>
  <r>
    <x v="788"/>
    <n v="100"/>
  </r>
  <r>
    <x v="789"/>
    <n v="116.2"/>
  </r>
  <r>
    <x v="790"/>
    <n v="113"/>
  </r>
  <r>
    <x v="791"/>
    <n v="123.4"/>
  </r>
  <r>
    <x v="792"/>
    <n v="188.5"/>
  </r>
  <r>
    <x v="793"/>
    <n v="163.30000000000001"/>
  </r>
  <r>
    <x v="794"/>
    <n v="123.4"/>
  </r>
  <r>
    <x v="795"/>
    <n v="105"/>
  </r>
  <r>
    <x v="796"/>
    <n v="116.5"/>
  </r>
  <r>
    <x v="797"/>
    <n v="178.7"/>
  </r>
  <r>
    <x v="798"/>
    <n v="172.5"/>
  </r>
  <r>
    <x v="799"/>
    <n v="136.30000000000001"/>
  </r>
  <r>
    <x v="800"/>
    <n v="110.3"/>
  </r>
  <r>
    <x v="801"/>
    <n v="113.4"/>
  </r>
  <r>
    <x v="802"/>
    <n v="102"/>
  </r>
  <r>
    <x v="803"/>
    <n v="144.5"/>
  </r>
  <r>
    <x v="804"/>
    <n v="118.6"/>
  </r>
  <r>
    <x v="805"/>
    <n v="100.1"/>
  </r>
  <r>
    <x v="806"/>
    <n v="114.7"/>
  </r>
  <r>
    <x v="807"/>
    <n v="112.2"/>
  </r>
  <r>
    <x v="808"/>
    <n v="119.5"/>
  </r>
  <r>
    <x v="809"/>
    <n v="110.6"/>
  </r>
  <r>
    <x v="810"/>
    <n v="95"/>
  </r>
  <r>
    <x v="811"/>
    <n v="84.1"/>
  </r>
  <r>
    <x v="812"/>
    <n v="84.7"/>
  </r>
  <r>
    <x v="813"/>
    <n v="95.8"/>
  </r>
  <r>
    <x v="814"/>
    <n v="130.5"/>
  </r>
  <r>
    <x v="815"/>
    <n v="120.7"/>
  </r>
  <r>
    <x v="816"/>
    <n v="126"/>
  </r>
  <r>
    <x v="817"/>
    <n v="105"/>
  </r>
  <r>
    <x v="818"/>
    <n v="138.1"/>
  </r>
  <r>
    <x v="819"/>
    <n v="200.2"/>
  </r>
  <r>
    <x v="820"/>
    <n v="156.1"/>
  </r>
  <r>
    <x v="821"/>
    <n v="121.3"/>
  </r>
  <r>
    <x v="822"/>
    <n v="152.1"/>
  </r>
  <r>
    <x v="823"/>
    <n v="128.9"/>
  </r>
  <r>
    <x v="824"/>
    <n v="136.1"/>
  </r>
  <r>
    <x v="825"/>
    <n v="154.5"/>
  </r>
  <r>
    <x v="826"/>
    <n v="173.2"/>
  </r>
  <r>
    <x v="827"/>
    <n v="155"/>
  </r>
  <r>
    <x v="828"/>
    <n v="136.9"/>
  </r>
  <r>
    <x v="829"/>
    <n v="107.6"/>
  </r>
  <r>
    <x v="830"/>
    <n v="89.6"/>
  </r>
  <r>
    <x v="831"/>
    <n v="87.3"/>
  </r>
  <r>
    <x v="832"/>
    <n v="100.8"/>
  </r>
  <r>
    <x v="833"/>
    <n v="137.69999999999999"/>
  </r>
  <r>
    <x v="834"/>
    <n v="133.19999999999999"/>
  </r>
  <r>
    <x v="835"/>
    <n v="191.6"/>
  </r>
  <r>
    <x v="836"/>
    <n v="188.8"/>
  </r>
  <r>
    <x v="837"/>
    <n v="173.5"/>
  </r>
  <r>
    <x v="838"/>
    <n v="127.3"/>
  </r>
  <r>
    <x v="839"/>
    <n v="101.9"/>
  </r>
  <r>
    <x v="840"/>
    <n v="108.6"/>
  </r>
  <r>
    <x v="841"/>
    <n v="152.4"/>
  </r>
  <r>
    <x v="842"/>
    <n v="151.30000000000001"/>
  </r>
  <r>
    <x v="843"/>
    <n v="175.1"/>
  </r>
  <r>
    <x v="844"/>
    <n v="152.1"/>
  </r>
  <r>
    <x v="845"/>
    <n v="153.69999999999999"/>
  </r>
  <r>
    <x v="846"/>
    <n v="120.3"/>
  </r>
  <r>
    <x v="847"/>
    <n v="104.3"/>
  </r>
  <r>
    <x v="848"/>
    <n v="191"/>
  </r>
  <r>
    <x v="849"/>
    <n v="178.6"/>
  </r>
  <r>
    <x v="850"/>
    <n v="135"/>
  </r>
  <r>
    <x v="851"/>
    <n v="156.80000000000001"/>
  </r>
  <r>
    <x v="852"/>
    <n v="160"/>
  </r>
  <r>
    <x v="853"/>
    <n v="127.7"/>
  </r>
  <r>
    <x v="854"/>
    <n v="100.9"/>
  </r>
  <r>
    <x v="855"/>
    <n v="83.8"/>
  </r>
  <r>
    <x v="856"/>
    <n v="71.900000000000006"/>
  </r>
  <r>
    <x v="857"/>
    <n v="62.9"/>
  </r>
  <r>
    <x v="858"/>
    <n v="55.7"/>
  </r>
  <r>
    <x v="859"/>
    <n v="49.8"/>
  </r>
  <r>
    <x v="860"/>
    <n v="48.6"/>
  </r>
  <r>
    <x v="861"/>
    <n v="113"/>
  </r>
  <r>
    <x v="862"/>
    <n v="96.8"/>
  </r>
  <r>
    <x v="863"/>
    <n v="71.7"/>
  </r>
  <r>
    <x v="864"/>
    <n v="58.8"/>
  </r>
  <r>
    <x v="865"/>
    <n v="67.5"/>
  </r>
  <r>
    <x v="866"/>
    <n v="109.1"/>
  </r>
  <r>
    <x v="867"/>
    <n v="124.6"/>
  </r>
  <r>
    <x v="868"/>
    <n v="105.3"/>
  </r>
  <r>
    <x v="869"/>
    <n v="90.1"/>
  </r>
  <r>
    <x v="870"/>
    <n v="70.599999999999994"/>
  </r>
  <r>
    <x v="871"/>
    <n v="58.3"/>
  </r>
  <r>
    <x v="872"/>
    <n v="49.9"/>
  </r>
  <r>
    <x v="873"/>
    <n v="43.6"/>
  </r>
  <r>
    <x v="874"/>
    <n v="38.700000000000003"/>
  </r>
  <r>
    <x v="875"/>
    <n v="38.1"/>
  </r>
  <r>
    <x v="876"/>
    <n v="107.2"/>
  </r>
  <r>
    <x v="877"/>
    <n v="92.9"/>
  </r>
  <r>
    <x v="878"/>
    <n v="75.599999999999994"/>
  </r>
  <r>
    <x v="879"/>
    <n v="80"/>
  </r>
  <r>
    <x v="880"/>
    <n v="64.900000000000006"/>
  </r>
  <r>
    <x v="881"/>
    <n v="53.9"/>
  </r>
  <r>
    <x v="882"/>
    <n v="55.5"/>
  </r>
  <r>
    <x v="883"/>
    <n v="49.4"/>
  </r>
  <r>
    <x v="884"/>
    <n v="44.1"/>
  </r>
  <r>
    <x v="885"/>
    <n v="39.4"/>
  </r>
  <r>
    <x v="886"/>
    <n v="35.299999999999997"/>
  </r>
  <r>
    <x v="887"/>
    <n v="31.6"/>
  </r>
  <r>
    <x v="888"/>
    <n v="28.4"/>
  </r>
  <r>
    <x v="889"/>
    <n v="26.6"/>
  </r>
  <r>
    <x v="890"/>
    <n v="49.4"/>
  </r>
  <r>
    <x v="891"/>
    <n v="78.400000000000006"/>
  </r>
  <r>
    <x v="892"/>
    <n v="63.2"/>
  </r>
  <r>
    <x v="893"/>
    <n v="44.6"/>
  </r>
  <r>
    <x v="894"/>
    <n v="34.1"/>
  </r>
  <r>
    <x v="895"/>
    <n v="27.8"/>
  </r>
  <r>
    <x v="896"/>
    <n v="23.8"/>
  </r>
  <r>
    <x v="897"/>
    <n v="20.7"/>
  </r>
  <r>
    <x v="898"/>
    <n v="18.3"/>
  </r>
  <r>
    <x v="899"/>
    <n v="16.3"/>
  </r>
  <r>
    <x v="900"/>
    <n v="14.5"/>
  </r>
  <r>
    <x v="901"/>
    <n v="13"/>
  </r>
  <r>
    <x v="902"/>
    <n v="11.7"/>
  </r>
  <r>
    <x v="903"/>
    <n v="11.5"/>
  </r>
  <r>
    <x v="904"/>
    <n v="12.6"/>
  </r>
  <r>
    <x v="905"/>
    <n v="12.3"/>
  </r>
  <r>
    <x v="906"/>
    <n v="22.3"/>
  </r>
  <r>
    <x v="907"/>
    <n v="17.399999999999999"/>
  </r>
  <r>
    <x v="908"/>
    <n v="12.5"/>
  </r>
  <r>
    <x v="909"/>
    <n v="9.6999999999999993"/>
  </r>
  <r>
    <x v="910"/>
    <n v="8"/>
  </r>
  <r>
    <x v="911"/>
    <n v="6.8"/>
  </r>
  <r>
    <x v="912"/>
    <n v="5.9"/>
  </r>
  <r>
    <x v="913"/>
    <n v="5.4"/>
  </r>
  <r>
    <x v="914"/>
    <n v="10.4"/>
  </r>
  <r>
    <x v="915"/>
    <n v="8.4"/>
  </r>
  <r>
    <x v="916"/>
    <n v="6.2"/>
  </r>
  <r>
    <x v="917"/>
    <n v="4.8"/>
  </r>
  <r>
    <x v="918"/>
    <n v="3.9"/>
  </r>
  <r>
    <x v="919"/>
    <n v="3.3"/>
  </r>
  <r>
    <x v="920"/>
    <n v="2.8"/>
  </r>
  <r>
    <x v="921"/>
    <n v="2.5"/>
  </r>
  <r>
    <x v="922"/>
    <n v="2.2000000000000002"/>
  </r>
  <r>
    <x v="923"/>
    <n v="2"/>
  </r>
  <r>
    <x v="924"/>
    <n v="1.8"/>
  </r>
  <r>
    <x v="925"/>
    <n v="1.6"/>
  </r>
  <r>
    <x v="926"/>
    <n v="1.4"/>
  </r>
  <r>
    <x v="927"/>
    <n v="1.3"/>
  </r>
  <r>
    <x v="928"/>
    <n v="1.1000000000000001"/>
  </r>
  <r>
    <x v="929"/>
    <n v="1"/>
  </r>
  <r>
    <x v="930"/>
    <n v="1.1000000000000001"/>
  </r>
  <r>
    <x v="931"/>
    <n v="1.1000000000000001"/>
  </r>
  <r>
    <x v="932"/>
    <n v="4"/>
  </r>
  <r>
    <x v="933"/>
    <n v="3.1"/>
  </r>
  <r>
    <x v="934"/>
    <n v="2.2999999999999998"/>
  </r>
  <r>
    <x v="935"/>
    <n v="3"/>
  </r>
  <r>
    <x v="936"/>
    <n v="2.5"/>
  </r>
  <r>
    <x v="937"/>
    <n v="2.2000000000000002"/>
  </r>
  <r>
    <x v="938"/>
    <n v="10.7"/>
  </r>
  <r>
    <x v="939"/>
    <n v="32.299999999999997"/>
  </r>
  <r>
    <x v="940"/>
    <n v="24.4"/>
  </r>
  <r>
    <x v="941"/>
    <n v="21.5"/>
  </r>
  <r>
    <x v="942"/>
    <n v="17.600000000000001"/>
  </r>
  <r>
    <x v="943"/>
    <n v="15"/>
  </r>
  <r>
    <x v="944"/>
    <n v="13.1"/>
  </r>
  <r>
    <x v="945"/>
    <n v="11.6"/>
  </r>
  <r>
    <x v="946"/>
    <n v="11.3"/>
  </r>
  <r>
    <x v="947"/>
    <n v="17.7"/>
  </r>
  <r>
    <x v="948"/>
    <n v="20.7"/>
  </r>
  <r>
    <x v="949"/>
    <n v="53.7"/>
  </r>
  <r>
    <x v="950"/>
    <n v="43"/>
  </r>
  <r>
    <x v="951"/>
    <n v="32.799999999999997"/>
  </r>
  <r>
    <x v="952"/>
    <n v="31.3"/>
  </r>
  <r>
    <x v="953"/>
    <n v="26.5"/>
  </r>
  <r>
    <x v="954"/>
    <n v="23.8"/>
  </r>
  <r>
    <x v="955"/>
    <n v="21.4"/>
  </r>
  <r>
    <x v="956"/>
    <n v="20"/>
  </r>
  <r>
    <x v="957"/>
    <n v="39.799999999999997"/>
  </r>
  <r>
    <x v="958"/>
    <n v="80"/>
  </r>
  <r>
    <x v="959"/>
    <n v="61.1"/>
  </r>
  <r>
    <x v="960"/>
    <n v="44.7"/>
  </r>
  <r>
    <x v="961"/>
    <n v="35.200000000000003"/>
  </r>
  <r>
    <x v="962"/>
    <n v="28.9"/>
  </r>
  <r>
    <x v="963"/>
    <n v="24.8"/>
  </r>
  <r>
    <x v="964"/>
    <n v="22.1"/>
  </r>
  <r>
    <x v="965"/>
    <n v="28"/>
  </r>
  <r>
    <x v="966"/>
    <n v="52.9"/>
  </r>
  <r>
    <x v="967"/>
    <n v="56.6"/>
  </r>
  <r>
    <x v="968"/>
    <n v="40.799999999999997"/>
  </r>
  <r>
    <x v="969"/>
    <n v="32.6"/>
  </r>
  <r>
    <x v="970"/>
    <n v="76.3"/>
  </r>
  <r>
    <x v="971"/>
    <n v="61.6"/>
  </r>
  <r>
    <x v="972"/>
    <n v="45.3"/>
  </r>
  <r>
    <x v="973"/>
    <n v="46.7"/>
  </r>
  <r>
    <x v="974"/>
    <n v="70.900000000000006"/>
  </r>
  <r>
    <x v="975"/>
    <n v="57.3"/>
  </r>
  <r>
    <x v="976"/>
    <n v="58.4"/>
  </r>
  <r>
    <x v="977"/>
    <n v="54.7"/>
  </r>
  <r>
    <x v="978"/>
    <n v="53.2"/>
  </r>
  <r>
    <x v="979"/>
    <n v="42"/>
  </r>
  <r>
    <x v="980"/>
    <n v="38.700000000000003"/>
  </r>
  <r>
    <x v="981"/>
    <n v="36.200000000000003"/>
  </r>
  <r>
    <x v="982"/>
    <n v="34.5"/>
  </r>
  <r>
    <x v="983"/>
    <n v="38"/>
  </r>
  <r>
    <x v="984"/>
    <n v="72.599999999999994"/>
  </r>
  <r>
    <x v="985"/>
    <n v="109.5"/>
  </r>
  <r>
    <x v="986"/>
    <n v="82.1"/>
  </r>
  <r>
    <x v="987"/>
    <n v="69"/>
  </r>
  <r>
    <x v="988"/>
    <n v="83.1"/>
  </r>
  <r>
    <x v="989"/>
    <n v="63.6"/>
  </r>
  <r>
    <x v="990"/>
    <n v="65.400000000000006"/>
  </r>
  <r>
    <x v="991"/>
    <n v="72.900000000000006"/>
  </r>
  <r>
    <x v="992"/>
    <n v="72.8"/>
  </r>
  <r>
    <x v="993"/>
    <n v="119.8"/>
  </r>
  <r>
    <x v="994"/>
    <n v="101.7"/>
  </r>
  <r>
    <x v="995"/>
    <n v="84.7"/>
  </r>
  <r>
    <x v="996"/>
    <n v="66.900000000000006"/>
  </r>
  <r>
    <x v="997"/>
    <n v="115.4"/>
  </r>
  <r>
    <x v="998"/>
    <n v="110.6"/>
  </r>
  <r>
    <x v="999"/>
    <n v="85.4"/>
  </r>
  <r>
    <x v="1000"/>
    <n v="97.4"/>
  </r>
  <r>
    <x v="1001"/>
    <n v="96.7"/>
  </r>
  <r>
    <x v="1002"/>
    <n v="80.099999999999994"/>
  </r>
  <r>
    <x v="1003"/>
    <n v="97.1"/>
  </r>
  <r>
    <x v="1004"/>
    <n v="108.1"/>
  </r>
  <r>
    <x v="1005"/>
    <n v="120.5"/>
  </r>
  <r>
    <x v="1006"/>
    <n v="108.6"/>
  </r>
  <r>
    <x v="1007"/>
    <n v="104.2"/>
  </r>
  <r>
    <x v="1008"/>
    <n v="133.30000000000001"/>
  </r>
  <r>
    <x v="1009"/>
    <n v="171.4"/>
  </r>
  <r>
    <x v="1010"/>
    <n v="176.5"/>
  </r>
  <r>
    <x v="1011"/>
    <n v="167.5"/>
  </r>
  <r>
    <x v="1012"/>
    <n v="162.19999999999999"/>
  </r>
  <r>
    <x v="1013"/>
    <n v="126.1"/>
  </r>
  <r>
    <x v="1014"/>
    <n v="101.1"/>
  </r>
  <r>
    <x v="1015"/>
    <n v="144.5"/>
  </r>
  <r>
    <x v="1016"/>
    <n v="147.6"/>
  </r>
  <r>
    <x v="1017"/>
    <n v="105.4"/>
  </r>
  <r>
    <x v="1018"/>
    <n v="97.4"/>
  </r>
  <r>
    <x v="1019"/>
    <n v="151.5"/>
  </r>
  <r>
    <x v="1020"/>
    <n v="160"/>
  </r>
  <r>
    <x v="1021"/>
    <n v="125.9"/>
  </r>
  <r>
    <x v="1022"/>
    <n v="91.9"/>
  </r>
  <r>
    <x v="1023"/>
    <n v="77.900000000000006"/>
  </r>
  <r>
    <x v="1024"/>
    <n v="124.7"/>
  </r>
  <r>
    <x v="1025"/>
    <n v="173.3"/>
  </r>
  <r>
    <x v="1026"/>
    <n v="128.9"/>
  </r>
  <r>
    <x v="1027"/>
    <n v="97"/>
  </r>
  <r>
    <x v="1028"/>
    <n v="115.6"/>
  </r>
  <r>
    <x v="1029"/>
    <n v="132.9"/>
  </r>
  <r>
    <x v="1030"/>
    <n v="122.5"/>
  </r>
  <r>
    <x v="1031"/>
    <n v="134.69999999999999"/>
  </r>
  <r>
    <x v="1032"/>
    <n v="124.6"/>
  </r>
  <r>
    <x v="1033"/>
    <n v="93.2"/>
  </r>
  <r>
    <x v="1034"/>
    <n v="112.7"/>
  </r>
  <r>
    <x v="1035"/>
    <n v="119"/>
  </r>
  <r>
    <x v="1036"/>
    <n v="94.7"/>
  </r>
  <r>
    <x v="1037"/>
    <n v="138.4"/>
  </r>
  <r>
    <x v="1038"/>
    <n v="107.7"/>
  </r>
  <r>
    <x v="1039"/>
    <n v="88.9"/>
  </r>
  <r>
    <x v="1040"/>
    <n v="135.6"/>
  </r>
  <r>
    <x v="1041"/>
    <n v="157.30000000000001"/>
  </r>
  <r>
    <x v="1042"/>
    <n v="186.6"/>
  </r>
  <r>
    <x v="1043"/>
    <n v="177"/>
  </r>
  <r>
    <x v="1044"/>
    <n v="131"/>
  </r>
  <r>
    <x v="1045"/>
    <n v="103.8"/>
  </r>
  <r>
    <x v="1046"/>
    <n v="134.80000000000001"/>
  </r>
  <r>
    <x v="1047"/>
    <n v="134.30000000000001"/>
  </r>
  <r>
    <x v="1048"/>
    <n v="125.1"/>
  </r>
  <r>
    <x v="1049"/>
    <n v="106.3"/>
  </r>
  <r>
    <x v="1050"/>
    <n v="85.6"/>
  </r>
  <r>
    <x v="1051"/>
    <n v="136.5"/>
  </r>
  <r>
    <x v="1052"/>
    <n v="156.80000000000001"/>
  </r>
  <r>
    <x v="1053"/>
    <n v="140"/>
  </r>
  <r>
    <x v="1054"/>
    <n v="165"/>
  </r>
  <r>
    <x v="1055"/>
    <n v="122.7"/>
  </r>
  <r>
    <x v="1056"/>
    <n v="120.2"/>
  </r>
  <r>
    <x v="1057"/>
    <n v="141.6"/>
  </r>
  <r>
    <x v="1058"/>
    <n v="125.9"/>
  </r>
  <r>
    <x v="1059"/>
    <n v="97"/>
  </r>
  <r>
    <x v="1060"/>
    <n v="128.1"/>
  </r>
  <r>
    <x v="1061"/>
    <n v="145.69999999999999"/>
  </r>
  <r>
    <x v="1062"/>
    <n v="184.4"/>
  </r>
  <r>
    <x v="1063"/>
    <n v="200.8"/>
  </r>
  <r>
    <x v="1064"/>
    <n v="140.30000000000001"/>
  </r>
  <r>
    <x v="1065"/>
    <n v="107.2"/>
  </r>
  <r>
    <x v="1066"/>
    <n v="93.9"/>
  </r>
  <r>
    <x v="1067"/>
    <n v="132.19999999999999"/>
  </r>
  <r>
    <x v="1068"/>
    <n v="133.80000000000001"/>
  </r>
  <r>
    <x v="1069"/>
    <n v="150.6"/>
  </r>
  <r>
    <x v="1070"/>
    <n v="140.69999999999999"/>
  </r>
  <r>
    <x v="1071"/>
    <n v="123.6"/>
  </r>
  <r>
    <x v="1072"/>
    <n v="104.3"/>
  </r>
  <r>
    <x v="1073"/>
    <n v="115.8"/>
  </r>
  <r>
    <x v="1074"/>
    <n v="93.7"/>
  </r>
  <r>
    <x v="1075"/>
    <n v="89.6"/>
  </r>
  <r>
    <x v="1076"/>
    <n v="102.1"/>
  </r>
  <r>
    <x v="1077"/>
    <n v="123"/>
  </r>
  <r>
    <x v="1078"/>
    <n v="119.8"/>
  </r>
  <r>
    <x v="1079"/>
    <n v="105.3"/>
  </r>
  <r>
    <x v="1080"/>
    <n v="91.3"/>
  </r>
  <r>
    <x v="1081"/>
    <n v="91.4"/>
  </r>
  <r>
    <x v="1082"/>
    <n v="80.400000000000006"/>
  </r>
  <r>
    <x v="1083"/>
    <n v="130.69999999999999"/>
  </r>
  <r>
    <x v="1084"/>
    <n v="123.4"/>
  </r>
  <r>
    <x v="1085"/>
    <n v="143"/>
  </r>
  <r>
    <x v="1086"/>
    <n v="172.6"/>
  </r>
  <r>
    <x v="1087"/>
    <n v="125.8"/>
  </r>
  <r>
    <x v="1088"/>
    <n v="93.2"/>
  </r>
  <r>
    <x v="1089"/>
    <n v="77.400000000000006"/>
  </r>
  <r>
    <x v="1090"/>
    <n v="126.9"/>
  </r>
  <r>
    <x v="1091"/>
    <n v="165.9"/>
  </r>
  <r>
    <x v="1092"/>
    <n v="169.5"/>
  </r>
  <r>
    <x v="1093"/>
    <n v="147.30000000000001"/>
  </r>
  <r>
    <x v="1094"/>
    <n v="105.3"/>
  </r>
  <r>
    <x v="1095"/>
    <n v="82.1"/>
  </r>
  <r>
    <x v="1096"/>
    <n v="79.3"/>
  </r>
  <r>
    <x v="1097"/>
    <n v="92"/>
  </r>
  <r>
    <x v="1098"/>
    <n v="81.5"/>
  </r>
  <r>
    <x v="1099"/>
    <n v="73.400000000000006"/>
  </r>
  <r>
    <x v="1100"/>
    <n v="107.6"/>
  </r>
  <r>
    <x v="1101"/>
    <n v="155.80000000000001"/>
  </r>
  <r>
    <x v="1102"/>
    <n v="124.4"/>
  </r>
  <r>
    <x v="1103"/>
    <n v="111.7"/>
  </r>
  <r>
    <x v="1104"/>
    <n v="91.2"/>
  </r>
  <r>
    <x v="1105"/>
    <n v="120.5"/>
  </r>
  <r>
    <x v="1106"/>
    <n v="130.4"/>
  </r>
  <r>
    <x v="1107"/>
    <n v="104.2"/>
  </r>
  <r>
    <x v="1108"/>
    <n v="82.9"/>
  </r>
  <r>
    <x v="1109"/>
    <n v="110.9"/>
  </r>
  <r>
    <x v="1110"/>
    <n v="104.2"/>
  </r>
  <r>
    <x v="1111"/>
    <n v="95.7"/>
  </r>
  <r>
    <x v="1112"/>
    <n v="150.6"/>
  </r>
  <r>
    <x v="1113"/>
    <n v="138"/>
  </r>
  <r>
    <x v="1114"/>
    <n v="99.9"/>
  </r>
  <r>
    <x v="1115"/>
    <n v="80.599999999999994"/>
  </r>
  <r>
    <x v="1116"/>
    <n v="101"/>
  </r>
  <r>
    <x v="1117"/>
    <n v="144.4"/>
  </r>
  <r>
    <x v="1118"/>
    <n v="134"/>
  </r>
  <r>
    <x v="1119"/>
    <n v="111.3"/>
  </r>
  <r>
    <x v="1120"/>
    <n v="129.69999999999999"/>
  </r>
  <r>
    <x v="1121"/>
    <n v="108.4"/>
  </r>
  <r>
    <x v="1122"/>
    <n v="134.1"/>
  </r>
  <r>
    <x v="1123"/>
    <n v="106.7"/>
  </r>
  <r>
    <x v="1124"/>
    <n v="141"/>
  </r>
  <r>
    <x v="1125"/>
    <n v="122.5"/>
  </r>
  <r>
    <x v="1126"/>
    <n v="124.6"/>
  </r>
  <r>
    <x v="1127"/>
    <n v="94.6"/>
  </r>
  <r>
    <x v="1128"/>
    <n v="78.8"/>
  </r>
  <r>
    <x v="1129"/>
    <n v="108.1"/>
  </r>
  <r>
    <x v="1130"/>
    <n v="104.6"/>
  </r>
  <r>
    <x v="1131"/>
    <n v="122.7"/>
  </r>
  <r>
    <x v="1132"/>
    <n v="102.7"/>
  </r>
  <r>
    <x v="1133"/>
    <n v="143.80000000000001"/>
  </r>
  <r>
    <x v="1134"/>
    <n v="143.9"/>
  </r>
  <r>
    <x v="1135"/>
    <n v="124"/>
  </r>
  <r>
    <x v="1136"/>
    <n v="109.5"/>
  </r>
  <r>
    <x v="1137"/>
    <n v="86.1"/>
  </r>
  <r>
    <x v="1138"/>
    <n v="76.2"/>
  </r>
  <r>
    <x v="1139"/>
    <n v="135.6"/>
  </r>
  <r>
    <x v="1140"/>
    <n v="112.5"/>
  </r>
  <r>
    <x v="1141"/>
    <n v="114.2"/>
  </r>
  <r>
    <x v="1142"/>
    <n v="105.9"/>
  </r>
  <r>
    <x v="1143"/>
    <n v="103.5"/>
  </r>
  <r>
    <x v="1144"/>
    <n v="175.8"/>
  </r>
  <r>
    <x v="1145"/>
    <n v="167.3"/>
  </r>
  <r>
    <x v="1146"/>
    <n v="142.9"/>
  </r>
  <r>
    <x v="1147"/>
    <n v="126.9"/>
  </r>
  <r>
    <x v="1148"/>
    <n v="122"/>
  </r>
  <r>
    <x v="1149"/>
    <n v="129.5"/>
  </r>
  <r>
    <x v="1150"/>
    <n v="101.9"/>
  </r>
  <r>
    <x v="1151"/>
    <n v="83"/>
  </r>
  <r>
    <x v="1152"/>
    <n v="89.2"/>
  </r>
  <r>
    <x v="1153"/>
    <n v="80.7"/>
  </r>
  <r>
    <x v="1154"/>
    <n v="101.3"/>
  </r>
  <r>
    <x v="1155"/>
    <n v="90.2"/>
  </r>
  <r>
    <x v="1156"/>
    <n v="84.8"/>
  </r>
  <r>
    <x v="1157"/>
    <n v="75.3"/>
  </r>
  <r>
    <x v="1158"/>
    <n v="66.400000000000006"/>
  </r>
  <r>
    <x v="1159"/>
    <n v="70.7"/>
  </r>
  <r>
    <x v="1160"/>
    <n v="170.1"/>
  </r>
  <r>
    <x v="1161"/>
    <n v="142.80000000000001"/>
  </r>
  <r>
    <x v="1162"/>
    <n v="168"/>
  </r>
  <r>
    <x v="1163"/>
    <n v="177.2"/>
  </r>
  <r>
    <x v="1164"/>
    <n v="129.19999999999999"/>
  </r>
  <r>
    <x v="1165"/>
    <n v="98.4"/>
  </r>
  <r>
    <x v="1166"/>
    <n v="108.7"/>
  </r>
  <r>
    <x v="1167"/>
    <n v="128.6"/>
  </r>
  <r>
    <x v="1168"/>
    <n v="107"/>
  </r>
  <r>
    <x v="1169"/>
    <n v="87"/>
  </r>
  <r>
    <x v="1170"/>
    <n v="81.5"/>
  </r>
  <r>
    <x v="1171"/>
    <n v="75.099999999999994"/>
  </r>
  <r>
    <x v="1172"/>
    <n v="112.2"/>
  </r>
  <r>
    <x v="1173"/>
    <n v="157.30000000000001"/>
  </r>
  <r>
    <x v="1174"/>
    <n v="135.69999999999999"/>
  </r>
  <r>
    <x v="1175"/>
    <n v="135.1"/>
  </r>
  <r>
    <x v="1176"/>
    <n v="133.1"/>
  </r>
  <r>
    <x v="1177"/>
    <n v="157.69999999999999"/>
  </r>
  <r>
    <x v="1178"/>
    <n v="158.4"/>
  </r>
  <r>
    <x v="1179"/>
    <n v="117.1"/>
  </r>
  <r>
    <x v="1180"/>
    <n v="91.2"/>
  </r>
  <r>
    <x v="1181"/>
    <n v="78.599999999999994"/>
  </r>
  <r>
    <x v="1182"/>
    <n v="110.1"/>
  </r>
  <r>
    <x v="1183"/>
    <n v="141.30000000000001"/>
  </r>
  <r>
    <x v="1184"/>
    <n v="119.1"/>
  </r>
  <r>
    <x v="1185"/>
    <n v="184.9"/>
  </r>
  <r>
    <x v="1186"/>
    <n v="172.7"/>
  </r>
  <r>
    <x v="1187"/>
    <n v="129.30000000000001"/>
  </r>
  <r>
    <x v="1188"/>
    <n v="138.19999999999999"/>
  </r>
  <r>
    <x v="1189"/>
    <n v="180.9"/>
  </r>
  <r>
    <x v="1190"/>
    <n v="134.1"/>
  </r>
  <r>
    <x v="1191"/>
    <n v="141.80000000000001"/>
  </r>
  <r>
    <x v="1192"/>
    <n v="142.19999999999999"/>
  </r>
  <r>
    <x v="1193"/>
    <n v="112.6"/>
  </r>
  <r>
    <x v="1194"/>
    <n v="110.9"/>
  </r>
  <r>
    <x v="1195"/>
    <n v="91.8"/>
  </r>
  <r>
    <x v="1196"/>
    <n v="91.8"/>
  </r>
  <r>
    <x v="1197"/>
    <n v="192.3"/>
  </r>
  <r>
    <x v="1198"/>
    <n v="166.2"/>
  </r>
  <r>
    <x v="1199"/>
    <n v="168"/>
  </r>
  <r>
    <x v="1200"/>
    <n v="157.30000000000001"/>
  </r>
  <r>
    <x v="1201"/>
    <n v="147.6"/>
  </r>
  <r>
    <x v="1202"/>
    <n v="166.2"/>
  </r>
  <r>
    <x v="1203"/>
    <n v="133.1"/>
  </r>
  <r>
    <x v="1204"/>
    <n v="143.1"/>
  </r>
  <r>
    <x v="1205"/>
    <n v="157.1"/>
  </r>
  <r>
    <x v="1206"/>
    <n v="115.8"/>
  </r>
  <r>
    <x v="1207"/>
    <n v="93.8"/>
  </r>
  <r>
    <x v="1208"/>
    <n v="103"/>
  </r>
  <r>
    <x v="1209"/>
    <n v="105.3"/>
  </r>
  <r>
    <x v="1210"/>
    <n v="108.8"/>
  </r>
  <r>
    <x v="1211"/>
    <n v="90.4"/>
  </r>
  <r>
    <x v="1212"/>
    <n v="77.7"/>
  </r>
  <r>
    <x v="1213"/>
    <n v="68.099999999999994"/>
  </r>
  <r>
    <x v="1214"/>
    <n v="61"/>
  </r>
  <r>
    <x v="1215"/>
    <n v="76.2"/>
  </r>
  <r>
    <x v="1216"/>
    <n v="98.3"/>
  </r>
  <r>
    <x v="1217"/>
    <n v="92.6"/>
  </r>
  <r>
    <x v="1218"/>
    <n v="101.3"/>
  </r>
  <r>
    <x v="1219"/>
    <n v="120.5"/>
  </r>
  <r>
    <x v="1220"/>
    <n v="128.4"/>
  </r>
  <r>
    <x v="1221"/>
    <n v="113.9"/>
  </r>
  <r>
    <x v="1222"/>
    <n v="166.6"/>
  </r>
  <r>
    <x v="1223"/>
    <n v="161.9"/>
  </r>
  <r>
    <x v="1224"/>
    <n v="115.5"/>
  </r>
  <r>
    <x v="1225"/>
    <n v="88.3"/>
  </r>
  <r>
    <x v="1226"/>
    <n v="72.099999999999994"/>
  </r>
  <r>
    <x v="1227"/>
    <n v="65.5"/>
  </r>
  <r>
    <x v="1228"/>
    <n v="90.5"/>
  </r>
  <r>
    <x v="1229"/>
    <n v="79.400000000000006"/>
  </r>
  <r>
    <x v="1230"/>
    <n v="84.5"/>
  </r>
  <r>
    <x v="1231"/>
    <n v="102.8"/>
  </r>
  <r>
    <x v="1232"/>
    <n v="93.3"/>
  </r>
  <r>
    <x v="1233"/>
    <n v="76.900000000000006"/>
  </r>
  <r>
    <x v="1234"/>
    <n v="93"/>
  </r>
  <r>
    <x v="1235"/>
    <n v="96.2"/>
  </r>
  <r>
    <x v="1236"/>
    <n v="77.599999999999994"/>
  </r>
  <r>
    <x v="1237"/>
    <n v="65.400000000000006"/>
  </r>
  <r>
    <x v="1238"/>
    <n v="58.1"/>
  </r>
  <r>
    <x v="1239"/>
    <n v="74"/>
  </r>
  <r>
    <x v="1240"/>
    <n v="85.2"/>
  </r>
  <r>
    <x v="1241"/>
    <n v="73.5"/>
  </r>
  <r>
    <x v="1242"/>
    <n v="63.9"/>
  </r>
  <r>
    <x v="1243"/>
    <n v="78.400000000000006"/>
  </r>
  <r>
    <x v="1244"/>
    <n v="85.1"/>
  </r>
  <r>
    <x v="1245"/>
    <n v="80.7"/>
  </r>
  <r>
    <x v="1246"/>
    <n v="66.7"/>
  </r>
  <r>
    <x v="1247"/>
    <n v="56.9"/>
  </r>
  <r>
    <x v="1248"/>
    <n v="49.7"/>
  </r>
  <r>
    <x v="1249"/>
    <n v="44"/>
  </r>
  <r>
    <x v="1250"/>
    <n v="39.299999999999997"/>
  </r>
  <r>
    <x v="1251"/>
    <n v="35.799999999999997"/>
  </r>
  <r>
    <x v="1252"/>
    <n v="32.200000000000003"/>
  </r>
  <r>
    <x v="1253"/>
    <n v="28.8"/>
  </r>
  <r>
    <x v="1254"/>
    <n v="25.8"/>
  </r>
  <r>
    <x v="1255"/>
    <n v="23.2"/>
  </r>
  <r>
    <x v="1256"/>
    <n v="20.9"/>
  </r>
  <r>
    <x v="1257"/>
    <n v="18.8"/>
  </r>
  <r>
    <x v="1258"/>
    <n v="17.100000000000001"/>
  </r>
  <r>
    <x v="1259"/>
    <n v="15.3"/>
  </r>
  <r>
    <x v="1260"/>
    <n v="13.8"/>
  </r>
  <r>
    <x v="1261"/>
    <n v="12.6"/>
  </r>
  <r>
    <x v="1262"/>
    <n v="11.3"/>
  </r>
  <r>
    <x v="1263"/>
    <n v="10.1"/>
  </r>
  <r>
    <x v="1264"/>
    <n v="9.1"/>
  </r>
  <r>
    <x v="1265"/>
    <n v="8.5"/>
  </r>
  <r>
    <x v="1266"/>
    <n v="8.3000000000000007"/>
  </r>
  <r>
    <x v="1267"/>
    <n v="7.3"/>
  </r>
  <r>
    <x v="1268"/>
    <n v="6.3"/>
  </r>
  <r>
    <x v="1269"/>
    <n v="5.6"/>
  </r>
  <r>
    <x v="1270"/>
    <n v="5.9"/>
  </r>
  <r>
    <x v="1271"/>
    <n v="5.2"/>
  </r>
  <r>
    <x v="1272"/>
    <n v="5.3"/>
  </r>
  <r>
    <x v="1273"/>
    <n v="5.7"/>
  </r>
  <r>
    <x v="1274"/>
    <n v="43.5"/>
  </r>
  <r>
    <x v="1275"/>
    <n v="41.5"/>
  </r>
  <r>
    <x v="1276"/>
    <n v="28.3"/>
  </r>
  <r>
    <x v="1277"/>
    <n v="21.2"/>
  </r>
  <r>
    <x v="1278"/>
    <n v="17"/>
  </r>
  <r>
    <x v="1279"/>
    <n v="14.9"/>
  </r>
  <r>
    <x v="1280"/>
    <n v="25.9"/>
  </r>
  <r>
    <x v="1281"/>
    <n v="35"/>
  </r>
  <r>
    <x v="1282"/>
    <n v="26.2"/>
  </r>
  <r>
    <x v="1283"/>
    <n v="18.2"/>
  </r>
  <r>
    <x v="1284"/>
    <n v="13.6"/>
  </r>
  <r>
    <x v="1285"/>
    <n v="10.8"/>
  </r>
  <r>
    <x v="1286"/>
    <n v="9"/>
  </r>
  <r>
    <x v="1287"/>
    <n v="7.7"/>
  </r>
  <r>
    <x v="1288"/>
    <n v="6.8"/>
  </r>
  <r>
    <x v="1289"/>
    <n v="6"/>
  </r>
  <r>
    <x v="1290"/>
    <n v="5.7"/>
  </r>
  <r>
    <x v="1291"/>
    <n v="7.4"/>
  </r>
  <r>
    <x v="1292"/>
    <n v="6.7"/>
  </r>
  <r>
    <x v="1293"/>
    <n v="6"/>
  </r>
  <r>
    <x v="1294"/>
    <n v="5.3"/>
  </r>
  <r>
    <x v="1295"/>
    <n v="4.5999999999999996"/>
  </r>
  <r>
    <x v="1296"/>
    <n v="4.0999999999999996"/>
  </r>
  <r>
    <x v="1297"/>
    <n v="3.6"/>
  </r>
  <r>
    <x v="1298"/>
    <n v="3.3"/>
  </r>
  <r>
    <x v="1299"/>
    <n v="2.9"/>
  </r>
  <r>
    <x v="1300"/>
    <n v="2.7"/>
  </r>
  <r>
    <x v="1301"/>
    <n v="3.1"/>
  </r>
  <r>
    <x v="1302"/>
    <n v="2.7"/>
  </r>
  <r>
    <x v="1303"/>
    <n v="2.2999999999999998"/>
  </r>
  <r>
    <x v="1304"/>
    <n v="3.5"/>
  </r>
  <r>
    <x v="1305"/>
    <n v="2.9"/>
  </r>
  <r>
    <x v="1306"/>
    <n v="2.8"/>
  </r>
  <r>
    <x v="1307"/>
    <n v="2.1"/>
  </r>
  <r>
    <x v="1308"/>
    <n v="1.6"/>
  </r>
  <r>
    <x v="1309"/>
    <n v="1.4"/>
  </r>
  <r>
    <x v="1310"/>
    <n v="1.1000000000000001"/>
  </r>
  <r>
    <x v="1311"/>
    <n v="1"/>
  </r>
  <r>
    <x v="1312"/>
    <n v="1.6"/>
  </r>
  <r>
    <x v="1313"/>
    <n v="2"/>
  </r>
  <r>
    <x v="1314"/>
    <n v="1.5"/>
  </r>
  <r>
    <x v="1315"/>
    <n v="1.1000000000000001"/>
  </r>
  <r>
    <x v="1316"/>
    <n v="2.4"/>
  </r>
  <r>
    <x v="1317"/>
    <n v="21.5"/>
  </r>
  <r>
    <x v="1318"/>
    <n v="17.399999999999999"/>
  </r>
  <r>
    <x v="1319"/>
    <n v="20.2"/>
  </r>
  <r>
    <x v="1320"/>
    <n v="20.9"/>
  </r>
  <r>
    <x v="1321"/>
    <n v="26.3"/>
  </r>
  <r>
    <x v="1322"/>
    <n v="24.7"/>
  </r>
  <r>
    <x v="1323"/>
    <n v="18"/>
  </r>
  <r>
    <x v="1324"/>
    <n v="16.399999999999999"/>
  </r>
  <r>
    <x v="1325"/>
    <n v="15"/>
  </r>
  <r>
    <x v="1326"/>
    <n v="42.8"/>
  </r>
  <r>
    <x v="1327"/>
    <n v="35.9"/>
  </r>
  <r>
    <x v="1328"/>
    <n v="28.4"/>
  </r>
  <r>
    <x v="1329"/>
    <n v="26.4"/>
  </r>
  <r>
    <x v="1330"/>
    <n v="25.8"/>
  </r>
  <r>
    <x v="1331"/>
    <n v="24.2"/>
  </r>
  <r>
    <x v="1332"/>
    <n v="20.399999999999999"/>
  </r>
  <r>
    <x v="1333"/>
    <n v="18.600000000000001"/>
  </r>
  <r>
    <x v="1334"/>
    <n v="29"/>
  </r>
  <r>
    <x v="1335"/>
    <n v="29.4"/>
  </r>
  <r>
    <x v="1336"/>
    <n v="63"/>
  </r>
  <r>
    <x v="1337"/>
    <n v="118.8"/>
  </r>
  <r>
    <x v="1338"/>
    <n v="89.6"/>
  </r>
  <r>
    <x v="1339"/>
    <n v="72.7"/>
  </r>
  <r>
    <x v="1340"/>
    <n v="86.4"/>
  </r>
  <r>
    <x v="1341"/>
    <n v="65"/>
  </r>
  <r>
    <x v="1342"/>
    <n v="52.9"/>
  </r>
  <r>
    <x v="1343"/>
    <n v="52.5"/>
  </r>
  <r>
    <x v="1344"/>
    <n v="76.400000000000006"/>
  </r>
  <r>
    <x v="1345"/>
    <n v="66.3"/>
  </r>
  <r>
    <x v="1346"/>
    <n v="68.900000000000006"/>
  </r>
  <r>
    <x v="1347"/>
    <n v="107.7"/>
  </r>
  <r>
    <x v="1348"/>
    <n v="92"/>
  </r>
  <r>
    <x v="1349"/>
    <n v="72.2"/>
  </r>
  <r>
    <x v="1350"/>
    <n v="92.1"/>
  </r>
  <r>
    <x v="1351"/>
    <n v="73.900000000000006"/>
  </r>
  <r>
    <x v="1352"/>
    <n v="70.2"/>
  </r>
  <r>
    <x v="1353"/>
    <n v="92.6"/>
  </r>
  <r>
    <x v="1354"/>
    <n v="95.3"/>
  </r>
  <r>
    <x v="1355"/>
    <n v="92.5"/>
  </r>
  <r>
    <x v="1356"/>
    <n v="106.5"/>
  </r>
  <r>
    <x v="1357"/>
    <n v="98.3"/>
  </r>
  <r>
    <x v="1358"/>
    <n v="77.900000000000006"/>
  </r>
  <r>
    <x v="1359"/>
    <n v="88.5"/>
  </r>
  <r>
    <x v="1360"/>
    <n v="119.9"/>
  </r>
  <r>
    <x v="1361"/>
    <n v="114.7"/>
  </r>
  <r>
    <x v="1362"/>
    <n v="84.4"/>
  </r>
  <r>
    <x v="1363"/>
    <n v="69.400000000000006"/>
  </r>
  <r>
    <x v="1364"/>
    <n v="100"/>
  </r>
  <r>
    <x v="1365"/>
    <n v="103.5"/>
  </r>
  <r>
    <x v="1366"/>
    <n v="98.4"/>
  </r>
  <r>
    <x v="1367"/>
    <n v="107.6"/>
  </r>
  <r>
    <x v="1368"/>
    <n v="86.2"/>
  </r>
  <r>
    <x v="1369"/>
    <n v="126"/>
  </r>
  <r>
    <x v="1370"/>
    <n v="146.9"/>
  </r>
  <r>
    <x v="1371"/>
    <n v="108"/>
  </r>
  <r>
    <x v="1372"/>
    <n v="90.7"/>
  </r>
  <r>
    <x v="1373"/>
    <n v="107.3"/>
  </r>
  <r>
    <x v="1374"/>
    <n v="122.6"/>
  </r>
  <r>
    <x v="1375"/>
    <n v="115.3"/>
  </r>
  <r>
    <x v="1376"/>
    <n v="163.1"/>
  </r>
  <r>
    <x v="1377"/>
    <n v="202.9"/>
  </r>
  <r>
    <x v="1378"/>
    <n v="146.9"/>
  </r>
  <r>
    <x v="1379"/>
    <n v="147.80000000000001"/>
  </r>
  <r>
    <x v="1380"/>
    <n v="134.19999999999999"/>
  </r>
  <r>
    <x v="1381"/>
    <n v="112"/>
  </r>
  <r>
    <x v="1382"/>
    <n v="158.30000000000001"/>
  </r>
  <r>
    <x v="1383"/>
    <n v="117.9"/>
  </r>
  <r>
    <x v="1384"/>
    <n v="94.2"/>
  </r>
  <r>
    <x v="1385"/>
    <n v="89.9"/>
  </r>
  <r>
    <x v="1386"/>
    <n v="133.4"/>
  </r>
  <r>
    <x v="1387"/>
    <n v="158.9"/>
  </r>
  <r>
    <x v="1388"/>
    <n v="172.3"/>
  </r>
  <r>
    <x v="1389"/>
    <n v="161.19999999999999"/>
  </r>
  <r>
    <x v="1390"/>
    <n v="180.5"/>
  </r>
  <r>
    <x v="1391"/>
    <n v="164.8"/>
  </r>
  <r>
    <x v="1392"/>
    <n v="122.8"/>
  </r>
  <r>
    <x v="1393"/>
    <n v="109.1"/>
  </r>
  <r>
    <x v="1394"/>
    <n v="169.5"/>
  </r>
  <r>
    <x v="1395"/>
    <n v="153.5"/>
  </r>
  <r>
    <x v="1396"/>
    <n v="114.6"/>
  </r>
  <r>
    <x v="1397"/>
    <n v="156.5"/>
  </r>
  <r>
    <x v="1398"/>
    <n v="152.19999999999999"/>
  </r>
  <r>
    <x v="1399"/>
    <n v="154.4"/>
  </r>
  <r>
    <x v="1400"/>
    <n v="126.8"/>
  </r>
  <r>
    <x v="1401"/>
    <n v="97"/>
  </r>
  <r>
    <x v="1402"/>
    <n v="91.4"/>
  </r>
  <r>
    <x v="1403"/>
    <n v="181.2"/>
  </r>
  <r>
    <x v="1404"/>
    <n v="181.5"/>
  </r>
  <r>
    <x v="1405"/>
    <n v="156.30000000000001"/>
  </r>
  <r>
    <x v="1406"/>
    <n v="129.30000000000001"/>
  </r>
  <r>
    <x v="1407"/>
    <n v="126.3"/>
  </r>
  <r>
    <x v="1408"/>
    <n v="143.4"/>
  </r>
  <r>
    <x v="1409"/>
    <n v="190.9"/>
  </r>
  <r>
    <x v="1410"/>
    <n v="143.1"/>
  </r>
  <r>
    <x v="1411"/>
    <n v="148.80000000000001"/>
  </r>
  <r>
    <x v="1412"/>
    <n v="114.7"/>
  </r>
  <r>
    <x v="1413"/>
    <n v="148.6"/>
  </r>
  <r>
    <x v="1414"/>
    <n v="126.9"/>
  </r>
  <r>
    <x v="1415"/>
    <n v="136"/>
  </r>
  <r>
    <x v="1416"/>
    <n v="113.8"/>
  </r>
  <r>
    <x v="1417"/>
    <n v="96.3"/>
  </r>
  <r>
    <x v="1418"/>
    <n v="116.2"/>
  </r>
  <r>
    <x v="1419"/>
    <n v="146.80000000000001"/>
  </r>
  <r>
    <x v="1420"/>
    <n v="142.9"/>
  </r>
  <r>
    <x v="1421"/>
    <n v="152.30000000000001"/>
  </r>
  <r>
    <x v="1422"/>
    <n v="140.80000000000001"/>
  </r>
  <r>
    <x v="1423"/>
    <n v="108.3"/>
  </r>
  <r>
    <x v="1424"/>
    <n v="113.6"/>
  </r>
  <r>
    <x v="1425"/>
    <n v="91.2"/>
  </r>
  <r>
    <x v="1426"/>
    <n v="108.1"/>
  </r>
  <r>
    <x v="1427"/>
    <n v="145.30000000000001"/>
  </r>
  <r>
    <x v="1428"/>
    <n v="139.9"/>
  </r>
  <r>
    <x v="1429"/>
    <n v="138.5"/>
  </r>
  <r>
    <x v="1430"/>
    <n v="110.9"/>
  </r>
  <r>
    <x v="1431"/>
    <n v="138.19999999999999"/>
  </r>
  <r>
    <x v="1432"/>
    <n v="175.1"/>
  </r>
  <r>
    <x v="1433"/>
    <n v="172.9"/>
  </r>
  <r>
    <x v="1434"/>
    <n v="194.8"/>
  </r>
  <r>
    <x v="1435"/>
    <n v="155.4"/>
  </r>
  <r>
    <x v="1436"/>
    <n v="117.9"/>
  </r>
  <r>
    <x v="1437"/>
    <n v="123.9"/>
  </r>
  <r>
    <x v="1438"/>
    <n v="109.8"/>
  </r>
  <r>
    <x v="1439"/>
    <n v="137.80000000000001"/>
  </r>
  <r>
    <x v="1440"/>
    <n v="106.9"/>
  </r>
  <r>
    <x v="1441"/>
    <n v="87.4"/>
  </r>
  <r>
    <x v="1442"/>
    <n v="87.7"/>
  </r>
  <r>
    <x v="1443"/>
    <n v="92.6"/>
  </r>
  <r>
    <x v="1444"/>
    <n v="149.6"/>
  </r>
  <r>
    <x v="1445"/>
    <n v="123.6"/>
  </r>
  <r>
    <x v="1446"/>
    <n v="96.7"/>
  </r>
  <r>
    <x v="1447"/>
    <n v="111.2"/>
  </r>
  <r>
    <x v="1448"/>
    <n v="164"/>
  </r>
  <r>
    <x v="1449"/>
    <n v="201.9"/>
  </r>
  <r>
    <x v="1450"/>
    <n v="198.6"/>
  </r>
  <r>
    <x v="1451"/>
    <n v="142.80000000000001"/>
  </r>
  <r>
    <x v="1452"/>
    <n v="109.6"/>
  </r>
  <r>
    <x v="1453"/>
    <n v="105.5"/>
  </r>
  <r>
    <x v="1454"/>
    <n v="141.30000000000001"/>
  </r>
  <r>
    <x v="1455"/>
    <n v="111.2"/>
  </r>
  <r>
    <x v="1456"/>
    <n v="130.69999999999999"/>
  </r>
  <r>
    <x v="1457"/>
    <n v="142"/>
  </r>
  <r>
    <x v="1458"/>
    <n v="154.30000000000001"/>
  </r>
  <r>
    <x v="1459"/>
    <n v="174.9"/>
  </r>
  <r>
    <x v="1460"/>
    <n v="182.6"/>
  </r>
  <r>
    <x v="1461"/>
    <n v="143.6"/>
  </r>
  <r>
    <x v="1462"/>
    <n v="146.6"/>
  </r>
  <r>
    <x v="1463"/>
    <n v="114.5"/>
  </r>
  <r>
    <x v="1464"/>
    <n v="143.1"/>
  </r>
  <r>
    <x v="1465"/>
    <n v="128.4"/>
  </r>
  <r>
    <x v="1466"/>
    <n v="99.3"/>
  </r>
  <r>
    <x v="1467"/>
    <n v="81.8"/>
  </r>
  <r>
    <x v="1468"/>
    <n v="85.9"/>
  </r>
  <r>
    <x v="1469"/>
    <n v="87.3"/>
  </r>
  <r>
    <x v="1470"/>
    <n v="125"/>
  </r>
  <r>
    <x v="1471"/>
    <n v="124.5"/>
  </r>
  <r>
    <x v="1472"/>
    <n v="120.4"/>
  </r>
  <r>
    <x v="1473"/>
    <n v="104.1"/>
  </r>
  <r>
    <x v="1474"/>
    <n v="95.3"/>
  </r>
  <r>
    <x v="1475"/>
    <n v="131.9"/>
  </r>
  <r>
    <x v="1476"/>
    <n v="101.9"/>
  </r>
  <r>
    <x v="1477"/>
    <n v="100"/>
  </r>
  <r>
    <x v="1478"/>
    <n v="87.6"/>
  </r>
  <r>
    <x v="1479"/>
    <n v="107.1"/>
  </r>
  <r>
    <x v="1480"/>
    <n v="126.5"/>
  </r>
  <r>
    <x v="1481"/>
    <n v="120.3"/>
  </r>
  <r>
    <x v="1482"/>
    <n v="93.2"/>
  </r>
  <r>
    <x v="1483"/>
    <n v="109.9"/>
  </r>
  <r>
    <x v="1484"/>
    <n v="140.80000000000001"/>
  </r>
  <r>
    <x v="1485"/>
    <n v="115.5"/>
  </r>
  <r>
    <x v="1486"/>
    <n v="121.1"/>
  </r>
  <r>
    <x v="1487"/>
    <n v="133"/>
  </r>
  <r>
    <x v="1488"/>
    <n v="108.2"/>
  </r>
  <r>
    <x v="1489"/>
    <n v="147.5"/>
  </r>
  <r>
    <x v="1490"/>
    <n v="112.4"/>
  </r>
  <r>
    <x v="1491"/>
    <n v="111.1"/>
  </r>
  <r>
    <x v="1492"/>
    <n v="102.8"/>
  </r>
  <r>
    <x v="1493"/>
    <n v="85.2"/>
  </r>
  <r>
    <x v="1494"/>
    <n v="73.8"/>
  </r>
  <r>
    <x v="1495"/>
    <n v="85.9"/>
  </r>
  <r>
    <x v="1496"/>
    <n v="74.3"/>
  </r>
  <r>
    <x v="1497"/>
    <n v="65.099999999999994"/>
  </r>
  <r>
    <x v="1498"/>
    <n v="73.599999999999994"/>
  </r>
  <r>
    <x v="1499"/>
    <n v="107.3"/>
  </r>
  <r>
    <x v="1500"/>
    <n v="106.7"/>
  </r>
  <r>
    <x v="1501"/>
    <n v="86.3"/>
  </r>
  <r>
    <x v="1502"/>
    <n v="102.4"/>
  </r>
  <r>
    <x v="1503"/>
    <n v="124"/>
  </r>
  <r>
    <x v="1504"/>
    <n v="104.6"/>
  </r>
  <r>
    <x v="1505"/>
    <n v="127.6"/>
  </r>
  <r>
    <x v="1506"/>
    <n v="122.5"/>
  </r>
  <r>
    <x v="1507"/>
    <n v="111.7"/>
  </r>
  <r>
    <x v="1508"/>
    <n v="93.2"/>
  </r>
  <r>
    <x v="1509"/>
    <n v="103.1"/>
  </r>
  <r>
    <x v="1510"/>
    <n v="104.1"/>
  </r>
  <r>
    <x v="1511"/>
    <n v="133.9"/>
  </r>
  <r>
    <x v="1512"/>
    <n v="101.9"/>
  </r>
  <r>
    <x v="1513"/>
    <n v="85.1"/>
  </r>
  <r>
    <x v="1514"/>
    <n v="105.5"/>
  </r>
  <r>
    <x v="1515"/>
    <n v="90.5"/>
  </r>
  <r>
    <x v="1516"/>
    <n v="81.099999999999994"/>
  </r>
  <r>
    <x v="1517"/>
    <n v="147.69999999999999"/>
  </r>
  <r>
    <x v="1518"/>
    <n v="165.5"/>
  </r>
  <r>
    <x v="1519"/>
    <n v="122.1"/>
  </r>
  <r>
    <x v="1520"/>
    <n v="93.8"/>
  </r>
  <r>
    <x v="1521"/>
    <n v="80"/>
  </r>
  <r>
    <x v="1522"/>
    <n v="140.30000000000001"/>
  </r>
  <r>
    <x v="1523"/>
    <n v="170.4"/>
  </r>
  <r>
    <x v="1524"/>
    <n v="135.9"/>
  </r>
  <r>
    <x v="1525"/>
    <n v="157.5"/>
  </r>
  <r>
    <x v="1526"/>
    <n v="122.7"/>
  </r>
  <r>
    <x v="1527"/>
    <n v="147.9"/>
  </r>
  <r>
    <x v="1528"/>
    <n v="116.3"/>
  </r>
  <r>
    <x v="1529"/>
    <n v="114.6"/>
  </r>
  <r>
    <x v="1530"/>
    <n v="120.1"/>
  </r>
  <r>
    <x v="1531"/>
    <n v="133.69999999999999"/>
  </r>
  <r>
    <x v="1532"/>
    <n v="125.3"/>
  </r>
  <r>
    <x v="1533"/>
    <n v="104"/>
  </r>
  <r>
    <x v="1534"/>
    <n v="89.1"/>
  </r>
  <r>
    <x v="1535"/>
    <n v="132.5"/>
  </r>
  <r>
    <x v="1536"/>
    <n v="165.9"/>
  </r>
  <r>
    <x v="1537"/>
    <n v="140.4"/>
  </r>
  <r>
    <x v="1538"/>
    <n v="148.5"/>
  </r>
  <r>
    <x v="1539"/>
    <n v="113.1"/>
  </r>
  <r>
    <x v="1540"/>
    <n v="109.1"/>
  </r>
  <r>
    <x v="1541"/>
    <n v="102"/>
  </r>
  <r>
    <x v="1542"/>
    <n v="107.7"/>
  </r>
  <r>
    <x v="1543"/>
    <n v="141"/>
  </r>
  <r>
    <x v="1544"/>
    <n v="110.2"/>
  </r>
  <r>
    <x v="1545"/>
    <n v="96.4"/>
  </r>
  <r>
    <x v="1546"/>
    <n v="186.2"/>
  </r>
  <r>
    <x v="1547"/>
    <n v="219.7"/>
  </r>
  <r>
    <x v="1548"/>
    <n v="169.6"/>
  </r>
  <r>
    <x v="1549"/>
    <n v="171.6"/>
  </r>
  <r>
    <x v="1550"/>
    <n v="178.1"/>
  </r>
  <r>
    <x v="1551"/>
    <n v="177.7"/>
  </r>
  <r>
    <x v="1552"/>
    <n v="127.6"/>
  </r>
  <r>
    <x v="1553"/>
    <n v="99.4"/>
  </r>
  <r>
    <x v="1554"/>
    <n v="96.4"/>
  </r>
  <r>
    <x v="1555"/>
    <n v="93.8"/>
  </r>
  <r>
    <x v="1556"/>
    <n v="153.4"/>
  </r>
  <r>
    <x v="1557"/>
    <n v="125.8"/>
  </r>
  <r>
    <x v="1558"/>
    <n v="97.1"/>
  </r>
  <r>
    <x v="1559"/>
    <n v="85.1"/>
  </r>
  <r>
    <x v="1560"/>
    <n v="116"/>
  </r>
  <r>
    <x v="1561"/>
    <n v="134.69999999999999"/>
  </r>
  <r>
    <x v="1562"/>
    <n v="154.9"/>
  </r>
  <r>
    <x v="1563"/>
    <n v="159.80000000000001"/>
  </r>
  <r>
    <x v="1564"/>
    <n v="115.8"/>
  </r>
  <r>
    <x v="1565"/>
    <n v="90.5"/>
  </r>
  <r>
    <x v="1566"/>
    <n v="86.5"/>
  </r>
  <r>
    <x v="1567"/>
    <n v="127.7"/>
  </r>
  <r>
    <x v="1568"/>
    <n v="110.1"/>
  </r>
  <r>
    <x v="1569"/>
    <n v="98.6"/>
  </r>
  <r>
    <x v="1570"/>
    <n v="88.7"/>
  </r>
  <r>
    <x v="1571"/>
    <n v="145.69999999999999"/>
  </r>
  <r>
    <x v="1572"/>
    <n v="127.8"/>
  </r>
  <r>
    <x v="1573"/>
    <n v="119"/>
  </r>
  <r>
    <x v="1574"/>
    <n v="132.19999999999999"/>
  </r>
  <r>
    <x v="1575"/>
    <n v="132.5"/>
  </r>
  <r>
    <x v="1576"/>
    <n v="165.2"/>
  </r>
  <r>
    <x v="1577"/>
    <n v="160.69999999999999"/>
  </r>
  <r>
    <x v="1578"/>
    <n v="113.9"/>
  </r>
  <r>
    <x v="1579"/>
    <n v="87.8"/>
  </r>
  <r>
    <x v="1580"/>
    <n v="78.3"/>
  </r>
  <r>
    <x v="1581"/>
    <n v="151.69999999999999"/>
  </r>
  <r>
    <x v="1582"/>
    <n v="125.5"/>
  </r>
  <r>
    <x v="1583"/>
    <n v="98.1"/>
  </r>
  <r>
    <x v="1584"/>
    <n v="81"/>
  </r>
  <r>
    <x v="1585"/>
    <n v="70.7"/>
  </r>
  <r>
    <x v="1586"/>
    <n v="110.7"/>
  </r>
  <r>
    <x v="1587"/>
    <n v="176.3"/>
  </r>
  <r>
    <x v="1588"/>
    <n v="166.3"/>
  </r>
  <r>
    <x v="1589"/>
    <n v="118"/>
  </r>
  <r>
    <x v="1590"/>
    <n v="93"/>
  </r>
  <r>
    <x v="1591"/>
    <n v="122.5"/>
  </r>
  <r>
    <x v="1592"/>
    <n v="103.3"/>
  </r>
  <r>
    <x v="1593"/>
    <n v="106.9"/>
  </r>
  <r>
    <x v="1594"/>
    <n v="101.5"/>
  </r>
  <r>
    <x v="1595"/>
    <n v="82.2"/>
  </r>
  <r>
    <x v="1596"/>
    <n v="69.2"/>
  </r>
  <r>
    <x v="1597"/>
    <n v="59.9"/>
  </r>
  <r>
    <x v="1598"/>
    <n v="52.7"/>
  </r>
  <r>
    <x v="1599"/>
    <n v="46.9"/>
  </r>
  <r>
    <x v="1600"/>
    <n v="41.9"/>
  </r>
  <r>
    <x v="1601"/>
    <n v="37.5"/>
  </r>
  <r>
    <x v="1602"/>
    <n v="33.700000000000003"/>
  </r>
  <r>
    <x v="1603"/>
    <n v="30.2"/>
  </r>
  <r>
    <x v="1604"/>
    <n v="27.2"/>
  </r>
  <r>
    <x v="1605"/>
    <n v="24.5"/>
  </r>
  <r>
    <x v="1606"/>
    <n v="24.1"/>
  </r>
  <r>
    <x v="1607"/>
    <n v="21.5"/>
  </r>
  <r>
    <x v="1608"/>
    <n v="22.3"/>
  </r>
  <r>
    <x v="1609"/>
    <n v="20.399999999999999"/>
  </r>
  <r>
    <x v="1610"/>
    <n v="20.8"/>
  </r>
  <r>
    <x v="1611"/>
    <n v="17.3"/>
  </r>
  <r>
    <x v="1612"/>
    <n v="14.1"/>
  </r>
  <r>
    <x v="1613"/>
    <n v="12.1"/>
  </r>
  <r>
    <x v="1614"/>
    <n v="10.4"/>
  </r>
  <r>
    <x v="1615"/>
    <n v="9"/>
  </r>
  <r>
    <x v="1616"/>
    <n v="8.3000000000000007"/>
  </r>
  <r>
    <x v="1617"/>
    <n v="10.1"/>
  </r>
  <r>
    <x v="1618"/>
    <n v="8.8000000000000007"/>
  </r>
  <r>
    <x v="1619"/>
    <n v="7.1"/>
  </r>
  <r>
    <x v="1620"/>
    <n v="6.2"/>
  </r>
  <r>
    <x v="1621"/>
    <n v="6.1"/>
  </r>
  <r>
    <x v="1622"/>
    <n v="5.3"/>
  </r>
  <r>
    <x v="1623"/>
    <n v="4.7"/>
  </r>
  <r>
    <x v="1624"/>
    <n v="4.2"/>
  </r>
  <r>
    <x v="1625"/>
    <n v="3.8"/>
  </r>
  <r>
    <x v="1626"/>
    <n v="3.6"/>
  </r>
  <r>
    <x v="1627"/>
    <n v="8.1999999999999993"/>
  </r>
  <r>
    <x v="1628"/>
    <n v="7.1"/>
  </r>
  <r>
    <x v="1629"/>
    <n v="5.0999999999999996"/>
  </r>
  <r>
    <x v="1630"/>
    <n v="4.9000000000000004"/>
  </r>
  <r>
    <x v="1631"/>
    <n v="3.9"/>
  </r>
  <r>
    <x v="1632"/>
    <n v="3.2"/>
  </r>
  <r>
    <x v="1633"/>
    <n v="2.7"/>
  </r>
  <r>
    <x v="1634"/>
    <n v="2.8"/>
  </r>
  <r>
    <x v="1635"/>
    <n v="21.6"/>
  </r>
  <r>
    <x v="1636"/>
    <n v="16.5"/>
  </r>
  <r>
    <x v="1637"/>
    <n v="11.8"/>
  </r>
  <r>
    <x v="1638"/>
    <n v="9.1"/>
  </r>
  <r>
    <x v="1639"/>
    <n v="7.4"/>
  </r>
  <r>
    <x v="1640"/>
    <n v="6.3"/>
  </r>
  <r>
    <x v="1641"/>
    <n v="6"/>
  </r>
  <r>
    <x v="1642"/>
    <n v="5.3"/>
  </r>
  <r>
    <x v="1643"/>
    <n v="4.7"/>
  </r>
  <r>
    <x v="1644"/>
    <n v="5.0999999999999996"/>
  </r>
  <r>
    <x v="1645"/>
    <n v="16.399999999999999"/>
  </r>
  <r>
    <x v="1646"/>
    <n v="14.2"/>
  </r>
  <r>
    <x v="1647"/>
    <n v="12.2"/>
  </r>
  <r>
    <x v="1648"/>
    <n v="11.9"/>
  </r>
  <r>
    <x v="1649"/>
    <n v="12.4"/>
  </r>
  <r>
    <x v="1650"/>
    <n v="12.7"/>
  </r>
  <r>
    <x v="1651"/>
    <n v="11.4"/>
  </r>
  <r>
    <x v="1652"/>
    <n v="10.3"/>
  </r>
  <r>
    <x v="1653"/>
    <n v="9.3000000000000007"/>
  </r>
  <r>
    <x v="1654"/>
    <n v="8.3000000000000007"/>
  </r>
  <r>
    <x v="1655"/>
    <n v="7.5"/>
  </r>
  <r>
    <x v="1656"/>
    <n v="6.7"/>
  </r>
  <r>
    <x v="1657"/>
    <n v="6.2"/>
  </r>
  <r>
    <x v="1658"/>
    <n v="7"/>
  </r>
  <r>
    <x v="1659"/>
    <n v="6.3"/>
  </r>
  <r>
    <x v="1660"/>
    <n v="6"/>
  </r>
  <r>
    <x v="1661"/>
    <n v="13.1"/>
  </r>
  <r>
    <x v="1662"/>
    <n v="10.3"/>
  </r>
  <r>
    <x v="1663"/>
    <n v="7.4"/>
  </r>
  <r>
    <x v="1664"/>
    <n v="5.7"/>
  </r>
  <r>
    <x v="1665"/>
    <n v="4.5999999999999996"/>
  </r>
  <r>
    <x v="1666"/>
    <n v="3.9"/>
  </r>
  <r>
    <x v="1667"/>
    <n v="3.3"/>
  </r>
  <r>
    <x v="1668"/>
    <n v="2.9"/>
  </r>
  <r>
    <x v="1669"/>
    <n v="2.6"/>
  </r>
  <r>
    <x v="1670"/>
    <n v="2.7"/>
  </r>
  <r>
    <x v="1671"/>
    <n v="11.2"/>
  </r>
  <r>
    <x v="1672"/>
    <n v="17.7"/>
  </r>
  <r>
    <x v="1673"/>
    <n v="12.7"/>
  </r>
  <r>
    <x v="1674"/>
    <n v="8.6999999999999993"/>
  </r>
  <r>
    <x v="1675"/>
    <n v="6.5"/>
  </r>
  <r>
    <x v="1676"/>
    <n v="5.0999999999999996"/>
  </r>
  <r>
    <x v="1677"/>
    <n v="4.3"/>
  </r>
  <r>
    <x v="1678"/>
    <n v="3.7"/>
  </r>
  <r>
    <x v="1679"/>
    <n v="3.3"/>
  </r>
  <r>
    <x v="1680"/>
    <n v="3.2"/>
  </r>
  <r>
    <x v="1681"/>
    <n v="8.1"/>
  </r>
  <r>
    <x v="1682"/>
    <n v="43"/>
  </r>
  <r>
    <x v="1683"/>
    <n v="43.1"/>
  </r>
  <r>
    <x v="1684"/>
    <n v="49.6"/>
  </r>
  <r>
    <x v="1685"/>
    <n v="34.700000000000003"/>
  </r>
  <r>
    <x v="1686"/>
    <n v="26.2"/>
  </r>
  <r>
    <x v="1687"/>
    <n v="21.2"/>
  </r>
  <r>
    <x v="1688"/>
    <n v="17.8"/>
  </r>
  <r>
    <x v="1689"/>
    <n v="15.5"/>
  </r>
  <r>
    <x v="1690"/>
    <n v="14.5"/>
  </r>
  <r>
    <x v="1691"/>
    <n v="28.8"/>
  </r>
  <r>
    <x v="1692"/>
    <n v="68.099999999999994"/>
  </r>
  <r>
    <x v="1693"/>
    <n v="54"/>
  </r>
  <r>
    <x v="1694"/>
    <n v="41.5"/>
  </r>
  <r>
    <x v="1695"/>
    <n v="45.6"/>
  </r>
  <r>
    <x v="1696"/>
    <n v="71"/>
  </r>
  <r>
    <x v="1697"/>
    <n v="65"/>
  </r>
  <r>
    <x v="1698"/>
    <n v="48.3"/>
  </r>
  <r>
    <x v="1699"/>
    <n v="38.4"/>
  </r>
  <r>
    <x v="1700"/>
    <n v="32.200000000000003"/>
  </r>
  <r>
    <x v="1701"/>
    <n v="28.1"/>
  </r>
  <r>
    <x v="1702"/>
    <n v="29.2"/>
  </r>
  <r>
    <x v="1703"/>
    <n v="29.4"/>
  </r>
  <r>
    <x v="1704"/>
    <n v="89.8"/>
  </r>
  <r>
    <x v="1705"/>
    <n v="88.1"/>
  </r>
  <r>
    <x v="1706"/>
    <n v="66.5"/>
  </r>
  <r>
    <x v="1707"/>
    <n v="117"/>
  </r>
  <r>
    <x v="1708"/>
    <n v="88.4"/>
  </r>
  <r>
    <x v="1709"/>
    <n v="65.5"/>
  </r>
  <r>
    <x v="1710"/>
    <n v="53.2"/>
  </r>
  <r>
    <x v="1711"/>
    <n v="80.400000000000006"/>
  </r>
  <r>
    <x v="1712"/>
    <n v="70.2"/>
  </r>
  <r>
    <x v="1713"/>
    <n v="57.6"/>
  </r>
  <r>
    <x v="1714"/>
    <n v="96.8"/>
  </r>
  <r>
    <x v="1715"/>
    <n v="87.1"/>
  </r>
  <r>
    <x v="1716"/>
    <n v="66.3"/>
  </r>
  <r>
    <x v="1717"/>
    <n v="62"/>
  </r>
  <r>
    <x v="1718"/>
    <n v="84.4"/>
  </r>
  <r>
    <x v="1719"/>
    <n v="71.900000000000006"/>
  </r>
  <r>
    <x v="1720"/>
    <n v="71.400000000000006"/>
  </r>
  <r>
    <x v="1721"/>
    <n v="116.4"/>
  </r>
  <r>
    <x v="1722"/>
    <n v="93.6"/>
  </r>
  <r>
    <x v="1723"/>
    <n v="83.1"/>
  </r>
  <r>
    <x v="1724"/>
    <n v="95.3"/>
  </r>
  <r>
    <x v="1725"/>
    <n v="103.9"/>
  </r>
  <r>
    <x v="1726"/>
    <n v="96.7"/>
  </r>
  <r>
    <x v="1727"/>
    <n v="75.900000000000006"/>
  </r>
  <r>
    <x v="1728"/>
    <n v="76.400000000000006"/>
  </r>
  <r>
    <x v="1729"/>
    <n v="103.3"/>
  </r>
  <r>
    <x v="1730"/>
    <n v="81.599999999999994"/>
  </r>
  <r>
    <x v="1731"/>
    <n v="99.7"/>
  </r>
  <r>
    <x v="1732"/>
    <n v="129.69999999999999"/>
  </r>
  <r>
    <x v="1733"/>
    <n v="103.7"/>
  </r>
  <r>
    <x v="1734"/>
    <n v="79.599999999999994"/>
  </r>
  <r>
    <x v="1735"/>
    <n v="81.099999999999994"/>
  </r>
  <r>
    <x v="1736"/>
    <n v="110.1"/>
  </r>
  <r>
    <x v="1737"/>
    <n v="111.2"/>
  </r>
  <r>
    <x v="1738"/>
    <n v="92.8"/>
  </r>
  <r>
    <x v="1739"/>
    <n v="127.9"/>
  </r>
  <r>
    <x v="1740"/>
    <n v="147.9"/>
  </r>
  <r>
    <x v="1741"/>
    <n v="151.6"/>
  </r>
  <r>
    <x v="1742"/>
    <n v="163"/>
  </r>
  <r>
    <x v="1743"/>
    <n v="154.1"/>
  </r>
  <r>
    <x v="1744"/>
    <n v="144.4"/>
  </r>
  <r>
    <x v="1745"/>
    <n v="173.6"/>
  </r>
  <r>
    <x v="1746"/>
    <n v="137.5"/>
  </r>
  <r>
    <x v="1747"/>
    <n v="98.9"/>
  </r>
  <r>
    <x v="1748"/>
    <n v="120"/>
  </r>
  <r>
    <x v="1749"/>
    <n v="97.1"/>
  </r>
  <r>
    <x v="1750"/>
    <n v="99.2"/>
  </r>
  <r>
    <x v="1751"/>
    <n v="138.9"/>
  </r>
  <r>
    <x v="1752"/>
    <n v="133.1"/>
  </r>
  <r>
    <x v="1753"/>
    <n v="130.30000000000001"/>
  </r>
  <r>
    <x v="1754"/>
    <n v="138.69999999999999"/>
  </r>
  <r>
    <x v="1755"/>
    <n v="127.8"/>
  </r>
  <r>
    <x v="1756"/>
    <n v="92.8"/>
  </r>
  <r>
    <x v="1757"/>
    <n v="99.1"/>
  </r>
  <r>
    <x v="1758"/>
    <n v="148"/>
  </r>
  <r>
    <x v="1759"/>
    <n v="118"/>
  </r>
  <r>
    <x v="1760"/>
    <n v="95.2"/>
  </r>
  <r>
    <x v="1761"/>
    <n v="85.7"/>
  </r>
  <r>
    <x v="1762"/>
    <n v="110.6"/>
  </r>
  <r>
    <x v="1763"/>
    <n v="140"/>
  </r>
  <r>
    <x v="1764"/>
    <n v="106"/>
  </r>
  <r>
    <x v="1765"/>
    <n v="81.5"/>
  </r>
  <r>
    <x v="1766"/>
    <n v="70.900000000000006"/>
  </r>
  <r>
    <x v="1767"/>
    <n v="131.30000000000001"/>
  </r>
  <r>
    <x v="1768"/>
    <n v="171.1"/>
  </r>
  <r>
    <x v="1769"/>
    <n v="159.69999999999999"/>
  </r>
  <r>
    <x v="1770"/>
    <n v="181.6"/>
  </r>
  <r>
    <x v="1771"/>
    <n v="148"/>
  </r>
  <r>
    <x v="1772"/>
    <n v="104.7"/>
  </r>
  <r>
    <x v="1773"/>
    <n v="121.7"/>
  </r>
  <r>
    <x v="1774"/>
    <n v="118.4"/>
  </r>
  <r>
    <x v="1775"/>
    <n v="126.9"/>
  </r>
  <r>
    <x v="1776"/>
    <n v="161.6"/>
  </r>
  <r>
    <x v="1777"/>
    <n v="145.5"/>
  </r>
  <r>
    <x v="1778"/>
    <n v="160.1"/>
  </r>
  <r>
    <x v="1779"/>
    <n v="194.7"/>
  </r>
  <r>
    <x v="1780"/>
    <n v="153.80000000000001"/>
  </r>
  <r>
    <x v="1781"/>
    <n v="120.4"/>
  </r>
  <r>
    <x v="1782"/>
    <n v="103"/>
  </r>
  <r>
    <x v="1783"/>
    <n v="119.3"/>
  </r>
  <r>
    <x v="1784"/>
    <n v="123.7"/>
  </r>
  <r>
    <x v="1785"/>
    <n v="92.8"/>
  </r>
  <r>
    <x v="1786"/>
    <n v="88.9"/>
  </r>
  <r>
    <x v="1787"/>
    <n v="120.1"/>
  </r>
  <r>
    <x v="1788"/>
    <n v="129.6"/>
  </r>
  <r>
    <x v="1789"/>
    <n v="102.8"/>
  </r>
  <r>
    <x v="1790"/>
    <n v="138"/>
  </r>
  <r>
    <x v="1791"/>
    <n v="127.2"/>
  </r>
  <r>
    <x v="1792"/>
    <n v="114.7"/>
  </r>
  <r>
    <x v="1793"/>
    <n v="92.6"/>
  </r>
  <r>
    <x v="1794"/>
    <n v="129.5"/>
  </r>
  <r>
    <x v="1795"/>
    <n v="133.1"/>
  </r>
  <r>
    <x v="1796"/>
    <n v="104.1"/>
  </r>
  <r>
    <x v="1797"/>
    <n v="164.7"/>
  </r>
  <r>
    <x v="1798"/>
    <n v="145.69999999999999"/>
  </r>
  <r>
    <x v="1799"/>
    <n v="107.4"/>
  </r>
  <r>
    <x v="1800"/>
    <n v="118.6"/>
  </r>
  <r>
    <x v="1801"/>
    <n v="128"/>
  </r>
  <r>
    <x v="1802"/>
    <n v="97.2"/>
  </r>
  <r>
    <x v="1803"/>
    <n v="86.2"/>
  </r>
  <r>
    <x v="1804"/>
    <n v="142.1"/>
  </r>
  <r>
    <x v="1805"/>
    <n v="143.19999999999999"/>
  </r>
  <r>
    <x v="1806"/>
    <n v="153.4"/>
  </r>
  <r>
    <x v="1807"/>
    <n v="127.9"/>
  </r>
  <r>
    <x v="1808"/>
    <n v="96.3"/>
  </r>
  <r>
    <x v="1809"/>
    <n v="95"/>
  </r>
  <r>
    <x v="1810"/>
    <n v="89.3"/>
  </r>
  <r>
    <x v="1811"/>
    <n v="79.900000000000006"/>
  </r>
  <r>
    <x v="1812"/>
    <n v="68.400000000000006"/>
  </r>
  <r>
    <x v="1813"/>
    <n v="63.2"/>
  </r>
  <r>
    <x v="1814"/>
    <n v="123.8"/>
  </r>
  <r>
    <x v="1815"/>
    <n v="145.80000000000001"/>
  </r>
  <r>
    <x v="1816"/>
    <n v="118"/>
  </r>
  <r>
    <x v="1817"/>
    <n v="127.8"/>
  </r>
  <r>
    <x v="1818"/>
    <n v="100"/>
  </r>
  <r>
    <x v="1819"/>
    <n v="150.6"/>
  </r>
  <r>
    <x v="1820"/>
    <n v="153.19999999999999"/>
  </r>
  <r>
    <x v="1821"/>
    <n v="156.6"/>
  </r>
  <r>
    <x v="1822"/>
    <n v="193.1"/>
  </r>
  <r>
    <x v="1823"/>
    <n v="231.9"/>
  </r>
  <r>
    <x v="1824"/>
    <n v="180.3"/>
  </r>
  <r>
    <x v="1825"/>
    <n v="177"/>
  </r>
  <r>
    <x v="1826"/>
    <n v="175.1"/>
  </r>
  <r>
    <x v="1827"/>
    <n v="128.30000000000001"/>
  </r>
  <r>
    <x v="1828"/>
    <n v="98"/>
  </r>
  <r>
    <x v="1829"/>
    <n v="121.2"/>
  </r>
  <r>
    <x v="1830"/>
    <n v="180.9"/>
  </r>
  <r>
    <x v="1831"/>
    <n v="142.1"/>
  </r>
  <r>
    <x v="1832"/>
    <n v="126.9"/>
  </r>
  <r>
    <x v="1833"/>
    <n v="129.19999999999999"/>
  </r>
  <r>
    <x v="1834"/>
    <n v="113.4"/>
  </r>
  <r>
    <x v="1835"/>
    <n v="97.6"/>
  </r>
  <r>
    <x v="1836"/>
    <n v="130"/>
  </r>
  <r>
    <x v="1837"/>
    <n v="128.9"/>
  </r>
  <r>
    <x v="1838"/>
    <n v="110"/>
  </r>
  <r>
    <x v="1839"/>
    <n v="156.5"/>
  </r>
  <r>
    <x v="1840"/>
    <n v="212.5"/>
  </r>
  <r>
    <x v="1841"/>
    <n v="155.4"/>
  </r>
  <r>
    <x v="1842"/>
    <n v="142.69999999999999"/>
  </r>
  <r>
    <x v="1843"/>
    <n v="146.6"/>
  </r>
  <r>
    <x v="1844"/>
    <n v="111.9"/>
  </r>
  <r>
    <x v="1845"/>
    <n v="103.6"/>
  </r>
  <r>
    <x v="1846"/>
    <n v="124.8"/>
  </r>
  <r>
    <x v="1847"/>
    <n v="107.7"/>
  </r>
  <r>
    <x v="1848"/>
    <n v="113"/>
  </r>
  <r>
    <x v="1849"/>
    <n v="114.8"/>
  </r>
  <r>
    <x v="1850"/>
    <n v="100.8"/>
  </r>
  <r>
    <x v="1851"/>
    <n v="92.4"/>
  </r>
  <r>
    <x v="1852"/>
    <n v="80.7"/>
  </r>
  <r>
    <x v="1853"/>
    <n v="89.6"/>
  </r>
  <r>
    <x v="1854"/>
    <n v="89.6"/>
  </r>
  <r>
    <x v="1855"/>
    <n v="97.7"/>
  </r>
  <r>
    <x v="1856"/>
    <n v="165"/>
  </r>
  <r>
    <x v="1857"/>
    <n v="146.6"/>
  </r>
  <r>
    <x v="1858"/>
    <n v="126.7"/>
  </r>
  <r>
    <x v="1859"/>
    <n v="140.6"/>
  </r>
  <r>
    <x v="1860"/>
    <n v="111.9"/>
  </r>
  <r>
    <x v="1861"/>
    <n v="107.6"/>
  </r>
  <r>
    <x v="1862"/>
    <n v="95.9"/>
  </r>
  <r>
    <x v="1863"/>
    <n v="94.4"/>
  </r>
  <r>
    <x v="1864"/>
    <n v="84"/>
  </r>
  <r>
    <x v="1865"/>
    <n v="77.599999999999994"/>
  </r>
  <r>
    <x v="1866"/>
    <n v="92"/>
  </r>
  <r>
    <x v="1867"/>
    <n v="91.5"/>
  </r>
  <r>
    <x v="1868"/>
    <n v="112.9"/>
  </r>
  <r>
    <x v="1869"/>
    <n v="119.7"/>
  </r>
  <r>
    <x v="1870"/>
    <n v="109"/>
  </r>
  <r>
    <x v="1871"/>
    <n v="104.9"/>
  </r>
  <r>
    <x v="1872"/>
    <n v="148"/>
  </r>
  <r>
    <x v="1873"/>
    <n v="115.7"/>
  </r>
  <r>
    <x v="1874"/>
    <n v="100.3"/>
  </r>
  <r>
    <x v="1875"/>
    <n v="87.6"/>
  </r>
  <r>
    <x v="1876"/>
    <n v="135.6"/>
  </r>
  <r>
    <x v="1877"/>
    <n v="161.19999999999999"/>
  </r>
  <r>
    <x v="1878"/>
    <n v="156.69999999999999"/>
  </r>
  <r>
    <x v="1879"/>
    <n v="168.9"/>
  </r>
  <r>
    <x v="1880"/>
    <n v="129.6"/>
  </r>
  <r>
    <x v="1881"/>
    <n v="155"/>
  </r>
  <r>
    <x v="1882"/>
    <n v="117"/>
  </r>
  <r>
    <x v="1883"/>
    <n v="101.7"/>
  </r>
  <r>
    <x v="1884"/>
    <n v="104.8"/>
  </r>
  <r>
    <x v="1885"/>
    <n v="86.4"/>
  </r>
  <r>
    <x v="1886"/>
    <n v="77.599999999999994"/>
  </r>
  <r>
    <x v="1887"/>
    <n v="141.1"/>
  </r>
  <r>
    <x v="1888"/>
    <n v="142.1"/>
  </r>
  <r>
    <x v="1889"/>
    <n v="129.4"/>
  </r>
  <r>
    <x v="1890"/>
    <n v="148.69999999999999"/>
  </r>
  <r>
    <x v="1891"/>
    <n v="130.19999999999999"/>
  </r>
  <r>
    <x v="1892"/>
    <n v="104.9"/>
  </r>
  <r>
    <x v="1893"/>
    <n v="100.1"/>
  </r>
  <r>
    <x v="1894"/>
    <n v="173.2"/>
  </r>
  <r>
    <x v="1895"/>
    <n v="245.3"/>
  </r>
  <r>
    <x v="1896"/>
    <n v="224.6"/>
  </r>
  <r>
    <x v="1897"/>
    <n v="192.7"/>
  </r>
  <r>
    <x v="1898"/>
    <n v="160.6"/>
  </r>
  <r>
    <x v="1899"/>
    <n v="128.5"/>
  </r>
  <r>
    <x v="1900"/>
    <n v="118.7"/>
  </r>
  <r>
    <x v="1901"/>
    <n v="100.6"/>
  </r>
  <r>
    <x v="1902"/>
    <n v="95"/>
  </r>
  <r>
    <x v="1903"/>
    <n v="148.80000000000001"/>
  </r>
  <r>
    <x v="1904"/>
    <n v="177.5"/>
  </r>
  <r>
    <x v="1905"/>
    <n v="135.19999999999999"/>
  </r>
  <r>
    <x v="1906"/>
    <n v="113.5"/>
  </r>
  <r>
    <x v="1907"/>
    <n v="130.6"/>
  </r>
  <r>
    <x v="1908"/>
    <n v="143.4"/>
  </r>
  <r>
    <x v="1909"/>
    <n v="130.9"/>
  </r>
  <r>
    <x v="1910"/>
    <n v="125.9"/>
  </r>
  <r>
    <x v="1911"/>
    <n v="159.19999999999999"/>
  </r>
  <r>
    <x v="1912"/>
    <n v="153.19999999999999"/>
  </r>
  <r>
    <x v="1913"/>
    <n v="123.4"/>
  </r>
  <r>
    <x v="1914"/>
    <n v="174.7"/>
  </r>
  <r>
    <x v="1915"/>
    <n v="146"/>
  </r>
  <r>
    <x v="1916"/>
    <n v="114.6"/>
  </r>
  <r>
    <x v="1917"/>
    <n v="114.6"/>
  </r>
  <r>
    <x v="1918"/>
    <n v="116.1"/>
  </r>
  <r>
    <x v="1919"/>
    <n v="131.9"/>
  </r>
  <r>
    <x v="1920"/>
    <n v="131.4"/>
  </r>
  <r>
    <x v="1921"/>
    <n v="118.6"/>
  </r>
  <r>
    <x v="1922"/>
    <n v="125.8"/>
  </r>
  <r>
    <x v="1923"/>
    <n v="134"/>
  </r>
  <r>
    <x v="1924"/>
    <n v="113.4"/>
  </r>
  <r>
    <x v="1925"/>
    <n v="116.3"/>
  </r>
  <r>
    <x v="1926"/>
    <n v="105.4"/>
  </r>
  <r>
    <x v="1927"/>
    <n v="139.6"/>
  </r>
  <r>
    <x v="1928"/>
    <n v="126"/>
  </r>
  <r>
    <x v="1929"/>
    <n v="126.1"/>
  </r>
  <r>
    <x v="1930"/>
    <n v="110.3"/>
  </r>
  <r>
    <x v="1931"/>
    <n v="126.8"/>
  </r>
  <r>
    <x v="1932"/>
    <n v="151"/>
  </r>
  <r>
    <x v="1933"/>
    <n v="120.4"/>
  </r>
  <r>
    <x v="1934"/>
    <n v="111.6"/>
  </r>
  <r>
    <x v="1935"/>
    <n v="99.2"/>
  </r>
  <r>
    <x v="1936"/>
    <n v="90.4"/>
  </r>
  <r>
    <x v="1937"/>
    <n v="114.2"/>
  </r>
  <r>
    <x v="1938"/>
    <n v="100.2"/>
  </r>
  <r>
    <x v="1939"/>
    <n v="124"/>
  </r>
  <r>
    <x v="1940"/>
    <n v="148.5"/>
  </r>
  <r>
    <x v="1941"/>
    <n v="164.9"/>
  </r>
  <r>
    <x v="1942"/>
    <n v="156.80000000000001"/>
  </r>
  <r>
    <x v="1943"/>
    <n v="119.2"/>
  </r>
  <r>
    <x v="1944"/>
    <n v="97.8"/>
  </r>
  <r>
    <x v="1945"/>
    <n v="91.4"/>
  </r>
  <r>
    <x v="1946"/>
    <n v="83.7"/>
  </r>
  <r>
    <x v="1947"/>
    <n v="110.3"/>
  </r>
  <r>
    <x v="1948"/>
    <n v="100.9"/>
  </r>
  <r>
    <x v="1949"/>
    <n v="88.6"/>
  </r>
  <r>
    <x v="1950"/>
    <n v="78.400000000000006"/>
  </r>
  <r>
    <x v="1951"/>
    <n v="69.900000000000006"/>
  </r>
  <r>
    <x v="1952"/>
    <n v="68.900000000000006"/>
  </r>
  <r>
    <x v="1953"/>
    <n v="65.400000000000006"/>
  </r>
  <r>
    <x v="1954"/>
    <n v="96"/>
  </r>
  <r>
    <x v="1955"/>
    <n v="93.4"/>
  </r>
  <r>
    <x v="1956"/>
    <n v="83"/>
  </r>
  <r>
    <x v="1957"/>
    <n v="114.1"/>
  </r>
  <r>
    <x v="1958"/>
    <n v="169"/>
  </r>
  <r>
    <x v="1959"/>
    <n v="138.69999999999999"/>
  </r>
  <r>
    <x v="1960"/>
    <n v="106.9"/>
  </r>
  <r>
    <x v="1961"/>
    <n v="88.9"/>
  </r>
  <r>
    <x v="1962"/>
    <n v="112.6"/>
  </r>
  <r>
    <x v="1963"/>
    <n v="107.5"/>
  </r>
  <r>
    <x v="1964"/>
    <n v="98.7"/>
  </r>
  <r>
    <x v="1965"/>
    <n v="84.1"/>
  </r>
  <r>
    <x v="1966"/>
    <n v="73.099999999999994"/>
  </r>
  <r>
    <x v="1967"/>
    <n v="64.900000000000006"/>
  </r>
  <r>
    <x v="1968"/>
    <n v="59.4"/>
  </r>
  <r>
    <x v="1969"/>
    <n v="53.6"/>
  </r>
  <r>
    <x v="1970"/>
    <n v="51.9"/>
  </r>
  <r>
    <x v="1971"/>
    <n v="48.1"/>
  </r>
  <r>
    <x v="1972"/>
    <n v="44"/>
  </r>
  <r>
    <x v="1973"/>
    <n v="40"/>
  </r>
  <r>
    <x v="1974"/>
    <n v="36.200000000000003"/>
  </r>
  <r>
    <x v="1975"/>
    <n v="44.5"/>
  </r>
  <r>
    <x v="1976"/>
    <n v="59.8"/>
  </r>
  <r>
    <x v="1977"/>
    <n v="57.3"/>
  </r>
  <r>
    <x v="1978"/>
    <n v="52.4"/>
  </r>
  <r>
    <x v="1979"/>
    <n v="47.5"/>
  </r>
  <r>
    <x v="1980"/>
    <n v="43.2"/>
  </r>
  <r>
    <x v="1981"/>
    <n v="42.2"/>
  </r>
  <r>
    <x v="1982"/>
    <n v="43.7"/>
  </r>
  <r>
    <x v="1983"/>
    <n v="38.200000000000003"/>
  </r>
  <r>
    <x v="1984"/>
    <n v="32.5"/>
  </r>
  <r>
    <x v="1985"/>
    <n v="28.1"/>
  </r>
  <r>
    <x v="1986"/>
    <n v="24.8"/>
  </r>
  <r>
    <x v="1987"/>
    <n v="22.1"/>
  </r>
  <r>
    <x v="1988"/>
    <n v="19.7"/>
  </r>
  <r>
    <x v="1989"/>
    <n v="17.7"/>
  </r>
  <r>
    <x v="1990"/>
    <n v="15.9"/>
  </r>
  <r>
    <x v="1991"/>
    <n v="14.3"/>
  </r>
  <r>
    <x v="1992"/>
    <n v="12.9"/>
  </r>
  <r>
    <x v="1993"/>
    <n v="11.8"/>
  </r>
  <r>
    <x v="1994"/>
    <n v="16"/>
  </r>
  <r>
    <x v="1995"/>
    <n v="45.7"/>
  </r>
  <r>
    <x v="1996"/>
    <n v="38.700000000000003"/>
  </r>
  <r>
    <x v="1997"/>
    <n v="26.7"/>
  </r>
  <r>
    <x v="1998"/>
    <n v="20"/>
  </r>
  <r>
    <x v="1999"/>
    <n v="16"/>
  </r>
  <r>
    <x v="2000"/>
    <n v="13.3"/>
  </r>
  <r>
    <x v="2001"/>
    <n v="11.5"/>
  </r>
  <r>
    <x v="2002"/>
    <n v="10.1"/>
  </r>
  <r>
    <x v="2003"/>
    <n v="8.9"/>
  </r>
  <r>
    <x v="2004"/>
    <n v="9.8000000000000007"/>
  </r>
  <r>
    <x v="2005"/>
    <n v="9"/>
  </r>
  <r>
    <x v="2006"/>
    <n v="7.5"/>
  </r>
  <r>
    <x v="2007"/>
    <n v="6.3"/>
  </r>
  <r>
    <x v="2008"/>
    <n v="5.9"/>
  </r>
  <r>
    <x v="2009"/>
    <n v="5.0999999999999996"/>
  </r>
  <r>
    <x v="2010"/>
    <n v="4.4000000000000004"/>
  </r>
  <r>
    <x v="2011"/>
    <n v="3.9"/>
  </r>
  <r>
    <x v="2012"/>
    <n v="4.0999999999999996"/>
  </r>
  <r>
    <x v="2013"/>
    <n v="3.6"/>
  </r>
  <r>
    <x v="2014"/>
    <n v="3.1"/>
  </r>
  <r>
    <x v="2015"/>
    <n v="4.5999999999999996"/>
  </r>
  <r>
    <x v="2016"/>
    <n v="29.8"/>
  </r>
  <r>
    <x v="2017"/>
    <n v="23.7"/>
  </r>
  <r>
    <x v="2018"/>
    <n v="17.899999999999999"/>
  </r>
  <r>
    <x v="2019"/>
    <n v="14.4"/>
  </r>
  <r>
    <x v="2020"/>
    <n v="11.9"/>
  </r>
  <r>
    <x v="2021"/>
    <n v="10.199999999999999"/>
  </r>
  <r>
    <x v="2022"/>
    <n v="8.9"/>
  </r>
  <r>
    <x v="2023"/>
    <n v="7.9"/>
  </r>
  <r>
    <x v="2024"/>
    <n v="7"/>
  </r>
  <r>
    <x v="2025"/>
    <n v="6.3"/>
  </r>
  <r>
    <x v="2026"/>
    <n v="5.6"/>
  </r>
  <r>
    <x v="2027"/>
    <n v="5.0999999999999996"/>
  </r>
  <r>
    <x v="2028"/>
    <n v="4.9000000000000004"/>
  </r>
  <r>
    <x v="2029"/>
    <n v="4.3"/>
  </r>
  <r>
    <x v="2030"/>
    <n v="3.8"/>
  </r>
  <r>
    <x v="2031"/>
    <n v="3.4"/>
  </r>
  <r>
    <x v="2032"/>
    <n v="3"/>
  </r>
  <r>
    <x v="2033"/>
    <n v="2.9"/>
  </r>
  <r>
    <x v="2034"/>
    <n v="4.3"/>
  </r>
  <r>
    <x v="2035"/>
    <n v="3.9"/>
  </r>
  <r>
    <x v="2036"/>
    <n v="4.5"/>
  </r>
  <r>
    <x v="2037"/>
    <n v="5.0999999999999996"/>
  </r>
  <r>
    <x v="2038"/>
    <n v="4.0999999999999996"/>
  </r>
  <r>
    <x v="2039"/>
    <n v="5.6"/>
  </r>
  <r>
    <x v="2040"/>
    <n v="4.3"/>
  </r>
  <r>
    <x v="2041"/>
    <n v="4.2"/>
  </r>
  <r>
    <x v="2042"/>
    <n v="16"/>
  </r>
  <r>
    <x v="2043"/>
    <n v="13.5"/>
  </r>
  <r>
    <x v="2044"/>
    <n v="10.4"/>
  </r>
  <r>
    <x v="2045"/>
    <n v="27.8"/>
  </r>
  <r>
    <x v="2046"/>
    <n v="32.4"/>
  </r>
  <r>
    <x v="2047"/>
    <n v="28.7"/>
  </r>
  <r>
    <x v="2048"/>
    <n v="28.3"/>
  </r>
  <r>
    <x v="2049"/>
    <n v="55.4"/>
  </r>
  <r>
    <x v="2050"/>
    <n v="43.2"/>
  </r>
  <r>
    <x v="2051"/>
    <n v="32.9"/>
  </r>
  <r>
    <x v="2052"/>
    <n v="47.2"/>
  </r>
  <r>
    <x v="2053"/>
    <n v="36.9"/>
  </r>
  <r>
    <x v="2054"/>
    <n v="38.6"/>
  </r>
  <r>
    <x v="2055"/>
    <n v="57.8"/>
  </r>
  <r>
    <x v="2056"/>
    <n v="44.5"/>
  </r>
  <r>
    <x v="2057"/>
    <n v="35.299999999999997"/>
  </r>
  <r>
    <x v="2058"/>
    <n v="32.1"/>
  </r>
  <r>
    <x v="2059"/>
    <n v="40.5"/>
  </r>
  <r>
    <x v="2060"/>
    <n v="33.1"/>
  </r>
  <r>
    <x v="2061"/>
    <n v="50.1"/>
  </r>
  <r>
    <x v="2062"/>
    <n v="39.200000000000003"/>
  </r>
  <r>
    <x v="2063"/>
    <n v="32.1"/>
  </r>
  <r>
    <x v="2064"/>
    <n v="39"/>
  </r>
  <r>
    <x v="2065"/>
    <n v="75.3"/>
  </r>
  <r>
    <x v="2066"/>
    <n v="105.6"/>
  </r>
  <r>
    <x v="2067"/>
    <n v="78"/>
  </r>
  <r>
    <x v="2068"/>
    <n v="66.5"/>
  </r>
  <r>
    <x v="2069"/>
    <n v="96.8"/>
  </r>
  <r>
    <x v="2070"/>
    <n v="83.7"/>
  </r>
  <r>
    <x v="2071"/>
    <n v="63.2"/>
  </r>
  <r>
    <x v="2072"/>
    <n v="78.3"/>
  </r>
  <r>
    <x v="2073"/>
    <n v="100.3"/>
  </r>
  <r>
    <x v="2074"/>
    <n v="82.8"/>
  </r>
  <r>
    <x v="2075"/>
    <n v="61.5"/>
  </r>
  <r>
    <x v="2076"/>
    <n v="72.8"/>
  </r>
  <r>
    <x v="2077"/>
    <n v="76.599999999999994"/>
  </r>
  <r>
    <x v="2078"/>
    <n v="76.8"/>
  </r>
  <r>
    <x v="2079"/>
    <n v="107.3"/>
  </r>
  <r>
    <x v="2080"/>
    <n v="79.2"/>
  </r>
  <r>
    <x v="2081"/>
    <n v="61"/>
  </r>
  <r>
    <x v="2082"/>
    <n v="75.900000000000006"/>
  </r>
  <r>
    <x v="2083"/>
    <n v="90.3"/>
  </r>
  <r>
    <x v="2084"/>
    <n v="115.9"/>
  </r>
  <r>
    <x v="2085"/>
    <n v="104.8"/>
  </r>
  <r>
    <x v="2086"/>
    <n v="108.5"/>
  </r>
  <r>
    <x v="2087"/>
    <n v="114.4"/>
  </r>
  <r>
    <x v="2088"/>
    <n v="80.7"/>
  </r>
  <r>
    <x v="2089"/>
    <n v="72"/>
  </r>
  <r>
    <x v="2090"/>
    <n v="119.9"/>
  </r>
  <r>
    <x v="2091"/>
    <n v="90.8"/>
  </r>
  <r>
    <x v="2092"/>
    <n v="68.8"/>
  </r>
  <r>
    <x v="2093"/>
    <n v="73.599999999999994"/>
  </r>
  <r>
    <x v="2094"/>
    <n v="75.900000000000006"/>
  </r>
  <r>
    <x v="2095"/>
    <n v="113"/>
  </r>
  <r>
    <x v="2096"/>
    <n v="103.2"/>
  </r>
  <r>
    <x v="2097"/>
    <n v="77.8"/>
  </r>
  <r>
    <x v="2098"/>
    <n v="81.900000000000006"/>
  </r>
  <r>
    <x v="2099"/>
    <n v="84.8"/>
  </r>
  <r>
    <x v="2100"/>
    <n v="68.599999999999994"/>
  </r>
  <r>
    <x v="2101"/>
    <n v="68.3"/>
  </r>
  <r>
    <x v="2102"/>
    <n v="106.1"/>
  </r>
  <r>
    <x v="2103"/>
    <n v="87.5"/>
  </r>
  <r>
    <x v="2104"/>
    <n v="108.2"/>
  </r>
  <r>
    <x v="2105"/>
    <n v="96.4"/>
  </r>
  <r>
    <x v="2106"/>
    <n v="85.6"/>
  </r>
  <r>
    <x v="2107"/>
    <n v="84.7"/>
  </r>
  <r>
    <x v="2108"/>
    <n v="152.6"/>
  </r>
  <r>
    <x v="2109"/>
    <n v="115.9"/>
  </r>
  <r>
    <x v="2110"/>
    <n v="98"/>
  </r>
  <r>
    <x v="2111"/>
    <n v="93"/>
  </r>
  <r>
    <x v="2112"/>
    <n v="82.5"/>
  </r>
  <r>
    <x v="2113"/>
    <n v="109.8"/>
  </r>
  <r>
    <x v="2114"/>
    <n v="148.5"/>
  </r>
  <r>
    <x v="2115"/>
    <n v="139.1"/>
  </r>
  <r>
    <x v="2116"/>
    <n v="158"/>
  </r>
  <r>
    <x v="2117"/>
    <n v="184.4"/>
  </r>
  <r>
    <x v="2118"/>
    <n v="158.69999999999999"/>
  </r>
  <r>
    <x v="2119"/>
    <n v="166.5"/>
  </r>
  <r>
    <x v="2120"/>
    <n v="157.4"/>
  </r>
  <r>
    <x v="2121"/>
    <n v="114.6"/>
  </r>
  <r>
    <x v="2122"/>
    <n v="102.3"/>
  </r>
  <r>
    <x v="2123"/>
    <n v="89.5"/>
  </r>
  <r>
    <x v="2124"/>
    <n v="84.9"/>
  </r>
  <r>
    <x v="2125"/>
    <n v="86.2"/>
  </r>
  <r>
    <x v="2126"/>
    <n v="129"/>
  </r>
  <r>
    <x v="2127"/>
    <n v="127.4"/>
  </r>
  <r>
    <x v="2128"/>
    <n v="109.6"/>
  </r>
  <r>
    <x v="2129"/>
    <n v="117.8"/>
  </r>
  <r>
    <x v="2130"/>
    <n v="136.80000000000001"/>
  </r>
  <r>
    <x v="2131"/>
    <n v="120.5"/>
  </r>
  <r>
    <x v="2132"/>
    <n v="88"/>
  </r>
  <r>
    <x v="2133"/>
    <n v="70.3"/>
  </r>
  <r>
    <x v="2134"/>
    <n v="69.8"/>
  </r>
  <r>
    <x v="2135"/>
    <n v="104.1"/>
  </r>
  <r>
    <x v="2136"/>
    <n v="102.3"/>
  </r>
  <r>
    <x v="2137"/>
    <n v="95"/>
  </r>
  <r>
    <x v="2138"/>
    <n v="78.8"/>
  </r>
  <r>
    <x v="2139"/>
    <n v="73.5"/>
  </r>
  <r>
    <x v="2140"/>
    <n v="143.6"/>
  </r>
  <r>
    <x v="2141"/>
    <n v="188.1"/>
  </r>
  <r>
    <x v="2142"/>
    <n v="171.1"/>
  </r>
  <r>
    <x v="2143"/>
    <n v="158.1"/>
  </r>
  <r>
    <x v="2144"/>
    <n v="167"/>
  </r>
  <r>
    <x v="2145"/>
    <n v="117.8"/>
  </r>
  <r>
    <x v="2146"/>
    <n v="88"/>
  </r>
  <r>
    <x v="2147"/>
    <n v="84.3"/>
  </r>
  <r>
    <x v="2148"/>
    <n v="189.7"/>
  </r>
  <r>
    <x v="2149"/>
    <n v="172"/>
  </r>
  <r>
    <x v="2150"/>
    <n v="122.4"/>
  </r>
  <r>
    <x v="2151"/>
    <n v="110.2"/>
  </r>
  <r>
    <x v="2152"/>
    <n v="93.4"/>
  </r>
  <r>
    <x v="2153"/>
    <n v="101.6"/>
  </r>
  <r>
    <x v="2154"/>
    <n v="116"/>
  </r>
  <r>
    <x v="2155"/>
    <n v="98.3"/>
  </r>
  <r>
    <x v="2156"/>
    <n v="156.30000000000001"/>
  </r>
  <r>
    <x v="2157"/>
    <n v="128.69999999999999"/>
  </r>
  <r>
    <x v="2158"/>
    <n v="126.4"/>
  </r>
  <r>
    <x v="2159"/>
    <n v="143.30000000000001"/>
  </r>
  <r>
    <x v="2160"/>
    <n v="137.30000000000001"/>
  </r>
  <r>
    <x v="2161"/>
    <n v="150.6"/>
  </r>
  <r>
    <x v="2162"/>
    <n v="124.6"/>
  </r>
  <r>
    <x v="2163"/>
    <n v="120.9"/>
  </r>
  <r>
    <x v="2164"/>
    <n v="102.8"/>
  </r>
  <r>
    <x v="2165"/>
    <n v="151.6"/>
  </r>
  <r>
    <x v="2166"/>
    <n v="180"/>
  </r>
  <r>
    <x v="2167"/>
    <n v="131.1"/>
  </r>
  <r>
    <x v="2168"/>
    <n v="117.3"/>
  </r>
  <r>
    <x v="2169"/>
    <n v="108.5"/>
  </r>
  <r>
    <x v="2170"/>
    <n v="141.19999999999999"/>
  </r>
  <r>
    <x v="2171"/>
    <n v="113.8"/>
  </r>
  <r>
    <x v="2172"/>
    <n v="138.19999999999999"/>
  </r>
  <r>
    <x v="2173"/>
    <n v="111.2"/>
  </r>
  <r>
    <x v="2174"/>
    <n v="163.1"/>
  </r>
  <r>
    <x v="2175"/>
    <n v="135.80000000000001"/>
  </r>
  <r>
    <x v="2176"/>
    <n v="178.6"/>
  </r>
  <r>
    <x v="2177"/>
    <n v="147.80000000000001"/>
  </r>
  <r>
    <x v="2178"/>
    <n v="140.1"/>
  </r>
  <r>
    <x v="2179"/>
    <n v="108.8"/>
  </r>
  <r>
    <x v="2180"/>
    <n v="121.9"/>
  </r>
  <r>
    <x v="2181"/>
    <n v="101.2"/>
  </r>
  <r>
    <x v="2182"/>
    <n v="136.30000000000001"/>
  </r>
  <r>
    <x v="2183"/>
    <n v="110.3"/>
  </r>
  <r>
    <x v="2184"/>
    <n v="123.6"/>
  </r>
  <r>
    <x v="2185"/>
    <n v="123.7"/>
  </r>
  <r>
    <x v="2186"/>
    <n v="99.8"/>
  </r>
  <r>
    <x v="2187"/>
    <n v="98.7"/>
  </r>
  <r>
    <x v="2188"/>
    <n v="89.2"/>
  </r>
  <r>
    <x v="2189"/>
    <n v="164.9"/>
  </r>
  <r>
    <x v="2190"/>
    <n v="139.1"/>
  </r>
  <r>
    <x v="2191"/>
    <n v="106.1"/>
  </r>
  <r>
    <x v="2192"/>
    <n v="97.8"/>
  </r>
  <r>
    <x v="2193"/>
    <n v="101"/>
  </r>
  <r>
    <x v="2194"/>
    <n v="87.8"/>
  </r>
  <r>
    <x v="2195"/>
    <n v="83.9"/>
  </r>
  <r>
    <x v="2196"/>
    <n v="107.3"/>
  </r>
  <r>
    <x v="2197"/>
    <n v="102.2"/>
  </r>
  <r>
    <x v="2198"/>
    <n v="132.9"/>
  </r>
  <r>
    <x v="2199"/>
    <n v="122.9"/>
  </r>
  <r>
    <x v="2200"/>
    <n v="98.4"/>
  </r>
  <r>
    <x v="2201"/>
    <n v="80.5"/>
  </r>
  <r>
    <x v="2202"/>
    <n v="68.599999999999994"/>
  </r>
  <r>
    <x v="2203"/>
    <n v="59.9"/>
  </r>
  <r>
    <x v="2204"/>
    <n v="54.7"/>
  </r>
  <r>
    <x v="2205"/>
    <n v="72"/>
  </r>
  <r>
    <x v="2206"/>
    <n v="82.2"/>
  </r>
  <r>
    <x v="2207"/>
    <n v="85.7"/>
  </r>
  <r>
    <x v="2208"/>
    <n v="82.3"/>
  </r>
  <r>
    <x v="2209"/>
    <n v="87.1"/>
  </r>
  <r>
    <x v="2210"/>
    <n v="74.5"/>
  </r>
  <r>
    <x v="2211"/>
    <n v="79"/>
  </r>
  <r>
    <x v="2212"/>
    <n v="64.8"/>
  </r>
  <r>
    <x v="2213"/>
    <n v="60.4"/>
  </r>
  <r>
    <x v="2214"/>
    <n v="69.8"/>
  </r>
  <r>
    <x v="2215"/>
    <n v="123.9"/>
  </r>
  <r>
    <x v="2216"/>
    <n v="117"/>
  </r>
  <r>
    <x v="2217"/>
    <n v="139.1"/>
  </r>
  <r>
    <x v="2218"/>
    <n v="156.19999999999999"/>
  </r>
  <r>
    <x v="2219"/>
    <n v="113.9"/>
  </r>
  <r>
    <x v="2220"/>
    <n v="134.5"/>
  </r>
  <r>
    <x v="2221"/>
    <n v="120.9"/>
  </r>
  <r>
    <x v="2222"/>
    <n v="93.3"/>
  </r>
  <r>
    <x v="2223"/>
    <n v="98.9"/>
  </r>
  <r>
    <x v="2224"/>
    <n v="78.599999999999994"/>
  </r>
  <r>
    <x v="2225"/>
    <n v="71.3"/>
  </r>
  <r>
    <x v="2226"/>
    <n v="89.5"/>
  </r>
  <r>
    <x v="2227"/>
    <n v="89.8"/>
  </r>
  <r>
    <x v="2228"/>
    <n v="109.3"/>
  </r>
  <r>
    <x v="2229"/>
    <n v="115.6"/>
  </r>
  <r>
    <x v="2230"/>
    <n v="109.8"/>
  </r>
  <r>
    <x v="2231"/>
    <n v="81.8"/>
  </r>
  <r>
    <x v="2232"/>
    <n v="78.8"/>
  </r>
  <r>
    <x v="2233"/>
    <n v="69.3"/>
  </r>
  <r>
    <x v="2234"/>
    <n v="59.6"/>
  </r>
  <r>
    <x v="2235"/>
    <n v="112.8"/>
  </r>
  <r>
    <x v="2236"/>
    <n v="105.8"/>
  </r>
  <r>
    <x v="2237"/>
    <n v="76.900000000000006"/>
  </r>
  <r>
    <x v="2238"/>
    <n v="63.5"/>
  </r>
  <r>
    <x v="2239"/>
    <n v="88.5"/>
  </r>
  <r>
    <x v="2240"/>
    <n v="74.099999999999994"/>
  </r>
  <r>
    <x v="2241"/>
    <n v="79.099999999999994"/>
  </r>
  <r>
    <x v="2242"/>
    <n v="122.5"/>
  </r>
  <r>
    <x v="2243"/>
    <n v="140.1"/>
  </r>
  <r>
    <x v="2244"/>
    <n v="118.1"/>
  </r>
  <r>
    <x v="2245"/>
    <n v="136"/>
  </r>
  <r>
    <x v="2246"/>
    <n v="133.4"/>
  </r>
  <r>
    <x v="2247"/>
    <n v="95.1"/>
  </r>
  <r>
    <x v="2248"/>
    <n v="76.7"/>
  </r>
  <r>
    <x v="2249"/>
    <n v="102.4"/>
  </r>
  <r>
    <x v="2250"/>
    <n v="102.3"/>
  </r>
  <r>
    <x v="2251"/>
    <n v="106"/>
  </r>
  <r>
    <x v="2252"/>
    <n v="133.9"/>
  </r>
  <r>
    <x v="2253"/>
    <n v="110.9"/>
  </r>
  <r>
    <x v="2254"/>
    <n v="158"/>
  </r>
  <r>
    <x v="2255"/>
    <n v="128.69999999999999"/>
  </r>
  <r>
    <x v="2256"/>
    <n v="140.1"/>
  </r>
  <r>
    <x v="2257"/>
    <n v="149.9"/>
  </r>
  <r>
    <x v="2258"/>
    <n v="134.19999999999999"/>
  </r>
  <r>
    <x v="2259"/>
    <n v="181.3"/>
  </r>
  <r>
    <x v="2260"/>
    <n v="185.5"/>
  </r>
  <r>
    <x v="2261"/>
    <n v="125.5"/>
  </r>
  <r>
    <x v="2262"/>
    <n v="92.6"/>
  </r>
  <r>
    <x v="2263"/>
    <n v="87.9"/>
  </r>
  <r>
    <x v="2264"/>
    <n v="141.9"/>
  </r>
  <r>
    <x v="2265"/>
    <n v="114.3"/>
  </r>
  <r>
    <x v="2266"/>
    <n v="87.4"/>
  </r>
  <r>
    <x v="2267"/>
    <n v="77.8"/>
  </r>
  <r>
    <x v="2268"/>
    <n v="158"/>
  </r>
  <r>
    <x v="2269"/>
    <n v="194"/>
  </r>
  <r>
    <x v="2270"/>
    <n v="196.1"/>
  </r>
  <r>
    <x v="2271"/>
    <n v="205.1"/>
  </r>
  <r>
    <x v="2272"/>
    <n v="194.6"/>
  </r>
  <r>
    <x v="2273"/>
    <n v="194"/>
  </r>
  <r>
    <x v="2274"/>
    <n v="154.5"/>
  </r>
  <r>
    <x v="2275"/>
    <n v="111.9"/>
  </r>
  <r>
    <x v="2276"/>
    <n v="147.19999999999999"/>
  </r>
  <r>
    <x v="2277"/>
    <n v="173"/>
  </r>
  <r>
    <x v="2278"/>
    <n v="199.3"/>
  </r>
  <r>
    <x v="2279"/>
    <n v="150.80000000000001"/>
  </r>
  <r>
    <x v="2280"/>
    <n v="131.4"/>
  </r>
  <r>
    <x v="2281"/>
    <n v="106.1"/>
  </r>
  <r>
    <x v="2282"/>
    <n v="119.4"/>
  </r>
  <r>
    <x v="2283"/>
    <n v="121.9"/>
  </r>
  <r>
    <x v="2284"/>
    <n v="110.4"/>
  </r>
  <r>
    <x v="2285"/>
    <n v="124.2"/>
  </r>
  <r>
    <x v="2286"/>
    <n v="95.1"/>
  </r>
  <r>
    <x v="2287"/>
    <n v="81.900000000000006"/>
  </r>
  <r>
    <x v="2288"/>
    <n v="120.6"/>
  </r>
  <r>
    <x v="2289"/>
    <n v="100.7"/>
  </r>
  <r>
    <x v="2290"/>
    <n v="127.2"/>
  </r>
  <r>
    <x v="2291"/>
    <n v="140.4"/>
  </r>
  <r>
    <x v="2292"/>
    <n v="107.2"/>
  </r>
  <r>
    <x v="2293"/>
    <n v="142.4"/>
  </r>
  <r>
    <x v="2294"/>
    <n v="112.7"/>
  </r>
  <r>
    <x v="2295"/>
    <n v="125.6"/>
  </r>
  <r>
    <x v="2296"/>
    <n v="113.2"/>
  </r>
  <r>
    <x v="2297"/>
    <n v="121.3"/>
  </r>
  <r>
    <x v="2298"/>
    <n v="152.30000000000001"/>
  </r>
  <r>
    <x v="2299"/>
    <n v="111.5"/>
  </r>
  <r>
    <x v="2300"/>
    <n v="89.8"/>
  </r>
  <r>
    <x v="2301"/>
    <n v="118.5"/>
  </r>
  <r>
    <x v="2302"/>
    <n v="98.8"/>
  </r>
  <r>
    <x v="2303"/>
    <n v="84.5"/>
  </r>
  <r>
    <x v="2304"/>
    <n v="101"/>
  </r>
  <r>
    <x v="2305"/>
    <n v="109.8"/>
  </r>
  <r>
    <x v="2306"/>
    <n v="159.69999999999999"/>
  </r>
  <r>
    <x v="2307"/>
    <n v="162.4"/>
  </r>
  <r>
    <x v="2308"/>
    <n v="127.6"/>
  </r>
  <r>
    <x v="2309"/>
    <n v="97.5"/>
  </r>
  <r>
    <x v="2310"/>
    <n v="122.1"/>
  </r>
  <r>
    <x v="2311"/>
    <n v="134.30000000000001"/>
  </r>
  <r>
    <x v="2312"/>
    <n v="107.7"/>
  </r>
  <r>
    <x v="2313"/>
    <n v="85.4"/>
  </r>
  <r>
    <x v="2314"/>
    <n v="72.3"/>
  </r>
  <r>
    <x v="2315"/>
    <n v="89.3"/>
  </r>
  <r>
    <x v="2316"/>
    <n v="75.7"/>
  </r>
  <r>
    <x v="2317"/>
    <n v="99.8"/>
  </r>
  <r>
    <x v="2318"/>
    <n v="167.6"/>
  </r>
  <r>
    <x v="2319"/>
    <n v="151.69999999999999"/>
  </r>
  <r>
    <x v="2320"/>
    <n v="122.3"/>
  </r>
  <r>
    <x v="2321"/>
    <n v="93.8"/>
  </r>
  <r>
    <x v="2322"/>
    <n v="107.9"/>
  </r>
  <r>
    <x v="2323"/>
    <n v="92.9"/>
  </r>
  <r>
    <x v="2324"/>
    <n v="112.4"/>
  </r>
  <r>
    <x v="2325"/>
    <n v="127.9"/>
  </r>
  <r>
    <x v="2326"/>
    <n v="133.4"/>
  </r>
  <r>
    <x v="2327"/>
    <n v="132.30000000000001"/>
  </r>
  <r>
    <x v="2328"/>
    <n v="155.5"/>
  </r>
  <r>
    <x v="2329"/>
    <n v="121.6"/>
  </r>
  <r>
    <x v="2330"/>
    <n v="86.7"/>
  </r>
  <r>
    <x v="2331"/>
    <n v="66.8"/>
  </r>
  <r>
    <x v="2332"/>
    <n v="54.5"/>
  </r>
  <r>
    <x v="2333"/>
    <n v="46.3"/>
  </r>
  <r>
    <x v="2334"/>
    <n v="40.200000000000003"/>
  </r>
  <r>
    <x v="2335"/>
    <n v="35.5"/>
  </r>
  <r>
    <x v="2336"/>
    <n v="31.5"/>
  </r>
  <r>
    <x v="2337"/>
    <n v="29.4"/>
  </r>
  <r>
    <x v="2338"/>
    <n v="32.200000000000003"/>
  </r>
  <r>
    <x v="2339"/>
    <n v="27.9"/>
  </r>
  <r>
    <x v="2340"/>
    <n v="24.3"/>
  </r>
  <r>
    <x v="2341"/>
    <n v="20.6"/>
  </r>
  <r>
    <x v="2342"/>
    <n v="17.7"/>
  </r>
  <r>
    <x v="2343"/>
    <n v="15.7"/>
  </r>
  <r>
    <x v="2344"/>
    <n v="19.100000000000001"/>
  </r>
  <r>
    <x v="2345"/>
    <n v="19.600000000000001"/>
  </r>
  <r>
    <x v="2346"/>
    <n v="43.9"/>
  </r>
  <r>
    <x v="2347"/>
    <n v="50.4"/>
  </r>
  <r>
    <x v="2348"/>
    <n v="37.299999999999997"/>
  </r>
  <r>
    <x v="2349"/>
    <n v="29.1"/>
  </r>
  <r>
    <x v="2350"/>
    <n v="41.1"/>
  </r>
  <r>
    <x v="2351"/>
    <n v="42.4"/>
  </r>
  <r>
    <x v="2352"/>
    <n v="31.7"/>
  </r>
  <r>
    <x v="2353"/>
    <n v="24.7"/>
  </r>
  <r>
    <x v="2354"/>
    <n v="20.399999999999999"/>
  </r>
  <r>
    <x v="2355"/>
    <n v="17.399999999999999"/>
  </r>
  <r>
    <x v="2356"/>
    <n v="15.2"/>
  </r>
  <r>
    <x v="2357"/>
    <n v="13.4"/>
  </r>
  <r>
    <x v="2358"/>
    <n v="12.5"/>
  </r>
  <r>
    <x v="2359"/>
    <n v="11.1"/>
  </r>
  <r>
    <x v="2360"/>
    <n v="9.8000000000000007"/>
  </r>
  <r>
    <x v="2361"/>
    <n v="8.6999999999999993"/>
  </r>
  <r>
    <x v="2362"/>
    <n v="7.8"/>
  </r>
  <r>
    <x v="2363"/>
    <n v="6.9"/>
  </r>
  <r>
    <x v="2364"/>
    <n v="6.2"/>
  </r>
  <r>
    <x v="2365"/>
    <n v="5.6"/>
  </r>
  <r>
    <x v="2366"/>
    <n v="5"/>
  </r>
  <r>
    <x v="2367"/>
    <n v="4.5999999999999996"/>
  </r>
  <r>
    <x v="2368"/>
    <n v="5.4"/>
  </r>
  <r>
    <x v="2369"/>
    <n v="4.5999999999999996"/>
  </r>
  <r>
    <x v="2370"/>
    <n v="3.8"/>
  </r>
  <r>
    <x v="2371"/>
    <n v="3.3"/>
  </r>
  <r>
    <x v="2372"/>
    <n v="2.8"/>
  </r>
  <r>
    <x v="2373"/>
    <n v="2.5"/>
  </r>
  <r>
    <x v="2374"/>
    <n v="2.2000000000000002"/>
  </r>
  <r>
    <x v="2375"/>
    <n v="2"/>
  </r>
  <r>
    <x v="2376"/>
    <n v="1.8"/>
  </r>
  <r>
    <x v="2377"/>
    <n v="1.6"/>
  </r>
  <r>
    <x v="2378"/>
    <n v="1.4"/>
  </r>
  <r>
    <x v="2379"/>
    <n v="1.3"/>
  </r>
  <r>
    <x v="2380"/>
    <n v="1.2"/>
  </r>
  <r>
    <x v="2381"/>
    <n v="1"/>
  </r>
  <r>
    <x v="2382"/>
    <n v="0.9"/>
  </r>
  <r>
    <x v="2383"/>
    <n v="0.8"/>
  </r>
  <r>
    <x v="2384"/>
    <n v="0.8"/>
  </r>
  <r>
    <x v="2385"/>
    <n v="0.7"/>
  </r>
  <r>
    <x v="2386"/>
    <n v="0.6"/>
  </r>
  <r>
    <x v="2387"/>
    <n v="0.5"/>
  </r>
  <r>
    <x v="2388"/>
    <n v="0.6"/>
  </r>
  <r>
    <x v="2389"/>
    <n v="1.5"/>
  </r>
  <r>
    <x v="2390"/>
    <n v="3.8"/>
  </r>
  <r>
    <x v="2391"/>
    <n v="6.5"/>
  </r>
  <r>
    <x v="2392"/>
    <n v="4.8"/>
  </r>
  <r>
    <x v="2393"/>
    <n v="3.8"/>
  </r>
  <r>
    <x v="2394"/>
    <n v="5.8"/>
  </r>
  <r>
    <x v="2395"/>
    <n v="5"/>
  </r>
  <r>
    <x v="2396"/>
    <n v="5.6"/>
  </r>
  <r>
    <x v="2397"/>
    <n v="28.6"/>
  </r>
  <r>
    <x v="2398"/>
    <n v="32.5"/>
  </r>
  <r>
    <x v="2399"/>
    <n v="24.3"/>
  </r>
  <r>
    <x v="2400"/>
    <n v="18"/>
  </r>
  <r>
    <x v="2401"/>
    <n v="14.7"/>
  </r>
  <r>
    <x v="2402"/>
    <n v="12.6"/>
  </r>
  <r>
    <x v="2403"/>
    <n v="11.7"/>
  </r>
  <r>
    <x v="2404"/>
    <n v="21.4"/>
  </r>
  <r>
    <x v="2405"/>
    <n v="40.700000000000003"/>
  </r>
  <r>
    <x v="2406"/>
    <n v="33.5"/>
  </r>
  <r>
    <x v="2407"/>
    <n v="25.1"/>
  </r>
  <r>
    <x v="2408"/>
    <n v="20.2"/>
  </r>
  <r>
    <x v="2409"/>
    <n v="17"/>
  </r>
  <r>
    <x v="2410"/>
    <n v="14.7"/>
  </r>
  <r>
    <x v="2411"/>
    <n v="13"/>
  </r>
  <r>
    <x v="2412"/>
    <n v="11.6"/>
  </r>
  <r>
    <x v="2413"/>
    <n v="13"/>
  </r>
  <r>
    <x v="2414"/>
    <n v="12.5"/>
  </r>
  <r>
    <x v="2415"/>
    <n v="11.6"/>
  </r>
  <r>
    <x v="2416"/>
    <n v="10.6"/>
  </r>
  <r>
    <x v="2417"/>
    <n v="11"/>
  </r>
  <r>
    <x v="2418"/>
    <n v="40.1"/>
  </r>
  <r>
    <x v="2419"/>
    <n v="32.799999999999997"/>
  </r>
  <r>
    <x v="2420"/>
    <n v="23.6"/>
  </r>
  <r>
    <x v="2421"/>
    <n v="18.399999999999999"/>
  </r>
  <r>
    <x v="2422"/>
    <n v="15.3"/>
  </r>
  <r>
    <x v="2423"/>
    <n v="15.5"/>
  </r>
  <r>
    <x v="2424"/>
    <n v="33"/>
  </r>
  <r>
    <x v="2425"/>
    <n v="39.9"/>
  </r>
  <r>
    <x v="2426"/>
    <n v="50.9"/>
  </r>
  <r>
    <x v="2427"/>
    <n v="36.700000000000003"/>
  </r>
  <r>
    <x v="2428"/>
    <n v="26.8"/>
  </r>
  <r>
    <x v="2429"/>
    <n v="21.2"/>
  </r>
  <r>
    <x v="2430"/>
    <n v="19.600000000000001"/>
  </r>
  <r>
    <x v="2431"/>
    <n v="57.7"/>
  </r>
  <r>
    <x v="2432"/>
    <n v="47.7"/>
  </r>
  <r>
    <x v="2433"/>
    <n v="43.1"/>
  </r>
  <r>
    <x v="2434"/>
    <n v="63.2"/>
  </r>
  <r>
    <x v="2435"/>
    <n v="59.3"/>
  </r>
  <r>
    <x v="2436"/>
    <n v="47.2"/>
  </r>
  <r>
    <x v="2437"/>
    <n v="84.1"/>
  </r>
  <r>
    <x v="2438"/>
    <n v="66.099999999999994"/>
  </r>
  <r>
    <x v="2439"/>
    <n v="52.8"/>
  </r>
  <r>
    <x v="2440"/>
    <n v="85.4"/>
  </r>
  <r>
    <x v="2441"/>
    <n v="71.3"/>
  </r>
  <r>
    <x v="2442"/>
    <n v="65.900000000000006"/>
  </r>
  <r>
    <x v="2443"/>
    <n v="53.1"/>
  </r>
  <r>
    <x v="2444"/>
    <n v="82.7"/>
  </r>
  <r>
    <x v="2445"/>
    <n v="75.7"/>
  </r>
  <r>
    <x v="2446"/>
    <n v="61.3"/>
  </r>
  <r>
    <x v="2447"/>
    <n v="48.5"/>
  </r>
  <r>
    <x v="2448"/>
    <n v="40.299999999999997"/>
  </r>
  <r>
    <x v="2449"/>
    <n v="36.6"/>
  </r>
  <r>
    <x v="2450"/>
    <n v="85.1"/>
  </r>
  <r>
    <x v="2451"/>
    <n v="71.8"/>
  </r>
  <r>
    <x v="2452"/>
    <n v="62.9"/>
  </r>
  <r>
    <x v="2453"/>
    <n v="83.8"/>
  </r>
  <r>
    <x v="2454"/>
    <n v="66.8"/>
  </r>
  <r>
    <x v="2455"/>
    <n v="53.3"/>
  </r>
  <r>
    <x v="2456"/>
    <n v="59.5"/>
  </r>
  <r>
    <x v="2457"/>
    <n v="92.7"/>
  </r>
  <r>
    <x v="2458"/>
    <n v="123.7"/>
  </r>
  <r>
    <x v="2459"/>
    <n v="92.4"/>
  </r>
  <r>
    <x v="2460"/>
    <n v="103"/>
  </r>
  <r>
    <x v="2461"/>
    <n v="102.5"/>
  </r>
  <r>
    <x v="2462"/>
    <n v="76"/>
  </r>
  <r>
    <x v="2463"/>
    <n v="96.4"/>
  </r>
  <r>
    <x v="2464"/>
    <n v="135.4"/>
  </r>
  <r>
    <x v="2465"/>
    <n v="103.9"/>
  </r>
  <r>
    <x v="2466"/>
    <n v="132.30000000000001"/>
  </r>
  <r>
    <x v="2467"/>
    <n v="100.4"/>
  </r>
  <r>
    <x v="2468"/>
    <n v="131.5"/>
  </r>
  <r>
    <x v="2469"/>
    <n v="124.9"/>
  </r>
  <r>
    <x v="2470"/>
    <n v="153.5"/>
  </r>
  <r>
    <x v="2471"/>
    <n v="133.30000000000001"/>
  </r>
  <r>
    <x v="2472"/>
    <n v="107"/>
  </r>
  <r>
    <x v="2473"/>
    <n v="145.6"/>
  </r>
  <r>
    <x v="2474"/>
    <n v="125.1"/>
  </r>
  <r>
    <x v="2475"/>
    <n v="93"/>
  </r>
  <r>
    <x v="2476"/>
    <n v="88.2"/>
  </r>
  <r>
    <x v="2477"/>
    <n v="138.9"/>
  </r>
  <r>
    <x v="2478"/>
    <n v="139.9"/>
  </r>
  <r>
    <x v="2479"/>
    <n v="100.7"/>
  </r>
  <r>
    <x v="2480"/>
    <n v="79.2"/>
  </r>
  <r>
    <x v="2481"/>
    <n v="97.7"/>
  </r>
  <r>
    <x v="2482"/>
    <n v="100.7"/>
  </r>
  <r>
    <x v="2483"/>
    <n v="124.1"/>
  </r>
  <r>
    <x v="2484"/>
    <n v="136.4"/>
  </r>
  <r>
    <x v="2485"/>
    <n v="134.19999999999999"/>
  </r>
  <r>
    <x v="2486"/>
    <n v="117.1"/>
  </r>
  <r>
    <x v="2487"/>
    <n v="127.4"/>
  </r>
  <r>
    <x v="2488"/>
    <n v="97.5"/>
  </r>
  <r>
    <x v="2489"/>
    <n v="102.8"/>
  </r>
  <r>
    <x v="2490"/>
    <n v="136.30000000000001"/>
  </r>
  <r>
    <x v="2491"/>
    <n v="110.3"/>
  </r>
  <r>
    <x v="2492"/>
    <n v="93.4"/>
  </r>
  <r>
    <x v="2493"/>
    <n v="116.6"/>
  </r>
  <r>
    <x v="2494"/>
    <n v="134.69999999999999"/>
  </r>
  <r>
    <x v="2495"/>
    <n v="104"/>
  </r>
  <r>
    <x v="2496"/>
    <n v="84.7"/>
  </r>
  <r>
    <x v="2497"/>
    <n v="74.900000000000006"/>
  </r>
  <r>
    <x v="2498"/>
    <n v="101.9"/>
  </r>
  <r>
    <x v="2499"/>
    <n v="92.7"/>
  </r>
  <r>
    <x v="2500"/>
    <n v="120.1"/>
  </r>
  <r>
    <x v="2501"/>
    <n v="100.3"/>
  </r>
  <r>
    <x v="2502"/>
    <n v="131.1"/>
  </r>
  <r>
    <x v="2503"/>
    <n v="100.1"/>
  </r>
  <r>
    <x v="2504"/>
    <n v="84.2"/>
  </r>
  <r>
    <x v="2505"/>
    <n v="114.6"/>
  </r>
  <r>
    <x v="2506"/>
    <n v="88.1"/>
  </r>
  <r>
    <x v="2507"/>
    <n v="74.8"/>
  </r>
  <r>
    <x v="2508"/>
    <n v="80.099999999999994"/>
  </r>
  <r>
    <x v="2509"/>
    <n v="78.900000000000006"/>
  </r>
  <r>
    <x v="2510"/>
    <n v="161.30000000000001"/>
  </r>
  <r>
    <x v="2511"/>
    <n v="126.3"/>
  </r>
  <r>
    <x v="2512"/>
    <n v="97.8"/>
  </r>
  <r>
    <x v="2513"/>
    <n v="121.1"/>
  </r>
  <r>
    <x v="2514"/>
    <n v="161.6"/>
  </r>
  <r>
    <x v="2515"/>
    <n v="128.5"/>
  </r>
  <r>
    <x v="2516"/>
    <n v="105.9"/>
  </r>
  <r>
    <x v="2517"/>
    <n v="97.4"/>
  </r>
  <r>
    <x v="2518"/>
    <n v="92.1"/>
  </r>
  <r>
    <x v="2519"/>
    <n v="101.8"/>
  </r>
  <r>
    <x v="2520"/>
    <n v="178.1"/>
  </r>
  <r>
    <x v="2521"/>
    <n v="166.7"/>
  </r>
  <r>
    <x v="2522"/>
    <n v="158.80000000000001"/>
  </r>
  <r>
    <x v="2523"/>
    <n v="169.1"/>
  </r>
  <r>
    <x v="2524"/>
    <n v="122"/>
  </r>
  <r>
    <x v="2525"/>
    <n v="127.6"/>
  </r>
  <r>
    <x v="2526"/>
    <n v="105"/>
  </r>
  <r>
    <x v="2527"/>
    <n v="142.9"/>
  </r>
  <r>
    <x v="2528"/>
    <n v="120.1"/>
  </r>
  <r>
    <x v="2529"/>
    <n v="112.3"/>
  </r>
  <r>
    <x v="2530"/>
    <n v="115.5"/>
  </r>
  <r>
    <x v="2531"/>
    <n v="119.7"/>
  </r>
  <r>
    <x v="2532"/>
    <n v="163.69999999999999"/>
  </r>
  <r>
    <x v="2533"/>
    <n v="132.4"/>
  </r>
  <r>
    <x v="2534"/>
    <n v="133.80000000000001"/>
  </r>
  <r>
    <x v="2535"/>
    <n v="108.6"/>
  </r>
  <r>
    <x v="2536"/>
    <n v="95.6"/>
  </r>
  <r>
    <x v="2537"/>
    <n v="91.5"/>
  </r>
  <r>
    <x v="2538"/>
    <n v="167"/>
  </r>
  <r>
    <x v="2539"/>
    <n v="128"/>
  </r>
  <r>
    <x v="2540"/>
    <n v="110.5"/>
  </r>
  <r>
    <x v="2541"/>
    <n v="154.19999999999999"/>
  </r>
  <r>
    <x v="2542"/>
    <n v="136.6"/>
  </r>
  <r>
    <x v="2543"/>
    <n v="175.7"/>
  </r>
  <r>
    <x v="2544"/>
    <n v="159.30000000000001"/>
  </r>
  <r>
    <x v="2545"/>
    <n v="115.4"/>
  </r>
  <r>
    <x v="2546"/>
    <n v="93.5"/>
  </r>
  <r>
    <x v="2547"/>
    <n v="112.9"/>
  </r>
  <r>
    <x v="2548"/>
    <n v="150.30000000000001"/>
  </r>
  <r>
    <x v="2549"/>
    <n v="160.1"/>
  </r>
  <r>
    <x v="2550"/>
    <n v="136.30000000000001"/>
  </r>
  <r>
    <x v="2551"/>
    <n v="114.1"/>
  </r>
  <r>
    <x v="2552"/>
    <n v="177"/>
  </r>
  <r>
    <x v="2553"/>
    <n v="172.1"/>
  </r>
  <r>
    <x v="2554"/>
    <n v="193.8"/>
  </r>
  <r>
    <x v="2555"/>
    <n v="164.8"/>
  </r>
  <r>
    <x v="2556"/>
    <n v="148.4"/>
  </r>
  <r>
    <x v="2557"/>
    <n v="131.9"/>
  </r>
  <r>
    <x v="2558"/>
    <n v="113.9"/>
  </r>
  <r>
    <x v="2559"/>
    <n v="129.30000000000001"/>
  </r>
  <r>
    <x v="2560"/>
    <n v="114.9"/>
  </r>
  <r>
    <x v="2561"/>
    <n v="115.4"/>
  </r>
  <r>
    <x v="2562"/>
    <n v="128.1"/>
  </r>
  <r>
    <x v="2563"/>
    <n v="114.4"/>
  </r>
  <r>
    <x v="2564"/>
    <n v="93.9"/>
  </r>
  <r>
    <x v="2565"/>
    <n v="146.30000000000001"/>
  </r>
  <r>
    <x v="2566"/>
    <n v="153.6"/>
  </r>
  <r>
    <x v="2567"/>
    <n v="120.1"/>
  </r>
  <r>
    <x v="2568"/>
    <n v="100.3"/>
  </r>
  <r>
    <x v="2569"/>
    <n v="145.69999999999999"/>
  </r>
  <r>
    <x v="2570"/>
    <n v="165.8"/>
  </r>
  <r>
    <x v="2571"/>
    <n v="121.3"/>
  </r>
  <r>
    <x v="2572"/>
    <n v="119.4"/>
  </r>
  <r>
    <x v="2573"/>
    <n v="135.30000000000001"/>
  </r>
  <r>
    <x v="2574"/>
    <n v="125"/>
  </r>
  <r>
    <x v="2575"/>
    <n v="107"/>
  </r>
  <r>
    <x v="2576"/>
    <n v="120.5"/>
  </r>
  <r>
    <x v="2577"/>
    <n v="100.1"/>
  </r>
  <r>
    <x v="2578"/>
    <n v="117.7"/>
  </r>
  <r>
    <x v="2579"/>
    <n v="92.3"/>
  </r>
  <r>
    <x v="2580"/>
    <n v="79.400000000000006"/>
  </r>
  <r>
    <x v="2581"/>
    <n v="124.7"/>
  </r>
  <r>
    <x v="2582"/>
    <n v="130.69999999999999"/>
  </r>
  <r>
    <x v="2583"/>
    <n v="103.3"/>
  </r>
  <r>
    <x v="2584"/>
    <n v="94"/>
  </r>
  <r>
    <x v="2585"/>
    <n v="84"/>
  </r>
  <r>
    <x v="2586"/>
    <n v="77.900000000000006"/>
  </r>
  <r>
    <x v="2587"/>
    <n v="119.7"/>
  </r>
  <r>
    <x v="2588"/>
    <n v="135.19999999999999"/>
  </r>
  <r>
    <x v="2589"/>
    <n v="105.4"/>
  </r>
  <r>
    <x v="2590"/>
    <n v="107.5"/>
  </r>
  <r>
    <x v="2591"/>
    <n v="87.3"/>
  </r>
  <r>
    <x v="2592"/>
    <n v="73.7"/>
  </r>
  <r>
    <x v="2593"/>
    <n v="68"/>
  </r>
  <r>
    <x v="2594"/>
    <n v="121.3"/>
  </r>
  <r>
    <x v="2595"/>
    <n v="103.6"/>
  </r>
  <r>
    <x v="2596"/>
    <n v="87.1"/>
  </r>
  <r>
    <x v="2597"/>
    <n v="92.1"/>
  </r>
  <r>
    <x v="2598"/>
    <n v="89.5"/>
  </r>
  <r>
    <x v="2599"/>
    <n v="102.3"/>
  </r>
  <r>
    <x v="2600"/>
    <n v="124.7"/>
  </r>
  <r>
    <x v="2601"/>
    <n v="104"/>
  </r>
  <r>
    <x v="2602"/>
    <n v="86"/>
  </r>
  <r>
    <x v="2603"/>
    <n v="78.599999999999994"/>
  </r>
  <r>
    <x v="2604"/>
    <n v="127.9"/>
  </r>
  <r>
    <x v="2605"/>
    <n v="131.5"/>
  </r>
  <r>
    <x v="2606"/>
    <n v="117"/>
  </r>
  <r>
    <x v="2607"/>
    <n v="100.9"/>
  </r>
  <r>
    <x v="2608"/>
    <n v="120"/>
  </r>
  <r>
    <x v="2609"/>
    <n v="148.19999999999999"/>
  </r>
  <r>
    <x v="2610"/>
    <n v="127.4"/>
  </r>
  <r>
    <x v="2611"/>
    <n v="124.2"/>
  </r>
  <r>
    <x v="2612"/>
    <n v="109.3"/>
  </r>
  <r>
    <x v="2613"/>
    <n v="104.9"/>
  </r>
  <r>
    <x v="2614"/>
    <n v="88.7"/>
  </r>
  <r>
    <x v="2615"/>
    <n v="77.5"/>
  </r>
  <r>
    <x v="2616"/>
    <n v="105.8"/>
  </r>
  <r>
    <x v="2617"/>
    <n v="136.9"/>
  </r>
  <r>
    <x v="2618"/>
    <n v="176.7"/>
  </r>
  <r>
    <x v="2619"/>
    <n v="160.9"/>
  </r>
  <r>
    <x v="2620"/>
    <n v="165.2"/>
  </r>
  <r>
    <x v="2621"/>
    <n v="163.80000000000001"/>
  </r>
  <r>
    <x v="2622"/>
    <n v="140.4"/>
  </r>
  <r>
    <x v="2623"/>
    <n v="242.9"/>
  </r>
  <r>
    <x v="2624"/>
    <n v="242.8"/>
  </r>
  <r>
    <x v="2625"/>
    <n v="167.8"/>
  </r>
  <r>
    <x v="2626"/>
    <n v="147.30000000000001"/>
  </r>
  <r>
    <x v="2627"/>
    <n v="126.7"/>
  </r>
  <r>
    <x v="2628"/>
    <n v="128.69999999999999"/>
  </r>
  <r>
    <x v="2629"/>
    <n v="139.69999999999999"/>
  </r>
  <r>
    <x v="2630"/>
    <n v="148.1"/>
  </r>
  <r>
    <x v="2631"/>
    <n v="169.7"/>
  </r>
  <r>
    <x v="2632"/>
    <n v="137"/>
  </r>
  <r>
    <x v="2633"/>
    <n v="152.1"/>
  </r>
  <r>
    <x v="2634"/>
    <n v="118.9"/>
  </r>
  <r>
    <x v="2635"/>
    <n v="123.8"/>
  </r>
  <r>
    <x v="2636"/>
    <n v="154.30000000000001"/>
  </r>
  <r>
    <x v="2637"/>
    <n v="161.69999999999999"/>
  </r>
  <r>
    <x v="2638"/>
    <n v="130.1"/>
  </r>
  <r>
    <x v="2639"/>
    <n v="111.9"/>
  </r>
  <r>
    <x v="2640"/>
    <n v="107.5"/>
  </r>
  <r>
    <x v="2641"/>
    <n v="112.3"/>
  </r>
  <r>
    <x v="2642"/>
    <n v="141.5"/>
  </r>
  <r>
    <x v="2643"/>
    <n v="129.1"/>
  </r>
  <r>
    <x v="2644"/>
    <n v="103.5"/>
  </r>
  <r>
    <x v="2645"/>
    <n v="115.3"/>
  </r>
  <r>
    <x v="2646"/>
    <n v="137.1"/>
  </r>
  <r>
    <x v="2647"/>
    <n v="226.9"/>
  </r>
  <r>
    <x v="2648"/>
    <n v="231.8"/>
  </r>
  <r>
    <x v="2649"/>
    <n v="159.80000000000001"/>
  </r>
  <r>
    <x v="2650"/>
    <n v="128.80000000000001"/>
  </r>
  <r>
    <x v="2651"/>
    <n v="105.5"/>
  </r>
  <r>
    <x v="2652"/>
    <n v="94.8"/>
  </r>
  <r>
    <x v="2653"/>
    <n v="134.6"/>
  </r>
  <r>
    <x v="2654"/>
    <n v="179.1"/>
  </r>
  <r>
    <x v="2655"/>
    <n v="167.2"/>
  </r>
  <r>
    <x v="2656"/>
    <n v="123.8"/>
  </r>
  <r>
    <x v="2657"/>
    <n v="101.7"/>
  </r>
  <r>
    <x v="2658"/>
    <n v="96.9"/>
  </r>
  <r>
    <x v="2659"/>
    <n v="104.8"/>
  </r>
  <r>
    <x v="2660"/>
    <n v="112.5"/>
  </r>
  <r>
    <x v="2661"/>
    <n v="97.7"/>
  </r>
  <r>
    <x v="2662"/>
    <n v="99.3"/>
  </r>
  <r>
    <x v="2663"/>
    <n v="132.5"/>
  </r>
  <r>
    <x v="2664"/>
    <n v="222.4"/>
  </r>
  <r>
    <x v="2665"/>
    <n v="193"/>
  </r>
  <r>
    <x v="2666"/>
    <n v="192.9"/>
  </r>
  <r>
    <x v="2667"/>
    <n v="137.4"/>
  </r>
  <r>
    <x v="2668"/>
    <n v="109.4"/>
  </r>
  <r>
    <x v="2669"/>
    <n v="147.69999999999999"/>
  </r>
  <r>
    <x v="2670"/>
    <n v="214.3"/>
  </r>
  <r>
    <x v="2671"/>
    <n v="183.2"/>
  </r>
  <r>
    <x v="2672"/>
    <n v="145.6"/>
  </r>
  <r>
    <x v="2673"/>
    <n v="171.3"/>
  </r>
  <r>
    <x v="2674"/>
    <n v="145.19999999999999"/>
  </r>
  <r>
    <x v="2675"/>
    <n v="125.5"/>
  </r>
  <r>
    <x v="2676"/>
    <n v="109.1"/>
  </r>
  <r>
    <x v="2677"/>
    <n v="100.3"/>
  </r>
  <r>
    <x v="2678"/>
    <n v="106.5"/>
  </r>
  <r>
    <x v="2679"/>
    <n v="120.5"/>
  </r>
  <r>
    <x v="2680"/>
    <n v="110.4"/>
  </r>
  <r>
    <x v="2681"/>
    <n v="137.4"/>
  </r>
  <r>
    <x v="2682"/>
    <n v="210.1"/>
  </r>
  <r>
    <x v="2683"/>
    <n v="174.4"/>
  </r>
  <r>
    <x v="2684"/>
    <n v="135.4"/>
  </r>
  <r>
    <x v="2685"/>
    <n v="107"/>
  </r>
  <r>
    <x v="2686"/>
    <n v="100"/>
  </r>
  <r>
    <x v="2687"/>
    <n v="87.3"/>
  </r>
  <r>
    <x v="2688"/>
    <n v="77.3"/>
  </r>
  <r>
    <x v="2689"/>
    <n v="68.900000000000006"/>
  </r>
  <r>
    <x v="2690"/>
    <n v="61.5"/>
  </r>
  <r>
    <x v="2691"/>
    <n v="55.6"/>
  </r>
  <r>
    <x v="2692"/>
    <n v="61.5"/>
  </r>
  <r>
    <x v="2693"/>
    <n v="66.8"/>
  </r>
  <r>
    <x v="2694"/>
    <n v="55.4"/>
  </r>
  <r>
    <x v="2695"/>
    <n v="45"/>
  </r>
  <r>
    <x v="2696"/>
    <n v="37.700000000000003"/>
  </r>
  <r>
    <x v="2697"/>
    <n v="32.5"/>
  </r>
  <r>
    <x v="2698"/>
    <n v="28.5"/>
  </r>
  <r>
    <x v="2699"/>
    <n v="25.3"/>
  </r>
  <r>
    <x v="2700"/>
    <n v="22.6"/>
  </r>
  <r>
    <x v="2701"/>
    <n v="20.2"/>
  </r>
  <r>
    <x v="2702"/>
    <n v="18.100000000000001"/>
  </r>
  <r>
    <x v="2703"/>
    <n v="16.3"/>
  </r>
  <r>
    <x v="2704"/>
    <n v="14.6"/>
  </r>
  <r>
    <x v="2705"/>
    <n v="13.1"/>
  </r>
  <r>
    <x v="2706"/>
    <n v="12.2"/>
  </r>
  <r>
    <x v="2707"/>
    <n v="14.3"/>
  </r>
  <r>
    <x v="2708"/>
    <n v="13.7"/>
  </r>
  <r>
    <x v="2709"/>
    <n v="12.1"/>
  </r>
  <r>
    <x v="2710"/>
    <n v="10.3"/>
  </r>
  <r>
    <x v="2711"/>
    <n v="8.9"/>
  </r>
  <r>
    <x v="2712"/>
    <n v="7.8"/>
  </r>
  <r>
    <x v="2713"/>
    <n v="6.9"/>
  </r>
  <r>
    <x v="2714"/>
    <n v="6.2"/>
  </r>
  <r>
    <x v="2715"/>
    <n v="5.5"/>
  </r>
  <r>
    <x v="2716"/>
    <n v="4.9000000000000004"/>
  </r>
  <r>
    <x v="2717"/>
    <n v="4.4000000000000004"/>
  </r>
  <r>
    <x v="2718"/>
    <n v="4"/>
  </r>
  <r>
    <x v="2719"/>
    <n v="3.6"/>
  </r>
  <r>
    <x v="2720"/>
    <n v="3.2"/>
  </r>
  <r>
    <x v="2721"/>
    <n v="2.9"/>
  </r>
  <r>
    <x v="2722"/>
    <n v="2.6"/>
  </r>
  <r>
    <x v="2723"/>
    <n v="2.2999999999999998"/>
  </r>
  <r>
    <x v="2724"/>
    <n v="2.2000000000000002"/>
  </r>
  <r>
    <x v="2725"/>
    <n v="2.2000000000000002"/>
  </r>
  <r>
    <x v="2726"/>
    <n v="7.1"/>
  </r>
  <r>
    <x v="2727"/>
    <n v="6.8"/>
  </r>
  <r>
    <x v="2728"/>
    <n v="4.9000000000000004"/>
  </r>
  <r>
    <x v="2729"/>
    <n v="4.7"/>
  </r>
  <r>
    <x v="2730"/>
    <n v="20.100000000000001"/>
  </r>
  <r>
    <x v="2731"/>
    <n v="15.3"/>
  </r>
  <r>
    <x v="2732"/>
    <n v="10.7"/>
  </r>
  <r>
    <x v="2733"/>
    <n v="8.1999999999999993"/>
  </r>
  <r>
    <x v="2734"/>
    <n v="6.6"/>
  </r>
  <r>
    <x v="2735"/>
    <n v="5.7"/>
  </r>
  <r>
    <x v="2736"/>
    <n v="12"/>
  </r>
  <r>
    <x v="2737"/>
    <n v="12.4"/>
  </r>
  <r>
    <x v="2738"/>
    <n v="8.9"/>
  </r>
  <r>
    <x v="2739"/>
    <n v="6.2"/>
  </r>
  <r>
    <x v="2740"/>
    <n v="4.5999999999999996"/>
  </r>
  <r>
    <x v="2741"/>
    <n v="3.9"/>
  </r>
  <r>
    <x v="2742"/>
    <n v="3.4"/>
  </r>
  <r>
    <x v="2743"/>
    <n v="3"/>
  </r>
  <r>
    <x v="2744"/>
    <n v="2.7"/>
  </r>
  <r>
    <x v="2745"/>
    <n v="2.4"/>
  </r>
  <r>
    <x v="2746"/>
    <n v="2.1"/>
  </r>
  <r>
    <x v="2747"/>
    <n v="1.9"/>
  </r>
  <r>
    <x v="2748"/>
    <n v="1.7"/>
  </r>
  <r>
    <x v="2749"/>
    <n v="1.6"/>
  </r>
  <r>
    <x v="2750"/>
    <n v="1.7"/>
  </r>
  <r>
    <x v="2751"/>
    <n v="1.5"/>
  </r>
  <r>
    <x v="2752"/>
    <n v="1.3"/>
  </r>
  <r>
    <x v="2753"/>
    <n v="1.1000000000000001"/>
  </r>
  <r>
    <x v="2754"/>
    <n v="0.9"/>
  </r>
  <r>
    <x v="2755"/>
    <n v="0.8"/>
  </r>
  <r>
    <x v="2756"/>
    <n v="0.7"/>
  </r>
  <r>
    <x v="2757"/>
    <n v="0.7"/>
  </r>
  <r>
    <x v="2758"/>
    <n v="0.6"/>
  </r>
  <r>
    <x v="2759"/>
    <n v="0.5"/>
  </r>
  <r>
    <x v="2760"/>
    <n v="1.5"/>
  </r>
  <r>
    <x v="2761"/>
    <n v="1.3"/>
  </r>
  <r>
    <x v="2762"/>
    <n v="1.4"/>
  </r>
  <r>
    <x v="2763"/>
    <n v="10"/>
  </r>
  <r>
    <x v="2764"/>
    <n v="24.9"/>
  </r>
  <r>
    <x v="2765"/>
    <n v="18.7"/>
  </r>
  <r>
    <x v="2766"/>
    <n v="15.2"/>
  </r>
  <r>
    <x v="2767"/>
    <n v="35.299999999999997"/>
  </r>
  <r>
    <x v="2768"/>
    <n v="28"/>
  </r>
  <r>
    <x v="2769"/>
    <n v="21.2"/>
  </r>
  <r>
    <x v="2770"/>
    <n v="17.100000000000001"/>
  </r>
  <r>
    <x v="2771"/>
    <n v="14.2"/>
  </r>
  <r>
    <x v="2772"/>
    <n v="12.2"/>
  </r>
  <r>
    <x v="2773"/>
    <n v="10.7"/>
  </r>
  <r>
    <x v="2774"/>
    <n v="9.5"/>
  </r>
  <r>
    <x v="2775"/>
    <n v="8.5"/>
  </r>
  <r>
    <x v="2776"/>
    <n v="8"/>
  </r>
  <r>
    <x v="2777"/>
    <n v="8.1999999999999993"/>
  </r>
  <r>
    <x v="2778"/>
    <n v="8.4"/>
  </r>
  <r>
    <x v="2779"/>
    <n v="11"/>
  </r>
  <r>
    <x v="2780"/>
    <n v="28.1"/>
  </r>
  <r>
    <x v="2781"/>
    <n v="22.1"/>
  </r>
  <r>
    <x v="2782"/>
    <n v="18.600000000000001"/>
  </r>
  <r>
    <x v="2783"/>
    <n v="50.6"/>
  </r>
  <r>
    <x v="2784"/>
    <n v="56.6"/>
  </r>
  <r>
    <x v="2785"/>
    <n v="43.7"/>
  </r>
  <r>
    <x v="2786"/>
    <n v="32.799999999999997"/>
  </r>
  <r>
    <x v="2787"/>
    <n v="45.7"/>
  </r>
  <r>
    <x v="2788"/>
    <n v="38.5"/>
  </r>
  <r>
    <x v="2789"/>
    <n v="40.6"/>
  </r>
  <r>
    <x v="2790"/>
    <n v="55.3"/>
  </r>
  <r>
    <x v="2791"/>
    <n v="61.4"/>
  </r>
  <r>
    <x v="2792"/>
    <n v="63.7"/>
  </r>
  <r>
    <x v="2793"/>
    <n v="92.8"/>
  </r>
  <r>
    <x v="2794"/>
    <n v="67.5"/>
  </r>
  <r>
    <x v="2795"/>
    <n v="69"/>
  </r>
  <r>
    <x v="2796"/>
    <n v="51.5"/>
  </r>
  <r>
    <x v="2797"/>
    <n v="41.5"/>
  </r>
  <r>
    <x v="2798"/>
    <n v="38.200000000000003"/>
  </r>
  <r>
    <x v="2799"/>
    <n v="34.1"/>
  </r>
  <r>
    <x v="2800"/>
    <n v="29.5"/>
  </r>
  <r>
    <x v="2801"/>
    <n v="27.4"/>
  </r>
  <r>
    <x v="2802"/>
    <n v="45.9"/>
  </r>
  <r>
    <x v="2803"/>
    <n v="38.700000000000003"/>
  </r>
  <r>
    <x v="2804"/>
    <n v="40.799999999999997"/>
  </r>
  <r>
    <x v="2805"/>
    <n v="60.2"/>
  </r>
  <r>
    <x v="2806"/>
    <n v="64.5"/>
  </r>
  <r>
    <x v="2807"/>
    <n v="48.1"/>
  </r>
  <r>
    <x v="2808"/>
    <n v="50.7"/>
  </r>
  <r>
    <x v="2809"/>
    <n v="41.6"/>
  </r>
  <r>
    <x v="2810"/>
    <n v="84.4"/>
  </r>
  <r>
    <x v="2811"/>
    <n v="66.5"/>
  </r>
  <r>
    <x v="2812"/>
    <n v="51.1"/>
  </r>
  <r>
    <x v="2813"/>
    <n v="53.4"/>
  </r>
  <r>
    <x v="2814"/>
    <n v="85"/>
  </r>
  <r>
    <x v="2815"/>
    <n v="74.599999999999994"/>
  </r>
  <r>
    <x v="2816"/>
    <n v="56"/>
  </r>
  <r>
    <x v="2817"/>
    <n v="48.7"/>
  </r>
  <r>
    <x v="2818"/>
    <n v="96"/>
  </r>
  <r>
    <x v="2819"/>
    <n v="109.6"/>
  </r>
  <r>
    <x v="2820"/>
    <n v="83.3"/>
  </r>
  <r>
    <x v="2821"/>
    <n v="105.4"/>
  </r>
  <r>
    <x v="2822"/>
    <n v="82.4"/>
  </r>
  <r>
    <x v="2823"/>
    <n v="63.7"/>
  </r>
  <r>
    <x v="2824"/>
    <n v="69.5"/>
  </r>
  <r>
    <x v="2825"/>
    <n v="73.900000000000006"/>
  </r>
  <r>
    <x v="2826"/>
    <n v="59.6"/>
  </r>
  <r>
    <x v="2827"/>
    <n v="81.2"/>
  </r>
  <r>
    <x v="2828"/>
    <n v="65.099999999999994"/>
  </r>
  <r>
    <x v="2829"/>
    <n v="54.5"/>
  </r>
  <r>
    <x v="2830"/>
    <n v="107"/>
  </r>
  <r>
    <x v="2831"/>
    <n v="126.6"/>
  </r>
  <r>
    <x v="2832"/>
    <n v="97.3"/>
  </r>
  <r>
    <x v="2833"/>
    <n v="78.5"/>
  </r>
  <r>
    <x v="2834"/>
    <n v="143"/>
  </r>
  <r>
    <x v="2835"/>
    <n v="113.8"/>
  </r>
  <r>
    <x v="2836"/>
    <n v="88.8"/>
  </r>
  <r>
    <x v="2837"/>
    <n v="120.8"/>
  </r>
  <r>
    <x v="2838"/>
    <n v="110.5"/>
  </r>
  <r>
    <x v="2839"/>
    <n v="165"/>
  </r>
  <r>
    <x v="2840"/>
    <n v="163.80000000000001"/>
  </r>
  <r>
    <x v="2841"/>
    <n v="116.2"/>
  </r>
  <r>
    <x v="2842"/>
    <n v="137.1"/>
  </r>
  <r>
    <x v="2843"/>
    <n v="118.7"/>
  </r>
  <r>
    <x v="2844"/>
    <n v="109.1"/>
  </r>
  <r>
    <x v="2845"/>
    <n v="142.80000000000001"/>
  </r>
  <r>
    <x v="2846"/>
    <n v="115.6"/>
  </r>
  <r>
    <x v="2847"/>
    <n v="96.6"/>
  </r>
  <r>
    <x v="2848"/>
    <n v="148.69999999999999"/>
  </r>
  <r>
    <x v="2849"/>
    <n v="139.5"/>
  </r>
  <r>
    <x v="2850"/>
    <n v="122"/>
  </r>
  <r>
    <x v="2851"/>
    <n v="90.9"/>
  </r>
  <r>
    <x v="2852"/>
    <n v="71.900000000000006"/>
  </r>
  <r>
    <x v="2853"/>
    <n v="61.2"/>
  </r>
  <r>
    <x v="2854"/>
    <n v="57.2"/>
  </r>
  <r>
    <x v="2855"/>
    <n v="126.3"/>
  </r>
  <r>
    <x v="2856"/>
    <n v="112.2"/>
  </r>
  <r>
    <x v="2857"/>
    <n v="142.30000000000001"/>
  </r>
  <r>
    <x v="2858"/>
    <n v="132.9"/>
  </r>
  <r>
    <x v="2859"/>
    <n v="98.2"/>
  </r>
  <r>
    <x v="2860"/>
    <n v="82.7"/>
  </r>
  <r>
    <x v="2861"/>
    <n v="89.5"/>
  </r>
  <r>
    <x v="2862"/>
    <n v="116.8"/>
  </r>
  <r>
    <x v="2863"/>
    <n v="202.9"/>
  </r>
  <r>
    <x v="2864"/>
    <n v="151.1"/>
  </r>
  <r>
    <x v="2865"/>
    <n v="112.3"/>
  </r>
  <r>
    <x v="2866"/>
    <n v="116.7"/>
  </r>
  <r>
    <x v="2867"/>
    <n v="159.80000000000001"/>
  </r>
  <r>
    <x v="2868"/>
    <n v="129.4"/>
  </r>
  <r>
    <x v="2869"/>
    <n v="139.1"/>
  </r>
  <r>
    <x v="2870"/>
    <n v="112.1"/>
  </r>
  <r>
    <x v="2871"/>
    <n v="114.4"/>
  </r>
  <r>
    <x v="2872"/>
    <n v="110.7"/>
  </r>
  <r>
    <x v="2873"/>
    <n v="89.4"/>
  </r>
  <r>
    <x v="2874"/>
    <n v="99.5"/>
  </r>
  <r>
    <x v="2875"/>
    <n v="105.7"/>
  </r>
  <r>
    <x v="2876"/>
    <n v="170"/>
  </r>
  <r>
    <x v="2877"/>
    <n v="203.3"/>
  </r>
  <r>
    <x v="2878"/>
    <n v="171.7"/>
  </r>
  <r>
    <x v="2879"/>
    <n v="120.8"/>
  </r>
  <r>
    <x v="2880"/>
    <n v="95.6"/>
  </r>
  <r>
    <x v="2881"/>
    <n v="150.69999999999999"/>
  </r>
  <r>
    <x v="2882"/>
    <n v="211.4"/>
  </r>
  <r>
    <x v="2883"/>
    <n v="219.2"/>
  </r>
  <r>
    <x v="2884"/>
    <n v="166.9"/>
  </r>
  <r>
    <x v="2885"/>
    <n v="121.1"/>
  </r>
  <r>
    <x v="2886"/>
    <n v="138.5"/>
  </r>
  <r>
    <x v="2887"/>
    <n v="123.7"/>
  </r>
  <r>
    <x v="2888"/>
    <n v="111.6"/>
  </r>
  <r>
    <x v="2889"/>
    <n v="138.4"/>
  </r>
  <r>
    <x v="2890"/>
    <n v="131.4"/>
  </r>
  <r>
    <x v="2891"/>
    <n v="153.80000000000001"/>
  </r>
  <r>
    <x v="2892"/>
    <n v="177.8"/>
  </r>
  <r>
    <x v="2893"/>
    <n v="130.69999999999999"/>
  </r>
  <r>
    <x v="2894"/>
    <n v="113.1"/>
  </r>
  <r>
    <x v="2895"/>
    <n v="95.2"/>
  </r>
  <r>
    <x v="2896"/>
    <n v="151.6"/>
  </r>
  <r>
    <x v="2897"/>
    <n v="122"/>
  </r>
  <r>
    <x v="2898"/>
    <n v="98.1"/>
  </r>
  <r>
    <x v="2899"/>
    <n v="125.8"/>
  </r>
  <r>
    <x v="2900"/>
    <n v="167"/>
  </r>
  <r>
    <x v="2901"/>
    <n v="128.1"/>
  </r>
  <r>
    <x v="2902"/>
    <n v="102"/>
  </r>
  <r>
    <x v="2903"/>
    <n v="146.4"/>
  </r>
  <r>
    <x v="2904"/>
    <n v="197.4"/>
  </r>
  <r>
    <x v="2905"/>
    <n v="164.8"/>
  </r>
  <r>
    <x v="2906"/>
    <n v="118.8"/>
  </r>
  <r>
    <x v="2907"/>
    <n v="110.9"/>
  </r>
  <r>
    <x v="2908"/>
    <n v="111.4"/>
  </r>
  <r>
    <x v="2909"/>
    <n v="131.1"/>
  </r>
  <r>
    <x v="2910"/>
    <n v="117.8"/>
  </r>
  <r>
    <x v="2911"/>
    <n v="166.8"/>
  </r>
  <r>
    <x v="2912"/>
    <n v="150.80000000000001"/>
  </r>
  <r>
    <x v="2913"/>
    <n v="172.3"/>
  </r>
  <r>
    <x v="2914"/>
    <n v="141.69999999999999"/>
  </r>
  <r>
    <x v="2915"/>
    <n v="169"/>
  </r>
  <r>
    <x v="2916"/>
    <n v="160.69999999999999"/>
  </r>
  <r>
    <x v="2917"/>
    <n v="152.19999999999999"/>
  </r>
  <r>
    <x v="2918"/>
    <n v="198.6"/>
  </r>
  <r>
    <x v="2919"/>
    <n v="164.8"/>
  </r>
  <r>
    <x v="2920"/>
    <n v="140.80000000000001"/>
  </r>
  <r>
    <x v="2921"/>
    <n v="129.1"/>
  </r>
  <r>
    <x v="2922"/>
    <n v="132.5"/>
  </r>
  <r>
    <x v="2923"/>
    <n v="102.1"/>
  </r>
  <r>
    <x v="2924"/>
    <n v="83.3"/>
  </r>
  <r>
    <x v="2925"/>
    <n v="76"/>
  </r>
  <r>
    <x v="2926"/>
    <n v="131.5"/>
  </r>
  <r>
    <x v="2927"/>
    <n v="170.3"/>
  </r>
  <r>
    <x v="2928"/>
    <n v="150.19999999999999"/>
  </r>
  <r>
    <x v="2929"/>
    <n v="152"/>
  </r>
  <r>
    <x v="2930"/>
    <n v="110.6"/>
  </r>
  <r>
    <x v="2931"/>
    <n v="87.1"/>
  </r>
  <r>
    <x v="2932"/>
    <n v="80.2"/>
  </r>
  <r>
    <x v="2933"/>
    <n v="75.099999999999994"/>
  </r>
  <r>
    <x v="2934"/>
    <n v="100.3"/>
  </r>
  <r>
    <x v="2935"/>
    <n v="112.4"/>
  </r>
  <r>
    <x v="2936"/>
    <n v="89.8"/>
  </r>
  <r>
    <x v="2937"/>
    <n v="76.7"/>
  </r>
  <r>
    <x v="2938"/>
    <n v="89.8"/>
  </r>
  <r>
    <x v="2939"/>
    <n v="120"/>
  </r>
  <r>
    <x v="2940"/>
    <n v="116"/>
  </r>
  <r>
    <x v="2941"/>
    <n v="121"/>
  </r>
  <r>
    <x v="2942"/>
    <n v="133.4"/>
  </r>
  <r>
    <x v="2943"/>
    <n v="116.3"/>
  </r>
  <r>
    <x v="2944"/>
    <n v="141.1"/>
  </r>
  <r>
    <x v="2945"/>
    <n v="133.9"/>
  </r>
  <r>
    <x v="2946"/>
    <n v="140.30000000000001"/>
  </r>
  <r>
    <x v="2947"/>
    <n v="108.2"/>
  </r>
  <r>
    <x v="2948"/>
    <n v="127.5"/>
  </r>
  <r>
    <x v="2949"/>
    <n v="127.5"/>
  </r>
  <r>
    <x v="2950"/>
    <n v="113.4"/>
  </r>
  <r>
    <x v="2951"/>
    <n v="115.2"/>
  </r>
  <r>
    <x v="2952"/>
    <n v="139.69999999999999"/>
  </r>
  <r>
    <x v="2953"/>
    <n v="107.5"/>
  </r>
  <r>
    <x v="2954"/>
    <n v="96.7"/>
  </r>
  <r>
    <x v="2955"/>
    <n v="137.80000000000001"/>
  </r>
  <r>
    <x v="2956"/>
    <n v="106.5"/>
  </r>
  <r>
    <x v="2957"/>
    <n v="89.1"/>
  </r>
  <r>
    <x v="2958"/>
    <n v="98.7"/>
  </r>
  <r>
    <x v="2959"/>
    <n v="89.2"/>
  </r>
  <r>
    <x v="2960"/>
    <n v="82"/>
  </r>
  <r>
    <x v="2961"/>
    <n v="115.8"/>
  </r>
  <r>
    <x v="2962"/>
    <n v="99.9"/>
  </r>
  <r>
    <x v="2963"/>
    <n v="137.19999999999999"/>
  </r>
  <r>
    <x v="2964"/>
    <n v="116.9"/>
  </r>
  <r>
    <x v="2965"/>
    <n v="118.6"/>
  </r>
  <r>
    <x v="2966"/>
    <n v="96.2"/>
  </r>
  <r>
    <x v="2967"/>
    <n v="100.9"/>
  </r>
  <r>
    <x v="2968"/>
    <n v="191.2"/>
  </r>
  <r>
    <x v="2969"/>
    <n v="223.2"/>
  </r>
  <r>
    <x v="2970"/>
    <n v="171.5"/>
  </r>
  <r>
    <x v="2971"/>
    <n v="122.6"/>
  </r>
  <r>
    <x v="2972"/>
    <n v="113.5"/>
  </r>
  <r>
    <x v="2973"/>
    <n v="178.8"/>
  </r>
  <r>
    <x v="2974"/>
    <n v="148.30000000000001"/>
  </r>
  <r>
    <x v="2975"/>
    <n v="140.69999999999999"/>
  </r>
  <r>
    <x v="2976"/>
    <n v="127.7"/>
  </r>
  <r>
    <x v="2977"/>
    <n v="106"/>
  </r>
  <r>
    <x v="2978"/>
    <n v="102.9"/>
  </r>
  <r>
    <x v="2979"/>
    <n v="88.7"/>
  </r>
  <r>
    <x v="2980"/>
    <n v="93.1"/>
  </r>
  <r>
    <x v="2981"/>
    <n v="91.5"/>
  </r>
  <r>
    <x v="2982"/>
    <n v="114.3"/>
  </r>
  <r>
    <x v="2983"/>
    <n v="92.9"/>
  </r>
  <r>
    <x v="2984"/>
    <n v="93.4"/>
  </r>
  <r>
    <x v="2985"/>
    <n v="159.6"/>
  </r>
  <r>
    <x v="2986"/>
    <n v="125.3"/>
  </r>
  <r>
    <x v="2987"/>
    <n v="108"/>
  </r>
  <r>
    <x v="2988"/>
    <n v="150"/>
  </r>
  <r>
    <x v="2989"/>
    <n v="117.5"/>
  </r>
  <r>
    <x v="2990"/>
    <n v="95.3"/>
  </r>
  <r>
    <x v="2991"/>
    <n v="100.8"/>
  </r>
  <r>
    <x v="2992"/>
    <n v="126.9"/>
  </r>
  <r>
    <x v="2993"/>
    <n v="164.6"/>
  </r>
  <r>
    <x v="2994"/>
    <n v="205.1"/>
  </r>
  <r>
    <x v="2995"/>
    <n v="186.2"/>
  </r>
  <r>
    <x v="2996"/>
    <n v="164.3"/>
  </r>
  <r>
    <x v="2997"/>
    <n v="119"/>
  </r>
  <r>
    <x v="2998"/>
    <n v="96.7"/>
  </r>
  <r>
    <x v="2999"/>
    <n v="137.6"/>
  </r>
  <r>
    <x v="3000"/>
    <n v="196.5"/>
  </r>
  <r>
    <x v="3001"/>
    <n v="176.8"/>
  </r>
  <r>
    <x v="3002"/>
    <n v="165.1"/>
  </r>
  <r>
    <x v="3003"/>
    <n v="170.7"/>
  </r>
  <r>
    <x v="3004"/>
    <n v="170.6"/>
  </r>
  <r>
    <x v="3005"/>
    <n v="128.5"/>
  </r>
  <r>
    <x v="3006"/>
    <n v="103.6"/>
  </r>
  <r>
    <x v="3007"/>
    <n v="134.80000000000001"/>
  </r>
  <r>
    <x v="3008"/>
    <n v="107.3"/>
  </r>
  <r>
    <x v="3009"/>
    <n v="108.1"/>
  </r>
  <r>
    <x v="3010"/>
    <n v="170.8"/>
  </r>
  <r>
    <x v="3011"/>
    <n v="143.69999999999999"/>
  </r>
  <r>
    <x v="3012"/>
    <n v="107.3"/>
  </r>
  <r>
    <x v="3013"/>
    <n v="88.8"/>
  </r>
  <r>
    <x v="3014"/>
    <n v="100.2"/>
  </r>
  <r>
    <x v="3015"/>
    <n v="125.8"/>
  </r>
  <r>
    <x v="3016"/>
    <n v="102.2"/>
  </r>
  <r>
    <x v="3017"/>
    <n v="84.7"/>
  </r>
  <r>
    <x v="3018"/>
    <n v="75.2"/>
  </r>
  <r>
    <x v="3019"/>
    <n v="86.6"/>
  </r>
  <r>
    <x v="3020"/>
    <n v="146.9"/>
  </r>
  <r>
    <x v="3021"/>
    <n v="154.1"/>
  </r>
  <r>
    <x v="3022"/>
    <n v="154"/>
  </r>
  <r>
    <x v="3023"/>
    <n v="187"/>
  </r>
  <r>
    <x v="3024"/>
    <n v="208.8"/>
  </r>
  <r>
    <x v="3025"/>
    <n v="154"/>
  </r>
  <r>
    <x v="3026"/>
    <n v="220.8"/>
  </r>
  <r>
    <x v="3027"/>
    <n v="167.5"/>
  </r>
  <r>
    <x v="3028"/>
    <n v="171.4"/>
  </r>
  <r>
    <x v="3029"/>
    <n v="124.2"/>
  </r>
  <r>
    <x v="3030"/>
    <n v="98.3"/>
  </r>
  <r>
    <x v="3031"/>
    <n v="104.4"/>
  </r>
  <r>
    <x v="3032"/>
    <n v="112.3"/>
  </r>
  <r>
    <x v="3033"/>
    <n v="136.69999999999999"/>
  </r>
  <r>
    <x v="3034"/>
    <n v="154.4"/>
  </r>
  <r>
    <x v="3035"/>
    <n v="190"/>
  </r>
  <r>
    <x v="3036"/>
    <n v="147.30000000000001"/>
  </r>
  <r>
    <x v="3037"/>
    <n v="130.9"/>
  </r>
  <r>
    <x v="3038"/>
    <n v="150.4"/>
  </r>
  <r>
    <x v="3039"/>
    <n v="132.30000000000001"/>
  </r>
  <r>
    <x v="3040"/>
    <n v="103"/>
  </r>
  <r>
    <x v="3041"/>
    <n v="84.6"/>
  </r>
  <r>
    <x v="3042"/>
    <n v="72.099999999999994"/>
  </r>
  <r>
    <x v="3043"/>
    <n v="63"/>
  </r>
  <r>
    <x v="3044"/>
    <n v="55.7"/>
  </r>
  <r>
    <x v="3045"/>
    <n v="49.7"/>
  </r>
  <r>
    <x v="3046"/>
    <n v="44.9"/>
  </r>
  <r>
    <x v="3047"/>
    <n v="42.5"/>
  </r>
  <r>
    <x v="3048"/>
    <n v="76.7"/>
  </r>
  <r>
    <x v="3049"/>
    <n v="151.5"/>
  </r>
  <r>
    <x v="3050"/>
    <n v="126.2"/>
  </r>
  <r>
    <x v="3051"/>
    <n v="92.9"/>
  </r>
  <r>
    <x v="3052"/>
    <n v="74.099999999999994"/>
  </r>
  <r>
    <x v="3053"/>
    <n v="64.900000000000006"/>
  </r>
  <r>
    <x v="3054"/>
    <n v="74.2"/>
  </r>
  <r>
    <x v="3055"/>
    <n v="80.099999999999994"/>
  </r>
  <r>
    <x v="3056"/>
    <n v="111.1"/>
  </r>
  <r>
    <x v="3057"/>
    <n v="93"/>
  </r>
  <r>
    <x v="3058"/>
    <n v="113.7"/>
  </r>
  <r>
    <x v="3059"/>
    <n v="117.6"/>
  </r>
  <r>
    <x v="3060"/>
    <n v="103.9"/>
  </r>
  <r>
    <x v="3061"/>
    <n v="83.2"/>
  </r>
  <r>
    <x v="3062"/>
    <n v="70.099999999999994"/>
  </r>
  <r>
    <x v="3063"/>
    <n v="60.9"/>
  </r>
  <r>
    <x v="3064"/>
    <n v="53.6"/>
  </r>
  <r>
    <x v="3065"/>
    <n v="47.7"/>
  </r>
  <r>
    <x v="3066"/>
    <n v="42.7"/>
  </r>
  <r>
    <x v="3067"/>
    <n v="38.200000000000003"/>
  </r>
  <r>
    <x v="3068"/>
    <n v="34.700000000000003"/>
  </r>
  <r>
    <x v="3069"/>
    <n v="31.5"/>
  </r>
  <r>
    <x v="3070"/>
    <n v="28.5"/>
  </r>
  <r>
    <x v="3071"/>
    <n v="32.200000000000003"/>
  </r>
  <r>
    <x v="3072"/>
    <n v="27.9"/>
  </r>
  <r>
    <x v="3073"/>
    <n v="23.3"/>
  </r>
  <r>
    <x v="3074"/>
    <n v="19.8"/>
  </r>
  <r>
    <x v="3075"/>
    <n v="17.2"/>
  </r>
  <r>
    <x v="3076"/>
    <n v="15.2"/>
  </r>
  <r>
    <x v="3077"/>
    <n v="13.5"/>
  </r>
  <r>
    <x v="3078"/>
    <n v="12.4"/>
  </r>
  <r>
    <x v="3079"/>
    <n v="11.2"/>
  </r>
  <r>
    <x v="3080"/>
    <n v="10.1"/>
  </r>
  <r>
    <x v="3081"/>
    <n v="9.1"/>
  </r>
  <r>
    <x v="3082"/>
    <n v="8.1999999999999993"/>
  </r>
  <r>
    <x v="3083"/>
    <n v="7.6"/>
  </r>
  <r>
    <x v="3084"/>
    <n v="6.9"/>
  </r>
  <r>
    <x v="3085"/>
    <n v="6.3"/>
  </r>
  <r>
    <x v="3086"/>
    <n v="5.7"/>
  </r>
  <r>
    <x v="3087"/>
    <n v="5.0999999999999996"/>
  </r>
  <r>
    <x v="3088"/>
    <n v="4.5999999999999996"/>
  </r>
  <r>
    <x v="3089"/>
    <n v="4.5"/>
  </r>
  <r>
    <x v="3090"/>
    <n v="4.4000000000000004"/>
  </r>
  <r>
    <x v="3091"/>
    <n v="8.5"/>
  </r>
  <r>
    <x v="3092"/>
    <n v="6.8"/>
  </r>
  <r>
    <x v="3093"/>
    <n v="5"/>
  </r>
  <r>
    <x v="3094"/>
    <n v="4.5"/>
  </r>
  <r>
    <x v="3095"/>
    <n v="14.2"/>
  </r>
  <r>
    <x v="3096"/>
    <n v="10.9"/>
  </r>
  <r>
    <x v="3097"/>
    <n v="7.8"/>
  </r>
  <r>
    <x v="3098"/>
    <n v="6"/>
  </r>
  <r>
    <x v="3099"/>
    <n v="4.8"/>
  </r>
  <r>
    <x v="3100"/>
    <n v="4.4000000000000004"/>
  </r>
  <r>
    <x v="3101"/>
    <n v="8"/>
  </r>
  <r>
    <x v="3102"/>
    <n v="6.7"/>
  </r>
  <r>
    <x v="3103"/>
    <n v="14.5"/>
  </r>
  <r>
    <x v="3104"/>
    <n v="10.9"/>
  </r>
  <r>
    <x v="3105"/>
    <n v="7.5"/>
  </r>
  <r>
    <x v="3106"/>
    <n v="6.9"/>
  </r>
  <r>
    <x v="3107"/>
    <n v="5.5"/>
  </r>
  <r>
    <x v="3108"/>
    <n v="5.4"/>
  </r>
  <r>
    <x v="3109"/>
    <n v="7.7"/>
  </r>
  <r>
    <x v="3110"/>
    <n v="14.2"/>
  </r>
  <r>
    <x v="3111"/>
    <n v="10.4"/>
  </r>
  <r>
    <x v="3112"/>
    <n v="7.2"/>
  </r>
  <r>
    <x v="3113"/>
    <n v="5.4"/>
  </r>
  <r>
    <x v="3114"/>
    <n v="4.4000000000000004"/>
  </r>
  <r>
    <x v="3115"/>
    <n v="3.8"/>
  </r>
  <r>
    <x v="3116"/>
    <n v="3.3"/>
  </r>
  <r>
    <x v="3117"/>
    <n v="3"/>
  </r>
  <r>
    <x v="3118"/>
    <n v="2.8"/>
  </r>
  <r>
    <x v="3119"/>
    <n v="2.6"/>
  </r>
  <r>
    <x v="3120"/>
    <n v="2.4"/>
  </r>
  <r>
    <x v="3121"/>
    <n v="2.2000000000000002"/>
  </r>
  <r>
    <x v="3122"/>
    <n v="2"/>
  </r>
  <r>
    <x v="3123"/>
    <n v="2"/>
  </r>
  <r>
    <x v="3124"/>
    <n v="4.5999999999999996"/>
  </r>
  <r>
    <x v="3125"/>
    <n v="14.4"/>
  </r>
  <r>
    <x v="3126"/>
    <n v="13.3"/>
  </r>
  <r>
    <x v="3127"/>
    <n v="14.3"/>
  </r>
  <r>
    <x v="3128"/>
    <n v="11.7"/>
  </r>
  <r>
    <x v="3129"/>
    <n v="24.1"/>
  </r>
  <r>
    <x v="3130"/>
    <n v="18.100000000000001"/>
  </r>
  <r>
    <x v="3131"/>
    <n v="13.3"/>
  </r>
  <r>
    <x v="3132"/>
    <n v="10.5"/>
  </r>
  <r>
    <x v="3133"/>
    <n v="8.6"/>
  </r>
  <r>
    <x v="3134"/>
    <n v="7.3"/>
  </r>
  <r>
    <x v="3135"/>
    <n v="7.1"/>
  </r>
  <r>
    <x v="3136"/>
    <n v="18.899999999999999"/>
  </r>
  <r>
    <x v="3137"/>
    <n v="37"/>
  </r>
  <r>
    <x v="3138"/>
    <n v="30.5"/>
  </r>
  <r>
    <x v="3139"/>
    <n v="64.400000000000006"/>
  </r>
  <r>
    <x v="3140"/>
    <n v="51.7"/>
  </r>
  <r>
    <x v="3141"/>
    <n v="37.1"/>
  </r>
  <r>
    <x v="3142"/>
    <n v="29.2"/>
  </r>
  <r>
    <x v="3143"/>
    <n v="35.700000000000003"/>
  </r>
  <r>
    <x v="3144"/>
    <n v="29.4"/>
  </r>
  <r>
    <x v="3145"/>
    <n v="24.5"/>
  </r>
  <r>
    <x v="3146"/>
    <n v="21.7"/>
  </r>
  <r>
    <x v="3147"/>
    <n v="19.399999999999999"/>
  </r>
  <r>
    <x v="3148"/>
    <n v="28"/>
  </r>
  <r>
    <x v="3149"/>
    <n v="25.9"/>
  </r>
  <r>
    <x v="3150"/>
    <n v="21.8"/>
  </r>
  <r>
    <x v="3151"/>
    <n v="21.7"/>
  </r>
  <r>
    <x v="3152"/>
    <n v="29"/>
  </r>
  <r>
    <x v="3153"/>
    <n v="51.4"/>
  </r>
  <r>
    <x v="3154"/>
    <n v="44.6"/>
  </r>
  <r>
    <x v="3155"/>
    <n v="33.5"/>
  </r>
  <r>
    <x v="3156"/>
    <n v="27.5"/>
  </r>
  <r>
    <x v="3157"/>
    <n v="24.4"/>
  </r>
  <r>
    <x v="3158"/>
    <n v="30.3"/>
  </r>
  <r>
    <x v="3159"/>
    <n v="48.9"/>
  </r>
  <r>
    <x v="3160"/>
    <n v="49.8"/>
  </r>
  <r>
    <x v="3161"/>
    <n v="39.4"/>
  </r>
  <r>
    <x v="3162"/>
    <n v="31.7"/>
  </r>
  <r>
    <x v="3163"/>
    <n v="28.7"/>
  </r>
  <r>
    <x v="3164"/>
    <n v="25.9"/>
  </r>
  <r>
    <x v="3165"/>
    <n v="27.5"/>
  </r>
  <r>
    <x v="3166"/>
    <n v="52.2"/>
  </r>
  <r>
    <x v="3167"/>
    <n v="53.2"/>
  </r>
  <r>
    <x v="3168"/>
    <n v="50.8"/>
  </r>
  <r>
    <x v="3169"/>
    <n v="64"/>
  </r>
  <r>
    <x v="3170"/>
    <n v="53.1"/>
  </r>
  <r>
    <x v="3171"/>
    <n v="43.6"/>
  </r>
  <r>
    <x v="3172"/>
    <n v="67.5"/>
  </r>
  <r>
    <x v="3173"/>
    <n v="113.4"/>
  </r>
  <r>
    <x v="3174"/>
    <n v="112.8"/>
  </r>
  <r>
    <x v="3175"/>
    <n v="77"/>
  </r>
  <r>
    <x v="3176"/>
    <n v="68.2"/>
  </r>
  <r>
    <x v="3177"/>
    <n v="95.9"/>
  </r>
  <r>
    <x v="3178"/>
    <n v="99.7"/>
  </r>
  <r>
    <x v="3179"/>
    <n v="72.099999999999994"/>
  </r>
  <r>
    <x v="3180"/>
    <n v="60.3"/>
  </r>
  <r>
    <x v="3181"/>
    <n v="60"/>
  </r>
  <r>
    <x v="3182"/>
    <n v="52.9"/>
  </r>
  <r>
    <x v="3183"/>
    <n v="68.400000000000006"/>
  </r>
  <r>
    <x v="3184"/>
    <n v="109.7"/>
  </r>
  <r>
    <x v="3185"/>
    <n v="116.5"/>
  </r>
  <r>
    <x v="3186"/>
    <n v="86.2"/>
  </r>
  <r>
    <x v="3187"/>
    <n v="65.8"/>
  </r>
  <r>
    <x v="3188"/>
    <n v="56.1"/>
  </r>
  <r>
    <x v="3189"/>
    <n v="49.9"/>
  </r>
  <r>
    <x v="3190"/>
    <n v="55.9"/>
  </r>
  <r>
    <x v="3191"/>
    <n v="67.400000000000006"/>
  </r>
  <r>
    <x v="3192"/>
    <n v="61.9"/>
  </r>
  <r>
    <x v="3193"/>
    <n v="117.2"/>
  </r>
  <r>
    <x v="3194"/>
    <n v="104.1"/>
  </r>
  <r>
    <x v="3195"/>
    <n v="77.599999999999994"/>
  </r>
  <r>
    <x v="3196"/>
    <n v="69.3"/>
  </r>
  <r>
    <x v="3197"/>
    <n v="100.7"/>
  </r>
  <r>
    <x v="3198"/>
    <n v="165.8"/>
  </r>
  <r>
    <x v="3199"/>
    <n v="140.1"/>
  </r>
  <r>
    <x v="3200"/>
    <n v="103.3"/>
  </r>
  <r>
    <x v="3201"/>
    <n v="119.3"/>
  </r>
  <r>
    <x v="3202"/>
    <n v="153.6"/>
  </r>
  <r>
    <x v="3203"/>
    <n v="169.3"/>
  </r>
  <r>
    <x v="3204"/>
    <n v="123"/>
  </r>
  <r>
    <x v="3205"/>
    <n v="147.69999999999999"/>
  </r>
  <r>
    <x v="3206"/>
    <n v="133.5"/>
  </r>
  <r>
    <x v="3207"/>
    <n v="150.5"/>
  </r>
  <r>
    <x v="3208"/>
    <n v="129.30000000000001"/>
  </r>
  <r>
    <x v="3209"/>
    <n v="126.7"/>
  </r>
  <r>
    <x v="3210"/>
    <n v="99.9"/>
  </r>
  <r>
    <x v="3211"/>
    <n v="78.7"/>
  </r>
  <r>
    <x v="3212"/>
    <n v="90.8"/>
  </r>
  <r>
    <x v="3213"/>
    <n v="74.8"/>
  </r>
  <r>
    <x v="3214"/>
    <n v="67.3"/>
  </r>
  <r>
    <x v="3215"/>
    <n v="88.5"/>
  </r>
  <r>
    <x v="3216"/>
    <n v="88.1"/>
  </r>
  <r>
    <x v="3217"/>
    <n v="91.7"/>
  </r>
  <r>
    <x v="3218"/>
    <n v="87"/>
  </r>
  <r>
    <x v="3219"/>
    <n v="131.69999999999999"/>
  </r>
  <r>
    <x v="3220"/>
    <n v="152.6"/>
  </r>
  <r>
    <x v="3221"/>
    <n v="219.4"/>
  </r>
  <r>
    <x v="3222"/>
    <n v="165.2"/>
  </r>
  <r>
    <x v="3223"/>
    <n v="135.30000000000001"/>
  </r>
  <r>
    <x v="3224"/>
    <n v="157"/>
  </r>
  <r>
    <x v="3225"/>
    <n v="144.19999999999999"/>
  </r>
  <r>
    <x v="3226"/>
    <n v="150.5"/>
  </r>
  <r>
    <x v="3227"/>
    <n v="133.6"/>
  </r>
  <r>
    <x v="3228"/>
    <n v="180.6"/>
  </r>
  <r>
    <x v="3229"/>
    <n v="147.69999999999999"/>
  </r>
  <r>
    <x v="3230"/>
    <n v="184.8"/>
  </r>
  <r>
    <x v="3231"/>
    <n v="144.9"/>
  </r>
  <r>
    <x v="3232"/>
    <n v="138.5"/>
  </r>
  <r>
    <x v="3233"/>
    <n v="136.9"/>
  </r>
  <r>
    <x v="3234"/>
    <n v="128.4"/>
  </r>
  <r>
    <x v="3235"/>
    <n v="163.69999999999999"/>
  </r>
  <r>
    <x v="3236"/>
    <n v="162.9"/>
  </r>
  <r>
    <x v="3237"/>
    <n v="134"/>
  </r>
  <r>
    <x v="3238"/>
    <n v="154.19999999999999"/>
  </r>
  <r>
    <x v="3239"/>
    <n v="157.5"/>
  </r>
  <r>
    <x v="3240"/>
    <n v="162"/>
  </r>
  <r>
    <x v="3241"/>
    <n v="190.1"/>
  </r>
  <r>
    <x v="3242"/>
    <n v="141.5"/>
  </r>
  <r>
    <x v="3243"/>
    <n v="168.3"/>
  </r>
  <r>
    <x v="3244"/>
    <n v="140"/>
  </r>
  <r>
    <x v="3245"/>
    <n v="133.9"/>
  </r>
  <r>
    <x v="3246"/>
    <n v="114.4"/>
  </r>
  <r>
    <x v="3247"/>
    <n v="96.9"/>
  </r>
  <r>
    <x v="3248"/>
    <n v="93"/>
  </r>
  <r>
    <x v="3249"/>
    <n v="85.2"/>
  </r>
  <r>
    <x v="3250"/>
    <n v="79.5"/>
  </r>
  <r>
    <x v="3251"/>
    <n v="98.3"/>
  </r>
  <r>
    <x v="3252"/>
    <n v="87.9"/>
  </r>
  <r>
    <x v="3253"/>
    <n v="117.7"/>
  </r>
  <r>
    <x v="3254"/>
    <n v="156.9"/>
  </r>
  <r>
    <x v="3255"/>
    <n v="136.80000000000001"/>
  </r>
  <r>
    <x v="3256"/>
    <n v="117.7"/>
  </r>
  <r>
    <x v="3257"/>
    <n v="110.5"/>
  </r>
  <r>
    <x v="3258"/>
    <n v="135.4"/>
  </r>
  <r>
    <x v="3259"/>
    <n v="121.4"/>
  </r>
  <r>
    <x v="3260"/>
    <n v="127.5"/>
  </r>
  <r>
    <x v="3261"/>
    <n v="125.9"/>
  </r>
  <r>
    <x v="3262"/>
    <n v="137"/>
  </r>
  <r>
    <x v="3263"/>
    <n v="181.4"/>
  </r>
  <r>
    <x v="3264"/>
    <n v="169.1"/>
  </r>
  <r>
    <x v="3265"/>
    <n v="160.9"/>
  </r>
  <r>
    <x v="3266"/>
    <n v="178.7"/>
  </r>
  <r>
    <x v="3267"/>
    <n v="144.69999999999999"/>
  </r>
  <r>
    <x v="3268"/>
    <n v="163.6"/>
  </r>
  <r>
    <x v="3269"/>
    <n v="141.1"/>
  </r>
  <r>
    <x v="3270"/>
    <n v="112.2"/>
  </r>
  <r>
    <x v="3271"/>
    <n v="110.2"/>
  </r>
  <r>
    <x v="3272"/>
    <n v="92.3"/>
  </r>
  <r>
    <x v="3273"/>
    <n v="95.1"/>
  </r>
  <r>
    <x v="3274"/>
    <n v="173.8"/>
  </r>
  <r>
    <x v="3275"/>
    <n v="170.1"/>
  </r>
  <r>
    <x v="3276"/>
    <n v="148"/>
  </r>
  <r>
    <x v="3277"/>
    <n v="113"/>
  </r>
  <r>
    <x v="3278"/>
    <n v="147.9"/>
  </r>
  <r>
    <x v="3279"/>
    <n v="133.1"/>
  </r>
  <r>
    <x v="3280"/>
    <n v="106.1"/>
  </r>
  <r>
    <x v="3281"/>
    <n v="126.7"/>
  </r>
  <r>
    <x v="3282"/>
    <n v="137.5"/>
  </r>
  <r>
    <x v="3283"/>
    <n v="204.3"/>
  </r>
  <r>
    <x v="3284"/>
    <n v="198.9"/>
  </r>
  <r>
    <x v="3285"/>
    <n v="213.4"/>
  </r>
  <r>
    <x v="3286"/>
    <n v="150.5"/>
  </r>
  <r>
    <x v="3287"/>
    <n v="128.9"/>
  </r>
  <r>
    <x v="3288"/>
    <n v="103.3"/>
  </r>
  <r>
    <x v="3289"/>
    <n v="96.8"/>
  </r>
  <r>
    <x v="3290"/>
    <n v="85.4"/>
  </r>
  <r>
    <x v="3291"/>
    <n v="103.3"/>
  </r>
  <r>
    <x v="3292"/>
    <n v="105.4"/>
  </r>
  <r>
    <x v="3293"/>
    <n v="116.6"/>
  </r>
  <r>
    <x v="3294"/>
    <n v="92.9"/>
  </r>
  <r>
    <x v="3295"/>
    <n v="79.400000000000006"/>
  </r>
  <r>
    <x v="3296"/>
    <n v="87.6"/>
  </r>
  <r>
    <x v="3297"/>
    <n v="129.9"/>
  </r>
  <r>
    <x v="3298"/>
    <n v="139.6"/>
  </r>
  <r>
    <x v="3299"/>
    <n v="132.6"/>
  </r>
  <r>
    <x v="3300"/>
    <n v="138.4"/>
  </r>
  <r>
    <x v="3301"/>
    <n v="106.5"/>
  </r>
  <r>
    <x v="3302"/>
    <n v="87"/>
  </r>
  <r>
    <x v="3303"/>
    <n v="76.3"/>
  </r>
  <r>
    <x v="3304"/>
    <n v="109.3"/>
  </r>
  <r>
    <x v="3305"/>
    <n v="149.69999999999999"/>
  </r>
  <r>
    <x v="3306"/>
    <n v="125.1"/>
  </r>
  <r>
    <x v="3307"/>
    <n v="99"/>
  </r>
  <r>
    <x v="3308"/>
    <n v="130"/>
  </r>
  <r>
    <x v="3309"/>
    <n v="141.5"/>
  </r>
  <r>
    <x v="3310"/>
    <n v="110.3"/>
  </r>
  <r>
    <x v="3311"/>
    <n v="117.1"/>
  </r>
  <r>
    <x v="3312"/>
    <n v="96.6"/>
  </r>
  <r>
    <x v="3313"/>
    <n v="86.3"/>
  </r>
  <r>
    <x v="3314"/>
    <n v="93.6"/>
  </r>
  <r>
    <x v="3315"/>
    <n v="84.9"/>
  </r>
  <r>
    <x v="3316"/>
    <n v="157.4"/>
  </r>
  <r>
    <x v="3317"/>
    <n v="142.69999999999999"/>
  </r>
  <r>
    <x v="3318"/>
    <n v="123.6"/>
  </r>
  <r>
    <x v="3319"/>
    <n v="105.6"/>
  </r>
  <r>
    <x v="3320"/>
    <n v="158.80000000000001"/>
  </r>
  <r>
    <x v="3321"/>
    <n v="126.4"/>
  </r>
  <r>
    <x v="3322"/>
    <n v="118.4"/>
  </r>
  <r>
    <x v="3323"/>
    <n v="95.7"/>
  </r>
  <r>
    <x v="3324"/>
    <n v="82.4"/>
  </r>
  <r>
    <x v="3325"/>
    <n v="85.2"/>
  </r>
  <r>
    <x v="3326"/>
    <n v="105.7"/>
  </r>
  <r>
    <x v="3327"/>
    <n v="127.9"/>
  </r>
  <r>
    <x v="3328"/>
    <n v="112.4"/>
  </r>
  <r>
    <x v="3329"/>
    <n v="91.5"/>
  </r>
  <r>
    <x v="3330"/>
    <n v="104.1"/>
  </r>
  <r>
    <x v="3331"/>
    <n v="114.9"/>
  </r>
  <r>
    <x v="3332"/>
    <n v="123.1"/>
  </r>
  <r>
    <x v="3333"/>
    <n v="125.6"/>
  </r>
  <r>
    <x v="3334"/>
    <n v="180.1"/>
  </r>
  <r>
    <x v="3335"/>
    <n v="161.80000000000001"/>
  </r>
  <r>
    <x v="3336"/>
    <n v="182.8"/>
  </r>
  <r>
    <x v="3337"/>
    <n v="142.80000000000001"/>
  </r>
  <r>
    <x v="3338"/>
    <n v="122.5"/>
  </r>
  <r>
    <x v="3339"/>
    <n v="103.6"/>
  </r>
  <r>
    <x v="3340"/>
    <n v="130.19999999999999"/>
  </r>
  <r>
    <x v="3341"/>
    <n v="152.5"/>
  </r>
  <r>
    <x v="3342"/>
    <n v="150.1"/>
  </r>
  <r>
    <x v="3343"/>
    <n v="116.8"/>
  </r>
  <r>
    <x v="3344"/>
    <n v="94.7"/>
  </r>
  <r>
    <x v="3345"/>
    <n v="116.9"/>
  </r>
  <r>
    <x v="3346"/>
    <n v="104.8"/>
  </r>
  <r>
    <x v="3347"/>
    <n v="97.5"/>
  </r>
  <r>
    <x v="3348"/>
    <n v="122.2"/>
  </r>
  <r>
    <x v="3349"/>
    <n v="156.30000000000001"/>
  </r>
  <r>
    <x v="3350"/>
    <n v="115.9"/>
  </r>
  <r>
    <x v="3351"/>
    <n v="101.3"/>
  </r>
  <r>
    <x v="3352"/>
    <n v="101"/>
  </r>
  <r>
    <x v="3353"/>
    <n v="117.9"/>
  </r>
  <r>
    <x v="3354"/>
    <n v="109.8"/>
  </r>
  <r>
    <x v="3355"/>
    <n v="117.3"/>
  </r>
  <r>
    <x v="3356"/>
    <n v="139.69999999999999"/>
  </r>
  <r>
    <x v="3357"/>
    <n v="107.2"/>
  </r>
  <r>
    <x v="3358"/>
    <n v="88"/>
  </r>
  <r>
    <x v="3359"/>
    <n v="90.9"/>
  </r>
  <r>
    <x v="3360"/>
    <n v="87"/>
  </r>
  <r>
    <x v="3361"/>
    <n v="86.6"/>
  </r>
  <r>
    <x v="3362"/>
    <n v="124.1"/>
  </r>
  <r>
    <x v="3363"/>
    <n v="153.6"/>
  </r>
  <r>
    <x v="3364"/>
    <n v="130.6"/>
  </r>
  <r>
    <x v="3365"/>
    <n v="126.8"/>
  </r>
  <r>
    <x v="3366"/>
    <n v="170.8"/>
  </r>
  <r>
    <x v="3367"/>
    <n v="136.6"/>
  </r>
  <r>
    <x v="3368"/>
    <n v="108.6"/>
  </r>
  <r>
    <x v="3369"/>
    <n v="110"/>
  </r>
  <r>
    <x v="3370"/>
    <n v="108.6"/>
  </r>
  <r>
    <x v="3371"/>
    <n v="87.4"/>
  </r>
  <r>
    <x v="3372"/>
    <n v="78.7"/>
  </r>
  <r>
    <x v="3373"/>
    <n v="147.19999999999999"/>
  </r>
  <r>
    <x v="3374"/>
    <n v="211.8"/>
  </r>
  <r>
    <x v="3375"/>
    <n v="167.4"/>
  </r>
  <r>
    <x v="3376"/>
    <n v="119.5"/>
  </r>
  <r>
    <x v="3377"/>
    <n v="97.4"/>
  </r>
  <r>
    <x v="3378"/>
    <n v="109.9"/>
  </r>
  <r>
    <x v="3379"/>
    <n v="143.9"/>
  </r>
  <r>
    <x v="3380"/>
    <n v="116.4"/>
  </r>
  <r>
    <x v="3381"/>
    <n v="124.1"/>
  </r>
  <r>
    <x v="3382"/>
    <n v="143.30000000000001"/>
  </r>
  <r>
    <x v="3383"/>
    <n v="121.4"/>
  </r>
  <r>
    <x v="3384"/>
    <n v="122"/>
  </r>
  <r>
    <x v="3385"/>
    <n v="133.5"/>
  </r>
  <r>
    <x v="3386"/>
    <n v="144.5"/>
  </r>
  <r>
    <x v="3387"/>
    <n v="137"/>
  </r>
  <r>
    <x v="3388"/>
    <n v="160"/>
  </r>
  <r>
    <x v="3389"/>
    <n v="188.1"/>
  </r>
  <r>
    <x v="3390"/>
    <n v="194.4"/>
  </r>
  <r>
    <x v="3391"/>
    <n v="155.80000000000001"/>
  </r>
  <r>
    <x v="3392"/>
    <n v="115"/>
  </r>
  <r>
    <x v="3393"/>
    <n v="96.6"/>
  </r>
  <r>
    <x v="3394"/>
    <n v="108.9"/>
  </r>
  <r>
    <x v="3395"/>
    <n v="89.3"/>
  </r>
  <r>
    <x v="3396"/>
    <n v="76.7"/>
  </r>
  <r>
    <x v="3397"/>
    <n v="92.8"/>
  </r>
  <r>
    <x v="3398"/>
    <n v="84"/>
  </r>
  <r>
    <x v="3399"/>
    <n v="107.3"/>
  </r>
  <r>
    <x v="3400"/>
    <n v="88.6"/>
  </r>
  <r>
    <x v="3401"/>
    <n v="75.3"/>
  </r>
  <r>
    <x v="3402"/>
    <n v="65.7"/>
  </r>
  <r>
    <x v="3403"/>
    <n v="58"/>
  </r>
  <r>
    <x v="3404"/>
    <n v="55.1"/>
  </r>
  <r>
    <x v="3405"/>
    <n v="119.5"/>
  </r>
  <r>
    <x v="3406"/>
    <n v="164.9"/>
  </r>
  <r>
    <x v="3407"/>
    <n v="198.1"/>
  </r>
  <r>
    <x v="3408"/>
    <n v="151.80000000000001"/>
  </r>
  <r>
    <x v="3409"/>
    <n v="119.3"/>
  </r>
  <r>
    <x v="3410"/>
    <n v="95.7"/>
  </r>
  <r>
    <x v="3411"/>
    <n v="123.9"/>
  </r>
  <r>
    <x v="3412"/>
    <n v="128.69999999999999"/>
  </r>
  <r>
    <x v="3413"/>
    <n v="119.5"/>
  </r>
  <r>
    <x v="3414"/>
    <n v="97.6"/>
  </r>
  <r>
    <x v="3415"/>
    <n v="83.1"/>
  </r>
  <r>
    <x v="3416"/>
    <n v="107.2"/>
  </r>
  <r>
    <x v="3417"/>
    <n v="167.9"/>
  </r>
  <r>
    <x v="3418"/>
    <n v="178.2"/>
  </r>
  <r>
    <x v="3419"/>
    <n v="160.9"/>
  </r>
  <r>
    <x v="3420"/>
    <n v="121.4"/>
  </r>
  <r>
    <x v="3421"/>
    <n v="173.1"/>
  </r>
  <r>
    <x v="3422"/>
    <n v="168.5"/>
  </r>
  <r>
    <x v="3423"/>
    <n v="162.6"/>
  </r>
  <r>
    <x v="3424"/>
    <n v="132.69999999999999"/>
  </r>
  <r>
    <x v="3425"/>
    <n v="106"/>
  </r>
  <r>
    <x v="3426"/>
    <n v="153.19999999999999"/>
  </r>
  <r>
    <x v="3427"/>
    <n v="139.6"/>
  </r>
  <r>
    <x v="3428"/>
    <n v="119.4"/>
  </r>
  <r>
    <x v="3429"/>
    <n v="113.7"/>
  </r>
  <r>
    <x v="3430"/>
    <n v="91.8"/>
  </r>
  <r>
    <x v="3431"/>
    <n v="77"/>
  </r>
  <r>
    <x v="3432"/>
    <n v="66.400000000000006"/>
  </r>
  <r>
    <x v="3433"/>
    <n v="58.4"/>
  </r>
  <r>
    <x v="3434"/>
    <n v="51.9"/>
  </r>
  <r>
    <x v="3435"/>
    <n v="46.4"/>
  </r>
  <r>
    <x v="3436"/>
    <n v="41.6"/>
  </r>
  <r>
    <x v="3437"/>
    <n v="37.4"/>
  </r>
  <r>
    <x v="3438"/>
    <n v="33.6"/>
  </r>
  <r>
    <x v="3439"/>
    <n v="30.2"/>
  </r>
  <r>
    <x v="3440"/>
    <n v="27.1"/>
  </r>
  <r>
    <x v="3441"/>
    <n v="25.8"/>
  </r>
  <r>
    <x v="3442"/>
    <n v="23"/>
  </r>
  <r>
    <x v="3443"/>
    <n v="20.399999999999999"/>
  </r>
  <r>
    <x v="3444"/>
    <n v="18.2"/>
  </r>
  <r>
    <x v="3445"/>
    <n v="16.2"/>
  </r>
  <r>
    <x v="3446"/>
    <n v="14.5"/>
  </r>
  <r>
    <x v="3447"/>
    <n v="13"/>
  </r>
  <r>
    <x v="3448"/>
    <n v="11.7"/>
  </r>
  <r>
    <x v="3449"/>
    <n v="11.1"/>
  </r>
  <r>
    <x v="3450"/>
    <n v="9.9"/>
  </r>
  <r>
    <x v="3451"/>
    <n v="8.6999999999999993"/>
  </r>
  <r>
    <x v="3452"/>
    <n v="7.7"/>
  </r>
  <r>
    <x v="3453"/>
    <n v="6.9"/>
  </r>
  <r>
    <x v="3454"/>
    <n v="7.6"/>
  </r>
  <r>
    <x v="3455"/>
    <n v="7.5"/>
  </r>
  <r>
    <x v="3456"/>
    <n v="6.3"/>
  </r>
  <r>
    <x v="3457"/>
    <n v="5.4"/>
  </r>
  <r>
    <x v="3458"/>
    <n v="6.9"/>
  </r>
  <r>
    <x v="3459"/>
    <n v="6.6"/>
  </r>
  <r>
    <x v="3460"/>
    <n v="5.4"/>
  </r>
  <r>
    <x v="3461"/>
    <n v="8.6"/>
  </r>
  <r>
    <x v="3462"/>
    <n v="11.6"/>
  </r>
  <r>
    <x v="3463"/>
    <n v="8.4"/>
  </r>
  <r>
    <x v="3464"/>
    <n v="7"/>
  </r>
  <r>
    <x v="3465"/>
    <n v="14.5"/>
  </r>
  <r>
    <x v="3466"/>
    <n v="24.8"/>
  </r>
  <r>
    <x v="3467"/>
    <n v="17.2"/>
  </r>
  <r>
    <x v="3468"/>
    <n v="11.8"/>
  </r>
  <r>
    <x v="3469"/>
    <n v="8.8000000000000007"/>
  </r>
  <r>
    <x v="3470"/>
    <n v="7.6"/>
  </r>
  <r>
    <x v="3471"/>
    <n v="23.7"/>
  </r>
  <r>
    <x v="3472"/>
    <n v="18.7"/>
  </r>
  <r>
    <x v="3473"/>
    <n v="13.5"/>
  </r>
  <r>
    <x v="3474"/>
    <n v="10.4"/>
  </r>
  <r>
    <x v="3475"/>
    <n v="8.5"/>
  </r>
  <r>
    <x v="3476"/>
    <n v="7.3"/>
  </r>
  <r>
    <x v="3477"/>
    <n v="6.3"/>
  </r>
  <r>
    <x v="3478"/>
    <n v="5.6"/>
  </r>
  <r>
    <x v="3479"/>
    <n v="4.9000000000000004"/>
  </r>
  <r>
    <x v="3480"/>
    <n v="4.4000000000000004"/>
  </r>
  <r>
    <x v="3481"/>
    <n v="4"/>
  </r>
  <r>
    <x v="3482"/>
    <n v="3.5"/>
  </r>
  <r>
    <x v="3483"/>
    <n v="3.2"/>
  </r>
  <r>
    <x v="3484"/>
    <n v="2.9"/>
  </r>
  <r>
    <x v="3485"/>
    <n v="2.6"/>
  </r>
  <r>
    <x v="3486"/>
    <n v="2.2999999999999998"/>
  </r>
  <r>
    <x v="3487"/>
    <n v="2.1"/>
  </r>
  <r>
    <x v="3488"/>
    <n v="1.9"/>
  </r>
  <r>
    <x v="3489"/>
    <n v="1.7"/>
  </r>
  <r>
    <x v="3490"/>
    <n v="1.5"/>
  </r>
  <r>
    <x v="3491"/>
    <n v="1.4"/>
  </r>
  <r>
    <x v="3492"/>
    <n v="1.2"/>
  </r>
  <r>
    <x v="3493"/>
    <n v="1.1000000000000001"/>
  </r>
  <r>
    <x v="3494"/>
    <n v="1"/>
  </r>
  <r>
    <x v="3495"/>
    <n v="0.9"/>
  </r>
  <r>
    <x v="3496"/>
    <n v="0.8"/>
  </r>
  <r>
    <x v="3497"/>
    <n v="0.9"/>
  </r>
  <r>
    <x v="3498"/>
    <n v="2.9"/>
  </r>
  <r>
    <x v="3499"/>
    <n v="24"/>
  </r>
  <r>
    <x v="3500"/>
    <n v="19.3"/>
  </r>
  <r>
    <x v="3501"/>
    <n v="15"/>
  </r>
  <r>
    <x v="3502"/>
    <n v="12.4"/>
  </r>
  <r>
    <x v="3503"/>
    <n v="11"/>
  </r>
  <r>
    <x v="3504"/>
    <n v="9.8000000000000007"/>
  </r>
  <r>
    <x v="3505"/>
    <n v="8.6999999999999993"/>
  </r>
  <r>
    <x v="3506"/>
    <n v="8"/>
  </r>
  <r>
    <x v="3507"/>
    <n v="7.3"/>
  </r>
  <r>
    <x v="3508"/>
    <n v="9.6999999999999993"/>
  </r>
  <r>
    <x v="3509"/>
    <n v="27.3"/>
  </r>
  <r>
    <x v="3510"/>
    <n v="24.3"/>
  </r>
  <r>
    <x v="3511"/>
    <n v="26.5"/>
  </r>
  <r>
    <x v="3512"/>
    <n v="33.5"/>
  </r>
  <r>
    <x v="3513"/>
    <n v="27.5"/>
  </r>
  <r>
    <x v="3514"/>
    <n v="22.8"/>
  </r>
  <r>
    <x v="3515"/>
    <n v="19.5"/>
  </r>
  <r>
    <x v="3516"/>
    <n v="17.100000000000001"/>
  </r>
  <r>
    <x v="3517"/>
    <n v="15.6"/>
  </r>
  <r>
    <x v="3518"/>
    <n v="20.399999999999999"/>
  </r>
  <r>
    <x v="3519"/>
    <n v="43.9"/>
  </r>
  <r>
    <x v="3520"/>
    <n v="36.5"/>
  </r>
  <r>
    <x v="3521"/>
    <n v="52.6"/>
  </r>
  <r>
    <x v="3522"/>
    <n v="80.099999999999994"/>
  </r>
  <r>
    <x v="3523"/>
    <n v="84"/>
  </r>
  <r>
    <x v="3524"/>
    <n v="58.1"/>
  </r>
  <r>
    <x v="3525"/>
    <n v="57.9"/>
  </r>
  <r>
    <x v="3526"/>
    <n v="46.2"/>
  </r>
  <r>
    <x v="3527"/>
    <n v="67.8"/>
  </r>
  <r>
    <x v="3528"/>
    <n v="97.3"/>
  </r>
  <r>
    <x v="3529"/>
    <n v="72.2"/>
  </r>
  <r>
    <x v="3530"/>
    <n v="54.7"/>
  </r>
  <r>
    <x v="3531"/>
    <n v="62.7"/>
  </r>
  <r>
    <x v="3532"/>
    <n v="60.4"/>
  </r>
  <r>
    <x v="3533"/>
    <n v="82.9"/>
  </r>
  <r>
    <x v="3534"/>
    <n v="67.099999999999994"/>
  </r>
  <r>
    <x v="3535"/>
    <n v="71.900000000000006"/>
  </r>
  <r>
    <x v="3536"/>
    <n v="73.900000000000006"/>
  </r>
  <r>
    <x v="3537"/>
    <n v="94.9"/>
  </r>
  <r>
    <x v="3538"/>
    <n v="115.2"/>
  </r>
  <r>
    <x v="3539"/>
    <n v="94.2"/>
  </r>
  <r>
    <x v="3540"/>
    <n v="69.400000000000006"/>
  </r>
  <r>
    <x v="3541"/>
    <n v="102.4"/>
  </r>
  <r>
    <x v="3542"/>
    <n v="87.7"/>
  </r>
  <r>
    <x v="3543"/>
    <n v="65.3"/>
  </r>
  <r>
    <x v="3544"/>
    <n v="53.9"/>
  </r>
  <r>
    <x v="3545"/>
    <n v="87.2"/>
  </r>
  <r>
    <x v="3546"/>
    <n v="129.80000000000001"/>
  </r>
  <r>
    <x v="3547"/>
    <n v="117.3"/>
  </r>
  <r>
    <x v="3548"/>
    <n v="85.6"/>
  </r>
  <r>
    <x v="3549"/>
    <n v="71.5"/>
  </r>
  <r>
    <x v="3550"/>
    <n v="85.9"/>
  </r>
  <r>
    <x v="3551"/>
    <n v="74.2"/>
  </r>
  <r>
    <x v="3552"/>
    <n v="96.5"/>
  </r>
  <r>
    <x v="3553"/>
    <n v="133.19999999999999"/>
  </r>
  <r>
    <x v="3554"/>
    <n v="124.8"/>
  </r>
  <r>
    <x v="3555"/>
    <n v="89.1"/>
  </r>
  <r>
    <x v="3556"/>
    <n v="75.3"/>
  </r>
  <r>
    <x v="3557"/>
    <n v="113.1"/>
  </r>
  <r>
    <x v="3558"/>
    <n v="135.30000000000001"/>
  </r>
  <r>
    <x v="3559"/>
    <n v="107.3"/>
  </r>
  <r>
    <x v="3560"/>
    <n v="135.4"/>
  </r>
  <r>
    <x v="3561"/>
    <n v="117.4"/>
  </r>
  <r>
    <x v="3562"/>
    <n v="85.9"/>
  </r>
  <r>
    <x v="3563"/>
    <n v="68.8"/>
  </r>
  <r>
    <x v="3564"/>
    <n v="78.400000000000006"/>
  </r>
  <r>
    <x v="3565"/>
    <n v="123.2"/>
  </r>
  <r>
    <x v="3566"/>
    <n v="106"/>
  </r>
  <r>
    <x v="3567"/>
    <n v="156.5"/>
  </r>
  <r>
    <x v="3568"/>
    <n v="138.30000000000001"/>
  </r>
  <r>
    <x v="3569"/>
    <n v="118.7"/>
  </r>
  <r>
    <x v="3570"/>
    <n v="151.19999999999999"/>
  </r>
  <r>
    <x v="3571"/>
    <n v="170.9"/>
  </r>
  <r>
    <x v="3572"/>
    <n v="121"/>
  </r>
  <r>
    <x v="3573"/>
    <n v="90.1"/>
  </r>
  <r>
    <x v="3574"/>
    <n v="98.6"/>
  </r>
  <r>
    <x v="3575"/>
    <n v="97"/>
  </r>
  <r>
    <x v="3576"/>
    <n v="99.9"/>
  </r>
  <r>
    <x v="3577"/>
    <n v="179.2"/>
  </r>
  <r>
    <x v="3578"/>
    <n v="171"/>
  </r>
  <r>
    <x v="3579"/>
    <n v="119.3"/>
  </r>
  <r>
    <x v="3580"/>
    <n v="112.3"/>
  </r>
  <r>
    <x v="3581"/>
    <n v="91.3"/>
  </r>
  <r>
    <x v="3582"/>
    <n v="115.1"/>
  </r>
  <r>
    <x v="3583"/>
    <n v="96.2"/>
  </r>
  <r>
    <x v="3584"/>
    <n v="81.900000000000006"/>
  </r>
  <r>
    <x v="3585"/>
    <n v="112.2"/>
  </r>
  <r>
    <x v="3586"/>
    <n v="100.2"/>
  </r>
  <r>
    <x v="3587"/>
    <n v="151.1"/>
  </r>
  <r>
    <x v="3588"/>
    <n v="166.2"/>
  </r>
  <r>
    <x v="3589"/>
    <n v="191.7"/>
  </r>
  <r>
    <x v="3590"/>
    <n v="150.30000000000001"/>
  </r>
  <r>
    <x v="3591"/>
    <n v="120.4"/>
  </r>
  <r>
    <x v="3592"/>
    <n v="92.6"/>
  </r>
  <r>
    <x v="3593"/>
    <n v="97.6"/>
  </r>
  <r>
    <x v="3594"/>
    <n v="172.9"/>
  </r>
  <r>
    <x v="3595"/>
    <n v="154.80000000000001"/>
  </r>
  <r>
    <x v="3596"/>
    <n v="110.5"/>
  </r>
  <r>
    <x v="3597"/>
    <n v="89.8"/>
  </r>
  <r>
    <x v="3598"/>
    <n v="137.30000000000001"/>
  </r>
  <r>
    <x v="3599"/>
    <n v="192.9"/>
  </r>
  <r>
    <x v="3600"/>
    <n v="146.1"/>
  </r>
  <r>
    <x v="3601"/>
    <n v="128.5"/>
  </r>
  <r>
    <x v="3602"/>
    <n v="113.8"/>
  </r>
  <r>
    <x v="3603"/>
    <n v="94.6"/>
  </r>
  <r>
    <x v="3604"/>
    <n v="147.5"/>
  </r>
  <r>
    <x v="3605"/>
    <n v="220.2"/>
  </r>
  <r>
    <x v="3606"/>
    <n v="185.6"/>
  </r>
  <r>
    <x v="3607"/>
    <n v="161.5"/>
  </r>
  <r>
    <x v="3608"/>
    <n v="167.2"/>
  </r>
  <r>
    <x v="3609"/>
    <n v="160.80000000000001"/>
  </r>
  <r>
    <x v="3610"/>
    <n v="118.7"/>
  </r>
  <r>
    <x v="3611"/>
    <n v="114.3"/>
  </r>
  <r>
    <x v="3612"/>
    <n v="180.7"/>
  </r>
  <r>
    <x v="3613"/>
    <n v="164.2"/>
  </r>
  <r>
    <x v="3614"/>
    <n v="140.1"/>
  </r>
  <r>
    <x v="3615"/>
    <n v="171.3"/>
  </r>
  <r>
    <x v="3616"/>
    <n v="157.1"/>
  </r>
  <r>
    <x v="3617"/>
    <n v="186.9"/>
  </r>
  <r>
    <x v="3618"/>
    <n v="232.8"/>
  </r>
  <r>
    <x v="3619"/>
    <n v="164.4"/>
  </r>
  <r>
    <x v="3620"/>
    <n v="136.5"/>
  </r>
  <r>
    <x v="3621"/>
    <n v="211.5"/>
  </r>
  <r>
    <x v="3622"/>
    <n v="235.8"/>
  </r>
  <r>
    <x v="3623"/>
    <n v="188.5"/>
  </r>
  <r>
    <x v="3624"/>
    <n v="160.80000000000001"/>
  </r>
  <r>
    <x v="3625"/>
    <n v="218.2"/>
  </r>
  <r>
    <x v="3626"/>
    <n v="153.4"/>
  </r>
  <r>
    <x v="3627"/>
    <n v="117.3"/>
  </r>
  <r>
    <x v="3628"/>
    <n v="172.3"/>
  </r>
  <r>
    <x v="3629"/>
    <n v="236.1"/>
  </r>
  <r>
    <x v="3630"/>
    <n v="237.2"/>
  </r>
  <r>
    <x v="3631"/>
    <n v="203.7"/>
  </r>
  <r>
    <x v="3632"/>
    <n v="174.2"/>
  </r>
  <r>
    <x v="3633"/>
    <n v="210"/>
  </r>
  <r>
    <x v="3634"/>
    <n v="156.30000000000001"/>
  </r>
  <r>
    <x v="3635"/>
    <n v="159.80000000000001"/>
  </r>
  <r>
    <x v="3636"/>
    <n v="146"/>
  </r>
  <r>
    <x v="3637"/>
    <n v="191.4"/>
  </r>
  <r>
    <x v="3638"/>
    <n v="189.2"/>
  </r>
  <r>
    <x v="3639"/>
    <n v="139.4"/>
  </r>
  <r>
    <x v="3640"/>
    <n v="145.5"/>
  </r>
  <r>
    <x v="3641"/>
    <n v="118.5"/>
  </r>
  <r>
    <x v="3642"/>
    <n v="117.1"/>
  </r>
  <r>
    <x v="3643"/>
    <n v="131.4"/>
  </r>
  <r>
    <x v="3644"/>
    <n v="104.1"/>
  </r>
  <r>
    <x v="3645"/>
    <n v="94.1"/>
  </r>
  <r>
    <x v="3646"/>
    <n v="123.8"/>
  </r>
  <r>
    <x v="3647"/>
    <n v="135.6"/>
  </r>
  <r>
    <x v="3648"/>
    <n v="149.4"/>
  </r>
  <r>
    <x v="3649"/>
    <n v="113.2"/>
  </r>
  <r>
    <x v="3650"/>
    <n v="99.9"/>
  </r>
  <r>
    <x v="3651"/>
    <n v="160.1"/>
  </r>
  <r>
    <x v="3652"/>
    <n v="229.2"/>
  </r>
  <r>
    <x v="3653"/>
    <n v="210.9"/>
  </r>
  <r>
    <x v="3654"/>
    <n v="149.5"/>
  </r>
  <r>
    <x v="3655"/>
    <n v="147.5"/>
  </r>
  <r>
    <x v="3656"/>
    <n v="123.8"/>
  </r>
  <r>
    <x v="3657"/>
    <n v="107.4"/>
  </r>
  <r>
    <x v="3658"/>
    <n v="94.4"/>
  </r>
  <r>
    <x v="3659"/>
    <n v="89.1"/>
  </r>
  <r>
    <x v="3660"/>
    <n v="97.1"/>
  </r>
  <r>
    <x v="3661"/>
    <n v="100.7"/>
  </r>
  <r>
    <x v="3662"/>
    <n v="86.4"/>
  </r>
  <r>
    <x v="3663"/>
    <n v="107.6"/>
  </r>
  <r>
    <x v="3664"/>
    <n v="99.9"/>
  </r>
  <r>
    <x v="3665"/>
    <n v="128.6"/>
  </r>
  <r>
    <x v="3666"/>
    <n v="128.9"/>
  </r>
  <r>
    <x v="3667"/>
    <n v="114.8"/>
  </r>
  <r>
    <x v="3668"/>
    <n v="143.80000000000001"/>
  </r>
  <r>
    <x v="3669"/>
    <n v="111.3"/>
  </r>
  <r>
    <x v="3670"/>
    <n v="93.5"/>
  </r>
  <r>
    <x v="3671"/>
    <n v="131.4"/>
  </r>
  <r>
    <x v="3672"/>
    <n v="115.4"/>
  </r>
  <r>
    <x v="3673"/>
    <n v="96.7"/>
  </r>
  <r>
    <x v="3674"/>
    <n v="131.69999999999999"/>
  </r>
  <r>
    <x v="3675"/>
    <n v="161.80000000000001"/>
  </r>
  <r>
    <x v="3676"/>
    <n v="127.1"/>
  </r>
  <r>
    <x v="3677"/>
    <n v="104.1"/>
  </r>
  <r>
    <x v="3678"/>
    <n v="112.2"/>
  </r>
  <r>
    <x v="3679"/>
    <n v="142.30000000000001"/>
  </r>
  <r>
    <x v="3680"/>
    <n v="147.1"/>
  </r>
  <r>
    <x v="3681"/>
    <n v="183.1"/>
  </r>
  <r>
    <x v="3682"/>
    <n v="149.5"/>
  </r>
  <r>
    <x v="3683"/>
    <n v="158.5"/>
  </r>
  <r>
    <x v="3684"/>
    <n v="155.19999999999999"/>
  </r>
  <r>
    <x v="3685"/>
    <n v="132.9"/>
  </r>
  <r>
    <x v="3686"/>
    <n v="104.4"/>
  </r>
  <r>
    <x v="3687"/>
    <n v="107.8"/>
  </r>
  <r>
    <x v="3688"/>
    <n v="144.30000000000001"/>
  </r>
  <r>
    <x v="3689"/>
    <n v="111.8"/>
  </r>
  <r>
    <x v="3690"/>
    <n v="93.1"/>
  </r>
  <r>
    <x v="3691"/>
    <n v="111.5"/>
  </r>
  <r>
    <x v="3692"/>
    <n v="149.1"/>
  </r>
  <r>
    <x v="3693"/>
    <n v="164.2"/>
  </r>
  <r>
    <x v="3694"/>
    <n v="125.7"/>
  </r>
  <r>
    <x v="3695"/>
    <n v="104.5"/>
  </r>
  <r>
    <x v="3696"/>
    <n v="172.8"/>
  </r>
  <r>
    <x v="3697"/>
    <n v="151.69999999999999"/>
  </r>
  <r>
    <x v="3698"/>
    <n v="120.3"/>
  </r>
  <r>
    <x v="3699"/>
    <n v="148.1"/>
  </r>
  <r>
    <x v="3700"/>
    <n v="168.6"/>
  </r>
  <r>
    <x v="3701"/>
    <n v="165.5"/>
  </r>
  <r>
    <x v="3702"/>
    <n v="140.30000000000001"/>
  </r>
  <r>
    <x v="3703"/>
    <n v="111.8"/>
  </r>
  <r>
    <x v="3704"/>
    <n v="154"/>
  </r>
  <r>
    <x v="3705"/>
    <n v="229.9"/>
  </r>
  <r>
    <x v="3706"/>
    <n v="191"/>
  </r>
  <r>
    <x v="3707"/>
    <n v="133.9"/>
  </r>
  <r>
    <x v="3708"/>
    <n v="106.3"/>
  </r>
  <r>
    <x v="3709"/>
    <n v="103"/>
  </r>
  <r>
    <x v="3710"/>
    <n v="121.8"/>
  </r>
  <r>
    <x v="3711"/>
    <n v="120.9"/>
  </r>
  <r>
    <x v="3712"/>
    <n v="124.2"/>
  </r>
  <r>
    <x v="3713"/>
    <n v="112.7"/>
  </r>
  <r>
    <x v="3714"/>
    <n v="159.9"/>
  </r>
  <r>
    <x v="3715"/>
    <n v="151.69999999999999"/>
  </r>
  <r>
    <x v="3716"/>
    <n v="199.6"/>
  </r>
  <r>
    <x v="3717"/>
    <n v="153.6"/>
  </r>
  <r>
    <x v="3718"/>
    <n v="151.1"/>
  </r>
  <r>
    <x v="3719"/>
    <n v="184.3"/>
  </r>
  <r>
    <x v="3720"/>
    <n v="137.4"/>
  </r>
  <r>
    <x v="3721"/>
    <n v="137.30000000000001"/>
  </r>
  <r>
    <x v="3722"/>
    <n v="176.7"/>
  </r>
  <r>
    <x v="3723"/>
    <n v="133.6"/>
  </r>
  <r>
    <x v="3724"/>
    <n v="143"/>
  </r>
  <r>
    <x v="3725"/>
    <n v="132.6"/>
  </r>
  <r>
    <x v="3726"/>
    <n v="108"/>
  </r>
  <r>
    <x v="3727"/>
    <n v="125.8"/>
  </r>
  <r>
    <x v="3728"/>
    <n v="134.9"/>
  </r>
  <r>
    <x v="3729"/>
    <n v="133"/>
  </r>
  <r>
    <x v="3730"/>
    <n v="173.5"/>
  </r>
  <r>
    <x v="3731"/>
    <n v="173.7"/>
  </r>
  <r>
    <x v="3732"/>
    <n v="127.9"/>
  </r>
  <r>
    <x v="3733"/>
    <n v="107.2"/>
  </r>
  <r>
    <x v="3734"/>
    <n v="160.69999999999999"/>
  </r>
  <r>
    <x v="3735"/>
    <n v="152.80000000000001"/>
  </r>
  <r>
    <x v="3736"/>
    <n v="135.69999999999999"/>
  </r>
  <r>
    <x v="3737"/>
    <n v="184.8"/>
  </r>
  <r>
    <x v="3738"/>
    <n v="192.9"/>
  </r>
  <r>
    <x v="3739"/>
    <n v="172.7"/>
  </r>
  <r>
    <x v="3740"/>
    <n v="141.4"/>
  </r>
  <r>
    <x v="3741"/>
    <n v="163.1"/>
  </r>
  <r>
    <x v="3742"/>
    <n v="129.6"/>
  </r>
  <r>
    <x v="3743"/>
    <n v="101.8"/>
  </r>
  <r>
    <x v="3744"/>
    <n v="86.4"/>
  </r>
  <r>
    <x v="3745"/>
    <n v="93.6"/>
  </r>
  <r>
    <x v="3746"/>
    <n v="94.7"/>
  </r>
  <r>
    <x v="3747"/>
    <n v="138.1"/>
  </r>
  <r>
    <x v="3748"/>
    <n v="118"/>
  </r>
  <r>
    <x v="3749"/>
    <n v="159.9"/>
  </r>
  <r>
    <x v="3750"/>
    <n v="157.19999999999999"/>
  </r>
  <r>
    <x v="3751"/>
    <n v="120.2"/>
  </r>
  <r>
    <x v="3752"/>
    <n v="155.80000000000001"/>
  </r>
  <r>
    <x v="3753"/>
    <n v="121.2"/>
  </r>
  <r>
    <x v="3754"/>
    <n v="120.2"/>
  </r>
  <r>
    <x v="3755"/>
    <n v="106.2"/>
  </r>
  <r>
    <x v="3756"/>
    <n v="176.3"/>
  </r>
  <r>
    <x v="3757"/>
    <n v="135.69999999999999"/>
  </r>
  <r>
    <x v="3758"/>
    <n v="107.6"/>
  </r>
  <r>
    <x v="3759"/>
    <n v="141.6"/>
  </r>
  <r>
    <x v="3760"/>
    <n v="116"/>
  </r>
  <r>
    <x v="3761"/>
    <n v="95"/>
  </r>
  <r>
    <x v="3762"/>
    <n v="83.7"/>
  </r>
  <r>
    <x v="3763"/>
    <n v="130"/>
  </r>
  <r>
    <x v="3764"/>
    <n v="165.6"/>
  </r>
  <r>
    <x v="3765"/>
    <n v="165.1"/>
  </r>
  <r>
    <x v="3766"/>
    <n v="140.30000000000001"/>
  </r>
  <r>
    <x v="3767"/>
    <n v="164.5"/>
  </r>
  <r>
    <x v="3768"/>
    <n v="138.1"/>
  </r>
  <r>
    <x v="3769"/>
    <n v="112.1"/>
  </r>
  <r>
    <x v="3770"/>
    <n v="89.6"/>
  </r>
  <r>
    <x v="3771"/>
    <n v="78"/>
  </r>
  <r>
    <x v="3772"/>
    <n v="135.1"/>
  </r>
  <r>
    <x v="3773"/>
    <n v="153.69999999999999"/>
  </r>
  <r>
    <x v="3774"/>
    <n v="120.5"/>
  </r>
  <r>
    <x v="3775"/>
    <n v="95.9"/>
  </r>
  <r>
    <x v="3776"/>
    <n v="79.5"/>
  </r>
  <r>
    <x v="3777"/>
    <n v="68.599999999999994"/>
  </r>
  <r>
    <x v="3778"/>
    <n v="71.400000000000006"/>
  </r>
  <r>
    <x v="3779"/>
    <n v="99.9"/>
  </r>
  <r>
    <x v="3780"/>
    <n v="96.6"/>
  </r>
  <r>
    <x v="3781"/>
    <n v="81.099999999999994"/>
  </r>
  <r>
    <x v="3782"/>
    <n v="73.2"/>
  </r>
  <r>
    <x v="3783"/>
    <n v="115.6"/>
  </r>
  <r>
    <x v="3784"/>
    <n v="144.6"/>
  </r>
  <r>
    <x v="3785"/>
    <n v="122.7"/>
  </r>
  <r>
    <x v="3786"/>
    <n v="150.80000000000001"/>
  </r>
  <r>
    <x v="3787"/>
    <n v="170.2"/>
  </r>
  <r>
    <x v="3788"/>
    <n v="127.8"/>
  </r>
  <r>
    <x v="3789"/>
    <n v="138.30000000000001"/>
  </r>
  <r>
    <x v="3790"/>
    <n v="131.69999999999999"/>
  </r>
  <r>
    <x v="3791"/>
    <n v="123.1"/>
  </r>
  <r>
    <x v="3792"/>
    <n v="109.7"/>
  </r>
  <r>
    <x v="3793"/>
    <n v="99.8"/>
  </r>
  <r>
    <x v="3794"/>
    <n v="165.6"/>
  </r>
  <r>
    <x v="3795"/>
    <n v="145.30000000000001"/>
  </r>
  <r>
    <x v="3796"/>
    <n v="110.3"/>
  </r>
  <r>
    <x v="3797"/>
    <n v="89.5"/>
  </r>
  <r>
    <x v="3798"/>
    <n v="79.2"/>
  </r>
  <r>
    <x v="3799"/>
    <n v="74"/>
  </r>
  <r>
    <x v="3800"/>
    <n v="113.1"/>
  </r>
  <r>
    <x v="3801"/>
    <n v="126.2"/>
  </r>
  <r>
    <x v="3802"/>
    <n v="112.6"/>
  </r>
  <r>
    <x v="3803"/>
    <n v="100"/>
  </r>
  <r>
    <x v="3804"/>
    <n v="92"/>
  </r>
  <r>
    <x v="3805"/>
    <n v="88.4"/>
  </r>
  <r>
    <x v="3806"/>
    <n v="75.7"/>
  </r>
  <r>
    <x v="3807"/>
    <n v="66.099999999999994"/>
  </r>
  <r>
    <x v="3808"/>
    <n v="58.4"/>
  </r>
  <r>
    <x v="3809"/>
    <n v="52"/>
  </r>
  <r>
    <x v="3810"/>
    <n v="46.5"/>
  </r>
  <r>
    <x v="3811"/>
    <n v="41.6"/>
  </r>
  <r>
    <x v="3812"/>
    <n v="37.4"/>
  </r>
  <r>
    <x v="3813"/>
    <n v="33.5"/>
  </r>
  <r>
    <x v="3814"/>
    <n v="30.5"/>
  </r>
  <r>
    <x v="3815"/>
    <n v="27.5"/>
  </r>
  <r>
    <x v="3816"/>
    <n v="27.7"/>
  </r>
  <r>
    <x v="3817"/>
    <n v="30.1"/>
  </r>
  <r>
    <x v="3818"/>
    <n v="26.6"/>
  </r>
  <r>
    <x v="3819"/>
    <n v="21.9"/>
  </r>
  <r>
    <x v="3820"/>
    <n v="18.2"/>
  </r>
  <r>
    <x v="3821"/>
    <n v="15.6"/>
  </r>
  <r>
    <x v="3822"/>
    <n v="13.6"/>
  </r>
  <r>
    <x v="3823"/>
    <n v="12"/>
  </r>
  <r>
    <x v="3824"/>
    <n v="10.7"/>
  </r>
  <r>
    <x v="3825"/>
    <n v="9.6"/>
  </r>
  <r>
    <x v="3826"/>
    <n v="8.6"/>
  </r>
  <r>
    <x v="3827"/>
    <n v="7.7"/>
  </r>
  <r>
    <x v="3828"/>
    <n v="7"/>
  </r>
  <r>
    <x v="3829"/>
    <n v="6.3"/>
  </r>
  <r>
    <x v="3830"/>
    <n v="11.3"/>
  </r>
  <r>
    <x v="3831"/>
    <n v="9.5"/>
  </r>
  <r>
    <x v="3832"/>
    <n v="7.1"/>
  </r>
  <r>
    <x v="3833"/>
    <n v="5.6"/>
  </r>
  <r>
    <x v="3834"/>
    <n v="4.5999999999999996"/>
  </r>
  <r>
    <x v="3835"/>
    <n v="3.9"/>
  </r>
  <r>
    <x v="3836"/>
    <n v="3.9"/>
  </r>
  <r>
    <x v="3837"/>
    <n v="3.4"/>
  </r>
  <r>
    <x v="3838"/>
    <n v="3.1"/>
  </r>
  <r>
    <x v="3839"/>
    <n v="2.7"/>
  </r>
  <r>
    <x v="3840"/>
    <n v="2.6"/>
  </r>
  <r>
    <x v="3841"/>
    <n v="2.2000000000000002"/>
  </r>
  <r>
    <x v="3842"/>
    <n v="2.1"/>
  </r>
  <r>
    <x v="3843"/>
    <n v="2.1"/>
  </r>
  <r>
    <x v="3844"/>
    <n v="1.8"/>
  </r>
  <r>
    <x v="3845"/>
    <n v="1.8"/>
  </r>
  <r>
    <x v="3846"/>
    <n v="1.5"/>
  </r>
  <r>
    <x v="3847"/>
    <n v="1.3"/>
  </r>
  <r>
    <x v="3848"/>
    <n v="1.2"/>
  </r>
  <r>
    <x v="3849"/>
    <n v="5.0999999999999996"/>
  </r>
  <r>
    <x v="3850"/>
    <n v="4"/>
  </r>
  <r>
    <x v="3851"/>
    <n v="3"/>
  </r>
  <r>
    <x v="3852"/>
    <n v="2.4"/>
  </r>
  <r>
    <x v="3853"/>
    <n v="2.1"/>
  </r>
  <r>
    <x v="3854"/>
    <n v="1.8"/>
  </r>
  <r>
    <x v="3855"/>
    <n v="1.6"/>
  </r>
  <r>
    <x v="3856"/>
    <n v="1.4"/>
  </r>
  <r>
    <x v="3857"/>
    <n v="1.3"/>
  </r>
  <r>
    <x v="3858"/>
    <n v="1.1000000000000001"/>
  </r>
  <r>
    <x v="3859"/>
    <n v="1"/>
  </r>
  <r>
    <x v="3860"/>
    <n v="1"/>
  </r>
  <r>
    <x v="3861"/>
    <n v="1.8"/>
  </r>
  <r>
    <x v="3862"/>
    <n v="2.8"/>
  </r>
  <r>
    <x v="3863"/>
    <n v="2.5"/>
  </r>
  <r>
    <x v="3864"/>
    <n v="5.4"/>
  </r>
  <r>
    <x v="3865"/>
    <n v="7.3"/>
  </r>
  <r>
    <x v="3866"/>
    <n v="68.900000000000006"/>
  </r>
  <r>
    <x v="3867"/>
    <n v="55.5"/>
  </r>
  <r>
    <x v="3868"/>
    <n v="42"/>
  </r>
  <r>
    <x v="3869"/>
    <n v="35"/>
  </r>
  <r>
    <x v="3870"/>
    <n v="38.9"/>
  </r>
  <r>
    <x v="3871"/>
    <n v="47.6"/>
  </r>
  <r>
    <x v="3872"/>
    <n v="55.6"/>
  </r>
  <r>
    <x v="3873"/>
    <n v="58"/>
  </r>
  <r>
    <x v="3874"/>
    <n v="72.5"/>
  </r>
  <r>
    <x v="3875"/>
    <n v="56.4"/>
  </r>
  <r>
    <x v="3876"/>
    <n v="44.9"/>
  </r>
  <r>
    <x v="3877"/>
    <n v="40.200000000000003"/>
  </r>
  <r>
    <x v="3878"/>
    <n v="35"/>
  </r>
  <r>
    <x v="3879"/>
    <n v="30.8"/>
  </r>
  <r>
    <x v="3880"/>
    <n v="27.4"/>
  </r>
  <r>
    <x v="3881"/>
    <n v="24.5"/>
  </r>
  <r>
    <x v="3882"/>
    <n v="22"/>
  </r>
  <r>
    <x v="3883"/>
    <n v="23.8"/>
  </r>
  <r>
    <x v="3884"/>
    <n v="30.8"/>
  </r>
  <r>
    <x v="3885"/>
    <n v="25.6"/>
  </r>
  <r>
    <x v="3886"/>
    <n v="19.8"/>
  </r>
  <r>
    <x v="3887"/>
    <n v="15.8"/>
  </r>
  <r>
    <x v="3888"/>
    <n v="13.8"/>
  </r>
  <r>
    <x v="3889"/>
    <n v="29.2"/>
  </r>
  <r>
    <x v="3890"/>
    <n v="24.4"/>
  </r>
  <r>
    <x v="3891"/>
    <n v="24.3"/>
  </r>
  <r>
    <x v="3892"/>
    <n v="24.4"/>
  </r>
  <r>
    <x v="3893"/>
    <n v="28.8"/>
  </r>
  <r>
    <x v="3894"/>
    <n v="31.3"/>
  </r>
  <r>
    <x v="3895"/>
    <n v="24.4"/>
  </r>
  <r>
    <x v="3896"/>
    <n v="21.6"/>
  </r>
  <r>
    <x v="3897"/>
    <n v="20.8"/>
  </r>
  <r>
    <x v="3898"/>
    <n v="68.599999999999994"/>
  </r>
  <r>
    <x v="3899"/>
    <n v="54.9"/>
  </r>
  <r>
    <x v="3900"/>
    <n v="45.4"/>
  </r>
  <r>
    <x v="3901"/>
    <n v="64.7"/>
  </r>
  <r>
    <x v="3902"/>
    <n v="63"/>
  </r>
  <r>
    <x v="3903"/>
    <n v="51"/>
  </r>
  <r>
    <x v="3904"/>
    <n v="40.9"/>
  </r>
  <r>
    <x v="3905"/>
    <n v="34.799999999999997"/>
  </r>
  <r>
    <x v="3906"/>
    <n v="34.299999999999997"/>
  </r>
  <r>
    <x v="3907"/>
    <n v="67.7"/>
  </r>
  <r>
    <x v="3908"/>
    <n v="67.900000000000006"/>
  </r>
  <r>
    <x v="3909"/>
    <n v="58"/>
  </r>
  <r>
    <x v="3910"/>
    <n v="94.4"/>
  </r>
  <r>
    <x v="3911"/>
    <n v="92.8"/>
  </r>
  <r>
    <x v="3912"/>
    <n v="76.400000000000006"/>
  </r>
  <r>
    <x v="3913"/>
    <n v="61.2"/>
  </r>
  <r>
    <x v="3914"/>
    <n v="89.2"/>
  </r>
  <r>
    <x v="3915"/>
    <n v="103"/>
  </r>
  <r>
    <x v="3916"/>
    <n v="82.5"/>
  </r>
  <r>
    <x v="3917"/>
    <n v="61.3"/>
  </r>
  <r>
    <x v="3918"/>
    <n v="62.2"/>
  </r>
  <r>
    <x v="3919"/>
    <n v="114.6"/>
  </r>
  <r>
    <x v="3920"/>
    <n v="97.7"/>
  </r>
  <r>
    <x v="3921"/>
    <n v="86.8"/>
  </r>
  <r>
    <x v="3922"/>
    <n v="70.099999999999994"/>
  </r>
  <r>
    <x v="3923"/>
    <n v="85.7"/>
  </r>
  <r>
    <x v="3924"/>
    <n v="120.3"/>
  </r>
  <r>
    <x v="3925"/>
    <n v="130.30000000000001"/>
  </r>
  <r>
    <x v="3926"/>
    <n v="155.1"/>
  </r>
  <r>
    <x v="3927"/>
    <n v="138.9"/>
  </r>
  <r>
    <x v="3928"/>
    <n v="129"/>
  </r>
  <r>
    <x v="3929"/>
    <n v="89.4"/>
  </r>
  <r>
    <x v="3930"/>
    <n v="68.400000000000006"/>
  </r>
  <r>
    <x v="3931"/>
    <n v="73.099999999999994"/>
  </r>
  <r>
    <x v="3932"/>
    <n v="95.4"/>
  </r>
  <r>
    <x v="3933"/>
    <n v="131.69999999999999"/>
  </r>
  <r>
    <x v="3934"/>
    <n v="106"/>
  </r>
  <r>
    <x v="3935"/>
    <n v="145.6"/>
  </r>
  <r>
    <x v="3936"/>
    <n v="161.4"/>
  </r>
  <r>
    <x v="3937"/>
    <n v="156.1"/>
  </r>
  <r>
    <x v="3938"/>
    <n v="116"/>
  </r>
  <r>
    <x v="3939"/>
    <n v="106.8"/>
  </r>
  <r>
    <x v="3940"/>
    <n v="127.6"/>
  </r>
  <r>
    <x v="3941"/>
    <n v="167.9"/>
  </r>
  <r>
    <x v="3942"/>
    <n v="121.2"/>
  </r>
  <r>
    <x v="3943"/>
    <n v="119.6"/>
  </r>
  <r>
    <x v="3944"/>
    <n v="130.6"/>
  </r>
  <r>
    <x v="3945"/>
    <n v="119.8"/>
  </r>
  <r>
    <x v="3946"/>
    <n v="123.7"/>
  </r>
  <r>
    <x v="3947"/>
    <n v="151.30000000000001"/>
  </r>
  <r>
    <x v="3948"/>
    <n v="117.6"/>
  </r>
  <r>
    <x v="3949"/>
    <n v="114.9"/>
  </r>
  <r>
    <x v="3950"/>
    <n v="123.8"/>
  </r>
  <r>
    <x v="3951"/>
    <n v="92.6"/>
  </r>
  <r>
    <x v="3952"/>
    <n v="74"/>
  </r>
  <r>
    <x v="3953"/>
    <n v="67.8"/>
  </r>
  <r>
    <x v="3954"/>
    <n v="103.2"/>
  </r>
  <r>
    <x v="3955"/>
    <n v="157.4"/>
  </r>
  <r>
    <x v="3956"/>
    <n v="124.5"/>
  </r>
  <r>
    <x v="3957"/>
    <n v="109.5"/>
  </r>
  <r>
    <x v="3958"/>
    <n v="116.4"/>
  </r>
  <r>
    <x v="3959"/>
    <n v="112.1"/>
  </r>
  <r>
    <x v="3960"/>
    <n v="139.4"/>
  </r>
  <r>
    <x v="3961"/>
    <n v="172.5"/>
  </r>
  <r>
    <x v="3962"/>
    <n v="126.6"/>
  </r>
  <r>
    <x v="3963"/>
    <n v="120.3"/>
  </r>
  <r>
    <x v="3964"/>
    <n v="128.30000000000001"/>
  </r>
  <r>
    <x v="3965"/>
    <n v="100"/>
  </r>
  <r>
    <x v="3966"/>
    <n v="164"/>
  </r>
  <r>
    <x v="3967"/>
    <n v="178.3"/>
  </r>
  <r>
    <x v="3968"/>
    <n v="147.69999999999999"/>
  </r>
  <r>
    <x v="3969"/>
    <n v="159.19999999999999"/>
  </r>
  <r>
    <x v="3970"/>
    <n v="127.9"/>
  </r>
  <r>
    <x v="3971"/>
    <n v="142.5"/>
  </r>
  <r>
    <x v="3972"/>
    <n v="187.2"/>
  </r>
  <r>
    <x v="3973"/>
    <n v="196.4"/>
  </r>
  <r>
    <x v="3974"/>
    <n v="187"/>
  </r>
  <r>
    <x v="3975"/>
    <n v="128.6"/>
  </r>
  <r>
    <x v="3976"/>
    <n v="105.4"/>
  </r>
  <r>
    <x v="3977"/>
    <n v="85"/>
  </r>
  <r>
    <x v="3978"/>
    <n v="134"/>
  </r>
  <r>
    <x v="3979"/>
    <n v="222.9"/>
  </r>
  <r>
    <x v="3980"/>
    <n v="160.5"/>
  </r>
  <r>
    <x v="3981"/>
    <n v="120.5"/>
  </r>
  <r>
    <x v="3982"/>
    <n v="161.4"/>
  </r>
  <r>
    <x v="3983"/>
    <n v="172.5"/>
  </r>
  <r>
    <x v="3984"/>
    <n v="146.80000000000001"/>
  </r>
  <r>
    <x v="3985"/>
    <n v="144.1"/>
  </r>
  <r>
    <x v="3986"/>
    <n v="165.5"/>
  </r>
  <r>
    <x v="3987"/>
    <n v="131.19999999999999"/>
  </r>
  <r>
    <x v="3988"/>
    <n v="138.1"/>
  </r>
  <r>
    <x v="3989"/>
    <n v="141"/>
  </r>
  <r>
    <x v="3990"/>
    <n v="142.30000000000001"/>
  </r>
  <r>
    <x v="3991"/>
    <n v="164.4"/>
  </r>
  <r>
    <x v="3992"/>
    <n v="159.80000000000001"/>
  </r>
  <r>
    <x v="3993"/>
    <n v="121.7"/>
  </r>
  <r>
    <x v="3994"/>
    <n v="137.4"/>
  </r>
  <r>
    <x v="3995"/>
    <n v="116.7"/>
  </r>
  <r>
    <x v="3996"/>
    <n v="95.9"/>
  </r>
  <r>
    <x v="3997"/>
    <n v="83.2"/>
  </r>
  <r>
    <x v="3998"/>
    <n v="75.599999999999994"/>
  </r>
  <r>
    <x v="3999"/>
    <n v="69.7"/>
  </r>
  <r>
    <x v="4000"/>
    <n v="111.1"/>
  </r>
  <r>
    <x v="4001"/>
    <n v="133.9"/>
  </r>
  <r>
    <x v="4002"/>
    <n v="107.3"/>
  </r>
  <r>
    <x v="4003"/>
    <n v="108.6"/>
  </r>
  <r>
    <x v="4004"/>
    <n v="158.80000000000001"/>
  </r>
  <r>
    <x v="4005"/>
    <n v="182.5"/>
  </r>
  <r>
    <x v="4006"/>
    <n v="137.30000000000001"/>
  </r>
  <r>
    <x v="4007"/>
    <n v="168"/>
  </r>
  <r>
    <x v="4008"/>
    <n v="142.4"/>
  </r>
  <r>
    <x v="4009"/>
    <n v="120.6"/>
  </r>
  <r>
    <x v="4010"/>
    <n v="101"/>
  </r>
  <r>
    <x v="4011"/>
    <n v="94.1"/>
  </r>
  <r>
    <x v="4012"/>
    <n v="83.4"/>
  </r>
  <r>
    <x v="4013"/>
    <n v="75.400000000000006"/>
  </r>
  <r>
    <x v="4014"/>
    <n v="84.3"/>
  </r>
  <r>
    <x v="4015"/>
    <n v="171.4"/>
  </r>
  <r>
    <x v="4016"/>
    <n v="141.9"/>
  </r>
  <r>
    <x v="4017"/>
    <n v="156.9"/>
  </r>
  <r>
    <x v="4018"/>
    <n v="127.2"/>
  </r>
  <r>
    <x v="4019"/>
    <n v="137.69999999999999"/>
  </r>
  <r>
    <x v="4020"/>
    <n v="190.3"/>
  </r>
  <r>
    <x v="4021"/>
    <n v="168.2"/>
  </r>
  <r>
    <x v="4022"/>
    <n v="169.7"/>
  </r>
  <r>
    <x v="4023"/>
    <n v="141.9"/>
  </r>
  <r>
    <x v="4024"/>
    <n v="159.5"/>
  </r>
  <r>
    <x v="4025"/>
    <n v="145"/>
  </r>
  <r>
    <x v="4026"/>
    <n v="113.3"/>
  </r>
  <r>
    <x v="4027"/>
    <n v="124"/>
  </r>
  <r>
    <x v="4028"/>
    <n v="99.5"/>
  </r>
  <r>
    <x v="4029"/>
    <n v="83.2"/>
  </r>
  <r>
    <x v="4030"/>
    <n v="73.099999999999994"/>
  </r>
  <r>
    <x v="4031"/>
    <n v="89.4"/>
  </r>
  <r>
    <x v="4032"/>
    <n v="154.9"/>
  </r>
  <r>
    <x v="4033"/>
    <n v="127.1"/>
  </r>
  <r>
    <x v="4034"/>
    <n v="142"/>
  </r>
  <r>
    <x v="4035"/>
    <n v="124"/>
  </r>
  <r>
    <x v="4036"/>
    <n v="101.3"/>
  </r>
  <r>
    <x v="4037"/>
    <n v="94.5"/>
  </r>
  <r>
    <x v="4038"/>
    <n v="146.1"/>
  </r>
  <r>
    <x v="4039"/>
    <n v="138.30000000000001"/>
  </r>
  <r>
    <x v="4040"/>
    <n v="118.7"/>
  </r>
  <r>
    <x v="4041"/>
    <n v="98.3"/>
  </r>
  <r>
    <x v="4042"/>
    <n v="85.3"/>
  </r>
  <r>
    <x v="4043"/>
    <n v="89.2"/>
  </r>
  <r>
    <x v="4044"/>
    <n v="165.8"/>
  </r>
  <r>
    <x v="4045"/>
    <n v="135.9"/>
  </r>
  <r>
    <x v="4046"/>
    <n v="115.8"/>
  </r>
  <r>
    <x v="4047"/>
    <n v="94.6"/>
  </r>
  <r>
    <x v="4048"/>
    <n v="83.2"/>
  </r>
  <r>
    <x v="4049"/>
    <n v="106.2"/>
  </r>
  <r>
    <x v="4050"/>
    <n v="93.3"/>
  </r>
  <r>
    <x v="4051"/>
    <n v="86.1"/>
  </r>
  <r>
    <x v="4052"/>
    <n v="141.80000000000001"/>
  </r>
  <r>
    <x v="4053"/>
    <n v="117.5"/>
  </r>
  <r>
    <x v="4054"/>
    <n v="97.8"/>
  </r>
  <r>
    <x v="4055"/>
    <n v="100.6"/>
  </r>
  <r>
    <x v="4056"/>
    <n v="123.6"/>
  </r>
  <r>
    <x v="4057"/>
    <n v="106.2"/>
  </r>
  <r>
    <x v="4058"/>
    <n v="117.4"/>
  </r>
  <r>
    <x v="4059"/>
    <n v="98.8"/>
  </r>
  <r>
    <x v="4060"/>
    <n v="87.2"/>
  </r>
  <r>
    <x v="4061"/>
    <n v="97.4"/>
  </r>
  <r>
    <x v="4062"/>
    <n v="90.6"/>
  </r>
  <r>
    <x v="4063"/>
    <n v="103.3"/>
  </r>
  <r>
    <x v="4064"/>
    <n v="119.4"/>
  </r>
  <r>
    <x v="4065"/>
    <n v="138.5"/>
  </r>
  <r>
    <x v="4066"/>
    <n v="112.4"/>
  </r>
  <r>
    <x v="4067"/>
    <n v="104.1"/>
  </r>
  <r>
    <x v="4068"/>
    <n v="89.5"/>
  </r>
  <r>
    <x v="4069"/>
    <n v="78.400000000000006"/>
  </r>
  <r>
    <x v="4070"/>
    <n v="77"/>
  </r>
  <r>
    <x v="4071"/>
    <n v="188"/>
  </r>
  <r>
    <x v="4072"/>
    <n v="170.4"/>
  </r>
  <r>
    <x v="4073"/>
    <n v="139.6"/>
  </r>
  <r>
    <x v="4074"/>
    <n v="122.2"/>
  </r>
  <r>
    <x v="4075"/>
    <n v="138.4"/>
  </r>
  <r>
    <x v="4076"/>
    <n v="107.9"/>
  </r>
  <r>
    <x v="4077"/>
    <n v="91.3"/>
  </r>
  <r>
    <x v="4078"/>
    <n v="102.3"/>
  </r>
  <r>
    <x v="4079"/>
    <n v="93.5"/>
  </r>
  <r>
    <x v="4080"/>
    <n v="91.1"/>
  </r>
  <r>
    <x v="4081"/>
    <n v="81.7"/>
  </r>
  <r>
    <x v="4082"/>
    <n v="84.8"/>
  </r>
  <r>
    <x v="4083"/>
    <n v="82.8"/>
  </r>
  <r>
    <x v="4084"/>
    <n v="87.1"/>
  </r>
  <r>
    <x v="4085"/>
    <n v="179.7"/>
  </r>
  <r>
    <x v="4086"/>
    <n v="164.7"/>
  </r>
  <r>
    <x v="4087"/>
    <n v="148.4"/>
  </r>
  <r>
    <x v="4088"/>
    <n v="170.4"/>
  </r>
  <r>
    <x v="4089"/>
    <n v="155.4"/>
  </r>
  <r>
    <x v="4090"/>
    <n v="121.3"/>
  </r>
  <r>
    <x v="4091"/>
    <n v="133.1"/>
  </r>
  <r>
    <x v="4092"/>
    <n v="111.2"/>
  </r>
  <r>
    <x v="4093"/>
    <n v="127"/>
  </r>
  <r>
    <x v="4094"/>
    <n v="119"/>
  </r>
  <r>
    <x v="4095"/>
    <n v="97.2"/>
  </r>
  <r>
    <x v="4096"/>
    <n v="88.8"/>
  </r>
  <r>
    <x v="4097"/>
    <n v="140"/>
  </r>
  <r>
    <x v="4098"/>
    <n v="164.2"/>
  </r>
  <r>
    <x v="4099"/>
    <n v="149.4"/>
  </r>
  <r>
    <x v="4100"/>
    <n v="114.9"/>
  </r>
  <r>
    <x v="4101"/>
    <n v="124.9"/>
  </r>
  <r>
    <x v="4102"/>
    <n v="142.80000000000001"/>
  </r>
  <r>
    <x v="4103"/>
    <n v="126.9"/>
  </r>
  <r>
    <x v="4104"/>
    <n v="105.9"/>
  </r>
  <r>
    <x v="4105"/>
    <n v="89.3"/>
  </r>
  <r>
    <x v="4106"/>
    <n v="110.2"/>
  </r>
  <r>
    <x v="4107"/>
    <n v="92.7"/>
  </r>
  <r>
    <x v="4108"/>
    <n v="89"/>
  </r>
  <r>
    <x v="4109"/>
    <n v="127.5"/>
  </r>
  <r>
    <x v="4110"/>
    <n v="170.9"/>
  </r>
  <r>
    <x v="4111"/>
    <n v="148.9"/>
  </r>
  <r>
    <x v="4112"/>
    <n v="116"/>
  </r>
  <r>
    <x v="4113"/>
    <n v="133"/>
  </r>
  <r>
    <x v="4114"/>
    <n v="130.9"/>
  </r>
  <r>
    <x v="4115"/>
    <n v="111.5"/>
  </r>
  <r>
    <x v="4116"/>
    <n v="97.9"/>
  </r>
  <r>
    <x v="4117"/>
    <n v="129.6"/>
  </r>
  <r>
    <x v="4118"/>
    <n v="123.9"/>
  </r>
  <r>
    <x v="4119"/>
    <n v="100.4"/>
  </r>
  <r>
    <x v="4120"/>
    <n v="109.7"/>
  </r>
  <r>
    <x v="4121"/>
    <n v="171.5"/>
  </r>
  <r>
    <x v="4122"/>
    <n v="131.6"/>
  </r>
  <r>
    <x v="4123"/>
    <n v="108.5"/>
  </r>
  <r>
    <x v="4124"/>
    <n v="165.7"/>
  </r>
  <r>
    <x v="4125"/>
    <n v="196"/>
  </r>
  <r>
    <x v="4126"/>
    <n v="209.7"/>
  </r>
  <r>
    <x v="4127"/>
    <n v="179"/>
  </r>
  <r>
    <x v="4128"/>
    <n v="140.80000000000001"/>
  </r>
  <r>
    <x v="4129"/>
    <n v="178"/>
  </r>
  <r>
    <x v="4130"/>
    <n v="153.6"/>
  </r>
  <r>
    <x v="4131"/>
    <n v="115.4"/>
  </r>
  <r>
    <x v="4132"/>
    <n v="93.8"/>
  </r>
  <r>
    <x v="4133"/>
    <n v="85.6"/>
  </r>
  <r>
    <x v="4134"/>
    <n v="81.2"/>
  </r>
  <r>
    <x v="4135"/>
    <n v="118.4"/>
  </r>
  <r>
    <x v="4136"/>
    <n v="125.2"/>
  </r>
  <r>
    <x v="4137"/>
    <n v="103.9"/>
  </r>
  <r>
    <x v="4138"/>
    <n v="123.8"/>
  </r>
  <r>
    <x v="4139"/>
    <n v="138.80000000000001"/>
  </r>
  <r>
    <x v="4140"/>
    <n v="160.19999999999999"/>
  </r>
  <r>
    <x v="4141"/>
    <n v="118.2"/>
  </r>
  <r>
    <x v="4142"/>
    <n v="94.5"/>
  </r>
  <r>
    <x v="4143"/>
    <n v="107.7"/>
  </r>
  <r>
    <x v="4144"/>
    <n v="101.2"/>
  </r>
  <r>
    <x v="4145"/>
    <n v="86.7"/>
  </r>
  <r>
    <x v="4146"/>
    <n v="76.5"/>
  </r>
  <r>
    <x v="4147"/>
    <n v="68.3"/>
  </r>
  <r>
    <x v="4148"/>
    <n v="61.1"/>
  </r>
  <r>
    <x v="4149"/>
    <n v="56.2"/>
  </r>
  <r>
    <x v="4150"/>
    <n v="68"/>
  </r>
  <r>
    <x v="4151"/>
    <n v="92.6"/>
  </r>
  <r>
    <x v="4152"/>
    <n v="81.7"/>
  </r>
  <r>
    <x v="4153"/>
    <n v="71.8"/>
  </r>
  <r>
    <x v="4154"/>
    <n v="62.6"/>
  </r>
  <r>
    <x v="4155"/>
    <n v="54.9"/>
  </r>
  <r>
    <x v="4156"/>
    <n v="48.9"/>
  </r>
  <r>
    <x v="4157"/>
    <n v="43.8"/>
  </r>
  <r>
    <x v="4158"/>
    <n v="39.4"/>
  </r>
  <r>
    <x v="4159"/>
    <n v="38.200000000000003"/>
  </r>
  <r>
    <x v="4160"/>
    <n v="40.200000000000003"/>
  </r>
  <r>
    <x v="4161"/>
    <n v="37.4"/>
  </r>
  <r>
    <x v="4162"/>
    <n v="33.9"/>
  </r>
  <r>
    <x v="4163"/>
    <n v="30.6"/>
  </r>
  <r>
    <x v="4164"/>
    <n v="27.6"/>
  </r>
  <r>
    <x v="4165"/>
    <n v="25"/>
  </r>
  <r>
    <x v="4166"/>
    <n v="22.9"/>
  </r>
  <r>
    <x v="4167"/>
    <n v="20.9"/>
  </r>
  <r>
    <x v="4168"/>
    <n v="20.100000000000001"/>
  </r>
  <r>
    <x v="4169"/>
    <n v="43.7"/>
  </r>
  <r>
    <x v="4170"/>
    <n v="45.3"/>
  </r>
  <r>
    <x v="4171"/>
    <n v="43"/>
  </r>
  <r>
    <x v="4172"/>
    <n v="39.799999999999997"/>
  </r>
  <r>
    <x v="4173"/>
    <n v="36.9"/>
  </r>
  <r>
    <x v="4174"/>
    <n v="40.5"/>
  </r>
  <r>
    <x v="4175"/>
    <n v="38.9"/>
  </r>
  <r>
    <x v="4176"/>
    <n v="36.200000000000003"/>
  </r>
  <r>
    <x v="4177"/>
    <n v="38.799999999999997"/>
  </r>
  <r>
    <x v="4178"/>
    <n v="37.6"/>
  </r>
  <r>
    <x v="4179"/>
    <n v="35.200000000000003"/>
  </r>
  <r>
    <x v="4180"/>
    <n v="33.1"/>
  </r>
  <r>
    <x v="4181"/>
    <n v="53.3"/>
  </r>
  <r>
    <x v="4182"/>
    <n v="53.2"/>
  </r>
  <r>
    <x v="4183"/>
    <n v="47.1"/>
  </r>
  <r>
    <x v="4184"/>
    <n v="41.9"/>
  </r>
  <r>
    <x v="4185"/>
    <n v="37.4"/>
  </r>
  <r>
    <x v="4186"/>
    <n v="33.6"/>
  </r>
  <r>
    <x v="4187"/>
    <n v="30.2"/>
  </r>
  <r>
    <x v="4188"/>
    <n v="27.1"/>
  </r>
  <r>
    <x v="4189"/>
    <n v="24.4"/>
  </r>
  <r>
    <x v="4190"/>
    <n v="22.1"/>
  </r>
  <r>
    <x v="4191"/>
    <n v="21.4"/>
  </r>
  <r>
    <x v="4192"/>
    <n v="18.899999999999999"/>
  </r>
  <r>
    <x v="4193"/>
    <n v="16.600000000000001"/>
  </r>
  <r>
    <x v="4194"/>
    <n v="14.7"/>
  </r>
  <r>
    <x v="4195"/>
    <n v="13.4"/>
  </r>
  <r>
    <x v="4196"/>
    <n v="13.9"/>
  </r>
  <r>
    <x v="4197"/>
    <n v="24.8"/>
  </r>
  <r>
    <x v="4198"/>
    <n v="19.899999999999999"/>
  </r>
  <r>
    <x v="4199"/>
    <n v="14.6"/>
  </r>
  <r>
    <x v="4200"/>
    <n v="13.3"/>
  </r>
  <r>
    <x v="4201"/>
    <n v="10.3"/>
  </r>
  <r>
    <x v="4202"/>
    <n v="8.1999999999999993"/>
  </r>
  <r>
    <x v="4203"/>
    <n v="6.9"/>
  </r>
  <r>
    <x v="4204"/>
    <n v="6"/>
  </r>
  <r>
    <x v="4205"/>
    <n v="5.3"/>
  </r>
  <r>
    <x v="4206"/>
    <n v="4.7"/>
  </r>
  <r>
    <x v="4207"/>
    <n v="4.2"/>
  </r>
  <r>
    <x v="4208"/>
    <n v="3.7"/>
  </r>
  <r>
    <x v="4209"/>
    <n v="3.4"/>
  </r>
  <r>
    <x v="4210"/>
    <n v="3.2"/>
  </r>
  <r>
    <x v="4211"/>
    <n v="3.5"/>
  </r>
  <r>
    <x v="4212"/>
    <n v="4.0999999999999996"/>
  </r>
  <r>
    <x v="4213"/>
    <n v="8.6999999999999993"/>
  </r>
  <r>
    <x v="4214"/>
    <n v="7.8"/>
  </r>
  <r>
    <x v="4215"/>
    <n v="7.3"/>
  </r>
  <r>
    <x v="4216"/>
    <n v="6.9"/>
  </r>
  <r>
    <x v="4217"/>
    <n v="9.1999999999999993"/>
  </r>
  <r>
    <x v="4218"/>
    <n v="8.5"/>
  </r>
  <r>
    <x v="4219"/>
    <n v="7.5"/>
  </r>
  <r>
    <x v="4220"/>
    <n v="6"/>
  </r>
  <r>
    <x v="4221"/>
    <n v="5"/>
  </r>
  <r>
    <x v="4222"/>
    <n v="4.4000000000000004"/>
  </r>
  <r>
    <x v="4223"/>
    <n v="3.9"/>
  </r>
  <r>
    <x v="4224"/>
    <n v="3.5"/>
  </r>
  <r>
    <x v="4225"/>
    <n v="3.7"/>
  </r>
  <r>
    <x v="4226"/>
    <n v="3.3"/>
  </r>
  <r>
    <x v="4227"/>
    <n v="3"/>
  </r>
  <r>
    <x v="4228"/>
    <n v="2.7"/>
  </r>
  <r>
    <x v="4229"/>
    <n v="2.7"/>
  </r>
  <r>
    <x v="4230"/>
    <n v="2.5"/>
  </r>
  <r>
    <x v="4231"/>
    <n v="2.8"/>
  </r>
  <r>
    <x v="4232"/>
    <n v="17.8"/>
  </r>
  <r>
    <x v="4233"/>
    <n v="13.6"/>
  </r>
  <r>
    <x v="4234"/>
    <n v="10"/>
  </r>
  <r>
    <x v="4235"/>
    <n v="9.3000000000000007"/>
  </r>
  <r>
    <x v="4236"/>
    <n v="10"/>
  </r>
  <r>
    <x v="4237"/>
    <n v="10.6"/>
  </r>
  <r>
    <x v="4238"/>
    <n v="42.5"/>
  </r>
  <r>
    <x v="4239"/>
    <n v="40.1"/>
  </r>
  <r>
    <x v="4240"/>
    <n v="29.2"/>
  </r>
  <r>
    <x v="4241"/>
    <n v="28.9"/>
  </r>
  <r>
    <x v="4242"/>
    <n v="24.2"/>
  </r>
  <r>
    <x v="4243"/>
    <n v="23.6"/>
  </r>
  <r>
    <x v="4244"/>
    <n v="20.100000000000001"/>
  </r>
  <r>
    <x v="4245"/>
    <n v="17.8"/>
  </r>
  <r>
    <x v="4246"/>
    <n v="15.9"/>
  </r>
  <r>
    <x v="4247"/>
    <n v="14.6"/>
  </r>
  <r>
    <x v="4248"/>
    <n v="27.8"/>
  </r>
  <r>
    <x v="4249"/>
    <n v="51.7"/>
  </r>
  <r>
    <x v="4250"/>
    <n v="44.4"/>
  </r>
  <r>
    <x v="4251"/>
    <n v="56.9"/>
  </r>
  <r>
    <x v="4252"/>
    <n v="41.8"/>
  </r>
  <r>
    <x v="4253"/>
    <n v="32.1"/>
  </r>
  <r>
    <x v="4254"/>
    <n v="25.8"/>
  </r>
  <r>
    <x v="4255"/>
    <n v="31.9"/>
  </r>
  <r>
    <x v="4256"/>
    <n v="66.7"/>
  </r>
  <r>
    <x v="4257"/>
    <n v="66.8"/>
  </r>
  <r>
    <x v="4258"/>
    <n v="50.8"/>
  </r>
  <r>
    <x v="4259"/>
    <n v="41"/>
  </r>
  <r>
    <x v="4260"/>
    <n v="67.400000000000006"/>
  </r>
  <r>
    <x v="4261"/>
    <n v="93.3"/>
  </r>
  <r>
    <x v="4262"/>
    <n v="89.9"/>
  </r>
  <r>
    <x v="4263"/>
    <n v="88.6"/>
  </r>
  <r>
    <x v="4264"/>
    <n v="63.2"/>
  </r>
  <r>
    <x v="4265"/>
    <n v="47.9"/>
  </r>
  <r>
    <x v="4266"/>
    <n v="39.4"/>
  </r>
  <r>
    <x v="4267"/>
    <n v="51.1"/>
  </r>
  <r>
    <x v="4268"/>
    <n v="75.599999999999994"/>
  </r>
  <r>
    <x v="4269"/>
    <n v="92.6"/>
  </r>
  <r>
    <x v="4270"/>
    <n v="67.599999999999994"/>
  </r>
  <r>
    <x v="4271"/>
    <n v="50"/>
  </r>
  <r>
    <x v="4272"/>
    <n v="51.6"/>
  </r>
  <r>
    <x v="4273"/>
    <n v="45.7"/>
  </r>
  <r>
    <x v="4274"/>
    <n v="66"/>
  </r>
  <r>
    <x v="4275"/>
    <n v="86.3"/>
  </r>
  <r>
    <x v="4276"/>
    <n v="69"/>
  </r>
  <r>
    <x v="4277"/>
    <n v="73.3"/>
  </r>
  <r>
    <x v="4278"/>
    <n v="71.5"/>
  </r>
  <r>
    <x v="4279"/>
    <n v="77.3"/>
  </r>
  <r>
    <x v="4280"/>
    <n v="73.7"/>
  </r>
  <r>
    <x v="4281"/>
    <n v="67.3"/>
  </r>
  <r>
    <x v="4282"/>
    <n v="107.4"/>
  </r>
  <r>
    <x v="4283"/>
    <n v="81.400000000000006"/>
  </r>
  <r>
    <x v="4284"/>
    <n v="65.5"/>
  </r>
  <r>
    <x v="4285"/>
    <n v="80.7"/>
  </r>
  <r>
    <x v="4286"/>
    <n v="81.599999999999994"/>
  </r>
  <r>
    <x v="4287"/>
    <n v="66"/>
  </r>
  <r>
    <x v="4288"/>
    <n v="112.3"/>
  </r>
  <r>
    <x v="4289"/>
    <n v="94"/>
  </r>
  <r>
    <x v="4290"/>
    <n v="125.3"/>
  </r>
  <r>
    <x v="4291"/>
    <n v="93.9"/>
  </r>
  <r>
    <x v="4292"/>
    <n v="114.7"/>
  </r>
  <r>
    <x v="4293"/>
    <n v="100.5"/>
  </r>
  <r>
    <x v="4294"/>
    <n v="109.3"/>
  </r>
  <r>
    <x v="4295"/>
    <n v="84.2"/>
  </r>
  <r>
    <x v="4296"/>
    <n v="74.3"/>
  </r>
  <r>
    <x v="4297"/>
    <n v="73"/>
  </r>
  <r>
    <x v="4298"/>
    <n v="93.5"/>
  </r>
  <r>
    <x v="4299"/>
    <n v="114.7"/>
  </r>
  <r>
    <x v="4300"/>
    <n v="132"/>
  </r>
  <r>
    <x v="4301"/>
    <n v="95.1"/>
  </r>
  <r>
    <x v="4302"/>
    <n v="75.7"/>
  </r>
  <r>
    <x v="4303"/>
    <n v="129.30000000000001"/>
  </r>
  <r>
    <x v="4304"/>
    <n v="133.80000000000001"/>
  </r>
  <r>
    <x v="4305"/>
    <n v="110.5"/>
  </r>
  <r>
    <x v="4306"/>
    <n v="121.2"/>
  </r>
  <r>
    <x v="4307"/>
    <n v="130.30000000000001"/>
  </r>
  <r>
    <x v="4308"/>
    <n v="111.3"/>
  </r>
  <r>
    <x v="4309"/>
    <n v="126.8"/>
  </r>
  <r>
    <x v="4310"/>
    <n v="121.9"/>
  </r>
  <r>
    <x v="4311"/>
    <n v="108.1"/>
  </r>
  <r>
    <x v="4312"/>
    <n v="87.5"/>
  </r>
  <r>
    <x v="4313"/>
    <n v="158.30000000000001"/>
  </r>
  <r>
    <x v="4314"/>
    <n v="122.9"/>
  </r>
  <r>
    <x v="4315"/>
    <n v="96.2"/>
  </r>
  <r>
    <x v="4316"/>
    <n v="130.1"/>
  </r>
  <r>
    <x v="4317"/>
    <n v="133.30000000000001"/>
  </r>
  <r>
    <x v="4318"/>
    <n v="131.69999999999999"/>
  </r>
  <r>
    <x v="4319"/>
    <n v="123.1"/>
  </r>
  <r>
    <x v="4320"/>
    <n v="113.3"/>
  </r>
  <r>
    <x v="4321"/>
    <n v="128"/>
  </r>
  <r>
    <x v="4322"/>
    <n v="108.9"/>
  </r>
  <r>
    <x v="4323"/>
    <n v="85.4"/>
  </r>
  <r>
    <x v="4324"/>
    <n v="121.6"/>
  </r>
  <r>
    <x v="4325"/>
    <n v="156"/>
  </r>
  <r>
    <x v="4326"/>
    <n v="157.6"/>
  </r>
  <r>
    <x v="4327"/>
    <n v="191.8"/>
  </r>
  <r>
    <x v="4328"/>
    <n v="183.4"/>
  </r>
  <r>
    <x v="4329"/>
    <n v="124.7"/>
  </r>
  <r>
    <x v="4330"/>
    <n v="125.2"/>
  </r>
  <r>
    <x v="4331"/>
    <n v="171"/>
  </r>
  <r>
    <x v="4332"/>
    <n v="135.5"/>
  </r>
  <r>
    <x v="4333"/>
    <n v="103.4"/>
  </r>
  <r>
    <x v="4334"/>
    <n v="91.6"/>
  </r>
  <r>
    <x v="4335"/>
    <n v="131.30000000000001"/>
  </r>
  <r>
    <x v="4336"/>
    <n v="123.8"/>
  </r>
  <r>
    <x v="4337"/>
    <n v="99.3"/>
  </r>
  <r>
    <x v="4338"/>
    <n v="127.7"/>
  </r>
  <r>
    <x v="4339"/>
    <n v="145.19999999999999"/>
  </r>
  <r>
    <x v="4340"/>
    <n v="112.2"/>
  </r>
  <r>
    <x v="4341"/>
    <n v="108.8"/>
  </r>
  <r>
    <x v="4342"/>
    <n v="164.2"/>
  </r>
  <r>
    <x v="4343"/>
    <n v="156"/>
  </r>
  <r>
    <x v="4344"/>
    <n v="148.1"/>
  </r>
  <r>
    <x v="4345"/>
    <n v="160.4"/>
  </r>
  <r>
    <x v="4346"/>
    <n v="235.2"/>
  </r>
  <r>
    <x v="4347"/>
    <n v="235"/>
  </r>
  <r>
    <x v="4348"/>
    <n v="172.8"/>
  </r>
  <r>
    <x v="4349"/>
    <n v="194.1"/>
  </r>
  <r>
    <x v="4350"/>
    <n v="186"/>
  </r>
  <r>
    <x v="4351"/>
    <n v="171.1"/>
  </r>
  <r>
    <x v="4352"/>
    <n v="124.3"/>
  </r>
  <r>
    <x v="4353"/>
    <n v="120.5"/>
  </r>
  <r>
    <x v="4354"/>
    <n v="103.5"/>
  </r>
  <r>
    <x v="4355"/>
    <n v="133.6"/>
  </r>
  <r>
    <x v="4356"/>
    <n v="149.30000000000001"/>
  </r>
  <r>
    <x v="4357"/>
    <n v="126"/>
  </r>
  <r>
    <x v="4358"/>
    <n v="102.2"/>
  </r>
  <r>
    <x v="4359"/>
    <n v="112"/>
  </r>
  <r>
    <x v="4360"/>
    <n v="97.6"/>
  </r>
  <r>
    <x v="4361"/>
    <n v="130.19999999999999"/>
  </r>
  <r>
    <x v="4362"/>
    <n v="104.2"/>
  </r>
  <r>
    <x v="4363"/>
    <n v="138"/>
  </r>
  <r>
    <x v="4364"/>
    <n v="146.1"/>
  </r>
  <r>
    <x v="4365"/>
    <n v="110.8"/>
  </r>
  <r>
    <x v="4366"/>
    <n v="93.7"/>
  </r>
  <r>
    <x v="4367"/>
    <n v="84.2"/>
  </r>
  <r>
    <x v="4368"/>
    <n v="97.5"/>
  </r>
  <r>
    <x v="4369"/>
    <n v="169.2"/>
  </r>
  <r>
    <x v="4370"/>
    <n v="167.3"/>
  </r>
  <r>
    <x v="4371"/>
    <n v="187.3"/>
  </r>
  <r>
    <x v="4372"/>
    <n v="136.80000000000001"/>
  </r>
  <r>
    <x v="4373"/>
    <n v="107.3"/>
  </r>
  <r>
    <x v="4374"/>
    <n v="159.4"/>
  </r>
  <r>
    <x v="4375"/>
    <n v="157.9"/>
  </r>
  <r>
    <x v="4376"/>
    <n v="120.1"/>
  </r>
  <r>
    <x v="4377"/>
    <n v="101.6"/>
  </r>
  <r>
    <x v="4378"/>
    <n v="99.6"/>
  </r>
  <r>
    <x v="4379"/>
    <n v="104.1"/>
  </r>
  <r>
    <x v="4380"/>
    <n v="170.9"/>
  </r>
  <r>
    <x v="4381"/>
    <n v="173.4"/>
  </r>
  <r>
    <x v="4382"/>
    <n v="182.9"/>
  </r>
  <r>
    <x v="4383"/>
    <n v="147.6"/>
  </r>
  <r>
    <x v="4384"/>
    <n v="175"/>
  </r>
  <r>
    <x v="4385"/>
    <n v="180.7"/>
  </r>
  <r>
    <x v="4386"/>
    <n v="168.8"/>
  </r>
  <r>
    <x v="4387"/>
    <n v="172.1"/>
  </r>
  <r>
    <x v="4388"/>
    <n v="181.7"/>
  </r>
  <r>
    <x v="4389"/>
    <n v="187.3"/>
  </r>
  <r>
    <x v="4390"/>
    <n v="194"/>
  </r>
  <r>
    <x v="4391"/>
    <n v="170.4"/>
  </r>
  <r>
    <x v="4392"/>
    <n v="138.69999999999999"/>
  </r>
  <r>
    <x v="4393"/>
    <n v="138.6"/>
  </r>
  <r>
    <x v="4394"/>
    <n v="132.1"/>
  </r>
  <r>
    <x v="4395"/>
    <n v="137.30000000000001"/>
  </r>
  <r>
    <x v="4396"/>
    <n v="128.1"/>
  </r>
  <r>
    <x v="4397"/>
    <n v="105.2"/>
  </r>
  <r>
    <x v="4398"/>
    <n v="90.8"/>
  </r>
  <r>
    <x v="4399"/>
    <n v="79.599999999999994"/>
  </r>
  <r>
    <x v="4400"/>
    <n v="78.7"/>
  </r>
  <r>
    <x v="4401"/>
    <n v="96.2"/>
  </r>
  <r>
    <x v="4402"/>
    <n v="86.4"/>
  </r>
  <r>
    <x v="4403"/>
    <n v="103.3"/>
  </r>
  <r>
    <x v="4404"/>
    <n v="89.6"/>
  </r>
  <r>
    <x v="4405"/>
    <n v="108.8"/>
  </r>
  <r>
    <x v="4406"/>
    <n v="101.1"/>
  </r>
  <r>
    <x v="4407"/>
    <n v="137.80000000000001"/>
  </r>
  <r>
    <x v="4408"/>
    <n v="113.5"/>
  </r>
  <r>
    <x v="4409"/>
    <n v="124.9"/>
  </r>
  <r>
    <x v="4410"/>
    <n v="145.5"/>
  </r>
  <r>
    <x v="4411"/>
    <n v="117.8"/>
  </r>
  <r>
    <x v="4412"/>
    <n v="96.2"/>
  </r>
  <r>
    <x v="4413"/>
    <n v="102.3"/>
  </r>
  <r>
    <x v="4414"/>
    <n v="153.30000000000001"/>
  </r>
  <r>
    <x v="4415"/>
    <n v="141.19999999999999"/>
  </r>
  <r>
    <x v="4416"/>
    <n v="108.5"/>
  </r>
  <r>
    <x v="4417"/>
    <n v="92.3"/>
  </r>
  <r>
    <x v="4418"/>
    <n v="82.7"/>
  </r>
  <r>
    <x v="4419"/>
    <n v="117.7"/>
  </r>
  <r>
    <x v="4420"/>
    <n v="106.5"/>
  </r>
  <r>
    <x v="4421"/>
    <n v="91.5"/>
  </r>
  <r>
    <x v="4422"/>
    <n v="79"/>
  </r>
  <r>
    <x v="4423"/>
    <n v="70.8"/>
  </r>
  <r>
    <x v="4424"/>
    <n v="73.900000000000006"/>
  </r>
  <r>
    <x v="4425"/>
    <n v="129.9"/>
  </r>
  <r>
    <x v="4426"/>
    <n v="134.4"/>
  </r>
  <r>
    <x v="4427"/>
    <n v="104.8"/>
  </r>
  <r>
    <x v="4428"/>
    <n v="87.7"/>
  </r>
  <r>
    <x v="4429"/>
    <n v="87"/>
  </r>
  <r>
    <x v="4430"/>
    <n v="91.1"/>
  </r>
  <r>
    <x v="4431"/>
    <n v="169"/>
  </r>
  <r>
    <x v="4432"/>
    <n v="161.80000000000001"/>
  </r>
  <r>
    <x v="4433"/>
    <n v="162.4"/>
  </r>
  <r>
    <x v="4434"/>
    <n v="163.6"/>
  </r>
  <r>
    <x v="4435"/>
    <n v="137.5"/>
  </r>
  <r>
    <x v="4436"/>
    <n v="144.6"/>
  </r>
  <r>
    <x v="4437"/>
    <n v="151.6"/>
  </r>
  <r>
    <x v="4438"/>
    <n v="113.1"/>
  </r>
  <r>
    <x v="4439"/>
    <n v="93.5"/>
  </r>
  <r>
    <x v="4440"/>
    <n v="117.8"/>
  </r>
  <r>
    <x v="4441"/>
    <n v="100.4"/>
  </r>
  <r>
    <x v="4442"/>
    <n v="91.9"/>
  </r>
  <r>
    <x v="4443"/>
    <n v="87.7"/>
  </r>
  <r>
    <x v="4444"/>
    <n v="180.2"/>
  </r>
  <r>
    <x v="4445"/>
    <n v="198.3"/>
  </r>
  <r>
    <x v="4446"/>
    <n v="149.30000000000001"/>
  </r>
  <r>
    <x v="4447"/>
    <n v="171.6"/>
  </r>
  <r>
    <x v="4448"/>
    <n v="146.30000000000001"/>
  </r>
  <r>
    <x v="4449"/>
    <n v="217.6"/>
  </r>
  <r>
    <x v="4450"/>
    <n v="157.30000000000001"/>
  </r>
  <r>
    <x v="4451"/>
    <n v="115.2"/>
  </r>
  <r>
    <x v="4452"/>
    <n v="91.3"/>
  </r>
  <r>
    <x v="4453"/>
    <n v="84.9"/>
  </r>
  <r>
    <x v="4454"/>
    <n v="100.4"/>
  </r>
  <r>
    <x v="4455"/>
    <n v="117.4"/>
  </r>
  <r>
    <x v="4456"/>
    <n v="129"/>
  </r>
  <r>
    <x v="4457"/>
    <n v="115.5"/>
  </r>
  <r>
    <x v="4458"/>
    <n v="126.6"/>
  </r>
  <r>
    <x v="4459"/>
    <n v="140.9"/>
  </r>
  <r>
    <x v="4460"/>
    <n v="116"/>
  </r>
  <r>
    <x v="4461"/>
    <n v="135.80000000000001"/>
  </r>
  <r>
    <x v="4462"/>
    <n v="129.19999999999999"/>
  </r>
  <r>
    <x v="4463"/>
    <n v="152.19999999999999"/>
  </r>
  <r>
    <x v="4464"/>
    <n v="138"/>
  </r>
  <r>
    <x v="4465"/>
    <n v="114.1"/>
  </r>
  <r>
    <x v="4466"/>
    <n v="104.2"/>
  </r>
  <r>
    <x v="4467"/>
    <n v="98.3"/>
  </r>
  <r>
    <x v="4468"/>
    <n v="85.5"/>
  </r>
  <r>
    <x v="4469"/>
    <n v="78.8"/>
  </r>
  <r>
    <x v="4470"/>
    <n v="130.1"/>
  </r>
  <r>
    <x v="4471"/>
    <n v="151.5"/>
  </r>
  <r>
    <x v="4472"/>
    <n v="146"/>
  </r>
  <r>
    <x v="4473"/>
    <n v="128.69999999999999"/>
  </r>
  <r>
    <x v="4474"/>
    <n v="303.39999999999998"/>
  </r>
  <r>
    <x v="4475"/>
    <n v="408.4"/>
  </r>
  <r>
    <x v="4476"/>
    <n v="448.5"/>
  </r>
  <r>
    <x v="4477"/>
    <n v="423.2"/>
  </r>
  <r>
    <x v="4478"/>
    <n v="365.5"/>
  </r>
  <r>
    <x v="4479"/>
    <n v="349.3"/>
  </r>
  <r>
    <x v="4480"/>
    <n v="347.1"/>
  </r>
  <r>
    <x v="4481"/>
    <n v="325.5"/>
  </r>
  <r>
    <x v="4482"/>
    <n v="296.7"/>
  </r>
  <r>
    <x v="4483"/>
    <n v="242.5"/>
  </r>
  <r>
    <x v="4484"/>
    <n v="184.5"/>
  </r>
  <r>
    <x v="4485"/>
    <n v="147.19999999999999"/>
  </r>
  <r>
    <x v="4486"/>
    <n v="145.5"/>
  </r>
  <r>
    <x v="4487"/>
    <n v="137.19999999999999"/>
  </r>
  <r>
    <x v="4488"/>
    <n v="120.9"/>
  </r>
  <r>
    <x v="4489"/>
    <n v="109.1"/>
  </r>
  <r>
    <x v="4490"/>
    <n v="98.6"/>
  </r>
  <r>
    <x v="4491"/>
    <n v="90.7"/>
  </r>
  <r>
    <x v="4492"/>
    <n v="83.2"/>
  </r>
  <r>
    <x v="4493"/>
    <n v="105.1"/>
  </r>
  <r>
    <x v="4494"/>
    <n v="125.7"/>
  </r>
  <r>
    <x v="4495"/>
    <n v="117.1"/>
  </r>
  <r>
    <x v="4496"/>
    <n v="156.9"/>
  </r>
  <r>
    <x v="4497"/>
    <n v="195.6"/>
  </r>
  <r>
    <x v="4498"/>
    <n v="166.8"/>
  </r>
  <r>
    <x v="4499"/>
    <n v="196.6"/>
  </r>
  <r>
    <x v="4500"/>
    <n v="158.1"/>
  </r>
  <r>
    <x v="4501"/>
    <n v="173.5"/>
  </r>
  <r>
    <x v="4502"/>
    <n v="236.5"/>
  </r>
  <r>
    <x v="4503"/>
    <n v="245.7"/>
  </r>
  <r>
    <x v="4504"/>
    <n v="212.5"/>
  </r>
  <r>
    <x v="4505"/>
    <n v="164.2"/>
  </r>
  <r>
    <x v="4506"/>
    <n v="199.3"/>
  </r>
  <r>
    <x v="4507"/>
    <n v="159.30000000000001"/>
  </r>
  <r>
    <x v="4508"/>
    <n v="143.5"/>
  </r>
  <r>
    <x v="4509"/>
    <n v="133.9"/>
  </r>
  <r>
    <x v="4510"/>
    <n v="150"/>
  </r>
  <r>
    <x v="4511"/>
    <n v="140.4"/>
  </r>
  <r>
    <x v="4512"/>
    <n v="141.19999999999999"/>
  </r>
  <r>
    <x v="4513"/>
    <n v="125.5"/>
  </r>
  <r>
    <x v="4514"/>
    <n v="111.7"/>
  </r>
  <r>
    <x v="4515"/>
    <n v="99.8"/>
  </r>
  <r>
    <x v="4516"/>
    <n v="89.4"/>
  </r>
  <r>
    <x v="4517"/>
    <n v="80.3"/>
  </r>
  <r>
    <x v="4518"/>
    <n v="72.3"/>
  </r>
  <r>
    <x v="4519"/>
    <n v="67.400000000000006"/>
  </r>
  <r>
    <x v="4520"/>
    <n v="61.7"/>
  </r>
  <r>
    <x v="4521"/>
    <n v="56"/>
  </r>
  <r>
    <x v="4522"/>
    <n v="50.6"/>
  </r>
  <r>
    <x v="4523"/>
    <n v="45.7"/>
  </r>
  <r>
    <x v="4524"/>
    <n v="41.5"/>
  </r>
  <r>
    <x v="4525"/>
    <n v="43.4"/>
  </r>
  <r>
    <x v="4526"/>
    <n v="40.700000000000003"/>
  </r>
  <r>
    <x v="4527"/>
    <n v="37.1"/>
  </r>
  <r>
    <x v="4528"/>
    <n v="33.6"/>
  </r>
  <r>
    <x v="4529"/>
    <n v="30.4"/>
  </r>
  <r>
    <x v="4530"/>
    <n v="27.4"/>
  </r>
  <r>
    <x v="4531"/>
    <n v="24.7"/>
  </r>
  <r>
    <x v="4532"/>
    <n v="22.3"/>
  </r>
  <r>
    <x v="4533"/>
    <n v="20.3"/>
  </r>
  <r>
    <x v="4534"/>
    <n v="18.3"/>
  </r>
  <r>
    <x v="4535"/>
    <n v="16.399999999999999"/>
  </r>
  <r>
    <x v="4536"/>
    <n v="15.3"/>
  </r>
  <r>
    <x v="4537"/>
    <n v="36.299999999999997"/>
  </r>
  <r>
    <x v="4538"/>
    <n v="31.1"/>
  </r>
  <r>
    <x v="4539"/>
    <n v="23.6"/>
  </r>
  <r>
    <x v="4540"/>
    <n v="31"/>
  </r>
  <r>
    <x v="4541"/>
    <n v="23.3"/>
  </r>
  <r>
    <x v="4542"/>
    <n v="17.8"/>
  </r>
  <r>
    <x v="4543"/>
    <n v="14.5"/>
  </r>
  <r>
    <x v="4544"/>
    <n v="12.2"/>
  </r>
  <r>
    <x v="4545"/>
    <n v="10.5"/>
  </r>
  <r>
    <x v="4546"/>
    <n v="9.3000000000000007"/>
  </r>
  <r>
    <x v="4547"/>
    <n v="8.1999999999999993"/>
  </r>
  <r>
    <x v="4548"/>
    <n v="7.3"/>
  </r>
  <r>
    <x v="4549"/>
    <n v="6.6"/>
  </r>
  <r>
    <x v="4550"/>
    <n v="5.9"/>
  </r>
  <r>
    <x v="4551"/>
    <n v="5.8"/>
  </r>
  <r>
    <x v="4552"/>
    <n v="16.2"/>
  </r>
  <r>
    <x v="4553"/>
    <n v="12.8"/>
  </r>
  <r>
    <x v="4554"/>
    <n v="9.3000000000000007"/>
  </r>
  <r>
    <x v="4555"/>
    <n v="7.2"/>
  </r>
  <r>
    <x v="4556"/>
    <n v="5.9"/>
  </r>
  <r>
    <x v="4557"/>
    <n v="4.9000000000000004"/>
  </r>
  <r>
    <x v="4558"/>
    <n v="4.3"/>
  </r>
  <r>
    <x v="4559"/>
    <n v="3.7"/>
  </r>
  <r>
    <x v="4560"/>
    <n v="3.3"/>
  </r>
  <r>
    <x v="4561"/>
    <n v="3"/>
  </r>
  <r>
    <x v="4562"/>
    <n v="2.6"/>
  </r>
  <r>
    <x v="4563"/>
    <n v="3.1"/>
  </r>
  <r>
    <x v="4564"/>
    <n v="2.7"/>
  </r>
  <r>
    <x v="4565"/>
    <n v="2.2000000000000002"/>
  </r>
  <r>
    <x v="4566"/>
    <n v="1.9"/>
  </r>
  <r>
    <x v="4567"/>
    <n v="1.6"/>
  </r>
  <r>
    <x v="4568"/>
    <n v="1.4"/>
  </r>
  <r>
    <x v="4569"/>
    <n v="1.5"/>
  </r>
  <r>
    <x v="4570"/>
    <n v="1.5"/>
  </r>
  <r>
    <x v="4571"/>
    <n v="1.3"/>
  </r>
  <r>
    <x v="4572"/>
    <n v="1"/>
  </r>
  <r>
    <x v="4573"/>
    <n v="0.9"/>
  </r>
  <r>
    <x v="4574"/>
    <n v="0.8"/>
  </r>
  <r>
    <x v="4575"/>
    <n v="0.7"/>
  </r>
  <r>
    <x v="4576"/>
    <n v="0.6"/>
  </r>
  <r>
    <x v="4577"/>
    <n v="0.5"/>
  </r>
  <r>
    <x v="4578"/>
    <n v="0.5"/>
  </r>
  <r>
    <x v="4579"/>
    <n v="0.4"/>
  </r>
  <r>
    <x v="4580"/>
    <n v="0.4"/>
  </r>
  <r>
    <x v="4581"/>
    <n v="0.3"/>
  </r>
  <r>
    <x v="4582"/>
    <n v="0.3"/>
  </r>
  <r>
    <x v="4583"/>
    <n v="0.3"/>
  </r>
  <r>
    <x v="4584"/>
    <n v="0.3"/>
  </r>
  <r>
    <x v="4585"/>
    <n v="0.2"/>
  </r>
  <r>
    <x v="4586"/>
    <n v="0.2"/>
  </r>
  <r>
    <x v="4587"/>
    <n v="0.2"/>
  </r>
  <r>
    <x v="4588"/>
    <n v="0.2"/>
  </r>
  <r>
    <x v="4589"/>
    <n v="0.1"/>
  </r>
  <r>
    <x v="4590"/>
    <n v="0.1"/>
  </r>
  <r>
    <x v="4591"/>
    <n v="0.1"/>
  </r>
  <r>
    <x v="4592"/>
    <n v="0.1"/>
  </r>
  <r>
    <x v="4593"/>
    <n v="0.1"/>
  </r>
  <r>
    <x v="4594"/>
    <n v="0.1"/>
  </r>
  <r>
    <x v="4595"/>
    <n v="0.1"/>
  </r>
  <r>
    <x v="4596"/>
    <n v="0.1"/>
  </r>
  <r>
    <x v="4597"/>
    <n v="0.3"/>
  </r>
  <r>
    <x v="4598"/>
    <n v="0.3"/>
  </r>
  <r>
    <x v="4599"/>
    <n v="3.2"/>
  </r>
  <r>
    <x v="4600"/>
    <n v="3.1"/>
  </r>
  <r>
    <x v="4601"/>
    <n v="10.4"/>
  </r>
  <r>
    <x v="4602"/>
    <n v="7.3"/>
  </r>
  <r>
    <x v="4603"/>
    <n v="5.2"/>
  </r>
  <r>
    <x v="4604"/>
    <n v="4"/>
  </r>
  <r>
    <x v="4605"/>
    <n v="3.4"/>
  </r>
  <r>
    <x v="4606"/>
    <n v="8.5"/>
  </r>
  <r>
    <x v="4607"/>
    <n v="45.3"/>
  </r>
  <r>
    <x v="4608"/>
    <n v="37.200000000000003"/>
  </r>
  <r>
    <x v="4609"/>
    <n v="29.1"/>
  </r>
  <r>
    <x v="4610"/>
    <n v="24.3"/>
  </r>
  <r>
    <x v="4611"/>
    <n v="20.399999999999999"/>
  </r>
  <r>
    <x v="4612"/>
    <n v="19"/>
  </r>
  <r>
    <x v="4613"/>
    <n v="39.700000000000003"/>
  </r>
  <r>
    <x v="4614"/>
    <n v="36.5"/>
  </r>
  <r>
    <x v="4615"/>
    <n v="42.9"/>
  </r>
  <r>
    <x v="4616"/>
    <n v="53"/>
  </r>
  <r>
    <x v="4617"/>
    <n v="40.299999999999997"/>
  </r>
  <r>
    <x v="4618"/>
    <n v="49.7"/>
  </r>
  <r>
    <x v="4619"/>
    <n v="60.7"/>
  </r>
  <r>
    <x v="4620"/>
    <n v="45.4"/>
  </r>
  <r>
    <x v="4621"/>
    <n v="40.6"/>
  </r>
  <r>
    <x v="4622"/>
    <n v="56.3"/>
  </r>
  <r>
    <x v="4623"/>
    <n v="56.5"/>
  </r>
  <r>
    <x v="4624"/>
    <n v="44.4"/>
  </r>
  <r>
    <x v="4625"/>
    <n v="70.5"/>
  </r>
  <r>
    <x v="4626"/>
    <n v="53.7"/>
  </r>
  <r>
    <x v="4627"/>
    <n v="42.4"/>
  </r>
  <r>
    <x v="4628"/>
    <n v="55.3"/>
  </r>
  <r>
    <x v="4629"/>
    <n v="55.7"/>
  </r>
  <r>
    <x v="4630"/>
    <n v="53.1"/>
  </r>
  <r>
    <x v="4631"/>
    <n v="83.8"/>
  </r>
  <r>
    <x v="4632"/>
    <n v="67.400000000000006"/>
  </r>
  <r>
    <x v="4633"/>
    <n v="106.2"/>
  </r>
  <r>
    <x v="4634"/>
    <n v="89.1"/>
  </r>
  <r>
    <x v="4635"/>
    <n v="83.9"/>
  </r>
  <r>
    <x v="4636"/>
    <n v="65.3"/>
  </r>
  <r>
    <x v="4637"/>
    <n v="61.2"/>
  </r>
  <r>
    <x v="4638"/>
    <n v="49"/>
  </r>
  <r>
    <x v="4639"/>
    <n v="42.1"/>
  </r>
  <r>
    <x v="4640"/>
    <n v="47"/>
  </r>
  <r>
    <x v="4641"/>
    <n v="115.6"/>
  </r>
  <r>
    <x v="4642"/>
    <n v="93.3"/>
  </r>
  <r>
    <x v="4643"/>
    <n v="73.7"/>
  </r>
  <r>
    <x v="4644"/>
    <n v="102.2"/>
  </r>
  <r>
    <x v="4645"/>
    <n v="92"/>
  </r>
  <r>
    <x v="4646"/>
    <n v="72.8"/>
  </r>
  <r>
    <x v="4647"/>
    <n v="73.099999999999994"/>
  </r>
  <r>
    <x v="4648"/>
    <n v="121.3"/>
  </r>
  <r>
    <x v="4649"/>
    <n v="148.80000000000001"/>
  </r>
  <r>
    <x v="4650"/>
    <n v="114.7"/>
  </r>
  <r>
    <x v="4651"/>
    <n v="84.1"/>
  </r>
  <r>
    <x v="4652"/>
    <n v="79.8"/>
  </r>
  <r>
    <x v="4653"/>
    <n v="112.5"/>
  </r>
  <r>
    <x v="4654"/>
    <n v="94.5"/>
  </r>
  <r>
    <x v="4655"/>
    <n v="104.3"/>
  </r>
  <r>
    <x v="4656"/>
    <n v="111.9"/>
  </r>
  <r>
    <x v="4657"/>
    <n v="109.8"/>
  </r>
  <r>
    <x v="4658"/>
    <n v="99.6"/>
  </r>
  <r>
    <x v="4659"/>
    <n v="147.1"/>
  </r>
  <r>
    <x v="4660"/>
    <n v="131.80000000000001"/>
  </r>
  <r>
    <x v="4661"/>
    <n v="176.2"/>
  </r>
  <r>
    <x v="4662"/>
    <n v="133.9"/>
  </r>
  <r>
    <x v="4663"/>
    <n v="97.4"/>
  </r>
  <r>
    <x v="4664"/>
    <n v="85.3"/>
  </r>
  <r>
    <x v="4665"/>
    <n v="85"/>
  </r>
  <r>
    <x v="4666"/>
    <n v="165.6"/>
  </r>
  <r>
    <x v="4667"/>
    <n v="216.6"/>
  </r>
  <r>
    <x v="4668"/>
    <n v="155"/>
  </r>
  <r>
    <x v="4669"/>
    <n v="111.1"/>
  </r>
  <r>
    <x v="4670"/>
    <n v="103.7"/>
  </r>
  <r>
    <x v="4671"/>
    <n v="135.69999999999999"/>
  </r>
  <r>
    <x v="4672"/>
    <n v="134.9"/>
  </r>
  <r>
    <x v="4673"/>
    <n v="113.6"/>
  </r>
  <r>
    <x v="4674"/>
    <n v="134.1"/>
  </r>
  <r>
    <x v="4675"/>
    <n v="126.1"/>
  </r>
  <r>
    <x v="4676"/>
    <n v="112.8"/>
  </r>
  <r>
    <x v="4677"/>
    <n v="119.3"/>
  </r>
  <r>
    <x v="4678"/>
    <n v="99.4"/>
  </r>
  <r>
    <x v="4679"/>
    <n v="85.4"/>
  </r>
  <r>
    <x v="4680"/>
    <n v="129.4"/>
  </r>
  <r>
    <x v="4681"/>
    <n v="169.1"/>
  </r>
  <r>
    <x v="4682"/>
    <n v="141.9"/>
  </r>
  <r>
    <x v="4683"/>
    <n v="109.4"/>
  </r>
  <r>
    <x v="4684"/>
    <n v="174.3"/>
  </r>
  <r>
    <x v="4685"/>
    <n v="138.69999999999999"/>
  </r>
  <r>
    <x v="4686"/>
    <n v="104.8"/>
  </r>
  <r>
    <x v="4687"/>
    <n v="107.9"/>
  </r>
  <r>
    <x v="4688"/>
    <n v="169.2"/>
  </r>
  <r>
    <x v="4689"/>
    <n v="130.4"/>
  </r>
  <r>
    <x v="4690"/>
    <n v="100"/>
  </r>
  <r>
    <x v="4691"/>
    <n v="83.6"/>
  </r>
  <r>
    <x v="4692"/>
    <n v="120.3"/>
  </r>
  <r>
    <x v="4693"/>
    <n v="100.3"/>
  </r>
  <r>
    <x v="4694"/>
    <n v="100.9"/>
  </r>
  <r>
    <x v="4695"/>
    <n v="84.5"/>
  </r>
  <r>
    <x v="4696"/>
    <n v="74.599999999999994"/>
  </r>
  <r>
    <x v="4697"/>
    <n v="79.3"/>
  </r>
  <r>
    <x v="4698"/>
    <n v="108.2"/>
  </r>
  <r>
    <x v="4699"/>
    <n v="145.19999999999999"/>
  </r>
  <r>
    <x v="4700"/>
    <n v="125.8"/>
  </r>
  <r>
    <x v="4701"/>
    <n v="102.2"/>
  </r>
  <r>
    <x v="4702"/>
    <n v="153.19999999999999"/>
  </r>
  <r>
    <x v="4703"/>
    <n v="168.5"/>
  </r>
  <r>
    <x v="4704"/>
    <n v="127.9"/>
  </r>
  <r>
    <x v="4705"/>
    <n v="103.5"/>
  </r>
  <r>
    <x v="4706"/>
    <n v="86.1"/>
  </r>
  <r>
    <x v="4707"/>
    <n v="76.099999999999994"/>
  </r>
  <r>
    <x v="4708"/>
    <n v="113.1"/>
  </r>
  <r>
    <x v="4709"/>
    <n v="96.7"/>
  </r>
  <r>
    <x v="4710"/>
    <n v="125.5"/>
  </r>
  <r>
    <x v="4711"/>
    <n v="164.9"/>
  </r>
  <r>
    <x v="4712"/>
    <n v="160.30000000000001"/>
  </r>
  <r>
    <x v="4713"/>
    <n v="117.4"/>
  </r>
  <r>
    <x v="4714"/>
    <n v="120.3"/>
  </r>
  <r>
    <x v="4715"/>
    <n v="122.6"/>
  </r>
  <r>
    <x v="4716"/>
    <n v="166"/>
  </r>
  <r>
    <x v="4717"/>
    <n v="167.9"/>
  </r>
  <r>
    <x v="4718"/>
    <n v="148.19999999999999"/>
  </r>
  <r>
    <x v="4719"/>
    <n v="124.7"/>
  </r>
  <r>
    <x v="4720"/>
    <n v="99.4"/>
  </r>
  <r>
    <x v="4721"/>
    <n v="112.9"/>
  </r>
  <r>
    <x v="4722"/>
    <n v="141.6"/>
  </r>
  <r>
    <x v="4723"/>
    <n v="121.7"/>
  </r>
  <r>
    <x v="4724"/>
    <n v="98.5"/>
  </r>
  <r>
    <x v="4725"/>
    <n v="151.5"/>
  </r>
  <r>
    <x v="4726"/>
    <n v="114.6"/>
  </r>
  <r>
    <x v="4727"/>
    <n v="93.5"/>
  </r>
  <r>
    <x v="4728"/>
    <n v="119.6"/>
  </r>
  <r>
    <x v="4729"/>
    <n v="180.7"/>
  </r>
  <r>
    <x v="4730"/>
    <n v="203"/>
  </r>
  <r>
    <x v="4731"/>
    <n v="149.19999999999999"/>
  </r>
  <r>
    <x v="4732"/>
    <n v="119.2"/>
  </r>
  <r>
    <x v="4733"/>
    <n v="135.30000000000001"/>
  </r>
  <r>
    <x v="4734"/>
    <n v="136.19999999999999"/>
  </r>
  <r>
    <x v="4735"/>
    <n v="107.3"/>
  </r>
  <r>
    <x v="4736"/>
    <n v="160"/>
  </r>
  <r>
    <x v="4737"/>
    <n v="159.30000000000001"/>
  </r>
  <r>
    <x v="4738"/>
    <n v="191.4"/>
  </r>
  <r>
    <x v="4739"/>
    <n v="237.5"/>
  </r>
  <r>
    <x v="4740"/>
    <n v="228.4"/>
  </r>
  <r>
    <x v="4741"/>
    <n v="162.19999999999999"/>
  </r>
  <r>
    <x v="4742"/>
    <n v="184.7"/>
  </r>
  <r>
    <x v="4743"/>
    <n v="137.4"/>
  </r>
  <r>
    <x v="4744"/>
    <n v="185"/>
  </r>
  <r>
    <x v="4745"/>
    <n v="139.30000000000001"/>
  </r>
  <r>
    <x v="4746"/>
    <n v="171.4"/>
  </r>
  <r>
    <x v="4747"/>
    <n v="187.2"/>
  </r>
  <r>
    <x v="4748"/>
    <n v="157.9"/>
  </r>
  <r>
    <x v="4749"/>
    <n v="116.6"/>
  </r>
  <r>
    <x v="4750"/>
    <n v="116.2"/>
  </r>
  <r>
    <x v="4751"/>
    <n v="140.5"/>
  </r>
  <r>
    <x v="4752"/>
    <n v="128.9"/>
  </r>
  <r>
    <x v="4753"/>
    <n v="114"/>
  </r>
  <r>
    <x v="4754"/>
    <n v="112.9"/>
  </r>
  <r>
    <x v="4755"/>
    <n v="132.6"/>
  </r>
  <r>
    <x v="4756"/>
    <n v="110.8"/>
  </r>
  <r>
    <x v="4757"/>
    <n v="133.6"/>
  </r>
  <r>
    <x v="4758"/>
    <n v="105.3"/>
  </r>
  <r>
    <x v="4759"/>
    <n v="95.8"/>
  </r>
  <r>
    <x v="4760"/>
    <n v="146.69999999999999"/>
  </r>
  <r>
    <x v="4761"/>
    <n v="155"/>
  </r>
  <r>
    <x v="4762"/>
    <n v="117.9"/>
  </r>
  <r>
    <x v="4763"/>
    <n v="147.69999999999999"/>
  </r>
  <r>
    <x v="4764"/>
    <n v="162.6"/>
  </r>
  <r>
    <x v="4765"/>
    <n v="138.69999999999999"/>
  </r>
  <r>
    <x v="4766"/>
    <n v="129.1"/>
  </r>
  <r>
    <x v="4767"/>
    <n v="102.5"/>
  </r>
  <r>
    <x v="4768"/>
    <n v="98.7"/>
  </r>
  <r>
    <x v="4769"/>
    <n v="144.4"/>
  </r>
  <r>
    <x v="4770"/>
    <n v="118.9"/>
  </r>
  <r>
    <x v="4771"/>
    <n v="107.6"/>
  </r>
  <r>
    <x v="4772"/>
    <n v="124.2"/>
  </r>
  <r>
    <x v="4773"/>
    <n v="110.6"/>
  </r>
  <r>
    <x v="4774"/>
    <n v="92"/>
  </r>
  <r>
    <x v="4775"/>
    <n v="129.30000000000001"/>
  </r>
  <r>
    <x v="4776"/>
    <n v="107.5"/>
  </r>
  <r>
    <x v="4777"/>
    <n v="125"/>
  </r>
  <r>
    <x v="4778"/>
    <n v="154.4"/>
  </r>
  <r>
    <x v="4779"/>
    <n v="179"/>
  </r>
  <r>
    <x v="4780"/>
    <n v="135.4"/>
  </r>
  <r>
    <x v="4781"/>
    <n v="119.5"/>
  </r>
  <r>
    <x v="4782"/>
    <n v="131.30000000000001"/>
  </r>
  <r>
    <x v="4783"/>
    <n v="103.8"/>
  </r>
  <r>
    <x v="4784"/>
    <n v="87"/>
  </r>
  <r>
    <x v="4785"/>
    <n v="101.6"/>
  </r>
  <r>
    <x v="4786"/>
    <n v="90"/>
  </r>
  <r>
    <x v="4787"/>
    <n v="89.6"/>
  </r>
  <r>
    <x v="4788"/>
    <n v="80.8"/>
  </r>
  <r>
    <x v="4789"/>
    <n v="107.7"/>
  </r>
  <r>
    <x v="4790"/>
    <n v="114.9"/>
  </r>
  <r>
    <x v="4791"/>
    <n v="111.2"/>
  </r>
  <r>
    <x v="4792"/>
    <n v="121.7"/>
  </r>
  <r>
    <x v="4793"/>
    <n v="99.5"/>
  </r>
  <r>
    <x v="4794"/>
    <n v="122.4"/>
  </r>
  <r>
    <x v="4795"/>
    <n v="113.4"/>
  </r>
  <r>
    <x v="4796"/>
    <n v="94.3"/>
  </r>
  <r>
    <x v="4797"/>
    <n v="110.1"/>
  </r>
  <r>
    <x v="4798"/>
    <n v="103.5"/>
  </r>
  <r>
    <x v="4799"/>
    <n v="91.5"/>
  </r>
  <r>
    <x v="4800"/>
    <n v="84.1"/>
  </r>
  <r>
    <x v="4801"/>
    <n v="120"/>
  </r>
  <r>
    <x v="4802"/>
    <n v="150.19999999999999"/>
  </r>
  <r>
    <x v="4803"/>
    <n v="147.19999999999999"/>
  </r>
  <r>
    <x v="4804"/>
    <n v="108.9"/>
  </r>
  <r>
    <x v="4805"/>
    <n v="86.4"/>
  </r>
  <r>
    <x v="4806"/>
    <n v="108.5"/>
  </r>
  <r>
    <x v="4807"/>
    <n v="107.4"/>
  </r>
  <r>
    <x v="4808"/>
    <n v="153.4"/>
  </r>
  <r>
    <x v="4809"/>
    <n v="133"/>
  </r>
  <r>
    <x v="4810"/>
    <n v="103.3"/>
  </r>
  <r>
    <x v="4811"/>
    <n v="119.3"/>
  </r>
  <r>
    <x v="4812"/>
    <n v="114.3"/>
  </r>
  <r>
    <x v="4813"/>
    <n v="104.6"/>
  </r>
  <r>
    <x v="4814"/>
    <n v="110.3"/>
  </r>
  <r>
    <x v="4815"/>
    <n v="93.9"/>
  </r>
  <r>
    <x v="4816"/>
    <n v="131.5"/>
  </r>
  <r>
    <x v="4817"/>
    <n v="128.9"/>
  </r>
  <r>
    <x v="4818"/>
    <n v="137.69999999999999"/>
  </r>
  <r>
    <x v="4819"/>
    <n v="192"/>
  </r>
  <r>
    <x v="4820"/>
    <n v="162.4"/>
  </r>
  <r>
    <x v="4821"/>
    <n v="117.9"/>
  </r>
  <r>
    <x v="4822"/>
    <n v="108.9"/>
  </r>
  <r>
    <x v="4823"/>
    <n v="181"/>
  </r>
  <r>
    <x v="4824"/>
    <n v="185.1"/>
  </r>
  <r>
    <x v="4825"/>
    <n v="132.30000000000001"/>
  </r>
  <r>
    <x v="4826"/>
    <n v="101.9"/>
  </r>
  <r>
    <x v="4827"/>
    <n v="110.6"/>
  </r>
  <r>
    <x v="4828"/>
    <n v="197.5"/>
  </r>
  <r>
    <x v="4829"/>
    <n v="156.80000000000001"/>
  </r>
  <r>
    <x v="4830"/>
    <n v="114.7"/>
  </r>
  <r>
    <x v="4831"/>
    <n v="92.8"/>
  </r>
  <r>
    <x v="4832"/>
    <n v="80.7"/>
  </r>
  <r>
    <x v="4833"/>
    <n v="78.900000000000006"/>
  </r>
  <r>
    <x v="4834"/>
    <n v="86.2"/>
  </r>
  <r>
    <x v="4835"/>
    <n v="135.30000000000001"/>
  </r>
  <r>
    <x v="4836"/>
    <n v="157.5"/>
  </r>
  <r>
    <x v="4837"/>
    <n v="147"/>
  </r>
  <r>
    <x v="4838"/>
    <n v="122.1"/>
  </r>
  <r>
    <x v="4839"/>
    <n v="105.3"/>
  </r>
  <r>
    <x v="4840"/>
    <n v="146.30000000000001"/>
  </r>
  <r>
    <x v="4841"/>
    <n v="141.69999999999999"/>
  </r>
  <r>
    <x v="4842"/>
    <n v="109.9"/>
  </r>
  <r>
    <x v="4843"/>
    <n v="87.9"/>
  </r>
  <r>
    <x v="4844"/>
    <n v="86.4"/>
  </r>
  <r>
    <x v="4845"/>
    <n v="118"/>
  </r>
  <r>
    <x v="4846"/>
    <n v="96"/>
  </r>
  <r>
    <x v="4847"/>
    <n v="86.7"/>
  </r>
  <r>
    <x v="4848"/>
    <n v="84.7"/>
  </r>
  <r>
    <x v="4849"/>
    <n v="76.400000000000006"/>
  </r>
  <r>
    <x v="4850"/>
    <n v="76.5"/>
  </r>
  <r>
    <x v="4851"/>
    <n v="73.099999999999994"/>
  </r>
  <r>
    <x v="4852"/>
    <n v="145.1"/>
  </r>
  <r>
    <x v="4853"/>
    <n v="118.4"/>
  </r>
  <r>
    <x v="4854"/>
    <n v="97.8"/>
  </r>
  <r>
    <x v="4855"/>
    <n v="93"/>
  </r>
  <r>
    <x v="4856"/>
    <n v="115.4"/>
  </r>
  <r>
    <x v="4857"/>
    <n v="139.1"/>
  </r>
  <r>
    <x v="4858"/>
    <n v="170.2"/>
  </r>
  <r>
    <x v="4859"/>
    <n v="123.7"/>
  </r>
  <r>
    <x v="4860"/>
    <n v="101.4"/>
  </r>
  <r>
    <x v="4861"/>
    <n v="164.7"/>
  </r>
  <r>
    <x v="4862"/>
    <n v="135.5"/>
  </r>
  <r>
    <x v="4863"/>
    <n v="118.3"/>
  </r>
  <r>
    <x v="4864"/>
    <n v="143.6"/>
  </r>
  <r>
    <x v="4865"/>
    <n v="143.9"/>
  </r>
  <r>
    <x v="4866"/>
    <n v="144.4"/>
  </r>
  <r>
    <x v="4867"/>
    <n v="153.19999999999999"/>
  </r>
  <r>
    <x v="4868"/>
    <n v="151.1"/>
  </r>
  <r>
    <x v="4869"/>
    <n v="148.5"/>
  </r>
  <r>
    <x v="4870"/>
    <n v="108.9"/>
  </r>
  <r>
    <x v="4871"/>
    <n v="84.1"/>
  </r>
  <r>
    <x v="4872"/>
    <n v="68.8"/>
  </r>
  <r>
    <x v="4873"/>
    <n v="58.7"/>
  </r>
  <r>
    <x v="4874"/>
    <n v="53.3"/>
  </r>
  <r>
    <x v="4875"/>
    <n v="64.400000000000006"/>
  </r>
  <r>
    <x v="4876"/>
    <n v="92.1"/>
  </r>
  <r>
    <x v="4877"/>
    <n v="98.1"/>
  </r>
  <r>
    <x v="4878"/>
    <n v="87.7"/>
  </r>
  <r>
    <x v="4879"/>
    <n v="75.2"/>
  </r>
  <r>
    <x v="4880"/>
    <n v="76.400000000000006"/>
  </r>
  <r>
    <x v="4881"/>
    <n v="68.400000000000006"/>
  </r>
  <r>
    <x v="4882"/>
    <n v="61.4"/>
  </r>
  <r>
    <x v="4883"/>
    <n v="55.2"/>
  </r>
  <r>
    <x v="4884"/>
    <n v="49.5"/>
  </r>
  <r>
    <x v="4885"/>
    <n v="44.6"/>
  </r>
  <r>
    <x v="4886"/>
    <n v="40"/>
  </r>
  <r>
    <x v="4887"/>
    <n v="36.1"/>
  </r>
  <r>
    <x v="4888"/>
    <n v="36.4"/>
  </r>
  <r>
    <x v="4889"/>
    <n v="50"/>
  </r>
  <r>
    <x v="4890"/>
    <n v="51.5"/>
  </r>
  <r>
    <x v="4891"/>
    <n v="67.7"/>
  </r>
  <r>
    <x v="4892"/>
    <n v="56.1"/>
  </r>
  <r>
    <x v="4893"/>
    <n v="52.9"/>
  </r>
  <r>
    <x v="4894"/>
    <n v="40.5"/>
  </r>
  <r>
    <x v="4895"/>
    <n v="37.4"/>
  </r>
  <r>
    <x v="4896"/>
    <n v="43.5"/>
  </r>
  <r>
    <x v="4897"/>
    <n v="40.6"/>
  </r>
  <r>
    <x v="4898"/>
    <n v="36.6"/>
  </r>
  <r>
    <x v="4899"/>
    <n v="37.1"/>
  </r>
  <r>
    <x v="4900"/>
    <n v="32.200000000000003"/>
  </r>
  <r>
    <x v="4901"/>
    <n v="28.1"/>
  </r>
  <r>
    <x v="4902"/>
    <n v="24.8"/>
  </r>
  <r>
    <x v="4903"/>
    <n v="22.1"/>
  </r>
  <r>
    <x v="4904"/>
    <n v="19.7"/>
  </r>
  <r>
    <x v="4905"/>
    <n v="17.7"/>
  </r>
  <r>
    <x v="4906"/>
    <n v="15.9"/>
  </r>
  <r>
    <x v="4907"/>
    <n v="14.9"/>
  </r>
  <r>
    <x v="4908"/>
    <n v="13.4"/>
  </r>
  <r>
    <x v="4909"/>
    <n v="11.8"/>
  </r>
  <r>
    <x v="4910"/>
    <n v="10.5"/>
  </r>
  <r>
    <x v="4911"/>
    <n v="9.4"/>
  </r>
  <r>
    <x v="4912"/>
    <n v="8.4"/>
  </r>
  <r>
    <x v="4913"/>
    <n v="8.6"/>
  </r>
  <r>
    <x v="4914"/>
    <n v="15.1"/>
  </r>
  <r>
    <x v="4915"/>
    <n v="12.1"/>
  </r>
  <r>
    <x v="4916"/>
    <n v="9.4"/>
  </r>
  <r>
    <x v="4917"/>
    <n v="7.6"/>
  </r>
  <r>
    <x v="4918"/>
    <n v="8.6"/>
  </r>
  <r>
    <x v="4919"/>
    <n v="19.7"/>
  </r>
  <r>
    <x v="4920"/>
    <n v="21.8"/>
  </r>
  <r>
    <x v="4921"/>
    <n v="15.1"/>
  </r>
  <r>
    <x v="4922"/>
    <n v="10.6"/>
  </r>
  <r>
    <x v="4923"/>
    <n v="8.1"/>
  </r>
  <r>
    <x v="4924"/>
    <n v="6.6"/>
  </r>
  <r>
    <x v="4925"/>
    <n v="6.9"/>
  </r>
  <r>
    <x v="4926"/>
    <n v="6.2"/>
  </r>
  <r>
    <x v="4927"/>
    <n v="5.8"/>
  </r>
  <r>
    <x v="4928"/>
    <n v="5.4"/>
  </r>
  <r>
    <x v="4929"/>
    <n v="4.9000000000000004"/>
  </r>
  <r>
    <x v="4930"/>
    <n v="4.4000000000000004"/>
  </r>
  <r>
    <x v="4931"/>
    <n v="4"/>
  </r>
  <r>
    <x v="4932"/>
    <n v="3.6"/>
  </r>
  <r>
    <x v="4933"/>
    <n v="3.2"/>
  </r>
  <r>
    <x v="4934"/>
    <n v="2.9"/>
  </r>
  <r>
    <x v="4935"/>
    <n v="2.6"/>
  </r>
  <r>
    <x v="4936"/>
    <n v="2.4"/>
  </r>
  <r>
    <x v="4937"/>
    <n v="2.1"/>
  </r>
  <r>
    <x v="4938"/>
    <n v="1.9"/>
  </r>
  <r>
    <x v="4939"/>
    <n v="1.7"/>
  </r>
  <r>
    <x v="4940"/>
    <n v="1.5"/>
  </r>
  <r>
    <x v="4941"/>
    <n v="1.4"/>
  </r>
  <r>
    <x v="4942"/>
    <n v="1.3"/>
  </r>
  <r>
    <x v="4943"/>
    <n v="1.1000000000000001"/>
  </r>
  <r>
    <x v="4944"/>
    <n v="1.1000000000000001"/>
  </r>
  <r>
    <x v="4945"/>
    <n v="1"/>
  </r>
  <r>
    <x v="4946"/>
    <n v="0.9"/>
  </r>
  <r>
    <x v="4947"/>
    <n v="0.8"/>
  </r>
  <r>
    <x v="4948"/>
    <n v="0.7"/>
  </r>
  <r>
    <x v="4949"/>
    <n v="0.6"/>
  </r>
  <r>
    <x v="4950"/>
    <n v="2.6"/>
  </r>
  <r>
    <x v="4951"/>
    <n v="2.1"/>
  </r>
  <r>
    <x v="4952"/>
    <n v="1.5"/>
  </r>
  <r>
    <x v="4953"/>
    <n v="1.4"/>
  </r>
  <r>
    <x v="4954"/>
    <n v="1.1000000000000001"/>
  </r>
  <r>
    <x v="4955"/>
    <n v="1"/>
  </r>
  <r>
    <x v="4956"/>
    <n v="0.8"/>
  </r>
  <r>
    <x v="4957"/>
    <n v="0.7"/>
  </r>
  <r>
    <x v="4958"/>
    <n v="0.7"/>
  </r>
  <r>
    <x v="4959"/>
    <n v="3.3"/>
  </r>
  <r>
    <x v="4960"/>
    <n v="24.8"/>
  </r>
  <r>
    <x v="4961"/>
    <n v="19.399999999999999"/>
  </r>
  <r>
    <x v="4962"/>
    <n v="14.7"/>
  </r>
  <r>
    <x v="4963"/>
    <n v="11.9"/>
  </r>
  <r>
    <x v="4964"/>
    <n v="10"/>
  </r>
  <r>
    <x v="4965"/>
    <n v="8.6999999999999993"/>
  </r>
  <r>
    <x v="4966"/>
    <n v="7.7"/>
  </r>
  <r>
    <x v="4967"/>
    <n v="8.6999999999999993"/>
  </r>
  <r>
    <x v="4968"/>
    <n v="8.4"/>
  </r>
  <r>
    <x v="4969"/>
    <n v="7.8"/>
  </r>
  <r>
    <x v="4970"/>
    <n v="13.6"/>
  </r>
  <r>
    <x v="4971"/>
    <n v="13"/>
  </r>
  <r>
    <x v="4972"/>
    <n v="10.4"/>
  </r>
  <r>
    <x v="4973"/>
    <n v="9.6999999999999993"/>
  </r>
  <r>
    <x v="4974"/>
    <n v="12.2"/>
  </r>
  <r>
    <x v="4975"/>
    <n v="14.2"/>
  </r>
  <r>
    <x v="4976"/>
    <n v="18.3"/>
  </r>
  <r>
    <x v="4977"/>
    <n v="28.6"/>
  </r>
  <r>
    <x v="4978"/>
    <n v="21.6"/>
  </r>
  <r>
    <x v="4979"/>
    <n v="17.899999999999999"/>
  </r>
  <r>
    <x v="4980"/>
    <n v="54"/>
  </r>
  <r>
    <x v="4981"/>
    <n v="76.900000000000006"/>
  </r>
  <r>
    <x v="4982"/>
    <n v="81.2"/>
  </r>
  <r>
    <x v="4983"/>
    <n v="55.2"/>
  </r>
  <r>
    <x v="4984"/>
    <n v="39"/>
  </r>
  <r>
    <x v="4985"/>
    <n v="31.2"/>
  </r>
  <r>
    <x v="4986"/>
    <n v="38.5"/>
  </r>
  <r>
    <x v="4987"/>
    <n v="34.700000000000003"/>
  </r>
  <r>
    <x v="4988"/>
    <n v="55.6"/>
  </r>
  <r>
    <x v="4989"/>
    <n v="113.3"/>
  </r>
  <r>
    <x v="4990"/>
    <n v="85.7"/>
  </r>
  <r>
    <x v="4991"/>
    <n v="66.2"/>
  </r>
  <r>
    <x v="4992"/>
    <n v="108.8"/>
  </r>
  <r>
    <x v="4993"/>
    <n v="87.5"/>
  </r>
  <r>
    <x v="4994"/>
    <n v="70.099999999999994"/>
  </r>
  <r>
    <x v="4995"/>
    <n v="65.2"/>
  </r>
  <r>
    <x v="4996"/>
    <n v="58.8"/>
  </r>
  <r>
    <x v="4997"/>
    <n v="54.9"/>
  </r>
  <r>
    <x v="4998"/>
    <n v="91.1"/>
  </r>
  <r>
    <x v="4999"/>
    <n v="85.2"/>
  </r>
  <r>
    <x v="5000"/>
    <n v="72.3"/>
  </r>
  <r>
    <x v="5001"/>
    <n v="85.5"/>
  </r>
  <r>
    <x v="5002"/>
    <n v="71.2"/>
  </r>
  <r>
    <x v="5003"/>
    <n v="59.3"/>
  </r>
  <r>
    <x v="5004"/>
    <n v="53.7"/>
  </r>
  <r>
    <x v="5005"/>
    <n v="116.3"/>
  </r>
  <r>
    <x v="5006"/>
    <n v="104.8"/>
  </r>
  <r>
    <x v="5007"/>
    <n v="90.1"/>
  </r>
  <r>
    <x v="5008"/>
    <n v="122.2"/>
  </r>
  <r>
    <x v="5009"/>
    <n v="128.19999999999999"/>
  </r>
  <r>
    <x v="5010"/>
    <n v="96.7"/>
  </r>
  <r>
    <x v="5011"/>
    <n v="100.2"/>
  </r>
  <r>
    <x v="5012"/>
    <n v="132.30000000000001"/>
  </r>
  <r>
    <x v="5013"/>
    <n v="128.4"/>
  </r>
  <r>
    <x v="5014"/>
    <n v="96.3"/>
  </r>
  <r>
    <x v="5015"/>
    <n v="116.2"/>
  </r>
  <r>
    <x v="5016"/>
    <n v="91.4"/>
  </r>
  <r>
    <x v="5017"/>
    <n v="73.599999999999994"/>
  </r>
  <r>
    <x v="5018"/>
    <n v="64.099999999999994"/>
  </r>
  <r>
    <x v="5019"/>
    <n v="98.2"/>
  </r>
  <r>
    <x v="5020"/>
    <n v="111.5"/>
  </r>
  <r>
    <x v="5021"/>
    <n v="95.5"/>
  </r>
  <r>
    <x v="5022"/>
    <n v="77.099999999999994"/>
  </r>
  <r>
    <x v="5023"/>
    <n v="95.7"/>
  </r>
  <r>
    <x v="5024"/>
    <n v="73.8"/>
  </r>
  <r>
    <x v="5025"/>
    <n v="62.8"/>
  </r>
  <r>
    <x v="5026"/>
    <n v="100.6"/>
  </r>
  <r>
    <x v="5027"/>
    <n v="113.7"/>
  </r>
  <r>
    <x v="5028"/>
    <n v="97.3"/>
  </r>
  <r>
    <x v="5029"/>
    <n v="127"/>
  </r>
  <r>
    <x v="5030"/>
    <n v="97"/>
  </r>
  <r>
    <x v="5031"/>
    <n v="97.9"/>
  </r>
  <r>
    <x v="5032"/>
    <n v="81"/>
  </r>
  <r>
    <x v="5033"/>
    <n v="65.900000000000006"/>
  </r>
  <r>
    <x v="5034"/>
    <n v="60.6"/>
  </r>
  <r>
    <x v="5035"/>
    <n v="93.6"/>
  </r>
  <r>
    <x v="5036"/>
    <n v="145.6"/>
  </r>
  <r>
    <x v="5037"/>
    <n v="162.1"/>
  </r>
  <r>
    <x v="5038"/>
    <n v="117.6"/>
  </r>
  <r>
    <x v="5039"/>
    <n v="98.7"/>
  </r>
  <r>
    <x v="5040"/>
    <n v="165.3"/>
  </r>
  <r>
    <x v="5041"/>
    <n v="160.6"/>
  </r>
  <r>
    <x v="5042"/>
    <n v="124.1"/>
  </r>
  <r>
    <x v="5043"/>
    <n v="128.5"/>
  </r>
  <r>
    <x v="5044"/>
    <n v="96.7"/>
  </r>
  <r>
    <x v="5045"/>
    <n v="83"/>
  </r>
  <r>
    <x v="5046"/>
    <n v="90.7"/>
  </r>
  <r>
    <x v="5047"/>
    <n v="139.80000000000001"/>
  </r>
  <r>
    <x v="5048"/>
    <n v="121"/>
  </r>
  <r>
    <x v="5049"/>
    <n v="95.3"/>
  </r>
  <r>
    <x v="5050"/>
    <n v="125.8"/>
  </r>
  <r>
    <x v="5051"/>
    <n v="126.6"/>
  </r>
  <r>
    <x v="5052"/>
    <n v="112.3"/>
  </r>
  <r>
    <x v="5053"/>
    <n v="131.19999999999999"/>
  </r>
  <r>
    <x v="5054"/>
    <n v="147.9"/>
  </r>
  <r>
    <x v="5055"/>
    <n v="114.4"/>
  </r>
  <r>
    <x v="5056"/>
    <n v="91.3"/>
  </r>
  <r>
    <x v="5057"/>
    <n v="151.6"/>
  </r>
  <r>
    <x v="5058"/>
    <n v="141.4"/>
  </r>
  <r>
    <x v="5059"/>
    <n v="126.4"/>
  </r>
  <r>
    <x v="5060"/>
    <n v="185.3"/>
  </r>
  <r>
    <x v="5061"/>
    <n v="193.4"/>
  </r>
  <r>
    <x v="5062"/>
    <n v="185.7"/>
  </r>
  <r>
    <x v="5063"/>
    <n v="170.2"/>
  </r>
  <r>
    <x v="5064"/>
    <n v="119.9"/>
  </r>
  <r>
    <x v="5065"/>
    <n v="130.30000000000001"/>
  </r>
  <r>
    <x v="5066"/>
    <n v="108.9"/>
  </r>
  <r>
    <x v="5067"/>
    <n v="137"/>
  </r>
  <r>
    <x v="5068"/>
    <n v="145.6"/>
  </r>
  <r>
    <x v="5069"/>
    <n v="109.1"/>
  </r>
  <r>
    <x v="5070"/>
    <n v="118"/>
  </r>
  <r>
    <x v="5071"/>
    <n v="91.5"/>
  </r>
  <r>
    <x v="5072"/>
    <n v="79"/>
  </r>
  <r>
    <x v="5073"/>
    <n v="150.19999999999999"/>
  </r>
  <r>
    <x v="5074"/>
    <n v="122.1"/>
  </r>
  <r>
    <x v="5075"/>
    <n v="92.9"/>
  </r>
  <r>
    <x v="5076"/>
    <n v="79.099999999999994"/>
  </r>
  <r>
    <x v="5077"/>
    <n v="139.30000000000001"/>
  </r>
  <r>
    <x v="5078"/>
    <n v="192.5"/>
  </r>
  <r>
    <x v="5079"/>
    <n v="158.69999999999999"/>
  </r>
  <r>
    <x v="5080"/>
    <n v="156.19999999999999"/>
  </r>
  <r>
    <x v="5081"/>
    <n v="173.6"/>
  </r>
  <r>
    <x v="5082"/>
    <n v="173"/>
  </r>
  <r>
    <x v="5083"/>
    <n v="154.9"/>
  </r>
  <r>
    <x v="5084"/>
    <n v="111.2"/>
  </r>
  <r>
    <x v="5085"/>
    <n v="100.5"/>
  </r>
  <r>
    <x v="5086"/>
    <n v="144.69999999999999"/>
  </r>
  <r>
    <x v="5087"/>
    <n v="139.4"/>
  </r>
  <r>
    <x v="5088"/>
    <n v="104.3"/>
  </r>
  <r>
    <x v="5089"/>
    <n v="104.7"/>
  </r>
  <r>
    <x v="5090"/>
    <n v="176.9"/>
  </r>
  <r>
    <x v="5091"/>
    <n v="151.9"/>
  </r>
  <r>
    <x v="5092"/>
    <n v="113.1"/>
  </r>
  <r>
    <x v="5093"/>
    <n v="146.9"/>
  </r>
  <r>
    <x v="5094"/>
    <n v="179.8"/>
  </r>
  <r>
    <x v="5095"/>
    <n v="176.7"/>
  </r>
  <r>
    <x v="5096"/>
    <n v="185.4"/>
  </r>
  <r>
    <x v="5097"/>
    <n v="130.69999999999999"/>
  </r>
  <r>
    <x v="5098"/>
    <n v="103"/>
  </r>
  <r>
    <x v="5099"/>
    <n v="136.19999999999999"/>
  </r>
  <r>
    <x v="5100"/>
    <n v="125.5"/>
  </r>
  <r>
    <x v="5101"/>
    <n v="114.3"/>
  </r>
  <r>
    <x v="5102"/>
    <n v="95.1"/>
  </r>
  <r>
    <x v="5103"/>
    <n v="130.30000000000001"/>
  </r>
  <r>
    <x v="5104"/>
    <n v="128"/>
  </r>
  <r>
    <x v="5105"/>
    <n v="104.9"/>
  </r>
  <r>
    <x v="5106"/>
    <n v="93.5"/>
  </r>
  <r>
    <x v="5107"/>
    <n v="129.30000000000001"/>
  </r>
  <r>
    <x v="5108"/>
    <n v="103.7"/>
  </r>
  <r>
    <x v="5109"/>
    <n v="107.7"/>
  </r>
  <r>
    <x v="5110"/>
    <n v="156.19999999999999"/>
  </r>
  <r>
    <x v="5111"/>
    <n v="202.7"/>
  </r>
  <r>
    <x v="5112"/>
    <n v="174.3"/>
  </r>
  <r>
    <x v="5113"/>
    <n v="155.80000000000001"/>
  </r>
  <r>
    <x v="5114"/>
    <n v="180"/>
  </r>
  <r>
    <x v="5115"/>
    <n v="137.19999999999999"/>
  </r>
  <r>
    <x v="5116"/>
    <n v="102.5"/>
  </r>
  <r>
    <x v="5117"/>
    <n v="109.1"/>
  </r>
  <r>
    <x v="5118"/>
    <n v="104.3"/>
  </r>
  <r>
    <x v="5119"/>
    <n v="89.1"/>
  </r>
  <r>
    <x v="5120"/>
    <n v="132.5"/>
  </r>
  <r>
    <x v="5121"/>
    <n v="119.1"/>
  </r>
  <r>
    <x v="5122"/>
    <n v="96.7"/>
  </r>
  <r>
    <x v="5123"/>
    <n v="126.5"/>
  </r>
  <r>
    <x v="5124"/>
    <n v="132.5"/>
  </r>
  <r>
    <x v="5125"/>
    <n v="100.6"/>
  </r>
  <r>
    <x v="5126"/>
    <n v="83.5"/>
  </r>
  <r>
    <x v="5127"/>
    <n v="116.1"/>
  </r>
  <r>
    <x v="5128"/>
    <n v="105.8"/>
  </r>
  <r>
    <x v="5129"/>
    <n v="86.3"/>
  </r>
  <r>
    <x v="5130"/>
    <n v="100.2"/>
  </r>
  <r>
    <x v="5131"/>
    <n v="80.599999999999994"/>
  </r>
  <r>
    <x v="5132"/>
    <n v="72.3"/>
  </r>
  <r>
    <x v="5133"/>
    <n v="118.7"/>
  </r>
  <r>
    <x v="5134"/>
    <n v="109.9"/>
  </r>
  <r>
    <x v="5135"/>
    <n v="90.4"/>
  </r>
  <r>
    <x v="5136"/>
    <n v="99.7"/>
  </r>
  <r>
    <x v="5137"/>
    <n v="142.69999999999999"/>
  </r>
  <r>
    <x v="5138"/>
    <n v="141.1"/>
  </r>
  <r>
    <x v="5139"/>
    <n v="104.9"/>
  </r>
  <r>
    <x v="5140"/>
    <n v="89.3"/>
  </r>
  <r>
    <x v="5141"/>
    <n v="110.4"/>
  </r>
  <r>
    <x v="5142"/>
    <n v="105.4"/>
  </r>
  <r>
    <x v="5143"/>
    <n v="157.4"/>
  </r>
  <r>
    <x v="5144"/>
    <n v="165.8"/>
  </r>
  <r>
    <x v="5145"/>
    <n v="125.3"/>
  </r>
  <r>
    <x v="5146"/>
    <n v="101.9"/>
  </r>
  <r>
    <x v="5147"/>
    <n v="113.8"/>
  </r>
  <r>
    <x v="5148"/>
    <n v="119.1"/>
  </r>
  <r>
    <x v="5149"/>
    <n v="93.3"/>
  </r>
  <r>
    <x v="5150"/>
    <n v="79"/>
  </r>
  <r>
    <x v="5151"/>
    <n v="93.6"/>
  </r>
  <r>
    <x v="5152"/>
    <n v="112.1"/>
  </r>
  <r>
    <x v="5153"/>
    <n v="90.5"/>
  </r>
  <r>
    <x v="5154"/>
    <n v="78.099999999999994"/>
  </r>
  <r>
    <x v="5155"/>
    <n v="110.8"/>
  </r>
  <r>
    <x v="5156"/>
    <n v="107.7"/>
  </r>
  <r>
    <x v="5157"/>
    <n v="89.6"/>
  </r>
  <r>
    <x v="5158"/>
    <n v="93.8"/>
  </r>
  <r>
    <x v="5159"/>
    <n v="109.8"/>
  </r>
  <r>
    <x v="5160"/>
    <n v="92"/>
  </r>
  <r>
    <x v="5161"/>
    <n v="80.8"/>
  </r>
  <r>
    <x v="5162"/>
    <n v="136"/>
  </r>
  <r>
    <x v="5163"/>
    <n v="142.1"/>
  </r>
  <r>
    <x v="5164"/>
    <n v="137.80000000000001"/>
  </r>
  <r>
    <x v="5165"/>
    <n v="157.30000000000001"/>
  </r>
  <r>
    <x v="5166"/>
    <n v="161.4"/>
  </r>
  <r>
    <x v="5167"/>
    <n v="150.6"/>
  </r>
  <r>
    <x v="5168"/>
    <n v="110.8"/>
  </r>
  <r>
    <x v="5169"/>
    <n v="105.4"/>
  </r>
  <r>
    <x v="5170"/>
    <n v="103.1"/>
  </r>
  <r>
    <x v="5171"/>
    <n v="109.8"/>
  </r>
  <r>
    <x v="5172"/>
    <n v="89.7"/>
  </r>
  <r>
    <x v="5173"/>
    <n v="111.6"/>
  </r>
  <r>
    <x v="5174"/>
    <n v="108.3"/>
  </r>
  <r>
    <x v="5175"/>
    <n v="88.7"/>
  </r>
  <r>
    <x v="5176"/>
    <n v="102.2"/>
  </r>
  <r>
    <x v="5177"/>
    <n v="114.9"/>
  </r>
  <r>
    <x v="5178"/>
    <n v="107"/>
  </r>
  <r>
    <x v="5179"/>
    <n v="152.5"/>
  </r>
  <r>
    <x v="5180"/>
    <n v="143.9"/>
  </r>
  <r>
    <x v="5181"/>
    <n v="162.30000000000001"/>
  </r>
  <r>
    <x v="5182"/>
    <n v="119.7"/>
  </r>
  <r>
    <x v="5183"/>
    <n v="99.4"/>
  </r>
  <r>
    <x v="5184"/>
    <n v="112.9"/>
  </r>
  <r>
    <x v="5185"/>
    <n v="136.30000000000001"/>
  </r>
  <r>
    <x v="5186"/>
    <n v="124.2"/>
  </r>
  <r>
    <x v="5187"/>
    <n v="127.3"/>
  </r>
  <r>
    <x v="5188"/>
    <n v="164.6"/>
  </r>
  <r>
    <x v="5189"/>
    <n v="120.7"/>
  </r>
  <r>
    <x v="5190"/>
    <n v="93.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eau croisé dynamique1" cacheId="4" applyNumberFormats="0" applyBorderFormats="0" applyFontFormats="0" applyPatternFormats="0" applyAlignmentFormats="0" applyWidthHeightFormats="1" dataCaption="Valeurs" updatedVersion="6" minRefreshableVersion="3" useAutoFormatting="1" itemPrintTitles="1" createdVersion="6" indent="0" outline="1" outlineData="1" multipleFieldFilters="0">
  <location ref="F2097:F2113" firstHeaderRow="1" firstDataRow="1" firstDataCol="1"/>
  <pivotFields count="4">
    <pivotField axis="axisRow" numFmtId="15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Row"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showAll="0" defaultSubtotal="0">
      <items count="1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</items>
    </pivotField>
  </pivotFields>
  <rowFields count="3">
    <field x="3"/>
    <field x="2"/>
    <field x="0"/>
  </rowFields>
  <rowItems count="16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leau croisé dynamique7" cacheId="4" applyNumberFormats="0" applyBorderFormats="0" applyFontFormats="0" applyPatternFormats="0" applyAlignmentFormats="0" applyWidthHeightFormats="1" dataCaption="Valeurs" updatedVersion="6" minRefreshableVersion="3" useAutoFormatting="1" itemPrintTitles="1" createdVersion="6" indent="0" outline="1" outlineData="1" multipleFieldFilters="0">
  <location ref="H2097:H2113" firstHeaderRow="1" firstDataRow="1" firstDataCol="1"/>
  <pivotFields count="4">
    <pivotField axis="axisRow" numFmtId="15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Row"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showAll="0" defaultSubtotal="0">
      <items count="1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</items>
    </pivotField>
  </pivotFields>
  <rowFields count="3">
    <field x="3"/>
    <field x="2"/>
    <field x="0"/>
  </rowFields>
  <rowItems count="16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194"/>
  <sheetViews>
    <sheetView topLeftCell="A58" workbookViewId="0">
      <selection activeCell="O77" sqref="O77"/>
    </sheetView>
  </sheetViews>
  <sheetFormatPr baseColWidth="10" defaultRowHeight="14.5" x14ac:dyDescent="0.35"/>
  <cols>
    <col min="1" max="1" width="10.90625" bestFit="1" customWidth="1"/>
    <col min="2" max="2" width="6.36328125" customWidth="1"/>
    <col min="3" max="3" width="6.54296875" customWidth="1"/>
    <col min="4" max="4" width="6.36328125" customWidth="1"/>
    <col min="5" max="5" width="7.453125" customWidth="1"/>
    <col min="6" max="6" width="6.6328125" customWidth="1"/>
    <col min="7" max="7" width="7.1796875" customWidth="1"/>
    <col min="8" max="8" width="7.36328125" customWidth="1"/>
    <col min="10" max="10" width="16.26953125" customWidth="1"/>
  </cols>
  <sheetData>
    <row r="1" spans="1:11" x14ac:dyDescent="0.35">
      <c r="A1" t="s">
        <v>5042</v>
      </c>
      <c r="B1" t="s">
        <v>5747</v>
      </c>
      <c r="C1" t="s">
        <v>5854</v>
      </c>
      <c r="D1" t="s">
        <v>5748</v>
      </c>
      <c r="E1" t="s">
        <v>5749</v>
      </c>
      <c r="F1" t="s">
        <v>5750</v>
      </c>
      <c r="G1" t="s">
        <v>5751</v>
      </c>
      <c r="H1" t="s">
        <v>5752</v>
      </c>
      <c r="J1" t="s">
        <v>5042</v>
      </c>
      <c r="K1" t="s">
        <v>5926</v>
      </c>
    </row>
    <row r="2" spans="1:11" x14ac:dyDescent="0.35">
      <c r="A2" t="s">
        <v>0</v>
      </c>
      <c r="B2" s="1">
        <v>0</v>
      </c>
      <c r="C2" t="s">
        <v>5236</v>
      </c>
      <c r="D2" t="s">
        <v>5044</v>
      </c>
      <c r="E2" t="s">
        <v>5143</v>
      </c>
      <c r="F2" t="s">
        <v>5045</v>
      </c>
      <c r="G2" t="s">
        <v>5046</v>
      </c>
      <c r="H2" t="s">
        <v>1944</v>
      </c>
      <c r="J2" t="s">
        <v>0</v>
      </c>
      <c r="K2">
        <v>125</v>
      </c>
    </row>
    <row r="3" spans="1:11" x14ac:dyDescent="0.35">
      <c r="A3" t="s">
        <v>3</v>
      </c>
      <c r="B3" s="1">
        <v>0</v>
      </c>
      <c r="C3" t="s">
        <v>5236</v>
      </c>
      <c r="D3" t="s">
        <v>5044</v>
      </c>
      <c r="E3" t="s">
        <v>5143</v>
      </c>
      <c r="F3" t="s">
        <v>5045</v>
      </c>
      <c r="G3" t="s">
        <v>5046</v>
      </c>
      <c r="H3" t="s">
        <v>540</v>
      </c>
      <c r="J3" t="s">
        <v>3</v>
      </c>
      <c r="K3">
        <v>125.1</v>
      </c>
    </row>
    <row r="4" spans="1:11" x14ac:dyDescent="0.35">
      <c r="A4" t="s">
        <v>6</v>
      </c>
      <c r="B4" s="1">
        <v>0</v>
      </c>
      <c r="C4" t="s">
        <v>5182</v>
      </c>
      <c r="D4" t="s">
        <v>5048</v>
      </c>
      <c r="E4" t="s">
        <v>5308</v>
      </c>
      <c r="F4" t="s">
        <v>5045</v>
      </c>
      <c r="G4" t="s">
        <v>5050</v>
      </c>
      <c r="H4" t="s">
        <v>3408</v>
      </c>
      <c r="J4" t="s">
        <v>6</v>
      </c>
      <c r="K4">
        <v>127.7</v>
      </c>
    </row>
    <row r="5" spans="1:11" x14ac:dyDescent="0.35">
      <c r="A5" t="s">
        <v>9</v>
      </c>
      <c r="B5" s="1">
        <v>0</v>
      </c>
      <c r="C5" t="s">
        <v>5125</v>
      </c>
      <c r="D5" t="s">
        <v>5052</v>
      </c>
      <c r="E5" t="s">
        <v>5325</v>
      </c>
      <c r="F5" t="s">
        <v>5045</v>
      </c>
      <c r="G5" t="s">
        <v>5054</v>
      </c>
      <c r="H5" t="s">
        <v>536</v>
      </c>
      <c r="J5" t="s">
        <v>9</v>
      </c>
      <c r="K5">
        <v>134</v>
      </c>
    </row>
    <row r="6" spans="1:11" x14ac:dyDescent="0.35">
      <c r="A6" t="s">
        <v>12</v>
      </c>
      <c r="B6" s="1">
        <v>0</v>
      </c>
      <c r="C6" t="s">
        <v>5151</v>
      </c>
      <c r="D6" t="s">
        <v>5056</v>
      </c>
      <c r="E6" t="s">
        <v>5416</v>
      </c>
      <c r="F6" t="s">
        <v>5045</v>
      </c>
      <c r="G6" t="s">
        <v>5058</v>
      </c>
      <c r="H6" t="s">
        <v>1809</v>
      </c>
      <c r="J6" t="s">
        <v>12</v>
      </c>
      <c r="K6">
        <v>143.5</v>
      </c>
    </row>
    <row r="7" spans="1:11" x14ac:dyDescent="0.35">
      <c r="A7" t="s">
        <v>15</v>
      </c>
      <c r="B7" s="1">
        <v>0</v>
      </c>
      <c r="C7" t="s">
        <v>5447</v>
      </c>
      <c r="D7" t="s">
        <v>5060</v>
      </c>
      <c r="E7" t="s">
        <v>5415</v>
      </c>
      <c r="F7" t="s">
        <v>5045</v>
      </c>
      <c r="G7" t="s">
        <v>5062</v>
      </c>
      <c r="H7" t="s">
        <v>2662</v>
      </c>
      <c r="J7" t="s">
        <v>15</v>
      </c>
      <c r="K7">
        <v>151.19999999999999</v>
      </c>
    </row>
    <row r="8" spans="1:11" x14ac:dyDescent="0.35">
      <c r="A8" t="s">
        <v>18</v>
      </c>
      <c r="B8" s="1">
        <v>0</v>
      </c>
      <c r="C8" t="s">
        <v>5489</v>
      </c>
      <c r="D8" t="s">
        <v>5063</v>
      </c>
      <c r="E8" t="s">
        <v>5057</v>
      </c>
      <c r="F8" t="s">
        <v>5045</v>
      </c>
      <c r="G8" t="s">
        <v>5065</v>
      </c>
      <c r="H8" t="s">
        <v>95</v>
      </c>
      <c r="J8" t="s">
        <v>18</v>
      </c>
      <c r="K8">
        <v>156.69999999999999</v>
      </c>
    </row>
    <row r="9" spans="1:11" x14ac:dyDescent="0.35">
      <c r="A9" t="s">
        <v>21</v>
      </c>
      <c r="B9" s="1">
        <v>0</v>
      </c>
      <c r="C9" t="s">
        <v>5258</v>
      </c>
      <c r="D9" t="s">
        <v>5067</v>
      </c>
      <c r="E9" t="s">
        <v>5057</v>
      </c>
      <c r="F9" t="s">
        <v>5045</v>
      </c>
      <c r="G9" t="s">
        <v>5065</v>
      </c>
      <c r="H9" t="s">
        <v>68</v>
      </c>
      <c r="J9" t="s">
        <v>21</v>
      </c>
      <c r="K9">
        <v>156.80000000000001</v>
      </c>
    </row>
    <row r="10" spans="1:11" x14ac:dyDescent="0.35">
      <c r="A10" t="s">
        <v>23</v>
      </c>
      <c r="B10" s="1">
        <v>0</v>
      </c>
      <c r="C10" t="s">
        <v>5083</v>
      </c>
      <c r="D10" t="s">
        <v>5069</v>
      </c>
      <c r="E10" t="s">
        <v>5568</v>
      </c>
      <c r="F10" t="s">
        <v>5045</v>
      </c>
      <c r="G10" t="s">
        <v>5062</v>
      </c>
      <c r="H10" t="s">
        <v>17</v>
      </c>
      <c r="J10" t="s">
        <v>23</v>
      </c>
      <c r="K10">
        <v>154.9</v>
      </c>
    </row>
    <row r="11" spans="1:11" x14ac:dyDescent="0.35">
      <c r="A11" t="s">
        <v>26</v>
      </c>
      <c r="B11" s="1">
        <v>0</v>
      </c>
      <c r="C11" t="s">
        <v>5452</v>
      </c>
      <c r="D11" t="s">
        <v>5072</v>
      </c>
      <c r="E11" t="s">
        <v>5283</v>
      </c>
      <c r="F11" t="s">
        <v>5045</v>
      </c>
      <c r="G11" t="s">
        <v>5065</v>
      </c>
      <c r="H11" t="s">
        <v>2187</v>
      </c>
      <c r="J11" t="s">
        <v>26</v>
      </c>
      <c r="K11">
        <v>158.6</v>
      </c>
    </row>
    <row r="12" spans="1:11" x14ac:dyDescent="0.35">
      <c r="A12" t="s">
        <v>28</v>
      </c>
      <c r="B12" s="1">
        <v>0</v>
      </c>
      <c r="C12" t="s">
        <v>5231</v>
      </c>
      <c r="D12" t="s">
        <v>5075</v>
      </c>
      <c r="E12" t="s">
        <v>5169</v>
      </c>
      <c r="F12" t="s">
        <v>5077</v>
      </c>
      <c r="G12" t="s">
        <v>5078</v>
      </c>
      <c r="H12" t="s">
        <v>703</v>
      </c>
      <c r="J12" t="s">
        <v>28</v>
      </c>
      <c r="K12">
        <v>175</v>
      </c>
    </row>
    <row r="13" spans="1:11" x14ac:dyDescent="0.35">
      <c r="A13" t="s">
        <v>30</v>
      </c>
      <c r="B13" s="1">
        <v>0</v>
      </c>
      <c r="C13" t="s">
        <v>418</v>
      </c>
      <c r="D13" t="s">
        <v>5080</v>
      </c>
      <c r="E13" t="s">
        <v>5160</v>
      </c>
      <c r="F13" t="s">
        <v>5077</v>
      </c>
      <c r="G13" t="s">
        <v>5082</v>
      </c>
      <c r="H13" t="s">
        <v>3375</v>
      </c>
      <c r="J13" t="s">
        <v>30</v>
      </c>
      <c r="K13">
        <v>199.8</v>
      </c>
    </row>
    <row r="14" spans="1:11" x14ac:dyDescent="0.35">
      <c r="A14" t="s">
        <v>33</v>
      </c>
      <c r="B14" s="1">
        <v>0</v>
      </c>
      <c r="C14" t="s">
        <v>330</v>
      </c>
      <c r="D14" t="s">
        <v>5084</v>
      </c>
      <c r="E14" t="s">
        <v>5120</v>
      </c>
      <c r="F14" t="s">
        <v>5077</v>
      </c>
      <c r="G14" t="s">
        <v>5077</v>
      </c>
      <c r="H14" t="s">
        <v>5672</v>
      </c>
      <c r="J14" t="s">
        <v>33</v>
      </c>
      <c r="K14">
        <v>218.5</v>
      </c>
    </row>
    <row r="15" spans="1:11" x14ac:dyDescent="0.35">
      <c r="A15" t="s">
        <v>36</v>
      </c>
      <c r="B15" s="1">
        <v>0</v>
      </c>
      <c r="C15" t="s">
        <v>341</v>
      </c>
      <c r="D15" t="s">
        <v>5087</v>
      </c>
      <c r="E15" t="s">
        <v>5276</v>
      </c>
      <c r="F15" t="s">
        <v>5077</v>
      </c>
      <c r="G15" t="s">
        <v>5089</v>
      </c>
      <c r="H15" t="s">
        <v>2407</v>
      </c>
      <c r="J15" t="s">
        <v>36</v>
      </c>
      <c r="K15">
        <v>218.3</v>
      </c>
    </row>
    <row r="16" spans="1:11" x14ac:dyDescent="0.35">
      <c r="A16" t="s">
        <v>39</v>
      </c>
      <c r="B16" s="1">
        <v>0</v>
      </c>
      <c r="C16" t="s">
        <v>433</v>
      </c>
      <c r="D16" t="s">
        <v>5091</v>
      </c>
      <c r="E16" t="s">
        <v>5178</v>
      </c>
      <c r="F16" t="s">
        <v>5077</v>
      </c>
      <c r="G16" t="s">
        <v>5092</v>
      </c>
      <c r="H16" t="s">
        <v>2825</v>
      </c>
      <c r="J16" t="s">
        <v>39</v>
      </c>
      <c r="K16">
        <v>203.8</v>
      </c>
    </row>
    <row r="17" spans="1:11" x14ac:dyDescent="0.35">
      <c r="A17" t="s">
        <v>42</v>
      </c>
      <c r="B17" s="1">
        <v>0</v>
      </c>
      <c r="C17" t="s">
        <v>5640</v>
      </c>
      <c r="D17" t="s">
        <v>5094</v>
      </c>
      <c r="E17" t="s">
        <v>5076</v>
      </c>
      <c r="F17" t="s">
        <v>5077</v>
      </c>
      <c r="G17" t="s">
        <v>5095</v>
      </c>
      <c r="H17" t="s">
        <v>759</v>
      </c>
      <c r="J17" t="s">
        <v>42</v>
      </c>
      <c r="K17">
        <v>188.2</v>
      </c>
    </row>
    <row r="18" spans="1:11" x14ac:dyDescent="0.35">
      <c r="A18" t="s">
        <v>45</v>
      </c>
      <c r="B18" s="1">
        <v>0</v>
      </c>
      <c r="C18" t="s">
        <v>5408</v>
      </c>
      <c r="D18" t="s">
        <v>5097</v>
      </c>
      <c r="E18" t="s">
        <v>5323</v>
      </c>
      <c r="F18" t="s">
        <v>5077</v>
      </c>
      <c r="G18" t="s">
        <v>5099</v>
      </c>
      <c r="H18" t="s">
        <v>1403</v>
      </c>
      <c r="J18" t="s">
        <v>45</v>
      </c>
      <c r="K18">
        <v>185</v>
      </c>
    </row>
    <row r="19" spans="1:11" x14ac:dyDescent="0.35">
      <c r="A19" t="s">
        <v>47</v>
      </c>
      <c r="B19" s="1">
        <v>0</v>
      </c>
      <c r="C19" t="s">
        <v>2252</v>
      </c>
      <c r="D19" t="s">
        <v>5101</v>
      </c>
      <c r="E19" t="s">
        <v>5255</v>
      </c>
      <c r="F19" t="s">
        <v>5077</v>
      </c>
      <c r="G19" t="s">
        <v>5082</v>
      </c>
      <c r="H19" t="s">
        <v>3170</v>
      </c>
      <c r="J19" t="s">
        <v>47</v>
      </c>
      <c r="K19">
        <v>194.9</v>
      </c>
    </row>
    <row r="20" spans="1:11" x14ac:dyDescent="0.35">
      <c r="A20" t="s">
        <v>50</v>
      </c>
      <c r="B20" s="1">
        <v>0</v>
      </c>
      <c r="C20" t="s">
        <v>1053</v>
      </c>
      <c r="D20" t="s">
        <v>5104</v>
      </c>
      <c r="E20" t="s">
        <v>5098</v>
      </c>
      <c r="F20" t="s">
        <v>5077</v>
      </c>
      <c r="G20" t="s">
        <v>5092</v>
      </c>
      <c r="H20" t="s">
        <v>3366</v>
      </c>
      <c r="J20" t="s">
        <v>50</v>
      </c>
      <c r="K20">
        <v>207.1</v>
      </c>
    </row>
    <row r="21" spans="1:11" x14ac:dyDescent="0.35">
      <c r="A21" t="s">
        <v>53</v>
      </c>
      <c r="B21" s="1">
        <v>0</v>
      </c>
      <c r="C21" t="s">
        <v>3499</v>
      </c>
      <c r="D21" t="s">
        <v>5107</v>
      </c>
      <c r="E21" t="s">
        <v>5098</v>
      </c>
      <c r="F21" t="s">
        <v>5077</v>
      </c>
      <c r="G21" t="s">
        <v>5092</v>
      </c>
      <c r="H21" t="s">
        <v>1654</v>
      </c>
      <c r="J21" t="s">
        <v>53</v>
      </c>
      <c r="K21">
        <v>209.6</v>
      </c>
    </row>
    <row r="22" spans="1:11" x14ac:dyDescent="0.35">
      <c r="A22" t="s">
        <v>55</v>
      </c>
      <c r="B22" s="1">
        <v>0</v>
      </c>
      <c r="C22" t="s">
        <v>1047</v>
      </c>
      <c r="D22" t="s">
        <v>5109</v>
      </c>
      <c r="E22" t="s">
        <v>5098</v>
      </c>
      <c r="F22" t="s">
        <v>5077</v>
      </c>
      <c r="G22" t="s">
        <v>5110</v>
      </c>
      <c r="H22" t="s">
        <v>726</v>
      </c>
      <c r="J22" t="s">
        <v>55</v>
      </c>
      <c r="K22">
        <v>207.8</v>
      </c>
    </row>
    <row r="23" spans="1:11" x14ac:dyDescent="0.35">
      <c r="A23" t="s">
        <v>57</v>
      </c>
      <c r="B23" s="1">
        <v>0</v>
      </c>
      <c r="C23" t="s">
        <v>4641</v>
      </c>
      <c r="D23" t="s">
        <v>5112</v>
      </c>
      <c r="E23" t="s">
        <v>5249</v>
      </c>
      <c r="F23" t="s">
        <v>5077</v>
      </c>
      <c r="G23" t="s">
        <v>5082</v>
      </c>
      <c r="H23" t="s">
        <v>213</v>
      </c>
      <c r="J23" t="s">
        <v>57</v>
      </c>
      <c r="K23">
        <v>205.4</v>
      </c>
    </row>
    <row r="24" spans="1:11" x14ac:dyDescent="0.35">
      <c r="A24" t="s">
        <v>60</v>
      </c>
      <c r="B24" s="1">
        <v>0</v>
      </c>
      <c r="C24" t="s">
        <v>4641</v>
      </c>
      <c r="D24" t="s">
        <v>5091</v>
      </c>
      <c r="E24" t="s">
        <v>5102</v>
      </c>
      <c r="F24" t="s">
        <v>5077</v>
      </c>
      <c r="G24" t="s">
        <v>5095</v>
      </c>
      <c r="H24" t="s">
        <v>3753</v>
      </c>
      <c r="J24" t="s">
        <v>60</v>
      </c>
      <c r="K24">
        <v>205.5</v>
      </c>
    </row>
    <row r="25" spans="1:11" x14ac:dyDescent="0.35">
      <c r="A25" t="s">
        <v>63</v>
      </c>
      <c r="B25" s="1">
        <v>0</v>
      </c>
      <c r="C25" t="s">
        <v>1058</v>
      </c>
      <c r="D25" t="s">
        <v>5115</v>
      </c>
      <c r="E25" t="s">
        <v>5102</v>
      </c>
      <c r="F25" t="s">
        <v>5077</v>
      </c>
      <c r="G25" t="s">
        <v>5116</v>
      </c>
      <c r="H25" t="s">
        <v>727</v>
      </c>
      <c r="J25" t="s">
        <v>63</v>
      </c>
      <c r="K25">
        <v>206.9</v>
      </c>
    </row>
    <row r="26" spans="1:11" x14ac:dyDescent="0.35">
      <c r="A26" t="s">
        <v>66</v>
      </c>
      <c r="B26" s="1">
        <v>0</v>
      </c>
      <c r="C26" t="s">
        <v>2917</v>
      </c>
      <c r="D26" t="s">
        <v>5117</v>
      </c>
      <c r="E26" t="s">
        <v>5249</v>
      </c>
      <c r="F26" t="s">
        <v>5077</v>
      </c>
      <c r="G26" t="s">
        <v>5110</v>
      </c>
      <c r="H26" t="s">
        <v>1296</v>
      </c>
      <c r="J26" t="s">
        <v>66</v>
      </c>
      <c r="K26">
        <v>205.7</v>
      </c>
    </row>
    <row r="27" spans="1:11" x14ac:dyDescent="0.35">
      <c r="A27" t="s">
        <v>69</v>
      </c>
      <c r="B27" s="1">
        <v>0</v>
      </c>
      <c r="C27" t="s">
        <v>2235</v>
      </c>
      <c r="D27" t="s">
        <v>5119</v>
      </c>
      <c r="E27" t="s">
        <v>5098</v>
      </c>
      <c r="F27" t="s">
        <v>5077</v>
      </c>
      <c r="G27" t="s">
        <v>5110</v>
      </c>
      <c r="H27" t="s">
        <v>4011</v>
      </c>
      <c r="J27" t="s">
        <v>69</v>
      </c>
      <c r="K27">
        <v>201.7</v>
      </c>
    </row>
    <row r="28" spans="1:11" x14ac:dyDescent="0.35">
      <c r="A28" t="s">
        <v>71</v>
      </c>
      <c r="B28" s="1">
        <v>0</v>
      </c>
      <c r="C28" t="s">
        <v>1488</v>
      </c>
      <c r="D28" t="s">
        <v>5119</v>
      </c>
      <c r="E28" t="s">
        <v>5434</v>
      </c>
      <c r="F28" t="s">
        <v>5045</v>
      </c>
      <c r="G28" t="s">
        <v>5082</v>
      </c>
      <c r="H28" t="s">
        <v>2142</v>
      </c>
      <c r="J28" t="s">
        <v>71</v>
      </c>
      <c r="K28">
        <v>197.3</v>
      </c>
    </row>
    <row r="29" spans="1:11" x14ac:dyDescent="0.35">
      <c r="A29" t="s">
        <v>74</v>
      </c>
      <c r="B29" s="1">
        <v>0</v>
      </c>
      <c r="C29" t="s">
        <v>410</v>
      </c>
      <c r="D29" t="s">
        <v>5122</v>
      </c>
      <c r="E29" t="s">
        <v>5066</v>
      </c>
      <c r="F29" t="s">
        <v>5045</v>
      </c>
      <c r="G29" t="s">
        <v>5124</v>
      </c>
      <c r="H29" t="s">
        <v>38</v>
      </c>
      <c r="J29" t="s">
        <v>74</v>
      </c>
      <c r="K29">
        <v>198.7</v>
      </c>
    </row>
    <row r="30" spans="1:11" x14ac:dyDescent="0.35">
      <c r="A30" t="s">
        <v>76</v>
      </c>
      <c r="B30" s="1">
        <v>0</v>
      </c>
      <c r="C30" t="s">
        <v>1054</v>
      </c>
      <c r="D30" t="s">
        <v>5126</v>
      </c>
      <c r="E30" t="s">
        <v>5102</v>
      </c>
      <c r="F30" t="s">
        <v>5077</v>
      </c>
      <c r="G30" t="s">
        <v>5095</v>
      </c>
      <c r="H30" t="s">
        <v>217</v>
      </c>
      <c r="J30" t="s">
        <v>76</v>
      </c>
      <c r="K30">
        <v>209.5</v>
      </c>
    </row>
    <row r="31" spans="1:11" x14ac:dyDescent="0.35">
      <c r="A31" t="s">
        <v>78</v>
      </c>
      <c r="B31" s="1">
        <v>0</v>
      </c>
      <c r="C31" t="s">
        <v>2565</v>
      </c>
      <c r="D31" t="s">
        <v>5128</v>
      </c>
      <c r="E31" t="s">
        <v>5105</v>
      </c>
      <c r="F31" t="s">
        <v>5077</v>
      </c>
      <c r="G31" t="s">
        <v>5092</v>
      </c>
      <c r="H31" t="s">
        <v>2000</v>
      </c>
      <c r="J31" t="s">
        <v>78</v>
      </c>
      <c r="K31">
        <v>222.9</v>
      </c>
    </row>
    <row r="32" spans="1:11" x14ac:dyDescent="0.35">
      <c r="A32" t="s">
        <v>81</v>
      </c>
      <c r="B32" s="1">
        <v>0</v>
      </c>
      <c r="C32" t="s">
        <v>2265</v>
      </c>
      <c r="D32" t="s">
        <v>5130</v>
      </c>
      <c r="E32" t="s">
        <v>5229</v>
      </c>
      <c r="F32" t="s">
        <v>5077</v>
      </c>
      <c r="G32" t="s">
        <v>5132</v>
      </c>
      <c r="H32" t="s">
        <v>2836</v>
      </c>
      <c r="J32" t="s">
        <v>81</v>
      </c>
      <c r="K32">
        <v>234.7</v>
      </c>
    </row>
    <row r="33" spans="1:11" x14ac:dyDescent="0.35">
      <c r="A33" t="s">
        <v>84</v>
      </c>
      <c r="B33" s="1">
        <v>0</v>
      </c>
      <c r="C33" t="s">
        <v>2265</v>
      </c>
      <c r="D33" t="s">
        <v>5134</v>
      </c>
      <c r="E33" t="s">
        <v>5072</v>
      </c>
      <c r="F33" t="s">
        <v>5077</v>
      </c>
      <c r="G33" t="s">
        <v>5136</v>
      </c>
      <c r="H33" t="s">
        <v>1252</v>
      </c>
      <c r="J33" t="s">
        <v>84</v>
      </c>
      <c r="K33">
        <v>235.4</v>
      </c>
    </row>
    <row r="34" spans="1:11" x14ac:dyDescent="0.35">
      <c r="A34" t="s">
        <v>87</v>
      </c>
      <c r="B34" s="1">
        <v>0</v>
      </c>
      <c r="C34" t="s">
        <v>361</v>
      </c>
      <c r="D34" t="s">
        <v>5277</v>
      </c>
      <c r="E34" t="s">
        <v>5165</v>
      </c>
      <c r="F34" t="s">
        <v>5050</v>
      </c>
      <c r="G34" t="s">
        <v>5140</v>
      </c>
      <c r="H34" t="s">
        <v>1708</v>
      </c>
      <c r="J34" t="s">
        <v>87</v>
      </c>
      <c r="K34">
        <v>212.8</v>
      </c>
    </row>
    <row r="35" spans="1:11" x14ac:dyDescent="0.35">
      <c r="A35" t="s">
        <v>89</v>
      </c>
      <c r="B35" s="1">
        <v>0</v>
      </c>
      <c r="C35" t="s">
        <v>326</v>
      </c>
      <c r="D35" t="s">
        <v>5512</v>
      </c>
      <c r="E35" t="s">
        <v>5236</v>
      </c>
      <c r="F35" t="s">
        <v>5050</v>
      </c>
      <c r="G35" t="s">
        <v>5144</v>
      </c>
      <c r="H35" t="s">
        <v>1656</v>
      </c>
      <c r="J35" t="s">
        <v>89</v>
      </c>
      <c r="K35">
        <v>208.1</v>
      </c>
    </row>
    <row r="36" spans="1:11" x14ac:dyDescent="0.35">
      <c r="A36" t="s">
        <v>91</v>
      </c>
      <c r="B36" s="1">
        <v>0</v>
      </c>
      <c r="C36" t="s">
        <v>479</v>
      </c>
      <c r="D36" t="s">
        <v>5119</v>
      </c>
      <c r="E36" t="s">
        <v>5173</v>
      </c>
      <c r="F36" t="s">
        <v>5050</v>
      </c>
      <c r="G36" t="s">
        <v>5144</v>
      </c>
      <c r="H36" t="s">
        <v>2076</v>
      </c>
      <c r="J36" t="s">
        <v>91</v>
      </c>
      <c r="K36">
        <v>204.6</v>
      </c>
    </row>
    <row r="37" spans="1:11" x14ac:dyDescent="0.35">
      <c r="A37" t="s">
        <v>94</v>
      </c>
      <c r="B37" s="1">
        <v>0</v>
      </c>
      <c r="C37" t="s">
        <v>348</v>
      </c>
      <c r="D37" t="s">
        <v>5494</v>
      </c>
      <c r="E37" t="s">
        <v>5234</v>
      </c>
      <c r="F37" t="s">
        <v>5050</v>
      </c>
      <c r="G37" t="s">
        <v>5144</v>
      </c>
      <c r="H37" t="s">
        <v>235</v>
      </c>
      <c r="J37" t="s">
        <v>94</v>
      </c>
      <c r="K37">
        <v>203.7</v>
      </c>
    </row>
    <row r="38" spans="1:11" x14ac:dyDescent="0.35">
      <c r="A38" t="s">
        <v>97</v>
      </c>
      <c r="B38" s="1">
        <v>0</v>
      </c>
      <c r="C38" t="s">
        <v>448</v>
      </c>
      <c r="D38" t="s">
        <v>5193</v>
      </c>
      <c r="E38" t="s">
        <v>5431</v>
      </c>
      <c r="F38" t="s">
        <v>5050</v>
      </c>
      <c r="G38" t="s">
        <v>5153</v>
      </c>
      <c r="H38" t="s">
        <v>3139</v>
      </c>
      <c r="J38" t="s">
        <v>97</v>
      </c>
      <c r="K38">
        <v>197</v>
      </c>
    </row>
    <row r="39" spans="1:11" x14ac:dyDescent="0.35">
      <c r="A39" t="s">
        <v>99</v>
      </c>
      <c r="B39" s="1">
        <v>0</v>
      </c>
      <c r="C39" t="s">
        <v>1909</v>
      </c>
      <c r="D39" t="s">
        <v>5133</v>
      </c>
      <c r="E39" t="s">
        <v>5073</v>
      </c>
      <c r="F39" t="s">
        <v>5050</v>
      </c>
      <c r="G39" t="s">
        <v>5156</v>
      </c>
      <c r="H39" t="s">
        <v>2335</v>
      </c>
      <c r="J39" t="s">
        <v>99</v>
      </c>
      <c r="K39">
        <v>187.8</v>
      </c>
    </row>
    <row r="40" spans="1:11" x14ac:dyDescent="0.35">
      <c r="A40" t="s">
        <v>102</v>
      </c>
      <c r="B40" s="1">
        <v>0</v>
      </c>
      <c r="C40" t="s">
        <v>371</v>
      </c>
      <c r="D40" t="s">
        <v>5445</v>
      </c>
      <c r="E40" t="s">
        <v>5055</v>
      </c>
      <c r="F40" t="s">
        <v>5046</v>
      </c>
      <c r="G40" t="s">
        <v>5159</v>
      </c>
      <c r="H40" t="s">
        <v>956</v>
      </c>
      <c r="J40" t="s">
        <v>102</v>
      </c>
      <c r="K40">
        <v>180.7</v>
      </c>
    </row>
    <row r="41" spans="1:11" x14ac:dyDescent="0.35">
      <c r="A41" t="s">
        <v>104</v>
      </c>
      <c r="B41" s="1">
        <v>0</v>
      </c>
      <c r="C41" t="s">
        <v>392</v>
      </c>
      <c r="D41" t="s">
        <v>5531</v>
      </c>
      <c r="E41" t="s">
        <v>5202</v>
      </c>
      <c r="F41" t="s">
        <v>5046</v>
      </c>
      <c r="G41" t="s">
        <v>5159</v>
      </c>
      <c r="H41" t="s">
        <v>699</v>
      </c>
      <c r="J41" t="s">
        <v>104</v>
      </c>
      <c r="K41">
        <v>180.9</v>
      </c>
    </row>
    <row r="42" spans="1:11" x14ac:dyDescent="0.35">
      <c r="A42" t="s">
        <v>107</v>
      </c>
      <c r="B42" s="1">
        <v>0</v>
      </c>
      <c r="C42" t="s">
        <v>2241</v>
      </c>
      <c r="D42" t="s">
        <v>5079</v>
      </c>
      <c r="E42" t="s">
        <v>5286</v>
      </c>
      <c r="F42" t="s">
        <v>5050</v>
      </c>
      <c r="G42" t="s">
        <v>5164</v>
      </c>
      <c r="H42" t="s">
        <v>957</v>
      </c>
      <c r="J42" t="s">
        <v>107</v>
      </c>
      <c r="K42">
        <v>183.3</v>
      </c>
    </row>
    <row r="43" spans="1:11" x14ac:dyDescent="0.35">
      <c r="A43" t="s">
        <v>109</v>
      </c>
      <c r="B43" s="1">
        <v>0</v>
      </c>
      <c r="C43" t="s">
        <v>412</v>
      </c>
      <c r="D43" t="s">
        <v>5106</v>
      </c>
      <c r="E43" t="s">
        <v>5425</v>
      </c>
      <c r="F43" t="s">
        <v>5050</v>
      </c>
      <c r="G43" t="s">
        <v>5156</v>
      </c>
      <c r="H43" t="s">
        <v>1337</v>
      </c>
      <c r="J43" t="s">
        <v>109</v>
      </c>
      <c r="K43">
        <v>181.2</v>
      </c>
    </row>
    <row r="44" spans="1:11" x14ac:dyDescent="0.35">
      <c r="A44" t="s">
        <v>112</v>
      </c>
      <c r="B44" s="1">
        <v>0</v>
      </c>
      <c r="C44" t="s">
        <v>428</v>
      </c>
      <c r="D44" t="s">
        <v>5093</v>
      </c>
      <c r="E44" t="s">
        <v>5052</v>
      </c>
      <c r="F44" t="s">
        <v>5046</v>
      </c>
      <c r="G44" t="s">
        <v>5168</v>
      </c>
      <c r="H44" t="s">
        <v>1438</v>
      </c>
      <c r="J44" t="s">
        <v>112</v>
      </c>
      <c r="K44">
        <v>169.8</v>
      </c>
    </row>
    <row r="45" spans="1:11" x14ac:dyDescent="0.35">
      <c r="A45" t="s">
        <v>113</v>
      </c>
      <c r="B45" s="1">
        <v>0</v>
      </c>
      <c r="C45" t="s">
        <v>5514</v>
      </c>
      <c r="D45" t="s">
        <v>5060</v>
      </c>
      <c r="E45" t="s">
        <v>5051</v>
      </c>
      <c r="F45" t="s">
        <v>5046</v>
      </c>
      <c r="G45" t="s">
        <v>5159</v>
      </c>
      <c r="H45" t="s">
        <v>193</v>
      </c>
      <c r="J45" t="s">
        <v>113</v>
      </c>
      <c r="K45">
        <v>158.30000000000001</v>
      </c>
    </row>
    <row r="46" spans="1:11" x14ac:dyDescent="0.35">
      <c r="A46" t="s">
        <v>116</v>
      </c>
      <c r="B46" s="1">
        <v>0</v>
      </c>
      <c r="C46" t="s">
        <v>5231</v>
      </c>
      <c r="D46" t="s">
        <v>5236</v>
      </c>
      <c r="E46" t="s">
        <v>5416</v>
      </c>
      <c r="F46" t="s">
        <v>5046</v>
      </c>
      <c r="G46" t="s">
        <v>5159</v>
      </c>
      <c r="H46" t="s">
        <v>565</v>
      </c>
      <c r="J46" t="s">
        <v>116</v>
      </c>
      <c r="K46">
        <v>156.1</v>
      </c>
    </row>
    <row r="47" spans="1:11" x14ac:dyDescent="0.35">
      <c r="A47" t="s">
        <v>119</v>
      </c>
      <c r="B47" s="1">
        <v>0</v>
      </c>
      <c r="C47" t="s">
        <v>5563</v>
      </c>
      <c r="D47" t="s">
        <v>5120</v>
      </c>
      <c r="E47" t="s">
        <v>5545</v>
      </c>
      <c r="F47" t="s">
        <v>5046</v>
      </c>
      <c r="G47" t="s">
        <v>5159</v>
      </c>
      <c r="H47" t="s">
        <v>169</v>
      </c>
      <c r="J47" t="s">
        <v>119</v>
      </c>
      <c r="K47">
        <v>162.80000000000001</v>
      </c>
    </row>
    <row r="48" spans="1:11" x14ac:dyDescent="0.35">
      <c r="A48" t="s">
        <v>121</v>
      </c>
      <c r="B48" s="1">
        <v>0</v>
      </c>
      <c r="C48" t="s">
        <v>428</v>
      </c>
      <c r="D48" t="s">
        <v>5218</v>
      </c>
      <c r="E48" t="s">
        <v>5622</v>
      </c>
      <c r="F48" t="s">
        <v>5046</v>
      </c>
      <c r="G48" t="s">
        <v>5159</v>
      </c>
      <c r="H48" t="s">
        <v>2186</v>
      </c>
      <c r="J48" t="s">
        <v>121</v>
      </c>
      <c r="K48">
        <v>167.2</v>
      </c>
    </row>
    <row r="49" spans="1:11" x14ac:dyDescent="0.35">
      <c r="A49" t="s">
        <v>123</v>
      </c>
      <c r="B49" s="1">
        <v>0</v>
      </c>
      <c r="C49" t="s">
        <v>5263</v>
      </c>
      <c r="D49" t="s">
        <v>5218</v>
      </c>
      <c r="E49" t="s">
        <v>5622</v>
      </c>
      <c r="F49" t="s">
        <v>5046</v>
      </c>
      <c r="G49" t="s">
        <v>5177</v>
      </c>
      <c r="H49" t="s">
        <v>575</v>
      </c>
      <c r="J49" t="s">
        <v>123</v>
      </c>
      <c r="K49">
        <v>166.4</v>
      </c>
    </row>
    <row r="50" spans="1:11" x14ac:dyDescent="0.35">
      <c r="A50" t="s">
        <v>126</v>
      </c>
      <c r="B50" s="1">
        <v>0</v>
      </c>
      <c r="C50" t="s">
        <v>5563</v>
      </c>
      <c r="D50" t="s">
        <v>5072</v>
      </c>
      <c r="E50" t="s">
        <v>5284</v>
      </c>
      <c r="F50" t="s">
        <v>5046</v>
      </c>
      <c r="G50" t="s">
        <v>5180</v>
      </c>
      <c r="H50" t="s">
        <v>821</v>
      </c>
      <c r="J50" t="s">
        <v>126</v>
      </c>
      <c r="K50">
        <v>164.5</v>
      </c>
    </row>
    <row r="51" spans="1:11" x14ac:dyDescent="0.35">
      <c r="A51" t="s">
        <v>128</v>
      </c>
      <c r="B51" s="1">
        <v>0</v>
      </c>
      <c r="C51" t="s">
        <v>5472</v>
      </c>
      <c r="D51" t="s">
        <v>5093</v>
      </c>
      <c r="E51" t="s">
        <v>5415</v>
      </c>
      <c r="F51" t="s">
        <v>5046</v>
      </c>
      <c r="G51" t="s">
        <v>5180</v>
      </c>
      <c r="H51" t="s">
        <v>184</v>
      </c>
      <c r="J51" t="s">
        <v>128</v>
      </c>
      <c r="K51">
        <v>163</v>
      </c>
    </row>
    <row r="52" spans="1:11" x14ac:dyDescent="0.35">
      <c r="A52" t="s">
        <v>131</v>
      </c>
      <c r="B52" s="1">
        <v>0</v>
      </c>
      <c r="C52" t="s">
        <v>5274</v>
      </c>
      <c r="D52" t="s">
        <v>5253</v>
      </c>
      <c r="E52" t="s">
        <v>5525</v>
      </c>
      <c r="F52" t="s">
        <v>5046</v>
      </c>
      <c r="G52" t="s">
        <v>5184</v>
      </c>
      <c r="H52" t="s">
        <v>290</v>
      </c>
      <c r="J52" t="s">
        <v>131</v>
      </c>
      <c r="K52">
        <v>160.1</v>
      </c>
    </row>
    <row r="53" spans="1:11" x14ac:dyDescent="0.35">
      <c r="A53" t="s">
        <v>134</v>
      </c>
      <c r="B53" s="1">
        <v>0</v>
      </c>
      <c r="C53" t="s">
        <v>5612</v>
      </c>
      <c r="D53" t="s">
        <v>5111</v>
      </c>
      <c r="E53" t="s">
        <v>5283</v>
      </c>
      <c r="F53" t="s">
        <v>5046</v>
      </c>
      <c r="G53" t="s">
        <v>5186</v>
      </c>
      <c r="H53" t="s">
        <v>559</v>
      </c>
      <c r="J53" t="s">
        <v>134</v>
      </c>
      <c r="K53">
        <v>161.9</v>
      </c>
    </row>
    <row r="54" spans="1:11" x14ac:dyDescent="0.35">
      <c r="A54" t="s">
        <v>136</v>
      </c>
      <c r="B54" s="1">
        <v>0</v>
      </c>
      <c r="C54" t="s">
        <v>5656</v>
      </c>
      <c r="D54" t="s">
        <v>5462</v>
      </c>
      <c r="E54" t="s">
        <v>5064</v>
      </c>
      <c r="F54" t="s">
        <v>5046</v>
      </c>
      <c r="G54" t="s">
        <v>5189</v>
      </c>
      <c r="H54" t="s">
        <v>1172</v>
      </c>
      <c r="J54" t="s">
        <v>136</v>
      </c>
      <c r="K54">
        <v>170.8</v>
      </c>
    </row>
    <row r="55" spans="1:11" x14ac:dyDescent="0.35">
      <c r="A55" t="s">
        <v>138</v>
      </c>
      <c r="B55" s="1">
        <v>0</v>
      </c>
      <c r="C55" t="s">
        <v>1003</v>
      </c>
      <c r="D55" t="s">
        <v>5235</v>
      </c>
      <c r="E55" t="s">
        <v>5221</v>
      </c>
      <c r="F55" t="s">
        <v>5046</v>
      </c>
      <c r="G55" t="s">
        <v>5189</v>
      </c>
      <c r="H55" t="s">
        <v>1228</v>
      </c>
      <c r="J55" t="s">
        <v>138</v>
      </c>
      <c r="K55">
        <v>182.8</v>
      </c>
    </row>
    <row r="56" spans="1:11" x14ac:dyDescent="0.35">
      <c r="A56" t="s">
        <v>141</v>
      </c>
      <c r="B56" s="1">
        <v>0</v>
      </c>
      <c r="C56" t="s">
        <v>433</v>
      </c>
      <c r="D56" t="s">
        <v>5484</v>
      </c>
      <c r="E56" t="s">
        <v>5219</v>
      </c>
      <c r="F56" t="s">
        <v>5050</v>
      </c>
      <c r="G56" t="s">
        <v>5195</v>
      </c>
      <c r="H56" t="s">
        <v>2694</v>
      </c>
      <c r="J56" t="s">
        <v>141</v>
      </c>
      <c r="K56">
        <v>193.2</v>
      </c>
    </row>
    <row r="57" spans="1:11" x14ac:dyDescent="0.35">
      <c r="A57" t="s">
        <v>144</v>
      </c>
      <c r="B57" s="1">
        <v>0</v>
      </c>
      <c r="C57" t="s">
        <v>3489</v>
      </c>
      <c r="D57" t="s">
        <v>5258</v>
      </c>
      <c r="E57" t="s">
        <v>5306</v>
      </c>
      <c r="F57" t="s">
        <v>5050</v>
      </c>
      <c r="G57" t="s">
        <v>5184</v>
      </c>
      <c r="H57" t="s">
        <v>2745</v>
      </c>
      <c r="J57" t="s">
        <v>144</v>
      </c>
      <c r="K57">
        <v>193.4</v>
      </c>
    </row>
    <row r="58" spans="1:11" x14ac:dyDescent="0.35">
      <c r="A58" t="s">
        <v>147</v>
      </c>
      <c r="B58" s="1">
        <v>0</v>
      </c>
      <c r="C58" t="s">
        <v>423</v>
      </c>
      <c r="D58" t="s">
        <v>5216</v>
      </c>
      <c r="E58" t="s">
        <v>5056</v>
      </c>
      <c r="F58" t="s">
        <v>5050</v>
      </c>
      <c r="G58" t="s">
        <v>5195</v>
      </c>
      <c r="H58" t="s">
        <v>3341</v>
      </c>
      <c r="J58" t="s">
        <v>147</v>
      </c>
      <c r="K58">
        <v>182.3</v>
      </c>
    </row>
    <row r="59" spans="1:11" x14ac:dyDescent="0.35">
      <c r="A59" t="s">
        <v>150</v>
      </c>
      <c r="B59" s="1">
        <v>0</v>
      </c>
      <c r="C59" t="s">
        <v>5410</v>
      </c>
      <c r="D59" t="s">
        <v>5198</v>
      </c>
      <c r="E59" t="s">
        <v>5303</v>
      </c>
      <c r="F59" t="s">
        <v>5046</v>
      </c>
      <c r="G59" t="s">
        <v>5195</v>
      </c>
      <c r="H59" t="s">
        <v>2525</v>
      </c>
      <c r="J59" t="s">
        <v>150</v>
      </c>
      <c r="K59">
        <v>173.4</v>
      </c>
    </row>
    <row r="60" spans="1:11" x14ac:dyDescent="0.35">
      <c r="A60" t="s">
        <v>153</v>
      </c>
      <c r="B60" s="1">
        <v>0</v>
      </c>
      <c r="C60" t="s">
        <v>5635</v>
      </c>
      <c r="D60" t="s">
        <v>5127</v>
      </c>
      <c r="E60" t="s">
        <v>5425</v>
      </c>
      <c r="F60" t="s">
        <v>5046</v>
      </c>
      <c r="G60" t="s">
        <v>5184</v>
      </c>
      <c r="H60" t="s">
        <v>599</v>
      </c>
      <c r="J60" t="s">
        <v>153</v>
      </c>
      <c r="K60">
        <v>172.5</v>
      </c>
    </row>
    <row r="61" spans="1:11" x14ac:dyDescent="0.35">
      <c r="A61" s="2">
        <v>39873</v>
      </c>
      <c r="B61" s="1">
        <v>0</v>
      </c>
      <c r="C61" t="s">
        <v>5603</v>
      </c>
      <c r="D61" t="s">
        <v>5198</v>
      </c>
      <c r="E61" t="s">
        <v>5169</v>
      </c>
      <c r="F61" t="s">
        <v>5046</v>
      </c>
      <c r="G61" t="s">
        <v>5180</v>
      </c>
      <c r="H61" t="s">
        <v>604</v>
      </c>
      <c r="J61" s="2">
        <v>39873</v>
      </c>
      <c r="K61">
        <v>174.8</v>
      </c>
    </row>
    <row r="62" spans="1:11" x14ac:dyDescent="0.35">
      <c r="A62" s="2">
        <v>39874</v>
      </c>
      <c r="B62" s="1">
        <v>0</v>
      </c>
      <c r="C62" t="s">
        <v>5267</v>
      </c>
      <c r="D62" t="s">
        <v>5206</v>
      </c>
      <c r="E62" t="s">
        <v>5073</v>
      </c>
      <c r="F62" t="s">
        <v>5078</v>
      </c>
      <c r="G62" t="s">
        <v>5207</v>
      </c>
      <c r="H62" t="s">
        <v>1282</v>
      </c>
      <c r="J62" s="2">
        <v>39874</v>
      </c>
      <c r="K62">
        <v>184.2</v>
      </c>
    </row>
    <row r="63" spans="1:11" x14ac:dyDescent="0.35">
      <c r="A63" s="2">
        <v>39875</v>
      </c>
      <c r="B63" s="1">
        <v>0</v>
      </c>
      <c r="C63" t="s">
        <v>394</v>
      </c>
      <c r="D63" t="s">
        <v>5148</v>
      </c>
      <c r="E63" t="s">
        <v>5073</v>
      </c>
      <c r="F63" t="s">
        <v>5078</v>
      </c>
      <c r="G63" t="s">
        <v>5207</v>
      </c>
      <c r="H63" t="s">
        <v>3563</v>
      </c>
      <c r="J63" s="2">
        <v>39875</v>
      </c>
      <c r="K63">
        <v>185.5</v>
      </c>
    </row>
    <row r="64" spans="1:11" x14ac:dyDescent="0.35">
      <c r="A64" s="2">
        <v>39876</v>
      </c>
      <c r="B64" s="1">
        <v>0</v>
      </c>
      <c r="C64" t="s">
        <v>1018</v>
      </c>
      <c r="D64" t="s">
        <v>5209</v>
      </c>
      <c r="E64" t="s">
        <v>5223</v>
      </c>
      <c r="F64" t="s">
        <v>5078</v>
      </c>
      <c r="G64" t="s">
        <v>5172</v>
      </c>
      <c r="H64" t="s">
        <v>1185</v>
      </c>
      <c r="J64" s="2">
        <v>39876</v>
      </c>
      <c r="K64">
        <v>194.2</v>
      </c>
    </row>
    <row r="65" spans="1:11" x14ac:dyDescent="0.35">
      <c r="A65" s="2">
        <v>39877</v>
      </c>
      <c r="B65" s="1">
        <v>0</v>
      </c>
      <c r="C65" t="s">
        <v>351</v>
      </c>
      <c r="D65" t="s">
        <v>5119</v>
      </c>
      <c r="E65" t="s">
        <v>5076</v>
      </c>
      <c r="F65" t="s">
        <v>5078</v>
      </c>
      <c r="G65" t="s">
        <v>5046</v>
      </c>
      <c r="H65" t="s">
        <v>1654</v>
      </c>
      <c r="J65" s="2">
        <v>39877</v>
      </c>
      <c r="K65">
        <v>209.6</v>
      </c>
    </row>
    <row r="66" spans="1:11" x14ac:dyDescent="0.35">
      <c r="A66" s="2">
        <v>39878</v>
      </c>
      <c r="B66" s="1">
        <v>0</v>
      </c>
      <c r="C66" t="s">
        <v>4116</v>
      </c>
      <c r="D66" t="s">
        <v>5212</v>
      </c>
      <c r="E66" t="s">
        <v>5060</v>
      </c>
      <c r="F66" t="s">
        <v>5078</v>
      </c>
      <c r="G66" t="s">
        <v>5062</v>
      </c>
      <c r="H66" t="s">
        <v>5687</v>
      </c>
      <c r="J66" s="2">
        <v>39878</v>
      </c>
      <c r="K66">
        <v>230.2</v>
      </c>
    </row>
    <row r="67" spans="1:11" x14ac:dyDescent="0.35">
      <c r="A67" s="2">
        <v>39879</v>
      </c>
      <c r="B67" s="1">
        <v>0</v>
      </c>
      <c r="C67" t="s">
        <v>974</v>
      </c>
      <c r="D67" t="s">
        <v>5214</v>
      </c>
      <c r="E67" t="s">
        <v>5105</v>
      </c>
      <c r="F67" t="s">
        <v>5078</v>
      </c>
      <c r="G67" t="s">
        <v>5215</v>
      </c>
      <c r="H67" t="s">
        <v>3645</v>
      </c>
      <c r="J67" s="2">
        <v>39879</v>
      </c>
      <c r="K67">
        <v>242.5</v>
      </c>
    </row>
    <row r="68" spans="1:11" x14ac:dyDescent="0.35">
      <c r="A68" s="2">
        <v>39880</v>
      </c>
      <c r="B68" s="1">
        <v>0</v>
      </c>
      <c r="C68" t="s">
        <v>4133</v>
      </c>
      <c r="D68" t="s">
        <v>5130</v>
      </c>
      <c r="E68" t="s">
        <v>5121</v>
      </c>
      <c r="F68" t="s">
        <v>5078</v>
      </c>
      <c r="G68" t="s">
        <v>5099</v>
      </c>
      <c r="H68" t="s">
        <v>3750</v>
      </c>
      <c r="J68" s="2">
        <v>39880</v>
      </c>
      <c r="K68">
        <v>242.2</v>
      </c>
    </row>
    <row r="69" spans="1:11" x14ac:dyDescent="0.35">
      <c r="A69" s="2">
        <v>39881</v>
      </c>
      <c r="B69" s="1">
        <v>0</v>
      </c>
      <c r="C69" t="s">
        <v>472</v>
      </c>
      <c r="D69" t="s">
        <v>5217</v>
      </c>
      <c r="E69" t="s">
        <v>5304</v>
      </c>
      <c r="F69" t="s">
        <v>5078</v>
      </c>
      <c r="G69" t="s">
        <v>5183</v>
      </c>
      <c r="H69" t="s">
        <v>2031</v>
      </c>
      <c r="J69" s="2">
        <v>39881</v>
      </c>
      <c r="K69">
        <v>228.2</v>
      </c>
    </row>
    <row r="70" spans="1:11" x14ac:dyDescent="0.35">
      <c r="A70" s="2">
        <v>39882</v>
      </c>
      <c r="B70" s="1">
        <v>0</v>
      </c>
      <c r="C70" t="s">
        <v>3799</v>
      </c>
      <c r="D70" t="s">
        <v>5142</v>
      </c>
      <c r="E70" t="s">
        <v>5076</v>
      </c>
      <c r="F70" t="s">
        <v>5078</v>
      </c>
      <c r="G70" t="s">
        <v>5179</v>
      </c>
      <c r="H70" t="s">
        <v>2144</v>
      </c>
      <c r="J70" s="2">
        <v>39882</v>
      </c>
      <c r="K70">
        <v>203.9</v>
      </c>
    </row>
    <row r="71" spans="1:11" x14ac:dyDescent="0.35">
      <c r="A71" s="2">
        <v>39883</v>
      </c>
      <c r="B71" s="1">
        <v>0</v>
      </c>
      <c r="C71" t="s">
        <v>5463</v>
      </c>
      <c r="D71" t="s">
        <v>5220</v>
      </c>
      <c r="E71" t="s">
        <v>5303</v>
      </c>
      <c r="F71" t="s">
        <v>5078</v>
      </c>
      <c r="G71" t="s">
        <v>5222</v>
      </c>
      <c r="H71" t="s">
        <v>1987</v>
      </c>
      <c r="J71" s="2">
        <v>39883</v>
      </c>
      <c r="K71">
        <v>182.4</v>
      </c>
    </row>
    <row r="72" spans="1:11" x14ac:dyDescent="0.35">
      <c r="A72" s="2">
        <v>39884</v>
      </c>
      <c r="B72" s="1">
        <v>0</v>
      </c>
      <c r="C72" t="s">
        <v>5578</v>
      </c>
      <c r="D72" t="s">
        <v>5106</v>
      </c>
      <c r="E72" t="s">
        <v>5185</v>
      </c>
      <c r="F72" t="s">
        <v>5078</v>
      </c>
      <c r="G72" t="s">
        <v>5224</v>
      </c>
      <c r="H72" t="s">
        <v>925</v>
      </c>
      <c r="J72" s="2">
        <v>39884</v>
      </c>
      <c r="K72">
        <v>171.7</v>
      </c>
    </row>
    <row r="73" spans="1:11" x14ac:dyDescent="0.35">
      <c r="A73" s="2">
        <v>39885</v>
      </c>
      <c r="B73" s="1">
        <v>0</v>
      </c>
      <c r="C73" t="s">
        <v>5561</v>
      </c>
      <c r="D73" t="s">
        <v>5225</v>
      </c>
      <c r="E73" t="s">
        <v>5169</v>
      </c>
      <c r="F73" t="s">
        <v>5078</v>
      </c>
      <c r="G73" t="s">
        <v>5226</v>
      </c>
      <c r="H73" t="s">
        <v>699</v>
      </c>
      <c r="J73" s="2">
        <v>39885</v>
      </c>
      <c r="K73">
        <v>180.9</v>
      </c>
    </row>
    <row r="74" spans="1:11" x14ac:dyDescent="0.35">
      <c r="A74" s="2">
        <v>39886</v>
      </c>
      <c r="B74" s="1">
        <v>0</v>
      </c>
      <c r="C74" t="s">
        <v>1912</v>
      </c>
      <c r="D74" t="s">
        <v>5107</v>
      </c>
      <c r="E74" t="s">
        <v>5255</v>
      </c>
      <c r="F74" t="s">
        <v>5078</v>
      </c>
      <c r="G74" t="s">
        <v>5227</v>
      </c>
      <c r="H74" t="s">
        <v>2078</v>
      </c>
      <c r="J74" s="2">
        <v>39886</v>
      </c>
      <c r="K74">
        <v>201.8</v>
      </c>
    </row>
    <row r="75" spans="1:11" x14ac:dyDescent="0.35">
      <c r="A75" s="2">
        <v>39887</v>
      </c>
      <c r="B75" s="1">
        <v>0</v>
      </c>
      <c r="C75" t="s">
        <v>348</v>
      </c>
      <c r="D75" t="s">
        <v>5228</v>
      </c>
      <c r="E75" t="s">
        <v>5272</v>
      </c>
      <c r="F75" t="s">
        <v>5078</v>
      </c>
      <c r="G75" t="s">
        <v>5230</v>
      </c>
      <c r="H75" t="s">
        <v>2004</v>
      </c>
      <c r="J75" s="2">
        <v>39887</v>
      </c>
      <c r="K75">
        <v>219.6</v>
      </c>
    </row>
    <row r="76" spans="1:11" x14ac:dyDescent="0.35">
      <c r="A76" s="2">
        <v>39888</v>
      </c>
      <c r="B76" s="1">
        <v>0</v>
      </c>
      <c r="C76" t="s">
        <v>350</v>
      </c>
      <c r="D76" t="s">
        <v>5231</v>
      </c>
      <c r="E76" t="s">
        <v>5123</v>
      </c>
      <c r="F76" t="s">
        <v>5078</v>
      </c>
      <c r="G76" t="s">
        <v>5046</v>
      </c>
      <c r="H76" t="s">
        <v>773</v>
      </c>
      <c r="J76" s="2">
        <v>39888</v>
      </c>
      <c r="K76">
        <v>221.4</v>
      </c>
    </row>
    <row r="77" spans="1:11" x14ac:dyDescent="0.35">
      <c r="A77" s="2">
        <v>39889</v>
      </c>
      <c r="B77" s="1">
        <v>0</v>
      </c>
      <c r="C77" t="s">
        <v>1043</v>
      </c>
      <c r="D77" t="s">
        <v>5232</v>
      </c>
      <c r="E77" t="s">
        <v>5120</v>
      </c>
      <c r="F77" t="s">
        <v>5078</v>
      </c>
      <c r="G77" t="s">
        <v>5046</v>
      </c>
      <c r="H77" t="s">
        <v>3163</v>
      </c>
      <c r="J77" s="2">
        <v>39889</v>
      </c>
      <c r="K77">
        <v>212.9</v>
      </c>
    </row>
    <row r="78" spans="1:11" x14ac:dyDescent="0.35">
      <c r="A78" s="2">
        <v>39890</v>
      </c>
      <c r="B78" s="1">
        <v>0</v>
      </c>
      <c r="C78" t="s">
        <v>1011</v>
      </c>
      <c r="D78" t="s">
        <v>5233</v>
      </c>
      <c r="E78" t="s">
        <v>5098</v>
      </c>
      <c r="F78" t="s">
        <v>5078</v>
      </c>
      <c r="G78" t="s">
        <v>5174</v>
      </c>
      <c r="H78" t="s">
        <v>665</v>
      </c>
      <c r="J78" s="2">
        <v>39890</v>
      </c>
      <c r="K78">
        <v>196.9</v>
      </c>
    </row>
    <row r="79" spans="1:11" x14ac:dyDescent="0.35">
      <c r="A79" s="2">
        <v>39891</v>
      </c>
      <c r="B79" s="1">
        <v>0</v>
      </c>
      <c r="C79" t="s">
        <v>5566</v>
      </c>
      <c r="D79" t="s">
        <v>5235</v>
      </c>
      <c r="E79" t="s">
        <v>5204</v>
      </c>
      <c r="F79" t="s">
        <v>5078</v>
      </c>
      <c r="G79" t="s">
        <v>5222</v>
      </c>
      <c r="H79" t="s">
        <v>1337</v>
      </c>
      <c r="J79" s="2">
        <v>39891</v>
      </c>
      <c r="K79">
        <v>181.2</v>
      </c>
    </row>
    <row r="80" spans="1:11" x14ac:dyDescent="0.35">
      <c r="A80" s="2">
        <v>39892</v>
      </c>
      <c r="B80" s="1">
        <v>0</v>
      </c>
      <c r="C80" t="s">
        <v>5639</v>
      </c>
      <c r="D80" t="s">
        <v>5206</v>
      </c>
      <c r="E80" t="s">
        <v>5310</v>
      </c>
      <c r="F80" t="s">
        <v>5078</v>
      </c>
      <c r="G80" t="s">
        <v>5172</v>
      </c>
      <c r="H80" t="s">
        <v>707</v>
      </c>
      <c r="J80" s="2">
        <v>39892</v>
      </c>
      <c r="K80">
        <v>180</v>
      </c>
    </row>
    <row r="81" spans="1:11" x14ac:dyDescent="0.35">
      <c r="A81" s="2">
        <v>39893</v>
      </c>
      <c r="B81" s="1">
        <v>0</v>
      </c>
      <c r="C81" t="s">
        <v>1038</v>
      </c>
      <c r="D81" t="s">
        <v>5238</v>
      </c>
      <c r="E81" t="s">
        <v>5056</v>
      </c>
      <c r="F81" t="s">
        <v>5078</v>
      </c>
      <c r="G81" t="s">
        <v>5230</v>
      </c>
      <c r="H81" t="s">
        <v>1280</v>
      </c>
      <c r="J81" s="2">
        <v>39893</v>
      </c>
      <c r="K81">
        <v>193.5</v>
      </c>
    </row>
    <row r="82" spans="1:11" x14ac:dyDescent="0.35">
      <c r="A82" s="2">
        <v>39894</v>
      </c>
      <c r="B82" s="1">
        <v>0</v>
      </c>
      <c r="C82" t="s">
        <v>988</v>
      </c>
      <c r="D82" t="s">
        <v>5233</v>
      </c>
      <c r="E82" t="s">
        <v>5068</v>
      </c>
      <c r="F82" t="s">
        <v>5078</v>
      </c>
      <c r="G82" t="s">
        <v>5240</v>
      </c>
      <c r="H82" t="s">
        <v>1708</v>
      </c>
      <c r="J82" s="2">
        <v>39894</v>
      </c>
      <c r="K82">
        <v>212.8</v>
      </c>
    </row>
    <row r="83" spans="1:11" x14ac:dyDescent="0.35">
      <c r="A83" s="2">
        <v>39895</v>
      </c>
      <c r="B83" s="1">
        <v>0</v>
      </c>
      <c r="C83" t="s">
        <v>2272</v>
      </c>
      <c r="D83" t="s">
        <v>5242</v>
      </c>
      <c r="E83" t="s">
        <v>5071</v>
      </c>
      <c r="F83" t="s">
        <v>5078</v>
      </c>
      <c r="G83" t="s">
        <v>5058</v>
      </c>
      <c r="H83" t="s">
        <v>4055</v>
      </c>
      <c r="J83" s="2">
        <v>39895</v>
      </c>
      <c r="K83">
        <v>223.6</v>
      </c>
    </row>
    <row r="84" spans="1:11" x14ac:dyDescent="0.35">
      <c r="A84" s="2">
        <v>39896</v>
      </c>
      <c r="B84" s="1">
        <v>0</v>
      </c>
      <c r="C84" t="s">
        <v>3219</v>
      </c>
      <c r="D84" t="s">
        <v>5244</v>
      </c>
      <c r="E84" t="s">
        <v>5160</v>
      </c>
      <c r="F84" t="s">
        <v>5078</v>
      </c>
      <c r="G84" t="s">
        <v>5062</v>
      </c>
      <c r="H84" t="s">
        <v>741</v>
      </c>
      <c r="J84" s="2">
        <v>39896</v>
      </c>
      <c r="K84">
        <v>226.1</v>
      </c>
    </row>
    <row r="85" spans="1:11" x14ac:dyDescent="0.35">
      <c r="A85" s="2">
        <v>39897</v>
      </c>
      <c r="B85" s="1">
        <v>0</v>
      </c>
      <c r="C85" t="s">
        <v>354</v>
      </c>
      <c r="D85" t="s">
        <v>5246</v>
      </c>
      <c r="E85" t="s">
        <v>5071</v>
      </c>
      <c r="F85" t="s">
        <v>5078</v>
      </c>
      <c r="G85" t="s">
        <v>5179</v>
      </c>
      <c r="H85" t="s">
        <v>3605</v>
      </c>
      <c r="J85" s="2">
        <v>39897</v>
      </c>
      <c r="K85">
        <v>219.4</v>
      </c>
    </row>
    <row r="86" spans="1:11" x14ac:dyDescent="0.35">
      <c r="A86" s="2">
        <v>39898</v>
      </c>
      <c r="B86" s="1">
        <v>0</v>
      </c>
      <c r="C86" t="s">
        <v>1522</v>
      </c>
      <c r="D86" t="s">
        <v>5248</v>
      </c>
      <c r="E86" t="s">
        <v>5175</v>
      </c>
      <c r="F86" t="s">
        <v>5078</v>
      </c>
      <c r="G86" t="s">
        <v>5050</v>
      </c>
      <c r="H86" t="s">
        <v>1315</v>
      </c>
      <c r="J86" s="2">
        <v>39898</v>
      </c>
      <c r="K86">
        <v>207</v>
      </c>
    </row>
    <row r="87" spans="1:11" x14ac:dyDescent="0.35">
      <c r="A87" s="2">
        <v>39899</v>
      </c>
      <c r="B87" s="1">
        <v>0</v>
      </c>
      <c r="C87" t="s">
        <v>3499</v>
      </c>
      <c r="D87" t="s">
        <v>5250</v>
      </c>
      <c r="E87" t="s">
        <v>5170</v>
      </c>
      <c r="F87" t="s">
        <v>5078</v>
      </c>
      <c r="G87" t="s">
        <v>5050</v>
      </c>
      <c r="H87" t="s">
        <v>2826</v>
      </c>
      <c r="J87" s="2">
        <v>39899</v>
      </c>
      <c r="K87">
        <v>198.6</v>
      </c>
    </row>
    <row r="88" spans="1:11" x14ac:dyDescent="0.35">
      <c r="A88" s="2">
        <v>39900</v>
      </c>
      <c r="B88" s="1">
        <v>0</v>
      </c>
      <c r="C88" t="s">
        <v>446</v>
      </c>
      <c r="D88" t="s">
        <v>5252</v>
      </c>
      <c r="E88" t="s">
        <v>5171</v>
      </c>
      <c r="F88" t="s">
        <v>5078</v>
      </c>
      <c r="G88" t="s">
        <v>5054</v>
      </c>
      <c r="H88" t="s">
        <v>3077</v>
      </c>
      <c r="J88" s="2">
        <v>39900</v>
      </c>
      <c r="K88">
        <v>195</v>
      </c>
    </row>
    <row r="89" spans="1:11" x14ac:dyDescent="0.35">
      <c r="A89" s="2">
        <v>39901</v>
      </c>
      <c r="B89" s="1">
        <v>0</v>
      </c>
      <c r="C89" t="s">
        <v>341</v>
      </c>
      <c r="D89" t="s">
        <v>5254</v>
      </c>
      <c r="E89" t="s">
        <v>5431</v>
      </c>
      <c r="F89" t="s">
        <v>5078</v>
      </c>
      <c r="G89" t="s">
        <v>5179</v>
      </c>
      <c r="H89" t="s">
        <v>243</v>
      </c>
      <c r="J89" s="2">
        <v>39901</v>
      </c>
      <c r="K89">
        <v>198.3</v>
      </c>
    </row>
    <row r="90" spans="1:11" x14ac:dyDescent="0.35">
      <c r="A90" s="2">
        <v>39902</v>
      </c>
      <c r="B90" s="1">
        <v>0</v>
      </c>
      <c r="C90" t="s">
        <v>2882</v>
      </c>
      <c r="D90" t="s">
        <v>5094</v>
      </c>
      <c r="E90" t="s">
        <v>5210</v>
      </c>
      <c r="F90" t="s">
        <v>5078</v>
      </c>
      <c r="G90" t="s">
        <v>5065</v>
      </c>
      <c r="H90" t="s">
        <v>2005</v>
      </c>
      <c r="J90" s="2">
        <v>39902</v>
      </c>
      <c r="K90">
        <v>219.7</v>
      </c>
    </row>
    <row r="91" spans="1:11" x14ac:dyDescent="0.35">
      <c r="A91" s="2">
        <v>39903</v>
      </c>
      <c r="B91" s="1">
        <v>0</v>
      </c>
      <c r="C91" t="s">
        <v>1095</v>
      </c>
      <c r="D91" t="s">
        <v>5259</v>
      </c>
      <c r="E91" t="s">
        <v>5072</v>
      </c>
      <c r="F91" t="s">
        <v>5215</v>
      </c>
      <c r="G91" t="s">
        <v>5124</v>
      </c>
      <c r="H91" t="s">
        <v>5712</v>
      </c>
      <c r="J91" s="2">
        <v>39903</v>
      </c>
      <c r="K91">
        <v>254.1</v>
      </c>
    </row>
    <row r="92" spans="1:11" x14ac:dyDescent="0.35">
      <c r="A92" t="s">
        <v>200</v>
      </c>
      <c r="B92" s="1">
        <v>0</v>
      </c>
      <c r="C92" t="s">
        <v>862</v>
      </c>
      <c r="D92" t="s">
        <v>5261</v>
      </c>
      <c r="E92" t="s">
        <v>5154</v>
      </c>
      <c r="F92" t="s">
        <v>5215</v>
      </c>
      <c r="G92" t="s">
        <v>5077</v>
      </c>
      <c r="H92" t="s">
        <v>5753</v>
      </c>
      <c r="J92" t="s">
        <v>200</v>
      </c>
      <c r="K92">
        <v>289.3</v>
      </c>
    </row>
    <row r="93" spans="1:11" x14ac:dyDescent="0.35">
      <c r="A93" t="s">
        <v>203</v>
      </c>
      <c r="B93" s="1">
        <v>0</v>
      </c>
      <c r="C93" t="s">
        <v>2780</v>
      </c>
      <c r="D93" t="s">
        <v>433</v>
      </c>
      <c r="E93" t="s">
        <v>5216</v>
      </c>
      <c r="F93" t="s">
        <v>5089</v>
      </c>
      <c r="G93" t="s">
        <v>5132</v>
      </c>
      <c r="H93" t="s">
        <v>5754</v>
      </c>
      <c r="J93" t="s">
        <v>203</v>
      </c>
      <c r="K93">
        <v>311.5</v>
      </c>
    </row>
    <row r="94" spans="1:11" x14ac:dyDescent="0.35">
      <c r="A94" t="s">
        <v>206</v>
      </c>
      <c r="B94" s="1">
        <v>0</v>
      </c>
      <c r="C94" t="s">
        <v>16</v>
      </c>
      <c r="D94" t="s">
        <v>386</v>
      </c>
      <c r="E94" t="s">
        <v>5264</v>
      </c>
      <c r="F94" t="s">
        <v>5089</v>
      </c>
      <c r="G94" t="s">
        <v>5089</v>
      </c>
      <c r="H94" t="s">
        <v>5755</v>
      </c>
      <c r="J94" t="s">
        <v>206</v>
      </c>
      <c r="K94">
        <v>298.89999999999998</v>
      </c>
    </row>
    <row r="95" spans="1:11" x14ac:dyDescent="0.35">
      <c r="A95" t="s">
        <v>209</v>
      </c>
      <c r="B95" s="1">
        <v>0</v>
      </c>
      <c r="C95" t="s">
        <v>1861</v>
      </c>
      <c r="D95" t="s">
        <v>5265</v>
      </c>
      <c r="E95" t="s">
        <v>5108</v>
      </c>
      <c r="F95" t="s">
        <v>5089</v>
      </c>
      <c r="G95" t="s">
        <v>5095</v>
      </c>
      <c r="H95" t="s">
        <v>5756</v>
      </c>
      <c r="J95" t="s">
        <v>209</v>
      </c>
      <c r="K95">
        <v>269.7</v>
      </c>
    </row>
    <row r="96" spans="1:11" x14ac:dyDescent="0.35">
      <c r="A96" t="s">
        <v>212</v>
      </c>
      <c r="B96" s="1">
        <v>0</v>
      </c>
      <c r="C96" t="s">
        <v>483</v>
      </c>
      <c r="D96" t="s">
        <v>5268</v>
      </c>
      <c r="E96" t="s">
        <v>5074</v>
      </c>
      <c r="F96" t="s">
        <v>5077</v>
      </c>
      <c r="G96" t="s">
        <v>5062</v>
      </c>
      <c r="H96" t="s">
        <v>3750</v>
      </c>
      <c r="J96" t="s">
        <v>212</v>
      </c>
      <c r="K96">
        <v>242.2</v>
      </c>
    </row>
    <row r="97" spans="1:11" x14ac:dyDescent="0.35">
      <c r="A97" t="s">
        <v>215</v>
      </c>
      <c r="B97" s="1">
        <v>0</v>
      </c>
      <c r="C97" t="s">
        <v>5652</v>
      </c>
      <c r="D97" t="s">
        <v>5269</v>
      </c>
      <c r="E97" t="s">
        <v>5270</v>
      </c>
      <c r="F97" t="s">
        <v>5077</v>
      </c>
      <c r="G97" t="s">
        <v>5054</v>
      </c>
      <c r="H97" t="s">
        <v>642</v>
      </c>
      <c r="J97" t="s">
        <v>215</v>
      </c>
      <c r="K97">
        <v>228.9</v>
      </c>
    </row>
    <row r="98" spans="1:11" x14ac:dyDescent="0.35">
      <c r="A98" t="s">
        <v>218</v>
      </c>
      <c r="B98" s="1">
        <v>0</v>
      </c>
      <c r="C98" t="s">
        <v>2273</v>
      </c>
      <c r="D98" t="s">
        <v>5271</v>
      </c>
      <c r="E98" t="s">
        <v>5272</v>
      </c>
      <c r="F98" t="s">
        <v>5077</v>
      </c>
      <c r="G98" t="s">
        <v>5054</v>
      </c>
      <c r="H98" t="s">
        <v>619</v>
      </c>
      <c r="J98" t="s">
        <v>218</v>
      </c>
      <c r="K98">
        <v>229.2</v>
      </c>
    </row>
    <row r="99" spans="1:11" x14ac:dyDescent="0.35">
      <c r="A99" t="s">
        <v>221</v>
      </c>
      <c r="B99" s="1">
        <v>0</v>
      </c>
      <c r="C99" t="s">
        <v>1465</v>
      </c>
      <c r="D99" t="s">
        <v>5273</v>
      </c>
      <c r="E99" t="s">
        <v>5081</v>
      </c>
      <c r="F99" t="s">
        <v>5077</v>
      </c>
      <c r="G99" t="s">
        <v>5058</v>
      </c>
      <c r="H99" t="s">
        <v>3651</v>
      </c>
      <c r="J99" t="s">
        <v>221</v>
      </c>
      <c r="K99">
        <v>237.5</v>
      </c>
    </row>
    <row r="100" spans="1:11" x14ac:dyDescent="0.35">
      <c r="A100" t="s">
        <v>224</v>
      </c>
      <c r="B100" s="1">
        <v>0</v>
      </c>
      <c r="C100" t="s">
        <v>3808</v>
      </c>
      <c r="D100" t="s">
        <v>5274</v>
      </c>
      <c r="E100" t="s">
        <v>5069</v>
      </c>
      <c r="F100" t="s">
        <v>5077</v>
      </c>
      <c r="G100" t="s">
        <v>5065</v>
      </c>
      <c r="H100" t="s">
        <v>5757</v>
      </c>
      <c r="J100" t="s">
        <v>224</v>
      </c>
      <c r="K100">
        <v>241.8</v>
      </c>
    </row>
    <row r="101" spans="1:11" x14ac:dyDescent="0.35">
      <c r="A101" t="s">
        <v>225</v>
      </c>
      <c r="B101" s="1">
        <v>0</v>
      </c>
      <c r="C101" t="s">
        <v>4902</v>
      </c>
      <c r="D101" t="s">
        <v>5275</v>
      </c>
      <c r="E101" t="s">
        <v>5276</v>
      </c>
      <c r="F101" t="s">
        <v>5077</v>
      </c>
      <c r="G101" t="s">
        <v>5065</v>
      </c>
      <c r="H101" t="s">
        <v>5694</v>
      </c>
      <c r="J101" t="s">
        <v>225</v>
      </c>
      <c r="K101">
        <v>235.2</v>
      </c>
    </row>
    <row r="102" spans="1:11" x14ac:dyDescent="0.35">
      <c r="A102" t="s">
        <v>227</v>
      </c>
      <c r="B102" s="1">
        <v>0</v>
      </c>
      <c r="C102" t="s">
        <v>1467</v>
      </c>
      <c r="D102" t="s">
        <v>5277</v>
      </c>
      <c r="E102" t="s">
        <v>5081</v>
      </c>
      <c r="F102" t="s">
        <v>5077</v>
      </c>
      <c r="G102" t="s">
        <v>5062</v>
      </c>
      <c r="H102" t="s">
        <v>5710</v>
      </c>
      <c r="J102" t="s">
        <v>227</v>
      </c>
      <c r="K102">
        <v>228.5</v>
      </c>
    </row>
    <row r="103" spans="1:11" x14ac:dyDescent="0.35">
      <c r="A103" t="s">
        <v>230</v>
      </c>
      <c r="B103" s="1">
        <v>0</v>
      </c>
      <c r="C103" t="s">
        <v>2608</v>
      </c>
      <c r="D103" t="s">
        <v>5278</v>
      </c>
      <c r="E103" t="s">
        <v>5257</v>
      </c>
      <c r="F103" t="s">
        <v>5077</v>
      </c>
      <c r="G103" t="s">
        <v>5062</v>
      </c>
      <c r="H103" t="s">
        <v>628</v>
      </c>
      <c r="J103" t="s">
        <v>230</v>
      </c>
      <c r="K103">
        <v>225.2</v>
      </c>
    </row>
    <row r="104" spans="1:11" x14ac:dyDescent="0.35">
      <c r="A104" t="s">
        <v>233</v>
      </c>
      <c r="B104" s="1">
        <v>0</v>
      </c>
      <c r="C104" t="s">
        <v>360</v>
      </c>
      <c r="D104" t="s">
        <v>5122</v>
      </c>
      <c r="E104" t="s">
        <v>5060</v>
      </c>
      <c r="F104" t="s">
        <v>5077</v>
      </c>
      <c r="G104" t="s">
        <v>5179</v>
      </c>
      <c r="H104" t="s">
        <v>2054</v>
      </c>
      <c r="J104" t="s">
        <v>233</v>
      </c>
      <c r="K104">
        <v>219.8</v>
      </c>
    </row>
    <row r="105" spans="1:11" x14ac:dyDescent="0.35">
      <c r="A105" t="s">
        <v>236</v>
      </c>
      <c r="B105" s="1">
        <v>0</v>
      </c>
      <c r="C105" t="s">
        <v>346</v>
      </c>
      <c r="D105" t="s">
        <v>5248</v>
      </c>
      <c r="E105" t="s">
        <v>5071</v>
      </c>
      <c r="F105" t="s">
        <v>5077</v>
      </c>
      <c r="G105" t="s">
        <v>5050</v>
      </c>
      <c r="H105" t="s">
        <v>229</v>
      </c>
      <c r="J105" t="s">
        <v>236</v>
      </c>
      <c r="K105">
        <v>211.2</v>
      </c>
    </row>
    <row r="106" spans="1:11" x14ac:dyDescent="0.35">
      <c r="A106" t="s">
        <v>239</v>
      </c>
      <c r="B106" s="1">
        <v>0</v>
      </c>
      <c r="C106" t="s">
        <v>1527</v>
      </c>
      <c r="D106" t="s">
        <v>5279</v>
      </c>
      <c r="E106" t="s">
        <v>5167</v>
      </c>
      <c r="F106" t="s">
        <v>5077</v>
      </c>
      <c r="G106" t="s">
        <v>5046</v>
      </c>
      <c r="H106" t="s">
        <v>2401</v>
      </c>
      <c r="J106" t="s">
        <v>239</v>
      </c>
      <c r="K106">
        <v>205.8</v>
      </c>
    </row>
    <row r="107" spans="1:11" x14ac:dyDescent="0.35">
      <c r="A107" t="s">
        <v>242</v>
      </c>
      <c r="B107" s="1">
        <v>0</v>
      </c>
      <c r="C107" t="s">
        <v>983</v>
      </c>
      <c r="D107" t="s">
        <v>5280</v>
      </c>
      <c r="E107" t="s">
        <v>5175</v>
      </c>
      <c r="F107" t="s">
        <v>5077</v>
      </c>
      <c r="G107" t="s">
        <v>5240</v>
      </c>
      <c r="H107" t="s">
        <v>3366</v>
      </c>
      <c r="J107" t="s">
        <v>242</v>
      </c>
      <c r="K107">
        <v>207.1</v>
      </c>
    </row>
    <row r="108" spans="1:11" x14ac:dyDescent="0.35">
      <c r="A108" t="s">
        <v>245</v>
      </c>
      <c r="B108" s="1">
        <v>0</v>
      </c>
      <c r="C108" t="s">
        <v>980</v>
      </c>
      <c r="D108" t="s">
        <v>5097</v>
      </c>
      <c r="E108" t="s">
        <v>5221</v>
      </c>
      <c r="F108" t="s">
        <v>5077</v>
      </c>
      <c r="G108" t="s">
        <v>5179</v>
      </c>
      <c r="H108" t="s">
        <v>2115</v>
      </c>
      <c r="J108" t="s">
        <v>245</v>
      </c>
      <c r="K108">
        <v>209.9</v>
      </c>
    </row>
    <row r="109" spans="1:11" x14ac:dyDescent="0.35">
      <c r="A109" t="s">
        <v>248</v>
      </c>
      <c r="B109" s="1">
        <v>0</v>
      </c>
      <c r="C109" t="s">
        <v>327</v>
      </c>
      <c r="D109" t="s">
        <v>5190</v>
      </c>
      <c r="E109" t="s">
        <v>5202</v>
      </c>
      <c r="F109" t="s">
        <v>5077</v>
      </c>
      <c r="G109" t="s">
        <v>5058</v>
      </c>
      <c r="H109" t="s">
        <v>213</v>
      </c>
      <c r="J109" t="s">
        <v>248</v>
      </c>
      <c r="K109">
        <v>205.4</v>
      </c>
    </row>
    <row r="110" spans="1:11" x14ac:dyDescent="0.35">
      <c r="A110" t="s">
        <v>251</v>
      </c>
      <c r="B110" s="1">
        <v>0</v>
      </c>
      <c r="C110" t="s">
        <v>3798</v>
      </c>
      <c r="D110" t="s">
        <v>5281</v>
      </c>
      <c r="E110" t="s">
        <v>5070</v>
      </c>
      <c r="F110" t="s">
        <v>5077</v>
      </c>
      <c r="G110" t="s">
        <v>5240</v>
      </c>
      <c r="H110" t="s">
        <v>756</v>
      </c>
      <c r="J110" t="s">
        <v>251</v>
      </c>
      <c r="K110">
        <v>194.8</v>
      </c>
    </row>
    <row r="111" spans="1:11" x14ac:dyDescent="0.35">
      <c r="A111" t="s">
        <v>254</v>
      </c>
      <c r="B111" s="1">
        <v>0</v>
      </c>
      <c r="C111" t="s">
        <v>390</v>
      </c>
      <c r="D111" t="s">
        <v>5213</v>
      </c>
      <c r="E111" t="s">
        <v>5283</v>
      </c>
      <c r="F111" t="s">
        <v>5077</v>
      </c>
      <c r="G111" t="s">
        <v>5230</v>
      </c>
      <c r="H111" t="s">
        <v>3088</v>
      </c>
      <c r="J111" t="s">
        <v>254</v>
      </c>
      <c r="K111">
        <v>178.7</v>
      </c>
    </row>
    <row r="112" spans="1:11" x14ac:dyDescent="0.35">
      <c r="A112" t="s">
        <v>257</v>
      </c>
      <c r="B112" s="1">
        <v>0</v>
      </c>
      <c r="C112" t="s">
        <v>5585</v>
      </c>
      <c r="D112" t="s">
        <v>5071</v>
      </c>
      <c r="E112" t="s">
        <v>5284</v>
      </c>
      <c r="F112" t="s">
        <v>5045</v>
      </c>
      <c r="G112" t="s">
        <v>5227</v>
      </c>
      <c r="H112" t="s">
        <v>595</v>
      </c>
      <c r="J112" t="s">
        <v>257</v>
      </c>
      <c r="K112">
        <v>163.9</v>
      </c>
    </row>
    <row r="113" spans="1:11" x14ac:dyDescent="0.35">
      <c r="A113" t="s">
        <v>260</v>
      </c>
      <c r="B113" s="1">
        <v>0</v>
      </c>
      <c r="C113" t="s">
        <v>5517</v>
      </c>
      <c r="D113" t="s">
        <v>5286</v>
      </c>
      <c r="E113" t="s">
        <v>5049</v>
      </c>
      <c r="F113" t="s">
        <v>5045</v>
      </c>
      <c r="G113" t="s">
        <v>5226</v>
      </c>
      <c r="H113" t="s">
        <v>2997</v>
      </c>
      <c r="J113" t="s">
        <v>260</v>
      </c>
      <c r="K113">
        <v>152.6</v>
      </c>
    </row>
    <row r="114" spans="1:11" x14ac:dyDescent="0.35">
      <c r="A114" t="s">
        <v>263</v>
      </c>
      <c r="B114" s="1">
        <v>0</v>
      </c>
      <c r="C114" t="s">
        <v>5378</v>
      </c>
      <c r="D114" t="s">
        <v>5181</v>
      </c>
      <c r="E114" t="s">
        <v>5287</v>
      </c>
      <c r="F114" t="s">
        <v>5045</v>
      </c>
      <c r="G114" t="s">
        <v>5288</v>
      </c>
      <c r="H114" t="s">
        <v>857</v>
      </c>
      <c r="J114" t="s">
        <v>263</v>
      </c>
      <c r="K114">
        <v>144.30000000000001</v>
      </c>
    </row>
    <row r="115" spans="1:11" x14ac:dyDescent="0.35">
      <c r="A115" t="s">
        <v>264</v>
      </c>
      <c r="B115" s="1">
        <v>0</v>
      </c>
      <c r="C115" t="s">
        <v>5129</v>
      </c>
      <c r="D115" t="s">
        <v>5289</v>
      </c>
      <c r="E115" t="s">
        <v>5290</v>
      </c>
      <c r="F115" t="s">
        <v>5045</v>
      </c>
      <c r="G115" t="s">
        <v>5291</v>
      </c>
      <c r="H115" t="s">
        <v>1090</v>
      </c>
      <c r="J115" t="s">
        <v>264</v>
      </c>
      <c r="K115">
        <v>138.19999999999999</v>
      </c>
    </row>
    <row r="116" spans="1:11" x14ac:dyDescent="0.35">
      <c r="A116" t="s">
        <v>265</v>
      </c>
      <c r="B116" s="1">
        <v>0</v>
      </c>
      <c r="C116" t="s">
        <v>5440</v>
      </c>
      <c r="D116" t="s">
        <v>5292</v>
      </c>
      <c r="E116" t="s">
        <v>5293</v>
      </c>
      <c r="F116" t="s">
        <v>5045</v>
      </c>
      <c r="G116" t="s">
        <v>5294</v>
      </c>
      <c r="H116" t="s">
        <v>282</v>
      </c>
      <c r="J116" t="s">
        <v>265</v>
      </c>
      <c r="K116">
        <v>133.5</v>
      </c>
    </row>
    <row r="117" spans="1:11" x14ac:dyDescent="0.35">
      <c r="A117" t="s">
        <v>267</v>
      </c>
      <c r="B117" s="1">
        <v>0</v>
      </c>
      <c r="C117" t="s">
        <v>5145</v>
      </c>
      <c r="D117" t="s">
        <v>5051</v>
      </c>
      <c r="E117" t="s">
        <v>5296</v>
      </c>
      <c r="F117" t="s">
        <v>5045</v>
      </c>
      <c r="G117" t="s">
        <v>5297</v>
      </c>
      <c r="H117" t="s">
        <v>1952</v>
      </c>
      <c r="J117" t="s">
        <v>267</v>
      </c>
      <c r="K117">
        <v>130.30000000000001</v>
      </c>
    </row>
    <row r="118" spans="1:11" x14ac:dyDescent="0.35">
      <c r="A118" t="s">
        <v>269</v>
      </c>
      <c r="B118" s="1">
        <v>0</v>
      </c>
      <c r="C118" t="s">
        <v>5141</v>
      </c>
      <c r="D118" t="s">
        <v>5299</v>
      </c>
      <c r="E118" t="s">
        <v>5300</v>
      </c>
      <c r="F118" t="s">
        <v>5045</v>
      </c>
      <c r="G118" t="s">
        <v>5297</v>
      </c>
      <c r="H118" t="s">
        <v>1805</v>
      </c>
      <c r="J118" t="s">
        <v>269</v>
      </c>
      <c r="K118">
        <v>132</v>
      </c>
    </row>
    <row r="119" spans="1:11" x14ac:dyDescent="0.35">
      <c r="A119" t="s">
        <v>271</v>
      </c>
      <c r="B119" s="1">
        <v>0</v>
      </c>
      <c r="C119" t="s">
        <v>5445</v>
      </c>
      <c r="D119" t="s">
        <v>5055</v>
      </c>
      <c r="E119" t="s">
        <v>5302</v>
      </c>
      <c r="F119" t="s">
        <v>5045</v>
      </c>
      <c r="G119" t="s">
        <v>5297</v>
      </c>
      <c r="H119" t="s">
        <v>298</v>
      </c>
      <c r="J119" t="s">
        <v>271</v>
      </c>
      <c r="K119">
        <v>140.69999999999999</v>
      </c>
    </row>
    <row r="120" spans="1:11" x14ac:dyDescent="0.35">
      <c r="A120" t="s">
        <v>273</v>
      </c>
      <c r="B120" s="1">
        <v>0</v>
      </c>
      <c r="C120" t="s">
        <v>5577</v>
      </c>
      <c r="D120" t="s">
        <v>5243</v>
      </c>
      <c r="E120" t="s">
        <v>5301</v>
      </c>
      <c r="F120" t="s">
        <v>5045</v>
      </c>
      <c r="G120" t="s">
        <v>5294</v>
      </c>
      <c r="H120" t="s">
        <v>565</v>
      </c>
      <c r="J120" t="s">
        <v>273</v>
      </c>
      <c r="K120">
        <v>156.1</v>
      </c>
    </row>
    <row r="121" spans="1:11" x14ac:dyDescent="0.35">
      <c r="A121" t="s">
        <v>274</v>
      </c>
      <c r="B121" s="1">
        <v>0</v>
      </c>
      <c r="C121" t="s">
        <v>5564</v>
      </c>
      <c r="D121" t="s">
        <v>5281</v>
      </c>
      <c r="E121" t="s">
        <v>5064</v>
      </c>
      <c r="F121" t="s">
        <v>5045</v>
      </c>
      <c r="G121" t="s">
        <v>5226</v>
      </c>
      <c r="H121" t="s">
        <v>892</v>
      </c>
      <c r="J121" t="s">
        <v>274</v>
      </c>
      <c r="K121">
        <v>174.2</v>
      </c>
    </row>
    <row r="122" spans="1:11" x14ac:dyDescent="0.35">
      <c r="A122" s="2">
        <v>39934</v>
      </c>
      <c r="B122" s="1">
        <v>0</v>
      </c>
      <c r="C122" t="s">
        <v>1020</v>
      </c>
      <c r="D122" t="s">
        <v>5252</v>
      </c>
      <c r="E122" t="s">
        <v>5204</v>
      </c>
      <c r="F122" t="s">
        <v>5077</v>
      </c>
      <c r="G122" t="s">
        <v>5172</v>
      </c>
      <c r="H122" t="s">
        <v>1318</v>
      </c>
      <c r="J122" s="2">
        <v>39934</v>
      </c>
      <c r="K122">
        <v>191.3</v>
      </c>
    </row>
    <row r="123" spans="1:11" x14ac:dyDescent="0.35">
      <c r="A123" s="2">
        <v>39935</v>
      </c>
      <c r="B123" s="1">
        <v>0</v>
      </c>
      <c r="C123" t="s">
        <v>451</v>
      </c>
      <c r="D123" t="s">
        <v>5596</v>
      </c>
      <c r="E123" t="s">
        <v>5323</v>
      </c>
      <c r="F123" t="s">
        <v>5077</v>
      </c>
      <c r="G123" t="s">
        <v>5291</v>
      </c>
      <c r="H123" t="s">
        <v>86</v>
      </c>
      <c r="J123" s="2">
        <v>39935</v>
      </c>
      <c r="K123">
        <v>199.7</v>
      </c>
    </row>
    <row r="124" spans="1:11" x14ac:dyDescent="0.35">
      <c r="A124" s="2">
        <v>39936</v>
      </c>
      <c r="B124" s="1">
        <v>0</v>
      </c>
      <c r="C124" t="s">
        <v>2916</v>
      </c>
      <c r="D124" t="s">
        <v>5252</v>
      </c>
      <c r="E124" t="s">
        <v>5286</v>
      </c>
      <c r="F124" t="s">
        <v>5077</v>
      </c>
      <c r="G124" t="s">
        <v>5291</v>
      </c>
      <c r="H124" t="s">
        <v>610</v>
      </c>
      <c r="J124" s="2">
        <v>39936</v>
      </c>
      <c r="K124">
        <v>195.3</v>
      </c>
    </row>
    <row r="125" spans="1:11" x14ac:dyDescent="0.35">
      <c r="A125" s="2">
        <v>39937</v>
      </c>
      <c r="B125" s="1">
        <v>0</v>
      </c>
      <c r="C125" t="s">
        <v>4641</v>
      </c>
      <c r="D125" t="s">
        <v>5450</v>
      </c>
      <c r="E125" t="s">
        <v>5425</v>
      </c>
      <c r="F125" t="s">
        <v>5077</v>
      </c>
      <c r="G125" t="s">
        <v>5309</v>
      </c>
      <c r="H125" t="s">
        <v>759</v>
      </c>
      <c r="J125" s="2">
        <v>39937</v>
      </c>
      <c r="K125">
        <v>188.2</v>
      </c>
    </row>
    <row r="126" spans="1:11" x14ac:dyDescent="0.35">
      <c r="A126" s="2">
        <v>39938</v>
      </c>
      <c r="B126" s="1">
        <v>0</v>
      </c>
      <c r="C126" t="s">
        <v>395</v>
      </c>
      <c r="D126" t="s">
        <v>5100</v>
      </c>
      <c r="E126" t="s">
        <v>5599</v>
      </c>
      <c r="F126" t="s">
        <v>5077</v>
      </c>
      <c r="G126" t="s">
        <v>5312</v>
      </c>
      <c r="H126" t="s">
        <v>1288</v>
      </c>
      <c r="J126" s="2">
        <v>39938</v>
      </c>
      <c r="K126">
        <v>180.1</v>
      </c>
    </row>
    <row r="127" spans="1:11" x14ac:dyDescent="0.35">
      <c r="A127" s="2">
        <v>39939</v>
      </c>
      <c r="B127" s="1">
        <v>0</v>
      </c>
      <c r="C127" t="s">
        <v>394</v>
      </c>
      <c r="D127" t="s">
        <v>5069</v>
      </c>
      <c r="E127" t="s">
        <v>5289</v>
      </c>
      <c r="F127" t="s">
        <v>5077</v>
      </c>
      <c r="G127" t="s">
        <v>5315</v>
      </c>
      <c r="H127" t="s">
        <v>605</v>
      </c>
      <c r="J127" s="2">
        <v>39939</v>
      </c>
      <c r="K127">
        <v>173.5</v>
      </c>
    </row>
    <row r="128" spans="1:11" x14ac:dyDescent="0.35">
      <c r="A128" s="2">
        <v>39940</v>
      </c>
      <c r="B128" s="1">
        <v>0</v>
      </c>
      <c r="C128" t="s">
        <v>2584</v>
      </c>
      <c r="D128" t="s">
        <v>5251</v>
      </c>
      <c r="E128" t="s">
        <v>5052</v>
      </c>
      <c r="F128" t="s">
        <v>5077</v>
      </c>
      <c r="G128" t="s">
        <v>5312</v>
      </c>
      <c r="H128" t="s">
        <v>3430</v>
      </c>
      <c r="J128" s="2">
        <v>39940</v>
      </c>
      <c r="K128">
        <v>176.8</v>
      </c>
    </row>
    <row r="129" spans="1:11" x14ac:dyDescent="0.35">
      <c r="A129" s="2">
        <v>39941</v>
      </c>
      <c r="B129" s="1">
        <v>0</v>
      </c>
      <c r="C129" t="s">
        <v>456</v>
      </c>
      <c r="D129" t="s">
        <v>5508</v>
      </c>
      <c r="E129" t="s">
        <v>5064</v>
      </c>
      <c r="F129" t="s">
        <v>5077</v>
      </c>
      <c r="G129" t="s">
        <v>5291</v>
      </c>
      <c r="H129" t="s">
        <v>608</v>
      </c>
      <c r="J129" s="2">
        <v>39941</v>
      </c>
      <c r="K129">
        <v>190.7</v>
      </c>
    </row>
    <row r="130" spans="1:11" x14ac:dyDescent="0.35">
      <c r="A130" s="2">
        <v>39942</v>
      </c>
      <c r="B130" s="1">
        <v>0</v>
      </c>
      <c r="C130" t="s">
        <v>342</v>
      </c>
      <c r="D130" t="s">
        <v>5606</v>
      </c>
      <c r="E130" t="s">
        <v>5068</v>
      </c>
      <c r="F130" t="s">
        <v>5077</v>
      </c>
      <c r="G130" t="s">
        <v>5224</v>
      </c>
      <c r="H130" t="s">
        <v>1296</v>
      </c>
      <c r="J130" s="2">
        <v>39942</v>
      </c>
      <c r="K130">
        <v>205.7</v>
      </c>
    </row>
    <row r="131" spans="1:11" x14ac:dyDescent="0.35">
      <c r="A131" s="2">
        <v>39943</v>
      </c>
      <c r="B131" s="1">
        <v>0</v>
      </c>
      <c r="C131" t="s">
        <v>334</v>
      </c>
      <c r="D131" t="s">
        <v>5391</v>
      </c>
      <c r="E131" t="s">
        <v>5098</v>
      </c>
      <c r="F131" t="s">
        <v>5077</v>
      </c>
      <c r="G131" t="s">
        <v>5227</v>
      </c>
      <c r="H131" t="s">
        <v>5671</v>
      </c>
      <c r="J131" s="2">
        <v>39943</v>
      </c>
      <c r="K131">
        <v>211.8</v>
      </c>
    </row>
    <row r="132" spans="1:11" x14ac:dyDescent="0.35">
      <c r="A132" s="2">
        <v>39944</v>
      </c>
      <c r="B132" s="1">
        <v>0</v>
      </c>
      <c r="C132" t="s">
        <v>321</v>
      </c>
      <c r="D132" t="s">
        <v>5146</v>
      </c>
      <c r="E132" t="s">
        <v>5098</v>
      </c>
      <c r="F132" t="s">
        <v>5077</v>
      </c>
      <c r="G132" t="s">
        <v>5227</v>
      </c>
      <c r="H132" t="s">
        <v>1399</v>
      </c>
      <c r="J132" s="2">
        <v>39944</v>
      </c>
      <c r="K132">
        <v>209.7</v>
      </c>
    </row>
    <row r="133" spans="1:11" x14ac:dyDescent="0.35">
      <c r="A133" s="2">
        <v>39945</v>
      </c>
      <c r="B133" s="1">
        <v>0</v>
      </c>
      <c r="C133" t="s">
        <v>1527</v>
      </c>
      <c r="D133" t="s">
        <v>5374</v>
      </c>
      <c r="E133" t="s">
        <v>5160</v>
      </c>
      <c r="F133" t="s">
        <v>5077</v>
      </c>
      <c r="G133" t="s">
        <v>5321</v>
      </c>
      <c r="H133" t="s">
        <v>2398</v>
      </c>
      <c r="J133" s="2">
        <v>39945</v>
      </c>
      <c r="K133">
        <v>204.3</v>
      </c>
    </row>
    <row r="134" spans="1:11" x14ac:dyDescent="0.35">
      <c r="A134" s="2">
        <v>39946</v>
      </c>
      <c r="B134" s="1">
        <v>0</v>
      </c>
      <c r="C134" t="s">
        <v>2602</v>
      </c>
      <c r="D134" t="s">
        <v>5436</v>
      </c>
      <c r="E134" t="s">
        <v>5167</v>
      </c>
      <c r="F134" t="s">
        <v>5077</v>
      </c>
      <c r="G134" t="s">
        <v>5226</v>
      </c>
      <c r="H134" t="s">
        <v>779</v>
      </c>
      <c r="J134" s="2">
        <v>39946</v>
      </c>
      <c r="K134">
        <v>195.2</v>
      </c>
    </row>
    <row r="135" spans="1:11" x14ac:dyDescent="0.35">
      <c r="A135" s="2">
        <v>39947</v>
      </c>
      <c r="B135" s="1">
        <v>0</v>
      </c>
      <c r="C135" t="s">
        <v>1015</v>
      </c>
      <c r="D135" t="s">
        <v>5190</v>
      </c>
      <c r="E135" t="s">
        <v>5428</v>
      </c>
      <c r="F135" t="s">
        <v>5077</v>
      </c>
      <c r="G135" t="s">
        <v>5288</v>
      </c>
      <c r="H135" t="s">
        <v>241</v>
      </c>
      <c r="J135" s="2">
        <v>39947</v>
      </c>
      <c r="K135">
        <v>190.1</v>
      </c>
    </row>
    <row r="136" spans="1:11" x14ac:dyDescent="0.35">
      <c r="A136" s="2">
        <v>39948</v>
      </c>
      <c r="B136" s="1">
        <v>0</v>
      </c>
      <c r="C136" t="s">
        <v>453</v>
      </c>
      <c r="D136" t="s">
        <v>5198</v>
      </c>
      <c r="E136" t="s">
        <v>5223</v>
      </c>
      <c r="F136" t="s">
        <v>5077</v>
      </c>
      <c r="G136" t="s">
        <v>5288</v>
      </c>
      <c r="H136" t="s">
        <v>679</v>
      </c>
      <c r="J136" s="2">
        <v>39948</v>
      </c>
      <c r="K136">
        <v>190</v>
      </c>
    </row>
    <row r="137" spans="1:11" x14ac:dyDescent="0.35">
      <c r="A137" s="2">
        <v>39949</v>
      </c>
      <c r="B137" s="1">
        <v>0</v>
      </c>
      <c r="C137" t="s">
        <v>3799</v>
      </c>
      <c r="D137" t="s">
        <v>5440</v>
      </c>
      <c r="E137" t="s">
        <v>5310</v>
      </c>
      <c r="F137" t="s">
        <v>5077</v>
      </c>
      <c r="G137" t="s">
        <v>5226</v>
      </c>
      <c r="H137" t="s">
        <v>2366</v>
      </c>
      <c r="J137" s="2">
        <v>39949</v>
      </c>
      <c r="K137">
        <v>193.9</v>
      </c>
    </row>
    <row r="138" spans="1:11" x14ac:dyDescent="0.35">
      <c r="A138" s="2">
        <v>39950</v>
      </c>
      <c r="B138" s="1">
        <v>0</v>
      </c>
      <c r="C138" t="s">
        <v>1050</v>
      </c>
      <c r="D138" t="s">
        <v>5508</v>
      </c>
      <c r="E138" t="s">
        <v>5171</v>
      </c>
      <c r="F138" t="s">
        <v>5077</v>
      </c>
      <c r="G138" t="s">
        <v>5224</v>
      </c>
      <c r="H138" t="s">
        <v>1263</v>
      </c>
      <c r="J138" s="2">
        <v>39950</v>
      </c>
      <c r="K138">
        <v>196.3</v>
      </c>
    </row>
    <row r="139" spans="1:11" x14ac:dyDescent="0.35">
      <c r="A139" s="2">
        <v>39951</v>
      </c>
      <c r="B139" s="1">
        <v>0</v>
      </c>
      <c r="C139" t="s">
        <v>989</v>
      </c>
      <c r="D139" t="s">
        <v>5458</v>
      </c>
      <c r="E139" t="s">
        <v>5286</v>
      </c>
      <c r="F139" t="s">
        <v>5077</v>
      </c>
      <c r="G139" t="s">
        <v>5224</v>
      </c>
      <c r="H139" t="s">
        <v>3611</v>
      </c>
      <c r="J139" s="2">
        <v>39951</v>
      </c>
      <c r="K139">
        <v>197.8</v>
      </c>
    </row>
    <row r="140" spans="1:11" x14ac:dyDescent="0.35">
      <c r="A140" s="2">
        <v>39952</v>
      </c>
      <c r="B140" s="1">
        <v>0</v>
      </c>
      <c r="C140" t="s">
        <v>3211</v>
      </c>
      <c r="D140" t="s">
        <v>5442</v>
      </c>
      <c r="E140" t="s">
        <v>5422</v>
      </c>
      <c r="F140" t="s">
        <v>5077</v>
      </c>
      <c r="G140" t="s">
        <v>5226</v>
      </c>
      <c r="H140" t="s">
        <v>648</v>
      </c>
      <c r="J140" s="2">
        <v>39952</v>
      </c>
      <c r="K140">
        <v>191.5</v>
      </c>
    </row>
    <row r="141" spans="1:11" x14ac:dyDescent="0.35">
      <c r="A141" s="2">
        <v>39953</v>
      </c>
      <c r="B141" s="1">
        <v>0</v>
      </c>
      <c r="C141" t="s">
        <v>1003</v>
      </c>
      <c r="D141" t="s">
        <v>5473</v>
      </c>
      <c r="E141" t="s">
        <v>5313</v>
      </c>
      <c r="F141" t="s">
        <v>5077</v>
      </c>
      <c r="G141" t="s">
        <v>5312</v>
      </c>
      <c r="H141" t="s">
        <v>1424</v>
      </c>
      <c r="J141" s="2">
        <v>39953</v>
      </c>
      <c r="K141">
        <v>178.3</v>
      </c>
    </row>
    <row r="142" spans="1:11" x14ac:dyDescent="0.35">
      <c r="A142" s="2">
        <v>39954</v>
      </c>
      <c r="B142" s="1">
        <v>0</v>
      </c>
      <c r="C142" t="s">
        <v>5228</v>
      </c>
      <c r="D142" t="s">
        <v>5063</v>
      </c>
      <c r="E142" t="s">
        <v>5283</v>
      </c>
      <c r="F142" t="s">
        <v>5045</v>
      </c>
      <c r="G142" t="s">
        <v>5330</v>
      </c>
      <c r="H142" t="s">
        <v>192</v>
      </c>
      <c r="J142" s="2">
        <v>39954</v>
      </c>
      <c r="K142">
        <v>163.69999999999999</v>
      </c>
    </row>
    <row r="143" spans="1:11" x14ac:dyDescent="0.35">
      <c r="A143" s="2">
        <v>39955</v>
      </c>
      <c r="B143" s="1">
        <v>0</v>
      </c>
      <c r="C143" t="s">
        <v>5452</v>
      </c>
      <c r="D143" t="s">
        <v>5160</v>
      </c>
      <c r="E143" t="s">
        <v>5622</v>
      </c>
      <c r="F143" t="s">
        <v>5045</v>
      </c>
      <c r="G143" t="s">
        <v>5140</v>
      </c>
      <c r="H143" t="s">
        <v>276</v>
      </c>
      <c r="J143" s="2">
        <v>39955</v>
      </c>
      <c r="K143">
        <v>150.5</v>
      </c>
    </row>
    <row r="144" spans="1:11" x14ac:dyDescent="0.35">
      <c r="A144" s="2">
        <v>39956</v>
      </c>
      <c r="B144" s="1">
        <v>0</v>
      </c>
      <c r="C144" t="s">
        <v>5606</v>
      </c>
      <c r="D144" t="s">
        <v>5055</v>
      </c>
      <c r="E144" t="s">
        <v>5424</v>
      </c>
      <c r="F144" t="s">
        <v>5045</v>
      </c>
      <c r="G144" t="s">
        <v>5334</v>
      </c>
      <c r="H144" t="s">
        <v>4315</v>
      </c>
      <c r="J144" s="2">
        <v>39956</v>
      </c>
      <c r="K144">
        <v>141</v>
      </c>
    </row>
    <row r="145" spans="1:11" x14ac:dyDescent="0.35">
      <c r="A145" s="2">
        <v>39957</v>
      </c>
      <c r="B145" s="1">
        <v>0</v>
      </c>
      <c r="C145" t="s">
        <v>5127</v>
      </c>
      <c r="D145" t="s">
        <v>5417</v>
      </c>
      <c r="E145" t="s">
        <v>5307</v>
      </c>
      <c r="F145" t="s">
        <v>5045</v>
      </c>
      <c r="G145" t="s">
        <v>5337</v>
      </c>
      <c r="H145" t="s">
        <v>149</v>
      </c>
      <c r="J145" s="2">
        <v>39957</v>
      </c>
      <c r="K145">
        <v>135.1</v>
      </c>
    </row>
    <row r="146" spans="1:11" x14ac:dyDescent="0.35">
      <c r="A146" s="2">
        <v>39958</v>
      </c>
      <c r="B146" s="1">
        <v>0</v>
      </c>
      <c r="C146" t="s">
        <v>5471</v>
      </c>
      <c r="D146" t="s">
        <v>5319</v>
      </c>
      <c r="E146" t="s">
        <v>5300</v>
      </c>
      <c r="F146" t="s">
        <v>5045</v>
      </c>
      <c r="G146" t="s">
        <v>5339</v>
      </c>
      <c r="H146" t="s">
        <v>1586</v>
      </c>
      <c r="J146" s="2">
        <v>39958</v>
      </c>
      <c r="K146">
        <v>131.30000000000001</v>
      </c>
    </row>
    <row r="147" spans="1:11" x14ac:dyDescent="0.35">
      <c r="A147" s="2">
        <v>39959</v>
      </c>
      <c r="B147" s="1">
        <v>0</v>
      </c>
      <c r="C147" t="s">
        <v>5247</v>
      </c>
      <c r="D147" t="s">
        <v>5284</v>
      </c>
      <c r="E147" t="s">
        <v>5317</v>
      </c>
      <c r="F147" t="s">
        <v>5045</v>
      </c>
      <c r="G147" t="s">
        <v>5156</v>
      </c>
      <c r="H147" t="s">
        <v>20</v>
      </c>
      <c r="J147" s="2">
        <v>39959</v>
      </c>
      <c r="K147">
        <v>128.69999999999999</v>
      </c>
    </row>
    <row r="148" spans="1:11" x14ac:dyDescent="0.35">
      <c r="A148" s="2">
        <v>39960</v>
      </c>
      <c r="B148" s="1">
        <v>0</v>
      </c>
      <c r="C148" t="s">
        <v>5435</v>
      </c>
      <c r="D148" t="s">
        <v>5545</v>
      </c>
      <c r="E148" t="s">
        <v>5308</v>
      </c>
      <c r="F148" t="s">
        <v>5045</v>
      </c>
      <c r="G148" t="s">
        <v>5156</v>
      </c>
      <c r="H148" t="s">
        <v>1450</v>
      </c>
      <c r="J148" s="2">
        <v>39960</v>
      </c>
      <c r="K148">
        <v>127.1</v>
      </c>
    </row>
    <row r="149" spans="1:11" x14ac:dyDescent="0.35">
      <c r="A149" s="2">
        <v>39961</v>
      </c>
      <c r="B149" s="1">
        <v>0</v>
      </c>
      <c r="C149" t="s">
        <v>5067</v>
      </c>
      <c r="D149" t="s">
        <v>5416</v>
      </c>
      <c r="E149" t="s">
        <v>5421</v>
      </c>
      <c r="F149" t="s">
        <v>5045</v>
      </c>
      <c r="G149" t="s">
        <v>5156</v>
      </c>
      <c r="H149" t="s">
        <v>514</v>
      </c>
      <c r="J149" s="2">
        <v>39961</v>
      </c>
      <c r="K149">
        <v>126</v>
      </c>
    </row>
    <row r="150" spans="1:11" x14ac:dyDescent="0.35">
      <c r="A150" s="2">
        <v>39962</v>
      </c>
      <c r="B150" s="1">
        <v>0</v>
      </c>
      <c r="C150" t="s">
        <v>5213</v>
      </c>
      <c r="D150" t="s">
        <v>5049</v>
      </c>
      <c r="E150" t="s">
        <v>5047</v>
      </c>
      <c r="F150" t="s">
        <v>5045</v>
      </c>
      <c r="G150" t="s">
        <v>5168</v>
      </c>
      <c r="H150" t="s">
        <v>505</v>
      </c>
      <c r="J150" s="2">
        <v>39962</v>
      </c>
      <c r="K150">
        <v>125.3</v>
      </c>
    </row>
    <row r="151" spans="1:11" x14ac:dyDescent="0.35">
      <c r="A151" s="2">
        <v>39963</v>
      </c>
      <c r="B151" s="1">
        <v>0</v>
      </c>
      <c r="C151" t="s">
        <v>5069</v>
      </c>
      <c r="D151" t="s">
        <v>5302</v>
      </c>
      <c r="E151" t="s">
        <v>5547</v>
      </c>
      <c r="F151" t="s">
        <v>5045</v>
      </c>
      <c r="G151" t="s">
        <v>5168</v>
      </c>
      <c r="H151" t="s">
        <v>1573</v>
      </c>
      <c r="J151" s="2">
        <v>39963</v>
      </c>
      <c r="K151">
        <v>124.8</v>
      </c>
    </row>
    <row r="152" spans="1:11" x14ac:dyDescent="0.35">
      <c r="A152" s="2">
        <v>39964</v>
      </c>
      <c r="B152" s="1">
        <v>0</v>
      </c>
      <c r="C152" t="s">
        <v>5213</v>
      </c>
      <c r="D152" t="s">
        <v>5305</v>
      </c>
      <c r="E152" t="s">
        <v>5547</v>
      </c>
      <c r="F152" t="s">
        <v>5045</v>
      </c>
      <c r="G152" t="s">
        <v>5156</v>
      </c>
      <c r="H152" t="s">
        <v>1944</v>
      </c>
      <c r="J152" s="2">
        <v>39964</v>
      </c>
      <c r="K152">
        <v>125</v>
      </c>
    </row>
    <row r="153" spans="1:11" x14ac:dyDescent="0.35">
      <c r="A153" s="2">
        <v>39965</v>
      </c>
      <c r="B153" s="1">
        <v>0</v>
      </c>
      <c r="C153" t="s">
        <v>5118</v>
      </c>
      <c r="D153" t="s">
        <v>5305</v>
      </c>
      <c r="E153" t="s">
        <v>5143</v>
      </c>
      <c r="F153" t="s">
        <v>5045</v>
      </c>
      <c r="G153" t="s">
        <v>5337</v>
      </c>
      <c r="H153" t="s">
        <v>503</v>
      </c>
      <c r="J153" s="2">
        <v>39965</v>
      </c>
      <c r="K153">
        <v>126.7</v>
      </c>
    </row>
    <row r="154" spans="1:11" x14ac:dyDescent="0.35">
      <c r="A154" s="2">
        <v>39966</v>
      </c>
      <c r="B154" s="1">
        <v>0</v>
      </c>
      <c r="C154" t="s">
        <v>5143</v>
      </c>
      <c r="D154" t="s">
        <v>5240</v>
      </c>
      <c r="E154" t="s">
        <v>5046</v>
      </c>
      <c r="F154" t="s">
        <v>5168</v>
      </c>
      <c r="G154" t="s">
        <v>5343</v>
      </c>
      <c r="H154" t="s">
        <v>1529</v>
      </c>
      <c r="J154" s="2">
        <v>39966</v>
      </c>
      <c r="K154">
        <v>88.8</v>
      </c>
    </row>
    <row r="155" spans="1:11" x14ac:dyDescent="0.35">
      <c r="A155" s="2">
        <v>39967</v>
      </c>
      <c r="B155" s="1">
        <v>0</v>
      </c>
      <c r="C155" t="s">
        <v>5416</v>
      </c>
      <c r="D155" t="s">
        <v>5058</v>
      </c>
      <c r="E155" t="s">
        <v>5046</v>
      </c>
      <c r="F155" t="s">
        <v>5168</v>
      </c>
      <c r="G155" t="s">
        <v>5344</v>
      </c>
      <c r="H155" t="s">
        <v>4380</v>
      </c>
      <c r="J155" s="2">
        <v>39967</v>
      </c>
      <c r="K155">
        <v>91.7</v>
      </c>
    </row>
    <row r="156" spans="1:11" x14ac:dyDescent="0.35">
      <c r="A156" s="2">
        <v>39968</v>
      </c>
      <c r="B156" s="1">
        <v>0</v>
      </c>
      <c r="C156" t="s">
        <v>5622</v>
      </c>
      <c r="D156" t="s">
        <v>5062</v>
      </c>
      <c r="E156" t="s">
        <v>5050</v>
      </c>
      <c r="F156" t="s">
        <v>5168</v>
      </c>
      <c r="G156" t="s">
        <v>5343</v>
      </c>
      <c r="H156" t="s">
        <v>474</v>
      </c>
      <c r="J156" s="2">
        <v>39968</v>
      </c>
      <c r="K156">
        <v>92.6</v>
      </c>
    </row>
    <row r="157" spans="1:11" x14ac:dyDescent="0.35">
      <c r="A157" s="2">
        <v>39969</v>
      </c>
      <c r="B157" s="1">
        <v>0</v>
      </c>
      <c r="C157" t="s">
        <v>5302</v>
      </c>
      <c r="D157" t="s">
        <v>5475</v>
      </c>
      <c r="E157" t="s">
        <v>5050</v>
      </c>
      <c r="F157" t="s">
        <v>5168</v>
      </c>
      <c r="G157" t="s">
        <v>5346</v>
      </c>
      <c r="H157" t="s">
        <v>4380</v>
      </c>
      <c r="J157" s="2">
        <v>39969</v>
      </c>
      <c r="K157">
        <v>91.7</v>
      </c>
    </row>
    <row r="158" spans="1:11" x14ac:dyDescent="0.35">
      <c r="A158" s="2">
        <v>39970</v>
      </c>
      <c r="B158" s="1">
        <v>0</v>
      </c>
      <c r="C158" t="s">
        <v>5287</v>
      </c>
      <c r="D158" t="s">
        <v>5065</v>
      </c>
      <c r="E158" t="s">
        <v>5050</v>
      </c>
      <c r="F158" t="s">
        <v>5168</v>
      </c>
      <c r="G158" t="s">
        <v>5349</v>
      </c>
      <c r="H158" t="s">
        <v>347</v>
      </c>
      <c r="J158" s="2">
        <v>39970</v>
      </c>
      <c r="K158">
        <v>90.8</v>
      </c>
    </row>
    <row r="159" spans="1:11" x14ac:dyDescent="0.35">
      <c r="A159" s="2">
        <v>39971</v>
      </c>
      <c r="B159" s="1">
        <v>0</v>
      </c>
      <c r="C159" t="s">
        <v>5051</v>
      </c>
      <c r="D159" t="s">
        <v>5062</v>
      </c>
      <c r="E159" t="s">
        <v>5046</v>
      </c>
      <c r="F159" t="s">
        <v>5168</v>
      </c>
      <c r="G159" t="s">
        <v>5349</v>
      </c>
      <c r="H159" t="s">
        <v>986</v>
      </c>
      <c r="J159" s="2">
        <v>39971</v>
      </c>
      <c r="K159">
        <v>92.1</v>
      </c>
    </row>
    <row r="160" spans="1:11" x14ac:dyDescent="0.35">
      <c r="A160" s="2">
        <v>39972</v>
      </c>
      <c r="B160" s="1">
        <v>0</v>
      </c>
      <c r="C160" t="s">
        <v>5420</v>
      </c>
      <c r="D160" t="s">
        <v>5412</v>
      </c>
      <c r="E160" t="s">
        <v>5046</v>
      </c>
      <c r="F160" t="s">
        <v>5168</v>
      </c>
      <c r="G160" t="s">
        <v>5349</v>
      </c>
      <c r="H160" t="s">
        <v>2605</v>
      </c>
      <c r="J160" s="2">
        <v>39972</v>
      </c>
      <c r="K160">
        <v>94.8</v>
      </c>
    </row>
    <row r="161" spans="1:11" x14ac:dyDescent="0.35">
      <c r="A161" s="2">
        <v>39973</v>
      </c>
      <c r="B161" s="1">
        <v>0</v>
      </c>
      <c r="C161" t="s">
        <v>5073</v>
      </c>
      <c r="D161" t="s">
        <v>5058</v>
      </c>
      <c r="E161" t="s">
        <v>5046</v>
      </c>
      <c r="F161" t="s">
        <v>5168</v>
      </c>
      <c r="G161" t="s">
        <v>5349</v>
      </c>
      <c r="H161" t="s">
        <v>1473</v>
      </c>
      <c r="J161" s="2">
        <v>39973</v>
      </c>
      <c r="K161">
        <v>95.5</v>
      </c>
    </row>
    <row r="162" spans="1:11" x14ac:dyDescent="0.35">
      <c r="A162" s="2">
        <v>39974</v>
      </c>
      <c r="B162" s="1">
        <v>0</v>
      </c>
      <c r="C162" t="s">
        <v>5181</v>
      </c>
      <c r="D162" t="s">
        <v>5179</v>
      </c>
      <c r="E162" t="s">
        <v>5046</v>
      </c>
      <c r="F162" t="s">
        <v>5168</v>
      </c>
      <c r="G162" t="s">
        <v>5349</v>
      </c>
      <c r="H162" t="s">
        <v>1871</v>
      </c>
      <c r="J162" s="2">
        <v>39974</v>
      </c>
      <c r="K162">
        <v>94.2</v>
      </c>
    </row>
    <row r="163" spans="1:11" x14ac:dyDescent="0.35">
      <c r="A163" s="2">
        <v>39975</v>
      </c>
      <c r="B163" s="1">
        <v>0</v>
      </c>
      <c r="C163" t="s">
        <v>5623</v>
      </c>
      <c r="D163" t="s">
        <v>5054</v>
      </c>
      <c r="E163" t="s">
        <v>5046</v>
      </c>
      <c r="F163" t="s">
        <v>5168</v>
      </c>
      <c r="G163" t="s">
        <v>5353</v>
      </c>
      <c r="H163" t="s">
        <v>461</v>
      </c>
      <c r="J163" s="2">
        <v>39975</v>
      </c>
      <c r="K163">
        <v>92</v>
      </c>
    </row>
    <row r="164" spans="1:11" x14ac:dyDescent="0.35">
      <c r="A164" s="2">
        <v>39976</v>
      </c>
      <c r="B164" s="1">
        <v>0</v>
      </c>
      <c r="C164" t="s">
        <v>5430</v>
      </c>
      <c r="D164" t="s">
        <v>5240</v>
      </c>
      <c r="E164" t="s">
        <v>5046</v>
      </c>
      <c r="F164" t="s">
        <v>5168</v>
      </c>
      <c r="G164" t="s">
        <v>5353</v>
      </c>
      <c r="H164" t="s">
        <v>2567</v>
      </c>
      <c r="J164" s="2">
        <v>39976</v>
      </c>
      <c r="K164">
        <v>90</v>
      </c>
    </row>
    <row r="165" spans="1:11" x14ac:dyDescent="0.35">
      <c r="A165" s="2">
        <v>39977</v>
      </c>
      <c r="B165" s="1">
        <v>0</v>
      </c>
      <c r="C165" t="s">
        <v>5547</v>
      </c>
      <c r="D165" t="s">
        <v>5240</v>
      </c>
      <c r="E165" t="s">
        <v>5046</v>
      </c>
      <c r="F165" t="s">
        <v>5168</v>
      </c>
      <c r="G165" t="s">
        <v>5353</v>
      </c>
      <c r="H165" t="s">
        <v>340</v>
      </c>
      <c r="J165" s="2">
        <v>39977</v>
      </c>
      <c r="K165">
        <v>88.4</v>
      </c>
    </row>
    <row r="166" spans="1:11" x14ac:dyDescent="0.35">
      <c r="A166" s="2">
        <v>39978</v>
      </c>
      <c r="B166" s="1">
        <v>0</v>
      </c>
      <c r="C166" t="s">
        <v>5316</v>
      </c>
      <c r="D166" t="s">
        <v>5050</v>
      </c>
      <c r="E166" t="s">
        <v>5046</v>
      </c>
      <c r="F166" t="s">
        <v>5168</v>
      </c>
      <c r="G166" t="s">
        <v>5354</v>
      </c>
      <c r="H166" t="s">
        <v>346</v>
      </c>
      <c r="J166" s="2">
        <v>39978</v>
      </c>
      <c r="K166">
        <v>86.9</v>
      </c>
    </row>
    <row r="167" spans="1:11" x14ac:dyDescent="0.35">
      <c r="A167" s="2">
        <v>39979</v>
      </c>
      <c r="B167" s="1">
        <v>0</v>
      </c>
      <c r="C167" t="s">
        <v>5345</v>
      </c>
      <c r="D167" t="s">
        <v>5050</v>
      </c>
      <c r="E167" t="s">
        <v>5046</v>
      </c>
      <c r="F167" t="s">
        <v>5168</v>
      </c>
      <c r="G167" t="s">
        <v>5354</v>
      </c>
      <c r="H167" t="s">
        <v>1918</v>
      </c>
      <c r="J167" s="2">
        <v>39979</v>
      </c>
      <c r="K167">
        <v>85.6</v>
      </c>
    </row>
    <row r="168" spans="1:11" x14ac:dyDescent="0.35">
      <c r="A168" s="2">
        <v>39980</v>
      </c>
      <c r="B168" s="1">
        <v>0</v>
      </c>
      <c r="C168" t="s">
        <v>5188</v>
      </c>
      <c r="D168" t="s">
        <v>5046</v>
      </c>
      <c r="E168" t="s">
        <v>5046</v>
      </c>
      <c r="F168" t="s">
        <v>5168</v>
      </c>
      <c r="G168" t="s">
        <v>5354</v>
      </c>
      <c r="H168" t="s">
        <v>1534</v>
      </c>
      <c r="J168" s="2">
        <v>39980</v>
      </c>
      <c r="K168">
        <v>84.7</v>
      </c>
    </row>
    <row r="169" spans="1:11" x14ac:dyDescent="0.35">
      <c r="A169" s="2">
        <v>39981</v>
      </c>
      <c r="B169" s="1">
        <v>0</v>
      </c>
      <c r="C169" t="s">
        <v>5501</v>
      </c>
      <c r="D169" t="s">
        <v>5046</v>
      </c>
      <c r="E169" t="s">
        <v>5046</v>
      </c>
      <c r="F169" t="s">
        <v>5168</v>
      </c>
      <c r="G169" t="s">
        <v>5354</v>
      </c>
      <c r="H169" t="s">
        <v>1527</v>
      </c>
      <c r="J169" s="2">
        <v>39981</v>
      </c>
      <c r="K169">
        <v>84.1</v>
      </c>
    </row>
    <row r="170" spans="1:11" x14ac:dyDescent="0.35">
      <c r="A170" s="2">
        <v>39982</v>
      </c>
      <c r="B170" s="1">
        <v>0</v>
      </c>
      <c r="C170" t="s">
        <v>5158</v>
      </c>
      <c r="D170" t="s">
        <v>5240</v>
      </c>
      <c r="E170" t="s">
        <v>5050</v>
      </c>
      <c r="F170" t="s">
        <v>5168</v>
      </c>
      <c r="G170" t="s">
        <v>5353</v>
      </c>
      <c r="H170" t="s">
        <v>1050</v>
      </c>
      <c r="J170" s="2">
        <v>39982</v>
      </c>
      <c r="K170">
        <v>85.3</v>
      </c>
    </row>
    <row r="171" spans="1:11" x14ac:dyDescent="0.35">
      <c r="A171" s="2">
        <v>39983</v>
      </c>
      <c r="B171" s="1">
        <v>0</v>
      </c>
      <c r="C171" t="s">
        <v>5429</v>
      </c>
      <c r="D171" t="s">
        <v>5412</v>
      </c>
      <c r="E171" t="s">
        <v>5240</v>
      </c>
      <c r="F171" t="s">
        <v>5168</v>
      </c>
      <c r="G171" t="s">
        <v>5346</v>
      </c>
      <c r="H171" t="s">
        <v>1529</v>
      </c>
      <c r="J171" s="2">
        <v>39983</v>
      </c>
      <c r="K171">
        <v>88.8</v>
      </c>
    </row>
    <row r="172" spans="1:11" x14ac:dyDescent="0.35">
      <c r="A172" s="2">
        <v>39984</v>
      </c>
      <c r="B172" s="1">
        <v>0</v>
      </c>
      <c r="C172" t="s">
        <v>5546</v>
      </c>
      <c r="D172" t="s">
        <v>5078</v>
      </c>
      <c r="E172" t="s">
        <v>5054</v>
      </c>
      <c r="F172" t="s">
        <v>5168</v>
      </c>
      <c r="G172" t="s">
        <v>5359</v>
      </c>
      <c r="H172" t="s">
        <v>1866</v>
      </c>
      <c r="J172" s="2">
        <v>39984</v>
      </c>
      <c r="K172">
        <v>92.9</v>
      </c>
    </row>
    <row r="173" spans="1:11" x14ac:dyDescent="0.35">
      <c r="A173" s="2">
        <v>39985</v>
      </c>
      <c r="B173" s="1">
        <v>0</v>
      </c>
      <c r="C173" t="s">
        <v>5053</v>
      </c>
      <c r="D173" t="s">
        <v>5099</v>
      </c>
      <c r="E173" t="s">
        <v>5054</v>
      </c>
      <c r="F173" t="s">
        <v>5168</v>
      </c>
      <c r="G173" t="s">
        <v>5360</v>
      </c>
      <c r="H173" t="s">
        <v>324</v>
      </c>
      <c r="J173" s="2">
        <v>39985</v>
      </c>
      <c r="K173">
        <v>93.7</v>
      </c>
    </row>
    <row r="174" spans="1:11" x14ac:dyDescent="0.35">
      <c r="A174" s="2">
        <v>39986</v>
      </c>
      <c r="B174" s="1">
        <v>0</v>
      </c>
      <c r="C174" t="s">
        <v>5044</v>
      </c>
      <c r="D174" t="s">
        <v>5078</v>
      </c>
      <c r="E174" t="s">
        <v>5054</v>
      </c>
      <c r="F174" t="s">
        <v>5168</v>
      </c>
      <c r="G174" t="s">
        <v>5359</v>
      </c>
      <c r="H174" t="s">
        <v>986</v>
      </c>
      <c r="J174" s="2">
        <v>39986</v>
      </c>
      <c r="K174">
        <v>92.1</v>
      </c>
    </row>
    <row r="175" spans="1:11" x14ac:dyDescent="0.35">
      <c r="A175" s="2">
        <v>39987</v>
      </c>
      <c r="B175" s="1">
        <v>0</v>
      </c>
      <c r="C175" t="s">
        <v>5194</v>
      </c>
      <c r="D175" t="s">
        <v>5065</v>
      </c>
      <c r="E175" t="s">
        <v>5240</v>
      </c>
      <c r="F175" t="s">
        <v>5168</v>
      </c>
      <c r="G175" t="s">
        <v>5343</v>
      </c>
      <c r="H175" t="s">
        <v>323</v>
      </c>
      <c r="J175" s="2">
        <v>39987</v>
      </c>
      <c r="K175">
        <v>89.4</v>
      </c>
    </row>
    <row r="176" spans="1:11" x14ac:dyDescent="0.35">
      <c r="A176" s="2">
        <v>39988</v>
      </c>
      <c r="B176" s="1">
        <v>0</v>
      </c>
      <c r="C176" t="s">
        <v>5149</v>
      </c>
      <c r="D176" t="s">
        <v>5058</v>
      </c>
      <c r="E176" t="s">
        <v>5050</v>
      </c>
      <c r="F176" t="s">
        <v>5168</v>
      </c>
      <c r="G176" t="s">
        <v>5361</v>
      </c>
      <c r="H176" t="s">
        <v>351</v>
      </c>
      <c r="J176" s="2">
        <v>39988</v>
      </c>
      <c r="K176">
        <v>87</v>
      </c>
    </row>
    <row r="177" spans="1:11" x14ac:dyDescent="0.35">
      <c r="A177" s="2">
        <v>39989</v>
      </c>
      <c r="B177" s="1">
        <v>0</v>
      </c>
      <c r="C177" t="s">
        <v>5152</v>
      </c>
      <c r="D177" t="s">
        <v>5054</v>
      </c>
      <c r="E177" t="s">
        <v>5050</v>
      </c>
      <c r="F177" t="s">
        <v>5168</v>
      </c>
      <c r="G177" t="s">
        <v>5349</v>
      </c>
      <c r="H177" t="s">
        <v>337</v>
      </c>
      <c r="J177" s="2">
        <v>39989</v>
      </c>
      <c r="K177">
        <v>85.8</v>
      </c>
    </row>
    <row r="178" spans="1:11" x14ac:dyDescent="0.35">
      <c r="A178" s="2">
        <v>39990</v>
      </c>
      <c r="B178" s="1">
        <v>0</v>
      </c>
      <c r="C178" t="s">
        <v>5166</v>
      </c>
      <c r="D178" t="s">
        <v>5240</v>
      </c>
      <c r="E178" t="s">
        <v>5050</v>
      </c>
      <c r="F178" t="s">
        <v>5168</v>
      </c>
      <c r="G178" t="s">
        <v>5353</v>
      </c>
      <c r="H178" t="s">
        <v>479</v>
      </c>
      <c r="J178" s="2">
        <v>39990</v>
      </c>
      <c r="K178">
        <v>84.9</v>
      </c>
    </row>
    <row r="179" spans="1:11" x14ac:dyDescent="0.35">
      <c r="A179" s="2">
        <v>39991</v>
      </c>
      <c r="B179" s="1">
        <v>0</v>
      </c>
      <c r="C179" t="s">
        <v>5501</v>
      </c>
      <c r="D179" t="s">
        <v>5240</v>
      </c>
      <c r="E179" t="s">
        <v>5046</v>
      </c>
      <c r="F179" t="s">
        <v>5168</v>
      </c>
      <c r="G179" t="s">
        <v>5353</v>
      </c>
      <c r="H179" t="s">
        <v>362</v>
      </c>
      <c r="J179" s="2">
        <v>39991</v>
      </c>
      <c r="K179">
        <v>84.3</v>
      </c>
    </row>
    <row r="180" spans="1:11" x14ac:dyDescent="0.35">
      <c r="A180" s="2">
        <v>39992</v>
      </c>
      <c r="B180" s="1">
        <v>0</v>
      </c>
      <c r="C180" t="s">
        <v>5136</v>
      </c>
      <c r="D180" t="s">
        <v>5050</v>
      </c>
      <c r="E180" t="s">
        <v>5046</v>
      </c>
      <c r="F180" t="s">
        <v>5168</v>
      </c>
      <c r="G180" t="s">
        <v>5353</v>
      </c>
      <c r="H180" t="s">
        <v>3798</v>
      </c>
      <c r="J180" s="2">
        <v>39992</v>
      </c>
      <c r="K180">
        <v>83.8</v>
      </c>
    </row>
    <row r="181" spans="1:11" x14ac:dyDescent="0.35">
      <c r="A181" s="2">
        <v>39993</v>
      </c>
      <c r="B181" s="1">
        <v>0</v>
      </c>
      <c r="C181" t="s">
        <v>5132</v>
      </c>
      <c r="D181" t="s">
        <v>5050</v>
      </c>
      <c r="E181" t="s">
        <v>5046</v>
      </c>
      <c r="F181" t="s">
        <v>5168</v>
      </c>
      <c r="G181" t="s">
        <v>5354</v>
      </c>
      <c r="H181" t="s">
        <v>3800</v>
      </c>
      <c r="J181" s="2">
        <v>39993</v>
      </c>
      <c r="K181">
        <v>83.6</v>
      </c>
    </row>
    <row r="182" spans="1:11" x14ac:dyDescent="0.35">
      <c r="A182" s="2">
        <v>39994</v>
      </c>
      <c r="B182" s="1">
        <v>0</v>
      </c>
      <c r="C182" t="s">
        <v>5356</v>
      </c>
      <c r="D182" t="s">
        <v>5050</v>
      </c>
      <c r="E182" t="s">
        <v>5050</v>
      </c>
      <c r="F182" t="s">
        <v>5168</v>
      </c>
      <c r="G182" t="s">
        <v>5353</v>
      </c>
      <c r="H182" t="s">
        <v>3798</v>
      </c>
      <c r="J182" s="2">
        <v>39994</v>
      </c>
      <c r="K182">
        <v>83.8</v>
      </c>
    </row>
    <row r="183" spans="1:11" x14ac:dyDescent="0.35">
      <c r="A183" t="s">
        <v>369</v>
      </c>
      <c r="B183" s="1">
        <v>0</v>
      </c>
      <c r="C183" t="s">
        <v>5355</v>
      </c>
      <c r="D183" t="s">
        <v>5240</v>
      </c>
      <c r="E183" t="s">
        <v>5240</v>
      </c>
      <c r="F183" t="s">
        <v>5168</v>
      </c>
      <c r="G183" t="s">
        <v>5349</v>
      </c>
      <c r="H183" t="s">
        <v>341</v>
      </c>
      <c r="J183" t="s">
        <v>369</v>
      </c>
      <c r="K183">
        <v>84.4</v>
      </c>
    </row>
    <row r="184" spans="1:11" x14ac:dyDescent="0.35">
      <c r="A184" t="s">
        <v>370</v>
      </c>
      <c r="B184" s="1">
        <v>0</v>
      </c>
      <c r="C184" t="s">
        <v>5342</v>
      </c>
      <c r="D184" t="s">
        <v>5186</v>
      </c>
      <c r="E184" t="s">
        <v>5396</v>
      </c>
      <c r="F184" t="s">
        <v>5364</v>
      </c>
      <c r="G184" t="s">
        <v>5365</v>
      </c>
      <c r="H184" t="s">
        <v>5643</v>
      </c>
      <c r="J184" t="s">
        <v>370</v>
      </c>
      <c r="K184">
        <v>62</v>
      </c>
    </row>
    <row r="185" spans="1:11" x14ac:dyDescent="0.35">
      <c r="A185" t="s">
        <v>373</v>
      </c>
      <c r="B185" s="1">
        <v>0</v>
      </c>
      <c r="C185" t="s">
        <v>5315</v>
      </c>
      <c r="D185" t="s">
        <v>5189</v>
      </c>
      <c r="E185" t="s">
        <v>5396</v>
      </c>
      <c r="F185" t="s">
        <v>5364</v>
      </c>
      <c r="G185" t="s">
        <v>5368</v>
      </c>
      <c r="H185" t="s">
        <v>5578</v>
      </c>
      <c r="J185" t="s">
        <v>373</v>
      </c>
      <c r="K185">
        <v>62.1</v>
      </c>
    </row>
    <row r="186" spans="1:11" x14ac:dyDescent="0.35">
      <c r="A186" t="s">
        <v>375</v>
      </c>
      <c r="B186" s="1">
        <v>0</v>
      </c>
      <c r="C186" t="s">
        <v>5400</v>
      </c>
      <c r="D186" t="s">
        <v>5189</v>
      </c>
      <c r="E186" t="s">
        <v>5562</v>
      </c>
      <c r="F186" t="s">
        <v>5364</v>
      </c>
      <c r="G186" t="s">
        <v>5365</v>
      </c>
      <c r="H186" t="s">
        <v>5514</v>
      </c>
      <c r="J186" t="s">
        <v>375</v>
      </c>
      <c r="K186">
        <v>61.7</v>
      </c>
    </row>
    <row r="187" spans="1:11" x14ac:dyDescent="0.35">
      <c r="A187" t="s">
        <v>378</v>
      </c>
      <c r="B187" s="1">
        <v>0</v>
      </c>
      <c r="C187" t="s">
        <v>5140</v>
      </c>
      <c r="D187" t="s">
        <v>5189</v>
      </c>
      <c r="E187" t="s">
        <v>5562</v>
      </c>
      <c r="F187" t="s">
        <v>5364</v>
      </c>
      <c r="G187" t="s">
        <v>5371</v>
      </c>
      <c r="H187" t="s">
        <v>5506</v>
      </c>
      <c r="J187" t="s">
        <v>378</v>
      </c>
      <c r="K187">
        <v>61.2</v>
      </c>
    </row>
    <row r="188" spans="1:11" x14ac:dyDescent="0.35">
      <c r="A188" t="s">
        <v>381</v>
      </c>
      <c r="B188" s="1">
        <v>0</v>
      </c>
      <c r="C188" t="s">
        <v>5334</v>
      </c>
      <c r="D188" t="s">
        <v>5357</v>
      </c>
      <c r="E188" t="s">
        <v>5562</v>
      </c>
      <c r="F188" t="s">
        <v>5364</v>
      </c>
      <c r="G188" t="s">
        <v>5371</v>
      </c>
      <c r="H188" t="s">
        <v>5231</v>
      </c>
      <c r="J188" t="s">
        <v>381</v>
      </c>
      <c r="K188">
        <v>60.8</v>
      </c>
    </row>
    <row r="189" spans="1:11" x14ac:dyDescent="0.35">
      <c r="A189" t="s">
        <v>384</v>
      </c>
      <c r="B189" s="1">
        <v>0</v>
      </c>
      <c r="C189" t="s">
        <v>5334</v>
      </c>
      <c r="D189" t="s">
        <v>5357</v>
      </c>
      <c r="E189" t="s">
        <v>5409</v>
      </c>
      <c r="F189" t="s">
        <v>5364</v>
      </c>
      <c r="G189" t="s">
        <v>5372</v>
      </c>
      <c r="H189" t="s">
        <v>5580</v>
      </c>
      <c r="J189" t="s">
        <v>384</v>
      </c>
      <c r="K189">
        <v>60.7</v>
      </c>
    </row>
    <row r="190" spans="1:11" x14ac:dyDescent="0.35">
      <c r="A190" t="s">
        <v>387</v>
      </c>
      <c r="B190" s="1">
        <v>0</v>
      </c>
      <c r="C190" t="s">
        <v>5334</v>
      </c>
      <c r="D190" t="s">
        <v>5357</v>
      </c>
      <c r="E190" t="s">
        <v>5409</v>
      </c>
      <c r="F190" t="s">
        <v>5364</v>
      </c>
      <c r="G190" t="s">
        <v>5372</v>
      </c>
      <c r="H190" t="s">
        <v>5580</v>
      </c>
      <c r="J190" t="s">
        <v>387</v>
      </c>
      <c r="K190">
        <v>60.7</v>
      </c>
    </row>
    <row r="191" spans="1:11" x14ac:dyDescent="0.35">
      <c r="A191" t="s">
        <v>389</v>
      </c>
      <c r="B191" s="1">
        <v>0</v>
      </c>
      <c r="C191" t="s">
        <v>5334</v>
      </c>
      <c r="D191" t="s">
        <v>5357</v>
      </c>
      <c r="E191" t="s">
        <v>5409</v>
      </c>
      <c r="F191" t="s">
        <v>5364</v>
      </c>
      <c r="G191" t="s">
        <v>5372</v>
      </c>
      <c r="H191" t="s">
        <v>5586</v>
      </c>
      <c r="J191" t="s">
        <v>389</v>
      </c>
      <c r="K191">
        <v>60.6</v>
      </c>
    </row>
    <row r="192" spans="1:11" x14ac:dyDescent="0.35">
      <c r="A192" t="s">
        <v>391</v>
      </c>
      <c r="B192" s="1">
        <v>0</v>
      </c>
      <c r="C192" t="s">
        <v>5411</v>
      </c>
      <c r="D192" t="s">
        <v>5357</v>
      </c>
      <c r="E192" t="s">
        <v>5409</v>
      </c>
      <c r="F192" t="s">
        <v>5364</v>
      </c>
      <c r="G192" t="s">
        <v>5372</v>
      </c>
      <c r="H192" t="s">
        <v>5134</v>
      </c>
      <c r="J192" t="s">
        <v>391</v>
      </c>
      <c r="K192">
        <v>60.5</v>
      </c>
    </row>
    <row r="193" spans="1:11" x14ac:dyDescent="0.35">
      <c r="A193" t="s">
        <v>393</v>
      </c>
      <c r="B193" s="1">
        <v>0</v>
      </c>
      <c r="C193" t="s">
        <v>5337</v>
      </c>
      <c r="D193" t="s">
        <v>5357</v>
      </c>
      <c r="E193" t="s">
        <v>5409</v>
      </c>
      <c r="F193" t="s">
        <v>5364</v>
      </c>
      <c r="G193" t="s">
        <v>5372</v>
      </c>
      <c r="H193" t="s">
        <v>5130</v>
      </c>
      <c r="J193" t="s">
        <v>393</v>
      </c>
      <c r="K193">
        <v>60.3</v>
      </c>
    </row>
    <row r="194" spans="1:11" x14ac:dyDescent="0.35">
      <c r="A194" t="s">
        <v>396</v>
      </c>
      <c r="B194" s="1">
        <v>0</v>
      </c>
      <c r="C194" t="s">
        <v>5339</v>
      </c>
      <c r="D194" t="s">
        <v>5357</v>
      </c>
      <c r="E194" t="s">
        <v>5409</v>
      </c>
      <c r="F194" t="s">
        <v>5364</v>
      </c>
      <c r="G194" t="s">
        <v>5375</v>
      </c>
      <c r="H194" t="s">
        <v>5616</v>
      </c>
      <c r="J194" t="s">
        <v>396</v>
      </c>
      <c r="K194">
        <v>60.2</v>
      </c>
    </row>
    <row r="195" spans="1:11" x14ac:dyDescent="0.35">
      <c r="A195" t="s">
        <v>398</v>
      </c>
      <c r="B195" s="1">
        <v>0</v>
      </c>
      <c r="C195" t="s">
        <v>5337</v>
      </c>
      <c r="D195" t="s">
        <v>5357</v>
      </c>
      <c r="E195" t="s">
        <v>5409</v>
      </c>
      <c r="F195" t="s">
        <v>5364</v>
      </c>
      <c r="G195" t="s">
        <v>5375</v>
      </c>
      <c r="H195" t="s">
        <v>5130</v>
      </c>
      <c r="J195" t="s">
        <v>398</v>
      </c>
      <c r="K195">
        <v>60.3</v>
      </c>
    </row>
    <row r="196" spans="1:11" x14ac:dyDescent="0.35">
      <c r="A196" t="s">
        <v>400</v>
      </c>
      <c r="B196" s="1">
        <v>0</v>
      </c>
      <c r="C196" t="s">
        <v>5153</v>
      </c>
      <c r="D196" t="s">
        <v>5357</v>
      </c>
      <c r="E196" t="s">
        <v>5409</v>
      </c>
      <c r="F196" t="s">
        <v>5364</v>
      </c>
      <c r="G196" t="s">
        <v>5372</v>
      </c>
      <c r="H196" t="s">
        <v>5580</v>
      </c>
      <c r="J196" t="s">
        <v>400</v>
      </c>
      <c r="K196">
        <v>60.7</v>
      </c>
    </row>
    <row r="197" spans="1:11" x14ac:dyDescent="0.35">
      <c r="A197" t="s">
        <v>401</v>
      </c>
      <c r="B197" s="1">
        <v>0</v>
      </c>
      <c r="C197" t="s">
        <v>5315</v>
      </c>
      <c r="D197" t="s">
        <v>5186</v>
      </c>
      <c r="E197" t="s">
        <v>5562</v>
      </c>
      <c r="F197" t="s">
        <v>5364</v>
      </c>
      <c r="G197" t="s">
        <v>5372</v>
      </c>
      <c r="H197" t="s">
        <v>5587</v>
      </c>
      <c r="J197" t="s">
        <v>401</v>
      </c>
      <c r="K197">
        <v>61.8</v>
      </c>
    </row>
    <row r="198" spans="1:11" x14ac:dyDescent="0.35">
      <c r="A198" t="s">
        <v>403</v>
      </c>
      <c r="B198" s="1">
        <v>0</v>
      </c>
      <c r="C198" t="s">
        <v>5207</v>
      </c>
      <c r="D198" t="s">
        <v>5177</v>
      </c>
      <c r="E198" t="s">
        <v>5399</v>
      </c>
      <c r="F198" t="s">
        <v>5364</v>
      </c>
      <c r="G198" t="s">
        <v>5371</v>
      </c>
      <c r="H198" t="s">
        <v>5469</v>
      </c>
      <c r="J198" t="s">
        <v>403</v>
      </c>
      <c r="K198">
        <v>63.7</v>
      </c>
    </row>
    <row r="199" spans="1:11" x14ac:dyDescent="0.35">
      <c r="A199" t="s">
        <v>406</v>
      </c>
      <c r="B199" s="1">
        <v>0</v>
      </c>
      <c r="C199" t="s">
        <v>5412</v>
      </c>
      <c r="D199" t="s">
        <v>5337</v>
      </c>
      <c r="E199" t="s">
        <v>5404</v>
      </c>
      <c r="F199" t="s">
        <v>5364</v>
      </c>
      <c r="G199" t="s">
        <v>5371</v>
      </c>
      <c r="H199" t="s">
        <v>5265</v>
      </c>
      <c r="J199" t="s">
        <v>406</v>
      </c>
      <c r="K199">
        <v>65.900000000000006</v>
      </c>
    </row>
    <row r="200" spans="1:11" x14ac:dyDescent="0.35">
      <c r="A200" t="s">
        <v>408</v>
      </c>
      <c r="B200" s="1">
        <v>0</v>
      </c>
      <c r="C200" t="s">
        <v>5183</v>
      </c>
      <c r="D200" t="s">
        <v>5153</v>
      </c>
      <c r="E200" t="s">
        <v>5357</v>
      </c>
      <c r="F200" t="s">
        <v>5364</v>
      </c>
      <c r="G200" t="s">
        <v>5365</v>
      </c>
      <c r="H200" t="s">
        <v>5401</v>
      </c>
      <c r="J200" t="s">
        <v>408</v>
      </c>
      <c r="K200">
        <v>66.8</v>
      </c>
    </row>
    <row r="201" spans="1:11" x14ac:dyDescent="0.35">
      <c r="A201" t="s">
        <v>411</v>
      </c>
      <c r="B201" s="1">
        <v>0</v>
      </c>
      <c r="C201" t="s">
        <v>5412</v>
      </c>
      <c r="D201" t="s">
        <v>5334</v>
      </c>
      <c r="E201" t="s">
        <v>5405</v>
      </c>
      <c r="F201" t="s">
        <v>5364</v>
      </c>
      <c r="G201" t="s">
        <v>5371</v>
      </c>
      <c r="H201" t="s">
        <v>5561</v>
      </c>
      <c r="J201" t="s">
        <v>411</v>
      </c>
      <c r="K201">
        <v>66.2</v>
      </c>
    </row>
    <row r="202" spans="1:11" x14ac:dyDescent="0.35">
      <c r="A202" t="s">
        <v>414</v>
      </c>
      <c r="B202" s="1">
        <v>0</v>
      </c>
      <c r="C202" t="s">
        <v>5172</v>
      </c>
      <c r="D202" t="s">
        <v>5339</v>
      </c>
      <c r="E202" t="s">
        <v>5419</v>
      </c>
      <c r="F202" t="s">
        <v>5364</v>
      </c>
      <c r="G202" t="s">
        <v>5371</v>
      </c>
      <c r="H202" t="s">
        <v>5639</v>
      </c>
      <c r="J202" t="s">
        <v>414</v>
      </c>
      <c r="K202">
        <v>64.7</v>
      </c>
    </row>
    <row r="203" spans="1:11" x14ac:dyDescent="0.35">
      <c r="A203" t="s">
        <v>416</v>
      </c>
      <c r="B203" s="1">
        <v>0</v>
      </c>
      <c r="C203" t="s">
        <v>5294</v>
      </c>
      <c r="D203" t="s">
        <v>5348</v>
      </c>
      <c r="E203" t="s">
        <v>5399</v>
      </c>
      <c r="F203" t="s">
        <v>5364</v>
      </c>
      <c r="G203" t="s">
        <v>5372</v>
      </c>
      <c r="H203" t="s">
        <v>5615</v>
      </c>
      <c r="J203" t="s">
        <v>416</v>
      </c>
      <c r="K203">
        <v>63.1</v>
      </c>
    </row>
    <row r="204" spans="1:11" x14ac:dyDescent="0.35">
      <c r="A204" t="s">
        <v>419</v>
      </c>
      <c r="B204" s="1">
        <v>0</v>
      </c>
      <c r="C204" t="s">
        <v>5400</v>
      </c>
      <c r="D204" t="s">
        <v>5180</v>
      </c>
      <c r="E204" t="s">
        <v>5395</v>
      </c>
      <c r="F204" t="s">
        <v>5364</v>
      </c>
      <c r="G204" t="s">
        <v>5372</v>
      </c>
      <c r="H204" t="s">
        <v>5643</v>
      </c>
      <c r="J204" t="s">
        <v>419</v>
      </c>
      <c r="K204">
        <v>62</v>
      </c>
    </row>
    <row r="205" spans="1:11" x14ac:dyDescent="0.35">
      <c r="A205" t="s">
        <v>421</v>
      </c>
      <c r="B205" s="1">
        <v>0</v>
      </c>
      <c r="C205" t="s">
        <v>5432</v>
      </c>
      <c r="D205" t="s">
        <v>5195</v>
      </c>
      <c r="E205" t="s">
        <v>5396</v>
      </c>
      <c r="F205" t="s">
        <v>5364</v>
      </c>
      <c r="G205" t="s">
        <v>5372</v>
      </c>
      <c r="H205" t="s">
        <v>5479</v>
      </c>
      <c r="J205" t="s">
        <v>421</v>
      </c>
      <c r="K205">
        <v>61.3</v>
      </c>
    </row>
    <row r="206" spans="1:11" x14ac:dyDescent="0.35">
      <c r="A206" t="s">
        <v>422</v>
      </c>
      <c r="B206" s="1">
        <v>0</v>
      </c>
      <c r="C206" t="s">
        <v>5334</v>
      </c>
      <c r="D206" t="s">
        <v>5186</v>
      </c>
      <c r="E206" t="s">
        <v>5562</v>
      </c>
      <c r="F206" t="s">
        <v>5364</v>
      </c>
      <c r="G206" t="s">
        <v>5375</v>
      </c>
      <c r="H206" t="s">
        <v>5629</v>
      </c>
      <c r="J206" t="s">
        <v>422</v>
      </c>
      <c r="K206">
        <v>60.9</v>
      </c>
    </row>
    <row r="207" spans="1:11" x14ac:dyDescent="0.35">
      <c r="A207" t="s">
        <v>424</v>
      </c>
      <c r="B207" s="1">
        <v>0</v>
      </c>
      <c r="C207" t="s">
        <v>5337</v>
      </c>
      <c r="D207" t="s">
        <v>5186</v>
      </c>
      <c r="E207" t="s">
        <v>5562</v>
      </c>
      <c r="F207" t="s">
        <v>5364</v>
      </c>
      <c r="G207" t="s">
        <v>5375</v>
      </c>
      <c r="H207" t="s">
        <v>5586</v>
      </c>
      <c r="J207" t="s">
        <v>424</v>
      </c>
      <c r="K207">
        <v>60.6</v>
      </c>
    </row>
    <row r="208" spans="1:11" x14ac:dyDescent="0.35">
      <c r="A208" t="s">
        <v>426</v>
      </c>
      <c r="B208" s="1">
        <v>0</v>
      </c>
      <c r="C208" t="s">
        <v>5315</v>
      </c>
      <c r="D208" t="s">
        <v>5189</v>
      </c>
      <c r="E208" t="s">
        <v>5562</v>
      </c>
      <c r="F208" t="s">
        <v>5364</v>
      </c>
      <c r="G208" t="s">
        <v>5372</v>
      </c>
      <c r="H208" t="s">
        <v>5514</v>
      </c>
      <c r="J208" t="s">
        <v>426</v>
      </c>
      <c r="K208">
        <v>61.7</v>
      </c>
    </row>
    <row r="209" spans="1:11" x14ac:dyDescent="0.35">
      <c r="A209" t="s">
        <v>429</v>
      </c>
      <c r="B209" s="1">
        <v>0</v>
      </c>
      <c r="C209" t="s">
        <v>5215</v>
      </c>
      <c r="D209" t="s">
        <v>5186</v>
      </c>
      <c r="E209" t="s">
        <v>5409</v>
      </c>
      <c r="F209" t="s">
        <v>5364</v>
      </c>
      <c r="G209" t="s">
        <v>5371</v>
      </c>
      <c r="H209" t="s">
        <v>5651</v>
      </c>
      <c r="J209" t="s">
        <v>429</v>
      </c>
      <c r="K209">
        <v>64.599999999999994</v>
      </c>
    </row>
    <row r="210" spans="1:11" x14ac:dyDescent="0.35">
      <c r="A210" t="s">
        <v>431</v>
      </c>
      <c r="B210" s="1">
        <v>0</v>
      </c>
      <c r="C210" t="s">
        <v>5331</v>
      </c>
      <c r="D210" t="s">
        <v>5186</v>
      </c>
      <c r="E210" t="s">
        <v>5409</v>
      </c>
      <c r="F210" t="s">
        <v>5364</v>
      </c>
      <c r="G210" t="s">
        <v>5365</v>
      </c>
      <c r="H210" t="s">
        <v>428</v>
      </c>
      <c r="J210" t="s">
        <v>431</v>
      </c>
      <c r="K210">
        <v>68</v>
      </c>
    </row>
    <row r="211" spans="1:11" x14ac:dyDescent="0.35">
      <c r="A211" t="s">
        <v>432</v>
      </c>
      <c r="B211" s="1">
        <v>0</v>
      </c>
      <c r="C211" t="s">
        <v>5336</v>
      </c>
      <c r="D211" t="s">
        <v>5195</v>
      </c>
      <c r="E211" t="s">
        <v>5409</v>
      </c>
      <c r="F211" t="s">
        <v>5364</v>
      </c>
      <c r="G211" t="s">
        <v>5368</v>
      </c>
      <c r="H211" t="s">
        <v>437</v>
      </c>
      <c r="J211" t="s">
        <v>432</v>
      </c>
      <c r="K211">
        <v>68.599999999999994</v>
      </c>
    </row>
    <row r="212" spans="1:11" x14ac:dyDescent="0.35">
      <c r="A212" t="s">
        <v>434</v>
      </c>
      <c r="B212" s="1">
        <v>0</v>
      </c>
      <c r="C212" t="s">
        <v>5205</v>
      </c>
      <c r="D212" t="s">
        <v>5186</v>
      </c>
      <c r="E212" t="s">
        <v>5409</v>
      </c>
      <c r="F212" t="s">
        <v>5364</v>
      </c>
      <c r="G212" t="s">
        <v>5365</v>
      </c>
      <c r="H212" t="s">
        <v>383</v>
      </c>
      <c r="J212" t="s">
        <v>434</v>
      </c>
      <c r="K212">
        <v>67.3</v>
      </c>
    </row>
    <row r="213" spans="1:11" x14ac:dyDescent="0.35">
      <c r="A213" t="s">
        <v>436</v>
      </c>
      <c r="B213" s="1">
        <v>0</v>
      </c>
      <c r="C213" t="s">
        <v>5082</v>
      </c>
      <c r="D213" t="s">
        <v>5186</v>
      </c>
      <c r="E213" t="s">
        <v>5409</v>
      </c>
      <c r="F213" t="s">
        <v>5364</v>
      </c>
      <c r="G213" t="s">
        <v>5365</v>
      </c>
      <c r="H213" t="s">
        <v>5408</v>
      </c>
      <c r="J213" t="s">
        <v>436</v>
      </c>
      <c r="K213">
        <v>65.099999999999994</v>
      </c>
    </row>
    <row r="214" spans="1:11" x14ac:dyDescent="0.35">
      <c r="A214" s="2">
        <v>40026</v>
      </c>
      <c r="B214" s="1">
        <v>0</v>
      </c>
      <c r="C214" t="s">
        <v>5174</v>
      </c>
      <c r="D214" t="s">
        <v>5189</v>
      </c>
      <c r="E214" t="s">
        <v>5409</v>
      </c>
      <c r="F214" t="s">
        <v>5364</v>
      </c>
      <c r="G214" t="s">
        <v>5371</v>
      </c>
      <c r="H214" t="s">
        <v>5502</v>
      </c>
      <c r="J214" s="2">
        <v>40026</v>
      </c>
      <c r="K214">
        <v>63.2</v>
      </c>
    </row>
    <row r="215" spans="1:11" x14ac:dyDescent="0.35">
      <c r="A215" s="2">
        <v>40027</v>
      </c>
      <c r="B215" s="1">
        <v>0</v>
      </c>
      <c r="C215" t="s">
        <v>5358</v>
      </c>
      <c r="D215" t="s">
        <v>5339</v>
      </c>
      <c r="E215" t="s">
        <v>5357</v>
      </c>
      <c r="F215" t="s">
        <v>5383</v>
      </c>
      <c r="G215" t="s">
        <v>5879</v>
      </c>
      <c r="H215" t="s">
        <v>993</v>
      </c>
      <c r="J215" s="2">
        <v>40027</v>
      </c>
      <c r="K215">
        <v>69.7</v>
      </c>
    </row>
    <row r="216" spans="1:11" x14ac:dyDescent="0.35">
      <c r="A216" s="2">
        <v>40028</v>
      </c>
      <c r="B216" s="1">
        <v>0</v>
      </c>
      <c r="C216" t="s">
        <v>5047</v>
      </c>
      <c r="D216" t="s">
        <v>5411</v>
      </c>
      <c r="E216" t="s">
        <v>5189</v>
      </c>
      <c r="F216" t="s">
        <v>5383</v>
      </c>
      <c r="G216" t="s">
        <v>5880</v>
      </c>
      <c r="H216" t="s">
        <v>3496</v>
      </c>
      <c r="J216" s="2">
        <v>40028</v>
      </c>
      <c r="K216">
        <v>75.2</v>
      </c>
    </row>
    <row r="217" spans="1:11" x14ac:dyDescent="0.35">
      <c r="A217" s="2">
        <v>40029</v>
      </c>
      <c r="B217" s="1">
        <v>0</v>
      </c>
      <c r="C217" t="s">
        <v>5328</v>
      </c>
      <c r="D217" t="s">
        <v>5153</v>
      </c>
      <c r="E217" t="s">
        <v>5189</v>
      </c>
      <c r="F217" t="s">
        <v>5383</v>
      </c>
      <c r="G217" t="s">
        <v>5364</v>
      </c>
      <c r="H217" t="s">
        <v>1533</v>
      </c>
      <c r="J217" s="2">
        <v>40029</v>
      </c>
      <c r="K217">
        <v>81.7</v>
      </c>
    </row>
    <row r="218" spans="1:11" x14ac:dyDescent="0.35">
      <c r="A218" s="2">
        <v>40030</v>
      </c>
      <c r="B218" s="1">
        <v>0</v>
      </c>
      <c r="C218" t="s">
        <v>5422</v>
      </c>
      <c r="D218" t="s">
        <v>5140</v>
      </c>
      <c r="E218" t="s">
        <v>5189</v>
      </c>
      <c r="F218" t="s">
        <v>5383</v>
      </c>
      <c r="G218" t="s">
        <v>5367</v>
      </c>
      <c r="H218" t="s">
        <v>363</v>
      </c>
      <c r="J218" s="2">
        <v>40030</v>
      </c>
      <c r="K218">
        <v>83.3</v>
      </c>
    </row>
    <row r="219" spans="1:11" x14ac:dyDescent="0.35">
      <c r="A219" s="2">
        <v>40031</v>
      </c>
      <c r="B219" s="1">
        <v>0</v>
      </c>
      <c r="C219" t="s">
        <v>5181</v>
      </c>
      <c r="D219" t="s">
        <v>5144</v>
      </c>
      <c r="E219" t="s">
        <v>5189</v>
      </c>
      <c r="F219" t="s">
        <v>5383</v>
      </c>
      <c r="G219" t="s">
        <v>5881</v>
      </c>
      <c r="H219" t="s">
        <v>443</v>
      </c>
      <c r="J219" s="2">
        <v>40031</v>
      </c>
      <c r="K219">
        <v>81.599999999999994</v>
      </c>
    </row>
    <row r="220" spans="1:11" x14ac:dyDescent="0.35">
      <c r="A220" s="2">
        <v>40032</v>
      </c>
      <c r="B220" s="1">
        <v>0</v>
      </c>
      <c r="C220" t="s">
        <v>5049</v>
      </c>
      <c r="D220" t="s">
        <v>5330</v>
      </c>
      <c r="E220" t="s">
        <v>5189</v>
      </c>
      <c r="F220" t="s">
        <v>5383</v>
      </c>
      <c r="G220" t="s">
        <v>5882</v>
      </c>
      <c r="H220" t="s">
        <v>441</v>
      </c>
      <c r="J220" s="2">
        <v>40032</v>
      </c>
      <c r="K220">
        <v>78.400000000000006</v>
      </c>
    </row>
    <row r="221" spans="1:11" x14ac:dyDescent="0.35">
      <c r="A221" s="2">
        <v>40033</v>
      </c>
      <c r="B221" s="1">
        <v>0</v>
      </c>
      <c r="C221" t="s">
        <v>5526</v>
      </c>
      <c r="D221" t="s">
        <v>5342</v>
      </c>
      <c r="E221" t="s">
        <v>5186</v>
      </c>
      <c r="F221" t="s">
        <v>5383</v>
      </c>
      <c r="G221" t="s">
        <v>5883</v>
      </c>
      <c r="H221" t="s">
        <v>1016</v>
      </c>
      <c r="J221" s="2">
        <v>40033</v>
      </c>
      <c r="K221">
        <v>75</v>
      </c>
    </row>
    <row r="222" spans="1:11" x14ac:dyDescent="0.35">
      <c r="A222" s="2">
        <v>40034</v>
      </c>
      <c r="B222" s="1">
        <v>0</v>
      </c>
      <c r="C222" t="s">
        <v>5155</v>
      </c>
      <c r="D222" t="s">
        <v>5297</v>
      </c>
      <c r="E222" t="s">
        <v>5186</v>
      </c>
      <c r="F222" t="s">
        <v>5383</v>
      </c>
      <c r="G222" t="s">
        <v>5879</v>
      </c>
      <c r="H222" t="s">
        <v>1027</v>
      </c>
      <c r="J222" s="2">
        <v>40034</v>
      </c>
      <c r="K222">
        <v>72.7</v>
      </c>
    </row>
    <row r="223" spans="1:11" x14ac:dyDescent="0.35">
      <c r="A223" s="2">
        <v>40035</v>
      </c>
      <c r="B223" s="1">
        <v>0</v>
      </c>
      <c r="C223" t="s">
        <v>5110</v>
      </c>
      <c r="D223" t="s">
        <v>5342</v>
      </c>
      <c r="E223" t="s">
        <v>5186</v>
      </c>
      <c r="F223" t="s">
        <v>5383</v>
      </c>
      <c r="G223" t="s">
        <v>5884</v>
      </c>
      <c r="H223" t="s">
        <v>379</v>
      </c>
      <c r="J223" s="2">
        <v>40035</v>
      </c>
      <c r="K223">
        <v>70.599999999999994</v>
      </c>
    </row>
    <row r="224" spans="1:11" x14ac:dyDescent="0.35">
      <c r="A224" s="2">
        <v>40036</v>
      </c>
      <c r="B224" s="1">
        <v>0</v>
      </c>
      <c r="C224" t="s">
        <v>5058</v>
      </c>
      <c r="D224" t="s">
        <v>5397</v>
      </c>
      <c r="E224" t="s">
        <v>5186</v>
      </c>
      <c r="F224" t="s">
        <v>5383</v>
      </c>
      <c r="G224" t="s">
        <v>5885</v>
      </c>
      <c r="H224" t="s">
        <v>5465</v>
      </c>
      <c r="J224" s="2">
        <v>40036</v>
      </c>
      <c r="K224">
        <v>68.8</v>
      </c>
    </row>
    <row r="225" spans="1:11" x14ac:dyDescent="0.35">
      <c r="A225" s="2">
        <v>40037</v>
      </c>
      <c r="B225" s="1">
        <v>0</v>
      </c>
      <c r="C225" t="s">
        <v>5124</v>
      </c>
      <c r="D225" t="s">
        <v>5330</v>
      </c>
      <c r="E225" t="s">
        <v>5184</v>
      </c>
      <c r="F225" t="s">
        <v>5383</v>
      </c>
      <c r="G225" t="s">
        <v>5884</v>
      </c>
      <c r="H225" t="s">
        <v>394</v>
      </c>
      <c r="J225" s="2">
        <v>40037</v>
      </c>
      <c r="K225">
        <v>70.099999999999994</v>
      </c>
    </row>
    <row r="226" spans="1:11" x14ac:dyDescent="0.35">
      <c r="A226" s="2">
        <v>40038</v>
      </c>
      <c r="B226" s="1">
        <v>0</v>
      </c>
      <c r="C226" t="s">
        <v>5336</v>
      </c>
      <c r="D226" t="s">
        <v>5226</v>
      </c>
      <c r="E226" t="s">
        <v>5164</v>
      </c>
      <c r="F226" t="s">
        <v>5383</v>
      </c>
      <c r="G226" t="s">
        <v>5883</v>
      </c>
      <c r="H226" t="s">
        <v>1879</v>
      </c>
      <c r="J226" s="2">
        <v>40038</v>
      </c>
      <c r="K226">
        <v>75.3</v>
      </c>
    </row>
    <row r="227" spans="1:11" x14ac:dyDescent="0.35">
      <c r="A227" s="2">
        <v>40039</v>
      </c>
      <c r="B227" s="1">
        <v>0</v>
      </c>
      <c r="C227" t="s">
        <v>5044</v>
      </c>
      <c r="D227" t="s">
        <v>5412</v>
      </c>
      <c r="E227" t="s">
        <v>5153</v>
      </c>
      <c r="F227" t="s">
        <v>5383</v>
      </c>
      <c r="G227" t="s">
        <v>5882</v>
      </c>
      <c r="H227" t="s">
        <v>4381</v>
      </c>
      <c r="J227" s="2">
        <v>40039</v>
      </c>
      <c r="K227">
        <v>81.8</v>
      </c>
    </row>
    <row r="228" spans="1:11" x14ac:dyDescent="0.35">
      <c r="A228" s="2">
        <v>40040</v>
      </c>
      <c r="B228" s="1">
        <v>0</v>
      </c>
      <c r="C228" t="s">
        <v>5052</v>
      </c>
      <c r="D228" t="s">
        <v>5092</v>
      </c>
      <c r="E228" t="s">
        <v>5400</v>
      </c>
      <c r="F228" t="s">
        <v>5383</v>
      </c>
      <c r="G228" t="s">
        <v>5881</v>
      </c>
      <c r="H228" t="s">
        <v>348</v>
      </c>
      <c r="J228" s="2">
        <v>40040</v>
      </c>
      <c r="K228">
        <v>86.6</v>
      </c>
    </row>
    <row r="229" spans="1:11" x14ac:dyDescent="0.35">
      <c r="A229" s="2">
        <v>40041</v>
      </c>
      <c r="B229" s="1">
        <v>0</v>
      </c>
      <c r="C229" t="s">
        <v>5428</v>
      </c>
      <c r="D229" t="s">
        <v>5333</v>
      </c>
      <c r="E229" t="s">
        <v>5312</v>
      </c>
      <c r="F229" t="s">
        <v>5383</v>
      </c>
      <c r="G229" t="s">
        <v>5364</v>
      </c>
      <c r="H229" t="s">
        <v>1537</v>
      </c>
      <c r="J229" s="2">
        <v>40041</v>
      </c>
      <c r="K229">
        <v>91.6</v>
      </c>
    </row>
    <row r="230" spans="1:11" x14ac:dyDescent="0.35">
      <c r="A230" s="2">
        <v>40042</v>
      </c>
      <c r="B230" s="1">
        <v>0</v>
      </c>
      <c r="C230" t="s">
        <v>5208</v>
      </c>
      <c r="D230" t="s">
        <v>5347</v>
      </c>
      <c r="E230" t="s">
        <v>5288</v>
      </c>
      <c r="F230" t="s">
        <v>5383</v>
      </c>
      <c r="G230" t="s">
        <v>5363</v>
      </c>
      <c r="H230" t="s">
        <v>1472</v>
      </c>
      <c r="J230" s="2">
        <v>40042</v>
      </c>
      <c r="K230">
        <v>95.6</v>
      </c>
    </row>
    <row r="231" spans="1:11" x14ac:dyDescent="0.35">
      <c r="A231" s="2">
        <v>40043</v>
      </c>
      <c r="B231" s="1">
        <v>0</v>
      </c>
      <c r="C231" t="s">
        <v>5173</v>
      </c>
      <c r="D231" t="s">
        <v>5166</v>
      </c>
      <c r="E231" t="s">
        <v>5309</v>
      </c>
      <c r="F231" t="s">
        <v>5383</v>
      </c>
      <c r="G231" t="s">
        <v>5364</v>
      </c>
      <c r="H231" t="s">
        <v>339</v>
      </c>
      <c r="J231" s="2">
        <v>40043</v>
      </c>
      <c r="K231">
        <v>93.2</v>
      </c>
    </row>
    <row r="232" spans="1:11" x14ac:dyDescent="0.35">
      <c r="A232" s="2">
        <v>40044</v>
      </c>
      <c r="B232" s="1">
        <v>0</v>
      </c>
      <c r="C232" t="s">
        <v>5418</v>
      </c>
      <c r="D232" t="s">
        <v>5089</v>
      </c>
      <c r="E232" t="s">
        <v>5342</v>
      </c>
      <c r="F232" t="s">
        <v>5383</v>
      </c>
      <c r="G232" t="s">
        <v>5881</v>
      </c>
      <c r="H232" t="s">
        <v>342</v>
      </c>
      <c r="J232" s="2">
        <v>40044</v>
      </c>
      <c r="K232">
        <v>87.8</v>
      </c>
    </row>
    <row r="233" spans="1:11" x14ac:dyDescent="0.35">
      <c r="A233" s="2">
        <v>40045</v>
      </c>
      <c r="B233" s="1">
        <v>0</v>
      </c>
      <c r="C233" t="s">
        <v>5139</v>
      </c>
      <c r="D233" t="s">
        <v>5065</v>
      </c>
      <c r="E233" t="s">
        <v>5432</v>
      </c>
      <c r="F233" t="s">
        <v>5383</v>
      </c>
      <c r="G233" t="s">
        <v>5880</v>
      </c>
      <c r="H233" t="s">
        <v>1524</v>
      </c>
      <c r="J233" s="2">
        <v>40045</v>
      </c>
      <c r="K233">
        <v>80.900000000000006</v>
      </c>
    </row>
    <row r="234" spans="1:11" x14ac:dyDescent="0.35">
      <c r="A234" s="2">
        <v>40046</v>
      </c>
      <c r="B234" s="1">
        <v>0</v>
      </c>
      <c r="C234" t="s">
        <v>5147</v>
      </c>
      <c r="D234" t="s">
        <v>5240</v>
      </c>
      <c r="E234" t="s">
        <v>5411</v>
      </c>
      <c r="F234" t="s">
        <v>5383</v>
      </c>
      <c r="G234" t="s">
        <v>5886</v>
      </c>
      <c r="H234" t="s">
        <v>2602</v>
      </c>
      <c r="J234" s="2">
        <v>40046</v>
      </c>
      <c r="K234">
        <v>77.900000000000006</v>
      </c>
    </row>
    <row r="235" spans="1:11" x14ac:dyDescent="0.35">
      <c r="A235" s="2">
        <v>40047</v>
      </c>
      <c r="B235" s="1">
        <v>0</v>
      </c>
      <c r="C235" t="s">
        <v>5302</v>
      </c>
      <c r="D235" t="s">
        <v>5116</v>
      </c>
      <c r="E235" t="s">
        <v>5397</v>
      </c>
      <c r="F235" t="s">
        <v>5383</v>
      </c>
      <c r="G235" t="s">
        <v>5880</v>
      </c>
      <c r="H235" t="s">
        <v>448</v>
      </c>
      <c r="J235" s="2">
        <v>40047</v>
      </c>
      <c r="K235">
        <v>83.7</v>
      </c>
    </row>
    <row r="236" spans="1:11" x14ac:dyDescent="0.35">
      <c r="A236" s="2">
        <v>40048</v>
      </c>
      <c r="B236" s="1">
        <v>0</v>
      </c>
      <c r="C236" t="s">
        <v>5068</v>
      </c>
      <c r="D236" t="s">
        <v>5161</v>
      </c>
      <c r="E236" t="s">
        <v>5321</v>
      </c>
      <c r="F236" t="s">
        <v>5383</v>
      </c>
      <c r="G236" t="s">
        <v>5364</v>
      </c>
      <c r="H236" t="s">
        <v>2605</v>
      </c>
      <c r="J236" s="2">
        <v>40048</v>
      </c>
      <c r="K236">
        <v>94.8</v>
      </c>
    </row>
    <row r="237" spans="1:11" x14ac:dyDescent="0.35">
      <c r="A237" s="2">
        <v>40049</v>
      </c>
      <c r="B237" s="1">
        <v>0</v>
      </c>
      <c r="C237" t="s">
        <v>5063</v>
      </c>
      <c r="D237" t="s">
        <v>5549</v>
      </c>
      <c r="E237" t="s">
        <v>5046</v>
      </c>
      <c r="F237" t="s">
        <v>5383</v>
      </c>
      <c r="G237" t="s">
        <v>5363</v>
      </c>
      <c r="H237" t="s">
        <v>1466</v>
      </c>
      <c r="J237" s="2">
        <v>40049</v>
      </c>
      <c r="K237">
        <v>101.3</v>
      </c>
    </row>
    <row r="238" spans="1:11" x14ac:dyDescent="0.35">
      <c r="A238" s="2">
        <v>40050</v>
      </c>
      <c r="B238" s="1">
        <v>0</v>
      </c>
      <c r="C238" t="s">
        <v>5182</v>
      </c>
      <c r="D238" t="s">
        <v>5316</v>
      </c>
      <c r="E238" t="s">
        <v>5230</v>
      </c>
      <c r="F238" t="s">
        <v>5383</v>
      </c>
      <c r="G238" t="s">
        <v>5367</v>
      </c>
      <c r="H238" t="s">
        <v>2273</v>
      </c>
      <c r="J238" s="2">
        <v>40050</v>
      </c>
      <c r="K238">
        <v>99.1</v>
      </c>
    </row>
    <row r="239" spans="1:11" x14ac:dyDescent="0.35">
      <c r="A239" s="2">
        <v>40051</v>
      </c>
      <c r="B239" s="1">
        <v>0</v>
      </c>
      <c r="C239" t="s">
        <v>5169</v>
      </c>
      <c r="D239" t="s">
        <v>5158</v>
      </c>
      <c r="E239" t="s">
        <v>5288</v>
      </c>
      <c r="F239" t="s">
        <v>5383</v>
      </c>
      <c r="G239" t="s">
        <v>5881</v>
      </c>
      <c r="H239" t="s">
        <v>1531</v>
      </c>
      <c r="J239" s="2">
        <v>40051</v>
      </c>
      <c r="K239">
        <v>91.5</v>
      </c>
    </row>
    <row r="240" spans="1:11" x14ac:dyDescent="0.35">
      <c r="A240" s="2">
        <v>40052</v>
      </c>
      <c r="B240" s="1">
        <v>0</v>
      </c>
      <c r="C240" t="s">
        <v>5324</v>
      </c>
      <c r="D240" t="s">
        <v>5045</v>
      </c>
      <c r="E240" t="s">
        <v>5330</v>
      </c>
      <c r="F240" t="s">
        <v>5383</v>
      </c>
      <c r="G240" t="s">
        <v>5880</v>
      </c>
      <c r="H240" t="s">
        <v>363</v>
      </c>
      <c r="J240" s="2">
        <v>40052</v>
      </c>
      <c r="K240">
        <v>83.3</v>
      </c>
    </row>
    <row r="241" spans="1:11" x14ac:dyDescent="0.35">
      <c r="A241" s="2">
        <v>40053</v>
      </c>
      <c r="B241" s="1">
        <v>0</v>
      </c>
      <c r="C241" t="s">
        <v>5336</v>
      </c>
      <c r="D241" t="s">
        <v>5078</v>
      </c>
      <c r="E241" t="s">
        <v>5432</v>
      </c>
      <c r="F241" t="s">
        <v>5383</v>
      </c>
      <c r="G241" t="s">
        <v>5883</v>
      </c>
      <c r="H241" t="s">
        <v>1057</v>
      </c>
      <c r="J241" s="2">
        <v>40053</v>
      </c>
      <c r="K241">
        <v>78.099999999999994</v>
      </c>
    </row>
    <row r="242" spans="1:11" x14ac:dyDescent="0.35">
      <c r="A242" s="2">
        <v>40054</v>
      </c>
      <c r="B242" s="1">
        <v>0</v>
      </c>
      <c r="C242" t="s">
        <v>5501</v>
      </c>
      <c r="D242" t="s">
        <v>5099</v>
      </c>
      <c r="E242" t="s">
        <v>5140</v>
      </c>
      <c r="F242" t="s">
        <v>5383</v>
      </c>
      <c r="G242" t="s">
        <v>5879</v>
      </c>
      <c r="H242" t="s">
        <v>3488</v>
      </c>
      <c r="J242" s="2">
        <v>40054</v>
      </c>
      <c r="K242">
        <v>76.400000000000006</v>
      </c>
    </row>
    <row r="243" spans="1:11" x14ac:dyDescent="0.35">
      <c r="A243" s="2">
        <v>40055</v>
      </c>
      <c r="B243" s="1">
        <v>0</v>
      </c>
      <c r="C243" t="s">
        <v>5341</v>
      </c>
      <c r="D243" t="s">
        <v>5095</v>
      </c>
      <c r="E243" t="s">
        <v>5400</v>
      </c>
      <c r="F243" t="s">
        <v>5383</v>
      </c>
      <c r="G243" t="s">
        <v>5884</v>
      </c>
      <c r="H243" t="s">
        <v>4641</v>
      </c>
      <c r="J243" s="2">
        <v>40055</v>
      </c>
      <c r="K243">
        <v>77</v>
      </c>
    </row>
    <row r="244" spans="1:11" x14ac:dyDescent="0.35">
      <c r="A244" s="2">
        <v>40056</v>
      </c>
      <c r="B244" s="1">
        <v>0</v>
      </c>
      <c r="C244" t="s">
        <v>5143</v>
      </c>
      <c r="D244" t="s">
        <v>5110</v>
      </c>
      <c r="E244" t="s">
        <v>5312</v>
      </c>
      <c r="F244" t="s">
        <v>5383</v>
      </c>
      <c r="G244" t="s">
        <v>5884</v>
      </c>
      <c r="H244" t="s">
        <v>1533</v>
      </c>
      <c r="J244" s="2">
        <v>40056</v>
      </c>
      <c r="K244">
        <v>81.7</v>
      </c>
    </row>
    <row r="245" spans="1:11" x14ac:dyDescent="0.35">
      <c r="A245" t="s">
        <v>480</v>
      </c>
      <c r="B245" s="1">
        <v>0</v>
      </c>
      <c r="C245" t="s">
        <v>5073</v>
      </c>
      <c r="D245" t="s">
        <v>5092</v>
      </c>
      <c r="E245" t="s">
        <v>5288</v>
      </c>
      <c r="F245" t="s">
        <v>5383</v>
      </c>
      <c r="G245" t="s">
        <v>5883</v>
      </c>
      <c r="H245" t="s">
        <v>338</v>
      </c>
      <c r="J245" t="s">
        <v>480</v>
      </c>
      <c r="K245">
        <v>89.1</v>
      </c>
    </row>
    <row r="246" spans="1:11" x14ac:dyDescent="0.35">
      <c r="A246" t="s">
        <v>481</v>
      </c>
      <c r="B246" s="1">
        <v>0</v>
      </c>
      <c r="C246" t="s">
        <v>5146</v>
      </c>
      <c r="D246" t="s">
        <v>5331</v>
      </c>
      <c r="E246" t="s">
        <v>5414</v>
      </c>
      <c r="F246" t="s">
        <v>5168</v>
      </c>
      <c r="G246" t="s">
        <v>5344</v>
      </c>
      <c r="H246" t="s">
        <v>1118</v>
      </c>
      <c r="J246" t="s">
        <v>481</v>
      </c>
      <c r="K246">
        <v>121.4</v>
      </c>
    </row>
    <row r="247" spans="1:11" x14ac:dyDescent="0.35">
      <c r="A247" t="s">
        <v>484</v>
      </c>
      <c r="B247" s="1">
        <v>0</v>
      </c>
      <c r="C247" t="s">
        <v>5579</v>
      </c>
      <c r="D247" t="s">
        <v>5166</v>
      </c>
      <c r="E247" t="s">
        <v>5338</v>
      </c>
      <c r="F247" t="s">
        <v>5168</v>
      </c>
      <c r="G247" t="s">
        <v>5359</v>
      </c>
      <c r="H247" t="s">
        <v>2295</v>
      </c>
      <c r="J247" t="s">
        <v>484</v>
      </c>
      <c r="K247">
        <v>120.6</v>
      </c>
    </row>
    <row r="248" spans="1:11" x14ac:dyDescent="0.35">
      <c r="A248" t="s">
        <v>487</v>
      </c>
      <c r="B248" s="1">
        <v>0</v>
      </c>
      <c r="C248" t="s">
        <v>5531</v>
      </c>
      <c r="D248" t="s">
        <v>5356</v>
      </c>
      <c r="E248" t="s">
        <v>5188</v>
      </c>
      <c r="F248" t="s">
        <v>5168</v>
      </c>
      <c r="G248" t="s">
        <v>5344</v>
      </c>
      <c r="H248" t="s">
        <v>1460</v>
      </c>
      <c r="J248" t="s">
        <v>487</v>
      </c>
      <c r="K248">
        <v>115.2</v>
      </c>
    </row>
    <row r="249" spans="1:11" x14ac:dyDescent="0.35">
      <c r="A249" t="s">
        <v>490</v>
      </c>
      <c r="B249" s="1">
        <v>0</v>
      </c>
      <c r="C249" t="s">
        <v>5471</v>
      </c>
      <c r="D249" t="s">
        <v>5332</v>
      </c>
      <c r="E249" t="s">
        <v>5201</v>
      </c>
      <c r="F249" t="s">
        <v>5168</v>
      </c>
      <c r="G249" t="s">
        <v>5343</v>
      </c>
      <c r="H249" t="s">
        <v>1922</v>
      </c>
      <c r="J249" t="s">
        <v>490</v>
      </c>
      <c r="K249">
        <v>110.9</v>
      </c>
    </row>
    <row r="250" spans="1:11" x14ac:dyDescent="0.35">
      <c r="A250" t="s">
        <v>493</v>
      </c>
      <c r="B250" s="1">
        <v>0</v>
      </c>
      <c r="C250" t="s">
        <v>5281</v>
      </c>
      <c r="D250" t="s">
        <v>5314</v>
      </c>
      <c r="E250" t="s">
        <v>5331</v>
      </c>
      <c r="F250" t="s">
        <v>5168</v>
      </c>
      <c r="G250" t="s">
        <v>5344</v>
      </c>
      <c r="H250" t="s">
        <v>1459</v>
      </c>
      <c r="J250" t="s">
        <v>493</v>
      </c>
      <c r="K250">
        <v>114.8</v>
      </c>
    </row>
    <row r="251" spans="1:11" x14ac:dyDescent="0.35">
      <c r="A251" t="s">
        <v>496</v>
      </c>
      <c r="B251" s="1">
        <v>0</v>
      </c>
      <c r="C251" t="s">
        <v>5492</v>
      </c>
      <c r="D251" t="s">
        <v>5049</v>
      </c>
      <c r="E251" t="s">
        <v>5329</v>
      </c>
      <c r="F251" t="s">
        <v>5168</v>
      </c>
      <c r="G251" t="s">
        <v>5409</v>
      </c>
      <c r="H251" t="s">
        <v>1082</v>
      </c>
      <c r="J251" t="s">
        <v>496</v>
      </c>
      <c r="K251">
        <v>126.3</v>
      </c>
    </row>
    <row r="252" spans="1:11" x14ac:dyDescent="0.35">
      <c r="A252" t="s">
        <v>498</v>
      </c>
      <c r="B252" s="1">
        <v>0</v>
      </c>
      <c r="C252" t="s">
        <v>5476</v>
      </c>
      <c r="D252" t="s">
        <v>5418</v>
      </c>
      <c r="E252" t="s">
        <v>5143</v>
      </c>
      <c r="F252" t="s">
        <v>5156</v>
      </c>
      <c r="G252" t="s">
        <v>5413</v>
      </c>
      <c r="H252" t="s">
        <v>280</v>
      </c>
      <c r="J252" t="s">
        <v>498</v>
      </c>
      <c r="K252">
        <v>138</v>
      </c>
    </row>
    <row r="253" spans="1:11" x14ac:dyDescent="0.35">
      <c r="A253" t="s">
        <v>501</v>
      </c>
      <c r="B253" s="1">
        <v>0</v>
      </c>
      <c r="C253" t="s">
        <v>5128</v>
      </c>
      <c r="D253" t="s">
        <v>5055</v>
      </c>
      <c r="E253" t="s">
        <v>5317</v>
      </c>
      <c r="F253" t="s">
        <v>5156</v>
      </c>
      <c r="G253" t="s">
        <v>5419</v>
      </c>
      <c r="H253" t="s">
        <v>105</v>
      </c>
      <c r="J253" t="s">
        <v>501</v>
      </c>
      <c r="K253">
        <v>144.4</v>
      </c>
    </row>
    <row r="254" spans="1:11" x14ac:dyDescent="0.35">
      <c r="A254" t="s">
        <v>504</v>
      </c>
      <c r="B254" s="1">
        <v>0</v>
      </c>
      <c r="C254" t="s">
        <v>5612</v>
      </c>
      <c r="D254" t="s">
        <v>5171</v>
      </c>
      <c r="E254" t="s">
        <v>5293</v>
      </c>
      <c r="F254" t="s">
        <v>5156</v>
      </c>
      <c r="G254" t="s">
        <v>5419</v>
      </c>
      <c r="H254" t="s">
        <v>2170</v>
      </c>
      <c r="J254" t="s">
        <v>504</v>
      </c>
      <c r="K254">
        <v>145.5</v>
      </c>
    </row>
    <row r="255" spans="1:11" x14ac:dyDescent="0.35">
      <c r="A255" t="s">
        <v>507</v>
      </c>
      <c r="B255" s="1">
        <v>0</v>
      </c>
      <c r="C255" t="s">
        <v>5459</v>
      </c>
      <c r="D255" t="s">
        <v>5420</v>
      </c>
      <c r="E255" t="s">
        <v>5421</v>
      </c>
      <c r="F255" t="s">
        <v>5156</v>
      </c>
      <c r="G255" t="s">
        <v>5402</v>
      </c>
      <c r="H255" t="s">
        <v>125</v>
      </c>
      <c r="J255" t="s">
        <v>507</v>
      </c>
      <c r="K255">
        <v>142.1</v>
      </c>
    </row>
    <row r="256" spans="1:11" x14ac:dyDescent="0.35">
      <c r="A256" t="s">
        <v>510</v>
      </c>
      <c r="B256" s="1">
        <v>0</v>
      </c>
      <c r="C256" t="s">
        <v>5602</v>
      </c>
      <c r="D256" t="s">
        <v>5181</v>
      </c>
      <c r="E256" t="s">
        <v>5047</v>
      </c>
      <c r="F256" t="s">
        <v>5156</v>
      </c>
      <c r="G256" t="s">
        <v>5413</v>
      </c>
      <c r="H256" t="s">
        <v>961</v>
      </c>
      <c r="J256" t="s">
        <v>510</v>
      </c>
      <c r="K256">
        <v>141.9</v>
      </c>
    </row>
    <row r="257" spans="1:11" x14ac:dyDescent="0.35">
      <c r="A257" t="s">
        <v>513</v>
      </c>
      <c r="B257" s="1">
        <v>0</v>
      </c>
      <c r="C257" t="s">
        <v>5231</v>
      </c>
      <c r="D257" t="s">
        <v>5310</v>
      </c>
      <c r="E257" t="s">
        <v>5300</v>
      </c>
      <c r="F257" t="s">
        <v>5156</v>
      </c>
      <c r="G257" t="s">
        <v>5413</v>
      </c>
      <c r="H257" t="s">
        <v>551</v>
      </c>
      <c r="J257" t="s">
        <v>513</v>
      </c>
      <c r="K257">
        <v>147.5</v>
      </c>
    </row>
    <row r="258" spans="1:11" x14ac:dyDescent="0.35">
      <c r="A258" t="s">
        <v>516</v>
      </c>
      <c r="B258" s="1">
        <v>0</v>
      </c>
      <c r="C258" t="s">
        <v>5633</v>
      </c>
      <c r="D258" t="s">
        <v>5076</v>
      </c>
      <c r="E258" t="s">
        <v>5324</v>
      </c>
      <c r="F258" t="s">
        <v>5156</v>
      </c>
      <c r="G258" t="s">
        <v>5402</v>
      </c>
      <c r="H258" t="s">
        <v>157</v>
      </c>
      <c r="J258" t="s">
        <v>516</v>
      </c>
      <c r="K258">
        <v>152.80000000000001</v>
      </c>
    </row>
    <row r="259" spans="1:11" x14ac:dyDescent="0.35">
      <c r="A259" t="s">
        <v>519</v>
      </c>
      <c r="B259" s="1">
        <v>0</v>
      </c>
      <c r="C259" t="s">
        <v>5649</v>
      </c>
      <c r="D259" t="s">
        <v>5178</v>
      </c>
      <c r="E259" t="s">
        <v>5305</v>
      </c>
      <c r="F259" t="s">
        <v>5156</v>
      </c>
      <c r="G259" t="s">
        <v>5404</v>
      </c>
      <c r="H259" t="s">
        <v>905</v>
      </c>
      <c r="J259" t="s">
        <v>519</v>
      </c>
      <c r="K259">
        <v>159.6</v>
      </c>
    </row>
    <row r="260" spans="1:11" x14ac:dyDescent="0.35">
      <c r="A260" t="s">
        <v>521</v>
      </c>
      <c r="B260" s="1">
        <v>0</v>
      </c>
      <c r="C260" t="s">
        <v>1003</v>
      </c>
      <c r="D260" t="s">
        <v>5165</v>
      </c>
      <c r="E260" t="s">
        <v>5049</v>
      </c>
      <c r="F260" t="s">
        <v>5156</v>
      </c>
      <c r="G260" t="s">
        <v>5405</v>
      </c>
      <c r="H260" t="s">
        <v>1396</v>
      </c>
      <c r="J260" t="s">
        <v>521</v>
      </c>
      <c r="K260">
        <v>161.69999999999999</v>
      </c>
    </row>
    <row r="261" spans="1:11" x14ac:dyDescent="0.35">
      <c r="A261" t="s">
        <v>523</v>
      </c>
      <c r="B261" s="1">
        <v>0</v>
      </c>
      <c r="C261" t="s">
        <v>427</v>
      </c>
      <c r="D261" t="s">
        <v>5249</v>
      </c>
      <c r="E261" t="s">
        <v>5423</v>
      </c>
      <c r="F261" t="s">
        <v>5156</v>
      </c>
      <c r="G261" t="s">
        <v>5405</v>
      </c>
      <c r="H261" t="s">
        <v>43</v>
      </c>
      <c r="J261" t="s">
        <v>523</v>
      </c>
      <c r="K261">
        <v>162.69999999999999</v>
      </c>
    </row>
    <row r="262" spans="1:11" x14ac:dyDescent="0.35">
      <c r="A262" t="s">
        <v>526</v>
      </c>
      <c r="B262" s="1">
        <v>0</v>
      </c>
      <c r="C262" t="s">
        <v>1886</v>
      </c>
      <c r="D262" t="s">
        <v>5208</v>
      </c>
      <c r="E262" t="s">
        <v>5416</v>
      </c>
      <c r="F262" t="s">
        <v>5156</v>
      </c>
      <c r="G262" t="s">
        <v>5189</v>
      </c>
      <c r="H262" t="s">
        <v>813</v>
      </c>
      <c r="J262" t="s">
        <v>526</v>
      </c>
      <c r="K262">
        <v>165.3</v>
      </c>
    </row>
    <row r="263" spans="1:11" x14ac:dyDescent="0.35">
      <c r="A263" t="s">
        <v>528</v>
      </c>
      <c r="B263" s="1">
        <v>0</v>
      </c>
      <c r="C263" t="s">
        <v>1015</v>
      </c>
      <c r="D263" t="s">
        <v>5059</v>
      </c>
      <c r="E263" t="s">
        <v>5305</v>
      </c>
      <c r="F263" t="s">
        <v>5156</v>
      </c>
      <c r="G263" t="s">
        <v>5195</v>
      </c>
      <c r="H263" t="s">
        <v>1739</v>
      </c>
      <c r="J263" t="s">
        <v>528</v>
      </c>
      <c r="K263">
        <v>166.3</v>
      </c>
    </row>
    <row r="264" spans="1:11" x14ac:dyDescent="0.35">
      <c r="A264" t="s">
        <v>530</v>
      </c>
      <c r="B264" s="1">
        <v>0</v>
      </c>
      <c r="C264" t="s">
        <v>2581</v>
      </c>
      <c r="D264" t="s">
        <v>5059</v>
      </c>
      <c r="E264" t="s">
        <v>5044</v>
      </c>
      <c r="F264" t="s">
        <v>5156</v>
      </c>
      <c r="G264" t="s">
        <v>5184</v>
      </c>
      <c r="H264" t="s">
        <v>795</v>
      </c>
      <c r="J264" t="s">
        <v>530</v>
      </c>
      <c r="K264">
        <v>166.8</v>
      </c>
    </row>
    <row r="265" spans="1:11" x14ac:dyDescent="0.35">
      <c r="A265" t="s">
        <v>532</v>
      </c>
      <c r="B265" s="1">
        <v>0</v>
      </c>
      <c r="C265" t="s">
        <v>1910</v>
      </c>
      <c r="D265" t="s">
        <v>5098</v>
      </c>
      <c r="E265" t="s">
        <v>5424</v>
      </c>
      <c r="F265" t="s">
        <v>5156</v>
      </c>
      <c r="G265" t="s">
        <v>5184</v>
      </c>
      <c r="H265" t="s">
        <v>934</v>
      </c>
      <c r="J265" t="s">
        <v>532</v>
      </c>
      <c r="K265">
        <v>168.7</v>
      </c>
    </row>
    <row r="266" spans="1:11" x14ac:dyDescent="0.35">
      <c r="A266" t="s">
        <v>533</v>
      </c>
      <c r="B266" s="1">
        <v>0</v>
      </c>
      <c r="C266" t="s">
        <v>1878</v>
      </c>
      <c r="D266" t="s">
        <v>5249</v>
      </c>
      <c r="E266" t="s">
        <v>5424</v>
      </c>
      <c r="F266" t="s">
        <v>5156</v>
      </c>
      <c r="G266" t="s">
        <v>5195</v>
      </c>
      <c r="H266" t="s">
        <v>2431</v>
      </c>
      <c r="J266" t="s">
        <v>533</v>
      </c>
      <c r="K266">
        <v>167.6</v>
      </c>
    </row>
    <row r="267" spans="1:11" x14ac:dyDescent="0.35">
      <c r="A267" t="s">
        <v>535</v>
      </c>
      <c r="B267" s="1">
        <v>0</v>
      </c>
      <c r="C267" t="s">
        <v>2252</v>
      </c>
      <c r="D267" t="s">
        <v>5178</v>
      </c>
      <c r="E267" t="s">
        <v>5424</v>
      </c>
      <c r="F267" t="s">
        <v>5156</v>
      </c>
      <c r="G267" t="s">
        <v>5357</v>
      </c>
      <c r="H267" t="s">
        <v>169</v>
      </c>
      <c r="J267" t="s">
        <v>535</v>
      </c>
      <c r="K267">
        <v>162.80000000000001</v>
      </c>
    </row>
    <row r="268" spans="1:11" x14ac:dyDescent="0.35">
      <c r="A268" t="s">
        <v>538</v>
      </c>
      <c r="B268" s="1">
        <v>0</v>
      </c>
      <c r="C268" t="s">
        <v>5565</v>
      </c>
      <c r="D268" t="s">
        <v>5210</v>
      </c>
      <c r="E268" t="s">
        <v>5044</v>
      </c>
      <c r="F268" t="s">
        <v>5156</v>
      </c>
      <c r="G268" t="s">
        <v>5404</v>
      </c>
      <c r="H268" t="s">
        <v>883</v>
      </c>
      <c r="J268" t="s">
        <v>538</v>
      </c>
      <c r="K268">
        <v>155.6</v>
      </c>
    </row>
    <row r="269" spans="1:11" x14ac:dyDescent="0.35">
      <c r="A269" t="s">
        <v>539</v>
      </c>
      <c r="B269" s="1">
        <v>0</v>
      </c>
      <c r="C269" t="s">
        <v>5232</v>
      </c>
      <c r="D269" t="s">
        <v>5171</v>
      </c>
      <c r="E269" t="s">
        <v>5300</v>
      </c>
      <c r="F269" t="s">
        <v>5156</v>
      </c>
      <c r="G269" t="s">
        <v>5413</v>
      </c>
      <c r="H269" t="s">
        <v>148</v>
      </c>
      <c r="J269" t="s">
        <v>539</v>
      </c>
      <c r="K269">
        <v>145</v>
      </c>
    </row>
    <row r="270" spans="1:11" x14ac:dyDescent="0.35">
      <c r="A270" t="s">
        <v>542</v>
      </c>
      <c r="B270" s="1">
        <v>0</v>
      </c>
      <c r="C270" t="s">
        <v>5617</v>
      </c>
      <c r="D270" t="s">
        <v>5426</v>
      </c>
      <c r="E270" t="s">
        <v>5427</v>
      </c>
      <c r="F270" t="s">
        <v>5156</v>
      </c>
      <c r="G270" t="s">
        <v>5399</v>
      </c>
      <c r="H270" t="s">
        <v>1375</v>
      </c>
      <c r="J270" t="s">
        <v>542</v>
      </c>
      <c r="K270">
        <v>141.4</v>
      </c>
    </row>
    <row r="271" spans="1:11" x14ac:dyDescent="0.35">
      <c r="A271" t="s">
        <v>543</v>
      </c>
      <c r="B271" s="1">
        <v>0</v>
      </c>
      <c r="C271" t="s">
        <v>5457</v>
      </c>
      <c r="D271" t="s">
        <v>5289</v>
      </c>
      <c r="E271" t="s">
        <v>5429</v>
      </c>
      <c r="F271" t="s">
        <v>5156</v>
      </c>
      <c r="G271" t="s">
        <v>5402</v>
      </c>
      <c r="H271" t="s">
        <v>2170</v>
      </c>
      <c r="J271" t="s">
        <v>543</v>
      </c>
      <c r="K271">
        <v>145.5</v>
      </c>
    </row>
    <row r="272" spans="1:11" x14ac:dyDescent="0.35">
      <c r="A272" t="s">
        <v>545</v>
      </c>
      <c r="B272" s="1">
        <v>0</v>
      </c>
      <c r="C272" t="s">
        <v>5631</v>
      </c>
      <c r="D272" t="s">
        <v>5057</v>
      </c>
      <c r="E272" t="s">
        <v>5194</v>
      </c>
      <c r="F272" t="s">
        <v>5156</v>
      </c>
      <c r="G272" t="s">
        <v>5404</v>
      </c>
      <c r="H272" t="s">
        <v>296</v>
      </c>
      <c r="J272" t="s">
        <v>545</v>
      </c>
      <c r="K272">
        <v>150.9</v>
      </c>
    </row>
    <row r="273" spans="1:11" x14ac:dyDescent="0.35">
      <c r="A273" t="s">
        <v>546</v>
      </c>
      <c r="B273" s="1">
        <v>0</v>
      </c>
      <c r="C273" t="s">
        <v>371</v>
      </c>
      <c r="D273" t="s">
        <v>5425</v>
      </c>
      <c r="E273" t="s">
        <v>5317</v>
      </c>
      <c r="F273" t="s">
        <v>5156</v>
      </c>
      <c r="G273" t="s">
        <v>5357</v>
      </c>
      <c r="H273" t="s">
        <v>562</v>
      </c>
      <c r="J273" t="s">
        <v>546</v>
      </c>
      <c r="K273">
        <v>157.1</v>
      </c>
    </row>
    <row r="274" spans="1:11" x14ac:dyDescent="0.35">
      <c r="A274" t="s">
        <v>548</v>
      </c>
      <c r="B274" s="1">
        <v>0</v>
      </c>
      <c r="C274" t="s">
        <v>1016</v>
      </c>
      <c r="D274" t="s">
        <v>5306</v>
      </c>
      <c r="E274" t="s">
        <v>5430</v>
      </c>
      <c r="F274" t="s">
        <v>5156</v>
      </c>
      <c r="G274" t="s">
        <v>5189</v>
      </c>
      <c r="H274" t="s">
        <v>48</v>
      </c>
      <c r="J274" t="s">
        <v>548</v>
      </c>
      <c r="K274">
        <v>165.4</v>
      </c>
    </row>
    <row r="275" spans="1:11" x14ac:dyDescent="0.35">
      <c r="A275" t="s">
        <v>549</v>
      </c>
      <c r="B275" s="1">
        <v>0</v>
      </c>
      <c r="C275" t="s">
        <v>1015</v>
      </c>
      <c r="D275" t="s">
        <v>5272</v>
      </c>
      <c r="E275" t="s">
        <v>5302</v>
      </c>
      <c r="F275" t="s">
        <v>5156</v>
      </c>
      <c r="G275" t="s">
        <v>5357</v>
      </c>
      <c r="H275" t="s">
        <v>1233</v>
      </c>
      <c r="J275" t="s">
        <v>549</v>
      </c>
      <c r="K275">
        <v>168.1</v>
      </c>
    </row>
    <row r="276" spans="1:11" x14ac:dyDescent="0.35">
      <c r="A276" t="s">
        <v>550</v>
      </c>
      <c r="B276" s="1">
        <v>0</v>
      </c>
      <c r="C276" t="s">
        <v>395</v>
      </c>
      <c r="D276" t="s">
        <v>5571</v>
      </c>
      <c r="E276" t="s">
        <v>5524</v>
      </c>
      <c r="F276" t="s">
        <v>5050</v>
      </c>
      <c r="G276" t="s">
        <v>5432</v>
      </c>
      <c r="H276" t="s">
        <v>2215</v>
      </c>
      <c r="J276" t="s">
        <v>550</v>
      </c>
      <c r="K276">
        <v>179.2</v>
      </c>
    </row>
    <row r="277" spans="1:11" x14ac:dyDescent="0.35">
      <c r="A277" t="s">
        <v>552</v>
      </c>
      <c r="B277" s="1">
        <v>0</v>
      </c>
      <c r="C277" t="s">
        <v>5465</v>
      </c>
      <c r="D277" t="s">
        <v>5439</v>
      </c>
      <c r="E277" t="s">
        <v>5303</v>
      </c>
      <c r="F277" t="s">
        <v>5050</v>
      </c>
      <c r="G277" t="s">
        <v>5337</v>
      </c>
      <c r="H277" t="s">
        <v>1614</v>
      </c>
      <c r="J277" t="s">
        <v>552</v>
      </c>
      <c r="K277">
        <v>176</v>
      </c>
    </row>
    <row r="278" spans="1:11" x14ac:dyDescent="0.35">
      <c r="A278" t="s">
        <v>553</v>
      </c>
      <c r="B278" s="1">
        <v>0</v>
      </c>
      <c r="C278" t="s">
        <v>5407</v>
      </c>
      <c r="D278" t="s">
        <v>5445</v>
      </c>
      <c r="E278" t="s">
        <v>5202</v>
      </c>
      <c r="F278" t="s">
        <v>5050</v>
      </c>
      <c r="G278" t="s">
        <v>5164</v>
      </c>
      <c r="H278" t="s">
        <v>181</v>
      </c>
      <c r="J278" t="s">
        <v>553</v>
      </c>
      <c r="K278">
        <v>177.2</v>
      </c>
    </row>
    <row r="279" spans="1:11" x14ac:dyDescent="0.35">
      <c r="A279" t="s">
        <v>555</v>
      </c>
      <c r="B279" s="1">
        <v>0</v>
      </c>
      <c r="C279" t="s">
        <v>5463</v>
      </c>
      <c r="D279" t="s">
        <v>5235</v>
      </c>
      <c r="E279" t="s">
        <v>5173</v>
      </c>
      <c r="F279" t="s">
        <v>5050</v>
      </c>
      <c r="G279" t="s">
        <v>5164</v>
      </c>
      <c r="H279" t="s">
        <v>2441</v>
      </c>
      <c r="J279" t="s">
        <v>555</v>
      </c>
      <c r="K279">
        <v>183.4</v>
      </c>
    </row>
    <row r="280" spans="1:11" x14ac:dyDescent="0.35">
      <c r="A280" t="s">
        <v>557</v>
      </c>
      <c r="B280" s="1">
        <v>0</v>
      </c>
      <c r="C280" t="s">
        <v>412</v>
      </c>
      <c r="D280" t="s">
        <v>5579</v>
      </c>
      <c r="E280" t="s">
        <v>5219</v>
      </c>
      <c r="F280" t="s">
        <v>5050</v>
      </c>
      <c r="G280" t="s">
        <v>5339</v>
      </c>
      <c r="H280" t="s">
        <v>711</v>
      </c>
      <c r="J280" t="s">
        <v>557</v>
      </c>
      <c r="K280">
        <v>191.2</v>
      </c>
    </row>
    <row r="281" spans="1:11" x14ac:dyDescent="0.35">
      <c r="A281" t="s">
        <v>558</v>
      </c>
      <c r="B281" s="1">
        <v>0</v>
      </c>
      <c r="C281" t="s">
        <v>441</v>
      </c>
      <c r="D281" t="s">
        <v>5392</v>
      </c>
      <c r="E281" t="s">
        <v>5208</v>
      </c>
      <c r="F281" t="s">
        <v>5050</v>
      </c>
      <c r="G281" t="s">
        <v>5140</v>
      </c>
      <c r="H281" t="s">
        <v>2142</v>
      </c>
      <c r="J281" t="s">
        <v>558</v>
      </c>
      <c r="K281">
        <v>197.3</v>
      </c>
    </row>
    <row r="282" spans="1:11" x14ac:dyDescent="0.35">
      <c r="A282" t="s">
        <v>560</v>
      </c>
      <c r="B282" s="1">
        <v>0</v>
      </c>
      <c r="C282" t="s">
        <v>3212</v>
      </c>
      <c r="D282" t="s">
        <v>5596</v>
      </c>
      <c r="E282" t="s">
        <v>5306</v>
      </c>
      <c r="F282" t="s">
        <v>5050</v>
      </c>
      <c r="G282" t="s">
        <v>5330</v>
      </c>
      <c r="H282" t="s">
        <v>3170</v>
      </c>
      <c r="J282" t="s">
        <v>560</v>
      </c>
      <c r="K282">
        <v>194.9</v>
      </c>
    </row>
    <row r="283" spans="1:11" x14ac:dyDescent="0.35">
      <c r="A283" t="s">
        <v>561</v>
      </c>
      <c r="B283" s="1">
        <v>0</v>
      </c>
      <c r="C283" t="s">
        <v>449</v>
      </c>
      <c r="D283" t="s">
        <v>5538</v>
      </c>
      <c r="E283" t="s">
        <v>5175</v>
      </c>
      <c r="F283" t="s">
        <v>5050</v>
      </c>
      <c r="G283" t="s">
        <v>5315</v>
      </c>
      <c r="H283" t="s">
        <v>611</v>
      </c>
      <c r="J283" t="s">
        <v>561</v>
      </c>
      <c r="K283">
        <v>194.1</v>
      </c>
    </row>
    <row r="284" spans="1:11" x14ac:dyDescent="0.35">
      <c r="A284" t="s">
        <v>563</v>
      </c>
      <c r="B284" s="1">
        <v>0</v>
      </c>
      <c r="C284" t="s">
        <v>2604</v>
      </c>
      <c r="D284" t="s">
        <v>5264</v>
      </c>
      <c r="E284" t="s">
        <v>5076</v>
      </c>
      <c r="F284" t="s">
        <v>5050</v>
      </c>
      <c r="G284" t="s">
        <v>5297</v>
      </c>
      <c r="H284" t="s">
        <v>2748</v>
      </c>
      <c r="J284" t="s">
        <v>563</v>
      </c>
      <c r="K284">
        <v>194.3</v>
      </c>
    </row>
    <row r="285" spans="1:11" x14ac:dyDescent="0.35">
      <c r="A285" t="s">
        <v>564</v>
      </c>
      <c r="B285" s="1">
        <v>0</v>
      </c>
      <c r="C285" t="s">
        <v>1913</v>
      </c>
      <c r="D285" t="s">
        <v>5531</v>
      </c>
      <c r="E285" t="s">
        <v>5076</v>
      </c>
      <c r="F285" t="s">
        <v>5050</v>
      </c>
      <c r="G285" t="s">
        <v>5342</v>
      </c>
      <c r="H285" t="s">
        <v>2524</v>
      </c>
      <c r="J285" t="s">
        <v>564</v>
      </c>
      <c r="K285">
        <v>190.9</v>
      </c>
    </row>
    <row r="286" spans="1:11" x14ac:dyDescent="0.35">
      <c r="A286" t="s">
        <v>566</v>
      </c>
      <c r="B286" s="1">
        <v>0</v>
      </c>
      <c r="C286" t="s">
        <v>1913</v>
      </c>
      <c r="D286" t="s">
        <v>5252</v>
      </c>
      <c r="E286" t="s">
        <v>5221</v>
      </c>
      <c r="F286" t="s">
        <v>5050</v>
      </c>
      <c r="G286" t="s">
        <v>5342</v>
      </c>
      <c r="H286" t="s">
        <v>2523</v>
      </c>
      <c r="J286" t="s">
        <v>566</v>
      </c>
      <c r="K286">
        <v>191</v>
      </c>
    </row>
    <row r="287" spans="1:11" x14ac:dyDescent="0.35">
      <c r="A287" t="s">
        <v>567</v>
      </c>
      <c r="B287" s="1">
        <v>0</v>
      </c>
      <c r="C287" t="s">
        <v>440</v>
      </c>
      <c r="D287" t="s">
        <v>5133</v>
      </c>
      <c r="E287" t="s">
        <v>5237</v>
      </c>
      <c r="F287" t="s">
        <v>5050</v>
      </c>
      <c r="G287" t="s">
        <v>5297</v>
      </c>
      <c r="H287" t="s">
        <v>2748</v>
      </c>
      <c r="J287" t="s">
        <v>567</v>
      </c>
      <c r="K287">
        <v>194.3</v>
      </c>
    </row>
    <row r="288" spans="1:11" x14ac:dyDescent="0.35">
      <c r="A288" t="s">
        <v>568</v>
      </c>
      <c r="B288" s="1">
        <v>0</v>
      </c>
      <c r="C288" t="s">
        <v>368</v>
      </c>
      <c r="D288" t="s">
        <v>5285</v>
      </c>
      <c r="E288" t="s">
        <v>5176</v>
      </c>
      <c r="F288" t="s">
        <v>5050</v>
      </c>
      <c r="G288" t="s">
        <v>5312</v>
      </c>
      <c r="H288" t="s">
        <v>2142</v>
      </c>
      <c r="J288" t="s">
        <v>568</v>
      </c>
      <c r="K288">
        <v>197.3</v>
      </c>
    </row>
    <row r="289" spans="1:11" x14ac:dyDescent="0.35">
      <c r="A289" t="s">
        <v>569</v>
      </c>
      <c r="B289" s="1">
        <v>0</v>
      </c>
      <c r="C289" t="s">
        <v>1047</v>
      </c>
      <c r="D289" t="s">
        <v>5492</v>
      </c>
      <c r="E289" t="s">
        <v>5068</v>
      </c>
      <c r="F289" t="s">
        <v>5050</v>
      </c>
      <c r="G289" t="s">
        <v>5315</v>
      </c>
      <c r="H289" t="s">
        <v>756</v>
      </c>
      <c r="J289" t="s">
        <v>569</v>
      </c>
      <c r="K289">
        <v>194.8</v>
      </c>
    </row>
    <row r="290" spans="1:11" x14ac:dyDescent="0.35">
      <c r="A290" t="s">
        <v>570</v>
      </c>
      <c r="B290" s="1">
        <v>0</v>
      </c>
      <c r="C290" t="s">
        <v>386</v>
      </c>
      <c r="D290" t="s">
        <v>5533</v>
      </c>
      <c r="E290" t="s">
        <v>5236</v>
      </c>
      <c r="F290" t="s">
        <v>5050</v>
      </c>
      <c r="G290" t="s">
        <v>5400</v>
      </c>
      <c r="H290" t="s">
        <v>608</v>
      </c>
      <c r="J290" t="s">
        <v>570</v>
      </c>
      <c r="K290">
        <v>190.7</v>
      </c>
    </row>
    <row r="291" spans="1:11" x14ac:dyDescent="0.35">
      <c r="A291" t="s">
        <v>571</v>
      </c>
      <c r="B291" s="1">
        <v>0</v>
      </c>
      <c r="C291" t="s">
        <v>425</v>
      </c>
      <c r="D291" t="s">
        <v>5366</v>
      </c>
      <c r="E291" t="s">
        <v>5239</v>
      </c>
      <c r="F291" t="s">
        <v>5050</v>
      </c>
      <c r="G291" t="s">
        <v>5397</v>
      </c>
      <c r="H291" t="s">
        <v>1272</v>
      </c>
      <c r="J291" t="s">
        <v>571</v>
      </c>
      <c r="K291">
        <v>192.2</v>
      </c>
    </row>
    <row r="292" spans="1:11" x14ac:dyDescent="0.35">
      <c r="A292" t="s">
        <v>574</v>
      </c>
      <c r="B292" s="1">
        <v>0</v>
      </c>
      <c r="C292" t="s">
        <v>3799</v>
      </c>
      <c r="D292" t="s">
        <v>5530</v>
      </c>
      <c r="E292" t="s">
        <v>5120</v>
      </c>
      <c r="F292" t="s">
        <v>5050</v>
      </c>
      <c r="G292" t="s">
        <v>5330</v>
      </c>
      <c r="H292" t="s">
        <v>3134</v>
      </c>
      <c r="J292" t="s">
        <v>574</v>
      </c>
      <c r="K292">
        <v>204.4</v>
      </c>
    </row>
    <row r="293" spans="1:11" x14ac:dyDescent="0.35">
      <c r="A293" t="s">
        <v>577</v>
      </c>
      <c r="B293" s="1">
        <v>0</v>
      </c>
      <c r="C293" t="s">
        <v>354</v>
      </c>
      <c r="D293" t="s">
        <v>5554</v>
      </c>
      <c r="E293" t="s">
        <v>5105</v>
      </c>
      <c r="F293" t="s">
        <v>5050</v>
      </c>
      <c r="G293" t="s">
        <v>5312</v>
      </c>
      <c r="H293" t="s">
        <v>3347</v>
      </c>
      <c r="J293" t="s">
        <v>577</v>
      </c>
      <c r="K293">
        <v>216.8</v>
      </c>
    </row>
    <row r="294" spans="1:11" x14ac:dyDescent="0.35">
      <c r="A294" t="s">
        <v>579</v>
      </c>
      <c r="B294" s="1">
        <v>0</v>
      </c>
      <c r="C294" t="s">
        <v>358</v>
      </c>
      <c r="D294" t="s">
        <v>5393</v>
      </c>
      <c r="E294" t="s">
        <v>5272</v>
      </c>
      <c r="F294" t="s">
        <v>5240</v>
      </c>
      <c r="G294" t="s">
        <v>5309</v>
      </c>
      <c r="H294" t="s">
        <v>3878</v>
      </c>
      <c r="J294" t="s">
        <v>579</v>
      </c>
      <c r="K294">
        <v>217</v>
      </c>
    </row>
    <row r="295" spans="1:11" x14ac:dyDescent="0.35">
      <c r="A295" t="s">
        <v>582</v>
      </c>
      <c r="B295" s="1">
        <v>0</v>
      </c>
      <c r="C295" t="s">
        <v>364</v>
      </c>
      <c r="D295" t="s">
        <v>5250</v>
      </c>
      <c r="E295" t="s">
        <v>5160</v>
      </c>
      <c r="F295" t="s">
        <v>5050</v>
      </c>
      <c r="G295" t="s">
        <v>5309</v>
      </c>
      <c r="H295" t="s">
        <v>2723</v>
      </c>
      <c r="J295" t="s">
        <v>582</v>
      </c>
      <c r="K295">
        <v>207.9</v>
      </c>
    </row>
    <row r="296" spans="1:11" x14ac:dyDescent="0.35">
      <c r="A296" t="s">
        <v>584</v>
      </c>
      <c r="B296" s="1">
        <v>0</v>
      </c>
      <c r="C296" t="s">
        <v>1528</v>
      </c>
      <c r="D296" t="s">
        <v>5538</v>
      </c>
      <c r="E296" t="s">
        <v>5323</v>
      </c>
      <c r="F296" t="s">
        <v>5050</v>
      </c>
      <c r="G296" t="s">
        <v>5294</v>
      </c>
      <c r="H296" t="s">
        <v>1264</v>
      </c>
      <c r="J296" t="s">
        <v>584</v>
      </c>
      <c r="K296">
        <v>196.5</v>
      </c>
    </row>
    <row r="297" spans="1:11" x14ac:dyDescent="0.35">
      <c r="A297" t="s">
        <v>585</v>
      </c>
      <c r="B297" s="1">
        <v>0</v>
      </c>
      <c r="C297" t="s">
        <v>1044</v>
      </c>
      <c r="D297" t="s">
        <v>5241</v>
      </c>
      <c r="E297" t="s">
        <v>5422</v>
      </c>
      <c r="F297" t="s">
        <v>5050</v>
      </c>
      <c r="G297" t="s">
        <v>5297</v>
      </c>
      <c r="H297" t="s">
        <v>1991</v>
      </c>
      <c r="J297" t="s">
        <v>585</v>
      </c>
      <c r="K297">
        <v>189.3</v>
      </c>
    </row>
    <row r="298" spans="1:11" x14ac:dyDescent="0.35">
      <c r="A298" t="s">
        <v>587</v>
      </c>
      <c r="B298" s="1">
        <v>0</v>
      </c>
      <c r="C298" t="s">
        <v>1042</v>
      </c>
      <c r="D298" t="s">
        <v>5241</v>
      </c>
      <c r="E298" t="s">
        <v>5223</v>
      </c>
      <c r="F298" t="s">
        <v>5050</v>
      </c>
      <c r="G298" t="s">
        <v>5297</v>
      </c>
      <c r="H298" t="s">
        <v>1272</v>
      </c>
      <c r="J298" t="s">
        <v>587</v>
      </c>
      <c r="K298">
        <v>192.2</v>
      </c>
    </row>
    <row r="299" spans="1:11" x14ac:dyDescent="0.35">
      <c r="A299" t="s">
        <v>589</v>
      </c>
      <c r="B299" s="1">
        <v>0</v>
      </c>
      <c r="C299" t="s">
        <v>457</v>
      </c>
      <c r="D299" t="s">
        <v>5075</v>
      </c>
      <c r="E299" t="s">
        <v>5170</v>
      </c>
      <c r="F299" t="s">
        <v>5050</v>
      </c>
      <c r="G299" t="s">
        <v>5294</v>
      </c>
      <c r="H299" t="s">
        <v>3139</v>
      </c>
      <c r="J299" t="s">
        <v>589</v>
      </c>
      <c r="K299">
        <v>197</v>
      </c>
    </row>
    <row r="300" spans="1:11" x14ac:dyDescent="0.35">
      <c r="A300" t="s">
        <v>591</v>
      </c>
      <c r="B300" s="1">
        <v>0</v>
      </c>
      <c r="C300" t="s">
        <v>1471</v>
      </c>
      <c r="D300" t="s">
        <v>5462</v>
      </c>
      <c r="E300" t="s">
        <v>5237</v>
      </c>
      <c r="F300" t="s">
        <v>5050</v>
      </c>
      <c r="G300" t="s">
        <v>5294</v>
      </c>
      <c r="H300" t="s">
        <v>4199</v>
      </c>
      <c r="J300" t="s">
        <v>591</v>
      </c>
      <c r="K300">
        <v>200.6</v>
      </c>
    </row>
    <row r="301" spans="1:11" x14ac:dyDescent="0.35">
      <c r="A301" t="s">
        <v>593</v>
      </c>
      <c r="B301" s="1">
        <v>0</v>
      </c>
      <c r="C301" t="s">
        <v>359</v>
      </c>
      <c r="D301" t="s">
        <v>5534</v>
      </c>
      <c r="E301" t="s">
        <v>5306</v>
      </c>
      <c r="F301" t="s">
        <v>5050</v>
      </c>
      <c r="G301" t="s">
        <v>5309</v>
      </c>
      <c r="H301" t="s">
        <v>4467</v>
      </c>
      <c r="J301" t="s">
        <v>593</v>
      </c>
      <c r="K301">
        <v>206.2</v>
      </c>
    </row>
    <row r="302" spans="1:11" x14ac:dyDescent="0.35">
      <c r="A302" t="s">
        <v>596</v>
      </c>
      <c r="B302" s="1">
        <v>0</v>
      </c>
      <c r="C302" t="s">
        <v>469</v>
      </c>
      <c r="D302" t="s">
        <v>5494</v>
      </c>
      <c r="E302" t="s">
        <v>5239</v>
      </c>
      <c r="F302" t="s">
        <v>5050</v>
      </c>
      <c r="G302" t="s">
        <v>5291</v>
      </c>
      <c r="H302" t="s">
        <v>1693</v>
      </c>
      <c r="J302" t="s">
        <v>596</v>
      </c>
      <c r="K302">
        <v>213.5</v>
      </c>
    </row>
    <row r="303" spans="1:11" x14ac:dyDescent="0.35">
      <c r="A303" t="s">
        <v>598</v>
      </c>
      <c r="B303" s="1">
        <v>0</v>
      </c>
      <c r="C303" t="s">
        <v>1482</v>
      </c>
      <c r="D303" t="s">
        <v>5554</v>
      </c>
      <c r="E303" t="s">
        <v>5276</v>
      </c>
      <c r="F303" t="s">
        <v>5050</v>
      </c>
      <c r="G303" t="s">
        <v>5309</v>
      </c>
      <c r="H303" t="s">
        <v>231</v>
      </c>
      <c r="J303" t="s">
        <v>598</v>
      </c>
      <c r="K303">
        <v>215.5</v>
      </c>
    </row>
    <row r="304" spans="1:11" x14ac:dyDescent="0.35">
      <c r="A304" t="s">
        <v>600</v>
      </c>
      <c r="B304" s="1">
        <v>0</v>
      </c>
      <c r="C304" t="s">
        <v>332</v>
      </c>
      <c r="D304" t="s">
        <v>5512</v>
      </c>
      <c r="E304" t="s">
        <v>5069</v>
      </c>
      <c r="F304" t="s">
        <v>5050</v>
      </c>
      <c r="G304" t="s">
        <v>5312</v>
      </c>
      <c r="H304" t="s">
        <v>1238</v>
      </c>
      <c r="J304" t="s">
        <v>600</v>
      </c>
      <c r="K304">
        <v>216</v>
      </c>
    </row>
    <row r="305" spans="1:11" x14ac:dyDescent="0.35">
      <c r="A305" t="s">
        <v>602</v>
      </c>
      <c r="B305" s="1">
        <v>0</v>
      </c>
      <c r="C305" t="s">
        <v>4380</v>
      </c>
      <c r="D305" t="s">
        <v>5491</v>
      </c>
      <c r="E305" t="s">
        <v>5096</v>
      </c>
      <c r="F305" t="s">
        <v>5050</v>
      </c>
      <c r="G305" t="s">
        <v>5315</v>
      </c>
      <c r="H305" t="s">
        <v>616</v>
      </c>
      <c r="J305" t="s">
        <v>602</v>
      </c>
      <c r="K305">
        <v>218.7</v>
      </c>
    </row>
    <row r="306" spans="1:11" x14ac:dyDescent="0.35">
      <c r="A306" t="s">
        <v>603</v>
      </c>
      <c r="B306" s="1">
        <v>0</v>
      </c>
      <c r="C306" t="s">
        <v>459</v>
      </c>
      <c r="D306" t="s">
        <v>5246</v>
      </c>
      <c r="E306" t="s">
        <v>5096</v>
      </c>
      <c r="F306" t="s">
        <v>5050</v>
      </c>
      <c r="G306" t="s">
        <v>5342</v>
      </c>
      <c r="H306" t="s">
        <v>3730</v>
      </c>
      <c r="J306" t="s">
        <v>603</v>
      </c>
      <c r="K306">
        <v>221.1</v>
      </c>
    </row>
    <row r="307" spans="1:11" x14ac:dyDescent="0.35">
      <c r="A307" t="s">
        <v>606</v>
      </c>
      <c r="B307" s="1">
        <v>0</v>
      </c>
      <c r="C307" t="s">
        <v>5735</v>
      </c>
      <c r="D307" t="s">
        <v>5455</v>
      </c>
      <c r="E307" t="s">
        <v>5433</v>
      </c>
      <c r="F307" t="s">
        <v>5077</v>
      </c>
      <c r="G307" t="s">
        <v>5099</v>
      </c>
      <c r="H307" t="s">
        <v>5740</v>
      </c>
      <c r="J307" t="s">
        <v>606</v>
      </c>
      <c r="K307">
        <v>238.3</v>
      </c>
    </row>
    <row r="308" spans="1:11" x14ac:dyDescent="0.35">
      <c r="A308" t="s">
        <v>609</v>
      </c>
      <c r="B308" s="1">
        <v>0</v>
      </c>
      <c r="C308" t="s">
        <v>4382</v>
      </c>
      <c r="D308" t="s">
        <v>5457</v>
      </c>
      <c r="E308" t="s">
        <v>5145</v>
      </c>
      <c r="F308" t="s">
        <v>5089</v>
      </c>
      <c r="G308" t="s">
        <v>5124</v>
      </c>
      <c r="H308" t="s">
        <v>5758</v>
      </c>
      <c r="J308" t="s">
        <v>609</v>
      </c>
      <c r="K308">
        <v>243.6</v>
      </c>
    </row>
    <row r="309" spans="1:11" x14ac:dyDescent="0.35">
      <c r="A309" t="s">
        <v>612</v>
      </c>
      <c r="B309" s="1">
        <v>0</v>
      </c>
      <c r="C309" t="s">
        <v>4118</v>
      </c>
      <c r="D309" t="s">
        <v>5460</v>
      </c>
      <c r="E309" t="s">
        <v>5187</v>
      </c>
      <c r="F309" t="s">
        <v>5077</v>
      </c>
      <c r="G309" t="s">
        <v>5095</v>
      </c>
      <c r="H309" t="s">
        <v>5759</v>
      </c>
      <c r="J309" t="s">
        <v>612</v>
      </c>
      <c r="K309">
        <v>247.6</v>
      </c>
    </row>
    <row r="310" spans="1:11" x14ac:dyDescent="0.35">
      <c r="A310" t="s">
        <v>615</v>
      </c>
      <c r="B310" s="1">
        <v>0</v>
      </c>
      <c r="C310" t="s">
        <v>2609</v>
      </c>
      <c r="D310" t="s">
        <v>5461</v>
      </c>
      <c r="E310" t="s">
        <v>5108</v>
      </c>
      <c r="F310" t="s">
        <v>5089</v>
      </c>
      <c r="G310" t="s">
        <v>5116</v>
      </c>
      <c r="H310" t="s">
        <v>5760</v>
      </c>
      <c r="J310" t="s">
        <v>615</v>
      </c>
      <c r="K310">
        <v>252.9</v>
      </c>
    </row>
    <row r="311" spans="1:11" x14ac:dyDescent="0.35">
      <c r="A311" t="s">
        <v>618</v>
      </c>
      <c r="B311" s="1">
        <v>0</v>
      </c>
      <c r="C311" t="s">
        <v>489</v>
      </c>
      <c r="D311" t="s">
        <v>5463</v>
      </c>
      <c r="E311" t="s">
        <v>5103</v>
      </c>
      <c r="F311" t="s">
        <v>5089</v>
      </c>
      <c r="G311" t="s">
        <v>5092</v>
      </c>
      <c r="H311" t="s">
        <v>5675</v>
      </c>
      <c r="J311" t="s">
        <v>618</v>
      </c>
      <c r="K311">
        <v>253.9</v>
      </c>
    </row>
    <row r="312" spans="1:11" x14ac:dyDescent="0.35">
      <c r="A312" t="s">
        <v>620</v>
      </c>
      <c r="B312" s="1">
        <v>0</v>
      </c>
      <c r="C312" t="s">
        <v>4081</v>
      </c>
      <c r="D312" t="s">
        <v>5465</v>
      </c>
      <c r="E312" t="s">
        <v>5157</v>
      </c>
      <c r="F312" t="s">
        <v>5089</v>
      </c>
      <c r="G312" t="s">
        <v>5092</v>
      </c>
      <c r="H312" t="s">
        <v>3575</v>
      </c>
      <c r="J312" t="s">
        <v>620</v>
      </c>
      <c r="K312">
        <v>252.4</v>
      </c>
    </row>
    <row r="313" spans="1:11" x14ac:dyDescent="0.35">
      <c r="A313" t="s">
        <v>623</v>
      </c>
      <c r="B313" s="1">
        <v>0</v>
      </c>
      <c r="C313" t="s">
        <v>1478</v>
      </c>
      <c r="D313" t="s">
        <v>5466</v>
      </c>
      <c r="E313" t="s">
        <v>5135</v>
      </c>
      <c r="F313" t="s">
        <v>5089</v>
      </c>
      <c r="G313" t="s">
        <v>5116</v>
      </c>
      <c r="H313" t="s">
        <v>639</v>
      </c>
      <c r="J313" t="s">
        <v>623</v>
      </c>
      <c r="K313">
        <v>244</v>
      </c>
    </row>
    <row r="314" spans="1:11" x14ac:dyDescent="0.35">
      <c r="A314" t="s">
        <v>626</v>
      </c>
      <c r="B314" s="1">
        <v>0</v>
      </c>
      <c r="C314" t="s">
        <v>2267</v>
      </c>
      <c r="D314" t="s">
        <v>5467</v>
      </c>
      <c r="E314" t="s">
        <v>5072</v>
      </c>
      <c r="F314" t="s">
        <v>5077</v>
      </c>
      <c r="G314" t="s">
        <v>5124</v>
      </c>
      <c r="H314" t="s">
        <v>2072</v>
      </c>
      <c r="J314" t="s">
        <v>626</v>
      </c>
      <c r="K314">
        <v>233.7</v>
      </c>
    </row>
    <row r="315" spans="1:11" x14ac:dyDescent="0.35">
      <c r="A315" t="s">
        <v>629</v>
      </c>
      <c r="B315" s="1">
        <v>0</v>
      </c>
      <c r="C315" t="s">
        <v>2883</v>
      </c>
      <c r="D315" t="s">
        <v>5468</v>
      </c>
      <c r="E315" t="s">
        <v>5113</v>
      </c>
      <c r="F315" t="s">
        <v>5089</v>
      </c>
      <c r="G315" t="s">
        <v>5124</v>
      </c>
      <c r="H315" t="s">
        <v>735</v>
      </c>
      <c r="J315" t="s">
        <v>629</v>
      </c>
      <c r="K315">
        <v>235</v>
      </c>
    </row>
    <row r="316" spans="1:11" x14ac:dyDescent="0.35">
      <c r="A316" t="s">
        <v>632</v>
      </c>
      <c r="B316" s="1">
        <v>0</v>
      </c>
      <c r="C316" t="s">
        <v>976</v>
      </c>
      <c r="D316" t="s">
        <v>5469</v>
      </c>
      <c r="E316" t="s">
        <v>5229</v>
      </c>
      <c r="F316" t="s">
        <v>5089</v>
      </c>
      <c r="G316" t="s">
        <v>5082</v>
      </c>
      <c r="H316" t="s">
        <v>2102</v>
      </c>
      <c r="J316" t="s">
        <v>632</v>
      </c>
      <c r="K316">
        <v>248.9</v>
      </c>
    </row>
    <row r="317" spans="1:11" x14ac:dyDescent="0.35">
      <c r="A317" t="s">
        <v>635</v>
      </c>
      <c r="B317" s="1">
        <v>0</v>
      </c>
      <c r="C317" t="s">
        <v>3529</v>
      </c>
      <c r="D317" t="s">
        <v>5470</v>
      </c>
      <c r="E317" t="s">
        <v>5088</v>
      </c>
      <c r="F317" t="s">
        <v>5089</v>
      </c>
      <c r="G317" t="s">
        <v>5110</v>
      </c>
      <c r="H317" t="s">
        <v>5761</v>
      </c>
      <c r="J317" t="s">
        <v>635</v>
      </c>
      <c r="K317">
        <v>255.8</v>
      </c>
    </row>
    <row r="318" spans="1:11" x14ac:dyDescent="0.35">
      <c r="A318" t="s">
        <v>637</v>
      </c>
      <c r="B318" s="1">
        <v>0</v>
      </c>
      <c r="C318" t="s">
        <v>3802</v>
      </c>
      <c r="D318" t="s">
        <v>5472</v>
      </c>
      <c r="E318" t="s">
        <v>5453</v>
      </c>
      <c r="F318" t="s">
        <v>5089</v>
      </c>
      <c r="G318" t="s">
        <v>5082</v>
      </c>
      <c r="H318" t="s">
        <v>5021</v>
      </c>
      <c r="J318" t="s">
        <v>637</v>
      </c>
      <c r="K318">
        <v>246.6</v>
      </c>
    </row>
    <row r="319" spans="1:11" x14ac:dyDescent="0.35">
      <c r="A319" t="s">
        <v>640</v>
      </c>
      <c r="B319" s="1">
        <v>0</v>
      </c>
      <c r="C319" t="s">
        <v>461</v>
      </c>
      <c r="D319" t="s">
        <v>5474</v>
      </c>
      <c r="E319" t="s">
        <v>5218</v>
      </c>
      <c r="F319" t="s">
        <v>5089</v>
      </c>
      <c r="G319" t="s">
        <v>5215</v>
      </c>
      <c r="H319" t="s">
        <v>2449</v>
      </c>
      <c r="J319" t="s">
        <v>640</v>
      </c>
      <c r="K319">
        <v>229</v>
      </c>
    </row>
    <row r="320" spans="1:11" x14ac:dyDescent="0.35">
      <c r="A320" t="s">
        <v>643</v>
      </c>
      <c r="B320" s="1">
        <v>0</v>
      </c>
      <c r="C320" t="s">
        <v>446</v>
      </c>
      <c r="D320" t="s">
        <v>5212</v>
      </c>
      <c r="E320" t="s">
        <v>5069</v>
      </c>
      <c r="F320" t="s">
        <v>5077</v>
      </c>
      <c r="G320" t="s">
        <v>5475</v>
      </c>
      <c r="H320" t="s">
        <v>1707</v>
      </c>
      <c r="J320" t="s">
        <v>643</v>
      </c>
      <c r="K320">
        <v>212.7</v>
      </c>
    </row>
    <row r="321" spans="1:11" x14ac:dyDescent="0.35">
      <c r="A321" t="s">
        <v>645</v>
      </c>
      <c r="B321" s="1">
        <v>0</v>
      </c>
      <c r="C321" t="s">
        <v>1886</v>
      </c>
      <c r="D321" t="s">
        <v>5476</v>
      </c>
      <c r="E321" t="s">
        <v>5270</v>
      </c>
      <c r="F321" t="s">
        <v>5077</v>
      </c>
      <c r="G321" t="s">
        <v>5412</v>
      </c>
      <c r="H321" t="s">
        <v>202</v>
      </c>
      <c r="J321" t="s">
        <v>645</v>
      </c>
      <c r="K321">
        <v>202.9</v>
      </c>
    </row>
    <row r="322" spans="1:11" x14ac:dyDescent="0.35">
      <c r="A322" t="s">
        <v>647</v>
      </c>
      <c r="B322" s="1">
        <v>0</v>
      </c>
      <c r="C322" t="s">
        <v>5488</v>
      </c>
      <c r="D322" t="s">
        <v>5478</v>
      </c>
      <c r="E322" t="s">
        <v>5060</v>
      </c>
      <c r="F322" t="s">
        <v>5077</v>
      </c>
      <c r="G322" t="s">
        <v>5179</v>
      </c>
      <c r="H322" t="s">
        <v>1271</v>
      </c>
      <c r="J322" t="s">
        <v>647</v>
      </c>
      <c r="K322">
        <v>192.4</v>
      </c>
    </row>
    <row r="323" spans="1:11" x14ac:dyDescent="0.35">
      <c r="A323" t="s">
        <v>650</v>
      </c>
      <c r="B323" s="1">
        <v>0</v>
      </c>
      <c r="C323" t="s">
        <v>5584</v>
      </c>
      <c r="D323" t="s">
        <v>5083</v>
      </c>
      <c r="E323" t="s">
        <v>5219</v>
      </c>
      <c r="F323" t="s">
        <v>5077</v>
      </c>
      <c r="G323" t="s">
        <v>5054</v>
      </c>
      <c r="H323" t="s">
        <v>2327</v>
      </c>
      <c r="J323" t="s">
        <v>650</v>
      </c>
      <c r="K323">
        <v>186.7</v>
      </c>
    </row>
    <row r="324" spans="1:11" x14ac:dyDescent="0.35">
      <c r="A324" t="s">
        <v>653</v>
      </c>
      <c r="B324" s="1">
        <v>0</v>
      </c>
      <c r="C324" t="s">
        <v>405</v>
      </c>
      <c r="D324" t="s">
        <v>5392</v>
      </c>
      <c r="E324" t="s">
        <v>5236</v>
      </c>
      <c r="F324" t="s">
        <v>5077</v>
      </c>
      <c r="G324" t="s">
        <v>5179</v>
      </c>
      <c r="H324" t="s">
        <v>1271</v>
      </c>
      <c r="J324" t="s">
        <v>653</v>
      </c>
      <c r="K324">
        <v>192.4</v>
      </c>
    </row>
    <row r="325" spans="1:11" x14ac:dyDescent="0.35">
      <c r="A325" t="s">
        <v>655</v>
      </c>
      <c r="B325" s="1">
        <v>0</v>
      </c>
      <c r="C325" t="s">
        <v>2916</v>
      </c>
      <c r="D325" t="s">
        <v>5481</v>
      </c>
      <c r="E325" t="s">
        <v>5182</v>
      </c>
      <c r="F325" t="s">
        <v>5077</v>
      </c>
      <c r="G325" t="s">
        <v>5065</v>
      </c>
      <c r="H325" t="s">
        <v>2724</v>
      </c>
      <c r="J325" t="s">
        <v>655</v>
      </c>
      <c r="K325">
        <v>208</v>
      </c>
    </row>
    <row r="326" spans="1:11" x14ac:dyDescent="0.35">
      <c r="A326" t="s">
        <v>658</v>
      </c>
      <c r="B326" s="1">
        <v>0</v>
      </c>
      <c r="C326" t="s">
        <v>982</v>
      </c>
      <c r="D326" t="s">
        <v>5482</v>
      </c>
      <c r="E326" t="s">
        <v>5069</v>
      </c>
      <c r="F326" t="s">
        <v>5077</v>
      </c>
      <c r="G326" t="s">
        <v>5078</v>
      </c>
      <c r="H326" t="s">
        <v>3605</v>
      </c>
      <c r="J326" t="s">
        <v>658</v>
      </c>
      <c r="K326">
        <v>219.4</v>
      </c>
    </row>
    <row r="327" spans="1:11" x14ac:dyDescent="0.35">
      <c r="A327" t="s">
        <v>661</v>
      </c>
      <c r="B327" s="1">
        <v>0</v>
      </c>
      <c r="C327" t="s">
        <v>1471</v>
      </c>
      <c r="D327" t="s">
        <v>5483</v>
      </c>
      <c r="E327" t="s">
        <v>5120</v>
      </c>
      <c r="F327" t="s">
        <v>5077</v>
      </c>
      <c r="G327" t="s">
        <v>5078</v>
      </c>
      <c r="H327" t="s">
        <v>2380</v>
      </c>
      <c r="J327" t="s">
        <v>661</v>
      </c>
      <c r="K327">
        <v>217.6</v>
      </c>
    </row>
    <row r="328" spans="1:11" x14ac:dyDescent="0.35">
      <c r="A328" t="s">
        <v>664</v>
      </c>
      <c r="B328" s="1">
        <v>0</v>
      </c>
      <c r="C328" t="s">
        <v>467</v>
      </c>
      <c r="D328" t="s">
        <v>5484</v>
      </c>
      <c r="E328" t="s">
        <v>5249</v>
      </c>
      <c r="F328" t="s">
        <v>5077</v>
      </c>
      <c r="G328" t="s">
        <v>5475</v>
      </c>
      <c r="H328" t="s">
        <v>5713</v>
      </c>
      <c r="J328" t="s">
        <v>664</v>
      </c>
      <c r="K328">
        <v>207.6</v>
      </c>
    </row>
    <row r="329" spans="1:11" x14ac:dyDescent="0.35">
      <c r="A329" t="s">
        <v>667</v>
      </c>
      <c r="B329" s="1">
        <v>0</v>
      </c>
      <c r="C329" t="s">
        <v>1516</v>
      </c>
      <c r="D329" t="s">
        <v>5216</v>
      </c>
      <c r="E329" t="s">
        <v>5076</v>
      </c>
      <c r="F329" t="s">
        <v>5077</v>
      </c>
      <c r="G329" t="s">
        <v>5058</v>
      </c>
      <c r="H329" t="s">
        <v>2850</v>
      </c>
      <c r="J329" t="s">
        <v>667</v>
      </c>
      <c r="K329">
        <v>191.1</v>
      </c>
    </row>
    <row r="330" spans="1:11" x14ac:dyDescent="0.35">
      <c r="A330" t="s">
        <v>669</v>
      </c>
      <c r="B330" s="1">
        <v>0</v>
      </c>
      <c r="C330" t="s">
        <v>372</v>
      </c>
      <c r="D330" t="s">
        <v>5451</v>
      </c>
      <c r="E330" t="s">
        <v>5171</v>
      </c>
      <c r="F330" t="s">
        <v>5077</v>
      </c>
      <c r="G330" t="s">
        <v>5179</v>
      </c>
      <c r="H330" t="s">
        <v>717</v>
      </c>
      <c r="J330" t="s">
        <v>669</v>
      </c>
      <c r="K330">
        <v>181.8</v>
      </c>
    </row>
    <row r="331" spans="1:11" x14ac:dyDescent="0.35">
      <c r="A331" t="s">
        <v>672</v>
      </c>
      <c r="B331" s="1">
        <v>0</v>
      </c>
      <c r="C331" t="s">
        <v>412</v>
      </c>
      <c r="D331" t="s">
        <v>5450</v>
      </c>
      <c r="E331" t="s">
        <v>5313</v>
      </c>
      <c r="F331" t="s">
        <v>5077</v>
      </c>
      <c r="G331" t="s">
        <v>5062</v>
      </c>
      <c r="H331" t="s">
        <v>2327</v>
      </c>
      <c r="J331" t="s">
        <v>672</v>
      </c>
      <c r="K331">
        <v>186.7</v>
      </c>
    </row>
    <row r="332" spans="1:11" x14ac:dyDescent="0.35">
      <c r="A332" t="s">
        <v>673</v>
      </c>
      <c r="B332" s="1">
        <v>0</v>
      </c>
      <c r="C332" t="s">
        <v>341</v>
      </c>
      <c r="D332" t="s">
        <v>5443</v>
      </c>
      <c r="E332" t="s">
        <v>5328</v>
      </c>
      <c r="F332" t="s">
        <v>5077</v>
      </c>
      <c r="G332" t="s">
        <v>5078</v>
      </c>
      <c r="H332" t="s">
        <v>2826</v>
      </c>
      <c r="J332" t="s">
        <v>673</v>
      </c>
      <c r="K332">
        <v>198.6</v>
      </c>
    </row>
    <row r="333" spans="1:11" x14ac:dyDescent="0.35">
      <c r="A333" t="s">
        <v>675</v>
      </c>
      <c r="B333" s="1">
        <v>0</v>
      </c>
      <c r="C333" t="s">
        <v>360</v>
      </c>
      <c r="D333" t="s">
        <v>5485</v>
      </c>
      <c r="E333" t="s">
        <v>5303</v>
      </c>
      <c r="F333" t="s">
        <v>5089</v>
      </c>
      <c r="G333" t="s">
        <v>5124</v>
      </c>
      <c r="H333" t="s">
        <v>217</v>
      </c>
      <c r="J333" t="s">
        <v>675</v>
      </c>
      <c r="K333">
        <v>209.5</v>
      </c>
    </row>
    <row r="334" spans="1:11" x14ac:dyDescent="0.35">
      <c r="A334" t="s">
        <v>678</v>
      </c>
      <c r="B334" s="1">
        <v>0</v>
      </c>
      <c r="C334" t="s">
        <v>2269</v>
      </c>
      <c r="D334" t="s">
        <v>5373</v>
      </c>
      <c r="E334" t="s">
        <v>5286</v>
      </c>
      <c r="F334" t="s">
        <v>5089</v>
      </c>
      <c r="G334" t="s">
        <v>5095</v>
      </c>
      <c r="H334" t="s">
        <v>3012</v>
      </c>
      <c r="J334" t="s">
        <v>678</v>
      </c>
      <c r="K334">
        <v>216.5</v>
      </c>
    </row>
    <row r="335" spans="1:11" x14ac:dyDescent="0.35">
      <c r="A335" t="s">
        <v>681</v>
      </c>
      <c r="B335" s="1">
        <v>0</v>
      </c>
      <c r="C335" t="s">
        <v>2883</v>
      </c>
      <c r="D335" t="s">
        <v>5486</v>
      </c>
      <c r="E335" t="s">
        <v>5221</v>
      </c>
      <c r="F335" t="s">
        <v>5089</v>
      </c>
      <c r="G335" t="s">
        <v>5124</v>
      </c>
      <c r="H335" t="s">
        <v>2095</v>
      </c>
      <c r="J335" t="s">
        <v>681</v>
      </c>
      <c r="K335">
        <v>220.2</v>
      </c>
    </row>
    <row r="336" spans="1:11" x14ac:dyDescent="0.35">
      <c r="A336" t="s">
        <v>684</v>
      </c>
      <c r="B336" s="1">
        <v>0</v>
      </c>
      <c r="C336" t="s">
        <v>1536</v>
      </c>
      <c r="D336" t="s">
        <v>5487</v>
      </c>
      <c r="E336" t="s">
        <v>5167</v>
      </c>
      <c r="F336" t="s">
        <v>5089</v>
      </c>
      <c r="G336" t="s">
        <v>5078</v>
      </c>
      <c r="H336" t="s">
        <v>2343</v>
      </c>
      <c r="J336" t="s">
        <v>684</v>
      </c>
      <c r="K336">
        <v>214.6</v>
      </c>
    </row>
    <row r="337" spans="1:11" x14ac:dyDescent="0.35">
      <c r="A337" t="s">
        <v>687</v>
      </c>
      <c r="B337" s="1">
        <v>0</v>
      </c>
      <c r="C337" t="s">
        <v>986</v>
      </c>
      <c r="D337" t="s">
        <v>5489</v>
      </c>
      <c r="E337" t="s">
        <v>5102</v>
      </c>
      <c r="F337" t="s">
        <v>5152</v>
      </c>
      <c r="G337" t="s">
        <v>5092</v>
      </c>
      <c r="H337" t="s">
        <v>3028</v>
      </c>
      <c r="J337" t="s">
        <v>687</v>
      </c>
      <c r="K337">
        <v>220.7</v>
      </c>
    </row>
    <row r="338" spans="1:11" x14ac:dyDescent="0.35">
      <c r="A338" t="s">
        <v>690</v>
      </c>
      <c r="B338" s="1">
        <v>0</v>
      </c>
      <c r="C338" t="s">
        <v>1536</v>
      </c>
      <c r="D338" t="s">
        <v>5486</v>
      </c>
      <c r="E338" t="s">
        <v>5257</v>
      </c>
      <c r="F338" t="s">
        <v>5152</v>
      </c>
      <c r="G338" t="s">
        <v>5092</v>
      </c>
      <c r="H338" t="s">
        <v>3028</v>
      </c>
      <c r="J338" t="s">
        <v>690</v>
      </c>
      <c r="K338">
        <v>220.7</v>
      </c>
    </row>
    <row r="339" spans="1:11" x14ac:dyDescent="0.35">
      <c r="A339" t="s">
        <v>693</v>
      </c>
      <c r="B339" s="1">
        <v>0</v>
      </c>
      <c r="C339" t="s">
        <v>981</v>
      </c>
      <c r="D339" t="s">
        <v>5119</v>
      </c>
      <c r="E339" t="s">
        <v>5243</v>
      </c>
      <c r="F339" t="s">
        <v>5152</v>
      </c>
      <c r="G339" t="s">
        <v>5092</v>
      </c>
      <c r="H339" t="s">
        <v>1665</v>
      </c>
      <c r="J339" t="s">
        <v>693</v>
      </c>
      <c r="K339">
        <v>221.5</v>
      </c>
    </row>
    <row r="340" spans="1:11" x14ac:dyDescent="0.35">
      <c r="A340" t="s">
        <v>695</v>
      </c>
      <c r="B340" s="1">
        <v>0</v>
      </c>
      <c r="C340" t="s">
        <v>465</v>
      </c>
      <c r="D340" t="s">
        <v>5233</v>
      </c>
      <c r="E340" t="s">
        <v>5120</v>
      </c>
      <c r="F340" t="s">
        <v>5152</v>
      </c>
      <c r="G340" t="s">
        <v>5092</v>
      </c>
      <c r="H340" t="s">
        <v>1841</v>
      </c>
      <c r="J340" t="s">
        <v>695</v>
      </c>
      <c r="K340">
        <v>220.4</v>
      </c>
    </row>
    <row r="341" spans="1:11" x14ac:dyDescent="0.35">
      <c r="A341" t="s">
        <v>698</v>
      </c>
      <c r="B341" s="1">
        <v>0</v>
      </c>
      <c r="C341" t="s">
        <v>1528</v>
      </c>
      <c r="D341" t="s">
        <v>5233</v>
      </c>
      <c r="E341" t="s">
        <v>5081</v>
      </c>
      <c r="F341" t="s">
        <v>5152</v>
      </c>
      <c r="G341" t="s">
        <v>5092</v>
      </c>
      <c r="H341" t="s">
        <v>3729</v>
      </c>
      <c r="J341" t="s">
        <v>698</v>
      </c>
      <c r="K341">
        <v>215.1</v>
      </c>
    </row>
    <row r="342" spans="1:11" x14ac:dyDescent="0.35">
      <c r="A342" t="s">
        <v>701</v>
      </c>
      <c r="B342" s="1">
        <v>0</v>
      </c>
      <c r="C342" t="s">
        <v>450</v>
      </c>
      <c r="D342" t="s">
        <v>5478</v>
      </c>
      <c r="E342" t="s">
        <v>5239</v>
      </c>
      <c r="F342" t="s">
        <v>5152</v>
      </c>
      <c r="G342" t="s">
        <v>5092</v>
      </c>
      <c r="H342" t="s">
        <v>219</v>
      </c>
      <c r="J342" t="s">
        <v>701</v>
      </c>
      <c r="K342">
        <v>209.1</v>
      </c>
    </row>
    <row r="343" spans="1:11" x14ac:dyDescent="0.35">
      <c r="A343" t="s">
        <v>704</v>
      </c>
      <c r="B343" s="1">
        <v>0</v>
      </c>
      <c r="C343" t="s">
        <v>1528</v>
      </c>
      <c r="D343" t="s">
        <v>5258</v>
      </c>
      <c r="E343" t="s">
        <v>5102</v>
      </c>
      <c r="F343" t="s">
        <v>5152</v>
      </c>
      <c r="G343" t="s">
        <v>5077</v>
      </c>
      <c r="H343" t="s">
        <v>5671</v>
      </c>
      <c r="J343" t="s">
        <v>704</v>
      </c>
      <c r="K343">
        <v>211.8</v>
      </c>
    </row>
    <row r="344" spans="1:11" x14ac:dyDescent="0.35">
      <c r="A344" t="s">
        <v>706</v>
      </c>
      <c r="B344" s="1">
        <v>0</v>
      </c>
      <c r="C344" t="s">
        <v>1537</v>
      </c>
      <c r="D344" t="s">
        <v>5384</v>
      </c>
      <c r="E344" t="s">
        <v>5121</v>
      </c>
      <c r="F344" t="s">
        <v>5152</v>
      </c>
      <c r="G344" t="s">
        <v>5356</v>
      </c>
      <c r="H344" t="s">
        <v>3640</v>
      </c>
      <c r="J344" t="s">
        <v>706</v>
      </c>
      <c r="K344">
        <v>223.7</v>
      </c>
    </row>
    <row r="345" spans="1:11" x14ac:dyDescent="0.35">
      <c r="A345" t="s">
        <v>708</v>
      </c>
      <c r="B345" s="1">
        <v>0</v>
      </c>
      <c r="C345" t="s">
        <v>4643</v>
      </c>
      <c r="D345" t="s">
        <v>5491</v>
      </c>
      <c r="E345" t="s">
        <v>5072</v>
      </c>
      <c r="F345" t="s">
        <v>5152</v>
      </c>
      <c r="G345" t="s">
        <v>5493</v>
      </c>
      <c r="H345" t="s">
        <v>3950</v>
      </c>
      <c r="J345" t="s">
        <v>708</v>
      </c>
      <c r="K345">
        <v>235.9</v>
      </c>
    </row>
    <row r="346" spans="1:11" x14ac:dyDescent="0.35">
      <c r="A346" t="s">
        <v>710</v>
      </c>
      <c r="B346" s="1">
        <v>0</v>
      </c>
      <c r="C346" t="s">
        <v>495</v>
      </c>
      <c r="D346" t="s">
        <v>5495</v>
      </c>
      <c r="E346" t="s">
        <v>5085</v>
      </c>
      <c r="F346" t="s">
        <v>5338</v>
      </c>
      <c r="G346" t="s">
        <v>5332</v>
      </c>
      <c r="H346" t="s">
        <v>5762</v>
      </c>
      <c r="J346" t="s">
        <v>710</v>
      </c>
      <c r="K346">
        <v>243.8</v>
      </c>
    </row>
    <row r="347" spans="1:11" x14ac:dyDescent="0.35">
      <c r="A347" t="s">
        <v>713</v>
      </c>
      <c r="B347" s="1">
        <v>0</v>
      </c>
      <c r="C347" t="s">
        <v>5627</v>
      </c>
      <c r="D347" t="s">
        <v>5496</v>
      </c>
      <c r="E347" t="s">
        <v>5229</v>
      </c>
      <c r="F347" t="s">
        <v>5338</v>
      </c>
      <c r="G347" t="s">
        <v>5493</v>
      </c>
      <c r="H347" t="s">
        <v>2698</v>
      </c>
      <c r="J347" t="s">
        <v>713</v>
      </c>
      <c r="K347">
        <v>238.1</v>
      </c>
    </row>
    <row r="348" spans="1:11" x14ac:dyDescent="0.35">
      <c r="A348" t="s">
        <v>716</v>
      </c>
      <c r="B348" s="1">
        <v>0</v>
      </c>
      <c r="C348" t="s">
        <v>979</v>
      </c>
      <c r="D348" t="s">
        <v>5491</v>
      </c>
      <c r="E348" t="s">
        <v>5105</v>
      </c>
      <c r="F348" t="s">
        <v>5152</v>
      </c>
      <c r="G348" t="s">
        <v>5089</v>
      </c>
      <c r="H348" t="s">
        <v>5664</v>
      </c>
      <c r="J348" t="s">
        <v>716</v>
      </c>
      <c r="K348">
        <v>224.9</v>
      </c>
    </row>
    <row r="349" spans="1:11" x14ac:dyDescent="0.35">
      <c r="A349" t="s">
        <v>718</v>
      </c>
      <c r="B349" s="1">
        <v>0</v>
      </c>
      <c r="C349" t="s">
        <v>456</v>
      </c>
      <c r="D349" t="s">
        <v>5115</v>
      </c>
      <c r="E349" t="s">
        <v>5257</v>
      </c>
      <c r="F349" t="s">
        <v>5152</v>
      </c>
      <c r="G349" t="s">
        <v>5116</v>
      </c>
      <c r="H349" t="s">
        <v>229</v>
      </c>
      <c r="J349" t="s">
        <v>718</v>
      </c>
      <c r="K349">
        <v>211.2</v>
      </c>
    </row>
    <row r="350" spans="1:11" x14ac:dyDescent="0.35">
      <c r="A350" t="s">
        <v>720</v>
      </c>
      <c r="B350" s="1">
        <v>0</v>
      </c>
      <c r="C350" t="s">
        <v>4641</v>
      </c>
      <c r="D350" t="s">
        <v>5104</v>
      </c>
      <c r="E350" t="s">
        <v>5448</v>
      </c>
      <c r="F350" t="s">
        <v>5152</v>
      </c>
      <c r="G350" t="s">
        <v>5095</v>
      </c>
      <c r="H350" t="s">
        <v>4804</v>
      </c>
      <c r="J350" t="s">
        <v>720</v>
      </c>
      <c r="K350">
        <v>209.4</v>
      </c>
    </row>
    <row r="351" spans="1:11" x14ac:dyDescent="0.35">
      <c r="A351" t="s">
        <v>723</v>
      </c>
      <c r="B351" s="1">
        <v>0</v>
      </c>
      <c r="C351" t="s">
        <v>368</v>
      </c>
      <c r="D351" t="s">
        <v>5497</v>
      </c>
      <c r="E351" t="s">
        <v>5088</v>
      </c>
      <c r="F351" t="s">
        <v>5152</v>
      </c>
      <c r="G351" t="s">
        <v>5116</v>
      </c>
      <c r="H351" t="s">
        <v>3730</v>
      </c>
      <c r="J351" t="s">
        <v>723</v>
      </c>
      <c r="K351">
        <v>221.1</v>
      </c>
    </row>
    <row r="352" spans="1:11" x14ac:dyDescent="0.35">
      <c r="A352" t="s">
        <v>725</v>
      </c>
      <c r="B352" s="1">
        <v>0</v>
      </c>
      <c r="C352" t="s">
        <v>2607</v>
      </c>
      <c r="D352" t="s">
        <v>5499</v>
      </c>
      <c r="E352" t="s">
        <v>5114</v>
      </c>
      <c r="F352" t="s">
        <v>5152</v>
      </c>
      <c r="G352" t="s">
        <v>5132</v>
      </c>
      <c r="H352" t="s">
        <v>4484</v>
      </c>
      <c r="J352" t="s">
        <v>725</v>
      </c>
      <c r="K352">
        <v>237.9</v>
      </c>
    </row>
    <row r="353" spans="1:11" x14ac:dyDescent="0.35">
      <c r="A353" t="s">
        <v>728</v>
      </c>
      <c r="B353" s="1">
        <v>0</v>
      </c>
      <c r="C353" t="s">
        <v>4383</v>
      </c>
      <c r="D353" t="s">
        <v>5500</v>
      </c>
      <c r="E353" t="s">
        <v>5187</v>
      </c>
      <c r="F353" t="s">
        <v>5152</v>
      </c>
      <c r="G353" t="s">
        <v>5501</v>
      </c>
      <c r="H353" t="s">
        <v>5763</v>
      </c>
      <c r="J353" t="s">
        <v>728</v>
      </c>
      <c r="K353">
        <v>247.8</v>
      </c>
    </row>
    <row r="354" spans="1:11" x14ac:dyDescent="0.35">
      <c r="A354" t="s">
        <v>731</v>
      </c>
      <c r="B354" s="1">
        <v>0</v>
      </c>
      <c r="C354" t="s">
        <v>3226</v>
      </c>
      <c r="D354" t="s">
        <v>5502</v>
      </c>
      <c r="E354" t="s">
        <v>5456</v>
      </c>
      <c r="F354" t="s">
        <v>5338</v>
      </c>
      <c r="G354" t="s">
        <v>5341</v>
      </c>
      <c r="H354" t="s">
        <v>5728</v>
      </c>
      <c r="J354" t="s">
        <v>731</v>
      </c>
      <c r="K354">
        <v>252.8</v>
      </c>
    </row>
    <row r="355" spans="1:11" x14ac:dyDescent="0.35">
      <c r="A355" t="s">
        <v>734</v>
      </c>
      <c r="B355" s="1">
        <v>0</v>
      </c>
      <c r="C355" t="s">
        <v>1063</v>
      </c>
      <c r="D355" t="s">
        <v>5503</v>
      </c>
      <c r="E355" t="s">
        <v>5137</v>
      </c>
      <c r="F355" t="s">
        <v>5152</v>
      </c>
      <c r="G355" t="s">
        <v>5501</v>
      </c>
      <c r="H355" t="s">
        <v>5693</v>
      </c>
      <c r="J355" t="s">
        <v>734</v>
      </c>
      <c r="K355">
        <v>249</v>
      </c>
    </row>
    <row r="356" spans="1:11" x14ac:dyDescent="0.35">
      <c r="A356" t="s">
        <v>737</v>
      </c>
      <c r="B356" s="1">
        <v>0</v>
      </c>
      <c r="C356" t="s">
        <v>474</v>
      </c>
      <c r="D356" t="s">
        <v>5504</v>
      </c>
      <c r="E356" t="s">
        <v>5187</v>
      </c>
      <c r="F356" t="s">
        <v>5152</v>
      </c>
      <c r="G356" t="s">
        <v>5356</v>
      </c>
      <c r="H356" t="s">
        <v>5764</v>
      </c>
      <c r="J356" t="s">
        <v>737</v>
      </c>
      <c r="K356">
        <v>238.5</v>
      </c>
    </row>
    <row r="357" spans="1:11" x14ac:dyDescent="0.35">
      <c r="A357" t="s">
        <v>740</v>
      </c>
      <c r="B357" s="1">
        <v>0</v>
      </c>
      <c r="C357" t="s">
        <v>321</v>
      </c>
      <c r="D357" t="s">
        <v>5498</v>
      </c>
      <c r="E357" t="s">
        <v>5473</v>
      </c>
      <c r="F357" t="s">
        <v>5152</v>
      </c>
      <c r="G357" t="s">
        <v>5089</v>
      </c>
      <c r="H357" t="s">
        <v>5741</v>
      </c>
      <c r="J357" t="s">
        <v>740</v>
      </c>
      <c r="K357">
        <v>232.8</v>
      </c>
    </row>
    <row r="358" spans="1:11" x14ac:dyDescent="0.35">
      <c r="A358" t="s">
        <v>742</v>
      </c>
      <c r="B358" s="1">
        <v>0</v>
      </c>
      <c r="C358" t="s">
        <v>331</v>
      </c>
      <c r="D358" t="s">
        <v>5506</v>
      </c>
      <c r="E358" t="s">
        <v>5111</v>
      </c>
      <c r="F358" t="s">
        <v>5152</v>
      </c>
      <c r="G358" t="s">
        <v>5089</v>
      </c>
      <c r="H358" t="s">
        <v>1663</v>
      </c>
      <c r="J358" t="s">
        <v>742</v>
      </c>
      <c r="K358">
        <v>233.9</v>
      </c>
    </row>
    <row r="359" spans="1:11" x14ac:dyDescent="0.35">
      <c r="A359" t="s">
        <v>745</v>
      </c>
      <c r="B359" s="1">
        <v>0</v>
      </c>
      <c r="C359" t="s">
        <v>986</v>
      </c>
      <c r="D359" t="s">
        <v>5507</v>
      </c>
      <c r="E359" t="s">
        <v>5125</v>
      </c>
      <c r="F359" t="s">
        <v>5152</v>
      </c>
      <c r="G359" t="s">
        <v>5132</v>
      </c>
      <c r="H359" t="s">
        <v>5765</v>
      </c>
      <c r="J359" t="s">
        <v>745</v>
      </c>
      <c r="K359">
        <v>233.2</v>
      </c>
    </row>
    <row r="360" spans="1:11" x14ac:dyDescent="0.35">
      <c r="A360" t="s">
        <v>747</v>
      </c>
      <c r="B360" s="1">
        <v>0</v>
      </c>
      <c r="C360" t="s">
        <v>335</v>
      </c>
      <c r="D360" t="s">
        <v>5509</v>
      </c>
      <c r="E360" t="s">
        <v>5063</v>
      </c>
      <c r="F360" t="s">
        <v>5152</v>
      </c>
      <c r="G360" t="s">
        <v>5332</v>
      </c>
      <c r="H360" t="s">
        <v>226</v>
      </c>
      <c r="J360" t="s">
        <v>747</v>
      </c>
      <c r="K360">
        <v>230.8</v>
      </c>
    </row>
    <row r="361" spans="1:11" x14ac:dyDescent="0.35">
      <c r="A361" t="s">
        <v>749</v>
      </c>
      <c r="B361" s="1">
        <v>0</v>
      </c>
      <c r="C361" t="s">
        <v>343</v>
      </c>
      <c r="D361" t="s">
        <v>5119</v>
      </c>
      <c r="E361" t="s">
        <v>5192</v>
      </c>
      <c r="F361" t="s">
        <v>5152</v>
      </c>
      <c r="G361" t="s">
        <v>5333</v>
      </c>
      <c r="H361" t="s">
        <v>1689</v>
      </c>
      <c r="J361" t="s">
        <v>749</v>
      </c>
      <c r="K361">
        <v>222.7</v>
      </c>
    </row>
    <row r="362" spans="1:11" x14ac:dyDescent="0.35">
      <c r="A362" t="s">
        <v>752</v>
      </c>
      <c r="B362" s="1">
        <v>0</v>
      </c>
      <c r="C362" t="s">
        <v>988</v>
      </c>
      <c r="D362" t="s">
        <v>5391</v>
      </c>
      <c r="E362" t="s">
        <v>5255</v>
      </c>
      <c r="F362" t="s">
        <v>5152</v>
      </c>
      <c r="G362" t="s">
        <v>5333</v>
      </c>
      <c r="H362" t="s">
        <v>2844</v>
      </c>
      <c r="J362" t="s">
        <v>752</v>
      </c>
      <c r="K362">
        <v>214.1</v>
      </c>
    </row>
    <row r="363" spans="1:11" x14ac:dyDescent="0.35">
      <c r="A363" t="s">
        <v>755</v>
      </c>
      <c r="B363" s="1">
        <v>0</v>
      </c>
      <c r="C363" t="s">
        <v>1529</v>
      </c>
      <c r="D363" t="s">
        <v>5086</v>
      </c>
      <c r="E363" t="s">
        <v>5221</v>
      </c>
      <c r="F363" t="s">
        <v>5152</v>
      </c>
      <c r="G363" t="s">
        <v>5333</v>
      </c>
      <c r="H363" t="s">
        <v>2844</v>
      </c>
      <c r="J363" t="s">
        <v>755</v>
      </c>
      <c r="K363">
        <v>214.1</v>
      </c>
    </row>
    <row r="364" spans="1:11" x14ac:dyDescent="0.35">
      <c r="A364" t="s">
        <v>758</v>
      </c>
      <c r="B364" s="1">
        <v>0</v>
      </c>
      <c r="C364" t="s">
        <v>336</v>
      </c>
      <c r="D364" t="s">
        <v>5238</v>
      </c>
      <c r="E364" t="s">
        <v>5173</v>
      </c>
      <c r="F364" t="s">
        <v>5152</v>
      </c>
      <c r="G364" t="s">
        <v>5501</v>
      </c>
      <c r="H364" t="s">
        <v>1239</v>
      </c>
      <c r="J364" t="s">
        <v>758</v>
      </c>
      <c r="K364">
        <v>216.1</v>
      </c>
    </row>
    <row r="365" spans="1:11" x14ac:dyDescent="0.35">
      <c r="A365" t="s">
        <v>761</v>
      </c>
      <c r="B365" s="1">
        <v>0</v>
      </c>
      <c r="C365" t="s">
        <v>364</v>
      </c>
      <c r="D365" t="s">
        <v>5494</v>
      </c>
      <c r="E365" t="s">
        <v>5071</v>
      </c>
      <c r="F365" t="s">
        <v>5152</v>
      </c>
      <c r="G365" t="s">
        <v>5332</v>
      </c>
      <c r="H365" t="s">
        <v>944</v>
      </c>
      <c r="J365" t="s">
        <v>761</v>
      </c>
      <c r="K365">
        <v>217.8</v>
      </c>
    </row>
    <row r="366" spans="1:11" x14ac:dyDescent="0.35">
      <c r="A366" t="s">
        <v>762</v>
      </c>
      <c r="B366" s="1">
        <v>0</v>
      </c>
      <c r="C366" t="s">
        <v>4380</v>
      </c>
      <c r="D366" t="s">
        <v>5512</v>
      </c>
      <c r="E366" t="s">
        <v>5270</v>
      </c>
      <c r="F366" t="s">
        <v>5152</v>
      </c>
      <c r="G366" t="s">
        <v>5355</v>
      </c>
      <c r="H366" t="s">
        <v>2378</v>
      </c>
      <c r="J366" t="s">
        <v>762</v>
      </c>
      <c r="K366">
        <v>225.1</v>
      </c>
    </row>
    <row r="367" spans="1:11" x14ac:dyDescent="0.35">
      <c r="A367" t="s">
        <v>765</v>
      </c>
      <c r="B367" s="1">
        <v>0</v>
      </c>
      <c r="C367" t="s">
        <v>3218</v>
      </c>
      <c r="D367" t="s">
        <v>5513</v>
      </c>
      <c r="E367" t="s">
        <v>5100</v>
      </c>
      <c r="F367" t="s">
        <v>5338</v>
      </c>
      <c r="G367" t="s">
        <v>5501</v>
      </c>
      <c r="H367" t="s">
        <v>4209</v>
      </c>
      <c r="J367" t="s">
        <v>765</v>
      </c>
      <c r="K367">
        <v>240.3</v>
      </c>
    </row>
    <row r="368" spans="1:11" x14ac:dyDescent="0.35">
      <c r="A368" t="s">
        <v>768</v>
      </c>
      <c r="B368" s="1">
        <v>0</v>
      </c>
      <c r="C368" t="s">
        <v>5658</v>
      </c>
      <c r="D368" t="s">
        <v>5514</v>
      </c>
      <c r="E368" t="s">
        <v>5100</v>
      </c>
      <c r="F368" t="s">
        <v>5089</v>
      </c>
      <c r="G368" t="s">
        <v>5341</v>
      </c>
      <c r="H368" t="s">
        <v>2023</v>
      </c>
      <c r="J368" t="s">
        <v>768</v>
      </c>
      <c r="K368">
        <v>246.4</v>
      </c>
    </row>
    <row r="369" spans="1:11" x14ac:dyDescent="0.35">
      <c r="A369" t="s">
        <v>770</v>
      </c>
      <c r="B369" s="1">
        <v>0</v>
      </c>
      <c r="C369" t="s">
        <v>4647</v>
      </c>
      <c r="D369" t="s">
        <v>5515</v>
      </c>
      <c r="E369" t="s">
        <v>5145</v>
      </c>
      <c r="F369" t="s">
        <v>5077</v>
      </c>
      <c r="G369" t="s">
        <v>5501</v>
      </c>
      <c r="H369" t="s">
        <v>4244</v>
      </c>
      <c r="J369" t="s">
        <v>770</v>
      </c>
      <c r="K369">
        <v>245.7</v>
      </c>
    </row>
    <row r="370" spans="1:11" x14ac:dyDescent="0.35">
      <c r="A370" t="s">
        <v>772</v>
      </c>
      <c r="B370" s="1">
        <v>0</v>
      </c>
      <c r="C370" t="s">
        <v>2269</v>
      </c>
      <c r="D370" t="s">
        <v>5455</v>
      </c>
      <c r="E370" t="s">
        <v>5433</v>
      </c>
      <c r="F370" t="s">
        <v>5077</v>
      </c>
      <c r="G370" t="s">
        <v>5493</v>
      </c>
      <c r="H370" t="s">
        <v>2732</v>
      </c>
      <c r="J370" t="s">
        <v>772</v>
      </c>
      <c r="K370">
        <v>237.3</v>
      </c>
    </row>
    <row r="371" spans="1:11" x14ac:dyDescent="0.35">
      <c r="A371" t="s">
        <v>774</v>
      </c>
      <c r="B371" s="1">
        <v>0</v>
      </c>
      <c r="C371" t="s">
        <v>980</v>
      </c>
      <c r="D371" t="s">
        <v>5509</v>
      </c>
      <c r="E371" t="s">
        <v>5081</v>
      </c>
      <c r="F371" t="s">
        <v>5077</v>
      </c>
      <c r="G371" t="s">
        <v>5358</v>
      </c>
      <c r="H371" t="s">
        <v>2113</v>
      </c>
      <c r="J371" t="s">
        <v>774</v>
      </c>
      <c r="K371">
        <v>223.1</v>
      </c>
    </row>
    <row r="372" spans="1:11" x14ac:dyDescent="0.35">
      <c r="A372" t="s">
        <v>777</v>
      </c>
      <c r="B372" s="1">
        <v>0</v>
      </c>
      <c r="C372" t="s">
        <v>1526</v>
      </c>
      <c r="D372" t="s">
        <v>5366</v>
      </c>
      <c r="E372" t="s">
        <v>5173</v>
      </c>
      <c r="F372" t="s">
        <v>5077</v>
      </c>
      <c r="G372" t="s">
        <v>5045</v>
      </c>
      <c r="H372" t="s">
        <v>656</v>
      </c>
      <c r="J372" t="s">
        <v>777</v>
      </c>
      <c r="K372">
        <v>207.3</v>
      </c>
    </row>
    <row r="373" spans="1:11" x14ac:dyDescent="0.35">
      <c r="A373" t="s">
        <v>780</v>
      </c>
      <c r="B373" s="1">
        <v>0</v>
      </c>
      <c r="C373" t="s">
        <v>1910</v>
      </c>
      <c r="D373" t="s">
        <v>5198</v>
      </c>
      <c r="E373" t="s">
        <v>5064</v>
      </c>
      <c r="F373" t="s">
        <v>5077</v>
      </c>
      <c r="G373" t="s">
        <v>5110</v>
      </c>
      <c r="H373" t="s">
        <v>4218</v>
      </c>
      <c r="J373" t="s">
        <v>780</v>
      </c>
      <c r="K373">
        <v>192.1</v>
      </c>
    </row>
    <row r="374" spans="1:11" x14ac:dyDescent="0.35">
      <c r="A374" t="s">
        <v>783</v>
      </c>
      <c r="B374" s="1">
        <v>0</v>
      </c>
      <c r="C374" t="s">
        <v>5465</v>
      </c>
      <c r="D374" t="s">
        <v>5247</v>
      </c>
      <c r="E374" t="s">
        <v>5057</v>
      </c>
      <c r="F374" t="s">
        <v>5077</v>
      </c>
      <c r="G374" t="s">
        <v>5082</v>
      </c>
      <c r="H374" t="s">
        <v>808</v>
      </c>
      <c r="J374" t="s">
        <v>783</v>
      </c>
      <c r="K374">
        <v>177.7</v>
      </c>
    </row>
    <row r="375" spans="1:11" x14ac:dyDescent="0.35">
      <c r="A375" t="s">
        <v>785</v>
      </c>
      <c r="B375" s="1">
        <v>0</v>
      </c>
      <c r="C375" t="s">
        <v>5656</v>
      </c>
      <c r="D375" t="s">
        <v>5270</v>
      </c>
      <c r="E375" t="s">
        <v>5623</v>
      </c>
      <c r="F375" t="s">
        <v>5077</v>
      </c>
      <c r="G375" t="s">
        <v>5124</v>
      </c>
      <c r="H375" t="s">
        <v>800</v>
      </c>
      <c r="J375" t="s">
        <v>785</v>
      </c>
      <c r="K375">
        <v>167.7</v>
      </c>
    </row>
    <row r="376" spans="1:11" x14ac:dyDescent="0.35">
      <c r="A376" t="s">
        <v>787</v>
      </c>
      <c r="B376" s="1">
        <v>0</v>
      </c>
      <c r="C376" t="s">
        <v>5502</v>
      </c>
      <c r="D376" t="s">
        <v>5257</v>
      </c>
      <c r="E376" t="s">
        <v>5623</v>
      </c>
      <c r="F376" t="s">
        <v>5077</v>
      </c>
      <c r="G376" t="s">
        <v>5124</v>
      </c>
      <c r="H376" t="s">
        <v>2431</v>
      </c>
      <c r="J376" t="s">
        <v>787</v>
      </c>
      <c r="K376">
        <v>167.6</v>
      </c>
    </row>
    <row r="377" spans="1:11" x14ac:dyDescent="0.35">
      <c r="A377" t="s">
        <v>789</v>
      </c>
      <c r="B377" s="1">
        <v>0</v>
      </c>
      <c r="C377" t="s">
        <v>428</v>
      </c>
      <c r="D377" t="s">
        <v>5253</v>
      </c>
      <c r="E377" t="s">
        <v>5283</v>
      </c>
      <c r="F377" t="s">
        <v>5077</v>
      </c>
      <c r="G377" t="s">
        <v>5116</v>
      </c>
      <c r="H377" t="s">
        <v>167</v>
      </c>
      <c r="J377" t="s">
        <v>789</v>
      </c>
      <c r="K377">
        <v>177</v>
      </c>
    </row>
    <row r="378" spans="1:11" x14ac:dyDescent="0.35">
      <c r="A378" t="s">
        <v>792</v>
      </c>
      <c r="B378" s="1">
        <v>0</v>
      </c>
      <c r="C378" t="s">
        <v>2910</v>
      </c>
      <c r="D378" t="s">
        <v>5190</v>
      </c>
      <c r="E378" t="s">
        <v>5431</v>
      </c>
      <c r="F378" t="s">
        <v>5077</v>
      </c>
      <c r="G378" t="s">
        <v>5077</v>
      </c>
      <c r="H378" t="s">
        <v>2337</v>
      </c>
      <c r="J378" t="s">
        <v>792</v>
      </c>
      <c r="K378">
        <v>192.6</v>
      </c>
    </row>
    <row r="379" spans="1:11" x14ac:dyDescent="0.35">
      <c r="A379" t="s">
        <v>794</v>
      </c>
      <c r="B379" s="1">
        <v>0</v>
      </c>
      <c r="C379" t="s">
        <v>1041</v>
      </c>
      <c r="D379" t="s">
        <v>5370</v>
      </c>
      <c r="E379" t="s">
        <v>5068</v>
      </c>
      <c r="F379" t="s">
        <v>5077</v>
      </c>
      <c r="G379" t="s">
        <v>5358</v>
      </c>
      <c r="H379" t="s">
        <v>244</v>
      </c>
      <c r="J379" t="s">
        <v>794</v>
      </c>
      <c r="K379">
        <v>204.9</v>
      </c>
    </row>
    <row r="380" spans="1:11" x14ac:dyDescent="0.35">
      <c r="A380" t="s">
        <v>796</v>
      </c>
      <c r="B380" s="1">
        <v>0</v>
      </c>
      <c r="C380" t="s">
        <v>344</v>
      </c>
      <c r="D380" t="s">
        <v>5518</v>
      </c>
      <c r="E380" t="s">
        <v>5208</v>
      </c>
      <c r="F380" t="s">
        <v>5077</v>
      </c>
      <c r="G380" t="s">
        <v>5356</v>
      </c>
      <c r="H380" t="s">
        <v>2729</v>
      </c>
      <c r="J380" t="s">
        <v>796</v>
      </c>
      <c r="K380">
        <v>214.5</v>
      </c>
    </row>
    <row r="381" spans="1:11" x14ac:dyDescent="0.35">
      <c r="A381" t="s">
        <v>798</v>
      </c>
      <c r="B381" s="1">
        <v>0</v>
      </c>
      <c r="C381" t="s">
        <v>329</v>
      </c>
      <c r="D381" t="s">
        <v>5384</v>
      </c>
      <c r="E381" t="s">
        <v>5162</v>
      </c>
      <c r="F381" t="s">
        <v>5077</v>
      </c>
      <c r="G381" t="s">
        <v>5132</v>
      </c>
      <c r="H381" t="s">
        <v>767</v>
      </c>
      <c r="J381" t="s">
        <v>798</v>
      </c>
      <c r="K381">
        <v>217.3</v>
      </c>
    </row>
    <row r="382" spans="1:11" x14ac:dyDescent="0.35">
      <c r="A382" t="s">
        <v>799</v>
      </c>
      <c r="B382" s="1">
        <v>0</v>
      </c>
      <c r="C382" t="s">
        <v>345</v>
      </c>
      <c r="D382" t="s">
        <v>5392</v>
      </c>
      <c r="E382" t="s">
        <v>5071</v>
      </c>
      <c r="F382" t="s">
        <v>5077</v>
      </c>
      <c r="G382" t="s">
        <v>5077</v>
      </c>
      <c r="H382" t="s">
        <v>726</v>
      </c>
      <c r="J382" t="s">
        <v>799</v>
      </c>
      <c r="K382">
        <v>207.8</v>
      </c>
    </row>
    <row r="383" spans="1:11" x14ac:dyDescent="0.35">
      <c r="A383" t="s">
        <v>801</v>
      </c>
      <c r="B383" s="1">
        <v>0</v>
      </c>
      <c r="C383" t="s">
        <v>2910</v>
      </c>
      <c r="D383" t="s">
        <v>5206</v>
      </c>
      <c r="E383" t="s">
        <v>5323</v>
      </c>
      <c r="F383" t="s">
        <v>5077</v>
      </c>
      <c r="G383" t="s">
        <v>5082</v>
      </c>
      <c r="H383" t="s">
        <v>3077</v>
      </c>
      <c r="J383" t="s">
        <v>801</v>
      </c>
      <c r="K383">
        <v>195</v>
      </c>
    </row>
    <row r="384" spans="1:11" x14ac:dyDescent="0.35">
      <c r="A384" t="s">
        <v>803</v>
      </c>
      <c r="B384" s="1">
        <v>0</v>
      </c>
      <c r="C384" t="s">
        <v>2252</v>
      </c>
      <c r="D384" t="s">
        <v>5464</v>
      </c>
      <c r="E384" t="s">
        <v>5286</v>
      </c>
      <c r="F384" t="s">
        <v>5077</v>
      </c>
      <c r="G384" t="s">
        <v>5124</v>
      </c>
      <c r="H384" t="s">
        <v>760</v>
      </c>
      <c r="J384" t="s">
        <v>803</v>
      </c>
      <c r="K384">
        <v>187.5</v>
      </c>
    </row>
    <row r="385" spans="1:11" x14ac:dyDescent="0.35">
      <c r="A385" t="s">
        <v>804</v>
      </c>
      <c r="B385" s="1">
        <v>0</v>
      </c>
      <c r="C385" t="s">
        <v>1029</v>
      </c>
      <c r="D385" t="s">
        <v>5438</v>
      </c>
      <c r="E385" t="s">
        <v>5286</v>
      </c>
      <c r="F385" t="s">
        <v>5077</v>
      </c>
      <c r="G385" t="s">
        <v>5099</v>
      </c>
      <c r="H385" t="s">
        <v>1178</v>
      </c>
      <c r="J385" t="s">
        <v>804</v>
      </c>
      <c r="K385">
        <v>188.3</v>
      </c>
    </row>
    <row r="386" spans="1:11" x14ac:dyDescent="0.35">
      <c r="A386" t="s">
        <v>806</v>
      </c>
      <c r="B386" s="1">
        <v>0</v>
      </c>
      <c r="C386" t="s">
        <v>409</v>
      </c>
      <c r="D386" t="s">
        <v>5211</v>
      </c>
      <c r="E386" t="s">
        <v>5202</v>
      </c>
      <c r="F386" t="s">
        <v>5077</v>
      </c>
      <c r="G386" t="s">
        <v>5095</v>
      </c>
      <c r="H386" t="s">
        <v>2850</v>
      </c>
      <c r="J386" t="s">
        <v>806</v>
      </c>
      <c r="K386">
        <v>191.1</v>
      </c>
    </row>
    <row r="387" spans="1:11" x14ac:dyDescent="0.35">
      <c r="A387" t="s">
        <v>807</v>
      </c>
      <c r="B387" s="1">
        <v>0</v>
      </c>
      <c r="C387" t="s">
        <v>1886</v>
      </c>
      <c r="D387" t="s">
        <v>5220</v>
      </c>
      <c r="E387" t="s">
        <v>5223</v>
      </c>
      <c r="F387" t="s">
        <v>5077</v>
      </c>
      <c r="G387" t="s">
        <v>5116</v>
      </c>
      <c r="H387" t="s">
        <v>2552</v>
      </c>
      <c r="J387" t="s">
        <v>807</v>
      </c>
      <c r="K387">
        <v>190.8</v>
      </c>
    </row>
    <row r="388" spans="1:11" x14ac:dyDescent="0.35">
      <c r="A388" t="s">
        <v>810</v>
      </c>
      <c r="B388" s="1">
        <v>0</v>
      </c>
      <c r="C388" t="s">
        <v>993</v>
      </c>
      <c r="D388" t="s">
        <v>5151</v>
      </c>
      <c r="E388" t="s">
        <v>5171</v>
      </c>
      <c r="F388" t="s">
        <v>5077</v>
      </c>
      <c r="G388" t="s">
        <v>5116</v>
      </c>
      <c r="H388" t="s">
        <v>2481</v>
      </c>
      <c r="J388" t="s">
        <v>810</v>
      </c>
      <c r="K388">
        <v>185.9</v>
      </c>
    </row>
    <row r="389" spans="1:11" x14ac:dyDescent="0.35">
      <c r="A389" t="s">
        <v>812</v>
      </c>
      <c r="B389" s="1">
        <v>0</v>
      </c>
      <c r="C389" t="s">
        <v>5615</v>
      </c>
      <c r="D389" t="s">
        <v>5106</v>
      </c>
      <c r="E389" t="s">
        <v>5524</v>
      </c>
      <c r="F389" t="s">
        <v>5077</v>
      </c>
      <c r="G389" t="s">
        <v>5095</v>
      </c>
      <c r="H389" t="s">
        <v>163</v>
      </c>
      <c r="J389" t="s">
        <v>812</v>
      </c>
      <c r="K389">
        <v>176.7</v>
      </c>
    </row>
    <row r="390" spans="1:11" x14ac:dyDescent="0.35">
      <c r="A390" t="s">
        <v>814</v>
      </c>
      <c r="B390" s="1">
        <v>0</v>
      </c>
      <c r="C390" t="s">
        <v>5507</v>
      </c>
      <c r="D390" t="s">
        <v>5108</v>
      </c>
      <c r="E390" t="s">
        <v>5597</v>
      </c>
      <c r="F390" t="s">
        <v>5077</v>
      </c>
      <c r="G390" t="s">
        <v>5215</v>
      </c>
      <c r="H390" t="s">
        <v>190</v>
      </c>
      <c r="J390" t="s">
        <v>814</v>
      </c>
      <c r="K390">
        <v>170.9</v>
      </c>
    </row>
    <row r="391" spans="1:11" x14ac:dyDescent="0.35">
      <c r="A391" t="s">
        <v>816</v>
      </c>
      <c r="B391" s="1">
        <v>0</v>
      </c>
      <c r="C391" t="s">
        <v>5612</v>
      </c>
      <c r="D391" t="s">
        <v>5522</v>
      </c>
      <c r="E391" t="s">
        <v>5185</v>
      </c>
      <c r="F391" t="s">
        <v>5077</v>
      </c>
      <c r="G391" t="s">
        <v>5215</v>
      </c>
      <c r="H391" t="s">
        <v>2202</v>
      </c>
      <c r="J391" t="s">
        <v>816</v>
      </c>
      <c r="K391">
        <v>170.3</v>
      </c>
    </row>
    <row r="392" spans="1:11" x14ac:dyDescent="0.35">
      <c r="A392" t="s">
        <v>817</v>
      </c>
      <c r="B392" s="1">
        <v>0</v>
      </c>
      <c r="C392" t="s">
        <v>5651</v>
      </c>
      <c r="D392" t="s">
        <v>5440</v>
      </c>
      <c r="E392" t="s">
        <v>5313</v>
      </c>
      <c r="F392" t="s">
        <v>5077</v>
      </c>
      <c r="G392" t="s">
        <v>5124</v>
      </c>
      <c r="H392" t="s">
        <v>808</v>
      </c>
      <c r="J392" t="s">
        <v>817</v>
      </c>
      <c r="K392">
        <v>177.7</v>
      </c>
    </row>
    <row r="393" spans="1:11" x14ac:dyDescent="0.35">
      <c r="A393" t="s">
        <v>818</v>
      </c>
      <c r="B393" s="1">
        <v>0</v>
      </c>
      <c r="C393" t="s">
        <v>404</v>
      </c>
      <c r="D393" t="s">
        <v>5519</v>
      </c>
      <c r="E393" t="s">
        <v>5286</v>
      </c>
      <c r="F393" t="s">
        <v>5077</v>
      </c>
      <c r="G393" t="s">
        <v>5110</v>
      </c>
      <c r="H393" t="s">
        <v>3150</v>
      </c>
      <c r="J393" t="s">
        <v>818</v>
      </c>
      <c r="K393">
        <v>189.1</v>
      </c>
    </row>
    <row r="394" spans="1:11" x14ac:dyDescent="0.35">
      <c r="A394" t="s">
        <v>819</v>
      </c>
      <c r="B394" s="1">
        <v>0</v>
      </c>
      <c r="C394" t="s">
        <v>1525</v>
      </c>
      <c r="D394" t="s">
        <v>5086</v>
      </c>
      <c r="E394" t="s">
        <v>5255</v>
      </c>
      <c r="F394" t="s">
        <v>5077</v>
      </c>
      <c r="G394" t="s">
        <v>5089</v>
      </c>
      <c r="H394" t="s">
        <v>2144</v>
      </c>
      <c r="J394" t="s">
        <v>819</v>
      </c>
      <c r="K394">
        <v>203.9</v>
      </c>
    </row>
    <row r="395" spans="1:11" x14ac:dyDescent="0.35">
      <c r="A395" t="s">
        <v>822</v>
      </c>
      <c r="B395" s="1">
        <v>0</v>
      </c>
      <c r="C395" t="s">
        <v>1483</v>
      </c>
      <c r="D395" t="s">
        <v>5109</v>
      </c>
      <c r="E395" t="s">
        <v>5165</v>
      </c>
      <c r="F395" t="s">
        <v>5077</v>
      </c>
      <c r="G395" t="s">
        <v>5132</v>
      </c>
      <c r="H395" t="s">
        <v>1704</v>
      </c>
      <c r="J395" t="s">
        <v>822</v>
      </c>
      <c r="K395">
        <v>219</v>
      </c>
    </row>
    <row r="396" spans="1:11" x14ac:dyDescent="0.35">
      <c r="A396" t="s">
        <v>823</v>
      </c>
      <c r="B396" s="1">
        <v>0</v>
      </c>
      <c r="C396" t="s">
        <v>1866</v>
      </c>
      <c r="D396" t="s">
        <v>5523</v>
      </c>
      <c r="E396" t="s">
        <v>5120</v>
      </c>
      <c r="F396" t="s">
        <v>5077</v>
      </c>
      <c r="G396" t="s">
        <v>5358</v>
      </c>
      <c r="H396" t="s">
        <v>2384</v>
      </c>
      <c r="J396" t="s">
        <v>823</v>
      </c>
      <c r="K396">
        <v>227.1</v>
      </c>
    </row>
    <row r="397" spans="1:11" x14ac:dyDescent="0.35">
      <c r="A397" t="s">
        <v>825</v>
      </c>
      <c r="B397" s="1">
        <v>0</v>
      </c>
      <c r="C397" t="s">
        <v>1535</v>
      </c>
      <c r="D397" t="s">
        <v>5517</v>
      </c>
      <c r="E397" t="s">
        <v>5304</v>
      </c>
      <c r="F397" t="s">
        <v>5077</v>
      </c>
      <c r="G397" t="s">
        <v>5045</v>
      </c>
      <c r="H397" t="s">
        <v>1206</v>
      </c>
      <c r="J397" t="s">
        <v>825</v>
      </c>
      <c r="K397">
        <v>220.8</v>
      </c>
    </row>
    <row r="398" spans="1:11" x14ac:dyDescent="0.35">
      <c r="A398" t="s">
        <v>826</v>
      </c>
      <c r="B398" s="1">
        <v>0</v>
      </c>
      <c r="C398" t="s">
        <v>1521</v>
      </c>
      <c r="D398" t="s">
        <v>5486</v>
      </c>
      <c r="E398" t="s">
        <v>5306</v>
      </c>
      <c r="F398" t="s">
        <v>5077</v>
      </c>
      <c r="G398" t="s">
        <v>5082</v>
      </c>
      <c r="H398" t="s">
        <v>2398</v>
      </c>
      <c r="J398" t="s">
        <v>826</v>
      </c>
      <c r="K398">
        <v>204.3</v>
      </c>
    </row>
    <row r="399" spans="1:11" x14ac:dyDescent="0.35">
      <c r="A399" t="s">
        <v>828</v>
      </c>
      <c r="B399" s="1">
        <v>0</v>
      </c>
      <c r="C399" t="s">
        <v>5631</v>
      </c>
      <c r="D399" t="s">
        <v>5108</v>
      </c>
      <c r="E399" t="s">
        <v>5061</v>
      </c>
      <c r="F399" t="s">
        <v>5050</v>
      </c>
      <c r="G399" t="s">
        <v>5180</v>
      </c>
      <c r="H399" t="s">
        <v>51</v>
      </c>
      <c r="J399" t="s">
        <v>828</v>
      </c>
      <c r="K399">
        <v>173.1</v>
      </c>
    </row>
    <row r="400" spans="1:11" x14ac:dyDescent="0.35">
      <c r="A400" t="s">
        <v>831</v>
      </c>
      <c r="B400" s="1">
        <v>0</v>
      </c>
      <c r="C400" t="s">
        <v>428</v>
      </c>
      <c r="D400" t="s">
        <v>5114</v>
      </c>
      <c r="E400" t="s">
        <v>5185</v>
      </c>
      <c r="F400" t="s">
        <v>5050</v>
      </c>
      <c r="G400" t="s">
        <v>5177</v>
      </c>
      <c r="H400" t="s">
        <v>2151</v>
      </c>
      <c r="J400" t="s">
        <v>831</v>
      </c>
      <c r="K400">
        <v>171.8</v>
      </c>
    </row>
    <row r="401" spans="1:11" x14ac:dyDescent="0.35">
      <c r="A401" t="s">
        <v>833</v>
      </c>
      <c r="B401" s="1">
        <v>0</v>
      </c>
      <c r="C401" t="s">
        <v>1035</v>
      </c>
      <c r="D401" t="s">
        <v>5154</v>
      </c>
      <c r="E401" t="s">
        <v>5064</v>
      </c>
      <c r="F401" t="s">
        <v>5050</v>
      </c>
      <c r="G401" t="s">
        <v>5159</v>
      </c>
      <c r="H401" t="s">
        <v>5040</v>
      </c>
      <c r="J401" t="s">
        <v>833</v>
      </c>
      <c r="K401">
        <v>178.9</v>
      </c>
    </row>
    <row r="402" spans="1:11" x14ac:dyDescent="0.35">
      <c r="A402" t="s">
        <v>835</v>
      </c>
      <c r="B402" s="1">
        <v>0</v>
      </c>
      <c r="C402" t="s">
        <v>1003</v>
      </c>
      <c r="D402" t="s">
        <v>5090</v>
      </c>
      <c r="E402" t="s">
        <v>5431</v>
      </c>
      <c r="F402" t="s">
        <v>5050</v>
      </c>
      <c r="G402" t="s">
        <v>5180</v>
      </c>
      <c r="H402" t="s">
        <v>809</v>
      </c>
      <c r="J402" t="s">
        <v>835</v>
      </c>
      <c r="K402">
        <v>178.2</v>
      </c>
    </row>
    <row r="403" spans="1:11" x14ac:dyDescent="0.35">
      <c r="A403" t="s">
        <v>836</v>
      </c>
      <c r="B403" s="1">
        <v>0</v>
      </c>
      <c r="C403" t="s">
        <v>5581</v>
      </c>
      <c r="D403" t="s">
        <v>5154</v>
      </c>
      <c r="E403" t="s">
        <v>5303</v>
      </c>
      <c r="F403" t="s">
        <v>5050</v>
      </c>
      <c r="G403" t="s">
        <v>5195</v>
      </c>
      <c r="H403" t="s">
        <v>1324</v>
      </c>
      <c r="J403" t="s">
        <v>836</v>
      </c>
      <c r="K403">
        <v>169.9</v>
      </c>
    </row>
    <row r="404" spans="1:11" x14ac:dyDescent="0.35">
      <c r="A404" t="s">
        <v>839</v>
      </c>
      <c r="B404" s="1">
        <v>0</v>
      </c>
      <c r="C404" t="s">
        <v>5511</v>
      </c>
      <c r="D404" t="s">
        <v>5572</v>
      </c>
      <c r="E404" t="s">
        <v>5420</v>
      </c>
      <c r="F404" t="s">
        <v>5050</v>
      </c>
      <c r="G404" t="s">
        <v>5189</v>
      </c>
      <c r="H404" t="s">
        <v>1348</v>
      </c>
      <c r="J404" t="s">
        <v>839</v>
      </c>
      <c r="K404">
        <v>161.30000000000001</v>
      </c>
    </row>
    <row r="405" spans="1:11" x14ac:dyDescent="0.35">
      <c r="A405" t="s">
        <v>841</v>
      </c>
      <c r="B405" s="1">
        <v>0</v>
      </c>
      <c r="C405" t="s">
        <v>5554</v>
      </c>
      <c r="D405" t="s">
        <v>5187</v>
      </c>
      <c r="E405" t="s">
        <v>5181</v>
      </c>
      <c r="F405" t="s">
        <v>5050</v>
      </c>
      <c r="G405" t="s">
        <v>5357</v>
      </c>
      <c r="H405" t="s">
        <v>556</v>
      </c>
      <c r="J405" t="s">
        <v>841</v>
      </c>
      <c r="K405">
        <v>156.19999999999999</v>
      </c>
    </row>
    <row r="406" spans="1:11" x14ac:dyDescent="0.35">
      <c r="A406" t="s">
        <v>842</v>
      </c>
      <c r="B406" s="1">
        <v>0</v>
      </c>
      <c r="C406" t="s">
        <v>5553</v>
      </c>
      <c r="D406" t="s">
        <v>5157</v>
      </c>
      <c r="E406" t="s">
        <v>5420</v>
      </c>
      <c r="F406" t="s">
        <v>5050</v>
      </c>
      <c r="G406" t="s">
        <v>5357</v>
      </c>
      <c r="H406" t="s">
        <v>2187</v>
      </c>
      <c r="J406" t="s">
        <v>842</v>
      </c>
      <c r="K406">
        <v>158.6</v>
      </c>
    </row>
    <row r="407" spans="1:11" x14ac:dyDescent="0.35">
      <c r="A407" t="s">
        <v>844</v>
      </c>
      <c r="B407" s="1">
        <v>0</v>
      </c>
      <c r="C407" t="s">
        <v>5586</v>
      </c>
      <c r="D407" t="s">
        <v>5443</v>
      </c>
      <c r="E407" t="s">
        <v>5055</v>
      </c>
      <c r="F407" t="s">
        <v>5050</v>
      </c>
      <c r="G407" t="s">
        <v>5195</v>
      </c>
      <c r="H407" t="s">
        <v>2795</v>
      </c>
      <c r="J407" t="s">
        <v>844</v>
      </c>
      <c r="K407">
        <v>168.9</v>
      </c>
    </row>
    <row r="408" spans="1:11" x14ac:dyDescent="0.35">
      <c r="A408" t="s">
        <v>846</v>
      </c>
      <c r="B408" s="1">
        <v>0</v>
      </c>
      <c r="C408" t="s">
        <v>5261</v>
      </c>
      <c r="D408" t="s">
        <v>5148</v>
      </c>
      <c r="E408" t="s">
        <v>5176</v>
      </c>
      <c r="F408" t="s">
        <v>5050</v>
      </c>
      <c r="G408" t="s">
        <v>5159</v>
      </c>
      <c r="H408" t="s">
        <v>2453</v>
      </c>
      <c r="J408" t="s">
        <v>846</v>
      </c>
      <c r="K408">
        <v>181.6</v>
      </c>
    </row>
    <row r="409" spans="1:11" x14ac:dyDescent="0.35">
      <c r="A409" t="s">
        <v>847</v>
      </c>
      <c r="B409" s="1">
        <v>0</v>
      </c>
      <c r="C409" t="s">
        <v>428</v>
      </c>
      <c r="D409" t="s">
        <v>5374</v>
      </c>
      <c r="E409" t="s">
        <v>5255</v>
      </c>
      <c r="F409" t="s">
        <v>5050</v>
      </c>
      <c r="G409" t="s">
        <v>5348</v>
      </c>
      <c r="H409" t="s">
        <v>2751</v>
      </c>
      <c r="J409" t="s">
        <v>847</v>
      </c>
      <c r="K409">
        <v>183.1</v>
      </c>
    </row>
    <row r="410" spans="1:11" x14ac:dyDescent="0.35">
      <c r="A410" t="s">
        <v>850</v>
      </c>
      <c r="B410" s="1">
        <v>0</v>
      </c>
      <c r="C410" t="s">
        <v>5472</v>
      </c>
      <c r="D410" t="s">
        <v>5531</v>
      </c>
      <c r="E410" t="s">
        <v>5428</v>
      </c>
      <c r="F410" t="s">
        <v>5050</v>
      </c>
      <c r="G410" t="s">
        <v>5159</v>
      </c>
      <c r="H410" t="s">
        <v>811</v>
      </c>
      <c r="J410" t="s">
        <v>850</v>
      </c>
      <c r="K410">
        <v>173.6</v>
      </c>
    </row>
    <row r="411" spans="1:11" x14ac:dyDescent="0.35">
      <c r="A411" t="s">
        <v>852</v>
      </c>
      <c r="B411" s="1">
        <v>0</v>
      </c>
      <c r="C411" t="s">
        <v>5232</v>
      </c>
      <c r="D411" t="s">
        <v>5439</v>
      </c>
      <c r="E411" t="s">
        <v>5070</v>
      </c>
      <c r="F411" t="s">
        <v>5050</v>
      </c>
      <c r="G411" t="s">
        <v>5180</v>
      </c>
      <c r="H411" t="s">
        <v>671</v>
      </c>
      <c r="J411" t="s">
        <v>852</v>
      </c>
      <c r="K411">
        <v>164.8</v>
      </c>
    </row>
    <row r="412" spans="1:11" x14ac:dyDescent="0.35">
      <c r="A412" t="s">
        <v>854</v>
      </c>
      <c r="B412" s="1">
        <v>0</v>
      </c>
      <c r="C412" t="s">
        <v>5516</v>
      </c>
      <c r="D412" t="s">
        <v>5508</v>
      </c>
      <c r="E412" t="s">
        <v>5597</v>
      </c>
      <c r="F412" t="s">
        <v>5050</v>
      </c>
      <c r="G412" t="s">
        <v>5159</v>
      </c>
      <c r="H412" t="s">
        <v>908</v>
      </c>
      <c r="J412" t="s">
        <v>854</v>
      </c>
      <c r="K412">
        <v>169.6</v>
      </c>
    </row>
    <row r="413" spans="1:11" x14ac:dyDescent="0.35">
      <c r="A413" t="s">
        <v>856</v>
      </c>
      <c r="B413" s="1">
        <v>0</v>
      </c>
      <c r="C413" t="s">
        <v>1881</v>
      </c>
      <c r="D413" t="s">
        <v>5519</v>
      </c>
      <c r="E413" t="s">
        <v>5169</v>
      </c>
      <c r="F413" t="s">
        <v>5050</v>
      </c>
      <c r="G413" t="s">
        <v>5156</v>
      </c>
      <c r="H413" t="s">
        <v>1681</v>
      </c>
      <c r="J413" t="s">
        <v>856</v>
      </c>
      <c r="K413">
        <v>186.4</v>
      </c>
    </row>
    <row r="414" spans="1:11" x14ac:dyDescent="0.35">
      <c r="A414" t="s">
        <v>858</v>
      </c>
      <c r="B414" s="1">
        <v>0</v>
      </c>
      <c r="C414" t="s">
        <v>448</v>
      </c>
      <c r="D414" t="s">
        <v>5595</v>
      </c>
      <c r="E414" t="s">
        <v>5204</v>
      </c>
      <c r="F414" t="s">
        <v>5050</v>
      </c>
      <c r="G414" t="s">
        <v>5411</v>
      </c>
      <c r="H414" t="s">
        <v>1193</v>
      </c>
      <c r="J414" t="s">
        <v>858</v>
      </c>
      <c r="K414">
        <v>197.9</v>
      </c>
    </row>
    <row r="415" spans="1:11" x14ac:dyDescent="0.35">
      <c r="A415" t="s">
        <v>860</v>
      </c>
      <c r="B415" s="1">
        <v>0</v>
      </c>
      <c r="C415" t="s">
        <v>1048</v>
      </c>
      <c r="D415" t="s">
        <v>5528</v>
      </c>
      <c r="E415" t="s">
        <v>5286</v>
      </c>
      <c r="F415" t="s">
        <v>5050</v>
      </c>
      <c r="G415" t="s">
        <v>5339</v>
      </c>
      <c r="H415" t="s">
        <v>692</v>
      </c>
      <c r="J415" t="s">
        <v>860</v>
      </c>
      <c r="K415">
        <v>190.6</v>
      </c>
    </row>
    <row r="416" spans="1:11" x14ac:dyDescent="0.35">
      <c r="A416" t="s">
        <v>861</v>
      </c>
      <c r="B416" s="1">
        <v>0</v>
      </c>
      <c r="C416" t="s">
        <v>1500</v>
      </c>
      <c r="D416" t="s">
        <v>5505</v>
      </c>
      <c r="E416" t="s">
        <v>5313</v>
      </c>
      <c r="F416" t="s">
        <v>5050</v>
      </c>
      <c r="G416" t="s">
        <v>5348</v>
      </c>
      <c r="H416" t="s">
        <v>3430</v>
      </c>
      <c r="J416" t="s">
        <v>861</v>
      </c>
      <c r="K416">
        <v>176.8</v>
      </c>
    </row>
    <row r="417" spans="1:11" x14ac:dyDescent="0.35">
      <c r="A417" t="s">
        <v>863</v>
      </c>
      <c r="B417" s="1">
        <v>0</v>
      </c>
      <c r="C417" t="s">
        <v>388</v>
      </c>
      <c r="D417" t="s">
        <v>5281</v>
      </c>
      <c r="E417" t="s">
        <v>5597</v>
      </c>
      <c r="F417" t="s">
        <v>5050</v>
      </c>
      <c r="G417" t="s">
        <v>5177</v>
      </c>
      <c r="H417" t="s">
        <v>1351</v>
      </c>
      <c r="J417" t="s">
        <v>863</v>
      </c>
      <c r="K417">
        <v>171.9</v>
      </c>
    </row>
    <row r="418" spans="1:11" x14ac:dyDescent="0.35">
      <c r="A418" t="s">
        <v>865</v>
      </c>
      <c r="B418" s="1">
        <v>0</v>
      </c>
      <c r="C418" t="s">
        <v>3496</v>
      </c>
      <c r="D418" t="s">
        <v>5198</v>
      </c>
      <c r="E418" t="s">
        <v>5064</v>
      </c>
      <c r="F418" t="s">
        <v>5050</v>
      </c>
      <c r="G418" t="s">
        <v>5348</v>
      </c>
      <c r="H418" t="s">
        <v>957</v>
      </c>
      <c r="J418" t="s">
        <v>865</v>
      </c>
      <c r="K418">
        <v>183.3</v>
      </c>
    </row>
    <row r="419" spans="1:11" x14ac:dyDescent="0.35">
      <c r="A419" t="s">
        <v>866</v>
      </c>
      <c r="B419" s="1">
        <v>0</v>
      </c>
      <c r="C419" t="s">
        <v>1917</v>
      </c>
      <c r="D419" t="s">
        <v>5216</v>
      </c>
      <c r="E419" t="s">
        <v>5204</v>
      </c>
      <c r="F419" t="s">
        <v>5050</v>
      </c>
      <c r="G419" t="s">
        <v>5168</v>
      </c>
      <c r="H419" t="s">
        <v>214</v>
      </c>
      <c r="J419" t="s">
        <v>866</v>
      </c>
      <c r="K419">
        <v>198.1</v>
      </c>
    </row>
    <row r="420" spans="1:11" x14ac:dyDescent="0.35">
      <c r="A420" t="s">
        <v>868</v>
      </c>
      <c r="B420" s="1">
        <v>0</v>
      </c>
      <c r="C420" t="s">
        <v>355</v>
      </c>
      <c r="D420" t="s">
        <v>5209</v>
      </c>
      <c r="E420" t="s">
        <v>5255</v>
      </c>
      <c r="F420" t="s">
        <v>5050</v>
      </c>
      <c r="G420" t="s">
        <v>5156</v>
      </c>
      <c r="H420" t="s">
        <v>727</v>
      </c>
      <c r="J420" t="s">
        <v>868</v>
      </c>
      <c r="K420">
        <v>206.9</v>
      </c>
    </row>
    <row r="421" spans="1:11" x14ac:dyDescent="0.35">
      <c r="A421" t="s">
        <v>870</v>
      </c>
      <c r="B421" s="1">
        <v>0</v>
      </c>
      <c r="C421" t="s">
        <v>987</v>
      </c>
      <c r="D421" t="s">
        <v>5248</v>
      </c>
      <c r="E421" t="s">
        <v>5208</v>
      </c>
      <c r="F421" t="s">
        <v>5050</v>
      </c>
      <c r="G421" t="s">
        <v>5337</v>
      </c>
      <c r="H421" t="s">
        <v>1693</v>
      </c>
      <c r="J421" t="s">
        <v>870</v>
      </c>
      <c r="K421">
        <v>213.5</v>
      </c>
    </row>
    <row r="422" spans="1:11" x14ac:dyDescent="0.35">
      <c r="A422" t="s">
        <v>871</v>
      </c>
      <c r="B422" s="1">
        <v>0</v>
      </c>
      <c r="C422" t="s">
        <v>2606</v>
      </c>
      <c r="D422" t="s">
        <v>5582</v>
      </c>
      <c r="E422" t="s">
        <v>5270</v>
      </c>
      <c r="F422" t="s">
        <v>5240</v>
      </c>
      <c r="G422" t="s">
        <v>5411</v>
      </c>
      <c r="H422" t="s">
        <v>1665</v>
      </c>
      <c r="J422" t="s">
        <v>871</v>
      </c>
      <c r="K422">
        <v>221.5</v>
      </c>
    </row>
    <row r="423" spans="1:11" x14ac:dyDescent="0.35">
      <c r="A423" t="s">
        <v>873</v>
      </c>
      <c r="B423" s="1">
        <v>0</v>
      </c>
      <c r="C423" t="s">
        <v>1538</v>
      </c>
      <c r="D423" t="s">
        <v>5212</v>
      </c>
      <c r="E423" t="s">
        <v>5069</v>
      </c>
      <c r="F423" t="s">
        <v>5050</v>
      </c>
      <c r="G423" t="s">
        <v>5411</v>
      </c>
      <c r="H423" t="s">
        <v>1722</v>
      </c>
      <c r="J423" t="s">
        <v>873</v>
      </c>
      <c r="K423">
        <v>222.3</v>
      </c>
    </row>
    <row r="424" spans="1:11" x14ac:dyDescent="0.35">
      <c r="A424" t="s">
        <v>874</v>
      </c>
      <c r="B424" s="1">
        <v>0</v>
      </c>
      <c r="C424" t="s">
        <v>344</v>
      </c>
      <c r="D424" t="s">
        <v>5491</v>
      </c>
      <c r="E424" t="s">
        <v>5182</v>
      </c>
      <c r="F424" t="s">
        <v>5050</v>
      </c>
      <c r="G424" t="s">
        <v>5156</v>
      </c>
      <c r="H424" t="s">
        <v>662</v>
      </c>
      <c r="J424" t="s">
        <v>874</v>
      </c>
      <c r="K424">
        <v>211.5</v>
      </c>
    </row>
    <row r="425" spans="1:11" x14ac:dyDescent="0.35">
      <c r="A425" t="s">
        <v>877</v>
      </c>
      <c r="B425" s="1">
        <v>0</v>
      </c>
      <c r="C425" t="s">
        <v>2602</v>
      </c>
      <c r="D425" t="s">
        <v>5387</v>
      </c>
      <c r="E425" t="s">
        <v>5219</v>
      </c>
      <c r="F425" t="s">
        <v>5050</v>
      </c>
      <c r="G425" t="s">
        <v>5159</v>
      </c>
      <c r="H425" t="s">
        <v>685</v>
      </c>
      <c r="J425" t="s">
        <v>877</v>
      </c>
      <c r="K425">
        <v>197.1</v>
      </c>
    </row>
    <row r="426" spans="1:11" x14ac:dyDescent="0.35">
      <c r="A426" s="2">
        <v>40238</v>
      </c>
      <c r="B426" s="1">
        <v>0</v>
      </c>
      <c r="C426" t="s">
        <v>1013</v>
      </c>
      <c r="D426" t="s">
        <v>5494</v>
      </c>
      <c r="E426" t="s">
        <v>5068</v>
      </c>
      <c r="F426" t="s">
        <v>5050</v>
      </c>
      <c r="G426" t="s">
        <v>5177</v>
      </c>
      <c r="H426" t="s">
        <v>692</v>
      </c>
      <c r="J426" s="2">
        <v>40238</v>
      </c>
      <c r="K426">
        <v>190.6</v>
      </c>
    </row>
    <row r="427" spans="1:11" x14ac:dyDescent="0.35">
      <c r="A427" s="2">
        <v>40239</v>
      </c>
      <c r="B427" s="1">
        <v>0</v>
      </c>
      <c r="C427" t="s">
        <v>2918</v>
      </c>
      <c r="D427" t="s">
        <v>5481</v>
      </c>
      <c r="E427" t="s">
        <v>5173</v>
      </c>
      <c r="F427" t="s">
        <v>5078</v>
      </c>
      <c r="G427" t="s">
        <v>5230</v>
      </c>
      <c r="H427" t="s">
        <v>220</v>
      </c>
      <c r="J427" s="2">
        <v>40239</v>
      </c>
      <c r="K427">
        <v>201.9</v>
      </c>
    </row>
    <row r="428" spans="1:11" x14ac:dyDescent="0.35">
      <c r="A428" s="2">
        <v>40240</v>
      </c>
      <c r="B428" s="1">
        <v>0</v>
      </c>
      <c r="C428" t="s">
        <v>3800</v>
      </c>
      <c r="D428" t="s">
        <v>5104</v>
      </c>
      <c r="E428" t="s">
        <v>5059</v>
      </c>
      <c r="F428" t="s">
        <v>5078</v>
      </c>
      <c r="G428" t="s">
        <v>5050</v>
      </c>
      <c r="H428" t="s">
        <v>940</v>
      </c>
      <c r="J428" s="2">
        <v>40240</v>
      </c>
      <c r="K428">
        <v>208.7</v>
      </c>
    </row>
    <row r="429" spans="1:11" x14ac:dyDescent="0.35">
      <c r="A429" s="2">
        <v>40241</v>
      </c>
      <c r="B429" s="1">
        <v>0</v>
      </c>
      <c r="C429" t="s">
        <v>1048</v>
      </c>
      <c r="D429" t="s">
        <v>5530</v>
      </c>
      <c r="E429" t="s">
        <v>5323</v>
      </c>
      <c r="F429" t="s">
        <v>5078</v>
      </c>
      <c r="G429" t="s">
        <v>5050</v>
      </c>
      <c r="H429" t="s">
        <v>682</v>
      </c>
      <c r="J429" s="2">
        <v>40241</v>
      </c>
      <c r="K429">
        <v>200.2</v>
      </c>
    </row>
    <row r="430" spans="1:11" x14ac:dyDescent="0.35">
      <c r="A430" s="2">
        <v>40242</v>
      </c>
      <c r="B430" s="1">
        <v>0</v>
      </c>
      <c r="C430" t="s">
        <v>402</v>
      </c>
      <c r="D430" t="s">
        <v>5129</v>
      </c>
      <c r="E430" t="s">
        <v>5524</v>
      </c>
      <c r="F430" t="s">
        <v>5078</v>
      </c>
      <c r="G430" t="s">
        <v>5230</v>
      </c>
      <c r="H430" t="s">
        <v>3138</v>
      </c>
      <c r="J430" s="2">
        <v>40242</v>
      </c>
      <c r="K430">
        <v>184.6</v>
      </c>
    </row>
    <row r="431" spans="1:11" x14ac:dyDescent="0.35">
      <c r="A431" s="2">
        <v>40243</v>
      </c>
      <c r="B431" s="1">
        <v>0</v>
      </c>
      <c r="C431" t="s">
        <v>377</v>
      </c>
      <c r="D431" t="s">
        <v>5245</v>
      </c>
      <c r="E431" t="s">
        <v>5283</v>
      </c>
      <c r="F431" t="s">
        <v>5078</v>
      </c>
      <c r="G431" t="s">
        <v>5222</v>
      </c>
      <c r="H431" t="s">
        <v>920</v>
      </c>
      <c r="J431" s="2">
        <v>40243</v>
      </c>
      <c r="K431">
        <v>176.3</v>
      </c>
    </row>
    <row r="432" spans="1:11" x14ac:dyDescent="0.35">
      <c r="A432" s="2">
        <v>40244</v>
      </c>
      <c r="B432" s="1">
        <v>0</v>
      </c>
      <c r="C432" t="s">
        <v>399</v>
      </c>
      <c r="D432" t="s">
        <v>5471</v>
      </c>
      <c r="E432" t="s">
        <v>5295</v>
      </c>
      <c r="F432" t="s">
        <v>5078</v>
      </c>
      <c r="G432" t="s">
        <v>5230</v>
      </c>
      <c r="H432" t="s">
        <v>2325</v>
      </c>
      <c r="J432" s="2">
        <v>40244</v>
      </c>
      <c r="K432">
        <v>181.1</v>
      </c>
    </row>
    <row r="433" spans="1:11" x14ac:dyDescent="0.35">
      <c r="A433" s="2">
        <v>40245</v>
      </c>
      <c r="B433" s="1">
        <v>0</v>
      </c>
      <c r="C433" t="s">
        <v>449</v>
      </c>
      <c r="D433" t="s">
        <v>5241</v>
      </c>
      <c r="E433" t="s">
        <v>5064</v>
      </c>
      <c r="F433" t="s">
        <v>5078</v>
      </c>
      <c r="G433" t="s">
        <v>5240</v>
      </c>
      <c r="H433" t="s">
        <v>3152</v>
      </c>
      <c r="J433" s="2">
        <v>40245</v>
      </c>
      <c r="K433">
        <v>192.8</v>
      </c>
    </row>
    <row r="434" spans="1:11" x14ac:dyDescent="0.35">
      <c r="A434" s="2">
        <v>40246</v>
      </c>
      <c r="B434" s="1">
        <v>0</v>
      </c>
      <c r="C434" t="s">
        <v>3798</v>
      </c>
      <c r="D434" t="s">
        <v>5531</v>
      </c>
      <c r="E434" t="s">
        <v>5202</v>
      </c>
      <c r="F434" t="s">
        <v>5078</v>
      </c>
      <c r="G434" t="s">
        <v>5054</v>
      </c>
      <c r="H434" t="s">
        <v>1293</v>
      </c>
      <c r="J434" s="2">
        <v>40246</v>
      </c>
      <c r="K434">
        <v>199.2</v>
      </c>
    </row>
    <row r="435" spans="1:11" x14ac:dyDescent="0.35">
      <c r="A435" s="2">
        <v>40247</v>
      </c>
      <c r="B435" s="1">
        <v>0</v>
      </c>
      <c r="C435" t="s">
        <v>3798</v>
      </c>
      <c r="D435" t="s">
        <v>5235</v>
      </c>
      <c r="E435" t="s">
        <v>5237</v>
      </c>
      <c r="F435" t="s">
        <v>5078</v>
      </c>
      <c r="G435" t="s">
        <v>5240</v>
      </c>
      <c r="H435" t="s">
        <v>237</v>
      </c>
      <c r="J435" s="2">
        <v>40247</v>
      </c>
      <c r="K435">
        <v>202</v>
      </c>
    </row>
    <row r="436" spans="1:11" x14ac:dyDescent="0.35">
      <c r="A436" s="2">
        <v>40248</v>
      </c>
      <c r="B436" s="1">
        <v>0</v>
      </c>
      <c r="C436" t="s">
        <v>454</v>
      </c>
      <c r="D436" t="s">
        <v>5532</v>
      </c>
      <c r="E436" t="s">
        <v>5221</v>
      </c>
      <c r="F436" t="s">
        <v>5078</v>
      </c>
      <c r="G436" t="s">
        <v>5174</v>
      </c>
      <c r="H436" t="s">
        <v>3375</v>
      </c>
      <c r="J436" s="2">
        <v>40248</v>
      </c>
      <c r="K436">
        <v>199.8</v>
      </c>
    </row>
    <row r="437" spans="1:11" x14ac:dyDescent="0.35">
      <c r="A437" s="2">
        <v>40249</v>
      </c>
      <c r="B437" s="1">
        <v>0</v>
      </c>
      <c r="C437" t="s">
        <v>399</v>
      </c>
      <c r="D437" t="s">
        <v>5366</v>
      </c>
      <c r="E437" t="s">
        <v>5204</v>
      </c>
      <c r="F437" t="s">
        <v>5078</v>
      </c>
      <c r="G437" t="s">
        <v>5172</v>
      </c>
      <c r="H437" t="s">
        <v>1291</v>
      </c>
      <c r="J437" s="2">
        <v>40249</v>
      </c>
      <c r="K437">
        <v>192</v>
      </c>
    </row>
    <row r="438" spans="1:11" x14ac:dyDescent="0.35">
      <c r="A438" s="2">
        <v>40250</v>
      </c>
      <c r="B438" s="1">
        <v>0</v>
      </c>
      <c r="C438" t="s">
        <v>428</v>
      </c>
      <c r="D438" t="s">
        <v>5250</v>
      </c>
      <c r="E438" t="s">
        <v>5056</v>
      </c>
      <c r="F438" t="s">
        <v>5078</v>
      </c>
      <c r="G438" t="s">
        <v>5207</v>
      </c>
      <c r="H438" t="s">
        <v>3863</v>
      </c>
      <c r="J438" s="2">
        <v>40250</v>
      </c>
      <c r="K438">
        <v>185.6</v>
      </c>
    </row>
    <row r="439" spans="1:11" x14ac:dyDescent="0.35">
      <c r="A439" s="2">
        <v>40251</v>
      </c>
      <c r="B439" s="1">
        <v>0</v>
      </c>
      <c r="C439" t="s">
        <v>5636</v>
      </c>
      <c r="D439" t="s">
        <v>5083</v>
      </c>
      <c r="E439" t="s">
        <v>5167</v>
      </c>
      <c r="F439" t="s">
        <v>5078</v>
      </c>
      <c r="G439" t="s">
        <v>5230</v>
      </c>
      <c r="H439" t="s">
        <v>1991</v>
      </c>
      <c r="J439" s="2">
        <v>40251</v>
      </c>
      <c r="K439">
        <v>189.3</v>
      </c>
    </row>
    <row r="440" spans="1:11" x14ac:dyDescent="0.35">
      <c r="A440" s="2">
        <v>40252</v>
      </c>
      <c r="B440" s="1">
        <v>0</v>
      </c>
      <c r="C440" t="s">
        <v>1018</v>
      </c>
      <c r="D440" t="s">
        <v>5119</v>
      </c>
      <c r="E440" t="s">
        <v>5066</v>
      </c>
      <c r="F440" t="s">
        <v>5078</v>
      </c>
      <c r="G440" t="s">
        <v>5240</v>
      </c>
      <c r="H440" t="s">
        <v>1277</v>
      </c>
      <c r="J440" s="2">
        <v>40252</v>
      </c>
      <c r="K440">
        <v>200.3</v>
      </c>
    </row>
    <row r="441" spans="1:11" x14ac:dyDescent="0.35">
      <c r="A441" s="2">
        <v>40253</v>
      </c>
      <c r="B441" s="1">
        <v>0</v>
      </c>
      <c r="C441" t="s">
        <v>3800</v>
      </c>
      <c r="D441" t="s">
        <v>5109</v>
      </c>
      <c r="E441" t="s">
        <v>5192</v>
      </c>
      <c r="F441" t="s">
        <v>5078</v>
      </c>
      <c r="G441" t="s">
        <v>5412</v>
      </c>
      <c r="H441" t="s">
        <v>201</v>
      </c>
      <c r="J441" s="2">
        <v>40253</v>
      </c>
      <c r="K441">
        <v>210.6</v>
      </c>
    </row>
    <row r="442" spans="1:11" x14ac:dyDescent="0.35">
      <c r="A442" s="2">
        <v>40254</v>
      </c>
      <c r="B442" s="1">
        <v>0</v>
      </c>
      <c r="C442" t="s">
        <v>3799</v>
      </c>
      <c r="D442" t="s">
        <v>5530</v>
      </c>
      <c r="E442" t="s">
        <v>5071</v>
      </c>
      <c r="F442" t="s">
        <v>5078</v>
      </c>
      <c r="G442" t="s">
        <v>5062</v>
      </c>
      <c r="H442" t="s">
        <v>213</v>
      </c>
      <c r="J442" s="2">
        <v>40254</v>
      </c>
      <c r="K442">
        <v>205.4</v>
      </c>
    </row>
    <row r="443" spans="1:11" x14ac:dyDescent="0.35">
      <c r="A443" s="2">
        <v>40255</v>
      </c>
      <c r="B443" s="1">
        <v>0</v>
      </c>
      <c r="C443" t="s">
        <v>1045</v>
      </c>
      <c r="D443" t="s">
        <v>5454</v>
      </c>
      <c r="E443" t="s">
        <v>5428</v>
      </c>
      <c r="F443" t="s">
        <v>5078</v>
      </c>
      <c r="G443" t="s">
        <v>5412</v>
      </c>
      <c r="H443" t="s">
        <v>214</v>
      </c>
      <c r="J443" s="2">
        <v>40255</v>
      </c>
      <c r="K443">
        <v>198.1</v>
      </c>
    </row>
    <row r="444" spans="1:11" x14ac:dyDescent="0.35">
      <c r="A444" s="2">
        <v>40256</v>
      </c>
      <c r="B444" s="1">
        <v>0</v>
      </c>
      <c r="C444" t="s">
        <v>440</v>
      </c>
      <c r="D444" t="s">
        <v>5492</v>
      </c>
      <c r="E444" t="s">
        <v>5422</v>
      </c>
      <c r="F444" t="s">
        <v>5078</v>
      </c>
      <c r="G444" t="s">
        <v>5412</v>
      </c>
      <c r="H444" t="s">
        <v>3611</v>
      </c>
      <c r="J444" s="2">
        <v>40256</v>
      </c>
      <c r="K444">
        <v>197.8</v>
      </c>
    </row>
    <row r="445" spans="1:11" x14ac:dyDescent="0.35">
      <c r="A445" s="2">
        <v>40257</v>
      </c>
      <c r="B445" s="1">
        <v>0</v>
      </c>
      <c r="C445" t="s">
        <v>989</v>
      </c>
      <c r="D445" t="s">
        <v>5533</v>
      </c>
      <c r="E445" t="s">
        <v>5223</v>
      </c>
      <c r="F445" t="s">
        <v>5078</v>
      </c>
      <c r="G445" t="s">
        <v>5412</v>
      </c>
      <c r="H445" t="s">
        <v>753</v>
      </c>
      <c r="J445" s="2">
        <v>40257</v>
      </c>
      <c r="K445">
        <v>204.1</v>
      </c>
    </row>
    <row r="446" spans="1:11" x14ac:dyDescent="0.35">
      <c r="A446" s="2">
        <v>40258</v>
      </c>
      <c r="B446" s="1">
        <v>0</v>
      </c>
      <c r="C446" t="s">
        <v>346</v>
      </c>
      <c r="D446" t="s">
        <v>5193</v>
      </c>
      <c r="E446" t="s">
        <v>5431</v>
      </c>
      <c r="F446" t="s">
        <v>5078</v>
      </c>
      <c r="G446" t="s">
        <v>5412</v>
      </c>
      <c r="H446" t="s">
        <v>3913</v>
      </c>
      <c r="J446" s="2">
        <v>40258</v>
      </c>
      <c r="K446">
        <v>204.2</v>
      </c>
    </row>
    <row r="447" spans="1:11" x14ac:dyDescent="0.35">
      <c r="A447" s="2">
        <v>40259</v>
      </c>
      <c r="B447" s="1">
        <v>0</v>
      </c>
      <c r="C447" t="s">
        <v>333</v>
      </c>
      <c r="D447" t="s">
        <v>5534</v>
      </c>
      <c r="E447" t="s">
        <v>5303</v>
      </c>
      <c r="F447" t="s">
        <v>5078</v>
      </c>
      <c r="G447" t="s">
        <v>5412</v>
      </c>
      <c r="H447" t="s">
        <v>237</v>
      </c>
      <c r="J447" s="2">
        <v>40259</v>
      </c>
      <c r="K447">
        <v>202</v>
      </c>
    </row>
    <row r="448" spans="1:11" x14ac:dyDescent="0.35">
      <c r="A448" s="2">
        <v>40260</v>
      </c>
      <c r="B448" s="1">
        <v>0</v>
      </c>
      <c r="C448" t="s">
        <v>1535</v>
      </c>
      <c r="D448" t="s">
        <v>5193</v>
      </c>
      <c r="E448" t="s">
        <v>5055</v>
      </c>
      <c r="F448" t="s">
        <v>5215</v>
      </c>
      <c r="G448" t="s">
        <v>5065</v>
      </c>
      <c r="H448" t="s">
        <v>4467</v>
      </c>
      <c r="J448" s="2">
        <v>40260</v>
      </c>
      <c r="K448">
        <v>206.2</v>
      </c>
    </row>
    <row r="449" spans="1:11" x14ac:dyDescent="0.35">
      <c r="A449" s="2">
        <v>40261</v>
      </c>
      <c r="B449" s="1">
        <v>0</v>
      </c>
      <c r="C449" t="s">
        <v>2270</v>
      </c>
      <c r="D449" t="s">
        <v>5518</v>
      </c>
      <c r="E449" t="s">
        <v>5237</v>
      </c>
      <c r="F449" t="s">
        <v>5215</v>
      </c>
      <c r="G449" t="s">
        <v>5475</v>
      </c>
      <c r="H449" t="s">
        <v>616</v>
      </c>
      <c r="J449" s="2">
        <v>40261</v>
      </c>
      <c r="K449">
        <v>218.7</v>
      </c>
    </row>
    <row r="450" spans="1:11" x14ac:dyDescent="0.35">
      <c r="A450" s="2">
        <v>40262</v>
      </c>
      <c r="B450" s="1">
        <v>0</v>
      </c>
      <c r="C450" t="s">
        <v>4645</v>
      </c>
      <c r="D450" t="s">
        <v>5269</v>
      </c>
      <c r="E450" t="s">
        <v>5236</v>
      </c>
      <c r="F450" t="s">
        <v>5215</v>
      </c>
      <c r="G450" t="s">
        <v>5475</v>
      </c>
      <c r="H450" t="s">
        <v>2446</v>
      </c>
      <c r="J450" s="2">
        <v>40262</v>
      </c>
      <c r="K450">
        <v>229.9</v>
      </c>
    </row>
    <row r="451" spans="1:11" x14ac:dyDescent="0.35">
      <c r="A451" s="2">
        <v>40263</v>
      </c>
      <c r="B451" s="1">
        <v>0</v>
      </c>
      <c r="C451" t="s">
        <v>4118</v>
      </c>
      <c r="D451" t="s">
        <v>5217</v>
      </c>
      <c r="E451" t="s">
        <v>5060</v>
      </c>
      <c r="F451" t="s">
        <v>5215</v>
      </c>
      <c r="G451" t="s">
        <v>5062</v>
      </c>
      <c r="H451" t="s">
        <v>3978</v>
      </c>
      <c r="J451" s="2">
        <v>40263</v>
      </c>
      <c r="K451">
        <v>232.4</v>
      </c>
    </row>
    <row r="452" spans="1:11" x14ac:dyDescent="0.35">
      <c r="A452" s="2">
        <v>40264</v>
      </c>
      <c r="B452" s="1">
        <v>0</v>
      </c>
      <c r="C452" t="s">
        <v>3224</v>
      </c>
      <c r="D452" t="s">
        <v>5275</v>
      </c>
      <c r="E452" t="s">
        <v>5239</v>
      </c>
      <c r="F452" t="s">
        <v>5215</v>
      </c>
      <c r="G452" t="s">
        <v>5412</v>
      </c>
      <c r="H452" t="s">
        <v>2835</v>
      </c>
      <c r="J452" s="2">
        <v>40264</v>
      </c>
      <c r="K452">
        <v>234.8</v>
      </c>
    </row>
    <row r="453" spans="1:11" x14ac:dyDescent="0.35">
      <c r="A453" s="2">
        <v>40265</v>
      </c>
      <c r="B453" s="1">
        <v>0</v>
      </c>
      <c r="C453" t="s">
        <v>1922</v>
      </c>
      <c r="D453" t="s">
        <v>5535</v>
      </c>
      <c r="E453" t="s">
        <v>5123</v>
      </c>
      <c r="F453" t="s">
        <v>5215</v>
      </c>
      <c r="G453" t="s">
        <v>5065</v>
      </c>
      <c r="H453" t="s">
        <v>3048</v>
      </c>
      <c r="J453" s="2">
        <v>40265</v>
      </c>
      <c r="K453">
        <v>245.4</v>
      </c>
    </row>
    <row r="454" spans="1:11" x14ac:dyDescent="0.35">
      <c r="A454" s="2">
        <v>40266</v>
      </c>
      <c r="B454" s="1">
        <v>0</v>
      </c>
      <c r="C454" t="s">
        <v>266</v>
      </c>
      <c r="D454" t="s">
        <v>5467</v>
      </c>
      <c r="E454" t="s">
        <v>5074</v>
      </c>
      <c r="F454" t="s">
        <v>5215</v>
      </c>
      <c r="G454" t="s">
        <v>5183</v>
      </c>
      <c r="H454" t="s">
        <v>3597</v>
      </c>
      <c r="J454" s="2">
        <v>40266</v>
      </c>
      <c r="K454">
        <v>257</v>
      </c>
    </row>
    <row r="455" spans="1:11" x14ac:dyDescent="0.35">
      <c r="A455" s="2">
        <v>40267</v>
      </c>
      <c r="B455" s="1">
        <v>0</v>
      </c>
      <c r="C455" t="s">
        <v>2879</v>
      </c>
      <c r="D455" t="s">
        <v>5228</v>
      </c>
      <c r="E455" t="s">
        <v>5213</v>
      </c>
      <c r="F455" t="s">
        <v>5215</v>
      </c>
      <c r="G455" t="s">
        <v>5065</v>
      </c>
      <c r="H455" t="s">
        <v>634</v>
      </c>
      <c r="J455" s="2">
        <v>40267</v>
      </c>
      <c r="K455">
        <v>244.4</v>
      </c>
    </row>
    <row r="456" spans="1:11" x14ac:dyDescent="0.35">
      <c r="A456" s="2">
        <v>40268</v>
      </c>
      <c r="B456" s="1">
        <v>0</v>
      </c>
      <c r="C456" t="s">
        <v>358</v>
      </c>
      <c r="D456" t="s">
        <v>5269</v>
      </c>
      <c r="E456" t="s">
        <v>5239</v>
      </c>
      <c r="F456" t="s">
        <v>5215</v>
      </c>
      <c r="G456" t="s">
        <v>5179</v>
      </c>
      <c r="H456" t="s">
        <v>3037</v>
      </c>
      <c r="J456" s="2">
        <v>40268</v>
      </c>
      <c r="K456">
        <v>223.4</v>
      </c>
    </row>
    <row r="457" spans="1:11" x14ac:dyDescent="0.35">
      <c r="A457" t="s">
        <v>900</v>
      </c>
      <c r="B457" s="1">
        <v>0</v>
      </c>
      <c r="C457" t="s">
        <v>3799</v>
      </c>
      <c r="D457" t="s">
        <v>5138</v>
      </c>
      <c r="E457" t="s">
        <v>5219</v>
      </c>
      <c r="F457" t="s">
        <v>5215</v>
      </c>
      <c r="G457" t="s">
        <v>5046</v>
      </c>
      <c r="H457" t="s">
        <v>4755</v>
      </c>
      <c r="J457" t="s">
        <v>900</v>
      </c>
      <c r="K457">
        <v>206.3</v>
      </c>
    </row>
    <row r="458" spans="1:11" x14ac:dyDescent="0.35">
      <c r="A458" t="s">
        <v>902</v>
      </c>
      <c r="B458" s="1">
        <v>0</v>
      </c>
      <c r="C458" t="s">
        <v>2917</v>
      </c>
      <c r="D458" t="s">
        <v>5112</v>
      </c>
      <c r="E458" t="s">
        <v>5304</v>
      </c>
      <c r="F458" t="s">
        <v>5077</v>
      </c>
      <c r="G458" t="s">
        <v>5230</v>
      </c>
      <c r="H458" t="s">
        <v>3753</v>
      </c>
      <c r="J458" t="s">
        <v>902</v>
      </c>
      <c r="K458">
        <v>205.5</v>
      </c>
    </row>
    <row r="459" spans="1:11" x14ac:dyDescent="0.35">
      <c r="A459" t="s">
        <v>903</v>
      </c>
      <c r="B459" s="1">
        <v>0</v>
      </c>
      <c r="C459" t="s">
        <v>409</v>
      </c>
      <c r="D459" t="s">
        <v>5119</v>
      </c>
      <c r="E459" t="s">
        <v>5162</v>
      </c>
      <c r="F459" t="s">
        <v>5077</v>
      </c>
      <c r="G459" t="s">
        <v>5222</v>
      </c>
      <c r="H459" t="s">
        <v>3143</v>
      </c>
      <c r="J459" t="s">
        <v>903</v>
      </c>
      <c r="K459">
        <v>199.1</v>
      </c>
    </row>
    <row r="460" spans="1:11" x14ac:dyDescent="0.35">
      <c r="A460" t="s">
        <v>904</v>
      </c>
      <c r="B460" s="1">
        <v>0</v>
      </c>
      <c r="C460" t="s">
        <v>1013</v>
      </c>
      <c r="D460" t="s">
        <v>5487</v>
      </c>
      <c r="E460" t="s">
        <v>5219</v>
      </c>
      <c r="F460" t="s">
        <v>5077</v>
      </c>
      <c r="G460" t="s">
        <v>5230</v>
      </c>
      <c r="H460" t="s">
        <v>249</v>
      </c>
      <c r="J460" t="s">
        <v>904</v>
      </c>
      <c r="K460">
        <v>196.7</v>
      </c>
    </row>
    <row r="461" spans="1:11" x14ac:dyDescent="0.35">
      <c r="A461" t="s">
        <v>906</v>
      </c>
      <c r="B461" s="1">
        <v>0</v>
      </c>
      <c r="C461" t="s">
        <v>3499</v>
      </c>
      <c r="D461" t="s">
        <v>5484</v>
      </c>
      <c r="E461" t="s">
        <v>5098</v>
      </c>
      <c r="F461" t="s">
        <v>5077</v>
      </c>
      <c r="G461" t="s">
        <v>5050</v>
      </c>
      <c r="H461" t="s">
        <v>3134</v>
      </c>
      <c r="J461" t="s">
        <v>906</v>
      </c>
      <c r="K461">
        <v>204.4</v>
      </c>
    </row>
    <row r="462" spans="1:11" x14ac:dyDescent="0.35">
      <c r="A462" t="s">
        <v>907</v>
      </c>
      <c r="B462" s="1">
        <v>0</v>
      </c>
      <c r="C462" t="s">
        <v>338</v>
      </c>
      <c r="D462" t="s">
        <v>5112</v>
      </c>
      <c r="E462" t="s">
        <v>5257</v>
      </c>
      <c r="F462" t="s">
        <v>5077</v>
      </c>
      <c r="G462" t="s">
        <v>5058</v>
      </c>
      <c r="H462" t="s">
        <v>617</v>
      </c>
      <c r="J462" t="s">
        <v>907</v>
      </c>
      <c r="K462">
        <v>217.4</v>
      </c>
    </row>
    <row r="463" spans="1:11" x14ac:dyDescent="0.35">
      <c r="A463" t="s">
        <v>909</v>
      </c>
      <c r="B463" s="1">
        <v>0</v>
      </c>
      <c r="C463" t="s">
        <v>1530</v>
      </c>
      <c r="D463" t="s">
        <v>5495</v>
      </c>
      <c r="E463" t="s">
        <v>5067</v>
      </c>
      <c r="F463" t="s">
        <v>5077</v>
      </c>
      <c r="G463" t="s">
        <v>5475</v>
      </c>
      <c r="H463" t="s">
        <v>223</v>
      </c>
      <c r="J463" t="s">
        <v>909</v>
      </c>
      <c r="K463">
        <v>228.7</v>
      </c>
    </row>
    <row r="464" spans="1:11" x14ac:dyDescent="0.35">
      <c r="A464" t="s">
        <v>910</v>
      </c>
      <c r="B464" s="1">
        <v>0</v>
      </c>
      <c r="C464" t="s">
        <v>2271</v>
      </c>
      <c r="D464" t="s">
        <v>5274</v>
      </c>
      <c r="E464" t="s">
        <v>5453</v>
      </c>
      <c r="F464" t="s">
        <v>5077</v>
      </c>
      <c r="G464" t="s">
        <v>5078</v>
      </c>
      <c r="H464" t="s">
        <v>4040</v>
      </c>
      <c r="J464" t="s">
        <v>910</v>
      </c>
      <c r="K464">
        <v>233.1</v>
      </c>
    </row>
    <row r="465" spans="1:11" x14ac:dyDescent="0.35">
      <c r="A465" t="s">
        <v>913</v>
      </c>
      <c r="B465" s="1">
        <v>0</v>
      </c>
      <c r="C465" t="s">
        <v>1473</v>
      </c>
      <c r="D465" t="s">
        <v>5268</v>
      </c>
      <c r="E465" t="s">
        <v>5435</v>
      </c>
      <c r="F465" t="s">
        <v>5077</v>
      </c>
      <c r="G465" t="s">
        <v>5078</v>
      </c>
      <c r="H465" t="s">
        <v>3042</v>
      </c>
      <c r="J465" t="s">
        <v>913</v>
      </c>
      <c r="K465">
        <v>231.9</v>
      </c>
    </row>
    <row r="466" spans="1:11" x14ac:dyDescent="0.35">
      <c r="A466" t="s">
        <v>914</v>
      </c>
      <c r="B466" s="1">
        <v>0</v>
      </c>
      <c r="C466" t="s">
        <v>460</v>
      </c>
      <c r="D466" t="s">
        <v>5536</v>
      </c>
      <c r="E466" t="s">
        <v>5096</v>
      </c>
      <c r="F466" t="s">
        <v>5077</v>
      </c>
      <c r="G466" t="s">
        <v>5183</v>
      </c>
      <c r="H466" t="s">
        <v>748</v>
      </c>
      <c r="J466" t="s">
        <v>914</v>
      </c>
      <c r="K466">
        <v>226.9</v>
      </c>
    </row>
    <row r="467" spans="1:11" x14ac:dyDescent="0.35">
      <c r="A467" t="s">
        <v>916</v>
      </c>
      <c r="B467" s="1">
        <v>0</v>
      </c>
      <c r="C467" t="s">
        <v>1869</v>
      </c>
      <c r="D467" t="s">
        <v>5537</v>
      </c>
      <c r="E467" t="s">
        <v>5069</v>
      </c>
      <c r="F467" t="s">
        <v>5077</v>
      </c>
      <c r="G467" t="s">
        <v>5065</v>
      </c>
      <c r="H467" t="s">
        <v>1313</v>
      </c>
      <c r="J467" t="s">
        <v>916</v>
      </c>
      <c r="K467">
        <v>226</v>
      </c>
    </row>
    <row r="468" spans="1:11" x14ac:dyDescent="0.35">
      <c r="A468" t="s">
        <v>917</v>
      </c>
      <c r="B468" s="1">
        <v>0</v>
      </c>
      <c r="C468" t="s">
        <v>1476</v>
      </c>
      <c r="D468" t="s">
        <v>5537</v>
      </c>
      <c r="E468" t="s">
        <v>5213</v>
      </c>
      <c r="F468" t="s">
        <v>5089</v>
      </c>
      <c r="G468" t="s">
        <v>5475</v>
      </c>
      <c r="H468" t="s">
        <v>3325</v>
      </c>
      <c r="J468" t="s">
        <v>917</v>
      </c>
      <c r="K468">
        <v>231</v>
      </c>
    </row>
    <row r="469" spans="1:11" x14ac:dyDescent="0.35">
      <c r="A469" t="s">
        <v>918</v>
      </c>
      <c r="B469" s="1">
        <v>0</v>
      </c>
      <c r="C469" t="s">
        <v>489</v>
      </c>
      <c r="D469" t="s">
        <v>5482</v>
      </c>
      <c r="E469" t="s">
        <v>5069</v>
      </c>
      <c r="F469" t="s">
        <v>5089</v>
      </c>
      <c r="G469" t="s">
        <v>5183</v>
      </c>
      <c r="H469" t="s">
        <v>732</v>
      </c>
      <c r="J469" t="s">
        <v>918</v>
      </c>
      <c r="K469">
        <v>233</v>
      </c>
    </row>
    <row r="470" spans="1:11" x14ac:dyDescent="0.35">
      <c r="A470" t="s">
        <v>921</v>
      </c>
      <c r="B470" s="1">
        <v>0</v>
      </c>
      <c r="C470" t="s">
        <v>315</v>
      </c>
      <c r="D470" t="s">
        <v>5115</v>
      </c>
      <c r="E470" t="s">
        <v>5272</v>
      </c>
      <c r="F470" t="s">
        <v>5089</v>
      </c>
      <c r="G470" t="s">
        <v>5078</v>
      </c>
      <c r="H470" t="s">
        <v>3941</v>
      </c>
      <c r="J470" t="s">
        <v>921</v>
      </c>
      <c r="K470">
        <v>231.3</v>
      </c>
    </row>
    <row r="471" spans="1:11" x14ac:dyDescent="0.35">
      <c r="A471" t="s">
        <v>924</v>
      </c>
      <c r="B471" s="1">
        <v>0</v>
      </c>
      <c r="C471" t="s">
        <v>5654</v>
      </c>
      <c r="D471" t="s">
        <v>5486</v>
      </c>
      <c r="E471" t="s">
        <v>5098</v>
      </c>
      <c r="F471" t="s">
        <v>5089</v>
      </c>
      <c r="G471" t="s">
        <v>5099</v>
      </c>
      <c r="H471" t="s">
        <v>2447</v>
      </c>
      <c r="J471" t="s">
        <v>924</v>
      </c>
      <c r="K471">
        <v>229.8</v>
      </c>
    </row>
    <row r="472" spans="1:11" x14ac:dyDescent="0.35">
      <c r="A472" t="s">
        <v>926</v>
      </c>
      <c r="B472" s="1">
        <v>0</v>
      </c>
      <c r="C472" t="s">
        <v>3804</v>
      </c>
      <c r="D472" t="s">
        <v>5532</v>
      </c>
      <c r="E472" t="s">
        <v>5210</v>
      </c>
      <c r="F472" t="s">
        <v>5089</v>
      </c>
      <c r="G472" t="s">
        <v>5099</v>
      </c>
      <c r="H472" t="s">
        <v>744</v>
      </c>
      <c r="J472" t="s">
        <v>926</v>
      </c>
      <c r="K472">
        <v>227.3</v>
      </c>
    </row>
    <row r="473" spans="1:11" x14ac:dyDescent="0.35">
      <c r="A473" t="s">
        <v>927</v>
      </c>
      <c r="B473" s="1">
        <v>0</v>
      </c>
      <c r="C473" t="s">
        <v>1539</v>
      </c>
      <c r="D473" t="s">
        <v>5447</v>
      </c>
      <c r="E473" t="s">
        <v>5173</v>
      </c>
      <c r="F473" t="s">
        <v>5077</v>
      </c>
      <c r="G473" t="s">
        <v>5183</v>
      </c>
      <c r="H473" t="s">
        <v>1704</v>
      </c>
      <c r="J473" t="s">
        <v>927</v>
      </c>
      <c r="K473">
        <v>219</v>
      </c>
    </row>
    <row r="474" spans="1:11" x14ac:dyDescent="0.35">
      <c r="A474" t="s">
        <v>928</v>
      </c>
      <c r="B474" s="1">
        <v>0</v>
      </c>
      <c r="C474" t="s">
        <v>461</v>
      </c>
      <c r="D474" t="s">
        <v>5454</v>
      </c>
      <c r="E474" t="s">
        <v>5173</v>
      </c>
      <c r="F474" t="s">
        <v>5077</v>
      </c>
      <c r="G474" t="s">
        <v>5062</v>
      </c>
      <c r="H474" t="s">
        <v>663</v>
      </c>
      <c r="J474" t="s">
        <v>928</v>
      </c>
      <c r="K474">
        <v>212.6</v>
      </c>
    </row>
    <row r="475" spans="1:11" x14ac:dyDescent="0.35">
      <c r="A475" t="s">
        <v>930</v>
      </c>
      <c r="B475" s="1">
        <v>0</v>
      </c>
      <c r="C475" t="s">
        <v>1471</v>
      </c>
      <c r="D475" t="s">
        <v>5540</v>
      </c>
      <c r="E475" t="s">
        <v>5167</v>
      </c>
      <c r="F475" t="s">
        <v>5077</v>
      </c>
      <c r="G475" t="s">
        <v>5179</v>
      </c>
      <c r="H475" t="s">
        <v>1656</v>
      </c>
      <c r="J475" t="s">
        <v>930</v>
      </c>
      <c r="K475">
        <v>208.1</v>
      </c>
    </row>
    <row r="476" spans="1:11" x14ac:dyDescent="0.35">
      <c r="A476" t="s">
        <v>932</v>
      </c>
      <c r="B476" s="1">
        <v>0</v>
      </c>
      <c r="C476" t="s">
        <v>457</v>
      </c>
      <c r="D476" t="s">
        <v>5216</v>
      </c>
      <c r="E476" t="s">
        <v>5176</v>
      </c>
      <c r="F476" t="s">
        <v>5077</v>
      </c>
      <c r="G476" t="s">
        <v>5050</v>
      </c>
      <c r="H476" t="s">
        <v>3135</v>
      </c>
      <c r="J476" t="s">
        <v>932</v>
      </c>
      <c r="K476">
        <v>204.5</v>
      </c>
    </row>
    <row r="477" spans="1:11" x14ac:dyDescent="0.35">
      <c r="A477" t="s">
        <v>935</v>
      </c>
      <c r="B477" s="1">
        <v>0</v>
      </c>
      <c r="C477" t="s">
        <v>352</v>
      </c>
      <c r="D477" t="s">
        <v>5539</v>
      </c>
      <c r="E477" t="s">
        <v>5221</v>
      </c>
      <c r="F477" t="s">
        <v>5077</v>
      </c>
      <c r="G477" t="s">
        <v>5174</v>
      </c>
      <c r="H477" t="s">
        <v>1642</v>
      </c>
      <c r="J477" t="s">
        <v>935</v>
      </c>
      <c r="K477">
        <v>201.4</v>
      </c>
    </row>
    <row r="478" spans="1:11" x14ac:dyDescent="0.35">
      <c r="A478" t="s">
        <v>936</v>
      </c>
      <c r="B478" s="1">
        <v>0</v>
      </c>
      <c r="C478" t="s">
        <v>476</v>
      </c>
      <c r="D478" t="s">
        <v>5279</v>
      </c>
      <c r="E478" t="s">
        <v>5071</v>
      </c>
      <c r="F478" t="s">
        <v>5077</v>
      </c>
      <c r="G478" t="s">
        <v>5050</v>
      </c>
      <c r="H478" t="s">
        <v>940</v>
      </c>
      <c r="J478" t="s">
        <v>936</v>
      </c>
      <c r="K478">
        <v>208.7</v>
      </c>
    </row>
    <row r="479" spans="1:11" x14ac:dyDescent="0.35">
      <c r="A479" t="s">
        <v>938</v>
      </c>
      <c r="B479" s="1">
        <v>0</v>
      </c>
      <c r="C479" t="s">
        <v>2265</v>
      </c>
      <c r="D479" t="s">
        <v>5542</v>
      </c>
      <c r="E479" t="s">
        <v>5243</v>
      </c>
      <c r="F479" t="s">
        <v>5077</v>
      </c>
      <c r="G479" t="s">
        <v>5062</v>
      </c>
      <c r="H479" t="s">
        <v>2383</v>
      </c>
      <c r="J479" t="s">
        <v>938</v>
      </c>
      <c r="K479">
        <v>227.2</v>
      </c>
    </row>
    <row r="480" spans="1:11" x14ac:dyDescent="0.35">
      <c r="A480" t="s">
        <v>941</v>
      </c>
      <c r="B480" s="1">
        <v>0</v>
      </c>
      <c r="C480" t="s">
        <v>1920</v>
      </c>
      <c r="D480" t="s">
        <v>5535</v>
      </c>
      <c r="E480" t="s">
        <v>5069</v>
      </c>
      <c r="F480" t="s">
        <v>5077</v>
      </c>
      <c r="G480" t="s">
        <v>5215</v>
      </c>
      <c r="H480" t="s">
        <v>5766</v>
      </c>
      <c r="J480" t="s">
        <v>941</v>
      </c>
      <c r="K480">
        <v>238.4</v>
      </c>
    </row>
    <row r="481" spans="1:11" x14ac:dyDescent="0.35">
      <c r="A481" t="s">
        <v>943</v>
      </c>
      <c r="B481" s="1">
        <v>0</v>
      </c>
      <c r="C481" t="s">
        <v>1474</v>
      </c>
      <c r="D481" t="s">
        <v>5544</v>
      </c>
      <c r="E481" t="s">
        <v>5182</v>
      </c>
      <c r="F481" t="s">
        <v>5077</v>
      </c>
      <c r="G481" t="s">
        <v>5215</v>
      </c>
      <c r="H481" t="s">
        <v>3978</v>
      </c>
      <c r="J481" t="s">
        <v>943</v>
      </c>
      <c r="K481">
        <v>232.4</v>
      </c>
    </row>
    <row r="482" spans="1:11" x14ac:dyDescent="0.35">
      <c r="A482" t="s">
        <v>946</v>
      </c>
      <c r="B482" s="1">
        <v>0</v>
      </c>
      <c r="C482" t="s">
        <v>1470</v>
      </c>
      <c r="D482" t="s">
        <v>5452</v>
      </c>
      <c r="E482" t="s">
        <v>5210</v>
      </c>
      <c r="F482" t="s">
        <v>5077</v>
      </c>
      <c r="G482" t="s">
        <v>5065</v>
      </c>
      <c r="H482" t="s">
        <v>3882</v>
      </c>
      <c r="J482" t="s">
        <v>946</v>
      </c>
      <c r="K482">
        <v>214.7</v>
      </c>
    </row>
    <row r="483" spans="1:11" x14ac:dyDescent="0.35">
      <c r="A483" t="s">
        <v>948</v>
      </c>
      <c r="B483" s="1">
        <v>0</v>
      </c>
      <c r="C483" t="s">
        <v>2602</v>
      </c>
      <c r="D483" t="s">
        <v>5190</v>
      </c>
      <c r="E483" t="s">
        <v>5431</v>
      </c>
      <c r="F483" t="s">
        <v>5077</v>
      </c>
      <c r="G483" t="s">
        <v>5054</v>
      </c>
      <c r="H483" t="s">
        <v>80</v>
      </c>
      <c r="J483" t="s">
        <v>948</v>
      </c>
      <c r="K483">
        <v>192.9</v>
      </c>
    </row>
    <row r="484" spans="1:11" x14ac:dyDescent="0.35">
      <c r="A484" t="s">
        <v>949</v>
      </c>
      <c r="B484" s="1">
        <v>0</v>
      </c>
      <c r="C484" t="s">
        <v>5608</v>
      </c>
      <c r="D484" t="s">
        <v>5453</v>
      </c>
      <c r="E484" t="s">
        <v>5295</v>
      </c>
      <c r="F484" t="s">
        <v>5045</v>
      </c>
      <c r="G484" t="s">
        <v>5222</v>
      </c>
      <c r="H484" t="s">
        <v>51</v>
      </c>
      <c r="J484" t="s">
        <v>949</v>
      </c>
      <c r="K484">
        <v>173.1</v>
      </c>
    </row>
    <row r="485" spans="1:11" x14ac:dyDescent="0.35">
      <c r="A485" t="s">
        <v>950</v>
      </c>
      <c r="B485" s="1">
        <v>0</v>
      </c>
      <c r="C485" t="s">
        <v>5459</v>
      </c>
      <c r="D485" t="s">
        <v>5066</v>
      </c>
      <c r="E485" t="s">
        <v>5292</v>
      </c>
      <c r="F485" t="s">
        <v>5045</v>
      </c>
      <c r="G485" t="s">
        <v>5224</v>
      </c>
      <c r="H485" t="s">
        <v>592</v>
      </c>
      <c r="J485" t="s">
        <v>950</v>
      </c>
      <c r="K485">
        <v>158.19999999999999</v>
      </c>
    </row>
    <row r="486" spans="1:11" x14ac:dyDescent="0.35">
      <c r="A486" t="s">
        <v>952</v>
      </c>
      <c r="B486" s="1">
        <v>0</v>
      </c>
      <c r="C486" t="s">
        <v>5573</v>
      </c>
      <c r="D486" t="s">
        <v>5221</v>
      </c>
      <c r="E486" t="s">
        <v>5545</v>
      </c>
      <c r="F486" t="s">
        <v>5045</v>
      </c>
      <c r="G486" t="s">
        <v>5288</v>
      </c>
      <c r="H486" t="s">
        <v>2661</v>
      </c>
      <c r="J486" t="s">
        <v>952</v>
      </c>
      <c r="K486">
        <v>151.1</v>
      </c>
    </row>
    <row r="487" spans="1:11" x14ac:dyDescent="0.35">
      <c r="A487" s="2">
        <v>40299</v>
      </c>
      <c r="B487" s="1">
        <v>0</v>
      </c>
      <c r="C487" t="s">
        <v>5278</v>
      </c>
      <c r="D487" t="s">
        <v>5071</v>
      </c>
      <c r="E487" t="s">
        <v>5284</v>
      </c>
      <c r="F487" t="s">
        <v>5045</v>
      </c>
      <c r="G487" t="s">
        <v>5288</v>
      </c>
      <c r="H487" t="s">
        <v>1160</v>
      </c>
      <c r="J487" s="2">
        <v>40299</v>
      </c>
      <c r="K487">
        <v>154.19999999999999</v>
      </c>
    </row>
    <row r="488" spans="1:11" x14ac:dyDescent="0.35">
      <c r="A488" s="2">
        <v>40300</v>
      </c>
      <c r="B488" s="1">
        <v>0</v>
      </c>
      <c r="C488" t="s">
        <v>5610</v>
      </c>
      <c r="D488" t="s">
        <v>5074</v>
      </c>
      <c r="E488" t="s">
        <v>5295</v>
      </c>
      <c r="F488" t="s">
        <v>5077</v>
      </c>
      <c r="G488" t="s">
        <v>5315</v>
      </c>
      <c r="H488" t="s">
        <v>58</v>
      </c>
      <c r="J488" s="2">
        <v>40300</v>
      </c>
      <c r="K488">
        <v>171.3</v>
      </c>
    </row>
    <row r="489" spans="1:11" x14ac:dyDescent="0.35">
      <c r="A489" s="2">
        <v>40301</v>
      </c>
      <c r="B489" s="1">
        <v>0</v>
      </c>
      <c r="C489" t="s">
        <v>1052</v>
      </c>
      <c r="D489" t="s">
        <v>5090</v>
      </c>
      <c r="E489" t="s">
        <v>5422</v>
      </c>
      <c r="F489" t="s">
        <v>5077</v>
      </c>
      <c r="G489" t="s">
        <v>5226</v>
      </c>
      <c r="H489" t="s">
        <v>2748</v>
      </c>
      <c r="J489" s="2">
        <v>40301</v>
      </c>
      <c r="K489">
        <v>194.3</v>
      </c>
    </row>
    <row r="490" spans="1:11" x14ac:dyDescent="0.35">
      <c r="A490" s="2">
        <v>40302</v>
      </c>
      <c r="B490" s="1">
        <v>0</v>
      </c>
      <c r="C490" t="s">
        <v>4083</v>
      </c>
      <c r="D490" t="s">
        <v>5101</v>
      </c>
      <c r="E490" t="s">
        <v>5160</v>
      </c>
      <c r="F490" t="s">
        <v>5077</v>
      </c>
      <c r="G490" t="s">
        <v>5230</v>
      </c>
      <c r="H490" t="s">
        <v>2004</v>
      </c>
      <c r="J490" s="2">
        <v>40302</v>
      </c>
      <c r="K490">
        <v>219.6</v>
      </c>
    </row>
    <row r="491" spans="1:11" x14ac:dyDescent="0.35">
      <c r="A491" s="2">
        <v>40303</v>
      </c>
      <c r="B491" s="1">
        <v>0</v>
      </c>
      <c r="C491" t="s">
        <v>314</v>
      </c>
      <c r="D491" t="s">
        <v>5242</v>
      </c>
      <c r="E491" t="s">
        <v>5270</v>
      </c>
      <c r="F491" t="s">
        <v>5077</v>
      </c>
      <c r="G491" t="s">
        <v>5054</v>
      </c>
      <c r="H491" t="s">
        <v>5766</v>
      </c>
      <c r="J491" s="2">
        <v>40303</v>
      </c>
      <c r="K491">
        <v>238.4</v>
      </c>
    </row>
    <row r="492" spans="1:11" x14ac:dyDescent="0.35">
      <c r="A492" s="2">
        <v>40304</v>
      </c>
      <c r="B492" s="1">
        <v>0</v>
      </c>
      <c r="C492" t="s">
        <v>4347</v>
      </c>
      <c r="D492" t="s">
        <v>5274</v>
      </c>
      <c r="E492" t="s">
        <v>5444</v>
      </c>
      <c r="F492" t="s">
        <v>5089</v>
      </c>
      <c r="G492" t="s">
        <v>5062</v>
      </c>
      <c r="H492" t="s">
        <v>4454</v>
      </c>
      <c r="J492" s="2">
        <v>40304</v>
      </c>
      <c r="K492">
        <v>253.3</v>
      </c>
    </row>
    <row r="493" spans="1:11" x14ac:dyDescent="0.35">
      <c r="A493" s="2">
        <v>40305</v>
      </c>
      <c r="B493" s="1">
        <v>0</v>
      </c>
      <c r="C493" t="s">
        <v>303</v>
      </c>
      <c r="D493" t="s">
        <v>5514</v>
      </c>
      <c r="E493" t="s">
        <v>5100</v>
      </c>
      <c r="F493" t="s">
        <v>5089</v>
      </c>
      <c r="G493" t="s">
        <v>5183</v>
      </c>
      <c r="H493" t="s">
        <v>3668</v>
      </c>
      <c r="J493" s="2">
        <v>40305</v>
      </c>
      <c r="K493">
        <v>264</v>
      </c>
    </row>
    <row r="494" spans="1:11" x14ac:dyDescent="0.35">
      <c r="A494" s="2">
        <v>40306</v>
      </c>
      <c r="B494" s="1">
        <v>0</v>
      </c>
      <c r="C494" t="s">
        <v>1458</v>
      </c>
      <c r="D494" t="s">
        <v>5490</v>
      </c>
      <c r="E494" t="s">
        <v>5247</v>
      </c>
      <c r="F494" t="s">
        <v>5089</v>
      </c>
      <c r="G494" t="s">
        <v>5065</v>
      </c>
      <c r="H494" t="s">
        <v>3065</v>
      </c>
      <c r="J494" s="2">
        <v>40306</v>
      </c>
      <c r="K494">
        <v>257.7</v>
      </c>
    </row>
    <row r="495" spans="1:11" x14ac:dyDescent="0.35">
      <c r="A495" s="2">
        <v>40307</v>
      </c>
      <c r="B495" s="1">
        <v>0</v>
      </c>
      <c r="C495" t="s">
        <v>3527</v>
      </c>
      <c r="D495" t="s">
        <v>5536</v>
      </c>
      <c r="E495" t="s">
        <v>5096</v>
      </c>
      <c r="F495" t="s">
        <v>5089</v>
      </c>
      <c r="G495" t="s">
        <v>5058</v>
      </c>
      <c r="H495" t="s">
        <v>5719</v>
      </c>
      <c r="J495" s="2">
        <v>40307</v>
      </c>
      <c r="K495">
        <v>243.9</v>
      </c>
    </row>
    <row r="496" spans="1:11" x14ac:dyDescent="0.35">
      <c r="A496" s="2">
        <v>40308</v>
      </c>
      <c r="B496" s="1">
        <v>0</v>
      </c>
      <c r="C496" t="s">
        <v>3216</v>
      </c>
      <c r="D496" t="s">
        <v>5393</v>
      </c>
      <c r="E496" t="s">
        <v>5249</v>
      </c>
      <c r="F496" t="s">
        <v>5077</v>
      </c>
      <c r="G496" t="s">
        <v>5240</v>
      </c>
      <c r="H496" t="s">
        <v>744</v>
      </c>
      <c r="J496" s="2">
        <v>40308</v>
      </c>
      <c r="K496">
        <v>227.3</v>
      </c>
    </row>
    <row r="497" spans="1:11" x14ac:dyDescent="0.35">
      <c r="A497" s="2">
        <v>40309</v>
      </c>
      <c r="B497" s="1">
        <v>0</v>
      </c>
      <c r="C497" t="s">
        <v>4380</v>
      </c>
      <c r="D497" t="s">
        <v>5133</v>
      </c>
      <c r="E497" t="s">
        <v>5237</v>
      </c>
      <c r="F497" t="s">
        <v>5077</v>
      </c>
      <c r="G497" t="s">
        <v>5222</v>
      </c>
      <c r="H497" t="s">
        <v>939</v>
      </c>
      <c r="J497" s="2">
        <v>40309</v>
      </c>
      <c r="K497">
        <v>208.5</v>
      </c>
    </row>
    <row r="498" spans="1:11" x14ac:dyDescent="0.35">
      <c r="A498" s="2">
        <v>40310</v>
      </c>
      <c r="B498" s="1">
        <v>0</v>
      </c>
      <c r="C498" t="s">
        <v>450</v>
      </c>
      <c r="D498" t="s">
        <v>5473</v>
      </c>
      <c r="E498" t="s">
        <v>5524</v>
      </c>
      <c r="F498" t="s">
        <v>5077</v>
      </c>
      <c r="G498" t="s">
        <v>5224</v>
      </c>
      <c r="H498" t="s">
        <v>3150</v>
      </c>
      <c r="J498" s="2">
        <v>40310</v>
      </c>
      <c r="K498">
        <v>189.1</v>
      </c>
    </row>
    <row r="499" spans="1:11" x14ac:dyDescent="0.35">
      <c r="A499" s="2">
        <v>40311</v>
      </c>
      <c r="B499" s="1">
        <v>0</v>
      </c>
      <c r="C499" t="s">
        <v>5631</v>
      </c>
      <c r="D499" t="s">
        <v>5081</v>
      </c>
      <c r="E499" t="s">
        <v>5289</v>
      </c>
      <c r="F499" t="s">
        <v>5077</v>
      </c>
      <c r="G499" t="s">
        <v>5312</v>
      </c>
      <c r="H499" t="s">
        <v>35</v>
      </c>
      <c r="J499" s="2">
        <v>40311</v>
      </c>
      <c r="K499">
        <v>170.4</v>
      </c>
    </row>
    <row r="500" spans="1:11" x14ac:dyDescent="0.35">
      <c r="A500" s="2">
        <v>40312</v>
      </c>
      <c r="B500" s="1">
        <v>0</v>
      </c>
      <c r="C500" t="s">
        <v>5497</v>
      </c>
      <c r="D500" t="s">
        <v>5221</v>
      </c>
      <c r="E500" t="s">
        <v>5318</v>
      </c>
      <c r="F500" t="s">
        <v>5077</v>
      </c>
      <c r="G500" t="s">
        <v>5400</v>
      </c>
      <c r="H500" t="s">
        <v>586</v>
      </c>
      <c r="J500" s="2">
        <v>40312</v>
      </c>
      <c r="K500">
        <v>154.80000000000001</v>
      </c>
    </row>
    <row r="501" spans="1:11" x14ac:dyDescent="0.35">
      <c r="A501" s="2">
        <v>40313</v>
      </c>
      <c r="B501" s="1">
        <v>0</v>
      </c>
      <c r="C501" t="s">
        <v>5101</v>
      </c>
      <c r="D501" t="s">
        <v>5313</v>
      </c>
      <c r="E501" t="s">
        <v>5322</v>
      </c>
      <c r="F501" t="s">
        <v>5045</v>
      </c>
      <c r="G501" t="s">
        <v>5432</v>
      </c>
      <c r="H501" t="s">
        <v>2166</v>
      </c>
      <c r="J501" s="2">
        <v>40313</v>
      </c>
      <c r="K501">
        <v>143.80000000000001</v>
      </c>
    </row>
    <row r="502" spans="1:11" x14ac:dyDescent="0.35">
      <c r="A502" s="2">
        <v>40314</v>
      </c>
      <c r="B502" s="1">
        <v>0</v>
      </c>
      <c r="C502" t="s">
        <v>5264</v>
      </c>
      <c r="D502" t="s">
        <v>5283</v>
      </c>
      <c r="E502" t="s">
        <v>5327</v>
      </c>
      <c r="F502" t="s">
        <v>5045</v>
      </c>
      <c r="G502" t="s">
        <v>5334</v>
      </c>
      <c r="H502" t="s">
        <v>829</v>
      </c>
      <c r="J502" s="2">
        <v>40314</v>
      </c>
      <c r="K502">
        <v>137.1</v>
      </c>
    </row>
    <row r="503" spans="1:11" x14ac:dyDescent="0.35">
      <c r="A503" s="2">
        <v>40315</v>
      </c>
      <c r="B503" s="1">
        <v>0</v>
      </c>
      <c r="C503" t="s">
        <v>5154</v>
      </c>
      <c r="D503" t="s">
        <v>5298</v>
      </c>
      <c r="E503" t="s">
        <v>5300</v>
      </c>
      <c r="F503" t="s">
        <v>5045</v>
      </c>
      <c r="G503" t="s">
        <v>5337</v>
      </c>
      <c r="H503" t="s">
        <v>1383</v>
      </c>
      <c r="J503" s="2">
        <v>40315</v>
      </c>
      <c r="K503">
        <v>132.80000000000001</v>
      </c>
    </row>
    <row r="504" spans="1:11" x14ac:dyDescent="0.35">
      <c r="A504" s="2">
        <v>40316</v>
      </c>
      <c r="B504" s="1">
        <v>0</v>
      </c>
      <c r="C504" t="s">
        <v>5111</v>
      </c>
      <c r="D504" t="s">
        <v>5053</v>
      </c>
      <c r="E504" t="s">
        <v>5317</v>
      </c>
      <c r="F504" t="s">
        <v>5045</v>
      </c>
      <c r="G504" t="s">
        <v>5339</v>
      </c>
      <c r="H504" t="s">
        <v>1963</v>
      </c>
      <c r="J504" s="2">
        <v>40316</v>
      </c>
      <c r="K504">
        <v>129.9</v>
      </c>
    </row>
    <row r="505" spans="1:11" x14ac:dyDescent="0.35">
      <c r="A505" s="2">
        <v>40317</v>
      </c>
      <c r="B505" s="1">
        <v>0</v>
      </c>
      <c r="C505" t="s">
        <v>5247</v>
      </c>
      <c r="D505" t="s">
        <v>5048</v>
      </c>
      <c r="E505" t="s">
        <v>5308</v>
      </c>
      <c r="F505" t="s">
        <v>5045</v>
      </c>
      <c r="G505" t="s">
        <v>5339</v>
      </c>
      <c r="H505" t="s">
        <v>1858</v>
      </c>
      <c r="J505" s="2">
        <v>40317</v>
      </c>
      <c r="K505">
        <v>128</v>
      </c>
    </row>
    <row r="506" spans="1:11" x14ac:dyDescent="0.35">
      <c r="A506" s="2">
        <v>40318</v>
      </c>
      <c r="B506" s="1">
        <v>0</v>
      </c>
      <c r="C506" t="s">
        <v>5074</v>
      </c>
      <c r="D506" t="s">
        <v>5423</v>
      </c>
      <c r="E506" t="s">
        <v>5047</v>
      </c>
      <c r="F506" t="s">
        <v>5045</v>
      </c>
      <c r="G506" t="s">
        <v>5156</v>
      </c>
      <c r="H506" t="s">
        <v>1442</v>
      </c>
      <c r="J506" s="2">
        <v>40318</v>
      </c>
      <c r="K506">
        <v>126.6</v>
      </c>
    </row>
    <row r="507" spans="1:11" x14ac:dyDescent="0.35">
      <c r="A507" s="2">
        <v>40319</v>
      </c>
      <c r="B507" s="1">
        <v>0</v>
      </c>
      <c r="C507" t="s">
        <v>5067</v>
      </c>
      <c r="D507" t="s">
        <v>5302</v>
      </c>
      <c r="E507" t="s">
        <v>5047</v>
      </c>
      <c r="F507" t="s">
        <v>5045</v>
      </c>
      <c r="G507" t="s">
        <v>5156</v>
      </c>
      <c r="H507" t="s">
        <v>1863</v>
      </c>
      <c r="J507" s="2">
        <v>40319</v>
      </c>
      <c r="K507">
        <v>125.7</v>
      </c>
    </row>
    <row r="508" spans="1:11" x14ac:dyDescent="0.35">
      <c r="A508" s="2">
        <v>40320</v>
      </c>
      <c r="B508" s="1">
        <v>0</v>
      </c>
      <c r="C508" t="s">
        <v>5213</v>
      </c>
      <c r="D508" t="s">
        <v>5305</v>
      </c>
      <c r="E508" t="s">
        <v>5547</v>
      </c>
      <c r="F508" t="s">
        <v>5045</v>
      </c>
      <c r="G508" t="s">
        <v>5168</v>
      </c>
      <c r="H508" t="s">
        <v>1944</v>
      </c>
      <c r="J508" s="2">
        <v>40320</v>
      </c>
      <c r="K508">
        <v>125</v>
      </c>
    </row>
    <row r="509" spans="1:11" x14ac:dyDescent="0.35">
      <c r="A509" s="2">
        <v>40321</v>
      </c>
      <c r="B509" s="1">
        <v>0</v>
      </c>
      <c r="C509" t="s">
        <v>5069</v>
      </c>
      <c r="D509" t="s">
        <v>5424</v>
      </c>
      <c r="E509" t="s">
        <v>5547</v>
      </c>
      <c r="F509" t="s">
        <v>5045</v>
      </c>
      <c r="G509" t="s">
        <v>5168</v>
      </c>
      <c r="H509" t="s">
        <v>1453</v>
      </c>
      <c r="J509" s="2">
        <v>40321</v>
      </c>
      <c r="K509">
        <v>124.6</v>
      </c>
    </row>
    <row r="510" spans="1:11" x14ac:dyDescent="0.35">
      <c r="A510" s="2">
        <v>40322</v>
      </c>
      <c r="B510" s="1">
        <v>0</v>
      </c>
      <c r="C510" t="s">
        <v>5105</v>
      </c>
      <c r="D510" t="s">
        <v>5424</v>
      </c>
      <c r="E510" t="s">
        <v>5143</v>
      </c>
      <c r="F510" t="s">
        <v>5045</v>
      </c>
      <c r="G510" t="s">
        <v>5168</v>
      </c>
      <c r="H510" t="s">
        <v>10</v>
      </c>
      <c r="J510" s="2">
        <v>40322</v>
      </c>
      <c r="K510">
        <v>124.3</v>
      </c>
    </row>
    <row r="511" spans="1:11" x14ac:dyDescent="0.35">
      <c r="A511" s="2">
        <v>40323</v>
      </c>
      <c r="B511" s="1">
        <v>0</v>
      </c>
      <c r="C511" t="s">
        <v>5123</v>
      </c>
      <c r="D511" t="s">
        <v>5044</v>
      </c>
      <c r="E511" t="s">
        <v>5143</v>
      </c>
      <c r="F511" t="s">
        <v>5045</v>
      </c>
      <c r="G511" t="s">
        <v>5168</v>
      </c>
      <c r="H511" t="s">
        <v>544</v>
      </c>
      <c r="J511" s="2">
        <v>40323</v>
      </c>
      <c r="K511">
        <v>124.2</v>
      </c>
    </row>
    <row r="512" spans="1:11" x14ac:dyDescent="0.35">
      <c r="A512" s="2">
        <v>40324</v>
      </c>
      <c r="B512" s="1">
        <v>0</v>
      </c>
      <c r="C512" t="s">
        <v>5123</v>
      </c>
      <c r="D512" t="s">
        <v>5044</v>
      </c>
      <c r="E512" t="s">
        <v>5143</v>
      </c>
      <c r="F512" t="s">
        <v>5045</v>
      </c>
      <c r="G512" t="s">
        <v>5168</v>
      </c>
      <c r="H512" t="s">
        <v>1859</v>
      </c>
      <c r="J512" s="2">
        <v>40324</v>
      </c>
      <c r="K512">
        <v>124.1</v>
      </c>
    </row>
    <row r="513" spans="1:11" x14ac:dyDescent="0.35">
      <c r="A513" s="2">
        <v>40325</v>
      </c>
      <c r="B513" s="1">
        <v>0</v>
      </c>
      <c r="C513" t="s">
        <v>5276</v>
      </c>
      <c r="D513" t="s">
        <v>5044</v>
      </c>
      <c r="E513" t="s">
        <v>5143</v>
      </c>
      <c r="F513" t="s">
        <v>5045</v>
      </c>
      <c r="G513" t="s">
        <v>5168</v>
      </c>
      <c r="H513" t="s">
        <v>1860</v>
      </c>
      <c r="J513" s="2">
        <v>40325</v>
      </c>
      <c r="K513">
        <v>124</v>
      </c>
    </row>
    <row r="514" spans="1:11" x14ac:dyDescent="0.35">
      <c r="A514" s="2">
        <v>40326</v>
      </c>
      <c r="B514" s="1">
        <v>0</v>
      </c>
      <c r="C514" t="s">
        <v>5276</v>
      </c>
      <c r="D514" t="s">
        <v>5044</v>
      </c>
      <c r="E514" t="s">
        <v>5143</v>
      </c>
      <c r="F514" t="s">
        <v>5045</v>
      </c>
      <c r="G514" t="s">
        <v>5168</v>
      </c>
      <c r="H514" t="s">
        <v>1860</v>
      </c>
      <c r="J514" s="2">
        <v>40326</v>
      </c>
      <c r="K514">
        <v>124</v>
      </c>
    </row>
    <row r="515" spans="1:11" x14ac:dyDescent="0.35">
      <c r="A515" s="2">
        <v>40327</v>
      </c>
      <c r="B515" s="1">
        <v>0</v>
      </c>
      <c r="C515" t="s">
        <v>5276</v>
      </c>
      <c r="D515" t="s">
        <v>5044</v>
      </c>
      <c r="E515" t="s">
        <v>5143</v>
      </c>
      <c r="F515" t="s">
        <v>5045</v>
      </c>
      <c r="G515" t="s">
        <v>5168</v>
      </c>
      <c r="H515" t="s">
        <v>1860</v>
      </c>
      <c r="J515" s="2">
        <v>40327</v>
      </c>
      <c r="K515">
        <v>124</v>
      </c>
    </row>
    <row r="516" spans="1:11" x14ac:dyDescent="0.35">
      <c r="A516" s="2">
        <v>40328</v>
      </c>
      <c r="B516" s="1">
        <v>0</v>
      </c>
      <c r="C516" t="s">
        <v>5069</v>
      </c>
      <c r="D516" t="s">
        <v>5424</v>
      </c>
      <c r="E516" t="s">
        <v>5143</v>
      </c>
      <c r="F516" t="s">
        <v>5045</v>
      </c>
      <c r="G516" t="s">
        <v>5168</v>
      </c>
      <c r="H516" t="s">
        <v>1452</v>
      </c>
      <c r="J516" s="2">
        <v>40328</v>
      </c>
      <c r="K516">
        <v>124.5</v>
      </c>
    </row>
    <row r="517" spans="1:11" x14ac:dyDescent="0.35">
      <c r="A517" s="2">
        <v>40329</v>
      </c>
      <c r="B517" s="1">
        <v>0</v>
      </c>
      <c r="C517" t="s">
        <v>5444</v>
      </c>
      <c r="D517" t="s">
        <v>5305</v>
      </c>
      <c r="E517" t="s">
        <v>5143</v>
      </c>
      <c r="F517" t="s">
        <v>5045</v>
      </c>
      <c r="G517" t="s">
        <v>5168</v>
      </c>
      <c r="H517" t="s">
        <v>1856</v>
      </c>
      <c r="J517" s="2">
        <v>40329</v>
      </c>
      <c r="K517">
        <v>125.8</v>
      </c>
    </row>
    <row r="518" spans="1:11" x14ac:dyDescent="0.35">
      <c r="A518" s="2">
        <v>40330</v>
      </c>
      <c r="B518" s="1">
        <v>0</v>
      </c>
      <c r="C518" t="s">
        <v>5281</v>
      </c>
      <c r="D518" t="s">
        <v>5049</v>
      </c>
      <c r="E518" t="s">
        <v>5143</v>
      </c>
      <c r="F518" t="s">
        <v>5045</v>
      </c>
      <c r="G518" t="s">
        <v>5156</v>
      </c>
      <c r="H518" t="s">
        <v>1114</v>
      </c>
      <c r="J518" s="2">
        <v>40330</v>
      </c>
      <c r="K518">
        <v>129</v>
      </c>
    </row>
    <row r="519" spans="1:11" x14ac:dyDescent="0.35">
      <c r="A519" s="2">
        <v>40331</v>
      </c>
      <c r="B519" s="1">
        <v>0</v>
      </c>
      <c r="C519" t="s">
        <v>5320</v>
      </c>
      <c r="D519" t="s">
        <v>5058</v>
      </c>
      <c r="E519" t="s">
        <v>5046</v>
      </c>
      <c r="F519" t="s">
        <v>5168</v>
      </c>
      <c r="G519" t="s">
        <v>5361</v>
      </c>
      <c r="H519" t="s">
        <v>985</v>
      </c>
      <c r="J519" s="2">
        <v>40331</v>
      </c>
      <c r="K519">
        <v>92.5</v>
      </c>
    </row>
    <row r="520" spans="1:11" x14ac:dyDescent="0.35">
      <c r="A520" s="2">
        <v>40332</v>
      </c>
      <c r="B520" s="1">
        <v>0</v>
      </c>
      <c r="C520" t="s">
        <v>5422</v>
      </c>
      <c r="D520" t="s">
        <v>5179</v>
      </c>
      <c r="E520" t="s">
        <v>5046</v>
      </c>
      <c r="F520" t="s">
        <v>5168</v>
      </c>
      <c r="G520" t="s">
        <v>5343</v>
      </c>
      <c r="H520" t="s">
        <v>2269</v>
      </c>
      <c r="J520" s="2">
        <v>40332</v>
      </c>
      <c r="K520">
        <v>96.2</v>
      </c>
    </row>
    <row r="521" spans="1:11" x14ac:dyDescent="0.35">
      <c r="A521" s="2">
        <v>40333</v>
      </c>
      <c r="B521" s="1">
        <v>0</v>
      </c>
      <c r="C521" t="s">
        <v>5310</v>
      </c>
      <c r="D521" t="s">
        <v>5054</v>
      </c>
      <c r="E521" t="s">
        <v>5046</v>
      </c>
      <c r="F521" t="s">
        <v>5168</v>
      </c>
      <c r="G521" t="s">
        <v>5344</v>
      </c>
      <c r="H521" t="s">
        <v>2269</v>
      </c>
      <c r="J521" s="2">
        <v>40333</v>
      </c>
      <c r="K521">
        <v>96.2</v>
      </c>
    </row>
    <row r="522" spans="1:11" x14ac:dyDescent="0.35">
      <c r="A522" s="2">
        <v>40334</v>
      </c>
      <c r="B522" s="1">
        <v>0</v>
      </c>
      <c r="C522" t="s">
        <v>5295</v>
      </c>
      <c r="D522" t="s">
        <v>5240</v>
      </c>
      <c r="E522" t="s">
        <v>5046</v>
      </c>
      <c r="F522" t="s">
        <v>5168</v>
      </c>
      <c r="G522" t="s">
        <v>5343</v>
      </c>
      <c r="H522" t="s">
        <v>328</v>
      </c>
      <c r="J522" s="2">
        <v>40334</v>
      </c>
      <c r="K522">
        <v>93.8</v>
      </c>
    </row>
    <row r="523" spans="1:11" x14ac:dyDescent="0.35">
      <c r="A523" s="2">
        <v>40335</v>
      </c>
      <c r="B523" s="1">
        <v>0</v>
      </c>
      <c r="C523" t="s">
        <v>5305</v>
      </c>
      <c r="D523" t="s">
        <v>5050</v>
      </c>
      <c r="E523" t="s">
        <v>5046</v>
      </c>
      <c r="F523" t="s">
        <v>5168</v>
      </c>
      <c r="G523" t="s">
        <v>5346</v>
      </c>
      <c r="H523" t="s">
        <v>979</v>
      </c>
      <c r="J523" s="2">
        <v>40335</v>
      </c>
      <c r="K523">
        <v>90.7</v>
      </c>
    </row>
    <row r="524" spans="1:11" x14ac:dyDescent="0.35">
      <c r="A524" s="2">
        <v>40336</v>
      </c>
      <c r="B524" s="1">
        <v>0</v>
      </c>
      <c r="C524" t="s">
        <v>5194</v>
      </c>
      <c r="D524" t="s">
        <v>5050</v>
      </c>
      <c r="E524" t="s">
        <v>5046</v>
      </c>
      <c r="F524" t="s">
        <v>5168</v>
      </c>
      <c r="G524" t="s">
        <v>5349</v>
      </c>
      <c r="H524" t="s">
        <v>465</v>
      </c>
      <c r="J524" s="2">
        <v>40336</v>
      </c>
      <c r="K524">
        <v>88.2</v>
      </c>
    </row>
    <row r="525" spans="1:11" x14ac:dyDescent="0.35">
      <c r="A525" s="2">
        <v>40337</v>
      </c>
      <c r="B525" s="1">
        <v>0</v>
      </c>
      <c r="C525" t="s">
        <v>5191</v>
      </c>
      <c r="D525" t="s">
        <v>5050</v>
      </c>
      <c r="E525" t="s">
        <v>5046</v>
      </c>
      <c r="F525" t="s">
        <v>5168</v>
      </c>
      <c r="G525" t="s">
        <v>5349</v>
      </c>
      <c r="H525" t="s">
        <v>983</v>
      </c>
      <c r="J525" s="2">
        <v>40337</v>
      </c>
      <c r="K525">
        <v>86.7</v>
      </c>
    </row>
    <row r="526" spans="1:11" x14ac:dyDescent="0.35">
      <c r="A526" s="2">
        <v>40338</v>
      </c>
      <c r="B526" s="1">
        <v>0</v>
      </c>
      <c r="C526" t="s">
        <v>5161</v>
      </c>
      <c r="D526" t="s">
        <v>5046</v>
      </c>
      <c r="E526" t="s">
        <v>5046</v>
      </c>
      <c r="F526" t="s">
        <v>5168</v>
      </c>
      <c r="G526" t="s">
        <v>5353</v>
      </c>
      <c r="H526" t="s">
        <v>337</v>
      </c>
      <c r="J526" s="2">
        <v>40338</v>
      </c>
      <c r="K526">
        <v>85.8</v>
      </c>
    </row>
    <row r="527" spans="1:11" x14ac:dyDescent="0.35">
      <c r="A527" s="2">
        <v>40339</v>
      </c>
      <c r="B527" s="1">
        <v>0</v>
      </c>
      <c r="C527" t="s">
        <v>5158</v>
      </c>
      <c r="D527" t="s">
        <v>5046</v>
      </c>
      <c r="E527" t="s">
        <v>5046</v>
      </c>
      <c r="F527" t="s">
        <v>5168</v>
      </c>
      <c r="G527" t="s">
        <v>5353</v>
      </c>
      <c r="H527" t="s">
        <v>5543</v>
      </c>
      <c r="J527" s="2">
        <v>40339</v>
      </c>
      <c r="K527">
        <v>85.1</v>
      </c>
    </row>
    <row r="528" spans="1:11" x14ac:dyDescent="0.35">
      <c r="A528" s="2">
        <v>40340</v>
      </c>
      <c r="B528" s="1">
        <v>0</v>
      </c>
      <c r="C528" t="s">
        <v>5350</v>
      </c>
      <c r="D528" t="s">
        <v>5050</v>
      </c>
      <c r="E528" t="s">
        <v>5046</v>
      </c>
      <c r="F528" t="s">
        <v>5168</v>
      </c>
      <c r="G528" t="s">
        <v>5349</v>
      </c>
      <c r="H528" t="s">
        <v>348</v>
      </c>
      <c r="J528" s="2">
        <v>40340</v>
      </c>
      <c r="K528">
        <v>86.6</v>
      </c>
    </row>
    <row r="529" spans="1:11" x14ac:dyDescent="0.35">
      <c r="A529" s="2">
        <v>40341</v>
      </c>
      <c r="B529" s="1">
        <v>0</v>
      </c>
      <c r="C529" t="s">
        <v>5545</v>
      </c>
      <c r="D529" t="s">
        <v>5058</v>
      </c>
      <c r="E529" t="s">
        <v>5240</v>
      </c>
      <c r="F529" t="s">
        <v>5168</v>
      </c>
      <c r="G529" t="s">
        <v>5346</v>
      </c>
      <c r="H529" t="s">
        <v>461</v>
      </c>
      <c r="J529" s="2">
        <v>40341</v>
      </c>
      <c r="K529">
        <v>92</v>
      </c>
    </row>
    <row r="530" spans="1:11" x14ac:dyDescent="0.35">
      <c r="A530" s="2">
        <v>40342</v>
      </c>
      <c r="B530" s="1">
        <v>0</v>
      </c>
      <c r="C530" t="s">
        <v>5173</v>
      </c>
      <c r="D530" t="s">
        <v>5078</v>
      </c>
      <c r="E530" t="s">
        <v>5054</v>
      </c>
      <c r="F530" t="s">
        <v>5168</v>
      </c>
      <c r="G530" t="s">
        <v>5360</v>
      </c>
      <c r="H530" t="s">
        <v>4904</v>
      </c>
      <c r="J530" s="2">
        <v>40342</v>
      </c>
      <c r="K530">
        <v>99.2</v>
      </c>
    </row>
    <row r="531" spans="1:11" x14ac:dyDescent="0.35">
      <c r="A531" s="2">
        <v>40343</v>
      </c>
      <c r="B531" s="1">
        <v>0</v>
      </c>
      <c r="C531" t="s">
        <v>5304</v>
      </c>
      <c r="D531" t="s">
        <v>5116</v>
      </c>
      <c r="E531" t="s">
        <v>5058</v>
      </c>
      <c r="F531" t="s">
        <v>5168</v>
      </c>
      <c r="G531" t="s">
        <v>5550</v>
      </c>
      <c r="H531" t="s">
        <v>489</v>
      </c>
      <c r="J531" s="2">
        <v>40343</v>
      </c>
      <c r="K531">
        <v>102.4</v>
      </c>
    </row>
    <row r="532" spans="1:11" x14ac:dyDescent="0.35">
      <c r="A532" s="2">
        <v>40344</v>
      </c>
      <c r="B532" s="1">
        <v>0</v>
      </c>
      <c r="C532" t="s">
        <v>5434</v>
      </c>
      <c r="D532" t="s">
        <v>5092</v>
      </c>
      <c r="E532" t="s">
        <v>5412</v>
      </c>
      <c r="F532" t="s">
        <v>5168</v>
      </c>
      <c r="G532" t="s">
        <v>5360</v>
      </c>
      <c r="H532" t="s">
        <v>4383</v>
      </c>
      <c r="J532" s="2">
        <v>40344</v>
      </c>
      <c r="K532">
        <v>101.2</v>
      </c>
    </row>
    <row r="533" spans="1:11" x14ac:dyDescent="0.35">
      <c r="A533" s="2">
        <v>40345</v>
      </c>
      <c r="B533" s="1">
        <v>0</v>
      </c>
      <c r="C533" t="s">
        <v>5064</v>
      </c>
      <c r="D533" t="s">
        <v>5116</v>
      </c>
      <c r="E533" t="s">
        <v>5058</v>
      </c>
      <c r="F533" t="s">
        <v>5168</v>
      </c>
      <c r="G533" t="s">
        <v>5344</v>
      </c>
      <c r="H533" t="s">
        <v>1479</v>
      </c>
      <c r="J533" s="2">
        <v>40345</v>
      </c>
      <c r="K533">
        <v>97.5</v>
      </c>
    </row>
    <row r="534" spans="1:11" x14ac:dyDescent="0.35">
      <c r="A534" s="2">
        <v>40346</v>
      </c>
      <c r="B534" s="1">
        <v>0</v>
      </c>
      <c r="C534" t="s">
        <v>5051</v>
      </c>
      <c r="D534" t="s">
        <v>5099</v>
      </c>
      <c r="E534" t="s">
        <v>5179</v>
      </c>
      <c r="F534" t="s">
        <v>5168</v>
      </c>
      <c r="G534" t="s">
        <v>5346</v>
      </c>
      <c r="H534" t="s">
        <v>2266</v>
      </c>
      <c r="J534" s="2">
        <v>40346</v>
      </c>
      <c r="K534">
        <v>93.3</v>
      </c>
    </row>
    <row r="535" spans="1:11" x14ac:dyDescent="0.35">
      <c r="A535" s="2">
        <v>40347</v>
      </c>
      <c r="B535" s="1">
        <v>0</v>
      </c>
      <c r="C535" t="s">
        <v>5293</v>
      </c>
      <c r="D535" t="s">
        <v>5475</v>
      </c>
      <c r="E535" t="s">
        <v>5054</v>
      </c>
      <c r="F535" t="s">
        <v>5168</v>
      </c>
      <c r="G535" t="s">
        <v>5349</v>
      </c>
      <c r="H535" t="s">
        <v>364</v>
      </c>
      <c r="J535" s="2">
        <v>40347</v>
      </c>
      <c r="K535">
        <v>90.1</v>
      </c>
    </row>
    <row r="536" spans="1:11" x14ac:dyDescent="0.35">
      <c r="A536" s="2">
        <v>40348</v>
      </c>
      <c r="B536" s="1">
        <v>0</v>
      </c>
      <c r="C536" t="s">
        <v>5329</v>
      </c>
      <c r="D536" t="s">
        <v>5412</v>
      </c>
      <c r="E536" t="s">
        <v>5240</v>
      </c>
      <c r="F536" t="s">
        <v>5168</v>
      </c>
      <c r="G536" t="s">
        <v>5349</v>
      </c>
      <c r="H536" t="s">
        <v>342</v>
      </c>
      <c r="J536" s="2">
        <v>40348</v>
      </c>
      <c r="K536">
        <v>87.8</v>
      </c>
    </row>
    <row r="537" spans="1:11" x14ac:dyDescent="0.35">
      <c r="A537" s="2">
        <v>40349</v>
      </c>
      <c r="B537" s="1">
        <v>0</v>
      </c>
      <c r="C537" t="s">
        <v>5345</v>
      </c>
      <c r="D537" t="s">
        <v>5179</v>
      </c>
      <c r="E537" t="s">
        <v>5050</v>
      </c>
      <c r="F537" t="s">
        <v>5168</v>
      </c>
      <c r="G537" t="s">
        <v>5353</v>
      </c>
      <c r="H537" t="s">
        <v>333</v>
      </c>
      <c r="J537" s="2">
        <v>40349</v>
      </c>
      <c r="K537">
        <v>86.1</v>
      </c>
    </row>
    <row r="538" spans="1:11" x14ac:dyDescent="0.35">
      <c r="A538" s="2">
        <v>40350</v>
      </c>
      <c r="B538" s="1">
        <v>0</v>
      </c>
      <c r="C538" t="s">
        <v>5188</v>
      </c>
      <c r="D538" t="s">
        <v>5054</v>
      </c>
      <c r="E538" t="s">
        <v>5050</v>
      </c>
      <c r="F538" t="s">
        <v>5168</v>
      </c>
      <c r="G538" t="s">
        <v>5353</v>
      </c>
      <c r="H538" t="s">
        <v>330</v>
      </c>
      <c r="J538" s="2">
        <v>40350</v>
      </c>
      <c r="K538">
        <v>85</v>
      </c>
    </row>
    <row r="539" spans="1:11" x14ac:dyDescent="0.35">
      <c r="A539" s="2">
        <v>40351</v>
      </c>
      <c r="B539" s="1">
        <v>0</v>
      </c>
      <c r="C539" t="s">
        <v>5501</v>
      </c>
      <c r="D539" t="s">
        <v>5240</v>
      </c>
      <c r="E539" t="s">
        <v>5050</v>
      </c>
      <c r="F539" t="s">
        <v>5168</v>
      </c>
      <c r="G539" t="s">
        <v>5354</v>
      </c>
      <c r="H539" t="s">
        <v>362</v>
      </c>
      <c r="J539" s="2">
        <v>40351</v>
      </c>
      <c r="K539">
        <v>84.3</v>
      </c>
    </row>
    <row r="540" spans="1:11" x14ac:dyDescent="0.35">
      <c r="A540" s="2">
        <v>40352</v>
      </c>
      <c r="B540" s="1">
        <v>0</v>
      </c>
      <c r="C540" t="s">
        <v>5493</v>
      </c>
      <c r="D540" t="s">
        <v>5050</v>
      </c>
      <c r="E540" t="s">
        <v>5046</v>
      </c>
      <c r="F540" t="s">
        <v>5168</v>
      </c>
      <c r="G540" t="s">
        <v>5354</v>
      </c>
      <c r="H540" t="s">
        <v>1916</v>
      </c>
      <c r="J540" s="2">
        <v>40352</v>
      </c>
      <c r="K540">
        <v>83.9</v>
      </c>
    </row>
    <row r="541" spans="1:11" x14ac:dyDescent="0.35">
      <c r="A541" s="2">
        <v>40353</v>
      </c>
      <c r="B541" s="1">
        <v>0</v>
      </c>
      <c r="C541" t="s">
        <v>5356</v>
      </c>
      <c r="D541" t="s">
        <v>5050</v>
      </c>
      <c r="E541" t="s">
        <v>5046</v>
      </c>
      <c r="F541" t="s">
        <v>5168</v>
      </c>
      <c r="G541" t="s">
        <v>5354</v>
      </c>
      <c r="H541" t="s">
        <v>448</v>
      </c>
      <c r="J541" s="2">
        <v>40353</v>
      </c>
      <c r="K541">
        <v>83.7</v>
      </c>
    </row>
    <row r="542" spans="1:11" x14ac:dyDescent="0.35">
      <c r="A542" s="2">
        <v>40354</v>
      </c>
      <c r="B542" s="1">
        <v>0</v>
      </c>
      <c r="C542" t="s">
        <v>5136</v>
      </c>
      <c r="D542" t="s">
        <v>5050</v>
      </c>
      <c r="E542" t="s">
        <v>5046</v>
      </c>
      <c r="F542" t="s">
        <v>5168</v>
      </c>
      <c r="G542" t="s">
        <v>5354</v>
      </c>
      <c r="H542" t="s">
        <v>448</v>
      </c>
      <c r="J542" s="2">
        <v>40354</v>
      </c>
      <c r="K542">
        <v>83.7</v>
      </c>
    </row>
    <row r="543" spans="1:11" x14ac:dyDescent="0.35">
      <c r="A543" s="2">
        <v>40355</v>
      </c>
      <c r="B543" s="1">
        <v>0</v>
      </c>
      <c r="C543" t="s">
        <v>5355</v>
      </c>
      <c r="D543" t="s">
        <v>5046</v>
      </c>
      <c r="E543" t="s">
        <v>5046</v>
      </c>
      <c r="F543" t="s">
        <v>5168</v>
      </c>
      <c r="G543" t="s">
        <v>5354</v>
      </c>
      <c r="H543" t="s">
        <v>3798</v>
      </c>
      <c r="J543" s="2">
        <v>40355</v>
      </c>
      <c r="K543">
        <v>83.8</v>
      </c>
    </row>
    <row r="544" spans="1:11" x14ac:dyDescent="0.35">
      <c r="A544" s="2">
        <v>40356</v>
      </c>
      <c r="B544" s="1">
        <v>0</v>
      </c>
      <c r="C544" t="s">
        <v>5501</v>
      </c>
      <c r="D544" t="s">
        <v>5046</v>
      </c>
      <c r="E544" t="s">
        <v>5046</v>
      </c>
      <c r="F544" t="s">
        <v>5168</v>
      </c>
      <c r="G544" t="s">
        <v>5354</v>
      </c>
      <c r="H544" t="s">
        <v>322</v>
      </c>
      <c r="J544" s="2">
        <v>40356</v>
      </c>
      <c r="K544">
        <v>84</v>
      </c>
    </row>
    <row r="545" spans="1:11" x14ac:dyDescent="0.35">
      <c r="A545" s="2">
        <v>40357</v>
      </c>
      <c r="B545" s="1">
        <v>0</v>
      </c>
      <c r="C545" t="s">
        <v>5501</v>
      </c>
      <c r="D545" t="s">
        <v>5046</v>
      </c>
      <c r="E545" t="s">
        <v>5046</v>
      </c>
      <c r="F545" t="s">
        <v>5168</v>
      </c>
      <c r="G545" t="s">
        <v>5354</v>
      </c>
      <c r="H545" t="s">
        <v>322</v>
      </c>
      <c r="J545" s="2">
        <v>40357</v>
      </c>
      <c r="K545">
        <v>84</v>
      </c>
    </row>
    <row r="546" spans="1:11" x14ac:dyDescent="0.35">
      <c r="A546" s="2">
        <v>40358</v>
      </c>
      <c r="B546" s="1">
        <v>0</v>
      </c>
      <c r="C546" t="s">
        <v>5355</v>
      </c>
      <c r="D546" t="s">
        <v>5046</v>
      </c>
      <c r="E546" t="s">
        <v>5046</v>
      </c>
      <c r="F546" t="s">
        <v>5168</v>
      </c>
      <c r="G546" t="s">
        <v>5354</v>
      </c>
      <c r="H546" t="s">
        <v>3798</v>
      </c>
      <c r="J546" s="2">
        <v>40358</v>
      </c>
      <c r="K546">
        <v>83.8</v>
      </c>
    </row>
    <row r="547" spans="1:11" x14ac:dyDescent="0.35">
      <c r="A547" s="2">
        <v>40359</v>
      </c>
      <c r="B547" s="1">
        <v>0</v>
      </c>
      <c r="C547" t="s">
        <v>5493</v>
      </c>
      <c r="D547" t="s">
        <v>5046</v>
      </c>
      <c r="E547" t="s">
        <v>5046</v>
      </c>
      <c r="F547" t="s">
        <v>5168</v>
      </c>
      <c r="G547" t="s">
        <v>5354</v>
      </c>
      <c r="H547" t="s">
        <v>448</v>
      </c>
      <c r="J547" s="2">
        <v>40359</v>
      </c>
      <c r="K547">
        <v>83.7</v>
      </c>
    </row>
    <row r="548" spans="1:11" x14ac:dyDescent="0.35">
      <c r="A548" t="s">
        <v>990</v>
      </c>
      <c r="B548" s="1">
        <v>0</v>
      </c>
      <c r="C548" t="s">
        <v>5356</v>
      </c>
      <c r="D548" t="s">
        <v>5046</v>
      </c>
      <c r="E548" t="s">
        <v>5046</v>
      </c>
      <c r="F548" t="s">
        <v>5168</v>
      </c>
      <c r="G548" t="s">
        <v>5354</v>
      </c>
      <c r="H548" t="s">
        <v>444</v>
      </c>
      <c r="J548" t="s">
        <v>990</v>
      </c>
      <c r="K548">
        <v>83.5</v>
      </c>
    </row>
    <row r="549" spans="1:11" x14ac:dyDescent="0.35">
      <c r="A549" t="s">
        <v>991</v>
      </c>
      <c r="B549" s="1">
        <v>0</v>
      </c>
      <c r="C549" t="s">
        <v>5411</v>
      </c>
      <c r="D549" t="s">
        <v>5357</v>
      </c>
      <c r="E549" t="s">
        <v>5409</v>
      </c>
      <c r="F549" t="s">
        <v>5364</v>
      </c>
      <c r="G549" t="s">
        <v>5375</v>
      </c>
      <c r="H549" t="s">
        <v>5609</v>
      </c>
      <c r="J549" t="s">
        <v>991</v>
      </c>
      <c r="K549">
        <v>60.4</v>
      </c>
    </row>
    <row r="550" spans="1:11" x14ac:dyDescent="0.35">
      <c r="A550" t="s">
        <v>992</v>
      </c>
      <c r="B550" s="1">
        <v>0</v>
      </c>
      <c r="C550" t="s">
        <v>5339</v>
      </c>
      <c r="D550" t="s">
        <v>5357</v>
      </c>
      <c r="E550" t="s">
        <v>5409</v>
      </c>
      <c r="F550" t="s">
        <v>5364</v>
      </c>
      <c r="G550" t="s">
        <v>5375</v>
      </c>
      <c r="H550" t="s">
        <v>5130</v>
      </c>
      <c r="J550" t="s">
        <v>992</v>
      </c>
      <c r="K550">
        <v>60.3</v>
      </c>
    </row>
    <row r="551" spans="1:11" x14ac:dyDescent="0.35">
      <c r="A551" t="s">
        <v>994</v>
      </c>
      <c r="B551" s="1">
        <v>0</v>
      </c>
      <c r="C551" t="s">
        <v>5339</v>
      </c>
      <c r="D551" t="s">
        <v>5357</v>
      </c>
      <c r="E551" t="s">
        <v>5409</v>
      </c>
      <c r="F551" t="s">
        <v>5364</v>
      </c>
      <c r="G551" t="s">
        <v>5375</v>
      </c>
      <c r="H551" t="s">
        <v>5130</v>
      </c>
      <c r="J551" t="s">
        <v>994</v>
      </c>
      <c r="K551">
        <v>60.3</v>
      </c>
    </row>
    <row r="552" spans="1:11" x14ac:dyDescent="0.35">
      <c r="A552" t="s">
        <v>995</v>
      </c>
      <c r="B552" s="1">
        <v>0</v>
      </c>
      <c r="C552" t="s">
        <v>5339</v>
      </c>
      <c r="D552" t="s">
        <v>5189</v>
      </c>
      <c r="E552" t="s">
        <v>5562</v>
      </c>
      <c r="F552" t="s">
        <v>5364</v>
      </c>
      <c r="G552" t="s">
        <v>5375</v>
      </c>
      <c r="H552" t="s">
        <v>5130</v>
      </c>
      <c r="J552" t="s">
        <v>995</v>
      </c>
      <c r="K552">
        <v>60.3</v>
      </c>
    </row>
    <row r="553" spans="1:11" x14ac:dyDescent="0.35">
      <c r="A553" t="s">
        <v>997</v>
      </c>
      <c r="B553" s="1">
        <v>0</v>
      </c>
      <c r="C553" t="s">
        <v>5339</v>
      </c>
      <c r="D553" t="s">
        <v>5189</v>
      </c>
      <c r="E553" t="s">
        <v>5562</v>
      </c>
      <c r="F553" t="s">
        <v>5364</v>
      </c>
      <c r="G553" t="s">
        <v>5375</v>
      </c>
      <c r="H553" t="s">
        <v>5609</v>
      </c>
      <c r="J553" t="s">
        <v>997</v>
      </c>
      <c r="K553">
        <v>60.4</v>
      </c>
    </row>
    <row r="554" spans="1:11" x14ac:dyDescent="0.35">
      <c r="A554" t="s">
        <v>998</v>
      </c>
      <c r="B554" s="1">
        <v>0</v>
      </c>
      <c r="C554" t="s">
        <v>5339</v>
      </c>
      <c r="D554" t="s">
        <v>5189</v>
      </c>
      <c r="E554" t="s">
        <v>5562</v>
      </c>
      <c r="F554" t="s">
        <v>5364</v>
      </c>
      <c r="G554" t="s">
        <v>5375</v>
      </c>
      <c r="H554" t="s">
        <v>5609</v>
      </c>
      <c r="J554" t="s">
        <v>998</v>
      </c>
      <c r="K554">
        <v>60.4</v>
      </c>
    </row>
    <row r="555" spans="1:11" x14ac:dyDescent="0.35">
      <c r="A555" t="s">
        <v>999</v>
      </c>
      <c r="B555" s="1">
        <v>0</v>
      </c>
      <c r="C555" t="s">
        <v>5339</v>
      </c>
      <c r="D555" t="s">
        <v>5357</v>
      </c>
      <c r="E555" t="s">
        <v>5409</v>
      </c>
      <c r="F555" t="s">
        <v>5364</v>
      </c>
      <c r="G555" t="s">
        <v>5375</v>
      </c>
      <c r="H555" t="s">
        <v>5130</v>
      </c>
      <c r="J555" t="s">
        <v>999</v>
      </c>
      <c r="K555">
        <v>60.3</v>
      </c>
    </row>
    <row r="556" spans="1:11" x14ac:dyDescent="0.35">
      <c r="A556" t="s">
        <v>1000</v>
      </c>
      <c r="B556" s="1">
        <v>0</v>
      </c>
      <c r="C556" t="s">
        <v>5156</v>
      </c>
      <c r="D556" t="s">
        <v>5357</v>
      </c>
      <c r="E556" t="s">
        <v>5409</v>
      </c>
      <c r="F556" t="s">
        <v>5364</v>
      </c>
      <c r="G556" t="s">
        <v>5375</v>
      </c>
      <c r="H556" t="s">
        <v>5616</v>
      </c>
      <c r="J556" t="s">
        <v>1000</v>
      </c>
      <c r="K556">
        <v>60.2</v>
      </c>
    </row>
    <row r="557" spans="1:11" x14ac:dyDescent="0.35">
      <c r="A557" t="s">
        <v>1001</v>
      </c>
      <c r="B557" s="1">
        <v>0</v>
      </c>
      <c r="C557" t="s">
        <v>5156</v>
      </c>
      <c r="D557" t="s">
        <v>5357</v>
      </c>
      <c r="E557" t="s">
        <v>5409</v>
      </c>
      <c r="F557" t="s">
        <v>5364</v>
      </c>
      <c r="G557" t="s">
        <v>5375</v>
      </c>
      <c r="H557" t="s">
        <v>5490</v>
      </c>
      <c r="J557" t="s">
        <v>1001</v>
      </c>
      <c r="K557">
        <v>60.1</v>
      </c>
    </row>
    <row r="558" spans="1:11" x14ac:dyDescent="0.35">
      <c r="A558" t="s">
        <v>1002</v>
      </c>
      <c r="B558" s="1">
        <v>0</v>
      </c>
      <c r="C558" t="s">
        <v>5156</v>
      </c>
      <c r="D558" t="s">
        <v>5357</v>
      </c>
      <c r="E558" t="s">
        <v>5409</v>
      </c>
      <c r="F558" t="s">
        <v>5364</v>
      </c>
      <c r="G558" t="s">
        <v>5375</v>
      </c>
      <c r="H558" t="s">
        <v>5490</v>
      </c>
      <c r="J558" t="s">
        <v>1002</v>
      </c>
      <c r="K558">
        <v>60.1</v>
      </c>
    </row>
    <row r="559" spans="1:11" x14ac:dyDescent="0.35">
      <c r="A559" t="s">
        <v>1004</v>
      </c>
      <c r="B559" s="1">
        <v>0</v>
      </c>
      <c r="C559" t="s">
        <v>5168</v>
      </c>
      <c r="D559" t="s">
        <v>5357</v>
      </c>
      <c r="E559" t="s">
        <v>5409</v>
      </c>
      <c r="F559" t="s">
        <v>5364</v>
      </c>
      <c r="G559" t="s">
        <v>5375</v>
      </c>
      <c r="H559" t="s">
        <v>5490</v>
      </c>
      <c r="J559" t="s">
        <v>1004</v>
      </c>
      <c r="K559">
        <v>60.1</v>
      </c>
    </row>
    <row r="560" spans="1:11" x14ac:dyDescent="0.35">
      <c r="A560" t="s">
        <v>1006</v>
      </c>
      <c r="B560" s="1">
        <v>0</v>
      </c>
      <c r="C560" t="s">
        <v>5168</v>
      </c>
      <c r="D560" t="s">
        <v>5357</v>
      </c>
      <c r="E560" t="s">
        <v>5409</v>
      </c>
      <c r="F560" t="s">
        <v>5364</v>
      </c>
      <c r="G560" t="s">
        <v>5375</v>
      </c>
      <c r="H560" t="s">
        <v>5510</v>
      </c>
      <c r="J560" t="s">
        <v>1006</v>
      </c>
      <c r="K560">
        <v>60</v>
      </c>
    </row>
    <row r="561" spans="1:11" x14ac:dyDescent="0.35">
      <c r="A561" t="s">
        <v>1007</v>
      </c>
      <c r="B561" s="1">
        <v>0</v>
      </c>
      <c r="C561" t="s">
        <v>5168</v>
      </c>
      <c r="D561" t="s">
        <v>5357</v>
      </c>
      <c r="E561" t="s">
        <v>5409</v>
      </c>
      <c r="F561" t="s">
        <v>5364</v>
      </c>
      <c r="G561" t="s">
        <v>5375</v>
      </c>
      <c r="H561" t="s">
        <v>5510</v>
      </c>
      <c r="J561" t="s">
        <v>1007</v>
      </c>
      <c r="K561">
        <v>60</v>
      </c>
    </row>
    <row r="562" spans="1:11" x14ac:dyDescent="0.35">
      <c r="A562" t="s">
        <v>1008</v>
      </c>
      <c r="B562" s="1">
        <v>0</v>
      </c>
      <c r="C562" t="s">
        <v>5168</v>
      </c>
      <c r="D562" t="s">
        <v>5357</v>
      </c>
      <c r="E562" t="s">
        <v>5409</v>
      </c>
      <c r="F562" t="s">
        <v>5364</v>
      </c>
      <c r="G562" t="s">
        <v>5375</v>
      </c>
      <c r="H562" t="s">
        <v>5510</v>
      </c>
      <c r="J562" t="s">
        <v>1008</v>
      </c>
      <c r="K562">
        <v>60</v>
      </c>
    </row>
    <row r="563" spans="1:11" x14ac:dyDescent="0.35">
      <c r="A563" t="s">
        <v>1009</v>
      </c>
      <c r="B563" s="1">
        <v>0</v>
      </c>
      <c r="C563" t="s">
        <v>5168</v>
      </c>
      <c r="D563" t="s">
        <v>5186</v>
      </c>
      <c r="E563" t="s">
        <v>5562</v>
      </c>
      <c r="F563" t="s">
        <v>5364</v>
      </c>
      <c r="G563" t="s">
        <v>5375</v>
      </c>
      <c r="H563" t="s">
        <v>5130</v>
      </c>
      <c r="J563" t="s">
        <v>1009</v>
      </c>
      <c r="K563">
        <v>60.3</v>
      </c>
    </row>
    <row r="564" spans="1:11" x14ac:dyDescent="0.35">
      <c r="A564" t="s">
        <v>1010</v>
      </c>
      <c r="B564" s="1">
        <v>0</v>
      </c>
      <c r="C564" t="s">
        <v>5432</v>
      </c>
      <c r="D564" t="s">
        <v>5164</v>
      </c>
      <c r="E564" t="s">
        <v>5399</v>
      </c>
      <c r="F564" t="s">
        <v>5364</v>
      </c>
      <c r="G564" t="s">
        <v>5375</v>
      </c>
      <c r="H564" t="s">
        <v>5632</v>
      </c>
      <c r="J564" t="s">
        <v>1010</v>
      </c>
      <c r="K564">
        <v>61.9</v>
      </c>
    </row>
    <row r="565" spans="1:11" x14ac:dyDescent="0.35">
      <c r="A565" t="s">
        <v>1012</v>
      </c>
      <c r="B565" s="1">
        <v>0</v>
      </c>
      <c r="C565" t="s">
        <v>5227</v>
      </c>
      <c r="D565" t="s">
        <v>5144</v>
      </c>
      <c r="E565" t="s">
        <v>5404</v>
      </c>
      <c r="F565" t="s">
        <v>5364</v>
      </c>
      <c r="G565" t="s">
        <v>5372</v>
      </c>
      <c r="H565" t="s">
        <v>5563</v>
      </c>
      <c r="J565" t="s">
        <v>1012</v>
      </c>
      <c r="K565">
        <v>65.2</v>
      </c>
    </row>
    <row r="566" spans="1:11" x14ac:dyDescent="0.35">
      <c r="A566" t="s">
        <v>1014</v>
      </c>
      <c r="B566" s="1">
        <v>0</v>
      </c>
      <c r="C566" t="s">
        <v>5095</v>
      </c>
      <c r="D566" t="s">
        <v>5294</v>
      </c>
      <c r="E566" t="s">
        <v>5186</v>
      </c>
      <c r="F566" t="s">
        <v>5364</v>
      </c>
      <c r="G566" t="s">
        <v>5372</v>
      </c>
      <c r="H566" t="s">
        <v>420</v>
      </c>
      <c r="J566" t="s">
        <v>1014</v>
      </c>
      <c r="K566">
        <v>68.5</v>
      </c>
    </row>
    <row r="567" spans="1:11" x14ac:dyDescent="0.35">
      <c r="A567" t="s">
        <v>1017</v>
      </c>
      <c r="B567" s="1">
        <v>0</v>
      </c>
      <c r="C567" t="s">
        <v>5132</v>
      </c>
      <c r="D567" t="s">
        <v>5294</v>
      </c>
      <c r="E567" t="s">
        <v>5186</v>
      </c>
      <c r="F567" t="s">
        <v>5364</v>
      </c>
      <c r="G567" t="s">
        <v>5371</v>
      </c>
      <c r="H567" t="s">
        <v>5406</v>
      </c>
      <c r="J567" t="s">
        <v>1017</v>
      </c>
      <c r="K567">
        <v>69.5</v>
      </c>
    </row>
    <row r="568" spans="1:11" x14ac:dyDescent="0.35">
      <c r="A568" t="s">
        <v>1019</v>
      </c>
      <c r="B568" s="1">
        <v>0</v>
      </c>
      <c r="C568" t="s">
        <v>5089</v>
      </c>
      <c r="D568" t="s">
        <v>5342</v>
      </c>
      <c r="E568" t="s">
        <v>5189</v>
      </c>
      <c r="F568" t="s">
        <v>5364</v>
      </c>
      <c r="G568" t="s">
        <v>5371</v>
      </c>
      <c r="H568" t="s">
        <v>5465</v>
      </c>
      <c r="J568" t="s">
        <v>1019</v>
      </c>
      <c r="K568">
        <v>68.8</v>
      </c>
    </row>
    <row r="569" spans="1:11" x14ac:dyDescent="0.35">
      <c r="A569" t="s">
        <v>1022</v>
      </c>
      <c r="B569" s="1">
        <v>0</v>
      </c>
      <c r="C569" t="s">
        <v>5092</v>
      </c>
      <c r="D569" t="s">
        <v>5144</v>
      </c>
      <c r="E569" t="s">
        <v>5404</v>
      </c>
      <c r="F569" t="s">
        <v>5364</v>
      </c>
      <c r="G569" t="s">
        <v>5371</v>
      </c>
      <c r="H569" t="s">
        <v>372</v>
      </c>
      <c r="J569" t="s">
        <v>1022</v>
      </c>
      <c r="K569">
        <v>67.8</v>
      </c>
    </row>
    <row r="570" spans="1:11" x14ac:dyDescent="0.35">
      <c r="A570" t="s">
        <v>1023</v>
      </c>
      <c r="B570" s="1">
        <v>0</v>
      </c>
      <c r="C570" t="s">
        <v>5077</v>
      </c>
      <c r="D570" t="s">
        <v>5432</v>
      </c>
      <c r="E570" t="s">
        <v>5402</v>
      </c>
      <c r="F570" t="s">
        <v>5364</v>
      </c>
      <c r="G570" t="s">
        <v>5372</v>
      </c>
      <c r="H570" t="s">
        <v>5461</v>
      </c>
      <c r="J570" t="s">
        <v>1023</v>
      </c>
      <c r="K570">
        <v>67.5</v>
      </c>
    </row>
    <row r="571" spans="1:11" x14ac:dyDescent="0.35">
      <c r="A571" t="s">
        <v>1025</v>
      </c>
      <c r="B571" s="1">
        <v>0</v>
      </c>
      <c r="C571" t="s">
        <v>5077</v>
      </c>
      <c r="D571" t="s">
        <v>5334</v>
      </c>
      <c r="E571" t="s">
        <v>5413</v>
      </c>
      <c r="F571" t="s">
        <v>5364</v>
      </c>
      <c r="G571" t="s">
        <v>5372</v>
      </c>
      <c r="H571" t="s">
        <v>388</v>
      </c>
      <c r="J571" t="s">
        <v>1025</v>
      </c>
      <c r="K571">
        <v>67.2</v>
      </c>
    </row>
    <row r="572" spans="1:11" x14ac:dyDescent="0.35">
      <c r="A572" t="s">
        <v>1026</v>
      </c>
      <c r="B572" s="1">
        <v>0</v>
      </c>
      <c r="C572" t="s">
        <v>5095</v>
      </c>
      <c r="D572" t="s">
        <v>5339</v>
      </c>
      <c r="E572" t="s">
        <v>5399</v>
      </c>
      <c r="F572" t="s">
        <v>5364</v>
      </c>
      <c r="G572" t="s">
        <v>5372</v>
      </c>
      <c r="H572" t="s">
        <v>5604</v>
      </c>
      <c r="J572" t="s">
        <v>1026</v>
      </c>
      <c r="K572">
        <v>66.099999999999994</v>
      </c>
    </row>
    <row r="573" spans="1:11" x14ac:dyDescent="0.35">
      <c r="A573" t="s">
        <v>1028</v>
      </c>
      <c r="B573" s="1">
        <v>0</v>
      </c>
      <c r="C573" t="s">
        <v>5179</v>
      </c>
      <c r="D573" t="s">
        <v>5164</v>
      </c>
      <c r="E573" t="s">
        <v>5395</v>
      </c>
      <c r="F573" t="s">
        <v>5364</v>
      </c>
      <c r="G573" t="s">
        <v>5372</v>
      </c>
      <c r="H573" t="s">
        <v>5651</v>
      </c>
      <c r="J573" t="s">
        <v>1028</v>
      </c>
      <c r="K573">
        <v>64.599999999999994</v>
      </c>
    </row>
    <row r="574" spans="1:11" x14ac:dyDescent="0.35">
      <c r="A574" t="s">
        <v>1030</v>
      </c>
      <c r="B574" s="1">
        <v>0</v>
      </c>
      <c r="C574" t="s">
        <v>5227</v>
      </c>
      <c r="D574" t="s">
        <v>5177</v>
      </c>
      <c r="E574" t="s">
        <v>5396</v>
      </c>
      <c r="F574" t="s">
        <v>5364</v>
      </c>
      <c r="G574" t="s">
        <v>5375</v>
      </c>
      <c r="H574" t="s">
        <v>5615</v>
      </c>
      <c r="J574" t="s">
        <v>1030</v>
      </c>
      <c r="K574">
        <v>63.1</v>
      </c>
    </row>
    <row r="575" spans="1:11" x14ac:dyDescent="0.35">
      <c r="A575" t="s">
        <v>1032</v>
      </c>
      <c r="B575" s="1">
        <v>0</v>
      </c>
      <c r="C575" t="s">
        <v>5226</v>
      </c>
      <c r="D575" t="s">
        <v>5184</v>
      </c>
      <c r="E575" t="s">
        <v>5562</v>
      </c>
      <c r="F575" t="s">
        <v>5364</v>
      </c>
      <c r="G575" t="s">
        <v>5372</v>
      </c>
      <c r="H575" t="s">
        <v>5621</v>
      </c>
      <c r="J575" t="s">
        <v>1032</v>
      </c>
      <c r="K575">
        <v>62.7</v>
      </c>
    </row>
    <row r="576" spans="1:11" x14ac:dyDescent="0.35">
      <c r="A576" t="s">
        <v>1034</v>
      </c>
      <c r="B576" s="1">
        <v>0</v>
      </c>
      <c r="C576" t="s">
        <v>5046</v>
      </c>
      <c r="D576" t="s">
        <v>5180</v>
      </c>
      <c r="E576" t="s">
        <v>5396</v>
      </c>
      <c r="F576" t="s">
        <v>5364</v>
      </c>
      <c r="G576" t="s">
        <v>5365</v>
      </c>
      <c r="H576" t="s">
        <v>5633</v>
      </c>
      <c r="J576" t="s">
        <v>1034</v>
      </c>
      <c r="K576">
        <v>63.9</v>
      </c>
    </row>
    <row r="577" spans="1:11" x14ac:dyDescent="0.35">
      <c r="A577" t="s">
        <v>1036</v>
      </c>
      <c r="B577" s="1">
        <v>0</v>
      </c>
      <c r="C577" t="s">
        <v>5099</v>
      </c>
      <c r="D577" t="s">
        <v>5164</v>
      </c>
      <c r="E577" t="s">
        <v>5413</v>
      </c>
      <c r="F577" t="s">
        <v>5364</v>
      </c>
      <c r="G577" t="s">
        <v>5556</v>
      </c>
      <c r="H577" t="s">
        <v>5561</v>
      </c>
      <c r="J577" t="s">
        <v>1036</v>
      </c>
      <c r="K577">
        <v>66.2</v>
      </c>
    </row>
    <row r="578" spans="1:11" x14ac:dyDescent="0.35">
      <c r="A578" t="s">
        <v>1037</v>
      </c>
      <c r="B578" s="1">
        <v>0</v>
      </c>
      <c r="C578" t="s">
        <v>5132</v>
      </c>
      <c r="D578" t="s">
        <v>5334</v>
      </c>
      <c r="E578" t="s">
        <v>5405</v>
      </c>
      <c r="F578" t="s">
        <v>5364</v>
      </c>
      <c r="G578" t="s">
        <v>5557</v>
      </c>
      <c r="H578" t="s">
        <v>5560</v>
      </c>
      <c r="J578" t="s">
        <v>1037</v>
      </c>
      <c r="K578">
        <v>68.400000000000006</v>
      </c>
    </row>
    <row r="579" spans="1:11" x14ac:dyDescent="0.35">
      <c r="A579" s="2">
        <v>40391</v>
      </c>
      <c r="B579" s="1">
        <v>0</v>
      </c>
      <c r="C579" t="s">
        <v>5205</v>
      </c>
      <c r="D579" t="s">
        <v>5140</v>
      </c>
      <c r="E579" t="s">
        <v>5357</v>
      </c>
      <c r="F579" t="s">
        <v>5364</v>
      </c>
      <c r="G579" t="s">
        <v>5557</v>
      </c>
      <c r="H579" t="s">
        <v>394</v>
      </c>
      <c r="J579" s="2">
        <v>40391</v>
      </c>
      <c r="K579">
        <v>70.099999999999994</v>
      </c>
    </row>
    <row r="580" spans="1:11" x14ac:dyDescent="0.35">
      <c r="A580" s="2">
        <v>40392</v>
      </c>
      <c r="B580" s="1">
        <v>0</v>
      </c>
      <c r="C580" t="s">
        <v>5314</v>
      </c>
      <c r="D580" t="s">
        <v>5312</v>
      </c>
      <c r="E580" t="s">
        <v>5164</v>
      </c>
      <c r="F580" t="s">
        <v>5383</v>
      </c>
      <c r="G580" t="s">
        <v>5880</v>
      </c>
      <c r="H580" t="s">
        <v>2910</v>
      </c>
      <c r="J580" s="2">
        <v>40392</v>
      </c>
      <c r="K580">
        <v>75.599999999999994</v>
      </c>
    </row>
    <row r="581" spans="1:11" x14ac:dyDescent="0.35">
      <c r="A581" s="2">
        <v>40393</v>
      </c>
      <c r="B581" s="1">
        <v>0</v>
      </c>
      <c r="C581" t="s">
        <v>5414</v>
      </c>
      <c r="D581" t="s">
        <v>5330</v>
      </c>
      <c r="E581" t="s">
        <v>5159</v>
      </c>
      <c r="F581" t="s">
        <v>5383</v>
      </c>
      <c r="G581" t="s">
        <v>5886</v>
      </c>
      <c r="H581" t="s">
        <v>2237</v>
      </c>
      <c r="J581" s="2">
        <v>40393</v>
      </c>
      <c r="K581">
        <v>74.2</v>
      </c>
    </row>
    <row r="582" spans="1:11" x14ac:dyDescent="0.35">
      <c r="A582" s="2">
        <v>40394</v>
      </c>
      <c r="B582" s="1">
        <v>0</v>
      </c>
      <c r="C582" t="s">
        <v>5340</v>
      </c>
      <c r="D582" t="s">
        <v>5140</v>
      </c>
      <c r="E582" t="s">
        <v>5180</v>
      </c>
      <c r="F582" t="s">
        <v>5383</v>
      </c>
      <c r="G582" t="s">
        <v>5883</v>
      </c>
      <c r="H582" t="s">
        <v>417</v>
      </c>
      <c r="J582" s="2">
        <v>40394</v>
      </c>
      <c r="K582">
        <v>71.900000000000006</v>
      </c>
    </row>
    <row r="583" spans="1:11" x14ac:dyDescent="0.35">
      <c r="A583" s="2">
        <v>40395</v>
      </c>
      <c r="B583" s="1">
        <v>0</v>
      </c>
      <c r="C583" t="s">
        <v>5082</v>
      </c>
      <c r="D583" t="s">
        <v>5334</v>
      </c>
      <c r="E583" t="s">
        <v>5195</v>
      </c>
      <c r="F583" t="s">
        <v>5383</v>
      </c>
      <c r="G583" t="s">
        <v>5879</v>
      </c>
      <c r="H583" t="s">
        <v>993</v>
      </c>
      <c r="J583" s="2">
        <v>40395</v>
      </c>
      <c r="K583">
        <v>69.7</v>
      </c>
    </row>
    <row r="584" spans="1:11" x14ac:dyDescent="0.35">
      <c r="A584" s="2">
        <v>40396</v>
      </c>
      <c r="B584" s="1">
        <v>0</v>
      </c>
      <c r="C584" t="s">
        <v>5054</v>
      </c>
      <c r="D584" t="s">
        <v>5337</v>
      </c>
      <c r="E584" t="s">
        <v>5186</v>
      </c>
      <c r="F584" t="s">
        <v>5383</v>
      </c>
      <c r="G584" t="s">
        <v>5884</v>
      </c>
      <c r="H584" t="s">
        <v>5649</v>
      </c>
      <c r="J584" s="2">
        <v>40396</v>
      </c>
      <c r="K584">
        <v>68.099999999999994</v>
      </c>
    </row>
    <row r="585" spans="1:11" x14ac:dyDescent="0.35">
      <c r="A585" s="2">
        <v>40397</v>
      </c>
      <c r="B585" s="1">
        <v>0</v>
      </c>
      <c r="C585" t="s">
        <v>5230</v>
      </c>
      <c r="D585" t="s">
        <v>5339</v>
      </c>
      <c r="E585" t="s">
        <v>5189</v>
      </c>
      <c r="F585" t="s">
        <v>5383</v>
      </c>
      <c r="G585" t="s">
        <v>5885</v>
      </c>
      <c r="H585" t="s">
        <v>388</v>
      </c>
      <c r="J585" s="2">
        <v>40397</v>
      </c>
      <c r="K585">
        <v>67.2</v>
      </c>
    </row>
    <row r="586" spans="1:11" x14ac:dyDescent="0.35">
      <c r="A586" s="2">
        <v>40398</v>
      </c>
      <c r="B586" s="1">
        <v>0</v>
      </c>
      <c r="C586" t="s">
        <v>5110</v>
      </c>
      <c r="D586" t="s">
        <v>5153</v>
      </c>
      <c r="E586" t="s">
        <v>5195</v>
      </c>
      <c r="F586" t="s">
        <v>5383</v>
      </c>
      <c r="G586" t="s">
        <v>5884</v>
      </c>
      <c r="H586" t="s">
        <v>1500</v>
      </c>
      <c r="J586" s="2">
        <v>40398</v>
      </c>
      <c r="K586">
        <v>69.900000000000006</v>
      </c>
    </row>
    <row r="587" spans="1:11" x14ac:dyDescent="0.35">
      <c r="A587" s="2">
        <v>40399</v>
      </c>
      <c r="B587" s="1">
        <v>0</v>
      </c>
      <c r="C587" t="s">
        <v>5547</v>
      </c>
      <c r="D587" t="s">
        <v>5294</v>
      </c>
      <c r="E587" t="s">
        <v>5348</v>
      </c>
      <c r="F587" t="s">
        <v>5383</v>
      </c>
      <c r="G587" t="s">
        <v>5879</v>
      </c>
      <c r="H587" t="s">
        <v>1910</v>
      </c>
      <c r="J587" s="2">
        <v>40399</v>
      </c>
      <c r="K587">
        <v>76.900000000000006</v>
      </c>
    </row>
    <row r="588" spans="1:11" x14ac:dyDescent="0.35">
      <c r="A588" s="2">
        <v>40400</v>
      </c>
      <c r="B588" s="1">
        <v>0</v>
      </c>
      <c r="C588" t="s">
        <v>5328</v>
      </c>
      <c r="D588" t="s">
        <v>5050</v>
      </c>
      <c r="E588" t="s">
        <v>5337</v>
      </c>
      <c r="F588" t="s">
        <v>5383</v>
      </c>
      <c r="G588" t="s">
        <v>5886</v>
      </c>
      <c r="H588" t="s">
        <v>330</v>
      </c>
      <c r="J588" s="2">
        <v>40400</v>
      </c>
      <c r="K588">
        <v>85</v>
      </c>
    </row>
    <row r="589" spans="1:11" x14ac:dyDescent="0.35">
      <c r="A589" s="2">
        <v>40401</v>
      </c>
      <c r="B589" s="1">
        <v>0</v>
      </c>
      <c r="C589" t="s">
        <v>5175</v>
      </c>
      <c r="D589" t="s">
        <v>5058</v>
      </c>
      <c r="E589" t="s">
        <v>5334</v>
      </c>
      <c r="F589" t="s">
        <v>5383</v>
      </c>
      <c r="G589" t="s">
        <v>5882</v>
      </c>
      <c r="H589" t="s">
        <v>321</v>
      </c>
      <c r="J589" s="2">
        <v>40401</v>
      </c>
      <c r="K589">
        <v>88.3</v>
      </c>
    </row>
    <row r="590" spans="1:11" x14ac:dyDescent="0.35">
      <c r="A590" s="2">
        <v>40402</v>
      </c>
      <c r="B590" s="1">
        <v>0</v>
      </c>
      <c r="C590" t="s">
        <v>5219</v>
      </c>
      <c r="D590" t="s">
        <v>5240</v>
      </c>
      <c r="E590" t="s">
        <v>5411</v>
      </c>
      <c r="F590" t="s">
        <v>5383</v>
      </c>
      <c r="G590" t="s">
        <v>5881</v>
      </c>
      <c r="H590" t="s">
        <v>323</v>
      </c>
      <c r="J590" s="2">
        <v>40402</v>
      </c>
      <c r="K590">
        <v>89.4</v>
      </c>
    </row>
    <row r="591" spans="1:11" x14ac:dyDescent="0.35">
      <c r="A591" s="2">
        <v>40403</v>
      </c>
      <c r="B591" s="1">
        <v>0</v>
      </c>
      <c r="C591" t="s">
        <v>5071</v>
      </c>
      <c r="D591" t="s">
        <v>5172</v>
      </c>
      <c r="E591" t="s">
        <v>5156</v>
      </c>
      <c r="F591" t="s">
        <v>5383</v>
      </c>
      <c r="G591" t="s">
        <v>5364</v>
      </c>
      <c r="H591" t="s">
        <v>340</v>
      </c>
      <c r="J591" s="2">
        <v>40403</v>
      </c>
      <c r="K591">
        <v>88.4</v>
      </c>
    </row>
    <row r="592" spans="1:11" x14ac:dyDescent="0.35">
      <c r="A592" s="2">
        <v>40404</v>
      </c>
      <c r="B592" s="1">
        <v>0</v>
      </c>
      <c r="C592" t="s">
        <v>5073</v>
      </c>
      <c r="D592" t="s">
        <v>5309</v>
      </c>
      <c r="E592" t="s">
        <v>5159</v>
      </c>
      <c r="F592" t="s">
        <v>5383</v>
      </c>
      <c r="G592" t="s">
        <v>5364</v>
      </c>
      <c r="H592" t="s">
        <v>341</v>
      </c>
      <c r="J592" s="2">
        <v>40404</v>
      </c>
      <c r="K592">
        <v>84.4</v>
      </c>
    </row>
    <row r="593" spans="1:11" x14ac:dyDescent="0.35">
      <c r="A593" s="2">
        <v>40405</v>
      </c>
      <c r="B593" s="1">
        <v>0</v>
      </c>
      <c r="C593" t="s">
        <v>5622</v>
      </c>
      <c r="D593" t="s">
        <v>5342</v>
      </c>
      <c r="E593" t="s">
        <v>5180</v>
      </c>
      <c r="F593" t="s">
        <v>5383</v>
      </c>
      <c r="G593" t="s">
        <v>5887</v>
      </c>
      <c r="H593" t="s">
        <v>450</v>
      </c>
      <c r="J593" s="2">
        <v>40405</v>
      </c>
      <c r="K593">
        <v>79.900000000000006</v>
      </c>
    </row>
    <row r="594" spans="1:11" x14ac:dyDescent="0.35">
      <c r="A594" s="2">
        <v>40406</v>
      </c>
      <c r="B594" s="1">
        <v>0</v>
      </c>
      <c r="C594" t="s">
        <v>5311</v>
      </c>
      <c r="D594" t="s">
        <v>5144</v>
      </c>
      <c r="E594" t="s">
        <v>5195</v>
      </c>
      <c r="F594" t="s">
        <v>5383</v>
      </c>
      <c r="G594" t="s">
        <v>5880</v>
      </c>
      <c r="H594" t="s">
        <v>1020</v>
      </c>
      <c r="J594" s="2">
        <v>40406</v>
      </c>
      <c r="K594">
        <v>75.099999999999994</v>
      </c>
    </row>
    <row r="595" spans="1:11" x14ac:dyDescent="0.35">
      <c r="A595" s="2">
        <v>40407</v>
      </c>
      <c r="B595" s="1">
        <v>0</v>
      </c>
      <c r="C595" t="s">
        <v>5341</v>
      </c>
      <c r="D595" t="s">
        <v>5153</v>
      </c>
      <c r="E595" t="s">
        <v>5186</v>
      </c>
      <c r="F595" t="s">
        <v>5383</v>
      </c>
      <c r="G595" t="s">
        <v>5883</v>
      </c>
      <c r="H595" t="s">
        <v>1011</v>
      </c>
      <c r="J595" s="2">
        <v>40407</v>
      </c>
      <c r="K595">
        <v>71.400000000000006</v>
      </c>
    </row>
    <row r="596" spans="1:11" x14ac:dyDescent="0.35">
      <c r="A596" s="2">
        <v>40408</v>
      </c>
      <c r="B596" s="1">
        <v>0</v>
      </c>
      <c r="C596" t="s">
        <v>5124</v>
      </c>
      <c r="D596" t="s">
        <v>5411</v>
      </c>
      <c r="E596" t="s">
        <v>5189</v>
      </c>
      <c r="F596" t="s">
        <v>5383</v>
      </c>
      <c r="G596" t="s">
        <v>5884</v>
      </c>
      <c r="H596" t="s">
        <v>5636</v>
      </c>
      <c r="J596" s="2">
        <v>40408</v>
      </c>
      <c r="K596">
        <v>69.2</v>
      </c>
    </row>
    <row r="597" spans="1:11" x14ac:dyDescent="0.35">
      <c r="A597" s="2">
        <v>40409</v>
      </c>
      <c r="B597" s="1">
        <v>0</v>
      </c>
      <c r="C597" t="s">
        <v>5240</v>
      </c>
      <c r="D597" t="s">
        <v>5337</v>
      </c>
      <c r="E597" t="s">
        <v>5189</v>
      </c>
      <c r="F597" t="s">
        <v>5383</v>
      </c>
      <c r="G597" t="s">
        <v>5884</v>
      </c>
      <c r="H597" t="s">
        <v>377</v>
      </c>
      <c r="J597" s="2">
        <v>40409</v>
      </c>
      <c r="K597">
        <v>67.7</v>
      </c>
    </row>
    <row r="598" spans="1:11" x14ac:dyDescent="0.35">
      <c r="A598" s="2">
        <v>40410</v>
      </c>
      <c r="B598" s="1">
        <v>0</v>
      </c>
      <c r="C598" t="s">
        <v>5207</v>
      </c>
      <c r="D598" t="s">
        <v>5339</v>
      </c>
      <c r="E598" t="s">
        <v>5189</v>
      </c>
      <c r="F598" t="s">
        <v>5383</v>
      </c>
      <c r="G598" t="s">
        <v>5885</v>
      </c>
      <c r="H598" t="s">
        <v>5401</v>
      </c>
      <c r="J598" s="2">
        <v>40410</v>
      </c>
      <c r="K598">
        <v>66.8</v>
      </c>
    </row>
    <row r="599" spans="1:11" x14ac:dyDescent="0.35">
      <c r="A599" s="2">
        <v>40411</v>
      </c>
      <c r="B599" s="1">
        <v>0</v>
      </c>
      <c r="C599" t="s">
        <v>5321</v>
      </c>
      <c r="D599" t="s">
        <v>5339</v>
      </c>
      <c r="E599" t="s">
        <v>5189</v>
      </c>
      <c r="F599" t="s">
        <v>5383</v>
      </c>
      <c r="G599" t="s">
        <v>5885</v>
      </c>
      <c r="H599" t="s">
        <v>5407</v>
      </c>
      <c r="J599" s="2">
        <v>40411</v>
      </c>
      <c r="K599">
        <v>66.7</v>
      </c>
    </row>
    <row r="600" spans="1:11" x14ac:dyDescent="0.35">
      <c r="A600" s="2">
        <v>40412</v>
      </c>
      <c r="B600" s="1">
        <v>0</v>
      </c>
      <c r="C600" t="s">
        <v>5046</v>
      </c>
      <c r="D600" t="s">
        <v>5140</v>
      </c>
      <c r="E600" t="s">
        <v>5195</v>
      </c>
      <c r="F600" t="s">
        <v>5383</v>
      </c>
      <c r="G600" t="s">
        <v>5884</v>
      </c>
      <c r="H600" t="s">
        <v>5261</v>
      </c>
      <c r="J600" s="2">
        <v>40412</v>
      </c>
      <c r="K600">
        <v>68.3</v>
      </c>
    </row>
    <row r="601" spans="1:11" x14ac:dyDescent="0.35">
      <c r="A601" s="2">
        <v>40413</v>
      </c>
      <c r="B601" s="1">
        <v>0</v>
      </c>
      <c r="C601" t="s">
        <v>5183</v>
      </c>
      <c r="D601" t="s">
        <v>5309</v>
      </c>
      <c r="E601" t="s">
        <v>5168</v>
      </c>
      <c r="F601" t="s">
        <v>5383</v>
      </c>
      <c r="G601" t="s">
        <v>5879</v>
      </c>
      <c r="H601" t="s">
        <v>371</v>
      </c>
      <c r="J601" s="2">
        <v>40413</v>
      </c>
      <c r="K601">
        <v>71.099999999999994</v>
      </c>
    </row>
    <row r="602" spans="1:11" x14ac:dyDescent="0.35">
      <c r="A602" s="2">
        <v>40414</v>
      </c>
      <c r="B602" s="1">
        <v>0</v>
      </c>
      <c r="C602" t="s">
        <v>5124</v>
      </c>
      <c r="D602" t="s">
        <v>5222</v>
      </c>
      <c r="E602" t="s">
        <v>5432</v>
      </c>
      <c r="F602" t="s">
        <v>5383</v>
      </c>
      <c r="G602" t="s">
        <v>5879</v>
      </c>
      <c r="H602" t="s">
        <v>395</v>
      </c>
      <c r="J602" s="2">
        <v>40414</v>
      </c>
      <c r="K602">
        <v>73.2</v>
      </c>
    </row>
    <row r="603" spans="1:11" x14ac:dyDescent="0.35">
      <c r="A603" s="2">
        <v>40415</v>
      </c>
      <c r="B603" s="1">
        <v>0</v>
      </c>
      <c r="C603" t="s">
        <v>5099</v>
      </c>
      <c r="D603" t="s">
        <v>5174</v>
      </c>
      <c r="E603" t="s">
        <v>5144</v>
      </c>
      <c r="F603" t="s">
        <v>5383</v>
      </c>
      <c r="G603" t="s">
        <v>5879</v>
      </c>
      <c r="H603" t="s">
        <v>1886</v>
      </c>
      <c r="J603" s="2">
        <v>40415</v>
      </c>
      <c r="K603">
        <v>73.3</v>
      </c>
    </row>
    <row r="604" spans="1:11" x14ac:dyDescent="0.35">
      <c r="A604" s="2">
        <v>40416</v>
      </c>
      <c r="B604" s="1">
        <v>0</v>
      </c>
      <c r="C604" t="s">
        <v>5078</v>
      </c>
      <c r="D604" t="s">
        <v>5227</v>
      </c>
      <c r="E604" t="s">
        <v>5432</v>
      </c>
      <c r="F604" t="s">
        <v>5383</v>
      </c>
      <c r="G604" t="s">
        <v>5879</v>
      </c>
      <c r="H604" t="s">
        <v>2232</v>
      </c>
      <c r="J604" s="2">
        <v>40416</v>
      </c>
      <c r="K604">
        <v>72.5</v>
      </c>
    </row>
    <row r="605" spans="1:11" x14ac:dyDescent="0.35">
      <c r="A605" s="2">
        <v>40417</v>
      </c>
      <c r="B605" s="1">
        <v>0</v>
      </c>
      <c r="C605" t="s">
        <v>5475</v>
      </c>
      <c r="D605" t="s">
        <v>5309</v>
      </c>
      <c r="E605" t="s">
        <v>5337</v>
      </c>
      <c r="F605" t="s">
        <v>5383</v>
      </c>
      <c r="G605" t="s">
        <v>5879</v>
      </c>
      <c r="H605" t="s">
        <v>2252</v>
      </c>
      <c r="J605" s="2">
        <v>40417</v>
      </c>
      <c r="K605">
        <v>71.3</v>
      </c>
    </row>
    <row r="606" spans="1:11" x14ac:dyDescent="0.35">
      <c r="A606" s="2">
        <v>40418</v>
      </c>
      <c r="B606" s="1">
        <v>0</v>
      </c>
      <c r="C606" t="s">
        <v>5355</v>
      </c>
      <c r="D606" t="s">
        <v>5288</v>
      </c>
      <c r="E606" t="s">
        <v>5156</v>
      </c>
      <c r="F606" t="s">
        <v>5383</v>
      </c>
      <c r="G606" t="s">
        <v>5883</v>
      </c>
      <c r="H606" t="s">
        <v>1886</v>
      </c>
      <c r="J606" s="2">
        <v>40418</v>
      </c>
      <c r="K606">
        <v>73.3</v>
      </c>
    </row>
    <row r="607" spans="1:11" x14ac:dyDescent="0.35">
      <c r="A607" s="2">
        <v>40419</v>
      </c>
      <c r="B607" s="1">
        <v>0</v>
      </c>
      <c r="C607" t="s">
        <v>5326</v>
      </c>
      <c r="D607" t="s">
        <v>5475</v>
      </c>
      <c r="E607" t="s">
        <v>5153</v>
      </c>
      <c r="F607" t="s">
        <v>5383</v>
      </c>
      <c r="G607" t="s">
        <v>5880</v>
      </c>
      <c r="H607" t="s">
        <v>1525</v>
      </c>
      <c r="J607" s="2">
        <v>40419</v>
      </c>
      <c r="K607">
        <v>81.099999999999994</v>
      </c>
    </row>
    <row r="608" spans="1:11" x14ac:dyDescent="0.35">
      <c r="A608" s="2">
        <v>40420</v>
      </c>
      <c r="B608" s="1">
        <v>0</v>
      </c>
      <c r="C608" t="s">
        <v>5255</v>
      </c>
      <c r="D608" t="s">
        <v>5347</v>
      </c>
      <c r="E608" t="s">
        <v>5294</v>
      </c>
      <c r="F608" t="s">
        <v>5383</v>
      </c>
      <c r="G608" t="s">
        <v>5367</v>
      </c>
      <c r="H608" t="s">
        <v>459</v>
      </c>
      <c r="J608" s="2">
        <v>40420</v>
      </c>
      <c r="K608">
        <v>94</v>
      </c>
    </row>
    <row r="609" spans="1:11" x14ac:dyDescent="0.35">
      <c r="A609" s="2">
        <v>40421</v>
      </c>
      <c r="B609" s="1">
        <v>0</v>
      </c>
      <c r="C609" t="s">
        <v>5111</v>
      </c>
      <c r="D609" t="s">
        <v>5296</v>
      </c>
      <c r="E609" t="s">
        <v>5050</v>
      </c>
      <c r="F609" t="s">
        <v>5379</v>
      </c>
      <c r="G609" t="s">
        <v>5362</v>
      </c>
      <c r="H609" t="s">
        <v>5637</v>
      </c>
      <c r="J609" s="2">
        <v>40421</v>
      </c>
      <c r="K609">
        <v>105.9</v>
      </c>
    </row>
    <row r="610" spans="1:11" x14ac:dyDescent="0.35">
      <c r="A610" t="s">
        <v>1064</v>
      </c>
      <c r="B610" s="1">
        <v>0</v>
      </c>
      <c r="C610" t="s">
        <v>5220</v>
      </c>
      <c r="D610" t="s">
        <v>5053</v>
      </c>
      <c r="E610" t="s">
        <v>5095</v>
      </c>
      <c r="F610" t="s">
        <v>5379</v>
      </c>
      <c r="G610" t="s">
        <v>5390</v>
      </c>
      <c r="H610" t="s">
        <v>5727</v>
      </c>
      <c r="J610" t="s">
        <v>1064</v>
      </c>
      <c r="K610">
        <v>114.5</v>
      </c>
    </row>
    <row r="611" spans="1:11" x14ac:dyDescent="0.35">
      <c r="A611" t="s">
        <v>1067</v>
      </c>
      <c r="B611" s="1">
        <v>0</v>
      </c>
      <c r="C611" t="s">
        <v>5246</v>
      </c>
      <c r="D611" t="s">
        <v>5202</v>
      </c>
      <c r="E611" t="s">
        <v>5327</v>
      </c>
      <c r="F611" t="s">
        <v>5156</v>
      </c>
      <c r="G611" t="s">
        <v>5399</v>
      </c>
      <c r="H611" t="s">
        <v>110</v>
      </c>
      <c r="J611" t="s">
        <v>1067</v>
      </c>
      <c r="K611">
        <v>142.19999999999999</v>
      </c>
    </row>
    <row r="612" spans="1:11" x14ac:dyDescent="0.35">
      <c r="A612" t="s">
        <v>1068</v>
      </c>
      <c r="B612" s="1">
        <v>0</v>
      </c>
      <c r="C612" t="s">
        <v>5387</v>
      </c>
      <c r="D612" t="s">
        <v>5070</v>
      </c>
      <c r="E612" t="s">
        <v>5300</v>
      </c>
      <c r="F612" t="s">
        <v>5156</v>
      </c>
      <c r="G612" t="s">
        <v>5562</v>
      </c>
      <c r="H612" t="s">
        <v>3428</v>
      </c>
      <c r="J612" t="s">
        <v>1068</v>
      </c>
      <c r="K612">
        <v>137</v>
      </c>
    </row>
    <row r="613" spans="1:11" x14ac:dyDescent="0.35">
      <c r="A613" t="s">
        <v>1071</v>
      </c>
      <c r="B613" s="1">
        <v>0</v>
      </c>
      <c r="C613" t="s">
        <v>5575</v>
      </c>
      <c r="D613" t="s">
        <v>5299</v>
      </c>
      <c r="E613" t="s">
        <v>5143</v>
      </c>
      <c r="F613" t="s">
        <v>5168</v>
      </c>
      <c r="G613" t="s">
        <v>5550</v>
      </c>
      <c r="H613" t="s">
        <v>1086</v>
      </c>
      <c r="J613" t="s">
        <v>1071</v>
      </c>
      <c r="K613">
        <v>131.6</v>
      </c>
    </row>
    <row r="614" spans="1:11" x14ac:dyDescent="0.35">
      <c r="A614" t="s">
        <v>1073</v>
      </c>
      <c r="B614" s="1">
        <v>0</v>
      </c>
      <c r="C614" t="s">
        <v>5248</v>
      </c>
      <c r="D614" t="s">
        <v>5545</v>
      </c>
      <c r="E614" t="s">
        <v>5311</v>
      </c>
      <c r="F614" t="s">
        <v>5156</v>
      </c>
      <c r="G614" t="s">
        <v>5550</v>
      </c>
      <c r="H614" t="s">
        <v>843</v>
      </c>
      <c r="J614" t="s">
        <v>1073</v>
      </c>
      <c r="K614">
        <v>131.5</v>
      </c>
    </row>
    <row r="615" spans="1:11" x14ac:dyDescent="0.35">
      <c r="A615" t="s">
        <v>1075</v>
      </c>
      <c r="B615" s="1">
        <v>0</v>
      </c>
      <c r="C615" t="s">
        <v>5544</v>
      </c>
      <c r="D615" t="s">
        <v>5318</v>
      </c>
      <c r="E615" t="s">
        <v>5526</v>
      </c>
      <c r="F615" t="s">
        <v>5156</v>
      </c>
      <c r="G615" t="s">
        <v>5396</v>
      </c>
      <c r="H615" t="s">
        <v>845</v>
      </c>
      <c r="J615" t="s">
        <v>1075</v>
      </c>
      <c r="K615">
        <v>137.5</v>
      </c>
    </row>
    <row r="616" spans="1:11" x14ac:dyDescent="0.35">
      <c r="A616" t="s">
        <v>1077</v>
      </c>
      <c r="B616" s="1">
        <v>0</v>
      </c>
      <c r="C616" t="s">
        <v>5581</v>
      </c>
      <c r="D616" t="s">
        <v>5283</v>
      </c>
      <c r="E616" t="s">
        <v>5429</v>
      </c>
      <c r="F616" t="s">
        <v>5156</v>
      </c>
      <c r="G616" t="s">
        <v>5402</v>
      </c>
      <c r="H616" t="s">
        <v>1363</v>
      </c>
      <c r="J616" t="s">
        <v>1077</v>
      </c>
      <c r="K616">
        <v>146.30000000000001</v>
      </c>
    </row>
    <row r="617" spans="1:11" x14ac:dyDescent="0.35">
      <c r="A617" t="s">
        <v>1080</v>
      </c>
      <c r="B617" s="1">
        <v>0</v>
      </c>
      <c r="C617" t="s">
        <v>5561</v>
      </c>
      <c r="D617" t="s">
        <v>5070</v>
      </c>
      <c r="E617" t="s">
        <v>5047</v>
      </c>
      <c r="F617" t="s">
        <v>5156</v>
      </c>
      <c r="G617" t="s">
        <v>5404</v>
      </c>
      <c r="H617" t="s">
        <v>790</v>
      </c>
      <c r="J617" t="s">
        <v>1080</v>
      </c>
      <c r="K617">
        <v>151.6</v>
      </c>
    </row>
    <row r="618" spans="1:11" x14ac:dyDescent="0.35">
      <c r="A618" t="s">
        <v>1083</v>
      </c>
      <c r="B618" s="1">
        <v>0</v>
      </c>
      <c r="C618" t="s">
        <v>5631</v>
      </c>
      <c r="D618" t="s">
        <v>5237</v>
      </c>
      <c r="E618" t="s">
        <v>5290</v>
      </c>
      <c r="F618" t="s">
        <v>5156</v>
      </c>
      <c r="G618" t="s">
        <v>5404</v>
      </c>
      <c r="H618" t="s">
        <v>1758</v>
      </c>
      <c r="J618" t="s">
        <v>1083</v>
      </c>
      <c r="K618">
        <v>155.9</v>
      </c>
    </row>
    <row r="619" spans="1:11" x14ac:dyDescent="0.35">
      <c r="A619" t="s">
        <v>1085</v>
      </c>
      <c r="B619" s="1">
        <v>0</v>
      </c>
      <c r="C619" t="s">
        <v>372</v>
      </c>
      <c r="D619" t="s">
        <v>5160</v>
      </c>
      <c r="E619" t="s">
        <v>5430</v>
      </c>
      <c r="F619" t="s">
        <v>5156</v>
      </c>
      <c r="G619" t="s">
        <v>5404</v>
      </c>
      <c r="H619" t="s">
        <v>1749</v>
      </c>
      <c r="J619" t="s">
        <v>1085</v>
      </c>
      <c r="K619">
        <v>158.1</v>
      </c>
    </row>
    <row r="620" spans="1:11" x14ac:dyDescent="0.35">
      <c r="A620" t="s">
        <v>1087</v>
      </c>
      <c r="B620" s="1">
        <v>0</v>
      </c>
      <c r="C620" t="s">
        <v>383</v>
      </c>
      <c r="D620" t="s">
        <v>5219</v>
      </c>
      <c r="E620" t="s">
        <v>5529</v>
      </c>
      <c r="F620" t="s">
        <v>5156</v>
      </c>
      <c r="G620" t="s">
        <v>5404</v>
      </c>
      <c r="H620" t="s">
        <v>62</v>
      </c>
      <c r="J620" t="s">
        <v>1087</v>
      </c>
      <c r="K620">
        <v>157.69999999999999</v>
      </c>
    </row>
    <row r="621" spans="1:11" x14ac:dyDescent="0.35">
      <c r="A621" t="s">
        <v>1088</v>
      </c>
      <c r="B621" s="1">
        <v>0</v>
      </c>
      <c r="C621" t="s">
        <v>410</v>
      </c>
      <c r="D621" t="s">
        <v>5239</v>
      </c>
      <c r="E621" t="s">
        <v>5424</v>
      </c>
      <c r="F621" t="s">
        <v>5156</v>
      </c>
      <c r="G621" t="s">
        <v>5357</v>
      </c>
      <c r="H621" t="s">
        <v>802</v>
      </c>
      <c r="J621" t="s">
        <v>1088</v>
      </c>
      <c r="K621">
        <v>163.4</v>
      </c>
    </row>
    <row r="622" spans="1:11" x14ac:dyDescent="0.35">
      <c r="A622" t="s">
        <v>1089</v>
      </c>
      <c r="B622" s="1">
        <v>0</v>
      </c>
      <c r="C622" t="s">
        <v>453</v>
      </c>
      <c r="D622" t="s">
        <v>5069</v>
      </c>
      <c r="E622" t="s">
        <v>5423</v>
      </c>
      <c r="F622" t="s">
        <v>5156</v>
      </c>
      <c r="G622" t="s">
        <v>5184</v>
      </c>
      <c r="H622" t="s">
        <v>58</v>
      </c>
      <c r="J622" t="s">
        <v>1089</v>
      </c>
      <c r="K622">
        <v>171.3</v>
      </c>
    </row>
    <row r="623" spans="1:11" x14ac:dyDescent="0.35">
      <c r="A623" t="s">
        <v>1091</v>
      </c>
      <c r="B623" s="1">
        <v>0</v>
      </c>
      <c r="C623" t="s">
        <v>1879</v>
      </c>
      <c r="D623" t="s">
        <v>5165</v>
      </c>
      <c r="E623" t="s">
        <v>5322</v>
      </c>
      <c r="F623" t="s">
        <v>5156</v>
      </c>
      <c r="G623" t="s">
        <v>5184</v>
      </c>
      <c r="H623" t="s">
        <v>886</v>
      </c>
      <c r="J623" t="s">
        <v>1091</v>
      </c>
      <c r="K623">
        <v>167.5</v>
      </c>
    </row>
    <row r="624" spans="1:11" x14ac:dyDescent="0.35">
      <c r="A624" t="s">
        <v>1092</v>
      </c>
      <c r="B624" s="1">
        <v>0</v>
      </c>
      <c r="C624" t="s">
        <v>5263</v>
      </c>
      <c r="D624" t="s">
        <v>5202</v>
      </c>
      <c r="E624" t="s">
        <v>5293</v>
      </c>
      <c r="F624" t="s">
        <v>5156</v>
      </c>
      <c r="G624" t="s">
        <v>5189</v>
      </c>
      <c r="H624" t="s">
        <v>17</v>
      </c>
      <c r="J624" t="s">
        <v>1092</v>
      </c>
      <c r="K624">
        <v>154.9</v>
      </c>
    </row>
    <row r="625" spans="1:11" x14ac:dyDescent="0.35">
      <c r="A625" t="s">
        <v>1094</v>
      </c>
      <c r="B625" s="1">
        <v>0</v>
      </c>
      <c r="C625" t="s">
        <v>5590</v>
      </c>
      <c r="D625" t="s">
        <v>5415</v>
      </c>
      <c r="E625" t="s">
        <v>5549</v>
      </c>
      <c r="F625" t="s">
        <v>5156</v>
      </c>
      <c r="G625" t="s">
        <v>5419</v>
      </c>
      <c r="H625" t="s">
        <v>830</v>
      </c>
      <c r="J625" t="s">
        <v>1094</v>
      </c>
      <c r="K625">
        <v>137.80000000000001</v>
      </c>
    </row>
    <row r="626" spans="1:11" x14ac:dyDescent="0.35">
      <c r="A626" t="s">
        <v>1097</v>
      </c>
      <c r="B626" s="1">
        <v>0</v>
      </c>
      <c r="C626" t="s">
        <v>5539</v>
      </c>
      <c r="D626" t="s">
        <v>5293</v>
      </c>
      <c r="E626" t="s">
        <v>5527</v>
      </c>
      <c r="F626" t="s">
        <v>5168</v>
      </c>
      <c r="G626" t="s">
        <v>5396</v>
      </c>
      <c r="H626" t="s">
        <v>1937</v>
      </c>
      <c r="J626" t="s">
        <v>1097</v>
      </c>
      <c r="K626">
        <v>123.8</v>
      </c>
    </row>
    <row r="627" spans="1:11" x14ac:dyDescent="0.35">
      <c r="A627" t="s">
        <v>1099</v>
      </c>
      <c r="B627" s="1">
        <v>0</v>
      </c>
      <c r="C627" t="s">
        <v>5445</v>
      </c>
      <c r="D627" t="s">
        <v>5293</v>
      </c>
      <c r="E627" t="s">
        <v>5527</v>
      </c>
      <c r="F627" t="s">
        <v>5168</v>
      </c>
      <c r="G627" t="s">
        <v>5409</v>
      </c>
      <c r="H627" t="s">
        <v>1070</v>
      </c>
      <c r="J627" t="s">
        <v>1099</v>
      </c>
      <c r="K627">
        <v>121.6</v>
      </c>
    </row>
    <row r="628" spans="1:11" x14ac:dyDescent="0.35">
      <c r="A628" t="s">
        <v>1102</v>
      </c>
      <c r="B628" s="1">
        <v>0</v>
      </c>
      <c r="C628" t="s">
        <v>5258</v>
      </c>
      <c r="D628" t="s">
        <v>5284</v>
      </c>
      <c r="E628" t="s">
        <v>5526</v>
      </c>
      <c r="F628" t="s">
        <v>5168</v>
      </c>
      <c r="G628" t="s">
        <v>5562</v>
      </c>
      <c r="H628" t="s">
        <v>301</v>
      </c>
      <c r="J628" t="s">
        <v>1102</v>
      </c>
      <c r="K628">
        <v>130.9</v>
      </c>
    </row>
    <row r="629" spans="1:11" x14ac:dyDescent="0.35">
      <c r="A629" t="s">
        <v>1105</v>
      </c>
      <c r="B629" s="1">
        <v>0</v>
      </c>
      <c r="C629" t="s">
        <v>5232</v>
      </c>
      <c r="D629" t="s">
        <v>5070</v>
      </c>
      <c r="E629" t="s">
        <v>5047</v>
      </c>
      <c r="F629" t="s">
        <v>5156</v>
      </c>
      <c r="G629" t="s">
        <v>5399</v>
      </c>
      <c r="H629" t="s">
        <v>22</v>
      </c>
      <c r="J629" t="s">
        <v>1105</v>
      </c>
      <c r="K629">
        <v>143.6</v>
      </c>
    </row>
    <row r="630" spans="1:11" x14ac:dyDescent="0.35">
      <c r="A630" t="s">
        <v>1106</v>
      </c>
      <c r="B630" s="1">
        <v>0</v>
      </c>
      <c r="C630" t="s">
        <v>5516</v>
      </c>
      <c r="D630" t="s">
        <v>5170</v>
      </c>
      <c r="E630" t="s">
        <v>5139</v>
      </c>
      <c r="F630" t="s">
        <v>5156</v>
      </c>
      <c r="G630" t="s">
        <v>5402</v>
      </c>
      <c r="H630" t="s">
        <v>790</v>
      </c>
      <c r="J630" t="s">
        <v>1106</v>
      </c>
      <c r="K630">
        <v>151.6</v>
      </c>
    </row>
    <row r="631" spans="1:11" x14ac:dyDescent="0.35">
      <c r="A631" t="s">
        <v>1108</v>
      </c>
      <c r="B631" s="1">
        <v>0</v>
      </c>
      <c r="C631" t="s">
        <v>388</v>
      </c>
      <c r="D631" t="s">
        <v>5202</v>
      </c>
      <c r="E631" t="s">
        <v>5300</v>
      </c>
      <c r="F631" t="s">
        <v>5156</v>
      </c>
      <c r="G631" t="s">
        <v>5404</v>
      </c>
      <c r="H631" t="s">
        <v>258</v>
      </c>
      <c r="J631" t="s">
        <v>1108</v>
      </c>
      <c r="K631">
        <v>154.5</v>
      </c>
    </row>
    <row r="632" spans="1:11" x14ac:dyDescent="0.35">
      <c r="A632" t="s">
        <v>1109</v>
      </c>
      <c r="B632" s="1">
        <v>0</v>
      </c>
      <c r="C632" t="s">
        <v>405</v>
      </c>
      <c r="D632" t="s">
        <v>5422</v>
      </c>
      <c r="E632" t="s">
        <v>5300</v>
      </c>
      <c r="F632" t="s">
        <v>5156</v>
      </c>
      <c r="G632" t="s">
        <v>5405</v>
      </c>
      <c r="H632" t="s">
        <v>140</v>
      </c>
      <c r="J632" t="s">
        <v>1109</v>
      </c>
      <c r="K632">
        <v>156.30000000000001</v>
      </c>
    </row>
    <row r="633" spans="1:11" x14ac:dyDescent="0.35">
      <c r="A633" t="s">
        <v>1111</v>
      </c>
      <c r="B633" s="1">
        <v>0</v>
      </c>
      <c r="C633" t="s">
        <v>996</v>
      </c>
      <c r="D633" t="s">
        <v>5073</v>
      </c>
      <c r="E633" t="s">
        <v>5300</v>
      </c>
      <c r="F633" t="s">
        <v>5156</v>
      </c>
      <c r="G633" t="s">
        <v>5405</v>
      </c>
      <c r="H633" t="s">
        <v>1395</v>
      </c>
      <c r="J633" t="s">
        <v>1111</v>
      </c>
      <c r="K633">
        <v>156.5</v>
      </c>
    </row>
    <row r="634" spans="1:11" x14ac:dyDescent="0.35">
      <c r="A634" t="s">
        <v>1112</v>
      </c>
      <c r="B634" s="1">
        <v>0</v>
      </c>
      <c r="C634" t="s">
        <v>427</v>
      </c>
      <c r="D634" t="s">
        <v>5171</v>
      </c>
      <c r="E634" t="s">
        <v>5326</v>
      </c>
      <c r="F634" t="s">
        <v>5156</v>
      </c>
      <c r="G634" t="s">
        <v>5405</v>
      </c>
      <c r="H634" t="s">
        <v>62</v>
      </c>
      <c r="J634" t="s">
        <v>1112</v>
      </c>
      <c r="K634">
        <v>157.69999999999999</v>
      </c>
    </row>
    <row r="635" spans="1:11" x14ac:dyDescent="0.35">
      <c r="A635" t="s">
        <v>1115</v>
      </c>
      <c r="B635" s="1">
        <v>0</v>
      </c>
      <c r="C635" t="s">
        <v>5649</v>
      </c>
      <c r="D635" t="s">
        <v>5328</v>
      </c>
      <c r="E635" t="s">
        <v>5296</v>
      </c>
      <c r="F635" t="s">
        <v>5156</v>
      </c>
      <c r="G635" t="s">
        <v>5404</v>
      </c>
      <c r="H635" t="s">
        <v>284</v>
      </c>
      <c r="J635" t="s">
        <v>1115</v>
      </c>
      <c r="K635">
        <v>153.4</v>
      </c>
    </row>
    <row r="636" spans="1:11" x14ac:dyDescent="0.35">
      <c r="A636" t="s">
        <v>1117</v>
      </c>
      <c r="B636" s="1">
        <v>0</v>
      </c>
      <c r="C636" t="s">
        <v>5656</v>
      </c>
      <c r="D636" t="s">
        <v>5415</v>
      </c>
      <c r="E636" t="s">
        <v>5196</v>
      </c>
      <c r="F636" t="s">
        <v>5156</v>
      </c>
      <c r="G636" t="s">
        <v>5399</v>
      </c>
      <c r="H636" t="s">
        <v>275</v>
      </c>
      <c r="J636" t="s">
        <v>1117</v>
      </c>
      <c r="K636">
        <v>144.69999999999999</v>
      </c>
    </row>
    <row r="637" spans="1:11" x14ac:dyDescent="0.35">
      <c r="A637" t="s">
        <v>1119</v>
      </c>
      <c r="B637" s="1">
        <v>0</v>
      </c>
      <c r="C637" t="s">
        <v>5576</v>
      </c>
      <c r="D637" t="s">
        <v>5423</v>
      </c>
      <c r="E637" t="s">
        <v>5329</v>
      </c>
      <c r="F637" t="s">
        <v>5156</v>
      </c>
      <c r="G637" t="s">
        <v>5396</v>
      </c>
      <c r="H637" t="s">
        <v>845</v>
      </c>
      <c r="J637" t="s">
        <v>1119</v>
      </c>
      <c r="K637">
        <v>137.5</v>
      </c>
    </row>
    <row r="638" spans="1:11" x14ac:dyDescent="0.35">
      <c r="A638" t="s">
        <v>1121</v>
      </c>
      <c r="B638" s="1">
        <v>0</v>
      </c>
      <c r="C638" t="s">
        <v>5474</v>
      </c>
      <c r="D638" t="s">
        <v>5284</v>
      </c>
      <c r="E638" t="s">
        <v>5526</v>
      </c>
      <c r="F638" t="s">
        <v>5156</v>
      </c>
      <c r="G638" t="s">
        <v>5396</v>
      </c>
      <c r="H638" t="s">
        <v>834</v>
      </c>
      <c r="J638" t="s">
        <v>1121</v>
      </c>
      <c r="K638">
        <v>140.4</v>
      </c>
    </row>
    <row r="639" spans="1:11" x14ac:dyDescent="0.35">
      <c r="A639" t="s">
        <v>1123</v>
      </c>
      <c r="B639" s="1">
        <v>0</v>
      </c>
      <c r="C639" t="s">
        <v>5649</v>
      </c>
      <c r="D639" t="s">
        <v>5313</v>
      </c>
      <c r="E639" t="s">
        <v>5296</v>
      </c>
      <c r="F639" t="s">
        <v>5156</v>
      </c>
      <c r="G639" t="s">
        <v>5402</v>
      </c>
      <c r="H639" t="s">
        <v>960</v>
      </c>
      <c r="J639" t="s">
        <v>1123</v>
      </c>
      <c r="K639">
        <v>153.6</v>
      </c>
    </row>
    <row r="640" spans="1:11" x14ac:dyDescent="0.35">
      <c r="A640" t="s">
        <v>1125</v>
      </c>
      <c r="B640" s="1">
        <v>0</v>
      </c>
      <c r="C640" t="s">
        <v>2235</v>
      </c>
      <c r="D640" t="s">
        <v>5056</v>
      </c>
      <c r="E640" t="s">
        <v>5307</v>
      </c>
      <c r="F640" t="s">
        <v>5156</v>
      </c>
      <c r="G640" t="s">
        <v>5357</v>
      </c>
      <c r="H640" t="s">
        <v>1811</v>
      </c>
      <c r="J640" t="s">
        <v>1125</v>
      </c>
      <c r="K640">
        <v>163.19999999999999</v>
      </c>
    </row>
    <row r="641" spans="1:11" x14ac:dyDescent="0.35">
      <c r="A641" t="s">
        <v>1127</v>
      </c>
      <c r="B641" s="1">
        <v>0</v>
      </c>
      <c r="C641" t="s">
        <v>3489</v>
      </c>
      <c r="D641" t="s">
        <v>5270</v>
      </c>
      <c r="E641" t="s">
        <v>5426</v>
      </c>
      <c r="F641" t="s">
        <v>5050</v>
      </c>
      <c r="G641" t="s">
        <v>5400</v>
      </c>
      <c r="H641" t="s">
        <v>1222</v>
      </c>
      <c r="J641" t="s">
        <v>1127</v>
      </c>
      <c r="K641">
        <v>177.3</v>
      </c>
    </row>
    <row r="642" spans="1:11" x14ac:dyDescent="0.35">
      <c r="A642" t="s">
        <v>1130</v>
      </c>
      <c r="B642" s="1">
        <v>0</v>
      </c>
      <c r="C642" t="s">
        <v>5403</v>
      </c>
      <c r="D642" t="s">
        <v>5071</v>
      </c>
      <c r="E642" t="s">
        <v>5298</v>
      </c>
      <c r="F642" t="s">
        <v>5050</v>
      </c>
      <c r="G642" t="s">
        <v>5397</v>
      </c>
      <c r="H642" t="s">
        <v>891</v>
      </c>
      <c r="J642" t="s">
        <v>1130</v>
      </c>
      <c r="K642">
        <v>166.9</v>
      </c>
    </row>
    <row r="643" spans="1:11" x14ac:dyDescent="0.35">
      <c r="A643" t="s">
        <v>1131</v>
      </c>
      <c r="B643" s="1">
        <v>0</v>
      </c>
      <c r="C643" t="s">
        <v>5561</v>
      </c>
      <c r="D643" t="s">
        <v>5255</v>
      </c>
      <c r="E643" t="s">
        <v>5623</v>
      </c>
      <c r="F643" t="s">
        <v>5050</v>
      </c>
      <c r="G643" t="s">
        <v>5144</v>
      </c>
      <c r="H643" t="s">
        <v>43</v>
      </c>
      <c r="J643" t="s">
        <v>1131</v>
      </c>
      <c r="K643">
        <v>162.69999999999999</v>
      </c>
    </row>
    <row r="644" spans="1:11" x14ac:dyDescent="0.35">
      <c r="A644" t="s">
        <v>1132</v>
      </c>
      <c r="B644" s="1">
        <v>0</v>
      </c>
      <c r="C644" t="s">
        <v>380</v>
      </c>
      <c r="D644" t="s">
        <v>5243</v>
      </c>
      <c r="E644" t="s">
        <v>5057</v>
      </c>
      <c r="F644" t="s">
        <v>5050</v>
      </c>
      <c r="G644" t="s">
        <v>5400</v>
      </c>
      <c r="H644" t="s">
        <v>892</v>
      </c>
      <c r="J644" t="s">
        <v>1132</v>
      </c>
      <c r="K644">
        <v>174.2</v>
      </c>
    </row>
    <row r="645" spans="1:11" x14ac:dyDescent="0.35">
      <c r="A645" t="s">
        <v>1134</v>
      </c>
      <c r="B645" s="1">
        <v>0</v>
      </c>
      <c r="C645" t="s">
        <v>1918</v>
      </c>
      <c r="D645" t="s">
        <v>5131</v>
      </c>
      <c r="E645" t="s">
        <v>5303</v>
      </c>
      <c r="F645" t="s">
        <v>5050</v>
      </c>
      <c r="G645" t="s">
        <v>5312</v>
      </c>
      <c r="H645" t="s">
        <v>4218</v>
      </c>
      <c r="J645" t="s">
        <v>1134</v>
      </c>
      <c r="K645">
        <v>192.1</v>
      </c>
    </row>
    <row r="646" spans="1:11" x14ac:dyDescent="0.35">
      <c r="A646" t="s">
        <v>1135</v>
      </c>
      <c r="B646" s="1">
        <v>0</v>
      </c>
      <c r="C646" t="s">
        <v>340</v>
      </c>
      <c r="D646" t="s">
        <v>5508</v>
      </c>
      <c r="E646" t="s">
        <v>5286</v>
      </c>
      <c r="F646" t="s">
        <v>5240</v>
      </c>
      <c r="G646" t="s">
        <v>5294</v>
      </c>
      <c r="H646" t="s">
        <v>1274</v>
      </c>
      <c r="J646" t="s">
        <v>1135</v>
      </c>
      <c r="K646">
        <v>197.4</v>
      </c>
    </row>
    <row r="647" spans="1:11" x14ac:dyDescent="0.35">
      <c r="A647" t="s">
        <v>1136</v>
      </c>
      <c r="B647" s="1">
        <v>0</v>
      </c>
      <c r="C647" t="s">
        <v>346</v>
      </c>
      <c r="D647" t="s">
        <v>5442</v>
      </c>
      <c r="E647" t="s">
        <v>5056</v>
      </c>
      <c r="F647" t="s">
        <v>5050</v>
      </c>
      <c r="G647" t="s">
        <v>5312</v>
      </c>
      <c r="H647" t="s">
        <v>3139</v>
      </c>
      <c r="J647" t="s">
        <v>1136</v>
      </c>
      <c r="K647">
        <v>197</v>
      </c>
    </row>
    <row r="648" spans="1:11" x14ac:dyDescent="0.35">
      <c r="A648" t="s">
        <v>1137</v>
      </c>
      <c r="B648" s="1">
        <v>0</v>
      </c>
      <c r="C648" t="s">
        <v>1918</v>
      </c>
      <c r="D648" t="s">
        <v>5151</v>
      </c>
      <c r="E648" t="s">
        <v>5175</v>
      </c>
      <c r="F648" t="s">
        <v>5050</v>
      </c>
      <c r="G648" t="s">
        <v>5297</v>
      </c>
      <c r="H648" t="s">
        <v>2329</v>
      </c>
      <c r="J648" t="s">
        <v>1137</v>
      </c>
      <c r="K648">
        <v>198.4</v>
      </c>
    </row>
    <row r="649" spans="1:11" x14ac:dyDescent="0.35">
      <c r="A649" t="s">
        <v>1138</v>
      </c>
      <c r="B649" s="1">
        <v>0</v>
      </c>
      <c r="C649" t="s">
        <v>457</v>
      </c>
      <c r="D649" t="s">
        <v>5264</v>
      </c>
      <c r="E649" t="s">
        <v>5255</v>
      </c>
      <c r="F649" t="s">
        <v>5050</v>
      </c>
      <c r="G649" t="s">
        <v>5297</v>
      </c>
      <c r="H649" t="s">
        <v>5732</v>
      </c>
      <c r="J649" t="s">
        <v>1138</v>
      </c>
      <c r="K649">
        <v>200.4</v>
      </c>
    </row>
    <row r="650" spans="1:11" x14ac:dyDescent="0.35">
      <c r="A650" t="s">
        <v>1139</v>
      </c>
      <c r="B650" s="1">
        <v>0</v>
      </c>
      <c r="C650" t="s">
        <v>323</v>
      </c>
      <c r="D650" t="s">
        <v>5492</v>
      </c>
      <c r="E650" t="s">
        <v>5219</v>
      </c>
      <c r="F650" t="s">
        <v>5050</v>
      </c>
      <c r="G650" t="s">
        <v>5312</v>
      </c>
      <c r="H650" t="s">
        <v>1833</v>
      </c>
      <c r="J650" t="s">
        <v>1139</v>
      </c>
      <c r="K650">
        <v>206</v>
      </c>
    </row>
    <row r="651" spans="1:11" x14ac:dyDescent="0.35">
      <c r="A651" t="s">
        <v>1140</v>
      </c>
      <c r="B651" s="1">
        <v>0</v>
      </c>
      <c r="C651" t="s">
        <v>1917</v>
      </c>
      <c r="D651" t="s">
        <v>5446</v>
      </c>
      <c r="E651" t="s">
        <v>5306</v>
      </c>
      <c r="F651" t="s">
        <v>5050</v>
      </c>
      <c r="G651" t="s">
        <v>5297</v>
      </c>
      <c r="H651" t="s">
        <v>682</v>
      </c>
      <c r="J651" t="s">
        <v>1140</v>
      </c>
      <c r="K651">
        <v>200.2</v>
      </c>
    </row>
    <row r="652" spans="1:11" x14ac:dyDescent="0.35">
      <c r="A652" t="s">
        <v>1142</v>
      </c>
      <c r="B652" s="1">
        <v>0</v>
      </c>
      <c r="C652" t="s">
        <v>1046</v>
      </c>
      <c r="D652" t="s">
        <v>5438</v>
      </c>
      <c r="E652" t="s">
        <v>5176</v>
      </c>
      <c r="F652" t="s">
        <v>5050</v>
      </c>
      <c r="G652" t="s">
        <v>5397</v>
      </c>
      <c r="H652" t="s">
        <v>2117</v>
      </c>
      <c r="J652" t="s">
        <v>1142</v>
      </c>
      <c r="K652">
        <v>189.8</v>
      </c>
    </row>
    <row r="653" spans="1:11" x14ac:dyDescent="0.35">
      <c r="A653" t="s">
        <v>1143</v>
      </c>
      <c r="B653" s="1">
        <v>0</v>
      </c>
      <c r="C653" t="s">
        <v>1878</v>
      </c>
      <c r="D653" t="s">
        <v>5262</v>
      </c>
      <c r="E653" t="s">
        <v>5221</v>
      </c>
      <c r="F653" t="s">
        <v>5050</v>
      </c>
      <c r="G653" t="s">
        <v>5140</v>
      </c>
      <c r="H653" t="s">
        <v>760</v>
      </c>
      <c r="J653" t="s">
        <v>1143</v>
      </c>
      <c r="K653">
        <v>187.5</v>
      </c>
    </row>
    <row r="654" spans="1:11" x14ac:dyDescent="0.35">
      <c r="A654" t="s">
        <v>1145</v>
      </c>
      <c r="B654" s="1">
        <v>0</v>
      </c>
      <c r="C654" t="s">
        <v>3211</v>
      </c>
      <c r="D654" t="s">
        <v>5446</v>
      </c>
      <c r="E654" t="s">
        <v>5068</v>
      </c>
      <c r="F654" t="s">
        <v>5050</v>
      </c>
      <c r="G654" t="s">
        <v>5140</v>
      </c>
      <c r="H654" t="s">
        <v>1280</v>
      </c>
      <c r="J654" t="s">
        <v>1145</v>
      </c>
      <c r="K654">
        <v>193.5</v>
      </c>
    </row>
    <row r="655" spans="1:11" x14ac:dyDescent="0.35">
      <c r="A655" t="s">
        <v>1146</v>
      </c>
      <c r="B655" s="1">
        <v>0</v>
      </c>
      <c r="C655" t="s">
        <v>345</v>
      </c>
      <c r="D655" t="s">
        <v>5534</v>
      </c>
      <c r="E655" t="s">
        <v>5059</v>
      </c>
      <c r="F655" t="s">
        <v>5050</v>
      </c>
      <c r="G655" t="s">
        <v>5397</v>
      </c>
      <c r="H655" t="s">
        <v>2329</v>
      </c>
      <c r="J655" t="s">
        <v>1146</v>
      </c>
      <c r="K655">
        <v>198.4</v>
      </c>
    </row>
    <row r="656" spans="1:11" x14ac:dyDescent="0.35">
      <c r="A656" t="s">
        <v>1147</v>
      </c>
      <c r="B656" s="1">
        <v>0</v>
      </c>
      <c r="C656" t="s">
        <v>444</v>
      </c>
      <c r="D656" t="s">
        <v>5534</v>
      </c>
      <c r="E656" t="s">
        <v>5059</v>
      </c>
      <c r="F656" t="s">
        <v>5050</v>
      </c>
      <c r="G656" t="s">
        <v>5330</v>
      </c>
      <c r="H656" t="s">
        <v>3916</v>
      </c>
      <c r="J656" t="s">
        <v>1147</v>
      </c>
      <c r="K656">
        <v>198.8</v>
      </c>
    </row>
    <row r="657" spans="1:11" x14ac:dyDescent="0.35">
      <c r="A657" t="s">
        <v>1148</v>
      </c>
      <c r="B657" s="1">
        <v>0</v>
      </c>
      <c r="C657" t="s">
        <v>440</v>
      </c>
      <c r="D657" t="s">
        <v>5129</v>
      </c>
      <c r="E657" t="s">
        <v>5167</v>
      </c>
      <c r="F657" t="s">
        <v>5050</v>
      </c>
      <c r="G657" t="s">
        <v>5342</v>
      </c>
      <c r="H657" t="s">
        <v>3170</v>
      </c>
      <c r="J657" t="s">
        <v>1148</v>
      </c>
      <c r="K657">
        <v>194.9</v>
      </c>
    </row>
    <row r="658" spans="1:11" x14ac:dyDescent="0.35">
      <c r="A658" t="s">
        <v>1149</v>
      </c>
      <c r="B658" s="1">
        <v>0</v>
      </c>
      <c r="C658" t="s">
        <v>449</v>
      </c>
      <c r="D658" t="s">
        <v>5445</v>
      </c>
      <c r="E658" t="s">
        <v>5323</v>
      </c>
      <c r="F658" t="s">
        <v>5050</v>
      </c>
      <c r="G658" t="s">
        <v>5297</v>
      </c>
      <c r="H658" t="s">
        <v>2745</v>
      </c>
      <c r="J658" t="s">
        <v>1149</v>
      </c>
      <c r="K658">
        <v>193.4</v>
      </c>
    </row>
    <row r="659" spans="1:11" x14ac:dyDescent="0.35">
      <c r="A659" t="s">
        <v>1150</v>
      </c>
      <c r="B659" s="1">
        <v>0</v>
      </c>
      <c r="C659" t="s">
        <v>443</v>
      </c>
      <c r="D659" t="s">
        <v>5464</v>
      </c>
      <c r="E659" t="s">
        <v>5204</v>
      </c>
      <c r="F659" t="s">
        <v>5050</v>
      </c>
      <c r="G659" t="s">
        <v>5297</v>
      </c>
      <c r="H659" t="s">
        <v>1280</v>
      </c>
      <c r="J659" t="s">
        <v>1150</v>
      </c>
      <c r="K659">
        <v>193.5</v>
      </c>
    </row>
    <row r="660" spans="1:11" x14ac:dyDescent="0.35">
      <c r="A660" t="s">
        <v>1151</v>
      </c>
      <c r="B660" s="1">
        <v>0</v>
      </c>
      <c r="C660" t="s">
        <v>3799</v>
      </c>
      <c r="D660" t="s">
        <v>5464</v>
      </c>
      <c r="E660" t="s">
        <v>5237</v>
      </c>
      <c r="F660" t="s">
        <v>5050</v>
      </c>
      <c r="G660" t="s">
        <v>5315</v>
      </c>
      <c r="H660" t="s">
        <v>2748</v>
      </c>
      <c r="J660" t="s">
        <v>1151</v>
      </c>
      <c r="K660">
        <v>194.3</v>
      </c>
    </row>
    <row r="661" spans="1:11" x14ac:dyDescent="0.35">
      <c r="A661" t="s">
        <v>1152</v>
      </c>
      <c r="B661" s="1">
        <v>0</v>
      </c>
      <c r="C661" t="s">
        <v>453</v>
      </c>
      <c r="D661" t="s">
        <v>5443</v>
      </c>
      <c r="E661" t="s">
        <v>5237</v>
      </c>
      <c r="F661" t="s">
        <v>5050</v>
      </c>
      <c r="G661" t="s">
        <v>5400</v>
      </c>
      <c r="H661" t="s">
        <v>714</v>
      </c>
      <c r="J661" t="s">
        <v>1152</v>
      </c>
      <c r="K661">
        <v>188.4</v>
      </c>
    </row>
    <row r="662" spans="1:11" x14ac:dyDescent="0.35">
      <c r="A662" t="s">
        <v>1153</v>
      </c>
      <c r="B662" s="1">
        <v>0</v>
      </c>
      <c r="C662" t="s">
        <v>1033</v>
      </c>
      <c r="D662" t="s">
        <v>5438</v>
      </c>
      <c r="E662" t="s">
        <v>5221</v>
      </c>
      <c r="F662" t="s">
        <v>5050</v>
      </c>
      <c r="G662" t="s">
        <v>5432</v>
      </c>
      <c r="H662" t="s">
        <v>2751</v>
      </c>
      <c r="J662" t="s">
        <v>1153</v>
      </c>
      <c r="K662">
        <v>183.1</v>
      </c>
    </row>
    <row r="663" spans="1:11" x14ac:dyDescent="0.35">
      <c r="A663" t="s">
        <v>1155</v>
      </c>
      <c r="B663" s="1">
        <v>0</v>
      </c>
      <c r="C663" t="s">
        <v>376</v>
      </c>
      <c r="D663" t="s">
        <v>5528</v>
      </c>
      <c r="E663" t="s">
        <v>5068</v>
      </c>
      <c r="F663" t="s">
        <v>5050</v>
      </c>
      <c r="G663" t="s">
        <v>5432</v>
      </c>
      <c r="H663" t="s">
        <v>3138</v>
      </c>
      <c r="J663" t="s">
        <v>1155</v>
      </c>
      <c r="K663">
        <v>184.6</v>
      </c>
    </row>
    <row r="664" spans="1:11" x14ac:dyDescent="0.35">
      <c r="A664" t="s">
        <v>1157</v>
      </c>
      <c r="B664" s="1">
        <v>0</v>
      </c>
      <c r="C664" t="s">
        <v>415</v>
      </c>
      <c r="D664" t="s">
        <v>5534</v>
      </c>
      <c r="E664" t="s">
        <v>5173</v>
      </c>
      <c r="F664" t="s">
        <v>5050</v>
      </c>
      <c r="G664" t="s">
        <v>5140</v>
      </c>
      <c r="H664" t="s">
        <v>85</v>
      </c>
      <c r="J664" t="s">
        <v>1157</v>
      </c>
      <c r="K664">
        <v>187.3</v>
      </c>
    </row>
    <row r="665" spans="1:11" x14ac:dyDescent="0.35">
      <c r="A665" t="s">
        <v>1158</v>
      </c>
      <c r="B665" s="1">
        <v>0</v>
      </c>
      <c r="C665" t="s">
        <v>1874</v>
      </c>
      <c r="D665" t="s">
        <v>5252</v>
      </c>
      <c r="E665" t="s">
        <v>5076</v>
      </c>
      <c r="F665" t="s">
        <v>5050</v>
      </c>
      <c r="G665" t="s">
        <v>5397</v>
      </c>
      <c r="H665" t="s">
        <v>760</v>
      </c>
      <c r="J665" t="s">
        <v>1158</v>
      </c>
      <c r="K665">
        <v>187.5</v>
      </c>
    </row>
    <row r="666" spans="1:11" x14ac:dyDescent="0.35">
      <c r="A666" t="s">
        <v>1159</v>
      </c>
      <c r="B666" s="1">
        <v>0</v>
      </c>
      <c r="C666" t="s">
        <v>1031</v>
      </c>
      <c r="D666" t="s">
        <v>5531</v>
      </c>
      <c r="E666" t="s">
        <v>5173</v>
      </c>
      <c r="F666" t="s">
        <v>5050</v>
      </c>
      <c r="G666" t="s">
        <v>5397</v>
      </c>
      <c r="H666" t="s">
        <v>1403</v>
      </c>
      <c r="J666" t="s">
        <v>1159</v>
      </c>
      <c r="K666">
        <v>185</v>
      </c>
    </row>
    <row r="667" spans="1:11" x14ac:dyDescent="0.35">
      <c r="A667" t="s">
        <v>1161</v>
      </c>
      <c r="B667" s="1">
        <v>0</v>
      </c>
      <c r="C667" t="s">
        <v>435</v>
      </c>
      <c r="D667" t="s">
        <v>5446</v>
      </c>
      <c r="E667" t="s">
        <v>5306</v>
      </c>
      <c r="F667" t="s">
        <v>5050</v>
      </c>
      <c r="G667" t="s">
        <v>5397</v>
      </c>
      <c r="H667" t="s">
        <v>2416</v>
      </c>
      <c r="J667" t="s">
        <v>1161</v>
      </c>
      <c r="K667">
        <v>187.2</v>
      </c>
    </row>
    <row r="668" spans="1:11" x14ac:dyDescent="0.35">
      <c r="A668" t="s">
        <v>1163</v>
      </c>
      <c r="B668" s="1">
        <v>0</v>
      </c>
      <c r="C668" t="s">
        <v>441</v>
      </c>
      <c r="D668" t="s">
        <v>5250</v>
      </c>
      <c r="E668" t="s">
        <v>5236</v>
      </c>
      <c r="F668" t="s">
        <v>5050</v>
      </c>
      <c r="G668" t="s">
        <v>5330</v>
      </c>
      <c r="H668" t="s">
        <v>763</v>
      </c>
      <c r="J668" t="s">
        <v>1163</v>
      </c>
      <c r="K668">
        <v>195.9</v>
      </c>
    </row>
    <row r="669" spans="1:11" x14ac:dyDescent="0.35">
      <c r="A669" t="s">
        <v>1164</v>
      </c>
      <c r="B669" s="1">
        <v>0</v>
      </c>
      <c r="C669" t="s">
        <v>439</v>
      </c>
      <c r="D669" t="s">
        <v>5146</v>
      </c>
      <c r="E669" t="s">
        <v>5066</v>
      </c>
      <c r="F669" t="s">
        <v>5050</v>
      </c>
      <c r="G669" t="s">
        <v>5330</v>
      </c>
      <c r="H669" t="s">
        <v>3010</v>
      </c>
      <c r="J669" t="s">
        <v>1164</v>
      </c>
      <c r="K669">
        <v>199.3</v>
      </c>
    </row>
    <row r="670" spans="1:11" x14ac:dyDescent="0.35">
      <c r="A670" t="s">
        <v>1165</v>
      </c>
      <c r="B670" s="1">
        <v>0</v>
      </c>
      <c r="C670" t="s">
        <v>3499</v>
      </c>
      <c r="D670" t="s">
        <v>5533</v>
      </c>
      <c r="E670" t="s">
        <v>5160</v>
      </c>
      <c r="F670" t="s">
        <v>5050</v>
      </c>
      <c r="G670" t="s">
        <v>5342</v>
      </c>
      <c r="H670" t="s">
        <v>1714</v>
      </c>
      <c r="J670" t="s">
        <v>1165</v>
      </c>
      <c r="K670">
        <v>197.5</v>
      </c>
    </row>
    <row r="671" spans="1:11" x14ac:dyDescent="0.35">
      <c r="A671" t="s">
        <v>1166</v>
      </c>
      <c r="B671" s="1">
        <v>0</v>
      </c>
      <c r="C671" t="s">
        <v>454</v>
      </c>
      <c r="D671" t="s">
        <v>5595</v>
      </c>
      <c r="E671" t="s">
        <v>5236</v>
      </c>
      <c r="F671" t="s">
        <v>5050</v>
      </c>
      <c r="G671" t="s">
        <v>5315</v>
      </c>
      <c r="H671" t="s">
        <v>3139</v>
      </c>
      <c r="J671" t="s">
        <v>1166</v>
      </c>
      <c r="K671">
        <v>197</v>
      </c>
    </row>
    <row r="672" spans="1:11" x14ac:dyDescent="0.35">
      <c r="A672" t="s">
        <v>1167</v>
      </c>
      <c r="B672" s="1">
        <v>0</v>
      </c>
      <c r="C672" t="s">
        <v>456</v>
      </c>
      <c r="D672" t="s">
        <v>5117</v>
      </c>
      <c r="E672" t="s">
        <v>5165</v>
      </c>
      <c r="F672" t="s">
        <v>5077</v>
      </c>
      <c r="G672" t="s">
        <v>5124</v>
      </c>
      <c r="H672" t="s">
        <v>5715</v>
      </c>
      <c r="J672" t="s">
        <v>1167</v>
      </c>
      <c r="K672">
        <v>207.5</v>
      </c>
    </row>
    <row r="673" spans="1:11" x14ac:dyDescent="0.35">
      <c r="A673" t="s">
        <v>1169</v>
      </c>
      <c r="B673" s="1">
        <v>0</v>
      </c>
      <c r="C673" t="s">
        <v>2602</v>
      </c>
      <c r="D673" t="s">
        <v>5486</v>
      </c>
      <c r="E673" t="s">
        <v>5066</v>
      </c>
      <c r="F673" t="s">
        <v>5077</v>
      </c>
      <c r="G673" t="s">
        <v>5215</v>
      </c>
      <c r="H673" t="s">
        <v>646</v>
      </c>
      <c r="J673" t="s">
        <v>1169</v>
      </c>
      <c r="K673">
        <v>203.1</v>
      </c>
    </row>
    <row r="674" spans="1:11" x14ac:dyDescent="0.35">
      <c r="A674" t="s">
        <v>1170</v>
      </c>
      <c r="B674" s="1">
        <v>0</v>
      </c>
      <c r="C674" t="s">
        <v>1909</v>
      </c>
      <c r="D674" t="s">
        <v>5530</v>
      </c>
      <c r="E674" t="s">
        <v>5434</v>
      </c>
      <c r="F674" t="s">
        <v>5077</v>
      </c>
      <c r="G674" t="s">
        <v>5215</v>
      </c>
      <c r="H674" t="s">
        <v>2355</v>
      </c>
      <c r="J674" t="s">
        <v>1170</v>
      </c>
      <c r="K674">
        <v>202.4</v>
      </c>
    </row>
    <row r="675" spans="1:11" x14ac:dyDescent="0.35">
      <c r="A675" t="s">
        <v>1171</v>
      </c>
      <c r="B675" s="1">
        <v>0</v>
      </c>
      <c r="C675" t="s">
        <v>1053</v>
      </c>
      <c r="D675" t="s">
        <v>5115</v>
      </c>
      <c r="E675" t="s">
        <v>5208</v>
      </c>
      <c r="F675" t="s">
        <v>5077</v>
      </c>
      <c r="G675" t="s">
        <v>5124</v>
      </c>
      <c r="H675" t="s">
        <v>1296</v>
      </c>
      <c r="J675" t="s">
        <v>1171</v>
      </c>
      <c r="K675">
        <v>205.7</v>
      </c>
    </row>
    <row r="676" spans="1:11" x14ac:dyDescent="0.35">
      <c r="A676" t="s">
        <v>1174</v>
      </c>
      <c r="B676" s="1">
        <v>0</v>
      </c>
      <c r="C676" t="s">
        <v>2603</v>
      </c>
      <c r="D676" t="s">
        <v>5573</v>
      </c>
      <c r="E676" t="s">
        <v>5162</v>
      </c>
      <c r="F676" t="s">
        <v>5077</v>
      </c>
      <c r="G676" t="s">
        <v>5124</v>
      </c>
      <c r="H676" t="s">
        <v>2353</v>
      </c>
      <c r="J676" t="s">
        <v>1174</v>
      </c>
      <c r="K676">
        <v>207.4</v>
      </c>
    </row>
    <row r="677" spans="1:11" x14ac:dyDescent="0.35">
      <c r="A677" t="s">
        <v>1176</v>
      </c>
      <c r="B677" s="1">
        <v>0</v>
      </c>
      <c r="C677" t="s">
        <v>329</v>
      </c>
      <c r="D677" t="s">
        <v>5574</v>
      </c>
      <c r="E677" t="s">
        <v>5081</v>
      </c>
      <c r="F677" t="s">
        <v>5089</v>
      </c>
      <c r="G677" t="s">
        <v>5110</v>
      </c>
      <c r="H677" t="s">
        <v>2095</v>
      </c>
      <c r="J677" t="s">
        <v>1176</v>
      </c>
      <c r="K677">
        <v>220.2</v>
      </c>
    </row>
    <row r="678" spans="1:11" x14ac:dyDescent="0.35">
      <c r="A678" t="s">
        <v>1177</v>
      </c>
      <c r="B678" s="1">
        <v>0</v>
      </c>
      <c r="C678" t="s">
        <v>1560</v>
      </c>
      <c r="D678" t="s">
        <v>5576</v>
      </c>
      <c r="E678" t="s">
        <v>5072</v>
      </c>
      <c r="F678" t="s">
        <v>5089</v>
      </c>
      <c r="G678" t="s">
        <v>5089</v>
      </c>
      <c r="H678" t="s">
        <v>5757</v>
      </c>
      <c r="J678" t="s">
        <v>1177</v>
      </c>
      <c r="K678">
        <v>241.8</v>
      </c>
    </row>
    <row r="679" spans="1:11" x14ac:dyDescent="0.35">
      <c r="A679" t="s">
        <v>1180</v>
      </c>
      <c r="B679" s="1">
        <v>0</v>
      </c>
      <c r="C679" t="s">
        <v>5605</v>
      </c>
      <c r="D679" t="s">
        <v>5506</v>
      </c>
      <c r="E679" t="s">
        <v>5441</v>
      </c>
      <c r="F679" t="s">
        <v>5089</v>
      </c>
      <c r="G679" t="s">
        <v>5493</v>
      </c>
      <c r="H679" t="s">
        <v>5709</v>
      </c>
      <c r="J679" t="s">
        <v>1180</v>
      </c>
      <c r="K679">
        <v>260.89999999999998</v>
      </c>
    </row>
    <row r="680" spans="1:11" x14ac:dyDescent="0.35">
      <c r="A680" t="s">
        <v>1182</v>
      </c>
      <c r="B680" s="1">
        <v>0</v>
      </c>
      <c r="C680" t="s">
        <v>4870</v>
      </c>
      <c r="D680" t="s">
        <v>5500</v>
      </c>
      <c r="E680" t="s">
        <v>5125</v>
      </c>
      <c r="F680" t="s">
        <v>5089</v>
      </c>
      <c r="G680" t="s">
        <v>5136</v>
      </c>
      <c r="H680" t="s">
        <v>5017</v>
      </c>
      <c r="J680" t="s">
        <v>1182</v>
      </c>
      <c r="K680">
        <v>260.10000000000002</v>
      </c>
    </row>
    <row r="681" spans="1:11" x14ac:dyDescent="0.35">
      <c r="A681" t="s">
        <v>1184</v>
      </c>
      <c r="B681" s="1">
        <v>0</v>
      </c>
      <c r="C681" t="s">
        <v>2226</v>
      </c>
      <c r="D681" t="s">
        <v>5578</v>
      </c>
      <c r="E681" t="s">
        <v>5118</v>
      </c>
      <c r="F681" t="s">
        <v>5089</v>
      </c>
      <c r="G681" t="s">
        <v>5358</v>
      </c>
      <c r="H681" t="s">
        <v>5722</v>
      </c>
      <c r="J681" t="s">
        <v>1184</v>
      </c>
      <c r="K681">
        <v>249.3</v>
      </c>
    </row>
    <row r="682" spans="1:11" x14ac:dyDescent="0.35">
      <c r="A682" t="s">
        <v>1186</v>
      </c>
      <c r="B682" s="1">
        <v>0</v>
      </c>
      <c r="C682" t="s">
        <v>3213</v>
      </c>
      <c r="D682" t="s">
        <v>5498</v>
      </c>
      <c r="E682" t="s">
        <v>5453</v>
      </c>
      <c r="F682" t="s">
        <v>5089</v>
      </c>
      <c r="G682" t="s">
        <v>5045</v>
      </c>
      <c r="H682" t="s">
        <v>2018</v>
      </c>
      <c r="J682" t="s">
        <v>1186</v>
      </c>
      <c r="K682">
        <v>243.4</v>
      </c>
    </row>
    <row r="683" spans="1:11" x14ac:dyDescent="0.35">
      <c r="A683" t="s">
        <v>1188</v>
      </c>
      <c r="B683" s="1">
        <v>0</v>
      </c>
      <c r="C683" t="s">
        <v>5600</v>
      </c>
      <c r="D683" t="s">
        <v>5580</v>
      </c>
      <c r="E683" t="s">
        <v>5074</v>
      </c>
      <c r="F683" t="s">
        <v>5089</v>
      </c>
      <c r="G683" t="s">
        <v>5045</v>
      </c>
      <c r="H683" t="s">
        <v>2092</v>
      </c>
      <c r="J683" t="s">
        <v>1188</v>
      </c>
      <c r="K683">
        <v>246.1</v>
      </c>
    </row>
    <row r="684" spans="1:11" x14ac:dyDescent="0.35">
      <c r="A684" t="s">
        <v>1191</v>
      </c>
      <c r="B684" s="1">
        <v>0</v>
      </c>
      <c r="C684" t="s">
        <v>2614</v>
      </c>
      <c r="D684" t="s">
        <v>5214</v>
      </c>
      <c r="E684" t="s">
        <v>5444</v>
      </c>
      <c r="F684" t="s">
        <v>5089</v>
      </c>
      <c r="G684" t="s">
        <v>5077</v>
      </c>
      <c r="H684" t="s">
        <v>5722</v>
      </c>
      <c r="J684" t="s">
        <v>1191</v>
      </c>
      <c r="K684">
        <v>249.3</v>
      </c>
    </row>
    <row r="685" spans="1:11" x14ac:dyDescent="0.35">
      <c r="A685" t="s">
        <v>1192</v>
      </c>
      <c r="B685" s="1">
        <v>0</v>
      </c>
      <c r="C685" t="s">
        <v>3178</v>
      </c>
      <c r="D685" t="s">
        <v>5273</v>
      </c>
      <c r="E685" t="s">
        <v>5113</v>
      </c>
      <c r="F685" t="s">
        <v>5089</v>
      </c>
      <c r="G685" t="s">
        <v>5077</v>
      </c>
      <c r="H685" t="s">
        <v>2087</v>
      </c>
      <c r="J685" t="s">
        <v>1192</v>
      </c>
      <c r="K685">
        <v>243.5</v>
      </c>
    </row>
    <row r="686" spans="1:11" x14ac:dyDescent="0.35">
      <c r="A686" t="s">
        <v>1195</v>
      </c>
      <c r="B686" s="1">
        <v>0</v>
      </c>
      <c r="C686" t="s">
        <v>489</v>
      </c>
      <c r="D686" t="s">
        <v>5536</v>
      </c>
      <c r="E686" t="s">
        <v>5270</v>
      </c>
      <c r="F686" t="s">
        <v>5089</v>
      </c>
      <c r="G686" t="s">
        <v>5045</v>
      </c>
      <c r="H686" t="s">
        <v>1252</v>
      </c>
      <c r="J686" t="s">
        <v>1195</v>
      </c>
      <c r="K686">
        <v>235.4</v>
      </c>
    </row>
    <row r="687" spans="1:11" x14ac:dyDescent="0.35">
      <c r="A687" t="s">
        <v>1197</v>
      </c>
      <c r="B687" s="1">
        <v>0</v>
      </c>
      <c r="C687" t="s">
        <v>2264</v>
      </c>
      <c r="D687" t="s">
        <v>5278</v>
      </c>
      <c r="E687" t="s">
        <v>5239</v>
      </c>
      <c r="F687" t="s">
        <v>5089</v>
      </c>
      <c r="G687" t="s">
        <v>5116</v>
      </c>
      <c r="H687" t="s">
        <v>4055</v>
      </c>
      <c r="J687" t="s">
        <v>1197</v>
      </c>
      <c r="K687">
        <v>223.6</v>
      </c>
    </row>
    <row r="688" spans="1:11" x14ac:dyDescent="0.35">
      <c r="A688" t="s">
        <v>1200</v>
      </c>
      <c r="B688" s="1">
        <v>0</v>
      </c>
      <c r="C688" t="s">
        <v>329</v>
      </c>
      <c r="D688" t="s">
        <v>5482</v>
      </c>
      <c r="E688" t="s">
        <v>5102</v>
      </c>
      <c r="F688" t="s">
        <v>5077</v>
      </c>
      <c r="G688" t="s">
        <v>5095</v>
      </c>
      <c r="H688" t="s">
        <v>1704</v>
      </c>
      <c r="J688" t="s">
        <v>1200</v>
      </c>
      <c r="K688">
        <v>219</v>
      </c>
    </row>
    <row r="689" spans="1:11" x14ac:dyDescent="0.35">
      <c r="A689" t="s">
        <v>1202</v>
      </c>
      <c r="B689" s="1">
        <v>0</v>
      </c>
      <c r="C689" t="s">
        <v>462</v>
      </c>
      <c r="D689" t="s">
        <v>5537</v>
      </c>
      <c r="E689" t="s">
        <v>5272</v>
      </c>
      <c r="F689" t="s">
        <v>5089</v>
      </c>
      <c r="G689" t="s">
        <v>5124</v>
      </c>
      <c r="H689" t="s">
        <v>5025</v>
      </c>
      <c r="J689" t="s">
        <v>1202</v>
      </c>
      <c r="K689">
        <v>223.2</v>
      </c>
    </row>
    <row r="690" spans="1:11" x14ac:dyDescent="0.35">
      <c r="A690" t="s">
        <v>1204</v>
      </c>
      <c r="B690" s="1">
        <v>0</v>
      </c>
      <c r="C690" t="s">
        <v>1468</v>
      </c>
      <c r="D690" t="s">
        <v>5574</v>
      </c>
      <c r="E690" t="s">
        <v>5272</v>
      </c>
      <c r="F690" t="s">
        <v>5089</v>
      </c>
      <c r="G690" t="s">
        <v>5095</v>
      </c>
      <c r="H690" t="s">
        <v>743</v>
      </c>
      <c r="J690" t="s">
        <v>1204</v>
      </c>
      <c r="K690">
        <v>228.1</v>
      </c>
    </row>
    <row r="691" spans="1:11" x14ac:dyDescent="0.35">
      <c r="A691" t="s">
        <v>1207</v>
      </c>
      <c r="B691" s="1">
        <v>0</v>
      </c>
      <c r="C691" t="s">
        <v>328</v>
      </c>
      <c r="D691" t="s">
        <v>5091</v>
      </c>
      <c r="E691" t="s">
        <v>5249</v>
      </c>
      <c r="F691" t="s">
        <v>5089</v>
      </c>
      <c r="G691" t="s">
        <v>5099</v>
      </c>
      <c r="H691" t="s">
        <v>222</v>
      </c>
      <c r="J691" t="s">
        <v>1207</v>
      </c>
      <c r="K691">
        <v>221.7</v>
      </c>
    </row>
    <row r="692" spans="1:11" x14ac:dyDescent="0.35">
      <c r="A692" t="s">
        <v>1210</v>
      </c>
      <c r="B692" s="1">
        <v>0</v>
      </c>
      <c r="C692" t="s">
        <v>351</v>
      </c>
      <c r="D692" t="s">
        <v>5384</v>
      </c>
      <c r="E692" t="s">
        <v>5098</v>
      </c>
      <c r="F692" t="s">
        <v>5077</v>
      </c>
      <c r="G692" t="s">
        <v>5215</v>
      </c>
      <c r="H692" t="s">
        <v>1693</v>
      </c>
      <c r="J692" t="s">
        <v>1210</v>
      </c>
      <c r="K692">
        <v>213.5</v>
      </c>
    </row>
    <row r="693" spans="1:11" x14ac:dyDescent="0.35">
      <c r="A693" t="s">
        <v>1212</v>
      </c>
      <c r="B693" s="1">
        <v>0</v>
      </c>
      <c r="C693" t="s">
        <v>2604</v>
      </c>
      <c r="D693" t="s">
        <v>5119</v>
      </c>
      <c r="E693" t="s">
        <v>5178</v>
      </c>
      <c r="F693" t="s">
        <v>5077</v>
      </c>
      <c r="G693" t="s">
        <v>5183</v>
      </c>
      <c r="H693" t="s">
        <v>727</v>
      </c>
      <c r="J693" t="s">
        <v>1212</v>
      </c>
      <c r="K693">
        <v>206.9</v>
      </c>
    </row>
    <row r="694" spans="1:11" x14ac:dyDescent="0.35">
      <c r="A694" t="s">
        <v>1214</v>
      </c>
      <c r="B694" s="1">
        <v>0</v>
      </c>
      <c r="C694" t="s">
        <v>1054</v>
      </c>
      <c r="D694" t="s">
        <v>5452</v>
      </c>
      <c r="E694" t="s">
        <v>5178</v>
      </c>
      <c r="F694" t="s">
        <v>5077</v>
      </c>
      <c r="G694" t="s">
        <v>5475</v>
      </c>
      <c r="H694" t="s">
        <v>753</v>
      </c>
      <c r="J694" t="s">
        <v>1214</v>
      </c>
      <c r="K694">
        <v>204.1</v>
      </c>
    </row>
    <row r="695" spans="1:11" x14ac:dyDescent="0.35">
      <c r="A695" t="s">
        <v>1217</v>
      </c>
      <c r="B695" s="1">
        <v>0</v>
      </c>
      <c r="C695" t="s">
        <v>2602</v>
      </c>
      <c r="D695" t="s">
        <v>5530</v>
      </c>
      <c r="E695" t="s">
        <v>5208</v>
      </c>
      <c r="F695" t="s">
        <v>5077</v>
      </c>
      <c r="G695" t="s">
        <v>5475</v>
      </c>
      <c r="H695" t="s">
        <v>1724</v>
      </c>
      <c r="J695" t="s">
        <v>1217</v>
      </c>
      <c r="K695">
        <v>203.2</v>
      </c>
    </row>
    <row r="696" spans="1:11" x14ac:dyDescent="0.35">
      <c r="A696" t="s">
        <v>1219</v>
      </c>
      <c r="B696" s="1">
        <v>0</v>
      </c>
      <c r="C696" t="s">
        <v>452</v>
      </c>
      <c r="D696" t="s">
        <v>5393</v>
      </c>
      <c r="E696" t="s">
        <v>5098</v>
      </c>
      <c r="F696" t="s">
        <v>5077</v>
      </c>
      <c r="G696" t="s">
        <v>5215</v>
      </c>
      <c r="H696" t="s">
        <v>1686</v>
      </c>
      <c r="J696" t="s">
        <v>1219</v>
      </c>
      <c r="K696">
        <v>204.7</v>
      </c>
    </row>
    <row r="697" spans="1:11" x14ac:dyDescent="0.35">
      <c r="A697" t="s">
        <v>1220</v>
      </c>
      <c r="B697" s="1">
        <v>0</v>
      </c>
      <c r="C697" t="s">
        <v>449</v>
      </c>
      <c r="D697" t="s">
        <v>5117</v>
      </c>
      <c r="E697" t="s">
        <v>5162</v>
      </c>
      <c r="F697" t="s">
        <v>5077</v>
      </c>
      <c r="G697" t="s">
        <v>5082</v>
      </c>
      <c r="H697" t="s">
        <v>726</v>
      </c>
      <c r="J697" t="s">
        <v>1220</v>
      </c>
      <c r="K697">
        <v>207.8</v>
      </c>
    </row>
    <row r="698" spans="1:11" x14ac:dyDescent="0.35">
      <c r="A698" t="s">
        <v>1221</v>
      </c>
      <c r="B698" s="1">
        <v>0</v>
      </c>
      <c r="C698" t="s">
        <v>989</v>
      </c>
      <c r="D698" t="s">
        <v>5122</v>
      </c>
      <c r="E698" t="s">
        <v>5239</v>
      </c>
      <c r="F698" t="s">
        <v>5077</v>
      </c>
      <c r="G698" t="s">
        <v>5077</v>
      </c>
      <c r="H698" t="s">
        <v>1208</v>
      </c>
      <c r="J698" t="s">
        <v>1221</v>
      </c>
      <c r="K698">
        <v>215</v>
      </c>
    </row>
    <row r="699" spans="1:11" x14ac:dyDescent="0.35">
      <c r="A699" t="s">
        <v>1224</v>
      </c>
      <c r="B699" s="1">
        <v>0</v>
      </c>
      <c r="C699" t="s">
        <v>2264</v>
      </c>
      <c r="D699" t="s">
        <v>5583</v>
      </c>
      <c r="E699" t="s">
        <v>5270</v>
      </c>
      <c r="F699" t="s">
        <v>5089</v>
      </c>
      <c r="G699" t="s">
        <v>5356</v>
      </c>
      <c r="H699" t="s">
        <v>2476</v>
      </c>
      <c r="J699" t="s">
        <v>1224</v>
      </c>
      <c r="K699">
        <v>225.7</v>
      </c>
    </row>
    <row r="700" spans="1:11" x14ac:dyDescent="0.35">
      <c r="A700" t="s">
        <v>1227</v>
      </c>
      <c r="B700" s="1">
        <v>0</v>
      </c>
      <c r="C700" t="s">
        <v>1543</v>
      </c>
      <c r="D700" t="s">
        <v>5277</v>
      </c>
      <c r="E700" t="s">
        <v>5270</v>
      </c>
      <c r="F700" t="s">
        <v>5089</v>
      </c>
      <c r="G700" t="s">
        <v>5356</v>
      </c>
      <c r="H700" t="s">
        <v>1250</v>
      </c>
      <c r="J700" t="s">
        <v>1227</v>
      </c>
      <c r="K700">
        <v>229.5</v>
      </c>
    </row>
    <row r="701" spans="1:11" x14ac:dyDescent="0.35">
      <c r="A701" t="s">
        <v>1229</v>
      </c>
      <c r="B701" s="1">
        <v>0</v>
      </c>
      <c r="C701" t="s">
        <v>328</v>
      </c>
      <c r="D701" t="s">
        <v>5122</v>
      </c>
      <c r="E701" t="s">
        <v>5178</v>
      </c>
      <c r="F701" t="s">
        <v>5089</v>
      </c>
      <c r="G701" t="s">
        <v>5089</v>
      </c>
      <c r="H701" t="s">
        <v>942</v>
      </c>
      <c r="J701" t="s">
        <v>1229</v>
      </c>
      <c r="K701">
        <v>222.5</v>
      </c>
    </row>
    <row r="702" spans="1:11" x14ac:dyDescent="0.35">
      <c r="A702" t="s">
        <v>1230</v>
      </c>
      <c r="B702" s="1">
        <v>0</v>
      </c>
      <c r="C702" t="s">
        <v>321</v>
      </c>
      <c r="D702" t="s">
        <v>5452</v>
      </c>
      <c r="E702" t="s">
        <v>5239</v>
      </c>
      <c r="F702" t="s">
        <v>5338</v>
      </c>
      <c r="G702" t="s">
        <v>5356</v>
      </c>
      <c r="H702" t="s">
        <v>751</v>
      </c>
      <c r="J702" t="s">
        <v>1230</v>
      </c>
      <c r="K702">
        <v>218.6</v>
      </c>
    </row>
    <row r="703" spans="1:11" x14ac:dyDescent="0.35">
      <c r="A703" t="s">
        <v>1231</v>
      </c>
      <c r="B703" s="1">
        <v>0</v>
      </c>
      <c r="C703" t="s">
        <v>2918</v>
      </c>
      <c r="D703" t="s">
        <v>5494</v>
      </c>
      <c r="E703" t="s">
        <v>5066</v>
      </c>
      <c r="F703" t="s">
        <v>5152</v>
      </c>
      <c r="G703" t="s">
        <v>5092</v>
      </c>
      <c r="H703" t="s">
        <v>1834</v>
      </c>
      <c r="J703" t="s">
        <v>1231</v>
      </c>
      <c r="K703">
        <v>205.9</v>
      </c>
    </row>
    <row r="704" spans="1:11" x14ac:dyDescent="0.35">
      <c r="A704" t="s">
        <v>1232</v>
      </c>
      <c r="B704" s="1">
        <v>0</v>
      </c>
      <c r="C704" t="s">
        <v>390</v>
      </c>
      <c r="D704" t="s">
        <v>5532</v>
      </c>
      <c r="E704" t="s">
        <v>5160</v>
      </c>
      <c r="F704" t="s">
        <v>5152</v>
      </c>
      <c r="G704" t="s">
        <v>5116</v>
      </c>
      <c r="H704" t="s">
        <v>1648</v>
      </c>
      <c r="J704" t="s">
        <v>1232</v>
      </c>
      <c r="K704">
        <v>199.4</v>
      </c>
    </row>
    <row r="705" spans="1:11" x14ac:dyDescent="0.35">
      <c r="A705" t="s">
        <v>1234</v>
      </c>
      <c r="B705" s="1">
        <v>0</v>
      </c>
      <c r="C705" t="s">
        <v>1878</v>
      </c>
      <c r="D705" t="s">
        <v>5489</v>
      </c>
      <c r="E705" t="s">
        <v>5066</v>
      </c>
      <c r="F705" t="s">
        <v>5152</v>
      </c>
      <c r="G705" t="s">
        <v>5110</v>
      </c>
      <c r="H705" t="s">
        <v>202</v>
      </c>
      <c r="J705" t="s">
        <v>1234</v>
      </c>
      <c r="K705">
        <v>202.9</v>
      </c>
    </row>
    <row r="706" spans="1:11" x14ac:dyDescent="0.35">
      <c r="A706" t="s">
        <v>1236</v>
      </c>
      <c r="B706" s="1">
        <v>0</v>
      </c>
      <c r="C706" t="s">
        <v>1484</v>
      </c>
      <c r="D706" t="s">
        <v>5583</v>
      </c>
      <c r="E706" t="s">
        <v>5120</v>
      </c>
      <c r="F706" t="s">
        <v>5152</v>
      </c>
      <c r="G706" t="s">
        <v>5358</v>
      </c>
      <c r="H706" t="s">
        <v>1666</v>
      </c>
      <c r="J706" t="s">
        <v>1236</v>
      </c>
      <c r="K706">
        <v>221.6</v>
      </c>
    </row>
    <row r="707" spans="1:11" x14ac:dyDescent="0.35">
      <c r="A707" t="s">
        <v>1237</v>
      </c>
      <c r="B707" s="1">
        <v>0</v>
      </c>
      <c r="C707" t="s">
        <v>1920</v>
      </c>
      <c r="D707" t="s">
        <v>5130</v>
      </c>
      <c r="E707" t="s">
        <v>5253</v>
      </c>
      <c r="F707" t="s">
        <v>5338</v>
      </c>
      <c r="G707" t="s">
        <v>5355</v>
      </c>
      <c r="H707" t="s">
        <v>2471</v>
      </c>
      <c r="J707" t="s">
        <v>1237</v>
      </c>
      <c r="K707">
        <v>245</v>
      </c>
    </row>
    <row r="708" spans="1:11" x14ac:dyDescent="0.35">
      <c r="A708" t="s">
        <v>1240</v>
      </c>
      <c r="B708" s="1">
        <v>0</v>
      </c>
      <c r="C708" t="s">
        <v>3527</v>
      </c>
      <c r="D708" t="s">
        <v>5584</v>
      </c>
      <c r="E708" t="s">
        <v>5471</v>
      </c>
      <c r="F708" t="s">
        <v>5338</v>
      </c>
      <c r="G708" t="s">
        <v>5333</v>
      </c>
      <c r="H708" t="s">
        <v>3922</v>
      </c>
      <c r="J708" t="s">
        <v>1240</v>
      </c>
      <c r="K708">
        <v>259.89999999999998</v>
      </c>
    </row>
    <row r="709" spans="1:11" x14ac:dyDescent="0.35">
      <c r="A709" t="s">
        <v>1243</v>
      </c>
      <c r="B709" s="1">
        <v>0</v>
      </c>
      <c r="C709" t="s">
        <v>2610</v>
      </c>
      <c r="D709" t="s">
        <v>5585</v>
      </c>
      <c r="E709" t="s">
        <v>5471</v>
      </c>
      <c r="F709" t="s">
        <v>5338</v>
      </c>
      <c r="G709" t="s">
        <v>5333</v>
      </c>
      <c r="H709" t="s">
        <v>3586</v>
      </c>
      <c r="J709" t="s">
        <v>1243</v>
      </c>
      <c r="K709">
        <v>256.39999999999998</v>
      </c>
    </row>
    <row r="710" spans="1:11" x14ac:dyDescent="0.35">
      <c r="A710" t="s">
        <v>1246</v>
      </c>
      <c r="B710" s="1">
        <v>0</v>
      </c>
      <c r="C710" t="s">
        <v>4117</v>
      </c>
      <c r="D710" t="s">
        <v>5506</v>
      </c>
      <c r="E710" t="s">
        <v>5131</v>
      </c>
      <c r="F710" t="s">
        <v>5338</v>
      </c>
      <c r="G710" t="s">
        <v>5355</v>
      </c>
      <c r="H710" t="s">
        <v>2471</v>
      </c>
      <c r="J710" t="s">
        <v>1246</v>
      </c>
      <c r="K710">
        <v>245</v>
      </c>
    </row>
    <row r="711" spans="1:11" x14ac:dyDescent="0.35">
      <c r="A711" t="s">
        <v>1248</v>
      </c>
      <c r="B711" s="1">
        <v>0</v>
      </c>
      <c r="C711" t="s">
        <v>468</v>
      </c>
      <c r="D711" t="s">
        <v>5474</v>
      </c>
      <c r="E711" t="s">
        <v>5100</v>
      </c>
      <c r="F711" t="s">
        <v>5338</v>
      </c>
      <c r="G711" t="s">
        <v>5356</v>
      </c>
      <c r="H711" t="s">
        <v>5706</v>
      </c>
      <c r="J711" t="s">
        <v>1248</v>
      </c>
      <c r="K711">
        <v>236.4</v>
      </c>
    </row>
    <row r="712" spans="1:11" x14ac:dyDescent="0.35">
      <c r="A712" t="s">
        <v>1249</v>
      </c>
      <c r="B712" s="1">
        <v>0</v>
      </c>
      <c r="C712" t="s">
        <v>1480</v>
      </c>
      <c r="D712" t="s">
        <v>5474</v>
      </c>
      <c r="E712" t="s">
        <v>5131</v>
      </c>
      <c r="F712" t="s">
        <v>5338</v>
      </c>
      <c r="G712" t="s">
        <v>5132</v>
      </c>
      <c r="H712" t="s">
        <v>1311</v>
      </c>
      <c r="J712" t="s">
        <v>1249</v>
      </c>
      <c r="K712">
        <v>236.2</v>
      </c>
    </row>
    <row r="713" spans="1:11" x14ac:dyDescent="0.35">
      <c r="A713" t="s">
        <v>1251</v>
      </c>
      <c r="B713" s="1">
        <v>0</v>
      </c>
      <c r="C713" t="s">
        <v>1864</v>
      </c>
      <c r="D713" t="s">
        <v>5586</v>
      </c>
      <c r="E713" t="s">
        <v>5471</v>
      </c>
      <c r="F713" t="s">
        <v>5338</v>
      </c>
      <c r="G713" t="s">
        <v>5356</v>
      </c>
      <c r="H713" t="s">
        <v>2833</v>
      </c>
      <c r="J713" t="s">
        <v>1251</v>
      </c>
      <c r="K713">
        <v>240.9</v>
      </c>
    </row>
    <row r="714" spans="1:11" x14ac:dyDescent="0.35">
      <c r="A714" t="s">
        <v>1254</v>
      </c>
      <c r="B714" s="1">
        <v>0</v>
      </c>
      <c r="C714" t="s">
        <v>471</v>
      </c>
      <c r="D714" t="s">
        <v>5587</v>
      </c>
      <c r="E714" t="s">
        <v>5522</v>
      </c>
      <c r="F714" t="s">
        <v>5338</v>
      </c>
      <c r="G714" t="s">
        <v>5493</v>
      </c>
      <c r="H714" t="s">
        <v>5770</v>
      </c>
      <c r="J714" t="s">
        <v>1254</v>
      </c>
      <c r="K714">
        <v>246.5</v>
      </c>
    </row>
    <row r="715" spans="1:11" x14ac:dyDescent="0.35">
      <c r="A715" t="s">
        <v>1256</v>
      </c>
      <c r="B715" s="1">
        <v>0</v>
      </c>
      <c r="C715" t="s">
        <v>3803</v>
      </c>
      <c r="D715" t="s">
        <v>5588</v>
      </c>
      <c r="E715" t="s">
        <v>5439</v>
      </c>
      <c r="F715" t="s">
        <v>5338</v>
      </c>
      <c r="G715" t="s">
        <v>5501</v>
      </c>
      <c r="H715" t="s">
        <v>3583</v>
      </c>
      <c r="J715" t="s">
        <v>1256</v>
      </c>
      <c r="K715">
        <v>254</v>
      </c>
    </row>
    <row r="716" spans="1:11" x14ac:dyDescent="0.35">
      <c r="A716" t="s">
        <v>1257</v>
      </c>
      <c r="B716" s="1">
        <v>0</v>
      </c>
      <c r="C716" t="s">
        <v>5642</v>
      </c>
      <c r="D716" t="s">
        <v>5457</v>
      </c>
      <c r="E716" t="s">
        <v>5572</v>
      </c>
      <c r="F716" t="s">
        <v>5338</v>
      </c>
      <c r="G716" t="s">
        <v>5333</v>
      </c>
      <c r="H716" t="s">
        <v>5708</v>
      </c>
      <c r="J716" t="s">
        <v>1257</v>
      </c>
      <c r="K716">
        <v>253.2</v>
      </c>
    </row>
    <row r="717" spans="1:11" x14ac:dyDescent="0.35">
      <c r="A717" t="s">
        <v>1258</v>
      </c>
      <c r="B717" s="1">
        <v>0</v>
      </c>
      <c r="C717" t="s">
        <v>2276</v>
      </c>
      <c r="D717" t="s">
        <v>5474</v>
      </c>
      <c r="E717" t="s">
        <v>5100</v>
      </c>
      <c r="F717" t="s">
        <v>5152</v>
      </c>
      <c r="G717" t="s">
        <v>5332</v>
      </c>
      <c r="H717" t="s">
        <v>5670</v>
      </c>
      <c r="J717" t="s">
        <v>1258</v>
      </c>
      <c r="K717">
        <v>241.2</v>
      </c>
    </row>
    <row r="718" spans="1:11" x14ac:dyDescent="0.35">
      <c r="A718" t="s">
        <v>1260</v>
      </c>
      <c r="B718" s="1">
        <v>0</v>
      </c>
      <c r="C718" t="s">
        <v>348</v>
      </c>
      <c r="D718" t="s">
        <v>5541</v>
      </c>
      <c r="E718" t="s">
        <v>5121</v>
      </c>
      <c r="F718" t="s">
        <v>5152</v>
      </c>
      <c r="G718" t="s">
        <v>5132</v>
      </c>
      <c r="H718" t="s">
        <v>1840</v>
      </c>
      <c r="J718" t="s">
        <v>1260</v>
      </c>
      <c r="K718">
        <v>220.5</v>
      </c>
    </row>
    <row r="719" spans="1:11" x14ac:dyDescent="0.35">
      <c r="A719" t="s">
        <v>1262</v>
      </c>
      <c r="B719" s="1">
        <v>0</v>
      </c>
      <c r="C719" t="s">
        <v>1047</v>
      </c>
      <c r="D719" t="s">
        <v>5579</v>
      </c>
      <c r="E719" t="s">
        <v>5249</v>
      </c>
      <c r="F719" t="s">
        <v>5152</v>
      </c>
      <c r="G719" t="s">
        <v>5077</v>
      </c>
      <c r="H719" t="s">
        <v>2348</v>
      </c>
      <c r="J719" t="s">
        <v>1262</v>
      </c>
      <c r="K719">
        <v>206.4</v>
      </c>
    </row>
    <row r="720" spans="1:11" x14ac:dyDescent="0.35">
      <c r="A720" t="s">
        <v>1265</v>
      </c>
      <c r="B720" s="1">
        <v>0</v>
      </c>
      <c r="C720" t="s">
        <v>345</v>
      </c>
      <c r="D720" t="s">
        <v>5146</v>
      </c>
      <c r="E720" t="s">
        <v>5208</v>
      </c>
      <c r="F720" t="s">
        <v>5152</v>
      </c>
      <c r="G720" t="s">
        <v>5089</v>
      </c>
      <c r="H720" t="s">
        <v>2115</v>
      </c>
      <c r="J720" t="s">
        <v>1265</v>
      </c>
      <c r="K720">
        <v>209.9</v>
      </c>
    </row>
    <row r="721" spans="1:11" x14ac:dyDescent="0.35">
      <c r="A721" t="s">
        <v>1267</v>
      </c>
      <c r="B721" s="1">
        <v>0</v>
      </c>
      <c r="C721" t="s">
        <v>2607</v>
      </c>
      <c r="D721" t="s">
        <v>5518</v>
      </c>
      <c r="E721" t="s">
        <v>5165</v>
      </c>
      <c r="F721" t="s">
        <v>5152</v>
      </c>
      <c r="G721" t="s">
        <v>5356</v>
      </c>
      <c r="H721" t="s">
        <v>3038</v>
      </c>
      <c r="J721" t="s">
        <v>1267</v>
      </c>
      <c r="K721">
        <v>223.3</v>
      </c>
    </row>
    <row r="722" spans="1:11" x14ac:dyDescent="0.35">
      <c r="A722" t="s">
        <v>1270</v>
      </c>
      <c r="B722" s="1">
        <v>0</v>
      </c>
      <c r="C722" t="s">
        <v>3801</v>
      </c>
      <c r="D722" t="s">
        <v>5278</v>
      </c>
      <c r="E722" t="s">
        <v>5182</v>
      </c>
      <c r="F722" t="s">
        <v>5338</v>
      </c>
      <c r="G722" t="s">
        <v>5355</v>
      </c>
      <c r="H722" t="s">
        <v>3935</v>
      </c>
      <c r="J722" t="s">
        <v>1270</v>
      </c>
      <c r="K722">
        <v>236.9</v>
      </c>
    </row>
    <row r="723" spans="1:11" x14ac:dyDescent="0.35">
      <c r="A723" t="s">
        <v>1273</v>
      </c>
      <c r="B723" s="1">
        <v>0</v>
      </c>
      <c r="C723" t="s">
        <v>1921</v>
      </c>
      <c r="D723" t="s">
        <v>5496</v>
      </c>
      <c r="E723" t="s">
        <v>5123</v>
      </c>
      <c r="F723" t="s">
        <v>5338</v>
      </c>
      <c r="G723" t="s">
        <v>5501</v>
      </c>
      <c r="H723" t="s">
        <v>5711</v>
      </c>
      <c r="J723" t="s">
        <v>1273</v>
      </c>
      <c r="K723">
        <v>247.7</v>
      </c>
    </row>
    <row r="724" spans="1:11" x14ac:dyDescent="0.35">
      <c r="A724" t="s">
        <v>1275</v>
      </c>
      <c r="B724" s="1">
        <v>0</v>
      </c>
      <c r="C724" t="s">
        <v>2934</v>
      </c>
      <c r="D724" t="s">
        <v>5576</v>
      </c>
      <c r="E724" t="s">
        <v>5113</v>
      </c>
      <c r="F724" t="s">
        <v>5338</v>
      </c>
      <c r="G724" t="s">
        <v>5333</v>
      </c>
      <c r="H724" t="s">
        <v>3352</v>
      </c>
      <c r="J724" t="s">
        <v>1275</v>
      </c>
      <c r="K724">
        <v>252.1</v>
      </c>
    </row>
    <row r="725" spans="1:11" x14ac:dyDescent="0.35">
      <c r="A725" t="s">
        <v>1278</v>
      </c>
      <c r="B725" s="1">
        <v>0</v>
      </c>
      <c r="C725" t="s">
        <v>3806</v>
      </c>
      <c r="D725" t="s">
        <v>5277</v>
      </c>
      <c r="E725" t="s">
        <v>5270</v>
      </c>
      <c r="F725" t="s">
        <v>5338</v>
      </c>
      <c r="G725" t="s">
        <v>5355</v>
      </c>
      <c r="H725" t="s">
        <v>3044</v>
      </c>
      <c r="J725" t="s">
        <v>1278</v>
      </c>
      <c r="K725">
        <v>238.7</v>
      </c>
    </row>
    <row r="726" spans="1:11" x14ac:dyDescent="0.35">
      <c r="A726" t="s">
        <v>1281</v>
      </c>
      <c r="B726" s="1">
        <v>0</v>
      </c>
      <c r="C726" t="s">
        <v>986</v>
      </c>
      <c r="D726" t="s">
        <v>5554</v>
      </c>
      <c r="E726" t="s">
        <v>5192</v>
      </c>
      <c r="F726" t="s">
        <v>5152</v>
      </c>
      <c r="G726" t="s">
        <v>5132</v>
      </c>
      <c r="H726" t="s">
        <v>208</v>
      </c>
      <c r="J726" t="s">
        <v>1281</v>
      </c>
      <c r="K726">
        <v>223</v>
      </c>
    </row>
    <row r="727" spans="1:11" x14ac:dyDescent="0.35">
      <c r="A727" t="s">
        <v>1283</v>
      </c>
      <c r="B727" s="1">
        <v>0</v>
      </c>
      <c r="C727" t="s">
        <v>1917</v>
      </c>
      <c r="D727" t="s">
        <v>5393</v>
      </c>
      <c r="E727" t="s">
        <v>5178</v>
      </c>
      <c r="F727" t="s">
        <v>5152</v>
      </c>
      <c r="G727" t="s">
        <v>5132</v>
      </c>
      <c r="H727" t="s">
        <v>3873</v>
      </c>
      <c r="J727" t="s">
        <v>1283</v>
      </c>
      <c r="K727">
        <v>214.2</v>
      </c>
    </row>
    <row r="728" spans="1:11" x14ac:dyDescent="0.35">
      <c r="A728" t="s">
        <v>1285</v>
      </c>
      <c r="B728" s="1">
        <v>0</v>
      </c>
      <c r="C728" t="s">
        <v>1486</v>
      </c>
      <c r="D728" t="s">
        <v>5494</v>
      </c>
      <c r="E728" t="s">
        <v>5434</v>
      </c>
      <c r="F728" t="s">
        <v>5152</v>
      </c>
      <c r="G728" t="s">
        <v>5136</v>
      </c>
      <c r="H728" t="s">
        <v>1208</v>
      </c>
      <c r="J728" t="s">
        <v>1285</v>
      </c>
      <c r="K728">
        <v>215</v>
      </c>
    </row>
    <row r="729" spans="1:11" x14ac:dyDescent="0.35">
      <c r="A729" t="s">
        <v>1287</v>
      </c>
      <c r="B729" s="1">
        <v>0</v>
      </c>
      <c r="C729" t="s">
        <v>1469</v>
      </c>
      <c r="D729" t="s">
        <v>5518</v>
      </c>
      <c r="E729" t="s">
        <v>5162</v>
      </c>
      <c r="F729" t="s">
        <v>5338</v>
      </c>
      <c r="G729" t="s">
        <v>5501</v>
      </c>
      <c r="H729" t="s">
        <v>3656</v>
      </c>
      <c r="J729" t="s">
        <v>1287</v>
      </c>
      <c r="K729">
        <v>224.3</v>
      </c>
    </row>
    <row r="730" spans="1:11" x14ac:dyDescent="0.35">
      <c r="A730" t="s">
        <v>1289</v>
      </c>
      <c r="B730" s="1">
        <v>0</v>
      </c>
      <c r="C730" t="s">
        <v>5652</v>
      </c>
      <c r="D730" t="s">
        <v>5107</v>
      </c>
      <c r="E730" t="s">
        <v>5276</v>
      </c>
      <c r="F730" t="s">
        <v>5338</v>
      </c>
      <c r="G730" t="s">
        <v>5341</v>
      </c>
      <c r="H730" t="s">
        <v>5741</v>
      </c>
      <c r="J730" t="s">
        <v>1289</v>
      </c>
      <c r="K730">
        <v>232.8</v>
      </c>
    </row>
    <row r="731" spans="1:11" x14ac:dyDescent="0.35">
      <c r="A731" t="s">
        <v>1290</v>
      </c>
      <c r="B731" s="1">
        <v>0</v>
      </c>
      <c r="C731" t="s">
        <v>1063</v>
      </c>
      <c r="D731" t="s">
        <v>5496</v>
      </c>
      <c r="E731" t="s">
        <v>5088</v>
      </c>
      <c r="F731" t="s">
        <v>5338</v>
      </c>
      <c r="G731" t="s">
        <v>5340</v>
      </c>
      <c r="H731" t="s">
        <v>2012</v>
      </c>
      <c r="J731" t="s">
        <v>1290</v>
      </c>
      <c r="K731">
        <v>239.9</v>
      </c>
    </row>
    <row r="732" spans="1:11" x14ac:dyDescent="0.35">
      <c r="A732" t="s">
        <v>1292</v>
      </c>
      <c r="B732" s="1">
        <v>0</v>
      </c>
      <c r="C732" t="s">
        <v>489</v>
      </c>
      <c r="D732" t="s">
        <v>5260</v>
      </c>
      <c r="E732" t="s">
        <v>5135</v>
      </c>
      <c r="F732" t="s">
        <v>5338</v>
      </c>
      <c r="G732" t="s">
        <v>5340</v>
      </c>
      <c r="H732" t="s">
        <v>3350</v>
      </c>
      <c r="J732" t="s">
        <v>1292</v>
      </c>
      <c r="K732">
        <v>244.5</v>
      </c>
    </row>
    <row r="733" spans="1:11" x14ac:dyDescent="0.35">
      <c r="A733" t="s">
        <v>1294</v>
      </c>
      <c r="B733" s="1">
        <v>0</v>
      </c>
      <c r="C733" t="s">
        <v>1557</v>
      </c>
      <c r="D733" t="s">
        <v>5275</v>
      </c>
      <c r="E733" t="s">
        <v>5253</v>
      </c>
      <c r="F733" t="s">
        <v>5089</v>
      </c>
      <c r="G733" t="s">
        <v>5341</v>
      </c>
      <c r="H733" t="s">
        <v>3954</v>
      </c>
      <c r="J733" t="s">
        <v>1294</v>
      </c>
      <c r="K733">
        <v>244.7</v>
      </c>
    </row>
    <row r="734" spans="1:11" x14ac:dyDescent="0.35">
      <c r="A734" t="s">
        <v>1295</v>
      </c>
      <c r="B734" s="1">
        <v>0</v>
      </c>
      <c r="C734" t="s">
        <v>1066</v>
      </c>
      <c r="D734" t="s">
        <v>5217</v>
      </c>
      <c r="E734" t="s">
        <v>5253</v>
      </c>
      <c r="F734" t="s">
        <v>5089</v>
      </c>
      <c r="G734" t="s">
        <v>5501</v>
      </c>
      <c r="H734" t="s">
        <v>2019</v>
      </c>
      <c r="J734" t="s">
        <v>1295</v>
      </c>
      <c r="K734">
        <v>243.3</v>
      </c>
    </row>
    <row r="735" spans="1:11" x14ac:dyDescent="0.35">
      <c r="A735" t="s">
        <v>1297</v>
      </c>
      <c r="B735" s="1">
        <v>0</v>
      </c>
      <c r="C735" t="s">
        <v>5658</v>
      </c>
      <c r="D735" t="s">
        <v>5511</v>
      </c>
      <c r="E735" t="s">
        <v>5085</v>
      </c>
      <c r="F735" t="s">
        <v>5089</v>
      </c>
      <c r="G735" t="s">
        <v>5355</v>
      </c>
      <c r="H735" t="s">
        <v>2070</v>
      </c>
      <c r="J735" t="s">
        <v>1297</v>
      </c>
      <c r="K735">
        <v>239.8</v>
      </c>
    </row>
    <row r="736" spans="1:11" x14ac:dyDescent="0.35">
      <c r="A736" t="s">
        <v>1299</v>
      </c>
      <c r="B736" s="1">
        <v>0</v>
      </c>
      <c r="C736" t="s">
        <v>5648</v>
      </c>
      <c r="D736" t="s">
        <v>5277</v>
      </c>
      <c r="E736" t="s">
        <v>5063</v>
      </c>
      <c r="F736" t="s">
        <v>5089</v>
      </c>
      <c r="G736" t="s">
        <v>5136</v>
      </c>
      <c r="H736" t="s">
        <v>631</v>
      </c>
      <c r="J736" t="s">
        <v>1299</v>
      </c>
      <c r="K736">
        <v>231.2</v>
      </c>
    </row>
    <row r="737" spans="1:11" x14ac:dyDescent="0.35">
      <c r="A737" t="s">
        <v>1301</v>
      </c>
      <c r="B737" s="1">
        <v>0</v>
      </c>
      <c r="C737" t="s">
        <v>1472</v>
      </c>
      <c r="D737" t="s">
        <v>5537</v>
      </c>
      <c r="E737" t="s">
        <v>5120</v>
      </c>
      <c r="F737" t="s">
        <v>5077</v>
      </c>
      <c r="G737" t="s">
        <v>5136</v>
      </c>
      <c r="H737" t="s">
        <v>641</v>
      </c>
      <c r="J737" t="s">
        <v>1301</v>
      </c>
      <c r="K737">
        <v>227.7</v>
      </c>
    </row>
    <row r="738" spans="1:11" x14ac:dyDescent="0.35">
      <c r="A738" t="s">
        <v>1304</v>
      </c>
      <c r="B738" s="1">
        <v>0</v>
      </c>
      <c r="C738" t="s">
        <v>4644</v>
      </c>
      <c r="D738" t="s">
        <v>5590</v>
      </c>
      <c r="E738" t="s">
        <v>5120</v>
      </c>
      <c r="F738" t="s">
        <v>5089</v>
      </c>
      <c r="G738" t="s">
        <v>5332</v>
      </c>
      <c r="H738" t="s">
        <v>2835</v>
      </c>
      <c r="J738" t="s">
        <v>1304</v>
      </c>
      <c r="K738">
        <v>234.8</v>
      </c>
    </row>
    <row r="739" spans="1:11" x14ac:dyDescent="0.35">
      <c r="A739" t="s">
        <v>1307</v>
      </c>
      <c r="B739" s="1">
        <v>0</v>
      </c>
      <c r="C739" t="s">
        <v>976</v>
      </c>
      <c r="D739" t="s">
        <v>5589</v>
      </c>
      <c r="E739" t="s">
        <v>5069</v>
      </c>
      <c r="F739" t="s">
        <v>5089</v>
      </c>
      <c r="G739" t="s">
        <v>5333</v>
      </c>
      <c r="H739" t="s">
        <v>5678</v>
      </c>
      <c r="J739" t="s">
        <v>1307</v>
      </c>
      <c r="K739">
        <v>244.6</v>
      </c>
    </row>
    <row r="740" spans="1:11" x14ac:dyDescent="0.35">
      <c r="A740" t="s">
        <v>1310</v>
      </c>
      <c r="B740" s="1">
        <v>0</v>
      </c>
      <c r="C740" t="s">
        <v>977</v>
      </c>
      <c r="D740" t="s">
        <v>5134</v>
      </c>
      <c r="E740" t="s">
        <v>5063</v>
      </c>
      <c r="F740" t="s">
        <v>5089</v>
      </c>
      <c r="G740" t="s">
        <v>5333</v>
      </c>
      <c r="H740" t="s">
        <v>2371</v>
      </c>
      <c r="J740" t="s">
        <v>1310</v>
      </c>
      <c r="K740">
        <v>247.4</v>
      </c>
    </row>
    <row r="741" spans="1:11" x14ac:dyDescent="0.35">
      <c r="A741" t="s">
        <v>1312</v>
      </c>
      <c r="B741" s="1">
        <v>0</v>
      </c>
      <c r="C741" t="s">
        <v>2</v>
      </c>
      <c r="D741" t="s">
        <v>5268</v>
      </c>
      <c r="E741" t="s">
        <v>5105</v>
      </c>
      <c r="F741" t="s">
        <v>5089</v>
      </c>
      <c r="G741" t="s">
        <v>5355</v>
      </c>
      <c r="H741" t="s">
        <v>1720</v>
      </c>
      <c r="J741" t="s">
        <v>1312</v>
      </c>
      <c r="K741">
        <v>236.7</v>
      </c>
    </row>
    <row r="742" spans="1:11" x14ac:dyDescent="0.35">
      <c r="A742" t="s">
        <v>1314</v>
      </c>
      <c r="B742" s="1">
        <v>0</v>
      </c>
      <c r="C742" t="s">
        <v>1529</v>
      </c>
      <c r="D742" t="s">
        <v>5591</v>
      </c>
      <c r="E742" t="s">
        <v>5192</v>
      </c>
      <c r="F742" t="s">
        <v>5089</v>
      </c>
      <c r="G742" t="s">
        <v>5358</v>
      </c>
      <c r="H742" t="s">
        <v>2004</v>
      </c>
      <c r="J742" t="s">
        <v>1314</v>
      </c>
      <c r="K742">
        <v>219.6</v>
      </c>
    </row>
    <row r="743" spans="1:11" x14ac:dyDescent="0.35">
      <c r="A743" t="s">
        <v>1317</v>
      </c>
      <c r="B743" s="1">
        <v>0</v>
      </c>
      <c r="C743" t="s">
        <v>1528</v>
      </c>
      <c r="D743" t="s">
        <v>5387</v>
      </c>
      <c r="E743" t="s">
        <v>5066</v>
      </c>
      <c r="F743" t="s">
        <v>5077</v>
      </c>
      <c r="G743" t="s">
        <v>5077</v>
      </c>
      <c r="H743" t="s">
        <v>1302</v>
      </c>
      <c r="J743" t="s">
        <v>1317</v>
      </c>
      <c r="K743">
        <v>210.2</v>
      </c>
    </row>
    <row r="744" spans="1:11" x14ac:dyDescent="0.35">
      <c r="A744" t="s">
        <v>1319</v>
      </c>
      <c r="B744" s="1">
        <v>0</v>
      </c>
      <c r="C744" t="s">
        <v>1050</v>
      </c>
      <c r="D744" t="s">
        <v>5387</v>
      </c>
      <c r="E744" t="s">
        <v>5162</v>
      </c>
      <c r="F744" t="s">
        <v>5077</v>
      </c>
      <c r="G744" t="s">
        <v>5358</v>
      </c>
      <c r="H744" t="s">
        <v>3163</v>
      </c>
      <c r="J744" t="s">
        <v>1319</v>
      </c>
      <c r="K744">
        <v>212.9</v>
      </c>
    </row>
    <row r="745" spans="1:11" x14ac:dyDescent="0.35">
      <c r="A745" t="s">
        <v>1320</v>
      </c>
      <c r="B745" s="1">
        <v>0</v>
      </c>
      <c r="C745" t="s">
        <v>323</v>
      </c>
      <c r="D745" t="s">
        <v>5554</v>
      </c>
      <c r="E745" t="s">
        <v>5102</v>
      </c>
      <c r="F745" t="s">
        <v>5077</v>
      </c>
      <c r="G745" t="s">
        <v>5132</v>
      </c>
      <c r="H745" t="s">
        <v>5672</v>
      </c>
      <c r="J745" t="s">
        <v>1320</v>
      </c>
      <c r="K745">
        <v>218.5</v>
      </c>
    </row>
    <row r="746" spans="1:11" x14ac:dyDescent="0.35">
      <c r="A746" t="s">
        <v>1321</v>
      </c>
      <c r="B746" s="1">
        <v>0</v>
      </c>
      <c r="C746" t="s">
        <v>979</v>
      </c>
      <c r="D746" t="s">
        <v>5138</v>
      </c>
      <c r="E746" t="s">
        <v>5192</v>
      </c>
      <c r="F746" t="s">
        <v>5077</v>
      </c>
      <c r="G746" t="s">
        <v>5132</v>
      </c>
      <c r="H746" t="s">
        <v>3605</v>
      </c>
      <c r="J746" t="s">
        <v>1321</v>
      </c>
      <c r="K746">
        <v>219.4</v>
      </c>
    </row>
    <row r="747" spans="1:11" x14ac:dyDescent="0.35">
      <c r="A747" t="s">
        <v>1323</v>
      </c>
      <c r="B747" s="1">
        <v>0</v>
      </c>
      <c r="C747" t="s">
        <v>1918</v>
      </c>
      <c r="D747" t="s">
        <v>5575</v>
      </c>
      <c r="E747" t="s">
        <v>5306</v>
      </c>
      <c r="F747" t="s">
        <v>5077</v>
      </c>
      <c r="G747" t="s">
        <v>5358</v>
      </c>
      <c r="H747" t="s">
        <v>2847</v>
      </c>
      <c r="J747" t="s">
        <v>1323</v>
      </c>
      <c r="K747">
        <v>210</v>
      </c>
    </row>
    <row r="748" spans="1:11" x14ac:dyDescent="0.35">
      <c r="A748" t="s">
        <v>1325</v>
      </c>
      <c r="B748" s="1">
        <v>0</v>
      </c>
      <c r="C748" t="s">
        <v>1055</v>
      </c>
      <c r="D748" t="s">
        <v>5446</v>
      </c>
      <c r="E748" t="s">
        <v>5202</v>
      </c>
      <c r="F748" t="s">
        <v>5077</v>
      </c>
      <c r="G748" t="s">
        <v>5045</v>
      </c>
      <c r="H748" t="s">
        <v>5655</v>
      </c>
      <c r="J748" t="s">
        <v>1325</v>
      </c>
      <c r="K748">
        <v>196.6</v>
      </c>
    </row>
    <row r="749" spans="1:11" x14ac:dyDescent="0.35">
      <c r="A749" t="s">
        <v>1326</v>
      </c>
      <c r="B749" s="1">
        <v>0</v>
      </c>
      <c r="C749" t="s">
        <v>1018</v>
      </c>
      <c r="D749" t="s">
        <v>5531</v>
      </c>
      <c r="E749" t="s">
        <v>5171</v>
      </c>
      <c r="F749" t="s">
        <v>5077</v>
      </c>
      <c r="G749" t="s">
        <v>5092</v>
      </c>
      <c r="H749" t="s">
        <v>1280</v>
      </c>
      <c r="J749" t="s">
        <v>1326</v>
      </c>
      <c r="K749">
        <v>193.5</v>
      </c>
    </row>
    <row r="750" spans="1:11" x14ac:dyDescent="0.35">
      <c r="A750" t="s">
        <v>1327</v>
      </c>
      <c r="B750" s="1">
        <v>0</v>
      </c>
      <c r="C750" t="s">
        <v>477</v>
      </c>
      <c r="D750" t="s">
        <v>5447</v>
      </c>
      <c r="E750" t="s">
        <v>5056</v>
      </c>
      <c r="F750" t="s">
        <v>5077</v>
      </c>
      <c r="G750" t="s">
        <v>5089</v>
      </c>
      <c r="H750" t="s">
        <v>2349</v>
      </c>
      <c r="J750" t="s">
        <v>1327</v>
      </c>
      <c r="K750">
        <v>206.5</v>
      </c>
    </row>
    <row r="751" spans="1:11" x14ac:dyDescent="0.35">
      <c r="A751" t="s">
        <v>1328</v>
      </c>
      <c r="B751" s="1">
        <v>0</v>
      </c>
      <c r="C751" t="s">
        <v>1540</v>
      </c>
      <c r="D751" t="s">
        <v>5452</v>
      </c>
      <c r="E751" t="s">
        <v>5197</v>
      </c>
      <c r="F751" t="s">
        <v>5077</v>
      </c>
      <c r="G751" t="s">
        <v>5493</v>
      </c>
      <c r="H751" t="s">
        <v>5734</v>
      </c>
      <c r="J751" t="s">
        <v>1328</v>
      </c>
      <c r="K751">
        <v>224.8</v>
      </c>
    </row>
    <row r="752" spans="1:11" x14ac:dyDescent="0.35">
      <c r="A752" t="s">
        <v>1330</v>
      </c>
      <c r="B752" s="1">
        <v>0</v>
      </c>
      <c r="C752" t="s">
        <v>3216</v>
      </c>
      <c r="D752" t="s">
        <v>5481</v>
      </c>
      <c r="E752" t="s">
        <v>5219</v>
      </c>
      <c r="F752" t="s">
        <v>5077</v>
      </c>
      <c r="G752" t="s">
        <v>5355</v>
      </c>
      <c r="H752" t="s">
        <v>204</v>
      </c>
      <c r="J752" t="s">
        <v>1330</v>
      </c>
      <c r="K752">
        <v>230.3</v>
      </c>
    </row>
    <row r="753" spans="1:11" x14ac:dyDescent="0.35">
      <c r="A753" t="s">
        <v>1332</v>
      </c>
      <c r="B753" s="1">
        <v>0</v>
      </c>
      <c r="C753" t="s">
        <v>2883</v>
      </c>
      <c r="D753" t="s">
        <v>5487</v>
      </c>
      <c r="E753" t="s">
        <v>5255</v>
      </c>
      <c r="F753" t="s">
        <v>5077</v>
      </c>
      <c r="G753" t="s">
        <v>5136</v>
      </c>
      <c r="H753" t="s">
        <v>3017</v>
      </c>
      <c r="J753" t="s">
        <v>1332</v>
      </c>
      <c r="K753">
        <v>221.3</v>
      </c>
    </row>
    <row r="754" spans="1:11" x14ac:dyDescent="0.35">
      <c r="A754" t="s">
        <v>1334</v>
      </c>
      <c r="B754" s="1">
        <v>0</v>
      </c>
      <c r="C754" t="s">
        <v>355</v>
      </c>
      <c r="D754" t="s">
        <v>5094</v>
      </c>
      <c r="E754" t="s">
        <v>5176</v>
      </c>
      <c r="F754" t="s">
        <v>5077</v>
      </c>
      <c r="G754" t="s">
        <v>5132</v>
      </c>
      <c r="H754" t="s">
        <v>3163</v>
      </c>
      <c r="J754" t="s">
        <v>1334</v>
      </c>
      <c r="K754">
        <v>212.9</v>
      </c>
    </row>
    <row r="755" spans="1:11" x14ac:dyDescent="0.35">
      <c r="A755" t="s">
        <v>1336</v>
      </c>
      <c r="B755" s="1">
        <v>0</v>
      </c>
      <c r="C755" t="s">
        <v>1871</v>
      </c>
      <c r="D755" t="s">
        <v>5494</v>
      </c>
      <c r="E755" t="s">
        <v>5173</v>
      </c>
      <c r="F755" t="s">
        <v>5077</v>
      </c>
      <c r="G755" t="s">
        <v>5356</v>
      </c>
      <c r="H755" t="s">
        <v>1705</v>
      </c>
      <c r="J755" t="s">
        <v>1336</v>
      </c>
      <c r="K755">
        <v>218.9</v>
      </c>
    </row>
    <row r="756" spans="1:11" x14ac:dyDescent="0.35">
      <c r="A756" t="s">
        <v>1338</v>
      </c>
      <c r="B756" s="1">
        <v>0</v>
      </c>
      <c r="C756" t="s">
        <v>5659</v>
      </c>
      <c r="D756" t="s">
        <v>5512</v>
      </c>
      <c r="E756" t="s">
        <v>5208</v>
      </c>
      <c r="F756" t="s">
        <v>5089</v>
      </c>
      <c r="G756" t="s">
        <v>5332</v>
      </c>
      <c r="H756" t="s">
        <v>3891</v>
      </c>
      <c r="J756" t="s">
        <v>1338</v>
      </c>
      <c r="K756">
        <v>232.5</v>
      </c>
    </row>
    <row r="757" spans="1:11" x14ac:dyDescent="0.35">
      <c r="A757" t="s">
        <v>1340</v>
      </c>
      <c r="B757" s="1">
        <v>0</v>
      </c>
      <c r="C757" t="s">
        <v>494</v>
      </c>
      <c r="D757" t="s">
        <v>5087</v>
      </c>
      <c r="E757" t="s">
        <v>5081</v>
      </c>
      <c r="F757" t="s">
        <v>5089</v>
      </c>
      <c r="G757" t="s">
        <v>5501</v>
      </c>
      <c r="H757" t="s">
        <v>5670</v>
      </c>
      <c r="J757" t="s">
        <v>1340</v>
      </c>
      <c r="K757">
        <v>241.2</v>
      </c>
    </row>
    <row r="758" spans="1:11" x14ac:dyDescent="0.35">
      <c r="A758" t="s">
        <v>1342</v>
      </c>
      <c r="B758" s="1">
        <v>0</v>
      </c>
      <c r="C758" t="s">
        <v>4903</v>
      </c>
      <c r="D758" t="s">
        <v>5496</v>
      </c>
      <c r="E758" t="s">
        <v>5276</v>
      </c>
      <c r="F758" t="s">
        <v>5089</v>
      </c>
      <c r="G758" t="s">
        <v>5355</v>
      </c>
      <c r="H758" t="s">
        <v>3651</v>
      </c>
      <c r="J758" t="s">
        <v>1342</v>
      </c>
      <c r="K758">
        <v>237.5</v>
      </c>
    </row>
    <row r="759" spans="1:11" x14ac:dyDescent="0.35">
      <c r="A759" t="s">
        <v>1344</v>
      </c>
      <c r="B759" s="1">
        <v>0</v>
      </c>
      <c r="C759" t="s">
        <v>473</v>
      </c>
      <c r="D759" t="s">
        <v>5246</v>
      </c>
      <c r="E759" t="s">
        <v>5182</v>
      </c>
      <c r="F759" t="s">
        <v>5089</v>
      </c>
      <c r="G759" t="s">
        <v>5132</v>
      </c>
      <c r="H759" t="s">
        <v>3327</v>
      </c>
      <c r="J759" t="s">
        <v>1344</v>
      </c>
      <c r="K759">
        <v>226.8</v>
      </c>
    </row>
    <row r="760" spans="1:11" x14ac:dyDescent="0.35">
      <c r="A760" t="s">
        <v>1346</v>
      </c>
      <c r="B760" s="1">
        <v>0</v>
      </c>
      <c r="C760" t="s">
        <v>1916</v>
      </c>
      <c r="D760" t="s">
        <v>5142</v>
      </c>
      <c r="E760" t="s">
        <v>5071</v>
      </c>
      <c r="F760" t="s">
        <v>5077</v>
      </c>
      <c r="G760" t="s">
        <v>5045</v>
      </c>
      <c r="H760" t="s">
        <v>3880</v>
      </c>
      <c r="J760" t="s">
        <v>1346</v>
      </c>
      <c r="K760">
        <v>209.2</v>
      </c>
    </row>
    <row r="761" spans="1:11" x14ac:dyDescent="0.35">
      <c r="A761" t="s">
        <v>1347</v>
      </c>
      <c r="B761" s="1">
        <v>0</v>
      </c>
      <c r="C761" t="s">
        <v>1048</v>
      </c>
      <c r="D761" t="s">
        <v>5533</v>
      </c>
      <c r="E761" t="s">
        <v>5237</v>
      </c>
      <c r="F761" t="s">
        <v>5077</v>
      </c>
      <c r="G761" t="s">
        <v>5110</v>
      </c>
      <c r="H761" t="s">
        <v>5663</v>
      </c>
      <c r="J761" t="s">
        <v>1347</v>
      </c>
      <c r="K761">
        <v>200.1</v>
      </c>
    </row>
    <row r="762" spans="1:11" x14ac:dyDescent="0.35">
      <c r="A762" t="s">
        <v>1349</v>
      </c>
      <c r="B762" s="1">
        <v>0</v>
      </c>
      <c r="C762" t="s">
        <v>448</v>
      </c>
      <c r="D762" t="s">
        <v>5579</v>
      </c>
      <c r="E762" t="s">
        <v>5076</v>
      </c>
      <c r="F762" t="s">
        <v>5077</v>
      </c>
      <c r="G762" t="s">
        <v>5045</v>
      </c>
      <c r="H762" t="s">
        <v>727</v>
      </c>
      <c r="J762" t="s">
        <v>1349</v>
      </c>
      <c r="K762">
        <v>206.9</v>
      </c>
    </row>
    <row r="763" spans="1:11" x14ac:dyDescent="0.35">
      <c r="A763" t="s">
        <v>1350</v>
      </c>
      <c r="B763" s="1">
        <v>0</v>
      </c>
      <c r="C763" t="s">
        <v>461</v>
      </c>
      <c r="D763" t="s">
        <v>5091</v>
      </c>
      <c r="E763" t="s">
        <v>5236</v>
      </c>
      <c r="F763" t="s">
        <v>5077</v>
      </c>
      <c r="G763" t="s">
        <v>5356</v>
      </c>
      <c r="H763" t="s">
        <v>1841</v>
      </c>
      <c r="J763" t="s">
        <v>1350</v>
      </c>
      <c r="K763">
        <v>220.4</v>
      </c>
    </row>
    <row r="764" spans="1:11" x14ac:dyDescent="0.35">
      <c r="A764" t="s">
        <v>1352</v>
      </c>
      <c r="B764" s="1">
        <v>0</v>
      </c>
      <c r="C764" t="s">
        <v>476</v>
      </c>
      <c r="D764" t="s">
        <v>5280</v>
      </c>
      <c r="E764" t="s">
        <v>5204</v>
      </c>
      <c r="F764" t="s">
        <v>5050</v>
      </c>
      <c r="G764" t="s">
        <v>5334</v>
      </c>
      <c r="H764" t="s">
        <v>1196</v>
      </c>
      <c r="J764" t="s">
        <v>1352</v>
      </c>
      <c r="K764">
        <v>201.3</v>
      </c>
    </row>
    <row r="765" spans="1:11" x14ac:dyDescent="0.35">
      <c r="A765" t="s">
        <v>1353</v>
      </c>
      <c r="B765" s="1">
        <v>0</v>
      </c>
      <c r="C765" t="s">
        <v>1044</v>
      </c>
      <c r="D765" t="s">
        <v>5206</v>
      </c>
      <c r="E765" t="s">
        <v>5431</v>
      </c>
      <c r="F765" t="s">
        <v>5050</v>
      </c>
      <c r="G765" t="s">
        <v>5337</v>
      </c>
      <c r="H765" t="s">
        <v>2850</v>
      </c>
      <c r="J765" t="s">
        <v>1353</v>
      </c>
      <c r="K765">
        <v>191.1</v>
      </c>
    </row>
    <row r="766" spans="1:11" x14ac:dyDescent="0.35">
      <c r="A766" t="s">
        <v>1354</v>
      </c>
      <c r="B766" s="1">
        <v>0</v>
      </c>
      <c r="C766" t="s">
        <v>417</v>
      </c>
      <c r="D766" t="s">
        <v>5450</v>
      </c>
      <c r="E766" t="s">
        <v>5420</v>
      </c>
      <c r="F766" t="s">
        <v>5050</v>
      </c>
      <c r="G766" t="s">
        <v>5168</v>
      </c>
      <c r="H766" t="s">
        <v>1284</v>
      </c>
      <c r="J766" t="s">
        <v>1354</v>
      </c>
      <c r="K766">
        <v>178.8</v>
      </c>
    </row>
    <row r="767" spans="1:11" x14ac:dyDescent="0.35">
      <c r="A767" t="s">
        <v>1356</v>
      </c>
      <c r="B767" s="1">
        <v>0</v>
      </c>
      <c r="C767" t="s">
        <v>5406</v>
      </c>
      <c r="D767" t="s">
        <v>5200</v>
      </c>
      <c r="E767" t="s">
        <v>5426</v>
      </c>
      <c r="F767" t="s">
        <v>5050</v>
      </c>
      <c r="G767" t="s">
        <v>5348</v>
      </c>
      <c r="H767" t="s">
        <v>51</v>
      </c>
      <c r="J767" t="s">
        <v>1356</v>
      </c>
      <c r="K767">
        <v>173.1</v>
      </c>
    </row>
    <row r="768" spans="1:11" x14ac:dyDescent="0.35">
      <c r="A768" t="s">
        <v>1357</v>
      </c>
      <c r="B768" s="1">
        <v>0</v>
      </c>
      <c r="C768" t="s">
        <v>392</v>
      </c>
      <c r="D768" t="s">
        <v>5114</v>
      </c>
      <c r="E768" t="s">
        <v>5426</v>
      </c>
      <c r="F768" t="s">
        <v>5050</v>
      </c>
      <c r="G768" t="s">
        <v>5159</v>
      </c>
      <c r="H768" t="s">
        <v>811</v>
      </c>
      <c r="J768" t="s">
        <v>1357</v>
      </c>
      <c r="K768">
        <v>173.6</v>
      </c>
    </row>
    <row r="769" spans="1:11" x14ac:dyDescent="0.35">
      <c r="A769" t="s">
        <v>1358</v>
      </c>
      <c r="B769" s="1">
        <v>0</v>
      </c>
      <c r="C769" t="s">
        <v>425</v>
      </c>
      <c r="D769" t="s">
        <v>5245</v>
      </c>
      <c r="E769" t="s">
        <v>5061</v>
      </c>
      <c r="F769" t="s">
        <v>5050</v>
      </c>
      <c r="G769" t="s">
        <v>5159</v>
      </c>
      <c r="H769" t="s">
        <v>668</v>
      </c>
      <c r="J769" t="s">
        <v>1358</v>
      </c>
      <c r="K769">
        <v>178.5</v>
      </c>
    </row>
    <row r="770" spans="1:11" x14ac:dyDescent="0.35">
      <c r="A770" t="s">
        <v>1359</v>
      </c>
      <c r="B770" s="1">
        <v>0</v>
      </c>
      <c r="C770" t="s">
        <v>1911</v>
      </c>
      <c r="D770" t="s">
        <v>5451</v>
      </c>
      <c r="E770" t="s">
        <v>5303</v>
      </c>
      <c r="F770" t="s">
        <v>5050</v>
      </c>
      <c r="G770" t="s">
        <v>5348</v>
      </c>
      <c r="H770" t="s">
        <v>1404</v>
      </c>
      <c r="J770" t="s">
        <v>1359</v>
      </c>
      <c r="K770">
        <v>185.1</v>
      </c>
    </row>
    <row r="771" spans="1:11" x14ac:dyDescent="0.35">
      <c r="A771" t="s">
        <v>1360</v>
      </c>
      <c r="B771" s="1">
        <v>0</v>
      </c>
      <c r="C771" t="s">
        <v>446</v>
      </c>
      <c r="D771" t="s">
        <v>5079</v>
      </c>
      <c r="E771" t="s">
        <v>5431</v>
      </c>
      <c r="F771" t="s">
        <v>5050</v>
      </c>
      <c r="G771" t="s">
        <v>5164</v>
      </c>
      <c r="H771" t="s">
        <v>712</v>
      </c>
      <c r="J771" t="s">
        <v>1360</v>
      </c>
      <c r="K771">
        <v>190.3</v>
      </c>
    </row>
    <row r="772" spans="1:11" x14ac:dyDescent="0.35">
      <c r="A772" t="s">
        <v>1362</v>
      </c>
      <c r="B772" s="1">
        <v>0</v>
      </c>
      <c r="C772" t="s">
        <v>3211</v>
      </c>
      <c r="D772" t="s">
        <v>5485</v>
      </c>
      <c r="E772" t="s">
        <v>5286</v>
      </c>
      <c r="F772" t="s">
        <v>5050</v>
      </c>
      <c r="G772" t="s">
        <v>5164</v>
      </c>
      <c r="H772" t="s">
        <v>2524</v>
      </c>
      <c r="J772" t="s">
        <v>1362</v>
      </c>
      <c r="K772">
        <v>190.9</v>
      </c>
    </row>
    <row r="773" spans="1:11" x14ac:dyDescent="0.35">
      <c r="A773" t="s">
        <v>1364</v>
      </c>
      <c r="B773" s="1">
        <v>0</v>
      </c>
      <c r="C773" t="s">
        <v>441</v>
      </c>
      <c r="D773" t="s">
        <v>5446</v>
      </c>
      <c r="E773" t="s">
        <v>5202</v>
      </c>
      <c r="F773" t="s">
        <v>5050</v>
      </c>
      <c r="G773" t="s">
        <v>5156</v>
      </c>
      <c r="H773" t="s">
        <v>1727</v>
      </c>
      <c r="J773" t="s">
        <v>1364</v>
      </c>
      <c r="K773">
        <v>190.2</v>
      </c>
    </row>
    <row r="774" spans="1:11" x14ac:dyDescent="0.35">
      <c r="A774" t="s">
        <v>1365</v>
      </c>
      <c r="B774" s="1">
        <v>0</v>
      </c>
      <c r="C774" t="s">
        <v>440</v>
      </c>
      <c r="D774" t="s">
        <v>5540</v>
      </c>
      <c r="E774" t="s">
        <v>5323</v>
      </c>
      <c r="F774" t="s">
        <v>5050</v>
      </c>
      <c r="G774" t="s">
        <v>5411</v>
      </c>
      <c r="H774" t="s">
        <v>756</v>
      </c>
      <c r="J774" t="s">
        <v>1365</v>
      </c>
      <c r="K774">
        <v>194.8</v>
      </c>
    </row>
    <row r="775" spans="1:11" x14ac:dyDescent="0.35">
      <c r="A775" t="s">
        <v>1366</v>
      </c>
      <c r="B775" s="1">
        <v>0</v>
      </c>
      <c r="C775" t="s">
        <v>3799</v>
      </c>
      <c r="D775" t="s">
        <v>5097</v>
      </c>
      <c r="E775" t="s">
        <v>5204</v>
      </c>
      <c r="F775" t="s">
        <v>5050</v>
      </c>
      <c r="G775" t="s">
        <v>5153</v>
      </c>
      <c r="H775" t="s">
        <v>686</v>
      </c>
      <c r="J775" t="s">
        <v>1366</v>
      </c>
      <c r="K775">
        <v>196.2</v>
      </c>
    </row>
    <row r="776" spans="1:11" x14ac:dyDescent="0.35">
      <c r="A776" t="s">
        <v>1368</v>
      </c>
      <c r="B776" s="1">
        <v>0</v>
      </c>
      <c r="C776" t="s">
        <v>2918</v>
      </c>
      <c r="D776" t="s">
        <v>5220</v>
      </c>
      <c r="E776" t="s">
        <v>5055</v>
      </c>
      <c r="F776" t="s">
        <v>5050</v>
      </c>
      <c r="G776" t="s">
        <v>5334</v>
      </c>
      <c r="H776" t="s">
        <v>607</v>
      </c>
      <c r="J776" t="s">
        <v>1368</v>
      </c>
      <c r="K776">
        <v>189.5</v>
      </c>
    </row>
    <row r="777" spans="1:11" x14ac:dyDescent="0.35">
      <c r="A777" t="s">
        <v>1369</v>
      </c>
      <c r="B777" s="1">
        <v>0</v>
      </c>
      <c r="C777" t="s">
        <v>1517</v>
      </c>
      <c r="D777" t="s">
        <v>5106</v>
      </c>
      <c r="E777" t="s">
        <v>5597</v>
      </c>
      <c r="F777" t="s">
        <v>5050</v>
      </c>
      <c r="G777" t="s">
        <v>5339</v>
      </c>
      <c r="H777" t="s">
        <v>2215</v>
      </c>
      <c r="J777" t="s">
        <v>1369</v>
      </c>
      <c r="K777">
        <v>179.2</v>
      </c>
    </row>
    <row r="778" spans="1:11" x14ac:dyDescent="0.35">
      <c r="A778" t="s">
        <v>1370</v>
      </c>
      <c r="B778" s="1">
        <v>0</v>
      </c>
      <c r="C778" t="s">
        <v>5603</v>
      </c>
      <c r="D778" t="s">
        <v>5456</v>
      </c>
      <c r="E778" t="s">
        <v>5570</v>
      </c>
      <c r="F778" t="s">
        <v>5050</v>
      </c>
      <c r="G778" t="s">
        <v>5348</v>
      </c>
      <c r="H778" t="s">
        <v>190</v>
      </c>
      <c r="J778" t="s">
        <v>1370</v>
      </c>
      <c r="K778">
        <v>170.9</v>
      </c>
    </row>
    <row r="779" spans="1:11" x14ac:dyDescent="0.35">
      <c r="A779" t="s">
        <v>1372</v>
      </c>
      <c r="B779" s="1">
        <v>0</v>
      </c>
      <c r="C779" t="s">
        <v>5615</v>
      </c>
      <c r="D779" t="s">
        <v>5114</v>
      </c>
      <c r="E779" t="s">
        <v>5289</v>
      </c>
      <c r="F779" t="s">
        <v>5050</v>
      </c>
      <c r="G779" t="s">
        <v>5180</v>
      </c>
      <c r="H779" t="s">
        <v>670</v>
      </c>
      <c r="J779" t="s">
        <v>1372</v>
      </c>
      <c r="K779">
        <v>165.7</v>
      </c>
    </row>
    <row r="780" spans="1:11" x14ac:dyDescent="0.35">
      <c r="A780" t="s">
        <v>1373</v>
      </c>
      <c r="B780" s="1">
        <v>0</v>
      </c>
      <c r="C780" t="s">
        <v>5566</v>
      </c>
      <c r="D780" t="s">
        <v>5440</v>
      </c>
      <c r="E780" t="s">
        <v>5417</v>
      </c>
      <c r="F780" t="s">
        <v>5050</v>
      </c>
      <c r="G780" t="s">
        <v>5180</v>
      </c>
      <c r="H780" t="s">
        <v>933</v>
      </c>
      <c r="J780" t="s">
        <v>1373</v>
      </c>
      <c r="K780">
        <v>169.1</v>
      </c>
    </row>
    <row r="781" spans="1:11" x14ac:dyDescent="0.35">
      <c r="A781" t="s">
        <v>1374</v>
      </c>
      <c r="B781" s="1">
        <v>0</v>
      </c>
      <c r="C781" t="s">
        <v>5631</v>
      </c>
      <c r="D781" t="s">
        <v>5133</v>
      </c>
      <c r="E781" t="s">
        <v>5073</v>
      </c>
      <c r="F781" t="s">
        <v>5050</v>
      </c>
      <c r="G781" t="s">
        <v>5177</v>
      </c>
      <c r="H781" t="s">
        <v>893</v>
      </c>
      <c r="J781" t="s">
        <v>1374</v>
      </c>
      <c r="K781">
        <v>177.8</v>
      </c>
    </row>
    <row r="782" spans="1:11" x14ac:dyDescent="0.35">
      <c r="A782" t="s">
        <v>1376</v>
      </c>
      <c r="B782" s="1">
        <v>0</v>
      </c>
      <c r="C782" t="s">
        <v>374</v>
      </c>
      <c r="D782" t="s">
        <v>5366</v>
      </c>
      <c r="E782" t="s">
        <v>5221</v>
      </c>
      <c r="F782" t="s">
        <v>5050</v>
      </c>
      <c r="G782" t="s">
        <v>5348</v>
      </c>
      <c r="H782" t="s">
        <v>679</v>
      </c>
      <c r="J782" t="s">
        <v>1376</v>
      </c>
      <c r="K782">
        <v>190</v>
      </c>
    </row>
    <row r="783" spans="1:11" x14ac:dyDescent="0.35">
      <c r="A783" t="s">
        <v>1377</v>
      </c>
      <c r="B783" s="1">
        <v>0</v>
      </c>
      <c r="C783" t="s">
        <v>1057</v>
      </c>
      <c r="D783" t="s">
        <v>5575</v>
      </c>
      <c r="E783" t="s">
        <v>5173</v>
      </c>
      <c r="F783" t="s">
        <v>5050</v>
      </c>
      <c r="G783" t="s">
        <v>5164</v>
      </c>
      <c r="H783" t="s">
        <v>247</v>
      </c>
      <c r="J783" t="s">
        <v>1377</v>
      </c>
      <c r="K783">
        <v>194.6</v>
      </c>
    </row>
    <row r="784" spans="1:11" x14ac:dyDescent="0.35">
      <c r="A784" t="s">
        <v>1378</v>
      </c>
      <c r="B784" s="1">
        <v>0</v>
      </c>
      <c r="C784" t="s">
        <v>3212</v>
      </c>
      <c r="D784" t="s">
        <v>5533</v>
      </c>
      <c r="E784" t="s">
        <v>5323</v>
      </c>
      <c r="F784" t="s">
        <v>5050</v>
      </c>
      <c r="G784" t="s">
        <v>5164</v>
      </c>
      <c r="H784" t="s">
        <v>1190</v>
      </c>
      <c r="J784" t="s">
        <v>1378</v>
      </c>
      <c r="K784">
        <v>193.1</v>
      </c>
    </row>
    <row r="785" spans="1:11" x14ac:dyDescent="0.35">
      <c r="A785" t="s">
        <v>1379</v>
      </c>
      <c r="B785" s="1">
        <v>0</v>
      </c>
      <c r="C785" t="s">
        <v>435</v>
      </c>
      <c r="D785" t="s">
        <v>5438</v>
      </c>
      <c r="E785" t="s">
        <v>5303</v>
      </c>
      <c r="F785" t="s">
        <v>5050</v>
      </c>
      <c r="G785" t="s">
        <v>5159</v>
      </c>
      <c r="H785" t="s">
        <v>1337</v>
      </c>
      <c r="J785" t="s">
        <v>1379</v>
      </c>
      <c r="K785">
        <v>181.2</v>
      </c>
    </row>
    <row r="786" spans="1:11" x14ac:dyDescent="0.35">
      <c r="A786" t="s">
        <v>1380</v>
      </c>
      <c r="B786" s="1">
        <v>0</v>
      </c>
      <c r="C786" t="s">
        <v>5460</v>
      </c>
      <c r="D786" t="s">
        <v>5114</v>
      </c>
      <c r="E786" t="s">
        <v>5570</v>
      </c>
      <c r="F786" t="s">
        <v>5050</v>
      </c>
      <c r="G786" t="s">
        <v>5184</v>
      </c>
      <c r="H786" t="s">
        <v>70</v>
      </c>
      <c r="J786" t="s">
        <v>1380</v>
      </c>
      <c r="K786">
        <v>167.9</v>
      </c>
    </row>
    <row r="787" spans="1:11" x14ac:dyDescent="0.35">
      <c r="A787" t="s">
        <v>1381</v>
      </c>
      <c r="B787" s="1">
        <v>0</v>
      </c>
      <c r="C787" t="s">
        <v>5632</v>
      </c>
      <c r="D787" t="s">
        <v>5100</v>
      </c>
      <c r="E787" t="s">
        <v>5057</v>
      </c>
      <c r="F787" t="s">
        <v>5050</v>
      </c>
      <c r="G787" t="s">
        <v>5195</v>
      </c>
      <c r="H787" t="s">
        <v>177</v>
      </c>
      <c r="J787" t="s">
        <v>1381</v>
      </c>
      <c r="K787">
        <v>163.80000000000001</v>
      </c>
    </row>
    <row r="788" spans="1:11" x14ac:dyDescent="0.35">
      <c r="A788" t="s">
        <v>1382</v>
      </c>
      <c r="B788" s="1">
        <v>0</v>
      </c>
      <c r="C788" t="s">
        <v>5633</v>
      </c>
      <c r="D788" t="s">
        <v>5145</v>
      </c>
      <c r="E788" t="s">
        <v>5426</v>
      </c>
      <c r="F788" t="s">
        <v>5050</v>
      </c>
      <c r="G788" t="s">
        <v>5184</v>
      </c>
      <c r="H788" t="s">
        <v>2676</v>
      </c>
      <c r="J788" t="s">
        <v>1382</v>
      </c>
      <c r="K788">
        <v>166.6</v>
      </c>
    </row>
    <row r="789" spans="1:11" x14ac:dyDescent="0.35">
      <c r="A789" t="s">
        <v>1384</v>
      </c>
      <c r="B789" s="1">
        <v>0</v>
      </c>
      <c r="C789" t="s">
        <v>5610</v>
      </c>
      <c r="D789" t="s">
        <v>5433</v>
      </c>
      <c r="E789" t="s">
        <v>5052</v>
      </c>
      <c r="F789" t="s">
        <v>5050</v>
      </c>
      <c r="G789" t="s">
        <v>5180</v>
      </c>
      <c r="H789" t="s">
        <v>886</v>
      </c>
      <c r="J789" t="s">
        <v>1384</v>
      </c>
      <c r="K789">
        <v>167.5</v>
      </c>
    </row>
    <row r="790" spans="1:11" x14ac:dyDescent="0.35">
      <c r="A790" t="s">
        <v>1385</v>
      </c>
      <c r="B790" s="1">
        <v>0</v>
      </c>
      <c r="C790" t="s">
        <v>5628</v>
      </c>
      <c r="D790" t="s">
        <v>5113</v>
      </c>
      <c r="E790" t="s">
        <v>5299</v>
      </c>
      <c r="F790" t="s">
        <v>5050</v>
      </c>
      <c r="G790" t="s">
        <v>5180</v>
      </c>
      <c r="H790" t="s">
        <v>671</v>
      </c>
      <c r="J790" t="s">
        <v>1385</v>
      </c>
      <c r="K790">
        <v>164.8</v>
      </c>
    </row>
    <row r="791" spans="1:11" x14ac:dyDescent="0.35">
      <c r="A791" s="2">
        <v>40603</v>
      </c>
      <c r="B791" s="1">
        <v>0</v>
      </c>
      <c r="C791" t="s">
        <v>5614</v>
      </c>
      <c r="D791" t="s">
        <v>5182</v>
      </c>
      <c r="E791" t="s">
        <v>5320</v>
      </c>
      <c r="F791" t="s">
        <v>5050</v>
      </c>
      <c r="G791" t="s">
        <v>5177</v>
      </c>
      <c r="H791" t="s">
        <v>887</v>
      </c>
      <c r="J791" s="2">
        <v>40603</v>
      </c>
      <c r="K791">
        <v>163.1</v>
      </c>
    </row>
    <row r="792" spans="1:11" x14ac:dyDescent="0.35">
      <c r="A792" s="2">
        <v>40604</v>
      </c>
      <c r="B792" s="1">
        <v>0</v>
      </c>
      <c r="C792" t="s">
        <v>5650</v>
      </c>
      <c r="D792" t="s">
        <v>5435</v>
      </c>
      <c r="E792" t="s">
        <v>5415</v>
      </c>
      <c r="F792" t="s">
        <v>5078</v>
      </c>
      <c r="G792" t="s">
        <v>5230</v>
      </c>
      <c r="H792" t="s">
        <v>955</v>
      </c>
      <c r="J792" s="2">
        <v>40604</v>
      </c>
      <c r="K792">
        <v>172.8</v>
      </c>
    </row>
    <row r="793" spans="1:11" x14ac:dyDescent="0.35">
      <c r="A793" s="2">
        <v>40605</v>
      </c>
      <c r="B793" s="1">
        <v>0</v>
      </c>
      <c r="C793" t="s">
        <v>1020</v>
      </c>
      <c r="D793" t="s">
        <v>5141</v>
      </c>
      <c r="E793" t="s">
        <v>5057</v>
      </c>
      <c r="F793" t="s">
        <v>5078</v>
      </c>
      <c r="G793" t="s">
        <v>5050</v>
      </c>
      <c r="H793" t="s">
        <v>1987</v>
      </c>
      <c r="J793" s="2">
        <v>40605</v>
      </c>
      <c r="K793">
        <v>182.4</v>
      </c>
    </row>
    <row r="794" spans="1:11" x14ac:dyDescent="0.35">
      <c r="A794" s="2">
        <v>40606</v>
      </c>
      <c r="B794" s="1">
        <v>0</v>
      </c>
      <c r="C794" t="s">
        <v>346</v>
      </c>
      <c r="D794" t="s">
        <v>5445</v>
      </c>
      <c r="E794" t="s">
        <v>5070</v>
      </c>
      <c r="F794" t="s">
        <v>5078</v>
      </c>
      <c r="G794" t="s">
        <v>5412</v>
      </c>
      <c r="H794" t="s">
        <v>1198</v>
      </c>
      <c r="J794" s="2">
        <v>40606</v>
      </c>
      <c r="K794">
        <v>200.9</v>
      </c>
    </row>
    <row r="795" spans="1:11" x14ac:dyDescent="0.35">
      <c r="A795" s="2">
        <v>40607</v>
      </c>
      <c r="B795" s="1">
        <v>0</v>
      </c>
      <c r="C795" t="s">
        <v>5648</v>
      </c>
      <c r="D795" t="s">
        <v>5146</v>
      </c>
      <c r="E795" t="s">
        <v>5170</v>
      </c>
      <c r="F795" t="s">
        <v>5078</v>
      </c>
      <c r="G795" t="s">
        <v>5215</v>
      </c>
      <c r="H795" t="s">
        <v>659</v>
      </c>
      <c r="J795" s="2">
        <v>40607</v>
      </c>
      <c r="K795">
        <v>217.2</v>
      </c>
    </row>
    <row r="796" spans="1:11" x14ac:dyDescent="0.35">
      <c r="A796" s="2">
        <v>40608</v>
      </c>
      <c r="B796" s="1">
        <v>0</v>
      </c>
      <c r="C796" t="s">
        <v>1542</v>
      </c>
      <c r="D796" t="s">
        <v>5238</v>
      </c>
      <c r="E796" t="s">
        <v>5170</v>
      </c>
      <c r="F796" t="s">
        <v>5078</v>
      </c>
      <c r="G796" t="s">
        <v>5124</v>
      </c>
      <c r="H796" t="s">
        <v>617</v>
      </c>
      <c r="J796" s="2">
        <v>40608</v>
      </c>
      <c r="K796">
        <v>217.4</v>
      </c>
    </row>
    <row r="797" spans="1:11" x14ac:dyDescent="0.35">
      <c r="A797" s="2">
        <v>40609</v>
      </c>
      <c r="B797" s="1">
        <v>0</v>
      </c>
      <c r="C797" t="s">
        <v>981</v>
      </c>
      <c r="D797" t="s">
        <v>5285</v>
      </c>
      <c r="E797" t="s">
        <v>5070</v>
      </c>
      <c r="F797" t="s">
        <v>5078</v>
      </c>
      <c r="G797" t="s">
        <v>5124</v>
      </c>
      <c r="H797" t="s">
        <v>1315</v>
      </c>
      <c r="J797" s="2">
        <v>40609</v>
      </c>
      <c r="K797">
        <v>207</v>
      </c>
    </row>
    <row r="798" spans="1:11" x14ac:dyDescent="0.35">
      <c r="A798" s="2">
        <v>40610</v>
      </c>
      <c r="B798" s="1">
        <v>0</v>
      </c>
      <c r="C798" t="s">
        <v>1529</v>
      </c>
      <c r="D798" t="s">
        <v>5154</v>
      </c>
      <c r="E798" t="s">
        <v>5283</v>
      </c>
      <c r="F798" t="s">
        <v>5078</v>
      </c>
      <c r="G798" t="s">
        <v>5099</v>
      </c>
      <c r="H798" t="s">
        <v>86</v>
      </c>
      <c r="J798" s="2">
        <v>40610</v>
      </c>
      <c r="K798">
        <v>199.7</v>
      </c>
    </row>
    <row r="799" spans="1:11" x14ac:dyDescent="0.35">
      <c r="A799" s="2">
        <v>40611</v>
      </c>
      <c r="B799" s="1">
        <v>0</v>
      </c>
      <c r="C799" t="s">
        <v>1473</v>
      </c>
      <c r="D799" t="s">
        <v>5245</v>
      </c>
      <c r="E799" t="s">
        <v>5052</v>
      </c>
      <c r="F799" t="s">
        <v>5215</v>
      </c>
      <c r="G799" t="s">
        <v>5124</v>
      </c>
      <c r="H799" t="s">
        <v>2401</v>
      </c>
      <c r="J799" s="2">
        <v>40611</v>
      </c>
      <c r="K799">
        <v>205.8</v>
      </c>
    </row>
    <row r="800" spans="1:11" x14ac:dyDescent="0.35">
      <c r="A800" s="2">
        <v>40612</v>
      </c>
      <c r="B800" s="1">
        <v>0</v>
      </c>
      <c r="C800" t="s">
        <v>1560</v>
      </c>
      <c r="D800" t="s">
        <v>5519</v>
      </c>
      <c r="E800" t="s">
        <v>5313</v>
      </c>
      <c r="F800" t="s">
        <v>5215</v>
      </c>
      <c r="G800" t="s">
        <v>5082</v>
      </c>
      <c r="H800" t="s">
        <v>1838</v>
      </c>
      <c r="J800" s="2">
        <v>40612</v>
      </c>
      <c r="K800">
        <v>219.9</v>
      </c>
    </row>
    <row r="801" spans="1:11" x14ac:dyDescent="0.35">
      <c r="A801" s="2">
        <v>40613</v>
      </c>
      <c r="B801" s="1">
        <v>0</v>
      </c>
      <c r="C801" t="s">
        <v>483</v>
      </c>
      <c r="D801" t="s">
        <v>5148</v>
      </c>
      <c r="E801" t="s">
        <v>5286</v>
      </c>
      <c r="F801" t="s">
        <v>5215</v>
      </c>
      <c r="G801" t="s">
        <v>5095</v>
      </c>
      <c r="H801" t="s">
        <v>2033</v>
      </c>
      <c r="J801" s="2">
        <v>40613</v>
      </c>
      <c r="K801">
        <v>224.5</v>
      </c>
    </row>
    <row r="802" spans="1:11" x14ac:dyDescent="0.35">
      <c r="A802" s="2">
        <v>40614</v>
      </c>
      <c r="B802" s="1">
        <v>0</v>
      </c>
      <c r="C802" t="s">
        <v>2</v>
      </c>
      <c r="D802" t="s">
        <v>5148</v>
      </c>
      <c r="E802" t="s">
        <v>5428</v>
      </c>
      <c r="F802" t="s">
        <v>5215</v>
      </c>
      <c r="G802" t="s">
        <v>5078</v>
      </c>
      <c r="H802" t="s">
        <v>2407</v>
      </c>
      <c r="J802" s="2">
        <v>40614</v>
      </c>
      <c r="K802">
        <v>218.3</v>
      </c>
    </row>
    <row r="803" spans="1:11" x14ac:dyDescent="0.35">
      <c r="A803" s="2">
        <v>40615</v>
      </c>
      <c r="B803" s="1">
        <v>0</v>
      </c>
      <c r="C803" t="s">
        <v>347</v>
      </c>
      <c r="D803" t="s">
        <v>5129</v>
      </c>
      <c r="E803" t="s">
        <v>5056</v>
      </c>
      <c r="F803" t="s">
        <v>5215</v>
      </c>
      <c r="G803" t="s">
        <v>5412</v>
      </c>
      <c r="H803" t="s">
        <v>3366</v>
      </c>
      <c r="J803" s="2">
        <v>40615</v>
      </c>
      <c r="K803">
        <v>207.1</v>
      </c>
    </row>
    <row r="804" spans="1:11" x14ac:dyDescent="0.35">
      <c r="A804" s="2">
        <v>40616</v>
      </c>
      <c r="B804" s="1">
        <v>0</v>
      </c>
      <c r="C804" t="s">
        <v>1917</v>
      </c>
      <c r="D804" t="s">
        <v>5538</v>
      </c>
      <c r="E804" t="s">
        <v>5056</v>
      </c>
      <c r="F804" t="s">
        <v>5215</v>
      </c>
      <c r="G804" t="s">
        <v>5240</v>
      </c>
      <c r="H804" t="s">
        <v>3335</v>
      </c>
      <c r="J804" s="2">
        <v>40616</v>
      </c>
      <c r="K804">
        <v>200.7</v>
      </c>
    </row>
    <row r="805" spans="1:11" x14ac:dyDescent="0.35">
      <c r="A805" s="2">
        <v>40617</v>
      </c>
      <c r="B805" s="1">
        <v>0</v>
      </c>
      <c r="C805" t="s">
        <v>3798</v>
      </c>
      <c r="D805" t="s">
        <v>5206</v>
      </c>
      <c r="E805" t="s">
        <v>5323</v>
      </c>
      <c r="F805" t="s">
        <v>5078</v>
      </c>
      <c r="G805" t="s">
        <v>5050</v>
      </c>
      <c r="H805" t="s">
        <v>4199</v>
      </c>
      <c r="J805" s="2">
        <v>40617</v>
      </c>
      <c r="K805">
        <v>200.6</v>
      </c>
    </row>
    <row r="806" spans="1:11" x14ac:dyDescent="0.35">
      <c r="A806" s="2">
        <v>40618</v>
      </c>
      <c r="B806" s="1">
        <v>0</v>
      </c>
      <c r="C806" t="s">
        <v>444</v>
      </c>
      <c r="D806" t="s">
        <v>5447</v>
      </c>
      <c r="E806" t="s">
        <v>5221</v>
      </c>
      <c r="F806" t="s">
        <v>5078</v>
      </c>
      <c r="G806" t="s">
        <v>5240</v>
      </c>
      <c r="H806" t="s">
        <v>216</v>
      </c>
      <c r="J806" s="2">
        <v>40618</v>
      </c>
      <c r="K806">
        <v>202.3</v>
      </c>
    </row>
    <row r="807" spans="1:11" x14ac:dyDescent="0.35">
      <c r="A807" s="2">
        <v>40619</v>
      </c>
      <c r="B807" s="1">
        <v>0</v>
      </c>
      <c r="C807" t="s">
        <v>438</v>
      </c>
      <c r="D807" t="s">
        <v>5595</v>
      </c>
      <c r="E807" t="s">
        <v>5234</v>
      </c>
      <c r="F807" t="s">
        <v>5078</v>
      </c>
      <c r="G807" t="s">
        <v>5046</v>
      </c>
      <c r="H807" t="s">
        <v>249</v>
      </c>
      <c r="J807" s="2">
        <v>40619</v>
      </c>
      <c r="K807">
        <v>196.7</v>
      </c>
    </row>
    <row r="808" spans="1:11" x14ac:dyDescent="0.35">
      <c r="A808" s="2">
        <v>40620</v>
      </c>
      <c r="B808" s="1">
        <v>0</v>
      </c>
      <c r="C808" t="s">
        <v>380</v>
      </c>
      <c r="D808" t="s">
        <v>5492</v>
      </c>
      <c r="E808" t="s">
        <v>5056</v>
      </c>
      <c r="F808" t="s">
        <v>5078</v>
      </c>
      <c r="G808" t="s">
        <v>5222</v>
      </c>
      <c r="H808" t="s">
        <v>712</v>
      </c>
      <c r="J808" s="2">
        <v>40620</v>
      </c>
      <c r="K808">
        <v>190.3</v>
      </c>
    </row>
    <row r="809" spans="1:11" x14ac:dyDescent="0.35">
      <c r="A809" s="2">
        <v>40621</v>
      </c>
      <c r="B809" s="1">
        <v>0</v>
      </c>
      <c r="C809" t="s">
        <v>1011</v>
      </c>
      <c r="D809" t="s">
        <v>5225</v>
      </c>
      <c r="E809" t="s">
        <v>5056</v>
      </c>
      <c r="F809" t="s">
        <v>5078</v>
      </c>
      <c r="G809" t="s">
        <v>5207</v>
      </c>
      <c r="H809" t="s">
        <v>709</v>
      </c>
      <c r="J809" s="2">
        <v>40621</v>
      </c>
      <c r="K809">
        <v>187.6</v>
      </c>
    </row>
    <row r="810" spans="1:11" x14ac:dyDescent="0.35">
      <c r="A810" s="2">
        <v>40622</v>
      </c>
      <c r="B810" s="1">
        <v>0</v>
      </c>
      <c r="C810" t="s">
        <v>1033</v>
      </c>
      <c r="D810" t="s">
        <v>5528</v>
      </c>
      <c r="E810" t="s">
        <v>5422</v>
      </c>
      <c r="F810" t="s">
        <v>5078</v>
      </c>
      <c r="G810" t="s">
        <v>5172</v>
      </c>
      <c r="H810" t="s">
        <v>32</v>
      </c>
      <c r="J810" s="2">
        <v>40622</v>
      </c>
      <c r="K810">
        <v>186.6</v>
      </c>
    </row>
    <row r="811" spans="1:11" x14ac:dyDescent="0.35">
      <c r="A811" s="2">
        <v>40623</v>
      </c>
      <c r="B811" s="1">
        <v>0</v>
      </c>
      <c r="C811" t="s">
        <v>1027</v>
      </c>
      <c r="D811" t="s">
        <v>5220</v>
      </c>
      <c r="E811" t="s">
        <v>5064</v>
      </c>
      <c r="F811" t="s">
        <v>5078</v>
      </c>
      <c r="G811" t="s">
        <v>5222</v>
      </c>
      <c r="H811" t="s">
        <v>1682</v>
      </c>
      <c r="J811" s="2">
        <v>40623</v>
      </c>
      <c r="K811">
        <v>186.3</v>
      </c>
    </row>
    <row r="812" spans="1:11" x14ac:dyDescent="0.35">
      <c r="A812" s="2">
        <v>40624</v>
      </c>
      <c r="B812" s="1">
        <v>0</v>
      </c>
      <c r="C812" t="s">
        <v>1005</v>
      </c>
      <c r="D812" t="s">
        <v>5090</v>
      </c>
      <c r="E812" t="s">
        <v>5597</v>
      </c>
      <c r="F812" t="s">
        <v>5078</v>
      </c>
      <c r="G812" t="s">
        <v>5230</v>
      </c>
      <c r="H812" t="s">
        <v>183</v>
      </c>
      <c r="J812" s="2">
        <v>40624</v>
      </c>
      <c r="K812">
        <v>181.4</v>
      </c>
    </row>
    <row r="813" spans="1:11" x14ac:dyDescent="0.35">
      <c r="A813" s="2">
        <v>40625</v>
      </c>
      <c r="B813" s="1">
        <v>0</v>
      </c>
      <c r="C813" t="s">
        <v>5398</v>
      </c>
      <c r="D813" t="s">
        <v>5522</v>
      </c>
      <c r="E813" t="s">
        <v>5052</v>
      </c>
      <c r="F813" t="s">
        <v>5078</v>
      </c>
      <c r="G813" t="s">
        <v>5222</v>
      </c>
      <c r="H813" t="s">
        <v>182</v>
      </c>
      <c r="J813" s="2">
        <v>40625</v>
      </c>
      <c r="K813">
        <v>172.9</v>
      </c>
    </row>
    <row r="814" spans="1:11" x14ac:dyDescent="0.35">
      <c r="A814" s="2">
        <v>40626</v>
      </c>
      <c r="B814" s="1">
        <v>0</v>
      </c>
      <c r="C814" t="s">
        <v>5510</v>
      </c>
      <c r="D814" t="s">
        <v>5203</v>
      </c>
      <c r="E814" t="s">
        <v>5568</v>
      </c>
      <c r="F814" t="s">
        <v>5078</v>
      </c>
      <c r="G814" t="s">
        <v>5172</v>
      </c>
      <c r="H814" t="s">
        <v>784</v>
      </c>
      <c r="J814" s="2">
        <v>40626</v>
      </c>
      <c r="K814">
        <v>166.1</v>
      </c>
    </row>
    <row r="815" spans="1:11" x14ac:dyDescent="0.35">
      <c r="A815" s="2">
        <v>40627</v>
      </c>
      <c r="B815" s="1">
        <v>0</v>
      </c>
      <c r="C815" t="s">
        <v>5619</v>
      </c>
      <c r="D815" t="s">
        <v>5572</v>
      </c>
      <c r="E815" t="s">
        <v>5417</v>
      </c>
      <c r="F815" t="s">
        <v>5183</v>
      </c>
      <c r="G815" t="s">
        <v>5172</v>
      </c>
      <c r="H815" t="s">
        <v>2431</v>
      </c>
      <c r="J815" s="2">
        <v>40627</v>
      </c>
      <c r="K815">
        <v>167.6</v>
      </c>
    </row>
    <row r="816" spans="1:11" x14ac:dyDescent="0.35">
      <c r="A816" s="2">
        <v>40628</v>
      </c>
      <c r="B816" s="1">
        <v>0</v>
      </c>
      <c r="C816" t="s">
        <v>5515</v>
      </c>
      <c r="D816" t="s">
        <v>5252</v>
      </c>
      <c r="E816" t="s">
        <v>5073</v>
      </c>
      <c r="F816" t="s">
        <v>5183</v>
      </c>
      <c r="G816" t="s">
        <v>5172</v>
      </c>
      <c r="H816" t="s">
        <v>167</v>
      </c>
      <c r="J816" s="2">
        <v>40628</v>
      </c>
      <c r="K816">
        <v>177</v>
      </c>
    </row>
    <row r="817" spans="1:11" x14ac:dyDescent="0.35">
      <c r="A817" s="2">
        <v>40629</v>
      </c>
      <c r="B817" s="1">
        <v>0</v>
      </c>
      <c r="C817" t="s">
        <v>993</v>
      </c>
      <c r="D817" t="s">
        <v>5238</v>
      </c>
      <c r="E817" t="s">
        <v>5234</v>
      </c>
      <c r="F817" t="s">
        <v>5078</v>
      </c>
      <c r="G817" t="s">
        <v>5174</v>
      </c>
      <c r="H817" t="s">
        <v>3150</v>
      </c>
      <c r="J817" s="2">
        <v>40629</v>
      </c>
      <c r="K817">
        <v>189.1</v>
      </c>
    </row>
    <row r="818" spans="1:11" x14ac:dyDescent="0.35">
      <c r="A818" s="2">
        <v>40630</v>
      </c>
      <c r="B818" s="1">
        <v>0</v>
      </c>
      <c r="C818" t="s">
        <v>2235</v>
      </c>
      <c r="D818" t="s">
        <v>5146</v>
      </c>
      <c r="E818" t="s">
        <v>5428</v>
      </c>
      <c r="F818" t="s">
        <v>5078</v>
      </c>
      <c r="G818" t="s">
        <v>5054</v>
      </c>
      <c r="H818" t="s">
        <v>2366</v>
      </c>
      <c r="J818" s="2">
        <v>40630</v>
      </c>
      <c r="K818">
        <v>193.9</v>
      </c>
    </row>
    <row r="819" spans="1:11" x14ac:dyDescent="0.35">
      <c r="A819" s="2">
        <v>40631</v>
      </c>
      <c r="B819" s="1">
        <v>0</v>
      </c>
      <c r="C819" t="s">
        <v>441</v>
      </c>
      <c r="D819" t="s">
        <v>5285</v>
      </c>
      <c r="E819" t="s">
        <v>5171</v>
      </c>
      <c r="F819" t="s">
        <v>5078</v>
      </c>
      <c r="G819" t="s">
        <v>5412</v>
      </c>
      <c r="H819" t="s">
        <v>1185</v>
      </c>
      <c r="J819" s="2">
        <v>40631</v>
      </c>
      <c r="K819">
        <v>194.2</v>
      </c>
    </row>
    <row r="820" spans="1:11" x14ac:dyDescent="0.35">
      <c r="A820" s="2">
        <v>40632</v>
      </c>
      <c r="B820" s="1">
        <v>0</v>
      </c>
      <c r="C820" t="s">
        <v>368</v>
      </c>
      <c r="D820" t="s">
        <v>5133</v>
      </c>
      <c r="E820" t="s">
        <v>5310</v>
      </c>
      <c r="F820" t="s">
        <v>5078</v>
      </c>
      <c r="G820" t="s">
        <v>5062</v>
      </c>
      <c r="H820" t="s">
        <v>3916</v>
      </c>
      <c r="J820" s="2">
        <v>40632</v>
      </c>
      <c r="K820">
        <v>198.8</v>
      </c>
    </row>
    <row r="821" spans="1:11" x14ac:dyDescent="0.35">
      <c r="A821" s="2">
        <v>40633</v>
      </c>
      <c r="B821" s="1">
        <v>0</v>
      </c>
      <c r="C821" t="s">
        <v>461</v>
      </c>
      <c r="D821" t="s">
        <v>5370</v>
      </c>
      <c r="E821" t="s">
        <v>5167</v>
      </c>
      <c r="F821" t="s">
        <v>5215</v>
      </c>
      <c r="G821" t="s">
        <v>5065</v>
      </c>
      <c r="H821" t="s">
        <v>1707</v>
      </c>
      <c r="J821" s="2">
        <v>40633</v>
      </c>
      <c r="K821">
        <v>212.7</v>
      </c>
    </row>
    <row r="822" spans="1:11" x14ac:dyDescent="0.35">
      <c r="A822" t="s">
        <v>1397</v>
      </c>
      <c r="B822" s="1">
        <v>0</v>
      </c>
      <c r="C822" t="s">
        <v>1542</v>
      </c>
      <c r="D822" t="s">
        <v>5483</v>
      </c>
      <c r="E822" t="s">
        <v>5162</v>
      </c>
      <c r="F822" t="s">
        <v>5215</v>
      </c>
      <c r="G822" t="s">
        <v>5062</v>
      </c>
      <c r="H822" t="s">
        <v>3037</v>
      </c>
      <c r="J822" t="s">
        <v>1397</v>
      </c>
      <c r="K822">
        <v>223.4</v>
      </c>
    </row>
    <row r="823" spans="1:11" x14ac:dyDescent="0.35">
      <c r="A823" t="s">
        <v>1398</v>
      </c>
      <c r="B823" s="1">
        <v>0</v>
      </c>
      <c r="C823" t="s">
        <v>4083</v>
      </c>
      <c r="D823" t="s">
        <v>5583</v>
      </c>
      <c r="E823" t="s">
        <v>5448</v>
      </c>
      <c r="F823" t="s">
        <v>5089</v>
      </c>
      <c r="G823" t="s">
        <v>5179</v>
      </c>
      <c r="H823" t="s">
        <v>3745</v>
      </c>
      <c r="J823" t="s">
        <v>1398</v>
      </c>
      <c r="K823">
        <v>227.9</v>
      </c>
    </row>
    <row r="824" spans="1:11" x14ac:dyDescent="0.35">
      <c r="A824" t="s">
        <v>1401</v>
      </c>
      <c r="B824" s="1">
        <v>0</v>
      </c>
      <c r="C824" t="s">
        <v>1536</v>
      </c>
      <c r="D824" t="s">
        <v>5091</v>
      </c>
      <c r="E824" t="s">
        <v>5257</v>
      </c>
      <c r="F824" t="s">
        <v>5089</v>
      </c>
      <c r="G824" t="s">
        <v>5054</v>
      </c>
      <c r="H824" t="s">
        <v>2097</v>
      </c>
      <c r="J824" t="s">
        <v>1401</v>
      </c>
      <c r="K824">
        <v>219.1</v>
      </c>
    </row>
    <row r="825" spans="1:11" x14ac:dyDescent="0.35">
      <c r="A825" t="s">
        <v>1402</v>
      </c>
      <c r="B825" s="1">
        <v>0</v>
      </c>
      <c r="C825" t="s">
        <v>478</v>
      </c>
      <c r="D825" t="s">
        <v>5389</v>
      </c>
      <c r="E825" t="s">
        <v>5060</v>
      </c>
      <c r="F825" t="s">
        <v>5089</v>
      </c>
      <c r="G825" t="s">
        <v>5240</v>
      </c>
      <c r="H825" t="s">
        <v>1700</v>
      </c>
      <c r="J825" t="s">
        <v>1402</v>
      </c>
      <c r="K825">
        <v>212.4</v>
      </c>
    </row>
    <row r="826" spans="1:11" x14ac:dyDescent="0.35">
      <c r="A826" t="s">
        <v>1405</v>
      </c>
      <c r="B826" s="1">
        <v>0</v>
      </c>
      <c r="C826" t="s">
        <v>366</v>
      </c>
      <c r="D826" t="s">
        <v>5575</v>
      </c>
      <c r="E826" t="s">
        <v>5434</v>
      </c>
      <c r="F826" t="s">
        <v>5077</v>
      </c>
      <c r="G826" t="s">
        <v>5240</v>
      </c>
      <c r="H826" t="s">
        <v>219</v>
      </c>
      <c r="J826" t="s">
        <v>1405</v>
      </c>
      <c r="K826">
        <v>209.1</v>
      </c>
    </row>
    <row r="827" spans="1:11" x14ac:dyDescent="0.35">
      <c r="A827" t="s">
        <v>1406</v>
      </c>
      <c r="B827" s="1">
        <v>0</v>
      </c>
      <c r="C827" t="s">
        <v>1532</v>
      </c>
      <c r="D827" t="s">
        <v>5518</v>
      </c>
      <c r="E827" t="s">
        <v>5098</v>
      </c>
      <c r="F827" t="s">
        <v>5077</v>
      </c>
      <c r="G827" t="s">
        <v>5179</v>
      </c>
      <c r="H827" t="s">
        <v>660</v>
      </c>
      <c r="J827" t="s">
        <v>1406</v>
      </c>
      <c r="K827">
        <v>216.2</v>
      </c>
    </row>
    <row r="828" spans="1:11" x14ac:dyDescent="0.35">
      <c r="A828" t="s">
        <v>1407</v>
      </c>
      <c r="B828" s="1">
        <v>0</v>
      </c>
      <c r="C828" t="s">
        <v>3218</v>
      </c>
      <c r="D828" t="s">
        <v>5491</v>
      </c>
      <c r="E828" t="s">
        <v>5102</v>
      </c>
      <c r="F828" t="s">
        <v>5089</v>
      </c>
      <c r="G828" t="s">
        <v>5058</v>
      </c>
      <c r="H828" t="s">
        <v>3960</v>
      </c>
      <c r="J828" t="s">
        <v>1407</v>
      </c>
      <c r="K828">
        <v>227</v>
      </c>
    </row>
    <row r="829" spans="1:11" x14ac:dyDescent="0.35">
      <c r="A829" t="s">
        <v>1408</v>
      </c>
      <c r="B829" s="1">
        <v>0</v>
      </c>
      <c r="C829" t="s">
        <v>489</v>
      </c>
      <c r="D829" t="s">
        <v>5511</v>
      </c>
      <c r="E829" t="s">
        <v>5270</v>
      </c>
      <c r="F829" t="s">
        <v>5089</v>
      </c>
      <c r="G829" t="s">
        <v>5412</v>
      </c>
      <c r="H829" t="s">
        <v>622</v>
      </c>
      <c r="J829" t="s">
        <v>1408</v>
      </c>
      <c r="K829">
        <v>234.5</v>
      </c>
    </row>
    <row r="830" spans="1:11" x14ac:dyDescent="0.35">
      <c r="A830" t="s">
        <v>1409</v>
      </c>
      <c r="B830" s="1">
        <v>0</v>
      </c>
      <c r="C830" t="s">
        <v>4383</v>
      </c>
      <c r="D830" t="s">
        <v>5271</v>
      </c>
      <c r="E830" t="s">
        <v>5182</v>
      </c>
      <c r="F830" t="s">
        <v>5089</v>
      </c>
      <c r="G830" t="s">
        <v>5412</v>
      </c>
      <c r="H830" t="s">
        <v>3958</v>
      </c>
      <c r="J830" t="s">
        <v>1409</v>
      </c>
      <c r="K830">
        <v>232</v>
      </c>
    </row>
    <row r="831" spans="1:11" x14ac:dyDescent="0.35">
      <c r="A831" t="s">
        <v>1410</v>
      </c>
      <c r="B831" s="1">
        <v>0</v>
      </c>
      <c r="C831" t="s">
        <v>1061</v>
      </c>
      <c r="D831" t="s">
        <v>5518</v>
      </c>
      <c r="E831" t="s">
        <v>5434</v>
      </c>
      <c r="F831" t="s">
        <v>5077</v>
      </c>
      <c r="G831" t="s">
        <v>5058</v>
      </c>
      <c r="H831" t="s">
        <v>210</v>
      </c>
      <c r="J831" t="s">
        <v>1410</v>
      </c>
      <c r="K831">
        <v>217.9</v>
      </c>
    </row>
    <row r="832" spans="1:11" x14ac:dyDescent="0.35">
      <c r="A832" t="s">
        <v>1412</v>
      </c>
      <c r="B832" s="1">
        <v>0</v>
      </c>
      <c r="C832" t="s">
        <v>2916</v>
      </c>
      <c r="D832" t="s">
        <v>5531</v>
      </c>
      <c r="E832" t="s">
        <v>5202</v>
      </c>
      <c r="F832" t="s">
        <v>5077</v>
      </c>
      <c r="G832" t="s">
        <v>5240</v>
      </c>
      <c r="H832" t="s">
        <v>249</v>
      </c>
      <c r="J832" t="s">
        <v>1412</v>
      </c>
      <c r="K832">
        <v>196.7</v>
      </c>
    </row>
    <row r="833" spans="1:11" x14ac:dyDescent="0.35">
      <c r="A833" t="s">
        <v>1413</v>
      </c>
      <c r="B833" s="1">
        <v>0</v>
      </c>
      <c r="C833" t="s">
        <v>394</v>
      </c>
      <c r="D833" t="s">
        <v>5135</v>
      </c>
      <c r="E833" t="s">
        <v>5418</v>
      </c>
      <c r="F833" t="s">
        <v>5077</v>
      </c>
      <c r="G833" t="s">
        <v>5174</v>
      </c>
      <c r="H833" t="s">
        <v>5040</v>
      </c>
      <c r="J833" t="s">
        <v>1413</v>
      </c>
      <c r="K833">
        <v>178.9</v>
      </c>
    </row>
    <row r="834" spans="1:11" x14ac:dyDescent="0.35">
      <c r="A834" t="s">
        <v>1415</v>
      </c>
      <c r="B834" s="1">
        <v>0</v>
      </c>
      <c r="C834" t="s">
        <v>5649</v>
      </c>
      <c r="D834" t="s">
        <v>5113</v>
      </c>
      <c r="E834" t="s">
        <v>5319</v>
      </c>
      <c r="F834" t="s">
        <v>5077</v>
      </c>
      <c r="G834" t="s">
        <v>5174</v>
      </c>
      <c r="H834" t="s">
        <v>182</v>
      </c>
      <c r="J834" t="s">
        <v>1415</v>
      </c>
      <c r="K834">
        <v>172.9</v>
      </c>
    </row>
    <row r="835" spans="1:11" x14ac:dyDescent="0.35">
      <c r="A835" t="s">
        <v>1416</v>
      </c>
      <c r="B835" s="1">
        <v>0</v>
      </c>
      <c r="C835" t="s">
        <v>418</v>
      </c>
      <c r="D835" t="s">
        <v>5257</v>
      </c>
      <c r="E835" t="s">
        <v>5415</v>
      </c>
      <c r="F835" t="s">
        <v>5077</v>
      </c>
      <c r="G835" t="s">
        <v>5240</v>
      </c>
      <c r="H835" t="s">
        <v>1424</v>
      </c>
      <c r="J835" t="s">
        <v>1416</v>
      </c>
      <c r="K835">
        <v>178.3</v>
      </c>
    </row>
    <row r="836" spans="1:11" x14ac:dyDescent="0.35">
      <c r="A836" t="s">
        <v>1419</v>
      </c>
      <c r="B836" s="1">
        <v>0</v>
      </c>
      <c r="C836" t="s">
        <v>346</v>
      </c>
      <c r="D836" t="s">
        <v>5218</v>
      </c>
      <c r="E836" t="s">
        <v>5057</v>
      </c>
      <c r="F836" t="s">
        <v>5077</v>
      </c>
      <c r="G836" t="s">
        <v>5412</v>
      </c>
      <c r="H836" t="s">
        <v>1280</v>
      </c>
      <c r="J836" t="s">
        <v>1419</v>
      </c>
      <c r="K836">
        <v>193.5</v>
      </c>
    </row>
    <row r="837" spans="1:11" x14ac:dyDescent="0.35">
      <c r="A837" t="s">
        <v>1421</v>
      </c>
      <c r="B837" s="1">
        <v>0</v>
      </c>
      <c r="C837" t="s">
        <v>5335</v>
      </c>
      <c r="D837" t="s">
        <v>5450</v>
      </c>
      <c r="E837" t="s">
        <v>5169</v>
      </c>
      <c r="F837" t="s">
        <v>5089</v>
      </c>
      <c r="G837" t="s">
        <v>5183</v>
      </c>
      <c r="H837" t="s">
        <v>1203</v>
      </c>
      <c r="J837" t="s">
        <v>1421</v>
      </c>
      <c r="K837">
        <v>213.2</v>
      </c>
    </row>
    <row r="838" spans="1:11" x14ac:dyDescent="0.35">
      <c r="A838" t="s">
        <v>1422</v>
      </c>
      <c r="B838" s="1">
        <v>0</v>
      </c>
      <c r="C838" t="s">
        <v>1100</v>
      </c>
      <c r="D838" t="s">
        <v>5101</v>
      </c>
      <c r="E838" t="s">
        <v>5071</v>
      </c>
      <c r="F838" t="s">
        <v>5089</v>
      </c>
      <c r="G838" t="s">
        <v>5099</v>
      </c>
      <c r="H838" t="s">
        <v>1661</v>
      </c>
      <c r="J838" t="s">
        <v>1422</v>
      </c>
      <c r="K838">
        <v>235.1</v>
      </c>
    </row>
    <row r="839" spans="1:11" x14ac:dyDescent="0.35">
      <c r="A839" t="s">
        <v>1423</v>
      </c>
      <c r="B839" s="1">
        <v>0</v>
      </c>
      <c r="C839" t="s">
        <v>1459</v>
      </c>
      <c r="D839" t="s">
        <v>5553</v>
      </c>
      <c r="E839" t="s">
        <v>5239</v>
      </c>
      <c r="F839" t="s">
        <v>5089</v>
      </c>
      <c r="G839" t="s">
        <v>5099</v>
      </c>
      <c r="H839" t="s">
        <v>639</v>
      </c>
      <c r="J839" t="s">
        <v>1423</v>
      </c>
      <c r="K839">
        <v>244</v>
      </c>
    </row>
    <row r="840" spans="1:11" x14ac:dyDescent="0.35">
      <c r="A840" t="s">
        <v>1425</v>
      </c>
      <c r="B840" s="1">
        <v>0</v>
      </c>
      <c r="C840" t="s">
        <v>978</v>
      </c>
      <c r="D840" t="s">
        <v>5512</v>
      </c>
      <c r="E840" t="s">
        <v>5060</v>
      </c>
      <c r="F840" t="s">
        <v>5089</v>
      </c>
      <c r="G840" t="s">
        <v>5078</v>
      </c>
      <c r="H840" t="s">
        <v>2732</v>
      </c>
      <c r="J840" t="s">
        <v>1425</v>
      </c>
      <c r="K840">
        <v>237.3</v>
      </c>
    </row>
    <row r="841" spans="1:11" x14ac:dyDescent="0.35">
      <c r="A841" t="s">
        <v>1426</v>
      </c>
      <c r="B841" s="1">
        <v>0</v>
      </c>
      <c r="C841" t="s">
        <v>1530</v>
      </c>
      <c r="D841" t="s">
        <v>5484</v>
      </c>
      <c r="E841" t="s">
        <v>5059</v>
      </c>
      <c r="F841" t="s">
        <v>5089</v>
      </c>
      <c r="G841" t="s">
        <v>5058</v>
      </c>
      <c r="H841" t="s">
        <v>228</v>
      </c>
      <c r="J841" t="s">
        <v>1426</v>
      </c>
      <c r="K841">
        <v>218.1</v>
      </c>
    </row>
    <row r="842" spans="1:11" x14ac:dyDescent="0.35">
      <c r="A842" t="s">
        <v>1427</v>
      </c>
      <c r="B842" s="1">
        <v>0</v>
      </c>
      <c r="C842" t="s">
        <v>467</v>
      </c>
      <c r="D842" t="s">
        <v>5595</v>
      </c>
      <c r="E842" t="s">
        <v>5237</v>
      </c>
      <c r="F842" t="s">
        <v>5077</v>
      </c>
      <c r="G842" t="s">
        <v>5050</v>
      </c>
      <c r="H842" t="s">
        <v>4012</v>
      </c>
      <c r="J842" t="s">
        <v>1427</v>
      </c>
      <c r="K842">
        <v>201.6</v>
      </c>
    </row>
    <row r="843" spans="1:11" x14ac:dyDescent="0.35">
      <c r="A843" t="s">
        <v>1428</v>
      </c>
      <c r="B843" s="1">
        <v>0</v>
      </c>
      <c r="C843" t="s">
        <v>452</v>
      </c>
      <c r="D843" t="s">
        <v>5280</v>
      </c>
      <c r="E843" t="s">
        <v>5068</v>
      </c>
      <c r="F843" t="s">
        <v>5077</v>
      </c>
      <c r="G843" t="s">
        <v>5046</v>
      </c>
      <c r="H843" t="s">
        <v>3375</v>
      </c>
      <c r="J843" t="s">
        <v>1428</v>
      </c>
      <c r="K843">
        <v>199.8</v>
      </c>
    </row>
    <row r="844" spans="1:11" x14ac:dyDescent="0.35">
      <c r="A844" t="s">
        <v>1429</v>
      </c>
      <c r="B844" s="1">
        <v>0</v>
      </c>
      <c r="C844" t="s">
        <v>1522</v>
      </c>
      <c r="D844" t="s">
        <v>5119</v>
      </c>
      <c r="E844" t="s">
        <v>5208</v>
      </c>
      <c r="F844" t="s">
        <v>5077</v>
      </c>
      <c r="G844" t="s">
        <v>5054</v>
      </c>
      <c r="H844" t="s">
        <v>1302</v>
      </c>
      <c r="J844" t="s">
        <v>1429</v>
      </c>
      <c r="K844">
        <v>210.2</v>
      </c>
    </row>
    <row r="845" spans="1:11" x14ac:dyDescent="0.35">
      <c r="A845" t="s">
        <v>1430</v>
      </c>
      <c r="B845" s="1">
        <v>0</v>
      </c>
      <c r="C845" t="s">
        <v>354</v>
      </c>
      <c r="D845" t="s">
        <v>5582</v>
      </c>
      <c r="E845" t="s">
        <v>5272</v>
      </c>
      <c r="F845" t="s">
        <v>5077</v>
      </c>
      <c r="G845" t="s">
        <v>5058</v>
      </c>
      <c r="H845" t="s">
        <v>729</v>
      </c>
      <c r="J845" t="s">
        <v>1430</v>
      </c>
      <c r="K845">
        <v>222</v>
      </c>
    </row>
    <row r="846" spans="1:11" x14ac:dyDescent="0.35">
      <c r="A846" t="s">
        <v>1431</v>
      </c>
      <c r="B846" s="1">
        <v>0</v>
      </c>
      <c r="C846" t="s">
        <v>5652</v>
      </c>
      <c r="D846" t="s">
        <v>5523</v>
      </c>
      <c r="E846" t="s">
        <v>5276</v>
      </c>
      <c r="F846" t="s">
        <v>5089</v>
      </c>
      <c r="G846" t="s">
        <v>5062</v>
      </c>
      <c r="H846" t="s">
        <v>631</v>
      </c>
      <c r="J846" t="s">
        <v>1431</v>
      </c>
      <c r="K846">
        <v>231.2</v>
      </c>
    </row>
    <row r="847" spans="1:11" x14ac:dyDescent="0.35">
      <c r="A847" t="s">
        <v>1432</v>
      </c>
      <c r="B847" s="1">
        <v>0</v>
      </c>
      <c r="C847" t="s">
        <v>4904</v>
      </c>
      <c r="D847" t="s">
        <v>5521</v>
      </c>
      <c r="E847" t="s">
        <v>5257</v>
      </c>
      <c r="F847" t="s">
        <v>5089</v>
      </c>
      <c r="G847" t="s">
        <v>5412</v>
      </c>
      <c r="H847" t="s">
        <v>204</v>
      </c>
      <c r="J847" t="s">
        <v>1432</v>
      </c>
      <c r="K847">
        <v>230.3</v>
      </c>
    </row>
    <row r="848" spans="1:11" x14ac:dyDescent="0.35">
      <c r="A848" t="s">
        <v>1434</v>
      </c>
      <c r="B848" s="1">
        <v>0</v>
      </c>
      <c r="C848" t="s">
        <v>468</v>
      </c>
      <c r="D848" t="s">
        <v>5512</v>
      </c>
      <c r="E848" t="s">
        <v>5178</v>
      </c>
      <c r="F848" t="s">
        <v>5089</v>
      </c>
      <c r="G848" t="s">
        <v>5179</v>
      </c>
      <c r="H848" t="s">
        <v>729</v>
      </c>
      <c r="J848" t="s">
        <v>1434</v>
      </c>
      <c r="K848">
        <v>222</v>
      </c>
    </row>
    <row r="849" spans="1:11" x14ac:dyDescent="0.35">
      <c r="A849" t="s">
        <v>1435</v>
      </c>
      <c r="B849" s="1">
        <v>0</v>
      </c>
      <c r="C849" t="s">
        <v>1867</v>
      </c>
      <c r="D849" t="s">
        <v>5138</v>
      </c>
      <c r="E849" t="s">
        <v>5434</v>
      </c>
      <c r="F849" t="s">
        <v>5077</v>
      </c>
      <c r="G849" t="s">
        <v>5054</v>
      </c>
      <c r="H849" t="s">
        <v>2729</v>
      </c>
      <c r="J849" t="s">
        <v>1435</v>
      </c>
      <c r="K849">
        <v>214.5</v>
      </c>
    </row>
    <row r="850" spans="1:11" x14ac:dyDescent="0.35">
      <c r="A850" t="s">
        <v>1436</v>
      </c>
      <c r="B850" s="1">
        <v>0</v>
      </c>
      <c r="C850" t="s">
        <v>1482</v>
      </c>
      <c r="D850" t="s">
        <v>5573</v>
      </c>
      <c r="E850" t="s">
        <v>5162</v>
      </c>
      <c r="F850" t="s">
        <v>5077</v>
      </c>
      <c r="G850" t="s">
        <v>5058</v>
      </c>
      <c r="H850" t="s">
        <v>5266</v>
      </c>
      <c r="J850" t="s">
        <v>1436</v>
      </c>
      <c r="K850">
        <v>218</v>
      </c>
    </row>
    <row r="851" spans="1:11" x14ac:dyDescent="0.35">
      <c r="A851" t="s">
        <v>1437</v>
      </c>
      <c r="B851" s="1">
        <v>0</v>
      </c>
      <c r="C851" t="s">
        <v>5652</v>
      </c>
      <c r="D851" t="s">
        <v>5126</v>
      </c>
      <c r="E851" t="s">
        <v>5105</v>
      </c>
      <c r="F851" t="s">
        <v>5089</v>
      </c>
      <c r="G851" t="s">
        <v>5065</v>
      </c>
      <c r="H851" t="s">
        <v>207</v>
      </c>
      <c r="J851" t="s">
        <v>1437</v>
      </c>
      <c r="K851">
        <v>230.4</v>
      </c>
    </row>
    <row r="852" spans="1:11" x14ac:dyDescent="0.35">
      <c r="A852" s="2">
        <v>40664</v>
      </c>
      <c r="B852" s="1">
        <v>0</v>
      </c>
      <c r="C852" t="s">
        <v>4902</v>
      </c>
      <c r="D852" t="s">
        <v>5517</v>
      </c>
      <c r="E852" t="s">
        <v>5121</v>
      </c>
      <c r="F852" t="s">
        <v>5089</v>
      </c>
      <c r="G852" t="s">
        <v>5078</v>
      </c>
      <c r="H852" t="s">
        <v>3939</v>
      </c>
      <c r="J852" s="2">
        <v>40664</v>
      </c>
      <c r="K852">
        <v>234.3</v>
      </c>
    </row>
    <row r="853" spans="1:11" x14ac:dyDescent="0.35">
      <c r="A853" s="2">
        <v>40665</v>
      </c>
      <c r="B853" s="1">
        <v>0</v>
      </c>
      <c r="C853" t="s">
        <v>5637</v>
      </c>
      <c r="D853" t="s">
        <v>5476</v>
      </c>
      <c r="E853" t="s">
        <v>5081</v>
      </c>
      <c r="F853" t="s">
        <v>5089</v>
      </c>
      <c r="G853" t="s">
        <v>5054</v>
      </c>
      <c r="H853" t="s">
        <v>735</v>
      </c>
      <c r="J853" s="2">
        <v>40665</v>
      </c>
      <c r="K853">
        <v>235</v>
      </c>
    </row>
    <row r="854" spans="1:11" x14ac:dyDescent="0.35">
      <c r="A854" s="2">
        <v>40666</v>
      </c>
      <c r="B854" s="1">
        <v>0</v>
      </c>
      <c r="C854" t="s">
        <v>319</v>
      </c>
      <c r="D854" t="s">
        <v>5486</v>
      </c>
      <c r="E854" t="s">
        <v>5098</v>
      </c>
      <c r="F854" t="s">
        <v>5089</v>
      </c>
      <c r="G854" t="s">
        <v>5412</v>
      </c>
      <c r="H854" t="s">
        <v>5741</v>
      </c>
      <c r="J854" s="2">
        <v>40666</v>
      </c>
      <c r="K854">
        <v>232.8</v>
      </c>
    </row>
    <row r="855" spans="1:11" x14ac:dyDescent="0.35">
      <c r="A855" s="2">
        <v>40667</v>
      </c>
      <c r="B855" s="1">
        <v>0</v>
      </c>
      <c r="C855" t="s">
        <v>5548</v>
      </c>
      <c r="D855" t="s">
        <v>5538</v>
      </c>
      <c r="E855" t="s">
        <v>5056</v>
      </c>
      <c r="F855" t="s">
        <v>5089</v>
      </c>
      <c r="G855" t="s">
        <v>5412</v>
      </c>
      <c r="H855" t="s">
        <v>2395</v>
      </c>
      <c r="J855" s="2">
        <v>40667</v>
      </c>
      <c r="K855">
        <v>222.6</v>
      </c>
    </row>
    <row r="856" spans="1:11" x14ac:dyDescent="0.35">
      <c r="A856" s="2">
        <v>40668</v>
      </c>
      <c r="B856" s="1">
        <v>0</v>
      </c>
      <c r="C856" t="s">
        <v>1865</v>
      </c>
      <c r="D856" t="s">
        <v>5114</v>
      </c>
      <c r="E856" t="s">
        <v>5597</v>
      </c>
      <c r="F856" t="s">
        <v>5089</v>
      </c>
      <c r="G856" t="s">
        <v>5240</v>
      </c>
      <c r="H856" t="s">
        <v>4755</v>
      </c>
      <c r="J856" s="2">
        <v>40668</v>
      </c>
      <c r="K856">
        <v>206.3</v>
      </c>
    </row>
    <row r="857" spans="1:11" x14ac:dyDescent="0.35">
      <c r="A857" s="2">
        <v>40669</v>
      </c>
      <c r="B857" s="1">
        <v>0</v>
      </c>
      <c r="C857" t="s">
        <v>467</v>
      </c>
      <c r="D857" t="s">
        <v>5182</v>
      </c>
      <c r="E857" t="s">
        <v>5298</v>
      </c>
      <c r="F857" t="s">
        <v>5077</v>
      </c>
      <c r="G857" t="s">
        <v>5207</v>
      </c>
      <c r="H857" t="s">
        <v>1599</v>
      </c>
      <c r="J857" s="2">
        <v>40669</v>
      </c>
      <c r="K857">
        <v>185.3</v>
      </c>
    </row>
    <row r="858" spans="1:11" x14ac:dyDescent="0.35">
      <c r="A858" s="2">
        <v>40670</v>
      </c>
      <c r="B858" s="1">
        <v>0</v>
      </c>
      <c r="C858" t="s">
        <v>372</v>
      </c>
      <c r="D858" t="s">
        <v>5234</v>
      </c>
      <c r="E858" t="s">
        <v>5423</v>
      </c>
      <c r="F858" t="s">
        <v>5077</v>
      </c>
      <c r="G858" t="s">
        <v>5294</v>
      </c>
      <c r="H858" t="s">
        <v>161</v>
      </c>
      <c r="J858" s="2">
        <v>40670</v>
      </c>
      <c r="K858">
        <v>165.2</v>
      </c>
    </row>
    <row r="859" spans="1:11" x14ac:dyDescent="0.35">
      <c r="A859" s="2">
        <v>40671</v>
      </c>
      <c r="B859" s="1">
        <v>0</v>
      </c>
      <c r="C859" t="s">
        <v>5217</v>
      </c>
      <c r="D859" t="s">
        <v>5328</v>
      </c>
      <c r="E859" t="s">
        <v>5430</v>
      </c>
      <c r="F859" t="s">
        <v>5077</v>
      </c>
      <c r="G859" t="s">
        <v>5400</v>
      </c>
      <c r="H859" t="s">
        <v>1391</v>
      </c>
      <c r="J859" s="2">
        <v>40671</v>
      </c>
      <c r="K859">
        <v>150.80000000000001</v>
      </c>
    </row>
    <row r="860" spans="1:11" x14ac:dyDescent="0.35">
      <c r="A860" s="2">
        <v>40672</v>
      </c>
      <c r="B860" s="1">
        <v>0</v>
      </c>
      <c r="C860" t="s">
        <v>5101</v>
      </c>
      <c r="D860" t="s">
        <v>5052</v>
      </c>
      <c r="E860" t="s">
        <v>5290</v>
      </c>
      <c r="F860" t="s">
        <v>5045</v>
      </c>
      <c r="G860" t="s">
        <v>5432</v>
      </c>
      <c r="H860" t="s">
        <v>1375</v>
      </c>
      <c r="J860" s="2">
        <v>40672</v>
      </c>
      <c r="K860">
        <v>141.4</v>
      </c>
    </row>
    <row r="861" spans="1:11" x14ac:dyDescent="0.35">
      <c r="A861" s="2">
        <v>40673</v>
      </c>
      <c r="B861" s="1">
        <v>0</v>
      </c>
      <c r="C861" t="s">
        <v>5531</v>
      </c>
      <c r="D861" t="s">
        <v>5320</v>
      </c>
      <c r="E861" t="s">
        <v>5293</v>
      </c>
      <c r="F861" t="s">
        <v>5045</v>
      </c>
      <c r="G861" t="s">
        <v>5334</v>
      </c>
      <c r="H861" t="s">
        <v>832</v>
      </c>
      <c r="J861" s="2">
        <v>40673</v>
      </c>
      <c r="K861">
        <v>135.4</v>
      </c>
    </row>
    <row r="862" spans="1:11" x14ac:dyDescent="0.35">
      <c r="A862" s="2">
        <v>40674</v>
      </c>
      <c r="B862" s="1">
        <v>0</v>
      </c>
      <c r="C862" t="s">
        <v>5216</v>
      </c>
      <c r="D862" t="s">
        <v>5525</v>
      </c>
      <c r="E862" t="s">
        <v>5300</v>
      </c>
      <c r="F862" t="s">
        <v>5045</v>
      </c>
      <c r="G862" t="s">
        <v>5334</v>
      </c>
      <c r="H862" t="s">
        <v>829</v>
      </c>
      <c r="J862" s="2">
        <v>40674</v>
      </c>
      <c r="K862">
        <v>137.1</v>
      </c>
    </row>
    <row r="863" spans="1:11" x14ac:dyDescent="0.35">
      <c r="A863" s="2">
        <v>40675</v>
      </c>
      <c r="B863" s="1">
        <v>0</v>
      </c>
      <c r="C863" t="s">
        <v>5246</v>
      </c>
      <c r="D863" t="s">
        <v>5181</v>
      </c>
      <c r="E863" t="s">
        <v>5529</v>
      </c>
      <c r="F863" t="s">
        <v>5045</v>
      </c>
      <c r="G863" t="s">
        <v>5140</v>
      </c>
      <c r="H863" t="s">
        <v>5041</v>
      </c>
      <c r="J863" s="2">
        <v>40675</v>
      </c>
      <c r="K863">
        <v>148.1</v>
      </c>
    </row>
    <row r="864" spans="1:11" x14ac:dyDescent="0.35">
      <c r="A864" s="2">
        <v>40676</v>
      </c>
      <c r="B864" s="1">
        <v>0</v>
      </c>
      <c r="C864" t="s">
        <v>5634</v>
      </c>
      <c r="D864" t="s">
        <v>5428</v>
      </c>
      <c r="E864" t="s">
        <v>5545</v>
      </c>
      <c r="F864" t="s">
        <v>5077</v>
      </c>
      <c r="G864" t="s">
        <v>5330</v>
      </c>
      <c r="H864" t="s">
        <v>573</v>
      </c>
      <c r="J864" s="2">
        <v>40676</v>
      </c>
      <c r="K864">
        <v>162</v>
      </c>
    </row>
    <row r="865" spans="1:11" x14ac:dyDescent="0.35">
      <c r="A865" s="2">
        <v>40677</v>
      </c>
      <c r="B865" s="1">
        <v>0</v>
      </c>
      <c r="C865" t="s">
        <v>397</v>
      </c>
      <c r="D865" t="s">
        <v>5176</v>
      </c>
      <c r="E865" t="s">
        <v>5053</v>
      </c>
      <c r="F865" t="s">
        <v>5077</v>
      </c>
      <c r="G865" t="s">
        <v>5315</v>
      </c>
      <c r="H865" t="s">
        <v>872</v>
      </c>
      <c r="J865" s="2">
        <v>40677</v>
      </c>
      <c r="K865">
        <v>165.1</v>
      </c>
    </row>
    <row r="866" spans="1:11" x14ac:dyDescent="0.35">
      <c r="A866" s="2">
        <v>40678</v>
      </c>
      <c r="B866" s="1">
        <v>0</v>
      </c>
      <c r="C866" t="s">
        <v>5477</v>
      </c>
      <c r="D866" t="s">
        <v>5428</v>
      </c>
      <c r="E866" t="s">
        <v>5318</v>
      </c>
      <c r="F866" t="s">
        <v>5077</v>
      </c>
      <c r="G866" t="s">
        <v>5342</v>
      </c>
      <c r="H866" t="s">
        <v>1627</v>
      </c>
      <c r="J866" s="2">
        <v>40678</v>
      </c>
      <c r="K866">
        <v>161.5</v>
      </c>
    </row>
    <row r="867" spans="1:11" x14ac:dyDescent="0.35">
      <c r="A867" s="2">
        <v>40679</v>
      </c>
      <c r="B867" s="1">
        <v>0</v>
      </c>
      <c r="C867" t="s">
        <v>5588</v>
      </c>
      <c r="D867" t="s">
        <v>5286</v>
      </c>
      <c r="E867" t="s">
        <v>5546</v>
      </c>
      <c r="F867" t="s">
        <v>5077</v>
      </c>
      <c r="G867" t="s">
        <v>5315</v>
      </c>
      <c r="H867" t="s">
        <v>1141</v>
      </c>
      <c r="J867" s="2">
        <v>40679</v>
      </c>
      <c r="K867">
        <v>160</v>
      </c>
    </row>
    <row r="868" spans="1:11" x14ac:dyDescent="0.35">
      <c r="A868" s="2">
        <v>40680</v>
      </c>
      <c r="B868" s="1">
        <v>0</v>
      </c>
      <c r="C868" t="s">
        <v>1005</v>
      </c>
      <c r="D868" t="s">
        <v>5176</v>
      </c>
      <c r="E868" t="s">
        <v>5051</v>
      </c>
      <c r="F868" t="s">
        <v>5077</v>
      </c>
      <c r="G868" t="s">
        <v>5309</v>
      </c>
      <c r="H868" t="s">
        <v>597</v>
      </c>
      <c r="J868" s="2">
        <v>40680</v>
      </c>
      <c r="K868">
        <v>168.4</v>
      </c>
    </row>
    <row r="869" spans="1:11" x14ac:dyDescent="0.35">
      <c r="A869" s="2">
        <v>40681</v>
      </c>
      <c r="B869" s="1">
        <v>0</v>
      </c>
      <c r="C869" t="s">
        <v>450</v>
      </c>
      <c r="D869" t="s">
        <v>5120</v>
      </c>
      <c r="E869" t="s">
        <v>5057</v>
      </c>
      <c r="F869" t="s">
        <v>5077</v>
      </c>
      <c r="G869" t="s">
        <v>5321</v>
      </c>
      <c r="H869" t="s">
        <v>1335</v>
      </c>
      <c r="J869" s="2">
        <v>40681</v>
      </c>
      <c r="K869">
        <v>183.8</v>
      </c>
    </row>
    <row r="870" spans="1:11" x14ac:dyDescent="0.35">
      <c r="A870" s="2">
        <v>40682</v>
      </c>
      <c r="B870" s="1">
        <v>0</v>
      </c>
      <c r="C870" t="s">
        <v>1916</v>
      </c>
      <c r="D870" t="s">
        <v>5571</v>
      </c>
      <c r="E870" t="s">
        <v>5303</v>
      </c>
      <c r="F870" t="s">
        <v>5077</v>
      </c>
      <c r="G870" t="s">
        <v>5227</v>
      </c>
      <c r="H870" t="s">
        <v>611</v>
      </c>
      <c r="J870" s="2">
        <v>40682</v>
      </c>
      <c r="K870">
        <v>194.1</v>
      </c>
    </row>
    <row r="871" spans="1:11" x14ac:dyDescent="0.35">
      <c r="A871" s="2">
        <v>40683</v>
      </c>
      <c r="B871" s="1">
        <v>0</v>
      </c>
      <c r="C871" t="s">
        <v>1052</v>
      </c>
      <c r="D871" t="s">
        <v>5106</v>
      </c>
      <c r="E871" t="s">
        <v>5055</v>
      </c>
      <c r="F871" t="s">
        <v>5077</v>
      </c>
      <c r="G871" t="s">
        <v>5226</v>
      </c>
      <c r="H871" t="s">
        <v>1189</v>
      </c>
      <c r="J871" s="2">
        <v>40683</v>
      </c>
      <c r="K871">
        <v>193</v>
      </c>
    </row>
    <row r="872" spans="1:11" x14ac:dyDescent="0.35">
      <c r="A872" s="2">
        <v>40684</v>
      </c>
      <c r="B872" s="1">
        <v>0</v>
      </c>
      <c r="C872" t="s">
        <v>1886</v>
      </c>
      <c r="D872" t="s">
        <v>5572</v>
      </c>
      <c r="E872" t="s">
        <v>5524</v>
      </c>
      <c r="F872" t="s">
        <v>5077</v>
      </c>
      <c r="G872" t="s">
        <v>5294</v>
      </c>
      <c r="H872" t="s">
        <v>3080</v>
      </c>
      <c r="J872" s="2">
        <v>40684</v>
      </c>
      <c r="K872">
        <v>182.9</v>
      </c>
    </row>
    <row r="873" spans="1:11" x14ac:dyDescent="0.35">
      <c r="A873" s="2">
        <v>40685</v>
      </c>
      <c r="B873" s="1">
        <v>0</v>
      </c>
      <c r="C873" t="s">
        <v>5566</v>
      </c>
      <c r="D873" t="s">
        <v>5074</v>
      </c>
      <c r="E873" t="s">
        <v>5052</v>
      </c>
      <c r="F873" t="s">
        <v>5077</v>
      </c>
      <c r="G873" t="s">
        <v>5330</v>
      </c>
      <c r="H873" t="s">
        <v>1637</v>
      </c>
      <c r="J873" s="2">
        <v>40685</v>
      </c>
      <c r="K873">
        <v>168.5</v>
      </c>
    </row>
    <row r="874" spans="1:11" x14ac:dyDescent="0.35">
      <c r="A874" s="2">
        <v>40686</v>
      </c>
      <c r="B874" s="1">
        <v>0</v>
      </c>
      <c r="C874" t="s">
        <v>5517</v>
      </c>
      <c r="D874" t="s">
        <v>5098</v>
      </c>
      <c r="E874" t="s">
        <v>5051</v>
      </c>
      <c r="F874" t="s">
        <v>5077</v>
      </c>
      <c r="G874" t="s">
        <v>5140</v>
      </c>
      <c r="H874" t="s">
        <v>17</v>
      </c>
      <c r="J874" s="2">
        <v>40686</v>
      </c>
      <c r="K874">
        <v>154.9</v>
      </c>
    </row>
    <row r="875" spans="1:11" x14ac:dyDescent="0.35">
      <c r="A875" s="2">
        <v>40687</v>
      </c>
      <c r="B875" s="1">
        <v>0</v>
      </c>
      <c r="C875" t="s">
        <v>5083</v>
      </c>
      <c r="D875" t="s">
        <v>5223</v>
      </c>
      <c r="E875" t="s">
        <v>5044</v>
      </c>
      <c r="F875" t="s">
        <v>5045</v>
      </c>
      <c r="G875" t="s">
        <v>5153</v>
      </c>
      <c r="H875" t="s">
        <v>292</v>
      </c>
      <c r="J875" s="2">
        <v>40687</v>
      </c>
      <c r="K875">
        <v>144.5</v>
      </c>
    </row>
    <row r="876" spans="1:11" x14ac:dyDescent="0.35">
      <c r="A876" s="2">
        <v>40688</v>
      </c>
      <c r="B876" s="1">
        <v>0</v>
      </c>
      <c r="C876" t="s">
        <v>5211</v>
      </c>
      <c r="D876" t="s">
        <v>5597</v>
      </c>
      <c r="E876" t="s">
        <v>5307</v>
      </c>
      <c r="F876" t="s">
        <v>5045</v>
      </c>
      <c r="G876" t="s">
        <v>5411</v>
      </c>
      <c r="H876" t="s">
        <v>1853</v>
      </c>
      <c r="J876" s="2">
        <v>40688</v>
      </c>
      <c r="K876">
        <v>137.4</v>
      </c>
    </row>
    <row r="877" spans="1:11" x14ac:dyDescent="0.35">
      <c r="A877" s="2">
        <v>40689</v>
      </c>
      <c r="B877" s="1">
        <v>0</v>
      </c>
      <c r="C877" t="s">
        <v>5436</v>
      </c>
      <c r="D877" t="s">
        <v>5185</v>
      </c>
      <c r="E877" t="s">
        <v>5307</v>
      </c>
      <c r="F877" t="s">
        <v>5045</v>
      </c>
      <c r="G877" t="s">
        <v>5411</v>
      </c>
      <c r="H877" t="s">
        <v>5657</v>
      </c>
      <c r="J877" s="2">
        <v>40689</v>
      </c>
      <c r="K877">
        <v>138.80000000000001</v>
      </c>
    </row>
    <row r="878" spans="1:11" x14ac:dyDescent="0.35">
      <c r="A878" s="2">
        <v>40690</v>
      </c>
      <c r="B878" s="1">
        <v>0</v>
      </c>
      <c r="C878" t="s">
        <v>5537</v>
      </c>
      <c r="D878" t="s">
        <v>5170</v>
      </c>
      <c r="E878" t="s">
        <v>5416</v>
      </c>
      <c r="F878" t="s">
        <v>5045</v>
      </c>
      <c r="G878" t="s">
        <v>5432</v>
      </c>
      <c r="H878" t="s">
        <v>1770</v>
      </c>
      <c r="J878" s="2">
        <v>40690</v>
      </c>
      <c r="K878">
        <v>150.4</v>
      </c>
    </row>
    <row r="879" spans="1:11" x14ac:dyDescent="0.35">
      <c r="A879" s="2">
        <v>40691</v>
      </c>
      <c r="B879" s="1">
        <v>0</v>
      </c>
      <c r="C879" t="s">
        <v>5470</v>
      </c>
      <c r="D879" t="s">
        <v>5272</v>
      </c>
      <c r="E879" t="s">
        <v>5289</v>
      </c>
      <c r="F879" t="s">
        <v>5045</v>
      </c>
      <c r="G879" t="s">
        <v>5400</v>
      </c>
      <c r="H879" t="s">
        <v>1739</v>
      </c>
      <c r="J879" s="2">
        <v>40691</v>
      </c>
      <c r="K879">
        <v>166.3</v>
      </c>
    </row>
    <row r="880" spans="1:11" x14ac:dyDescent="0.35">
      <c r="A880" s="2">
        <v>40692</v>
      </c>
      <c r="B880" s="1">
        <v>0</v>
      </c>
      <c r="C880" t="s">
        <v>437</v>
      </c>
      <c r="D880" t="s">
        <v>5218</v>
      </c>
      <c r="E880" t="s">
        <v>5418</v>
      </c>
      <c r="F880" t="s">
        <v>5045</v>
      </c>
      <c r="G880" t="s">
        <v>5315</v>
      </c>
      <c r="H880" t="s">
        <v>2457</v>
      </c>
      <c r="J880" s="2">
        <v>40692</v>
      </c>
      <c r="K880">
        <v>173.8</v>
      </c>
    </row>
    <row r="881" spans="1:11" x14ac:dyDescent="0.35">
      <c r="A881" s="2">
        <v>40693</v>
      </c>
      <c r="B881" s="1">
        <v>0</v>
      </c>
      <c r="C881" t="s">
        <v>5267</v>
      </c>
      <c r="D881" t="s">
        <v>5229</v>
      </c>
      <c r="E881" t="s">
        <v>5185</v>
      </c>
      <c r="F881" t="s">
        <v>5077</v>
      </c>
      <c r="G881" t="s">
        <v>5312</v>
      </c>
      <c r="H881" t="s">
        <v>958</v>
      </c>
      <c r="J881" s="2">
        <v>40693</v>
      </c>
      <c r="K881">
        <v>174.9</v>
      </c>
    </row>
    <row r="882" spans="1:11" x14ac:dyDescent="0.35">
      <c r="A882" s="2">
        <v>40694</v>
      </c>
      <c r="B882" s="1">
        <v>0</v>
      </c>
      <c r="C882" t="s">
        <v>5407</v>
      </c>
      <c r="D882" t="s">
        <v>5448</v>
      </c>
      <c r="E882" t="s">
        <v>5295</v>
      </c>
      <c r="F882" t="s">
        <v>5045</v>
      </c>
      <c r="G882" t="s">
        <v>5294</v>
      </c>
      <c r="H882" t="s">
        <v>190</v>
      </c>
      <c r="J882" s="2">
        <v>40694</v>
      </c>
      <c r="K882">
        <v>170.9</v>
      </c>
    </row>
    <row r="883" spans="1:11" x14ac:dyDescent="0.35">
      <c r="A883" s="2">
        <v>40695</v>
      </c>
      <c r="B883" s="1">
        <v>0</v>
      </c>
      <c r="C883" t="s">
        <v>5618</v>
      </c>
      <c r="D883" t="s">
        <v>5192</v>
      </c>
      <c r="E883" t="s">
        <v>5289</v>
      </c>
      <c r="F883" t="s">
        <v>5045</v>
      </c>
      <c r="G883" t="s">
        <v>5315</v>
      </c>
      <c r="H883" t="s">
        <v>287</v>
      </c>
      <c r="J883" s="2">
        <v>40695</v>
      </c>
      <c r="K883">
        <v>163.30000000000001</v>
      </c>
    </row>
    <row r="884" spans="1:11" x14ac:dyDescent="0.35">
      <c r="A884" s="2">
        <v>40696</v>
      </c>
      <c r="B884" s="1">
        <v>0</v>
      </c>
      <c r="C884" t="s">
        <v>5125</v>
      </c>
      <c r="D884" t="s">
        <v>5317</v>
      </c>
      <c r="E884" t="s">
        <v>5155</v>
      </c>
      <c r="F884" t="s">
        <v>5168</v>
      </c>
      <c r="G884" t="s">
        <v>5396</v>
      </c>
      <c r="H884" t="s">
        <v>3461</v>
      </c>
      <c r="J884" s="2">
        <v>40696</v>
      </c>
      <c r="K884">
        <v>115.5</v>
      </c>
    </row>
    <row r="885" spans="1:11" x14ac:dyDescent="0.35">
      <c r="A885" s="2">
        <v>40697</v>
      </c>
      <c r="B885" s="1">
        <v>0</v>
      </c>
      <c r="C885" t="s">
        <v>5208</v>
      </c>
      <c r="D885" t="s">
        <v>5551</v>
      </c>
      <c r="E885" t="s">
        <v>5340</v>
      </c>
      <c r="F885" t="s">
        <v>5168</v>
      </c>
      <c r="G885" t="s">
        <v>5550</v>
      </c>
      <c r="H885" t="s">
        <v>486</v>
      </c>
      <c r="J885" s="2">
        <v>40697</v>
      </c>
      <c r="K885">
        <v>109.1</v>
      </c>
    </row>
    <row r="886" spans="1:11" x14ac:dyDescent="0.35">
      <c r="A886" s="2">
        <v>40698</v>
      </c>
      <c r="B886" s="1">
        <v>0</v>
      </c>
      <c r="C886" t="s">
        <v>5070</v>
      </c>
      <c r="D886" t="s">
        <v>5149</v>
      </c>
      <c r="E886" t="s">
        <v>5136</v>
      </c>
      <c r="F886" t="s">
        <v>5168</v>
      </c>
      <c r="G886" t="s">
        <v>5344</v>
      </c>
      <c r="H886" t="s">
        <v>5659</v>
      </c>
      <c r="J886" s="2">
        <v>40698</v>
      </c>
      <c r="K886">
        <v>102.6</v>
      </c>
    </row>
    <row r="887" spans="1:11" x14ac:dyDescent="0.35">
      <c r="A887" s="2">
        <v>40699</v>
      </c>
      <c r="B887" s="1">
        <v>0</v>
      </c>
      <c r="C887" t="s">
        <v>5051</v>
      </c>
      <c r="D887" t="s">
        <v>5188</v>
      </c>
      <c r="E887" t="s">
        <v>5092</v>
      </c>
      <c r="F887" t="s">
        <v>5168</v>
      </c>
      <c r="G887" t="s">
        <v>5346</v>
      </c>
      <c r="H887" t="s">
        <v>4083</v>
      </c>
      <c r="J887" s="2">
        <v>40699</v>
      </c>
      <c r="K887">
        <v>97.1</v>
      </c>
    </row>
    <row r="888" spans="1:11" x14ac:dyDescent="0.35">
      <c r="A888" s="2">
        <v>40700</v>
      </c>
      <c r="B888" s="1">
        <v>0</v>
      </c>
      <c r="C888" t="s">
        <v>5308</v>
      </c>
      <c r="D888" t="s">
        <v>5356</v>
      </c>
      <c r="E888" t="s">
        <v>5099</v>
      </c>
      <c r="F888" t="s">
        <v>5168</v>
      </c>
      <c r="G888" t="s">
        <v>5361</v>
      </c>
      <c r="H888" t="s">
        <v>985</v>
      </c>
      <c r="J888" s="2">
        <v>40700</v>
      </c>
      <c r="K888">
        <v>92.5</v>
      </c>
    </row>
    <row r="889" spans="1:11" x14ac:dyDescent="0.35">
      <c r="A889" s="2">
        <v>40701</v>
      </c>
      <c r="B889" s="1">
        <v>0</v>
      </c>
      <c r="C889" t="s">
        <v>5314</v>
      </c>
      <c r="D889" t="s">
        <v>5082</v>
      </c>
      <c r="E889" t="s">
        <v>5475</v>
      </c>
      <c r="F889" t="s">
        <v>5168</v>
      </c>
      <c r="G889" t="s">
        <v>5349</v>
      </c>
      <c r="H889" t="s">
        <v>338</v>
      </c>
      <c r="J889" s="2">
        <v>40701</v>
      </c>
      <c r="K889">
        <v>89.1</v>
      </c>
    </row>
    <row r="890" spans="1:11" x14ac:dyDescent="0.35">
      <c r="A890" s="2">
        <v>40702</v>
      </c>
      <c r="B890" s="1">
        <v>0</v>
      </c>
      <c r="C890" t="s">
        <v>5338</v>
      </c>
      <c r="D890" t="s">
        <v>5078</v>
      </c>
      <c r="E890" t="s">
        <v>5412</v>
      </c>
      <c r="F890" t="s">
        <v>5168</v>
      </c>
      <c r="G890" t="s">
        <v>5353</v>
      </c>
      <c r="H890" t="s">
        <v>351</v>
      </c>
      <c r="J890" s="2">
        <v>40702</v>
      </c>
      <c r="K890">
        <v>87</v>
      </c>
    </row>
    <row r="891" spans="1:11" x14ac:dyDescent="0.35">
      <c r="A891" s="2">
        <v>40703</v>
      </c>
      <c r="B891" s="1">
        <v>0</v>
      </c>
      <c r="C891" t="s">
        <v>5527</v>
      </c>
      <c r="D891" t="s">
        <v>5475</v>
      </c>
      <c r="E891" t="s">
        <v>5179</v>
      </c>
      <c r="F891" t="s">
        <v>5168</v>
      </c>
      <c r="G891" t="s">
        <v>5353</v>
      </c>
      <c r="H891" t="s">
        <v>1484</v>
      </c>
      <c r="J891" s="2">
        <v>40703</v>
      </c>
      <c r="K891">
        <v>87.5</v>
      </c>
    </row>
    <row r="892" spans="1:11" x14ac:dyDescent="0.35">
      <c r="A892" s="2">
        <v>40704</v>
      </c>
      <c r="B892" s="1">
        <v>0</v>
      </c>
      <c r="C892" t="s">
        <v>5292</v>
      </c>
      <c r="D892" t="s">
        <v>5124</v>
      </c>
      <c r="E892" t="s">
        <v>5412</v>
      </c>
      <c r="F892" t="s">
        <v>5168</v>
      </c>
      <c r="G892" t="s">
        <v>5361</v>
      </c>
      <c r="H892" t="s">
        <v>328</v>
      </c>
      <c r="J892" s="2">
        <v>40704</v>
      </c>
      <c r="K892">
        <v>93.8</v>
      </c>
    </row>
    <row r="893" spans="1:11" x14ac:dyDescent="0.35">
      <c r="A893" s="2">
        <v>40705</v>
      </c>
      <c r="B893" s="1">
        <v>0</v>
      </c>
      <c r="C893" t="s">
        <v>5229</v>
      </c>
      <c r="D893" t="s">
        <v>5132</v>
      </c>
      <c r="E893" t="s">
        <v>5183</v>
      </c>
      <c r="F893" t="s">
        <v>5156</v>
      </c>
      <c r="G893" t="s">
        <v>5359</v>
      </c>
      <c r="H893" t="s">
        <v>3214</v>
      </c>
      <c r="J893" s="2">
        <v>40705</v>
      </c>
      <c r="K893">
        <v>105.4</v>
      </c>
    </row>
    <row r="894" spans="1:11" x14ac:dyDescent="0.35">
      <c r="A894" s="2">
        <v>40706</v>
      </c>
      <c r="B894" s="1">
        <v>0</v>
      </c>
      <c r="C894" t="s">
        <v>5485</v>
      </c>
      <c r="D894" t="s">
        <v>5166</v>
      </c>
      <c r="E894" t="s">
        <v>5099</v>
      </c>
      <c r="F894" t="s">
        <v>5156</v>
      </c>
      <c r="G894" t="s">
        <v>5409</v>
      </c>
      <c r="H894" t="s">
        <v>309</v>
      </c>
      <c r="J894" s="2">
        <v>40706</v>
      </c>
      <c r="K894">
        <v>114.7</v>
      </c>
    </row>
    <row r="895" spans="1:11" x14ac:dyDescent="0.35">
      <c r="A895" s="2">
        <v>40707</v>
      </c>
      <c r="B895" s="1">
        <v>0</v>
      </c>
      <c r="C895" t="s">
        <v>5206</v>
      </c>
      <c r="D895" t="s">
        <v>5201</v>
      </c>
      <c r="E895" t="s">
        <v>5124</v>
      </c>
      <c r="F895" t="s">
        <v>5156</v>
      </c>
      <c r="G895" t="s">
        <v>5409</v>
      </c>
      <c r="H895" t="s">
        <v>1445</v>
      </c>
      <c r="J895" s="2">
        <v>40707</v>
      </c>
      <c r="K895">
        <v>115.3</v>
      </c>
    </row>
    <row r="896" spans="1:11" x14ac:dyDescent="0.35">
      <c r="A896" s="2">
        <v>40708</v>
      </c>
      <c r="B896" s="1">
        <v>0</v>
      </c>
      <c r="C896" t="s">
        <v>5137</v>
      </c>
      <c r="D896" t="s">
        <v>5332</v>
      </c>
      <c r="E896" t="s">
        <v>5078</v>
      </c>
      <c r="F896" t="s">
        <v>5156</v>
      </c>
      <c r="G896" t="s">
        <v>5550</v>
      </c>
      <c r="H896" t="s">
        <v>1555</v>
      </c>
      <c r="J896" s="2">
        <v>40708</v>
      </c>
      <c r="K896">
        <v>109.5</v>
      </c>
    </row>
    <row r="897" spans="1:11" x14ac:dyDescent="0.35">
      <c r="A897" s="2">
        <v>40709</v>
      </c>
      <c r="B897" s="1">
        <v>0</v>
      </c>
      <c r="C897" t="s">
        <v>5434</v>
      </c>
      <c r="D897" t="s">
        <v>5045</v>
      </c>
      <c r="E897" t="s">
        <v>5065</v>
      </c>
      <c r="F897" t="s">
        <v>5168</v>
      </c>
      <c r="G897" t="s">
        <v>5344</v>
      </c>
      <c r="H897" t="s">
        <v>4647</v>
      </c>
      <c r="J897" s="2">
        <v>40709</v>
      </c>
      <c r="K897">
        <v>101.4</v>
      </c>
    </row>
    <row r="898" spans="1:11" x14ac:dyDescent="0.35">
      <c r="A898" s="2">
        <v>40710</v>
      </c>
      <c r="B898" s="1">
        <v>0</v>
      </c>
      <c r="C898" t="s">
        <v>5057</v>
      </c>
      <c r="D898" t="s">
        <v>5099</v>
      </c>
      <c r="E898" t="s">
        <v>5058</v>
      </c>
      <c r="F898" t="s">
        <v>5168</v>
      </c>
      <c r="G898" t="s">
        <v>5346</v>
      </c>
      <c r="H898" t="s">
        <v>2605</v>
      </c>
      <c r="J898" s="2">
        <v>40710</v>
      </c>
      <c r="K898">
        <v>94.8</v>
      </c>
    </row>
    <row r="899" spans="1:11" x14ac:dyDescent="0.35">
      <c r="A899" s="2">
        <v>40711</v>
      </c>
      <c r="B899" s="1">
        <v>0</v>
      </c>
      <c r="C899" t="s">
        <v>5307</v>
      </c>
      <c r="D899" t="s">
        <v>5065</v>
      </c>
      <c r="E899" t="s">
        <v>5054</v>
      </c>
      <c r="F899" t="s">
        <v>5168</v>
      </c>
      <c r="G899" t="s">
        <v>5361</v>
      </c>
      <c r="H899" t="s">
        <v>357</v>
      </c>
      <c r="J899" s="2">
        <v>40711</v>
      </c>
      <c r="K899">
        <v>90.9</v>
      </c>
    </row>
    <row r="900" spans="1:11" x14ac:dyDescent="0.35">
      <c r="A900" s="2">
        <v>40712</v>
      </c>
      <c r="B900" s="1">
        <v>0</v>
      </c>
      <c r="C900" t="s">
        <v>5549</v>
      </c>
      <c r="D900" t="s">
        <v>5412</v>
      </c>
      <c r="E900" t="s">
        <v>5240</v>
      </c>
      <c r="F900" t="s">
        <v>5168</v>
      </c>
      <c r="G900" t="s">
        <v>5349</v>
      </c>
      <c r="H900" t="s">
        <v>465</v>
      </c>
      <c r="J900" s="2">
        <v>40712</v>
      </c>
      <c r="K900">
        <v>88.2</v>
      </c>
    </row>
    <row r="901" spans="1:11" x14ac:dyDescent="0.35">
      <c r="A901" s="2">
        <v>40713</v>
      </c>
      <c r="B901" s="1">
        <v>0</v>
      </c>
      <c r="C901" t="s">
        <v>5199</v>
      </c>
      <c r="D901" t="s">
        <v>5179</v>
      </c>
      <c r="E901" t="s">
        <v>5050</v>
      </c>
      <c r="F901" t="s">
        <v>5168</v>
      </c>
      <c r="G901" t="s">
        <v>5353</v>
      </c>
      <c r="H901" t="s">
        <v>367</v>
      </c>
      <c r="J901" s="2">
        <v>40713</v>
      </c>
      <c r="K901">
        <v>86.5</v>
      </c>
    </row>
    <row r="902" spans="1:11" x14ac:dyDescent="0.35">
      <c r="A902" s="2">
        <v>40714</v>
      </c>
      <c r="B902" s="1">
        <v>0</v>
      </c>
      <c r="C902" t="s">
        <v>5155</v>
      </c>
      <c r="D902" t="s">
        <v>5240</v>
      </c>
      <c r="E902" t="s">
        <v>5050</v>
      </c>
      <c r="F902" t="s">
        <v>5168</v>
      </c>
      <c r="G902" t="s">
        <v>5353</v>
      </c>
      <c r="H902" t="s">
        <v>1050</v>
      </c>
      <c r="J902" s="2">
        <v>40714</v>
      </c>
      <c r="K902">
        <v>85.3</v>
      </c>
    </row>
    <row r="903" spans="1:11" x14ac:dyDescent="0.35">
      <c r="A903" s="2">
        <v>40715</v>
      </c>
      <c r="B903" s="1">
        <v>0</v>
      </c>
      <c r="C903" t="s">
        <v>5341</v>
      </c>
      <c r="D903" t="s">
        <v>5240</v>
      </c>
      <c r="E903" t="s">
        <v>5050</v>
      </c>
      <c r="F903" t="s">
        <v>5168</v>
      </c>
      <c r="G903" t="s">
        <v>5353</v>
      </c>
      <c r="H903" t="s">
        <v>466</v>
      </c>
      <c r="J903" s="2">
        <v>40715</v>
      </c>
      <c r="K903">
        <v>84.5</v>
      </c>
    </row>
    <row r="904" spans="1:11" x14ac:dyDescent="0.35">
      <c r="A904" s="2">
        <v>40716</v>
      </c>
      <c r="B904" s="1">
        <v>0</v>
      </c>
      <c r="C904" t="s">
        <v>5355</v>
      </c>
      <c r="D904" t="s">
        <v>5050</v>
      </c>
      <c r="E904" t="s">
        <v>5046</v>
      </c>
      <c r="F904" t="s">
        <v>5168</v>
      </c>
      <c r="G904" t="s">
        <v>5354</v>
      </c>
      <c r="H904" t="s">
        <v>322</v>
      </c>
      <c r="J904" s="2">
        <v>40716</v>
      </c>
      <c r="K904">
        <v>84</v>
      </c>
    </row>
    <row r="905" spans="1:11" x14ac:dyDescent="0.35">
      <c r="A905" s="2">
        <v>40717</v>
      </c>
      <c r="B905" s="1">
        <v>0</v>
      </c>
      <c r="C905" t="s">
        <v>5355</v>
      </c>
      <c r="D905" t="s">
        <v>5050</v>
      </c>
      <c r="E905" t="s">
        <v>5046</v>
      </c>
      <c r="F905" t="s">
        <v>5168</v>
      </c>
      <c r="G905" t="s">
        <v>5353</v>
      </c>
      <c r="H905" t="s">
        <v>322</v>
      </c>
      <c r="J905" s="2">
        <v>40717</v>
      </c>
      <c r="K905">
        <v>84</v>
      </c>
    </row>
    <row r="906" spans="1:11" x14ac:dyDescent="0.35">
      <c r="A906" s="2">
        <v>40718</v>
      </c>
      <c r="B906" s="1">
        <v>0</v>
      </c>
      <c r="C906" t="s">
        <v>5341</v>
      </c>
      <c r="D906" t="s">
        <v>5050</v>
      </c>
      <c r="E906" t="s">
        <v>5050</v>
      </c>
      <c r="F906" t="s">
        <v>5168</v>
      </c>
      <c r="G906" t="s">
        <v>5353</v>
      </c>
      <c r="H906" t="s">
        <v>1523</v>
      </c>
      <c r="J906" s="2">
        <v>40718</v>
      </c>
      <c r="K906">
        <v>84.6</v>
      </c>
    </row>
    <row r="907" spans="1:11" x14ac:dyDescent="0.35">
      <c r="A907" s="2">
        <v>40719</v>
      </c>
      <c r="B907" s="1">
        <v>0</v>
      </c>
      <c r="C907" t="s">
        <v>5161</v>
      </c>
      <c r="D907" t="s">
        <v>5054</v>
      </c>
      <c r="E907" t="s">
        <v>5050</v>
      </c>
      <c r="F907" t="s">
        <v>5168</v>
      </c>
      <c r="G907" t="s">
        <v>5361</v>
      </c>
      <c r="H907" t="s">
        <v>366</v>
      </c>
      <c r="J907" s="2">
        <v>40719</v>
      </c>
      <c r="K907">
        <v>86.3</v>
      </c>
    </row>
    <row r="908" spans="1:11" x14ac:dyDescent="0.35">
      <c r="A908" s="2">
        <v>40720</v>
      </c>
      <c r="B908" s="1">
        <v>0</v>
      </c>
      <c r="C908" t="s">
        <v>5194</v>
      </c>
      <c r="D908" t="s">
        <v>5058</v>
      </c>
      <c r="E908" t="s">
        <v>5050</v>
      </c>
      <c r="F908" t="s">
        <v>5168</v>
      </c>
      <c r="G908" t="s">
        <v>5346</v>
      </c>
      <c r="H908" t="s">
        <v>1529</v>
      </c>
      <c r="J908" s="2">
        <v>40720</v>
      </c>
      <c r="K908">
        <v>88.8</v>
      </c>
    </row>
    <row r="909" spans="1:11" x14ac:dyDescent="0.35">
      <c r="A909" s="2">
        <v>40721</v>
      </c>
      <c r="B909" s="1">
        <v>0</v>
      </c>
      <c r="C909" t="s">
        <v>5529</v>
      </c>
      <c r="D909" t="s">
        <v>5412</v>
      </c>
      <c r="E909" t="s">
        <v>5050</v>
      </c>
      <c r="F909" t="s">
        <v>5168</v>
      </c>
      <c r="G909" t="s">
        <v>5344</v>
      </c>
      <c r="H909" t="s">
        <v>981</v>
      </c>
      <c r="J909" s="2">
        <v>40721</v>
      </c>
      <c r="K909">
        <v>91</v>
      </c>
    </row>
    <row r="910" spans="1:11" x14ac:dyDescent="0.35">
      <c r="A910" s="2">
        <v>40722</v>
      </c>
      <c r="B910" s="1">
        <v>0</v>
      </c>
      <c r="C910" t="s">
        <v>5529</v>
      </c>
      <c r="D910" t="s">
        <v>5058</v>
      </c>
      <c r="E910" t="s">
        <v>5050</v>
      </c>
      <c r="F910" t="s">
        <v>5168</v>
      </c>
      <c r="G910" t="s">
        <v>5344</v>
      </c>
      <c r="H910" t="s">
        <v>357</v>
      </c>
      <c r="J910" s="2">
        <v>40722</v>
      </c>
      <c r="K910">
        <v>90.9</v>
      </c>
    </row>
    <row r="911" spans="1:11" x14ac:dyDescent="0.35">
      <c r="A911" s="2">
        <v>40723</v>
      </c>
      <c r="B911" s="1">
        <v>0</v>
      </c>
      <c r="C911" t="s">
        <v>5296</v>
      </c>
      <c r="D911" t="s">
        <v>5179</v>
      </c>
      <c r="E911" t="s">
        <v>5046</v>
      </c>
      <c r="F911" t="s">
        <v>5168</v>
      </c>
      <c r="G911" t="s">
        <v>5343</v>
      </c>
      <c r="H911" t="s">
        <v>331</v>
      </c>
      <c r="J911" s="2">
        <v>40723</v>
      </c>
      <c r="K911">
        <v>89.5</v>
      </c>
    </row>
    <row r="912" spans="1:11" x14ac:dyDescent="0.35">
      <c r="A912" s="2">
        <v>40724</v>
      </c>
      <c r="B912" s="1">
        <v>0</v>
      </c>
      <c r="C912" t="s">
        <v>5329</v>
      </c>
      <c r="D912" t="s">
        <v>5054</v>
      </c>
      <c r="E912" t="s">
        <v>5046</v>
      </c>
      <c r="F912" t="s">
        <v>5168</v>
      </c>
      <c r="G912" t="s">
        <v>5346</v>
      </c>
      <c r="H912" t="s">
        <v>1484</v>
      </c>
      <c r="J912" s="2">
        <v>40724</v>
      </c>
      <c r="K912">
        <v>87.5</v>
      </c>
    </row>
    <row r="913" spans="1:11" x14ac:dyDescent="0.35">
      <c r="A913" t="s">
        <v>1485</v>
      </c>
      <c r="B913" s="1">
        <v>0</v>
      </c>
      <c r="C913" t="s">
        <v>5331</v>
      </c>
      <c r="D913" t="s">
        <v>5240</v>
      </c>
      <c r="E913" t="s">
        <v>5046</v>
      </c>
      <c r="F913" t="s">
        <v>5168</v>
      </c>
      <c r="G913" t="s">
        <v>5349</v>
      </c>
      <c r="H913" t="s">
        <v>337</v>
      </c>
      <c r="J913" t="s">
        <v>1485</v>
      </c>
      <c r="K913">
        <v>85.8</v>
      </c>
    </row>
    <row r="914" spans="1:11" x14ac:dyDescent="0.35">
      <c r="A914" t="s">
        <v>1487</v>
      </c>
      <c r="B914" s="1">
        <v>0</v>
      </c>
      <c r="C914" t="s">
        <v>5297</v>
      </c>
      <c r="D914" t="s">
        <v>5189</v>
      </c>
      <c r="E914" t="s">
        <v>5409</v>
      </c>
      <c r="F914" t="s">
        <v>5364</v>
      </c>
      <c r="G914" t="s">
        <v>5371</v>
      </c>
      <c r="H914" t="s">
        <v>5632</v>
      </c>
      <c r="J914" t="s">
        <v>1487</v>
      </c>
      <c r="K914">
        <v>61.9</v>
      </c>
    </row>
    <row r="915" spans="1:11" x14ac:dyDescent="0.35">
      <c r="A915" t="s">
        <v>1489</v>
      </c>
      <c r="B915" s="1">
        <v>0</v>
      </c>
      <c r="C915" t="s">
        <v>5315</v>
      </c>
      <c r="D915" t="s">
        <v>5189</v>
      </c>
      <c r="E915" t="s">
        <v>5409</v>
      </c>
      <c r="F915" t="s">
        <v>5364</v>
      </c>
      <c r="G915" t="s">
        <v>5371</v>
      </c>
      <c r="H915" t="s">
        <v>5514</v>
      </c>
      <c r="J915" t="s">
        <v>1489</v>
      </c>
      <c r="K915">
        <v>61.7</v>
      </c>
    </row>
    <row r="916" spans="1:11" x14ac:dyDescent="0.35">
      <c r="A916" t="s">
        <v>1490</v>
      </c>
      <c r="B916" s="1">
        <v>0</v>
      </c>
      <c r="C916" t="s">
        <v>5288</v>
      </c>
      <c r="D916" t="s">
        <v>5189</v>
      </c>
      <c r="E916" t="s">
        <v>5409</v>
      </c>
      <c r="F916" t="s">
        <v>5364</v>
      </c>
      <c r="G916" t="s">
        <v>5371</v>
      </c>
      <c r="H916" t="s">
        <v>5647</v>
      </c>
      <c r="J916" t="s">
        <v>1490</v>
      </c>
      <c r="K916">
        <v>62.3</v>
      </c>
    </row>
    <row r="917" spans="1:11" x14ac:dyDescent="0.35">
      <c r="A917" t="s">
        <v>1491</v>
      </c>
      <c r="B917" s="1">
        <v>0</v>
      </c>
      <c r="C917" t="s">
        <v>5230</v>
      </c>
      <c r="D917" t="s">
        <v>5357</v>
      </c>
      <c r="E917" t="s">
        <v>5409</v>
      </c>
      <c r="F917" t="s">
        <v>5364</v>
      </c>
      <c r="G917" t="s">
        <v>5365</v>
      </c>
      <c r="H917" t="s">
        <v>5502</v>
      </c>
      <c r="J917" t="s">
        <v>1491</v>
      </c>
      <c r="K917">
        <v>63.2</v>
      </c>
    </row>
    <row r="918" spans="1:11" x14ac:dyDescent="0.35">
      <c r="A918" t="s">
        <v>1492</v>
      </c>
      <c r="B918" s="1">
        <v>0</v>
      </c>
      <c r="C918" t="s">
        <v>5174</v>
      </c>
      <c r="D918" t="s">
        <v>5357</v>
      </c>
      <c r="E918" t="s">
        <v>5409</v>
      </c>
      <c r="F918" t="s">
        <v>5364</v>
      </c>
      <c r="G918" t="s">
        <v>5365</v>
      </c>
      <c r="H918" t="s">
        <v>5502</v>
      </c>
      <c r="J918" t="s">
        <v>1492</v>
      </c>
      <c r="K918">
        <v>63.2</v>
      </c>
    </row>
    <row r="919" spans="1:11" x14ac:dyDescent="0.35">
      <c r="A919" t="s">
        <v>1493</v>
      </c>
      <c r="B919" s="1">
        <v>0</v>
      </c>
      <c r="C919" t="s">
        <v>5227</v>
      </c>
      <c r="D919" t="s">
        <v>5357</v>
      </c>
      <c r="E919" t="s">
        <v>5409</v>
      </c>
      <c r="F919" t="s">
        <v>5364</v>
      </c>
      <c r="G919" t="s">
        <v>5365</v>
      </c>
      <c r="H919" t="s">
        <v>5621</v>
      </c>
      <c r="J919" t="s">
        <v>1493</v>
      </c>
      <c r="K919">
        <v>62.7</v>
      </c>
    </row>
    <row r="920" spans="1:11" x14ac:dyDescent="0.35">
      <c r="A920" t="s">
        <v>1494</v>
      </c>
      <c r="B920" s="1">
        <v>0</v>
      </c>
      <c r="C920" t="s">
        <v>5312</v>
      </c>
      <c r="D920" t="s">
        <v>5357</v>
      </c>
      <c r="E920" t="s">
        <v>5409</v>
      </c>
      <c r="F920" t="s">
        <v>5364</v>
      </c>
      <c r="G920" t="s">
        <v>5371</v>
      </c>
      <c r="H920" t="s">
        <v>5632</v>
      </c>
      <c r="J920" t="s">
        <v>1494</v>
      </c>
      <c r="K920">
        <v>61.9</v>
      </c>
    </row>
    <row r="921" spans="1:11" x14ac:dyDescent="0.35">
      <c r="A921" t="s">
        <v>1495</v>
      </c>
      <c r="B921" s="1">
        <v>0</v>
      </c>
      <c r="C921" t="s">
        <v>5397</v>
      </c>
      <c r="D921" t="s">
        <v>5357</v>
      </c>
      <c r="E921" t="s">
        <v>5409</v>
      </c>
      <c r="F921" t="s">
        <v>5364</v>
      </c>
      <c r="G921" t="s">
        <v>5372</v>
      </c>
      <c r="H921" t="s">
        <v>5506</v>
      </c>
      <c r="J921" t="s">
        <v>1495</v>
      </c>
      <c r="K921">
        <v>61.2</v>
      </c>
    </row>
    <row r="922" spans="1:11" x14ac:dyDescent="0.35">
      <c r="A922" t="s">
        <v>1496</v>
      </c>
      <c r="B922" s="1">
        <v>0</v>
      </c>
      <c r="C922" t="s">
        <v>5432</v>
      </c>
      <c r="D922" t="s">
        <v>5357</v>
      </c>
      <c r="E922" t="s">
        <v>5409</v>
      </c>
      <c r="F922" t="s">
        <v>5364</v>
      </c>
      <c r="G922" t="s">
        <v>5372</v>
      </c>
      <c r="H922" t="s">
        <v>5231</v>
      </c>
      <c r="J922" t="s">
        <v>1496</v>
      </c>
      <c r="K922">
        <v>60.8</v>
      </c>
    </row>
    <row r="923" spans="1:11" x14ac:dyDescent="0.35">
      <c r="A923" t="s">
        <v>1497</v>
      </c>
      <c r="B923" s="1">
        <v>0</v>
      </c>
      <c r="C923" t="s">
        <v>5411</v>
      </c>
      <c r="D923" t="s">
        <v>5357</v>
      </c>
      <c r="E923" t="s">
        <v>5409</v>
      </c>
      <c r="F923" t="s">
        <v>5364</v>
      </c>
      <c r="G923" t="s">
        <v>5372</v>
      </c>
      <c r="H923" t="s">
        <v>5134</v>
      </c>
      <c r="J923" t="s">
        <v>1497</v>
      </c>
      <c r="K923">
        <v>60.5</v>
      </c>
    </row>
    <row r="924" spans="1:11" x14ac:dyDescent="0.35">
      <c r="A924" t="s">
        <v>1498</v>
      </c>
      <c r="B924" s="1">
        <v>0</v>
      </c>
      <c r="C924" t="s">
        <v>5337</v>
      </c>
      <c r="D924" t="s">
        <v>5357</v>
      </c>
      <c r="E924" t="s">
        <v>5409</v>
      </c>
      <c r="F924" t="s">
        <v>5364</v>
      </c>
      <c r="G924" t="s">
        <v>5375</v>
      </c>
      <c r="H924" t="s">
        <v>5130</v>
      </c>
      <c r="J924" t="s">
        <v>1498</v>
      </c>
      <c r="K924">
        <v>60.3</v>
      </c>
    </row>
    <row r="925" spans="1:11" x14ac:dyDescent="0.35">
      <c r="A925" t="s">
        <v>1499</v>
      </c>
      <c r="B925" s="1">
        <v>0</v>
      </c>
      <c r="C925" t="s">
        <v>5339</v>
      </c>
      <c r="D925" t="s">
        <v>5357</v>
      </c>
      <c r="E925" t="s">
        <v>5409</v>
      </c>
      <c r="F925" t="s">
        <v>5364</v>
      </c>
      <c r="G925" t="s">
        <v>5375</v>
      </c>
      <c r="H925" t="s">
        <v>5616</v>
      </c>
      <c r="J925" t="s">
        <v>1499</v>
      </c>
      <c r="K925">
        <v>60.2</v>
      </c>
    </row>
    <row r="926" spans="1:11" x14ac:dyDescent="0.35">
      <c r="A926" t="s">
        <v>1501</v>
      </c>
      <c r="B926" s="1">
        <v>0</v>
      </c>
      <c r="C926" t="s">
        <v>5156</v>
      </c>
      <c r="D926" t="s">
        <v>5357</v>
      </c>
      <c r="E926" t="s">
        <v>5409</v>
      </c>
      <c r="F926" t="s">
        <v>5364</v>
      </c>
      <c r="G926" t="s">
        <v>5375</v>
      </c>
      <c r="H926" t="s">
        <v>5490</v>
      </c>
      <c r="J926" t="s">
        <v>1501</v>
      </c>
      <c r="K926">
        <v>60.1</v>
      </c>
    </row>
    <row r="927" spans="1:11" x14ac:dyDescent="0.35">
      <c r="A927" t="s">
        <v>1502</v>
      </c>
      <c r="B927" s="1">
        <v>0</v>
      </c>
      <c r="C927" t="s">
        <v>5156</v>
      </c>
      <c r="D927" t="s">
        <v>5357</v>
      </c>
      <c r="E927" t="s">
        <v>5409</v>
      </c>
      <c r="F927" t="s">
        <v>5364</v>
      </c>
      <c r="G927" t="s">
        <v>5375</v>
      </c>
      <c r="H927" t="s">
        <v>5490</v>
      </c>
      <c r="J927" t="s">
        <v>1502</v>
      </c>
      <c r="K927">
        <v>60.1</v>
      </c>
    </row>
    <row r="928" spans="1:11" x14ac:dyDescent="0.35">
      <c r="A928" t="s">
        <v>1503</v>
      </c>
      <c r="B928" s="1">
        <v>0</v>
      </c>
      <c r="C928" t="s">
        <v>5168</v>
      </c>
      <c r="D928" t="s">
        <v>5357</v>
      </c>
      <c r="E928" t="s">
        <v>5409</v>
      </c>
      <c r="F928" t="s">
        <v>5364</v>
      </c>
      <c r="G928" t="s">
        <v>5375</v>
      </c>
      <c r="H928" t="s">
        <v>5490</v>
      </c>
      <c r="J928" t="s">
        <v>1503</v>
      </c>
      <c r="K928">
        <v>60.1</v>
      </c>
    </row>
    <row r="929" spans="1:11" x14ac:dyDescent="0.35">
      <c r="A929" t="s">
        <v>1504</v>
      </c>
      <c r="B929" s="1">
        <v>0</v>
      </c>
      <c r="C929" t="s">
        <v>5168</v>
      </c>
      <c r="D929" t="s">
        <v>5357</v>
      </c>
      <c r="E929" t="s">
        <v>5409</v>
      </c>
      <c r="F929" t="s">
        <v>5364</v>
      </c>
      <c r="G929" t="s">
        <v>5375</v>
      </c>
      <c r="H929" t="s">
        <v>5510</v>
      </c>
      <c r="J929" t="s">
        <v>1504</v>
      </c>
      <c r="K929">
        <v>60</v>
      </c>
    </row>
    <row r="930" spans="1:11" x14ac:dyDescent="0.35">
      <c r="A930" t="s">
        <v>1505</v>
      </c>
      <c r="B930" s="1">
        <v>0</v>
      </c>
      <c r="C930" t="s">
        <v>5168</v>
      </c>
      <c r="D930" t="s">
        <v>5357</v>
      </c>
      <c r="E930" t="s">
        <v>5409</v>
      </c>
      <c r="F930" t="s">
        <v>5364</v>
      </c>
      <c r="G930" t="s">
        <v>5375</v>
      </c>
      <c r="H930" t="s">
        <v>5510</v>
      </c>
      <c r="J930" t="s">
        <v>1505</v>
      </c>
      <c r="K930">
        <v>60</v>
      </c>
    </row>
    <row r="931" spans="1:11" x14ac:dyDescent="0.35">
      <c r="A931" t="s">
        <v>1506</v>
      </c>
      <c r="B931" s="1">
        <v>0</v>
      </c>
      <c r="C931" t="s">
        <v>5168</v>
      </c>
      <c r="D931" t="s">
        <v>5357</v>
      </c>
      <c r="E931" t="s">
        <v>5409</v>
      </c>
      <c r="F931" t="s">
        <v>5364</v>
      </c>
      <c r="G931" t="s">
        <v>5375</v>
      </c>
      <c r="H931" t="s">
        <v>5510</v>
      </c>
      <c r="J931" t="s">
        <v>1506</v>
      </c>
      <c r="K931">
        <v>60</v>
      </c>
    </row>
    <row r="932" spans="1:11" x14ac:dyDescent="0.35">
      <c r="A932" t="s">
        <v>1507</v>
      </c>
      <c r="B932" s="1">
        <v>0</v>
      </c>
      <c r="C932" t="s">
        <v>5168</v>
      </c>
      <c r="D932" t="s">
        <v>5357</v>
      </c>
      <c r="E932" t="s">
        <v>5409</v>
      </c>
      <c r="F932" t="s">
        <v>5364</v>
      </c>
      <c r="G932" t="s">
        <v>5375</v>
      </c>
      <c r="H932" t="s">
        <v>5510</v>
      </c>
      <c r="J932" t="s">
        <v>1507</v>
      </c>
      <c r="K932">
        <v>60</v>
      </c>
    </row>
    <row r="933" spans="1:11" x14ac:dyDescent="0.35">
      <c r="A933" t="s">
        <v>1508</v>
      </c>
      <c r="B933" s="1">
        <v>0</v>
      </c>
      <c r="C933" t="s">
        <v>5339</v>
      </c>
      <c r="D933" t="s">
        <v>5357</v>
      </c>
      <c r="E933" t="s">
        <v>5409</v>
      </c>
      <c r="F933" t="s">
        <v>5364</v>
      </c>
      <c r="G933" t="s">
        <v>5375</v>
      </c>
      <c r="H933" t="s">
        <v>5130</v>
      </c>
      <c r="J933" t="s">
        <v>1508</v>
      </c>
      <c r="K933">
        <v>60.3</v>
      </c>
    </row>
    <row r="934" spans="1:11" x14ac:dyDescent="0.35">
      <c r="A934" t="s">
        <v>1509</v>
      </c>
      <c r="B934" s="1">
        <v>0</v>
      </c>
      <c r="C934" t="s">
        <v>5140</v>
      </c>
      <c r="D934" t="s">
        <v>5357</v>
      </c>
      <c r="E934" t="s">
        <v>5409</v>
      </c>
      <c r="F934" t="s">
        <v>5364</v>
      </c>
      <c r="G934" t="s">
        <v>5372</v>
      </c>
      <c r="H934" t="s">
        <v>5629</v>
      </c>
      <c r="J934" t="s">
        <v>1509</v>
      </c>
      <c r="K934">
        <v>60.9</v>
      </c>
    </row>
    <row r="935" spans="1:11" x14ac:dyDescent="0.35">
      <c r="A935" t="s">
        <v>1510</v>
      </c>
      <c r="B935" s="1">
        <v>0</v>
      </c>
      <c r="C935" t="s">
        <v>5315</v>
      </c>
      <c r="D935" t="s">
        <v>5357</v>
      </c>
      <c r="E935" t="s">
        <v>5409</v>
      </c>
      <c r="F935" t="s">
        <v>5364</v>
      </c>
      <c r="G935" t="s">
        <v>5372</v>
      </c>
      <c r="H935" t="s">
        <v>5618</v>
      </c>
      <c r="J935" t="s">
        <v>1510</v>
      </c>
      <c r="K935">
        <v>61.5</v>
      </c>
    </row>
    <row r="936" spans="1:11" x14ac:dyDescent="0.35">
      <c r="A936" t="s">
        <v>1511</v>
      </c>
      <c r="B936" s="1">
        <v>0</v>
      </c>
      <c r="C936" t="s">
        <v>5312</v>
      </c>
      <c r="D936" t="s">
        <v>5357</v>
      </c>
      <c r="E936" t="s">
        <v>5409</v>
      </c>
      <c r="F936" t="s">
        <v>5364</v>
      </c>
      <c r="G936" t="s">
        <v>5371</v>
      </c>
      <c r="H936" t="s">
        <v>5587</v>
      </c>
      <c r="J936" t="s">
        <v>1511</v>
      </c>
      <c r="K936">
        <v>61.8</v>
      </c>
    </row>
    <row r="937" spans="1:11" x14ac:dyDescent="0.35">
      <c r="A937" t="s">
        <v>1512</v>
      </c>
      <c r="B937" s="1">
        <v>0</v>
      </c>
      <c r="C937" t="s">
        <v>5294</v>
      </c>
      <c r="D937" t="s">
        <v>5357</v>
      </c>
      <c r="E937" t="s">
        <v>5409</v>
      </c>
      <c r="F937" t="s">
        <v>5364</v>
      </c>
      <c r="G937" t="s">
        <v>5372</v>
      </c>
      <c r="H937" t="s">
        <v>5587</v>
      </c>
      <c r="J937" t="s">
        <v>1512</v>
      </c>
      <c r="K937">
        <v>61.8</v>
      </c>
    </row>
    <row r="938" spans="1:11" x14ac:dyDescent="0.35">
      <c r="A938" t="s">
        <v>1513</v>
      </c>
      <c r="B938" s="1">
        <v>0</v>
      </c>
      <c r="C938" t="s">
        <v>5312</v>
      </c>
      <c r="D938" t="s">
        <v>5357</v>
      </c>
      <c r="E938" t="s">
        <v>5409</v>
      </c>
      <c r="F938" t="s">
        <v>5364</v>
      </c>
      <c r="G938" t="s">
        <v>5372</v>
      </c>
      <c r="H938" t="s">
        <v>5514</v>
      </c>
      <c r="J938" t="s">
        <v>1513</v>
      </c>
      <c r="K938">
        <v>61.7</v>
      </c>
    </row>
    <row r="939" spans="1:11" x14ac:dyDescent="0.35">
      <c r="A939" t="s">
        <v>1514</v>
      </c>
      <c r="B939" s="1">
        <v>0</v>
      </c>
      <c r="C939" t="s">
        <v>5291</v>
      </c>
      <c r="D939" t="s">
        <v>5357</v>
      </c>
      <c r="E939" t="s">
        <v>5409</v>
      </c>
      <c r="F939" t="s">
        <v>5364</v>
      </c>
      <c r="G939" t="s">
        <v>5372</v>
      </c>
      <c r="H939" t="s">
        <v>5643</v>
      </c>
      <c r="J939" t="s">
        <v>1514</v>
      </c>
      <c r="K939">
        <v>62</v>
      </c>
    </row>
    <row r="940" spans="1:11" x14ac:dyDescent="0.35">
      <c r="A940" t="s">
        <v>1515</v>
      </c>
      <c r="B940" s="1">
        <v>0</v>
      </c>
      <c r="C940" t="s">
        <v>5099</v>
      </c>
      <c r="D940" t="s">
        <v>5180</v>
      </c>
      <c r="E940" t="s">
        <v>5562</v>
      </c>
      <c r="F940" t="s">
        <v>5364</v>
      </c>
      <c r="G940" t="s">
        <v>5365</v>
      </c>
      <c r="H940" t="s">
        <v>5408</v>
      </c>
      <c r="J940" t="s">
        <v>1515</v>
      </c>
      <c r="K940">
        <v>65.099999999999994</v>
      </c>
    </row>
    <row r="941" spans="1:11" x14ac:dyDescent="0.35">
      <c r="A941" t="s">
        <v>1518</v>
      </c>
      <c r="B941" s="1">
        <v>0</v>
      </c>
      <c r="C941" t="s">
        <v>5351</v>
      </c>
      <c r="D941" t="s">
        <v>5334</v>
      </c>
      <c r="E941" t="s">
        <v>5399</v>
      </c>
      <c r="F941" t="s">
        <v>5364</v>
      </c>
      <c r="G941" t="s">
        <v>5556</v>
      </c>
      <c r="H941" t="s">
        <v>1488</v>
      </c>
      <c r="J941" t="s">
        <v>1518</v>
      </c>
      <c r="K941">
        <v>71</v>
      </c>
    </row>
    <row r="942" spans="1:11" x14ac:dyDescent="0.35">
      <c r="A942" t="s">
        <v>1519</v>
      </c>
      <c r="B942" s="1">
        <v>0</v>
      </c>
      <c r="C942" t="s">
        <v>5305</v>
      </c>
      <c r="D942" t="s">
        <v>5291</v>
      </c>
      <c r="E942" t="s">
        <v>5405</v>
      </c>
      <c r="F942" t="s">
        <v>5364</v>
      </c>
      <c r="G942" t="s">
        <v>5557</v>
      </c>
      <c r="H942" t="s">
        <v>453</v>
      </c>
      <c r="J942" t="s">
        <v>1519</v>
      </c>
      <c r="K942">
        <v>76.8</v>
      </c>
    </row>
    <row r="943" spans="1:11" x14ac:dyDescent="0.35">
      <c r="A943" t="s">
        <v>1520</v>
      </c>
      <c r="B943" s="1">
        <v>0</v>
      </c>
      <c r="C943" t="s">
        <v>5302</v>
      </c>
      <c r="D943" t="s">
        <v>5230</v>
      </c>
      <c r="E943" t="s">
        <v>5184</v>
      </c>
      <c r="F943" t="s">
        <v>5364</v>
      </c>
      <c r="G943" t="s">
        <v>5557</v>
      </c>
      <c r="H943" t="s">
        <v>1054</v>
      </c>
      <c r="J943" t="s">
        <v>1520</v>
      </c>
      <c r="K943">
        <v>78.2</v>
      </c>
    </row>
    <row r="944" spans="1:11" x14ac:dyDescent="0.35">
      <c r="A944" s="2">
        <v>40756</v>
      </c>
      <c r="B944" s="1">
        <v>0</v>
      </c>
      <c r="C944" t="s">
        <v>5143</v>
      </c>
      <c r="D944" t="s">
        <v>5050</v>
      </c>
      <c r="E944" t="s">
        <v>5348</v>
      </c>
      <c r="F944" t="s">
        <v>5364</v>
      </c>
      <c r="G944" t="s">
        <v>5556</v>
      </c>
      <c r="H944" t="s">
        <v>3488</v>
      </c>
      <c r="J944" s="2">
        <v>40756</v>
      </c>
      <c r="K944">
        <v>76.400000000000006</v>
      </c>
    </row>
    <row r="945" spans="1:11" x14ac:dyDescent="0.35">
      <c r="A945" s="2">
        <v>40757</v>
      </c>
      <c r="B945" s="1">
        <v>0</v>
      </c>
      <c r="C945" t="s">
        <v>5199</v>
      </c>
      <c r="D945" t="s">
        <v>5412</v>
      </c>
      <c r="E945" t="s">
        <v>5432</v>
      </c>
      <c r="F945" t="s">
        <v>5383</v>
      </c>
      <c r="G945" t="s">
        <v>5883</v>
      </c>
      <c r="H945" t="s">
        <v>1913</v>
      </c>
      <c r="J945" s="2">
        <v>40757</v>
      </c>
      <c r="K945">
        <v>77.5</v>
      </c>
    </row>
    <row r="946" spans="1:11" x14ac:dyDescent="0.35">
      <c r="A946" s="2">
        <v>40758</v>
      </c>
      <c r="B946" s="1">
        <v>0</v>
      </c>
      <c r="C946" t="s">
        <v>5358</v>
      </c>
      <c r="D946" t="s">
        <v>5222</v>
      </c>
      <c r="E946" t="s">
        <v>5411</v>
      </c>
      <c r="F946" t="s">
        <v>5383</v>
      </c>
      <c r="G946" t="s">
        <v>5884</v>
      </c>
      <c r="H946" t="s">
        <v>1024</v>
      </c>
      <c r="J946" s="2">
        <v>40758</v>
      </c>
      <c r="K946">
        <v>73.599999999999994</v>
      </c>
    </row>
    <row r="947" spans="1:11" x14ac:dyDescent="0.35">
      <c r="A947" s="2">
        <v>40759</v>
      </c>
      <c r="B947" s="1">
        <v>0</v>
      </c>
      <c r="C947" t="s">
        <v>5065</v>
      </c>
      <c r="D947" t="s">
        <v>5291</v>
      </c>
      <c r="E947" t="s">
        <v>5168</v>
      </c>
      <c r="F947" t="s">
        <v>5383</v>
      </c>
      <c r="G947" t="s">
        <v>5885</v>
      </c>
      <c r="H947" t="s">
        <v>376</v>
      </c>
      <c r="J947" s="2">
        <v>40759</v>
      </c>
      <c r="K947">
        <v>70.900000000000006</v>
      </c>
    </row>
    <row r="948" spans="1:11" x14ac:dyDescent="0.35">
      <c r="A948" s="2">
        <v>40760</v>
      </c>
      <c r="B948" s="1">
        <v>0</v>
      </c>
      <c r="C948" t="s">
        <v>5174</v>
      </c>
      <c r="D948" t="s">
        <v>5312</v>
      </c>
      <c r="E948" t="s">
        <v>5164</v>
      </c>
      <c r="F948" t="s">
        <v>5383</v>
      </c>
      <c r="G948" t="s">
        <v>5885</v>
      </c>
      <c r="H948" t="s">
        <v>5406</v>
      </c>
      <c r="J948" s="2">
        <v>40760</v>
      </c>
      <c r="K948">
        <v>69.5</v>
      </c>
    </row>
    <row r="949" spans="1:11" x14ac:dyDescent="0.35">
      <c r="A949" s="2">
        <v>40761</v>
      </c>
      <c r="B949" s="1">
        <v>0</v>
      </c>
      <c r="C949" t="s">
        <v>5207</v>
      </c>
      <c r="D949" t="s">
        <v>5224</v>
      </c>
      <c r="E949" t="s">
        <v>5337</v>
      </c>
      <c r="F949" t="s">
        <v>5383</v>
      </c>
      <c r="G949" t="s">
        <v>5885</v>
      </c>
      <c r="H949" t="s">
        <v>392</v>
      </c>
      <c r="J949" s="2">
        <v>40761</v>
      </c>
      <c r="K949">
        <v>70.2</v>
      </c>
    </row>
    <row r="950" spans="1:11" x14ac:dyDescent="0.35">
      <c r="A950" s="2">
        <v>40762</v>
      </c>
      <c r="B950" s="1">
        <v>0</v>
      </c>
      <c r="C950" t="s">
        <v>5358</v>
      </c>
      <c r="D950" t="s">
        <v>5179</v>
      </c>
      <c r="E950" t="s">
        <v>5330</v>
      </c>
      <c r="F950" t="s">
        <v>5383</v>
      </c>
      <c r="G950" t="s">
        <v>5879</v>
      </c>
      <c r="H950" t="s">
        <v>3496</v>
      </c>
      <c r="J950" s="2">
        <v>40762</v>
      </c>
      <c r="K950">
        <v>75.2</v>
      </c>
    </row>
    <row r="951" spans="1:11" x14ac:dyDescent="0.35">
      <c r="A951" s="2">
        <v>40763</v>
      </c>
      <c r="B951" s="1">
        <v>0</v>
      </c>
      <c r="C951" t="s">
        <v>5529</v>
      </c>
      <c r="D951" t="s">
        <v>5183</v>
      </c>
      <c r="E951" t="s">
        <v>5294</v>
      </c>
      <c r="F951" t="s">
        <v>5383</v>
      </c>
      <c r="G951" t="s">
        <v>5880</v>
      </c>
      <c r="H951" t="s">
        <v>1528</v>
      </c>
      <c r="J951" s="2">
        <v>40763</v>
      </c>
      <c r="K951">
        <v>83.2</v>
      </c>
    </row>
    <row r="952" spans="1:11" x14ac:dyDescent="0.35">
      <c r="A952" s="2">
        <v>40764</v>
      </c>
      <c r="B952" s="1">
        <v>0</v>
      </c>
      <c r="C952" t="s">
        <v>5173</v>
      </c>
      <c r="D952" t="s">
        <v>5065</v>
      </c>
      <c r="E952" t="s">
        <v>5294</v>
      </c>
      <c r="F952" t="s">
        <v>5383</v>
      </c>
      <c r="G952" t="s">
        <v>5364</v>
      </c>
      <c r="H952" t="s">
        <v>359</v>
      </c>
      <c r="J952" s="2">
        <v>40764</v>
      </c>
      <c r="K952">
        <v>90.3</v>
      </c>
    </row>
    <row r="953" spans="1:11" x14ac:dyDescent="0.35">
      <c r="A953" s="2">
        <v>40765</v>
      </c>
      <c r="B953" s="1">
        <v>0</v>
      </c>
      <c r="C953" t="s">
        <v>5178</v>
      </c>
      <c r="D953" t="s">
        <v>5054</v>
      </c>
      <c r="E953" t="s">
        <v>5330</v>
      </c>
      <c r="F953" t="s">
        <v>5383</v>
      </c>
      <c r="G953" t="s">
        <v>5367</v>
      </c>
      <c r="H953" t="s">
        <v>981</v>
      </c>
      <c r="J953" s="2">
        <v>40765</v>
      </c>
      <c r="K953">
        <v>91</v>
      </c>
    </row>
    <row r="954" spans="1:11" x14ac:dyDescent="0.35">
      <c r="A954" s="2">
        <v>40766</v>
      </c>
      <c r="B954" s="1">
        <v>0</v>
      </c>
      <c r="C954" t="s">
        <v>5234</v>
      </c>
      <c r="D954" t="s">
        <v>5174</v>
      </c>
      <c r="E954" t="s">
        <v>5432</v>
      </c>
      <c r="F954" t="s">
        <v>5383</v>
      </c>
      <c r="G954" t="s">
        <v>5364</v>
      </c>
      <c r="H954" t="s">
        <v>342</v>
      </c>
      <c r="J954" s="2">
        <v>40766</v>
      </c>
      <c r="K954">
        <v>87.8</v>
      </c>
    </row>
    <row r="955" spans="1:11" x14ac:dyDescent="0.35">
      <c r="A955" s="2">
        <v>40767</v>
      </c>
      <c r="B955" s="1">
        <v>0</v>
      </c>
      <c r="C955" t="s">
        <v>5299</v>
      </c>
      <c r="D955" t="s">
        <v>5230</v>
      </c>
      <c r="E955" t="s">
        <v>5411</v>
      </c>
      <c r="F955" t="s">
        <v>5383</v>
      </c>
      <c r="G955" t="s">
        <v>5887</v>
      </c>
      <c r="H955" t="s">
        <v>1528</v>
      </c>
      <c r="J955" s="2">
        <v>40767</v>
      </c>
      <c r="K955">
        <v>83.2</v>
      </c>
    </row>
    <row r="956" spans="1:11" x14ac:dyDescent="0.35">
      <c r="A956" s="2">
        <v>40768</v>
      </c>
      <c r="B956" s="1">
        <v>0</v>
      </c>
      <c r="C956" t="s">
        <v>5296</v>
      </c>
      <c r="D956" t="s">
        <v>5172</v>
      </c>
      <c r="E956" t="s">
        <v>5156</v>
      </c>
      <c r="F956" t="s">
        <v>5383</v>
      </c>
      <c r="G956" t="s">
        <v>5880</v>
      </c>
      <c r="H956" t="s">
        <v>438</v>
      </c>
      <c r="J956" s="2">
        <v>40768</v>
      </c>
      <c r="K956">
        <v>78.8</v>
      </c>
    </row>
    <row r="957" spans="1:11" x14ac:dyDescent="0.35">
      <c r="A957" s="2">
        <v>40769</v>
      </c>
      <c r="B957" s="1">
        <v>0</v>
      </c>
      <c r="C957" t="s">
        <v>5149</v>
      </c>
      <c r="D957" t="s">
        <v>5226</v>
      </c>
      <c r="E957" t="s">
        <v>5348</v>
      </c>
      <c r="F957" t="s">
        <v>5383</v>
      </c>
      <c r="G957" t="s">
        <v>5886</v>
      </c>
      <c r="H957" t="s">
        <v>1878</v>
      </c>
      <c r="J957" s="2">
        <v>40769</v>
      </c>
      <c r="K957">
        <v>75.5</v>
      </c>
    </row>
    <row r="958" spans="1:11" x14ac:dyDescent="0.35">
      <c r="A958" s="2">
        <v>40770</v>
      </c>
      <c r="B958" s="1">
        <v>0</v>
      </c>
      <c r="C958" t="s">
        <v>5163</v>
      </c>
      <c r="D958" t="s">
        <v>5297</v>
      </c>
      <c r="E958" t="s">
        <v>5177</v>
      </c>
      <c r="F958" t="s">
        <v>5383</v>
      </c>
      <c r="G958" t="s">
        <v>5883</v>
      </c>
      <c r="H958" t="s">
        <v>1013</v>
      </c>
      <c r="J958" s="2">
        <v>40770</v>
      </c>
      <c r="K958">
        <v>73.900000000000006</v>
      </c>
    </row>
    <row r="959" spans="1:11" x14ac:dyDescent="0.35">
      <c r="A959" s="2">
        <v>40771</v>
      </c>
      <c r="B959" s="1">
        <v>0</v>
      </c>
      <c r="C959" t="s">
        <v>5430</v>
      </c>
      <c r="D959" t="s">
        <v>5294</v>
      </c>
      <c r="E959" t="s">
        <v>5159</v>
      </c>
      <c r="F959" t="s">
        <v>5383</v>
      </c>
      <c r="G959" t="s">
        <v>5882</v>
      </c>
      <c r="H959" t="s">
        <v>1048</v>
      </c>
      <c r="J959" s="2">
        <v>40771</v>
      </c>
      <c r="K959">
        <v>78.900000000000006</v>
      </c>
    </row>
    <row r="960" spans="1:11" x14ac:dyDescent="0.35">
      <c r="A960" s="2">
        <v>40772</v>
      </c>
      <c r="B960" s="1">
        <v>0</v>
      </c>
      <c r="C960" t="s">
        <v>5178</v>
      </c>
      <c r="D960" t="s">
        <v>5054</v>
      </c>
      <c r="E960" t="s">
        <v>5339</v>
      </c>
      <c r="F960" t="s">
        <v>5383</v>
      </c>
      <c r="G960" t="s">
        <v>5369</v>
      </c>
      <c r="H960" t="s">
        <v>332</v>
      </c>
      <c r="J960" s="2">
        <v>40772</v>
      </c>
      <c r="K960">
        <v>90.2</v>
      </c>
    </row>
    <row r="961" spans="1:11" x14ac:dyDescent="0.35">
      <c r="A961" s="2">
        <v>40773</v>
      </c>
      <c r="B961" s="1">
        <v>0</v>
      </c>
      <c r="C961" t="s">
        <v>5458</v>
      </c>
      <c r="D961" t="s">
        <v>5358</v>
      </c>
      <c r="E961" t="s">
        <v>5397</v>
      </c>
      <c r="F961" t="s">
        <v>5379</v>
      </c>
      <c r="G961" t="s">
        <v>5388</v>
      </c>
      <c r="H961" t="s">
        <v>5627</v>
      </c>
      <c r="J961" s="2">
        <v>40773</v>
      </c>
      <c r="K961">
        <v>100.3</v>
      </c>
    </row>
    <row r="962" spans="1:11" x14ac:dyDescent="0.35">
      <c r="A962" s="2">
        <v>40774</v>
      </c>
      <c r="B962" s="1">
        <v>0</v>
      </c>
      <c r="C962" t="s">
        <v>5572</v>
      </c>
      <c r="D962" t="s">
        <v>5355</v>
      </c>
      <c r="E962" t="s">
        <v>5330</v>
      </c>
      <c r="F962" t="s">
        <v>5379</v>
      </c>
      <c r="G962" t="s">
        <v>5388</v>
      </c>
      <c r="H962" t="s">
        <v>4116</v>
      </c>
      <c r="J962" s="2">
        <v>40774</v>
      </c>
      <c r="K962">
        <v>100.4</v>
      </c>
    </row>
    <row r="963" spans="1:11" x14ac:dyDescent="0.35">
      <c r="A963" s="2">
        <v>40775</v>
      </c>
      <c r="B963" s="1">
        <v>0</v>
      </c>
      <c r="C963" t="s">
        <v>5182</v>
      </c>
      <c r="D963" t="s">
        <v>5045</v>
      </c>
      <c r="E963" t="s">
        <v>5144</v>
      </c>
      <c r="F963" t="s">
        <v>5379</v>
      </c>
      <c r="G963" t="s">
        <v>5362</v>
      </c>
      <c r="H963" t="s">
        <v>328</v>
      </c>
      <c r="J963" s="2">
        <v>40775</v>
      </c>
      <c r="K963">
        <v>93.8</v>
      </c>
    </row>
    <row r="964" spans="1:11" x14ac:dyDescent="0.35">
      <c r="A964" s="2">
        <v>40776</v>
      </c>
      <c r="B964" s="1">
        <v>0</v>
      </c>
      <c r="C964" t="s">
        <v>5052</v>
      </c>
      <c r="D964" t="s">
        <v>5062</v>
      </c>
      <c r="E964" t="s">
        <v>5411</v>
      </c>
      <c r="F964" t="s">
        <v>5383</v>
      </c>
      <c r="G964" t="s">
        <v>5364</v>
      </c>
      <c r="H964" t="s">
        <v>479</v>
      </c>
      <c r="J964" s="2">
        <v>40776</v>
      </c>
      <c r="K964">
        <v>84.9</v>
      </c>
    </row>
    <row r="965" spans="1:11" x14ac:dyDescent="0.35">
      <c r="A965" s="2">
        <v>40777</v>
      </c>
      <c r="B965" s="1">
        <v>0</v>
      </c>
      <c r="C965" t="s">
        <v>5194</v>
      </c>
      <c r="D965" t="s">
        <v>5321</v>
      </c>
      <c r="E965" t="s">
        <v>5164</v>
      </c>
      <c r="F965" t="s">
        <v>5383</v>
      </c>
      <c r="G965" t="s">
        <v>5880</v>
      </c>
      <c r="H965" t="s">
        <v>2601</v>
      </c>
      <c r="J965" s="2">
        <v>40777</v>
      </c>
      <c r="K965">
        <v>77.599999999999994</v>
      </c>
    </row>
    <row r="966" spans="1:11" x14ac:dyDescent="0.35">
      <c r="A966" s="2">
        <v>40778</v>
      </c>
      <c r="B966" s="1">
        <v>0</v>
      </c>
      <c r="C966" t="s">
        <v>5331</v>
      </c>
      <c r="D966" t="s">
        <v>5297</v>
      </c>
      <c r="E966" t="s">
        <v>5177</v>
      </c>
      <c r="F966" t="s">
        <v>5383</v>
      </c>
      <c r="G966" t="s">
        <v>5883</v>
      </c>
      <c r="H966" t="s">
        <v>1013</v>
      </c>
      <c r="J966" s="2">
        <v>40778</v>
      </c>
      <c r="K966">
        <v>73.900000000000006</v>
      </c>
    </row>
    <row r="967" spans="1:11" x14ac:dyDescent="0.35">
      <c r="A967" s="2">
        <v>40779</v>
      </c>
      <c r="B967" s="1">
        <v>0</v>
      </c>
      <c r="C967" t="s">
        <v>5149</v>
      </c>
      <c r="D967" t="s">
        <v>5297</v>
      </c>
      <c r="E967" t="s">
        <v>5177</v>
      </c>
      <c r="F967" t="s">
        <v>5383</v>
      </c>
      <c r="G967" t="s">
        <v>5886</v>
      </c>
      <c r="H967" t="s">
        <v>418</v>
      </c>
      <c r="J967" s="2">
        <v>40779</v>
      </c>
      <c r="K967">
        <v>74.7</v>
      </c>
    </row>
    <row r="968" spans="1:11" x14ac:dyDescent="0.35">
      <c r="A968" s="2">
        <v>40780</v>
      </c>
      <c r="B968" s="1">
        <v>0</v>
      </c>
      <c r="C968" t="s">
        <v>5546</v>
      </c>
      <c r="D968" t="s">
        <v>5207</v>
      </c>
      <c r="E968" t="s">
        <v>5168</v>
      </c>
      <c r="F968" t="s">
        <v>5383</v>
      </c>
      <c r="G968" t="s">
        <v>5882</v>
      </c>
      <c r="H968" t="s">
        <v>1524</v>
      </c>
      <c r="J968" s="2">
        <v>40780</v>
      </c>
      <c r="K968">
        <v>80.900000000000006</v>
      </c>
    </row>
    <row r="969" spans="1:11" x14ac:dyDescent="0.35">
      <c r="A969" s="2">
        <v>40781</v>
      </c>
      <c r="B969" s="1">
        <v>0</v>
      </c>
      <c r="C969" t="s">
        <v>5323</v>
      </c>
      <c r="D969" t="s">
        <v>5099</v>
      </c>
      <c r="E969" t="s">
        <v>5153</v>
      </c>
      <c r="F969" t="s">
        <v>5383</v>
      </c>
      <c r="G969" t="s">
        <v>5364</v>
      </c>
      <c r="H969" t="s">
        <v>329</v>
      </c>
      <c r="J969" s="2">
        <v>40781</v>
      </c>
      <c r="K969">
        <v>89.2</v>
      </c>
    </row>
    <row r="970" spans="1:11" x14ac:dyDescent="0.35">
      <c r="A970" s="2">
        <v>40782</v>
      </c>
      <c r="B970" s="1">
        <v>0</v>
      </c>
      <c r="C970" t="s">
        <v>5236</v>
      </c>
      <c r="D970" t="s">
        <v>5356</v>
      </c>
      <c r="E970" t="s">
        <v>5400</v>
      </c>
      <c r="F970" t="s">
        <v>5383</v>
      </c>
      <c r="G970" t="s">
        <v>5367</v>
      </c>
      <c r="H970" t="s">
        <v>360</v>
      </c>
      <c r="J970" s="2">
        <v>40782</v>
      </c>
      <c r="K970">
        <v>92.7</v>
      </c>
    </row>
    <row r="971" spans="1:11" x14ac:dyDescent="0.35">
      <c r="A971" s="2">
        <v>40783</v>
      </c>
      <c r="B971" s="1">
        <v>0</v>
      </c>
      <c r="C971" t="s">
        <v>5162</v>
      </c>
      <c r="D971" t="s">
        <v>5341</v>
      </c>
      <c r="E971" t="s">
        <v>5315</v>
      </c>
      <c r="F971" t="s">
        <v>5379</v>
      </c>
      <c r="G971" t="s">
        <v>5367</v>
      </c>
      <c r="H971" t="s">
        <v>1871</v>
      </c>
      <c r="J971" s="2">
        <v>40783</v>
      </c>
      <c r="K971">
        <v>94.2</v>
      </c>
    </row>
    <row r="972" spans="1:11" x14ac:dyDescent="0.35">
      <c r="A972" s="2">
        <v>40784</v>
      </c>
      <c r="B972" s="1">
        <v>0</v>
      </c>
      <c r="C972" t="s">
        <v>5063</v>
      </c>
      <c r="D972" t="s">
        <v>5331</v>
      </c>
      <c r="E972" t="s">
        <v>5309</v>
      </c>
      <c r="F972" t="s">
        <v>5379</v>
      </c>
      <c r="G972" t="s">
        <v>5363</v>
      </c>
      <c r="H972" t="s">
        <v>4642</v>
      </c>
      <c r="J972" s="2">
        <v>40784</v>
      </c>
      <c r="K972">
        <v>98.3</v>
      </c>
    </row>
    <row r="973" spans="1:11" x14ac:dyDescent="0.35">
      <c r="A973" s="2">
        <v>40785</v>
      </c>
      <c r="B973" s="1">
        <v>0</v>
      </c>
      <c r="C973" t="s">
        <v>5281</v>
      </c>
      <c r="D973" t="s">
        <v>5329</v>
      </c>
      <c r="E973" t="s">
        <v>5321</v>
      </c>
      <c r="F973" t="s">
        <v>5379</v>
      </c>
      <c r="G973" t="s">
        <v>5369</v>
      </c>
      <c r="H973" t="s">
        <v>3804</v>
      </c>
      <c r="J973" s="2">
        <v>40785</v>
      </c>
      <c r="K973">
        <v>103.9</v>
      </c>
    </row>
    <row r="974" spans="1:11" x14ac:dyDescent="0.35">
      <c r="A974" s="2">
        <v>40786</v>
      </c>
      <c r="B974" s="1">
        <v>0</v>
      </c>
      <c r="C974" t="s">
        <v>5471</v>
      </c>
      <c r="D974" t="s">
        <v>5316</v>
      </c>
      <c r="E974" t="s">
        <v>5227</v>
      </c>
      <c r="F974" t="s">
        <v>5379</v>
      </c>
      <c r="G974" t="s">
        <v>5369</v>
      </c>
      <c r="H974" t="s">
        <v>5658</v>
      </c>
      <c r="J974" s="2">
        <v>40786</v>
      </c>
      <c r="K974">
        <v>103.5</v>
      </c>
    </row>
    <row r="975" spans="1:11" x14ac:dyDescent="0.35">
      <c r="A975" t="s">
        <v>1541</v>
      </c>
      <c r="B975" s="1">
        <v>0</v>
      </c>
      <c r="C975" t="s">
        <v>5145</v>
      </c>
      <c r="D975" t="s">
        <v>5149</v>
      </c>
      <c r="E975" t="s">
        <v>5224</v>
      </c>
      <c r="F975" t="s">
        <v>5379</v>
      </c>
      <c r="G975" t="s">
        <v>5369</v>
      </c>
      <c r="H975" t="s">
        <v>4118</v>
      </c>
      <c r="J975" t="s">
        <v>1541</v>
      </c>
      <c r="K975">
        <v>101.9</v>
      </c>
    </row>
    <row r="976" spans="1:11" x14ac:dyDescent="0.35">
      <c r="A976" t="s">
        <v>1544</v>
      </c>
      <c r="B976" s="1">
        <v>0</v>
      </c>
      <c r="C976" t="s">
        <v>5552</v>
      </c>
      <c r="D976" t="s">
        <v>5139</v>
      </c>
      <c r="E976" t="s">
        <v>5149</v>
      </c>
      <c r="F976" t="s">
        <v>5156</v>
      </c>
      <c r="G976" t="s">
        <v>5396</v>
      </c>
      <c r="H976" t="s">
        <v>1093</v>
      </c>
      <c r="J976" t="s">
        <v>1544</v>
      </c>
      <c r="K976">
        <v>128.6</v>
      </c>
    </row>
    <row r="977" spans="1:11" x14ac:dyDescent="0.35">
      <c r="A977" t="s">
        <v>1547</v>
      </c>
      <c r="B977" s="1">
        <v>0</v>
      </c>
      <c r="C977" t="s">
        <v>5558</v>
      </c>
      <c r="D977" t="s">
        <v>5290</v>
      </c>
      <c r="E977" t="s">
        <v>5350</v>
      </c>
      <c r="F977" t="s">
        <v>5156</v>
      </c>
      <c r="G977" t="s">
        <v>5562</v>
      </c>
      <c r="H977" t="s">
        <v>1462</v>
      </c>
      <c r="J977" t="s">
        <v>1547</v>
      </c>
      <c r="K977">
        <v>130.1</v>
      </c>
    </row>
    <row r="978" spans="1:11" x14ac:dyDescent="0.35">
      <c r="A978" t="s">
        <v>1549</v>
      </c>
      <c r="B978" s="1">
        <v>0</v>
      </c>
      <c r="C978" t="s">
        <v>5115</v>
      </c>
      <c r="D978" t="s">
        <v>5324</v>
      </c>
      <c r="E978" t="s">
        <v>5314</v>
      </c>
      <c r="F978" t="s">
        <v>5156</v>
      </c>
      <c r="G978" t="s">
        <v>5396</v>
      </c>
      <c r="H978" t="s">
        <v>2639</v>
      </c>
      <c r="J978" t="s">
        <v>1549</v>
      </c>
      <c r="K978">
        <v>130.6</v>
      </c>
    </row>
    <row r="979" spans="1:11" x14ac:dyDescent="0.35">
      <c r="A979" t="s">
        <v>1550</v>
      </c>
      <c r="B979" s="1">
        <v>0</v>
      </c>
      <c r="C979" t="s">
        <v>5117</v>
      </c>
      <c r="D979" t="s">
        <v>5044</v>
      </c>
      <c r="E979" t="s">
        <v>5351</v>
      </c>
      <c r="F979" t="s">
        <v>5156</v>
      </c>
      <c r="G979" t="s">
        <v>5395</v>
      </c>
      <c r="H979" t="s">
        <v>301</v>
      </c>
      <c r="J979" t="s">
        <v>1550</v>
      </c>
      <c r="K979">
        <v>130.9</v>
      </c>
    </row>
    <row r="980" spans="1:11" x14ac:dyDescent="0.35">
      <c r="A980" t="s">
        <v>1551</v>
      </c>
      <c r="B980" s="1">
        <v>0</v>
      </c>
      <c r="C980" t="s">
        <v>5258</v>
      </c>
      <c r="D980" t="s">
        <v>5529</v>
      </c>
      <c r="E980" t="s">
        <v>5191</v>
      </c>
      <c r="F980" t="s">
        <v>5168</v>
      </c>
      <c r="G980" t="s">
        <v>5399</v>
      </c>
      <c r="H980" t="s">
        <v>1114</v>
      </c>
      <c r="J980" t="s">
        <v>1551</v>
      </c>
      <c r="K980">
        <v>129</v>
      </c>
    </row>
    <row r="981" spans="1:11" x14ac:dyDescent="0.35">
      <c r="A981" t="s">
        <v>1552</v>
      </c>
      <c r="B981" s="1">
        <v>0</v>
      </c>
      <c r="C981" t="s">
        <v>5094</v>
      </c>
      <c r="D981" t="s">
        <v>5317</v>
      </c>
      <c r="E981" t="s">
        <v>5527</v>
      </c>
      <c r="F981" t="s">
        <v>5168</v>
      </c>
      <c r="G981" t="s">
        <v>5395</v>
      </c>
      <c r="H981" t="s">
        <v>1449</v>
      </c>
      <c r="J981" t="s">
        <v>1552</v>
      </c>
      <c r="K981">
        <v>125.4</v>
      </c>
    </row>
    <row r="982" spans="1:11" x14ac:dyDescent="0.35">
      <c r="A982" t="s">
        <v>1554</v>
      </c>
      <c r="B982" s="1">
        <v>0</v>
      </c>
      <c r="C982" t="s">
        <v>5528</v>
      </c>
      <c r="D982" t="s">
        <v>5549</v>
      </c>
      <c r="E982" t="s">
        <v>5163</v>
      </c>
      <c r="F982" t="s">
        <v>5168</v>
      </c>
      <c r="G982" t="s">
        <v>5396</v>
      </c>
      <c r="H982" t="s">
        <v>512</v>
      </c>
      <c r="J982" t="s">
        <v>1554</v>
      </c>
      <c r="K982">
        <v>120.7</v>
      </c>
    </row>
    <row r="983" spans="1:11" x14ac:dyDescent="0.35">
      <c r="A983" t="s">
        <v>1556</v>
      </c>
      <c r="B983" s="1">
        <v>0</v>
      </c>
      <c r="C983" t="s">
        <v>5451</v>
      </c>
      <c r="D983" t="s">
        <v>5199</v>
      </c>
      <c r="E983" t="s">
        <v>5155</v>
      </c>
      <c r="F983" t="s">
        <v>5168</v>
      </c>
      <c r="G983" t="s">
        <v>5409</v>
      </c>
      <c r="H983" t="s">
        <v>2224</v>
      </c>
      <c r="J983" t="s">
        <v>1556</v>
      </c>
      <c r="K983">
        <v>116.2</v>
      </c>
    </row>
    <row r="984" spans="1:11" x14ac:dyDescent="0.35">
      <c r="A984" t="s">
        <v>1558</v>
      </c>
      <c r="B984" s="1">
        <v>0</v>
      </c>
      <c r="C984" t="s">
        <v>5571</v>
      </c>
      <c r="D984" t="s">
        <v>5152</v>
      </c>
      <c r="E984" t="s">
        <v>5166</v>
      </c>
      <c r="F984" t="s">
        <v>5168</v>
      </c>
      <c r="G984" t="s">
        <v>5550</v>
      </c>
      <c r="H984" t="s">
        <v>1446</v>
      </c>
      <c r="J984" t="s">
        <v>1558</v>
      </c>
      <c r="K984">
        <v>112.6</v>
      </c>
    </row>
    <row r="985" spans="1:11" x14ac:dyDescent="0.35">
      <c r="A985" t="s">
        <v>1559</v>
      </c>
      <c r="B985" s="1">
        <v>0</v>
      </c>
      <c r="C985" t="s">
        <v>5456</v>
      </c>
      <c r="D985" t="s">
        <v>5345</v>
      </c>
      <c r="E985" t="s">
        <v>5201</v>
      </c>
      <c r="F985" t="s">
        <v>5168</v>
      </c>
      <c r="G985" t="s">
        <v>5360</v>
      </c>
      <c r="H985" t="s">
        <v>1448</v>
      </c>
      <c r="J985" t="s">
        <v>1559</v>
      </c>
      <c r="K985">
        <v>113.2</v>
      </c>
    </row>
    <row r="986" spans="1:11" x14ac:dyDescent="0.35">
      <c r="A986" t="s">
        <v>1561</v>
      </c>
      <c r="B986" s="1">
        <v>0</v>
      </c>
      <c r="C986" t="s">
        <v>5193</v>
      </c>
      <c r="D986" t="s">
        <v>5194</v>
      </c>
      <c r="E986" t="s">
        <v>5338</v>
      </c>
      <c r="F986" t="s">
        <v>5156</v>
      </c>
      <c r="G986" t="s">
        <v>5550</v>
      </c>
      <c r="H986" t="s">
        <v>1571</v>
      </c>
      <c r="J986" t="s">
        <v>1561</v>
      </c>
      <c r="K986">
        <v>122.5</v>
      </c>
    </row>
    <row r="987" spans="1:11" x14ac:dyDescent="0.35">
      <c r="A987" t="s">
        <v>1562</v>
      </c>
      <c r="B987" s="1">
        <v>0</v>
      </c>
      <c r="C987" t="s">
        <v>5602</v>
      </c>
      <c r="D987" t="s">
        <v>5415</v>
      </c>
      <c r="E987" t="s">
        <v>5351</v>
      </c>
      <c r="F987" t="s">
        <v>5156</v>
      </c>
      <c r="G987" t="s">
        <v>5395</v>
      </c>
      <c r="H987" t="s">
        <v>115</v>
      </c>
      <c r="J987" t="s">
        <v>1562</v>
      </c>
      <c r="K987">
        <v>138.30000000000001</v>
      </c>
    </row>
    <row r="988" spans="1:11" x14ac:dyDescent="0.35">
      <c r="A988" t="s">
        <v>1563</v>
      </c>
      <c r="B988" s="1">
        <v>0</v>
      </c>
      <c r="C988" t="s">
        <v>5651</v>
      </c>
      <c r="D988" t="s">
        <v>5422</v>
      </c>
      <c r="E988" t="s">
        <v>5427</v>
      </c>
      <c r="F988" t="s">
        <v>5156</v>
      </c>
      <c r="G988" t="s">
        <v>5413</v>
      </c>
      <c r="H988" t="s">
        <v>1770</v>
      </c>
      <c r="J988" t="s">
        <v>1563</v>
      </c>
      <c r="K988">
        <v>150.4</v>
      </c>
    </row>
    <row r="989" spans="1:11" x14ac:dyDescent="0.35">
      <c r="A989" t="s">
        <v>1565</v>
      </c>
      <c r="B989" s="1">
        <v>0</v>
      </c>
      <c r="C989" t="s">
        <v>5628</v>
      </c>
      <c r="D989" t="s">
        <v>5176</v>
      </c>
      <c r="E989" t="s">
        <v>5317</v>
      </c>
      <c r="F989" t="s">
        <v>5156</v>
      </c>
      <c r="G989" t="s">
        <v>5413</v>
      </c>
      <c r="H989" t="s">
        <v>1390</v>
      </c>
      <c r="J989" t="s">
        <v>1565</v>
      </c>
      <c r="K989">
        <v>153.1</v>
      </c>
    </row>
    <row r="990" spans="1:11" x14ac:dyDescent="0.35">
      <c r="A990" t="s">
        <v>1566</v>
      </c>
      <c r="B990" s="1">
        <v>0</v>
      </c>
      <c r="C990" t="s">
        <v>5469</v>
      </c>
      <c r="D990" t="s">
        <v>5175</v>
      </c>
      <c r="E990" t="s">
        <v>5290</v>
      </c>
      <c r="F990" t="s">
        <v>5156</v>
      </c>
      <c r="G990" t="s">
        <v>5395</v>
      </c>
      <c r="H990" t="s">
        <v>98</v>
      </c>
      <c r="J990" t="s">
        <v>1566</v>
      </c>
      <c r="K990">
        <v>151.80000000000001</v>
      </c>
    </row>
    <row r="991" spans="1:11" x14ac:dyDescent="0.35">
      <c r="A991" t="s">
        <v>1568</v>
      </c>
      <c r="B991" s="1">
        <v>0</v>
      </c>
      <c r="C991" t="s">
        <v>5479</v>
      </c>
      <c r="D991" t="s">
        <v>5056</v>
      </c>
      <c r="E991" t="s">
        <v>5290</v>
      </c>
      <c r="F991" t="s">
        <v>5156</v>
      </c>
      <c r="G991" t="s">
        <v>5409</v>
      </c>
      <c r="H991" t="s">
        <v>554</v>
      </c>
      <c r="J991" t="s">
        <v>1568</v>
      </c>
      <c r="K991">
        <v>148.30000000000001</v>
      </c>
    </row>
    <row r="992" spans="1:11" x14ac:dyDescent="0.35">
      <c r="A992" t="s">
        <v>1569</v>
      </c>
      <c r="B992" s="1">
        <v>0</v>
      </c>
      <c r="C992" t="s">
        <v>5535</v>
      </c>
      <c r="D992" t="s">
        <v>5524</v>
      </c>
      <c r="E992" t="s">
        <v>5317</v>
      </c>
      <c r="F992" t="s">
        <v>5156</v>
      </c>
      <c r="G992" t="s">
        <v>5550</v>
      </c>
      <c r="H992" t="s">
        <v>19</v>
      </c>
      <c r="J992" t="s">
        <v>1569</v>
      </c>
      <c r="K992">
        <v>144</v>
      </c>
    </row>
    <row r="993" spans="1:11" x14ac:dyDescent="0.35">
      <c r="A993" t="s">
        <v>1570</v>
      </c>
      <c r="B993" s="1">
        <v>0</v>
      </c>
      <c r="C993" t="s">
        <v>5474</v>
      </c>
      <c r="D993" t="s">
        <v>5185</v>
      </c>
      <c r="E993" t="s">
        <v>5421</v>
      </c>
      <c r="F993" t="s">
        <v>5156</v>
      </c>
      <c r="G993" t="s">
        <v>5409</v>
      </c>
      <c r="H993" t="s">
        <v>1128</v>
      </c>
      <c r="J993" t="s">
        <v>1570</v>
      </c>
      <c r="K993">
        <v>143.30000000000001</v>
      </c>
    </row>
    <row r="994" spans="1:11" x14ac:dyDescent="0.35">
      <c r="A994" t="s">
        <v>1572</v>
      </c>
      <c r="B994" s="1">
        <v>0</v>
      </c>
      <c r="C994" t="s">
        <v>5500</v>
      </c>
      <c r="D994" t="s">
        <v>5425</v>
      </c>
      <c r="E994" t="s">
        <v>5296</v>
      </c>
      <c r="F994" t="s">
        <v>5156</v>
      </c>
      <c r="G994" t="s">
        <v>5396</v>
      </c>
      <c r="H994" t="s">
        <v>1420</v>
      </c>
      <c r="J994" t="s">
        <v>1572</v>
      </c>
      <c r="K994">
        <v>147.6</v>
      </c>
    </row>
    <row r="995" spans="1:11" x14ac:dyDescent="0.35">
      <c r="A995" t="s">
        <v>1574</v>
      </c>
      <c r="B995" s="1">
        <v>0</v>
      </c>
      <c r="C995" t="s">
        <v>5620</v>
      </c>
      <c r="D995" t="s">
        <v>5175</v>
      </c>
      <c r="E995" t="s">
        <v>5327</v>
      </c>
      <c r="F995" t="s">
        <v>5156</v>
      </c>
      <c r="G995" t="s">
        <v>5413</v>
      </c>
      <c r="H995" t="s">
        <v>159</v>
      </c>
      <c r="J995" t="s">
        <v>1574</v>
      </c>
      <c r="K995">
        <v>157.30000000000001</v>
      </c>
    </row>
    <row r="996" spans="1:11" x14ac:dyDescent="0.35">
      <c r="A996" t="s">
        <v>1575</v>
      </c>
      <c r="B996" s="1">
        <v>0</v>
      </c>
      <c r="C996" t="s">
        <v>2581</v>
      </c>
      <c r="D996" t="s">
        <v>5165</v>
      </c>
      <c r="E996" t="s">
        <v>5044</v>
      </c>
      <c r="F996" t="s">
        <v>5156</v>
      </c>
      <c r="G996" t="s">
        <v>5405</v>
      </c>
      <c r="H996" t="s">
        <v>70</v>
      </c>
      <c r="J996" t="s">
        <v>1575</v>
      </c>
      <c r="K996">
        <v>167.9</v>
      </c>
    </row>
    <row r="997" spans="1:11" x14ac:dyDescent="0.35">
      <c r="A997" t="s">
        <v>1576</v>
      </c>
      <c r="B997" s="1">
        <v>0</v>
      </c>
      <c r="C997" t="s">
        <v>3489</v>
      </c>
      <c r="D997" t="s">
        <v>5066</v>
      </c>
      <c r="E997" t="s">
        <v>5529</v>
      </c>
      <c r="F997" t="s">
        <v>5156</v>
      </c>
      <c r="G997" t="s">
        <v>5357</v>
      </c>
      <c r="H997" t="s">
        <v>2186</v>
      </c>
      <c r="J997" t="s">
        <v>1576</v>
      </c>
      <c r="K997">
        <v>167.2</v>
      </c>
    </row>
    <row r="998" spans="1:11" x14ac:dyDescent="0.35">
      <c r="A998" t="s">
        <v>1577</v>
      </c>
      <c r="B998" s="1">
        <v>0</v>
      </c>
      <c r="C998" t="s">
        <v>1013</v>
      </c>
      <c r="D998" t="s">
        <v>5175</v>
      </c>
      <c r="E998" t="s">
        <v>5325</v>
      </c>
      <c r="F998" t="s">
        <v>5156</v>
      </c>
      <c r="G998" t="s">
        <v>5189</v>
      </c>
      <c r="H998" t="s">
        <v>2131</v>
      </c>
      <c r="J998" t="s">
        <v>1577</v>
      </c>
      <c r="K998">
        <v>162.9</v>
      </c>
    </row>
    <row r="999" spans="1:11" x14ac:dyDescent="0.35">
      <c r="A999" t="s">
        <v>1578</v>
      </c>
      <c r="B999" s="1">
        <v>0</v>
      </c>
      <c r="C999" t="s">
        <v>395</v>
      </c>
      <c r="D999" t="s">
        <v>5428</v>
      </c>
      <c r="E999" t="s">
        <v>5300</v>
      </c>
      <c r="F999" t="s">
        <v>5156</v>
      </c>
      <c r="G999" t="s">
        <v>5189</v>
      </c>
      <c r="H999" t="s">
        <v>2135</v>
      </c>
      <c r="J999" t="s">
        <v>1578</v>
      </c>
      <c r="K999">
        <v>161.19999999999999</v>
      </c>
    </row>
    <row r="1000" spans="1:11" x14ac:dyDescent="0.35">
      <c r="A1000" t="s">
        <v>1579</v>
      </c>
      <c r="B1000" s="1">
        <v>0</v>
      </c>
      <c r="C1000" t="s">
        <v>3496</v>
      </c>
      <c r="D1000" t="s">
        <v>5076</v>
      </c>
      <c r="E1000" t="s">
        <v>5327</v>
      </c>
      <c r="F1000" t="s">
        <v>5156</v>
      </c>
      <c r="G1000" t="s">
        <v>5357</v>
      </c>
      <c r="H1000" t="s">
        <v>1610</v>
      </c>
      <c r="J1000" t="s">
        <v>1579</v>
      </c>
      <c r="K1000">
        <v>164.3</v>
      </c>
    </row>
    <row r="1001" spans="1:11" x14ac:dyDescent="0.35">
      <c r="A1001" t="s">
        <v>1580</v>
      </c>
      <c r="B1001" s="1">
        <v>0</v>
      </c>
      <c r="C1001" t="s">
        <v>1039</v>
      </c>
      <c r="D1001" t="s">
        <v>5434</v>
      </c>
      <c r="E1001" t="s">
        <v>5322</v>
      </c>
      <c r="F1001" t="s">
        <v>5156</v>
      </c>
      <c r="G1001" t="s">
        <v>5404</v>
      </c>
      <c r="H1001" t="s">
        <v>872</v>
      </c>
      <c r="J1001" t="s">
        <v>1580</v>
      </c>
      <c r="K1001">
        <v>165.1</v>
      </c>
    </row>
    <row r="1002" spans="1:11" x14ac:dyDescent="0.35">
      <c r="A1002" t="s">
        <v>1582</v>
      </c>
      <c r="B1002" s="1">
        <v>0</v>
      </c>
      <c r="C1002" t="s">
        <v>417</v>
      </c>
      <c r="D1002" t="s">
        <v>5239</v>
      </c>
      <c r="E1002" t="s">
        <v>5416</v>
      </c>
      <c r="F1002" t="s">
        <v>5156</v>
      </c>
      <c r="G1002" t="s">
        <v>5419</v>
      </c>
      <c r="H1002" t="s">
        <v>583</v>
      </c>
      <c r="J1002" t="s">
        <v>1582</v>
      </c>
      <c r="K1002">
        <v>164.4</v>
      </c>
    </row>
    <row r="1003" spans="1:11" x14ac:dyDescent="0.35">
      <c r="A1003" t="s">
        <v>1583</v>
      </c>
      <c r="B1003" s="1">
        <v>0</v>
      </c>
      <c r="C1003" t="s">
        <v>394</v>
      </c>
      <c r="D1003" t="s">
        <v>5257</v>
      </c>
      <c r="E1003" t="s">
        <v>5048</v>
      </c>
      <c r="F1003" t="s">
        <v>5156</v>
      </c>
      <c r="G1003" t="s">
        <v>5419</v>
      </c>
      <c r="H1003" t="s">
        <v>287</v>
      </c>
      <c r="J1003" t="s">
        <v>1583</v>
      </c>
      <c r="K1003">
        <v>163.30000000000001</v>
      </c>
    </row>
    <row r="1004" spans="1:11" x14ac:dyDescent="0.35">
      <c r="A1004" t="s">
        <v>1584</v>
      </c>
      <c r="B1004" s="1">
        <v>0</v>
      </c>
      <c r="C1004" t="s">
        <v>5636</v>
      </c>
      <c r="D1004" t="s">
        <v>5236</v>
      </c>
      <c r="E1004" t="s">
        <v>5044</v>
      </c>
      <c r="F1004" t="s">
        <v>5156</v>
      </c>
      <c r="G1004" t="s">
        <v>5404</v>
      </c>
      <c r="H1004" t="s">
        <v>290</v>
      </c>
      <c r="J1004" t="s">
        <v>1584</v>
      </c>
      <c r="K1004">
        <v>160.1</v>
      </c>
    </row>
    <row r="1005" spans="1:11" x14ac:dyDescent="0.35">
      <c r="A1005" t="s">
        <v>1585</v>
      </c>
      <c r="B1005" s="1">
        <v>0</v>
      </c>
      <c r="C1005" t="s">
        <v>1488</v>
      </c>
      <c r="D1005" t="s">
        <v>5173</v>
      </c>
      <c r="E1005" t="s">
        <v>5327</v>
      </c>
      <c r="F1005" t="s">
        <v>5156</v>
      </c>
      <c r="G1005" t="s">
        <v>5405</v>
      </c>
      <c r="H1005" t="s">
        <v>290</v>
      </c>
      <c r="J1005" t="s">
        <v>1585</v>
      </c>
      <c r="K1005">
        <v>160.1</v>
      </c>
    </row>
    <row r="1006" spans="1:11" x14ac:dyDescent="0.35">
      <c r="A1006" t="s">
        <v>1587</v>
      </c>
      <c r="B1006" s="1">
        <v>0</v>
      </c>
      <c r="C1006" t="s">
        <v>1054</v>
      </c>
      <c r="D1006" t="s">
        <v>5088</v>
      </c>
      <c r="E1006" t="s">
        <v>5417</v>
      </c>
      <c r="F1006" t="s">
        <v>5050</v>
      </c>
      <c r="G1006" t="s">
        <v>5397</v>
      </c>
      <c r="H1006" t="s">
        <v>781</v>
      </c>
      <c r="J1006" t="s">
        <v>1587</v>
      </c>
      <c r="K1006">
        <v>181.5</v>
      </c>
    </row>
    <row r="1007" spans="1:11" x14ac:dyDescent="0.35">
      <c r="A1007" t="s">
        <v>1588</v>
      </c>
      <c r="B1007" s="1">
        <v>0</v>
      </c>
      <c r="C1007" t="s">
        <v>1916</v>
      </c>
      <c r="D1007" t="s">
        <v>5247</v>
      </c>
      <c r="E1007" t="s">
        <v>5599</v>
      </c>
      <c r="F1007" t="s">
        <v>5050</v>
      </c>
      <c r="G1007" t="s">
        <v>5330</v>
      </c>
      <c r="H1007" t="s">
        <v>1179</v>
      </c>
      <c r="J1007" t="s">
        <v>1588</v>
      </c>
      <c r="K1007">
        <v>188.1</v>
      </c>
    </row>
    <row r="1008" spans="1:11" x14ac:dyDescent="0.35">
      <c r="A1008" t="s">
        <v>1589</v>
      </c>
      <c r="B1008" s="1">
        <v>0</v>
      </c>
      <c r="C1008" t="s">
        <v>1484</v>
      </c>
      <c r="D1008" t="s">
        <v>5473</v>
      </c>
      <c r="E1008" t="s">
        <v>5597</v>
      </c>
      <c r="F1008" t="s">
        <v>5050</v>
      </c>
      <c r="G1008" t="s">
        <v>5342</v>
      </c>
      <c r="H1008" t="s">
        <v>1279</v>
      </c>
      <c r="J1008" t="s">
        <v>1589</v>
      </c>
      <c r="K1008">
        <v>193.3</v>
      </c>
    </row>
    <row r="1009" spans="1:11" x14ac:dyDescent="0.35">
      <c r="A1009" t="s">
        <v>1591</v>
      </c>
      <c r="B1009" s="1">
        <v>0</v>
      </c>
      <c r="C1009" t="s">
        <v>464</v>
      </c>
      <c r="D1009" t="s">
        <v>5103</v>
      </c>
      <c r="E1009" t="s">
        <v>5425</v>
      </c>
      <c r="F1009" t="s">
        <v>5050</v>
      </c>
      <c r="G1009" t="s">
        <v>5297</v>
      </c>
      <c r="H1009" t="s">
        <v>1670</v>
      </c>
      <c r="J1009" t="s">
        <v>1591</v>
      </c>
      <c r="K1009">
        <v>196.1</v>
      </c>
    </row>
    <row r="1010" spans="1:11" x14ac:dyDescent="0.35">
      <c r="A1010" t="s">
        <v>1592</v>
      </c>
      <c r="B1010" s="1">
        <v>0</v>
      </c>
      <c r="C1010" t="s">
        <v>979</v>
      </c>
      <c r="D1010" t="s">
        <v>5446</v>
      </c>
      <c r="E1010" t="s">
        <v>5428</v>
      </c>
      <c r="F1010" t="s">
        <v>5240</v>
      </c>
      <c r="G1010" t="s">
        <v>5294</v>
      </c>
      <c r="H1010" t="s">
        <v>2076</v>
      </c>
      <c r="J1010" t="s">
        <v>1592</v>
      </c>
      <c r="K1010">
        <v>204.6</v>
      </c>
    </row>
    <row r="1011" spans="1:11" x14ac:dyDescent="0.35">
      <c r="A1011" t="s">
        <v>1593</v>
      </c>
      <c r="B1011" s="1">
        <v>0</v>
      </c>
      <c r="C1011" t="s">
        <v>4117</v>
      </c>
      <c r="D1011" t="s">
        <v>5389</v>
      </c>
      <c r="E1011" t="s">
        <v>5434</v>
      </c>
      <c r="F1011" t="s">
        <v>5240</v>
      </c>
      <c r="G1011" t="s">
        <v>5224</v>
      </c>
      <c r="H1011" t="s">
        <v>5697</v>
      </c>
      <c r="J1011" t="s">
        <v>1593</v>
      </c>
      <c r="K1011">
        <v>221.8</v>
      </c>
    </row>
    <row r="1012" spans="1:11" x14ac:dyDescent="0.35">
      <c r="A1012" t="s">
        <v>1595</v>
      </c>
      <c r="B1012" s="1">
        <v>0</v>
      </c>
      <c r="C1012" t="s">
        <v>1545</v>
      </c>
      <c r="D1012" t="s">
        <v>5583</v>
      </c>
      <c r="E1012" t="s">
        <v>5182</v>
      </c>
      <c r="F1012" t="s">
        <v>5240</v>
      </c>
      <c r="G1012" t="s">
        <v>5230</v>
      </c>
      <c r="H1012" t="s">
        <v>2061</v>
      </c>
      <c r="J1012" t="s">
        <v>1595</v>
      </c>
      <c r="K1012">
        <v>240.7</v>
      </c>
    </row>
    <row r="1013" spans="1:11" x14ac:dyDescent="0.35">
      <c r="A1013" t="s">
        <v>1598</v>
      </c>
      <c r="B1013" s="1">
        <v>0</v>
      </c>
      <c r="C1013" t="s">
        <v>1937</v>
      </c>
      <c r="D1013" t="s">
        <v>5517</v>
      </c>
      <c r="E1013" t="s">
        <v>5081</v>
      </c>
      <c r="F1013" t="s">
        <v>5054</v>
      </c>
      <c r="G1013" t="s">
        <v>5240</v>
      </c>
      <c r="H1013" t="s">
        <v>5771</v>
      </c>
      <c r="J1013" t="s">
        <v>1598</v>
      </c>
      <c r="K1013">
        <v>252.6</v>
      </c>
    </row>
    <row r="1014" spans="1:11" x14ac:dyDescent="0.35">
      <c r="A1014" t="s">
        <v>1601</v>
      </c>
      <c r="B1014" s="1">
        <v>0</v>
      </c>
      <c r="C1014" t="s">
        <v>1564</v>
      </c>
      <c r="D1014" t="s">
        <v>5107</v>
      </c>
      <c r="E1014" t="s">
        <v>5272</v>
      </c>
      <c r="F1014" t="s">
        <v>5054</v>
      </c>
      <c r="G1014" t="s">
        <v>5054</v>
      </c>
      <c r="H1014" t="s">
        <v>2702</v>
      </c>
      <c r="J1014" t="s">
        <v>1601</v>
      </c>
      <c r="K1014">
        <v>253</v>
      </c>
    </row>
    <row r="1015" spans="1:11" x14ac:dyDescent="0.35">
      <c r="A1015" t="s">
        <v>1602</v>
      </c>
      <c r="B1015" s="1">
        <v>0</v>
      </c>
      <c r="C1015" t="s">
        <v>1076</v>
      </c>
      <c r="D1015" t="s">
        <v>5387</v>
      </c>
      <c r="E1015" t="s">
        <v>5272</v>
      </c>
      <c r="F1015" t="s">
        <v>5054</v>
      </c>
      <c r="G1015" t="s">
        <v>5050</v>
      </c>
      <c r="H1015" t="s">
        <v>4451</v>
      </c>
      <c r="J1015" t="s">
        <v>1602</v>
      </c>
      <c r="K1015">
        <v>242.8</v>
      </c>
    </row>
    <row r="1016" spans="1:11" x14ac:dyDescent="0.35">
      <c r="A1016" t="s">
        <v>1604</v>
      </c>
      <c r="B1016" s="1">
        <v>0</v>
      </c>
      <c r="C1016" t="s">
        <v>316</v>
      </c>
      <c r="D1016" t="s">
        <v>5575</v>
      </c>
      <c r="E1016" t="s">
        <v>5243</v>
      </c>
      <c r="F1016" t="s">
        <v>5240</v>
      </c>
      <c r="G1016" t="s">
        <v>5222</v>
      </c>
      <c r="H1016" t="s">
        <v>3014</v>
      </c>
      <c r="J1016" t="s">
        <v>1604</v>
      </c>
      <c r="K1016">
        <v>229.6</v>
      </c>
    </row>
    <row r="1017" spans="1:11" x14ac:dyDescent="0.35">
      <c r="A1017" t="s">
        <v>1605</v>
      </c>
      <c r="B1017" s="1">
        <v>0</v>
      </c>
      <c r="C1017" t="s">
        <v>491</v>
      </c>
      <c r="D1017" t="s">
        <v>5447</v>
      </c>
      <c r="E1017" t="s">
        <v>5257</v>
      </c>
      <c r="F1017" t="s">
        <v>5240</v>
      </c>
      <c r="G1017" t="s">
        <v>5172</v>
      </c>
      <c r="H1017" t="s">
        <v>4055</v>
      </c>
      <c r="J1017" t="s">
        <v>1605</v>
      </c>
      <c r="K1017">
        <v>223.6</v>
      </c>
    </row>
    <row r="1018" spans="1:11" x14ac:dyDescent="0.35">
      <c r="A1018" t="s">
        <v>1607</v>
      </c>
      <c r="B1018" s="1">
        <v>0</v>
      </c>
      <c r="C1018" t="s">
        <v>495</v>
      </c>
      <c r="D1018" t="s">
        <v>5492</v>
      </c>
      <c r="E1018" t="s">
        <v>5192</v>
      </c>
      <c r="F1018" t="s">
        <v>5240</v>
      </c>
      <c r="G1018" t="s">
        <v>5222</v>
      </c>
      <c r="H1018" t="s">
        <v>4055</v>
      </c>
      <c r="J1018" t="s">
        <v>1607</v>
      </c>
      <c r="K1018">
        <v>223.6</v>
      </c>
    </row>
    <row r="1019" spans="1:11" x14ac:dyDescent="0.35">
      <c r="A1019" t="s">
        <v>1608</v>
      </c>
      <c r="B1019" s="1">
        <v>0</v>
      </c>
      <c r="C1019" t="s">
        <v>4903</v>
      </c>
      <c r="D1019" t="s">
        <v>5462</v>
      </c>
      <c r="E1019" t="s">
        <v>5197</v>
      </c>
      <c r="F1019" t="s">
        <v>5240</v>
      </c>
      <c r="G1019" t="s">
        <v>5207</v>
      </c>
      <c r="H1019" t="s">
        <v>3347</v>
      </c>
      <c r="J1019" t="s">
        <v>1608</v>
      </c>
      <c r="K1019">
        <v>216.8</v>
      </c>
    </row>
    <row r="1020" spans="1:11" x14ac:dyDescent="0.35">
      <c r="A1020" t="s">
        <v>1611</v>
      </c>
      <c r="B1020" s="1">
        <v>0</v>
      </c>
      <c r="C1020" t="s">
        <v>1467</v>
      </c>
      <c r="D1020" t="s">
        <v>5108</v>
      </c>
      <c r="E1020" t="s">
        <v>5428</v>
      </c>
      <c r="F1020" t="s">
        <v>5240</v>
      </c>
      <c r="G1020" t="s">
        <v>5224</v>
      </c>
      <c r="H1020" t="s">
        <v>2724</v>
      </c>
      <c r="J1020" t="s">
        <v>1611</v>
      </c>
      <c r="K1020">
        <v>208</v>
      </c>
    </row>
    <row r="1021" spans="1:11" x14ac:dyDescent="0.35">
      <c r="A1021" t="s">
        <v>1612</v>
      </c>
      <c r="B1021" s="1">
        <v>0</v>
      </c>
      <c r="C1021" t="s">
        <v>1542</v>
      </c>
      <c r="D1021" t="s">
        <v>5450</v>
      </c>
      <c r="E1021" t="s">
        <v>5234</v>
      </c>
      <c r="F1021" t="s">
        <v>5240</v>
      </c>
      <c r="G1021" t="s">
        <v>5288</v>
      </c>
      <c r="H1021" t="s">
        <v>4789</v>
      </c>
      <c r="J1021" t="s">
        <v>1612</v>
      </c>
      <c r="K1021">
        <v>208.4</v>
      </c>
    </row>
    <row r="1022" spans="1:11" x14ac:dyDescent="0.35">
      <c r="A1022" t="s">
        <v>1613</v>
      </c>
      <c r="B1022" s="1">
        <v>0</v>
      </c>
      <c r="C1022" t="s">
        <v>4082</v>
      </c>
      <c r="D1022" t="s">
        <v>5531</v>
      </c>
      <c r="E1022" t="s">
        <v>5068</v>
      </c>
      <c r="F1022" t="s">
        <v>5240</v>
      </c>
      <c r="G1022" t="s">
        <v>5226</v>
      </c>
      <c r="H1022" t="s">
        <v>660</v>
      </c>
      <c r="J1022" t="s">
        <v>1613</v>
      </c>
      <c r="K1022">
        <v>216.2</v>
      </c>
    </row>
    <row r="1023" spans="1:11" x14ac:dyDescent="0.35">
      <c r="A1023" t="s">
        <v>1615</v>
      </c>
      <c r="B1023" s="1">
        <v>0</v>
      </c>
      <c r="C1023" t="s">
        <v>5659</v>
      </c>
      <c r="D1023" t="s">
        <v>5528</v>
      </c>
      <c r="E1023" t="s">
        <v>5255</v>
      </c>
      <c r="F1023" t="s">
        <v>5240</v>
      </c>
      <c r="G1023" t="s">
        <v>5224</v>
      </c>
      <c r="H1023" t="s">
        <v>228</v>
      </c>
      <c r="J1023" t="s">
        <v>1615</v>
      </c>
      <c r="K1023">
        <v>218.1</v>
      </c>
    </row>
    <row r="1024" spans="1:11" x14ac:dyDescent="0.35">
      <c r="A1024" t="s">
        <v>1616</v>
      </c>
      <c r="B1024" s="1">
        <v>0</v>
      </c>
      <c r="C1024" t="s">
        <v>1530</v>
      </c>
      <c r="D1024" t="s">
        <v>5090</v>
      </c>
      <c r="E1024" t="s">
        <v>5234</v>
      </c>
      <c r="F1024" t="s">
        <v>5240</v>
      </c>
      <c r="G1024" t="s">
        <v>5288</v>
      </c>
      <c r="H1024" t="s">
        <v>2554</v>
      </c>
      <c r="J1024" t="s">
        <v>1616</v>
      </c>
      <c r="K1024">
        <v>206.7</v>
      </c>
    </row>
    <row r="1025" spans="1:11" x14ac:dyDescent="0.35">
      <c r="A1025" t="s">
        <v>1617</v>
      </c>
      <c r="B1025" s="1">
        <v>0</v>
      </c>
      <c r="C1025" t="s">
        <v>368</v>
      </c>
      <c r="D1025" t="s">
        <v>5111</v>
      </c>
      <c r="E1025" t="s">
        <v>5169</v>
      </c>
      <c r="F1025" t="s">
        <v>5050</v>
      </c>
      <c r="G1025" t="s">
        <v>5312</v>
      </c>
      <c r="H1025" t="s">
        <v>712</v>
      </c>
      <c r="J1025" t="s">
        <v>1617</v>
      </c>
      <c r="K1025">
        <v>190.3</v>
      </c>
    </row>
    <row r="1026" spans="1:11" x14ac:dyDescent="0.35">
      <c r="A1026" t="s">
        <v>1618</v>
      </c>
      <c r="B1026" s="1">
        <v>0</v>
      </c>
      <c r="C1026" t="s">
        <v>3211</v>
      </c>
      <c r="D1026" t="s">
        <v>5437</v>
      </c>
      <c r="E1026" t="s">
        <v>5425</v>
      </c>
      <c r="F1026" t="s">
        <v>5050</v>
      </c>
      <c r="G1026" t="s">
        <v>5315</v>
      </c>
      <c r="H1026" t="s">
        <v>3563</v>
      </c>
      <c r="J1026" t="s">
        <v>1618</v>
      </c>
      <c r="K1026">
        <v>185.5</v>
      </c>
    </row>
    <row r="1027" spans="1:11" x14ac:dyDescent="0.35">
      <c r="A1027" t="s">
        <v>1619</v>
      </c>
      <c r="B1027" s="1">
        <v>0</v>
      </c>
      <c r="C1027" t="s">
        <v>333</v>
      </c>
      <c r="D1027" t="s">
        <v>5157</v>
      </c>
      <c r="E1027" t="s">
        <v>5223</v>
      </c>
      <c r="F1027" t="s">
        <v>5050</v>
      </c>
      <c r="G1027" t="s">
        <v>5294</v>
      </c>
      <c r="H1027" t="s">
        <v>610</v>
      </c>
      <c r="J1027" t="s">
        <v>1619</v>
      </c>
      <c r="K1027">
        <v>195.3</v>
      </c>
    </row>
    <row r="1028" spans="1:11" x14ac:dyDescent="0.35">
      <c r="A1028" t="s">
        <v>1620</v>
      </c>
      <c r="B1028" s="1">
        <v>0</v>
      </c>
      <c r="C1028" t="s">
        <v>364</v>
      </c>
      <c r="D1028" t="s">
        <v>5090</v>
      </c>
      <c r="E1028" t="s">
        <v>5175</v>
      </c>
      <c r="F1028" t="s">
        <v>5050</v>
      </c>
      <c r="G1028" t="s">
        <v>5291</v>
      </c>
      <c r="H1028" t="s">
        <v>3136</v>
      </c>
      <c r="J1028" t="s">
        <v>1620</v>
      </c>
      <c r="K1028">
        <v>202.6</v>
      </c>
    </row>
    <row r="1029" spans="1:11" x14ac:dyDescent="0.35">
      <c r="A1029" t="s">
        <v>1621</v>
      </c>
      <c r="B1029" s="1">
        <v>0</v>
      </c>
      <c r="C1029" t="s">
        <v>326</v>
      </c>
      <c r="D1029" t="s">
        <v>5449</v>
      </c>
      <c r="E1029" t="s">
        <v>5221</v>
      </c>
      <c r="F1029" t="s">
        <v>5050</v>
      </c>
      <c r="G1029" t="s">
        <v>5294</v>
      </c>
      <c r="H1029" t="s">
        <v>1274</v>
      </c>
      <c r="J1029" t="s">
        <v>1621</v>
      </c>
      <c r="K1029">
        <v>197.4</v>
      </c>
    </row>
    <row r="1030" spans="1:11" x14ac:dyDescent="0.35">
      <c r="A1030" t="s">
        <v>1623</v>
      </c>
      <c r="B1030" s="1">
        <v>0</v>
      </c>
      <c r="C1030" t="s">
        <v>3211</v>
      </c>
      <c r="D1030" t="s">
        <v>5450</v>
      </c>
      <c r="E1030" t="s">
        <v>5204</v>
      </c>
      <c r="F1030" t="s">
        <v>5050</v>
      </c>
      <c r="G1030" t="s">
        <v>5312</v>
      </c>
      <c r="H1030" t="s">
        <v>1727</v>
      </c>
      <c r="J1030" t="s">
        <v>1623</v>
      </c>
      <c r="K1030">
        <v>190.2</v>
      </c>
    </row>
    <row r="1031" spans="1:11" x14ac:dyDescent="0.35">
      <c r="A1031" t="s">
        <v>1624</v>
      </c>
      <c r="B1031" s="1">
        <v>0</v>
      </c>
      <c r="C1031" t="s">
        <v>1055</v>
      </c>
      <c r="D1031" t="s">
        <v>5090</v>
      </c>
      <c r="E1031" t="s">
        <v>5204</v>
      </c>
      <c r="F1031" t="s">
        <v>5050</v>
      </c>
      <c r="G1031" t="s">
        <v>5297</v>
      </c>
      <c r="H1031" t="s">
        <v>715</v>
      </c>
      <c r="J1031" t="s">
        <v>1624</v>
      </c>
      <c r="K1031">
        <v>189.2</v>
      </c>
    </row>
    <row r="1032" spans="1:11" x14ac:dyDescent="0.35">
      <c r="A1032" t="s">
        <v>1625</v>
      </c>
      <c r="B1032" s="1">
        <v>0</v>
      </c>
      <c r="C1032" t="s">
        <v>2916</v>
      </c>
      <c r="D1032" t="s">
        <v>5538</v>
      </c>
      <c r="E1032" t="s">
        <v>5237</v>
      </c>
      <c r="F1032" t="s">
        <v>5050</v>
      </c>
      <c r="G1032" t="s">
        <v>5297</v>
      </c>
      <c r="H1032" t="s">
        <v>165</v>
      </c>
      <c r="J1032" t="s">
        <v>1625</v>
      </c>
      <c r="K1032">
        <v>193.6</v>
      </c>
    </row>
    <row r="1033" spans="1:11" x14ac:dyDescent="0.35">
      <c r="A1033" t="s">
        <v>1626</v>
      </c>
      <c r="B1033" s="1">
        <v>0</v>
      </c>
      <c r="C1033" t="s">
        <v>444</v>
      </c>
      <c r="D1033" t="s">
        <v>5595</v>
      </c>
      <c r="E1033" t="s">
        <v>5197</v>
      </c>
      <c r="F1033" t="s">
        <v>5050</v>
      </c>
      <c r="G1033" t="s">
        <v>5315</v>
      </c>
      <c r="H1033" t="s">
        <v>1644</v>
      </c>
      <c r="J1033" t="s">
        <v>1626</v>
      </c>
      <c r="K1033">
        <v>199.9</v>
      </c>
    </row>
    <row r="1034" spans="1:11" x14ac:dyDescent="0.35">
      <c r="A1034" t="s">
        <v>1628</v>
      </c>
      <c r="B1034" s="1">
        <v>0</v>
      </c>
      <c r="C1034" t="s">
        <v>1527</v>
      </c>
      <c r="D1034" t="s">
        <v>5146</v>
      </c>
      <c r="E1034" t="s">
        <v>5071</v>
      </c>
      <c r="F1034" t="s">
        <v>5050</v>
      </c>
      <c r="G1034" t="s">
        <v>5330</v>
      </c>
      <c r="H1034" t="s">
        <v>2078</v>
      </c>
      <c r="J1034" t="s">
        <v>1628</v>
      </c>
      <c r="K1034">
        <v>201.8</v>
      </c>
    </row>
    <row r="1035" spans="1:11" x14ac:dyDescent="0.35">
      <c r="A1035" t="s">
        <v>1629</v>
      </c>
      <c r="B1035" s="1">
        <v>0</v>
      </c>
      <c r="C1035" t="s">
        <v>447</v>
      </c>
      <c r="D1035" t="s">
        <v>5596</v>
      </c>
      <c r="E1035" t="s">
        <v>5068</v>
      </c>
      <c r="F1035" t="s">
        <v>5050</v>
      </c>
      <c r="G1035" t="s">
        <v>5400</v>
      </c>
      <c r="H1035" t="s">
        <v>240</v>
      </c>
      <c r="J1035" t="s">
        <v>1629</v>
      </c>
      <c r="K1035">
        <v>196.8</v>
      </c>
    </row>
    <row r="1036" spans="1:11" x14ac:dyDescent="0.35">
      <c r="A1036" t="s">
        <v>1630</v>
      </c>
      <c r="B1036" s="1">
        <v>0</v>
      </c>
      <c r="C1036" t="s">
        <v>454</v>
      </c>
      <c r="D1036" t="s">
        <v>5190</v>
      </c>
      <c r="E1036" t="s">
        <v>5237</v>
      </c>
      <c r="F1036" t="s">
        <v>5050</v>
      </c>
      <c r="G1036" t="s">
        <v>5400</v>
      </c>
      <c r="H1036" t="s">
        <v>1213</v>
      </c>
      <c r="J1036" t="s">
        <v>1630</v>
      </c>
      <c r="K1036">
        <v>191.8</v>
      </c>
    </row>
    <row r="1037" spans="1:11" x14ac:dyDescent="0.35">
      <c r="A1037" t="s">
        <v>1632</v>
      </c>
      <c r="B1037" s="1">
        <v>0</v>
      </c>
      <c r="C1037" t="s">
        <v>1525</v>
      </c>
      <c r="D1037" t="s">
        <v>5540</v>
      </c>
      <c r="E1037" t="s">
        <v>5167</v>
      </c>
      <c r="F1037" t="s">
        <v>5077</v>
      </c>
      <c r="G1037" t="s">
        <v>5215</v>
      </c>
      <c r="H1037" t="s">
        <v>4011</v>
      </c>
      <c r="J1037" t="s">
        <v>1632</v>
      </c>
      <c r="K1037">
        <v>201.7</v>
      </c>
    </row>
    <row r="1038" spans="1:11" x14ac:dyDescent="0.35">
      <c r="A1038" t="s">
        <v>1633</v>
      </c>
      <c r="B1038" s="1">
        <v>0</v>
      </c>
      <c r="C1038" t="s">
        <v>1052</v>
      </c>
      <c r="D1038" t="s">
        <v>5097</v>
      </c>
      <c r="E1038" t="s">
        <v>5173</v>
      </c>
      <c r="F1038" t="s">
        <v>5077</v>
      </c>
      <c r="G1038" t="s">
        <v>5215</v>
      </c>
      <c r="H1038" t="s">
        <v>4012</v>
      </c>
      <c r="J1038" t="s">
        <v>1633</v>
      </c>
      <c r="K1038">
        <v>201.6</v>
      </c>
    </row>
    <row r="1039" spans="1:11" x14ac:dyDescent="0.35">
      <c r="A1039" t="s">
        <v>1634</v>
      </c>
      <c r="B1039" s="1">
        <v>0</v>
      </c>
      <c r="C1039" t="s">
        <v>1524</v>
      </c>
      <c r="D1039" t="s">
        <v>5370</v>
      </c>
      <c r="E1039" t="s">
        <v>5306</v>
      </c>
      <c r="F1039" t="s">
        <v>5077</v>
      </c>
      <c r="G1039" t="s">
        <v>5215</v>
      </c>
      <c r="H1039" t="s">
        <v>5001</v>
      </c>
      <c r="J1039" t="s">
        <v>1634</v>
      </c>
      <c r="K1039">
        <v>203.5</v>
      </c>
    </row>
    <row r="1040" spans="1:11" x14ac:dyDescent="0.35">
      <c r="A1040" t="s">
        <v>1635</v>
      </c>
      <c r="B1040" s="1">
        <v>0</v>
      </c>
      <c r="C1040" t="s">
        <v>1043</v>
      </c>
      <c r="D1040" t="s">
        <v>5393</v>
      </c>
      <c r="E1040" t="s">
        <v>5236</v>
      </c>
      <c r="F1040" t="s">
        <v>5077</v>
      </c>
      <c r="G1040" t="s">
        <v>5078</v>
      </c>
      <c r="H1040" t="s">
        <v>3753</v>
      </c>
      <c r="J1040" t="s">
        <v>1635</v>
      </c>
      <c r="K1040">
        <v>205.5</v>
      </c>
    </row>
    <row r="1041" spans="1:11" x14ac:dyDescent="0.35">
      <c r="A1041" t="s">
        <v>1636</v>
      </c>
      <c r="B1041" s="1">
        <v>0</v>
      </c>
      <c r="C1041" t="s">
        <v>1909</v>
      </c>
      <c r="D1041" t="s">
        <v>5393</v>
      </c>
      <c r="E1041" t="s">
        <v>5236</v>
      </c>
      <c r="F1041" t="s">
        <v>5077</v>
      </c>
      <c r="G1041" t="s">
        <v>5078</v>
      </c>
      <c r="H1041" t="s">
        <v>2356</v>
      </c>
      <c r="J1041" t="s">
        <v>1636</v>
      </c>
      <c r="K1041">
        <v>202.5</v>
      </c>
    </row>
    <row r="1042" spans="1:11" x14ac:dyDescent="0.35">
      <c r="A1042" t="s">
        <v>1638</v>
      </c>
      <c r="B1042" s="1">
        <v>0</v>
      </c>
      <c r="C1042" t="s">
        <v>2918</v>
      </c>
      <c r="D1042" t="s">
        <v>5091</v>
      </c>
      <c r="E1042" t="s">
        <v>5192</v>
      </c>
      <c r="F1042" t="s">
        <v>5077</v>
      </c>
      <c r="G1042" t="s">
        <v>5078</v>
      </c>
      <c r="H1042" t="s">
        <v>5696</v>
      </c>
      <c r="J1042" t="s">
        <v>1638</v>
      </c>
      <c r="K1042">
        <v>206.6</v>
      </c>
    </row>
    <row r="1043" spans="1:11" x14ac:dyDescent="0.35">
      <c r="A1043" t="s">
        <v>1639</v>
      </c>
      <c r="B1043" s="1">
        <v>0</v>
      </c>
      <c r="C1043" t="s">
        <v>356</v>
      </c>
      <c r="D1043" t="s">
        <v>5520</v>
      </c>
      <c r="E1043" t="s">
        <v>5229</v>
      </c>
      <c r="F1043" t="s">
        <v>5089</v>
      </c>
      <c r="G1043" t="s">
        <v>5099</v>
      </c>
      <c r="H1043" t="s">
        <v>1689</v>
      </c>
      <c r="J1043" t="s">
        <v>1639</v>
      </c>
      <c r="K1043">
        <v>222.7</v>
      </c>
    </row>
    <row r="1044" spans="1:11" x14ac:dyDescent="0.35">
      <c r="A1044" t="s">
        <v>1640</v>
      </c>
      <c r="B1044" s="1">
        <v>0</v>
      </c>
      <c r="C1044" t="s">
        <v>4904</v>
      </c>
      <c r="D1044" t="s">
        <v>5469</v>
      </c>
      <c r="E1044" t="s">
        <v>5131</v>
      </c>
      <c r="F1044" t="s">
        <v>5089</v>
      </c>
      <c r="G1044" t="s">
        <v>5095</v>
      </c>
      <c r="H1044" t="s">
        <v>3319</v>
      </c>
      <c r="J1044" t="s">
        <v>1640</v>
      </c>
      <c r="K1044">
        <v>243</v>
      </c>
    </row>
    <row r="1045" spans="1:11" x14ac:dyDescent="0.35">
      <c r="A1045" t="s">
        <v>1641</v>
      </c>
      <c r="B1045" s="1">
        <v>0</v>
      </c>
      <c r="C1045" t="s">
        <v>969</v>
      </c>
      <c r="D1045" t="s">
        <v>5488</v>
      </c>
      <c r="E1045" t="s">
        <v>5456</v>
      </c>
      <c r="F1045" t="s">
        <v>5089</v>
      </c>
      <c r="G1045" t="s">
        <v>5092</v>
      </c>
      <c r="H1045" t="s">
        <v>5703</v>
      </c>
      <c r="J1045" t="s">
        <v>1641</v>
      </c>
      <c r="K1045">
        <v>258.39999999999998</v>
      </c>
    </row>
    <row r="1046" spans="1:11" x14ac:dyDescent="0.35">
      <c r="A1046" t="s">
        <v>1643</v>
      </c>
      <c r="B1046" s="1">
        <v>0</v>
      </c>
      <c r="C1046" t="s">
        <v>2877</v>
      </c>
      <c r="D1046" t="s">
        <v>5610</v>
      </c>
      <c r="E1046" t="s">
        <v>5114</v>
      </c>
      <c r="F1046" t="s">
        <v>5089</v>
      </c>
      <c r="G1046" t="s">
        <v>5092</v>
      </c>
      <c r="H1046" t="s">
        <v>3586</v>
      </c>
      <c r="J1046" t="s">
        <v>1643</v>
      </c>
      <c r="K1046">
        <v>256.39999999999998</v>
      </c>
    </row>
    <row r="1047" spans="1:11" x14ac:dyDescent="0.35">
      <c r="A1047" t="s">
        <v>1646</v>
      </c>
      <c r="B1047" s="1">
        <v>0</v>
      </c>
      <c r="C1047" t="s">
        <v>3216</v>
      </c>
      <c r="D1047" t="s">
        <v>5457</v>
      </c>
      <c r="E1047" t="s">
        <v>5453</v>
      </c>
      <c r="F1047" t="s">
        <v>5089</v>
      </c>
      <c r="G1047" t="s">
        <v>5110</v>
      </c>
      <c r="H1047" t="s">
        <v>5719</v>
      </c>
      <c r="J1047" t="s">
        <v>1646</v>
      </c>
      <c r="K1047">
        <v>243.9</v>
      </c>
    </row>
    <row r="1048" spans="1:11" x14ac:dyDescent="0.35">
      <c r="A1048" t="s">
        <v>1647</v>
      </c>
      <c r="B1048" s="1">
        <v>0</v>
      </c>
      <c r="C1048" t="s">
        <v>4083</v>
      </c>
      <c r="D1048" t="s">
        <v>5134</v>
      </c>
      <c r="E1048" t="s">
        <v>5121</v>
      </c>
      <c r="F1048" t="s">
        <v>5089</v>
      </c>
      <c r="G1048" t="s">
        <v>5110</v>
      </c>
      <c r="H1048" t="s">
        <v>1661</v>
      </c>
      <c r="J1048" t="s">
        <v>1647</v>
      </c>
      <c r="K1048">
        <v>235.1</v>
      </c>
    </row>
    <row r="1049" spans="1:11" x14ac:dyDescent="0.35">
      <c r="A1049" t="s">
        <v>1649</v>
      </c>
      <c r="B1049" s="1">
        <v>0</v>
      </c>
      <c r="C1049" t="s">
        <v>3498</v>
      </c>
      <c r="D1049" t="s">
        <v>5214</v>
      </c>
      <c r="E1049" t="s">
        <v>5276</v>
      </c>
      <c r="F1049" t="s">
        <v>5089</v>
      </c>
      <c r="G1049" t="s">
        <v>5092</v>
      </c>
      <c r="H1049" t="s">
        <v>625</v>
      </c>
      <c r="J1049" t="s">
        <v>1649</v>
      </c>
      <c r="K1049">
        <v>234.1</v>
      </c>
    </row>
    <row r="1050" spans="1:11" x14ac:dyDescent="0.35">
      <c r="A1050" t="s">
        <v>1650</v>
      </c>
      <c r="B1050" s="1">
        <v>0</v>
      </c>
      <c r="C1050" t="s">
        <v>3498</v>
      </c>
      <c r="D1050" t="s">
        <v>5611</v>
      </c>
      <c r="E1050" t="s">
        <v>5270</v>
      </c>
      <c r="F1050" t="s">
        <v>5089</v>
      </c>
      <c r="G1050" t="s">
        <v>5110</v>
      </c>
      <c r="H1050" t="s">
        <v>5690</v>
      </c>
      <c r="J1050" t="s">
        <v>1650</v>
      </c>
      <c r="K1050">
        <v>234</v>
      </c>
    </row>
    <row r="1051" spans="1:11" x14ac:dyDescent="0.35">
      <c r="A1051" t="s">
        <v>1651</v>
      </c>
      <c r="B1051" s="1">
        <v>0</v>
      </c>
      <c r="C1051" t="s">
        <v>459</v>
      </c>
      <c r="D1051" t="s">
        <v>5602</v>
      </c>
      <c r="E1051" t="s">
        <v>5239</v>
      </c>
      <c r="F1051" t="s">
        <v>5089</v>
      </c>
      <c r="G1051" t="s">
        <v>5116</v>
      </c>
      <c r="H1051" t="s">
        <v>771</v>
      </c>
      <c r="J1051" t="s">
        <v>1651</v>
      </c>
      <c r="K1051">
        <v>227.5</v>
      </c>
    </row>
    <row r="1052" spans="1:11" x14ac:dyDescent="0.35">
      <c r="A1052" t="s">
        <v>1653</v>
      </c>
      <c r="B1052" s="1">
        <v>0</v>
      </c>
      <c r="C1052" t="s">
        <v>988</v>
      </c>
      <c r="D1052" t="s">
        <v>5278</v>
      </c>
      <c r="E1052" t="s">
        <v>5434</v>
      </c>
      <c r="F1052" t="s">
        <v>5089</v>
      </c>
      <c r="G1052" t="s">
        <v>5082</v>
      </c>
      <c r="H1052" t="s">
        <v>3878</v>
      </c>
      <c r="J1052" t="s">
        <v>1653</v>
      </c>
      <c r="K1052">
        <v>217</v>
      </c>
    </row>
    <row r="1053" spans="1:11" x14ac:dyDescent="0.35">
      <c r="A1053" t="s">
        <v>1655</v>
      </c>
      <c r="B1053" s="1">
        <v>0</v>
      </c>
      <c r="C1053" t="s">
        <v>366</v>
      </c>
      <c r="D1053" t="s">
        <v>5091</v>
      </c>
      <c r="E1053" t="s">
        <v>5306</v>
      </c>
      <c r="F1053" t="s">
        <v>5089</v>
      </c>
      <c r="G1053" t="s">
        <v>5082</v>
      </c>
      <c r="H1053" t="s">
        <v>3032</v>
      </c>
      <c r="J1053" t="s">
        <v>1655</v>
      </c>
      <c r="K1053">
        <v>213.3</v>
      </c>
    </row>
    <row r="1054" spans="1:11" x14ac:dyDescent="0.35">
      <c r="A1054" t="s">
        <v>1657</v>
      </c>
      <c r="B1054" s="1">
        <v>0</v>
      </c>
      <c r="C1054" t="s">
        <v>1531</v>
      </c>
      <c r="D1054" t="s">
        <v>5537</v>
      </c>
      <c r="E1054" t="s">
        <v>5066</v>
      </c>
      <c r="F1054" t="s">
        <v>5089</v>
      </c>
      <c r="G1054" t="s">
        <v>5092</v>
      </c>
      <c r="H1054" t="s">
        <v>1205</v>
      </c>
      <c r="J1054" t="s">
        <v>1657</v>
      </c>
      <c r="K1054">
        <v>220.9</v>
      </c>
    </row>
    <row r="1055" spans="1:11" x14ac:dyDescent="0.35">
      <c r="A1055" t="s">
        <v>1658</v>
      </c>
      <c r="B1055" s="1">
        <v>0</v>
      </c>
      <c r="C1055" t="s">
        <v>3218</v>
      </c>
      <c r="D1055" t="s">
        <v>5495</v>
      </c>
      <c r="E1055" t="s">
        <v>5102</v>
      </c>
      <c r="F1055" t="s">
        <v>5089</v>
      </c>
      <c r="G1055" t="s">
        <v>5077</v>
      </c>
      <c r="H1055" t="s">
        <v>2468</v>
      </c>
      <c r="J1055" t="s">
        <v>1658</v>
      </c>
      <c r="K1055">
        <v>231.1</v>
      </c>
    </row>
    <row r="1056" spans="1:11" x14ac:dyDescent="0.35">
      <c r="A1056" t="s">
        <v>1660</v>
      </c>
      <c r="B1056" s="1">
        <v>0</v>
      </c>
      <c r="C1056" t="s">
        <v>5601</v>
      </c>
      <c r="D1056" t="s">
        <v>5612</v>
      </c>
      <c r="E1056" t="s">
        <v>5276</v>
      </c>
      <c r="F1056" t="s">
        <v>5089</v>
      </c>
      <c r="G1056" t="s">
        <v>5077</v>
      </c>
      <c r="H1056" t="s">
        <v>3051</v>
      </c>
      <c r="J1056" t="s">
        <v>1660</v>
      </c>
      <c r="K1056">
        <v>237.1</v>
      </c>
    </row>
    <row r="1057" spans="1:11" x14ac:dyDescent="0.35">
      <c r="A1057" t="s">
        <v>1662</v>
      </c>
      <c r="B1057" s="1">
        <v>0</v>
      </c>
      <c r="C1057" t="s">
        <v>1475</v>
      </c>
      <c r="D1057" t="s">
        <v>5214</v>
      </c>
      <c r="E1057" t="s">
        <v>5448</v>
      </c>
      <c r="F1057" t="s">
        <v>5089</v>
      </c>
      <c r="G1057" t="s">
        <v>5045</v>
      </c>
      <c r="H1057" t="s">
        <v>3050</v>
      </c>
      <c r="J1057" t="s">
        <v>1662</v>
      </c>
      <c r="K1057">
        <v>237</v>
      </c>
    </row>
    <row r="1058" spans="1:11" x14ac:dyDescent="0.35">
      <c r="A1058" t="s">
        <v>1664</v>
      </c>
      <c r="B1058" s="1">
        <v>0</v>
      </c>
      <c r="C1058" t="s">
        <v>1472</v>
      </c>
      <c r="D1058" t="s">
        <v>5613</v>
      </c>
      <c r="E1058" t="s">
        <v>5243</v>
      </c>
      <c r="F1058" t="s">
        <v>5089</v>
      </c>
      <c r="G1058" t="s">
        <v>5092</v>
      </c>
      <c r="H1058" t="s">
        <v>630</v>
      </c>
      <c r="J1058" t="s">
        <v>1664</v>
      </c>
      <c r="K1058">
        <v>230.1</v>
      </c>
    </row>
    <row r="1059" spans="1:11" x14ac:dyDescent="0.35">
      <c r="A1059" t="s">
        <v>1667</v>
      </c>
      <c r="B1059" s="1">
        <v>0</v>
      </c>
      <c r="C1059" t="s">
        <v>2265</v>
      </c>
      <c r="D1059" t="s">
        <v>5517</v>
      </c>
      <c r="E1059" t="s">
        <v>5192</v>
      </c>
      <c r="F1059" t="s">
        <v>5089</v>
      </c>
      <c r="G1059" t="s">
        <v>5089</v>
      </c>
      <c r="H1059" t="s">
        <v>5723</v>
      </c>
      <c r="J1059" t="s">
        <v>1667</v>
      </c>
      <c r="K1059">
        <v>227.6</v>
      </c>
    </row>
    <row r="1060" spans="1:11" x14ac:dyDescent="0.35">
      <c r="A1060" t="s">
        <v>1669</v>
      </c>
      <c r="B1060" s="1">
        <v>0</v>
      </c>
      <c r="C1060" t="s">
        <v>2268</v>
      </c>
      <c r="D1060" t="s">
        <v>5112</v>
      </c>
      <c r="E1060" t="s">
        <v>5236</v>
      </c>
      <c r="F1060" t="s">
        <v>5077</v>
      </c>
      <c r="G1060" t="s">
        <v>5132</v>
      </c>
      <c r="H1060" t="s">
        <v>4498</v>
      </c>
      <c r="J1060" t="s">
        <v>1669</v>
      </c>
      <c r="K1060">
        <v>224.1</v>
      </c>
    </row>
    <row r="1061" spans="1:11" x14ac:dyDescent="0.35">
      <c r="A1061" t="s">
        <v>1671</v>
      </c>
      <c r="B1061" s="1">
        <v>0</v>
      </c>
      <c r="C1061" t="s">
        <v>1536</v>
      </c>
      <c r="D1061" t="s">
        <v>5530</v>
      </c>
      <c r="E1061" t="s">
        <v>5306</v>
      </c>
      <c r="F1061" t="s">
        <v>5077</v>
      </c>
      <c r="G1061" t="s">
        <v>5089</v>
      </c>
      <c r="H1061" t="s">
        <v>3877</v>
      </c>
      <c r="J1061" t="s">
        <v>1671</v>
      </c>
      <c r="K1061">
        <v>217.1</v>
      </c>
    </row>
    <row r="1062" spans="1:11" x14ac:dyDescent="0.35">
      <c r="A1062" t="s">
        <v>1672</v>
      </c>
      <c r="B1062" s="1">
        <v>0</v>
      </c>
      <c r="C1062" t="s">
        <v>465</v>
      </c>
      <c r="D1062" t="s">
        <v>5389</v>
      </c>
      <c r="E1062" t="s">
        <v>5255</v>
      </c>
      <c r="F1062" t="s">
        <v>5077</v>
      </c>
      <c r="G1062" t="s">
        <v>5045</v>
      </c>
      <c r="H1062" t="s">
        <v>3032</v>
      </c>
      <c r="J1062" t="s">
        <v>1672</v>
      </c>
      <c r="K1062">
        <v>213.3</v>
      </c>
    </row>
    <row r="1063" spans="1:11" x14ac:dyDescent="0.35">
      <c r="A1063" t="s">
        <v>1674</v>
      </c>
      <c r="B1063" s="1">
        <v>0</v>
      </c>
      <c r="C1063" t="s">
        <v>4380</v>
      </c>
      <c r="D1063" t="s">
        <v>5109</v>
      </c>
      <c r="E1063" t="s">
        <v>5219</v>
      </c>
      <c r="F1063" t="s">
        <v>5089</v>
      </c>
      <c r="G1063" t="s">
        <v>5045</v>
      </c>
      <c r="H1063" t="s">
        <v>1838</v>
      </c>
      <c r="J1063" t="s">
        <v>1674</v>
      </c>
      <c r="K1063">
        <v>219.9</v>
      </c>
    </row>
    <row r="1064" spans="1:11" x14ac:dyDescent="0.35">
      <c r="A1064" t="s">
        <v>1675</v>
      </c>
      <c r="B1064" s="1">
        <v>0</v>
      </c>
      <c r="C1064" t="s">
        <v>5646</v>
      </c>
      <c r="D1064" t="s">
        <v>5459</v>
      </c>
      <c r="E1064" t="s">
        <v>5102</v>
      </c>
      <c r="F1064" t="s">
        <v>5089</v>
      </c>
      <c r="G1064" t="s">
        <v>5077</v>
      </c>
      <c r="H1064" t="s">
        <v>736</v>
      </c>
      <c r="J1064" t="s">
        <v>1675</v>
      </c>
      <c r="K1064">
        <v>235.8</v>
      </c>
    </row>
    <row r="1065" spans="1:11" x14ac:dyDescent="0.35">
      <c r="A1065" t="s">
        <v>1676</v>
      </c>
      <c r="B1065" s="1">
        <v>0</v>
      </c>
      <c r="C1065" t="s">
        <v>317</v>
      </c>
      <c r="D1065" t="s">
        <v>5504</v>
      </c>
      <c r="E1065" t="s">
        <v>5251</v>
      </c>
      <c r="F1065" t="s">
        <v>5089</v>
      </c>
      <c r="G1065" t="s">
        <v>5358</v>
      </c>
      <c r="H1065" t="s">
        <v>2702</v>
      </c>
      <c r="J1065" t="s">
        <v>1676</v>
      </c>
      <c r="K1065">
        <v>253</v>
      </c>
    </row>
    <row r="1066" spans="1:11" x14ac:dyDescent="0.35">
      <c r="A1066" t="s">
        <v>1677</v>
      </c>
      <c r="B1066" s="1">
        <v>0</v>
      </c>
      <c r="C1066" t="s">
        <v>317</v>
      </c>
      <c r="D1066" t="s">
        <v>5282</v>
      </c>
      <c r="E1066" t="s">
        <v>5093</v>
      </c>
      <c r="F1066" t="s">
        <v>5089</v>
      </c>
      <c r="G1066" t="s">
        <v>5089</v>
      </c>
      <c r="H1066" t="s">
        <v>3906</v>
      </c>
      <c r="J1066" t="s">
        <v>1677</v>
      </c>
      <c r="K1066">
        <v>256.10000000000002</v>
      </c>
    </row>
    <row r="1067" spans="1:11" x14ac:dyDescent="0.35">
      <c r="A1067" t="s">
        <v>1678</v>
      </c>
      <c r="B1067" s="1">
        <v>0</v>
      </c>
      <c r="C1067" t="s">
        <v>3806</v>
      </c>
      <c r="D1067" t="s">
        <v>5615</v>
      </c>
      <c r="E1067" t="s">
        <v>5145</v>
      </c>
      <c r="F1067" t="s">
        <v>5338</v>
      </c>
      <c r="G1067" t="s">
        <v>5136</v>
      </c>
      <c r="H1067" t="s">
        <v>5692</v>
      </c>
      <c r="J1067" t="s">
        <v>1678</v>
      </c>
      <c r="K1067">
        <v>249.9</v>
      </c>
    </row>
    <row r="1068" spans="1:11" x14ac:dyDescent="0.35">
      <c r="A1068" t="s">
        <v>1679</v>
      </c>
      <c r="B1068" s="1">
        <v>0</v>
      </c>
      <c r="C1068" t="s">
        <v>4380</v>
      </c>
      <c r="D1068" t="s">
        <v>5616</v>
      </c>
      <c r="E1068" t="s">
        <v>5433</v>
      </c>
      <c r="F1068" t="s">
        <v>5338</v>
      </c>
      <c r="G1068" t="s">
        <v>5077</v>
      </c>
      <c r="H1068" t="s">
        <v>3602</v>
      </c>
      <c r="J1068" t="s">
        <v>1679</v>
      </c>
      <c r="K1068">
        <v>233.4</v>
      </c>
    </row>
    <row r="1069" spans="1:11" x14ac:dyDescent="0.35">
      <c r="A1069" t="s">
        <v>1680</v>
      </c>
      <c r="B1069" s="1">
        <v>0</v>
      </c>
      <c r="C1069" t="s">
        <v>989</v>
      </c>
      <c r="D1069" t="s">
        <v>5128</v>
      </c>
      <c r="E1069" t="s">
        <v>5085</v>
      </c>
      <c r="F1069" t="s">
        <v>5338</v>
      </c>
      <c r="G1069" t="s">
        <v>5110</v>
      </c>
      <c r="H1069" t="s">
        <v>5734</v>
      </c>
      <c r="J1069" t="s">
        <v>1680</v>
      </c>
      <c r="K1069">
        <v>224.8</v>
      </c>
    </row>
    <row r="1070" spans="1:11" x14ac:dyDescent="0.35">
      <c r="A1070" t="s">
        <v>1683</v>
      </c>
      <c r="B1070" s="1">
        <v>0</v>
      </c>
      <c r="C1070" t="s">
        <v>338</v>
      </c>
      <c r="D1070" t="s">
        <v>5617</v>
      </c>
      <c r="E1070" t="s">
        <v>5093</v>
      </c>
      <c r="F1070" t="s">
        <v>5338</v>
      </c>
      <c r="G1070" t="s">
        <v>5045</v>
      </c>
      <c r="H1070" t="s">
        <v>1659</v>
      </c>
      <c r="J1070" t="s">
        <v>1683</v>
      </c>
      <c r="K1070">
        <v>228.4</v>
      </c>
    </row>
    <row r="1071" spans="1:11" x14ac:dyDescent="0.35">
      <c r="A1071" t="s">
        <v>1684</v>
      </c>
      <c r="B1071" s="1">
        <v>0</v>
      </c>
      <c r="C1071" t="s">
        <v>1530</v>
      </c>
      <c r="D1071" t="s">
        <v>5619</v>
      </c>
      <c r="E1071" t="s">
        <v>5247</v>
      </c>
      <c r="F1071" t="s">
        <v>5338</v>
      </c>
      <c r="G1071" t="s">
        <v>5132</v>
      </c>
      <c r="H1071" t="s">
        <v>3950</v>
      </c>
      <c r="J1071" t="s">
        <v>1684</v>
      </c>
      <c r="K1071">
        <v>235.9</v>
      </c>
    </row>
    <row r="1072" spans="1:11" x14ac:dyDescent="0.35">
      <c r="A1072" t="s">
        <v>1687</v>
      </c>
      <c r="B1072" s="1">
        <v>0</v>
      </c>
      <c r="C1072" t="s">
        <v>5652</v>
      </c>
      <c r="D1072" t="s">
        <v>5130</v>
      </c>
      <c r="E1072" t="s">
        <v>5145</v>
      </c>
      <c r="F1072" t="s">
        <v>5338</v>
      </c>
      <c r="G1072" t="s">
        <v>5136</v>
      </c>
      <c r="H1072" t="s">
        <v>1255</v>
      </c>
      <c r="J1072" t="s">
        <v>1687</v>
      </c>
      <c r="K1072">
        <v>242</v>
      </c>
    </row>
    <row r="1073" spans="1:11" x14ac:dyDescent="0.35">
      <c r="A1073" t="s">
        <v>1688</v>
      </c>
      <c r="B1073" s="1">
        <v>0</v>
      </c>
      <c r="C1073" t="s">
        <v>1467</v>
      </c>
      <c r="D1073" t="s">
        <v>5474</v>
      </c>
      <c r="E1073" t="s">
        <v>5203</v>
      </c>
      <c r="F1073" t="s">
        <v>5338</v>
      </c>
      <c r="G1073" t="s">
        <v>5136</v>
      </c>
      <c r="H1073" t="s">
        <v>5772</v>
      </c>
      <c r="J1073" t="s">
        <v>1688</v>
      </c>
      <c r="K1073">
        <v>240.1</v>
      </c>
    </row>
    <row r="1074" spans="1:11" x14ac:dyDescent="0.35">
      <c r="A1074" t="s">
        <v>1690</v>
      </c>
      <c r="B1074" s="1">
        <v>0</v>
      </c>
      <c r="C1074" t="s">
        <v>1469</v>
      </c>
      <c r="D1074" t="s">
        <v>5602</v>
      </c>
      <c r="E1074" t="s">
        <v>5118</v>
      </c>
      <c r="F1074" t="s">
        <v>5338</v>
      </c>
      <c r="G1074" t="s">
        <v>5356</v>
      </c>
      <c r="H1074" t="s">
        <v>2072</v>
      </c>
      <c r="J1074" t="s">
        <v>1690</v>
      </c>
      <c r="K1074">
        <v>233.7</v>
      </c>
    </row>
    <row r="1075" spans="1:11" x14ac:dyDescent="0.35">
      <c r="A1075" t="s">
        <v>1691</v>
      </c>
      <c r="B1075" s="1">
        <v>0</v>
      </c>
      <c r="C1075" t="s">
        <v>980</v>
      </c>
      <c r="D1075" t="s">
        <v>5126</v>
      </c>
      <c r="E1075" t="s">
        <v>5218</v>
      </c>
      <c r="F1075" t="s">
        <v>5152</v>
      </c>
      <c r="G1075" t="s">
        <v>5358</v>
      </c>
      <c r="H1075" t="s">
        <v>3327</v>
      </c>
      <c r="J1075" t="s">
        <v>1691</v>
      </c>
      <c r="K1075">
        <v>226.8</v>
      </c>
    </row>
    <row r="1076" spans="1:11" x14ac:dyDescent="0.35">
      <c r="A1076" t="s">
        <v>1692</v>
      </c>
      <c r="B1076" s="1">
        <v>0</v>
      </c>
      <c r="C1076" t="s">
        <v>984</v>
      </c>
      <c r="D1076" t="s">
        <v>5541</v>
      </c>
      <c r="E1076" t="s">
        <v>5123</v>
      </c>
      <c r="F1076" t="s">
        <v>5152</v>
      </c>
      <c r="G1076" t="s">
        <v>5089</v>
      </c>
      <c r="H1076" t="s">
        <v>1305</v>
      </c>
      <c r="J1076" t="s">
        <v>1692</v>
      </c>
      <c r="K1076">
        <v>220.3</v>
      </c>
    </row>
    <row r="1077" spans="1:11" x14ac:dyDescent="0.35">
      <c r="A1077" t="s">
        <v>1695</v>
      </c>
      <c r="B1077" s="1">
        <v>0</v>
      </c>
      <c r="C1077" t="s">
        <v>3800</v>
      </c>
      <c r="D1077" t="s">
        <v>5384</v>
      </c>
      <c r="E1077" t="s">
        <v>5304</v>
      </c>
      <c r="F1077" t="s">
        <v>5152</v>
      </c>
      <c r="G1077" t="s">
        <v>5077</v>
      </c>
      <c r="H1077" t="s">
        <v>2345</v>
      </c>
      <c r="J1077" t="s">
        <v>1695</v>
      </c>
      <c r="K1077">
        <v>214</v>
      </c>
    </row>
    <row r="1078" spans="1:11" x14ac:dyDescent="0.35">
      <c r="A1078" t="s">
        <v>1696</v>
      </c>
      <c r="B1078" s="1">
        <v>0</v>
      </c>
      <c r="C1078" t="s">
        <v>363</v>
      </c>
      <c r="D1078" t="s">
        <v>5518</v>
      </c>
      <c r="E1078" t="s">
        <v>5192</v>
      </c>
      <c r="F1078" t="s">
        <v>5152</v>
      </c>
      <c r="G1078" t="s">
        <v>5077</v>
      </c>
      <c r="H1078" t="s">
        <v>1707</v>
      </c>
      <c r="J1078" t="s">
        <v>1696</v>
      </c>
      <c r="K1078">
        <v>212.7</v>
      </c>
    </row>
    <row r="1079" spans="1:11" x14ac:dyDescent="0.35">
      <c r="A1079" t="s">
        <v>1698</v>
      </c>
      <c r="B1079" s="1">
        <v>0</v>
      </c>
      <c r="C1079" t="s">
        <v>477</v>
      </c>
      <c r="D1079" t="s">
        <v>5481</v>
      </c>
      <c r="E1079" t="s">
        <v>5182</v>
      </c>
      <c r="F1079" t="s">
        <v>5152</v>
      </c>
      <c r="G1079" t="s">
        <v>5089</v>
      </c>
      <c r="H1079" t="s">
        <v>3012</v>
      </c>
      <c r="J1079" t="s">
        <v>1698</v>
      </c>
      <c r="K1079">
        <v>216.5</v>
      </c>
    </row>
    <row r="1080" spans="1:11" x14ac:dyDescent="0.35">
      <c r="A1080" t="s">
        <v>1701</v>
      </c>
      <c r="B1080" s="1">
        <v>0</v>
      </c>
      <c r="C1080" t="s">
        <v>1486</v>
      </c>
      <c r="D1080" t="s">
        <v>5246</v>
      </c>
      <c r="E1080" t="s">
        <v>5121</v>
      </c>
      <c r="F1080" t="s">
        <v>5152</v>
      </c>
      <c r="G1080" t="s">
        <v>5358</v>
      </c>
      <c r="H1080" t="s">
        <v>729</v>
      </c>
      <c r="J1080" t="s">
        <v>1701</v>
      </c>
      <c r="K1080">
        <v>222</v>
      </c>
    </row>
    <row r="1081" spans="1:11" x14ac:dyDescent="0.35">
      <c r="A1081" t="s">
        <v>1703</v>
      </c>
      <c r="B1081" s="1">
        <v>0</v>
      </c>
      <c r="C1081" t="s">
        <v>337</v>
      </c>
      <c r="D1081" t="s">
        <v>5590</v>
      </c>
      <c r="E1081" t="s">
        <v>5063</v>
      </c>
      <c r="F1081" t="s">
        <v>5152</v>
      </c>
      <c r="G1081" t="s">
        <v>5089</v>
      </c>
      <c r="H1081" t="s">
        <v>1722</v>
      </c>
      <c r="J1081" t="s">
        <v>1703</v>
      </c>
      <c r="K1081">
        <v>222.3</v>
      </c>
    </row>
    <row r="1082" spans="1:11" x14ac:dyDescent="0.35">
      <c r="A1082" t="s">
        <v>1706</v>
      </c>
      <c r="B1082" s="1">
        <v>0</v>
      </c>
      <c r="C1082" t="s">
        <v>449</v>
      </c>
      <c r="D1082" t="s">
        <v>5244</v>
      </c>
      <c r="E1082" t="s">
        <v>5069</v>
      </c>
      <c r="F1082" t="s">
        <v>5152</v>
      </c>
      <c r="G1082" t="s">
        <v>5092</v>
      </c>
      <c r="H1082" t="s">
        <v>1261</v>
      </c>
      <c r="J1082" t="s">
        <v>1706</v>
      </c>
      <c r="K1082">
        <v>215.9</v>
      </c>
    </row>
    <row r="1083" spans="1:11" x14ac:dyDescent="0.35">
      <c r="A1083" t="s">
        <v>1709</v>
      </c>
      <c r="B1083" s="1">
        <v>0</v>
      </c>
      <c r="C1083" t="s">
        <v>1013</v>
      </c>
      <c r="D1083" t="s">
        <v>5482</v>
      </c>
      <c r="E1083" t="s">
        <v>5243</v>
      </c>
      <c r="F1083" t="s">
        <v>5152</v>
      </c>
      <c r="G1083" t="s">
        <v>5095</v>
      </c>
      <c r="H1083" t="s">
        <v>614</v>
      </c>
      <c r="J1083" t="s">
        <v>1709</v>
      </c>
      <c r="K1083">
        <v>206.1</v>
      </c>
    </row>
    <row r="1084" spans="1:11" x14ac:dyDescent="0.35">
      <c r="A1084" t="s">
        <v>1711</v>
      </c>
      <c r="B1084" s="1">
        <v>0</v>
      </c>
      <c r="C1084" t="s">
        <v>427</v>
      </c>
      <c r="D1084" t="s">
        <v>5387</v>
      </c>
      <c r="E1084" t="s">
        <v>5249</v>
      </c>
      <c r="F1084" t="s">
        <v>5152</v>
      </c>
      <c r="G1084" t="s">
        <v>5099</v>
      </c>
      <c r="H1084" t="s">
        <v>4050</v>
      </c>
      <c r="J1084" t="s">
        <v>1711</v>
      </c>
      <c r="K1084">
        <v>199.5</v>
      </c>
    </row>
    <row r="1085" spans="1:11" x14ac:dyDescent="0.35">
      <c r="A1085" t="s">
        <v>1713</v>
      </c>
      <c r="B1085" s="1">
        <v>0</v>
      </c>
      <c r="C1085" t="s">
        <v>1035</v>
      </c>
      <c r="D1085" t="s">
        <v>5248</v>
      </c>
      <c r="E1085" t="s">
        <v>5060</v>
      </c>
      <c r="F1085" t="s">
        <v>5152</v>
      </c>
      <c r="G1085" t="s">
        <v>5124</v>
      </c>
      <c r="H1085" t="s">
        <v>1276</v>
      </c>
      <c r="J1085" t="s">
        <v>1713</v>
      </c>
      <c r="K1085">
        <v>200.5</v>
      </c>
    </row>
    <row r="1086" spans="1:11" x14ac:dyDescent="0.35">
      <c r="A1086" t="s">
        <v>1715</v>
      </c>
      <c r="B1086" s="1">
        <v>0</v>
      </c>
      <c r="C1086" t="s">
        <v>2917</v>
      </c>
      <c r="D1086" t="s">
        <v>5107</v>
      </c>
      <c r="E1086" t="s">
        <v>5276</v>
      </c>
      <c r="F1086" t="s">
        <v>5152</v>
      </c>
      <c r="G1086" t="s">
        <v>5110</v>
      </c>
      <c r="H1086" t="s">
        <v>4052</v>
      </c>
      <c r="J1086" t="s">
        <v>1715</v>
      </c>
      <c r="K1086">
        <v>211.1</v>
      </c>
    </row>
    <row r="1087" spans="1:11" x14ac:dyDescent="0.35">
      <c r="A1087" t="s">
        <v>1716</v>
      </c>
      <c r="B1087" s="1">
        <v>0</v>
      </c>
      <c r="C1087" t="s">
        <v>356</v>
      </c>
      <c r="D1087" t="s">
        <v>5087</v>
      </c>
      <c r="E1087" t="s">
        <v>5229</v>
      </c>
      <c r="F1087" t="s">
        <v>5152</v>
      </c>
      <c r="G1087" t="s">
        <v>5077</v>
      </c>
      <c r="H1087" t="s">
        <v>5673</v>
      </c>
      <c r="J1087" t="s">
        <v>1716</v>
      </c>
      <c r="K1087">
        <v>224</v>
      </c>
    </row>
    <row r="1088" spans="1:11" x14ac:dyDescent="0.35">
      <c r="A1088" t="s">
        <v>1718</v>
      </c>
      <c r="B1088" s="1">
        <v>0</v>
      </c>
      <c r="C1088" t="s">
        <v>2608</v>
      </c>
      <c r="D1088" t="s">
        <v>5619</v>
      </c>
      <c r="E1088" t="s">
        <v>5433</v>
      </c>
      <c r="F1088" t="s">
        <v>5338</v>
      </c>
      <c r="G1088" t="s">
        <v>5356</v>
      </c>
      <c r="H1088" t="s">
        <v>3935</v>
      </c>
      <c r="J1088" t="s">
        <v>1718</v>
      </c>
      <c r="K1088">
        <v>236.9</v>
      </c>
    </row>
    <row r="1089" spans="1:11" x14ac:dyDescent="0.35">
      <c r="A1089" t="s">
        <v>1719</v>
      </c>
      <c r="B1089" s="1">
        <v>0</v>
      </c>
      <c r="C1089" t="s">
        <v>4083</v>
      </c>
      <c r="D1089" t="s">
        <v>5130</v>
      </c>
      <c r="E1089" t="s">
        <v>5247</v>
      </c>
      <c r="F1089" t="s">
        <v>5338</v>
      </c>
      <c r="G1089" t="s">
        <v>5136</v>
      </c>
      <c r="H1089" t="s">
        <v>3898</v>
      </c>
      <c r="J1089" t="s">
        <v>1719</v>
      </c>
      <c r="K1089">
        <v>239.7</v>
      </c>
    </row>
    <row r="1090" spans="1:11" x14ac:dyDescent="0.35">
      <c r="A1090" t="s">
        <v>1721</v>
      </c>
      <c r="B1090" s="1">
        <v>0</v>
      </c>
      <c r="C1090" t="s">
        <v>464</v>
      </c>
      <c r="D1090" t="s">
        <v>5544</v>
      </c>
      <c r="E1090" t="s">
        <v>5251</v>
      </c>
      <c r="F1090" t="s">
        <v>5152</v>
      </c>
      <c r="G1090" t="s">
        <v>5089</v>
      </c>
      <c r="H1090" t="s">
        <v>628</v>
      </c>
      <c r="J1090" t="s">
        <v>1721</v>
      </c>
      <c r="K1090">
        <v>225.2</v>
      </c>
    </row>
    <row r="1091" spans="1:11" x14ac:dyDescent="0.35">
      <c r="A1091" t="s">
        <v>1723</v>
      </c>
      <c r="B1091" s="1">
        <v>0</v>
      </c>
      <c r="C1091" t="s">
        <v>1912</v>
      </c>
      <c r="D1091" t="s">
        <v>5577</v>
      </c>
      <c r="E1091" t="s">
        <v>5102</v>
      </c>
      <c r="F1091" t="s">
        <v>5152</v>
      </c>
      <c r="G1091" t="s">
        <v>5092</v>
      </c>
      <c r="H1091" t="s">
        <v>1300</v>
      </c>
      <c r="J1091" t="s">
        <v>1723</v>
      </c>
      <c r="K1091">
        <v>208.6</v>
      </c>
    </row>
    <row r="1092" spans="1:11" x14ac:dyDescent="0.35">
      <c r="A1092" t="s">
        <v>1725</v>
      </c>
      <c r="B1092" s="1">
        <v>0</v>
      </c>
      <c r="C1092" t="s">
        <v>1876</v>
      </c>
      <c r="D1092" t="s">
        <v>5117</v>
      </c>
      <c r="E1092" t="s">
        <v>5208</v>
      </c>
      <c r="F1092" t="s">
        <v>5152</v>
      </c>
      <c r="G1092" t="s">
        <v>5116</v>
      </c>
      <c r="H1092" t="s">
        <v>1211</v>
      </c>
      <c r="J1092" t="s">
        <v>1725</v>
      </c>
      <c r="K1092">
        <v>203.6</v>
      </c>
    </row>
    <row r="1093" spans="1:11" x14ac:dyDescent="0.35">
      <c r="A1093" t="s">
        <v>1726</v>
      </c>
      <c r="B1093" s="1">
        <v>0</v>
      </c>
      <c r="C1093" t="s">
        <v>365</v>
      </c>
      <c r="D1093" t="s">
        <v>5491</v>
      </c>
      <c r="E1093" t="s">
        <v>5257</v>
      </c>
      <c r="F1093" t="s">
        <v>5152</v>
      </c>
      <c r="G1093" t="s">
        <v>5092</v>
      </c>
      <c r="H1093" t="s">
        <v>1238</v>
      </c>
      <c r="J1093" t="s">
        <v>1726</v>
      </c>
      <c r="K1093">
        <v>216</v>
      </c>
    </row>
    <row r="1094" spans="1:11" x14ac:dyDescent="0.35">
      <c r="A1094" t="s">
        <v>1728</v>
      </c>
      <c r="B1094" s="1">
        <v>0</v>
      </c>
      <c r="C1094" t="s">
        <v>2266</v>
      </c>
      <c r="D1094" t="s">
        <v>5474</v>
      </c>
      <c r="E1094" t="s">
        <v>5088</v>
      </c>
      <c r="F1094" t="s">
        <v>5338</v>
      </c>
      <c r="G1094" t="s">
        <v>5089</v>
      </c>
      <c r="H1094" t="s">
        <v>5743</v>
      </c>
      <c r="J1094" t="s">
        <v>1728</v>
      </c>
      <c r="K1094">
        <v>234.2</v>
      </c>
    </row>
    <row r="1095" spans="1:11" x14ac:dyDescent="0.35">
      <c r="A1095" t="s">
        <v>1729</v>
      </c>
      <c r="B1095" s="1">
        <v>0</v>
      </c>
      <c r="C1095" t="s">
        <v>3218</v>
      </c>
      <c r="D1095" t="s">
        <v>5231</v>
      </c>
      <c r="E1095" t="s">
        <v>5145</v>
      </c>
      <c r="F1095" t="s">
        <v>5338</v>
      </c>
      <c r="G1095" t="s">
        <v>5356</v>
      </c>
      <c r="H1095" t="s">
        <v>5670</v>
      </c>
      <c r="J1095" t="s">
        <v>1729</v>
      </c>
      <c r="K1095">
        <v>241.2</v>
      </c>
    </row>
    <row r="1096" spans="1:11" x14ac:dyDescent="0.35">
      <c r="A1096" t="s">
        <v>1730</v>
      </c>
      <c r="B1096" s="1">
        <v>0</v>
      </c>
      <c r="C1096" t="s">
        <v>343</v>
      </c>
      <c r="D1096" t="s">
        <v>5497</v>
      </c>
      <c r="E1096" t="s">
        <v>5088</v>
      </c>
      <c r="F1096" t="s">
        <v>5338</v>
      </c>
      <c r="G1096" t="s">
        <v>5136</v>
      </c>
      <c r="H1096" t="s">
        <v>226</v>
      </c>
      <c r="J1096" t="s">
        <v>1730</v>
      </c>
      <c r="K1096">
        <v>230.8</v>
      </c>
    </row>
    <row r="1097" spans="1:11" x14ac:dyDescent="0.35">
      <c r="A1097" t="s">
        <v>1731</v>
      </c>
      <c r="B1097" s="1">
        <v>0</v>
      </c>
      <c r="C1097" t="s">
        <v>1047</v>
      </c>
      <c r="D1097" t="s">
        <v>5518</v>
      </c>
      <c r="E1097" t="s">
        <v>5257</v>
      </c>
      <c r="F1097" t="s">
        <v>5338</v>
      </c>
      <c r="G1097" t="s">
        <v>5089</v>
      </c>
      <c r="H1097" t="s">
        <v>217</v>
      </c>
      <c r="J1097" t="s">
        <v>1731</v>
      </c>
      <c r="K1097">
        <v>209.5</v>
      </c>
    </row>
    <row r="1098" spans="1:11" x14ac:dyDescent="0.35">
      <c r="A1098" t="s">
        <v>1732</v>
      </c>
      <c r="B1098" s="1">
        <v>0</v>
      </c>
      <c r="C1098" t="s">
        <v>392</v>
      </c>
      <c r="D1098" t="s">
        <v>5462</v>
      </c>
      <c r="E1098" t="s">
        <v>5171</v>
      </c>
      <c r="F1098" t="s">
        <v>5077</v>
      </c>
      <c r="G1098" t="s">
        <v>5116</v>
      </c>
      <c r="H1098" t="s">
        <v>4267</v>
      </c>
      <c r="J1098" t="s">
        <v>1732</v>
      </c>
      <c r="K1098">
        <v>186.1</v>
      </c>
    </row>
    <row r="1099" spans="1:11" x14ac:dyDescent="0.35">
      <c r="A1099" t="s">
        <v>1733</v>
      </c>
      <c r="B1099" s="1">
        <v>0</v>
      </c>
      <c r="C1099" t="s">
        <v>5564</v>
      </c>
      <c r="D1099" t="s">
        <v>5522</v>
      </c>
      <c r="E1099" t="s">
        <v>5181</v>
      </c>
      <c r="F1099" t="s">
        <v>5077</v>
      </c>
      <c r="G1099" t="s">
        <v>5099</v>
      </c>
      <c r="H1099" t="s">
        <v>915</v>
      </c>
      <c r="J1099" t="s">
        <v>1733</v>
      </c>
      <c r="K1099">
        <v>175.6</v>
      </c>
    </row>
    <row r="1100" spans="1:11" x14ac:dyDescent="0.35">
      <c r="A1100" t="s">
        <v>1734</v>
      </c>
      <c r="B1100" s="1">
        <v>0</v>
      </c>
      <c r="C1100" t="s">
        <v>5479</v>
      </c>
      <c r="D1100" t="s">
        <v>5473</v>
      </c>
      <c r="E1100" t="s">
        <v>5295</v>
      </c>
      <c r="F1100" t="s">
        <v>5077</v>
      </c>
      <c r="G1100" t="s">
        <v>5183</v>
      </c>
      <c r="H1100" t="s">
        <v>64</v>
      </c>
      <c r="J1100" t="s">
        <v>1734</v>
      </c>
      <c r="K1100">
        <v>171.2</v>
      </c>
    </row>
    <row r="1101" spans="1:11" x14ac:dyDescent="0.35">
      <c r="A1101" t="s">
        <v>1735</v>
      </c>
      <c r="B1101" s="1">
        <v>0</v>
      </c>
      <c r="C1101" t="s">
        <v>5609</v>
      </c>
      <c r="D1101" t="s">
        <v>5571</v>
      </c>
      <c r="E1101" t="s">
        <v>5599</v>
      </c>
      <c r="F1101" t="s">
        <v>5077</v>
      </c>
      <c r="G1101" t="s">
        <v>5475</v>
      </c>
      <c r="H1101" t="s">
        <v>1173</v>
      </c>
      <c r="J1101" t="s">
        <v>1735</v>
      </c>
      <c r="K1101">
        <v>171</v>
      </c>
    </row>
    <row r="1102" spans="1:11" x14ac:dyDescent="0.35">
      <c r="A1102" t="s">
        <v>1736</v>
      </c>
      <c r="B1102" s="1">
        <v>0</v>
      </c>
      <c r="C1102" t="s">
        <v>5610</v>
      </c>
      <c r="D1102" t="s">
        <v>5450</v>
      </c>
      <c r="E1102" t="s">
        <v>5313</v>
      </c>
      <c r="F1102" t="s">
        <v>5077</v>
      </c>
      <c r="G1102" t="s">
        <v>5215</v>
      </c>
      <c r="H1102" t="s">
        <v>253</v>
      </c>
      <c r="J1102" t="s">
        <v>1736</v>
      </c>
      <c r="K1102">
        <v>179.6</v>
      </c>
    </row>
    <row r="1103" spans="1:11" x14ac:dyDescent="0.35">
      <c r="A1103" t="s">
        <v>1737</v>
      </c>
      <c r="B1103" s="1">
        <v>0</v>
      </c>
      <c r="C1103" t="s">
        <v>1912</v>
      </c>
      <c r="D1103" t="s">
        <v>5436</v>
      </c>
      <c r="E1103" t="s">
        <v>5428</v>
      </c>
      <c r="F1103" t="s">
        <v>5077</v>
      </c>
      <c r="G1103" t="s">
        <v>5116</v>
      </c>
      <c r="H1103" t="s">
        <v>1263</v>
      </c>
      <c r="J1103" t="s">
        <v>1737</v>
      </c>
      <c r="K1103">
        <v>196.3</v>
      </c>
    </row>
    <row r="1104" spans="1:11" x14ac:dyDescent="0.35">
      <c r="A1104" t="s">
        <v>1738</v>
      </c>
      <c r="B1104" s="1">
        <v>0</v>
      </c>
      <c r="C1104" t="s">
        <v>367</v>
      </c>
      <c r="D1104" t="s">
        <v>5101</v>
      </c>
      <c r="E1104" t="s">
        <v>5071</v>
      </c>
      <c r="F1104" t="s">
        <v>5077</v>
      </c>
      <c r="G1104" t="s">
        <v>5077</v>
      </c>
      <c r="H1104" t="s">
        <v>229</v>
      </c>
      <c r="J1104" t="s">
        <v>1738</v>
      </c>
      <c r="K1104">
        <v>211.2</v>
      </c>
    </row>
    <row r="1105" spans="1:11" x14ac:dyDescent="0.35">
      <c r="A1105" t="s">
        <v>1740</v>
      </c>
      <c r="B1105" s="1">
        <v>0</v>
      </c>
      <c r="C1105" t="s">
        <v>1486</v>
      </c>
      <c r="D1105" t="s">
        <v>5387</v>
      </c>
      <c r="E1105" t="s">
        <v>5249</v>
      </c>
      <c r="F1105" t="s">
        <v>5077</v>
      </c>
      <c r="G1105" t="s">
        <v>5077</v>
      </c>
      <c r="H1105" t="s">
        <v>3882</v>
      </c>
      <c r="J1105" t="s">
        <v>1740</v>
      </c>
      <c r="K1105">
        <v>214.7</v>
      </c>
    </row>
    <row r="1106" spans="1:11" x14ac:dyDescent="0.35">
      <c r="A1106" t="s">
        <v>1741</v>
      </c>
      <c r="B1106" s="1">
        <v>0</v>
      </c>
      <c r="C1106" t="s">
        <v>341</v>
      </c>
      <c r="D1106" t="s">
        <v>5554</v>
      </c>
      <c r="E1106" t="s">
        <v>5239</v>
      </c>
      <c r="F1106" t="s">
        <v>5077</v>
      </c>
      <c r="G1106" t="s">
        <v>5045</v>
      </c>
      <c r="H1106" t="s">
        <v>2083</v>
      </c>
      <c r="J1106" t="s">
        <v>1741</v>
      </c>
      <c r="K1106">
        <v>213</v>
      </c>
    </row>
    <row r="1107" spans="1:11" x14ac:dyDescent="0.35">
      <c r="A1107" t="s">
        <v>1742</v>
      </c>
      <c r="B1107" s="1">
        <v>0</v>
      </c>
      <c r="C1107" t="s">
        <v>352</v>
      </c>
      <c r="D1107" t="s">
        <v>5233</v>
      </c>
      <c r="E1107" t="s">
        <v>5239</v>
      </c>
      <c r="F1107" t="s">
        <v>5077</v>
      </c>
      <c r="G1107" t="s">
        <v>5045</v>
      </c>
      <c r="H1107" t="s">
        <v>663</v>
      </c>
      <c r="J1107" t="s">
        <v>1742</v>
      </c>
      <c r="K1107">
        <v>212.6</v>
      </c>
    </row>
    <row r="1108" spans="1:11" x14ac:dyDescent="0.35">
      <c r="A1108" t="s">
        <v>1743</v>
      </c>
      <c r="B1108" s="1">
        <v>0</v>
      </c>
      <c r="C1108" t="s">
        <v>348</v>
      </c>
      <c r="D1108" t="s">
        <v>5278</v>
      </c>
      <c r="E1108" t="s">
        <v>5192</v>
      </c>
      <c r="F1108" t="s">
        <v>5077</v>
      </c>
      <c r="G1108" t="s">
        <v>5089</v>
      </c>
      <c r="H1108" t="s">
        <v>3878</v>
      </c>
      <c r="J1108" t="s">
        <v>1743</v>
      </c>
      <c r="K1108">
        <v>217</v>
      </c>
    </row>
    <row r="1109" spans="1:11" x14ac:dyDescent="0.35">
      <c r="A1109" t="s">
        <v>1744</v>
      </c>
      <c r="B1109" s="1">
        <v>0</v>
      </c>
      <c r="C1109" t="s">
        <v>475</v>
      </c>
      <c r="D1109" t="s">
        <v>5091</v>
      </c>
      <c r="E1109" t="s">
        <v>5219</v>
      </c>
      <c r="F1109" t="s">
        <v>5077</v>
      </c>
      <c r="G1109" t="s">
        <v>5358</v>
      </c>
      <c r="H1109" t="s">
        <v>1238</v>
      </c>
      <c r="J1109" t="s">
        <v>1744</v>
      </c>
      <c r="K1109">
        <v>216</v>
      </c>
    </row>
    <row r="1110" spans="1:11" x14ac:dyDescent="0.35">
      <c r="A1110" t="s">
        <v>1745</v>
      </c>
      <c r="B1110" s="1">
        <v>0</v>
      </c>
      <c r="C1110" t="s">
        <v>330</v>
      </c>
      <c r="D1110" t="s">
        <v>5392</v>
      </c>
      <c r="E1110" t="s">
        <v>5237</v>
      </c>
      <c r="F1110" t="s">
        <v>5077</v>
      </c>
      <c r="G1110" t="s">
        <v>5358</v>
      </c>
      <c r="H1110" t="s">
        <v>4789</v>
      </c>
      <c r="J1110" t="s">
        <v>1745</v>
      </c>
      <c r="K1110">
        <v>208.4</v>
      </c>
    </row>
    <row r="1111" spans="1:11" x14ac:dyDescent="0.35">
      <c r="A1111" t="s">
        <v>1746</v>
      </c>
      <c r="B1111" s="1">
        <v>0</v>
      </c>
      <c r="C1111" t="s">
        <v>447</v>
      </c>
      <c r="D1111" t="s">
        <v>5492</v>
      </c>
      <c r="E1111" t="s">
        <v>5286</v>
      </c>
      <c r="F1111" t="s">
        <v>5077</v>
      </c>
      <c r="G1111" t="s">
        <v>5089</v>
      </c>
      <c r="H1111" t="s">
        <v>683</v>
      </c>
      <c r="J1111" t="s">
        <v>1746</v>
      </c>
      <c r="K1111">
        <v>201.1</v>
      </c>
    </row>
    <row r="1112" spans="1:11" x14ac:dyDescent="0.35">
      <c r="A1112" t="s">
        <v>1747</v>
      </c>
      <c r="B1112" s="1">
        <v>0</v>
      </c>
      <c r="C1112" t="s">
        <v>1053</v>
      </c>
      <c r="D1112" t="s">
        <v>5285</v>
      </c>
      <c r="E1112" t="s">
        <v>5202</v>
      </c>
      <c r="F1112" t="s">
        <v>5077</v>
      </c>
      <c r="G1112" t="s">
        <v>5045</v>
      </c>
      <c r="H1112" t="s">
        <v>1714</v>
      </c>
      <c r="J1112" t="s">
        <v>1747</v>
      </c>
      <c r="K1112">
        <v>197.5</v>
      </c>
    </row>
    <row r="1113" spans="1:11" x14ac:dyDescent="0.35">
      <c r="A1113" t="s">
        <v>1750</v>
      </c>
      <c r="B1113" s="1">
        <v>0</v>
      </c>
      <c r="C1113" t="s">
        <v>1914</v>
      </c>
      <c r="D1113" t="s">
        <v>5097</v>
      </c>
      <c r="E1113" t="s">
        <v>5076</v>
      </c>
      <c r="F1113" t="s">
        <v>5077</v>
      </c>
      <c r="G1113" t="s">
        <v>5092</v>
      </c>
      <c r="H1113" t="s">
        <v>2826</v>
      </c>
      <c r="J1113" t="s">
        <v>1750</v>
      </c>
      <c r="K1113">
        <v>198.6</v>
      </c>
    </row>
    <row r="1114" spans="1:11" x14ac:dyDescent="0.35">
      <c r="A1114" t="s">
        <v>1751</v>
      </c>
      <c r="B1114" s="1">
        <v>0</v>
      </c>
      <c r="C1114" t="s">
        <v>1525</v>
      </c>
      <c r="D1114" t="s">
        <v>5484</v>
      </c>
      <c r="E1114" t="s">
        <v>5178</v>
      </c>
      <c r="F1114" t="s">
        <v>5077</v>
      </c>
      <c r="G1114" t="s">
        <v>5045</v>
      </c>
      <c r="H1114" t="s">
        <v>2556</v>
      </c>
      <c r="J1114" t="s">
        <v>1751</v>
      </c>
      <c r="K1114">
        <v>207.2</v>
      </c>
    </row>
    <row r="1115" spans="1:11" x14ac:dyDescent="0.35">
      <c r="A1115" t="s">
        <v>1752</v>
      </c>
      <c r="B1115" s="1">
        <v>0</v>
      </c>
      <c r="C1115" t="s">
        <v>366</v>
      </c>
      <c r="D1115" t="s">
        <v>5112</v>
      </c>
      <c r="E1115" t="s">
        <v>5257</v>
      </c>
      <c r="F1115" t="s">
        <v>5077</v>
      </c>
      <c r="G1115" t="s">
        <v>5089</v>
      </c>
      <c r="H1115" t="s">
        <v>660</v>
      </c>
      <c r="J1115" t="s">
        <v>1752</v>
      </c>
      <c r="K1115">
        <v>216.2</v>
      </c>
    </row>
    <row r="1116" spans="1:11" x14ac:dyDescent="0.35">
      <c r="A1116" t="s">
        <v>1753</v>
      </c>
      <c r="B1116" s="1">
        <v>0</v>
      </c>
      <c r="C1116" t="s">
        <v>341</v>
      </c>
      <c r="D1116" t="s">
        <v>5387</v>
      </c>
      <c r="E1116" t="s">
        <v>5060</v>
      </c>
      <c r="F1116" t="s">
        <v>5077</v>
      </c>
      <c r="G1116" t="s">
        <v>5077</v>
      </c>
      <c r="H1116" t="s">
        <v>5702</v>
      </c>
      <c r="J1116" t="s">
        <v>1753</v>
      </c>
      <c r="K1116">
        <v>212.1</v>
      </c>
    </row>
    <row r="1117" spans="1:11" x14ac:dyDescent="0.35">
      <c r="A1117" t="s">
        <v>1754</v>
      </c>
      <c r="B1117" s="1">
        <v>0</v>
      </c>
      <c r="C1117" t="s">
        <v>1054</v>
      </c>
      <c r="D1117" t="s">
        <v>5374</v>
      </c>
      <c r="E1117" t="s">
        <v>5068</v>
      </c>
      <c r="F1117" t="s">
        <v>5077</v>
      </c>
      <c r="G1117" t="s">
        <v>5092</v>
      </c>
      <c r="H1117" t="s">
        <v>1277</v>
      </c>
      <c r="J1117" t="s">
        <v>1754</v>
      </c>
      <c r="K1117">
        <v>200.3</v>
      </c>
    </row>
    <row r="1118" spans="1:11" x14ac:dyDescent="0.35">
      <c r="A1118" t="s">
        <v>1756</v>
      </c>
      <c r="B1118" s="1">
        <v>0</v>
      </c>
      <c r="C1118" t="s">
        <v>1021</v>
      </c>
      <c r="D1118" t="s">
        <v>5079</v>
      </c>
      <c r="E1118" t="s">
        <v>5202</v>
      </c>
      <c r="F1118" t="s">
        <v>5077</v>
      </c>
      <c r="G1118" t="s">
        <v>5092</v>
      </c>
      <c r="H1118" t="s">
        <v>2338</v>
      </c>
      <c r="J1118" t="s">
        <v>1756</v>
      </c>
      <c r="K1118">
        <v>192.5</v>
      </c>
    </row>
    <row r="1119" spans="1:11" x14ac:dyDescent="0.35">
      <c r="A1119" t="s">
        <v>1757</v>
      </c>
      <c r="B1119" s="1">
        <v>0</v>
      </c>
      <c r="C1119" t="s">
        <v>1047</v>
      </c>
      <c r="D1119" t="s">
        <v>5438</v>
      </c>
      <c r="E1119" t="s">
        <v>5310</v>
      </c>
      <c r="F1119" t="s">
        <v>5077</v>
      </c>
      <c r="G1119" t="s">
        <v>5077</v>
      </c>
      <c r="H1119" t="s">
        <v>666</v>
      </c>
      <c r="J1119" t="s">
        <v>1757</v>
      </c>
      <c r="K1119">
        <v>196</v>
      </c>
    </row>
    <row r="1120" spans="1:11" x14ac:dyDescent="0.35">
      <c r="A1120" t="s">
        <v>1759</v>
      </c>
      <c r="B1120" s="1">
        <v>0</v>
      </c>
      <c r="C1120" t="s">
        <v>356</v>
      </c>
      <c r="D1120" t="s">
        <v>5264</v>
      </c>
      <c r="E1120" t="s">
        <v>5223</v>
      </c>
      <c r="F1120" t="s">
        <v>5077</v>
      </c>
      <c r="G1120" t="s">
        <v>5358</v>
      </c>
      <c r="H1120" t="s">
        <v>2148</v>
      </c>
      <c r="J1120" t="s">
        <v>1759</v>
      </c>
      <c r="K1120">
        <v>205.2</v>
      </c>
    </row>
    <row r="1121" spans="1:11" x14ac:dyDescent="0.35">
      <c r="A1121" t="s">
        <v>1760</v>
      </c>
      <c r="B1121" s="1">
        <v>0</v>
      </c>
      <c r="C1121" t="s">
        <v>325</v>
      </c>
      <c r="D1121" t="s">
        <v>5492</v>
      </c>
      <c r="E1121" t="s">
        <v>5428</v>
      </c>
      <c r="F1121" t="s">
        <v>5077</v>
      </c>
      <c r="G1121" t="s">
        <v>5132</v>
      </c>
      <c r="H1121" t="s">
        <v>1302</v>
      </c>
      <c r="J1121" t="s">
        <v>1760</v>
      </c>
      <c r="K1121">
        <v>210.2</v>
      </c>
    </row>
    <row r="1122" spans="1:11" x14ac:dyDescent="0.35">
      <c r="A1122" t="s">
        <v>1761</v>
      </c>
      <c r="B1122" s="1">
        <v>0</v>
      </c>
      <c r="C1122" t="s">
        <v>1471</v>
      </c>
      <c r="D1122" t="s">
        <v>5391</v>
      </c>
      <c r="E1122" t="s">
        <v>5323</v>
      </c>
      <c r="F1122" t="s">
        <v>5077</v>
      </c>
      <c r="G1122" t="s">
        <v>5358</v>
      </c>
      <c r="H1122" t="s">
        <v>776</v>
      </c>
      <c r="J1122" t="s">
        <v>1761</v>
      </c>
      <c r="K1122">
        <v>210.8</v>
      </c>
    </row>
    <row r="1123" spans="1:11" x14ac:dyDescent="0.35">
      <c r="A1123" t="s">
        <v>1762</v>
      </c>
      <c r="B1123" s="1">
        <v>0</v>
      </c>
      <c r="C1123" t="s">
        <v>1484</v>
      </c>
      <c r="D1123" t="s">
        <v>5494</v>
      </c>
      <c r="E1123" t="s">
        <v>5221</v>
      </c>
      <c r="F1123" t="s">
        <v>5077</v>
      </c>
      <c r="G1123" t="s">
        <v>5358</v>
      </c>
      <c r="H1123" t="s">
        <v>644</v>
      </c>
      <c r="J1123" t="s">
        <v>1762</v>
      </c>
      <c r="K1123">
        <v>211.6</v>
      </c>
    </row>
    <row r="1124" spans="1:11" x14ac:dyDescent="0.35">
      <c r="A1124" t="s">
        <v>1764</v>
      </c>
      <c r="B1124" s="1">
        <v>0</v>
      </c>
      <c r="C1124" t="s">
        <v>351</v>
      </c>
      <c r="D1124" t="s">
        <v>5575</v>
      </c>
      <c r="E1124" t="s">
        <v>5323</v>
      </c>
      <c r="F1124" t="s">
        <v>5077</v>
      </c>
      <c r="G1124" t="s">
        <v>5358</v>
      </c>
      <c r="H1124" t="s">
        <v>1302</v>
      </c>
      <c r="J1124" t="s">
        <v>1764</v>
      </c>
      <c r="K1124">
        <v>210.2</v>
      </c>
    </row>
    <row r="1125" spans="1:11" x14ac:dyDescent="0.35">
      <c r="A1125" t="s">
        <v>1765</v>
      </c>
      <c r="B1125" s="1">
        <v>0</v>
      </c>
      <c r="C1125" t="s">
        <v>1867</v>
      </c>
      <c r="D1125" t="s">
        <v>5392</v>
      </c>
      <c r="E1125" t="s">
        <v>5237</v>
      </c>
      <c r="F1125" t="s">
        <v>5077</v>
      </c>
      <c r="G1125" t="s">
        <v>5358</v>
      </c>
      <c r="H1125" t="s">
        <v>2008</v>
      </c>
      <c r="J1125" t="s">
        <v>1765</v>
      </c>
      <c r="K1125">
        <v>212.3</v>
      </c>
    </row>
    <row r="1126" spans="1:11" x14ac:dyDescent="0.35">
      <c r="A1126" t="s">
        <v>1766</v>
      </c>
      <c r="B1126" s="1">
        <v>0</v>
      </c>
      <c r="C1126" t="s">
        <v>1535</v>
      </c>
      <c r="D1126" t="s">
        <v>5489</v>
      </c>
      <c r="E1126" t="s">
        <v>5068</v>
      </c>
      <c r="F1126" t="s">
        <v>5077</v>
      </c>
      <c r="G1126" t="s">
        <v>5089</v>
      </c>
      <c r="H1126" t="s">
        <v>1694</v>
      </c>
      <c r="J1126" t="s">
        <v>1766</v>
      </c>
      <c r="K1126">
        <v>213.6</v>
      </c>
    </row>
    <row r="1127" spans="1:11" x14ac:dyDescent="0.35">
      <c r="A1127" t="s">
        <v>1767</v>
      </c>
      <c r="B1127" s="1">
        <v>0</v>
      </c>
      <c r="C1127" t="s">
        <v>331</v>
      </c>
      <c r="D1127" t="s">
        <v>5122</v>
      </c>
      <c r="E1127" t="s">
        <v>5162</v>
      </c>
      <c r="F1127" t="s">
        <v>5077</v>
      </c>
      <c r="G1127" t="s">
        <v>5089</v>
      </c>
      <c r="H1127" t="s">
        <v>945</v>
      </c>
      <c r="J1127" t="s">
        <v>1767</v>
      </c>
      <c r="K1127">
        <v>218.2</v>
      </c>
    </row>
    <row r="1128" spans="1:11" x14ac:dyDescent="0.35">
      <c r="A1128" t="s">
        <v>1768</v>
      </c>
      <c r="B1128" s="1">
        <v>0</v>
      </c>
      <c r="C1128" t="s">
        <v>984</v>
      </c>
      <c r="D1128" t="s">
        <v>5574</v>
      </c>
      <c r="E1128" t="s">
        <v>5182</v>
      </c>
      <c r="F1128" t="s">
        <v>5077</v>
      </c>
      <c r="G1128" t="s">
        <v>5089</v>
      </c>
      <c r="H1128" t="s">
        <v>228</v>
      </c>
      <c r="J1128" t="s">
        <v>1768</v>
      </c>
      <c r="K1128">
        <v>218.1</v>
      </c>
    </row>
    <row r="1129" spans="1:11" x14ac:dyDescent="0.35">
      <c r="A1129" t="s">
        <v>1769</v>
      </c>
      <c r="B1129" s="1">
        <v>0</v>
      </c>
      <c r="C1129" t="s">
        <v>1910</v>
      </c>
      <c r="D1129" t="s">
        <v>5209</v>
      </c>
      <c r="E1129" t="s">
        <v>5255</v>
      </c>
      <c r="F1129" t="s">
        <v>5050</v>
      </c>
      <c r="G1129" t="s">
        <v>5156</v>
      </c>
      <c r="H1129" t="s">
        <v>1279</v>
      </c>
      <c r="J1129" t="s">
        <v>1769</v>
      </c>
      <c r="K1129">
        <v>193.3</v>
      </c>
    </row>
    <row r="1130" spans="1:11" x14ac:dyDescent="0.35">
      <c r="A1130" t="s">
        <v>1771</v>
      </c>
      <c r="B1130" s="1">
        <v>0</v>
      </c>
      <c r="C1130" t="s">
        <v>993</v>
      </c>
      <c r="D1130" t="s">
        <v>5252</v>
      </c>
      <c r="E1130" t="s">
        <v>5170</v>
      </c>
      <c r="F1130" t="s">
        <v>5050</v>
      </c>
      <c r="G1130" t="s">
        <v>5348</v>
      </c>
      <c r="H1130" t="s">
        <v>699</v>
      </c>
      <c r="J1130" t="s">
        <v>1771</v>
      </c>
      <c r="K1130">
        <v>180.9</v>
      </c>
    </row>
    <row r="1131" spans="1:11" x14ac:dyDescent="0.35">
      <c r="A1131" t="s">
        <v>1772</v>
      </c>
      <c r="B1131" s="1">
        <v>0</v>
      </c>
      <c r="C1131" t="s">
        <v>5408</v>
      </c>
      <c r="D1131" t="s">
        <v>5245</v>
      </c>
      <c r="E1131" t="s">
        <v>5328</v>
      </c>
      <c r="F1131" t="s">
        <v>5050</v>
      </c>
      <c r="G1131" t="s">
        <v>5177</v>
      </c>
      <c r="H1131" t="s">
        <v>1172</v>
      </c>
      <c r="J1131" t="s">
        <v>1772</v>
      </c>
      <c r="K1131">
        <v>170.8</v>
      </c>
    </row>
    <row r="1132" spans="1:11" x14ac:dyDescent="0.35">
      <c r="A1132" t="s">
        <v>1774</v>
      </c>
      <c r="B1132" s="1">
        <v>0</v>
      </c>
      <c r="C1132" t="s">
        <v>5466</v>
      </c>
      <c r="D1132" t="s">
        <v>5114</v>
      </c>
      <c r="E1132" t="s">
        <v>5417</v>
      </c>
      <c r="F1132" t="s">
        <v>5050</v>
      </c>
      <c r="G1132" t="s">
        <v>5177</v>
      </c>
      <c r="H1132" t="s">
        <v>1438</v>
      </c>
      <c r="J1132" t="s">
        <v>1774</v>
      </c>
      <c r="K1132">
        <v>169.8</v>
      </c>
    </row>
    <row r="1133" spans="1:11" x14ac:dyDescent="0.35">
      <c r="A1133" t="s">
        <v>1775</v>
      </c>
      <c r="B1133" s="1">
        <v>0</v>
      </c>
      <c r="C1133" t="s">
        <v>5463</v>
      </c>
      <c r="D1133" t="s">
        <v>5100</v>
      </c>
      <c r="E1133" t="s">
        <v>5052</v>
      </c>
      <c r="F1133" t="s">
        <v>5050</v>
      </c>
      <c r="G1133" t="s">
        <v>5159</v>
      </c>
      <c r="H1133" t="s">
        <v>578</v>
      </c>
      <c r="J1133" t="s">
        <v>1775</v>
      </c>
      <c r="K1133">
        <v>171.6</v>
      </c>
    </row>
    <row r="1134" spans="1:11" x14ac:dyDescent="0.35">
      <c r="A1134" t="s">
        <v>1776</v>
      </c>
      <c r="B1134" s="1">
        <v>0</v>
      </c>
      <c r="C1134" t="s">
        <v>386</v>
      </c>
      <c r="D1134" t="s">
        <v>5187</v>
      </c>
      <c r="E1134" t="s">
        <v>5599</v>
      </c>
      <c r="F1134" t="s">
        <v>5050</v>
      </c>
      <c r="G1134" t="s">
        <v>5168</v>
      </c>
      <c r="H1134" t="s">
        <v>1322</v>
      </c>
      <c r="J1134" t="s">
        <v>1776</v>
      </c>
      <c r="K1134">
        <v>178</v>
      </c>
    </row>
    <row r="1135" spans="1:11" x14ac:dyDescent="0.35">
      <c r="A1135" t="s">
        <v>1778</v>
      </c>
      <c r="B1135" s="1">
        <v>0</v>
      </c>
      <c r="C1135" t="s">
        <v>1913</v>
      </c>
      <c r="D1135" t="s">
        <v>5443</v>
      </c>
      <c r="E1135" t="s">
        <v>5073</v>
      </c>
      <c r="F1135" t="s">
        <v>5050</v>
      </c>
      <c r="G1135" t="s">
        <v>5339</v>
      </c>
      <c r="H1135" t="s">
        <v>2327</v>
      </c>
      <c r="J1135" t="s">
        <v>1778</v>
      </c>
      <c r="K1135">
        <v>186.7</v>
      </c>
    </row>
    <row r="1136" spans="1:11" x14ac:dyDescent="0.35">
      <c r="A1136" t="s">
        <v>1779</v>
      </c>
      <c r="B1136" s="1">
        <v>0</v>
      </c>
      <c r="C1136" t="s">
        <v>444</v>
      </c>
      <c r="D1136" t="s">
        <v>5540</v>
      </c>
      <c r="E1136" t="s">
        <v>5221</v>
      </c>
      <c r="F1136" t="s">
        <v>5050</v>
      </c>
      <c r="G1136" t="s">
        <v>5334</v>
      </c>
      <c r="H1136" t="s">
        <v>1193</v>
      </c>
      <c r="J1136" t="s">
        <v>1779</v>
      </c>
      <c r="K1136">
        <v>197.9</v>
      </c>
    </row>
    <row r="1137" spans="1:11" x14ac:dyDescent="0.35">
      <c r="A1137" t="s">
        <v>1780</v>
      </c>
      <c r="B1137" s="1">
        <v>0</v>
      </c>
      <c r="C1137" t="s">
        <v>476</v>
      </c>
      <c r="D1137" t="s">
        <v>5086</v>
      </c>
      <c r="E1137" t="s">
        <v>5197</v>
      </c>
      <c r="F1137" t="s">
        <v>5050</v>
      </c>
      <c r="G1137" t="s">
        <v>5334</v>
      </c>
      <c r="H1137" t="s">
        <v>216</v>
      </c>
      <c r="J1137" t="s">
        <v>1780</v>
      </c>
      <c r="K1137">
        <v>202.3</v>
      </c>
    </row>
    <row r="1138" spans="1:11" x14ac:dyDescent="0.35">
      <c r="A1138" t="s">
        <v>1781</v>
      </c>
      <c r="B1138" s="1">
        <v>0</v>
      </c>
      <c r="C1138" t="s">
        <v>3800</v>
      </c>
      <c r="D1138" t="s">
        <v>5534</v>
      </c>
      <c r="E1138" t="s">
        <v>5176</v>
      </c>
      <c r="F1138" t="s">
        <v>5050</v>
      </c>
      <c r="G1138" t="s">
        <v>5334</v>
      </c>
      <c r="H1138" t="s">
        <v>1331</v>
      </c>
      <c r="J1138" t="s">
        <v>1781</v>
      </c>
      <c r="K1138">
        <v>197.2</v>
      </c>
    </row>
    <row r="1139" spans="1:11" x14ac:dyDescent="0.35">
      <c r="A1139" t="s">
        <v>1782</v>
      </c>
      <c r="B1139" s="1">
        <v>0</v>
      </c>
      <c r="C1139" t="s">
        <v>2581</v>
      </c>
      <c r="D1139" t="s">
        <v>5241</v>
      </c>
      <c r="E1139" t="s">
        <v>5171</v>
      </c>
      <c r="F1139" t="s">
        <v>5050</v>
      </c>
      <c r="G1139" t="s">
        <v>5339</v>
      </c>
      <c r="H1139" t="s">
        <v>65</v>
      </c>
      <c r="J1139" t="s">
        <v>1782</v>
      </c>
      <c r="K1139">
        <v>184.4</v>
      </c>
    </row>
    <row r="1140" spans="1:11" x14ac:dyDescent="0.35">
      <c r="A1140" t="s">
        <v>1783</v>
      </c>
      <c r="B1140" s="1">
        <v>0</v>
      </c>
      <c r="C1140" t="s">
        <v>420</v>
      </c>
      <c r="D1140" t="s">
        <v>5437</v>
      </c>
      <c r="E1140" t="s">
        <v>5181</v>
      </c>
      <c r="F1140" t="s">
        <v>5050</v>
      </c>
      <c r="G1140" t="s">
        <v>5348</v>
      </c>
      <c r="H1140" t="s">
        <v>1351</v>
      </c>
      <c r="J1140" t="s">
        <v>1783</v>
      </c>
      <c r="K1140">
        <v>171.9</v>
      </c>
    </row>
    <row r="1141" spans="1:11" x14ac:dyDescent="0.35">
      <c r="A1141" t="s">
        <v>1784</v>
      </c>
      <c r="B1141" s="1">
        <v>0</v>
      </c>
      <c r="C1141" t="s">
        <v>5561</v>
      </c>
      <c r="D1141" t="s">
        <v>5247</v>
      </c>
      <c r="E1141" t="s">
        <v>5185</v>
      </c>
      <c r="F1141" t="s">
        <v>5050</v>
      </c>
      <c r="G1141" t="s">
        <v>5159</v>
      </c>
      <c r="H1141" t="s">
        <v>1812</v>
      </c>
      <c r="J1141" t="s">
        <v>1784</v>
      </c>
      <c r="K1141">
        <v>169</v>
      </c>
    </row>
    <row r="1142" spans="1:11" x14ac:dyDescent="0.35">
      <c r="A1142" t="s">
        <v>1786</v>
      </c>
      <c r="B1142" s="1">
        <v>0</v>
      </c>
      <c r="C1142" t="s">
        <v>5465</v>
      </c>
      <c r="D1142" t="s">
        <v>5522</v>
      </c>
      <c r="E1142" t="s">
        <v>5313</v>
      </c>
      <c r="F1142" t="s">
        <v>5050</v>
      </c>
      <c r="G1142" t="s">
        <v>5348</v>
      </c>
      <c r="H1142" t="s">
        <v>2958</v>
      </c>
      <c r="J1142" t="s">
        <v>1786</v>
      </c>
      <c r="K1142">
        <v>174.4</v>
      </c>
    </row>
    <row r="1143" spans="1:11" x14ac:dyDescent="0.35">
      <c r="A1143" t="s">
        <v>1788</v>
      </c>
      <c r="B1143" s="1">
        <v>0</v>
      </c>
      <c r="C1143" t="s">
        <v>993</v>
      </c>
      <c r="D1143" t="s">
        <v>5458</v>
      </c>
      <c r="E1143" t="s">
        <v>5070</v>
      </c>
      <c r="F1143" t="s">
        <v>5050</v>
      </c>
      <c r="G1143" t="s">
        <v>5348</v>
      </c>
      <c r="H1143" t="s">
        <v>719</v>
      </c>
      <c r="J1143" t="s">
        <v>1788</v>
      </c>
      <c r="K1143">
        <v>176.1</v>
      </c>
    </row>
    <row r="1144" spans="1:11" x14ac:dyDescent="0.35">
      <c r="A1144" t="s">
        <v>1789</v>
      </c>
      <c r="B1144" s="1">
        <v>0</v>
      </c>
      <c r="C1144" t="s">
        <v>5406</v>
      </c>
      <c r="D1144" t="s">
        <v>5106</v>
      </c>
      <c r="E1144" t="s">
        <v>5070</v>
      </c>
      <c r="F1144" t="s">
        <v>5050</v>
      </c>
      <c r="G1144" t="s">
        <v>5348</v>
      </c>
      <c r="H1144" t="s">
        <v>722</v>
      </c>
      <c r="J1144" t="s">
        <v>1789</v>
      </c>
      <c r="K1144">
        <v>176.6</v>
      </c>
    </row>
    <row r="1145" spans="1:11" x14ac:dyDescent="0.35">
      <c r="A1145" t="s">
        <v>1791</v>
      </c>
      <c r="B1145" s="1">
        <v>0</v>
      </c>
      <c r="C1145" t="s">
        <v>410</v>
      </c>
      <c r="D1145" t="s">
        <v>5464</v>
      </c>
      <c r="E1145" t="s">
        <v>5169</v>
      </c>
      <c r="F1145" t="s">
        <v>5050</v>
      </c>
      <c r="G1145" t="s">
        <v>5164</v>
      </c>
      <c r="H1145" t="s">
        <v>79</v>
      </c>
      <c r="J1145" t="s">
        <v>1791</v>
      </c>
      <c r="K1145">
        <v>180.3</v>
      </c>
    </row>
    <row r="1146" spans="1:11" x14ac:dyDescent="0.35">
      <c r="A1146" t="s">
        <v>1792</v>
      </c>
      <c r="B1146" s="1">
        <v>0</v>
      </c>
      <c r="C1146" t="s">
        <v>1525</v>
      </c>
      <c r="D1146" t="s">
        <v>5252</v>
      </c>
      <c r="E1146" t="s">
        <v>5431</v>
      </c>
      <c r="F1146" t="s">
        <v>5050</v>
      </c>
      <c r="G1146" t="s">
        <v>5411</v>
      </c>
      <c r="H1146" t="s">
        <v>3137</v>
      </c>
      <c r="J1146" t="s">
        <v>1792</v>
      </c>
      <c r="K1146">
        <v>192.3</v>
      </c>
    </row>
    <row r="1147" spans="1:11" x14ac:dyDescent="0.35">
      <c r="A1147" t="s">
        <v>1793</v>
      </c>
      <c r="B1147" s="1">
        <v>0</v>
      </c>
      <c r="C1147" t="s">
        <v>1869</v>
      </c>
      <c r="D1147" t="s">
        <v>5454</v>
      </c>
      <c r="E1147" t="s">
        <v>5204</v>
      </c>
      <c r="F1147" t="s">
        <v>5050</v>
      </c>
      <c r="G1147" t="s">
        <v>5330</v>
      </c>
      <c r="H1147" t="s">
        <v>3175</v>
      </c>
      <c r="J1147" t="s">
        <v>1793</v>
      </c>
      <c r="K1147">
        <v>210.3</v>
      </c>
    </row>
    <row r="1148" spans="1:11" x14ac:dyDescent="0.35">
      <c r="A1148" t="s">
        <v>1794</v>
      </c>
      <c r="B1148" s="1">
        <v>0</v>
      </c>
      <c r="C1148" t="s">
        <v>4081</v>
      </c>
      <c r="D1148" t="s">
        <v>5454</v>
      </c>
      <c r="E1148" t="s">
        <v>5323</v>
      </c>
      <c r="F1148" t="s">
        <v>5240</v>
      </c>
      <c r="G1148" t="s">
        <v>5312</v>
      </c>
      <c r="H1148" t="s">
        <v>617</v>
      </c>
      <c r="J1148" t="s">
        <v>1794</v>
      </c>
      <c r="K1148">
        <v>217.4</v>
      </c>
    </row>
    <row r="1149" spans="1:11" x14ac:dyDescent="0.35">
      <c r="A1149" t="s">
        <v>1795</v>
      </c>
      <c r="B1149" s="1">
        <v>0</v>
      </c>
      <c r="C1149" t="s">
        <v>1477</v>
      </c>
      <c r="D1149" t="s">
        <v>5540</v>
      </c>
      <c r="E1149" t="s">
        <v>5221</v>
      </c>
      <c r="F1149" t="s">
        <v>5240</v>
      </c>
      <c r="G1149" t="s">
        <v>5297</v>
      </c>
      <c r="H1149" t="s">
        <v>231</v>
      </c>
      <c r="J1149" t="s">
        <v>1795</v>
      </c>
      <c r="K1149">
        <v>215.5</v>
      </c>
    </row>
    <row r="1150" spans="1:11" x14ac:dyDescent="0.35">
      <c r="A1150" t="s">
        <v>1796</v>
      </c>
      <c r="B1150" s="1">
        <v>0</v>
      </c>
      <c r="C1150" t="s">
        <v>2607</v>
      </c>
      <c r="D1150" t="s">
        <v>5280</v>
      </c>
      <c r="E1150" t="s">
        <v>5210</v>
      </c>
      <c r="F1150" t="s">
        <v>5240</v>
      </c>
      <c r="G1150" t="s">
        <v>5330</v>
      </c>
      <c r="H1150" t="s">
        <v>4532</v>
      </c>
      <c r="J1150" t="s">
        <v>1796</v>
      </c>
      <c r="K1150">
        <v>211</v>
      </c>
    </row>
    <row r="1151" spans="1:11" x14ac:dyDescent="0.35">
      <c r="A1151" t="s">
        <v>1797</v>
      </c>
      <c r="B1151" s="1">
        <v>0</v>
      </c>
      <c r="C1151" t="s">
        <v>1867</v>
      </c>
      <c r="D1151" t="s">
        <v>5579</v>
      </c>
      <c r="E1151" t="s">
        <v>5160</v>
      </c>
      <c r="F1151" t="s">
        <v>5240</v>
      </c>
      <c r="G1151" t="s">
        <v>5432</v>
      </c>
      <c r="H1151" t="s">
        <v>1315</v>
      </c>
      <c r="J1151" t="s">
        <v>1797</v>
      </c>
      <c r="K1151">
        <v>207</v>
      </c>
    </row>
    <row r="1152" spans="1:11" x14ac:dyDescent="0.35">
      <c r="A1152" t="s">
        <v>1798</v>
      </c>
      <c r="B1152" s="1">
        <v>0</v>
      </c>
      <c r="C1152" t="s">
        <v>1522</v>
      </c>
      <c r="D1152" t="s">
        <v>5280</v>
      </c>
      <c r="E1152" t="s">
        <v>5068</v>
      </c>
      <c r="F1152" t="s">
        <v>5050</v>
      </c>
      <c r="G1152" t="s">
        <v>5411</v>
      </c>
      <c r="H1152" t="s">
        <v>1198</v>
      </c>
      <c r="J1152" t="s">
        <v>1798</v>
      </c>
      <c r="K1152">
        <v>200.9</v>
      </c>
    </row>
    <row r="1153" spans="1:11" x14ac:dyDescent="0.35">
      <c r="A1153" t="s">
        <v>1799</v>
      </c>
      <c r="B1153" s="1">
        <v>0</v>
      </c>
      <c r="C1153" t="s">
        <v>1913</v>
      </c>
      <c r="D1153" t="s">
        <v>5538</v>
      </c>
      <c r="E1153" t="s">
        <v>5422</v>
      </c>
      <c r="F1153" t="s">
        <v>5050</v>
      </c>
      <c r="G1153" t="s">
        <v>5156</v>
      </c>
      <c r="H1153" t="s">
        <v>1178</v>
      </c>
      <c r="J1153" t="s">
        <v>1799</v>
      </c>
      <c r="K1153">
        <v>188.3</v>
      </c>
    </row>
    <row r="1154" spans="1:11" x14ac:dyDescent="0.35">
      <c r="A1154" t="s">
        <v>1801</v>
      </c>
      <c r="B1154" s="1">
        <v>0</v>
      </c>
      <c r="C1154" t="s">
        <v>5463</v>
      </c>
      <c r="D1154" t="s">
        <v>5522</v>
      </c>
      <c r="E1154" t="s">
        <v>5597</v>
      </c>
      <c r="F1154" t="s">
        <v>5050</v>
      </c>
      <c r="G1154" t="s">
        <v>5348</v>
      </c>
      <c r="H1154" t="s">
        <v>892</v>
      </c>
      <c r="J1154" t="s">
        <v>1801</v>
      </c>
      <c r="K1154">
        <v>174.2</v>
      </c>
    </row>
    <row r="1155" spans="1:11" x14ac:dyDescent="0.35">
      <c r="A1155" t="s">
        <v>1803</v>
      </c>
      <c r="B1155" s="1">
        <v>0</v>
      </c>
      <c r="C1155" t="s">
        <v>5588</v>
      </c>
      <c r="D1155" t="s">
        <v>5118</v>
      </c>
      <c r="E1155" t="s">
        <v>5283</v>
      </c>
      <c r="F1155" t="s">
        <v>5050</v>
      </c>
      <c r="G1155" t="s">
        <v>5159</v>
      </c>
      <c r="H1155" t="s">
        <v>872</v>
      </c>
      <c r="J1155" t="s">
        <v>1803</v>
      </c>
      <c r="K1155">
        <v>165.1</v>
      </c>
    </row>
    <row r="1156" spans="1:11" x14ac:dyDescent="0.35">
      <c r="A1156" t="s">
        <v>1804</v>
      </c>
      <c r="B1156" s="1">
        <v>0</v>
      </c>
      <c r="C1156" t="s">
        <v>5643</v>
      </c>
      <c r="D1156" t="s">
        <v>5113</v>
      </c>
      <c r="E1156" t="s">
        <v>5298</v>
      </c>
      <c r="F1156" t="s">
        <v>5050</v>
      </c>
      <c r="G1156" t="s">
        <v>5159</v>
      </c>
      <c r="H1156" t="s">
        <v>875</v>
      </c>
      <c r="J1156" t="s">
        <v>1804</v>
      </c>
      <c r="K1156">
        <v>161.4</v>
      </c>
    </row>
    <row r="1157" spans="1:11" x14ac:dyDescent="0.35">
      <c r="A1157" s="2">
        <v>40969</v>
      </c>
      <c r="B1157" s="1">
        <v>0</v>
      </c>
      <c r="C1157" t="s">
        <v>5615</v>
      </c>
      <c r="D1157" t="s">
        <v>5069</v>
      </c>
      <c r="E1157" t="s">
        <v>5623</v>
      </c>
      <c r="F1157" t="s">
        <v>5050</v>
      </c>
      <c r="G1157" t="s">
        <v>5348</v>
      </c>
      <c r="H1157" t="s">
        <v>573</v>
      </c>
      <c r="J1157" s="2">
        <v>40969</v>
      </c>
      <c r="K1157">
        <v>162</v>
      </c>
    </row>
    <row r="1158" spans="1:11" x14ac:dyDescent="0.35">
      <c r="A1158" s="2">
        <v>40970</v>
      </c>
      <c r="B1158" s="1">
        <v>0</v>
      </c>
      <c r="C1158" t="s">
        <v>5588</v>
      </c>
      <c r="D1158" t="s">
        <v>5093</v>
      </c>
      <c r="E1158" t="s">
        <v>5053</v>
      </c>
      <c r="F1158" t="s">
        <v>5078</v>
      </c>
      <c r="G1158" t="s">
        <v>5230</v>
      </c>
      <c r="H1158" t="s">
        <v>886</v>
      </c>
      <c r="J1158" s="2">
        <v>40970</v>
      </c>
      <c r="K1158">
        <v>167.5</v>
      </c>
    </row>
    <row r="1159" spans="1:11" x14ac:dyDescent="0.35">
      <c r="A1159" s="2">
        <v>40971</v>
      </c>
      <c r="B1159" s="1">
        <v>0</v>
      </c>
      <c r="C1159" t="s">
        <v>5612</v>
      </c>
      <c r="D1159" t="s">
        <v>5229</v>
      </c>
      <c r="E1159" t="s">
        <v>5048</v>
      </c>
      <c r="F1159" t="s">
        <v>5078</v>
      </c>
      <c r="G1159" t="s">
        <v>5222</v>
      </c>
      <c r="H1159" t="s">
        <v>559</v>
      </c>
      <c r="J1159" s="2">
        <v>40971</v>
      </c>
      <c r="K1159">
        <v>161.9</v>
      </c>
    </row>
    <row r="1160" spans="1:11" x14ac:dyDescent="0.35">
      <c r="A1160" s="2">
        <v>40972</v>
      </c>
      <c r="B1160" s="1">
        <v>0</v>
      </c>
      <c r="C1160" t="s">
        <v>5483</v>
      </c>
      <c r="D1160" t="s">
        <v>5081</v>
      </c>
      <c r="E1160" t="s">
        <v>5049</v>
      </c>
      <c r="F1160" t="s">
        <v>5183</v>
      </c>
      <c r="G1160" t="s">
        <v>5207</v>
      </c>
      <c r="H1160" t="s">
        <v>878</v>
      </c>
      <c r="J1160" s="2">
        <v>40972</v>
      </c>
      <c r="K1160">
        <v>153.69999999999999</v>
      </c>
    </row>
    <row r="1161" spans="1:11" x14ac:dyDescent="0.35">
      <c r="A1161" s="2">
        <v>40973</v>
      </c>
      <c r="B1161" s="1">
        <v>0</v>
      </c>
      <c r="C1161" t="s">
        <v>5558</v>
      </c>
      <c r="D1161" t="s">
        <v>5069</v>
      </c>
      <c r="E1161" t="s">
        <v>5048</v>
      </c>
      <c r="F1161" t="s">
        <v>5183</v>
      </c>
      <c r="G1161" t="s">
        <v>5227</v>
      </c>
      <c r="H1161" t="s">
        <v>588</v>
      </c>
      <c r="J1161" s="2">
        <v>40973</v>
      </c>
      <c r="K1161">
        <v>154.30000000000001</v>
      </c>
    </row>
    <row r="1162" spans="1:11" x14ac:dyDescent="0.35">
      <c r="A1162" s="2">
        <v>40974</v>
      </c>
      <c r="B1162" s="1">
        <v>0</v>
      </c>
      <c r="C1162" t="s">
        <v>5231</v>
      </c>
      <c r="D1162" t="s">
        <v>5440</v>
      </c>
      <c r="E1162" t="s">
        <v>5426</v>
      </c>
      <c r="F1162" t="s">
        <v>5078</v>
      </c>
      <c r="G1162" t="s">
        <v>5172</v>
      </c>
      <c r="H1162" t="s">
        <v>1324</v>
      </c>
      <c r="J1162" s="2">
        <v>40974</v>
      </c>
      <c r="K1162">
        <v>169.9</v>
      </c>
    </row>
    <row r="1163" spans="1:11" x14ac:dyDescent="0.35">
      <c r="A1163" s="2">
        <v>40975</v>
      </c>
      <c r="B1163" s="1">
        <v>0</v>
      </c>
      <c r="C1163" t="s">
        <v>1016</v>
      </c>
      <c r="D1163" t="s">
        <v>5484</v>
      </c>
      <c r="E1163" t="s">
        <v>5237</v>
      </c>
      <c r="F1163" t="s">
        <v>5078</v>
      </c>
      <c r="G1163" t="s">
        <v>5046</v>
      </c>
      <c r="H1163" t="s">
        <v>763</v>
      </c>
      <c r="J1163" s="2">
        <v>40975</v>
      </c>
      <c r="K1163">
        <v>195.9</v>
      </c>
    </row>
    <row r="1164" spans="1:11" x14ac:dyDescent="0.35">
      <c r="A1164" s="2">
        <v>40976</v>
      </c>
      <c r="B1164" s="1">
        <v>0</v>
      </c>
      <c r="C1164" t="s">
        <v>478</v>
      </c>
      <c r="D1164" t="s">
        <v>5084</v>
      </c>
      <c r="E1164" t="s">
        <v>5060</v>
      </c>
      <c r="F1164" t="s">
        <v>5078</v>
      </c>
      <c r="G1164" t="s">
        <v>5058</v>
      </c>
      <c r="H1164" t="s">
        <v>3877</v>
      </c>
      <c r="J1164" s="2">
        <v>40976</v>
      </c>
      <c r="K1164">
        <v>217.1</v>
      </c>
    </row>
    <row r="1165" spans="1:11" x14ac:dyDescent="0.35">
      <c r="A1165" s="2">
        <v>40977</v>
      </c>
      <c r="B1165" s="1">
        <v>0</v>
      </c>
      <c r="C1165" t="s">
        <v>470</v>
      </c>
      <c r="D1165" t="s">
        <v>5593</v>
      </c>
      <c r="E1165" t="s">
        <v>5276</v>
      </c>
      <c r="F1165" t="s">
        <v>5078</v>
      </c>
      <c r="G1165" t="s">
        <v>5215</v>
      </c>
      <c r="H1165" t="s">
        <v>624</v>
      </c>
      <c r="J1165" s="2">
        <v>40977</v>
      </c>
      <c r="K1165">
        <v>232.9</v>
      </c>
    </row>
    <row r="1166" spans="1:11" x14ac:dyDescent="0.35">
      <c r="A1166" s="2">
        <v>40978</v>
      </c>
      <c r="B1166" s="1">
        <v>0</v>
      </c>
      <c r="C1166" t="s">
        <v>2274</v>
      </c>
      <c r="D1166" t="s">
        <v>5602</v>
      </c>
      <c r="E1166" t="s">
        <v>5182</v>
      </c>
      <c r="F1166" t="s">
        <v>5078</v>
      </c>
      <c r="G1166" t="s">
        <v>5095</v>
      </c>
      <c r="H1166" t="s">
        <v>3042</v>
      </c>
      <c r="J1166" s="2">
        <v>40978</v>
      </c>
      <c r="K1166">
        <v>231.9</v>
      </c>
    </row>
    <row r="1167" spans="1:11" x14ac:dyDescent="0.35">
      <c r="A1167" s="2">
        <v>40979</v>
      </c>
      <c r="B1167" s="1">
        <v>0</v>
      </c>
      <c r="C1167" t="s">
        <v>360</v>
      </c>
      <c r="D1167" t="s">
        <v>5119</v>
      </c>
      <c r="E1167" t="s">
        <v>5255</v>
      </c>
      <c r="F1167" t="s">
        <v>5078</v>
      </c>
      <c r="G1167" t="s">
        <v>5124</v>
      </c>
      <c r="H1167" t="s">
        <v>659</v>
      </c>
      <c r="J1167" s="2">
        <v>40979</v>
      </c>
      <c r="K1167">
        <v>217.2</v>
      </c>
    </row>
    <row r="1168" spans="1:11" x14ac:dyDescent="0.35">
      <c r="A1168" s="2">
        <v>40980</v>
      </c>
      <c r="B1168" s="1">
        <v>0</v>
      </c>
      <c r="C1168" t="s">
        <v>367</v>
      </c>
      <c r="D1168" t="s">
        <v>5492</v>
      </c>
      <c r="E1168" t="s">
        <v>5310</v>
      </c>
      <c r="F1168" t="s">
        <v>5078</v>
      </c>
      <c r="G1168" t="s">
        <v>5099</v>
      </c>
      <c r="H1168" t="s">
        <v>753</v>
      </c>
      <c r="J1168" s="2">
        <v>40980</v>
      </c>
      <c r="K1168">
        <v>204.1</v>
      </c>
    </row>
    <row r="1169" spans="1:11" x14ac:dyDescent="0.35">
      <c r="A1169" s="2">
        <v>40981</v>
      </c>
      <c r="B1169" s="1">
        <v>0</v>
      </c>
      <c r="C1169" t="s">
        <v>1049</v>
      </c>
      <c r="D1169" t="s">
        <v>5079</v>
      </c>
      <c r="E1169" t="s">
        <v>5313</v>
      </c>
      <c r="F1169" t="s">
        <v>5078</v>
      </c>
      <c r="G1169" t="s">
        <v>5078</v>
      </c>
      <c r="H1169" t="s">
        <v>1331</v>
      </c>
      <c r="J1169" s="2">
        <v>40981</v>
      </c>
      <c r="K1169">
        <v>197.2</v>
      </c>
    </row>
    <row r="1170" spans="1:11" x14ac:dyDescent="0.35">
      <c r="A1170" s="2">
        <v>40982</v>
      </c>
      <c r="B1170" s="1">
        <v>0</v>
      </c>
      <c r="C1170" t="s">
        <v>2918</v>
      </c>
      <c r="D1170" t="s">
        <v>5129</v>
      </c>
      <c r="E1170" t="s">
        <v>5303</v>
      </c>
      <c r="F1170" t="s">
        <v>5078</v>
      </c>
      <c r="G1170" t="s">
        <v>5065</v>
      </c>
      <c r="H1170" t="s">
        <v>2366</v>
      </c>
      <c r="J1170" s="2">
        <v>40982</v>
      </c>
      <c r="K1170">
        <v>193.9</v>
      </c>
    </row>
    <row r="1171" spans="1:11" x14ac:dyDescent="0.35">
      <c r="A1171" s="2">
        <v>40983</v>
      </c>
      <c r="B1171" s="1">
        <v>0</v>
      </c>
      <c r="C1171" t="s">
        <v>2584</v>
      </c>
      <c r="D1171" t="s">
        <v>5445</v>
      </c>
      <c r="E1171" t="s">
        <v>5524</v>
      </c>
      <c r="F1171" t="s">
        <v>5078</v>
      </c>
      <c r="G1171" t="s">
        <v>5179</v>
      </c>
      <c r="H1171" t="s">
        <v>651</v>
      </c>
      <c r="J1171" s="2">
        <v>40983</v>
      </c>
      <c r="K1171">
        <v>185.8</v>
      </c>
    </row>
    <row r="1172" spans="1:11" x14ac:dyDescent="0.35">
      <c r="A1172" s="2">
        <v>40984</v>
      </c>
      <c r="B1172" s="1">
        <v>0</v>
      </c>
      <c r="C1172" t="s">
        <v>5477</v>
      </c>
      <c r="D1172" t="s">
        <v>5108</v>
      </c>
      <c r="E1172" t="s">
        <v>5426</v>
      </c>
      <c r="F1172" t="s">
        <v>5078</v>
      </c>
      <c r="G1172" t="s">
        <v>5230</v>
      </c>
      <c r="H1172" t="s">
        <v>51</v>
      </c>
      <c r="J1172" s="2">
        <v>40984</v>
      </c>
      <c r="K1172">
        <v>173.1</v>
      </c>
    </row>
    <row r="1173" spans="1:11" x14ac:dyDescent="0.35">
      <c r="A1173" s="2">
        <v>40985</v>
      </c>
      <c r="B1173" s="1">
        <v>0</v>
      </c>
      <c r="C1173" t="s">
        <v>5232</v>
      </c>
      <c r="D1173" t="s">
        <v>5247</v>
      </c>
      <c r="E1173" t="s">
        <v>5525</v>
      </c>
      <c r="F1173" t="s">
        <v>5078</v>
      </c>
      <c r="G1173" t="s">
        <v>5224</v>
      </c>
      <c r="H1173" t="s">
        <v>802</v>
      </c>
      <c r="J1173" s="2">
        <v>40985</v>
      </c>
      <c r="K1173">
        <v>163.4</v>
      </c>
    </row>
    <row r="1174" spans="1:11" x14ac:dyDescent="0.35">
      <c r="A1174" s="2">
        <v>40986</v>
      </c>
      <c r="B1174" s="1">
        <v>0</v>
      </c>
      <c r="C1174" t="s">
        <v>5616</v>
      </c>
      <c r="D1174" t="s">
        <v>5247</v>
      </c>
      <c r="E1174" t="s">
        <v>5525</v>
      </c>
      <c r="F1174" t="s">
        <v>5078</v>
      </c>
      <c r="G1174" t="s">
        <v>5288</v>
      </c>
      <c r="H1174" t="s">
        <v>576</v>
      </c>
      <c r="J1174" s="2">
        <v>40986</v>
      </c>
      <c r="K1174">
        <v>164.9</v>
      </c>
    </row>
    <row r="1175" spans="1:11" x14ac:dyDescent="0.35">
      <c r="A1175" s="2">
        <v>40987</v>
      </c>
      <c r="B1175" s="1">
        <v>0</v>
      </c>
      <c r="C1175" t="s">
        <v>405</v>
      </c>
      <c r="D1175" t="s">
        <v>5449</v>
      </c>
      <c r="E1175" t="s">
        <v>5181</v>
      </c>
      <c r="F1175" t="s">
        <v>5078</v>
      </c>
      <c r="G1175" t="s">
        <v>5224</v>
      </c>
      <c r="H1175" t="s">
        <v>1673</v>
      </c>
      <c r="J1175" s="2">
        <v>40987</v>
      </c>
      <c r="K1175">
        <v>179.5</v>
      </c>
    </row>
    <row r="1176" spans="1:11" x14ac:dyDescent="0.35">
      <c r="A1176" s="2">
        <v>40988</v>
      </c>
      <c r="B1176" s="1">
        <v>0</v>
      </c>
      <c r="C1176" t="s">
        <v>1053</v>
      </c>
      <c r="D1176" t="s">
        <v>5235</v>
      </c>
      <c r="E1176" t="s">
        <v>5286</v>
      </c>
      <c r="F1176" t="s">
        <v>5078</v>
      </c>
      <c r="G1176" t="s">
        <v>5172</v>
      </c>
      <c r="H1176" t="s">
        <v>779</v>
      </c>
      <c r="J1176" s="2">
        <v>40988</v>
      </c>
      <c r="K1176">
        <v>195.2</v>
      </c>
    </row>
    <row r="1177" spans="1:11" x14ac:dyDescent="0.35">
      <c r="A1177" s="2">
        <v>40989</v>
      </c>
      <c r="B1177" s="1">
        <v>0</v>
      </c>
      <c r="C1177" t="s">
        <v>368</v>
      </c>
      <c r="D1177" t="s">
        <v>5083</v>
      </c>
      <c r="E1177" t="s">
        <v>5176</v>
      </c>
      <c r="F1177" t="s">
        <v>5078</v>
      </c>
      <c r="G1177" t="s">
        <v>5046</v>
      </c>
      <c r="H1177" t="s">
        <v>202</v>
      </c>
      <c r="J1177" s="2">
        <v>40989</v>
      </c>
      <c r="K1177">
        <v>202.9</v>
      </c>
    </row>
    <row r="1178" spans="1:11" x14ac:dyDescent="0.35">
      <c r="A1178" s="2">
        <v>40990</v>
      </c>
      <c r="B1178" s="1">
        <v>0</v>
      </c>
      <c r="C1178" t="s">
        <v>983</v>
      </c>
      <c r="D1178" t="s">
        <v>5258</v>
      </c>
      <c r="E1178" t="s">
        <v>5197</v>
      </c>
      <c r="F1178" t="s">
        <v>5215</v>
      </c>
      <c r="G1178" t="s">
        <v>5054</v>
      </c>
      <c r="H1178" t="s">
        <v>1300</v>
      </c>
      <c r="J1178" s="2">
        <v>40990</v>
      </c>
      <c r="K1178">
        <v>208.6</v>
      </c>
    </row>
    <row r="1179" spans="1:11" x14ac:dyDescent="0.35">
      <c r="A1179" s="2">
        <v>40991</v>
      </c>
      <c r="B1179" s="1">
        <v>0</v>
      </c>
      <c r="C1179" t="s">
        <v>1531</v>
      </c>
      <c r="D1179" t="s">
        <v>5389</v>
      </c>
      <c r="E1179" t="s">
        <v>5160</v>
      </c>
      <c r="F1179" t="s">
        <v>5215</v>
      </c>
      <c r="G1179" t="s">
        <v>5412</v>
      </c>
      <c r="H1179" t="s">
        <v>5742</v>
      </c>
      <c r="J1179" s="2">
        <v>40991</v>
      </c>
      <c r="K1179">
        <v>214.8</v>
      </c>
    </row>
    <row r="1180" spans="1:11" x14ac:dyDescent="0.35">
      <c r="A1180" s="2">
        <v>40992</v>
      </c>
      <c r="B1180" s="1">
        <v>0</v>
      </c>
      <c r="C1180" t="s">
        <v>4115</v>
      </c>
      <c r="D1180" t="s">
        <v>5117</v>
      </c>
      <c r="E1180" t="s">
        <v>5434</v>
      </c>
      <c r="F1180" t="s">
        <v>5215</v>
      </c>
      <c r="G1180" t="s">
        <v>5065</v>
      </c>
      <c r="H1180" t="s">
        <v>3017</v>
      </c>
      <c r="J1180" s="2">
        <v>40992</v>
      </c>
      <c r="K1180">
        <v>221.3</v>
      </c>
    </row>
    <row r="1181" spans="1:11" x14ac:dyDescent="0.35">
      <c r="A1181" s="2">
        <v>40993</v>
      </c>
      <c r="B1181" s="1">
        <v>0</v>
      </c>
      <c r="C1181" t="s">
        <v>463</v>
      </c>
      <c r="D1181" t="s">
        <v>5119</v>
      </c>
      <c r="E1181" t="s">
        <v>5306</v>
      </c>
      <c r="F1181" t="s">
        <v>5215</v>
      </c>
      <c r="G1181" t="s">
        <v>5062</v>
      </c>
      <c r="H1181" t="s">
        <v>2097</v>
      </c>
      <c r="J1181" s="2">
        <v>40993</v>
      </c>
      <c r="K1181">
        <v>219.1</v>
      </c>
    </row>
    <row r="1182" spans="1:11" x14ac:dyDescent="0.35">
      <c r="A1182" s="2">
        <v>40994</v>
      </c>
      <c r="B1182" s="1">
        <v>0</v>
      </c>
      <c r="C1182" t="s">
        <v>1918</v>
      </c>
      <c r="D1182" t="s">
        <v>5374</v>
      </c>
      <c r="E1182" t="s">
        <v>5170</v>
      </c>
      <c r="F1182" t="s">
        <v>5215</v>
      </c>
      <c r="G1182" t="s">
        <v>5054</v>
      </c>
      <c r="H1182" t="s">
        <v>2144</v>
      </c>
      <c r="J1182" s="2">
        <v>40994</v>
      </c>
      <c r="K1182">
        <v>203.9</v>
      </c>
    </row>
    <row r="1183" spans="1:11" x14ac:dyDescent="0.35">
      <c r="A1183" s="2">
        <v>40995</v>
      </c>
      <c r="B1183" s="1">
        <v>0</v>
      </c>
      <c r="C1183" t="s">
        <v>2235</v>
      </c>
      <c r="D1183" t="s">
        <v>5256</v>
      </c>
      <c r="E1183" t="s">
        <v>5070</v>
      </c>
      <c r="F1183" t="s">
        <v>5078</v>
      </c>
      <c r="G1183" t="s">
        <v>5230</v>
      </c>
      <c r="H1183" t="s">
        <v>198</v>
      </c>
      <c r="J1183" s="2">
        <v>40995</v>
      </c>
      <c r="K1183">
        <v>187</v>
      </c>
    </row>
    <row r="1184" spans="1:11" x14ac:dyDescent="0.35">
      <c r="A1184" s="2">
        <v>40996</v>
      </c>
      <c r="B1184" s="1">
        <v>0</v>
      </c>
      <c r="C1184" t="s">
        <v>402</v>
      </c>
      <c r="D1184" t="s">
        <v>5456</v>
      </c>
      <c r="E1184" t="s">
        <v>5181</v>
      </c>
      <c r="F1184" t="s">
        <v>5078</v>
      </c>
      <c r="G1184" t="s">
        <v>5172</v>
      </c>
      <c r="H1184" t="s">
        <v>1603</v>
      </c>
      <c r="J1184" s="2">
        <v>40996</v>
      </c>
      <c r="K1184">
        <v>179.4</v>
      </c>
    </row>
    <row r="1185" spans="1:11" x14ac:dyDescent="0.35">
      <c r="A1185" s="2">
        <v>40997</v>
      </c>
      <c r="B1185" s="1">
        <v>0</v>
      </c>
      <c r="C1185" t="s">
        <v>1879</v>
      </c>
      <c r="D1185" t="s">
        <v>5200</v>
      </c>
      <c r="E1185" t="s">
        <v>5181</v>
      </c>
      <c r="F1185" t="s">
        <v>5078</v>
      </c>
      <c r="G1185" t="s">
        <v>5046</v>
      </c>
      <c r="H1185" t="s">
        <v>3429</v>
      </c>
      <c r="J1185" s="2">
        <v>40997</v>
      </c>
      <c r="K1185">
        <v>183.7</v>
      </c>
    </row>
    <row r="1186" spans="1:11" x14ac:dyDescent="0.35">
      <c r="A1186" s="2">
        <v>40998</v>
      </c>
      <c r="B1186" s="1">
        <v>0</v>
      </c>
      <c r="C1186" t="s">
        <v>1917</v>
      </c>
      <c r="D1186" t="s">
        <v>5157</v>
      </c>
      <c r="E1186" t="s">
        <v>5420</v>
      </c>
      <c r="F1186" t="s">
        <v>5078</v>
      </c>
      <c r="G1186" t="s">
        <v>5058</v>
      </c>
      <c r="H1186" t="s">
        <v>757</v>
      </c>
      <c r="J1186" s="2">
        <v>40998</v>
      </c>
      <c r="K1186">
        <v>195.6</v>
      </c>
    </row>
    <row r="1187" spans="1:11" x14ac:dyDescent="0.35">
      <c r="A1187" s="2">
        <v>40999</v>
      </c>
      <c r="B1187" s="1">
        <v>0</v>
      </c>
      <c r="C1187" t="s">
        <v>2272</v>
      </c>
      <c r="D1187" t="s">
        <v>5445</v>
      </c>
      <c r="E1187" t="s">
        <v>5169</v>
      </c>
      <c r="F1187" t="s">
        <v>5215</v>
      </c>
      <c r="G1187" t="s">
        <v>5183</v>
      </c>
      <c r="H1187" t="s">
        <v>776</v>
      </c>
      <c r="J1187" s="2">
        <v>40999</v>
      </c>
      <c r="K1187">
        <v>210.8</v>
      </c>
    </row>
    <row r="1188" spans="1:11" x14ac:dyDescent="0.35">
      <c r="A1188" t="s">
        <v>1815</v>
      </c>
      <c r="B1188" s="1">
        <v>0</v>
      </c>
      <c r="C1188" t="s">
        <v>5642</v>
      </c>
      <c r="D1188" t="s">
        <v>5280</v>
      </c>
      <c r="E1188" t="s">
        <v>5056</v>
      </c>
      <c r="F1188" t="s">
        <v>5215</v>
      </c>
      <c r="G1188" t="s">
        <v>5099</v>
      </c>
      <c r="H1188" t="s">
        <v>5737</v>
      </c>
      <c r="J1188" t="s">
        <v>1815</v>
      </c>
      <c r="K1188">
        <v>225.4</v>
      </c>
    </row>
    <row r="1189" spans="1:11" x14ac:dyDescent="0.35">
      <c r="A1189" t="s">
        <v>1816</v>
      </c>
      <c r="B1189" s="1">
        <v>0</v>
      </c>
      <c r="C1189" t="s">
        <v>2564</v>
      </c>
      <c r="D1189" t="s">
        <v>5119</v>
      </c>
      <c r="E1189" t="s">
        <v>5434</v>
      </c>
      <c r="F1189" t="s">
        <v>5089</v>
      </c>
      <c r="G1189" t="s">
        <v>5215</v>
      </c>
      <c r="H1189" t="s">
        <v>735</v>
      </c>
      <c r="J1189" t="s">
        <v>1816</v>
      </c>
      <c r="K1189">
        <v>235</v>
      </c>
    </row>
    <row r="1190" spans="1:11" x14ac:dyDescent="0.35">
      <c r="A1190" t="s">
        <v>1818</v>
      </c>
      <c r="B1190" s="1">
        <v>0</v>
      </c>
      <c r="C1190" t="s">
        <v>972</v>
      </c>
      <c r="D1190" t="s">
        <v>5481</v>
      </c>
      <c r="E1190" t="s">
        <v>5236</v>
      </c>
      <c r="F1190" t="s">
        <v>5089</v>
      </c>
      <c r="G1190" t="s">
        <v>5183</v>
      </c>
      <c r="H1190" t="s">
        <v>5716</v>
      </c>
      <c r="J1190" t="s">
        <v>1818</v>
      </c>
      <c r="K1190">
        <v>234.4</v>
      </c>
    </row>
    <row r="1191" spans="1:11" x14ac:dyDescent="0.35">
      <c r="A1191" t="s">
        <v>1819</v>
      </c>
      <c r="B1191" s="1">
        <v>0</v>
      </c>
      <c r="C1191" t="s">
        <v>2878</v>
      </c>
      <c r="D1191" t="s">
        <v>5233</v>
      </c>
      <c r="E1191" t="s">
        <v>5098</v>
      </c>
      <c r="F1191" t="s">
        <v>5089</v>
      </c>
      <c r="G1191" t="s">
        <v>5183</v>
      </c>
      <c r="H1191" t="s">
        <v>3935</v>
      </c>
      <c r="J1191" t="s">
        <v>1819</v>
      </c>
      <c r="K1191">
        <v>236.9</v>
      </c>
    </row>
    <row r="1192" spans="1:11" x14ac:dyDescent="0.35">
      <c r="A1192" t="s">
        <v>1821</v>
      </c>
      <c r="B1192" s="1">
        <v>0</v>
      </c>
      <c r="C1192" t="s">
        <v>2562</v>
      </c>
      <c r="D1192" t="s">
        <v>5512</v>
      </c>
      <c r="E1192" t="s">
        <v>5098</v>
      </c>
      <c r="F1192" t="s">
        <v>5089</v>
      </c>
      <c r="G1192" t="s">
        <v>5475</v>
      </c>
      <c r="H1192" t="s">
        <v>2386</v>
      </c>
      <c r="J1192" t="s">
        <v>1821</v>
      </c>
      <c r="K1192">
        <v>238.2</v>
      </c>
    </row>
    <row r="1193" spans="1:11" x14ac:dyDescent="0.35">
      <c r="A1193" t="s">
        <v>1822</v>
      </c>
      <c r="B1193" s="1">
        <v>0</v>
      </c>
      <c r="C1193" t="s">
        <v>312</v>
      </c>
      <c r="D1193" t="s">
        <v>5541</v>
      </c>
      <c r="E1193" t="s">
        <v>5208</v>
      </c>
      <c r="F1193" t="s">
        <v>5089</v>
      </c>
      <c r="G1193" t="s">
        <v>5062</v>
      </c>
      <c r="H1193" t="s">
        <v>1241</v>
      </c>
      <c r="J1193" t="s">
        <v>1822</v>
      </c>
      <c r="K1193">
        <v>236.3</v>
      </c>
    </row>
    <row r="1194" spans="1:11" x14ac:dyDescent="0.35">
      <c r="A1194" t="s">
        <v>1823</v>
      </c>
      <c r="B1194" s="1">
        <v>0</v>
      </c>
      <c r="C1194" t="s">
        <v>495</v>
      </c>
      <c r="D1194" t="s">
        <v>5246</v>
      </c>
      <c r="E1194" t="s">
        <v>5102</v>
      </c>
      <c r="F1194" t="s">
        <v>5089</v>
      </c>
      <c r="G1194" t="s">
        <v>5412</v>
      </c>
      <c r="H1194" t="s">
        <v>2836</v>
      </c>
      <c r="J1194" t="s">
        <v>1823</v>
      </c>
      <c r="K1194">
        <v>234.7</v>
      </c>
    </row>
    <row r="1195" spans="1:11" x14ac:dyDescent="0.35">
      <c r="A1195" t="s">
        <v>1824</v>
      </c>
      <c r="B1195" s="1">
        <v>0</v>
      </c>
      <c r="C1195" t="s">
        <v>2882</v>
      </c>
      <c r="D1195" t="s">
        <v>5491</v>
      </c>
      <c r="E1195" t="s">
        <v>5257</v>
      </c>
      <c r="F1195" t="s">
        <v>5089</v>
      </c>
      <c r="G1195" t="s">
        <v>5179</v>
      </c>
      <c r="H1195" t="s">
        <v>738</v>
      </c>
      <c r="J1195" t="s">
        <v>1824</v>
      </c>
      <c r="K1195">
        <v>228.6</v>
      </c>
    </row>
    <row r="1196" spans="1:11" x14ac:dyDescent="0.35">
      <c r="A1196" t="s">
        <v>1826</v>
      </c>
      <c r="B1196" s="1">
        <v>0</v>
      </c>
      <c r="C1196" t="s">
        <v>461</v>
      </c>
      <c r="D1196" t="s">
        <v>5558</v>
      </c>
      <c r="E1196" t="s">
        <v>5239</v>
      </c>
      <c r="F1196" t="s">
        <v>5089</v>
      </c>
      <c r="G1196" t="s">
        <v>5240</v>
      </c>
      <c r="H1196" t="s">
        <v>1704</v>
      </c>
      <c r="J1196" t="s">
        <v>1826</v>
      </c>
      <c r="K1196">
        <v>219</v>
      </c>
    </row>
    <row r="1197" spans="1:11" x14ac:dyDescent="0.35">
      <c r="A1197" t="s">
        <v>1827</v>
      </c>
      <c r="B1197" s="1">
        <v>0</v>
      </c>
      <c r="C1197" t="s">
        <v>466</v>
      </c>
      <c r="D1197" t="s">
        <v>5378</v>
      </c>
      <c r="E1197" t="s">
        <v>5219</v>
      </c>
      <c r="F1197" t="s">
        <v>5077</v>
      </c>
      <c r="G1197" t="s">
        <v>5046</v>
      </c>
      <c r="H1197" t="s">
        <v>2353</v>
      </c>
      <c r="J1197" t="s">
        <v>1827</v>
      </c>
      <c r="K1197">
        <v>207.4</v>
      </c>
    </row>
    <row r="1198" spans="1:11" x14ac:dyDescent="0.35">
      <c r="A1198" t="s">
        <v>1828</v>
      </c>
      <c r="B1198" s="1">
        <v>0</v>
      </c>
      <c r="C1198" t="s">
        <v>454</v>
      </c>
      <c r="D1198" t="s">
        <v>5238</v>
      </c>
      <c r="E1198" t="s">
        <v>5197</v>
      </c>
      <c r="F1198" t="s">
        <v>5077</v>
      </c>
      <c r="G1198" t="s">
        <v>5230</v>
      </c>
      <c r="H1198" t="s">
        <v>246</v>
      </c>
      <c r="J1198" t="s">
        <v>1828</v>
      </c>
      <c r="K1198">
        <v>201.2</v>
      </c>
    </row>
    <row r="1199" spans="1:11" x14ac:dyDescent="0.35">
      <c r="A1199" t="s">
        <v>1829</v>
      </c>
      <c r="B1199" s="1">
        <v>0</v>
      </c>
      <c r="C1199" t="s">
        <v>1523</v>
      </c>
      <c r="D1199" t="s">
        <v>5558</v>
      </c>
      <c r="E1199" t="s">
        <v>5208</v>
      </c>
      <c r="F1199" t="s">
        <v>5089</v>
      </c>
      <c r="G1199" t="s">
        <v>5046</v>
      </c>
      <c r="H1199" t="s">
        <v>1298</v>
      </c>
      <c r="J1199" t="s">
        <v>1829</v>
      </c>
      <c r="K1199">
        <v>210.7</v>
      </c>
    </row>
    <row r="1200" spans="1:11" x14ac:dyDescent="0.35">
      <c r="A1200" t="s">
        <v>1830</v>
      </c>
      <c r="B1200" s="1">
        <v>0</v>
      </c>
      <c r="C1200" t="s">
        <v>5648</v>
      </c>
      <c r="D1200" t="s">
        <v>5495</v>
      </c>
      <c r="E1200" t="s">
        <v>5276</v>
      </c>
      <c r="F1200" t="s">
        <v>5089</v>
      </c>
      <c r="G1200" t="s">
        <v>5412</v>
      </c>
      <c r="H1200" t="s">
        <v>630</v>
      </c>
      <c r="J1200" t="s">
        <v>1830</v>
      </c>
      <c r="K1200">
        <v>230.1</v>
      </c>
    </row>
    <row r="1201" spans="1:11" x14ac:dyDescent="0.35">
      <c r="A1201" t="s">
        <v>1831</v>
      </c>
      <c r="B1201" s="1">
        <v>0</v>
      </c>
      <c r="C1201" t="s">
        <v>974</v>
      </c>
      <c r="D1201" t="s">
        <v>5511</v>
      </c>
      <c r="E1201" t="s">
        <v>5276</v>
      </c>
      <c r="F1201" t="s">
        <v>5089</v>
      </c>
      <c r="G1201" t="s">
        <v>5215</v>
      </c>
      <c r="H1201" t="s">
        <v>2014</v>
      </c>
      <c r="J1201" t="s">
        <v>1831</v>
      </c>
      <c r="K1201">
        <v>240</v>
      </c>
    </row>
    <row r="1202" spans="1:11" x14ac:dyDescent="0.35">
      <c r="A1202" t="s">
        <v>1832</v>
      </c>
      <c r="B1202" s="1">
        <v>0</v>
      </c>
      <c r="C1202" t="s">
        <v>1931</v>
      </c>
      <c r="D1202" t="s">
        <v>5104</v>
      </c>
      <c r="E1202" t="s">
        <v>5239</v>
      </c>
      <c r="F1202" t="s">
        <v>5089</v>
      </c>
      <c r="G1202" t="s">
        <v>5082</v>
      </c>
      <c r="H1202" t="s">
        <v>2019</v>
      </c>
      <c r="J1202" t="s">
        <v>1832</v>
      </c>
      <c r="K1202">
        <v>243.3</v>
      </c>
    </row>
    <row r="1203" spans="1:11" x14ac:dyDescent="0.35">
      <c r="A1203" t="s">
        <v>1835</v>
      </c>
      <c r="B1203" s="1">
        <v>0</v>
      </c>
      <c r="C1203" t="s">
        <v>1445</v>
      </c>
      <c r="D1203" t="s">
        <v>5486</v>
      </c>
      <c r="E1203" t="s">
        <v>5098</v>
      </c>
      <c r="F1203" t="s">
        <v>5089</v>
      </c>
      <c r="G1203" t="s">
        <v>5110</v>
      </c>
      <c r="H1203" t="s">
        <v>5670</v>
      </c>
      <c r="J1203" t="s">
        <v>1835</v>
      </c>
      <c r="K1203">
        <v>241.2</v>
      </c>
    </row>
    <row r="1204" spans="1:11" x14ac:dyDescent="0.35">
      <c r="A1204" t="s">
        <v>1836</v>
      </c>
      <c r="B1204" s="1">
        <v>0</v>
      </c>
      <c r="C1204" t="s">
        <v>1548</v>
      </c>
      <c r="D1204" t="s">
        <v>5083</v>
      </c>
      <c r="E1204" t="s">
        <v>5219</v>
      </c>
      <c r="F1204" t="s">
        <v>5089</v>
      </c>
      <c r="G1204" t="s">
        <v>5116</v>
      </c>
      <c r="H1204" t="s">
        <v>2386</v>
      </c>
      <c r="J1204" t="s">
        <v>1836</v>
      </c>
      <c r="K1204">
        <v>238.2</v>
      </c>
    </row>
    <row r="1205" spans="1:11" x14ac:dyDescent="0.35">
      <c r="A1205" t="s">
        <v>1837</v>
      </c>
      <c r="B1205" s="1">
        <v>0</v>
      </c>
      <c r="C1205" t="s">
        <v>3527</v>
      </c>
      <c r="D1205" t="s">
        <v>5486</v>
      </c>
      <c r="E1205" t="s">
        <v>5162</v>
      </c>
      <c r="F1205" t="s">
        <v>5089</v>
      </c>
      <c r="G1205" t="s">
        <v>5095</v>
      </c>
      <c r="H1205" t="s">
        <v>5726</v>
      </c>
      <c r="J1205" t="s">
        <v>1837</v>
      </c>
      <c r="K1205">
        <v>237.4</v>
      </c>
    </row>
    <row r="1206" spans="1:11" x14ac:dyDescent="0.35">
      <c r="A1206" t="s">
        <v>1839</v>
      </c>
      <c r="B1206" s="1">
        <v>0</v>
      </c>
      <c r="C1206" t="s">
        <v>316</v>
      </c>
      <c r="D1206" t="s">
        <v>5115</v>
      </c>
      <c r="E1206" t="s">
        <v>5239</v>
      </c>
      <c r="F1206" t="s">
        <v>5089</v>
      </c>
      <c r="G1206" t="s">
        <v>5215</v>
      </c>
      <c r="H1206" t="s">
        <v>3937</v>
      </c>
      <c r="J1206" t="s">
        <v>1839</v>
      </c>
      <c r="K1206">
        <v>235.3</v>
      </c>
    </row>
    <row r="1207" spans="1:11" x14ac:dyDescent="0.35">
      <c r="A1207" t="s">
        <v>1842</v>
      </c>
      <c r="B1207" s="1">
        <v>0</v>
      </c>
      <c r="C1207" t="s">
        <v>3226</v>
      </c>
      <c r="D1207" t="s">
        <v>5537</v>
      </c>
      <c r="E1207" t="s">
        <v>5182</v>
      </c>
      <c r="F1207" t="s">
        <v>5089</v>
      </c>
      <c r="G1207" t="s">
        <v>5475</v>
      </c>
      <c r="H1207" t="s">
        <v>2835</v>
      </c>
      <c r="J1207" t="s">
        <v>1842</v>
      </c>
      <c r="K1207">
        <v>234.8</v>
      </c>
    </row>
    <row r="1208" spans="1:11" x14ac:dyDescent="0.35">
      <c r="A1208" t="s">
        <v>1843</v>
      </c>
      <c r="B1208" s="1">
        <v>0</v>
      </c>
      <c r="C1208" t="s">
        <v>5735</v>
      </c>
      <c r="D1208" t="s">
        <v>5537</v>
      </c>
      <c r="E1208" t="s">
        <v>5102</v>
      </c>
      <c r="F1208" t="s">
        <v>5089</v>
      </c>
      <c r="G1208" t="s">
        <v>5058</v>
      </c>
      <c r="H1208" t="s">
        <v>641</v>
      </c>
      <c r="J1208" t="s">
        <v>1843</v>
      </c>
      <c r="K1208">
        <v>227.7</v>
      </c>
    </row>
    <row r="1209" spans="1:11" x14ac:dyDescent="0.35">
      <c r="A1209" t="s">
        <v>1845</v>
      </c>
      <c r="B1209" s="1">
        <v>0</v>
      </c>
      <c r="C1209" t="s">
        <v>1484</v>
      </c>
      <c r="D1209" t="s">
        <v>5552</v>
      </c>
      <c r="E1209" t="s">
        <v>5219</v>
      </c>
      <c r="F1209" t="s">
        <v>5089</v>
      </c>
      <c r="G1209" t="s">
        <v>5046</v>
      </c>
      <c r="H1209" t="s">
        <v>4511</v>
      </c>
      <c r="J1209" t="s">
        <v>1845</v>
      </c>
      <c r="K1209">
        <v>211.9</v>
      </c>
    </row>
    <row r="1210" spans="1:11" x14ac:dyDescent="0.35">
      <c r="A1210" t="s">
        <v>1846</v>
      </c>
      <c r="B1210" s="1">
        <v>0</v>
      </c>
      <c r="C1210" t="s">
        <v>3488</v>
      </c>
      <c r="D1210" t="s">
        <v>5083</v>
      </c>
      <c r="E1210" t="s">
        <v>5197</v>
      </c>
      <c r="F1210" t="s">
        <v>5077</v>
      </c>
      <c r="G1210" t="s">
        <v>5227</v>
      </c>
      <c r="H1210" t="s">
        <v>688</v>
      </c>
      <c r="J1210" t="s">
        <v>1846</v>
      </c>
      <c r="K1210">
        <v>197.6</v>
      </c>
    </row>
    <row r="1211" spans="1:11" x14ac:dyDescent="0.35">
      <c r="A1211" t="s">
        <v>1847</v>
      </c>
      <c r="B1211" s="1">
        <v>0</v>
      </c>
      <c r="C1211" t="s">
        <v>405</v>
      </c>
      <c r="D1211" t="s">
        <v>5370</v>
      </c>
      <c r="E1211" t="s">
        <v>5306</v>
      </c>
      <c r="F1211" t="s">
        <v>5077</v>
      </c>
      <c r="G1211" t="s">
        <v>5226</v>
      </c>
      <c r="H1211" t="s">
        <v>5686</v>
      </c>
      <c r="J1211" t="s">
        <v>1847</v>
      </c>
      <c r="K1211">
        <v>189.6</v>
      </c>
    </row>
    <row r="1212" spans="1:11" x14ac:dyDescent="0.35">
      <c r="A1212" t="s">
        <v>1849</v>
      </c>
      <c r="B1212" s="1">
        <v>0</v>
      </c>
      <c r="C1212" t="s">
        <v>5640</v>
      </c>
      <c r="D1212" t="s">
        <v>5533</v>
      </c>
      <c r="E1212" t="s">
        <v>5306</v>
      </c>
      <c r="F1212" t="s">
        <v>5077</v>
      </c>
      <c r="G1212" t="s">
        <v>5224</v>
      </c>
      <c r="H1212" t="s">
        <v>4267</v>
      </c>
      <c r="J1212" t="s">
        <v>1849</v>
      </c>
      <c r="K1212">
        <v>186.1</v>
      </c>
    </row>
    <row r="1213" spans="1:11" x14ac:dyDescent="0.35">
      <c r="A1213" t="s">
        <v>1850</v>
      </c>
      <c r="B1213" s="1">
        <v>0</v>
      </c>
      <c r="C1213" t="s">
        <v>5565</v>
      </c>
      <c r="D1213" t="s">
        <v>5538</v>
      </c>
      <c r="E1213" t="s">
        <v>5221</v>
      </c>
      <c r="F1213" t="s">
        <v>5077</v>
      </c>
      <c r="G1213" t="s">
        <v>5227</v>
      </c>
      <c r="H1213" t="s">
        <v>781</v>
      </c>
      <c r="J1213" t="s">
        <v>1850</v>
      </c>
      <c r="K1213">
        <v>181.5</v>
      </c>
    </row>
    <row r="1214" spans="1:11" x14ac:dyDescent="0.35">
      <c r="A1214" t="s">
        <v>1851</v>
      </c>
      <c r="B1214" s="1">
        <v>0</v>
      </c>
      <c r="C1214" t="s">
        <v>5580</v>
      </c>
      <c r="D1214" t="s">
        <v>5571</v>
      </c>
      <c r="E1214" t="s">
        <v>5073</v>
      </c>
      <c r="F1214" t="s">
        <v>5077</v>
      </c>
      <c r="G1214" t="s">
        <v>5321</v>
      </c>
      <c r="H1214" t="s">
        <v>61</v>
      </c>
      <c r="J1214" t="s">
        <v>1851</v>
      </c>
      <c r="K1214">
        <v>171.1</v>
      </c>
    </row>
    <row r="1215" spans="1:11" x14ac:dyDescent="0.35">
      <c r="A1215" t="s">
        <v>1852</v>
      </c>
      <c r="B1215" s="1">
        <v>0</v>
      </c>
      <c r="C1215" t="s">
        <v>5574</v>
      </c>
      <c r="D1215" t="s">
        <v>5081</v>
      </c>
      <c r="E1215" t="s">
        <v>5052</v>
      </c>
      <c r="F1215" t="s">
        <v>5045</v>
      </c>
      <c r="G1215" t="s">
        <v>5226</v>
      </c>
      <c r="H1215" t="s">
        <v>815</v>
      </c>
      <c r="J1215" t="s">
        <v>1852</v>
      </c>
      <c r="K1215">
        <v>157.9</v>
      </c>
    </row>
    <row r="1216" spans="1:11" x14ac:dyDescent="0.35">
      <c r="A1216" t="s">
        <v>1854</v>
      </c>
      <c r="B1216" s="1">
        <v>0</v>
      </c>
      <c r="C1216" t="s">
        <v>5083</v>
      </c>
      <c r="D1216" t="s">
        <v>5237</v>
      </c>
      <c r="E1216" t="s">
        <v>5051</v>
      </c>
      <c r="F1216" t="s">
        <v>5045</v>
      </c>
      <c r="G1216" t="s">
        <v>5291</v>
      </c>
      <c r="H1216" t="s">
        <v>160</v>
      </c>
      <c r="J1216" t="s">
        <v>1854</v>
      </c>
      <c r="K1216">
        <v>147.80000000000001</v>
      </c>
    </row>
    <row r="1217" spans="1:11" x14ac:dyDescent="0.35">
      <c r="A1217" t="s">
        <v>1855</v>
      </c>
      <c r="B1217" s="1">
        <v>0</v>
      </c>
      <c r="C1217" t="s">
        <v>5494</v>
      </c>
      <c r="D1217" t="s">
        <v>5073</v>
      </c>
      <c r="E1217" t="s">
        <v>5302</v>
      </c>
      <c r="F1217" t="s">
        <v>5045</v>
      </c>
      <c r="G1217" t="s">
        <v>5291</v>
      </c>
      <c r="H1217" t="s">
        <v>139</v>
      </c>
      <c r="J1217" t="s">
        <v>1855</v>
      </c>
      <c r="K1217">
        <v>146.19999999999999</v>
      </c>
    </row>
    <row r="1218" spans="1:11" x14ac:dyDescent="0.35">
      <c r="A1218" s="2">
        <v>41030</v>
      </c>
      <c r="B1218" s="1">
        <v>0</v>
      </c>
      <c r="C1218" t="s">
        <v>5084</v>
      </c>
      <c r="D1218" t="s">
        <v>5169</v>
      </c>
      <c r="E1218" t="s">
        <v>5305</v>
      </c>
      <c r="F1218" t="s">
        <v>5045</v>
      </c>
      <c r="G1218" t="s">
        <v>5224</v>
      </c>
      <c r="H1218" t="s">
        <v>2997</v>
      </c>
      <c r="J1218" s="2">
        <v>41030</v>
      </c>
      <c r="K1218">
        <v>152.6</v>
      </c>
    </row>
    <row r="1219" spans="1:11" x14ac:dyDescent="0.35">
      <c r="A1219" s="2">
        <v>41031</v>
      </c>
      <c r="B1219" s="1">
        <v>0</v>
      </c>
      <c r="C1219" t="s">
        <v>5265</v>
      </c>
      <c r="D1219" t="s">
        <v>5286</v>
      </c>
      <c r="E1219" t="s">
        <v>5416</v>
      </c>
      <c r="F1219" t="s">
        <v>5077</v>
      </c>
      <c r="G1219" t="s">
        <v>5297</v>
      </c>
      <c r="H1219" t="s">
        <v>594</v>
      </c>
      <c r="J1219" s="2">
        <v>41031</v>
      </c>
      <c r="K1219">
        <v>162.5</v>
      </c>
    </row>
    <row r="1220" spans="1:11" x14ac:dyDescent="0.35">
      <c r="A1220" s="2">
        <v>41032</v>
      </c>
      <c r="B1220" s="1">
        <v>0</v>
      </c>
      <c r="C1220" t="s">
        <v>1027</v>
      </c>
      <c r="D1220" t="s">
        <v>5076</v>
      </c>
      <c r="E1220" t="s">
        <v>5053</v>
      </c>
      <c r="F1220" t="s">
        <v>5077</v>
      </c>
      <c r="G1220" t="s">
        <v>5309</v>
      </c>
      <c r="H1220" t="s">
        <v>1175</v>
      </c>
      <c r="J1220" s="2">
        <v>41032</v>
      </c>
      <c r="K1220">
        <v>171.5</v>
      </c>
    </row>
    <row r="1221" spans="1:11" x14ac:dyDescent="0.35">
      <c r="A1221" s="2">
        <v>41033</v>
      </c>
      <c r="B1221" s="1">
        <v>0</v>
      </c>
      <c r="C1221" t="s">
        <v>1915</v>
      </c>
      <c r="D1221" t="s">
        <v>5102</v>
      </c>
      <c r="E1221" t="s">
        <v>5568</v>
      </c>
      <c r="F1221" t="s">
        <v>5077</v>
      </c>
      <c r="G1221" t="s">
        <v>5224</v>
      </c>
      <c r="H1221" t="s">
        <v>1988</v>
      </c>
      <c r="J1221" s="2">
        <v>41033</v>
      </c>
      <c r="K1221">
        <v>182.5</v>
      </c>
    </row>
    <row r="1222" spans="1:11" x14ac:dyDescent="0.35">
      <c r="A1222" s="2">
        <v>41034</v>
      </c>
      <c r="B1222" s="1">
        <v>0</v>
      </c>
      <c r="C1222" t="s">
        <v>457</v>
      </c>
      <c r="D1222" t="s">
        <v>5074</v>
      </c>
      <c r="E1222" t="s">
        <v>5185</v>
      </c>
      <c r="F1222" t="s">
        <v>5077</v>
      </c>
      <c r="G1222" t="s">
        <v>5172</v>
      </c>
      <c r="H1222" t="s">
        <v>1190</v>
      </c>
      <c r="J1222" s="2">
        <v>41034</v>
      </c>
      <c r="K1222">
        <v>193.1</v>
      </c>
    </row>
    <row r="1223" spans="1:11" x14ac:dyDescent="0.35">
      <c r="A1223" s="2">
        <v>41035</v>
      </c>
      <c r="B1223" s="1">
        <v>0</v>
      </c>
      <c r="C1223" t="s">
        <v>1061</v>
      </c>
      <c r="D1223" t="s">
        <v>5571</v>
      </c>
      <c r="E1223" t="s">
        <v>5425</v>
      </c>
      <c r="F1223" t="s">
        <v>5077</v>
      </c>
      <c r="G1223" t="s">
        <v>5050</v>
      </c>
      <c r="H1223" t="s">
        <v>2825</v>
      </c>
      <c r="J1223" s="2">
        <v>41035</v>
      </c>
      <c r="K1223">
        <v>203.8</v>
      </c>
    </row>
    <row r="1224" spans="1:11" x14ac:dyDescent="0.35">
      <c r="A1224" s="2">
        <v>41036</v>
      </c>
      <c r="B1224" s="1">
        <v>0</v>
      </c>
      <c r="C1224" t="s">
        <v>1063</v>
      </c>
      <c r="D1224" t="s">
        <v>5079</v>
      </c>
      <c r="E1224" t="s">
        <v>5428</v>
      </c>
      <c r="F1224" t="s">
        <v>5089</v>
      </c>
      <c r="G1224" t="s">
        <v>5179</v>
      </c>
      <c r="H1224" t="s">
        <v>767</v>
      </c>
      <c r="J1224" s="2">
        <v>41036</v>
      </c>
      <c r="K1224">
        <v>217.3</v>
      </c>
    </row>
    <row r="1225" spans="1:11" x14ac:dyDescent="0.35">
      <c r="A1225" s="2">
        <v>41037</v>
      </c>
      <c r="B1225" s="1">
        <v>0</v>
      </c>
      <c r="C1225" t="s">
        <v>976</v>
      </c>
      <c r="D1225" t="s">
        <v>5279</v>
      </c>
      <c r="E1225" t="s">
        <v>5160</v>
      </c>
      <c r="F1225" t="s">
        <v>5089</v>
      </c>
      <c r="G1225" t="s">
        <v>5058</v>
      </c>
      <c r="H1225" t="s">
        <v>5687</v>
      </c>
      <c r="J1225" s="2">
        <v>41037</v>
      </c>
      <c r="K1225">
        <v>230.2</v>
      </c>
    </row>
    <row r="1226" spans="1:11" x14ac:dyDescent="0.35">
      <c r="A1226" s="2">
        <v>41038</v>
      </c>
      <c r="B1226" s="1">
        <v>0</v>
      </c>
      <c r="C1226" t="s">
        <v>491</v>
      </c>
      <c r="D1226" t="s">
        <v>5452</v>
      </c>
      <c r="E1226" t="s">
        <v>5208</v>
      </c>
      <c r="F1226" t="s">
        <v>5089</v>
      </c>
      <c r="G1226" t="s">
        <v>5050</v>
      </c>
      <c r="H1226" t="s">
        <v>1659</v>
      </c>
      <c r="J1226" s="2">
        <v>41038</v>
      </c>
      <c r="K1226">
        <v>228.4</v>
      </c>
    </row>
    <row r="1227" spans="1:11" x14ac:dyDescent="0.35">
      <c r="A1227" s="2">
        <v>41039</v>
      </c>
      <c r="B1227" s="1">
        <v>0</v>
      </c>
      <c r="C1227" t="s">
        <v>979</v>
      </c>
      <c r="D1227" t="s">
        <v>5238</v>
      </c>
      <c r="E1227" t="s">
        <v>5059</v>
      </c>
      <c r="F1227" t="s">
        <v>5089</v>
      </c>
      <c r="G1227" t="s">
        <v>5207</v>
      </c>
      <c r="H1227" t="s">
        <v>5671</v>
      </c>
      <c r="J1227" s="2">
        <v>41039</v>
      </c>
      <c r="K1227">
        <v>211.8</v>
      </c>
    </row>
    <row r="1228" spans="1:11" x14ac:dyDescent="0.35">
      <c r="A1228" s="2">
        <v>41040</v>
      </c>
      <c r="B1228" s="1">
        <v>0</v>
      </c>
      <c r="C1228" t="s">
        <v>1015</v>
      </c>
      <c r="D1228" t="s">
        <v>5254</v>
      </c>
      <c r="E1228" t="s">
        <v>5310</v>
      </c>
      <c r="F1228" t="s">
        <v>5077</v>
      </c>
      <c r="G1228" t="s">
        <v>5309</v>
      </c>
      <c r="H1228" t="s">
        <v>1269</v>
      </c>
      <c r="J1228" s="2">
        <v>41040</v>
      </c>
      <c r="K1228">
        <v>188.8</v>
      </c>
    </row>
    <row r="1229" spans="1:11" x14ac:dyDescent="0.35">
      <c r="A1229" s="2">
        <v>41041</v>
      </c>
      <c r="B1229" s="1">
        <v>0</v>
      </c>
      <c r="C1229" t="s">
        <v>5477</v>
      </c>
      <c r="D1229" t="s">
        <v>5118</v>
      </c>
      <c r="E1229" t="s">
        <v>5417</v>
      </c>
      <c r="F1229" t="s">
        <v>5077</v>
      </c>
      <c r="G1229" t="s">
        <v>5342</v>
      </c>
      <c r="H1229" t="s">
        <v>67</v>
      </c>
      <c r="J1229" s="2">
        <v>41041</v>
      </c>
      <c r="K1229">
        <v>170</v>
      </c>
    </row>
    <row r="1230" spans="1:11" x14ac:dyDescent="0.35">
      <c r="A1230" s="2">
        <v>41042</v>
      </c>
      <c r="B1230" s="1">
        <v>0</v>
      </c>
      <c r="C1230" t="s">
        <v>5130</v>
      </c>
      <c r="D1230" t="s">
        <v>5239</v>
      </c>
      <c r="E1230" t="s">
        <v>5299</v>
      </c>
      <c r="F1230" t="s">
        <v>5077</v>
      </c>
      <c r="G1230" t="s">
        <v>5400</v>
      </c>
      <c r="H1230" t="s">
        <v>1387</v>
      </c>
      <c r="J1230" s="2">
        <v>41042</v>
      </c>
      <c r="K1230">
        <v>161.6</v>
      </c>
    </row>
    <row r="1231" spans="1:11" x14ac:dyDescent="0.35">
      <c r="A1231" s="2">
        <v>41043</v>
      </c>
      <c r="B1231" s="1">
        <v>0</v>
      </c>
      <c r="C1231" t="s">
        <v>5134</v>
      </c>
      <c r="D1231" t="s">
        <v>5178</v>
      </c>
      <c r="E1231" t="s">
        <v>5299</v>
      </c>
      <c r="F1231" t="s">
        <v>5077</v>
      </c>
      <c r="G1231" t="s">
        <v>5342</v>
      </c>
      <c r="H1231" t="s">
        <v>1348</v>
      </c>
      <c r="J1231" s="2">
        <v>41043</v>
      </c>
      <c r="K1231">
        <v>161.30000000000001</v>
      </c>
    </row>
    <row r="1232" spans="1:11" x14ac:dyDescent="0.35">
      <c r="A1232" s="2">
        <v>41044</v>
      </c>
      <c r="B1232" s="1">
        <v>0</v>
      </c>
      <c r="C1232" t="s">
        <v>5643</v>
      </c>
      <c r="D1232" t="s">
        <v>5192</v>
      </c>
      <c r="E1232" t="s">
        <v>5568</v>
      </c>
      <c r="F1232" t="s">
        <v>5077</v>
      </c>
      <c r="G1232" t="s">
        <v>5315</v>
      </c>
      <c r="H1232" t="s">
        <v>192</v>
      </c>
      <c r="J1232" s="2">
        <v>41044</v>
      </c>
      <c r="K1232">
        <v>163.69999999999999</v>
      </c>
    </row>
    <row r="1233" spans="1:11" x14ac:dyDescent="0.35">
      <c r="A1233" s="2">
        <v>41045</v>
      </c>
      <c r="B1233" s="1">
        <v>0</v>
      </c>
      <c r="C1233" t="s">
        <v>5410</v>
      </c>
      <c r="D1233" t="s">
        <v>5121</v>
      </c>
      <c r="E1233" t="s">
        <v>5052</v>
      </c>
      <c r="F1233" t="s">
        <v>5077</v>
      </c>
      <c r="G1233" t="s">
        <v>5312</v>
      </c>
      <c r="H1233" t="s">
        <v>255</v>
      </c>
      <c r="J1233" s="2">
        <v>41045</v>
      </c>
      <c r="K1233">
        <v>169.7</v>
      </c>
    </row>
    <row r="1234" spans="1:11" x14ac:dyDescent="0.35">
      <c r="A1234" s="2">
        <v>41046</v>
      </c>
      <c r="B1234" s="1">
        <v>0</v>
      </c>
      <c r="C1234" t="s">
        <v>420</v>
      </c>
      <c r="D1234" t="s">
        <v>5435</v>
      </c>
      <c r="E1234" t="s">
        <v>5426</v>
      </c>
      <c r="F1234" t="s">
        <v>5077</v>
      </c>
      <c r="G1234" t="s">
        <v>5312</v>
      </c>
      <c r="H1234" t="s">
        <v>40</v>
      </c>
      <c r="J1234" s="2">
        <v>41046</v>
      </c>
      <c r="K1234">
        <v>173.9</v>
      </c>
    </row>
    <row r="1235" spans="1:11" x14ac:dyDescent="0.35">
      <c r="A1235" s="2">
        <v>41047</v>
      </c>
      <c r="B1235" s="1">
        <v>0</v>
      </c>
      <c r="C1235" t="s">
        <v>372</v>
      </c>
      <c r="D1235" t="s">
        <v>5253</v>
      </c>
      <c r="E1235" t="s">
        <v>5295</v>
      </c>
      <c r="F1235" t="s">
        <v>5077</v>
      </c>
      <c r="G1235" t="s">
        <v>5315</v>
      </c>
      <c r="H1235" t="s">
        <v>2457</v>
      </c>
      <c r="J1235" s="2">
        <v>41047</v>
      </c>
      <c r="K1235">
        <v>173.8</v>
      </c>
    </row>
    <row r="1236" spans="1:11" x14ac:dyDescent="0.35">
      <c r="A1236" s="2">
        <v>41048</v>
      </c>
      <c r="B1236" s="1">
        <v>0</v>
      </c>
      <c r="C1236" t="s">
        <v>397</v>
      </c>
      <c r="D1236" t="s">
        <v>5441</v>
      </c>
      <c r="E1236" t="s">
        <v>5417</v>
      </c>
      <c r="F1236" t="s">
        <v>5077</v>
      </c>
      <c r="G1236" t="s">
        <v>5330</v>
      </c>
      <c r="H1236" t="s">
        <v>923</v>
      </c>
      <c r="J1236" s="2">
        <v>41048</v>
      </c>
      <c r="K1236">
        <v>173.3</v>
      </c>
    </row>
    <row r="1237" spans="1:11" x14ac:dyDescent="0.35">
      <c r="A1237" s="2">
        <v>41049</v>
      </c>
      <c r="B1237" s="1">
        <v>0</v>
      </c>
      <c r="C1237" t="s">
        <v>5263</v>
      </c>
      <c r="D1237" t="s">
        <v>5247</v>
      </c>
      <c r="E1237" t="s">
        <v>5417</v>
      </c>
      <c r="F1237" t="s">
        <v>5077</v>
      </c>
      <c r="G1237" t="s">
        <v>5400</v>
      </c>
      <c r="H1237" t="s">
        <v>923</v>
      </c>
      <c r="J1237" s="2">
        <v>41049</v>
      </c>
      <c r="K1237">
        <v>173.3</v>
      </c>
    </row>
    <row r="1238" spans="1:11" x14ac:dyDescent="0.35">
      <c r="A1238" s="2">
        <v>41050</v>
      </c>
      <c r="B1238" s="1">
        <v>0</v>
      </c>
      <c r="C1238" t="s">
        <v>5407</v>
      </c>
      <c r="D1238" t="s">
        <v>5063</v>
      </c>
      <c r="E1238" t="s">
        <v>5057</v>
      </c>
      <c r="F1238" t="s">
        <v>5077</v>
      </c>
      <c r="G1238" t="s">
        <v>5400</v>
      </c>
      <c r="H1238" t="s">
        <v>35</v>
      </c>
      <c r="J1238" s="2">
        <v>41050</v>
      </c>
      <c r="K1238">
        <v>170.4</v>
      </c>
    </row>
    <row r="1239" spans="1:11" x14ac:dyDescent="0.35">
      <c r="A1239" s="2">
        <v>41051</v>
      </c>
      <c r="B1239" s="1">
        <v>0</v>
      </c>
      <c r="C1239" t="s">
        <v>5615</v>
      </c>
      <c r="D1239" t="s">
        <v>5162</v>
      </c>
      <c r="E1239" t="s">
        <v>5292</v>
      </c>
      <c r="F1239" t="s">
        <v>5077</v>
      </c>
      <c r="G1239" t="s">
        <v>5400</v>
      </c>
      <c r="H1239" t="s">
        <v>802</v>
      </c>
      <c r="J1239" s="2">
        <v>41051</v>
      </c>
      <c r="K1239">
        <v>163.4</v>
      </c>
    </row>
    <row r="1240" spans="1:11" x14ac:dyDescent="0.35">
      <c r="A1240" s="2">
        <v>41052</v>
      </c>
      <c r="B1240" s="1">
        <v>0</v>
      </c>
      <c r="C1240" t="s">
        <v>5232</v>
      </c>
      <c r="D1240" t="s">
        <v>5221</v>
      </c>
      <c r="E1240" t="s">
        <v>5318</v>
      </c>
      <c r="F1240" t="s">
        <v>5077</v>
      </c>
      <c r="G1240" t="s">
        <v>5400</v>
      </c>
      <c r="H1240" t="s">
        <v>556</v>
      </c>
      <c r="J1240" s="2">
        <v>41052</v>
      </c>
      <c r="K1240">
        <v>156.19999999999999</v>
      </c>
    </row>
    <row r="1241" spans="1:11" x14ac:dyDescent="0.35">
      <c r="A1241" s="2">
        <v>41053</v>
      </c>
      <c r="B1241" s="1">
        <v>0</v>
      </c>
      <c r="C1241" t="s">
        <v>5217</v>
      </c>
      <c r="D1241" t="s">
        <v>5310</v>
      </c>
      <c r="E1241" t="s">
        <v>5048</v>
      </c>
      <c r="F1241" t="s">
        <v>5045</v>
      </c>
      <c r="G1241" t="s">
        <v>5400</v>
      </c>
      <c r="H1241" t="s">
        <v>885</v>
      </c>
      <c r="J1241" s="2">
        <v>41053</v>
      </c>
      <c r="K1241">
        <v>153</v>
      </c>
    </row>
    <row r="1242" spans="1:11" x14ac:dyDescent="0.35">
      <c r="A1242" s="2">
        <v>41054</v>
      </c>
      <c r="B1242" s="1">
        <v>0</v>
      </c>
      <c r="C1242" t="s">
        <v>5593</v>
      </c>
      <c r="D1242" t="s">
        <v>5431</v>
      </c>
      <c r="E1242" t="s">
        <v>5318</v>
      </c>
      <c r="F1242" t="s">
        <v>5045</v>
      </c>
      <c r="G1242" t="s">
        <v>5342</v>
      </c>
      <c r="H1242" t="s">
        <v>1162</v>
      </c>
      <c r="J1242" s="2">
        <v>41054</v>
      </c>
      <c r="K1242">
        <v>155.69999999999999</v>
      </c>
    </row>
    <row r="1243" spans="1:11" x14ac:dyDescent="0.35">
      <c r="A1243" s="2">
        <v>41055</v>
      </c>
      <c r="B1243" s="1">
        <v>0</v>
      </c>
      <c r="C1243" t="s">
        <v>5514</v>
      </c>
      <c r="D1243" t="s">
        <v>5303</v>
      </c>
      <c r="E1243" t="s">
        <v>5048</v>
      </c>
      <c r="F1243" t="s">
        <v>5045</v>
      </c>
      <c r="G1243" t="s">
        <v>5297</v>
      </c>
      <c r="H1243" t="s">
        <v>890</v>
      </c>
      <c r="J1243" s="2">
        <v>41055</v>
      </c>
      <c r="K1243">
        <v>157.6</v>
      </c>
    </row>
    <row r="1244" spans="1:11" x14ac:dyDescent="0.35">
      <c r="A1244" s="2">
        <v>41056</v>
      </c>
      <c r="B1244" s="1">
        <v>0</v>
      </c>
      <c r="C1244" t="s">
        <v>5506</v>
      </c>
      <c r="D1244" t="s">
        <v>5070</v>
      </c>
      <c r="E1244" t="s">
        <v>5416</v>
      </c>
      <c r="F1244" t="s">
        <v>5045</v>
      </c>
      <c r="G1244" t="s">
        <v>5312</v>
      </c>
      <c r="H1244" t="s">
        <v>884</v>
      </c>
      <c r="J1244" s="2">
        <v>41056</v>
      </c>
      <c r="K1244">
        <v>156.6</v>
      </c>
    </row>
    <row r="1245" spans="1:11" x14ac:dyDescent="0.35">
      <c r="A1245" s="2">
        <v>41057</v>
      </c>
      <c r="B1245" s="1">
        <v>0</v>
      </c>
      <c r="C1245" t="s">
        <v>5510</v>
      </c>
      <c r="D1245" t="s">
        <v>5171</v>
      </c>
      <c r="E1245" t="s">
        <v>5048</v>
      </c>
      <c r="F1245" t="s">
        <v>5045</v>
      </c>
      <c r="G1245" t="s">
        <v>5297</v>
      </c>
      <c r="H1245" t="s">
        <v>888</v>
      </c>
      <c r="J1245" s="2">
        <v>41057</v>
      </c>
      <c r="K1245">
        <v>156.4</v>
      </c>
    </row>
    <row r="1246" spans="1:11" x14ac:dyDescent="0.35">
      <c r="A1246" s="2">
        <v>41058</v>
      </c>
      <c r="B1246" s="1">
        <v>0</v>
      </c>
      <c r="C1246" t="s">
        <v>5586</v>
      </c>
      <c r="D1246" t="s">
        <v>5175</v>
      </c>
      <c r="E1246" t="s">
        <v>5622</v>
      </c>
      <c r="F1246" t="s">
        <v>5045</v>
      </c>
      <c r="G1246" t="s">
        <v>5297</v>
      </c>
      <c r="H1246" t="s">
        <v>188</v>
      </c>
      <c r="J1246" s="2">
        <v>41058</v>
      </c>
      <c r="K1246">
        <v>159.1</v>
      </c>
    </row>
    <row r="1247" spans="1:11" x14ac:dyDescent="0.35">
      <c r="A1247" s="2">
        <v>41059</v>
      </c>
      <c r="B1247" s="1">
        <v>0</v>
      </c>
      <c r="C1247" t="s">
        <v>5587</v>
      </c>
      <c r="D1247" t="s">
        <v>5210</v>
      </c>
      <c r="E1247" t="s">
        <v>5284</v>
      </c>
      <c r="F1247" t="s">
        <v>5045</v>
      </c>
      <c r="G1247" t="s">
        <v>5297</v>
      </c>
      <c r="H1247" t="s">
        <v>2135</v>
      </c>
      <c r="J1247" s="2">
        <v>41059</v>
      </c>
      <c r="K1247">
        <v>161.19999999999999</v>
      </c>
    </row>
    <row r="1248" spans="1:11" x14ac:dyDescent="0.35">
      <c r="A1248" s="2">
        <v>41060</v>
      </c>
      <c r="B1248" s="1">
        <v>0</v>
      </c>
      <c r="C1248" t="s">
        <v>5629</v>
      </c>
      <c r="D1248" t="s">
        <v>5255</v>
      </c>
      <c r="E1248" t="s">
        <v>5051</v>
      </c>
      <c r="F1248" t="s">
        <v>5077</v>
      </c>
      <c r="G1248" t="s">
        <v>5342</v>
      </c>
      <c r="H1248" t="s">
        <v>176</v>
      </c>
      <c r="J1248" s="2">
        <v>41060</v>
      </c>
      <c r="K1248">
        <v>159.4</v>
      </c>
    </row>
    <row r="1249" spans="1:11" x14ac:dyDescent="0.35">
      <c r="A1249" s="2">
        <v>41061</v>
      </c>
      <c r="B1249" s="1">
        <v>0</v>
      </c>
      <c r="C1249" t="s">
        <v>5496</v>
      </c>
      <c r="D1249" t="s">
        <v>5170</v>
      </c>
      <c r="E1249" t="s">
        <v>5302</v>
      </c>
      <c r="F1249" t="s">
        <v>5077</v>
      </c>
      <c r="G1249" t="s">
        <v>5400</v>
      </c>
      <c r="H1249" t="s">
        <v>73</v>
      </c>
      <c r="J1249" s="2">
        <v>41061</v>
      </c>
      <c r="K1249">
        <v>152.9</v>
      </c>
    </row>
    <row r="1250" spans="1:11" x14ac:dyDescent="0.35">
      <c r="A1250" s="2">
        <v>41062</v>
      </c>
      <c r="B1250" s="1">
        <v>0</v>
      </c>
      <c r="C1250" t="s">
        <v>5059</v>
      </c>
      <c r="D1250" t="s">
        <v>5158</v>
      </c>
      <c r="E1250" t="s">
        <v>5082</v>
      </c>
      <c r="F1250" t="s">
        <v>5168</v>
      </c>
      <c r="G1250" t="s">
        <v>5360</v>
      </c>
      <c r="H1250" t="s">
        <v>3224</v>
      </c>
      <c r="J1250" s="2">
        <v>41062</v>
      </c>
      <c r="K1250">
        <v>103.6</v>
      </c>
    </row>
    <row r="1251" spans="1:11" x14ac:dyDescent="0.35">
      <c r="A1251" s="2">
        <v>41063</v>
      </c>
      <c r="B1251" s="1">
        <v>0</v>
      </c>
      <c r="C1251" t="s">
        <v>5301</v>
      </c>
      <c r="D1251" t="s">
        <v>5136</v>
      </c>
      <c r="E1251" t="s">
        <v>5183</v>
      </c>
      <c r="F1251" t="s">
        <v>5168</v>
      </c>
      <c r="G1251" t="s">
        <v>5343</v>
      </c>
      <c r="H1251" t="s">
        <v>1865</v>
      </c>
      <c r="J1251" s="2">
        <v>41063</v>
      </c>
      <c r="K1251">
        <v>96.7</v>
      </c>
    </row>
    <row r="1252" spans="1:11" x14ac:dyDescent="0.35">
      <c r="A1252" s="2">
        <v>41064</v>
      </c>
      <c r="B1252" s="1">
        <v>0</v>
      </c>
      <c r="C1252" t="s">
        <v>5290</v>
      </c>
      <c r="D1252" t="s">
        <v>5116</v>
      </c>
      <c r="E1252" t="s">
        <v>5062</v>
      </c>
      <c r="F1252" t="s">
        <v>5168</v>
      </c>
      <c r="G1252" t="s">
        <v>5361</v>
      </c>
      <c r="H1252" t="s">
        <v>458</v>
      </c>
      <c r="J1252" s="2">
        <v>41064</v>
      </c>
      <c r="K1252">
        <v>91.9</v>
      </c>
    </row>
    <row r="1253" spans="1:11" x14ac:dyDescent="0.35">
      <c r="A1253" s="2">
        <v>41065</v>
      </c>
      <c r="B1253" s="1">
        <v>0</v>
      </c>
      <c r="C1253" t="s">
        <v>5043</v>
      </c>
      <c r="D1253" t="s">
        <v>5215</v>
      </c>
      <c r="E1253" t="s">
        <v>5058</v>
      </c>
      <c r="F1253" t="s">
        <v>5168</v>
      </c>
      <c r="G1253" t="s">
        <v>5349</v>
      </c>
      <c r="H1253" t="s">
        <v>1867</v>
      </c>
      <c r="J1253" s="2">
        <v>41065</v>
      </c>
      <c r="K1253">
        <v>89</v>
      </c>
    </row>
    <row r="1254" spans="1:11" x14ac:dyDescent="0.35">
      <c r="A1254" s="2">
        <v>41066</v>
      </c>
      <c r="B1254" s="1">
        <v>0</v>
      </c>
      <c r="C1254" t="s">
        <v>5414</v>
      </c>
      <c r="D1254" t="s">
        <v>5065</v>
      </c>
      <c r="E1254" t="s">
        <v>5179</v>
      </c>
      <c r="F1254" t="s">
        <v>5168</v>
      </c>
      <c r="G1254" t="s">
        <v>5353</v>
      </c>
      <c r="H1254" t="s">
        <v>984</v>
      </c>
      <c r="J1254" s="2">
        <v>41066</v>
      </c>
      <c r="K1254">
        <v>87.1</v>
      </c>
    </row>
    <row r="1255" spans="1:11" x14ac:dyDescent="0.35">
      <c r="A1255" s="2">
        <v>41067</v>
      </c>
      <c r="B1255" s="1">
        <v>0</v>
      </c>
      <c r="C1255" t="s">
        <v>5155</v>
      </c>
      <c r="D1255" t="s">
        <v>5412</v>
      </c>
      <c r="E1255" t="s">
        <v>5054</v>
      </c>
      <c r="F1255" t="s">
        <v>5168</v>
      </c>
      <c r="G1255" t="s">
        <v>5353</v>
      </c>
      <c r="H1255" t="s">
        <v>337</v>
      </c>
      <c r="J1255" s="2">
        <v>41067</v>
      </c>
      <c r="K1255">
        <v>85.8</v>
      </c>
    </row>
    <row r="1256" spans="1:11" x14ac:dyDescent="0.35">
      <c r="A1256" s="2">
        <v>41068</v>
      </c>
      <c r="B1256" s="1">
        <v>0</v>
      </c>
      <c r="C1256" t="s">
        <v>5341</v>
      </c>
      <c r="D1256" t="s">
        <v>5179</v>
      </c>
      <c r="E1256" t="s">
        <v>5240</v>
      </c>
      <c r="F1256" t="s">
        <v>5168</v>
      </c>
      <c r="G1256" t="s">
        <v>5353</v>
      </c>
      <c r="H1256" t="s">
        <v>479</v>
      </c>
      <c r="J1256" s="2">
        <v>41068</v>
      </c>
      <c r="K1256">
        <v>84.9</v>
      </c>
    </row>
    <row r="1257" spans="1:11" x14ac:dyDescent="0.35">
      <c r="A1257" s="2">
        <v>41069</v>
      </c>
      <c r="B1257" s="1">
        <v>0</v>
      </c>
      <c r="C1257" t="s">
        <v>5355</v>
      </c>
      <c r="D1257" t="s">
        <v>5054</v>
      </c>
      <c r="E1257" t="s">
        <v>5240</v>
      </c>
      <c r="F1257" t="s">
        <v>5168</v>
      </c>
      <c r="G1257" t="s">
        <v>5354</v>
      </c>
      <c r="H1257" t="s">
        <v>362</v>
      </c>
      <c r="J1257" s="2">
        <v>41069</v>
      </c>
      <c r="K1257">
        <v>84.3</v>
      </c>
    </row>
    <row r="1258" spans="1:11" x14ac:dyDescent="0.35">
      <c r="A1258" s="2">
        <v>41070</v>
      </c>
      <c r="B1258" s="1">
        <v>0</v>
      </c>
      <c r="C1258" t="s">
        <v>5356</v>
      </c>
      <c r="D1258" t="s">
        <v>5240</v>
      </c>
      <c r="E1258" t="s">
        <v>5050</v>
      </c>
      <c r="F1258" t="s">
        <v>5168</v>
      </c>
      <c r="G1258" t="s">
        <v>5354</v>
      </c>
      <c r="H1258" t="s">
        <v>3798</v>
      </c>
      <c r="J1258" s="2">
        <v>41070</v>
      </c>
      <c r="K1258">
        <v>83.8</v>
      </c>
    </row>
    <row r="1259" spans="1:11" x14ac:dyDescent="0.35">
      <c r="A1259" s="2">
        <v>41071</v>
      </c>
      <c r="B1259" s="1">
        <v>0</v>
      </c>
      <c r="C1259" t="s">
        <v>5358</v>
      </c>
      <c r="D1259" t="s">
        <v>5050</v>
      </c>
      <c r="E1259" t="s">
        <v>5050</v>
      </c>
      <c r="F1259" t="s">
        <v>5168</v>
      </c>
      <c r="G1259" t="s">
        <v>5354</v>
      </c>
      <c r="H1259" t="s">
        <v>444</v>
      </c>
      <c r="J1259" s="2">
        <v>41071</v>
      </c>
      <c r="K1259">
        <v>83.5</v>
      </c>
    </row>
    <row r="1260" spans="1:11" x14ac:dyDescent="0.35">
      <c r="A1260" s="2">
        <v>41072</v>
      </c>
      <c r="B1260" s="1">
        <v>0</v>
      </c>
      <c r="C1260" t="s">
        <v>5089</v>
      </c>
      <c r="D1260" t="s">
        <v>5050</v>
      </c>
      <c r="E1260" t="s">
        <v>5050</v>
      </c>
      <c r="F1260" t="s">
        <v>5168</v>
      </c>
      <c r="G1260" t="s">
        <v>5354</v>
      </c>
      <c r="H1260" t="s">
        <v>345</v>
      </c>
      <c r="J1260" s="2">
        <v>41072</v>
      </c>
      <c r="K1260">
        <v>83.4</v>
      </c>
    </row>
    <row r="1261" spans="1:11" x14ac:dyDescent="0.35">
      <c r="A1261" s="2">
        <v>41073</v>
      </c>
      <c r="B1261" s="1">
        <v>0</v>
      </c>
      <c r="C1261" t="s">
        <v>5077</v>
      </c>
      <c r="D1261" t="s">
        <v>5050</v>
      </c>
      <c r="E1261" t="s">
        <v>5050</v>
      </c>
      <c r="F1261" t="s">
        <v>5168</v>
      </c>
      <c r="G1261" t="s">
        <v>5354</v>
      </c>
      <c r="H1261" t="s">
        <v>363</v>
      </c>
      <c r="J1261" s="2">
        <v>41073</v>
      </c>
      <c r="K1261">
        <v>83.3</v>
      </c>
    </row>
    <row r="1262" spans="1:11" x14ac:dyDescent="0.35">
      <c r="A1262" s="2">
        <v>41074</v>
      </c>
      <c r="B1262" s="1">
        <v>0</v>
      </c>
      <c r="C1262" t="s">
        <v>5077</v>
      </c>
      <c r="D1262" t="s">
        <v>5050</v>
      </c>
      <c r="E1262" t="s">
        <v>5046</v>
      </c>
      <c r="F1262" t="s">
        <v>5168</v>
      </c>
      <c r="G1262" t="s">
        <v>5354</v>
      </c>
      <c r="H1262" t="s">
        <v>1528</v>
      </c>
      <c r="J1262" s="2">
        <v>41074</v>
      </c>
      <c r="K1262">
        <v>83.2</v>
      </c>
    </row>
    <row r="1263" spans="1:11" x14ac:dyDescent="0.35">
      <c r="A1263" s="2">
        <v>41075</v>
      </c>
      <c r="B1263" s="1">
        <v>0</v>
      </c>
      <c r="C1263" t="s">
        <v>5077</v>
      </c>
      <c r="D1263" t="s">
        <v>5050</v>
      </c>
      <c r="E1263" t="s">
        <v>5046</v>
      </c>
      <c r="F1263" t="s">
        <v>5168</v>
      </c>
      <c r="G1263" t="s">
        <v>5354</v>
      </c>
      <c r="H1263" t="s">
        <v>1528</v>
      </c>
      <c r="J1263" s="2">
        <v>41075</v>
      </c>
      <c r="K1263">
        <v>83.2</v>
      </c>
    </row>
    <row r="1264" spans="1:11" x14ac:dyDescent="0.35">
      <c r="A1264" s="2">
        <v>41076</v>
      </c>
      <c r="B1264" s="1">
        <v>0</v>
      </c>
      <c r="C1264" t="s">
        <v>5089</v>
      </c>
      <c r="D1264" t="s">
        <v>5050</v>
      </c>
      <c r="E1264" t="s">
        <v>5046</v>
      </c>
      <c r="F1264" t="s">
        <v>5168</v>
      </c>
      <c r="G1264" t="s">
        <v>5354</v>
      </c>
      <c r="H1264" t="s">
        <v>363</v>
      </c>
      <c r="J1264" s="2">
        <v>41076</v>
      </c>
      <c r="K1264">
        <v>83.3</v>
      </c>
    </row>
    <row r="1265" spans="1:11" x14ac:dyDescent="0.35">
      <c r="A1265" s="2">
        <v>41077</v>
      </c>
      <c r="B1265" s="1">
        <v>0</v>
      </c>
      <c r="C1265" t="s">
        <v>5089</v>
      </c>
      <c r="D1265" t="s">
        <v>5046</v>
      </c>
      <c r="E1265" t="s">
        <v>5046</v>
      </c>
      <c r="F1265" t="s">
        <v>5168</v>
      </c>
      <c r="G1265" t="s">
        <v>5354</v>
      </c>
      <c r="H1265" t="s">
        <v>1528</v>
      </c>
      <c r="J1265" s="2">
        <v>41077</v>
      </c>
      <c r="K1265">
        <v>83.2</v>
      </c>
    </row>
    <row r="1266" spans="1:11" x14ac:dyDescent="0.35">
      <c r="A1266" s="2">
        <v>41078</v>
      </c>
      <c r="B1266" s="1">
        <v>0</v>
      </c>
      <c r="C1266" t="s">
        <v>5089</v>
      </c>
      <c r="D1266" t="s">
        <v>5046</v>
      </c>
      <c r="E1266" t="s">
        <v>5046</v>
      </c>
      <c r="F1266" t="s">
        <v>5168</v>
      </c>
      <c r="G1266" t="s">
        <v>5354</v>
      </c>
      <c r="H1266" t="s">
        <v>1528</v>
      </c>
      <c r="J1266" s="2">
        <v>41078</v>
      </c>
      <c r="K1266">
        <v>83.2</v>
      </c>
    </row>
    <row r="1267" spans="1:11" x14ac:dyDescent="0.35">
      <c r="A1267" s="2">
        <v>41079</v>
      </c>
      <c r="B1267" s="1">
        <v>0</v>
      </c>
      <c r="C1267" t="s">
        <v>5089</v>
      </c>
      <c r="D1267" t="s">
        <v>5050</v>
      </c>
      <c r="E1267" t="s">
        <v>5046</v>
      </c>
      <c r="F1267" t="s">
        <v>5168</v>
      </c>
      <c r="G1267" t="s">
        <v>5354</v>
      </c>
      <c r="H1267" t="s">
        <v>363</v>
      </c>
      <c r="J1267" s="2">
        <v>41079</v>
      </c>
      <c r="K1267">
        <v>83.3</v>
      </c>
    </row>
    <row r="1268" spans="1:11" x14ac:dyDescent="0.35">
      <c r="A1268" s="2">
        <v>41080</v>
      </c>
      <c r="B1268" s="1">
        <v>0</v>
      </c>
      <c r="C1268" t="s">
        <v>5089</v>
      </c>
      <c r="D1268" t="s">
        <v>5240</v>
      </c>
      <c r="E1268" t="s">
        <v>5046</v>
      </c>
      <c r="F1268" t="s">
        <v>5168</v>
      </c>
      <c r="G1268" t="s">
        <v>5354</v>
      </c>
      <c r="H1268" t="s">
        <v>444</v>
      </c>
      <c r="J1268" s="2">
        <v>41080</v>
      </c>
      <c r="K1268">
        <v>83.5</v>
      </c>
    </row>
    <row r="1269" spans="1:11" x14ac:dyDescent="0.35">
      <c r="A1269" s="2">
        <v>41081</v>
      </c>
      <c r="B1269" s="1">
        <v>0</v>
      </c>
      <c r="C1269" t="s">
        <v>5089</v>
      </c>
      <c r="D1269" t="s">
        <v>5054</v>
      </c>
      <c r="E1269" t="s">
        <v>5050</v>
      </c>
      <c r="F1269" t="s">
        <v>5168</v>
      </c>
      <c r="G1269" t="s">
        <v>5354</v>
      </c>
      <c r="H1269" t="s">
        <v>3800</v>
      </c>
      <c r="J1269" s="2">
        <v>41081</v>
      </c>
      <c r="K1269">
        <v>83.6</v>
      </c>
    </row>
    <row r="1270" spans="1:11" x14ac:dyDescent="0.35">
      <c r="A1270" s="2">
        <v>41082</v>
      </c>
      <c r="B1270" s="1">
        <v>0</v>
      </c>
      <c r="C1270" t="s">
        <v>5089</v>
      </c>
      <c r="D1270" t="s">
        <v>5179</v>
      </c>
      <c r="E1270" t="s">
        <v>5050</v>
      </c>
      <c r="F1270" t="s">
        <v>5168</v>
      </c>
      <c r="G1270" t="s">
        <v>5354</v>
      </c>
      <c r="H1270" t="s">
        <v>3800</v>
      </c>
      <c r="J1270" s="2">
        <v>41082</v>
      </c>
      <c r="K1270">
        <v>83.6</v>
      </c>
    </row>
    <row r="1271" spans="1:11" x14ac:dyDescent="0.35">
      <c r="A1271" s="2">
        <v>41083</v>
      </c>
      <c r="B1271" s="1">
        <v>0</v>
      </c>
      <c r="C1271" t="s">
        <v>5089</v>
      </c>
      <c r="D1271" t="s">
        <v>5054</v>
      </c>
      <c r="E1271" t="s">
        <v>5050</v>
      </c>
      <c r="F1271" t="s">
        <v>5168</v>
      </c>
      <c r="G1271" t="s">
        <v>5354</v>
      </c>
      <c r="H1271" t="s">
        <v>3800</v>
      </c>
      <c r="J1271" s="2">
        <v>41083</v>
      </c>
      <c r="K1271">
        <v>83.6</v>
      </c>
    </row>
    <row r="1272" spans="1:11" x14ac:dyDescent="0.35">
      <c r="A1272" s="2">
        <v>41084</v>
      </c>
      <c r="B1272" s="1">
        <v>0</v>
      </c>
      <c r="C1272" t="s">
        <v>5358</v>
      </c>
      <c r="D1272" t="s">
        <v>5240</v>
      </c>
      <c r="E1272" t="s">
        <v>5046</v>
      </c>
      <c r="F1272" t="s">
        <v>5168</v>
      </c>
      <c r="G1272" t="s">
        <v>5354</v>
      </c>
      <c r="H1272" t="s">
        <v>3800</v>
      </c>
      <c r="J1272" s="2">
        <v>41084</v>
      </c>
      <c r="K1272">
        <v>83.6</v>
      </c>
    </row>
    <row r="1273" spans="1:11" x14ac:dyDescent="0.35">
      <c r="A1273" s="2">
        <v>41085</v>
      </c>
      <c r="B1273" s="1">
        <v>0</v>
      </c>
      <c r="C1273" t="s">
        <v>5356</v>
      </c>
      <c r="D1273" t="s">
        <v>5240</v>
      </c>
      <c r="E1273" t="s">
        <v>5046</v>
      </c>
      <c r="F1273" t="s">
        <v>5168</v>
      </c>
      <c r="G1273" t="s">
        <v>5354</v>
      </c>
      <c r="H1273" t="s">
        <v>3800</v>
      </c>
      <c r="J1273" s="2">
        <v>41085</v>
      </c>
      <c r="K1273">
        <v>83.6</v>
      </c>
    </row>
    <row r="1274" spans="1:11" x14ac:dyDescent="0.35">
      <c r="A1274" s="2">
        <v>41086</v>
      </c>
      <c r="B1274" s="1">
        <v>0</v>
      </c>
      <c r="C1274" t="s">
        <v>5136</v>
      </c>
      <c r="D1274" t="s">
        <v>5050</v>
      </c>
      <c r="E1274" t="s">
        <v>5046</v>
      </c>
      <c r="F1274" t="s">
        <v>5168</v>
      </c>
      <c r="G1274" t="s">
        <v>5354</v>
      </c>
      <c r="H1274" t="s">
        <v>3798</v>
      </c>
      <c r="J1274" s="2">
        <v>41086</v>
      </c>
      <c r="K1274">
        <v>83.8</v>
      </c>
    </row>
    <row r="1275" spans="1:11" x14ac:dyDescent="0.35">
      <c r="A1275" s="2">
        <v>41087</v>
      </c>
      <c r="B1275" s="1">
        <v>0</v>
      </c>
      <c r="C1275" t="s">
        <v>5350</v>
      </c>
      <c r="D1275" t="s">
        <v>5054</v>
      </c>
      <c r="E1275" t="s">
        <v>5050</v>
      </c>
      <c r="F1275" t="s">
        <v>5168</v>
      </c>
      <c r="G1275" t="s">
        <v>5349</v>
      </c>
      <c r="H1275" t="s">
        <v>356</v>
      </c>
      <c r="J1275" s="2">
        <v>41087</v>
      </c>
      <c r="K1275">
        <v>86.8</v>
      </c>
    </row>
    <row r="1276" spans="1:11" x14ac:dyDescent="0.35">
      <c r="A1276" s="2">
        <v>41088</v>
      </c>
      <c r="B1276" s="1">
        <v>0</v>
      </c>
      <c r="C1276" t="s">
        <v>5570</v>
      </c>
      <c r="D1276" t="s">
        <v>5062</v>
      </c>
      <c r="E1276" t="s">
        <v>5240</v>
      </c>
      <c r="F1276" t="s">
        <v>5168</v>
      </c>
      <c r="G1276" t="s">
        <v>5343</v>
      </c>
      <c r="H1276" t="s">
        <v>468</v>
      </c>
      <c r="J1276" s="2">
        <v>41088</v>
      </c>
      <c r="K1276">
        <v>94.4</v>
      </c>
    </row>
    <row r="1277" spans="1:11" x14ac:dyDescent="0.35">
      <c r="A1277" s="2">
        <v>41089</v>
      </c>
      <c r="B1277" s="1">
        <v>0</v>
      </c>
      <c r="C1277" t="s">
        <v>5063</v>
      </c>
      <c r="D1277" t="s">
        <v>5099</v>
      </c>
      <c r="E1277" t="s">
        <v>5179</v>
      </c>
      <c r="F1277" t="s">
        <v>5168</v>
      </c>
      <c r="G1277" t="s">
        <v>5550</v>
      </c>
      <c r="H1277" t="s">
        <v>5658</v>
      </c>
      <c r="J1277" s="2">
        <v>41089</v>
      </c>
      <c r="K1277">
        <v>103.5</v>
      </c>
    </row>
    <row r="1278" spans="1:11" x14ac:dyDescent="0.35">
      <c r="A1278" s="2">
        <v>41090</v>
      </c>
      <c r="B1278" s="1">
        <v>0</v>
      </c>
      <c r="C1278" t="s">
        <v>5200</v>
      </c>
      <c r="D1278" t="s">
        <v>5124</v>
      </c>
      <c r="E1278" t="s">
        <v>5179</v>
      </c>
      <c r="F1278" t="s">
        <v>5168</v>
      </c>
      <c r="G1278" t="s">
        <v>5562</v>
      </c>
      <c r="H1278" t="s">
        <v>307</v>
      </c>
      <c r="J1278" s="2">
        <v>41090</v>
      </c>
      <c r="K1278">
        <v>106.7</v>
      </c>
    </row>
    <row r="1279" spans="1:11" x14ac:dyDescent="0.35">
      <c r="A1279" t="s">
        <v>1870</v>
      </c>
      <c r="B1279" s="1">
        <v>0</v>
      </c>
      <c r="C1279" t="s">
        <v>5229</v>
      </c>
      <c r="D1279" t="s">
        <v>5099</v>
      </c>
      <c r="E1279" t="s">
        <v>5179</v>
      </c>
      <c r="F1279" t="s">
        <v>5168</v>
      </c>
      <c r="G1279" t="s">
        <v>5409</v>
      </c>
      <c r="H1279" t="s">
        <v>5569</v>
      </c>
      <c r="J1279" t="s">
        <v>1870</v>
      </c>
      <c r="K1279">
        <v>104.1</v>
      </c>
    </row>
    <row r="1280" spans="1:11" x14ac:dyDescent="0.35">
      <c r="A1280" t="s">
        <v>1872</v>
      </c>
      <c r="B1280" s="1">
        <v>0</v>
      </c>
      <c r="C1280" t="s">
        <v>5622</v>
      </c>
      <c r="D1280" t="s">
        <v>5168</v>
      </c>
      <c r="E1280" t="s">
        <v>5395</v>
      </c>
      <c r="F1280" t="s">
        <v>5364</v>
      </c>
      <c r="G1280" t="s">
        <v>5624</v>
      </c>
      <c r="H1280" t="s">
        <v>1015</v>
      </c>
      <c r="J1280" t="s">
        <v>1872</v>
      </c>
      <c r="K1280">
        <v>75.400000000000006</v>
      </c>
    </row>
    <row r="1281" spans="1:11" x14ac:dyDescent="0.35">
      <c r="A1281" t="s">
        <v>1873</v>
      </c>
      <c r="B1281" s="1">
        <v>0</v>
      </c>
      <c r="C1281" t="s">
        <v>5196</v>
      </c>
      <c r="D1281" t="s">
        <v>5159</v>
      </c>
      <c r="E1281" t="s">
        <v>5396</v>
      </c>
      <c r="F1281" t="s">
        <v>5364</v>
      </c>
      <c r="G1281" t="s">
        <v>5557</v>
      </c>
      <c r="H1281" t="s">
        <v>376</v>
      </c>
      <c r="J1281" t="s">
        <v>1873</v>
      </c>
      <c r="K1281">
        <v>70.900000000000006</v>
      </c>
    </row>
    <row r="1282" spans="1:11" x14ac:dyDescent="0.35">
      <c r="A1282" t="s">
        <v>1875</v>
      </c>
      <c r="B1282" s="1">
        <v>0</v>
      </c>
      <c r="C1282" t="s">
        <v>5311</v>
      </c>
      <c r="D1282" t="s">
        <v>5159</v>
      </c>
      <c r="E1282" t="s">
        <v>5396</v>
      </c>
      <c r="F1282" t="s">
        <v>5364</v>
      </c>
      <c r="G1282" t="s">
        <v>5556</v>
      </c>
      <c r="H1282" t="s">
        <v>402</v>
      </c>
      <c r="J1282" t="s">
        <v>1875</v>
      </c>
      <c r="K1282">
        <v>70.8</v>
      </c>
    </row>
    <row r="1283" spans="1:11" x14ac:dyDescent="0.35">
      <c r="A1283" t="s">
        <v>1877</v>
      </c>
      <c r="B1283" s="1">
        <v>0</v>
      </c>
      <c r="C1283" t="s">
        <v>5430</v>
      </c>
      <c r="D1283" t="s">
        <v>5156</v>
      </c>
      <c r="E1283" t="s">
        <v>5395</v>
      </c>
      <c r="F1283" t="s">
        <v>5364</v>
      </c>
      <c r="G1283" t="s">
        <v>5557</v>
      </c>
      <c r="H1283" t="s">
        <v>412</v>
      </c>
      <c r="J1283" t="s">
        <v>1877</v>
      </c>
      <c r="K1283">
        <v>73.7</v>
      </c>
    </row>
    <row r="1284" spans="1:11" x14ac:dyDescent="0.35">
      <c r="A1284" t="s">
        <v>1880</v>
      </c>
      <c r="B1284" s="1">
        <v>0</v>
      </c>
      <c r="C1284" t="s">
        <v>5051</v>
      </c>
      <c r="D1284" t="s">
        <v>5334</v>
      </c>
      <c r="E1284" t="s">
        <v>5399</v>
      </c>
      <c r="F1284" t="s">
        <v>5364</v>
      </c>
      <c r="G1284" t="s">
        <v>5557</v>
      </c>
      <c r="H1284" t="s">
        <v>2910</v>
      </c>
      <c r="J1284" t="s">
        <v>1880</v>
      </c>
      <c r="K1284">
        <v>75.599999999999994</v>
      </c>
    </row>
    <row r="1285" spans="1:11" x14ac:dyDescent="0.35">
      <c r="A1285" t="s">
        <v>1882</v>
      </c>
      <c r="B1285" s="1">
        <v>0</v>
      </c>
      <c r="C1285" t="s">
        <v>5529</v>
      </c>
      <c r="D1285" t="s">
        <v>5153</v>
      </c>
      <c r="E1285" t="s">
        <v>5399</v>
      </c>
      <c r="F1285" t="s">
        <v>5364</v>
      </c>
      <c r="G1285" t="s">
        <v>5556</v>
      </c>
      <c r="H1285" t="s">
        <v>1039</v>
      </c>
      <c r="J1285" t="s">
        <v>1882</v>
      </c>
      <c r="K1285">
        <v>74.3</v>
      </c>
    </row>
    <row r="1286" spans="1:11" x14ac:dyDescent="0.35">
      <c r="A1286" t="s">
        <v>1884</v>
      </c>
      <c r="B1286" s="1">
        <v>0</v>
      </c>
      <c r="C1286" t="s">
        <v>5147</v>
      </c>
      <c r="D1286" t="s">
        <v>5337</v>
      </c>
      <c r="E1286" t="s">
        <v>5395</v>
      </c>
      <c r="F1286" t="s">
        <v>5364</v>
      </c>
      <c r="G1286" t="s">
        <v>5368</v>
      </c>
      <c r="H1286" t="s">
        <v>1488</v>
      </c>
      <c r="J1286" t="s">
        <v>1884</v>
      </c>
      <c r="K1286">
        <v>71</v>
      </c>
    </row>
    <row r="1287" spans="1:11" x14ac:dyDescent="0.35">
      <c r="A1287" t="s">
        <v>1885</v>
      </c>
      <c r="B1287" s="1">
        <v>0</v>
      </c>
      <c r="C1287" t="s">
        <v>5332</v>
      </c>
      <c r="D1287" t="s">
        <v>5168</v>
      </c>
      <c r="E1287" t="s">
        <v>5396</v>
      </c>
      <c r="F1287" t="s">
        <v>5364</v>
      </c>
      <c r="G1287" t="s">
        <v>5365</v>
      </c>
      <c r="H1287" t="s">
        <v>5263</v>
      </c>
      <c r="J1287" t="s">
        <v>1885</v>
      </c>
      <c r="K1287">
        <v>67.400000000000006</v>
      </c>
    </row>
    <row r="1288" spans="1:11" x14ac:dyDescent="0.35">
      <c r="A1288" t="s">
        <v>1887</v>
      </c>
      <c r="B1288" s="1">
        <v>0</v>
      </c>
      <c r="C1288" t="s">
        <v>5065</v>
      </c>
      <c r="D1288" t="s">
        <v>5177</v>
      </c>
      <c r="E1288" t="s">
        <v>5396</v>
      </c>
      <c r="F1288" t="s">
        <v>5364</v>
      </c>
      <c r="G1288" t="s">
        <v>5371</v>
      </c>
      <c r="H1288" t="s">
        <v>5639</v>
      </c>
      <c r="J1288" t="s">
        <v>1887</v>
      </c>
      <c r="K1288">
        <v>64.7</v>
      </c>
    </row>
    <row r="1289" spans="1:11" x14ac:dyDescent="0.35">
      <c r="A1289" t="s">
        <v>1888</v>
      </c>
      <c r="B1289" s="1">
        <v>0</v>
      </c>
      <c r="C1289" t="s">
        <v>5207</v>
      </c>
      <c r="D1289" t="s">
        <v>5184</v>
      </c>
      <c r="E1289" t="s">
        <v>5562</v>
      </c>
      <c r="F1289" t="s">
        <v>5364</v>
      </c>
      <c r="G1289" t="s">
        <v>5372</v>
      </c>
      <c r="H1289" t="s">
        <v>5615</v>
      </c>
      <c r="J1289" t="s">
        <v>1888</v>
      </c>
      <c r="K1289">
        <v>63.1</v>
      </c>
    </row>
    <row r="1290" spans="1:11" x14ac:dyDescent="0.35">
      <c r="A1290" t="s">
        <v>1889</v>
      </c>
      <c r="B1290" s="1">
        <v>0</v>
      </c>
      <c r="C1290" t="s">
        <v>5312</v>
      </c>
      <c r="D1290" t="s">
        <v>5195</v>
      </c>
      <c r="E1290" t="s">
        <v>5562</v>
      </c>
      <c r="F1290" t="s">
        <v>5364</v>
      </c>
      <c r="G1290" t="s">
        <v>5372</v>
      </c>
      <c r="H1290" t="s">
        <v>5643</v>
      </c>
      <c r="J1290" t="s">
        <v>1889</v>
      </c>
      <c r="K1290">
        <v>62</v>
      </c>
    </row>
    <row r="1291" spans="1:11" x14ac:dyDescent="0.35">
      <c r="A1291" t="s">
        <v>1890</v>
      </c>
      <c r="B1291" s="1">
        <v>0</v>
      </c>
      <c r="C1291" t="s">
        <v>5397</v>
      </c>
      <c r="D1291" t="s">
        <v>5186</v>
      </c>
      <c r="E1291" t="s">
        <v>5409</v>
      </c>
      <c r="F1291" t="s">
        <v>5364</v>
      </c>
      <c r="G1291" t="s">
        <v>5375</v>
      </c>
      <c r="H1291" t="s">
        <v>5479</v>
      </c>
      <c r="J1291" t="s">
        <v>1890</v>
      </c>
      <c r="K1291">
        <v>61.3</v>
      </c>
    </row>
    <row r="1292" spans="1:11" x14ac:dyDescent="0.35">
      <c r="A1292" t="s">
        <v>1891</v>
      </c>
      <c r="B1292" s="1">
        <v>0</v>
      </c>
      <c r="C1292" t="s">
        <v>5432</v>
      </c>
      <c r="D1292" t="s">
        <v>5195</v>
      </c>
      <c r="E1292" t="s">
        <v>5562</v>
      </c>
      <c r="F1292" t="s">
        <v>5364</v>
      </c>
      <c r="G1292" t="s">
        <v>5375</v>
      </c>
      <c r="H1292" t="s">
        <v>5499</v>
      </c>
      <c r="J1292" t="s">
        <v>1891</v>
      </c>
      <c r="K1292">
        <v>61.1</v>
      </c>
    </row>
    <row r="1293" spans="1:11" x14ac:dyDescent="0.35">
      <c r="A1293" t="s">
        <v>1892</v>
      </c>
      <c r="B1293" s="1">
        <v>0</v>
      </c>
      <c r="C1293" t="s">
        <v>5334</v>
      </c>
      <c r="D1293" t="s">
        <v>5177</v>
      </c>
      <c r="E1293" t="s">
        <v>5396</v>
      </c>
      <c r="F1293" t="s">
        <v>5364</v>
      </c>
      <c r="G1293" t="s">
        <v>5375</v>
      </c>
      <c r="H1293" t="s">
        <v>5479</v>
      </c>
      <c r="J1293" t="s">
        <v>1892</v>
      </c>
      <c r="K1293">
        <v>61.3</v>
      </c>
    </row>
    <row r="1294" spans="1:11" x14ac:dyDescent="0.35">
      <c r="A1294" t="s">
        <v>1893</v>
      </c>
      <c r="B1294" s="1">
        <v>0</v>
      </c>
      <c r="C1294" t="s">
        <v>5334</v>
      </c>
      <c r="D1294" t="s">
        <v>5156</v>
      </c>
      <c r="E1294" t="s">
        <v>5395</v>
      </c>
      <c r="F1294" t="s">
        <v>5364</v>
      </c>
      <c r="G1294" t="s">
        <v>5375</v>
      </c>
      <c r="H1294" t="s">
        <v>5632</v>
      </c>
      <c r="J1294" t="s">
        <v>1893</v>
      </c>
      <c r="K1294">
        <v>61.9</v>
      </c>
    </row>
    <row r="1295" spans="1:11" x14ac:dyDescent="0.35">
      <c r="A1295" t="s">
        <v>1894</v>
      </c>
      <c r="B1295" s="1">
        <v>0</v>
      </c>
      <c r="C1295" t="s">
        <v>5334</v>
      </c>
      <c r="D1295" t="s">
        <v>5339</v>
      </c>
      <c r="E1295" t="s">
        <v>5399</v>
      </c>
      <c r="F1295" t="s">
        <v>5364</v>
      </c>
      <c r="G1295" t="s">
        <v>5375</v>
      </c>
      <c r="H1295" t="s">
        <v>5643</v>
      </c>
      <c r="J1295" t="s">
        <v>1894</v>
      </c>
      <c r="K1295">
        <v>62</v>
      </c>
    </row>
    <row r="1296" spans="1:11" x14ac:dyDescent="0.35">
      <c r="A1296" t="s">
        <v>1895</v>
      </c>
      <c r="B1296" s="1">
        <v>0</v>
      </c>
      <c r="C1296" t="s">
        <v>5411</v>
      </c>
      <c r="D1296" t="s">
        <v>5168</v>
      </c>
      <c r="E1296" t="s">
        <v>5395</v>
      </c>
      <c r="F1296" t="s">
        <v>5364</v>
      </c>
      <c r="G1296" t="s">
        <v>5375</v>
      </c>
      <c r="H1296" t="s">
        <v>5587</v>
      </c>
      <c r="J1296" t="s">
        <v>1895</v>
      </c>
      <c r="K1296">
        <v>61.8</v>
      </c>
    </row>
    <row r="1297" spans="1:11" x14ac:dyDescent="0.35">
      <c r="A1297" t="s">
        <v>1896</v>
      </c>
      <c r="B1297" s="1">
        <v>0</v>
      </c>
      <c r="C1297" t="s">
        <v>5411</v>
      </c>
      <c r="D1297" t="s">
        <v>5348</v>
      </c>
      <c r="E1297" t="s">
        <v>5396</v>
      </c>
      <c r="F1297" t="s">
        <v>5364</v>
      </c>
      <c r="G1297" t="s">
        <v>5375</v>
      </c>
      <c r="H1297" t="s">
        <v>5498</v>
      </c>
      <c r="J1297" t="s">
        <v>1896</v>
      </c>
      <c r="K1297">
        <v>61.4</v>
      </c>
    </row>
    <row r="1298" spans="1:11" x14ac:dyDescent="0.35">
      <c r="A1298" t="s">
        <v>1897</v>
      </c>
      <c r="B1298" s="1">
        <v>0</v>
      </c>
      <c r="C1298" t="s">
        <v>5337</v>
      </c>
      <c r="D1298" t="s">
        <v>5180</v>
      </c>
      <c r="E1298" t="s">
        <v>5396</v>
      </c>
      <c r="F1298" t="s">
        <v>5364</v>
      </c>
      <c r="G1298" t="s">
        <v>5375</v>
      </c>
      <c r="H1298" t="s">
        <v>5629</v>
      </c>
      <c r="J1298" t="s">
        <v>1897</v>
      </c>
      <c r="K1298">
        <v>60.9</v>
      </c>
    </row>
    <row r="1299" spans="1:11" x14ac:dyDescent="0.35">
      <c r="A1299" t="s">
        <v>1898</v>
      </c>
      <c r="B1299" s="1">
        <v>0</v>
      </c>
      <c r="C1299" t="s">
        <v>5339</v>
      </c>
      <c r="D1299" t="s">
        <v>5195</v>
      </c>
      <c r="E1299" t="s">
        <v>5562</v>
      </c>
      <c r="F1299" t="s">
        <v>5364</v>
      </c>
      <c r="G1299" t="s">
        <v>5375</v>
      </c>
      <c r="H1299" t="s">
        <v>5586</v>
      </c>
      <c r="J1299" t="s">
        <v>1898</v>
      </c>
      <c r="K1299">
        <v>60.6</v>
      </c>
    </row>
    <row r="1300" spans="1:11" x14ac:dyDescent="0.35">
      <c r="A1300" t="s">
        <v>1899</v>
      </c>
      <c r="B1300" s="1">
        <v>0</v>
      </c>
      <c r="C1300" t="s">
        <v>5156</v>
      </c>
      <c r="D1300" t="s">
        <v>5186</v>
      </c>
      <c r="E1300" t="s">
        <v>5562</v>
      </c>
      <c r="F1300" t="s">
        <v>5364</v>
      </c>
      <c r="G1300" t="s">
        <v>5375</v>
      </c>
      <c r="H1300" t="s">
        <v>5609</v>
      </c>
      <c r="J1300" t="s">
        <v>1899</v>
      </c>
      <c r="K1300">
        <v>60.4</v>
      </c>
    </row>
    <row r="1301" spans="1:11" x14ac:dyDescent="0.35">
      <c r="A1301" t="s">
        <v>1900</v>
      </c>
      <c r="B1301" s="1">
        <v>0</v>
      </c>
      <c r="C1301" t="s">
        <v>5156</v>
      </c>
      <c r="D1301" t="s">
        <v>5189</v>
      </c>
      <c r="E1301" t="s">
        <v>5409</v>
      </c>
      <c r="F1301" t="s">
        <v>5364</v>
      </c>
      <c r="G1301" t="s">
        <v>5375</v>
      </c>
      <c r="H1301" t="s">
        <v>5616</v>
      </c>
      <c r="J1301" t="s">
        <v>1900</v>
      </c>
      <c r="K1301">
        <v>60.2</v>
      </c>
    </row>
    <row r="1302" spans="1:11" x14ac:dyDescent="0.35">
      <c r="A1302" t="s">
        <v>1901</v>
      </c>
      <c r="B1302" s="1">
        <v>0</v>
      </c>
      <c r="C1302" t="s">
        <v>5156</v>
      </c>
      <c r="D1302" t="s">
        <v>5189</v>
      </c>
      <c r="E1302" t="s">
        <v>5409</v>
      </c>
      <c r="F1302" t="s">
        <v>5364</v>
      </c>
      <c r="G1302" t="s">
        <v>5375</v>
      </c>
      <c r="H1302" t="s">
        <v>5616</v>
      </c>
      <c r="J1302" t="s">
        <v>1901</v>
      </c>
      <c r="K1302">
        <v>60.2</v>
      </c>
    </row>
    <row r="1303" spans="1:11" x14ac:dyDescent="0.35">
      <c r="A1303" t="s">
        <v>1902</v>
      </c>
      <c r="B1303" s="1">
        <v>0</v>
      </c>
      <c r="C1303" t="s">
        <v>5339</v>
      </c>
      <c r="D1303" t="s">
        <v>5189</v>
      </c>
      <c r="E1303" t="s">
        <v>5409</v>
      </c>
      <c r="F1303" t="s">
        <v>5364</v>
      </c>
      <c r="G1303" t="s">
        <v>5375</v>
      </c>
      <c r="H1303" t="s">
        <v>5130</v>
      </c>
      <c r="J1303" t="s">
        <v>1902</v>
      </c>
      <c r="K1303">
        <v>60.3</v>
      </c>
    </row>
    <row r="1304" spans="1:11" x14ac:dyDescent="0.35">
      <c r="A1304" t="s">
        <v>1903</v>
      </c>
      <c r="B1304" s="1">
        <v>0</v>
      </c>
      <c r="C1304" t="s">
        <v>5411</v>
      </c>
      <c r="D1304" t="s">
        <v>5357</v>
      </c>
      <c r="E1304" t="s">
        <v>5409</v>
      </c>
      <c r="F1304" t="s">
        <v>5364</v>
      </c>
      <c r="G1304" t="s">
        <v>5375</v>
      </c>
      <c r="H1304" t="s">
        <v>5134</v>
      </c>
      <c r="J1304" t="s">
        <v>1903</v>
      </c>
      <c r="K1304">
        <v>60.5</v>
      </c>
    </row>
    <row r="1305" spans="1:11" x14ac:dyDescent="0.35">
      <c r="A1305" t="s">
        <v>1904</v>
      </c>
      <c r="B1305" s="1">
        <v>0</v>
      </c>
      <c r="C1305" t="s">
        <v>5334</v>
      </c>
      <c r="D1305" t="s">
        <v>5357</v>
      </c>
      <c r="E1305" t="s">
        <v>5409</v>
      </c>
      <c r="F1305" t="s">
        <v>5364</v>
      </c>
      <c r="G1305" t="s">
        <v>5372</v>
      </c>
      <c r="H1305" t="s">
        <v>5586</v>
      </c>
      <c r="J1305" t="s">
        <v>1904</v>
      </c>
      <c r="K1305">
        <v>60.6</v>
      </c>
    </row>
    <row r="1306" spans="1:11" x14ac:dyDescent="0.35">
      <c r="A1306" t="s">
        <v>1905</v>
      </c>
      <c r="B1306" s="1">
        <v>0</v>
      </c>
      <c r="C1306" t="s">
        <v>5432</v>
      </c>
      <c r="D1306" t="s">
        <v>5357</v>
      </c>
      <c r="E1306" t="s">
        <v>5409</v>
      </c>
      <c r="F1306" t="s">
        <v>5364</v>
      </c>
      <c r="G1306" t="s">
        <v>5372</v>
      </c>
      <c r="H1306" t="s">
        <v>5231</v>
      </c>
      <c r="J1306" t="s">
        <v>1905</v>
      </c>
      <c r="K1306">
        <v>60.8</v>
      </c>
    </row>
    <row r="1307" spans="1:11" x14ac:dyDescent="0.35">
      <c r="A1307" t="s">
        <v>1906</v>
      </c>
      <c r="B1307" s="1">
        <v>0</v>
      </c>
      <c r="C1307" t="s">
        <v>5144</v>
      </c>
      <c r="D1307" t="s">
        <v>5357</v>
      </c>
      <c r="E1307" t="s">
        <v>5409</v>
      </c>
      <c r="F1307" t="s">
        <v>5364</v>
      </c>
      <c r="G1307" t="s">
        <v>5372</v>
      </c>
      <c r="H1307" t="s">
        <v>5455</v>
      </c>
      <c r="J1307" t="s">
        <v>1906</v>
      </c>
      <c r="K1307">
        <v>61</v>
      </c>
    </row>
    <row r="1308" spans="1:11" x14ac:dyDescent="0.35">
      <c r="A1308" t="s">
        <v>1907</v>
      </c>
      <c r="B1308" s="1">
        <v>0</v>
      </c>
      <c r="C1308" t="s">
        <v>5397</v>
      </c>
      <c r="D1308" t="s">
        <v>5357</v>
      </c>
      <c r="E1308" t="s">
        <v>5409</v>
      </c>
      <c r="F1308" t="s">
        <v>5364</v>
      </c>
      <c r="G1308" t="s">
        <v>5372</v>
      </c>
      <c r="H1308" t="s">
        <v>5499</v>
      </c>
      <c r="J1308" t="s">
        <v>1907</v>
      </c>
      <c r="K1308">
        <v>61.1</v>
      </c>
    </row>
    <row r="1309" spans="1:11" x14ac:dyDescent="0.35">
      <c r="A1309" t="s">
        <v>1908</v>
      </c>
      <c r="B1309" s="1">
        <v>0</v>
      </c>
      <c r="C1309" t="s">
        <v>5144</v>
      </c>
      <c r="D1309" t="s">
        <v>5357</v>
      </c>
      <c r="E1309" t="s">
        <v>5409</v>
      </c>
      <c r="F1309" t="s">
        <v>5364</v>
      </c>
      <c r="G1309" t="s">
        <v>5372</v>
      </c>
      <c r="H1309" t="s">
        <v>5455</v>
      </c>
      <c r="J1309" t="s">
        <v>1908</v>
      </c>
      <c r="K1309">
        <v>61</v>
      </c>
    </row>
    <row r="1310" spans="1:11" x14ac:dyDescent="0.35">
      <c r="A1310" s="2">
        <v>41122</v>
      </c>
      <c r="B1310" s="1">
        <v>0</v>
      </c>
      <c r="C1310" t="s">
        <v>5432</v>
      </c>
      <c r="D1310" t="s">
        <v>5357</v>
      </c>
      <c r="E1310" t="s">
        <v>5409</v>
      </c>
      <c r="F1310" t="s">
        <v>5364</v>
      </c>
      <c r="G1310" t="s">
        <v>5375</v>
      </c>
      <c r="H1310" t="s">
        <v>5580</v>
      </c>
      <c r="J1310" s="2">
        <v>41122</v>
      </c>
      <c r="K1310">
        <v>60.7</v>
      </c>
    </row>
    <row r="1311" spans="1:11" x14ac:dyDescent="0.35">
      <c r="A1311" s="2">
        <v>41123</v>
      </c>
      <c r="B1311" s="1">
        <v>0</v>
      </c>
      <c r="C1311" t="s">
        <v>5297</v>
      </c>
      <c r="D1311" t="s">
        <v>5168</v>
      </c>
      <c r="E1311" t="s">
        <v>5357</v>
      </c>
      <c r="F1311" t="s">
        <v>5383</v>
      </c>
      <c r="G1311" t="s">
        <v>5888</v>
      </c>
      <c r="H1311" t="s">
        <v>5628</v>
      </c>
      <c r="J1311" s="2">
        <v>41123</v>
      </c>
      <c r="K1311">
        <v>65.5</v>
      </c>
    </row>
    <row r="1312" spans="1:11" x14ac:dyDescent="0.35">
      <c r="A1312" s="2">
        <v>41124</v>
      </c>
      <c r="B1312" s="1">
        <v>0</v>
      </c>
      <c r="C1312" t="s">
        <v>5342</v>
      </c>
      <c r="D1312" t="s">
        <v>5168</v>
      </c>
      <c r="E1312" t="s">
        <v>5357</v>
      </c>
      <c r="F1312" t="s">
        <v>5383</v>
      </c>
      <c r="G1312" t="s">
        <v>5888</v>
      </c>
      <c r="H1312" t="s">
        <v>5565</v>
      </c>
      <c r="J1312" s="2">
        <v>41124</v>
      </c>
      <c r="K1312">
        <v>65.3</v>
      </c>
    </row>
    <row r="1313" spans="1:11" x14ac:dyDescent="0.35">
      <c r="A1313" s="2">
        <v>41125</v>
      </c>
      <c r="B1313" s="1">
        <v>0</v>
      </c>
      <c r="C1313" t="s">
        <v>5342</v>
      </c>
      <c r="D1313" t="s">
        <v>5168</v>
      </c>
      <c r="E1313" t="s">
        <v>5357</v>
      </c>
      <c r="F1313" t="s">
        <v>5383</v>
      </c>
      <c r="G1313" t="s">
        <v>5888</v>
      </c>
      <c r="H1313" t="s">
        <v>5565</v>
      </c>
      <c r="J1313" s="2">
        <v>41125</v>
      </c>
      <c r="K1313">
        <v>65.3</v>
      </c>
    </row>
    <row r="1314" spans="1:11" x14ac:dyDescent="0.35">
      <c r="A1314" s="2">
        <v>41126</v>
      </c>
      <c r="B1314" s="1">
        <v>0</v>
      </c>
      <c r="C1314" t="s">
        <v>5315</v>
      </c>
      <c r="D1314" t="s">
        <v>5168</v>
      </c>
      <c r="E1314" t="s">
        <v>5357</v>
      </c>
      <c r="F1314" t="s">
        <v>5383</v>
      </c>
      <c r="G1314" t="s">
        <v>5888</v>
      </c>
      <c r="H1314" t="s">
        <v>5614</v>
      </c>
      <c r="J1314" s="2">
        <v>41126</v>
      </c>
      <c r="K1314">
        <v>65.400000000000006</v>
      </c>
    </row>
    <row r="1315" spans="1:11" x14ac:dyDescent="0.35">
      <c r="A1315" s="2">
        <v>41127</v>
      </c>
      <c r="B1315" s="1">
        <v>0</v>
      </c>
      <c r="C1315" t="s">
        <v>5297</v>
      </c>
      <c r="D1315" t="s">
        <v>5156</v>
      </c>
      <c r="E1315" t="s">
        <v>5357</v>
      </c>
      <c r="F1315" t="s">
        <v>5383</v>
      </c>
      <c r="G1315" t="s">
        <v>5888</v>
      </c>
      <c r="H1315" t="s">
        <v>5592</v>
      </c>
      <c r="J1315" s="2">
        <v>41127</v>
      </c>
      <c r="K1315">
        <v>65.7</v>
      </c>
    </row>
    <row r="1316" spans="1:11" x14ac:dyDescent="0.35">
      <c r="A1316" s="2">
        <v>41128</v>
      </c>
      <c r="B1316" s="1">
        <v>0</v>
      </c>
      <c r="C1316" t="s">
        <v>5312</v>
      </c>
      <c r="D1316" t="s">
        <v>5337</v>
      </c>
      <c r="E1316" t="s">
        <v>5357</v>
      </c>
      <c r="F1316" t="s">
        <v>5383</v>
      </c>
      <c r="G1316" t="s">
        <v>5888</v>
      </c>
      <c r="H1316" t="s">
        <v>5265</v>
      </c>
      <c r="J1316" s="2">
        <v>41128</v>
      </c>
      <c r="K1316">
        <v>65.900000000000006</v>
      </c>
    </row>
    <row r="1317" spans="1:11" x14ac:dyDescent="0.35">
      <c r="A1317" s="2">
        <v>41129</v>
      </c>
      <c r="B1317" s="1">
        <v>0</v>
      </c>
      <c r="C1317" t="s">
        <v>5297</v>
      </c>
      <c r="D1317" t="s">
        <v>5411</v>
      </c>
      <c r="E1317" t="s">
        <v>5357</v>
      </c>
      <c r="F1317" t="s">
        <v>5383</v>
      </c>
      <c r="G1317" t="s">
        <v>5888</v>
      </c>
      <c r="H1317" t="s">
        <v>5265</v>
      </c>
      <c r="J1317" s="2">
        <v>41129</v>
      </c>
      <c r="K1317">
        <v>65.900000000000006</v>
      </c>
    </row>
    <row r="1318" spans="1:11" x14ac:dyDescent="0.35">
      <c r="A1318" s="2">
        <v>41130</v>
      </c>
      <c r="B1318" s="1">
        <v>0</v>
      </c>
      <c r="C1318" t="s">
        <v>5227</v>
      </c>
      <c r="D1318" t="s">
        <v>5432</v>
      </c>
      <c r="E1318" t="s">
        <v>5186</v>
      </c>
      <c r="F1318" t="s">
        <v>5383</v>
      </c>
      <c r="G1318" t="s">
        <v>5888</v>
      </c>
      <c r="H1318" t="s">
        <v>5263</v>
      </c>
      <c r="J1318" s="2">
        <v>41130</v>
      </c>
      <c r="K1318">
        <v>67.400000000000006</v>
      </c>
    </row>
    <row r="1319" spans="1:11" x14ac:dyDescent="0.35">
      <c r="A1319" s="2">
        <v>41131</v>
      </c>
      <c r="B1319" s="1">
        <v>0</v>
      </c>
      <c r="C1319" t="s">
        <v>5116</v>
      </c>
      <c r="D1319" t="s">
        <v>5297</v>
      </c>
      <c r="E1319" t="s">
        <v>5180</v>
      </c>
      <c r="F1319" t="s">
        <v>5383</v>
      </c>
      <c r="G1319" t="s">
        <v>5885</v>
      </c>
      <c r="H1319" t="s">
        <v>376</v>
      </c>
      <c r="J1319" s="2">
        <v>41131</v>
      </c>
      <c r="K1319">
        <v>70.900000000000006</v>
      </c>
    </row>
    <row r="1320" spans="1:11" x14ac:dyDescent="0.35">
      <c r="A1320" s="2">
        <v>41132</v>
      </c>
      <c r="B1320" s="1">
        <v>0</v>
      </c>
      <c r="C1320" t="s">
        <v>5527</v>
      </c>
      <c r="D1320" t="s">
        <v>5321</v>
      </c>
      <c r="E1320" t="s">
        <v>5168</v>
      </c>
      <c r="F1320" t="s">
        <v>5383</v>
      </c>
      <c r="G1320" t="s">
        <v>5884</v>
      </c>
      <c r="H1320" t="s">
        <v>1878</v>
      </c>
      <c r="J1320" s="2">
        <v>41132</v>
      </c>
      <c r="K1320">
        <v>75.5</v>
      </c>
    </row>
    <row r="1321" spans="1:11" x14ac:dyDescent="0.35">
      <c r="A1321" s="2">
        <v>41133</v>
      </c>
      <c r="B1321" s="1">
        <v>0</v>
      </c>
      <c r="C1321" t="s">
        <v>5047</v>
      </c>
      <c r="D1321" t="s">
        <v>5222</v>
      </c>
      <c r="E1321" t="s">
        <v>5156</v>
      </c>
      <c r="F1321" t="s">
        <v>5383</v>
      </c>
      <c r="G1321" t="s">
        <v>5879</v>
      </c>
      <c r="H1321" t="s">
        <v>441</v>
      </c>
      <c r="J1321" s="2">
        <v>41133</v>
      </c>
      <c r="K1321">
        <v>78.400000000000006</v>
      </c>
    </row>
    <row r="1322" spans="1:11" x14ac:dyDescent="0.35">
      <c r="A1322" s="2">
        <v>41134</v>
      </c>
      <c r="B1322" s="1">
        <v>0</v>
      </c>
      <c r="C1322" t="s">
        <v>5305</v>
      </c>
      <c r="D1322" t="s">
        <v>5046</v>
      </c>
      <c r="E1322" t="s">
        <v>5339</v>
      </c>
      <c r="F1322" t="s">
        <v>5383</v>
      </c>
      <c r="G1322" t="s">
        <v>5883</v>
      </c>
      <c r="H1322" t="s">
        <v>440</v>
      </c>
      <c r="J1322" s="2">
        <v>41134</v>
      </c>
      <c r="K1322">
        <v>80.8</v>
      </c>
    </row>
    <row r="1323" spans="1:11" x14ac:dyDescent="0.35">
      <c r="A1323" s="2">
        <v>41135</v>
      </c>
      <c r="B1323" s="1">
        <v>0</v>
      </c>
      <c r="C1323" t="s">
        <v>5622</v>
      </c>
      <c r="D1323" t="s">
        <v>5054</v>
      </c>
      <c r="E1323" t="s">
        <v>5411</v>
      </c>
      <c r="F1323" t="s">
        <v>5383</v>
      </c>
      <c r="G1323" t="s">
        <v>5886</v>
      </c>
      <c r="H1323" t="s">
        <v>1049</v>
      </c>
      <c r="J1323" s="2">
        <v>41135</v>
      </c>
      <c r="K1323">
        <v>82.6</v>
      </c>
    </row>
    <row r="1324" spans="1:11" x14ac:dyDescent="0.35">
      <c r="A1324" s="2">
        <v>41136</v>
      </c>
      <c r="B1324" s="1">
        <v>0</v>
      </c>
      <c r="C1324" t="s">
        <v>5292</v>
      </c>
      <c r="D1324" t="s">
        <v>5412</v>
      </c>
      <c r="E1324" t="s">
        <v>5432</v>
      </c>
      <c r="F1324" t="s">
        <v>5379</v>
      </c>
      <c r="G1324" t="s">
        <v>5882</v>
      </c>
      <c r="H1324" t="s">
        <v>448</v>
      </c>
      <c r="J1324" s="2">
        <v>41136</v>
      </c>
      <c r="K1324">
        <v>83.7</v>
      </c>
    </row>
    <row r="1325" spans="1:11" x14ac:dyDescent="0.35">
      <c r="A1325" s="2">
        <v>41137</v>
      </c>
      <c r="B1325" s="1">
        <v>0</v>
      </c>
      <c r="C1325" t="s">
        <v>5048</v>
      </c>
      <c r="D1325" t="s">
        <v>5062</v>
      </c>
      <c r="E1325" t="s">
        <v>5432</v>
      </c>
      <c r="F1325" t="s">
        <v>5379</v>
      </c>
      <c r="G1325" t="s">
        <v>5882</v>
      </c>
      <c r="H1325" t="s">
        <v>368</v>
      </c>
      <c r="J1325" s="2">
        <v>41137</v>
      </c>
      <c r="K1325">
        <v>83</v>
      </c>
    </row>
    <row r="1326" spans="1:11" x14ac:dyDescent="0.35">
      <c r="A1326" s="2">
        <v>41138</v>
      </c>
      <c r="B1326" s="1">
        <v>0</v>
      </c>
      <c r="C1326" t="s">
        <v>5300</v>
      </c>
      <c r="D1326" t="s">
        <v>5240</v>
      </c>
      <c r="E1326" t="s">
        <v>5153</v>
      </c>
      <c r="F1326" t="s">
        <v>5383</v>
      </c>
      <c r="G1326" t="s">
        <v>5880</v>
      </c>
      <c r="H1326" t="s">
        <v>2916</v>
      </c>
      <c r="J1326" s="2">
        <v>41138</v>
      </c>
      <c r="K1326">
        <v>80.400000000000006</v>
      </c>
    </row>
    <row r="1327" spans="1:11" x14ac:dyDescent="0.35">
      <c r="A1327" s="2">
        <v>41139</v>
      </c>
      <c r="B1327" s="1">
        <v>0</v>
      </c>
      <c r="C1327" t="s">
        <v>5139</v>
      </c>
      <c r="D1327" t="s">
        <v>5174</v>
      </c>
      <c r="E1327" t="s">
        <v>5411</v>
      </c>
      <c r="F1327" t="s">
        <v>5383</v>
      </c>
      <c r="G1327" t="s">
        <v>5880</v>
      </c>
      <c r="H1327" t="s">
        <v>2603</v>
      </c>
      <c r="J1327" s="2">
        <v>41139</v>
      </c>
      <c r="K1327">
        <v>79.7</v>
      </c>
    </row>
    <row r="1328" spans="1:11" x14ac:dyDescent="0.35">
      <c r="A1328" s="2">
        <v>41140</v>
      </c>
      <c r="B1328" s="1">
        <v>0</v>
      </c>
      <c r="C1328" t="s">
        <v>5051</v>
      </c>
      <c r="D1328" t="s">
        <v>5050</v>
      </c>
      <c r="E1328" t="s">
        <v>5334</v>
      </c>
      <c r="F1328" t="s">
        <v>5383</v>
      </c>
      <c r="G1328" t="s">
        <v>5882</v>
      </c>
      <c r="H1328" t="s">
        <v>467</v>
      </c>
      <c r="J1328" s="2">
        <v>41140</v>
      </c>
      <c r="K1328">
        <v>82.4</v>
      </c>
    </row>
    <row r="1329" spans="1:11" x14ac:dyDescent="0.35">
      <c r="A1329" s="2">
        <v>41141</v>
      </c>
      <c r="B1329" s="1">
        <v>0</v>
      </c>
      <c r="C1329" t="s">
        <v>5425</v>
      </c>
      <c r="D1329" t="s">
        <v>5475</v>
      </c>
      <c r="E1329" t="s">
        <v>5140</v>
      </c>
      <c r="F1329" t="s">
        <v>5383</v>
      </c>
      <c r="G1329" t="s">
        <v>5881</v>
      </c>
      <c r="H1329" t="s">
        <v>984</v>
      </c>
      <c r="J1329" s="2">
        <v>41141</v>
      </c>
      <c r="K1329">
        <v>87.1</v>
      </c>
    </row>
    <row r="1330" spans="1:11" x14ac:dyDescent="0.35">
      <c r="A1330" s="2">
        <v>41142</v>
      </c>
      <c r="B1330" s="1">
        <v>0</v>
      </c>
      <c r="C1330" t="s">
        <v>5064</v>
      </c>
      <c r="D1330" t="s">
        <v>5215</v>
      </c>
      <c r="E1330" t="s">
        <v>5400</v>
      </c>
      <c r="F1330" t="s">
        <v>5383</v>
      </c>
      <c r="G1330" t="s">
        <v>5364</v>
      </c>
      <c r="H1330" t="s">
        <v>361</v>
      </c>
      <c r="J1330" s="2">
        <v>41142</v>
      </c>
      <c r="K1330">
        <v>87.9</v>
      </c>
    </row>
    <row r="1331" spans="1:11" x14ac:dyDescent="0.35">
      <c r="A1331" s="2">
        <v>41143</v>
      </c>
      <c r="B1331" s="1">
        <v>0</v>
      </c>
      <c r="C1331" t="s">
        <v>5301</v>
      </c>
      <c r="D1331" t="s">
        <v>5095</v>
      </c>
      <c r="E1331" t="s">
        <v>5315</v>
      </c>
      <c r="F1331" t="s">
        <v>5383</v>
      </c>
      <c r="G1331" t="s">
        <v>5881</v>
      </c>
      <c r="H1331" t="s">
        <v>350</v>
      </c>
      <c r="J1331" s="2">
        <v>41143</v>
      </c>
      <c r="K1331">
        <v>86.4</v>
      </c>
    </row>
    <row r="1332" spans="1:11" x14ac:dyDescent="0.35">
      <c r="A1332" s="2">
        <v>41144</v>
      </c>
      <c r="B1332" s="1">
        <v>0</v>
      </c>
      <c r="C1332" t="s">
        <v>5307</v>
      </c>
      <c r="D1332" t="s">
        <v>5077</v>
      </c>
      <c r="E1332" t="s">
        <v>5294</v>
      </c>
      <c r="F1332" t="s">
        <v>5383</v>
      </c>
      <c r="G1332" t="s">
        <v>5882</v>
      </c>
      <c r="H1332" t="s">
        <v>322</v>
      </c>
      <c r="J1332" s="2">
        <v>41144</v>
      </c>
      <c r="K1332">
        <v>84</v>
      </c>
    </row>
    <row r="1333" spans="1:11" x14ac:dyDescent="0.35">
      <c r="A1333" s="2">
        <v>41145</v>
      </c>
      <c r="B1333" s="1">
        <v>0</v>
      </c>
      <c r="C1333" t="s">
        <v>5351</v>
      </c>
      <c r="D1333" t="s">
        <v>5493</v>
      </c>
      <c r="E1333" t="s">
        <v>5288</v>
      </c>
      <c r="F1333" t="s">
        <v>5383</v>
      </c>
      <c r="G1333" t="s">
        <v>5886</v>
      </c>
      <c r="H1333" t="s">
        <v>1533</v>
      </c>
      <c r="J1333" s="2">
        <v>41145</v>
      </c>
      <c r="K1333">
        <v>81.7</v>
      </c>
    </row>
    <row r="1334" spans="1:11" x14ac:dyDescent="0.35">
      <c r="A1334" s="2">
        <v>41146</v>
      </c>
      <c r="B1334" s="1">
        <v>0</v>
      </c>
      <c r="C1334" t="s">
        <v>5188</v>
      </c>
      <c r="D1334" t="s">
        <v>5355</v>
      </c>
      <c r="E1334" t="s">
        <v>5291</v>
      </c>
      <c r="F1334" t="s">
        <v>5383</v>
      </c>
      <c r="G1334" t="s">
        <v>5879</v>
      </c>
      <c r="H1334" t="s">
        <v>2603</v>
      </c>
      <c r="J1334" s="2">
        <v>41146</v>
      </c>
      <c r="K1334">
        <v>79.7</v>
      </c>
    </row>
    <row r="1335" spans="1:11" x14ac:dyDescent="0.35">
      <c r="A1335" s="2">
        <v>41147</v>
      </c>
      <c r="B1335" s="1">
        <v>0</v>
      </c>
      <c r="C1335" t="s">
        <v>5136</v>
      </c>
      <c r="D1335" t="s">
        <v>5358</v>
      </c>
      <c r="E1335" t="s">
        <v>5312</v>
      </c>
      <c r="F1335" t="s">
        <v>5383</v>
      </c>
      <c r="G1335" t="s">
        <v>5884</v>
      </c>
      <c r="H1335" t="s">
        <v>1914</v>
      </c>
      <c r="J1335" s="2">
        <v>41147</v>
      </c>
      <c r="K1335">
        <v>77.7</v>
      </c>
    </row>
    <row r="1336" spans="1:11" x14ac:dyDescent="0.35">
      <c r="A1336" s="2">
        <v>41148</v>
      </c>
      <c r="B1336" s="1">
        <v>0</v>
      </c>
      <c r="C1336" t="s">
        <v>5332</v>
      </c>
      <c r="D1336" t="s">
        <v>5110</v>
      </c>
      <c r="E1336" t="s">
        <v>5400</v>
      </c>
      <c r="F1336" t="s">
        <v>5383</v>
      </c>
      <c r="G1336" t="s">
        <v>5884</v>
      </c>
      <c r="H1336" t="s">
        <v>1911</v>
      </c>
      <c r="J1336" s="2">
        <v>41148</v>
      </c>
      <c r="K1336">
        <v>77.099999999999994</v>
      </c>
    </row>
    <row r="1337" spans="1:11" x14ac:dyDescent="0.35">
      <c r="A1337" s="2">
        <v>41149</v>
      </c>
      <c r="B1337" s="1">
        <v>0</v>
      </c>
      <c r="C1337" t="s">
        <v>5526</v>
      </c>
      <c r="D1337" t="s">
        <v>5077</v>
      </c>
      <c r="E1337" t="s">
        <v>5397</v>
      </c>
      <c r="F1337" t="s">
        <v>5383</v>
      </c>
      <c r="G1337" t="s">
        <v>5883</v>
      </c>
      <c r="H1337" t="s">
        <v>2604</v>
      </c>
      <c r="J1337" s="2">
        <v>41149</v>
      </c>
      <c r="K1337">
        <v>80.599999999999994</v>
      </c>
    </row>
    <row r="1338" spans="1:11" x14ac:dyDescent="0.35">
      <c r="A1338" s="2">
        <v>41150</v>
      </c>
      <c r="B1338" s="1">
        <v>0</v>
      </c>
      <c r="C1338" t="s">
        <v>5237</v>
      </c>
      <c r="D1338" t="s">
        <v>5155</v>
      </c>
      <c r="E1338" t="s">
        <v>5294</v>
      </c>
      <c r="F1338" t="s">
        <v>5383</v>
      </c>
      <c r="G1338" t="s">
        <v>5364</v>
      </c>
      <c r="H1338" t="s">
        <v>462</v>
      </c>
      <c r="J1338" s="2">
        <v>41150</v>
      </c>
      <c r="K1338">
        <v>92.8</v>
      </c>
    </row>
    <row r="1339" spans="1:11" x14ac:dyDescent="0.35">
      <c r="A1339" s="2">
        <v>41151</v>
      </c>
      <c r="B1339" s="1">
        <v>0</v>
      </c>
      <c r="C1339" t="s">
        <v>5235</v>
      </c>
      <c r="D1339" t="s">
        <v>5194</v>
      </c>
      <c r="E1339" t="s">
        <v>5054</v>
      </c>
      <c r="F1339" t="s">
        <v>5379</v>
      </c>
      <c r="G1339" t="s">
        <v>5376</v>
      </c>
      <c r="H1339" t="s">
        <v>1446</v>
      </c>
      <c r="J1339" s="2">
        <v>41151</v>
      </c>
      <c r="K1339">
        <v>112.6</v>
      </c>
    </row>
    <row r="1340" spans="1:11" x14ac:dyDescent="0.35">
      <c r="A1340" s="2">
        <v>41152</v>
      </c>
      <c r="B1340" s="1">
        <v>0</v>
      </c>
      <c r="C1340" t="s">
        <v>5520</v>
      </c>
      <c r="D1340" t="s">
        <v>5546</v>
      </c>
      <c r="E1340" t="s">
        <v>5092</v>
      </c>
      <c r="F1340" t="s">
        <v>5379</v>
      </c>
      <c r="G1340" t="s">
        <v>5394</v>
      </c>
      <c r="H1340" t="s">
        <v>1454</v>
      </c>
      <c r="J1340" s="2">
        <v>41152</v>
      </c>
      <c r="K1340">
        <v>128.19999999999999</v>
      </c>
    </row>
    <row r="1341" spans="1:11" x14ac:dyDescent="0.35">
      <c r="A1341" t="s">
        <v>1923</v>
      </c>
      <c r="B1341" s="1">
        <v>0</v>
      </c>
      <c r="C1341" t="s">
        <v>5490</v>
      </c>
      <c r="D1341" t="s">
        <v>5298</v>
      </c>
      <c r="E1341" t="s">
        <v>5356</v>
      </c>
      <c r="F1341" t="s">
        <v>5379</v>
      </c>
      <c r="G1341" t="s">
        <v>5394</v>
      </c>
      <c r="H1341" t="s">
        <v>5</v>
      </c>
      <c r="J1341" t="s">
        <v>1923</v>
      </c>
      <c r="K1341">
        <v>131.9</v>
      </c>
    </row>
    <row r="1342" spans="1:11" x14ac:dyDescent="0.35">
      <c r="A1342" t="s">
        <v>1925</v>
      </c>
      <c r="B1342" s="1">
        <v>0</v>
      </c>
      <c r="C1342" t="s">
        <v>5620</v>
      </c>
      <c r="D1342" t="s">
        <v>5310</v>
      </c>
      <c r="E1342" t="s">
        <v>5324</v>
      </c>
      <c r="F1342" t="s">
        <v>5156</v>
      </c>
      <c r="G1342" t="s">
        <v>5186</v>
      </c>
      <c r="H1342" t="s">
        <v>1981</v>
      </c>
      <c r="J1342" t="s">
        <v>1925</v>
      </c>
      <c r="K1342">
        <v>156.9</v>
      </c>
    </row>
    <row r="1343" spans="1:11" x14ac:dyDescent="0.35">
      <c r="A1343" t="s">
        <v>1926</v>
      </c>
      <c r="B1343" s="1">
        <v>0</v>
      </c>
      <c r="C1343" t="s">
        <v>5470</v>
      </c>
      <c r="D1343" t="s">
        <v>5524</v>
      </c>
      <c r="E1343" t="s">
        <v>5293</v>
      </c>
      <c r="F1343" t="s">
        <v>5156</v>
      </c>
      <c r="G1343" t="s">
        <v>5357</v>
      </c>
      <c r="H1343" t="s">
        <v>859</v>
      </c>
      <c r="J1343" t="s">
        <v>1926</v>
      </c>
      <c r="K1343">
        <v>150.30000000000001</v>
      </c>
    </row>
    <row r="1344" spans="1:11" x14ac:dyDescent="0.35">
      <c r="A1344" t="s">
        <v>1927</v>
      </c>
      <c r="B1344" s="1">
        <v>0</v>
      </c>
      <c r="C1344" t="s">
        <v>5613</v>
      </c>
      <c r="D1344" t="s">
        <v>5292</v>
      </c>
      <c r="E1344" t="s">
        <v>5196</v>
      </c>
      <c r="F1344" t="s">
        <v>5168</v>
      </c>
      <c r="G1344" t="s">
        <v>5419</v>
      </c>
      <c r="H1344" t="s">
        <v>16</v>
      </c>
      <c r="J1344" t="s">
        <v>1927</v>
      </c>
      <c r="K1344">
        <v>139.6</v>
      </c>
    </row>
    <row r="1345" spans="1:11" x14ac:dyDescent="0.35">
      <c r="A1345" t="s">
        <v>1928</v>
      </c>
      <c r="B1345" s="1">
        <v>0</v>
      </c>
      <c r="C1345" t="s">
        <v>5573</v>
      </c>
      <c r="D1345" t="s">
        <v>5322</v>
      </c>
      <c r="E1345" t="s">
        <v>5316</v>
      </c>
      <c r="F1345" t="s">
        <v>5168</v>
      </c>
      <c r="G1345" t="s">
        <v>5399</v>
      </c>
      <c r="H1345" t="s">
        <v>122</v>
      </c>
      <c r="J1345" t="s">
        <v>1928</v>
      </c>
      <c r="K1345">
        <v>131.80000000000001</v>
      </c>
    </row>
    <row r="1346" spans="1:11" x14ac:dyDescent="0.35">
      <c r="A1346" t="s">
        <v>1930</v>
      </c>
      <c r="B1346" s="1">
        <v>0</v>
      </c>
      <c r="C1346" t="s">
        <v>5279</v>
      </c>
      <c r="D1346" t="s">
        <v>5325</v>
      </c>
      <c r="E1346" t="s">
        <v>5316</v>
      </c>
      <c r="F1346" t="s">
        <v>5156</v>
      </c>
      <c r="G1346" t="s">
        <v>5396</v>
      </c>
      <c r="H1346" t="s">
        <v>515</v>
      </c>
      <c r="J1346" t="s">
        <v>1930</v>
      </c>
      <c r="K1346">
        <v>127.9</v>
      </c>
    </row>
    <row r="1347" spans="1:11" x14ac:dyDescent="0.35">
      <c r="A1347" t="s">
        <v>1932</v>
      </c>
      <c r="B1347" s="1">
        <v>0</v>
      </c>
      <c r="C1347" t="s">
        <v>5366</v>
      </c>
      <c r="D1347" t="s">
        <v>5322</v>
      </c>
      <c r="E1347" t="s">
        <v>5549</v>
      </c>
      <c r="F1347" t="s">
        <v>5156</v>
      </c>
      <c r="G1347" t="s">
        <v>5409</v>
      </c>
      <c r="H1347" t="s">
        <v>304</v>
      </c>
      <c r="J1347" t="s">
        <v>1932</v>
      </c>
      <c r="K1347">
        <v>128.30000000000001</v>
      </c>
    </row>
    <row r="1348" spans="1:11" x14ac:dyDescent="0.35">
      <c r="A1348" t="s">
        <v>1933</v>
      </c>
      <c r="B1348" s="1">
        <v>0</v>
      </c>
      <c r="C1348" t="s">
        <v>5387</v>
      </c>
      <c r="D1348" t="s">
        <v>5546</v>
      </c>
      <c r="E1348" t="s">
        <v>5598</v>
      </c>
      <c r="F1348" t="s">
        <v>5156</v>
      </c>
      <c r="G1348" t="s">
        <v>5562</v>
      </c>
      <c r="H1348" t="s">
        <v>281</v>
      </c>
      <c r="J1348" t="s">
        <v>1933</v>
      </c>
      <c r="K1348">
        <v>132.30000000000001</v>
      </c>
    </row>
    <row r="1349" spans="1:11" x14ac:dyDescent="0.35">
      <c r="A1349" t="s">
        <v>1935</v>
      </c>
      <c r="B1349" s="1">
        <v>0</v>
      </c>
      <c r="C1349" t="s">
        <v>5128</v>
      </c>
      <c r="D1349" t="s">
        <v>5320</v>
      </c>
      <c r="E1349" t="s">
        <v>5547</v>
      </c>
      <c r="F1349" t="s">
        <v>5156</v>
      </c>
      <c r="G1349" t="s">
        <v>5402</v>
      </c>
      <c r="H1349" t="s">
        <v>5653</v>
      </c>
      <c r="J1349" t="s">
        <v>1935</v>
      </c>
      <c r="K1349">
        <v>140.6</v>
      </c>
    </row>
    <row r="1350" spans="1:11" x14ac:dyDescent="0.35">
      <c r="A1350" t="s">
        <v>1936</v>
      </c>
      <c r="B1350" s="1">
        <v>0</v>
      </c>
      <c r="C1350" t="s">
        <v>5477</v>
      </c>
      <c r="D1350" t="s">
        <v>5568</v>
      </c>
      <c r="E1350" t="s">
        <v>5547</v>
      </c>
      <c r="F1350" t="s">
        <v>5156</v>
      </c>
      <c r="G1350" t="s">
        <v>5357</v>
      </c>
      <c r="H1350" t="s">
        <v>160</v>
      </c>
      <c r="J1350" t="s">
        <v>1936</v>
      </c>
      <c r="K1350">
        <v>147.80000000000001</v>
      </c>
    </row>
    <row r="1351" spans="1:11" x14ac:dyDescent="0.35">
      <c r="A1351" t="s">
        <v>1938</v>
      </c>
      <c r="B1351" s="1">
        <v>0</v>
      </c>
      <c r="C1351" t="s">
        <v>5265</v>
      </c>
      <c r="D1351" t="s">
        <v>5525</v>
      </c>
      <c r="E1351" t="s">
        <v>5194</v>
      </c>
      <c r="F1351" t="s">
        <v>5156</v>
      </c>
      <c r="G1351" t="s">
        <v>5186</v>
      </c>
      <c r="H1351" t="s">
        <v>152</v>
      </c>
      <c r="J1351" t="s">
        <v>1938</v>
      </c>
      <c r="K1351">
        <v>149</v>
      </c>
    </row>
    <row r="1352" spans="1:11" x14ac:dyDescent="0.35">
      <c r="A1352" t="s">
        <v>1939</v>
      </c>
      <c r="B1352" s="1">
        <v>0</v>
      </c>
      <c r="C1352" t="s">
        <v>5628</v>
      </c>
      <c r="D1352" t="s">
        <v>5298</v>
      </c>
      <c r="E1352" t="s">
        <v>5551</v>
      </c>
      <c r="F1352" t="s">
        <v>5156</v>
      </c>
      <c r="G1352" t="s">
        <v>5186</v>
      </c>
      <c r="H1352" t="s">
        <v>554</v>
      </c>
      <c r="J1352" t="s">
        <v>1939</v>
      </c>
      <c r="K1352">
        <v>148.30000000000001</v>
      </c>
    </row>
    <row r="1353" spans="1:11" x14ac:dyDescent="0.35">
      <c r="A1353" t="s">
        <v>1940</v>
      </c>
      <c r="B1353" s="1">
        <v>0</v>
      </c>
      <c r="C1353" t="s">
        <v>5564</v>
      </c>
      <c r="D1353" t="s">
        <v>5320</v>
      </c>
      <c r="E1353" t="s">
        <v>5311</v>
      </c>
      <c r="F1353" t="s">
        <v>5156</v>
      </c>
      <c r="G1353" t="s">
        <v>5195</v>
      </c>
      <c r="H1353" t="s">
        <v>848</v>
      </c>
      <c r="J1353" t="s">
        <v>1940</v>
      </c>
      <c r="K1353">
        <v>146.5</v>
      </c>
    </row>
    <row r="1354" spans="1:11" x14ac:dyDescent="0.35">
      <c r="A1354" t="s">
        <v>1941</v>
      </c>
      <c r="B1354" s="1">
        <v>0</v>
      </c>
      <c r="C1354" t="s">
        <v>5618</v>
      </c>
      <c r="D1354" t="s">
        <v>5525</v>
      </c>
      <c r="E1354" t="s">
        <v>5311</v>
      </c>
      <c r="F1354" t="s">
        <v>5156</v>
      </c>
      <c r="G1354" t="s">
        <v>5186</v>
      </c>
      <c r="H1354" t="s">
        <v>173</v>
      </c>
      <c r="J1354" t="s">
        <v>1941</v>
      </c>
      <c r="K1354">
        <v>144.19999999999999</v>
      </c>
    </row>
    <row r="1355" spans="1:11" x14ac:dyDescent="0.35">
      <c r="A1355" t="s">
        <v>1943</v>
      </c>
      <c r="B1355" s="1">
        <v>0</v>
      </c>
      <c r="C1355" t="s">
        <v>5499</v>
      </c>
      <c r="D1355" t="s">
        <v>5070</v>
      </c>
      <c r="E1355" t="s">
        <v>5421</v>
      </c>
      <c r="F1355" t="s">
        <v>5156</v>
      </c>
      <c r="G1355" t="s">
        <v>5189</v>
      </c>
      <c r="H1355" t="s">
        <v>93</v>
      </c>
      <c r="J1355" t="s">
        <v>1943</v>
      </c>
      <c r="K1355">
        <v>146.9</v>
      </c>
    </row>
    <row r="1356" spans="1:11" x14ac:dyDescent="0.35">
      <c r="A1356" t="s">
        <v>1945</v>
      </c>
      <c r="B1356" s="1">
        <v>0</v>
      </c>
      <c r="C1356" t="s">
        <v>5587</v>
      </c>
      <c r="D1356" t="s">
        <v>5160</v>
      </c>
      <c r="E1356" t="s">
        <v>5529</v>
      </c>
      <c r="F1356" t="s">
        <v>5156</v>
      </c>
      <c r="G1356" t="s">
        <v>5405</v>
      </c>
      <c r="H1356" t="s">
        <v>186</v>
      </c>
      <c r="J1356" t="s">
        <v>1945</v>
      </c>
      <c r="K1356">
        <v>152.4</v>
      </c>
    </row>
    <row r="1357" spans="1:11" x14ac:dyDescent="0.35">
      <c r="A1357" t="s">
        <v>1946</v>
      </c>
      <c r="B1357" s="1">
        <v>0</v>
      </c>
      <c r="C1357" t="s">
        <v>5477</v>
      </c>
      <c r="D1357" t="s">
        <v>5102</v>
      </c>
      <c r="E1357" t="s">
        <v>5049</v>
      </c>
      <c r="F1357" t="s">
        <v>5156</v>
      </c>
      <c r="G1357" t="s">
        <v>5405</v>
      </c>
      <c r="H1357" t="s">
        <v>68</v>
      </c>
      <c r="J1357" t="s">
        <v>1946</v>
      </c>
      <c r="K1357">
        <v>156.80000000000001</v>
      </c>
    </row>
    <row r="1358" spans="1:11" x14ac:dyDescent="0.35">
      <c r="A1358" t="s">
        <v>1947</v>
      </c>
      <c r="B1358" s="1">
        <v>0</v>
      </c>
      <c r="C1358" t="s">
        <v>5263</v>
      </c>
      <c r="D1358" t="s">
        <v>5120</v>
      </c>
      <c r="E1358" t="s">
        <v>5416</v>
      </c>
      <c r="F1358" t="s">
        <v>5156</v>
      </c>
      <c r="G1358" t="s">
        <v>5189</v>
      </c>
      <c r="H1358" t="s">
        <v>1755</v>
      </c>
      <c r="J1358" t="s">
        <v>1947</v>
      </c>
      <c r="K1358">
        <v>161.1</v>
      </c>
    </row>
    <row r="1359" spans="1:11" x14ac:dyDescent="0.35">
      <c r="A1359" t="s">
        <v>1948</v>
      </c>
      <c r="B1359" s="1">
        <v>0</v>
      </c>
      <c r="C1359" t="s">
        <v>437</v>
      </c>
      <c r="D1359" t="s">
        <v>5123</v>
      </c>
      <c r="E1359" t="s">
        <v>5423</v>
      </c>
      <c r="F1359" t="s">
        <v>5156</v>
      </c>
      <c r="G1359" t="s">
        <v>5195</v>
      </c>
      <c r="H1359" t="s">
        <v>879</v>
      </c>
      <c r="J1359" t="s">
        <v>1948</v>
      </c>
      <c r="K1359">
        <v>162.6</v>
      </c>
    </row>
    <row r="1360" spans="1:11" x14ac:dyDescent="0.35">
      <c r="A1360" t="s">
        <v>1949</v>
      </c>
      <c r="B1360" s="1">
        <v>0</v>
      </c>
      <c r="C1360" t="s">
        <v>5640</v>
      </c>
      <c r="D1360" t="s">
        <v>5249</v>
      </c>
      <c r="E1360" t="s">
        <v>5430</v>
      </c>
      <c r="F1360" t="s">
        <v>5156</v>
      </c>
      <c r="G1360" t="s">
        <v>5195</v>
      </c>
      <c r="H1360" t="s">
        <v>193</v>
      </c>
      <c r="J1360" t="s">
        <v>1949</v>
      </c>
      <c r="K1360">
        <v>158.30000000000001</v>
      </c>
    </row>
    <row r="1361" spans="1:11" x14ac:dyDescent="0.35">
      <c r="A1361" t="s">
        <v>1950</v>
      </c>
      <c r="B1361" s="1">
        <v>0</v>
      </c>
      <c r="C1361" t="s">
        <v>5614</v>
      </c>
      <c r="D1361" t="s">
        <v>5059</v>
      </c>
      <c r="E1361" t="s">
        <v>5327</v>
      </c>
      <c r="F1361" t="s">
        <v>5156</v>
      </c>
      <c r="G1361" t="s">
        <v>5186</v>
      </c>
      <c r="H1361" t="s">
        <v>2487</v>
      </c>
      <c r="J1361" t="s">
        <v>1950</v>
      </c>
      <c r="K1361">
        <v>155.19999999999999</v>
      </c>
    </row>
    <row r="1362" spans="1:11" x14ac:dyDescent="0.35">
      <c r="A1362" t="s">
        <v>1953</v>
      </c>
      <c r="B1362" s="1">
        <v>0</v>
      </c>
      <c r="C1362" t="s">
        <v>437</v>
      </c>
      <c r="D1362" t="s">
        <v>5255</v>
      </c>
      <c r="E1362" t="s">
        <v>5324</v>
      </c>
      <c r="F1362" t="s">
        <v>5156</v>
      </c>
      <c r="G1362" t="s">
        <v>5186</v>
      </c>
      <c r="H1362" t="s">
        <v>101</v>
      </c>
      <c r="J1362" t="s">
        <v>1953</v>
      </c>
      <c r="K1362">
        <v>158.5</v>
      </c>
    </row>
    <row r="1363" spans="1:11" x14ac:dyDescent="0.35">
      <c r="A1363" t="s">
        <v>1954</v>
      </c>
      <c r="B1363" s="1">
        <v>0</v>
      </c>
      <c r="C1363" t="s">
        <v>2584</v>
      </c>
      <c r="D1363" t="s">
        <v>5306</v>
      </c>
      <c r="E1363" t="s">
        <v>5322</v>
      </c>
      <c r="F1363" t="s">
        <v>5156</v>
      </c>
      <c r="G1363" t="s">
        <v>5195</v>
      </c>
      <c r="H1363" t="s">
        <v>887</v>
      </c>
      <c r="J1363" t="s">
        <v>1954</v>
      </c>
      <c r="K1363">
        <v>163.1</v>
      </c>
    </row>
    <row r="1364" spans="1:11" x14ac:dyDescent="0.35">
      <c r="A1364" t="s">
        <v>1955</v>
      </c>
      <c r="B1364" s="1">
        <v>0</v>
      </c>
      <c r="C1364" t="s">
        <v>427</v>
      </c>
      <c r="D1364" t="s">
        <v>5076</v>
      </c>
      <c r="E1364" t="s">
        <v>5287</v>
      </c>
      <c r="F1364" t="s">
        <v>5156</v>
      </c>
      <c r="G1364" t="s">
        <v>5195</v>
      </c>
      <c r="H1364" t="s">
        <v>77</v>
      </c>
      <c r="J1364" t="s">
        <v>1955</v>
      </c>
      <c r="K1364">
        <v>160.4</v>
      </c>
    </row>
    <row r="1365" spans="1:11" x14ac:dyDescent="0.35">
      <c r="A1365" t="s">
        <v>1956</v>
      </c>
      <c r="B1365" s="1">
        <v>0</v>
      </c>
      <c r="C1365" t="s">
        <v>5460</v>
      </c>
      <c r="D1365" t="s">
        <v>5223</v>
      </c>
      <c r="E1365" t="s">
        <v>5326</v>
      </c>
      <c r="F1365" t="s">
        <v>5156</v>
      </c>
      <c r="G1365" t="s">
        <v>5357</v>
      </c>
      <c r="H1365" t="s">
        <v>142</v>
      </c>
      <c r="J1365" t="s">
        <v>1956</v>
      </c>
      <c r="K1365">
        <v>152.5</v>
      </c>
    </row>
    <row r="1366" spans="1:11" x14ac:dyDescent="0.35">
      <c r="A1366" t="s">
        <v>1957</v>
      </c>
      <c r="B1366" s="1">
        <v>0</v>
      </c>
      <c r="C1366" t="s">
        <v>5629</v>
      </c>
      <c r="D1366" t="s">
        <v>5073</v>
      </c>
      <c r="E1366" t="s">
        <v>5317</v>
      </c>
      <c r="F1366" t="s">
        <v>5156</v>
      </c>
      <c r="G1366" t="s">
        <v>5419</v>
      </c>
      <c r="H1366" t="s">
        <v>849</v>
      </c>
      <c r="J1366" t="s">
        <v>1957</v>
      </c>
      <c r="K1366">
        <v>147.1</v>
      </c>
    </row>
    <row r="1367" spans="1:11" x14ac:dyDescent="0.35">
      <c r="A1367" t="s">
        <v>1958</v>
      </c>
      <c r="B1367" s="1">
        <v>0</v>
      </c>
      <c r="C1367" t="s">
        <v>5643</v>
      </c>
      <c r="D1367" t="s">
        <v>5310</v>
      </c>
      <c r="E1367" t="s">
        <v>5317</v>
      </c>
      <c r="F1367" t="s">
        <v>5156</v>
      </c>
      <c r="G1367" t="s">
        <v>5413</v>
      </c>
      <c r="H1367" t="s">
        <v>279</v>
      </c>
      <c r="J1367" t="s">
        <v>1958</v>
      </c>
      <c r="K1367">
        <v>148.4</v>
      </c>
    </row>
    <row r="1368" spans="1:11" x14ac:dyDescent="0.35">
      <c r="A1368" t="s">
        <v>1959</v>
      </c>
      <c r="B1368" s="1">
        <v>0</v>
      </c>
      <c r="C1368" t="s">
        <v>5628</v>
      </c>
      <c r="D1368" t="s">
        <v>5171</v>
      </c>
      <c r="E1368" t="s">
        <v>5308</v>
      </c>
      <c r="F1368" t="s">
        <v>5156</v>
      </c>
      <c r="G1368" t="s">
        <v>5402</v>
      </c>
      <c r="H1368" t="s">
        <v>289</v>
      </c>
      <c r="J1368" t="s">
        <v>1959</v>
      </c>
      <c r="K1368">
        <v>151.69999999999999</v>
      </c>
    </row>
    <row r="1369" spans="1:11" x14ac:dyDescent="0.35">
      <c r="A1369" t="s">
        <v>1960</v>
      </c>
      <c r="B1369" s="1">
        <v>0</v>
      </c>
      <c r="C1369" t="s">
        <v>5560</v>
      </c>
      <c r="D1369" t="s">
        <v>5425</v>
      </c>
      <c r="E1369" t="s">
        <v>5547</v>
      </c>
      <c r="F1369" t="s">
        <v>5156</v>
      </c>
      <c r="G1369" t="s">
        <v>5404</v>
      </c>
      <c r="H1369" t="s">
        <v>170</v>
      </c>
      <c r="J1369" t="s">
        <v>1960</v>
      </c>
      <c r="K1369">
        <v>153.80000000000001</v>
      </c>
    </row>
    <row r="1370" spans="1:11" x14ac:dyDescent="0.35">
      <c r="A1370" t="s">
        <v>1961</v>
      </c>
      <c r="B1370" s="1">
        <v>0</v>
      </c>
      <c r="C1370" t="s">
        <v>385</v>
      </c>
      <c r="D1370" t="s">
        <v>5061</v>
      </c>
      <c r="E1370" t="s">
        <v>5143</v>
      </c>
      <c r="F1370" t="s">
        <v>5156</v>
      </c>
      <c r="G1370" t="s">
        <v>5357</v>
      </c>
      <c r="H1370" t="s">
        <v>196</v>
      </c>
      <c r="J1370" t="s">
        <v>1961</v>
      </c>
      <c r="K1370">
        <v>155.30000000000001</v>
      </c>
    </row>
    <row r="1371" spans="1:11" x14ac:dyDescent="0.35">
      <c r="A1371" t="s">
        <v>1962</v>
      </c>
      <c r="B1371" s="1">
        <v>0</v>
      </c>
      <c r="C1371" t="s">
        <v>386</v>
      </c>
      <c r="D1371" t="s">
        <v>5171</v>
      </c>
      <c r="E1371" t="s">
        <v>5317</v>
      </c>
      <c r="F1371" t="s">
        <v>5156</v>
      </c>
      <c r="G1371" t="s">
        <v>5186</v>
      </c>
      <c r="H1371" t="s">
        <v>572</v>
      </c>
      <c r="J1371" t="s">
        <v>1962</v>
      </c>
      <c r="K1371">
        <v>160.5</v>
      </c>
    </row>
    <row r="1372" spans="1:11" x14ac:dyDescent="0.35">
      <c r="A1372" t="s">
        <v>1964</v>
      </c>
      <c r="B1372" s="1">
        <v>0</v>
      </c>
      <c r="C1372" t="s">
        <v>455</v>
      </c>
      <c r="D1372" t="s">
        <v>5437</v>
      </c>
      <c r="E1372" t="s">
        <v>5328</v>
      </c>
      <c r="F1372" t="s">
        <v>5240</v>
      </c>
      <c r="G1372" t="s">
        <v>5315</v>
      </c>
      <c r="H1372" t="s">
        <v>760</v>
      </c>
      <c r="J1372" t="s">
        <v>1964</v>
      </c>
      <c r="K1372">
        <v>187.5</v>
      </c>
    </row>
    <row r="1373" spans="1:11" x14ac:dyDescent="0.35">
      <c r="A1373" t="s">
        <v>1965</v>
      </c>
      <c r="B1373" s="1">
        <v>0</v>
      </c>
      <c r="C1373" t="s">
        <v>3800</v>
      </c>
      <c r="D1373" t="s">
        <v>5571</v>
      </c>
      <c r="E1373" t="s">
        <v>5303</v>
      </c>
      <c r="F1373" t="s">
        <v>5240</v>
      </c>
      <c r="G1373" t="s">
        <v>5297</v>
      </c>
      <c r="H1373" t="s">
        <v>2524</v>
      </c>
      <c r="J1373" t="s">
        <v>1965</v>
      </c>
      <c r="K1373">
        <v>190.9</v>
      </c>
    </row>
    <row r="1374" spans="1:11" x14ac:dyDescent="0.35">
      <c r="A1374" t="s">
        <v>1966</v>
      </c>
      <c r="B1374" s="1">
        <v>0</v>
      </c>
      <c r="C1374" t="s">
        <v>2918</v>
      </c>
      <c r="D1374" t="s">
        <v>5471</v>
      </c>
      <c r="E1374" t="s">
        <v>5064</v>
      </c>
      <c r="F1374" t="s">
        <v>5050</v>
      </c>
      <c r="G1374" t="s">
        <v>5342</v>
      </c>
      <c r="H1374" t="s">
        <v>2671</v>
      </c>
      <c r="J1374" t="s">
        <v>1966</v>
      </c>
      <c r="K1374">
        <v>185.7</v>
      </c>
    </row>
    <row r="1375" spans="1:11" x14ac:dyDescent="0.35">
      <c r="A1375" t="s">
        <v>1967</v>
      </c>
      <c r="B1375" s="1">
        <v>0</v>
      </c>
      <c r="C1375" t="s">
        <v>374</v>
      </c>
      <c r="D1375" t="s">
        <v>5473</v>
      </c>
      <c r="E1375" t="s">
        <v>5431</v>
      </c>
      <c r="F1375" t="s">
        <v>5050</v>
      </c>
      <c r="G1375" t="s">
        <v>5400</v>
      </c>
      <c r="H1375" t="s">
        <v>781</v>
      </c>
      <c r="J1375" t="s">
        <v>1967</v>
      </c>
      <c r="K1375">
        <v>181.5</v>
      </c>
    </row>
    <row r="1376" spans="1:11" x14ac:dyDescent="0.35">
      <c r="A1376" t="s">
        <v>1968</v>
      </c>
      <c r="B1376" s="1">
        <v>0</v>
      </c>
      <c r="C1376" t="s">
        <v>418</v>
      </c>
      <c r="D1376" t="s">
        <v>5145</v>
      </c>
      <c r="E1376" t="s">
        <v>5310</v>
      </c>
      <c r="F1376" t="s">
        <v>5050</v>
      </c>
      <c r="G1376" t="s">
        <v>5397</v>
      </c>
      <c r="H1376" t="s">
        <v>1337</v>
      </c>
      <c r="J1376" t="s">
        <v>1968</v>
      </c>
      <c r="K1376">
        <v>181.2</v>
      </c>
    </row>
    <row r="1377" spans="1:11" x14ac:dyDescent="0.35">
      <c r="A1377" t="s">
        <v>1969</v>
      </c>
      <c r="B1377" s="1">
        <v>0</v>
      </c>
      <c r="C1377" t="s">
        <v>1915</v>
      </c>
      <c r="D1377" t="s">
        <v>5572</v>
      </c>
      <c r="E1377" t="s">
        <v>5286</v>
      </c>
      <c r="F1377" t="s">
        <v>5050</v>
      </c>
      <c r="G1377" t="s">
        <v>5397</v>
      </c>
      <c r="H1377" t="s">
        <v>1178</v>
      </c>
      <c r="J1377" t="s">
        <v>1969</v>
      </c>
      <c r="K1377">
        <v>188.3</v>
      </c>
    </row>
    <row r="1378" spans="1:11" x14ac:dyDescent="0.35">
      <c r="A1378" t="s">
        <v>1970</v>
      </c>
      <c r="B1378" s="1">
        <v>0</v>
      </c>
      <c r="C1378" t="s">
        <v>1481</v>
      </c>
      <c r="D1378" t="s">
        <v>5531</v>
      </c>
      <c r="E1378" t="s">
        <v>5176</v>
      </c>
      <c r="F1378" t="s">
        <v>5050</v>
      </c>
      <c r="G1378" t="s">
        <v>5297</v>
      </c>
      <c r="H1378" t="s">
        <v>2076</v>
      </c>
      <c r="J1378" t="s">
        <v>1970</v>
      </c>
      <c r="K1378">
        <v>204.6</v>
      </c>
    </row>
    <row r="1379" spans="1:11" x14ac:dyDescent="0.35">
      <c r="A1379" t="s">
        <v>1971</v>
      </c>
      <c r="B1379" s="1">
        <v>0</v>
      </c>
      <c r="C1379" t="s">
        <v>3215</v>
      </c>
      <c r="D1379" t="s">
        <v>5392</v>
      </c>
      <c r="E1379" t="s">
        <v>5236</v>
      </c>
      <c r="F1379" t="s">
        <v>5240</v>
      </c>
      <c r="G1379" t="s">
        <v>5224</v>
      </c>
      <c r="H1379" t="s">
        <v>2033</v>
      </c>
      <c r="J1379" t="s">
        <v>1971</v>
      </c>
      <c r="K1379">
        <v>224.5</v>
      </c>
    </row>
    <row r="1380" spans="1:11" x14ac:dyDescent="0.35">
      <c r="A1380" t="s">
        <v>1972</v>
      </c>
      <c r="B1380" s="1">
        <v>0</v>
      </c>
      <c r="C1380" t="s">
        <v>317</v>
      </c>
      <c r="D1380" t="s">
        <v>5552</v>
      </c>
      <c r="E1380" t="s">
        <v>5239</v>
      </c>
      <c r="F1380" t="s">
        <v>5240</v>
      </c>
      <c r="G1380" t="s">
        <v>5230</v>
      </c>
      <c r="H1380" t="s">
        <v>621</v>
      </c>
      <c r="J1380" t="s">
        <v>1972</v>
      </c>
      <c r="K1380">
        <v>235.7</v>
      </c>
    </row>
    <row r="1381" spans="1:11" x14ac:dyDescent="0.35">
      <c r="A1381" t="s">
        <v>1974</v>
      </c>
      <c r="B1381" s="1">
        <v>0</v>
      </c>
      <c r="C1381" t="s">
        <v>2562</v>
      </c>
      <c r="D1381" t="s">
        <v>5248</v>
      </c>
      <c r="E1381" t="s">
        <v>5182</v>
      </c>
      <c r="F1381" t="s">
        <v>5240</v>
      </c>
      <c r="G1381" t="s">
        <v>5230</v>
      </c>
      <c r="H1381" t="s">
        <v>5690</v>
      </c>
      <c r="J1381" t="s">
        <v>1974</v>
      </c>
      <c r="K1381">
        <v>234</v>
      </c>
    </row>
    <row r="1382" spans="1:11" x14ac:dyDescent="0.35">
      <c r="A1382" t="s">
        <v>1975</v>
      </c>
      <c r="B1382" s="1">
        <v>0</v>
      </c>
      <c r="C1382" t="s">
        <v>311</v>
      </c>
      <c r="D1382" t="s">
        <v>5389</v>
      </c>
      <c r="E1382" t="s">
        <v>5257</v>
      </c>
      <c r="F1382" t="s">
        <v>5240</v>
      </c>
      <c r="G1382" t="s">
        <v>5172</v>
      </c>
      <c r="H1382" t="s">
        <v>5681</v>
      </c>
      <c r="J1382" t="s">
        <v>1975</v>
      </c>
      <c r="K1382">
        <v>227.4</v>
      </c>
    </row>
    <row r="1383" spans="1:11" x14ac:dyDescent="0.35">
      <c r="A1383" t="s">
        <v>1976</v>
      </c>
      <c r="B1383" s="1">
        <v>0</v>
      </c>
      <c r="C1383" t="s">
        <v>1540</v>
      </c>
      <c r="D1383" t="s">
        <v>5575</v>
      </c>
      <c r="E1383" t="s">
        <v>5192</v>
      </c>
      <c r="F1383" t="s">
        <v>5240</v>
      </c>
      <c r="G1383" t="s">
        <v>5227</v>
      </c>
      <c r="H1383" t="s">
        <v>2425</v>
      </c>
      <c r="J1383" t="s">
        <v>1976</v>
      </c>
      <c r="K1383">
        <v>219.3</v>
      </c>
    </row>
    <row r="1384" spans="1:11" x14ac:dyDescent="0.35">
      <c r="A1384" t="s">
        <v>1977</v>
      </c>
      <c r="B1384" s="1">
        <v>0</v>
      </c>
      <c r="C1384" t="s">
        <v>1865</v>
      </c>
      <c r="D1384" t="s">
        <v>5250</v>
      </c>
      <c r="E1384" t="s">
        <v>5066</v>
      </c>
      <c r="F1384" t="s">
        <v>5240</v>
      </c>
      <c r="G1384" t="s">
        <v>5321</v>
      </c>
      <c r="H1384" t="s">
        <v>3859</v>
      </c>
      <c r="J1384" t="s">
        <v>1977</v>
      </c>
      <c r="K1384">
        <v>215.4</v>
      </c>
    </row>
    <row r="1385" spans="1:11" x14ac:dyDescent="0.35">
      <c r="A1385" t="s">
        <v>1979</v>
      </c>
      <c r="B1385" s="1">
        <v>0</v>
      </c>
      <c r="C1385" t="s">
        <v>2271</v>
      </c>
      <c r="D1385" t="s">
        <v>5216</v>
      </c>
      <c r="E1385" t="s">
        <v>5306</v>
      </c>
      <c r="F1385" t="s">
        <v>5240</v>
      </c>
      <c r="G1385" t="s">
        <v>5227</v>
      </c>
      <c r="H1385" t="s">
        <v>663</v>
      </c>
      <c r="J1385" t="s">
        <v>1979</v>
      </c>
      <c r="K1385">
        <v>212.6</v>
      </c>
    </row>
    <row r="1386" spans="1:11" x14ac:dyDescent="0.35">
      <c r="A1386" t="s">
        <v>1980</v>
      </c>
      <c r="B1386" s="1">
        <v>0</v>
      </c>
      <c r="C1386" t="s">
        <v>342</v>
      </c>
      <c r="D1386" t="s">
        <v>5241</v>
      </c>
      <c r="E1386" t="s">
        <v>5056</v>
      </c>
      <c r="F1386" t="s">
        <v>5050</v>
      </c>
      <c r="G1386" t="s">
        <v>5226</v>
      </c>
      <c r="H1386" t="s">
        <v>3143</v>
      </c>
      <c r="J1386" t="s">
        <v>1980</v>
      </c>
      <c r="K1386">
        <v>199.1</v>
      </c>
    </row>
    <row r="1387" spans="1:11" x14ac:dyDescent="0.35">
      <c r="A1387" t="s">
        <v>1982</v>
      </c>
      <c r="B1387" s="1">
        <v>0</v>
      </c>
      <c r="C1387" t="s">
        <v>1048</v>
      </c>
      <c r="D1387" t="s">
        <v>5281</v>
      </c>
      <c r="E1387" t="s">
        <v>5171</v>
      </c>
      <c r="F1387" t="s">
        <v>5050</v>
      </c>
      <c r="G1387" t="s">
        <v>5291</v>
      </c>
      <c r="H1387" t="s">
        <v>85</v>
      </c>
      <c r="J1387" t="s">
        <v>1982</v>
      </c>
      <c r="K1387">
        <v>187.3</v>
      </c>
    </row>
    <row r="1388" spans="1:11" x14ac:dyDescent="0.35">
      <c r="A1388" t="s">
        <v>1983</v>
      </c>
      <c r="B1388" s="1">
        <v>0</v>
      </c>
      <c r="C1388" t="s">
        <v>2237</v>
      </c>
      <c r="D1388" t="s">
        <v>5090</v>
      </c>
      <c r="E1388" t="s">
        <v>5323</v>
      </c>
      <c r="F1388" t="s">
        <v>5050</v>
      </c>
      <c r="G1388" t="s">
        <v>5294</v>
      </c>
      <c r="H1388" t="s">
        <v>252</v>
      </c>
      <c r="J1388" t="s">
        <v>1983</v>
      </c>
      <c r="K1388">
        <v>186</v>
      </c>
    </row>
    <row r="1389" spans="1:11" x14ac:dyDescent="0.35">
      <c r="A1389" t="s">
        <v>1984</v>
      </c>
      <c r="B1389" s="1">
        <v>0</v>
      </c>
      <c r="C1389" t="s">
        <v>1047</v>
      </c>
      <c r="D1389" t="s">
        <v>5238</v>
      </c>
      <c r="E1389" t="s">
        <v>5162</v>
      </c>
      <c r="F1389" t="s">
        <v>5050</v>
      </c>
      <c r="G1389" t="s">
        <v>5309</v>
      </c>
      <c r="H1389" t="s">
        <v>3916</v>
      </c>
      <c r="J1389" t="s">
        <v>1984</v>
      </c>
      <c r="K1389">
        <v>198.8</v>
      </c>
    </row>
    <row r="1390" spans="1:11" x14ac:dyDescent="0.35">
      <c r="A1390" t="s">
        <v>1985</v>
      </c>
      <c r="B1390" s="1">
        <v>0</v>
      </c>
      <c r="C1390" t="s">
        <v>331</v>
      </c>
      <c r="D1390" t="s">
        <v>5591</v>
      </c>
      <c r="E1390" t="s">
        <v>5213</v>
      </c>
      <c r="F1390" t="s">
        <v>5050</v>
      </c>
      <c r="G1390" t="s">
        <v>5226</v>
      </c>
      <c r="H1390" t="s">
        <v>3878</v>
      </c>
      <c r="J1390" t="s">
        <v>1985</v>
      </c>
      <c r="K1390">
        <v>217</v>
      </c>
    </row>
    <row r="1391" spans="1:11" x14ac:dyDescent="0.35">
      <c r="A1391" t="s">
        <v>1986</v>
      </c>
      <c r="B1391" s="1">
        <v>0</v>
      </c>
      <c r="C1391" t="s">
        <v>2881</v>
      </c>
      <c r="D1391" t="s">
        <v>5607</v>
      </c>
      <c r="E1391" t="s">
        <v>5433</v>
      </c>
      <c r="F1391" t="s">
        <v>5240</v>
      </c>
      <c r="G1391" t="s">
        <v>5227</v>
      </c>
      <c r="H1391" t="s">
        <v>1247</v>
      </c>
      <c r="J1391" t="s">
        <v>1986</v>
      </c>
      <c r="K1391">
        <v>232.7</v>
      </c>
    </row>
    <row r="1392" spans="1:11" x14ac:dyDescent="0.35">
      <c r="A1392" t="s">
        <v>1989</v>
      </c>
      <c r="B1392" s="1">
        <v>0</v>
      </c>
      <c r="C1392" t="s">
        <v>1065</v>
      </c>
      <c r="D1392" t="s">
        <v>5231</v>
      </c>
      <c r="E1392" t="s">
        <v>5131</v>
      </c>
      <c r="F1392" t="s">
        <v>5240</v>
      </c>
      <c r="G1392" t="s">
        <v>5222</v>
      </c>
      <c r="H1392" t="s">
        <v>3319</v>
      </c>
      <c r="J1392" t="s">
        <v>1989</v>
      </c>
      <c r="K1392">
        <v>243</v>
      </c>
    </row>
    <row r="1393" spans="1:11" x14ac:dyDescent="0.35">
      <c r="A1393" t="s">
        <v>1990</v>
      </c>
      <c r="B1393" s="1">
        <v>0</v>
      </c>
      <c r="C1393" t="s">
        <v>312</v>
      </c>
      <c r="D1393" t="s">
        <v>5506</v>
      </c>
      <c r="E1393" t="s">
        <v>5131</v>
      </c>
      <c r="F1393" t="s">
        <v>5240</v>
      </c>
      <c r="G1393" t="s">
        <v>5222</v>
      </c>
      <c r="H1393" t="s">
        <v>633</v>
      </c>
      <c r="J1393" t="s">
        <v>1990</v>
      </c>
      <c r="K1393">
        <v>245.6</v>
      </c>
    </row>
    <row r="1394" spans="1:11" x14ac:dyDescent="0.35">
      <c r="A1394" t="s">
        <v>1992</v>
      </c>
      <c r="B1394" s="1">
        <v>0</v>
      </c>
      <c r="C1394" t="s">
        <v>4903</v>
      </c>
      <c r="D1394" t="s">
        <v>5589</v>
      </c>
      <c r="E1394" t="s">
        <v>5118</v>
      </c>
      <c r="F1394" t="s">
        <v>5240</v>
      </c>
      <c r="G1394" t="s">
        <v>5227</v>
      </c>
      <c r="H1394" t="s">
        <v>4227</v>
      </c>
      <c r="J1394" t="s">
        <v>1992</v>
      </c>
      <c r="K1394">
        <v>236.5</v>
      </c>
    </row>
    <row r="1395" spans="1:11" x14ac:dyDescent="0.35">
      <c r="A1395" t="s">
        <v>1993</v>
      </c>
      <c r="B1395" s="1">
        <v>0</v>
      </c>
      <c r="C1395" t="s">
        <v>2265</v>
      </c>
      <c r="D1395" t="s">
        <v>5212</v>
      </c>
      <c r="E1395" t="s">
        <v>5067</v>
      </c>
      <c r="F1395" t="s">
        <v>5240</v>
      </c>
      <c r="G1395" t="s">
        <v>5288</v>
      </c>
      <c r="H1395" t="s">
        <v>211</v>
      </c>
      <c r="J1395" t="s">
        <v>1993</v>
      </c>
      <c r="K1395">
        <v>225.3</v>
      </c>
    </row>
    <row r="1396" spans="1:11" x14ac:dyDescent="0.35">
      <c r="A1396" t="s">
        <v>1994</v>
      </c>
      <c r="B1396" s="1">
        <v>0</v>
      </c>
      <c r="C1396" t="s">
        <v>1871</v>
      </c>
      <c r="D1396" t="s">
        <v>5244</v>
      </c>
      <c r="E1396" t="s">
        <v>5218</v>
      </c>
      <c r="F1396" t="s">
        <v>5240</v>
      </c>
      <c r="G1396" t="s">
        <v>5291</v>
      </c>
      <c r="H1396" t="s">
        <v>3038</v>
      </c>
      <c r="J1396" t="s">
        <v>1994</v>
      </c>
      <c r="K1396">
        <v>223.3</v>
      </c>
    </row>
    <row r="1397" spans="1:11" x14ac:dyDescent="0.35">
      <c r="A1397" t="s">
        <v>1995</v>
      </c>
      <c r="B1397" s="1">
        <v>0</v>
      </c>
      <c r="C1397" t="s">
        <v>1864</v>
      </c>
      <c r="D1397" t="s">
        <v>5542</v>
      </c>
      <c r="E1397" t="s">
        <v>5435</v>
      </c>
      <c r="F1397" t="s">
        <v>5240</v>
      </c>
      <c r="G1397" t="s">
        <v>5288</v>
      </c>
      <c r="H1397" t="s">
        <v>2840</v>
      </c>
      <c r="J1397" t="s">
        <v>1995</v>
      </c>
      <c r="K1397">
        <v>226.5</v>
      </c>
    </row>
    <row r="1398" spans="1:11" x14ac:dyDescent="0.35">
      <c r="A1398" t="s">
        <v>1996</v>
      </c>
      <c r="B1398" s="1">
        <v>0</v>
      </c>
      <c r="C1398" t="s">
        <v>4115</v>
      </c>
      <c r="D1398" t="s">
        <v>5271</v>
      </c>
      <c r="E1398" t="s">
        <v>5072</v>
      </c>
      <c r="F1398" t="s">
        <v>5240</v>
      </c>
      <c r="G1398" t="s">
        <v>5226</v>
      </c>
      <c r="H1398" t="s">
        <v>2476</v>
      </c>
      <c r="J1398" t="s">
        <v>1996</v>
      </c>
      <c r="K1398">
        <v>225.7</v>
      </c>
    </row>
    <row r="1399" spans="1:11" x14ac:dyDescent="0.35">
      <c r="A1399" t="s">
        <v>1997</v>
      </c>
      <c r="B1399" s="1">
        <v>0</v>
      </c>
      <c r="C1399" t="s">
        <v>2271</v>
      </c>
      <c r="D1399" t="s">
        <v>5269</v>
      </c>
      <c r="E1399" t="s">
        <v>5229</v>
      </c>
      <c r="F1399" t="s">
        <v>5240</v>
      </c>
      <c r="G1399" t="s">
        <v>5226</v>
      </c>
      <c r="H1399" t="s">
        <v>5717</v>
      </c>
      <c r="J1399" t="s">
        <v>1997</v>
      </c>
      <c r="K1399">
        <v>224.6</v>
      </c>
    </row>
    <row r="1400" spans="1:11" x14ac:dyDescent="0.35">
      <c r="A1400" t="s">
        <v>1998</v>
      </c>
      <c r="B1400" s="1">
        <v>0</v>
      </c>
      <c r="C1400" t="s">
        <v>3498</v>
      </c>
      <c r="D1400" t="s">
        <v>5087</v>
      </c>
      <c r="E1400" t="s">
        <v>5088</v>
      </c>
      <c r="F1400" t="s">
        <v>5240</v>
      </c>
      <c r="G1400" t="s">
        <v>5226</v>
      </c>
      <c r="H1400" t="s">
        <v>4763</v>
      </c>
      <c r="J1400" t="s">
        <v>1998</v>
      </c>
      <c r="K1400">
        <v>228</v>
      </c>
    </row>
    <row r="1401" spans="1:11" x14ac:dyDescent="0.35">
      <c r="A1401" t="s">
        <v>1999</v>
      </c>
      <c r="B1401" s="1">
        <v>0</v>
      </c>
      <c r="C1401" t="s">
        <v>1478</v>
      </c>
      <c r="D1401" t="s">
        <v>5275</v>
      </c>
      <c r="E1401" t="s">
        <v>5433</v>
      </c>
      <c r="F1401" t="s">
        <v>5240</v>
      </c>
      <c r="G1401" t="s">
        <v>5288</v>
      </c>
      <c r="H1401" t="s">
        <v>746</v>
      </c>
      <c r="J1401" t="s">
        <v>1999</v>
      </c>
      <c r="K1401">
        <v>229.3</v>
      </c>
    </row>
    <row r="1402" spans="1:11" x14ac:dyDescent="0.35">
      <c r="A1402" t="s">
        <v>2001</v>
      </c>
      <c r="B1402" s="1">
        <v>0</v>
      </c>
      <c r="C1402" t="s">
        <v>1869</v>
      </c>
      <c r="D1402" t="s">
        <v>5511</v>
      </c>
      <c r="E1402" t="s">
        <v>5074</v>
      </c>
      <c r="F1402" t="s">
        <v>5050</v>
      </c>
      <c r="G1402" t="s">
        <v>5288</v>
      </c>
      <c r="H1402" t="s">
        <v>2476</v>
      </c>
      <c r="J1402" t="s">
        <v>2001</v>
      </c>
      <c r="K1402">
        <v>225.7</v>
      </c>
    </row>
    <row r="1403" spans="1:11" x14ac:dyDescent="0.35">
      <c r="A1403" t="s">
        <v>2003</v>
      </c>
      <c r="B1403" s="1">
        <v>0</v>
      </c>
      <c r="C1403" t="s">
        <v>475</v>
      </c>
      <c r="D1403" t="s">
        <v>5275</v>
      </c>
      <c r="E1403" t="s">
        <v>5121</v>
      </c>
      <c r="F1403" t="s">
        <v>5077</v>
      </c>
      <c r="G1403" t="s">
        <v>5092</v>
      </c>
      <c r="H1403" t="s">
        <v>2000</v>
      </c>
      <c r="J1403" t="s">
        <v>2003</v>
      </c>
      <c r="K1403">
        <v>222.9</v>
      </c>
    </row>
    <row r="1404" spans="1:11" x14ac:dyDescent="0.35">
      <c r="A1404" t="s">
        <v>2006</v>
      </c>
      <c r="B1404" s="1">
        <v>0</v>
      </c>
      <c r="C1404" t="s">
        <v>445</v>
      </c>
      <c r="D1404" t="s">
        <v>5091</v>
      </c>
      <c r="E1404" t="s">
        <v>5066</v>
      </c>
      <c r="F1404" t="s">
        <v>5077</v>
      </c>
      <c r="G1404" t="s">
        <v>5116</v>
      </c>
      <c r="H1404" t="s">
        <v>1302</v>
      </c>
      <c r="J1404" t="s">
        <v>2006</v>
      </c>
      <c r="K1404">
        <v>210.2</v>
      </c>
    </row>
    <row r="1405" spans="1:11" x14ac:dyDescent="0.35">
      <c r="A1405" t="s">
        <v>2007</v>
      </c>
      <c r="B1405" s="1">
        <v>0</v>
      </c>
      <c r="C1405" t="s">
        <v>2565</v>
      </c>
      <c r="D1405" t="s">
        <v>5138</v>
      </c>
      <c r="E1405" t="s">
        <v>5210</v>
      </c>
      <c r="F1405" t="s">
        <v>5077</v>
      </c>
      <c r="G1405" t="s">
        <v>5110</v>
      </c>
      <c r="H1405" t="s">
        <v>3873</v>
      </c>
      <c r="J1405" t="s">
        <v>2007</v>
      </c>
      <c r="K1405">
        <v>214.2</v>
      </c>
    </row>
    <row r="1406" spans="1:11" x14ac:dyDescent="0.35">
      <c r="A1406" t="s">
        <v>2010</v>
      </c>
      <c r="B1406" s="1">
        <v>0</v>
      </c>
      <c r="C1406" t="s">
        <v>5335</v>
      </c>
      <c r="D1406" t="s">
        <v>5509</v>
      </c>
      <c r="E1406" t="s">
        <v>5165</v>
      </c>
      <c r="F1406" t="s">
        <v>5089</v>
      </c>
      <c r="G1406" t="s">
        <v>5077</v>
      </c>
      <c r="H1406" t="s">
        <v>226</v>
      </c>
      <c r="J1406" t="s">
        <v>2010</v>
      </c>
      <c r="K1406">
        <v>230.8</v>
      </c>
    </row>
    <row r="1407" spans="1:11" x14ac:dyDescent="0.35">
      <c r="A1407" t="s">
        <v>2011</v>
      </c>
      <c r="B1407" s="1">
        <v>0</v>
      </c>
      <c r="C1407" t="s">
        <v>488</v>
      </c>
      <c r="D1407" t="s">
        <v>5619</v>
      </c>
      <c r="E1407" t="s">
        <v>5121</v>
      </c>
      <c r="F1407" t="s">
        <v>5089</v>
      </c>
      <c r="G1407" t="s">
        <v>5045</v>
      </c>
      <c r="H1407" t="s">
        <v>5670</v>
      </c>
      <c r="J1407" t="s">
        <v>2011</v>
      </c>
      <c r="K1407">
        <v>241.2</v>
      </c>
    </row>
    <row r="1408" spans="1:11" x14ac:dyDescent="0.35">
      <c r="A1408" t="s">
        <v>2013</v>
      </c>
      <c r="B1408" s="1">
        <v>0</v>
      </c>
      <c r="C1408" t="s">
        <v>3216</v>
      </c>
      <c r="D1408" t="s">
        <v>5609</v>
      </c>
      <c r="E1408" t="s">
        <v>5444</v>
      </c>
      <c r="F1408" t="s">
        <v>5089</v>
      </c>
      <c r="G1408" t="s">
        <v>5110</v>
      </c>
      <c r="H1408" t="s">
        <v>2838</v>
      </c>
      <c r="J1408" t="s">
        <v>2013</v>
      </c>
      <c r="K1408">
        <v>241.1</v>
      </c>
    </row>
    <row r="1409" spans="1:11" x14ac:dyDescent="0.35">
      <c r="A1409" t="s">
        <v>2015</v>
      </c>
      <c r="B1409" s="1">
        <v>0</v>
      </c>
      <c r="C1409" t="s">
        <v>4115</v>
      </c>
      <c r="D1409" t="s">
        <v>5490</v>
      </c>
      <c r="E1409" t="s">
        <v>5444</v>
      </c>
      <c r="F1409" t="s">
        <v>5089</v>
      </c>
      <c r="G1409" t="s">
        <v>5082</v>
      </c>
      <c r="H1409" t="s">
        <v>2047</v>
      </c>
      <c r="J1409" t="s">
        <v>2015</v>
      </c>
      <c r="K1409">
        <v>234.9</v>
      </c>
    </row>
    <row r="1410" spans="1:11" x14ac:dyDescent="0.35">
      <c r="A1410" t="s">
        <v>2016</v>
      </c>
      <c r="B1410" s="1">
        <v>0</v>
      </c>
      <c r="C1410" t="s">
        <v>4083</v>
      </c>
      <c r="D1410" t="s">
        <v>5616</v>
      </c>
      <c r="E1410" t="s">
        <v>5072</v>
      </c>
      <c r="F1410" t="s">
        <v>5089</v>
      </c>
      <c r="G1410" t="s">
        <v>5116</v>
      </c>
      <c r="H1410" t="s">
        <v>1253</v>
      </c>
      <c r="J1410" t="s">
        <v>2016</v>
      </c>
      <c r="K1410">
        <v>235.6</v>
      </c>
    </row>
    <row r="1411" spans="1:11" x14ac:dyDescent="0.35">
      <c r="A1411" t="s">
        <v>2017</v>
      </c>
      <c r="B1411" s="1">
        <v>0</v>
      </c>
      <c r="C1411" t="s">
        <v>5569</v>
      </c>
      <c r="D1411" t="s">
        <v>5618</v>
      </c>
      <c r="E1411" t="s">
        <v>5435</v>
      </c>
      <c r="F1411" t="s">
        <v>5089</v>
      </c>
      <c r="G1411" t="s">
        <v>5045</v>
      </c>
      <c r="H1411" t="s">
        <v>634</v>
      </c>
      <c r="J1411" t="s">
        <v>2017</v>
      </c>
      <c r="K1411">
        <v>244.4</v>
      </c>
    </row>
    <row r="1412" spans="1:11" x14ac:dyDescent="0.35">
      <c r="A1412" t="s">
        <v>2020</v>
      </c>
      <c r="B1412" s="1">
        <v>0</v>
      </c>
      <c r="C1412" t="s">
        <v>2561</v>
      </c>
      <c r="D1412" t="s">
        <v>5468</v>
      </c>
      <c r="E1412" t="s">
        <v>5229</v>
      </c>
      <c r="F1412" t="s">
        <v>5089</v>
      </c>
      <c r="G1412" t="s">
        <v>5356</v>
      </c>
      <c r="H1412" t="s">
        <v>5769</v>
      </c>
      <c r="J1412" t="s">
        <v>2020</v>
      </c>
      <c r="K1412">
        <v>251.9</v>
      </c>
    </row>
    <row r="1413" spans="1:11" x14ac:dyDescent="0.35">
      <c r="A1413" t="s">
        <v>2022</v>
      </c>
      <c r="B1413" s="1">
        <v>0</v>
      </c>
      <c r="C1413" t="s">
        <v>1922</v>
      </c>
      <c r="D1413" t="s">
        <v>5626</v>
      </c>
      <c r="E1413" t="s">
        <v>5120</v>
      </c>
      <c r="F1413" t="s">
        <v>5089</v>
      </c>
      <c r="G1413" t="s">
        <v>5136</v>
      </c>
      <c r="H1413" t="s">
        <v>2372</v>
      </c>
      <c r="J1413" t="s">
        <v>2022</v>
      </c>
      <c r="K1413">
        <v>247.3</v>
      </c>
    </row>
    <row r="1414" spans="1:11" x14ac:dyDescent="0.35">
      <c r="A1414" t="s">
        <v>2024</v>
      </c>
      <c r="B1414" s="1">
        <v>0</v>
      </c>
      <c r="C1414" t="s">
        <v>482</v>
      </c>
      <c r="D1414" t="s">
        <v>5509</v>
      </c>
      <c r="E1414" t="s">
        <v>5162</v>
      </c>
      <c r="F1414" t="s">
        <v>5089</v>
      </c>
      <c r="G1414" t="s">
        <v>5136</v>
      </c>
      <c r="H1414" t="s">
        <v>2014</v>
      </c>
      <c r="J1414" t="s">
        <v>2024</v>
      </c>
      <c r="K1414">
        <v>240</v>
      </c>
    </row>
    <row r="1415" spans="1:11" x14ac:dyDescent="0.35">
      <c r="A1415" t="s">
        <v>2025</v>
      </c>
      <c r="B1415" s="1">
        <v>0</v>
      </c>
      <c r="C1415" t="s">
        <v>491</v>
      </c>
      <c r="D1415" t="s">
        <v>5122</v>
      </c>
      <c r="E1415" t="s">
        <v>5434</v>
      </c>
      <c r="F1415" t="s">
        <v>5089</v>
      </c>
      <c r="G1415" t="s">
        <v>5358</v>
      </c>
      <c r="H1415" t="s">
        <v>3654</v>
      </c>
      <c r="J1415" t="s">
        <v>2025</v>
      </c>
      <c r="K1415">
        <v>231.5</v>
      </c>
    </row>
    <row r="1416" spans="1:11" x14ac:dyDescent="0.35">
      <c r="A1416" t="s">
        <v>2028</v>
      </c>
      <c r="B1416" s="1">
        <v>0</v>
      </c>
      <c r="C1416" t="s">
        <v>4644</v>
      </c>
      <c r="D1416" t="s">
        <v>5109</v>
      </c>
      <c r="E1416" t="s">
        <v>5165</v>
      </c>
      <c r="F1416" t="s">
        <v>5089</v>
      </c>
      <c r="G1416" t="s">
        <v>5045</v>
      </c>
      <c r="H1416" t="s">
        <v>630</v>
      </c>
      <c r="J1416" t="s">
        <v>2028</v>
      </c>
      <c r="K1416">
        <v>230.1</v>
      </c>
    </row>
    <row r="1417" spans="1:11" x14ac:dyDescent="0.35">
      <c r="A1417" t="s">
        <v>2030</v>
      </c>
      <c r="B1417" s="1">
        <v>0</v>
      </c>
      <c r="C1417" t="s">
        <v>5648</v>
      </c>
      <c r="D1417" t="s">
        <v>5246</v>
      </c>
      <c r="E1417" t="s">
        <v>5270</v>
      </c>
      <c r="F1417" t="s">
        <v>5089</v>
      </c>
      <c r="G1417" t="s">
        <v>5110</v>
      </c>
      <c r="H1417" t="s">
        <v>2029</v>
      </c>
      <c r="J1417" t="s">
        <v>2030</v>
      </c>
      <c r="K1417">
        <v>229.1</v>
      </c>
    </row>
    <row r="1418" spans="1:11" x14ac:dyDescent="0.35">
      <c r="A1418" t="s">
        <v>2032</v>
      </c>
      <c r="B1418" s="1">
        <v>0</v>
      </c>
      <c r="C1418" t="s">
        <v>339</v>
      </c>
      <c r="D1418" t="s">
        <v>5271</v>
      </c>
      <c r="E1418" t="s">
        <v>5276</v>
      </c>
      <c r="F1418" t="s">
        <v>5089</v>
      </c>
      <c r="G1418" t="s">
        <v>5082</v>
      </c>
      <c r="H1418" t="s">
        <v>5737</v>
      </c>
      <c r="J1418" t="s">
        <v>2032</v>
      </c>
      <c r="K1418">
        <v>225.4</v>
      </c>
    </row>
    <row r="1419" spans="1:11" x14ac:dyDescent="0.35">
      <c r="A1419" t="s">
        <v>2035</v>
      </c>
      <c r="B1419" s="1">
        <v>0</v>
      </c>
      <c r="C1419" t="s">
        <v>983</v>
      </c>
      <c r="D1419" t="s">
        <v>5271</v>
      </c>
      <c r="E1419" t="s">
        <v>5243</v>
      </c>
      <c r="F1419" t="s">
        <v>5077</v>
      </c>
      <c r="G1419" t="s">
        <v>5215</v>
      </c>
      <c r="H1419" t="s">
        <v>228</v>
      </c>
      <c r="J1419" t="s">
        <v>2035</v>
      </c>
      <c r="K1419">
        <v>218.1</v>
      </c>
    </row>
    <row r="1420" spans="1:11" x14ac:dyDescent="0.35">
      <c r="A1420" t="s">
        <v>2036</v>
      </c>
      <c r="B1420" s="1">
        <v>0</v>
      </c>
      <c r="C1420" t="s">
        <v>3800</v>
      </c>
      <c r="D1420" t="s">
        <v>5126</v>
      </c>
      <c r="E1420" t="s">
        <v>5102</v>
      </c>
      <c r="F1420" t="s">
        <v>5077</v>
      </c>
      <c r="G1420" t="s">
        <v>5475</v>
      </c>
      <c r="H1420" t="s">
        <v>2729</v>
      </c>
      <c r="J1420" t="s">
        <v>2036</v>
      </c>
      <c r="K1420">
        <v>214.5</v>
      </c>
    </row>
    <row r="1421" spans="1:11" x14ac:dyDescent="0.35">
      <c r="A1421" t="s">
        <v>2038</v>
      </c>
      <c r="B1421" s="1">
        <v>0</v>
      </c>
      <c r="C1421" t="s">
        <v>984</v>
      </c>
      <c r="D1421" t="s">
        <v>5275</v>
      </c>
      <c r="E1421" t="s">
        <v>5182</v>
      </c>
      <c r="F1421" t="s">
        <v>5089</v>
      </c>
      <c r="G1421" t="s">
        <v>5183</v>
      </c>
      <c r="H1421" t="s">
        <v>2056</v>
      </c>
      <c r="J1421" t="s">
        <v>2038</v>
      </c>
      <c r="K1421">
        <v>220.1</v>
      </c>
    </row>
    <row r="1422" spans="1:11" x14ac:dyDescent="0.35">
      <c r="A1422" t="s">
        <v>2040</v>
      </c>
      <c r="B1422" s="1">
        <v>0</v>
      </c>
      <c r="C1422" t="s">
        <v>1871</v>
      </c>
      <c r="D1422" t="s">
        <v>5228</v>
      </c>
      <c r="E1422" t="s">
        <v>5123</v>
      </c>
      <c r="F1422" t="s">
        <v>5089</v>
      </c>
      <c r="G1422" t="s">
        <v>5124</v>
      </c>
      <c r="H1422" t="s">
        <v>2026</v>
      </c>
      <c r="J1422" t="s">
        <v>2040</v>
      </c>
      <c r="K1422">
        <v>230.5</v>
      </c>
    </row>
    <row r="1423" spans="1:11" x14ac:dyDescent="0.35">
      <c r="A1423" t="s">
        <v>2042</v>
      </c>
      <c r="B1423" s="1">
        <v>0</v>
      </c>
      <c r="C1423" t="s">
        <v>5601</v>
      </c>
      <c r="D1423" t="s">
        <v>5499</v>
      </c>
      <c r="E1423" t="s">
        <v>5096</v>
      </c>
      <c r="F1423" t="s">
        <v>5089</v>
      </c>
      <c r="G1423" t="s">
        <v>5110</v>
      </c>
      <c r="H1423" t="s">
        <v>2012</v>
      </c>
      <c r="J1423" t="s">
        <v>2042</v>
      </c>
      <c r="K1423">
        <v>239.9</v>
      </c>
    </row>
    <row r="1424" spans="1:11" x14ac:dyDescent="0.35">
      <c r="A1424" t="s">
        <v>2044</v>
      </c>
      <c r="B1424" s="1">
        <v>0</v>
      </c>
      <c r="C1424" t="s">
        <v>3805</v>
      </c>
      <c r="D1424" t="s">
        <v>5609</v>
      </c>
      <c r="E1424" t="s">
        <v>5067</v>
      </c>
      <c r="F1424" t="s">
        <v>5089</v>
      </c>
      <c r="G1424" t="s">
        <v>5077</v>
      </c>
      <c r="H1424" t="s">
        <v>2704</v>
      </c>
      <c r="J1424" t="s">
        <v>2044</v>
      </c>
      <c r="K1424">
        <v>242.6</v>
      </c>
    </row>
    <row r="1425" spans="1:11" x14ac:dyDescent="0.35">
      <c r="A1425" t="s">
        <v>2046</v>
      </c>
      <c r="B1425" s="1">
        <v>0</v>
      </c>
      <c r="C1425" t="s">
        <v>4644</v>
      </c>
      <c r="D1425" t="s">
        <v>5459</v>
      </c>
      <c r="E1425" t="s">
        <v>5113</v>
      </c>
      <c r="F1425" t="s">
        <v>5089</v>
      </c>
      <c r="G1425" t="s">
        <v>5045</v>
      </c>
      <c r="H1425" t="s">
        <v>3950</v>
      </c>
      <c r="J1425" t="s">
        <v>2046</v>
      </c>
      <c r="K1425">
        <v>235.9</v>
      </c>
    </row>
    <row r="1426" spans="1:11" x14ac:dyDescent="0.35">
      <c r="A1426" t="s">
        <v>2048</v>
      </c>
      <c r="B1426" s="1">
        <v>0</v>
      </c>
      <c r="C1426" t="s">
        <v>1480</v>
      </c>
      <c r="D1426" t="s">
        <v>5112</v>
      </c>
      <c r="E1426" t="s">
        <v>5304</v>
      </c>
      <c r="F1426" t="s">
        <v>5089</v>
      </c>
      <c r="G1426" t="s">
        <v>5110</v>
      </c>
      <c r="H1426" t="s">
        <v>5025</v>
      </c>
      <c r="J1426" t="s">
        <v>2048</v>
      </c>
      <c r="K1426">
        <v>223.2</v>
      </c>
    </row>
    <row r="1427" spans="1:11" x14ac:dyDescent="0.35">
      <c r="A1427" t="s">
        <v>2049</v>
      </c>
      <c r="B1427" s="1">
        <v>0</v>
      </c>
      <c r="C1427" t="s">
        <v>983</v>
      </c>
      <c r="D1427" t="s">
        <v>5258</v>
      </c>
      <c r="E1427" t="s">
        <v>5160</v>
      </c>
      <c r="F1427" t="s">
        <v>5089</v>
      </c>
      <c r="G1427" t="s">
        <v>5095</v>
      </c>
      <c r="H1427" t="s">
        <v>2726</v>
      </c>
      <c r="J1427" t="s">
        <v>2049</v>
      </c>
      <c r="K1427">
        <v>211.4</v>
      </c>
    </row>
    <row r="1428" spans="1:11" x14ac:dyDescent="0.35">
      <c r="A1428" t="s">
        <v>2050</v>
      </c>
      <c r="B1428" s="1">
        <v>0</v>
      </c>
      <c r="C1428" t="s">
        <v>4381</v>
      </c>
      <c r="D1428" t="s">
        <v>5083</v>
      </c>
      <c r="E1428" t="s">
        <v>5076</v>
      </c>
      <c r="F1428" t="s">
        <v>5077</v>
      </c>
      <c r="G1428" t="s">
        <v>5215</v>
      </c>
      <c r="H1428" t="s">
        <v>3913</v>
      </c>
      <c r="J1428" t="s">
        <v>2050</v>
      </c>
      <c r="K1428">
        <v>204.2</v>
      </c>
    </row>
    <row r="1429" spans="1:11" x14ac:dyDescent="0.35">
      <c r="A1429" t="s">
        <v>2051</v>
      </c>
      <c r="B1429" s="1">
        <v>0</v>
      </c>
      <c r="C1429" t="s">
        <v>3798</v>
      </c>
      <c r="D1429" t="s">
        <v>5248</v>
      </c>
      <c r="E1429" t="s">
        <v>5173</v>
      </c>
      <c r="F1429" t="s">
        <v>5077</v>
      </c>
      <c r="G1429" t="s">
        <v>5078</v>
      </c>
      <c r="H1429" t="s">
        <v>657</v>
      </c>
      <c r="J1429" t="s">
        <v>2051</v>
      </c>
      <c r="K1429">
        <v>208.3</v>
      </c>
    </row>
    <row r="1430" spans="1:11" x14ac:dyDescent="0.35">
      <c r="A1430" t="s">
        <v>2052</v>
      </c>
      <c r="B1430" s="1">
        <v>0</v>
      </c>
      <c r="C1430" t="s">
        <v>1529</v>
      </c>
      <c r="D1430" t="s">
        <v>5107</v>
      </c>
      <c r="E1430" t="s">
        <v>5434</v>
      </c>
      <c r="F1430" t="s">
        <v>5089</v>
      </c>
      <c r="G1430" t="s">
        <v>5124</v>
      </c>
      <c r="H1430" t="s">
        <v>3877</v>
      </c>
      <c r="J1430" t="s">
        <v>2052</v>
      </c>
      <c r="K1430">
        <v>217.1</v>
      </c>
    </row>
    <row r="1431" spans="1:11" x14ac:dyDescent="0.35">
      <c r="A1431" t="s">
        <v>2053</v>
      </c>
      <c r="B1431" s="1">
        <v>0</v>
      </c>
      <c r="C1431" t="s">
        <v>981</v>
      </c>
      <c r="D1431" t="s">
        <v>5491</v>
      </c>
      <c r="E1431" t="s">
        <v>5208</v>
      </c>
      <c r="F1431" t="s">
        <v>5089</v>
      </c>
      <c r="G1431" t="s">
        <v>5116</v>
      </c>
      <c r="H1431" t="s">
        <v>3028</v>
      </c>
      <c r="J1431" t="s">
        <v>2053</v>
      </c>
      <c r="K1431">
        <v>220.7</v>
      </c>
    </row>
    <row r="1432" spans="1:11" x14ac:dyDescent="0.35">
      <c r="A1432" t="s">
        <v>2055</v>
      </c>
      <c r="B1432" s="1">
        <v>0</v>
      </c>
      <c r="C1432" t="s">
        <v>336</v>
      </c>
      <c r="D1432" t="s">
        <v>5509</v>
      </c>
      <c r="E1432" t="s">
        <v>5192</v>
      </c>
      <c r="F1432" t="s">
        <v>5077</v>
      </c>
      <c r="G1432" t="s">
        <v>5110</v>
      </c>
      <c r="H1432" t="s">
        <v>3730</v>
      </c>
      <c r="J1432" t="s">
        <v>2055</v>
      </c>
      <c r="K1432">
        <v>221.1</v>
      </c>
    </row>
    <row r="1433" spans="1:11" x14ac:dyDescent="0.35">
      <c r="A1433" t="s">
        <v>2057</v>
      </c>
      <c r="B1433" s="1">
        <v>0</v>
      </c>
      <c r="C1433" t="s">
        <v>461</v>
      </c>
      <c r="D1433" t="s">
        <v>5617</v>
      </c>
      <c r="E1433" t="s">
        <v>5074</v>
      </c>
      <c r="F1433" t="s">
        <v>5152</v>
      </c>
      <c r="G1433" t="s">
        <v>5355</v>
      </c>
      <c r="H1433" t="s">
        <v>2736</v>
      </c>
      <c r="J1433" t="s">
        <v>2057</v>
      </c>
      <c r="K1433">
        <v>231.8</v>
      </c>
    </row>
    <row r="1434" spans="1:11" x14ac:dyDescent="0.35">
      <c r="A1434" t="s">
        <v>2059</v>
      </c>
      <c r="B1434" s="1">
        <v>0</v>
      </c>
      <c r="C1434" t="s">
        <v>1467</v>
      </c>
      <c r="D1434" t="s">
        <v>5472</v>
      </c>
      <c r="E1434" t="s">
        <v>5141</v>
      </c>
      <c r="F1434" t="s">
        <v>5152</v>
      </c>
      <c r="G1434" t="s">
        <v>5501</v>
      </c>
      <c r="H1434" t="s">
        <v>2086</v>
      </c>
      <c r="J1434" t="s">
        <v>2059</v>
      </c>
      <c r="K1434">
        <v>243.7</v>
      </c>
    </row>
    <row r="1435" spans="1:11" x14ac:dyDescent="0.35">
      <c r="A1435" t="s">
        <v>2062</v>
      </c>
      <c r="B1435" s="1">
        <v>0</v>
      </c>
      <c r="C1435" t="s">
        <v>319</v>
      </c>
      <c r="D1435" t="s">
        <v>377</v>
      </c>
      <c r="E1435" t="s">
        <v>5439</v>
      </c>
      <c r="F1435" t="s">
        <v>5338</v>
      </c>
      <c r="G1435" t="s">
        <v>5340</v>
      </c>
      <c r="H1435" t="s">
        <v>5688</v>
      </c>
      <c r="J1435" t="s">
        <v>2062</v>
      </c>
      <c r="K1435">
        <v>261.60000000000002</v>
      </c>
    </row>
    <row r="1436" spans="1:11" x14ac:dyDescent="0.35">
      <c r="A1436" t="s">
        <v>2063</v>
      </c>
      <c r="B1436" s="1">
        <v>0</v>
      </c>
      <c r="C1436" t="s">
        <v>1074</v>
      </c>
      <c r="D1436" t="s">
        <v>1035</v>
      </c>
      <c r="E1436" t="s">
        <v>5449</v>
      </c>
      <c r="F1436" t="s">
        <v>5338</v>
      </c>
      <c r="G1436" t="s">
        <v>5188</v>
      </c>
      <c r="H1436" t="s">
        <v>3628</v>
      </c>
      <c r="J1436" t="s">
        <v>2063</v>
      </c>
      <c r="K1436">
        <v>275.60000000000002</v>
      </c>
    </row>
    <row r="1437" spans="1:11" x14ac:dyDescent="0.35">
      <c r="A1437" t="s">
        <v>2064</v>
      </c>
      <c r="B1437" s="1">
        <v>0</v>
      </c>
      <c r="C1437" t="s">
        <v>964</v>
      </c>
      <c r="D1437" t="s">
        <v>390</v>
      </c>
      <c r="E1437" t="s">
        <v>5090</v>
      </c>
      <c r="F1437" t="s">
        <v>5338</v>
      </c>
      <c r="G1437" t="s">
        <v>5205</v>
      </c>
      <c r="H1437" t="s">
        <v>5773</v>
      </c>
      <c r="J1437" t="s">
        <v>2064</v>
      </c>
      <c r="K1437">
        <v>279.10000000000002</v>
      </c>
    </row>
    <row r="1438" spans="1:11" x14ac:dyDescent="0.35">
      <c r="A1438" t="s">
        <v>2066</v>
      </c>
      <c r="B1438" s="1">
        <v>0</v>
      </c>
      <c r="C1438" t="s">
        <v>1100</v>
      </c>
      <c r="D1438" t="s">
        <v>392</v>
      </c>
      <c r="E1438" t="s">
        <v>5103</v>
      </c>
      <c r="F1438" t="s">
        <v>5338</v>
      </c>
      <c r="G1438" t="s">
        <v>5201</v>
      </c>
      <c r="H1438" t="s">
        <v>3974</v>
      </c>
      <c r="J1438" t="s">
        <v>2066</v>
      </c>
      <c r="K1438">
        <v>267.5</v>
      </c>
    </row>
    <row r="1439" spans="1:11" x14ac:dyDescent="0.35">
      <c r="A1439" t="s">
        <v>2068</v>
      </c>
      <c r="B1439" s="1">
        <v>0</v>
      </c>
      <c r="C1439" t="s">
        <v>315</v>
      </c>
      <c r="D1439" t="s">
        <v>5628</v>
      </c>
      <c r="E1439" t="s">
        <v>5135</v>
      </c>
      <c r="F1439" t="s">
        <v>5338</v>
      </c>
      <c r="G1439" t="s">
        <v>5166</v>
      </c>
      <c r="H1439" t="s">
        <v>3576</v>
      </c>
      <c r="J1439" t="s">
        <v>2068</v>
      </c>
      <c r="K1439">
        <v>252.5</v>
      </c>
    </row>
    <row r="1440" spans="1:11" x14ac:dyDescent="0.35">
      <c r="A1440" t="s">
        <v>2069</v>
      </c>
      <c r="B1440" s="1">
        <v>0</v>
      </c>
      <c r="C1440" t="s">
        <v>1474</v>
      </c>
      <c r="D1440" t="s">
        <v>5629</v>
      </c>
      <c r="E1440" t="s">
        <v>5453</v>
      </c>
      <c r="F1440" t="s">
        <v>5338</v>
      </c>
      <c r="G1440" t="s">
        <v>5340</v>
      </c>
      <c r="H1440" t="s">
        <v>4451</v>
      </c>
      <c r="J1440" t="s">
        <v>2069</v>
      </c>
      <c r="K1440">
        <v>242.8</v>
      </c>
    </row>
    <row r="1441" spans="1:11" x14ac:dyDescent="0.35">
      <c r="A1441" t="s">
        <v>2071</v>
      </c>
      <c r="B1441" s="1">
        <v>0</v>
      </c>
      <c r="C1441" t="s">
        <v>5735</v>
      </c>
      <c r="D1441" t="s">
        <v>5497</v>
      </c>
      <c r="E1441" t="s">
        <v>5213</v>
      </c>
      <c r="F1441" t="s">
        <v>5338</v>
      </c>
      <c r="G1441" t="s">
        <v>5333</v>
      </c>
      <c r="H1441" t="s">
        <v>1720</v>
      </c>
      <c r="J1441" t="s">
        <v>2071</v>
      </c>
      <c r="K1441">
        <v>236.7</v>
      </c>
    </row>
    <row r="1442" spans="1:11" x14ac:dyDescent="0.35">
      <c r="A1442" t="s">
        <v>2073</v>
      </c>
      <c r="B1442" s="1">
        <v>0</v>
      </c>
      <c r="C1442" t="s">
        <v>1543</v>
      </c>
      <c r="D1442" t="s">
        <v>5491</v>
      </c>
      <c r="E1442" t="s">
        <v>5448</v>
      </c>
      <c r="F1442" t="s">
        <v>5338</v>
      </c>
      <c r="G1442" t="s">
        <v>5355</v>
      </c>
      <c r="H1442" t="s">
        <v>2369</v>
      </c>
      <c r="J1442" t="s">
        <v>2073</v>
      </c>
      <c r="K1442">
        <v>231.7</v>
      </c>
    </row>
    <row r="1443" spans="1:11" x14ac:dyDescent="0.35">
      <c r="A1443" t="s">
        <v>2074</v>
      </c>
      <c r="B1443" s="1">
        <v>0</v>
      </c>
      <c r="C1443" t="s">
        <v>353</v>
      </c>
      <c r="D1443" t="s">
        <v>5552</v>
      </c>
      <c r="E1443" t="s">
        <v>5276</v>
      </c>
      <c r="F1443" t="s">
        <v>5338</v>
      </c>
      <c r="G1443" t="s">
        <v>5132</v>
      </c>
      <c r="H1443" t="s">
        <v>2004</v>
      </c>
      <c r="J1443" t="s">
        <v>2074</v>
      </c>
      <c r="K1443">
        <v>219.6</v>
      </c>
    </row>
    <row r="1444" spans="1:11" x14ac:dyDescent="0.35">
      <c r="A1444" t="s">
        <v>2075</v>
      </c>
      <c r="B1444" s="1">
        <v>0</v>
      </c>
      <c r="C1444" t="s">
        <v>1045</v>
      </c>
      <c r="D1444" t="s">
        <v>5366</v>
      </c>
      <c r="E1444" t="s">
        <v>5081</v>
      </c>
      <c r="F1444" t="s">
        <v>5152</v>
      </c>
      <c r="G1444" t="s">
        <v>5077</v>
      </c>
      <c r="H1444" t="s">
        <v>5713</v>
      </c>
      <c r="J1444" t="s">
        <v>2075</v>
      </c>
      <c r="K1444">
        <v>207.6</v>
      </c>
    </row>
    <row r="1445" spans="1:11" x14ac:dyDescent="0.35">
      <c r="A1445" t="s">
        <v>2077</v>
      </c>
      <c r="B1445" s="1">
        <v>0</v>
      </c>
      <c r="C1445" t="s">
        <v>3494</v>
      </c>
      <c r="D1445" t="s">
        <v>5366</v>
      </c>
      <c r="E1445" t="s">
        <v>5123</v>
      </c>
      <c r="F1445" t="s">
        <v>5152</v>
      </c>
      <c r="G1445" t="s">
        <v>5045</v>
      </c>
      <c r="H1445" t="s">
        <v>1685</v>
      </c>
      <c r="J1445" t="s">
        <v>2077</v>
      </c>
      <c r="K1445">
        <v>204.8</v>
      </c>
    </row>
    <row r="1446" spans="1:11" x14ac:dyDescent="0.35">
      <c r="A1446" t="s">
        <v>2079</v>
      </c>
      <c r="B1446" s="1">
        <v>0</v>
      </c>
      <c r="C1446" t="s">
        <v>2604</v>
      </c>
      <c r="D1446" t="s">
        <v>5393</v>
      </c>
      <c r="E1446" t="s">
        <v>5096</v>
      </c>
      <c r="F1446" t="s">
        <v>5152</v>
      </c>
      <c r="G1446" t="s">
        <v>5089</v>
      </c>
      <c r="H1446" t="s">
        <v>3980</v>
      </c>
      <c r="J1446" t="s">
        <v>2079</v>
      </c>
      <c r="K1446">
        <v>211.7</v>
      </c>
    </row>
    <row r="1447" spans="1:11" x14ac:dyDescent="0.35">
      <c r="A1447" t="s">
        <v>2080</v>
      </c>
      <c r="B1447" s="1">
        <v>0</v>
      </c>
      <c r="C1447" t="s">
        <v>442</v>
      </c>
      <c r="D1447" t="s">
        <v>5476</v>
      </c>
      <c r="E1447" t="s">
        <v>5072</v>
      </c>
      <c r="F1447" t="s">
        <v>5152</v>
      </c>
      <c r="G1447" t="s">
        <v>5132</v>
      </c>
      <c r="H1447" t="s">
        <v>3028</v>
      </c>
      <c r="J1447" t="s">
        <v>2080</v>
      </c>
      <c r="K1447">
        <v>220.7</v>
      </c>
    </row>
    <row r="1448" spans="1:11" x14ac:dyDescent="0.35">
      <c r="A1448" t="s">
        <v>2081</v>
      </c>
      <c r="B1448" s="1">
        <v>0</v>
      </c>
      <c r="C1448" t="s">
        <v>1916</v>
      </c>
      <c r="D1448" t="s">
        <v>5574</v>
      </c>
      <c r="E1448" t="s">
        <v>5096</v>
      </c>
      <c r="F1448" t="s">
        <v>5152</v>
      </c>
      <c r="G1448" t="s">
        <v>5132</v>
      </c>
      <c r="H1448" t="s">
        <v>5672</v>
      </c>
      <c r="J1448" t="s">
        <v>2081</v>
      </c>
      <c r="K1448">
        <v>218.5</v>
      </c>
    </row>
    <row r="1449" spans="1:11" x14ac:dyDescent="0.35">
      <c r="A1449" t="s">
        <v>2082</v>
      </c>
      <c r="B1449" s="1">
        <v>0</v>
      </c>
      <c r="C1449" t="s">
        <v>365</v>
      </c>
      <c r="D1449" t="s">
        <v>5512</v>
      </c>
      <c r="E1449" t="s">
        <v>5276</v>
      </c>
      <c r="F1449" t="s">
        <v>5152</v>
      </c>
      <c r="G1449" t="s">
        <v>5132</v>
      </c>
      <c r="H1449" t="s">
        <v>1238</v>
      </c>
      <c r="J1449" t="s">
        <v>2082</v>
      </c>
      <c r="K1449">
        <v>216</v>
      </c>
    </row>
    <row r="1450" spans="1:11" x14ac:dyDescent="0.35">
      <c r="A1450" t="s">
        <v>2084</v>
      </c>
      <c r="B1450" s="1">
        <v>0</v>
      </c>
      <c r="C1450" t="s">
        <v>364</v>
      </c>
      <c r="D1450" t="s">
        <v>5269</v>
      </c>
      <c r="E1450" t="s">
        <v>5069</v>
      </c>
      <c r="F1450" t="s">
        <v>5152</v>
      </c>
      <c r="G1450" t="s">
        <v>5493</v>
      </c>
      <c r="H1450" t="s">
        <v>5737</v>
      </c>
      <c r="J1450" t="s">
        <v>2084</v>
      </c>
      <c r="K1450">
        <v>225.4</v>
      </c>
    </row>
    <row r="1451" spans="1:11" x14ac:dyDescent="0.35">
      <c r="A1451" t="s">
        <v>2085</v>
      </c>
      <c r="B1451" s="1">
        <v>0</v>
      </c>
      <c r="C1451" t="s">
        <v>5642</v>
      </c>
      <c r="D1451" t="s">
        <v>5507</v>
      </c>
      <c r="E1451" t="s">
        <v>5088</v>
      </c>
      <c r="F1451" t="s">
        <v>5338</v>
      </c>
      <c r="G1451" t="s">
        <v>5341</v>
      </c>
      <c r="H1451" t="s">
        <v>5021</v>
      </c>
      <c r="J1451" t="s">
        <v>2085</v>
      </c>
      <c r="K1451">
        <v>246.6</v>
      </c>
    </row>
    <row r="1452" spans="1:11" x14ac:dyDescent="0.35">
      <c r="A1452" t="s">
        <v>2088</v>
      </c>
      <c r="B1452" s="1">
        <v>0</v>
      </c>
      <c r="C1452" t="s">
        <v>964</v>
      </c>
      <c r="D1452" t="s">
        <v>5457</v>
      </c>
      <c r="E1452" t="s">
        <v>5471</v>
      </c>
      <c r="F1452" t="s">
        <v>5338</v>
      </c>
      <c r="G1452" t="s">
        <v>5201</v>
      </c>
      <c r="H1452" t="s">
        <v>3595</v>
      </c>
      <c r="J1452" t="s">
        <v>2088</v>
      </c>
      <c r="K1452">
        <v>265.5</v>
      </c>
    </row>
    <row r="1453" spans="1:11" x14ac:dyDescent="0.35">
      <c r="A1453" t="s">
        <v>2089</v>
      </c>
      <c r="B1453" s="1">
        <v>0</v>
      </c>
      <c r="C1453" t="s">
        <v>1076</v>
      </c>
      <c r="D1453" t="s">
        <v>5515</v>
      </c>
      <c r="E1453" t="s">
        <v>5571</v>
      </c>
      <c r="F1453" t="s">
        <v>5338</v>
      </c>
      <c r="G1453" t="s">
        <v>5201</v>
      </c>
      <c r="H1453" t="s">
        <v>3971</v>
      </c>
      <c r="J1453" t="s">
        <v>2089</v>
      </c>
      <c r="K1453">
        <v>266.2</v>
      </c>
    </row>
    <row r="1454" spans="1:11" x14ac:dyDescent="0.35">
      <c r="A1454" t="s">
        <v>2090</v>
      </c>
      <c r="B1454" s="1">
        <v>0</v>
      </c>
      <c r="C1454" t="s">
        <v>973</v>
      </c>
      <c r="D1454" t="s">
        <v>5612</v>
      </c>
      <c r="E1454" t="s">
        <v>5150</v>
      </c>
      <c r="F1454" t="s">
        <v>5338</v>
      </c>
      <c r="G1454" t="s">
        <v>5501</v>
      </c>
      <c r="H1454" t="s">
        <v>5693</v>
      </c>
      <c r="J1454" t="s">
        <v>2090</v>
      </c>
      <c r="K1454">
        <v>249</v>
      </c>
    </row>
    <row r="1455" spans="1:11" x14ac:dyDescent="0.35">
      <c r="A1455" t="s">
        <v>2093</v>
      </c>
      <c r="B1455" s="1">
        <v>0</v>
      </c>
      <c r="C1455" t="s">
        <v>1864</v>
      </c>
      <c r="D1455" t="s">
        <v>5630</v>
      </c>
      <c r="E1455" t="s">
        <v>5121</v>
      </c>
      <c r="F1455" t="s">
        <v>5338</v>
      </c>
      <c r="G1455" t="s">
        <v>5136</v>
      </c>
      <c r="H1455" t="s">
        <v>2736</v>
      </c>
      <c r="J1455" t="s">
        <v>2093</v>
      </c>
      <c r="K1455">
        <v>231.8</v>
      </c>
    </row>
    <row r="1456" spans="1:11" x14ac:dyDescent="0.35">
      <c r="A1456" t="s">
        <v>2094</v>
      </c>
      <c r="B1456" s="1">
        <v>0</v>
      </c>
      <c r="C1456" t="s">
        <v>458</v>
      </c>
      <c r="D1456" t="s">
        <v>5558</v>
      </c>
      <c r="E1456" t="s">
        <v>5239</v>
      </c>
      <c r="F1456" t="s">
        <v>5338</v>
      </c>
      <c r="G1456" t="s">
        <v>5356</v>
      </c>
      <c r="H1456" t="s">
        <v>5025</v>
      </c>
      <c r="J1456" t="s">
        <v>2094</v>
      </c>
      <c r="K1456">
        <v>223.2</v>
      </c>
    </row>
    <row r="1457" spans="1:11" x14ac:dyDescent="0.35">
      <c r="A1457" t="s">
        <v>2096</v>
      </c>
      <c r="B1457" s="1">
        <v>0</v>
      </c>
      <c r="C1457" t="s">
        <v>354</v>
      </c>
      <c r="D1457" t="s">
        <v>5248</v>
      </c>
      <c r="E1457" t="s">
        <v>5249</v>
      </c>
      <c r="F1457" t="s">
        <v>5338</v>
      </c>
      <c r="G1457" t="s">
        <v>5136</v>
      </c>
      <c r="H1457" t="s">
        <v>769</v>
      </c>
      <c r="J1457" t="s">
        <v>2096</v>
      </c>
      <c r="K1457">
        <v>222.2</v>
      </c>
    </row>
    <row r="1458" spans="1:11" x14ac:dyDescent="0.35">
      <c r="A1458" t="s">
        <v>2098</v>
      </c>
      <c r="B1458" s="1">
        <v>0</v>
      </c>
      <c r="C1458" t="s">
        <v>2607</v>
      </c>
      <c r="D1458" t="s">
        <v>5518</v>
      </c>
      <c r="E1458" t="s">
        <v>5208</v>
      </c>
      <c r="F1458" t="s">
        <v>5338</v>
      </c>
      <c r="G1458" t="s">
        <v>5493</v>
      </c>
      <c r="H1458" t="s">
        <v>208</v>
      </c>
      <c r="J1458" t="s">
        <v>2098</v>
      </c>
      <c r="K1458">
        <v>223</v>
      </c>
    </row>
    <row r="1459" spans="1:11" x14ac:dyDescent="0.35">
      <c r="A1459" t="s">
        <v>2099</v>
      </c>
      <c r="B1459" s="1">
        <v>0</v>
      </c>
      <c r="C1459" t="s">
        <v>1542</v>
      </c>
      <c r="D1459" t="s">
        <v>5233</v>
      </c>
      <c r="E1459" t="s">
        <v>5060</v>
      </c>
      <c r="F1459" t="s">
        <v>5338</v>
      </c>
      <c r="G1459" t="s">
        <v>5355</v>
      </c>
      <c r="H1459" t="s">
        <v>2029</v>
      </c>
      <c r="J1459" t="s">
        <v>2099</v>
      </c>
      <c r="K1459">
        <v>229.1</v>
      </c>
    </row>
    <row r="1460" spans="1:11" x14ac:dyDescent="0.35">
      <c r="A1460" t="s">
        <v>2100</v>
      </c>
      <c r="B1460" s="1">
        <v>0</v>
      </c>
      <c r="C1460" t="s">
        <v>4905</v>
      </c>
      <c r="D1460" t="s">
        <v>5523</v>
      </c>
      <c r="E1460" t="s">
        <v>5123</v>
      </c>
      <c r="F1460" t="s">
        <v>5338</v>
      </c>
      <c r="G1460" t="s">
        <v>5332</v>
      </c>
      <c r="H1460" t="s">
        <v>1259</v>
      </c>
      <c r="J1460" t="s">
        <v>2100</v>
      </c>
      <c r="K1460">
        <v>238</v>
      </c>
    </row>
    <row r="1461" spans="1:11" x14ac:dyDescent="0.35">
      <c r="A1461" t="s">
        <v>2101</v>
      </c>
      <c r="B1461" s="1">
        <v>0</v>
      </c>
      <c r="C1461" t="s">
        <v>5600</v>
      </c>
      <c r="D1461" t="s">
        <v>5472</v>
      </c>
      <c r="E1461" t="s">
        <v>5441</v>
      </c>
      <c r="F1461" t="s">
        <v>5338</v>
      </c>
      <c r="G1461" t="s">
        <v>5501</v>
      </c>
      <c r="H1461" t="s">
        <v>5769</v>
      </c>
      <c r="J1461" t="s">
        <v>2101</v>
      </c>
      <c r="K1461">
        <v>251.9</v>
      </c>
    </row>
    <row r="1462" spans="1:11" x14ac:dyDescent="0.35">
      <c r="A1462" t="s">
        <v>2104</v>
      </c>
      <c r="B1462" s="1">
        <v>0</v>
      </c>
      <c r="C1462" t="s">
        <v>5641</v>
      </c>
      <c r="D1462" t="s">
        <v>5631</v>
      </c>
      <c r="E1462" t="s">
        <v>5245</v>
      </c>
      <c r="F1462" t="s">
        <v>5338</v>
      </c>
      <c r="G1462" t="s">
        <v>5501</v>
      </c>
      <c r="H1462" t="s">
        <v>5774</v>
      </c>
      <c r="J1462" t="s">
        <v>2104</v>
      </c>
      <c r="K1462">
        <v>264.39999999999998</v>
      </c>
    </row>
    <row r="1463" spans="1:11" x14ac:dyDescent="0.35">
      <c r="A1463" t="s">
        <v>2105</v>
      </c>
      <c r="B1463" s="1">
        <v>0</v>
      </c>
      <c r="C1463" t="s">
        <v>2290</v>
      </c>
      <c r="D1463" t="s">
        <v>993</v>
      </c>
      <c r="E1463" t="s">
        <v>5442</v>
      </c>
      <c r="F1463" t="s">
        <v>5338</v>
      </c>
      <c r="G1463" t="s">
        <v>5501</v>
      </c>
      <c r="H1463" t="s">
        <v>5775</v>
      </c>
      <c r="J1463" t="s">
        <v>2105</v>
      </c>
      <c r="K1463">
        <v>268.39999999999998</v>
      </c>
    </row>
    <row r="1464" spans="1:11" x14ac:dyDescent="0.35">
      <c r="A1464" t="s">
        <v>2107</v>
      </c>
      <c r="B1464" s="1">
        <v>0</v>
      </c>
      <c r="C1464" t="s">
        <v>966</v>
      </c>
      <c r="D1464" t="s">
        <v>5565</v>
      </c>
      <c r="E1464" t="s">
        <v>5150</v>
      </c>
      <c r="F1464" t="s">
        <v>5089</v>
      </c>
      <c r="G1464" t="s">
        <v>5332</v>
      </c>
      <c r="H1464" t="s">
        <v>3065</v>
      </c>
      <c r="J1464" t="s">
        <v>2107</v>
      </c>
      <c r="K1464">
        <v>257.7</v>
      </c>
    </row>
    <row r="1465" spans="1:11" x14ac:dyDescent="0.35">
      <c r="A1465" t="s">
        <v>2109</v>
      </c>
      <c r="B1465" s="1">
        <v>0</v>
      </c>
      <c r="C1465" t="s">
        <v>314</v>
      </c>
      <c r="D1465" t="s">
        <v>5506</v>
      </c>
      <c r="E1465" t="s">
        <v>5063</v>
      </c>
      <c r="F1465" t="s">
        <v>5089</v>
      </c>
      <c r="G1465" t="s">
        <v>5501</v>
      </c>
      <c r="H1465" t="s">
        <v>4242</v>
      </c>
      <c r="J1465" t="s">
        <v>2109</v>
      </c>
      <c r="K1465">
        <v>248.1</v>
      </c>
    </row>
    <row r="1466" spans="1:11" x14ac:dyDescent="0.35">
      <c r="A1466" t="s">
        <v>2110</v>
      </c>
      <c r="B1466" s="1">
        <v>0</v>
      </c>
      <c r="C1466" t="s">
        <v>3806</v>
      </c>
      <c r="D1466" t="s">
        <v>5497</v>
      </c>
      <c r="E1466" t="s">
        <v>5272</v>
      </c>
      <c r="F1466" t="s">
        <v>5089</v>
      </c>
      <c r="G1466" t="s">
        <v>5501</v>
      </c>
      <c r="H1466" t="s">
        <v>5764</v>
      </c>
      <c r="J1466" t="s">
        <v>2110</v>
      </c>
      <c r="K1466">
        <v>238.5</v>
      </c>
    </row>
    <row r="1467" spans="1:11" x14ac:dyDescent="0.35">
      <c r="A1467" t="s">
        <v>2112</v>
      </c>
      <c r="B1467" s="1">
        <v>0</v>
      </c>
      <c r="C1467" t="s">
        <v>1466</v>
      </c>
      <c r="D1467" t="s">
        <v>5574</v>
      </c>
      <c r="E1467" t="s">
        <v>5098</v>
      </c>
      <c r="F1467" t="s">
        <v>5089</v>
      </c>
      <c r="G1467" t="s">
        <v>5501</v>
      </c>
      <c r="H1467" t="s">
        <v>1308</v>
      </c>
      <c r="J1467" t="s">
        <v>2112</v>
      </c>
      <c r="K1467">
        <v>232.1</v>
      </c>
    </row>
    <row r="1468" spans="1:11" x14ac:dyDescent="0.35">
      <c r="A1468" t="s">
        <v>2114</v>
      </c>
      <c r="B1468" s="1">
        <v>0</v>
      </c>
      <c r="C1468" t="s">
        <v>324</v>
      </c>
      <c r="D1468" t="s">
        <v>5489</v>
      </c>
      <c r="E1468" t="s">
        <v>5076</v>
      </c>
      <c r="F1468" t="s">
        <v>5089</v>
      </c>
      <c r="G1468" t="s">
        <v>5493</v>
      </c>
      <c r="H1468" t="s">
        <v>751</v>
      </c>
      <c r="J1468" t="s">
        <v>2114</v>
      </c>
      <c r="K1468">
        <v>218.6</v>
      </c>
    </row>
    <row r="1469" spans="1:11" x14ac:dyDescent="0.35">
      <c r="A1469" t="s">
        <v>2116</v>
      </c>
      <c r="B1469" s="1">
        <v>0</v>
      </c>
      <c r="C1469" t="s">
        <v>445</v>
      </c>
      <c r="D1469" t="s">
        <v>5220</v>
      </c>
      <c r="E1469" t="s">
        <v>5169</v>
      </c>
      <c r="F1469" t="s">
        <v>5077</v>
      </c>
      <c r="G1469" t="s">
        <v>5077</v>
      </c>
      <c r="H1469" t="s">
        <v>86</v>
      </c>
      <c r="J1469" t="s">
        <v>2116</v>
      </c>
      <c r="K1469">
        <v>199.7</v>
      </c>
    </row>
    <row r="1470" spans="1:11" x14ac:dyDescent="0.35">
      <c r="A1470" t="s">
        <v>2118</v>
      </c>
      <c r="B1470" s="1">
        <v>0</v>
      </c>
      <c r="C1470" t="s">
        <v>1517</v>
      </c>
      <c r="D1470" t="s">
        <v>5114</v>
      </c>
      <c r="E1470" t="s">
        <v>5426</v>
      </c>
      <c r="F1470" t="s">
        <v>5077</v>
      </c>
      <c r="G1470" t="s">
        <v>5116</v>
      </c>
      <c r="H1470" t="s">
        <v>1215</v>
      </c>
      <c r="J1470" t="s">
        <v>2118</v>
      </c>
      <c r="K1470">
        <v>182.7</v>
      </c>
    </row>
    <row r="1471" spans="1:11" x14ac:dyDescent="0.35">
      <c r="A1471" t="s">
        <v>2119</v>
      </c>
      <c r="B1471" s="1">
        <v>0</v>
      </c>
      <c r="C1471" t="s">
        <v>5567</v>
      </c>
      <c r="D1471" t="s">
        <v>5096</v>
      </c>
      <c r="E1471" t="s">
        <v>5319</v>
      </c>
      <c r="F1471" t="s">
        <v>5077</v>
      </c>
      <c r="G1471" t="s">
        <v>5095</v>
      </c>
      <c r="H1471" t="s">
        <v>4155</v>
      </c>
      <c r="J1471" t="s">
        <v>2119</v>
      </c>
      <c r="K1471">
        <v>174.5</v>
      </c>
    </row>
    <row r="1472" spans="1:11" x14ac:dyDescent="0.35">
      <c r="A1472" t="s">
        <v>2120</v>
      </c>
      <c r="B1472" s="1">
        <v>0</v>
      </c>
      <c r="C1472" t="s">
        <v>1005</v>
      </c>
      <c r="D1472" t="s">
        <v>5088</v>
      </c>
      <c r="E1472" t="s">
        <v>5426</v>
      </c>
      <c r="F1472" t="s">
        <v>5077</v>
      </c>
      <c r="G1472" t="s">
        <v>5095</v>
      </c>
      <c r="H1472" t="s">
        <v>824</v>
      </c>
      <c r="J1472" t="s">
        <v>2120</v>
      </c>
      <c r="K1472">
        <v>178.6</v>
      </c>
    </row>
    <row r="1473" spans="1:11" x14ac:dyDescent="0.35">
      <c r="A1473" t="s">
        <v>2121</v>
      </c>
      <c r="B1473" s="1">
        <v>0</v>
      </c>
      <c r="C1473" t="s">
        <v>1878</v>
      </c>
      <c r="D1473" t="s">
        <v>5450</v>
      </c>
      <c r="E1473" t="s">
        <v>5064</v>
      </c>
      <c r="F1473" t="s">
        <v>5077</v>
      </c>
      <c r="G1473" t="s">
        <v>5116</v>
      </c>
      <c r="H1473" t="s">
        <v>724</v>
      </c>
      <c r="J1473" t="s">
        <v>2121</v>
      </c>
      <c r="K1473">
        <v>189.9</v>
      </c>
    </row>
    <row r="1474" spans="1:11" x14ac:dyDescent="0.35">
      <c r="A1474" t="s">
        <v>2122</v>
      </c>
      <c r="B1474" s="1">
        <v>0</v>
      </c>
      <c r="C1474" t="s">
        <v>2601</v>
      </c>
      <c r="D1474" t="s">
        <v>5596</v>
      </c>
      <c r="E1474" t="s">
        <v>5237</v>
      </c>
      <c r="F1474" t="s">
        <v>5077</v>
      </c>
      <c r="G1474" t="s">
        <v>5116</v>
      </c>
      <c r="H1474" t="s">
        <v>1193</v>
      </c>
      <c r="J1474" t="s">
        <v>2122</v>
      </c>
      <c r="K1474">
        <v>197.9</v>
      </c>
    </row>
    <row r="1475" spans="1:11" x14ac:dyDescent="0.35">
      <c r="A1475" t="s">
        <v>2123</v>
      </c>
      <c r="B1475" s="1">
        <v>0</v>
      </c>
      <c r="C1475" t="s">
        <v>3488</v>
      </c>
      <c r="D1475" t="s">
        <v>5494</v>
      </c>
      <c r="E1475" t="s">
        <v>5306</v>
      </c>
      <c r="F1475" t="s">
        <v>5077</v>
      </c>
      <c r="G1475" t="s">
        <v>5082</v>
      </c>
      <c r="H1475" t="s">
        <v>4199</v>
      </c>
      <c r="J1475" t="s">
        <v>2123</v>
      </c>
      <c r="K1475">
        <v>200.6</v>
      </c>
    </row>
    <row r="1476" spans="1:11" x14ac:dyDescent="0.35">
      <c r="A1476" t="s">
        <v>2124</v>
      </c>
      <c r="B1476" s="1">
        <v>0</v>
      </c>
      <c r="C1476" t="s">
        <v>1040</v>
      </c>
      <c r="D1476" t="s">
        <v>5452</v>
      </c>
      <c r="E1476" t="s">
        <v>5434</v>
      </c>
      <c r="F1476" t="s">
        <v>5077</v>
      </c>
      <c r="G1476" t="s">
        <v>5116</v>
      </c>
      <c r="H1476" t="s">
        <v>5691</v>
      </c>
      <c r="J1476" t="s">
        <v>2124</v>
      </c>
      <c r="K1476">
        <v>202.2</v>
      </c>
    </row>
    <row r="1477" spans="1:11" x14ac:dyDescent="0.35">
      <c r="A1477" t="s">
        <v>2125</v>
      </c>
      <c r="B1477" s="1">
        <v>0</v>
      </c>
      <c r="C1477" t="s">
        <v>1044</v>
      </c>
      <c r="D1477" t="s">
        <v>5530</v>
      </c>
      <c r="E1477" t="s">
        <v>5219</v>
      </c>
      <c r="F1477" t="s">
        <v>5077</v>
      </c>
      <c r="G1477" t="s">
        <v>5045</v>
      </c>
      <c r="H1477" t="s">
        <v>5010</v>
      </c>
      <c r="J1477" t="s">
        <v>2125</v>
      </c>
      <c r="K1477">
        <v>205.1</v>
      </c>
    </row>
    <row r="1478" spans="1:11" x14ac:dyDescent="0.35">
      <c r="A1478" t="s">
        <v>2126</v>
      </c>
      <c r="B1478" s="1">
        <v>0</v>
      </c>
      <c r="C1478" t="s">
        <v>322</v>
      </c>
      <c r="D1478" t="s">
        <v>5579</v>
      </c>
      <c r="E1478" t="s">
        <v>5059</v>
      </c>
      <c r="F1478" t="s">
        <v>5077</v>
      </c>
      <c r="G1478" t="s">
        <v>5358</v>
      </c>
      <c r="H1478" t="s">
        <v>2724</v>
      </c>
      <c r="J1478" t="s">
        <v>2126</v>
      </c>
      <c r="K1478">
        <v>208</v>
      </c>
    </row>
    <row r="1479" spans="1:11" x14ac:dyDescent="0.35">
      <c r="A1479" t="s">
        <v>2127</v>
      </c>
      <c r="B1479" s="1">
        <v>0</v>
      </c>
      <c r="C1479" t="s">
        <v>349</v>
      </c>
      <c r="D1479" t="s">
        <v>5097</v>
      </c>
      <c r="E1479" t="s">
        <v>5221</v>
      </c>
      <c r="F1479" t="s">
        <v>5077</v>
      </c>
      <c r="G1479" t="s">
        <v>5132</v>
      </c>
      <c r="H1479" t="s">
        <v>753</v>
      </c>
      <c r="J1479" t="s">
        <v>2127</v>
      </c>
      <c r="K1479">
        <v>204.1</v>
      </c>
    </row>
    <row r="1480" spans="1:11" x14ac:dyDescent="0.35">
      <c r="A1480" t="s">
        <v>2128</v>
      </c>
      <c r="B1480" s="1">
        <v>0</v>
      </c>
      <c r="C1480" t="s">
        <v>454</v>
      </c>
      <c r="D1480" t="s">
        <v>5216</v>
      </c>
      <c r="E1480" t="s">
        <v>5323</v>
      </c>
      <c r="F1480" t="s">
        <v>5077</v>
      </c>
      <c r="G1480" t="s">
        <v>5358</v>
      </c>
      <c r="H1480" t="s">
        <v>5663</v>
      </c>
      <c r="J1480" t="s">
        <v>2128</v>
      </c>
      <c r="K1480">
        <v>200.1</v>
      </c>
    </row>
    <row r="1481" spans="1:11" x14ac:dyDescent="0.35">
      <c r="A1481" t="s">
        <v>2129</v>
      </c>
      <c r="B1481" s="1">
        <v>0</v>
      </c>
      <c r="C1481" t="s">
        <v>1054</v>
      </c>
      <c r="D1481" t="s">
        <v>5596</v>
      </c>
      <c r="E1481" t="s">
        <v>5176</v>
      </c>
      <c r="F1481" t="s">
        <v>5077</v>
      </c>
      <c r="G1481" t="s">
        <v>5089</v>
      </c>
      <c r="H1481" t="s">
        <v>947</v>
      </c>
      <c r="J1481" t="s">
        <v>2129</v>
      </c>
      <c r="K1481">
        <v>199</v>
      </c>
    </row>
    <row r="1482" spans="1:11" x14ac:dyDescent="0.35">
      <c r="A1482" t="s">
        <v>2130</v>
      </c>
      <c r="B1482" s="1">
        <v>0</v>
      </c>
      <c r="C1482" t="s">
        <v>1060</v>
      </c>
      <c r="D1482" t="s">
        <v>5094</v>
      </c>
      <c r="E1482" t="s">
        <v>5167</v>
      </c>
      <c r="F1482" t="s">
        <v>5077</v>
      </c>
      <c r="G1482" t="s">
        <v>5358</v>
      </c>
      <c r="H1482" t="s">
        <v>244</v>
      </c>
      <c r="J1482" t="s">
        <v>2130</v>
      </c>
      <c r="K1482">
        <v>204.9</v>
      </c>
    </row>
    <row r="1483" spans="1:11" x14ac:dyDescent="0.35">
      <c r="A1483" t="s">
        <v>2132</v>
      </c>
      <c r="B1483" s="1">
        <v>0</v>
      </c>
      <c r="C1483" t="s">
        <v>348</v>
      </c>
      <c r="D1483" t="s">
        <v>5146</v>
      </c>
      <c r="E1483" t="s">
        <v>5068</v>
      </c>
      <c r="F1483" t="s">
        <v>5077</v>
      </c>
      <c r="G1483" t="s">
        <v>5132</v>
      </c>
      <c r="H1483" t="s">
        <v>2115</v>
      </c>
      <c r="J1483" t="s">
        <v>2132</v>
      </c>
      <c r="K1483">
        <v>209.9</v>
      </c>
    </row>
    <row r="1484" spans="1:11" x14ac:dyDescent="0.35">
      <c r="A1484" t="s">
        <v>2133</v>
      </c>
      <c r="B1484" s="1">
        <v>0</v>
      </c>
      <c r="C1484" t="s">
        <v>983</v>
      </c>
      <c r="D1484" t="s">
        <v>5595</v>
      </c>
      <c r="E1484" t="s">
        <v>5176</v>
      </c>
      <c r="F1484" t="s">
        <v>5077</v>
      </c>
      <c r="G1484" t="s">
        <v>5358</v>
      </c>
      <c r="H1484" t="s">
        <v>1697</v>
      </c>
      <c r="J1484" t="s">
        <v>2133</v>
      </c>
      <c r="K1484">
        <v>208.2</v>
      </c>
    </row>
    <row r="1485" spans="1:11" x14ac:dyDescent="0.35">
      <c r="A1485" t="s">
        <v>2134</v>
      </c>
      <c r="B1485" s="1">
        <v>0</v>
      </c>
      <c r="C1485" t="s">
        <v>366</v>
      </c>
      <c r="D1485" t="s">
        <v>5216</v>
      </c>
      <c r="E1485" t="s">
        <v>5428</v>
      </c>
      <c r="F1485" t="s">
        <v>5077</v>
      </c>
      <c r="G1485" t="s">
        <v>5089</v>
      </c>
      <c r="H1485" t="s">
        <v>4467</v>
      </c>
      <c r="J1485" t="s">
        <v>2134</v>
      </c>
      <c r="K1485">
        <v>206.2</v>
      </c>
    </row>
    <row r="1486" spans="1:11" x14ac:dyDescent="0.35">
      <c r="A1486" t="s">
        <v>2136</v>
      </c>
      <c r="B1486" s="1">
        <v>0</v>
      </c>
      <c r="C1486" t="s">
        <v>353</v>
      </c>
      <c r="D1486" t="s">
        <v>5097</v>
      </c>
      <c r="E1486" t="s">
        <v>5428</v>
      </c>
      <c r="F1486" t="s">
        <v>5077</v>
      </c>
      <c r="G1486" t="s">
        <v>5358</v>
      </c>
      <c r="H1486" t="s">
        <v>3880</v>
      </c>
      <c r="J1486" t="s">
        <v>2136</v>
      </c>
      <c r="K1486">
        <v>209.2</v>
      </c>
    </row>
    <row r="1487" spans="1:11" x14ac:dyDescent="0.35">
      <c r="A1487" t="s">
        <v>2137</v>
      </c>
      <c r="B1487" s="1">
        <v>0</v>
      </c>
      <c r="C1487" t="s">
        <v>4380</v>
      </c>
      <c r="D1487" t="s">
        <v>5373</v>
      </c>
      <c r="E1487" t="s">
        <v>5237</v>
      </c>
      <c r="F1487" t="s">
        <v>5089</v>
      </c>
      <c r="G1487" t="s">
        <v>5356</v>
      </c>
      <c r="H1487" t="s">
        <v>2345</v>
      </c>
      <c r="J1487" t="s">
        <v>2137</v>
      </c>
      <c r="K1487">
        <v>214</v>
      </c>
    </row>
    <row r="1488" spans="1:11" x14ac:dyDescent="0.35">
      <c r="A1488" t="s">
        <v>2138</v>
      </c>
      <c r="B1488" s="1">
        <v>0</v>
      </c>
      <c r="C1488" t="s">
        <v>2266</v>
      </c>
      <c r="D1488" t="s">
        <v>5532</v>
      </c>
      <c r="E1488" t="s">
        <v>5167</v>
      </c>
      <c r="F1488" t="s">
        <v>5089</v>
      </c>
      <c r="G1488" t="s">
        <v>5493</v>
      </c>
      <c r="H1488" t="s">
        <v>5660</v>
      </c>
      <c r="J1488" t="s">
        <v>2138</v>
      </c>
      <c r="K1488">
        <v>217.5</v>
      </c>
    </row>
    <row r="1489" spans="1:11" x14ac:dyDescent="0.35">
      <c r="A1489" t="s">
        <v>2139</v>
      </c>
      <c r="B1489" s="1">
        <v>0</v>
      </c>
      <c r="C1489" t="s">
        <v>459</v>
      </c>
      <c r="D1489" t="s">
        <v>5389</v>
      </c>
      <c r="E1489" t="s">
        <v>5210</v>
      </c>
      <c r="F1489" t="s">
        <v>5089</v>
      </c>
      <c r="G1489" t="s">
        <v>5355</v>
      </c>
      <c r="H1489" t="s">
        <v>1841</v>
      </c>
      <c r="J1489" t="s">
        <v>2139</v>
      </c>
      <c r="K1489">
        <v>220.4</v>
      </c>
    </row>
    <row r="1490" spans="1:11" x14ac:dyDescent="0.35">
      <c r="A1490" t="s">
        <v>2141</v>
      </c>
      <c r="B1490" s="1">
        <v>0</v>
      </c>
      <c r="C1490" t="s">
        <v>335</v>
      </c>
      <c r="D1490" t="s">
        <v>5117</v>
      </c>
      <c r="E1490" t="s">
        <v>5434</v>
      </c>
      <c r="F1490" t="s">
        <v>5089</v>
      </c>
      <c r="G1490" t="s">
        <v>5501</v>
      </c>
      <c r="H1490" t="s">
        <v>232</v>
      </c>
      <c r="J1490" t="s">
        <v>2141</v>
      </c>
      <c r="K1490">
        <v>222.4</v>
      </c>
    </row>
    <row r="1491" spans="1:11" x14ac:dyDescent="0.35">
      <c r="A1491" t="s">
        <v>2143</v>
      </c>
      <c r="B1491" s="1">
        <v>0</v>
      </c>
      <c r="C1491" t="s">
        <v>1868</v>
      </c>
      <c r="D1491" t="s">
        <v>5117</v>
      </c>
      <c r="E1491" t="s">
        <v>5219</v>
      </c>
      <c r="F1491" t="s">
        <v>5089</v>
      </c>
      <c r="G1491" t="s">
        <v>5333</v>
      </c>
      <c r="H1491" t="s">
        <v>5025</v>
      </c>
      <c r="J1491" t="s">
        <v>2143</v>
      </c>
      <c r="K1491">
        <v>223.2</v>
      </c>
    </row>
    <row r="1492" spans="1:11" x14ac:dyDescent="0.35">
      <c r="A1492" t="s">
        <v>2145</v>
      </c>
      <c r="B1492" s="1">
        <v>0</v>
      </c>
      <c r="C1492" t="s">
        <v>2272</v>
      </c>
      <c r="D1492" t="s">
        <v>5384</v>
      </c>
      <c r="E1492" t="s">
        <v>5434</v>
      </c>
      <c r="F1492" t="s">
        <v>5089</v>
      </c>
      <c r="G1492" t="s">
        <v>5340</v>
      </c>
      <c r="H1492" t="s">
        <v>2033</v>
      </c>
      <c r="J1492" t="s">
        <v>2145</v>
      </c>
      <c r="K1492">
        <v>224.5</v>
      </c>
    </row>
    <row r="1493" spans="1:11" x14ac:dyDescent="0.35">
      <c r="A1493" t="s">
        <v>2146</v>
      </c>
      <c r="B1493" s="1">
        <v>0</v>
      </c>
      <c r="C1493" t="s">
        <v>2267</v>
      </c>
      <c r="D1493" t="s">
        <v>5378</v>
      </c>
      <c r="E1493" t="s">
        <v>5197</v>
      </c>
      <c r="F1493" t="s">
        <v>5077</v>
      </c>
      <c r="G1493" t="s">
        <v>5333</v>
      </c>
      <c r="H1493" t="s">
        <v>751</v>
      </c>
      <c r="J1493" t="s">
        <v>2146</v>
      </c>
      <c r="K1493">
        <v>218.6</v>
      </c>
    </row>
    <row r="1494" spans="1:11" x14ac:dyDescent="0.35">
      <c r="A1494" t="s">
        <v>2149</v>
      </c>
      <c r="B1494" s="1">
        <v>0</v>
      </c>
      <c r="C1494" t="s">
        <v>364</v>
      </c>
      <c r="D1494" t="s">
        <v>5097</v>
      </c>
      <c r="E1494" t="s">
        <v>5237</v>
      </c>
      <c r="F1494" t="s">
        <v>5077</v>
      </c>
      <c r="G1494" t="s">
        <v>5332</v>
      </c>
      <c r="H1494" t="s">
        <v>5671</v>
      </c>
      <c r="J1494" t="s">
        <v>2149</v>
      </c>
      <c r="K1494">
        <v>211.8</v>
      </c>
    </row>
    <row r="1495" spans="1:11" x14ac:dyDescent="0.35">
      <c r="A1495" t="s">
        <v>2150</v>
      </c>
      <c r="B1495" s="1">
        <v>0</v>
      </c>
      <c r="C1495" t="s">
        <v>452</v>
      </c>
      <c r="D1495" t="s">
        <v>5141</v>
      </c>
      <c r="E1495" t="s">
        <v>5599</v>
      </c>
      <c r="F1495" t="s">
        <v>5050</v>
      </c>
      <c r="G1495" t="s">
        <v>5334</v>
      </c>
      <c r="H1495" t="s">
        <v>898</v>
      </c>
      <c r="J1495" t="s">
        <v>2150</v>
      </c>
      <c r="K1495">
        <v>183.6</v>
      </c>
    </row>
    <row r="1496" spans="1:11" x14ac:dyDescent="0.35">
      <c r="A1496" t="s">
        <v>2152</v>
      </c>
      <c r="B1496" s="1">
        <v>0</v>
      </c>
      <c r="C1496" t="s">
        <v>404</v>
      </c>
      <c r="D1496" t="s">
        <v>5120</v>
      </c>
      <c r="E1496" t="s">
        <v>5415</v>
      </c>
      <c r="F1496" t="s">
        <v>5050</v>
      </c>
      <c r="G1496" t="s">
        <v>5156</v>
      </c>
      <c r="H1496" t="s">
        <v>1172</v>
      </c>
      <c r="J1496" t="s">
        <v>2152</v>
      </c>
      <c r="K1496">
        <v>170.8</v>
      </c>
    </row>
    <row r="1497" spans="1:11" x14ac:dyDescent="0.35">
      <c r="A1497" t="s">
        <v>2153</v>
      </c>
      <c r="B1497" s="1">
        <v>0</v>
      </c>
      <c r="C1497" t="s">
        <v>5610</v>
      </c>
      <c r="D1497" t="s">
        <v>5167</v>
      </c>
      <c r="E1497" t="s">
        <v>5049</v>
      </c>
      <c r="F1497" t="s">
        <v>5050</v>
      </c>
      <c r="G1497" t="s">
        <v>5348</v>
      </c>
      <c r="H1497" t="s">
        <v>290</v>
      </c>
      <c r="J1497" t="s">
        <v>2153</v>
      </c>
      <c r="K1497">
        <v>160.1</v>
      </c>
    </row>
    <row r="1498" spans="1:11" x14ac:dyDescent="0.35">
      <c r="A1498" t="s">
        <v>2154</v>
      </c>
      <c r="B1498" s="1">
        <v>0</v>
      </c>
      <c r="C1498" t="s">
        <v>5499</v>
      </c>
      <c r="D1498" t="s">
        <v>5313</v>
      </c>
      <c r="E1498" t="s">
        <v>5290</v>
      </c>
      <c r="F1498" t="s">
        <v>5050</v>
      </c>
      <c r="G1498" t="s">
        <v>5177</v>
      </c>
      <c r="H1498" t="s">
        <v>2661</v>
      </c>
      <c r="J1498" t="s">
        <v>2154</v>
      </c>
      <c r="K1498">
        <v>151.1</v>
      </c>
    </row>
    <row r="1499" spans="1:11" x14ac:dyDescent="0.35">
      <c r="A1499" t="s">
        <v>2156</v>
      </c>
      <c r="B1499" s="1">
        <v>0</v>
      </c>
      <c r="C1499" t="s">
        <v>5590</v>
      </c>
      <c r="D1499" t="s">
        <v>5301</v>
      </c>
      <c r="E1499" t="s">
        <v>5047</v>
      </c>
      <c r="F1499" t="s">
        <v>5050</v>
      </c>
      <c r="G1499" t="s">
        <v>5184</v>
      </c>
      <c r="H1499" t="s">
        <v>1129</v>
      </c>
      <c r="J1499" t="s">
        <v>2156</v>
      </c>
      <c r="K1499">
        <v>143.4</v>
      </c>
    </row>
    <row r="1500" spans="1:11" x14ac:dyDescent="0.35">
      <c r="A1500" t="s">
        <v>2157</v>
      </c>
      <c r="B1500" s="1">
        <v>0</v>
      </c>
      <c r="C1500" t="s">
        <v>5537</v>
      </c>
      <c r="D1500" t="s">
        <v>5057</v>
      </c>
      <c r="E1500" t="s">
        <v>5047</v>
      </c>
      <c r="F1500" t="s">
        <v>5050</v>
      </c>
      <c r="G1500" t="s">
        <v>5186</v>
      </c>
      <c r="H1500" t="s">
        <v>24</v>
      </c>
      <c r="J1500" t="s">
        <v>2157</v>
      </c>
      <c r="K1500">
        <v>141.5</v>
      </c>
    </row>
    <row r="1501" spans="1:11" x14ac:dyDescent="0.35">
      <c r="A1501" t="s">
        <v>2158</v>
      </c>
      <c r="B1501" s="1">
        <v>0</v>
      </c>
      <c r="C1501" t="s">
        <v>5459</v>
      </c>
      <c r="D1501" t="s">
        <v>5073</v>
      </c>
      <c r="E1501" t="s">
        <v>5290</v>
      </c>
      <c r="F1501" t="s">
        <v>5050</v>
      </c>
      <c r="G1501" t="s">
        <v>5189</v>
      </c>
      <c r="H1501" t="s">
        <v>1440</v>
      </c>
      <c r="J1501" t="s">
        <v>2158</v>
      </c>
      <c r="K1501">
        <v>147.4</v>
      </c>
    </row>
    <row r="1502" spans="1:11" x14ac:dyDescent="0.35">
      <c r="A1502" t="s">
        <v>2159</v>
      </c>
      <c r="B1502" s="1">
        <v>0</v>
      </c>
      <c r="C1502" t="s">
        <v>5468</v>
      </c>
      <c r="D1502" t="s">
        <v>5219</v>
      </c>
      <c r="E1502" t="s">
        <v>5423</v>
      </c>
      <c r="F1502" t="s">
        <v>5050</v>
      </c>
      <c r="G1502" t="s">
        <v>5186</v>
      </c>
      <c r="H1502" t="s">
        <v>140</v>
      </c>
      <c r="J1502" t="s">
        <v>2159</v>
      </c>
      <c r="K1502">
        <v>156.30000000000001</v>
      </c>
    </row>
    <row r="1503" spans="1:11" x14ac:dyDescent="0.35">
      <c r="A1503" t="s">
        <v>2160</v>
      </c>
      <c r="B1503" s="1">
        <v>0</v>
      </c>
      <c r="C1503" t="s">
        <v>5585</v>
      </c>
      <c r="D1503" t="s">
        <v>5276</v>
      </c>
      <c r="E1503" t="s">
        <v>5623</v>
      </c>
      <c r="F1503" t="s">
        <v>5050</v>
      </c>
      <c r="G1503" t="s">
        <v>5184</v>
      </c>
      <c r="H1503" t="s">
        <v>1627</v>
      </c>
      <c r="J1503" t="s">
        <v>2160</v>
      </c>
      <c r="K1503">
        <v>161.5</v>
      </c>
    </row>
    <row r="1504" spans="1:11" x14ac:dyDescent="0.35">
      <c r="A1504" t="s">
        <v>2161</v>
      </c>
      <c r="B1504" s="1">
        <v>0</v>
      </c>
      <c r="C1504" t="s">
        <v>5282</v>
      </c>
      <c r="D1504" t="s">
        <v>5453</v>
      </c>
      <c r="E1504" t="s">
        <v>5301</v>
      </c>
      <c r="F1504" t="s">
        <v>5050</v>
      </c>
      <c r="G1504" t="s">
        <v>5177</v>
      </c>
      <c r="H1504" t="s">
        <v>813</v>
      </c>
      <c r="J1504" t="s">
        <v>2161</v>
      </c>
      <c r="K1504">
        <v>165.3</v>
      </c>
    </row>
    <row r="1505" spans="1:11" x14ac:dyDescent="0.35">
      <c r="A1505" t="s">
        <v>2162</v>
      </c>
      <c r="B1505" s="1">
        <v>0</v>
      </c>
      <c r="C1505" t="s">
        <v>5608</v>
      </c>
      <c r="D1505" t="s">
        <v>5456</v>
      </c>
      <c r="E1505" t="s">
        <v>5061</v>
      </c>
      <c r="F1505" t="s">
        <v>5050</v>
      </c>
      <c r="G1505" t="s">
        <v>5348</v>
      </c>
      <c r="H1505" t="s">
        <v>1175</v>
      </c>
      <c r="J1505" t="s">
        <v>2162</v>
      </c>
      <c r="K1505">
        <v>171.5</v>
      </c>
    </row>
    <row r="1506" spans="1:11" x14ac:dyDescent="0.35">
      <c r="A1506" t="s">
        <v>2163</v>
      </c>
      <c r="B1506" s="1">
        <v>0</v>
      </c>
      <c r="C1506" t="s">
        <v>1005</v>
      </c>
      <c r="D1506" t="s">
        <v>5594</v>
      </c>
      <c r="E1506" t="s">
        <v>5055</v>
      </c>
      <c r="F1506" t="s">
        <v>5050</v>
      </c>
      <c r="G1506" t="s">
        <v>5156</v>
      </c>
      <c r="H1506" t="s">
        <v>668</v>
      </c>
      <c r="J1506" t="s">
        <v>2163</v>
      </c>
      <c r="K1506">
        <v>178.5</v>
      </c>
    </row>
    <row r="1507" spans="1:11" x14ac:dyDescent="0.35">
      <c r="A1507" t="s">
        <v>2165</v>
      </c>
      <c r="B1507" s="1">
        <v>0</v>
      </c>
      <c r="C1507" t="s">
        <v>1021</v>
      </c>
      <c r="D1507" t="s">
        <v>5254</v>
      </c>
      <c r="E1507" t="s">
        <v>5422</v>
      </c>
      <c r="F1507" t="s">
        <v>5050</v>
      </c>
      <c r="G1507" t="s">
        <v>5411</v>
      </c>
      <c r="H1507" t="s">
        <v>34</v>
      </c>
      <c r="J1507" t="s">
        <v>2165</v>
      </c>
      <c r="K1507">
        <v>184.9</v>
      </c>
    </row>
    <row r="1508" spans="1:11" x14ac:dyDescent="0.35">
      <c r="A1508" t="s">
        <v>2167</v>
      </c>
      <c r="B1508" s="1">
        <v>0</v>
      </c>
      <c r="C1508" t="s">
        <v>2916</v>
      </c>
      <c r="D1508" t="s">
        <v>5262</v>
      </c>
      <c r="E1508" t="s">
        <v>5286</v>
      </c>
      <c r="F1508" t="s">
        <v>5050</v>
      </c>
      <c r="G1508" t="s">
        <v>5153</v>
      </c>
      <c r="H1508" t="s">
        <v>711</v>
      </c>
      <c r="J1508" t="s">
        <v>2167</v>
      </c>
      <c r="K1508">
        <v>191.2</v>
      </c>
    </row>
    <row r="1509" spans="1:11" x14ac:dyDescent="0.35">
      <c r="A1509" t="s">
        <v>2169</v>
      </c>
      <c r="B1509" s="1">
        <v>0</v>
      </c>
      <c r="C1509" t="s">
        <v>1525</v>
      </c>
      <c r="D1509" t="s">
        <v>5462</v>
      </c>
      <c r="E1509" t="s">
        <v>5431</v>
      </c>
      <c r="F1509" t="s">
        <v>5050</v>
      </c>
      <c r="G1509" t="s">
        <v>5153</v>
      </c>
      <c r="H1509" t="s">
        <v>2850</v>
      </c>
      <c r="J1509" t="s">
        <v>2169</v>
      </c>
      <c r="K1509">
        <v>191.1</v>
      </c>
    </row>
    <row r="1510" spans="1:11" x14ac:dyDescent="0.35">
      <c r="A1510" t="s">
        <v>2171</v>
      </c>
      <c r="B1510" s="1">
        <v>0</v>
      </c>
      <c r="C1510" t="s">
        <v>1046</v>
      </c>
      <c r="D1510" t="s">
        <v>5198</v>
      </c>
      <c r="E1510" t="s">
        <v>5171</v>
      </c>
      <c r="F1510" t="s">
        <v>5050</v>
      </c>
      <c r="G1510" t="s">
        <v>5411</v>
      </c>
      <c r="H1510" t="s">
        <v>2416</v>
      </c>
      <c r="J1510" t="s">
        <v>2171</v>
      </c>
      <c r="K1510">
        <v>187.2</v>
      </c>
    </row>
    <row r="1511" spans="1:11" x14ac:dyDescent="0.35">
      <c r="A1511" t="s">
        <v>2172</v>
      </c>
      <c r="B1511" s="1">
        <v>0</v>
      </c>
      <c r="C1511" t="s">
        <v>386</v>
      </c>
      <c r="D1511" t="s">
        <v>5256</v>
      </c>
      <c r="E1511" t="s">
        <v>5422</v>
      </c>
      <c r="F1511" t="s">
        <v>5050</v>
      </c>
      <c r="G1511" t="s">
        <v>5339</v>
      </c>
      <c r="H1511" t="s">
        <v>2751</v>
      </c>
      <c r="J1511" t="s">
        <v>2172</v>
      </c>
      <c r="K1511">
        <v>183.1</v>
      </c>
    </row>
    <row r="1512" spans="1:11" x14ac:dyDescent="0.35">
      <c r="A1512" t="s">
        <v>2173</v>
      </c>
      <c r="B1512" s="1">
        <v>0</v>
      </c>
      <c r="C1512" t="s">
        <v>412</v>
      </c>
      <c r="D1512" t="s">
        <v>5079</v>
      </c>
      <c r="E1512" t="s">
        <v>5170</v>
      </c>
      <c r="F1512" t="s">
        <v>5050</v>
      </c>
      <c r="G1512" t="s">
        <v>5339</v>
      </c>
      <c r="H1512" t="s">
        <v>696</v>
      </c>
      <c r="J1512" t="s">
        <v>2173</v>
      </c>
      <c r="K1512">
        <v>184.8</v>
      </c>
    </row>
    <row r="1513" spans="1:11" x14ac:dyDescent="0.35">
      <c r="A1513" t="s">
        <v>2174</v>
      </c>
      <c r="B1513" s="1">
        <v>0</v>
      </c>
      <c r="C1513" t="s">
        <v>1909</v>
      </c>
      <c r="D1513" t="s">
        <v>5436</v>
      </c>
      <c r="E1513" t="s">
        <v>5234</v>
      </c>
      <c r="F1513" t="s">
        <v>5050</v>
      </c>
      <c r="G1513" t="s">
        <v>5411</v>
      </c>
      <c r="H1513" t="s">
        <v>241</v>
      </c>
      <c r="J1513" t="s">
        <v>2174</v>
      </c>
      <c r="K1513">
        <v>190.1</v>
      </c>
    </row>
    <row r="1514" spans="1:11" x14ac:dyDescent="0.35">
      <c r="A1514" t="s">
        <v>2175</v>
      </c>
      <c r="B1514" s="1">
        <v>0</v>
      </c>
      <c r="C1514" t="s">
        <v>3212</v>
      </c>
      <c r="D1514" t="s">
        <v>5539</v>
      </c>
      <c r="E1514" t="s">
        <v>5428</v>
      </c>
      <c r="F1514" t="s">
        <v>5050</v>
      </c>
      <c r="G1514" t="s">
        <v>5411</v>
      </c>
      <c r="H1514" t="s">
        <v>3137</v>
      </c>
      <c r="J1514" t="s">
        <v>2175</v>
      </c>
      <c r="K1514">
        <v>192.3</v>
      </c>
    </row>
    <row r="1515" spans="1:11" x14ac:dyDescent="0.35">
      <c r="A1515" t="s">
        <v>2176</v>
      </c>
      <c r="B1515" s="1">
        <v>0</v>
      </c>
      <c r="C1515" t="s">
        <v>1016</v>
      </c>
      <c r="D1515" t="s">
        <v>5264</v>
      </c>
      <c r="E1515" t="s">
        <v>5171</v>
      </c>
      <c r="F1515" t="s">
        <v>5050</v>
      </c>
      <c r="G1515" t="s">
        <v>5337</v>
      </c>
      <c r="H1515" t="s">
        <v>2481</v>
      </c>
      <c r="J1515" t="s">
        <v>2176</v>
      </c>
      <c r="K1515">
        <v>185.9</v>
      </c>
    </row>
    <row r="1516" spans="1:11" x14ac:dyDescent="0.35">
      <c r="A1516" t="s">
        <v>2177</v>
      </c>
      <c r="B1516" s="1">
        <v>0</v>
      </c>
      <c r="C1516" t="s">
        <v>1500</v>
      </c>
      <c r="D1516" t="s">
        <v>5256</v>
      </c>
      <c r="E1516" t="s">
        <v>5328</v>
      </c>
      <c r="F1516" t="s">
        <v>5050</v>
      </c>
      <c r="G1516" t="s">
        <v>5156</v>
      </c>
      <c r="H1516" t="s">
        <v>1322</v>
      </c>
      <c r="J1516" t="s">
        <v>2177</v>
      </c>
      <c r="K1516">
        <v>178</v>
      </c>
    </row>
    <row r="1517" spans="1:11" x14ac:dyDescent="0.35">
      <c r="A1517" t="s">
        <v>2179</v>
      </c>
      <c r="B1517" s="1">
        <v>0</v>
      </c>
      <c r="C1517" t="s">
        <v>5410</v>
      </c>
      <c r="D1517" t="s">
        <v>5508</v>
      </c>
      <c r="E1517" t="s">
        <v>5599</v>
      </c>
      <c r="F1517" t="s">
        <v>5050</v>
      </c>
      <c r="G1517" t="s">
        <v>5168</v>
      </c>
      <c r="H1517" t="s">
        <v>190</v>
      </c>
      <c r="J1517" t="s">
        <v>2179</v>
      </c>
      <c r="K1517">
        <v>170.9</v>
      </c>
    </row>
    <row r="1518" spans="1:11" x14ac:dyDescent="0.35">
      <c r="A1518" t="s">
        <v>2181</v>
      </c>
      <c r="B1518" s="1">
        <v>0</v>
      </c>
      <c r="C1518" t="s">
        <v>5516</v>
      </c>
      <c r="D1518" t="s">
        <v>5141</v>
      </c>
      <c r="E1518" t="s">
        <v>5426</v>
      </c>
      <c r="F1518" t="s">
        <v>5050</v>
      </c>
      <c r="G1518" t="s">
        <v>5164</v>
      </c>
      <c r="H1518" t="s">
        <v>1808</v>
      </c>
      <c r="J1518" t="s">
        <v>2181</v>
      </c>
      <c r="K1518">
        <v>167.8</v>
      </c>
    </row>
    <row r="1519" spans="1:11" x14ac:dyDescent="0.35">
      <c r="A1519" t="s">
        <v>2183</v>
      </c>
      <c r="B1519" s="1">
        <v>0</v>
      </c>
      <c r="C1519" t="s">
        <v>423</v>
      </c>
      <c r="D1519" t="s">
        <v>5106</v>
      </c>
      <c r="E1519" t="s">
        <v>5313</v>
      </c>
      <c r="F1519" t="s">
        <v>5050</v>
      </c>
      <c r="G1519" t="s">
        <v>5156</v>
      </c>
      <c r="H1519" t="s">
        <v>808</v>
      </c>
      <c r="J1519" t="s">
        <v>2183</v>
      </c>
      <c r="K1519">
        <v>177.7</v>
      </c>
    </row>
    <row r="1520" spans="1:11" x14ac:dyDescent="0.35">
      <c r="A1520" t="s">
        <v>2184</v>
      </c>
      <c r="B1520" s="1">
        <v>0</v>
      </c>
      <c r="C1520" t="s">
        <v>449</v>
      </c>
      <c r="D1520" t="s">
        <v>5596</v>
      </c>
      <c r="E1520" t="s">
        <v>5323</v>
      </c>
      <c r="F1520" t="s">
        <v>5050</v>
      </c>
      <c r="G1520" t="s">
        <v>5337</v>
      </c>
      <c r="H1520" t="s">
        <v>199</v>
      </c>
      <c r="J1520" t="s">
        <v>2184</v>
      </c>
      <c r="K1520">
        <v>194.5</v>
      </c>
    </row>
    <row r="1521" spans="1:11" x14ac:dyDescent="0.35">
      <c r="A1521" t="s">
        <v>2185</v>
      </c>
      <c r="B1521" s="1">
        <v>0</v>
      </c>
      <c r="C1521" t="s">
        <v>1523</v>
      </c>
      <c r="D1521" t="s">
        <v>5094</v>
      </c>
      <c r="E1521" t="s">
        <v>5076</v>
      </c>
      <c r="F1521" t="s">
        <v>5050</v>
      </c>
      <c r="G1521" t="s">
        <v>5411</v>
      </c>
      <c r="H1521" t="s">
        <v>682</v>
      </c>
      <c r="J1521" t="s">
        <v>2185</v>
      </c>
      <c r="K1521">
        <v>200.2</v>
      </c>
    </row>
    <row r="1522" spans="1:11" x14ac:dyDescent="0.35">
      <c r="A1522" s="2">
        <v>41334</v>
      </c>
      <c r="B1522" s="1">
        <v>0</v>
      </c>
      <c r="C1522" t="s">
        <v>441</v>
      </c>
      <c r="D1522" t="s">
        <v>5446</v>
      </c>
      <c r="E1522" t="s">
        <v>5170</v>
      </c>
      <c r="F1522" t="s">
        <v>5050</v>
      </c>
      <c r="G1522" t="s">
        <v>5156</v>
      </c>
      <c r="H1522" t="s">
        <v>897</v>
      </c>
      <c r="J1522" s="2">
        <v>41334</v>
      </c>
      <c r="K1522">
        <v>190.4</v>
      </c>
    </row>
    <row r="1523" spans="1:11" x14ac:dyDescent="0.35">
      <c r="A1523" s="2">
        <v>41335</v>
      </c>
      <c r="B1523" s="1">
        <v>0</v>
      </c>
      <c r="C1523" t="s">
        <v>1517</v>
      </c>
      <c r="D1523" t="s">
        <v>5151</v>
      </c>
      <c r="E1523" t="s">
        <v>5313</v>
      </c>
      <c r="F1523" t="s">
        <v>5078</v>
      </c>
      <c r="G1523" t="s">
        <v>5230</v>
      </c>
      <c r="H1523" t="s">
        <v>34</v>
      </c>
      <c r="J1523" s="2">
        <v>41335</v>
      </c>
      <c r="K1523">
        <v>184.9</v>
      </c>
    </row>
    <row r="1524" spans="1:11" x14ac:dyDescent="0.35">
      <c r="A1524" s="2">
        <v>41336</v>
      </c>
      <c r="B1524" s="1">
        <v>0</v>
      </c>
      <c r="C1524" t="s">
        <v>1516</v>
      </c>
      <c r="D1524" t="s">
        <v>5442</v>
      </c>
      <c r="E1524" t="s">
        <v>5181</v>
      </c>
      <c r="F1524" t="s">
        <v>5078</v>
      </c>
      <c r="G1524" t="s">
        <v>5230</v>
      </c>
      <c r="H1524" t="s">
        <v>3086</v>
      </c>
      <c r="J1524" s="2">
        <v>41336</v>
      </c>
      <c r="K1524">
        <v>182.2</v>
      </c>
    </row>
    <row r="1525" spans="1:11" x14ac:dyDescent="0.35">
      <c r="A1525" s="2">
        <v>41337</v>
      </c>
      <c r="B1525" s="1">
        <v>0</v>
      </c>
      <c r="C1525" t="s">
        <v>456</v>
      </c>
      <c r="D1525" t="s">
        <v>5211</v>
      </c>
      <c r="E1525" t="s">
        <v>5169</v>
      </c>
      <c r="F1525" t="s">
        <v>5078</v>
      </c>
      <c r="G1525" t="s">
        <v>5050</v>
      </c>
      <c r="H1525" t="s">
        <v>611</v>
      </c>
      <c r="J1525" s="2">
        <v>41337</v>
      </c>
      <c r="K1525">
        <v>194.1</v>
      </c>
    </row>
    <row r="1526" spans="1:11" x14ac:dyDescent="0.35">
      <c r="A1526" s="2">
        <v>41338</v>
      </c>
      <c r="B1526" s="1">
        <v>0</v>
      </c>
      <c r="C1526" t="s">
        <v>351</v>
      </c>
      <c r="D1526" t="s">
        <v>5532</v>
      </c>
      <c r="E1526" t="s">
        <v>5175</v>
      </c>
      <c r="F1526" t="s">
        <v>5078</v>
      </c>
      <c r="G1526" t="s">
        <v>5179</v>
      </c>
      <c r="H1526" t="s">
        <v>5713</v>
      </c>
      <c r="J1526" s="2">
        <v>41338</v>
      </c>
      <c r="K1526">
        <v>207.6</v>
      </c>
    </row>
    <row r="1527" spans="1:11" x14ac:dyDescent="0.35">
      <c r="A1527" s="2">
        <v>41339</v>
      </c>
      <c r="B1527" s="1">
        <v>0</v>
      </c>
      <c r="C1527" t="s">
        <v>465</v>
      </c>
      <c r="D1527" t="s">
        <v>5091</v>
      </c>
      <c r="E1527" t="s">
        <v>5219</v>
      </c>
      <c r="F1527" t="s">
        <v>5215</v>
      </c>
      <c r="G1527" t="s">
        <v>5412</v>
      </c>
      <c r="H1527" t="s">
        <v>1694</v>
      </c>
      <c r="J1527" s="2">
        <v>41339</v>
      </c>
      <c r="K1527">
        <v>213.6</v>
      </c>
    </row>
    <row r="1528" spans="1:11" x14ac:dyDescent="0.35">
      <c r="A1528" s="2">
        <v>41340</v>
      </c>
      <c r="B1528" s="1">
        <v>0</v>
      </c>
      <c r="C1528" t="s">
        <v>1484</v>
      </c>
      <c r="D1528" t="s">
        <v>5509</v>
      </c>
      <c r="E1528" t="s">
        <v>5192</v>
      </c>
      <c r="F1528" t="s">
        <v>5078</v>
      </c>
      <c r="G1528" t="s">
        <v>5065</v>
      </c>
      <c r="H1528" t="s">
        <v>3347</v>
      </c>
      <c r="J1528" s="2">
        <v>41340</v>
      </c>
      <c r="K1528">
        <v>216.8</v>
      </c>
    </row>
    <row r="1529" spans="1:11" x14ac:dyDescent="0.35">
      <c r="A1529" s="2">
        <v>41341</v>
      </c>
      <c r="B1529" s="1">
        <v>0</v>
      </c>
      <c r="C1529" t="s">
        <v>479</v>
      </c>
      <c r="D1529" t="s">
        <v>5126</v>
      </c>
      <c r="E1529" t="s">
        <v>5192</v>
      </c>
      <c r="F1529" t="s">
        <v>5078</v>
      </c>
      <c r="G1529" t="s">
        <v>5062</v>
      </c>
      <c r="H1529" t="s">
        <v>3873</v>
      </c>
      <c r="J1529" s="2">
        <v>41341</v>
      </c>
      <c r="K1529">
        <v>214.2</v>
      </c>
    </row>
    <row r="1530" spans="1:11" x14ac:dyDescent="0.35">
      <c r="A1530" s="2">
        <v>41342</v>
      </c>
      <c r="B1530" s="1">
        <v>0</v>
      </c>
      <c r="C1530" t="s">
        <v>322</v>
      </c>
      <c r="D1530" t="s">
        <v>5277</v>
      </c>
      <c r="E1530" t="s">
        <v>5162</v>
      </c>
      <c r="F1530" t="s">
        <v>5078</v>
      </c>
      <c r="G1530" t="s">
        <v>5412</v>
      </c>
      <c r="H1530" t="s">
        <v>1700</v>
      </c>
      <c r="J1530" s="2">
        <v>41342</v>
      </c>
      <c r="K1530">
        <v>212.4</v>
      </c>
    </row>
    <row r="1531" spans="1:11" x14ac:dyDescent="0.35">
      <c r="A1531" s="2">
        <v>41343</v>
      </c>
      <c r="B1531" s="1">
        <v>0</v>
      </c>
      <c r="C1531" t="s">
        <v>1525</v>
      </c>
      <c r="D1531" t="s">
        <v>5512</v>
      </c>
      <c r="E1531" t="s">
        <v>5160</v>
      </c>
      <c r="F1531" t="s">
        <v>5078</v>
      </c>
      <c r="G1531" t="s">
        <v>5179</v>
      </c>
      <c r="H1531" t="s">
        <v>727</v>
      </c>
      <c r="J1531" s="2">
        <v>41343</v>
      </c>
      <c r="K1531">
        <v>206.9</v>
      </c>
    </row>
    <row r="1532" spans="1:11" x14ac:dyDescent="0.35">
      <c r="A1532" s="2">
        <v>41344</v>
      </c>
      <c r="B1532" s="1">
        <v>0</v>
      </c>
      <c r="C1532" t="s">
        <v>1525</v>
      </c>
      <c r="D1532" t="s">
        <v>5554</v>
      </c>
      <c r="E1532" t="s">
        <v>5197</v>
      </c>
      <c r="F1532" t="s">
        <v>5078</v>
      </c>
      <c r="G1532" t="s">
        <v>5054</v>
      </c>
      <c r="H1532" t="s">
        <v>2148</v>
      </c>
      <c r="J1532" s="2">
        <v>41344</v>
      </c>
      <c r="K1532">
        <v>205.2</v>
      </c>
    </row>
    <row r="1533" spans="1:11" x14ac:dyDescent="0.35">
      <c r="A1533" s="2">
        <v>41345</v>
      </c>
      <c r="B1533" s="1">
        <v>0</v>
      </c>
      <c r="C1533" t="s">
        <v>1527</v>
      </c>
      <c r="D1533" t="s">
        <v>5452</v>
      </c>
      <c r="E1533" t="s">
        <v>5197</v>
      </c>
      <c r="F1533" t="s">
        <v>5078</v>
      </c>
      <c r="G1533" t="s">
        <v>5058</v>
      </c>
      <c r="H1533" t="s">
        <v>5715</v>
      </c>
      <c r="J1533" s="2">
        <v>41345</v>
      </c>
      <c r="K1533">
        <v>207.5</v>
      </c>
    </row>
    <row r="1534" spans="1:11" x14ac:dyDescent="0.35">
      <c r="A1534" s="2">
        <v>41346</v>
      </c>
      <c r="B1534" s="1">
        <v>0</v>
      </c>
      <c r="C1534" t="s">
        <v>366</v>
      </c>
      <c r="D1534" t="s">
        <v>5486</v>
      </c>
      <c r="E1534" t="s">
        <v>5197</v>
      </c>
      <c r="F1534" t="s">
        <v>5078</v>
      </c>
      <c r="G1534" t="s">
        <v>5412</v>
      </c>
      <c r="H1534" t="s">
        <v>219</v>
      </c>
      <c r="J1534" s="2">
        <v>41346</v>
      </c>
      <c r="K1534">
        <v>209.1</v>
      </c>
    </row>
    <row r="1535" spans="1:11" x14ac:dyDescent="0.35">
      <c r="A1535" s="2">
        <v>41347</v>
      </c>
      <c r="B1535" s="1">
        <v>0</v>
      </c>
      <c r="C1535" t="s">
        <v>322</v>
      </c>
      <c r="D1535" t="s">
        <v>5101</v>
      </c>
      <c r="E1535" t="s">
        <v>5173</v>
      </c>
      <c r="F1535" t="s">
        <v>5078</v>
      </c>
      <c r="G1535" t="s">
        <v>5179</v>
      </c>
      <c r="H1535" t="s">
        <v>213</v>
      </c>
      <c r="J1535" s="2">
        <v>41347</v>
      </c>
      <c r="K1535">
        <v>205.4</v>
      </c>
    </row>
    <row r="1536" spans="1:11" x14ac:dyDescent="0.35">
      <c r="A1536" s="2">
        <v>41348</v>
      </c>
      <c r="B1536" s="1">
        <v>0</v>
      </c>
      <c r="C1536" t="s">
        <v>452</v>
      </c>
      <c r="D1536" t="s">
        <v>5366</v>
      </c>
      <c r="E1536" t="s">
        <v>5234</v>
      </c>
      <c r="F1536" t="s">
        <v>5078</v>
      </c>
      <c r="G1536" t="s">
        <v>5240</v>
      </c>
      <c r="H1536" t="s">
        <v>2826</v>
      </c>
      <c r="J1536" s="2">
        <v>41348</v>
      </c>
      <c r="K1536">
        <v>198.6</v>
      </c>
    </row>
    <row r="1537" spans="1:11" x14ac:dyDescent="0.35">
      <c r="A1537" s="2">
        <v>41349</v>
      </c>
      <c r="B1537" s="1">
        <v>0</v>
      </c>
      <c r="C1537" t="s">
        <v>2918</v>
      </c>
      <c r="D1537" t="s">
        <v>5142</v>
      </c>
      <c r="E1537" t="s">
        <v>5237</v>
      </c>
      <c r="F1537" t="s">
        <v>5078</v>
      </c>
      <c r="G1537" t="s">
        <v>5046</v>
      </c>
      <c r="H1537" t="s">
        <v>3375</v>
      </c>
      <c r="J1537" s="2">
        <v>41349</v>
      </c>
      <c r="K1537">
        <v>199.8</v>
      </c>
    </row>
    <row r="1538" spans="1:11" x14ac:dyDescent="0.35">
      <c r="A1538" s="2">
        <v>41350</v>
      </c>
      <c r="B1538" s="1">
        <v>0</v>
      </c>
      <c r="C1538" t="s">
        <v>479</v>
      </c>
      <c r="D1538" t="s">
        <v>5591</v>
      </c>
      <c r="E1538" t="s">
        <v>5071</v>
      </c>
      <c r="F1538" t="s">
        <v>5215</v>
      </c>
      <c r="G1538" t="s">
        <v>5240</v>
      </c>
      <c r="H1538" t="s">
        <v>2726</v>
      </c>
      <c r="J1538" s="2">
        <v>41350</v>
      </c>
      <c r="K1538">
        <v>211.4</v>
      </c>
    </row>
    <row r="1539" spans="1:11" x14ac:dyDescent="0.35">
      <c r="A1539" s="2">
        <v>41351</v>
      </c>
      <c r="B1539" s="1">
        <v>0</v>
      </c>
      <c r="C1539" t="s">
        <v>354</v>
      </c>
      <c r="D1539" t="s">
        <v>5497</v>
      </c>
      <c r="E1539" t="s">
        <v>5239</v>
      </c>
      <c r="F1539" t="s">
        <v>5215</v>
      </c>
      <c r="G1539" t="s">
        <v>5412</v>
      </c>
      <c r="H1539" t="s">
        <v>3037</v>
      </c>
      <c r="J1539" s="2">
        <v>41351</v>
      </c>
      <c r="K1539">
        <v>223.4</v>
      </c>
    </row>
    <row r="1540" spans="1:11" x14ac:dyDescent="0.35">
      <c r="A1540" s="2">
        <v>41352</v>
      </c>
      <c r="B1540" s="1">
        <v>0</v>
      </c>
      <c r="C1540" t="s">
        <v>463</v>
      </c>
      <c r="D1540" t="s">
        <v>5459</v>
      </c>
      <c r="E1540" t="s">
        <v>5081</v>
      </c>
      <c r="F1540" t="s">
        <v>5215</v>
      </c>
      <c r="G1540" t="s">
        <v>5183</v>
      </c>
      <c r="H1540" t="s">
        <v>2384</v>
      </c>
      <c r="J1540" s="2">
        <v>41352</v>
      </c>
      <c r="K1540">
        <v>227.1</v>
      </c>
    </row>
    <row r="1541" spans="1:11" x14ac:dyDescent="0.35">
      <c r="A1541" s="2">
        <v>41353</v>
      </c>
      <c r="B1541" s="1">
        <v>0</v>
      </c>
      <c r="C1541" t="s">
        <v>986</v>
      </c>
      <c r="D1541" t="s">
        <v>5084</v>
      </c>
      <c r="E1541" t="s">
        <v>5276</v>
      </c>
      <c r="F1541" t="s">
        <v>5215</v>
      </c>
      <c r="G1541" t="s">
        <v>5183</v>
      </c>
      <c r="H1541" t="s">
        <v>4055</v>
      </c>
      <c r="J1541" s="2">
        <v>41353</v>
      </c>
      <c r="K1541">
        <v>223.6</v>
      </c>
    </row>
    <row r="1542" spans="1:11" x14ac:dyDescent="0.35">
      <c r="A1542" s="2">
        <v>41354</v>
      </c>
      <c r="B1542" s="1">
        <v>0</v>
      </c>
      <c r="C1542" t="s">
        <v>3800</v>
      </c>
      <c r="D1542" t="s">
        <v>5491</v>
      </c>
      <c r="E1542" t="s">
        <v>5120</v>
      </c>
      <c r="F1542" t="s">
        <v>5078</v>
      </c>
      <c r="G1542" t="s">
        <v>5058</v>
      </c>
      <c r="H1542" t="s">
        <v>1708</v>
      </c>
      <c r="J1542" s="2">
        <v>41354</v>
      </c>
      <c r="K1542">
        <v>212.8</v>
      </c>
    </row>
    <row r="1543" spans="1:11" x14ac:dyDescent="0.35">
      <c r="A1543" s="2">
        <v>41355</v>
      </c>
      <c r="B1543" s="1">
        <v>0</v>
      </c>
      <c r="C1543" t="s">
        <v>3488</v>
      </c>
      <c r="D1543" t="s">
        <v>5591</v>
      </c>
      <c r="E1543" t="s">
        <v>5448</v>
      </c>
      <c r="F1543" t="s">
        <v>5078</v>
      </c>
      <c r="G1543" t="s">
        <v>5174</v>
      </c>
      <c r="H1543" t="s">
        <v>2147</v>
      </c>
      <c r="J1543" s="2">
        <v>41355</v>
      </c>
      <c r="K1543">
        <v>205.3</v>
      </c>
    </row>
    <row r="1544" spans="1:11" x14ac:dyDescent="0.35">
      <c r="A1544" s="2">
        <v>41356</v>
      </c>
      <c r="B1544" s="1">
        <v>0</v>
      </c>
      <c r="C1544" t="s">
        <v>380</v>
      </c>
      <c r="D1544" t="s">
        <v>5521</v>
      </c>
      <c r="E1544" t="s">
        <v>5067</v>
      </c>
      <c r="F1544" t="s">
        <v>5078</v>
      </c>
      <c r="G1544" t="s">
        <v>5207</v>
      </c>
      <c r="H1544" t="s">
        <v>3134</v>
      </c>
      <c r="J1544" s="2">
        <v>41356</v>
      </c>
      <c r="K1544">
        <v>204.4</v>
      </c>
    </row>
    <row r="1545" spans="1:11" x14ac:dyDescent="0.35">
      <c r="A1545" s="2">
        <v>41357</v>
      </c>
      <c r="B1545" s="1">
        <v>0</v>
      </c>
      <c r="C1545" t="s">
        <v>407</v>
      </c>
      <c r="D1545" t="s">
        <v>5495</v>
      </c>
      <c r="E1545" t="s">
        <v>5074</v>
      </c>
      <c r="F1545" t="s">
        <v>5215</v>
      </c>
      <c r="G1545" t="s">
        <v>5321</v>
      </c>
      <c r="H1545" t="s">
        <v>939</v>
      </c>
      <c r="J1545" s="2">
        <v>41357</v>
      </c>
      <c r="K1545">
        <v>208.5</v>
      </c>
    </row>
    <row r="1546" spans="1:11" x14ac:dyDescent="0.35">
      <c r="A1546" s="2">
        <v>41358</v>
      </c>
      <c r="B1546" s="1">
        <v>0</v>
      </c>
      <c r="C1546" t="s">
        <v>1048</v>
      </c>
      <c r="D1546" t="s">
        <v>5496</v>
      </c>
      <c r="E1546" t="s">
        <v>5435</v>
      </c>
      <c r="F1546" t="s">
        <v>5215</v>
      </c>
      <c r="G1546" t="s">
        <v>5227</v>
      </c>
      <c r="H1546" t="s">
        <v>776</v>
      </c>
      <c r="J1546" s="2">
        <v>41358</v>
      </c>
      <c r="K1546">
        <v>210.8</v>
      </c>
    </row>
    <row r="1547" spans="1:11" x14ac:dyDescent="0.35">
      <c r="A1547" s="2">
        <v>41359</v>
      </c>
      <c r="B1547" s="1">
        <v>0</v>
      </c>
      <c r="C1547" t="s">
        <v>456</v>
      </c>
      <c r="D1547" t="s">
        <v>5242</v>
      </c>
      <c r="E1547" t="s">
        <v>5213</v>
      </c>
      <c r="F1547" t="s">
        <v>5215</v>
      </c>
      <c r="G1547" t="s">
        <v>5207</v>
      </c>
      <c r="H1547" t="s">
        <v>2847</v>
      </c>
      <c r="J1547" s="2">
        <v>41359</v>
      </c>
      <c r="K1547">
        <v>210</v>
      </c>
    </row>
    <row r="1548" spans="1:11" x14ac:dyDescent="0.35">
      <c r="A1548" s="2">
        <v>41360</v>
      </c>
      <c r="B1548" s="1">
        <v>0</v>
      </c>
      <c r="C1548" t="s">
        <v>338</v>
      </c>
      <c r="D1548" t="s">
        <v>5544</v>
      </c>
      <c r="E1548" t="s">
        <v>5072</v>
      </c>
      <c r="F1548" t="s">
        <v>5215</v>
      </c>
      <c r="G1548" t="s">
        <v>5230</v>
      </c>
      <c r="H1548" t="s">
        <v>1666</v>
      </c>
      <c r="J1548" s="2">
        <v>41360</v>
      </c>
      <c r="K1548">
        <v>221.6</v>
      </c>
    </row>
    <row r="1549" spans="1:11" x14ac:dyDescent="0.35">
      <c r="A1549" s="2">
        <v>41361</v>
      </c>
      <c r="B1549" s="1">
        <v>0</v>
      </c>
      <c r="C1549" t="s">
        <v>488</v>
      </c>
      <c r="D1549" t="s">
        <v>5632</v>
      </c>
      <c r="E1549" t="s">
        <v>5135</v>
      </c>
      <c r="F1549" t="s">
        <v>5215</v>
      </c>
      <c r="G1549" t="s">
        <v>5054</v>
      </c>
      <c r="H1549" t="s">
        <v>5667</v>
      </c>
      <c r="J1549" s="2">
        <v>41361</v>
      </c>
      <c r="K1549">
        <v>244.1</v>
      </c>
    </row>
    <row r="1550" spans="1:11" x14ac:dyDescent="0.35">
      <c r="A1550" s="2">
        <v>41362</v>
      </c>
      <c r="B1550" s="1">
        <v>0</v>
      </c>
      <c r="C1550" t="s">
        <v>4347</v>
      </c>
      <c r="D1550" t="s">
        <v>5585</v>
      </c>
      <c r="E1550" t="s">
        <v>5187</v>
      </c>
      <c r="F1550" t="s">
        <v>5099</v>
      </c>
      <c r="G1550" t="s">
        <v>5065</v>
      </c>
      <c r="H1550" t="s">
        <v>4765</v>
      </c>
      <c r="J1550" s="2">
        <v>41362</v>
      </c>
      <c r="K1550">
        <v>259.3</v>
      </c>
    </row>
    <row r="1551" spans="1:11" x14ac:dyDescent="0.35">
      <c r="A1551" s="2">
        <v>41363</v>
      </c>
      <c r="B1551" s="1">
        <v>0</v>
      </c>
      <c r="C1551" t="s">
        <v>4078</v>
      </c>
      <c r="D1551" t="s">
        <v>5504</v>
      </c>
      <c r="E1551" t="s">
        <v>5203</v>
      </c>
      <c r="F1551" t="s">
        <v>5099</v>
      </c>
      <c r="G1551" t="s">
        <v>5215</v>
      </c>
      <c r="H1551" t="s">
        <v>5698</v>
      </c>
      <c r="J1551" s="2">
        <v>41363</v>
      </c>
      <c r="K1551">
        <v>263.60000000000002</v>
      </c>
    </row>
    <row r="1552" spans="1:11" x14ac:dyDescent="0.35">
      <c r="A1552" s="2">
        <v>41364</v>
      </c>
      <c r="B1552" s="1">
        <v>0</v>
      </c>
      <c r="C1552" t="s">
        <v>302</v>
      </c>
      <c r="D1552" t="s">
        <v>5586</v>
      </c>
      <c r="E1552" t="s">
        <v>5453</v>
      </c>
      <c r="F1552" t="s">
        <v>5099</v>
      </c>
      <c r="G1552" t="s">
        <v>5116</v>
      </c>
      <c r="H1552" t="s">
        <v>5744</v>
      </c>
      <c r="J1552" s="2">
        <v>41364</v>
      </c>
      <c r="K1552">
        <v>264.3</v>
      </c>
    </row>
    <row r="1553" spans="1:11" x14ac:dyDescent="0.35">
      <c r="A1553" t="s">
        <v>2189</v>
      </c>
      <c r="B1553" s="1">
        <v>0</v>
      </c>
      <c r="C1553" t="s">
        <v>1860</v>
      </c>
      <c r="D1553" t="s">
        <v>5589</v>
      </c>
      <c r="E1553" t="s">
        <v>5063</v>
      </c>
      <c r="F1553" t="s">
        <v>5099</v>
      </c>
      <c r="G1553" t="s">
        <v>5110</v>
      </c>
      <c r="H1553" t="s">
        <v>5705</v>
      </c>
      <c r="J1553" t="s">
        <v>2189</v>
      </c>
      <c r="K1553">
        <v>260</v>
      </c>
    </row>
    <row r="1554" spans="1:11" x14ac:dyDescent="0.35">
      <c r="A1554" t="s">
        <v>2190</v>
      </c>
      <c r="B1554" s="1">
        <v>0</v>
      </c>
      <c r="C1554" t="s">
        <v>2559</v>
      </c>
      <c r="D1554" t="s">
        <v>5593</v>
      </c>
      <c r="E1554" t="s">
        <v>5253</v>
      </c>
      <c r="F1554" t="s">
        <v>5089</v>
      </c>
      <c r="G1554" t="s">
        <v>5095</v>
      </c>
      <c r="H1554" t="s">
        <v>5776</v>
      </c>
      <c r="J1554" t="s">
        <v>2190</v>
      </c>
      <c r="K1554">
        <v>256.7</v>
      </c>
    </row>
    <row r="1555" spans="1:11" x14ac:dyDescent="0.35">
      <c r="A1555" t="s">
        <v>2191</v>
      </c>
      <c r="B1555" s="1">
        <v>0</v>
      </c>
      <c r="C1555" t="s">
        <v>4902</v>
      </c>
      <c r="D1555" t="s">
        <v>5521</v>
      </c>
      <c r="E1555" t="s">
        <v>5218</v>
      </c>
      <c r="F1555" t="s">
        <v>5089</v>
      </c>
      <c r="G1555" t="s">
        <v>5475</v>
      </c>
      <c r="H1555" t="s">
        <v>1661</v>
      </c>
      <c r="J1555" t="s">
        <v>2191</v>
      </c>
      <c r="K1555">
        <v>235.1</v>
      </c>
    </row>
    <row r="1556" spans="1:11" x14ac:dyDescent="0.35">
      <c r="A1556" t="s">
        <v>2192</v>
      </c>
      <c r="B1556" s="1">
        <v>0</v>
      </c>
      <c r="C1556" t="s">
        <v>1527</v>
      </c>
      <c r="D1556" t="s">
        <v>5387</v>
      </c>
      <c r="E1556" t="s">
        <v>5270</v>
      </c>
      <c r="F1556" t="s">
        <v>5077</v>
      </c>
      <c r="G1556" t="s">
        <v>5050</v>
      </c>
      <c r="H1556" t="s">
        <v>776</v>
      </c>
      <c r="J1556" t="s">
        <v>2192</v>
      </c>
      <c r="K1556">
        <v>210.8</v>
      </c>
    </row>
    <row r="1557" spans="1:11" x14ac:dyDescent="0.35">
      <c r="A1557" t="s">
        <v>2193</v>
      </c>
      <c r="B1557" s="1">
        <v>0</v>
      </c>
      <c r="C1557" t="s">
        <v>1038</v>
      </c>
      <c r="D1557" t="s">
        <v>5392</v>
      </c>
      <c r="E1557" t="s">
        <v>5239</v>
      </c>
      <c r="F1557" t="s">
        <v>5077</v>
      </c>
      <c r="G1557" t="s">
        <v>5172</v>
      </c>
      <c r="H1557" t="s">
        <v>1193</v>
      </c>
      <c r="J1557" t="s">
        <v>2193</v>
      </c>
      <c r="K1557">
        <v>197.9</v>
      </c>
    </row>
    <row r="1558" spans="1:11" x14ac:dyDescent="0.35">
      <c r="A1558" t="s">
        <v>2194</v>
      </c>
      <c r="B1558" s="1">
        <v>0</v>
      </c>
      <c r="C1558" t="s">
        <v>2910</v>
      </c>
      <c r="D1558" t="s">
        <v>5279</v>
      </c>
      <c r="E1558" t="s">
        <v>5162</v>
      </c>
      <c r="F1558" t="s">
        <v>5077</v>
      </c>
      <c r="G1558" t="s">
        <v>5207</v>
      </c>
      <c r="H1558" t="s">
        <v>2826</v>
      </c>
      <c r="J1558" t="s">
        <v>2194</v>
      </c>
      <c r="K1558">
        <v>198.6</v>
      </c>
    </row>
    <row r="1559" spans="1:11" x14ac:dyDescent="0.35">
      <c r="A1559" t="s">
        <v>2195</v>
      </c>
      <c r="B1559" s="1">
        <v>0</v>
      </c>
      <c r="C1559" t="s">
        <v>1524</v>
      </c>
      <c r="D1559" t="s">
        <v>5489</v>
      </c>
      <c r="E1559" t="s">
        <v>5098</v>
      </c>
      <c r="F1559" t="s">
        <v>5077</v>
      </c>
      <c r="G1559" t="s">
        <v>5222</v>
      </c>
      <c r="H1559" t="s">
        <v>3134</v>
      </c>
      <c r="J1559" t="s">
        <v>2195</v>
      </c>
      <c r="K1559">
        <v>204.4</v>
      </c>
    </row>
    <row r="1560" spans="1:11" x14ac:dyDescent="0.35">
      <c r="A1560" t="s">
        <v>2196</v>
      </c>
      <c r="B1560" s="1">
        <v>0</v>
      </c>
      <c r="C1560" t="s">
        <v>1058</v>
      </c>
      <c r="D1560" t="s">
        <v>5146</v>
      </c>
      <c r="E1560" t="s">
        <v>5197</v>
      </c>
      <c r="F1560" t="s">
        <v>5077</v>
      </c>
      <c r="G1560" t="s">
        <v>5172</v>
      </c>
      <c r="H1560" t="s">
        <v>1648</v>
      </c>
      <c r="J1560" t="s">
        <v>2196</v>
      </c>
      <c r="K1560">
        <v>199.4</v>
      </c>
    </row>
    <row r="1561" spans="1:11" x14ac:dyDescent="0.35">
      <c r="A1561" t="s">
        <v>2197</v>
      </c>
      <c r="B1561" s="1">
        <v>0</v>
      </c>
      <c r="C1561" t="s">
        <v>386</v>
      </c>
      <c r="D1561" t="s">
        <v>5485</v>
      </c>
      <c r="E1561" t="s">
        <v>5170</v>
      </c>
      <c r="F1561" t="s">
        <v>5077</v>
      </c>
      <c r="G1561" t="s">
        <v>5207</v>
      </c>
      <c r="H1561" t="s">
        <v>4257</v>
      </c>
      <c r="J1561" t="s">
        <v>2197</v>
      </c>
      <c r="K1561">
        <v>189.7</v>
      </c>
    </row>
    <row r="1562" spans="1:11" x14ac:dyDescent="0.35">
      <c r="A1562" t="s">
        <v>2198</v>
      </c>
      <c r="B1562" s="1">
        <v>0</v>
      </c>
      <c r="C1562" t="s">
        <v>410</v>
      </c>
      <c r="D1562" t="s">
        <v>5190</v>
      </c>
      <c r="E1562" t="s">
        <v>5431</v>
      </c>
      <c r="F1562" t="s">
        <v>5077</v>
      </c>
      <c r="G1562" t="s">
        <v>5227</v>
      </c>
      <c r="H1562" t="s">
        <v>1600</v>
      </c>
      <c r="J1562" t="s">
        <v>2198</v>
      </c>
      <c r="K1562">
        <v>185.4</v>
      </c>
    </row>
    <row r="1563" spans="1:11" x14ac:dyDescent="0.35">
      <c r="A1563" t="s">
        <v>2199</v>
      </c>
      <c r="B1563" s="1">
        <v>0</v>
      </c>
      <c r="C1563" t="s">
        <v>3489</v>
      </c>
      <c r="D1563" t="s">
        <v>5216</v>
      </c>
      <c r="E1563" t="s">
        <v>5056</v>
      </c>
      <c r="F1563" t="s">
        <v>5077</v>
      </c>
      <c r="G1563" t="s">
        <v>5172</v>
      </c>
      <c r="H1563" t="s">
        <v>1280</v>
      </c>
      <c r="J1563" t="s">
        <v>2199</v>
      </c>
      <c r="K1563">
        <v>193.5</v>
      </c>
    </row>
    <row r="1564" spans="1:11" x14ac:dyDescent="0.35">
      <c r="A1564" t="s">
        <v>2200</v>
      </c>
      <c r="B1564" s="1">
        <v>0</v>
      </c>
      <c r="C1564" t="s">
        <v>356</v>
      </c>
      <c r="D1564" t="s">
        <v>5258</v>
      </c>
      <c r="E1564" t="s">
        <v>5255</v>
      </c>
      <c r="F1564" t="s">
        <v>5077</v>
      </c>
      <c r="G1564" t="s">
        <v>5050</v>
      </c>
      <c r="H1564" t="s">
        <v>4804</v>
      </c>
      <c r="J1564" t="s">
        <v>2200</v>
      </c>
      <c r="K1564">
        <v>209.4</v>
      </c>
    </row>
    <row r="1565" spans="1:11" x14ac:dyDescent="0.35">
      <c r="A1565" t="s">
        <v>2201</v>
      </c>
      <c r="B1565" s="1">
        <v>0</v>
      </c>
      <c r="C1565" t="s">
        <v>2268</v>
      </c>
      <c r="D1565" t="s">
        <v>5112</v>
      </c>
      <c r="E1565" t="s">
        <v>5208</v>
      </c>
      <c r="F1565" t="s">
        <v>5089</v>
      </c>
      <c r="G1565" t="s">
        <v>5058</v>
      </c>
      <c r="H1565" t="s">
        <v>2395</v>
      </c>
      <c r="J1565" t="s">
        <v>2201</v>
      </c>
      <c r="K1565">
        <v>222.6</v>
      </c>
    </row>
    <row r="1566" spans="1:11" x14ac:dyDescent="0.35">
      <c r="A1566" t="s">
        <v>2203</v>
      </c>
      <c r="B1566" s="1">
        <v>0</v>
      </c>
      <c r="C1566" t="s">
        <v>2270</v>
      </c>
      <c r="D1566" t="s">
        <v>5138</v>
      </c>
      <c r="E1566" t="s">
        <v>5066</v>
      </c>
      <c r="F1566" t="s">
        <v>5089</v>
      </c>
      <c r="G1566" t="s">
        <v>5062</v>
      </c>
      <c r="H1566" t="s">
        <v>3619</v>
      </c>
      <c r="J1566" t="s">
        <v>2203</v>
      </c>
      <c r="K1566">
        <v>222.1</v>
      </c>
    </row>
    <row r="1567" spans="1:11" x14ac:dyDescent="0.35">
      <c r="A1567" t="s">
        <v>2204</v>
      </c>
      <c r="B1567" s="1">
        <v>0</v>
      </c>
      <c r="C1567" t="s">
        <v>1484</v>
      </c>
      <c r="D1567" t="s">
        <v>5595</v>
      </c>
      <c r="E1567" t="s">
        <v>5176</v>
      </c>
      <c r="F1567" t="s">
        <v>5077</v>
      </c>
      <c r="G1567" t="s">
        <v>5179</v>
      </c>
      <c r="H1567" t="s">
        <v>2556</v>
      </c>
      <c r="J1567" t="s">
        <v>2204</v>
      </c>
      <c r="K1567">
        <v>207.2</v>
      </c>
    </row>
    <row r="1568" spans="1:11" x14ac:dyDescent="0.35">
      <c r="A1568" t="s">
        <v>2205</v>
      </c>
      <c r="B1568" s="1">
        <v>0</v>
      </c>
      <c r="C1568" t="s">
        <v>456</v>
      </c>
      <c r="D1568" t="s">
        <v>5450</v>
      </c>
      <c r="E1568" t="s">
        <v>5425</v>
      </c>
      <c r="F1568" t="s">
        <v>5077</v>
      </c>
      <c r="G1568" t="s">
        <v>5054</v>
      </c>
      <c r="H1568" t="s">
        <v>1190</v>
      </c>
      <c r="J1568" t="s">
        <v>2205</v>
      </c>
      <c r="K1568">
        <v>193.1</v>
      </c>
    </row>
    <row r="1569" spans="1:11" x14ac:dyDescent="0.35">
      <c r="A1569" t="s">
        <v>2206</v>
      </c>
      <c r="B1569" s="1">
        <v>0</v>
      </c>
      <c r="C1569" t="s">
        <v>2603</v>
      </c>
      <c r="D1569" t="s">
        <v>5247</v>
      </c>
      <c r="E1569" t="s">
        <v>5283</v>
      </c>
      <c r="F1569" t="s">
        <v>5077</v>
      </c>
      <c r="G1569" t="s">
        <v>5240</v>
      </c>
      <c r="H1569" t="s">
        <v>760</v>
      </c>
      <c r="J1569" t="s">
        <v>2206</v>
      </c>
      <c r="K1569">
        <v>187.5</v>
      </c>
    </row>
    <row r="1570" spans="1:11" x14ac:dyDescent="0.35">
      <c r="A1570" t="s">
        <v>2207</v>
      </c>
      <c r="B1570" s="1">
        <v>0</v>
      </c>
      <c r="C1570" t="s">
        <v>345</v>
      </c>
      <c r="D1570" t="s">
        <v>5072</v>
      </c>
      <c r="E1570" t="s">
        <v>5525</v>
      </c>
      <c r="F1570" t="s">
        <v>5077</v>
      </c>
      <c r="G1570" t="s">
        <v>5240</v>
      </c>
      <c r="H1570" t="s">
        <v>3150</v>
      </c>
      <c r="J1570" t="s">
        <v>2207</v>
      </c>
      <c r="K1570">
        <v>189.1</v>
      </c>
    </row>
    <row r="1571" spans="1:11" x14ac:dyDescent="0.35">
      <c r="A1571" t="s">
        <v>2208</v>
      </c>
      <c r="B1571" s="1">
        <v>0</v>
      </c>
      <c r="C1571" t="s">
        <v>349</v>
      </c>
      <c r="D1571" t="s">
        <v>5444</v>
      </c>
      <c r="E1571" t="s">
        <v>5298</v>
      </c>
      <c r="F1571" t="s">
        <v>5077</v>
      </c>
      <c r="G1571" t="s">
        <v>5046</v>
      </c>
      <c r="H1571" t="s">
        <v>759</v>
      </c>
      <c r="J1571" t="s">
        <v>2208</v>
      </c>
      <c r="K1571">
        <v>188.2</v>
      </c>
    </row>
    <row r="1572" spans="1:11" x14ac:dyDescent="0.35">
      <c r="A1572" t="s">
        <v>2209</v>
      </c>
      <c r="B1572" s="1">
        <v>0</v>
      </c>
      <c r="C1572" t="s">
        <v>1051</v>
      </c>
      <c r="D1572" t="s">
        <v>5100</v>
      </c>
      <c r="E1572" t="s">
        <v>5301</v>
      </c>
      <c r="F1572" t="s">
        <v>5077</v>
      </c>
      <c r="G1572" t="s">
        <v>5174</v>
      </c>
      <c r="H1572" t="s">
        <v>2510</v>
      </c>
      <c r="J1572" t="s">
        <v>2209</v>
      </c>
      <c r="K1572">
        <v>188.7</v>
      </c>
    </row>
    <row r="1573" spans="1:11" x14ac:dyDescent="0.35">
      <c r="A1573" t="s">
        <v>2210</v>
      </c>
      <c r="B1573" s="1">
        <v>0</v>
      </c>
      <c r="C1573" t="s">
        <v>1533</v>
      </c>
      <c r="D1573" t="s">
        <v>5075</v>
      </c>
      <c r="E1573" t="s">
        <v>5328</v>
      </c>
      <c r="F1573" t="s">
        <v>5077</v>
      </c>
      <c r="G1573" t="s">
        <v>5174</v>
      </c>
      <c r="H1573" t="s">
        <v>2708</v>
      </c>
      <c r="J1573" t="s">
        <v>2210</v>
      </c>
      <c r="K1573">
        <v>194</v>
      </c>
    </row>
    <row r="1574" spans="1:11" x14ac:dyDescent="0.35">
      <c r="A1574" t="s">
        <v>2211</v>
      </c>
      <c r="B1574" s="1">
        <v>0</v>
      </c>
      <c r="C1574" t="s">
        <v>5543</v>
      </c>
      <c r="D1574" t="s">
        <v>5447</v>
      </c>
      <c r="E1574" t="s">
        <v>5204</v>
      </c>
      <c r="F1574" t="s">
        <v>5077</v>
      </c>
      <c r="G1574" t="s">
        <v>5046</v>
      </c>
      <c r="H1574" t="s">
        <v>2398</v>
      </c>
      <c r="J1574" t="s">
        <v>2211</v>
      </c>
      <c r="K1574">
        <v>204.3</v>
      </c>
    </row>
    <row r="1575" spans="1:11" x14ac:dyDescent="0.35">
      <c r="A1575" t="s">
        <v>2212</v>
      </c>
      <c r="B1575" s="1">
        <v>0</v>
      </c>
      <c r="C1575" t="s">
        <v>457</v>
      </c>
      <c r="D1575" t="s">
        <v>5384</v>
      </c>
      <c r="E1575" t="s">
        <v>5160</v>
      </c>
      <c r="F1575" t="s">
        <v>5089</v>
      </c>
      <c r="G1575" t="s">
        <v>5240</v>
      </c>
      <c r="H1575" t="s">
        <v>4052</v>
      </c>
      <c r="J1575" t="s">
        <v>2212</v>
      </c>
      <c r="K1575">
        <v>211.1</v>
      </c>
    </row>
    <row r="1576" spans="1:11" x14ac:dyDescent="0.35">
      <c r="A1576" t="s">
        <v>2213</v>
      </c>
      <c r="B1576" s="1">
        <v>0</v>
      </c>
      <c r="C1576" t="s">
        <v>351</v>
      </c>
      <c r="D1576" t="s">
        <v>5126</v>
      </c>
      <c r="E1576" t="s">
        <v>5304</v>
      </c>
      <c r="F1576" t="s">
        <v>5089</v>
      </c>
      <c r="G1576" t="s">
        <v>5054</v>
      </c>
      <c r="H1576" t="s">
        <v>767</v>
      </c>
      <c r="J1576" t="s">
        <v>2213</v>
      </c>
      <c r="K1576">
        <v>217.3</v>
      </c>
    </row>
    <row r="1577" spans="1:11" x14ac:dyDescent="0.35">
      <c r="A1577" t="s">
        <v>2214</v>
      </c>
      <c r="B1577" s="1">
        <v>0</v>
      </c>
      <c r="C1577" t="s">
        <v>331</v>
      </c>
      <c r="D1577" t="s">
        <v>5611</v>
      </c>
      <c r="E1577" t="s">
        <v>5251</v>
      </c>
      <c r="F1577" t="s">
        <v>5089</v>
      </c>
      <c r="G1577" t="s">
        <v>5412</v>
      </c>
      <c r="H1577" t="s">
        <v>5695</v>
      </c>
      <c r="J1577" t="s">
        <v>2214</v>
      </c>
      <c r="K1577">
        <v>226.2</v>
      </c>
    </row>
    <row r="1578" spans="1:11" x14ac:dyDescent="0.35">
      <c r="A1578" t="s">
        <v>2216</v>
      </c>
      <c r="B1578" s="1">
        <v>0</v>
      </c>
      <c r="C1578" t="s">
        <v>1472</v>
      </c>
      <c r="D1578" t="s">
        <v>5633</v>
      </c>
      <c r="E1578" t="s">
        <v>5441</v>
      </c>
      <c r="F1578" t="s">
        <v>5089</v>
      </c>
      <c r="G1578" t="s">
        <v>5065</v>
      </c>
      <c r="H1578" t="s">
        <v>2698</v>
      </c>
      <c r="J1578" t="s">
        <v>2216</v>
      </c>
      <c r="K1578">
        <v>238.1</v>
      </c>
    </row>
    <row r="1579" spans="1:11" x14ac:dyDescent="0.35">
      <c r="A1579" t="s">
        <v>2217</v>
      </c>
      <c r="B1579" s="1">
        <v>0</v>
      </c>
      <c r="C1579" t="s">
        <v>318</v>
      </c>
      <c r="D1579" t="s">
        <v>5634</v>
      </c>
      <c r="E1579" t="s">
        <v>5203</v>
      </c>
      <c r="F1579" t="s">
        <v>5089</v>
      </c>
      <c r="G1579" t="s">
        <v>5215</v>
      </c>
      <c r="H1579" t="s">
        <v>2371</v>
      </c>
      <c r="J1579" t="s">
        <v>2217</v>
      </c>
      <c r="K1579">
        <v>247.4</v>
      </c>
    </row>
    <row r="1580" spans="1:11" x14ac:dyDescent="0.35">
      <c r="A1580" t="s">
        <v>2218</v>
      </c>
      <c r="B1580" s="1">
        <v>0</v>
      </c>
      <c r="C1580" t="s">
        <v>4082</v>
      </c>
      <c r="D1580" t="s">
        <v>5455</v>
      </c>
      <c r="E1580" t="s">
        <v>5444</v>
      </c>
      <c r="F1580" t="s">
        <v>5089</v>
      </c>
      <c r="G1580" t="s">
        <v>5099</v>
      </c>
      <c r="H1580" t="s">
        <v>2392</v>
      </c>
      <c r="J1580" t="s">
        <v>2218</v>
      </c>
      <c r="K1580">
        <v>240.5</v>
      </c>
    </row>
    <row r="1581" spans="1:11" x14ac:dyDescent="0.35">
      <c r="A1581" t="s">
        <v>2219</v>
      </c>
      <c r="B1581" s="1">
        <v>0</v>
      </c>
      <c r="C1581" t="s">
        <v>979</v>
      </c>
      <c r="D1581" t="s">
        <v>5512</v>
      </c>
      <c r="E1581" t="s">
        <v>5249</v>
      </c>
      <c r="F1581" t="s">
        <v>5077</v>
      </c>
      <c r="G1581" t="s">
        <v>5475</v>
      </c>
      <c r="H1581" t="s">
        <v>3658</v>
      </c>
      <c r="J1581" t="s">
        <v>2219</v>
      </c>
      <c r="K1581">
        <v>218.8</v>
      </c>
    </row>
    <row r="1582" spans="1:11" x14ac:dyDescent="0.35">
      <c r="A1582" t="s">
        <v>2221</v>
      </c>
      <c r="B1582" s="1">
        <v>0</v>
      </c>
      <c r="C1582" t="s">
        <v>449</v>
      </c>
      <c r="D1582" t="s">
        <v>5540</v>
      </c>
      <c r="E1582" t="s">
        <v>5323</v>
      </c>
      <c r="F1582" t="s">
        <v>5077</v>
      </c>
      <c r="G1582" t="s">
        <v>5058</v>
      </c>
      <c r="H1582" t="s">
        <v>1644</v>
      </c>
      <c r="J1582" t="s">
        <v>2221</v>
      </c>
      <c r="K1582">
        <v>199.9</v>
      </c>
    </row>
    <row r="1583" spans="1:11" x14ac:dyDescent="0.35">
      <c r="A1583" s="2">
        <v>41395</v>
      </c>
      <c r="B1583" s="1">
        <v>0</v>
      </c>
      <c r="C1583" t="s">
        <v>1058</v>
      </c>
      <c r="D1583" t="s">
        <v>5211</v>
      </c>
      <c r="E1583" t="s">
        <v>5310</v>
      </c>
      <c r="F1583" t="s">
        <v>5077</v>
      </c>
      <c r="G1583" t="s">
        <v>5240</v>
      </c>
      <c r="H1583" t="s">
        <v>611</v>
      </c>
      <c r="J1583" s="2">
        <v>41395</v>
      </c>
      <c r="K1583">
        <v>194.1</v>
      </c>
    </row>
    <row r="1584" spans="1:11" x14ac:dyDescent="0.35">
      <c r="A1584" s="2">
        <v>41396</v>
      </c>
      <c r="B1584" s="1">
        <v>0</v>
      </c>
      <c r="C1584" t="s">
        <v>448</v>
      </c>
      <c r="D1584" t="s">
        <v>5133</v>
      </c>
      <c r="E1584" t="s">
        <v>5223</v>
      </c>
      <c r="F1584" t="s">
        <v>5077</v>
      </c>
      <c r="G1584" t="s">
        <v>5288</v>
      </c>
      <c r="H1584" t="s">
        <v>3143</v>
      </c>
      <c r="J1584" s="2">
        <v>41396</v>
      </c>
      <c r="K1584">
        <v>199.1</v>
      </c>
    </row>
    <row r="1585" spans="1:11" x14ac:dyDescent="0.35">
      <c r="A1585" s="2">
        <v>41397</v>
      </c>
      <c r="B1585" s="1">
        <v>0</v>
      </c>
      <c r="C1585" t="s">
        <v>2916</v>
      </c>
      <c r="D1585" t="s">
        <v>5254</v>
      </c>
      <c r="E1585" t="s">
        <v>5055</v>
      </c>
      <c r="F1585" t="s">
        <v>5077</v>
      </c>
      <c r="G1585" t="s">
        <v>5309</v>
      </c>
      <c r="H1585" t="s">
        <v>1280</v>
      </c>
      <c r="J1585" s="2">
        <v>41397</v>
      </c>
      <c r="K1585">
        <v>193.5</v>
      </c>
    </row>
    <row r="1586" spans="1:11" x14ac:dyDescent="0.35">
      <c r="A1586" s="2">
        <v>41398</v>
      </c>
      <c r="B1586" s="1">
        <v>0</v>
      </c>
      <c r="C1586" t="s">
        <v>430</v>
      </c>
      <c r="D1586" t="s">
        <v>5187</v>
      </c>
      <c r="E1586" t="s">
        <v>5181</v>
      </c>
      <c r="F1586" t="s">
        <v>5077</v>
      </c>
      <c r="G1586" t="s">
        <v>5315</v>
      </c>
      <c r="H1586" t="s">
        <v>4035</v>
      </c>
      <c r="J1586" s="2">
        <v>41398</v>
      </c>
      <c r="K1586">
        <v>179.9</v>
      </c>
    </row>
    <row r="1587" spans="1:11" x14ac:dyDescent="0.35">
      <c r="A1587" s="2">
        <v>41399</v>
      </c>
      <c r="B1587" s="1">
        <v>0</v>
      </c>
      <c r="C1587" t="s">
        <v>5633</v>
      </c>
      <c r="D1587" t="s">
        <v>5069</v>
      </c>
      <c r="E1587" t="s">
        <v>5299</v>
      </c>
      <c r="F1587" t="s">
        <v>5077</v>
      </c>
      <c r="G1587" t="s">
        <v>5400</v>
      </c>
      <c r="H1587" t="s">
        <v>2676</v>
      </c>
      <c r="J1587" s="2">
        <v>41399</v>
      </c>
      <c r="K1587">
        <v>166.6</v>
      </c>
    </row>
    <row r="1588" spans="1:11" x14ac:dyDescent="0.35">
      <c r="A1588" s="2">
        <v>41400</v>
      </c>
      <c r="B1588" s="1">
        <v>0</v>
      </c>
      <c r="C1588" t="s">
        <v>397</v>
      </c>
      <c r="D1588" t="s">
        <v>5178</v>
      </c>
      <c r="E1588" t="s">
        <v>5622</v>
      </c>
      <c r="F1588" t="s">
        <v>5077</v>
      </c>
      <c r="G1588" t="s">
        <v>5342</v>
      </c>
      <c r="H1588" t="s">
        <v>2186</v>
      </c>
      <c r="J1588" s="2">
        <v>41400</v>
      </c>
      <c r="K1588">
        <v>167.2</v>
      </c>
    </row>
    <row r="1589" spans="1:11" x14ac:dyDescent="0.35">
      <c r="A1589" s="2">
        <v>41401</v>
      </c>
      <c r="B1589" s="1">
        <v>0</v>
      </c>
      <c r="C1589" t="s">
        <v>445</v>
      </c>
      <c r="D1589" t="s">
        <v>5069</v>
      </c>
      <c r="E1589" t="s">
        <v>5299</v>
      </c>
      <c r="F1589" t="s">
        <v>5077</v>
      </c>
      <c r="G1589" t="s">
        <v>5226</v>
      </c>
      <c r="H1589" t="s">
        <v>1682</v>
      </c>
      <c r="J1589" s="2">
        <v>41401</v>
      </c>
      <c r="K1589">
        <v>186.3</v>
      </c>
    </row>
    <row r="1590" spans="1:11" x14ac:dyDescent="0.35">
      <c r="A1590" s="2">
        <v>41402</v>
      </c>
      <c r="B1590" s="1">
        <v>0</v>
      </c>
      <c r="C1590" t="s">
        <v>2606</v>
      </c>
      <c r="D1590" t="s">
        <v>5456</v>
      </c>
      <c r="E1590" t="s">
        <v>5597</v>
      </c>
      <c r="F1590" t="s">
        <v>5077</v>
      </c>
      <c r="G1590" t="s">
        <v>5174</v>
      </c>
      <c r="H1590" t="s">
        <v>2348</v>
      </c>
      <c r="J1590" s="2">
        <v>41402</v>
      </c>
      <c r="K1590">
        <v>206.4</v>
      </c>
    </row>
    <row r="1591" spans="1:11" x14ac:dyDescent="0.35">
      <c r="A1591" s="2">
        <v>41403</v>
      </c>
      <c r="B1591" s="1">
        <v>0</v>
      </c>
      <c r="C1591" t="s">
        <v>1467</v>
      </c>
      <c r="D1591" t="s">
        <v>5450</v>
      </c>
      <c r="E1591" t="s">
        <v>5524</v>
      </c>
      <c r="F1591" t="s">
        <v>5089</v>
      </c>
      <c r="G1591" t="s">
        <v>5240</v>
      </c>
      <c r="H1591" t="s">
        <v>775</v>
      </c>
      <c r="J1591" s="2">
        <v>41403</v>
      </c>
      <c r="K1591">
        <v>210.1</v>
      </c>
    </row>
    <row r="1592" spans="1:11" x14ac:dyDescent="0.35">
      <c r="A1592" s="2">
        <v>41404</v>
      </c>
      <c r="B1592" s="1">
        <v>0</v>
      </c>
      <c r="C1592" t="s">
        <v>329</v>
      </c>
      <c r="D1592" t="s">
        <v>5505</v>
      </c>
      <c r="E1592" t="s">
        <v>5328</v>
      </c>
      <c r="F1592" t="s">
        <v>5077</v>
      </c>
      <c r="G1592" t="s">
        <v>5174</v>
      </c>
      <c r="H1592" t="s">
        <v>683</v>
      </c>
      <c r="J1592" s="2">
        <v>41404</v>
      </c>
      <c r="K1592">
        <v>201.1</v>
      </c>
    </row>
    <row r="1593" spans="1:11" x14ac:dyDescent="0.35">
      <c r="A1593" s="2">
        <v>41405</v>
      </c>
      <c r="B1593" s="1">
        <v>0</v>
      </c>
      <c r="C1593" t="s">
        <v>3211</v>
      </c>
      <c r="D1593" t="s">
        <v>5440</v>
      </c>
      <c r="E1593" t="s">
        <v>5524</v>
      </c>
      <c r="F1593" t="s">
        <v>5077</v>
      </c>
      <c r="G1593" t="s">
        <v>5207</v>
      </c>
      <c r="H1593" t="s">
        <v>692</v>
      </c>
      <c r="J1593" s="2">
        <v>41405</v>
      </c>
      <c r="K1593">
        <v>190.6</v>
      </c>
    </row>
    <row r="1594" spans="1:11" x14ac:dyDescent="0.35">
      <c r="A1594" s="2">
        <v>41406</v>
      </c>
      <c r="B1594" s="1">
        <v>0</v>
      </c>
      <c r="C1594" t="s">
        <v>418</v>
      </c>
      <c r="D1594" t="s">
        <v>5440</v>
      </c>
      <c r="E1594" t="s">
        <v>5425</v>
      </c>
      <c r="F1594" t="s">
        <v>5077</v>
      </c>
      <c r="G1594" t="s">
        <v>5226</v>
      </c>
      <c r="H1594" t="s">
        <v>2481</v>
      </c>
      <c r="J1594" s="2">
        <v>41406</v>
      </c>
      <c r="K1594">
        <v>185.9</v>
      </c>
    </row>
    <row r="1595" spans="1:11" x14ac:dyDescent="0.35">
      <c r="A1595" s="2">
        <v>41407</v>
      </c>
      <c r="B1595" s="1">
        <v>0</v>
      </c>
      <c r="C1595" t="s">
        <v>386</v>
      </c>
      <c r="D1595" t="s">
        <v>5571</v>
      </c>
      <c r="E1595" t="s">
        <v>5524</v>
      </c>
      <c r="F1595" t="s">
        <v>5077</v>
      </c>
      <c r="G1595" t="s">
        <v>5288</v>
      </c>
      <c r="H1595" t="s">
        <v>3080</v>
      </c>
      <c r="J1595" s="2">
        <v>41407</v>
      </c>
      <c r="K1595">
        <v>182.9</v>
      </c>
    </row>
    <row r="1596" spans="1:11" x14ac:dyDescent="0.35">
      <c r="A1596" s="2">
        <v>41408</v>
      </c>
      <c r="B1596" s="1">
        <v>0</v>
      </c>
      <c r="C1596" t="s">
        <v>380</v>
      </c>
      <c r="D1596" t="s">
        <v>5253</v>
      </c>
      <c r="E1596" t="s">
        <v>5417</v>
      </c>
      <c r="F1596" t="s">
        <v>5077</v>
      </c>
      <c r="G1596" t="s">
        <v>5291</v>
      </c>
      <c r="H1596" t="s">
        <v>79</v>
      </c>
      <c r="J1596" s="2">
        <v>41408</v>
      </c>
      <c r="K1596">
        <v>180.3</v>
      </c>
    </row>
    <row r="1597" spans="1:11" x14ac:dyDescent="0.35">
      <c r="A1597" s="2">
        <v>41409</v>
      </c>
      <c r="B1597" s="1">
        <v>0</v>
      </c>
      <c r="C1597" t="s">
        <v>423</v>
      </c>
      <c r="D1597" t="s">
        <v>5276</v>
      </c>
      <c r="E1597" t="s">
        <v>5298</v>
      </c>
      <c r="F1597" t="s">
        <v>5077</v>
      </c>
      <c r="G1597" t="s">
        <v>5294</v>
      </c>
      <c r="H1597" t="s">
        <v>2455</v>
      </c>
      <c r="J1597" s="2">
        <v>41409</v>
      </c>
      <c r="K1597">
        <v>173.2</v>
      </c>
    </row>
    <row r="1598" spans="1:11" x14ac:dyDescent="0.35">
      <c r="A1598" s="2">
        <v>41410</v>
      </c>
      <c r="B1598" s="1">
        <v>0</v>
      </c>
      <c r="C1598" t="s">
        <v>5566</v>
      </c>
      <c r="D1598" t="s">
        <v>5255</v>
      </c>
      <c r="E1598" t="s">
        <v>5416</v>
      </c>
      <c r="F1598" t="s">
        <v>5077</v>
      </c>
      <c r="G1598" t="s">
        <v>5315</v>
      </c>
      <c r="H1598" t="s">
        <v>573</v>
      </c>
      <c r="J1598" s="2">
        <v>41410</v>
      </c>
      <c r="K1598">
        <v>162</v>
      </c>
    </row>
    <row r="1599" spans="1:11" x14ac:dyDescent="0.35">
      <c r="A1599" s="2">
        <v>41411</v>
      </c>
      <c r="B1599" s="1">
        <v>0</v>
      </c>
      <c r="C1599" t="s">
        <v>5542</v>
      </c>
      <c r="D1599" t="s">
        <v>5431</v>
      </c>
      <c r="E1599" t="s">
        <v>5529</v>
      </c>
      <c r="F1599" t="s">
        <v>5077</v>
      </c>
      <c r="G1599" t="s">
        <v>5400</v>
      </c>
      <c r="H1599" t="s">
        <v>2661</v>
      </c>
      <c r="J1599" s="2">
        <v>41411</v>
      </c>
      <c r="K1599">
        <v>151.1</v>
      </c>
    </row>
    <row r="1600" spans="1:11" x14ac:dyDescent="0.35">
      <c r="A1600" s="2">
        <v>41412</v>
      </c>
      <c r="B1600" s="1">
        <v>0</v>
      </c>
      <c r="C1600" t="s">
        <v>5083</v>
      </c>
      <c r="D1600" t="s">
        <v>5185</v>
      </c>
      <c r="E1600" t="s">
        <v>5325</v>
      </c>
      <c r="F1600" t="s">
        <v>5045</v>
      </c>
      <c r="G1600" t="s">
        <v>5432</v>
      </c>
      <c r="H1600" t="s">
        <v>961</v>
      </c>
      <c r="J1600" s="2">
        <v>41412</v>
      </c>
      <c r="K1600">
        <v>141.9</v>
      </c>
    </row>
    <row r="1601" spans="1:11" x14ac:dyDescent="0.35">
      <c r="A1601" s="2">
        <v>41413</v>
      </c>
      <c r="B1601" s="1">
        <v>0</v>
      </c>
      <c r="C1601" t="s">
        <v>5211</v>
      </c>
      <c r="D1601" t="s">
        <v>5319</v>
      </c>
      <c r="E1601" t="s">
        <v>5139</v>
      </c>
      <c r="F1601" t="s">
        <v>5045</v>
      </c>
      <c r="G1601" t="s">
        <v>5334</v>
      </c>
      <c r="H1601" t="s">
        <v>853</v>
      </c>
      <c r="J1601" s="2">
        <v>41413</v>
      </c>
      <c r="K1601">
        <v>135.5</v>
      </c>
    </row>
    <row r="1602" spans="1:11" x14ac:dyDescent="0.35">
      <c r="A1602" s="2">
        <v>41414</v>
      </c>
      <c r="B1602" s="1">
        <v>0</v>
      </c>
      <c r="C1602" t="s">
        <v>5458</v>
      </c>
      <c r="D1602" t="s">
        <v>5623</v>
      </c>
      <c r="E1602" t="s">
        <v>5296</v>
      </c>
      <c r="F1602" t="s">
        <v>5045</v>
      </c>
      <c r="G1602" t="s">
        <v>5337</v>
      </c>
      <c r="H1602" t="s">
        <v>843</v>
      </c>
      <c r="J1602" s="2">
        <v>41414</v>
      </c>
      <c r="K1602">
        <v>131.5</v>
      </c>
    </row>
    <row r="1603" spans="1:11" x14ac:dyDescent="0.35">
      <c r="A1603" s="2">
        <v>41415</v>
      </c>
      <c r="B1603" s="1">
        <v>0</v>
      </c>
      <c r="C1603" t="s">
        <v>5135</v>
      </c>
      <c r="D1603" t="s">
        <v>5318</v>
      </c>
      <c r="E1603" t="s">
        <v>5421</v>
      </c>
      <c r="F1603" t="s">
        <v>5045</v>
      </c>
      <c r="G1603" t="s">
        <v>5339</v>
      </c>
      <c r="H1603" t="s">
        <v>1114</v>
      </c>
      <c r="J1603" s="2">
        <v>41415</v>
      </c>
      <c r="K1603">
        <v>129</v>
      </c>
    </row>
    <row r="1604" spans="1:11" x14ac:dyDescent="0.35">
      <c r="A1604" s="2">
        <v>41416</v>
      </c>
      <c r="B1604" s="1">
        <v>0</v>
      </c>
      <c r="C1604" t="s">
        <v>5118</v>
      </c>
      <c r="D1604" t="s">
        <v>5546</v>
      </c>
      <c r="E1604" t="s">
        <v>5047</v>
      </c>
      <c r="F1604" t="s">
        <v>5045</v>
      </c>
      <c r="G1604" t="s">
        <v>5156</v>
      </c>
      <c r="H1604" t="s">
        <v>114</v>
      </c>
      <c r="J1604" s="2">
        <v>41416</v>
      </c>
      <c r="K1604">
        <v>127.2</v>
      </c>
    </row>
    <row r="1605" spans="1:11" x14ac:dyDescent="0.35">
      <c r="A1605" s="2">
        <v>41417</v>
      </c>
      <c r="B1605" s="1">
        <v>0</v>
      </c>
      <c r="C1605" t="s">
        <v>5072</v>
      </c>
      <c r="D1605" t="s">
        <v>5049</v>
      </c>
      <c r="E1605" t="s">
        <v>5047</v>
      </c>
      <c r="F1605" t="s">
        <v>5045</v>
      </c>
      <c r="G1605" t="s">
        <v>5156</v>
      </c>
      <c r="H1605" t="s">
        <v>1564</v>
      </c>
      <c r="J1605" s="2">
        <v>41417</v>
      </c>
      <c r="K1605">
        <v>126.1</v>
      </c>
    </row>
    <row r="1606" spans="1:11" x14ac:dyDescent="0.35">
      <c r="A1606" s="2">
        <v>41418</v>
      </c>
      <c r="B1606" s="1">
        <v>0</v>
      </c>
      <c r="C1606" t="s">
        <v>5096</v>
      </c>
      <c r="D1606" t="s">
        <v>5302</v>
      </c>
      <c r="E1606" t="s">
        <v>5547</v>
      </c>
      <c r="F1606" t="s">
        <v>5045</v>
      </c>
      <c r="G1606" t="s">
        <v>5156</v>
      </c>
      <c r="H1606" t="s">
        <v>505</v>
      </c>
      <c r="J1606" s="2">
        <v>41418</v>
      </c>
      <c r="K1606">
        <v>125.3</v>
      </c>
    </row>
    <row r="1607" spans="1:11" x14ac:dyDescent="0.35">
      <c r="A1607" s="2">
        <v>41419</v>
      </c>
      <c r="B1607" s="1">
        <v>0</v>
      </c>
      <c r="C1607" t="s">
        <v>5213</v>
      </c>
      <c r="D1607" t="s">
        <v>5305</v>
      </c>
      <c r="E1607" t="s">
        <v>5547</v>
      </c>
      <c r="F1607" t="s">
        <v>5045</v>
      </c>
      <c r="G1607" t="s">
        <v>5168</v>
      </c>
      <c r="H1607" t="s">
        <v>1944</v>
      </c>
      <c r="J1607" s="2">
        <v>41419</v>
      </c>
      <c r="K1607">
        <v>125</v>
      </c>
    </row>
    <row r="1608" spans="1:11" x14ac:dyDescent="0.35">
      <c r="A1608" s="2">
        <v>41420</v>
      </c>
      <c r="B1608" s="1">
        <v>0</v>
      </c>
      <c r="C1608" t="s">
        <v>5096</v>
      </c>
      <c r="D1608" t="s">
        <v>5424</v>
      </c>
      <c r="E1608" t="s">
        <v>5547</v>
      </c>
      <c r="F1608" t="s">
        <v>5045</v>
      </c>
      <c r="G1608" t="s">
        <v>5156</v>
      </c>
      <c r="H1608" t="s">
        <v>540</v>
      </c>
      <c r="J1608" s="2">
        <v>41420</v>
      </c>
      <c r="K1608">
        <v>125.1</v>
      </c>
    </row>
    <row r="1609" spans="1:11" x14ac:dyDescent="0.35">
      <c r="A1609" s="2">
        <v>41421</v>
      </c>
      <c r="B1609" s="1">
        <v>0</v>
      </c>
      <c r="C1609" t="s">
        <v>5229</v>
      </c>
      <c r="D1609" t="s">
        <v>5424</v>
      </c>
      <c r="E1609" t="s">
        <v>5547</v>
      </c>
      <c r="F1609" t="s">
        <v>5045</v>
      </c>
      <c r="G1609" t="s">
        <v>5156</v>
      </c>
      <c r="H1609" t="s">
        <v>117</v>
      </c>
      <c r="J1609" s="2">
        <v>41421</v>
      </c>
      <c r="K1609">
        <v>125.6</v>
      </c>
    </row>
    <row r="1610" spans="1:11" x14ac:dyDescent="0.35">
      <c r="A1610" s="2">
        <v>41422</v>
      </c>
      <c r="B1610" s="1">
        <v>0</v>
      </c>
      <c r="C1610" t="s">
        <v>5088</v>
      </c>
      <c r="D1610" t="s">
        <v>5044</v>
      </c>
      <c r="E1610" t="s">
        <v>5143</v>
      </c>
      <c r="F1610" t="s">
        <v>5045</v>
      </c>
      <c r="G1610" t="s">
        <v>5339</v>
      </c>
      <c r="H1610" t="s">
        <v>1081</v>
      </c>
      <c r="J1610" s="2">
        <v>41422</v>
      </c>
      <c r="K1610">
        <v>126.2</v>
      </c>
    </row>
    <row r="1611" spans="1:11" x14ac:dyDescent="0.35">
      <c r="A1611" s="2">
        <v>41423</v>
      </c>
      <c r="B1611" s="1">
        <v>0</v>
      </c>
      <c r="C1611" t="s">
        <v>5437</v>
      </c>
      <c r="D1611" t="s">
        <v>5044</v>
      </c>
      <c r="E1611" t="s">
        <v>5143</v>
      </c>
      <c r="F1611" t="s">
        <v>5045</v>
      </c>
      <c r="G1611" t="s">
        <v>5339</v>
      </c>
      <c r="H1611" t="s">
        <v>114</v>
      </c>
      <c r="J1611" s="2">
        <v>41423</v>
      </c>
      <c r="K1611">
        <v>127.2</v>
      </c>
    </row>
    <row r="1612" spans="1:11" x14ac:dyDescent="0.35">
      <c r="A1612" s="2">
        <v>41424</v>
      </c>
      <c r="B1612" s="1">
        <v>0</v>
      </c>
      <c r="C1612" t="s">
        <v>5200</v>
      </c>
      <c r="D1612" t="s">
        <v>5044</v>
      </c>
      <c r="E1612" t="s">
        <v>5143</v>
      </c>
      <c r="F1612" t="s">
        <v>5045</v>
      </c>
      <c r="G1612" t="s">
        <v>5337</v>
      </c>
      <c r="H1612" t="s">
        <v>1858</v>
      </c>
      <c r="J1612" s="2">
        <v>41424</v>
      </c>
      <c r="K1612">
        <v>128</v>
      </c>
    </row>
    <row r="1613" spans="1:11" x14ac:dyDescent="0.35">
      <c r="A1613" s="2">
        <v>41425</v>
      </c>
      <c r="B1613" s="1">
        <v>0</v>
      </c>
      <c r="C1613" t="s">
        <v>5471</v>
      </c>
      <c r="D1613" t="s">
        <v>5044</v>
      </c>
      <c r="E1613" t="s">
        <v>5143</v>
      </c>
      <c r="F1613" t="s">
        <v>5045</v>
      </c>
      <c r="G1613" t="s">
        <v>5337</v>
      </c>
      <c r="H1613" t="s">
        <v>304</v>
      </c>
      <c r="J1613" s="2">
        <v>41425</v>
      </c>
      <c r="K1613">
        <v>128.30000000000001</v>
      </c>
    </row>
    <row r="1614" spans="1:11" x14ac:dyDescent="0.35">
      <c r="A1614" s="2">
        <v>41426</v>
      </c>
      <c r="B1614" s="1">
        <v>0</v>
      </c>
      <c r="C1614" t="s">
        <v>5114</v>
      </c>
      <c r="D1614" t="s">
        <v>5044</v>
      </c>
      <c r="E1614" t="s">
        <v>5143</v>
      </c>
      <c r="F1614" t="s">
        <v>5045</v>
      </c>
      <c r="G1614" t="s">
        <v>5339</v>
      </c>
      <c r="H1614" t="s">
        <v>3406</v>
      </c>
      <c r="J1614" s="2">
        <v>41426</v>
      </c>
      <c r="K1614">
        <v>127.8</v>
      </c>
    </row>
    <row r="1615" spans="1:11" x14ac:dyDescent="0.35">
      <c r="A1615" s="2">
        <v>41427</v>
      </c>
      <c r="B1615" s="1">
        <v>0</v>
      </c>
      <c r="C1615" t="s">
        <v>5199</v>
      </c>
      <c r="D1615" t="s">
        <v>5046</v>
      </c>
      <c r="E1615" t="s">
        <v>5046</v>
      </c>
      <c r="F1615" t="s">
        <v>5168</v>
      </c>
      <c r="G1615" t="s">
        <v>5349</v>
      </c>
      <c r="H1615" t="s">
        <v>989</v>
      </c>
      <c r="J1615" s="2">
        <v>41427</v>
      </c>
      <c r="K1615">
        <v>85.9</v>
      </c>
    </row>
    <row r="1616" spans="1:11" x14ac:dyDescent="0.35">
      <c r="A1616" s="2">
        <v>41428</v>
      </c>
      <c r="B1616" s="1">
        <v>0</v>
      </c>
      <c r="C1616" t="s">
        <v>5347</v>
      </c>
      <c r="D1616" t="s">
        <v>5046</v>
      </c>
      <c r="E1616" t="s">
        <v>5046</v>
      </c>
      <c r="F1616" t="s">
        <v>5168</v>
      </c>
      <c r="G1616" t="s">
        <v>5353</v>
      </c>
      <c r="H1616" t="s">
        <v>5543</v>
      </c>
      <c r="J1616" s="2">
        <v>41428</v>
      </c>
      <c r="K1616">
        <v>85.1</v>
      </c>
    </row>
    <row r="1617" spans="1:11" x14ac:dyDescent="0.35">
      <c r="A1617" s="2">
        <v>41429</v>
      </c>
      <c r="B1617" s="1">
        <v>0</v>
      </c>
      <c r="C1617" t="s">
        <v>5340</v>
      </c>
      <c r="D1617" t="s">
        <v>5046</v>
      </c>
      <c r="E1617" t="s">
        <v>5046</v>
      </c>
      <c r="F1617" t="s">
        <v>5168</v>
      </c>
      <c r="G1617" t="s">
        <v>5353</v>
      </c>
      <c r="H1617" t="s">
        <v>341</v>
      </c>
      <c r="J1617" s="2">
        <v>41429</v>
      </c>
      <c r="K1617">
        <v>84.4</v>
      </c>
    </row>
    <row r="1618" spans="1:11" x14ac:dyDescent="0.35">
      <c r="A1618" s="2">
        <v>41430</v>
      </c>
      <c r="B1618" s="1">
        <v>0</v>
      </c>
      <c r="C1618" t="s">
        <v>5333</v>
      </c>
      <c r="D1618" t="s">
        <v>5046</v>
      </c>
      <c r="E1618" t="s">
        <v>5046</v>
      </c>
      <c r="F1618" t="s">
        <v>5168</v>
      </c>
      <c r="G1618" t="s">
        <v>5354</v>
      </c>
      <c r="H1618" t="s">
        <v>1526</v>
      </c>
      <c r="J1618" s="2">
        <v>41430</v>
      </c>
      <c r="K1618">
        <v>84.2</v>
      </c>
    </row>
    <row r="1619" spans="1:11" x14ac:dyDescent="0.35">
      <c r="A1619" s="2">
        <v>41431</v>
      </c>
      <c r="B1619" s="1">
        <v>0</v>
      </c>
      <c r="C1619" t="s">
        <v>5341</v>
      </c>
      <c r="D1619" t="s">
        <v>5050</v>
      </c>
      <c r="E1619" t="s">
        <v>5046</v>
      </c>
      <c r="F1619" t="s">
        <v>5168</v>
      </c>
      <c r="G1619" t="s">
        <v>5354</v>
      </c>
      <c r="H1619" t="s">
        <v>362</v>
      </c>
      <c r="J1619" s="2">
        <v>41431</v>
      </c>
      <c r="K1619">
        <v>84.3</v>
      </c>
    </row>
    <row r="1620" spans="1:11" x14ac:dyDescent="0.35">
      <c r="A1620" s="2">
        <v>41432</v>
      </c>
      <c r="B1620" s="1">
        <v>0</v>
      </c>
      <c r="C1620" t="s">
        <v>5201</v>
      </c>
      <c r="D1620" t="s">
        <v>5050</v>
      </c>
      <c r="E1620" t="s">
        <v>5046</v>
      </c>
      <c r="F1620" t="s">
        <v>5168</v>
      </c>
      <c r="G1620" t="s">
        <v>5354</v>
      </c>
      <c r="H1620" t="s">
        <v>1523</v>
      </c>
      <c r="J1620" s="2">
        <v>41432</v>
      </c>
      <c r="K1620">
        <v>84.6</v>
      </c>
    </row>
    <row r="1621" spans="1:11" x14ac:dyDescent="0.35">
      <c r="A1621" s="2">
        <v>41433</v>
      </c>
      <c r="B1621" s="1">
        <v>0</v>
      </c>
      <c r="C1621" t="s">
        <v>5188</v>
      </c>
      <c r="D1621" t="s">
        <v>5050</v>
      </c>
      <c r="E1621" t="s">
        <v>5046</v>
      </c>
      <c r="F1621" t="s">
        <v>5168</v>
      </c>
      <c r="G1621" t="s">
        <v>5354</v>
      </c>
      <c r="H1621" t="s">
        <v>1534</v>
      </c>
      <c r="J1621" s="2">
        <v>41433</v>
      </c>
      <c r="K1621">
        <v>84.7</v>
      </c>
    </row>
    <row r="1622" spans="1:11" x14ac:dyDescent="0.35">
      <c r="A1622" s="2">
        <v>41434</v>
      </c>
      <c r="B1622" s="1">
        <v>0</v>
      </c>
      <c r="C1622" t="s">
        <v>5201</v>
      </c>
      <c r="D1622" t="s">
        <v>5046</v>
      </c>
      <c r="E1622" t="s">
        <v>5046</v>
      </c>
      <c r="F1622" t="s">
        <v>5168</v>
      </c>
      <c r="G1622" t="s">
        <v>5354</v>
      </c>
      <c r="H1622" t="s">
        <v>466</v>
      </c>
      <c r="J1622" s="2">
        <v>41434</v>
      </c>
      <c r="K1622">
        <v>84.5</v>
      </c>
    </row>
    <row r="1623" spans="1:11" x14ac:dyDescent="0.35">
      <c r="A1623" s="2">
        <v>41435</v>
      </c>
      <c r="B1623" s="1">
        <v>0</v>
      </c>
      <c r="C1623" t="s">
        <v>5340</v>
      </c>
      <c r="D1623" t="s">
        <v>5046</v>
      </c>
      <c r="E1623" t="s">
        <v>5046</v>
      </c>
      <c r="F1623" t="s">
        <v>5168</v>
      </c>
      <c r="G1623" t="s">
        <v>5354</v>
      </c>
      <c r="H1623" t="s">
        <v>362</v>
      </c>
      <c r="J1623" s="2">
        <v>41435</v>
      </c>
      <c r="K1623">
        <v>84.3</v>
      </c>
    </row>
    <row r="1624" spans="1:11" x14ac:dyDescent="0.35">
      <c r="A1624" s="2">
        <v>41436</v>
      </c>
      <c r="B1624" s="1">
        <v>0</v>
      </c>
      <c r="C1624" t="s">
        <v>5333</v>
      </c>
      <c r="D1624" t="s">
        <v>5046</v>
      </c>
      <c r="E1624" t="s">
        <v>5046</v>
      </c>
      <c r="F1624" t="s">
        <v>5168</v>
      </c>
      <c r="G1624" t="s">
        <v>5354</v>
      </c>
      <c r="H1624" t="s">
        <v>1526</v>
      </c>
      <c r="J1624" s="2">
        <v>41436</v>
      </c>
      <c r="K1624">
        <v>84.2</v>
      </c>
    </row>
    <row r="1625" spans="1:11" x14ac:dyDescent="0.35">
      <c r="A1625" s="2">
        <v>41437</v>
      </c>
      <c r="B1625" s="1">
        <v>0</v>
      </c>
      <c r="C1625" t="s">
        <v>5332</v>
      </c>
      <c r="D1625" t="s">
        <v>5046</v>
      </c>
      <c r="E1625" t="s">
        <v>5046</v>
      </c>
      <c r="F1625" t="s">
        <v>5168</v>
      </c>
      <c r="G1625" t="s">
        <v>5354</v>
      </c>
      <c r="H1625" t="s">
        <v>1916</v>
      </c>
      <c r="J1625" s="2">
        <v>41437</v>
      </c>
      <c r="K1625">
        <v>83.9</v>
      </c>
    </row>
    <row r="1626" spans="1:11" x14ac:dyDescent="0.35">
      <c r="A1626" s="2">
        <v>41438</v>
      </c>
      <c r="B1626" s="1">
        <v>0</v>
      </c>
      <c r="C1626" t="s">
        <v>5493</v>
      </c>
      <c r="D1626" t="s">
        <v>5046</v>
      </c>
      <c r="E1626" t="s">
        <v>5046</v>
      </c>
      <c r="F1626" t="s">
        <v>5168</v>
      </c>
      <c r="G1626" t="s">
        <v>5354</v>
      </c>
      <c r="H1626" t="s">
        <v>448</v>
      </c>
      <c r="J1626" s="2">
        <v>41438</v>
      </c>
      <c r="K1626">
        <v>83.7</v>
      </c>
    </row>
    <row r="1627" spans="1:11" x14ac:dyDescent="0.35">
      <c r="A1627" s="2">
        <v>41439</v>
      </c>
      <c r="B1627" s="1">
        <v>0</v>
      </c>
      <c r="C1627" t="s">
        <v>5132</v>
      </c>
      <c r="D1627" t="s">
        <v>5046</v>
      </c>
      <c r="E1627" t="s">
        <v>5046</v>
      </c>
      <c r="F1627" t="s">
        <v>5168</v>
      </c>
      <c r="G1627" t="s">
        <v>5354</v>
      </c>
      <c r="H1627" t="s">
        <v>444</v>
      </c>
      <c r="J1627" s="2">
        <v>41439</v>
      </c>
      <c r="K1627">
        <v>83.5</v>
      </c>
    </row>
    <row r="1628" spans="1:11" x14ac:dyDescent="0.35">
      <c r="A1628" s="2">
        <v>41440</v>
      </c>
      <c r="B1628" s="1">
        <v>0</v>
      </c>
      <c r="C1628" t="s">
        <v>5136</v>
      </c>
      <c r="D1628" t="s">
        <v>5046</v>
      </c>
      <c r="E1628" t="s">
        <v>5046</v>
      </c>
      <c r="F1628" t="s">
        <v>5168</v>
      </c>
      <c r="G1628" t="s">
        <v>5354</v>
      </c>
      <c r="H1628" t="s">
        <v>448</v>
      </c>
      <c r="J1628" s="2">
        <v>41440</v>
      </c>
      <c r="K1628">
        <v>83.7</v>
      </c>
    </row>
    <row r="1629" spans="1:11" x14ac:dyDescent="0.35">
      <c r="A1629" s="2">
        <v>41441</v>
      </c>
      <c r="B1629" s="1">
        <v>0</v>
      </c>
      <c r="C1629" t="s">
        <v>5166</v>
      </c>
      <c r="D1629" t="s">
        <v>5046</v>
      </c>
      <c r="E1629" t="s">
        <v>5046</v>
      </c>
      <c r="F1629" t="s">
        <v>5168</v>
      </c>
      <c r="G1629" t="s">
        <v>5353</v>
      </c>
      <c r="H1629" t="s">
        <v>1523</v>
      </c>
      <c r="J1629" s="2">
        <v>41441</v>
      </c>
      <c r="K1629">
        <v>84.6</v>
      </c>
    </row>
    <row r="1630" spans="1:11" x14ac:dyDescent="0.35">
      <c r="A1630" s="2">
        <v>41442</v>
      </c>
      <c r="B1630" s="1">
        <v>0</v>
      </c>
      <c r="C1630" t="s">
        <v>5163</v>
      </c>
      <c r="D1630" t="s">
        <v>5046</v>
      </c>
      <c r="E1630" t="s">
        <v>5046</v>
      </c>
      <c r="F1630" t="s">
        <v>5168</v>
      </c>
      <c r="G1630" t="s">
        <v>5361</v>
      </c>
      <c r="H1630" t="s">
        <v>1918</v>
      </c>
      <c r="J1630" s="2">
        <v>41442</v>
      </c>
      <c r="K1630">
        <v>85.6</v>
      </c>
    </row>
    <row r="1631" spans="1:11" x14ac:dyDescent="0.35">
      <c r="A1631" s="2">
        <v>41443</v>
      </c>
      <c r="B1631" s="1">
        <v>0</v>
      </c>
      <c r="C1631" t="s">
        <v>5414</v>
      </c>
      <c r="D1631" t="s">
        <v>5046</v>
      </c>
      <c r="E1631" t="s">
        <v>5046</v>
      </c>
      <c r="F1631" t="s">
        <v>5168</v>
      </c>
      <c r="G1631" t="s">
        <v>5361</v>
      </c>
      <c r="H1631" t="s">
        <v>333</v>
      </c>
      <c r="J1631" s="2">
        <v>41443</v>
      </c>
      <c r="K1631">
        <v>86.1</v>
      </c>
    </row>
    <row r="1632" spans="1:11" x14ac:dyDescent="0.35">
      <c r="A1632" s="2">
        <v>41444</v>
      </c>
      <c r="B1632" s="1">
        <v>0</v>
      </c>
      <c r="C1632" t="s">
        <v>5161</v>
      </c>
      <c r="D1632" t="s">
        <v>5046</v>
      </c>
      <c r="E1632" t="s">
        <v>5046</v>
      </c>
      <c r="F1632" t="s">
        <v>5168</v>
      </c>
      <c r="G1632" t="s">
        <v>5361</v>
      </c>
      <c r="H1632" t="s">
        <v>989</v>
      </c>
      <c r="J1632" s="2">
        <v>41444</v>
      </c>
      <c r="K1632">
        <v>85.9</v>
      </c>
    </row>
    <row r="1633" spans="1:11" x14ac:dyDescent="0.35">
      <c r="A1633" s="2">
        <v>41445</v>
      </c>
      <c r="B1633" s="1">
        <v>0</v>
      </c>
      <c r="C1633" t="s">
        <v>5338</v>
      </c>
      <c r="D1633" t="s">
        <v>5050</v>
      </c>
      <c r="E1633" t="s">
        <v>5046</v>
      </c>
      <c r="F1633" t="s">
        <v>5168</v>
      </c>
      <c r="G1633" t="s">
        <v>5349</v>
      </c>
      <c r="H1633" t="s">
        <v>477</v>
      </c>
      <c r="J1633" s="2">
        <v>41445</v>
      </c>
      <c r="K1633">
        <v>85.4</v>
      </c>
    </row>
    <row r="1634" spans="1:11" x14ac:dyDescent="0.35">
      <c r="A1634" s="2">
        <v>41446</v>
      </c>
      <c r="B1634" s="1">
        <v>0</v>
      </c>
      <c r="C1634" t="s">
        <v>5188</v>
      </c>
      <c r="D1634" t="s">
        <v>5050</v>
      </c>
      <c r="E1634" t="s">
        <v>5046</v>
      </c>
      <c r="F1634" t="s">
        <v>5168</v>
      </c>
      <c r="G1634" t="s">
        <v>5353</v>
      </c>
      <c r="H1634" t="s">
        <v>1522</v>
      </c>
      <c r="J1634" s="2">
        <v>41446</v>
      </c>
      <c r="K1634">
        <v>84.8</v>
      </c>
    </row>
    <row r="1635" spans="1:11" x14ac:dyDescent="0.35">
      <c r="A1635" s="2">
        <v>41447</v>
      </c>
      <c r="B1635" s="1">
        <v>0</v>
      </c>
      <c r="C1635" t="s">
        <v>5341</v>
      </c>
      <c r="D1635" t="s">
        <v>5050</v>
      </c>
      <c r="E1635" t="s">
        <v>5046</v>
      </c>
      <c r="F1635" t="s">
        <v>5168</v>
      </c>
      <c r="G1635" t="s">
        <v>5353</v>
      </c>
      <c r="H1635" t="s">
        <v>362</v>
      </c>
      <c r="J1635" s="2">
        <v>41447</v>
      </c>
      <c r="K1635">
        <v>84.3</v>
      </c>
    </row>
    <row r="1636" spans="1:11" x14ac:dyDescent="0.35">
      <c r="A1636" s="2">
        <v>41448</v>
      </c>
      <c r="B1636" s="1">
        <v>0</v>
      </c>
      <c r="C1636" t="s">
        <v>5338</v>
      </c>
      <c r="D1636" t="s">
        <v>5050</v>
      </c>
      <c r="E1636" t="s">
        <v>5046</v>
      </c>
      <c r="F1636" t="s">
        <v>5168</v>
      </c>
      <c r="G1636" t="s">
        <v>5353</v>
      </c>
      <c r="H1636" t="s">
        <v>1050</v>
      </c>
      <c r="J1636" s="2">
        <v>41448</v>
      </c>
      <c r="K1636">
        <v>85.3</v>
      </c>
    </row>
    <row r="1637" spans="1:11" x14ac:dyDescent="0.35">
      <c r="A1637" s="2">
        <v>41449</v>
      </c>
      <c r="B1637" s="1">
        <v>0</v>
      </c>
      <c r="C1637" t="s">
        <v>5547</v>
      </c>
      <c r="D1637" t="s">
        <v>5050</v>
      </c>
      <c r="E1637" t="s">
        <v>5046</v>
      </c>
      <c r="F1637" t="s">
        <v>5168</v>
      </c>
      <c r="G1637" t="s">
        <v>5349</v>
      </c>
      <c r="H1637" t="s">
        <v>1471</v>
      </c>
      <c r="J1637" s="2">
        <v>41449</v>
      </c>
      <c r="K1637">
        <v>88.5</v>
      </c>
    </row>
    <row r="1638" spans="1:11" x14ac:dyDescent="0.35">
      <c r="A1638" s="2">
        <v>41450</v>
      </c>
      <c r="B1638" s="1">
        <v>0</v>
      </c>
      <c r="C1638" t="s">
        <v>5292</v>
      </c>
      <c r="D1638" t="s">
        <v>5240</v>
      </c>
      <c r="E1638" t="s">
        <v>5046</v>
      </c>
      <c r="F1638" t="s">
        <v>5168</v>
      </c>
      <c r="G1638" t="s">
        <v>5346</v>
      </c>
      <c r="H1638" t="s">
        <v>986</v>
      </c>
      <c r="J1638" s="2">
        <v>41450</v>
      </c>
      <c r="K1638">
        <v>92.1</v>
      </c>
    </row>
    <row r="1639" spans="1:11" x14ac:dyDescent="0.35">
      <c r="A1639" s="2">
        <v>41451</v>
      </c>
      <c r="B1639" s="1">
        <v>0</v>
      </c>
      <c r="C1639" t="s">
        <v>5319</v>
      </c>
      <c r="D1639" t="s">
        <v>5240</v>
      </c>
      <c r="E1639" t="s">
        <v>5046</v>
      </c>
      <c r="F1639" t="s">
        <v>5168</v>
      </c>
      <c r="G1639" t="s">
        <v>5346</v>
      </c>
      <c r="H1639" t="s">
        <v>462</v>
      </c>
      <c r="J1639" s="2">
        <v>41451</v>
      </c>
      <c r="K1639">
        <v>92.8</v>
      </c>
    </row>
    <row r="1640" spans="1:11" x14ac:dyDescent="0.35">
      <c r="A1640" s="2">
        <v>41452</v>
      </c>
      <c r="B1640" s="1">
        <v>0</v>
      </c>
      <c r="C1640" t="s">
        <v>5048</v>
      </c>
      <c r="D1640" t="s">
        <v>5050</v>
      </c>
      <c r="E1640" t="s">
        <v>5046</v>
      </c>
      <c r="F1640" t="s">
        <v>5168</v>
      </c>
      <c r="G1640" t="s">
        <v>5346</v>
      </c>
      <c r="H1640" t="s">
        <v>1536</v>
      </c>
      <c r="J1640" s="2">
        <v>41452</v>
      </c>
      <c r="K1640">
        <v>91.4</v>
      </c>
    </row>
    <row r="1641" spans="1:11" x14ac:dyDescent="0.35">
      <c r="A1641" s="2">
        <v>41453</v>
      </c>
      <c r="B1641" s="1">
        <v>0</v>
      </c>
      <c r="C1641" t="s">
        <v>5296</v>
      </c>
      <c r="D1641" t="s">
        <v>5050</v>
      </c>
      <c r="E1641" t="s">
        <v>5046</v>
      </c>
      <c r="F1641" t="s">
        <v>5168</v>
      </c>
      <c r="G1641" t="s">
        <v>5361</v>
      </c>
      <c r="H1641" t="s">
        <v>1535</v>
      </c>
      <c r="J1641" s="2">
        <v>41453</v>
      </c>
      <c r="K1641">
        <v>88.9</v>
      </c>
    </row>
    <row r="1642" spans="1:11" x14ac:dyDescent="0.35">
      <c r="A1642" s="2">
        <v>41454</v>
      </c>
      <c r="B1642" s="1">
        <v>0</v>
      </c>
      <c r="C1642" t="s">
        <v>5191</v>
      </c>
      <c r="D1642" t="s">
        <v>5050</v>
      </c>
      <c r="E1642" t="s">
        <v>5046</v>
      </c>
      <c r="F1642" t="s">
        <v>5168</v>
      </c>
      <c r="G1642" t="s">
        <v>5349</v>
      </c>
      <c r="H1642" t="s">
        <v>356</v>
      </c>
      <c r="J1642" s="2">
        <v>41454</v>
      </c>
      <c r="K1642">
        <v>86.8</v>
      </c>
    </row>
    <row r="1643" spans="1:11" x14ac:dyDescent="0.35">
      <c r="A1643" s="2">
        <v>41455</v>
      </c>
      <c r="B1643" s="1">
        <v>0</v>
      </c>
      <c r="C1643" t="s">
        <v>5163</v>
      </c>
      <c r="D1643" t="s">
        <v>5046</v>
      </c>
      <c r="E1643" t="s">
        <v>5046</v>
      </c>
      <c r="F1643" t="s">
        <v>5168</v>
      </c>
      <c r="G1643" t="s">
        <v>5353</v>
      </c>
      <c r="H1643" t="s">
        <v>1918</v>
      </c>
      <c r="J1643" s="2">
        <v>41455</v>
      </c>
      <c r="K1643">
        <v>85.6</v>
      </c>
    </row>
    <row r="1644" spans="1:11" x14ac:dyDescent="0.35">
      <c r="A1644" t="s">
        <v>2228</v>
      </c>
      <c r="B1644" s="1">
        <v>0</v>
      </c>
      <c r="C1644" t="s">
        <v>5205</v>
      </c>
      <c r="D1644" t="s">
        <v>5046</v>
      </c>
      <c r="E1644" t="s">
        <v>5046</v>
      </c>
      <c r="F1644" t="s">
        <v>5168</v>
      </c>
      <c r="G1644" t="s">
        <v>5353</v>
      </c>
      <c r="H1644" t="s">
        <v>1522</v>
      </c>
      <c r="J1644" t="s">
        <v>2228</v>
      </c>
      <c r="K1644">
        <v>84.8</v>
      </c>
    </row>
    <row r="1645" spans="1:11" x14ac:dyDescent="0.35">
      <c r="A1645" t="s">
        <v>2229</v>
      </c>
      <c r="B1645" s="1">
        <v>0</v>
      </c>
      <c r="C1645" t="s">
        <v>5330</v>
      </c>
      <c r="D1645" t="s">
        <v>5357</v>
      </c>
      <c r="E1645" t="s">
        <v>5409</v>
      </c>
      <c r="F1645" t="s">
        <v>5364</v>
      </c>
      <c r="G1645" t="s">
        <v>5372</v>
      </c>
      <c r="H1645" t="s">
        <v>5479</v>
      </c>
      <c r="J1645" t="s">
        <v>2229</v>
      </c>
      <c r="K1645">
        <v>61.3</v>
      </c>
    </row>
    <row r="1646" spans="1:11" x14ac:dyDescent="0.35">
      <c r="A1646" t="s">
        <v>2230</v>
      </c>
      <c r="B1646" s="1">
        <v>0</v>
      </c>
      <c r="C1646" t="s">
        <v>5297</v>
      </c>
      <c r="D1646" t="s">
        <v>5195</v>
      </c>
      <c r="E1646" t="s">
        <v>5562</v>
      </c>
      <c r="F1646" t="s">
        <v>5364</v>
      </c>
      <c r="G1646" t="s">
        <v>5375</v>
      </c>
      <c r="H1646" t="s">
        <v>5643</v>
      </c>
      <c r="J1646" t="s">
        <v>2230</v>
      </c>
      <c r="K1646">
        <v>62</v>
      </c>
    </row>
    <row r="1647" spans="1:11" x14ac:dyDescent="0.35">
      <c r="A1647" t="s">
        <v>2231</v>
      </c>
      <c r="B1647" s="1">
        <v>0</v>
      </c>
      <c r="C1647" t="s">
        <v>5174</v>
      </c>
      <c r="D1647" t="s">
        <v>5168</v>
      </c>
      <c r="E1647" t="s">
        <v>5399</v>
      </c>
      <c r="F1647" t="s">
        <v>5364</v>
      </c>
      <c r="G1647" t="s">
        <v>5375</v>
      </c>
      <c r="H1647" t="s">
        <v>5516</v>
      </c>
      <c r="J1647" t="s">
        <v>2231</v>
      </c>
      <c r="K1647">
        <v>64.3</v>
      </c>
    </row>
    <row r="1648" spans="1:11" x14ac:dyDescent="0.35">
      <c r="A1648" t="s">
        <v>2233</v>
      </c>
      <c r="B1648" s="1">
        <v>0</v>
      </c>
      <c r="C1648" t="s">
        <v>5124</v>
      </c>
      <c r="D1648" t="s">
        <v>5144</v>
      </c>
      <c r="E1648" t="s">
        <v>5404</v>
      </c>
      <c r="F1648" t="s">
        <v>5364</v>
      </c>
      <c r="G1648" t="s">
        <v>5375</v>
      </c>
      <c r="H1648" t="s">
        <v>397</v>
      </c>
      <c r="J1648" t="s">
        <v>2233</v>
      </c>
      <c r="K1648">
        <v>67.099999999999994</v>
      </c>
    </row>
    <row r="1649" spans="1:11" x14ac:dyDescent="0.35">
      <c r="A1649" t="s">
        <v>2234</v>
      </c>
      <c r="B1649" s="1">
        <v>0</v>
      </c>
      <c r="C1649" t="s">
        <v>5110</v>
      </c>
      <c r="D1649" t="s">
        <v>5330</v>
      </c>
      <c r="E1649" t="s">
        <v>5357</v>
      </c>
      <c r="F1649" t="s">
        <v>5364</v>
      </c>
      <c r="G1649" t="s">
        <v>5375</v>
      </c>
      <c r="H1649" t="s">
        <v>5567</v>
      </c>
      <c r="J1649" t="s">
        <v>2234</v>
      </c>
      <c r="K1649">
        <v>67.900000000000006</v>
      </c>
    </row>
    <row r="1650" spans="1:11" x14ac:dyDescent="0.35">
      <c r="A1650" t="s">
        <v>2236</v>
      </c>
      <c r="B1650" s="1">
        <v>0</v>
      </c>
      <c r="C1650" t="s">
        <v>5099</v>
      </c>
      <c r="D1650" t="s">
        <v>5400</v>
      </c>
      <c r="E1650" t="s">
        <v>5357</v>
      </c>
      <c r="F1650" t="s">
        <v>5364</v>
      </c>
      <c r="G1650" t="s">
        <v>5375</v>
      </c>
      <c r="H1650" t="s">
        <v>5461</v>
      </c>
      <c r="J1650" t="s">
        <v>2236</v>
      </c>
      <c r="K1650">
        <v>67.5</v>
      </c>
    </row>
    <row r="1651" spans="1:11" x14ac:dyDescent="0.35">
      <c r="A1651" t="s">
        <v>2238</v>
      </c>
      <c r="B1651" s="1">
        <v>0</v>
      </c>
      <c r="C1651" t="s">
        <v>5062</v>
      </c>
      <c r="D1651" t="s">
        <v>5140</v>
      </c>
      <c r="E1651" t="s">
        <v>5357</v>
      </c>
      <c r="F1651" t="s">
        <v>5364</v>
      </c>
      <c r="G1651" t="s">
        <v>5372</v>
      </c>
      <c r="H1651" t="s">
        <v>5640</v>
      </c>
      <c r="J1651" t="s">
        <v>2238</v>
      </c>
      <c r="K1651">
        <v>66.599999999999994</v>
      </c>
    </row>
    <row r="1652" spans="1:11" x14ac:dyDescent="0.35">
      <c r="A1652" t="s">
        <v>2239</v>
      </c>
      <c r="B1652" s="1">
        <v>0</v>
      </c>
      <c r="C1652" t="s">
        <v>5179</v>
      </c>
      <c r="D1652" t="s">
        <v>5411</v>
      </c>
      <c r="E1652" t="s">
        <v>5404</v>
      </c>
      <c r="F1652" t="s">
        <v>5364</v>
      </c>
      <c r="G1652" t="s">
        <v>5372</v>
      </c>
      <c r="H1652" t="s">
        <v>5592</v>
      </c>
      <c r="J1652" t="s">
        <v>2239</v>
      </c>
      <c r="K1652">
        <v>65.7</v>
      </c>
    </row>
    <row r="1653" spans="1:11" x14ac:dyDescent="0.35">
      <c r="A1653" t="s">
        <v>2240</v>
      </c>
      <c r="B1653" s="1">
        <v>0</v>
      </c>
      <c r="C1653" t="s">
        <v>5240</v>
      </c>
      <c r="D1653" t="s">
        <v>5156</v>
      </c>
      <c r="E1653" t="s">
        <v>5402</v>
      </c>
      <c r="F1653" t="s">
        <v>5364</v>
      </c>
      <c r="G1653" t="s">
        <v>5372</v>
      </c>
      <c r="H1653" t="s">
        <v>5634</v>
      </c>
      <c r="J1653" t="s">
        <v>2240</v>
      </c>
      <c r="K1653">
        <v>65</v>
      </c>
    </row>
    <row r="1654" spans="1:11" x14ac:dyDescent="0.35">
      <c r="A1654" t="s">
        <v>2242</v>
      </c>
      <c r="B1654" s="1">
        <v>0</v>
      </c>
      <c r="C1654" t="s">
        <v>5172</v>
      </c>
      <c r="D1654" t="s">
        <v>5348</v>
      </c>
      <c r="E1654" t="s">
        <v>5399</v>
      </c>
      <c r="F1654" t="s">
        <v>5364</v>
      </c>
      <c r="G1654" t="s">
        <v>5372</v>
      </c>
      <c r="H1654" t="s">
        <v>5564</v>
      </c>
      <c r="J1654" t="s">
        <v>2242</v>
      </c>
      <c r="K1654">
        <v>64</v>
      </c>
    </row>
    <row r="1655" spans="1:11" x14ac:dyDescent="0.35">
      <c r="A1655" t="s">
        <v>2243</v>
      </c>
      <c r="B1655" s="1">
        <v>0</v>
      </c>
      <c r="C1655" t="s">
        <v>5291</v>
      </c>
      <c r="D1655" t="s">
        <v>5177</v>
      </c>
      <c r="E1655" t="s">
        <v>5395</v>
      </c>
      <c r="F1655" t="s">
        <v>5364</v>
      </c>
      <c r="G1655" t="s">
        <v>5372</v>
      </c>
      <c r="H1655" t="s">
        <v>5457</v>
      </c>
      <c r="J1655" t="s">
        <v>2243</v>
      </c>
      <c r="K1655">
        <v>62.8</v>
      </c>
    </row>
    <row r="1656" spans="1:11" x14ac:dyDescent="0.35">
      <c r="A1656" t="s">
        <v>2244</v>
      </c>
      <c r="B1656" s="1">
        <v>0</v>
      </c>
      <c r="C1656" t="s">
        <v>5342</v>
      </c>
      <c r="D1656" t="s">
        <v>5184</v>
      </c>
      <c r="E1656" t="s">
        <v>5396</v>
      </c>
      <c r="F1656" t="s">
        <v>5364</v>
      </c>
      <c r="G1656" t="s">
        <v>5375</v>
      </c>
      <c r="H1656" t="s">
        <v>5632</v>
      </c>
      <c r="J1656" t="s">
        <v>2244</v>
      </c>
      <c r="K1656">
        <v>61.9</v>
      </c>
    </row>
    <row r="1657" spans="1:11" x14ac:dyDescent="0.35">
      <c r="A1657" t="s">
        <v>2245</v>
      </c>
      <c r="B1657" s="1">
        <v>0</v>
      </c>
      <c r="C1657" t="s">
        <v>5140</v>
      </c>
      <c r="D1657" t="s">
        <v>5195</v>
      </c>
      <c r="E1657" t="s">
        <v>5562</v>
      </c>
      <c r="F1657" t="s">
        <v>5364</v>
      </c>
      <c r="G1657" t="s">
        <v>5375</v>
      </c>
      <c r="H1657" t="s">
        <v>5506</v>
      </c>
      <c r="J1657" t="s">
        <v>2245</v>
      </c>
      <c r="K1657">
        <v>61.2</v>
      </c>
    </row>
    <row r="1658" spans="1:11" x14ac:dyDescent="0.35">
      <c r="A1658" t="s">
        <v>2246</v>
      </c>
      <c r="B1658" s="1">
        <v>0</v>
      </c>
      <c r="C1658" t="s">
        <v>5334</v>
      </c>
      <c r="D1658" t="s">
        <v>5186</v>
      </c>
      <c r="E1658" t="s">
        <v>5562</v>
      </c>
      <c r="F1658" t="s">
        <v>5364</v>
      </c>
      <c r="G1658" t="s">
        <v>5375</v>
      </c>
      <c r="H1658" t="s">
        <v>5231</v>
      </c>
      <c r="J1658" t="s">
        <v>2246</v>
      </c>
      <c r="K1658">
        <v>60.8</v>
      </c>
    </row>
    <row r="1659" spans="1:11" x14ac:dyDescent="0.35">
      <c r="A1659" t="s">
        <v>2247</v>
      </c>
      <c r="B1659" s="1">
        <v>0</v>
      </c>
      <c r="C1659" t="s">
        <v>5411</v>
      </c>
      <c r="D1659" t="s">
        <v>5189</v>
      </c>
      <c r="E1659" t="s">
        <v>5562</v>
      </c>
      <c r="F1659" t="s">
        <v>5364</v>
      </c>
      <c r="G1659" t="s">
        <v>5375</v>
      </c>
      <c r="H1659" t="s">
        <v>5586</v>
      </c>
      <c r="J1659" t="s">
        <v>2247</v>
      </c>
      <c r="K1659">
        <v>60.6</v>
      </c>
    </row>
    <row r="1660" spans="1:11" x14ac:dyDescent="0.35">
      <c r="A1660" t="s">
        <v>2248</v>
      </c>
      <c r="B1660" s="1">
        <v>0</v>
      </c>
      <c r="C1660" t="s">
        <v>5334</v>
      </c>
      <c r="D1660" t="s">
        <v>5189</v>
      </c>
      <c r="E1660" t="s">
        <v>5562</v>
      </c>
      <c r="F1660" t="s">
        <v>5364</v>
      </c>
      <c r="G1660" t="s">
        <v>5375</v>
      </c>
      <c r="H1660" t="s">
        <v>5231</v>
      </c>
      <c r="J1660" t="s">
        <v>2248</v>
      </c>
      <c r="K1660">
        <v>60.8</v>
      </c>
    </row>
    <row r="1661" spans="1:11" x14ac:dyDescent="0.35">
      <c r="A1661" t="s">
        <v>2249</v>
      </c>
      <c r="B1661" s="1">
        <v>0</v>
      </c>
      <c r="C1661" t="s">
        <v>5432</v>
      </c>
      <c r="D1661" t="s">
        <v>5186</v>
      </c>
      <c r="E1661" t="s">
        <v>5562</v>
      </c>
      <c r="F1661" t="s">
        <v>5364</v>
      </c>
      <c r="G1661" t="s">
        <v>5375</v>
      </c>
      <c r="H1661" t="s">
        <v>5455</v>
      </c>
      <c r="J1661" t="s">
        <v>2249</v>
      </c>
      <c r="K1661">
        <v>61</v>
      </c>
    </row>
    <row r="1662" spans="1:11" x14ac:dyDescent="0.35">
      <c r="A1662" t="s">
        <v>2250</v>
      </c>
      <c r="B1662" s="1">
        <v>0</v>
      </c>
      <c r="C1662" t="s">
        <v>5342</v>
      </c>
      <c r="D1662" t="s">
        <v>5195</v>
      </c>
      <c r="E1662" t="s">
        <v>5562</v>
      </c>
      <c r="F1662" t="s">
        <v>5364</v>
      </c>
      <c r="G1662" t="s">
        <v>5372</v>
      </c>
      <c r="H1662" t="s">
        <v>5514</v>
      </c>
      <c r="J1662" t="s">
        <v>2250</v>
      </c>
      <c r="K1662">
        <v>61.7</v>
      </c>
    </row>
    <row r="1663" spans="1:11" x14ac:dyDescent="0.35">
      <c r="A1663" t="s">
        <v>2251</v>
      </c>
      <c r="B1663" s="1">
        <v>0</v>
      </c>
      <c r="C1663" t="s">
        <v>5172</v>
      </c>
      <c r="D1663" t="s">
        <v>5195</v>
      </c>
      <c r="E1663" t="s">
        <v>5562</v>
      </c>
      <c r="F1663" t="s">
        <v>5364</v>
      </c>
      <c r="G1663" t="s">
        <v>5372</v>
      </c>
      <c r="H1663" t="s">
        <v>5615</v>
      </c>
      <c r="J1663" t="s">
        <v>2251</v>
      </c>
      <c r="K1663">
        <v>63.1</v>
      </c>
    </row>
    <row r="1664" spans="1:11" x14ac:dyDescent="0.35">
      <c r="A1664" t="s">
        <v>2253</v>
      </c>
      <c r="B1664" s="1">
        <v>0</v>
      </c>
      <c r="C1664" t="s">
        <v>5183</v>
      </c>
      <c r="D1664" t="s">
        <v>5195</v>
      </c>
      <c r="E1664" t="s">
        <v>5409</v>
      </c>
      <c r="F1664" t="s">
        <v>5364</v>
      </c>
      <c r="G1664" t="s">
        <v>5371</v>
      </c>
      <c r="H1664" t="s">
        <v>5470</v>
      </c>
      <c r="J1664" t="s">
        <v>2253</v>
      </c>
      <c r="K1664">
        <v>64.5</v>
      </c>
    </row>
    <row r="1665" spans="1:11" x14ac:dyDescent="0.35">
      <c r="A1665" t="s">
        <v>2254</v>
      </c>
      <c r="B1665" s="1">
        <v>0</v>
      </c>
      <c r="C1665" t="s">
        <v>5078</v>
      </c>
      <c r="D1665" t="s">
        <v>5186</v>
      </c>
      <c r="E1665" t="s">
        <v>5409</v>
      </c>
      <c r="F1665" t="s">
        <v>5364</v>
      </c>
      <c r="G1665" t="s">
        <v>5371</v>
      </c>
      <c r="H1665" t="s">
        <v>5651</v>
      </c>
      <c r="J1665" t="s">
        <v>2254</v>
      </c>
      <c r="K1665">
        <v>64.599999999999994</v>
      </c>
    </row>
    <row r="1666" spans="1:11" x14ac:dyDescent="0.35">
      <c r="A1666" t="s">
        <v>2255</v>
      </c>
      <c r="B1666" s="1">
        <v>0</v>
      </c>
      <c r="C1666" t="s">
        <v>5058</v>
      </c>
      <c r="D1666" t="s">
        <v>5189</v>
      </c>
      <c r="E1666" t="s">
        <v>5409</v>
      </c>
      <c r="F1666" t="s">
        <v>5364</v>
      </c>
      <c r="G1666" t="s">
        <v>5371</v>
      </c>
      <c r="H1666" t="s">
        <v>5566</v>
      </c>
      <c r="J1666" t="s">
        <v>2255</v>
      </c>
      <c r="K1666">
        <v>63.8</v>
      </c>
    </row>
    <row r="1667" spans="1:11" x14ac:dyDescent="0.35">
      <c r="A1667" t="s">
        <v>2256</v>
      </c>
      <c r="B1667" s="1">
        <v>0</v>
      </c>
      <c r="C1667" t="s">
        <v>5227</v>
      </c>
      <c r="D1667" t="s">
        <v>5189</v>
      </c>
      <c r="E1667" t="s">
        <v>5409</v>
      </c>
      <c r="F1667" t="s">
        <v>5364</v>
      </c>
      <c r="G1667" t="s">
        <v>5372</v>
      </c>
      <c r="H1667" t="s">
        <v>5467</v>
      </c>
      <c r="J1667" t="s">
        <v>2256</v>
      </c>
      <c r="K1667">
        <v>62.6</v>
      </c>
    </row>
    <row r="1668" spans="1:11" x14ac:dyDescent="0.35">
      <c r="A1668" t="s">
        <v>2257</v>
      </c>
      <c r="B1668" s="1">
        <v>0</v>
      </c>
      <c r="C1668" t="s">
        <v>5297</v>
      </c>
      <c r="D1668" t="s">
        <v>5189</v>
      </c>
      <c r="E1668" t="s">
        <v>5409</v>
      </c>
      <c r="F1668" t="s">
        <v>5364</v>
      </c>
      <c r="G1668" t="s">
        <v>5372</v>
      </c>
      <c r="H1668" t="s">
        <v>5468</v>
      </c>
      <c r="J1668" t="s">
        <v>2257</v>
      </c>
      <c r="K1668">
        <v>61.6</v>
      </c>
    </row>
    <row r="1669" spans="1:11" x14ac:dyDescent="0.35">
      <c r="A1669" t="s">
        <v>2258</v>
      </c>
      <c r="B1669" s="1">
        <v>0</v>
      </c>
      <c r="C1669" t="s">
        <v>5397</v>
      </c>
      <c r="D1669" t="s">
        <v>5357</v>
      </c>
      <c r="E1669" t="s">
        <v>5409</v>
      </c>
      <c r="F1669" t="s">
        <v>5364</v>
      </c>
      <c r="G1669" t="s">
        <v>5375</v>
      </c>
      <c r="H1669" t="s">
        <v>5499</v>
      </c>
      <c r="J1669" t="s">
        <v>2258</v>
      </c>
      <c r="K1669">
        <v>61.1</v>
      </c>
    </row>
    <row r="1670" spans="1:11" x14ac:dyDescent="0.35">
      <c r="A1670" t="s">
        <v>2259</v>
      </c>
      <c r="B1670" s="1">
        <v>0</v>
      </c>
      <c r="C1670" t="s">
        <v>5153</v>
      </c>
      <c r="D1670" t="s">
        <v>5357</v>
      </c>
      <c r="E1670" t="s">
        <v>5409</v>
      </c>
      <c r="F1670" t="s">
        <v>5364</v>
      </c>
      <c r="G1670" t="s">
        <v>5375</v>
      </c>
      <c r="H1670" t="s">
        <v>5580</v>
      </c>
      <c r="J1670" t="s">
        <v>2259</v>
      </c>
      <c r="K1670">
        <v>60.7</v>
      </c>
    </row>
    <row r="1671" spans="1:11" x14ac:dyDescent="0.35">
      <c r="A1671" t="s">
        <v>2260</v>
      </c>
      <c r="B1671" s="1">
        <v>0</v>
      </c>
      <c r="C1671" t="s">
        <v>5411</v>
      </c>
      <c r="D1671" t="s">
        <v>5357</v>
      </c>
      <c r="E1671" t="s">
        <v>5409</v>
      </c>
      <c r="F1671" t="s">
        <v>5364</v>
      </c>
      <c r="G1671" t="s">
        <v>5375</v>
      </c>
      <c r="H1671" t="s">
        <v>5134</v>
      </c>
      <c r="J1671" t="s">
        <v>2260</v>
      </c>
      <c r="K1671">
        <v>60.5</v>
      </c>
    </row>
    <row r="1672" spans="1:11" x14ac:dyDescent="0.35">
      <c r="A1672" t="s">
        <v>2261</v>
      </c>
      <c r="B1672" s="1">
        <v>0</v>
      </c>
      <c r="C1672" t="s">
        <v>5140</v>
      </c>
      <c r="D1672" t="s">
        <v>5357</v>
      </c>
      <c r="E1672" t="s">
        <v>5409</v>
      </c>
      <c r="F1672" t="s">
        <v>5364</v>
      </c>
      <c r="G1672" t="s">
        <v>5375</v>
      </c>
      <c r="H1672" t="s">
        <v>5629</v>
      </c>
      <c r="J1672" t="s">
        <v>2261</v>
      </c>
      <c r="K1672">
        <v>60.9</v>
      </c>
    </row>
    <row r="1673" spans="1:11" x14ac:dyDescent="0.35">
      <c r="A1673" t="s">
        <v>2262</v>
      </c>
      <c r="B1673" s="1">
        <v>0</v>
      </c>
      <c r="C1673" t="s">
        <v>5230</v>
      </c>
      <c r="D1673" t="s">
        <v>5357</v>
      </c>
      <c r="E1673" t="s">
        <v>5409</v>
      </c>
      <c r="F1673" t="s">
        <v>5364</v>
      </c>
      <c r="G1673" t="s">
        <v>5371</v>
      </c>
      <c r="H1673" t="s">
        <v>5656</v>
      </c>
      <c r="J1673" t="s">
        <v>2262</v>
      </c>
      <c r="K1673">
        <v>63</v>
      </c>
    </row>
    <row r="1674" spans="1:11" x14ac:dyDescent="0.35">
      <c r="A1674" t="s">
        <v>2263</v>
      </c>
      <c r="B1674" s="1">
        <v>0</v>
      </c>
      <c r="C1674" t="s">
        <v>5355</v>
      </c>
      <c r="D1674" t="s">
        <v>5357</v>
      </c>
      <c r="E1674" t="s">
        <v>5409</v>
      </c>
      <c r="F1674" t="s">
        <v>5364</v>
      </c>
      <c r="G1674" t="s">
        <v>5368</v>
      </c>
      <c r="H1674" t="s">
        <v>5466</v>
      </c>
      <c r="J1674" t="s">
        <v>2263</v>
      </c>
      <c r="K1674">
        <v>66.3</v>
      </c>
    </row>
    <row r="1675" spans="1:11" x14ac:dyDescent="0.35">
      <c r="A1675" s="2">
        <v>41487</v>
      </c>
      <c r="B1675" s="1">
        <v>0</v>
      </c>
      <c r="C1675" t="s">
        <v>5199</v>
      </c>
      <c r="D1675" t="s">
        <v>5189</v>
      </c>
      <c r="E1675" t="s">
        <v>5409</v>
      </c>
      <c r="F1675" t="s">
        <v>5364</v>
      </c>
      <c r="G1675" t="s">
        <v>5557</v>
      </c>
      <c r="H1675" t="s">
        <v>437</v>
      </c>
      <c r="J1675" s="2">
        <v>41487</v>
      </c>
      <c r="K1675">
        <v>68.599999999999994</v>
      </c>
    </row>
    <row r="1676" spans="1:11" x14ac:dyDescent="0.35">
      <c r="A1676" s="2">
        <v>41488</v>
      </c>
      <c r="B1676" s="1">
        <v>0</v>
      </c>
      <c r="C1676" t="s">
        <v>5316</v>
      </c>
      <c r="D1676" t="s">
        <v>5156</v>
      </c>
      <c r="E1676" t="s">
        <v>5357</v>
      </c>
      <c r="F1676" t="s">
        <v>5383</v>
      </c>
      <c r="G1676" t="s">
        <v>5882</v>
      </c>
      <c r="H1676" t="s">
        <v>386</v>
      </c>
      <c r="J1676" s="2">
        <v>41488</v>
      </c>
      <c r="K1676">
        <v>73.5</v>
      </c>
    </row>
    <row r="1677" spans="1:11" x14ac:dyDescent="0.35">
      <c r="A1677" s="2">
        <v>41489</v>
      </c>
      <c r="B1677" s="1">
        <v>0</v>
      </c>
      <c r="C1677" t="s">
        <v>5347</v>
      </c>
      <c r="D1677" t="s">
        <v>5339</v>
      </c>
      <c r="E1677" t="s">
        <v>5357</v>
      </c>
      <c r="F1677" t="s">
        <v>5383</v>
      </c>
      <c r="G1677" t="s">
        <v>5880</v>
      </c>
      <c r="H1677" t="s">
        <v>1035</v>
      </c>
      <c r="J1677" s="2">
        <v>41489</v>
      </c>
      <c r="K1677">
        <v>71.8</v>
      </c>
    </row>
    <row r="1678" spans="1:11" x14ac:dyDescent="0.35">
      <c r="A1678" s="2">
        <v>41490</v>
      </c>
      <c r="B1678" s="1">
        <v>0</v>
      </c>
      <c r="C1678" t="s">
        <v>5045</v>
      </c>
      <c r="D1678" t="s">
        <v>5156</v>
      </c>
      <c r="E1678" t="s">
        <v>5357</v>
      </c>
      <c r="F1678" t="s">
        <v>5383</v>
      </c>
      <c r="G1678" t="s">
        <v>5883</v>
      </c>
      <c r="H1678" t="s">
        <v>1003</v>
      </c>
      <c r="J1678" s="2">
        <v>41490</v>
      </c>
      <c r="K1678">
        <v>69.599999999999994</v>
      </c>
    </row>
    <row r="1679" spans="1:11" x14ac:dyDescent="0.35">
      <c r="A1679" s="2">
        <v>41491</v>
      </c>
      <c r="B1679" s="1">
        <v>0</v>
      </c>
      <c r="C1679" t="s">
        <v>5412</v>
      </c>
      <c r="D1679" t="s">
        <v>5156</v>
      </c>
      <c r="E1679" t="s">
        <v>5357</v>
      </c>
      <c r="F1679" t="s">
        <v>5383</v>
      </c>
      <c r="G1679" t="s">
        <v>5884</v>
      </c>
      <c r="H1679" t="s">
        <v>5567</v>
      </c>
      <c r="J1679" s="2">
        <v>41491</v>
      </c>
      <c r="K1679">
        <v>67.900000000000006</v>
      </c>
    </row>
    <row r="1680" spans="1:11" x14ac:dyDescent="0.35">
      <c r="A1680" s="2">
        <v>41492</v>
      </c>
      <c r="B1680" s="1">
        <v>0</v>
      </c>
      <c r="C1680" t="s">
        <v>5222</v>
      </c>
      <c r="D1680" t="s">
        <v>5156</v>
      </c>
      <c r="E1680" t="s">
        <v>5357</v>
      </c>
      <c r="F1680" t="s">
        <v>5383</v>
      </c>
      <c r="G1680" t="s">
        <v>5884</v>
      </c>
      <c r="H1680" t="s">
        <v>5603</v>
      </c>
      <c r="J1680" s="2">
        <v>41492</v>
      </c>
      <c r="K1680">
        <v>66.900000000000006</v>
      </c>
    </row>
    <row r="1681" spans="1:11" x14ac:dyDescent="0.35">
      <c r="A1681" s="2">
        <v>41493</v>
      </c>
      <c r="B1681" s="1">
        <v>0</v>
      </c>
      <c r="C1681" t="s">
        <v>5226</v>
      </c>
      <c r="D1681" t="s">
        <v>5168</v>
      </c>
      <c r="E1681" t="s">
        <v>5357</v>
      </c>
      <c r="F1681" t="s">
        <v>5383</v>
      </c>
      <c r="G1681" t="s">
        <v>5885</v>
      </c>
      <c r="H1681" t="s">
        <v>5466</v>
      </c>
      <c r="J1681" s="2">
        <v>41493</v>
      </c>
      <c r="K1681">
        <v>66.3</v>
      </c>
    </row>
    <row r="1682" spans="1:11" x14ac:dyDescent="0.35">
      <c r="A1682" s="2">
        <v>41494</v>
      </c>
      <c r="B1682" s="1">
        <v>0</v>
      </c>
      <c r="C1682" t="s">
        <v>5288</v>
      </c>
      <c r="D1682" t="s">
        <v>5168</v>
      </c>
      <c r="E1682" t="s">
        <v>5357</v>
      </c>
      <c r="F1682" t="s">
        <v>5383</v>
      </c>
      <c r="G1682" t="s">
        <v>5885</v>
      </c>
      <c r="H1682" t="s">
        <v>5561</v>
      </c>
      <c r="J1682" s="2">
        <v>41494</v>
      </c>
      <c r="K1682">
        <v>66.2</v>
      </c>
    </row>
    <row r="1683" spans="1:11" x14ac:dyDescent="0.35">
      <c r="A1683" s="2">
        <v>41495</v>
      </c>
      <c r="B1683" s="1">
        <v>0</v>
      </c>
      <c r="C1683" t="s">
        <v>5124</v>
      </c>
      <c r="D1683" t="s">
        <v>5334</v>
      </c>
      <c r="E1683" t="s">
        <v>5195</v>
      </c>
      <c r="F1683" t="s">
        <v>5383</v>
      </c>
      <c r="G1683" t="s">
        <v>5884</v>
      </c>
      <c r="H1683" t="s">
        <v>5406</v>
      </c>
      <c r="J1683" s="2">
        <v>41495</v>
      </c>
      <c r="K1683">
        <v>69.5</v>
      </c>
    </row>
    <row r="1684" spans="1:11" x14ac:dyDescent="0.35">
      <c r="A1684" s="2">
        <v>41496</v>
      </c>
      <c r="B1684" s="1">
        <v>0</v>
      </c>
      <c r="C1684" t="s">
        <v>5047</v>
      </c>
      <c r="D1684" t="s">
        <v>5309</v>
      </c>
      <c r="E1684" t="s">
        <v>5168</v>
      </c>
      <c r="F1684" t="s">
        <v>5383</v>
      </c>
      <c r="G1684" t="s">
        <v>5880</v>
      </c>
      <c r="H1684" t="s">
        <v>2601</v>
      </c>
      <c r="J1684" s="2">
        <v>41496</v>
      </c>
      <c r="K1684">
        <v>77.599999999999994</v>
      </c>
    </row>
    <row r="1685" spans="1:11" x14ac:dyDescent="0.35">
      <c r="A1685" s="2">
        <v>41497</v>
      </c>
      <c r="B1685" s="1">
        <v>0</v>
      </c>
      <c r="C1685" t="s">
        <v>5056</v>
      </c>
      <c r="D1685" t="s">
        <v>5183</v>
      </c>
      <c r="E1685" t="s">
        <v>5330</v>
      </c>
      <c r="F1685" t="s">
        <v>5383</v>
      </c>
      <c r="G1685" t="s">
        <v>5364</v>
      </c>
      <c r="H1685" t="s">
        <v>338</v>
      </c>
      <c r="J1685" s="2">
        <v>41497</v>
      </c>
      <c r="K1685">
        <v>89.1</v>
      </c>
    </row>
    <row r="1686" spans="1:11" x14ac:dyDescent="0.35">
      <c r="A1686" s="2">
        <v>41498</v>
      </c>
      <c r="B1686" s="1">
        <v>0</v>
      </c>
      <c r="C1686" t="s">
        <v>5113</v>
      </c>
      <c r="D1686" t="s">
        <v>5332</v>
      </c>
      <c r="E1686" t="s">
        <v>5226</v>
      </c>
      <c r="F1686" t="s">
        <v>5383</v>
      </c>
      <c r="G1686" t="s">
        <v>5363</v>
      </c>
      <c r="H1686" t="s">
        <v>472</v>
      </c>
      <c r="J1686" s="2">
        <v>41498</v>
      </c>
      <c r="K1686">
        <v>96.9</v>
      </c>
    </row>
    <row r="1687" spans="1:11" x14ac:dyDescent="0.35">
      <c r="A1687" s="2">
        <v>41499</v>
      </c>
      <c r="B1687" s="1">
        <v>0</v>
      </c>
      <c r="C1687" t="s">
        <v>5444</v>
      </c>
      <c r="D1687" t="s">
        <v>5158</v>
      </c>
      <c r="E1687" t="s">
        <v>5172</v>
      </c>
      <c r="F1687" t="s">
        <v>5383</v>
      </c>
      <c r="G1687" t="s">
        <v>5363</v>
      </c>
      <c r="H1687" t="s">
        <v>4904</v>
      </c>
      <c r="J1687" s="2">
        <v>41499</v>
      </c>
      <c r="K1687">
        <v>99.2</v>
      </c>
    </row>
    <row r="1688" spans="1:11" x14ac:dyDescent="0.35">
      <c r="A1688" s="2">
        <v>41500</v>
      </c>
      <c r="B1688" s="1">
        <v>0</v>
      </c>
      <c r="C1688" t="s">
        <v>5434</v>
      </c>
      <c r="D1688" t="s">
        <v>5166</v>
      </c>
      <c r="E1688" t="s">
        <v>5321</v>
      </c>
      <c r="F1688" t="s">
        <v>5383</v>
      </c>
      <c r="G1688" t="s">
        <v>5881</v>
      </c>
      <c r="H1688" t="s">
        <v>335</v>
      </c>
      <c r="J1688" s="2">
        <v>41500</v>
      </c>
      <c r="K1688">
        <v>94.5</v>
      </c>
    </row>
    <row r="1689" spans="1:11" x14ac:dyDescent="0.35">
      <c r="A1689" s="2">
        <v>41501</v>
      </c>
      <c r="B1689" s="1">
        <v>0</v>
      </c>
      <c r="C1689" t="s">
        <v>5283</v>
      </c>
      <c r="D1689" t="s">
        <v>5045</v>
      </c>
      <c r="E1689" t="s">
        <v>5312</v>
      </c>
      <c r="F1689" t="s">
        <v>5383</v>
      </c>
      <c r="G1689" t="s">
        <v>5880</v>
      </c>
      <c r="H1689" t="s">
        <v>351</v>
      </c>
      <c r="J1689" s="2">
        <v>41501</v>
      </c>
      <c r="K1689">
        <v>87</v>
      </c>
    </row>
    <row r="1690" spans="1:11" x14ac:dyDescent="0.35">
      <c r="A1690" s="2">
        <v>41502</v>
      </c>
      <c r="B1690" s="1">
        <v>0</v>
      </c>
      <c r="C1690" t="s">
        <v>5047</v>
      </c>
      <c r="D1690" t="s">
        <v>5412</v>
      </c>
      <c r="E1690" t="s">
        <v>5140</v>
      </c>
      <c r="F1690" t="s">
        <v>5383</v>
      </c>
      <c r="G1690" t="s">
        <v>5883</v>
      </c>
      <c r="H1690" t="s">
        <v>446</v>
      </c>
      <c r="J1690" s="2">
        <v>41502</v>
      </c>
      <c r="K1690">
        <v>80.099999999999994</v>
      </c>
    </row>
    <row r="1691" spans="1:11" x14ac:dyDescent="0.35">
      <c r="A1691" s="2">
        <v>41503</v>
      </c>
      <c r="B1691" s="1">
        <v>0</v>
      </c>
      <c r="C1691" t="s">
        <v>5158</v>
      </c>
      <c r="D1691" t="s">
        <v>5227</v>
      </c>
      <c r="E1691" t="s">
        <v>5339</v>
      </c>
      <c r="F1691" t="s">
        <v>5383</v>
      </c>
      <c r="G1691" t="s">
        <v>5879</v>
      </c>
      <c r="H1691" t="s">
        <v>1021</v>
      </c>
      <c r="J1691" s="2">
        <v>41503</v>
      </c>
      <c r="K1691">
        <v>74.8</v>
      </c>
    </row>
    <row r="1692" spans="1:11" x14ac:dyDescent="0.35">
      <c r="A1692" s="2">
        <v>41504</v>
      </c>
      <c r="B1692" s="1">
        <v>0</v>
      </c>
      <c r="C1692" t="s">
        <v>5356</v>
      </c>
      <c r="D1692" t="s">
        <v>5291</v>
      </c>
      <c r="E1692" t="s">
        <v>5164</v>
      </c>
      <c r="F1692" t="s">
        <v>5383</v>
      </c>
      <c r="G1692" t="s">
        <v>5884</v>
      </c>
      <c r="H1692" t="s">
        <v>435</v>
      </c>
      <c r="J1692" s="2">
        <v>41504</v>
      </c>
      <c r="K1692">
        <v>72.599999999999994</v>
      </c>
    </row>
    <row r="1693" spans="1:11" x14ac:dyDescent="0.35">
      <c r="A1693" s="2">
        <v>41505</v>
      </c>
      <c r="B1693" s="1">
        <v>0</v>
      </c>
      <c r="C1693" t="s">
        <v>5527</v>
      </c>
      <c r="D1693" t="s">
        <v>5230</v>
      </c>
      <c r="E1693" t="s">
        <v>5411</v>
      </c>
      <c r="F1693" t="s">
        <v>5383</v>
      </c>
      <c r="G1693" t="s">
        <v>5883</v>
      </c>
      <c r="H1693" t="s">
        <v>3494</v>
      </c>
      <c r="J1693" s="2">
        <v>41505</v>
      </c>
      <c r="K1693">
        <v>76.599999999999994</v>
      </c>
    </row>
    <row r="1694" spans="1:11" x14ac:dyDescent="0.35">
      <c r="A1694" s="2">
        <v>41506</v>
      </c>
      <c r="B1694" s="1">
        <v>0</v>
      </c>
      <c r="C1694" t="s">
        <v>5319</v>
      </c>
      <c r="D1694" t="s">
        <v>5089</v>
      </c>
      <c r="E1694" t="s">
        <v>5297</v>
      </c>
      <c r="F1694" t="s">
        <v>5383</v>
      </c>
      <c r="G1694" t="s">
        <v>5887</v>
      </c>
      <c r="H1694" t="s">
        <v>356</v>
      </c>
      <c r="J1694" s="2">
        <v>41506</v>
      </c>
      <c r="K1694">
        <v>86.8</v>
      </c>
    </row>
    <row r="1695" spans="1:11" x14ac:dyDescent="0.35">
      <c r="A1695" s="2">
        <v>41507</v>
      </c>
      <c r="B1695" s="1">
        <v>0</v>
      </c>
      <c r="C1695" t="s">
        <v>5066</v>
      </c>
      <c r="D1695" t="s">
        <v>5161</v>
      </c>
      <c r="E1695" t="s">
        <v>5172</v>
      </c>
      <c r="F1695" t="s">
        <v>5383</v>
      </c>
      <c r="G1695" t="s">
        <v>5363</v>
      </c>
      <c r="H1695" t="s">
        <v>4115</v>
      </c>
      <c r="J1695" s="2">
        <v>41507</v>
      </c>
      <c r="K1695">
        <v>96.5</v>
      </c>
    </row>
    <row r="1696" spans="1:11" x14ac:dyDescent="0.35">
      <c r="A1696" s="2">
        <v>41508</v>
      </c>
      <c r="B1696" s="1">
        <v>0</v>
      </c>
      <c r="C1696" t="s">
        <v>5304</v>
      </c>
      <c r="D1696" t="s">
        <v>5336</v>
      </c>
      <c r="E1696" t="s">
        <v>5230</v>
      </c>
      <c r="F1696" t="s">
        <v>5379</v>
      </c>
      <c r="G1696" t="s">
        <v>5369</v>
      </c>
      <c r="H1696" t="s">
        <v>4642</v>
      </c>
      <c r="J1696" s="2">
        <v>41508</v>
      </c>
      <c r="K1696">
        <v>98.3</v>
      </c>
    </row>
    <row r="1697" spans="1:11" x14ac:dyDescent="0.35">
      <c r="A1697" s="2">
        <v>41509</v>
      </c>
      <c r="B1697" s="1">
        <v>0</v>
      </c>
      <c r="C1697" t="s">
        <v>5272</v>
      </c>
      <c r="D1697" t="s">
        <v>5414</v>
      </c>
      <c r="E1697" t="s">
        <v>5222</v>
      </c>
      <c r="F1697" t="s">
        <v>5379</v>
      </c>
      <c r="G1697" t="s">
        <v>5362</v>
      </c>
      <c r="H1697" t="s">
        <v>470</v>
      </c>
      <c r="J1697" s="2">
        <v>41509</v>
      </c>
      <c r="K1697">
        <v>98.1</v>
      </c>
    </row>
    <row r="1698" spans="1:11" x14ac:dyDescent="0.35">
      <c r="A1698" s="2">
        <v>41510</v>
      </c>
      <c r="B1698" s="1">
        <v>0</v>
      </c>
      <c r="C1698" t="s">
        <v>5063</v>
      </c>
      <c r="D1698" t="s">
        <v>5336</v>
      </c>
      <c r="E1698" t="s">
        <v>5174</v>
      </c>
      <c r="F1698" t="s">
        <v>5379</v>
      </c>
      <c r="G1698" t="s">
        <v>5377</v>
      </c>
      <c r="H1698" t="s">
        <v>5627</v>
      </c>
      <c r="J1698" s="2">
        <v>41510</v>
      </c>
      <c r="K1698">
        <v>100.3</v>
      </c>
    </row>
    <row r="1699" spans="1:11" x14ac:dyDescent="0.35">
      <c r="A1699" s="2">
        <v>41511</v>
      </c>
      <c r="B1699" s="1">
        <v>0</v>
      </c>
      <c r="C1699" t="s">
        <v>5203</v>
      </c>
      <c r="D1699" t="s">
        <v>5329</v>
      </c>
      <c r="E1699" t="s">
        <v>5054</v>
      </c>
      <c r="F1699" t="s">
        <v>5379</v>
      </c>
      <c r="G1699" t="s">
        <v>5388</v>
      </c>
      <c r="H1699" t="s">
        <v>3807</v>
      </c>
      <c r="J1699" s="2">
        <v>41511</v>
      </c>
      <c r="K1699">
        <v>104</v>
      </c>
    </row>
    <row r="1700" spans="1:11" x14ac:dyDescent="0.35">
      <c r="A1700" s="2">
        <v>41512</v>
      </c>
      <c r="B1700" s="1">
        <v>0</v>
      </c>
      <c r="C1700" t="s">
        <v>5253</v>
      </c>
      <c r="D1700" t="s">
        <v>5147</v>
      </c>
      <c r="E1700" t="s">
        <v>5179</v>
      </c>
      <c r="F1700" t="s">
        <v>5379</v>
      </c>
      <c r="G1700" t="s">
        <v>5377</v>
      </c>
      <c r="H1700" t="s">
        <v>3801</v>
      </c>
      <c r="J1700" s="2">
        <v>41512</v>
      </c>
      <c r="K1700">
        <v>103.3</v>
      </c>
    </row>
    <row r="1701" spans="1:11" x14ac:dyDescent="0.35">
      <c r="A1701" s="2">
        <v>41513</v>
      </c>
      <c r="B1701" s="1">
        <v>0</v>
      </c>
      <c r="C1701" t="s">
        <v>5098</v>
      </c>
      <c r="D1701" t="s">
        <v>5199</v>
      </c>
      <c r="E1701" t="s">
        <v>5174</v>
      </c>
      <c r="F1701" t="s">
        <v>5379</v>
      </c>
      <c r="G1701" t="s">
        <v>5369</v>
      </c>
      <c r="H1701" t="s">
        <v>4083</v>
      </c>
      <c r="J1701" s="2">
        <v>41513</v>
      </c>
      <c r="K1701">
        <v>97.1</v>
      </c>
    </row>
    <row r="1702" spans="1:11" x14ac:dyDescent="0.35">
      <c r="A1702" s="2">
        <v>41514</v>
      </c>
      <c r="B1702" s="1">
        <v>0</v>
      </c>
      <c r="C1702" t="s">
        <v>5057</v>
      </c>
      <c r="D1702" t="s">
        <v>5332</v>
      </c>
      <c r="E1702" t="s">
        <v>5291</v>
      </c>
      <c r="F1702" t="s">
        <v>5383</v>
      </c>
      <c r="G1702" t="s">
        <v>5881</v>
      </c>
      <c r="H1702" t="s">
        <v>321</v>
      </c>
      <c r="J1702" s="2">
        <v>41514</v>
      </c>
      <c r="K1702">
        <v>88.3</v>
      </c>
    </row>
    <row r="1703" spans="1:11" x14ac:dyDescent="0.35">
      <c r="A1703" s="2">
        <v>41515</v>
      </c>
      <c r="B1703" s="1">
        <v>0</v>
      </c>
      <c r="C1703" t="s">
        <v>5143</v>
      </c>
      <c r="D1703" t="s">
        <v>5078</v>
      </c>
      <c r="E1703" t="s">
        <v>5144</v>
      </c>
      <c r="F1703" t="s">
        <v>5383</v>
      </c>
      <c r="G1703" t="s">
        <v>5880</v>
      </c>
      <c r="H1703" t="s">
        <v>2604</v>
      </c>
      <c r="J1703" s="2">
        <v>41515</v>
      </c>
      <c r="K1703">
        <v>80.599999999999994</v>
      </c>
    </row>
    <row r="1704" spans="1:11" x14ac:dyDescent="0.35">
      <c r="A1704" s="2">
        <v>41516</v>
      </c>
      <c r="B1704" s="1">
        <v>0</v>
      </c>
      <c r="C1704" t="s">
        <v>5345</v>
      </c>
      <c r="D1704" t="s">
        <v>5046</v>
      </c>
      <c r="E1704" t="s">
        <v>5337</v>
      </c>
      <c r="F1704" t="s">
        <v>5383</v>
      </c>
      <c r="G1704" t="s">
        <v>5886</v>
      </c>
      <c r="H1704" t="s">
        <v>3489</v>
      </c>
      <c r="J1704" s="2">
        <v>41516</v>
      </c>
      <c r="K1704">
        <v>76.2</v>
      </c>
    </row>
    <row r="1705" spans="1:11" x14ac:dyDescent="0.35">
      <c r="A1705" s="2">
        <v>41517</v>
      </c>
      <c r="B1705" s="1">
        <v>0</v>
      </c>
      <c r="C1705" t="s">
        <v>5047</v>
      </c>
      <c r="D1705" t="s">
        <v>5050</v>
      </c>
      <c r="E1705" t="s">
        <v>5168</v>
      </c>
      <c r="F1705" t="s">
        <v>5383</v>
      </c>
      <c r="G1705" t="s">
        <v>5880</v>
      </c>
      <c r="H1705" t="s">
        <v>1048</v>
      </c>
      <c r="J1705" s="2">
        <v>41517</v>
      </c>
      <c r="K1705">
        <v>78.900000000000006</v>
      </c>
    </row>
    <row r="1706" spans="1:11" x14ac:dyDescent="0.35">
      <c r="A1706" t="s">
        <v>2277</v>
      </c>
      <c r="B1706" s="1">
        <v>0</v>
      </c>
      <c r="C1706" t="s">
        <v>5219</v>
      </c>
      <c r="D1706" t="s">
        <v>5183</v>
      </c>
      <c r="E1706" t="s">
        <v>5156</v>
      </c>
      <c r="F1706" t="s">
        <v>5383</v>
      </c>
      <c r="G1706" t="s">
        <v>5367</v>
      </c>
      <c r="H1706" t="s">
        <v>364</v>
      </c>
      <c r="J1706" t="s">
        <v>2277</v>
      </c>
      <c r="K1706">
        <v>90.1</v>
      </c>
    </row>
    <row r="1707" spans="1:11" x14ac:dyDescent="0.35">
      <c r="A1707" t="s">
        <v>2278</v>
      </c>
      <c r="B1707" s="1">
        <v>0</v>
      </c>
      <c r="C1707" t="s">
        <v>5260</v>
      </c>
      <c r="D1707" t="s">
        <v>5314</v>
      </c>
      <c r="E1707" t="s">
        <v>5166</v>
      </c>
      <c r="F1707" t="s">
        <v>5156</v>
      </c>
      <c r="G1707" t="s">
        <v>5404</v>
      </c>
      <c r="H1707" t="s">
        <v>1805</v>
      </c>
      <c r="J1707" t="s">
        <v>2278</v>
      </c>
      <c r="K1707">
        <v>132</v>
      </c>
    </row>
    <row r="1708" spans="1:11" x14ac:dyDescent="0.35">
      <c r="A1708" t="s">
        <v>2280</v>
      </c>
      <c r="B1708" s="1">
        <v>0</v>
      </c>
      <c r="C1708" t="s">
        <v>5407</v>
      </c>
      <c r="D1708" t="s">
        <v>5427</v>
      </c>
      <c r="E1708" t="s">
        <v>5347</v>
      </c>
      <c r="F1708" t="s">
        <v>5156</v>
      </c>
      <c r="G1708" t="s">
        <v>5195</v>
      </c>
      <c r="H1708" t="s">
        <v>261</v>
      </c>
      <c r="J1708" t="s">
        <v>2280</v>
      </c>
      <c r="K1708">
        <v>143.1</v>
      </c>
    </row>
    <row r="1709" spans="1:11" x14ac:dyDescent="0.35">
      <c r="A1709" t="s">
        <v>2282</v>
      </c>
      <c r="B1709" s="1">
        <v>0</v>
      </c>
      <c r="C1709" t="s">
        <v>1517</v>
      </c>
      <c r="D1709" t="s">
        <v>5424</v>
      </c>
      <c r="E1709" t="s">
        <v>5527</v>
      </c>
      <c r="F1709" t="s">
        <v>5156</v>
      </c>
      <c r="G1709" t="s">
        <v>5180</v>
      </c>
      <c r="H1709" t="s">
        <v>791</v>
      </c>
      <c r="J1709" t="s">
        <v>2282</v>
      </c>
      <c r="K1709">
        <v>152.1</v>
      </c>
    </row>
    <row r="1710" spans="1:11" x14ac:dyDescent="0.35">
      <c r="A1710" t="s">
        <v>2284</v>
      </c>
      <c r="B1710" s="1">
        <v>0</v>
      </c>
      <c r="C1710" t="s">
        <v>1874</v>
      </c>
      <c r="D1710" t="s">
        <v>5057</v>
      </c>
      <c r="E1710" t="s">
        <v>5526</v>
      </c>
      <c r="F1710" t="s">
        <v>5156</v>
      </c>
      <c r="G1710" t="s">
        <v>5177</v>
      </c>
      <c r="H1710" t="s">
        <v>187</v>
      </c>
      <c r="J1710" t="s">
        <v>2284</v>
      </c>
      <c r="K1710">
        <v>157.4</v>
      </c>
    </row>
    <row r="1711" spans="1:11" x14ac:dyDescent="0.35">
      <c r="A1711" t="s">
        <v>2285</v>
      </c>
      <c r="B1711" s="1">
        <v>0</v>
      </c>
      <c r="C1711" t="s">
        <v>5644</v>
      </c>
      <c r="D1711" t="s">
        <v>5568</v>
      </c>
      <c r="E1711" t="s">
        <v>5526</v>
      </c>
      <c r="F1711" t="s">
        <v>5156</v>
      </c>
      <c r="G1711" t="s">
        <v>5186</v>
      </c>
      <c r="H1711" t="s">
        <v>296</v>
      </c>
      <c r="J1711" t="s">
        <v>2285</v>
      </c>
      <c r="K1711">
        <v>150.9</v>
      </c>
    </row>
    <row r="1712" spans="1:11" x14ac:dyDescent="0.35">
      <c r="A1712" t="s">
        <v>2286</v>
      </c>
      <c r="B1712" s="1">
        <v>0</v>
      </c>
      <c r="C1712" t="s">
        <v>5578</v>
      </c>
      <c r="D1712" t="s">
        <v>5546</v>
      </c>
      <c r="E1712" t="s">
        <v>5351</v>
      </c>
      <c r="F1712" t="s">
        <v>5156</v>
      </c>
      <c r="G1712" t="s">
        <v>5404</v>
      </c>
      <c r="H1712" t="s">
        <v>951</v>
      </c>
      <c r="J1712" t="s">
        <v>2286</v>
      </c>
      <c r="K1712">
        <v>142.30000000000001</v>
      </c>
    </row>
    <row r="1713" spans="1:11" x14ac:dyDescent="0.35">
      <c r="A1713" t="s">
        <v>2287</v>
      </c>
      <c r="B1713" s="1">
        <v>0</v>
      </c>
      <c r="C1713" t="s">
        <v>5507</v>
      </c>
      <c r="D1713" t="s">
        <v>5293</v>
      </c>
      <c r="E1713" t="s">
        <v>5199</v>
      </c>
      <c r="F1713" t="s">
        <v>5156</v>
      </c>
      <c r="G1713" t="s">
        <v>5419</v>
      </c>
      <c r="H1713" t="s">
        <v>525</v>
      </c>
      <c r="J1713" t="s">
        <v>2287</v>
      </c>
      <c r="K1713">
        <v>136.1</v>
      </c>
    </row>
    <row r="1714" spans="1:11" x14ac:dyDescent="0.35">
      <c r="A1714" t="s">
        <v>2289</v>
      </c>
      <c r="B1714" s="1">
        <v>0</v>
      </c>
      <c r="C1714" t="s">
        <v>5626</v>
      </c>
      <c r="D1714" t="s">
        <v>5316</v>
      </c>
      <c r="E1714" t="s">
        <v>5158</v>
      </c>
      <c r="F1714" t="s">
        <v>5156</v>
      </c>
      <c r="G1714" t="s">
        <v>5419</v>
      </c>
      <c r="H1714" t="s">
        <v>1464</v>
      </c>
      <c r="J1714" t="s">
        <v>2289</v>
      </c>
      <c r="K1714">
        <v>133.1</v>
      </c>
    </row>
    <row r="1715" spans="1:11" x14ac:dyDescent="0.35">
      <c r="A1715" t="s">
        <v>2291</v>
      </c>
      <c r="B1715" s="1">
        <v>0</v>
      </c>
      <c r="C1715" t="s">
        <v>5612</v>
      </c>
      <c r="D1715" t="s">
        <v>5314</v>
      </c>
      <c r="E1715" t="s">
        <v>5158</v>
      </c>
      <c r="F1715" t="s">
        <v>5156</v>
      </c>
      <c r="G1715" t="s">
        <v>5419</v>
      </c>
      <c r="H1715" t="s">
        <v>531</v>
      </c>
      <c r="J1715" t="s">
        <v>2291</v>
      </c>
      <c r="K1715">
        <v>133</v>
      </c>
    </row>
    <row r="1716" spans="1:11" x14ac:dyDescent="0.35">
      <c r="A1716" t="s">
        <v>2292</v>
      </c>
      <c r="B1716" s="1">
        <v>0</v>
      </c>
      <c r="C1716" t="s">
        <v>5130</v>
      </c>
      <c r="D1716" t="s">
        <v>5547</v>
      </c>
      <c r="E1716" t="s">
        <v>5161</v>
      </c>
      <c r="F1716" t="s">
        <v>5156</v>
      </c>
      <c r="G1716" t="s">
        <v>5419</v>
      </c>
      <c r="H1716" t="s">
        <v>1441</v>
      </c>
      <c r="J1716" t="s">
        <v>2292</v>
      </c>
      <c r="K1716">
        <v>136.69999999999999</v>
      </c>
    </row>
    <row r="1717" spans="1:11" x14ac:dyDescent="0.35">
      <c r="A1717" t="s">
        <v>2293</v>
      </c>
      <c r="B1717" s="1">
        <v>0</v>
      </c>
      <c r="C1717" t="s">
        <v>5468</v>
      </c>
      <c r="D1717" t="s">
        <v>5048</v>
      </c>
      <c r="E1717" t="s">
        <v>5316</v>
      </c>
      <c r="F1717" t="s">
        <v>5156</v>
      </c>
      <c r="G1717" t="s">
        <v>5419</v>
      </c>
      <c r="H1717" t="s">
        <v>1133</v>
      </c>
      <c r="J1717" t="s">
        <v>2293</v>
      </c>
      <c r="K1717">
        <v>141.80000000000001</v>
      </c>
    </row>
    <row r="1718" spans="1:11" x14ac:dyDescent="0.35">
      <c r="A1718" t="s">
        <v>2294</v>
      </c>
      <c r="B1718" s="1">
        <v>0</v>
      </c>
      <c r="C1718" t="s">
        <v>5268</v>
      </c>
      <c r="D1718" t="s">
        <v>5568</v>
      </c>
      <c r="E1718" t="s">
        <v>5196</v>
      </c>
      <c r="F1718" t="s">
        <v>5156</v>
      </c>
      <c r="G1718" t="s">
        <v>5399</v>
      </c>
      <c r="H1718" t="s">
        <v>5653</v>
      </c>
      <c r="J1718" t="s">
        <v>2294</v>
      </c>
      <c r="K1718">
        <v>140.6</v>
      </c>
    </row>
    <row r="1719" spans="1:11" x14ac:dyDescent="0.35">
      <c r="A1719" t="s">
        <v>2296</v>
      </c>
      <c r="B1719" s="1">
        <v>0</v>
      </c>
      <c r="C1719" t="s">
        <v>5537</v>
      </c>
      <c r="D1719" t="s">
        <v>5295</v>
      </c>
      <c r="E1719" t="s">
        <v>5598</v>
      </c>
      <c r="F1719" t="s">
        <v>5156</v>
      </c>
      <c r="G1719" t="s">
        <v>5396</v>
      </c>
      <c r="H1719" t="s">
        <v>1777</v>
      </c>
      <c r="J1719" t="s">
        <v>2296</v>
      </c>
      <c r="K1719">
        <v>137.6</v>
      </c>
    </row>
    <row r="1720" spans="1:11" x14ac:dyDescent="0.35">
      <c r="A1720" t="s">
        <v>2297</v>
      </c>
      <c r="B1720" s="1">
        <v>0</v>
      </c>
      <c r="C1720" t="s">
        <v>5119</v>
      </c>
      <c r="D1720" t="s">
        <v>5524</v>
      </c>
      <c r="E1720" t="s">
        <v>5047</v>
      </c>
      <c r="F1720" t="s">
        <v>5156</v>
      </c>
      <c r="G1720" t="s">
        <v>5562</v>
      </c>
      <c r="H1720" t="s">
        <v>1773</v>
      </c>
      <c r="J1720" t="s">
        <v>2297</v>
      </c>
      <c r="K1720">
        <v>136.19999999999999</v>
      </c>
    </row>
    <row r="1721" spans="1:11" x14ac:dyDescent="0.35">
      <c r="A1721" t="s">
        <v>2299</v>
      </c>
      <c r="B1721" s="1">
        <v>0</v>
      </c>
      <c r="C1721" t="s">
        <v>5117</v>
      </c>
      <c r="D1721" t="s">
        <v>5524</v>
      </c>
      <c r="E1721" t="s">
        <v>5047</v>
      </c>
      <c r="F1721" t="s">
        <v>5156</v>
      </c>
      <c r="G1721" t="s">
        <v>5562</v>
      </c>
      <c r="H1721" t="s">
        <v>529</v>
      </c>
      <c r="J1721" t="s">
        <v>2299</v>
      </c>
      <c r="K1721">
        <v>136.4</v>
      </c>
    </row>
    <row r="1722" spans="1:11" x14ac:dyDescent="0.35">
      <c r="A1722" t="s">
        <v>2300</v>
      </c>
      <c r="B1722" s="1">
        <v>0</v>
      </c>
      <c r="C1722" t="s">
        <v>5269</v>
      </c>
      <c r="D1722" t="s">
        <v>5420</v>
      </c>
      <c r="E1722" t="s">
        <v>5547</v>
      </c>
      <c r="F1722" t="s">
        <v>5156</v>
      </c>
      <c r="G1722" t="s">
        <v>5395</v>
      </c>
      <c r="H1722" t="s">
        <v>1394</v>
      </c>
      <c r="J1722" t="s">
        <v>2300</v>
      </c>
      <c r="K1722">
        <v>139.4</v>
      </c>
    </row>
    <row r="1723" spans="1:11" x14ac:dyDescent="0.35">
      <c r="A1723" t="s">
        <v>2302</v>
      </c>
      <c r="B1723" s="1">
        <v>0</v>
      </c>
      <c r="C1723" t="s">
        <v>5514</v>
      </c>
      <c r="D1723" t="s">
        <v>5420</v>
      </c>
      <c r="E1723" t="s">
        <v>5143</v>
      </c>
      <c r="F1723" t="s">
        <v>5156</v>
      </c>
      <c r="G1723" t="s">
        <v>5402</v>
      </c>
      <c r="H1723" t="s">
        <v>1363</v>
      </c>
      <c r="J1723" t="s">
        <v>2302</v>
      </c>
      <c r="K1723">
        <v>146.30000000000001</v>
      </c>
    </row>
    <row r="1724" spans="1:11" x14ac:dyDescent="0.35">
      <c r="A1724" t="s">
        <v>2303</v>
      </c>
      <c r="B1724" s="1">
        <v>0</v>
      </c>
      <c r="C1724" t="s">
        <v>5567</v>
      </c>
      <c r="D1724" t="s">
        <v>5420</v>
      </c>
      <c r="E1724" t="s">
        <v>5427</v>
      </c>
      <c r="F1724" t="s">
        <v>5156</v>
      </c>
      <c r="G1724" t="s">
        <v>5405</v>
      </c>
      <c r="H1724" t="s">
        <v>4703</v>
      </c>
      <c r="J1724" t="s">
        <v>2303</v>
      </c>
      <c r="K1724">
        <v>152.69999999999999</v>
      </c>
    </row>
    <row r="1725" spans="1:11" x14ac:dyDescent="0.35">
      <c r="A1725" t="s">
        <v>2304</v>
      </c>
      <c r="B1725" s="1">
        <v>0</v>
      </c>
      <c r="C1725" t="s">
        <v>5650</v>
      </c>
      <c r="D1725" t="s">
        <v>5061</v>
      </c>
      <c r="E1725" t="s">
        <v>5427</v>
      </c>
      <c r="F1725" t="s">
        <v>5156</v>
      </c>
      <c r="G1725" t="s">
        <v>5405</v>
      </c>
      <c r="H1725" t="s">
        <v>284</v>
      </c>
      <c r="J1725" t="s">
        <v>2304</v>
      </c>
      <c r="K1725">
        <v>153.4</v>
      </c>
    </row>
    <row r="1726" spans="1:11" x14ac:dyDescent="0.35">
      <c r="A1726" t="s">
        <v>2305</v>
      </c>
      <c r="B1726" s="1">
        <v>0</v>
      </c>
      <c r="C1726" t="s">
        <v>377</v>
      </c>
      <c r="D1726" t="s">
        <v>5286</v>
      </c>
      <c r="E1726" t="s">
        <v>5300</v>
      </c>
      <c r="F1726" t="s">
        <v>5156</v>
      </c>
      <c r="G1726" t="s">
        <v>5405</v>
      </c>
      <c r="H1726" t="s">
        <v>786</v>
      </c>
      <c r="J1726" t="s">
        <v>2305</v>
      </c>
      <c r="K1726">
        <v>155.1</v>
      </c>
    </row>
    <row r="1727" spans="1:11" x14ac:dyDescent="0.35">
      <c r="A1727" t="s">
        <v>2306</v>
      </c>
      <c r="B1727" s="1">
        <v>0</v>
      </c>
      <c r="C1727" t="s">
        <v>5608</v>
      </c>
      <c r="D1727" t="s">
        <v>5102</v>
      </c>
      <c r="E1727" t="s">
        <v>5546</v>
      </c>
      <c r="F1727" t="s">
        <v>5156</v>
      </c>
      <c r="G1727" t="s">
        <v>5404</v>
      </c>
      <c r="H1727" t="s">
        <v>172</v>
      </c>
      <c r="J1727" t="s">
        <v>2306</v>
      </c>
      <c r="K1727">
        <v>159.30000000000001</v>
      </c>
    </row>
    <row r="1728" spans="1:11" x14ac:dyDescent="0.35">
      <c r="A1728" t="s">
        <v>2307</v>
      </c>
      <c r="B1728" s="1">
        <v>0</v>
      </c>
      <c r="C1728" t="s">
        <v>5265</v>
      </c>
      <c r="D1728" t="s">
        <v>5229</v>
      </c>
      <c r="E1728" t="s">
        <v>5320</v>
      </c>
      <c r="F1728" t="s">
        <v>5156</v>
      </c>
      <c r="G1728" t="s">
        <v>5419</v>
      </c>
      <c r="H1728" t="s">
        <v>954</v>
      </c>
      <c r="J1728" t="s">
        <v>2307</v>
      </c>
      <c r="K1728">
        <v>161.80000000000001</v>
      </c>
    </row>
    <row r="1729" spans="1:11" x14ac:dyDescent="0.35">
      <c r="A1729" t="s">
        <v>2308</v>
      </c>
      <c r="B1729" s="1">
        <v>0</v>
      </c>
      <c r="C1729" t="s">
        <v>5470</v>
      </c>
      <c r="D1729" t="s">
        <v>5435</v>
      </c>
      <c r="E1729" t="s">
        <v>5320</v>
      </c>
      <c r="F1729" t="s">
        <v>5156</v>
      </c>
      <c r="G1729" t="s">
        <v>5419</v>
      </c>
      <c r="H1729" t="s">
        <v>572</v>
      </c>
      <c r="J1729" t="s">
        <v>2308</v>
      </c>
      <c r="K1729">
        <v>160.5</v>
      </c>
    </row>
    <row r="1730" spans="1:11" x14ac:dyDescent="0.35">
      <c r="A1730" t="s">
        <v>2309</v>
      </c>
      <c r="B1730" s="1">
        <v>0</v>
      </c>
      <c r="C1730" t="s">
        <v>5566</v>
      </c>
      <c r="D1730" t="s">
        <v>5123</v>
      </c>
      <c r="E1730" t="s">
        <v>5048</v>
      </c>
      <c r="F1730" t="s">
        <v>5156</v>
      </c>
      <c r="G1730" t="s">
        <v>5419</v>
      </c>
      <c r="H1730" t="s">
        <v>590</v>
      </c>
      <c r="J1730" t="s">
        <v>2309</v>
      </c>
      <c r="K1730">
        <v>157.5</v>
      </c>
    </row>
    <row r="1731" spans="1:11" x14ac:dyDescent="0.35">
      <c r="A1731" t="s">
        <v>2310</v>
      </c>
      <c r="B1731" s="1">
        <v>0</v>
      </c>
      <c r="C1731" t="s">
        <v>5610</v>
      </c>
      <c r="D1731" t="s">
        <v>5434</v>
      </c>
      <c r="E1731" t="s">
        <v>5430</v>
      </c>
      <c r="F1731" t="s">
        <v>5156</v>
      </c>
      <c r="G1731" t="s">
        <v>5405</v>
      </c>
      <c r="H1731" t="s">
        <v>884</v>
      </c>
      <c r="J1731" t="s">
        <v>2310</v>
      </c>
      <c r="K1731">
        <v>156.6</v>
      </c>
    </row>
    <row r="1732" spans="1:11" x14ac:dyDescent="0.35">
      <c r="A1732" t="s">
        <v>2311</v>
      </c>
      <c r="B1732" s="1">
        <v>0</v>
      </c>
      <c r="C1732" t="s">
        <v>993</v>
      </c>
      <c r="D1732" t="s">
        <v>5221</v>
      </c>
      <c r="E1732" t="s">
        <v>5300</v>
      </c>
      <c r="F1732" t="s">
        <v>5156</v>
      </c>
      <c r="G1732" t="s">
        <v>5189</v>
      </c>
      <c r="H1732" t="s">
        <v>27</v>
      </c>
      <c r="J1732" t="s">
        <v>2311</v>
      </c>
      <c r="K1732">
        <v>158.4</v>
      </c>
    </row>
    <row r="1733" spans="1:11" x14ac:dyDescent="0.35">
      <c r="A1733" t="s">
        <v>2312</v>
      </c>
      <c r="B1733" s="1">
        <v>0</v>
      </c>
      <c r="C1733" t="s">
        <v>380</v>
      </c>
      <c r="D1733" t="s">
        <v>5221</v>
      </c>
      <c r="E1733" t="s">
        <v>5139</v>
      </c>
      <c r="F1733" t="s">
        <v>5156</v>
      </c>
      <c r="G1733" t="s">
        <v>5195</v>
      </c>
      <c r="H1733" t="s">
        <v>594</v>
      </c>
      <c r="J1733" t="s">
        <v>2312</v>
      </c>
      <c r="K1733">
        <v>162.5</v>
      </c>
    </row>
    <row r="1734" spans="1:11" x14ac:dyDescent="0.35">
      <c r="A1734" t="s">
        <v>2313</v>
      </c>
      <c r="B1734" s="1">
        <v>0</v>
      </c>
      <c r="C1734" t="s">
        <v>2918</v>
      </c>
      <c r="D1734" t="s">
        <v>5249</v>
      </c>
      <c r="E1734" t="s">
        <v>5287</v>
      </c>
      <c r="F1734" t="s">
        <v>5339</v>
      </c>
      <c r="G1734" t="s">
        <v>5184</v>
      </c>
      <c r="H1734" t="s">
        <v>797</v>
      </c>
      <c r="J1734" t="s">
        <v>2313</v>
      </c>
      <c r="K1734">
        <v>170.5</v>
      </c>
    </row>
    <row r="1735" spans="1:11" x14ac:dyDescent="0.35">
      <c r="A1735" t="s">
        <v>2314</v>
      </c>
      <c r="B1735" s="1">
        <v>0</v>
      </c>
      <c r="C1735" t="s">
        <v>438</v>
      </c>
      <c r="D1735" t="s">
        <v>5067</v>
      </c>
      <c r="E1735" t="s">
        <v>5546</v>
      </c>
      <c r="F1735" t="s">
        <v>5339</v>
      </c>
      <c r="G1735" t="s">
        <v>5186</v>
      </c>
      <c r="H1735" t="s">
        <v>40</v>
      </c>
      <c r="J1735" t="s">
        <v>2314</v>
      </c>
      <c r="K1735">
        <v>173.9</v>
      </c>
    </row>
    <row r="1736" spans="1:11" x14ac:dyDescent="0.35">
      <c r="A1736" t="s">
        <v>2315</v>
      </c>
      <c r="B1736" s="1">
        <v>0</v>
      </c>
      <c r="C1736" t="s">
        <v>386</v>
      </c>
      <c r="D1736" t="s">
        <v>5123</v>
      </c>
      <c r="E1736" t="s">
        <v>5423</v>
      </c>
      <c r="F1736" t="s">
        <v>5156</v>
      </c>
      <c r="G1736" t="s">
        <v>5405</v>
      </c>
      <c r="H1736" t="s">
        <v>1978</v>
      </c>
      <c r="J1736" t="s">
        <v>2315</v>
      </c>
      <c r="K1736">
        <v>167.1</v>
      </c>
    </row>
    <row r="1737" spans="1:11" x14ac:dyDescent="0.35">
      <c r="A1737" t="s">
        <v>2316</v>
      </c>
      <c r="B1737" s="1">
        <v>0</v>
      </c>
      <c r="C1737" t="s">
        <v>371</v>
      </c>
      <c r="D1737" t="s">
        <v>5125</v>
      </c>
      <c r="E1737" t="s">
        <v>5061</v>
      </c>
      <c r="F1737" t="s">
        <v>5050</v>
      </c>
      <c r="G1737" t="s">
        <v>5153</v>
      </c>
      <c r="H1737" t="s">
        <v>705</v>
      </c>
      <c r="J1737" t="s">
        <v>2316</v>
      </c>
      <c r="K1737">
        <v>175.4</v>
      </c>
    </row>
    <row r="1738" spans="1:11" x14ac:dyDescent="0.35">
      <c r="A1738" t="s">
        <v>2317</v>
      </c>
      <c r="B1738" s="1">
        <v>0</v>
      </c>
      <c r="C1738" t="s">
        <v>1029</v>
      </c>
      <c r="D1738" t="s">
        <v>5123</v>
      </c>
      <c r="E1738" t="s">
        <v>5295</v>
      </c>
      <c r="F1738" t="s">
        <v>5050</v>
      </c>
      <c r="G1738" t="s">
        <v>5334</v>
      </c>
      <c r="H1738" t="s">
        <v>2222</v>
      </c>
      <c r="J1738" t="s">
        <v>2317</v>
      </c>
      <c r="K1738">
        <v>173</v>
      </c>
    </row>
    <row r="1739" spans="1:11" x14ac:dyDescent="0.35">
      <c r="A1739" t="s">
        <v>2318</v>
      </c>
      <c r="B1739" s="1">
        <v>0</v>
      </c>
      <c r="C1739" t="s">
        <v>3488</v>
      </c>
      <c r="D1739" t="s">
        <v>5098</v>
      </c>
      <c r="E1739" t="s">
        <v>5570</v>
      </c>
      <c r="F1739" t="s">
        <v>5050</v>
      </c>
      <c r="G1739" t="s">
        <v>5140</v>
      </c>
      <c r="H1739" t="s">
        <v>705</v>
      </c>
      <c r="J1739" t="s">
        <v>2318</v>
      </c>
      <c r="K1739">
        <v>175.4</v>
      </c>
    </row>
    <row r="1740" spans="1:11" x14ac:dyDescent="0.35">
      <c r="A1740" t="s">
        <v>2319</v>
      </c>
      <c r="B1740" s="1">
        <v>0</v>
      </c>
      <c r="C1740" t="s">
        <v>1053</v>
      </c>
      <c r="D1740" t="s">
        <v>5243</v>
      </c>
      <c r="E1740" t="s">
        <v>5061</v>
      </c>
      <c r="F1740" t="s">
        <v>5050</v>
      </c>
      <c r="G1740" t="s">
        <v>5342</v>
      </c>
      <c r="H1740" t="s">
        <v>1597</v>
      </c>
      <c r="J1740" t="s">
        <v>2319</v>
      </c>
      <c r="K1740">
        <v>180.4</v>
      </c>
    </row>
    <row r="1741" spans="1:11" x14ac:dyDescent="0.35">
      <c r="A1741" t="s">
        <v>2320</v>
      </c>
      <c r="B1741" s="1">
        <v>0</v>
      </c>
      <c r="C1741" t="s">
        <v>2916</v>
      </c>
      <c r="D1741" t="s">
        <v>5281</v>
      </c>
      <c r="E1741" t="s">
        <v>5202</v>
      </c>
      <c r="F1741" t="s">
        <v>5050</v>
      </c>
      <c r="G1741" t="s">
        <v>5294</v>
      </c>
      <c r="H1741" t="s">
        <v>1991</v>
      </c>
      <c r="J1741" t="s">
        <v>2320</v>
      </c>
      <c r="K1741">
        <v>189.3</v>
      </c>
    </row>
    <row r="1742" spans="1:11" x14ac:dyDescent="0.35">
      <c r="A1742" t="s">
        <v>2321</v>
      </c>
      <c r="B1742" s="1">
        <v>0</v>
      </c>
      <c r="C1742" t="s">
        <v>457</v>
      </c>
      <c r="D1742" t="s">
        <v>5374</v>
      </c>
      <c r="E1742" t="s">
        <v>5434</v>
      </c>
      <c r="F1742" t="s">
        <v>5050</v>
      </c>
      <c r="G1742" t="s">
        <v>5321</v>
      </c>
      <c r="H1742" t="s">
        <v>2076</v>
      </c>
      <c r="J1742" t="s">
        <v>2321</v>
      </c>
      <c r="K1742">
        <v>204.6</v>
      </c>
    </row>
    <row r="1743" spans="1:11" x14ac:dyDescent="0.35">
      <c r="A1743" t="s">
        <v>2322</v>
      </c>
      <c r="B1743" s="1">
        <v>0</v>
      </c>
      <c r="C1743" t="s">
        <v>1472</v>
      </c>
      <c r="D1743" t="s">
        <v>5573</v>
      </c>
      <c r="E1743" t="s">
        <v>5182</v>
      </c>
      <c r="F1743" t="s">
        <v>5240</v>
      </c>
      <c r="G1743" t="s">
        <v>5174</v>
      </c>
      <c r="H1743" t="s">
        <v>3028</v>
      </c>
      <c r="J1743" t="s">
        <v>2322</v>
      </c>
      <c r="K1743">
        <v>220.7</v>
      </c>
    </row>
    <row r="1744" spans="1:11" x14ac:dyDescent="0.35">
      <c r="A1744" t="s">
        <v>2323</v>
      </c>
      <c r="B1744" s="1">
        <v>0</v>
      </c>
      <c r="C1744" t="s">
        <v>5645</v>
      </c>
      <c r="D1744" t="s">
        <v>5512</v>
      </c>
      <c r="E1744" t="s">
        <v>5120</v>
      </c>
      <c r="F1744" t="s">
        <v>5240</v>
      </c>
      <c r="G1744" t="s">
        <v>5179</v>
      </c>
      <c r="H1744" t="s">
        <v>3968</v>
      </c>
      <c r="J1744" t="s">
        <v>2323</v>
      </c>
      <c r="K1744">
        <v>233.6</v>
      </c>
    </row>
    <row r="1745" spans="1:11" x14ac:dyDescent="0.35">
      <c r="A1745" t="s">
        <v>2324</v>
      </c>
      <c r="B1745" s="1">
        <v>0</v>
      </c>
      <c r="C1745" t="s">
        <v>305</v>
      </c>
      <c r="D1745" t="s">
        <v>5091</v>
      </c>
      <c r="E1745" t="s">
        <v>5276</v>
      </c>
      <c r="F1745" t="s">
        <v>5240</v>
      </c>
      <c r="G1745" t="s">
        <v>5062</v>
      </c>
      <c r="H1745" t="s">
        <v>3067</v>
      </c>
      <c r="J1745" t="s">
        <v>2324</v>
      </c>
      <c r="K1745">
        <v>240.6</v>
      </c>
    </row>
    <row r="1746" spans="1:11" x14ac:dyDescent="0.35">
      <c r="A1746" t="s">
        <v>2326</v>
      </c>
      <c r="B1746" s="1">
        <v>0</v>
      </c>
      <c r="C1746" t="s">
        <v>1103</v>
      </c>
      <c r="D1746" t="s">
        <v>5138</v>
      </c>
      <c r="E1746" t="s">
        <v>5448</v>
      </c>
      <c r="F1746" t="s">
        <v>5240</v>
      </c>
      <c r="G1746" t="s">
        <v>5412</v>
      </c>
      <c r="H1746" t="s">
        <v>3319</v>
      </c>
      <c r="J1746" t="s">
        <v>2326</v>
      </c>
      <c r="K1746">
        <v>243</v>
      </c>
    </row>
    <row r="1747" spans="1:11" x14ac:dyDescent="0.35">
      <c r="A1747" t="s">
        <v>2328</v>
      </c>
      <c r="B1747" s="1">
        <v>0</v>
      </c>
      <c r="C1747" t="s">
        <v>2224</v>
      </c>
      <c r="D1747" t="s">
        <v>5476</v>
      </c>
      <c r="E1747" t="s">
        <v>5229</v>
      </c>
      <c r="F1747" t="s">
        <v>5054</v>
      </c>
      <c r="G1747" t="s">
        <v>5240</v>
      </c>
      <c r="H1747" t="s">
        <v>2470</v>
      </c>
      <c r="J1747" t="s">
        <v>2328</v>
      </c>
      <c r="K1747">
        <v>244.9</v>
      </c>
    </row>
    <row r="1748" spans="1:11" x14ac:dyDescent="0.35">
      <c r="A1748" t="s">
        <v>2330</v>
      </c>
      <c r="B1748" s="1">
        <v>0</v>
      </c>
      <c r="C1748" t="s">
        <v>967</v>
      </c>
      <c r="D1748" t="s">
        <v>5271</v>
      </c>
      <c r="E1748" t="s">
        <v>5074</v>
      </c>
      <c r="F1748" t="s">
        <v>5054</v>
      </c>
      <c r="G1748" t="s">
        <v>5172</v>
      </c>
      <c r="H1748" t="s">
        <v>5676</v>
      </c>
      <c r="J1748" t="s">
        <v>2330</v>
      </c>
      <c r="K1748">
        <v>242.1</v>
      </c>
    </row>
    <row r="1749" spans="1:11" x14ac:dyDescent="0.35">
      <c r="A1749" t="s">
        <v>2331</v>
      </c>
      <c r="B1749" s="1">
        <v>0</v>
      </c>
      <c r="C1749" t="s">
        <v>3805</v>
      </c>
      <c r="D1749" t="s">
        <v>5512</v>
      </c>
      <c r="E1749" t="s">
        <v>5448</v>
      </c>
      <c r="F1749" t="s">
        <v>5240</v>
      </c>
      <c r="G1749" t="s">
        <v>5288</v>
      </c>
      <c r="H1749" t="s">
        <v>2447</v>
      </c>
      <c r="J1749" t="s">
        <v>2331</v>
      </c>
      <c r="K1749">
        <v>229.8</v>
      </c>
    </row>
    <row r="1750" spans="1:11" x14ac:dyDescent="0.35">
      <c r="A1750" t="s">
        <v>2332</v>
      </c>
      <c r="B1750" s="1">
        <v>0</v>
      </c>
      <c r="C1750" t="s">
        <v>1864</v>
      </c>
      <c r="D1750" t="s">
        <v>5238</v>
      </c>
      <c r="E1750" t="s">
        <v>5219</v>
      </c>
      <c r="F1750" t="s">
        <v>5240</v>
      </c>
      <c r="G1750" t="s">
        <v>5297</v>
      </c>
      <c r="H1750" t="s">
        <v>3859</v>
      </c>
      <c r="J1750" t="s">
        <v>2332</v>
      </c>
      <c r="K1750">
        <v>215.4</v>
      </c>
    </row>
    <row r="1751" spans="1:11" x14ac:dyDescent="0.35">
      <c r="A1751" t="s">
        <v>2333</v>
      </c>
      <c r="B1751" s="1">
        <v>0</v>
      </c>
      <c r="C1751" t="s">
        <v>986</v>
      </c>
      <c r="D1751" t="s">
        <v>5198</v>
      </c>
      <c r="E1751" t="s">
        <v>5431</v>
      </c>
      <c r="F1751" t="s">
        <v>5240</v>
      </c>
      <c r="G1751" t="s">
        <v>5297</v>
      </c>
      <c r="H1751" t="s">
        <v>3136</v>
      </c>
      <c r="J1751" t="s">
        <v>2333</v>
      </c>
      <c r="K1751">
        <v>202.6</v>
      </c>
    </row>
    <row r="1752" spans="1:11" x14ac:dyDescent="0.35">
      <c r="A1752" t="s">
        <v>2334</v>
      </c>
      <c r="B1752" s="1">
        <v>0</v>
      </c>
      <c r="C1752" t="s">
        <v>1867</v>
      </c>
      <c r="D1752" t="s">
        <v>5131</v>
      </c>
      <c r="E1752" t="s">
        <v>5597</v>
      </c>
      <c r="F1752" t="s">
        <v>5240</v>
      </c>
      <c r="G1752" t="s">
        <v>5297</v>
      </c>
      <c r="H1752" t="s">
        <v>756</v>
      </c>
      <c r="J1752" t="s">
        <v>2334</v>
      </c>
      <c r="K1752">
        <v>194.8</v>
      </c>
    </row>
    <row r="1753" spans="1:11" x14ac:dyDescent="0.35">
      <c r="A1753" t="s">
        <v>2336</v>
      </c>
      <c r="B1753" s="1">
        <v>0</v>
      </c>
      <c r="C1753" t="s">
        <v>355</v>
      </c>
      <c r="D1753" t="s">
        <v>5111</v>
      </c>
      <c r="E1753" t="s">
        <v>5524</v>
      </c>
      <c r="F1753" t="s">
        <v>5240</v>
      </c>
      <c r="G1753" t="s">
        <v>5294</v>
      </c>
      <c r="H1753" t="s">
        <v>1714</v>
      </c>
      <c r="J1753" t="s">
        <v>2336</v>
      </c>
      <c r="K1753">
        <v>197.5</v>
      </c>
    </row>
    <row r="1754" spans="1:11" x14ac:dyDescent="0.35">
      <c r="A1754" t="s">
        <v>2339</v>
      </c>
      <c r="B1754" s="1">
        <v>0</v>
      </c>
      <c r="C1754" t="s">
        <v>339</v>
      </c>
      <c r="D1754" t="s">
        <v>5464</v>
      </c>
      <c r="E1754" t="s">
        <v>5056</v>
      </c>
      <c r="F1754" t="s">
        <v>5240</v>
      </c>
      <c r="G1754" t="s">
        <v>5291</v>
      </c>
      <c r="H1754" t="s">
        <v>3754</v>
      </c>
      <c r="J1754" t="s">
        <v>2339</v>
      </c>
      <c r="K1754">
        <v>205.6</v>
      </c>
    </row>
    <row r="1755" spans="1:11" x14ac:dyDescent="0.35">
      <c r="A1755" t="s">
        <v>2341</v>
      </c>
      <c r="B1755" s="1">
        <v>0</v>
      </c>
      <c r="C1755" t="s">
        <v>2272</v>
      </c>
      <c r="D1755" t="s">
        <v>5534</v>
      </c>
      <c r="E1755" t="s">
        <v>5068</v>
      </c>
      <c r="F1755" t="s">
        <v>5240</v>
      </c>
      <c r="G1755" t="s">
        <v>5224</v>
      </c>
      <c r="H1755" t="s">
        <v>5702</v>
      </c>
      <c r="J1755" t="s">
        <v>2341</v>
      </c>
      <c r="K1755">
        <v>212.1</v>
      </c>
    </row>
    <row r="1756" spans="1:11" x14ac:dyDescent="0.35">
      <c r="A1756" t="s">
        <v>2342</v>
      </c>
      <c r="B1756" s="1">
        <v>0</v>
      </c>
      <c r="C1756" t="s">
        <v>2</v>
      </c>
      <c r="D1756" t="s">
        <v>5534</v>
      </c>
      <c r="E1756" t="s">
        <v>5255</v>
      </c>
      <c r="F1756" t="s">
        <v>5240</v>
      </c>
      <c r="G1756" t="s">
        <v>5222</v>
      </c>
      <c r="H1756" t="s">
        <v>1652</v>
      </c>
      <c r="J1756" t="s">
        <v>2342</v>
      </c>
      <c r="K1756">
        <v>216.6</v>
      </c>
    </row>
    <row r="1757" spans="1:11" x14ac:dyDescent="0.35">
      <c r="A1757" t="s">
        <v>2344</v>
      </c>
      <c r="B1757" s="1">
        <v>0</v>
      </c>
      <c r="C1757" t="s">
        <v>5627</v>
      </c>
      <c r="D1757" t="s">
        <v>5129</v>
      </c>
      <c r="E1757" t="s">
        <v>5221</v>
      </c>
      <c r="F1757" t="s">
        <v>5240</v>
      </c>
      <c r="G1757" t="s">
        <v>5174</v>
      </c>
      <c r="H1757" t="s">
        <v>1844</v>
      </c>
      <c r="J1757" t="s">
        <v>2344</v>
      </c>
      <c r="K1757">
        <v>215.6</v>
      </c>
    </row>
    <row r="1758" spans="1:11" x14ac:dyDescent="0.35">
      <c r="A1758" t="s">
        <v>2347</v>
      </c>
      <c r="B1758" s="1">
        <v>0</v>
      </c>
      <c r="C1758" t="s">
        <v>2608</v>
      </c>
      <c r="D1758" t="s">
        <v>5451</v>
      </c>
      <c r="E1758" t="s">
        <v>5286</v>
      </c>
      <c r="F1758" t="s">
        <v>5240</v>
      </c>
      <c r="G1758" t="s">
        <v>5174</v>
      </c>
      <c r="H1758" t="s">
        <v>726</v>
      </c>
      <c r="J1758" t="s">
        <v>2347</v>
      </c>
      <c r="K1758">
        <v>207.8</v>
      </c>
    </row>
    <row r="1759" spans="1:11" x14ac:dyDescent="0.35">
      <c r="A1759" t="s">
        <v>2350</v>
      </c>
      <c r="B1759" s="1">
        <v>0</v>
      </c>
      <c r="C1759" t="s">
        <v>461</v>
      </c>
      <c r="D1759" t="s">
        <v>5154</v>
      </c>
      <c r="E1759" t="s">
        <v>5073</v>
      </c>
      <c r="F1759" t="s">
        <v>5240</v>
      </c>
      <c r="G1759" t="s">
        <v>5230</v>
      </c>
      <c r="H1759" t="s">
        <v>2356</v>
      </c>
      <c r="J1759" t="s">
        <v>2350</v>
      </c>
      <c r="K1759">
        <v>202.5</v>
      </c>
    </row>
    <row r="1760" spans="1:11" x14ac:dyDescent="0.35">
      <c r="A1760" t="s">
        <v>2351</v>
      </c>
      <c r="B1760" s="1">
        <v>0</v>
      </c>
      <c r="C1760" t="s">
        <v>2266</v>
      </c>
      <c r="D1760" t="s">
        <v>5451</v>
      </c>
      <c r="E1760" t="s">
        <v>5171</v>
      </c>
      <c r="F1760" t="s">
        <v>5240</v>
      </c>
      <c r="G1760" t="s">
        <v>5230</v>
      </c>
      <c r="H1760" t="s">
        <v>613</v>
      </c>
      <c r="J1760" t="s">
        <v>2351</v>
      </c>
      <c r="K1760">
        <v>205</v>
      </c>
    </row>
    <row r="1761" spans="1:11" x14ac:dyDescent="0.35">
      <c r="A1761" t="s">
        <v>2352</v>
      </c>
      <c r="B1761" s="1">
        <v>0</v>
      </c>
      <c r="C1761" t="s">
        <v>1538</v>
      </c>
      <c r="D1761" t="s">
        <v>5262</v>
      </c>
      <c r="E1761" t="s">
        <v>5202</v>
      </c>
      <c r="F1761" t="s">
        <v>5240</v>
      </c>
      <c r="G1761" t="s">
        <v>5174</v>
      </c>
      <c r="H1761" t="s">
        <v>4789</v>
      </c>
      <c r="J1761" t="s">
        <v>2352</v>
      </c>
      <c r="K1761">
        <v>208.4</v>
      </c>
    </row>
    <row r="1762" spans="1:11" x14ac:dyDescent="0.35">
      <c r="A1762" t="s">
        <v>2354</v>
      </c>
      <c r="B1762" s="1">
        <v>0</v>
      </c>
      <c r="C1762" t="s">
        <v>980</v>
      </c>
      <c r="D1762" t="s">
        <v>5151</v>
      </c>
      <c r="E1762" t="s">
        <v>5202</v>
      </c>
      <c r="F1762" t="s">
        <v>5050</v>
      </c>
      <c r="G1762" t="s">
        <v>5207</v>
      </c>
      <c r="H1762" t="s">
        <v>754</v>
      </c>
      <c r="J1762" t="s">
        <v>2354</v>
      </c>
      <c r="K1762">
        <v>203.4</v>
      </c>
    </row>
    <row r="1763" spans="1:11" x14ac:dyDescent="0.35">
      <c r="A1763" t="s">
        <v>2357</v>
      </c>
      <c r="B1763" s="1">
        <v>0</v>
      </c>
      <c r="C1763" t="s">
        <v>3798</v>
      </c>
      <c r="D1763" t="s">
        <v>5445</v>
      </c>
      <c r="E1763" t="s">
        <v>5428</v>
      </c>
      <c r="F1763" t="s">
        <v>5050</v>
      </c>
      <c r="G1763" t="s">
        <v>5288</v>
      </c>
      <c r="H1763" t="s">
        <v>240</v>
      </c>
      <c r="J1763" t="s">
        <v>2357</v>
      </c>
      <c r="K1763">
        <v>196.8</v>
      </c>
    </row>
    <row r="1764" spans="1:11" x14ac:dyDescent="0.35">
      <c r="A1764" t="s">
        <v>2359</v>
      </c>
      <c r="B1764" s="1">
        <v>0</v>
      </c>
      <c r="C1764" t="s">
        <v>1052</v>
      </c>
      <c r="D1764" t="s">
        <v>5206</v>
      </c>
      <c r="E1764" t="s">
        <v>5076</v>
      </c>
      <c r="F1764" t="s">
        <v>5050</v>
      </c>
      <c r="G1764" t="s">
        <v>5312</v>
      </c>
      <c r="H1764" t="s">
        <v>778</v>
      </c>
      <c r="J1764" t="s">
        <v>2359</v>
      </c>
      <c r="K1764">
        <v>195.8</v>
      </c>
    </row>
    <row r="1765" spans="1:11" x14ac:dyDescent="0.35">
      <c r="A1765" t="s">
        <v>2360</v>
      </c>
      <c r="B1765" s="1">
        <v>0</v>
      </c>
      <c r="C1765" t="s">
        <v>322</v>
      </c>
      <c r="D1765" t="s">
        <v>5280</v>
      </c>
      <c r="E1765" t="s">
        <v>5071</v>
      </c>
      <c r="F1765" t="s">
        <v>5050</v>
      </c>
      <c r="G1765" t="s">
        <v>5312</v>
      </c>
      <c r="H1765" t="s">
        <v>220</v>
      </c>
      <c r="J1765" t="s">
        <v>2360</v>
      </c>
      <c r="K1765">
        <v>201.9</v>
      </c>
    </row>
    <row r="1766" spans="1:11" x14ac:dyDescent="0.35">
      <c r="A1766" t="s">
        <v>2361</v>
      </c>
      <c r="B1766" s="1">
        <v>0</v>
      </c>
      <c r="C1766" t="s">
        <v>457</v>
      </c>
      <c r="D1766" t="s">
        <v>5238</v>
      </c>
      <c r="E1766" t="s">
        <v>5434</v>
      </c>
      <c r="F1766" t="s">
        <v>5050</v>
      </c>
      <c r="G1766" t="s">
        <v>5312</v>
      </c>
      <c r="H1766" t="s">
        <v>613</v>
      </c>
      <c r="J1766" t="s">
        <v>2361</v>
      </c>
      <c r="K1766">
        <v>205</v>
      </c>
    </row>
    <row r="1767" spans="1:11" x14ac:dyDescent="0.35">
      <c r="A1767" t="s">
        <v>2362</v>
      </c>
      <c r="B1767" s="1">
        <v>0</v>
      </c>
      <c r="C1767" t="s">
        <v>449</v>
      </c>
      <c r="D1767" t="s">
        <v>5485</v>
      </c>
      <c r="E1767" t="s">
        <v>5221</v>
      </c>
      <c r="F1767" t="s">
        <v>5050</v>
      </c>
      <c r="G1767" t="s">
        <v>5315</v>
      </c>
      <c r="H1767" t="s">
        <v>199</v>
      </c>
      <c r="J1767" t="s">
        <v>2362</v>
      </c>
      <c r="K1767">
        <v>194.5</v>
      </c>
    </row>
    <row r="1768" spans="1:11" x14ac:dyDescent="0.35">
      <c r="A1768" t="s">
        <v>2363</v>
      </c>
      <c r="B1768" s="1">
        <v>0</v>
      </c>
      <c r="C1768" t="s">
        <v>1040</v>
      </c>
      <c r="D1768" t="s">
        <v>5225</v>
      </c>
      <c r="E1768" t="s">
        <v>5202</v>
      </c>
      <c r="F1768" t="s">
        <v>5077</v>
      </c>
      <c r="G1768" t="s">
        <v>5215</v>
      </c>
      <c r="H1768" t="s">
        <v>247</v>
      </c>
      <c r="J1768" t="s">
        <v>2363</v>
      </c>
      <c r="K1768">
        <v>194.6</v>
      </c>
    </row>
    <row r="1769" spans="1:11" x14ac:dyDescent="0.35">
      <c r="A1769" t="s">
        <v>2364</v>
      </c>
      <c r="B1769" s="1">
        <v>0</v>
      </c>
      <c r="C1769" t="s">
        <v>1046</v>
      </c>
      <c r="D1769" t="s">
        <v>5264</v>
      </c>
      <c r="E1769" t="s">
        <v>5055</v>
      </c>
      <c r="F1769" t="s">
        <v>5077</v>
      </c>
      <c r="G1769" t="s">
        <v>5099</v>
      </c>
      <c r="H1769" t="s">
        <v>756</v>
      </c>
      <c r="J1769" t="s">
        <v>2364</v>
      </c>
      <c r="K1769">
        <v>194.8</v>
      </c>
    </row>
    <row r="1770" spans="1:11" x14ac:dyDescent="0.35">
      <c r="A1770" t="s">
        <v>2367</v>
      </c>
      <c r="B1770" s="1">
        <v>0</v>
      </c>
      <c r="C1770" t="s">
        <v>1483</v>
      </c>
      <c r="D1770" t="s">
        <v>5280</v>
      </c>
      <c r="E1770" t="s">
        <v>5176</v>
      </c>
      <c r="F1770" t="s">
        <v>5089</v>
      </c>
      <c r="G1770" t="s">
        <v>5082</v>
      </c>
      <c r="H1770" t="s">
        <v>4052</v>
      </c>
      <c r="J1770" t="s">
        <v>2367</v>
      </c>
      <c r="K1770">
        <v>211.1</v>
      </c>
    </row>
    <row r="1771" spans="1:11" x14ac:dyDescent="0.35">
      <c r="A1771" t="s">
        <v>2368</v>
      </c>
      <c r="B1771" s="1">
        <v>0</v>
      </c>
      <c r="C1771" t="s">
        <v>4647</v>
      </c>
      <c r="D1771" t="s">
        <v>5582</v>
      </c>
      <c r="E1771" t="s">
        <v>5182</v>
      </c>
      <c r="F1771" t="s">
        <v>5089</v>
      </c>
      <c r="G1771" t="s">
        <v>5077</v>
      </c>
      <c r="H1771" t="s">
        <v>1247</v>
      </c>
      <c r="J1771" t="s">
        <v>2368</v>
      </c>
      <c r="K1771">
        <v>232.7</v>
      </c>
    </row>
    <row r="1772" spans="1:11" x14ac:dyDescent="0.35">
      <c r="A1772" t="s">
        <v>2370</v>
      </c>
      <c r="B1772" s="1">
        <v>0</v>
      </c>
      <c r="C1772" t="s">
        <v>2564</v>
      </c>
      <c r="D1772" t="s">
        <v>5616</v>
      </c>
      <c r="E1772" t="s">
        <v>5453</v>
      </c>
      <c r="F1772" t="s">
        <v>5089</v>
      </c>
      <c r="G1772" t="s">
        <v>5358</v>
      </c>
      <c r="H1772" t="s">
        <v>3581</v>
      </c>
      <c r="J1772" t="s">
        <v>2370</v>
      </c>
      <c r="K1772">
        <v>248.4</v>
      </c>
    </row>
    <row r="1773" spans="1:11" x14ac:dyDescent="0.35">
      <c r="A1773" t="s">
        <v>2373</v>
      </c>
      <c r="B1773" s="1">
        <v>0</v>
      </c>
      <c r="C1773" t="s">
        <v>4609</v>
      </c>
      <c r="D1773" t="s">
        <v>5504</v>
      </c>
      <c r="E1773" t="s">
        <v>5253</v>
      </c>
      <c r="F1773" t="s">
        <v>5089</v>
      </c>
      <c r="G1773" t="s">
        <v>5132</v>
      </c>
      <c r="H1773" t="s">
        <v>5777</v>
      </c>
      <c r="J1773" t="s">
        <v>2373</v>
      </c>
      <c r="K1773">
        <v>251.5</v>
      </c>
    </row>
    <row r="1774" spans="1:11" x14ac:dyDescent="0.35">
      <c r="A1774" t="s">
        <v>2376</v>
      </c>
      <c r="B1774" s="1">
        <v>0</v>
      </c>
      <c r="C1774" t="s">
        <v>4902</v>
      </c>
      <c r="D1774" t="s">
        <v>5214</v>
      </c>
      <c r="E1774" t="s">
        <v>5067</v>
      </c>
      <c r="F1774" t="s">
        <v>5089</v>
      </c>
      <c r="G1774" t="s">
        <v>5089</v>
      </c>
      <c r="H1774" t="s">
        <v>2014</v>
      </c>
      <c r="J1774" t="s">
        <v>2376</v>
      </c>
      <c r="K1774">
        <v>240</v>
      </c>
    </row>
    <row r="1775" spans="1:11" x14ac:dyDescent="0.35">
      <c r="A1775" t="s">
        <v>2377</v>
      </c>
      <c r="B1775" s="1">
        <v>0</v>
      </c>
      <c r="C1775" t="s">
        <v>2607</v>
      </c>
      <c r="D1775" t="s">
        <v>5542</v>
      </c>
      <c r="E1775" t="s">
        <v>5272</v>
      </c>
      <c r="F1775" t="s">
        <v>5089</v>
      </c>
      <c r="G1775" t="s">
        <v>5110</v>
      </c>
      <c r="H1775" t="s">
        <v>741</v>
      </c>
      <c r="J1775" t="s">
        <v>2377</v>
      </c>
      <c r="K1775">
        <v>226.1</v>
      </c>
    </row>
    <row r="1776" spans="1:11" x14ac:dyDescent="0.35">
      <c r="A1776" t="s">
        <v>2379</v>
      </c>
      <c r="B1776" s="1">
        <v>0</v>
      </c>
      <c r="C1776" t="s">
        <v>338</v>
      </c>
      <c r="D1776" t="s">
        <v>5482</v>
      </c>
      <c r="E1776" t="s">
        <v>5249</v>
      </c>
      <c r="F1776" t="s">
        <v>5089</v>
      </c>
      <c r="G1776" t="s">
        <v>5082</v>
      </c>
      <c r="H1776" t="s">
        <v>616</v>
      </c>
      <c r="J1776" t="s">
        <v>2379</v>
      </c>
      <c r="K1776">
        <v>218.7</v>
      </c>
    </row>
    <row r="1777" spans="1:11" x14ac:dyDescent="0.35">
      <c r="A1777" t="s">
        <v>2381</v>
      </c>
      <c r="B1777" s="1">
        <v>0</v>
      </c>
      <c r="C1777" t="s">
        <v>982</v>
      </c>
      <c r="D1777" t="s">
        <v>5582</v>
      </c>
      <c r="E1777" t="s">
        <v>5102</v>
      </c>
      <c r="F1777" t="s">
        <v>5089</v>
      </c>
      <c r="G1777" t="s">
        <v>5095</v>
      </c>
      <c r="H1777" t="s">
        <v>2039</v>
      </c>
      <c r="J1777" t="s">
        <v>2381</v>
      </c>
      <c r="K1777">
        <v>219.2</v>
      </c>
    </row>
    <row r="1778" spans="1:11" x14ac:dyDescent="0.35">
      <c r="A1778" t="s">
        <v>2382</v>
      </c>
      <c r="B1778" s="1">
        <v>0</v>
      </c>
      <c r="C1778" t="s">
        <v>339</v>
      </c>
      <c r="D1778" t="s">
        <v>5613</v>
      </c>
      <c r="E1778" t="s">
        <v>5069</v>
      </c>
      <c r="F1778" t="s">
        <v>5089</v>
      </c>
      <c r="G1778" t="s">
        <v>5082</v>
      </c>
      <c r="H1778" t="s">
        <v>2031</v>
      </c>
      <c r="J1778" t="s">
        <v>2382</v>
      </c>
      <c r="K1778">
        <v>228.2</v>
      </c>
    </row>
    <row r="1779" spans="1:11" x14ac:dyDescent="0.35">
      <c r="A1779" t="s">
        <v>2385</v>
      </c>
      <c r="B1779" s="1">
        <v>0</v>
      </c>
      <c r="C1779" t="s">
        <v>5638</v>
      </c>
      <c r="D1779" t="s">
        <v>5632</v>
      </c>
      <c r="E1779" t="s">
        <v>5085</v>
      </c>
      <c r="F1779" t="s">
        <v>5089</v>
      </c>
      <c r="G1779" t="s">
        <v>5110</v>
      </c>
      <c r="H1779" t="s">
        <v>1244</v>
      </c>
      <c r="J1779" t="s">
        <v>2385</v>
      </c>
      <c r="K1779">
        <v>239.1</v>
      </c>
    </row>
    <row r="1780" spans="1:11" x14ac:dyDescent="0.35">
      <c r="A1780" t="s">
        <v>2387</v>
      </c>
      <c r="B1780" s="1">
        <v>0</v>
      </c>
      <c r="C1780" t="s">
        <v>5569</v>
      </c>
      <c r="D1780" t="s">
        <v>5639</v>
      </c>
      <c r="E1780" t="s">
        <v>5247</v>
      </c>
      <c r="F1780" t="s">
        <v>5089</v>
      </c>
      <c r="G1780" t="s">
        <v>5092</v>
      </c>
      <c r="H1780" t="s">
        <v>3321</v>
      </c>
      <c r="J1780" t="s">
        <v>2387</v>
      </c>
      <c r="K1780">
        <v>248.5</v>
      </c>
    </row>
    <row r="1781" spans="1:11" x14ac:dyDescent="0.35">
      <c r="A1781" t="s">
        <v>2388</v>
      </c>
      <c r="B1781" s="1">
        <v>0</v>
      </c>
      <c r="C1781" t="s">
        <v>1922</v>
      </c>
      <c r="D1781" t="s">
        <v>377</v>
      </c>
      <c r="E1781" t="s">
        <v>5200</v>
      </c>
      <c r="F1781" t="s">
        <v>5089</v>
      </c>
      <c r="G1781" t="s">
        <v>5077</v>
      </c>
      <c r="H1781" t="s">
        <v>5778</v>
      </c>
      <c r="J1781" t="s">
        <v>2388</v>
      </c>
      <c r="K1781">
        <v>259.60000000000002</v>
      </c>
    </row>
    <row r="1782" spans="1:11" x14ac:dyDescent="0.35">
      <c r="A1782" t="s">
        <v>2389</v>
      </c>
      <c r="B1782" s="1">
        <v>0</v>
      </c>
      <c r="C1782" t="s">
        <v>2290</v>
      </c>
      <c r="D1782" t="s">
        <v>5636</v>
      </c>
      <c r="E1782" t="s">
        <v>5456</v>
      </c>
      <c r="F1782" t="s">
        <v>5089</v>
      </c>
      <c r="G1782" t="s">
        <v>5077</v>
      </c>
      <c r="H1782" t="s">
        <v>5698</v>
      </c>
      <c r="J1782" t="s">
        <v>2389</v>
      </c>
      <c r="K1782">
        <v>263.60000000000002</v>
      </c>
    </row>
    <row r="1783" spans="1:11" x14ac:dyDescent="0.35">
      <c r="A1783" t="s">
        <v>2390</v>
      </c>
      <c r="B1783" s="1">
        <v>0</v>
      </c>
      <c r="C1783" t="s">
        <v>483</v>
      </c>
      <c r="D1783" t="s">
        <v>5631</v>
      </c>
      <c r="E1783" t="s">
        <v>5111</v>
      </c>
      <c r="F1783" t="s">
        <v>5089</v>
      </c>
      <c r="G1783" t="s">
        <v>5116</v>
      </c>
      <c r="H1783" t="s">
        <v>5779</v>
      </c>
      <c r="J1783" t="s">
        <v>2390</v>
      </c>
      <c r="K1783">
        <v>254.6</v>
      </c>
    </row>
    <row r="1784" spans="1:11" x14ac:dyDescent="0.35">
      <c r="A1784" t="s">
        <v>2391</v>
      </c>
      <c r="B1784" s="1">
        <v>0</v>
      </c>
      <c r="C1784" t="s">
        <v>3219</v>
      </c>
      <c r="D1784" t="s">
        <v>5516</v>
      </c>
      <c r="E1784" t="s">
        <v>5100</v>
      </c>
      <c r="F1784" t="s">
        <v>5089</v>
      </c>
      <c r="G1784" t="s">
        <v>5124</v>
      </c>
      <c r="H1784" t="s">
        <v>5731</v>
      </c>
      <c r="J1784" t="s">
        <v>2391</v>
      </c>
      <c r="K1784">
        <v>241.5</v>
      </c>
    </row>
    <row r="1785" spans="1:11" x14ac:dyDescent="0.35">
      <c r="A1785" t="s">
        <v>2393</v>
      </c>
      <c r="B1785" s="1">
        <v>0</v>
      </c>
      <c r="C1785" t="s">
        <v>474</v>
      </c>
      <c r="D1785" t="s">
        <v>5616</v>
      </c>
      <c r="E1785" t="s">
        <v>5067</v>
      </c>
      <c r="F1785" t="s">
        <v>5089</v>
      </c>
      <c r="G1785" t="s">
        <v>5099</v>
      </c>
      <c r="H1785" t="s">
        <v>207</v>
      </c>
      <c r="J1785" t="s">
        <v>2393</v>
      </c>
      <c r="K1785">
        <v>230.4</v>
      </c>
    </row>
    <row r="1786" spans="1:11" x14ac:dyDescent="0.35">
      <c r="A1786" t="s">
        <v>2394</v>
      </c>
      <c r="B1786" s="1">
        <v>0</v>
      </c>
      <c r="C1786" t="s">
        <v>1536</v>
      </c>
      <c r="D1786" t="s">
        <v>5084</v>
      </c>
      <c r="E1786" t="s">
        <v>5304</v>
      </c>
      <c r="F1786" t="s">
        <v>5089</v>
      </c>
      <c r="G1786" t="s">
        <v>5095</v>
      </c>
      <c r="H1786" t="s">
        <v>3640</v>
      </c>
      <c r="J1786" t="s">
        <v>2394</v>
      </c>
      <c r="K1786">
        <v>223.7</v>
      </c>
    </row>
    <row r="1787" spans="1:11" x14ac:dyDescent="0.35">
      <c r="A1787" t="s">
        <v>2396</v>
      </c>
      <c r="B1787" s="1">
        <v>0</v>
      </c>
      <c r="C1787" t="s">
        <v>982</v>
      </c>
      <c r="D1787" t="s">
        <v>5625</v>
      </c>
      <c r="E1787" t="s">
        <v>5197</v>
      </c>
      <c r="F1787" t="s">
        <v>5089</v>
      </c>
      <c r="G1787" t="s">
        <v>5116</v>
      </c>
      <c r="H1787" t="s">
        <v>3947</v>
      </c>
      <c r="J1787" t="s">
        <v>2396</v>
      </c>
      <c r="K1787">
        <v>214.9</v>
      </c>
    </row>
    <row r="1788" spans="1:11" x14ac:dyDescent="0.35">
      <c r="A1788" t="s">
        <v>2397</v>
      </c>
      <c r="B1788" s="1">
        <v>0</v>
      </c>
      <c r="C1788" t="s">
        <v>1528</v>
      </c>
      <c r="D1788" t="s">
        <v>5579</v>
      </c>
      <c r="E1788" t="s">
        <v>5204</v>
      </c>
      <c r="F1788" t="s">
        <v>5089</v>
      </c>
      <c r="G1788" t="s">
        <v>5082</v>
      </c>
      <c r="H1788" t="s">
        <v>2147</v>
      </c>
      <c r="J1788" t="s">
        <v>2397</v>
      </c>
      <c r="K1788">
        <v>205.3</v>
      </c>
    </row>
    <row r="1789" spans="1:11" x14ac:dyDescent="0.35">
      <c r="A1789" t="s">
        <v>2399</v>
      </c>
      <c r="B1789" s="1">
        <v>0</v>
      </c>
      <c r="C1789" t="s">
        <v>440</v>
      </c>
      <c r="D1789" t="s">
        <v>5392</v>
      </c>
      <c r="E1789" t="s">
        <v>5323</v>
      </c>
      <c r="F1789" t="s">
        <v>5089</v>
      </c>
      <c r="G1789" t="s">
        <v>5095</v>
      </c>
      <c r="H1789" t="s">
        <v>754</v>
      </c>
      <c r="J1789" t="s">
        <v>2399</v>
      </c>
      <c r="K1789">
        <v>203.4</v>
      </c>
    </row>
    <row r="1790" spans="1:11" x14ac:dyDescent="0.35">
      <c r="A1790" t="s">
        <v>2400</v>
      </c>
      <c r="B1790" s="1">
        <v>0</v>
      </c>
      <c r="C1790" t="s">
        <v>1533</v>
      </c>
      <c r="D1790" t="s">
        <v>5452</v>
      </c>
      <c r="E1790" t="s">
        <v>5068</v>
      </c>
      <c r="F1790" t="s">
        <v>5089</v>
      </c>
      <c r="G1790" t="s">
        <v>5124</v>
      </c>
      <c r="H1790" t="s">
        <v>1316</v>
      </c>
      <c r="J1790" t="s">
        <v>2400</v>
      </c>
      <c r="K1790">
        <v>206.8</v>
      </c>
    </row>
    <row r="1791" spans="1:11" x14ac:dyDescent="0.35">
      <c r="A1791" t="s">
        <v>2402</v>
      </c>
      <c r="B1791" s="1">
        <v>0</v>
      </c>
      <c r="C1791" t="s">
        <v>1527</v>
      </c>
      <c r="D1791" t="s">
        <v>5577</v>
      </c>
      <c r="E1791" t="s">
        <v>5306</v>
      </c>
      <c r="F1791" t="s">
        <v>5089</v>
      </c>
      <c r="G1791" t="s">
        <v>5095</v>
      </c>
      <c r="H1791" t="s">
        <v>2726</v>
      </c>
      <c r="J1791" t="s">
        <v>2402</v>
      </c>
      <c r="K1791">
        <v>211.4</v>
      </c>
    </row>
    <row r="1792" spans="1:11" x14ac:dyDescent="0.35">
      <c r="A1792" t="s">
        <v>2403</v>
      </c>
      <c r="B1792" s="1">
        <v>0</v>
      </c>
      <c r="C1792" t="s">
        <v>1484</v>
      </c>
      <c r="D1792" t="s">
        <v>5104</v>
      </c>
      <c r="E1792" t="s">
        <v>5306</v>
      </c>
      <c r="F1792" t="s">
        <v>5089</v>
      </c>
      <c r="G1792" t="s">
        <v>5110</v>
      </c>
      <c r="H1792" t="s">
        <v>3875</v>
      </c>
      <c r="J1792" t="s">
        <v>2403</v>
      </c>
      <c r="K1792">
        <v>215.3</v>
      </c>
    </row>
    <row r="1793" spans="1:11" x14ac:dyDescent="0.35">
      <c r="A1793" t="s">
        <v>2406</v>
      </c>
      <c r="B1793" s="1">
        <v>0</v>
      </c>
      <c r="C1793" t="s">
        <v>1482</v>
      </c>
      <c r="D1793" t="s">
        <v>5104</v>
      </c>
      <c r="E1793" t="s">
        <v>5210</v>
      </c>
      <c r="F1793" t="s">
        <v>5089</v>
      </c>
      <c r="G1793" t="s">
        <v>5092</v>
      </c>
      <c r="H1793" t="s">
        <v>2425</v>
      </c>
      <c r="J1793" t="s">
        <v>2406</v>
      </c>
      <c r="K1793">
        <v>219.3</v>
      </c>
    </row>
    <row r="1794" spans="1:11" x14ac:dyDescent="0.35">
      <c r="A1794" t="s">
        <v>2408</v>
      </c>
      <c r="B1794" s="1">
        <v>0</v>
      </c>
      <c r="C1794" t="s">
        <v>338</v>
      </c>
      <c r="D1794" t="s">
        <v>5122</v>
      </c>
      <c r="E1794" t="s">
        <v>5071</v>
      </c>
      <c r="F1794" t="s">
        <v>5089</v>
      </c>
      <c r="G1794" t="s">
        <v>5116</v>
      </c>
      <c r="H1794" t="s">
        <v>3012</v>
      </c>
      <c r="J1794" t="s">
        <v>2408</v>
      </c>
      <c r="K1794">
        <v>216.5</v>
      </c>
    </row>
    <row r="1795" spans="1:11" x14ac:dyDescent="0.35">
      <c r="A1795" t="s">
        <v>2409</v>
      </c>
      <c r="B1795" s="1">
        <v>0</v>
      </c>
      <c r="C1795" t="s">
        <v>1917</v>
      </c>
      <c r="D1795" t="s">
        <v>5558</v>
      </c>
      <c r="E1795" t="s">
        <v>5236</v>
      </c>
      <c r="F1795" t="s">
        <v>5077</v>
      </c>
      <c r="G1795" t="s">
        <v>5124</v>
      </c>
      <c r="H1795" t="s">
        <v>1700</v>
      </c>
      <c r="J1795" t="s">
        <v>2409</v>
      </c>
      <c r="K1795">
        <v>212.4</v>
      </c>
    </row>
    <row r="1796" spans="1:11" x14ac:dyDescent="0.35">
      <c r="A1796" t="s">
        <v>2410</v>
      </c>
      <c r="B1796" s="1">
        <v>0</v>
      </c>
      <c r="C1796" t="s">
        <v>1916</v>
      </c>
      <c r="D1796" t="s">
        <v>5117</v>
      </c>
      <c r="E1796" t="s">
        <v>5434</v>
      </c>
      <c r="F1796" t="s">
        <v>5077</v>
      </c>
      <c r="G1796" t="s">
        <v>5099</v>
      </c>
      <c r="H1796" t="s">
        <v>1302</v>
      </c>
      <c r="J1796" t="s">
        <v>2410</v>
      </c>
      <c r="K1796">
        <v>210.2</v>
      </c>
    </row>
    <row r="1797" spans="1:11" x14ac:dyDescent="0.35">
      <c r="A1797" t="s">
        <v>2412</v>
      </c>
      <c r="B1797" s="1">
        <v>0</v>
      </c>
      <c r="C1797" t="s">
        <v>367</v>
      </c>
      <c r="D1797" t="s">
        <v>5258</v>
      </c>
      <c r="E1797" t="s">
        <v>5255</v>
      </c>
      <c r="F1797" t="s">
        <v>5089</v>
      </c>
      <c r="G1797" t="s">
        <v>5099</v>
      </c>
      <c r="H1797" t="s">
        <v>234</v>
      </c>
      <c r="J1797" t="s">
        <v>2412</v>
      </c>
      <c r="K1797">
        <v>210.5</v>
      </c>
    </row>
    <row r="1798" spans="1:11" x14ac:dyDescent="0.35">
      <c r="A1798" t="s">
        <v>2413</v>
      </c>
      <c r="B1798" s="1">
        <v>0</v>
      </c>
      <c r="C1798" t="s">
        <v>1061</v>
      </c>
      <c r="D1798" t="s">
        <v>5392</v>
      </c>
      <c r="E1798" t="s">
        <v>5066</v>
      </c>
      <c r="F1798" t="s">
        <v>5338</v>
      </c>
      <c r="G1798" t="s">
        <v>5136</v>
      </c>
      <c r="H1798" t="s">
        <v>1840</v>
      </c>
      <c r="J1798" t="s">
        <v>2413</v>
      </c>
      <c r="K1798">
        <v>220.5</v>
      </c>
    </row>
    <row r="1799" spans="1:11" x14ac:dyDescent="0.35">
      <c r="A1799" t="s">
        <v>2414</v>
      </c>
      <c r="B1799" s="1">
        <v>0</v>
      </c>
      <c r="C1799" t="s">
        <v>1865</v>
      </c>
      <c r="D1799" t="s">
        <v>5494</v>
      </c>
      <c r="E1799" t="s">
        <v>5098</v>
      </c>
      <c r="F1799" t="s">
        <v>5338</v>
      </c>
      <c r="G1799" t="s">
        <v>5355</v>
      </c>
      <c r="H1799" t="s">
        <v>5664</v>
      </c>
      <c r="J1799" t="s">
        <v>2414</v>
      </c>
      <c r="K1799">
        <v>224.9</v>
      </c>
    </row>
    <row r="1800" spans="1:11" x14ac:dyDescent="0.35">
      <c r="A1800" t="s">
        <v>2415</v>
      </c>
      <c r="B1800" s="1">
        <v>0</v>
      </c>
      <c r="C1800" t="s">
        <v>2276</v>
      </c>
      <c r="D1800" t="s">
        <v>5122</v>
      </c>
      <c r="E1800" t="s">
        <v>5257</v>
      </c>
      <c r="F1800" t="s">
        <v>5338</v>
      </c>
      <c r="G1800" t="s">
        <v>5332</v>
      </c>
      <c r="H1800" t="s">
        <v>2468</v>
      </c>
      <c r="J1800" t="s">
        <v>2415</v>
      </c>
      <c r="K1800">
        <v>231.1</v>
      </c>
    </row>
    <row r="1801" spans="1:11" x14ac:dyDescent="0.35">
      <c r="A1801" t="s">
        <v>2417</v>
      </c>
      <c r="B1801" s="1">
        <v>0</v>
      </c>
      <c r="C1801" t="s">
        <v>2607</v>
      </c>
      <c r="D1801" t="s">
        <v>5482</v>
      </c>
      <c r="E1801" t="s">
        <v>5069</v>
      </c>
      <c r="F1801" t="s">
        <v>5338</v>
      </c>
      <c r="G1801" t="s">
        <v>5493</v>
      </c>
      <c r="H1801" t="s">
        <v>4763</v>
      </c>
      <c r="J1801" t="s">
        <v>2417</v>
      </c>
      <c r="K1801">
        <v>228</v>
      </c>
    </row>
    <row r="1802" spans="1:11" x14ac:dyDescent="0.35">
      <c r="A1802" t="s">
        <v>2418</v>
      </c>
      <c r="B1802" s="1">
        <v>0</v>
      </c>
      <c r="C1802" t="s">
        <v>323</v>
      </c>
      <c r="D1802" t="s">
        <v>5577</v>
      </c>
      <c r="E1802" t="s">
        <v>5123</v>
      </c>
      <c r="F1802" t="s">
        <v>5338</v>
      </c>
      <c r="G1802" t="s">
        <v>5356</v>
      </c>
      <c r="H1802" t="s">
        <v>942</v>
      </c>
      <c r="J1802" t="s">
        <v>2418</v>
      </c>
      <c r="K1802">
        <v>222.5</v>
      </c>
    </row>
    <row r="1803" spans="1:11" x14ac:dyDescent="0.35">
      <c r="A1803" t="s">
        <v>2419</v>
      </c>
      <c r="B1803" s="1">
        <v>0</v>
      </c>
      <c r="C1803" t="s">
        <v>2565</v>
      </c>
      <c r="D1803" t="s">
        <v>5518</v>
      </c>
      <c r="E1803" t="s">
        <v>5239</v>
      </c>
      <c r="F1803" t="s">
        <v>5338</v>
      </c>
      <c r="G1803" t="s">
        <v>5356</v>
      </c>
      <c r="H1803" t="s">
        <v>5660</v>
      </c>
      <c r="J1803" t="s">
        <v>2419</v>
      </c>
      <c r="K1803">
        <v>217.5</v>
      </c>
    </row>
    <row r="1804" spans="1:11" x14ac:dyDescent="0.35">
      <c r="A1804" t="s">
        <v>2420</v>
      </c>
      <c r="B1804" s="1">
        <v>0</v>
      </c>
      <c r="C1804" t="s">
        <v>466</v>
      </c>
      <c r="D1804" t="s">
        <v>5595</v>
      </c>
      <c r="E1804" t="s">
        <v>5255</v>
      </c>
      <c r="F1804" t="s">
        <v>5152</v>
      </c>
      <c r="G1804" t="s">
        <v>5132</v>
      </c>
      <c r="H1804" t="s">
        <v>238</v>
      </c>
      <c r="J1804" t="s">
        <v>2420</v>
      </c>
      <c r="K1804">
        <v>208.8</v>
      </c>
    </row>
    <row r="1805" spans="1:11" x14ac:dyDescent="0.35">
      <c r="A1805" t="s">
        <v>2421</v>
      </c>
      <c r="B1805" s="1">
        <v>0</v>
      </c>
      <c r="C1805" t="s">
        <v>440</v>
      </c>
      <c r="D1805" t="s">
        <v>5528</v>
      </c>
      <c r="E1805" t="s">
        <v>5428</v>
      </c>
      <c r="F1805" t="s">
        <v>5152</v>
      </c>
      <c r="G1805" t="s">
        <v>5089</v>
      </c>
      <c r="H1805" t="s">
        <v>2340</v>
      </c>
      <c r="J1805" t="s">
        <v>2421</v>
      </c>
      <c r="K1805">
        <v>202.1</v>
      </c>
    </row>
    <row r="1806" spans="1:11" x14ac:dyDescent="0.35">
      <c r="A1806" t="s">
        <v>2422</v>
      </c>
      <c r="B1806" s="1">
        <v>0</v>
      </c>
      <c r="C1806" t="s">
        <v>1524</v>
      </c>
      <c r="D1806" t="s">
        <v>5454</v>
      </c>
      <c r="E1806" t="s">
        <v>5176</v>
      </c>
      <c r="F1806" t="s">
        <v>5152</v>
      </c>
      <c r="G1806" t="s">
        <v>5089</v>
      </c>
      <c r="H1806" t="s">
        <v>3134</v>
      </c>
      <c r="J1806" t="s">
        <v>2422</v>
      </c>
      <c r="K1806">
        <v>204.4</v>
      </c>
    </row>
    <row r="1807" spans="1:11" x14ac:dyDescent="0.35">
      <c r="A1807" t="s">
        <v>2423</v>
      </c>
      <c r="B1807" s="1">
        <v>0</v>
      </c>
      <c r="C1807" t="s">
        <v>478</v>
      </c>
      <c r="D1807" t="s">
        <v>5393</v>
      </c>
      <c r="E1807" t="s">
        <v>5071</v>
      </c>
      <c r="F1807" t="s">
        <v>5152</v>
      </c>
      <c r="G1807" t="s">
        <v>5356</v>
      </c>
      <c r="H1807" t="s">
        <v>5028</v>
      </c>
      <c r="J1807" t="s">
        <v>2423</v>
      </c>
      <c r="K1807">
        <v>215.7</v>
      </c>
    </row>
    <row r="1808" spans="1:11" x14ac:dyDescent="0.35">
      <c r="A1808" t="s">
        <v>2424</v>
      </c>
      <c r="B1808" s="1">
        <v>0</v>
      </c>
      <c r="C1808" t="s">
        <v>324</v>
      </c>
      <c r="D1808" t="s">
        <v>5512</v>
      </c>
      <c r="E1808" t="s">
        <v>5162</v>
      </c>
      <c r="F1808" t="s">
        <v>5338</v>
      </c>
      <c r="G1808" t="s">
        <v>5332</v>
      </c>
      <c r="H1808" t="s">
        <v>2827</v>
      </c>
      <c r="J1808" t="s">
        <v>2424</v>
      </c>
      <c r="K1808">
        <v>225.8</v>
      </c>
    </row>
    <row r="1809" spans="1:11" x14ac:dyDescent="0.35">
      <c r="A1809" t="s">
        <v>2426</v>
      </c>
      <c r="B1809" s="1">
        <v>0</v>
      </c>
      <c r="C1809" t="s">
        <v>358</v>
      </c>
      <c r="D1809" t="s">
        <v>5278</v>
      </c>
      <c r="E1809" t="s">
        <v>5165</v>
      </c>
      <c r="F1809" t="s">
        <v>5338</v>
      </c>
      <c r="G1809" t="s">
        <v>5333</v>
      </c>
      <c r="H1809" t="s">
        <v>3745</v>
      </c>
      <c r="J1809" t="s">
        <v>2426</v>
      </c>
      <c r="K1809">
        <v>227.9</v>
      </c>
    </row>
    <row r="1810" spans="1:11" x14ac:dyDescent="0.35">
      <c r="A1810" t="s">
        <v>2427</v>
      </c>
      <c r="B1810" s="1">
        <v>0</v>
      </c>
      <c r="C1810" t="s">
        <v>346</v>
      </c>
      <c r="D1810" t="s">
        <v>5091</v>
      </c>
      <c r="E1810" t="s">
        <v>5162</v>
      </c>
      <c r="F1810" t="s">
        <v>5152</v>
      </c>
      <c r="G1810" t="s">
        <v>5355</v>
      </c>
      <c r="H1810" t="s">
        <v>228</v>
      </c>
      <c r="J1810" t="s">
        <v>2427</v>
      </c>
      <c r="K1810">
        <v>218.1</v>
      </c>
    </row>
    <row r="1811" spans="1:11" x14ac:dyDescent="0.35">
      <c r="A1811" t="s">
        <v>2428</v>
      </c>
      <c r="B1811" s="1">
        <v>0</v>
      </c>
      <c r="C1811" t="s">
        <v>4641</v>
      </c>
      <c r="D1811" t="s">
        <v>5209</v>
      </c>
      <c r="E1811" t="s">
        <v>5059</v>
      </c>
      <c r="F1811" t="s">
        <v>5152</v>
      </c>
      <c r="G1811" t="s">
        <v>5089</v>
      </c>
      <c r="H1811" t="s">
        <v>3136</v>
      </c>
      <c r="J1811" t="s">
        <v>2428</v>
      </c>
      <c r="K1811">
        <v>202.6</v>
      </c>
    </row>
    <row r="1812" spans="1:11" x14ac:dyDescent="0.35">
      <c r="A1812" t="s">
        <v>2429</v>
      </c>
      <c r="B1812" s="1">
        <v>0</v>
      </c>
      <c r="C1812" t="s">
        <v>5650</v>
      </c>
      <c r="D1812" t="s">
        <v>5129</v>
      </c>
      <c r="E1812" t="s">
        <v>5237</v>
      </c>
      <c r="F1812" t="s">
        <v>5152</v>
      </c>
      <c r="G1812" t="s">
        <v>5082</v>
      </c>
      <c r="H1812" t="s">
        <v>607</v>
      </c>
      <c r="J1812" t="s">
        <v>2429</v>
      </c>
      <c r="K1812">
        <v>189.5</v>
      </c>
    </row>
    <row r="1813" spans="1:11" x14ac:dyDescent="0.35">
      <c r="A1813" t="s">
        <v>2430</v>
      </c>
      <c r="B1813" s="1">
        <v>0</v>
      </c>
      <c r="C1813" t="s">
        <v>5231</v>
      </c>
      <c r="D1813" t="s">
        <v>5443</v>
      </c>
      <c r="E1813" t="s">
        <v>5202</v>
      </c>
      <c r="F1813" t="s">
        <v>5152</v>
      </c>
      <c r="G1813" t="s">
        <v>5215</v>
      </c>
      <c r="H1813" t="s">
        <v>3088</v>
      </c>
      <c r="J1813" t="s">
        <v>2430</v>
      </c>
      <c r="K1813">
        <v>178.7</v>
      </c>
    </row>
    <row r="1814" spans="1:11" x14ac:dyDescent="0.35">
      <c r="A1814" t="s">
        <v>2432</v>
      </c>
      <c r="B1814" s="1">
        <v>0</v>
      </c>
      <c r="C1814" t="s">
        <v>5553</v>
      </c>
      <c r="D1814" t="s">
        <v>5458</v>
      </c>
      <c r="E1814" t="s">
        <v>5169</v>
      </c>
      <c r="F1814" t="s">
        <v>5152</v>
      </c>
      <c r="G1814" t="s">
        <v>5475</v>
      </c>
      <c r="H1814" t="s">
        <v>96</v>
      </c>
      <c r="J1814" t="s">
        <v>2432</v>
      </c>
      <c r="K1814">
        <v>168.6</v>
      </c>
    </row>
    <row r="1815" spans="1:11" x14ac:dyDescent="0.35">
      <c r="A1815" t="s">
        <v>2433</v>
      </c>
      <c r="B1815" s="1">
        <v>0</v>
      </c>
      <c r="C1815" t="s">
        <v>5518</v>
      </c>
      <c r="D1815" t="s">
        <v>5200</v>
      </c>
      <c r="E1815" t="s">
        <v>5328</v>
      </c>
      <c r="F1815" t="s">
        <v>5347</v>
      </c>
      <c r="G1815" t="s">
        <v>5475</v>
      </c>
      <c r="H1815" t="s">
        <v>595</v>
      </c>
      <c r="J1815" t="s">
        <v>2433</v>
      </c>
      <c r="K1815">
        <v>163.9</v>
      </c>
    </row>
    <row r="1816" spans="1:11" x14ac:dyDescent="0.35">
      <c r="A1816" t="s">
        <v>2434</v>
      </c>
      <c r="B1816" s="1">
        <v>0</v>
      </c>
      <c r="C1816" t="s">
        <v>5128</v>
      </c>
      <c r="D1816" t="s">
        <v>5111</v>
      </c>
      <c r="E1816" t="s">
        <v>5328</v>
      </c>
      <c r="F1816" t="s">
        <v>5152</v>
      </c>
      <c r="G1816" t="s">
        <v>5215</v>
      </c>
      <c r="H1816" t="s">
        <v>1168</v>
      </c>
      <c r="J1816" t="s">
        <v>2434</v>
      </c>
      <c r="K1816">
        <v>171.4</v>
      </c>
    </row>
    <row r="1817" spans="1:11" x14ac:dyDescent="0.35">
      <c r="A1817" t="s">
        <v>2435</v>
      </c>
      <c r="B1817" s="1">
        <v>0</v>
      </c>
      <c r="C1817" t="s">
        <v>1488</v>
      </c>
      <c r="D1817" t="s">
        <v>5075</v>
      </c>
      <c r="E1817" t="s">
        <v>5310</v>
      </c>
      <c r="F1817" t="s">
        <v>5152</v>
      </c>
      <c r="G1817" t="s">
        <v>5116</v>
      </c>
      <c r="H1817" t="s">
        <v>759</v>
      </c>
      <c r="J1817" t="s">
        <v>2435</v>
      </c>
      <c r="K1817">
        <v>188.2</v>
      </c>
    </row>
    <row r="1818" spans="1:11" x14ac:dyDescent="0.35">
      <c r="A1818" t="s">
        <v>2436</v>
      </c>
      <c r="B1818" s="1">
        <v>0</v>
      </c>
      <c r="C1818" t="s">
        <v>450</v>
      </c>
      <c r="D1818" t="s">
        <v>5436</v>
      </c>
      <c r="E1818" t="s">
        <v>5173</v>
      </c>
      <c r="F1818" t="s">
        <v>5152</v>
      </c>
      <c r="G1818" t="s">
        <v>5092</v>
      </c>
      <c r="H1818" t="s">
        <v>2340</v>
      </c>
      <c r="J1818" t="s">
        <v>2436</v>
      </c>
      <c r="K1818">
        <v>202.1</v>
      </c>
    </row>
    <row r="1819" spans="1:11" x14ac:dyDescent="0.35">
      <c r="A1819" t="s">
        <v>2437</v>
      </c>
      <c r="B1819" s="1">
        <v>0</v>
      </c>
      <c r="C1819" t="s">
        <v>467</v>
      </c>
      <c r="D1819" t="s">
        <v>5533</v>
      </c>
      <c r="E1819" t="s">
        <v>5160</v>
      </c>
      <c r="F1819" t="s">
        <v>5152</v>
      </c>
      <c r="G1819" t="s">
        <v>5077</v>
      </c>
      <c r="H1819" t="s">
        <v>656</v>
      </c>
      <c r="J1819" t="s">
        <v>2437</v>
      </c>
      <c r="K1819">
        <v>207.3</v>
      </c>
    </row>
    <row r="1820" spans="1:11" x14ac:dyDescent="0.35">
      <c r="A1820" t="s">
        <v>2438</v>
      </c>
      <c r="B1820" s="1">
        <v>0</v>
      </c>
      <c r="C1820" t="s">
        <v>345</v>
      </c>
      <c r="D1820" t="s">
        <v>5146</v>
      </c>
      <c r="E1820" t="s">
        <v>5219</v>
      </c>
      <c r="F1820" t="s">
        <v>5152</v>
      </c>
      <c r="G1820" t="s">
        <v>5132</v>
      </c>
      <c r="H1820" t="s">
        <v>217</v>
      </c>
      <c r="J1820" t="s">
        <v>2438</v>
      </c>
      <c r="K1820">
        <v>209.5</v>
      </c>
    </row>
    <row r="1821" spans="1:11" x14ac:dyDescent="0.35">
      <c r="A1821" t="s">
        <v>2439</v>
      </c>
      <c r="B1821" s="1">
        <v>0</v>
      </c>
      <c r="C1821" t="s">
        <v>1050</v>
      </c>
      <c r="D1821" t="s">
        <v>5389</v>
      </c>
      <c r="E1821" t="s">
        <v>5208</v>
      </c>
      <c r="F1821" t="s">
        <v>5152</v>
      </c>
      <c r="G1821" t="s">
        <v>5132</v>
      </c>
      <c r="H1821" t="s">
        <v>2345</v>
      </c>
      <c r="J1821" t="s">
        <v>2439</v>
      </c>
      <c r="K1821">
        <v>214</v>
      </c>
    </row>
    <row r="1822" spans="1:11" x14ac:dyDescent="0.35">
      <c r="A1822" t="s">
        <v>2440</v>
      </c>
      <c r="B1822" s="1">
        <v>0</v>
      </c>
      <c r="C1822" t="s">
        <v>986</v>
      </c>
      <c r="D1822" t="s">
        <v>5244</v>
      </c>
      <c r="E1822" t="s">
        <v>5105</v>
      </c>
      <c r="F1822" t="s">
        <v>5338</v>
      </c>
      <c r="G1822" t="s">
        <v>5356</v>
      </c>
      <c r="H1822" t="s">
        <v>641</v>
      </c>
      <c r="J1822" t="s">
        <v>2440</v>
      </c>
      <c r="K1822">
        <v>227.7</v>
      </c>
    </row>
    <row r="1823" spans="1:11" x14ac:dyDescent="0.35">
      <c r="A1823" t="s">
        <v>2442</v>
      </c>
      <c r="B1823" s="1">
        <v>0</v>
      </c>
      <c r="C1823" t="s">
        <v>2881</v>
      </c>
      <c r="D1823" t="s">
        <v>5506</v>
      </c>
      <c r="E1823" t="s">
        <v>5247</v>
      </c>
      <c r="F1823" t="s">
        <v>5338</v>
      </c>
      <c r="G1823" t="s">
        <v>5356</v>
      </c>
      <c r="H1823" t="s">
        <v>5674</v>
      </c>
      <c r="J1823" t="s">
        <v>2442</v>
      </c>
      <c r="K1823">
        <v>242.9</v>
      </c>
    </row>
    <row r="1824" spans="1:11" x14ac:dyDescent="0.35">
      <c r="A1824" t="s">
        <v>2443</v>
      </c>
      <c r="B1824" s="1">
        <v>0</v>
      </c>
      <c r="C1824" t="s">
        <v>2614</v>
      </c>
      <c r="D1824" t="s">
        <v>5461</v>
      </c>
      <c r="E1824" t="s">
        <v>5458</v>
      </c>
      <c r="F1824" t="s">
        <v>5338</v>
      </c>
      <c r="G1824" t="s">
        <v>5332</v>
      </c>
      <c r="H1824" t="s">
        <v>3362</v>
      </c>
      <c r="J1824" t="s">
        <v>2443</v>
      </c>
      <c r="K1824">
        <v>263.3</v>
      </c>
    </row>
    <row r="1825" spans="1:11" x14ac:dyDescent="0.35">
      <c r="A1825" t="s">
        <v>2444</v>
      </c>
      <c r="B1825" s="1">
        <v>0</v>
      </c>
      <c r="C1825" t="s">
        <v>1118</v>
      </c>
      <c r="D1825" t="s">
        <v>1015</v>
      </c>
      <c r="E1825" t="s">
        <v>5079</v>
      </c>
      <c r="F1825" t="s">
        <v>5338</v>
      </c>
      <c r="G1825" t="s">
        <v>5201</v>
      </c>
      <c r="H1825" t="s">
        <v>5780</v>
      </c>
      <c r="J1825" t="s">
        <v>2444</v>
      </c>
      <c r="K1825">
        <v>285.7</v>
      </c>
    </row>
    <row r="1826" spans="1:11" x14ac:dyDescent="0.35">
      <c r="A1826" t="s">
        <v>2445</v>
      </c>
      <c r="B1826" s="1">
        <v>0</v>
      </c>
      <c r="C1826" t="s">
        <v>1107</v>
      </c>
      <c r="D1826" t="s">
        <v>1043</v>
      </c>
      <c r="E1826" t="s">
        <v>5492</v>
      </c>
      <c r="F1826" t="s">
        <v>5338</v>
      </c>
      <c r="G1826" t="s">
        <v>5152</v>
      </c>
      <c r="H1826" t="s">
        <v>5781</v>
      </c>
      <c r="J1826" t="s">
        <v>2445</v>
      </c>
      <c r="K1826">
        <v>299</v>
      </c>
    </row>
    <row r="1827" spans="1:11" x14ac:dyDescent="0.35">
      <c r="A1827" t="s">
        <v>2448</v>
      </c>
      <c r="B1827" s="1">
        <v>0</v>
      </c>
      <c r="C1827" t="s">
        <v>3556</v>
      </c>
      <c r="D1827" t="s">
        <v>438</v>
      </c>
      <c r="E1827" t="s">
        <v>5206</v>
      </c>
      <c r="F1827" t="s">
        <v>5338</v>
      </c>
      <c r="G1827" t="s">
        <v>5161</v>
      </c>
      <c r="H1827" t="s">
        <v>5782</v>
      </c>
      <c r="J1827" t="s">
        <v>2448</v>
      </c>
      <c r="K1827">
        <v>299.39999999999998</v>
      </c>
    </row>
    <row r="1828" spans="1:11" x14ac:dyDescent="0.35">
      <c r="A1828" t="s">
        <v>2450</v>
      </c>
      <c r="B1828" s="1">
        <v>0</v>
      </c>
      <c r="C1828" t="s">
        <v>1113</v>
      </c>
      <c r="D1828" t="s">
        <v>425</v>
      </c>
      <c r="E1828" t="s">
        <v>5090</v>
      </c>
      <c r="F1828" t="s">
        <v>5338</v>
      </c>
      <c r="G1828" t="s">
        <v>5527</v>
      </c>
      <c r="H1828" t="s">
        <v>3929</v>
      </c>
      <c r="J1828" t="s">
        <v>2450</v>
      </c>
      <c r="K1828">
        <v>291.3</v>
      </c>
    </row>
    <row r="1829" spans="1:11" x14ac:dyDescent="0.35">
      <c r="A1829" t="s">
        <v>2451</v>
      </c>
      <c r="B1829" s="1">
        <v>0</v>
      </c>
      <c r="C1829" t="s">
        <v>962</v>
      </c>
      <c r="D1829" t="s">
        <v>5615</v>
      </c>
      <c r="E1829" t="s">
        <v>5072</v>
      </c>
      <c r="F1829" t="s">
        <v>5089</v>
      </c>
      <c r="G1829" t="s">
        <v>5336</v>
      </c>
      <c r="H1829" t="s">
        <v>5783</v>
      </c>
      <c r="J1829" t="s">
        <v>2451</v>
      </c>
      <c r="K1829">
        <v>268.3</v>
      </c>
    </row>
    <row r="1830" spans="1:11" x14ac:dyDescent="0.35">
      <c r="A1830" t="s">
        <v>2452</v>
      </c>
      <c r="B1830" s="1">
        <v>0</v>
      </c>
      <c r="C1830" t="s">
        <v>2611</v>
      </c>
      <c r="D1830" t="s">
        <v>5242</v>
      </c>
      <c r="E1830" t="s">
        <v>5208</v>
      </c>
      <c r="F1830" t="s">
        <v>5089</v>
      </c>
      <c r="G1830" t="s">
        <v>5331</v>
      </c>
      <c r="H1830" t="s">
        <v>3318</v>
      </c>
      <c r="J1830" t="s">
        <v>2452</v>
      </c>
      <c r="K1830">
        <v>243.1</v>
      </c>
    </row>
    <row r="1831" spans="1:11" x14ac:dyDescent="0.35">
      <c r="A1831" t="s">
        <v>2454</v>
      </c>
      <c r="B1831" s="1">
        <v>0</v>
      </c>
      <c r="C1831" t="s">
        <v>4117</v>
      </c>
      <c r="D1831" t="s">
        <v>5452</v>
      </c>
      <c r="E1831" t="s">
        <v>5255</v>
      </c>
      <c r="F1831" t="s">
        <v>5077</v>
      </c>
      <c r="G1831" t="s">
        <v>5205</v>
      </c>
      <c r="H1831" t="s">
        <v>743</v>
      </c>
      <c r="J1831" t="s">
        <v>2454</v>
      </c>
      <c r="K1831">
        <v>228.1</v>
      </c>
    </row>
    <row r="1832" spans="1:11" x14ac:dyDescent="0.35">
      <c r="A1832" t="s">
        <v>2456</v>
      </c>
      <c r="B1832" s="1">
        <v>0</v>
      </c>
      <c r="C1832" t="s">
        <v>5335</v>
      </c>
      <c r="D1832" t="s">
        <v>5138</v>
      </c>
      <c r="E1832" t="s">
        <v>5219</v>
      </c>
      <c r="F1832" t="s">
        <v>5089</v>
      </c>
      <c r="G1832" t="s">
        <v>5340</v>
      </c>
      <c r="H1832" t="s">
        <v>3745</v>
      </c>
      <c r="J1832" t="s">
        <v>2456</v>
      </c>
      <c r="K1832">
        <v>227.9</v>
      </c>
    </row>
    <row r="1833" spans="1:11" x14ac:dyDescent="0.35">
      <c r="A1833" t="s">
        <v>2458</v>
      </c>
      <c r="B1833" s="1">
        <v>0</v>
      </c>
      <c r="C1833" t="s">
        <v>4645</v>
      </c>
      <c r="D1833" t="s">
        <v>5537</v>
      </c>
      <c r="E1833" t="s">
        <v>5239</v>
      </c>
      <c r="F1833" t="s">
        <v>5089</v>
      </c>
      <c r="G1833" t="s">
        <v>5333</v>
      </c>
      <c r="H1833" t="s">
        <v>3602</v>
      </c>
      <c r="J1833" t="s">
        <v>2458</v>
      </c>
      <c r="K1833">
        <v>233.4</v>
      </c>
    </row>
    <row r="1834" spans="1:11" x14ac:dyDescent="0.35">
      <c r="A1834" t="s">
        <v>2459</v>
      </c>
      <c r="B1834" s="1">
        <v>0</v>
      </c>
      <c r="C1834" t="s">
        <v>4116</v>
      </c>
      <c r="D1834" t="s">
        <v>5630</v>
      </c>
      <c r="E1834" t="s">
        <v>5102</v>
      </c>
      <c r="F1834" t="s">
        <v>5089</v>
      </c>
      <c r="G1834" t="s">
        <v>5332</v>
      </c>
      <c r="H1834" t="s">
        <v>3891</v>
      </c>
      <c r="J1834" t="s">
        <v>2459</v>
      </c>
      <c r="K1834">
        <v>232.5</v>
      </c>
    </row>
    <row r="1835" spans="1:11" x14ac:dyDescent="0.35">
      <c r="A1835" t="s">
        <v>2460</v>
      </c>
      <c r="B1835" s="1">
        <v>0</v>
      </c>
      <c r="C1835" t="s">
        <v>3218</v>
      </c>
      <c r="D1835" t="s">
        <v>5278</v>
      </c>
      <c r="E1835" t="s">
        <v>5162</v>
      </c>
      <c r="F1835" t="s">
        <v>5077</v>
      </c>
      <c r="G1835" t="s">
        <v>5493</v>
      </c>
      <c r="H1835" t="s">
        <v>2031</v>
      </c>
      <c r="J1835" t="s">
        <v>2460</v>
      </c>
      <c r="K1835">
        <v>228.2</v>
      </c>
    </row>
    <row r="1836" spans="1:11" x14ac:dyDescent="0.35">
      <c r="A1836" t="s">
        <v>2461</v>
      </c>
      <c r="B1836" s="1">
        <v>0</v>
      </c>
      <c r="C1836" t="s">
        <v>354</v>
      </c>
      <c r="D1836" t="s">
        <v>5119</v>
      </c>
      <c r="E1836" t="s">
        <v>5197</v>
      </c>
      <c r="F1836" t="s">
        <v>5077</v>
      </c>
      <c r="G1836" t="s">
        <v>5356</v>
      </c>
      <c r="H1836" t="s">
        <v>1704</v>
      </c>
      <c r="J1836" t="s">
        <v>2461</v>
      </c>
      <c r="K1836">
        <v>219</v>
      </c>
    </row>
    <row r="1837" spans="1:11" x14ac:dyDescent="0.35">
      <c r="A1837" t="s">
        <v>2462</v>
      </c>
      <c r="B1837" s="1">
        <v>0</v>
      </c>
      <c r="C1837" t="s">
        <v>351</v>
      </c>
      <c r="D1837" t="s">
        <v>5378</v>
      </c>
      <c r="E1837" t="s">
        <v>5176</v>
      </c>
      <c r="F1837" t="s">
        <v>5077</v>
      </c>
      <c r="G1837" t="s">
        <v>5089</v>
      </c>
      <c r="H1837" t="s">
        <v>776</v>
      </c>
      <c r="J1837" t="s">
        <v>2462</v>
      </c>
      <c r="K1837">
        <v>210.8</v>
      </c>
    </row>
    <row r="1838" spans="1:11" x14ac:dyDescent="0.35">
      <c r="A1838" t="s">
        <v>2463</v>
      </c>
      <c r="B1838" s="1">
        <v>0</v>
      </c>
      <c r="C1838" t="s">
        <v>1917</v>
      </c>
      <c r="D1838" t="s">
        <v>5392</v>
      </c>
      <c r="E1838" t="s">
        <v>5076</v>
      </c>
      <c r="F1838" t="s">
        <v>5077</v>
      </c>
      <c r="G1838" t="s">
        <v>5045</v>
      </c>
      <c r="H1838" t="s">
        <v>940</v>
      </c>
      <c r="J1838" t="s">
        <v>2463</v>
      </c>
      <c r="K1838">
        <v>208.7</v>
      </c>
    </row>
    <row r="1839" spans="1:11" x14ac:dyDescent="0.35">
      <c r="A1839" t="s">
        <v>2464</v>
      </c>
      <c r="B1839" s="1">
        <v>0</v>
      </c>
      <c r="C1839" t="s">
        <v>1050</v>
      </c>
      <c r="D1839" t="s">
        <v>5486</v>
      </c>
      <c r="E1839" t="s">
        <v>5160</v>
      </c>
      <c r="F1839" t="s">
        <v>5077</v>
      </c>
      <c r="G1839" t="s">
        <v>5092</v>
      </c>
      <c r="H1839" t="s">
        <v>776</v>
      </c>
      <c r="J1839" t="s">
        <v>2464</v>
      </c>
      <c r="K1839">
        <v>210.8</v>
      </c>
    </row>
    <row r="1840" spans="1:11" x14ac:dyDescent="0.35">
      <c r="A1840" t="s">
        <v>2465</v>
      </c>
      <c r="B1840" s="1">
        <v>0</v>
      </c>
      <c r="C1840" t="s">
        <v>351</v>
      </c>
      <c r="D1840" t="s">
        <v>5387</v>
      </c>
      <c r="E1840" t="s">
        <v>5162</v>
      </c>
      <c r="F1840" t="s">
        <v>5077</v>
      </c>
      <c r="G1840" t="s">
        <v>5110</v>
      </c>
      <c r="H1840" t="s">
        <v>3873</v>
      </c>
      <c r="J1840" t="s">
        <v>2465</v>
      </c>
      <c r="K1840">
        <v>214.2</v>
      </c>
    </row>
    <row r="1841" spans="1:11" x14ac:dyDescent="0.35">
      <c r="A1841" t="s">
        <v>2466</v>
      </c>
      <c r="B1841" s="1">
        <v>0</v>
      </c>
      <c r="C1841" t="s">
        <v>2268</v>
      </c>
      <c r="D1841" t="s">
        <v>5109</v>
      </c>
      <c r="E1841" t="s">
        <v>5304</v>
      </c>
      <c r="F1841" t="s">
        <v>5089</v>
      </c>
      <c r="G1841" t="s">
        <v>5077</v>
      </c>
      <c r="H1841" t="s">
        <v>628</v>
      </c>
      <c r="J1841" t="s">
        <v>2466</v>
      </c>
      <c r="K1841">
        <v>225.2</v>
      </c>
    </row>
    <row r="1842" spans="1:11" x14ac:dyDescent="0.35">
      <c r="A1842" t="s">
        <v>2467</v>
      </c>
      <c r="B1842" s="1">
        <v>0</v>
      </c>
      <c r="C1842" t="s">
        <v>2610</v>
      </c>
      <c r="D1842" t="s">
        <v>5495</v>
      </c>
      <c r="E1842" t="s">
        <v>5069</v>
      </c>
      <c r="F1842" t="s">
        <v>5089</v>
      </c>
      <c r="G1842" t="s">
        <v>5136</v>
      </c>
      <c r="H1842" t="s">
        <v>5762</v>
      </c>
      <c r="J1842" t="s">
        <v>2467</v>
      </c>
      <c r="K1842">
        <v>243.8</v>
      </c>
    </row>
    <row r="1843" spans="1:11" x14ac:dyDescent="0.35">
      <c r="A1843" t="s">
        <v>2469</v>
      </c>
      <c r="B1843" s="1">
        <v>0</v>
      </c>
      <c r="C1843" t="s">
        <v>14</v>
      </c>
      <c r="D1843" t="s">
        <v>5535</v>
      </c>
      <c r="E1843" t="s">
        <v>5229</v>
      </c>
      <c r="F1843" t="s">
        <v>5089</v>
      </c>
      <c r="G1843" t="s">
        <v>5333</v>
      </c>
      <c r="H1843" t="s">
        <v>5714</v>
      </c>
      <c r="J1843" t="s">
        <v>2469</v>
      </c>
      <c r="K1843">
        <v>256.3</v>
      </c>
    </row>
    <row r="1844" spans="1:11" x14ac:dyDescent="0.35">
      <c r="A1844" t="s">
        <v>2472</v>
      </c>
      <c r="B1844" s="1">
        <v>0</v>
      </c>
      <c r="C1844" t="s">
        <v>4870</v>
      </c>
      <c r="D1844" t="s">
        <v>5589</v>
      </c>
      <c r="E1844" t="s">
        <v>5229</v>
      </c>
      <c r="F1844" t="s">
        <v>5089</v>
      </c>
      <c r="G1844" t="s">
        <v>5341</v>
      </c>
      <c r="H1844" t="s">
        <v>5761</v>
      </c>
      <c r="J1844" t="s">
        <v>2472</v>
      </c>
      <c r="K1844">
        <v>255.8</v>
      </c>
    </row>
    <row r="1845" spans="1:11" x14ac:dyDescent="0.35">
      <c r="A1845" t="s">
        <v>2474</v>
      </c>
      <c r="B1845" s="1">
        <v>0</v>
      </c>
      <c r="C1845" t="s">
        <v>3529</v>
      </c>
      <c r="D1845" t="s">
        <v>5273</v>
      </c>
      <c r="E1845" t="s">
        <v>5063</v>
      </c>
      <c r="F1845" t="s">
        <v>5089</v>
      </c>
      <c r="G1845" t="s">
        <v>5341</v>
      </c>
      <c r="H1845" t="s">
        <v>3648</v>
      </c>
      <c r="J1845" t="s">
        <v>2474</v>
      </c>
      <c r="K1845">
        <v>249.2</v>
      </c>
    </row>
    <row r="1846" spans="1:11" x14ac:dyDescent="0.35">
      <c r="A1846" t="s">
        <v>2475</v>
      </c>
      <c r="B1846" s="1">
        <v>0</v>
      </c>
      <c r="C1846" t="s">
        <v>3213</v>
      </c>
      <c r="D1846" t="s">
        <v>5583</v>
      </c>
      <c r="E1846" t="s">
        <v>5270</v>
      </c>
      <c r="F1846" t="s">
        <v>5089</v>
      </c>
      <c r="G1846" t="s">
        <v>5333</v>
      </c>
      <c r="H1846" t="s">
        <v>3950</v>
      </c>
      <c r="J1846" t="s">
        <v>2475</v>
      </c>
      <c r="K1846">
        <v>235.9</v>
      </c>
    </row>
    <row r="1847" spans="1:11" x14ac:dyDescent="0.35">
      <c r="A1847" t="s">
        <v>2477</v>
      </c>
      <c r="B1847" s="1">
        <v>0</v>
      </c>
      <c r="C1847" t="s">
        <v>339</v>
      </c>
      <c r="D1847" t="s">
        <v>5384</v>
      </c>
      <c r="E1847" t="s">
        <v>5249</v>
      </c>
      <c r="F1847" t="s">
        <v>5077</v>
      </c>
      <c r="G1847" t="s">
        <v>5332</v>
      </c>
      <c r="H1847" t="s">
        <v>5697</v>
      </c>
      <c r="J1847" t="s">
        <v>2477</v>
      </c>
      <c r="K1847">
        <v>221.8</v>
      </c>
    </row>
    <row r="1848" spans="1:11" x14ac:dyDescent="0.35">
      <c r="A1848" t="s">
        <v>2479</v>
      </c>
      <c r="B1848" s="1">
        <v>0</v>
      </c>
      <c r="C1848" t="s">
        <v>356</v>
      </c>
      <c r="D1848" t="s">
        <v>5452</v>
      </c>
      <c r="E1848" t="s">
        <v>5098</v>
      </c>
      <c r="F1848" t="s">
        <v>5077</v>
      </c>
      <c r="G1848" t="s">
        <v>5493</v>
      </c>
      <c r="H1848" t="s">
        <v>2729</v>
      </c>
      <c r="J1848" t="s">
        <v>2479</v>
      </c>
      <c r="K1848">
        <v>214.5</v>
      </c>
    </row>
    <row r="1849" spans="1:11" x14ac:dyDescent="0.35">
      <c r="A1849" t="s">
        <v>2480</v>
      </c>
      <c r="B1849" s="1">
        <v>0</v>
      </c>
      <c r="C1849" t="s">
        <v>368</v>
      </c>
      <c r="D1849" t="s">
        <v>5138</v>
      </c>
      <c r="E1849" t="s">
        <v>5434</v>
      </c>
      <c r="F1849" t="s">
        <v>5077</v>
      </c>
      <c r="G1849" t="s">
        <v>5136</v>
      </c>
      <c r="H1849" t="s">
        <v>3911</v>
      </c>
      <c r="J1849" t="s">
        <v>2480</v>
      </c>
      <c r="K1849">
        <v>210.9</v>
      </c>
    </row>
    <row r="1850" spans="1:11" x14ac:dyDescent="0.35">
      <c r="A1850" t="s">
        <v>2482</v>
      </c>
      <c r="B1850" s="1">
        <v>0</v>
      </c>
      <c r="C1850" t="s">
        <v>1524</v>
      </c>
      <c r="D1850" t="s">
        <v>5122</v>
      </c>
      <c r="E1850" t="s">
        <v>5434</v>
      </c>
      <c r="F1850" t="s">
        <v>5077</v>
      </c>
      <c r="G1850" t="s">
        <v>5358</v>
      </c>
      <c r="H1850" t="s">
        <v>219</v>
      </c>
      <c r="J1850" t="s">
        <v>2482</v>
      </c>
      <c r="K1850">
        <v>209.1</v>
      </c>
    </row>
    <row r="1851" spans="1:11" x14ac:dyDescent="0.35">
      <c r="A1851" t="s">
        <v>2483</v>
      </c>
      <c r="B1851" s="1">
        <v>0</v>
      </c>
      <c r="C1851" t="s">
        <v>1524</v>
      </c>
      <c r="D1851" t="s">
        <v>5577</v>
      </c>
      <c r="E1851" t="s">
        <v>5066</v>
      </c>
      <c r="F1851" t="s">
        <v>5077</v>
      </c>
      <c r="G1851" t="s">
        <v>5077</v>
      </c>
      <c r="H1851" t="s">
        <v>4804</v>
      </c>
      <c r="J1851" t="s">
        <v>2483</v>
      </c>
      <c r="K1851">
        <v>209.4</v>
      </c>
    </row>
    <row r="1852" spans="1:11" x14ac:dyDescent="0.35">
      <c r="A1852" t="s">
        <v>2484</v>
      </c>
      <c r="B1852" s="1">
        <v>0</v>
      </c>
      <c r="C1852" t="s">
        <v>446</v>
      </c>
      <c r="D1852" t="s">
        <v>5478</v>
      </c>
      <c r="E1852" t="s">
        <v>5210</v>
      </c>
      <c r="F1852" t="s">
        <v>5077</v>
      </c>
      <c r="G1852" t="s">
        <v>5045</v>
      </c>
      <c r="H1852" t="s">
        <v>1833</v>
      </c>
      <c r="J1852" t="s">
        <v>2484</v>
      </c>
      <c r="K1852">
        <v>206</v>
      </c>
    </row>
    <row r="1853" spans="1:11" x14ac:dyDescent="0.35">
      <c r="A1853" t="s">
        <v>2485</v>
      </c>
      <c r="B1853" s="1">
        <v>0</v>
      </c>
      <c r="C1853" t="s">
        <v>1056</v>
      </c>
      <c r="D1853" t="s">
        <v>5540</v>
      </c>
      <c r="E1853" t="s">
        <v>5323</v>
      </c>
      <c r="F1853" t="s">
        <v>5077</v>
      </c>
      <c r="G1853" t="s">
        <v>5092</v>
      </c>
      <c r="H1853" t="s">
        <v>1194</v>
      </c>
      <c r="J1853" t="s">
        <v>2485</v>
      </c>
      <c r="K1853">
        <v>198</v>
      </c>
    </row>
    <row r="1854" spans="1:11" x14ac:dyDescent="0.35">
      <c r="A1854" t="s">
        <v>2486</v>
      </c>
      <c r="B1854" s="1">
        <v>0</v>
      </c>
      <c r="C1854" t="s">
        <v>415</v>
      </c>
      <c r="D1854" t="s">
        <v>5256</v>
      </c>
      <c r="E1854" t="s">
        <v>5171</v>
      </c>
      <c r="F1854" t="s">
        <v>5077</v>
      </c>
      <c r="G1854" t="s">
        <v>5092</v>
      </c>
      <c r="H1854" t="s">
        <v>1269</v>
      </c>
      <c r="J1854" t="s">
        <v>2486</v>
      </c>
      <c r="K1854">
        <v>188.8</v>
      </c>
    </row>
    <row r="1855" spans="1:11" x14ac:dyDescent="0.35">
      <c r="A1855" t="s">
        <v>2488</v>
      </c>
      <c r="B1855" s="1">
        <v>0</v>
      </c>
      <c r="C1855" t="s">
        <v>5631</v>
      </c>
      <c r="D1855" t="s">
        <v>5508</v>
      </c>
      <c r="E1855" t="s">
        <v>5070</v>
      </c>
      <c r="F1855" t="s">
        <v>5077</v>
      </c>
      <c r="G1855" t="s">
        <v>5110</v>
      </c>
      <c r="H1855" t="s">
        <v>956</v>
      </c>
      <c r="J1855" t="s">
        <v>2488</v>
      </c>
      <c r="K1855">
        <v>180.7</v>
      </c>
    </row>
    <row r="1856" spans="1:11" x14ac:dyDescent="0.35">
      <c r="A1856" t="s">
        <v>2489</v>
      </c>
      <c r="B1856" s="1">
        <v>0</v>
      </c>
      <c r="C1856" t="s">
        <v>5460</v>
      </c>
      <c r="D1856" t="s">
        <v>5508</v>
      </c>
      <c r="E1856" t="s">
        <v>5425</v>
      </c>
      <c r="F1856" t="s">
        <v>5077</v>
      </c>
      <c r="G1856" t="s">
        <v>5116</v>
      </c>
      <c r="H1856" t="s">
        <v>893</v>
      </c>
      <c r="J1856" t="s">
        <v>2489</v>
      </c>
      <c r="K1856">
        <v>177.8</v>
      </c>
    </row>
    <row r="1857" spans="1:11" x14ac:dyDescent="0.35">
      <c r="A1857" t="s">
        <v>2490</v>
      </c>
      <c r="B1857" s="1">
        <v>0</v>
      </c>
      <c r="C1857" t="s">
        <v>5644</v>
      </c>
      <c r="D1857" t="s">
        <v>5451</v>
      </c>
      <c r="E1857" t="s">
        <v>5055</v>
      </c>
      <c r="F1857" t="s">
        <v>5077</v>
      </c>
      <c r="G1857" t="s">
        <v>5116</v>
      </c>
      <c r="H1857" t="s">
        <v>898</v>
      </c>
      <c r="J1857" t="s">
        <v>2490</v>
      </c>
      <c r="K1857">
        <v>183.6</v>
      </c>
    </row>
    <row r="1858" spans="1:11" x14ac:dyDescent="0.35">
      <c r="A1858" t="s">
        <v>2491</v>
      </c>
      <c r="B1858" s="1">
        <v>0</v>
      </c>
      <c r="C1858" t="s">
        <v>1046</v>
      </c>
      <c r="D1858" t="s">
        <v>5148</v>
      </c>
      <c r="E1858" t="s">
        <v>5234</v>
      </c>
      <c r="F1858" t="s">
        <v>5077</v>
      </c>
      <c r="G1858" t="s">
        <v>5092</v>
      </c>
      <c r="H1858" t="s">
        <v>243</v>
      </c>
      <c r="J1858" t="s">
        <v>2491</v>
      </c>
      <c r="K1858">
        <v>198.3</v>
      </c>
    </row>
    <row r="1859" spans="1:11" x14ac:dyDescent="0.35">
      <c r="A1859" t="s">
        <v>2492</v>
      </c>
      <c r="B1859" s="1">
        <v>0</v>
      </c>
      <c r="C1859" t="s">
        <v>353</v>
      </c>
      <c r="D1859" t="s">
        <v>5119</v>
      </c>
      <c r="E1859" t="s">
        <v>5434</v>
      </c>
      <c r="F1859" t="s">
        <v>5077</v>
      </c>
      <c r="G1859" t="s">
        <v>5077</v>
      </c>
      <c r="H1859" t="s">
        <v>231</v>
      </c>
      <c r="J1859" t="s">
        <v>2492</v>
      </c>
      <c r="K1859">
        <v>215.5</v>
      </c>
    </row>
    <row r="1860" spans="1:11" x14ac:dyDescent="0.35">
      <c r="A1860" t="s">
        <v>2493</v>
      </c>
      <c r="B1860" s="1">
        <v>0</v>
      </c>
      <c r="C1860" t="s">
        <v>340</v>
      </c>
      <c r="D1860" t="s">
        <v>5279</v>
      </c>
      <c r="E1860" t="s">
        <v>5173</v>
      </c>
      <c r="F1860" t="s">
        <v>5240</v>
      </c>
      <c r="G1860" t="s">
        <v>5339</v>
      </c>
      <c r="H1860" t="s">
        <v>213</v>
      </c>
      <c r="J1860" t="s">
        <v>2493</v>
      </c>
      <c r="K1860">
        <v>205.4</v>
      </c>
    </row>
    <row r="1861" spans="1:11" x14ac:dyDescent="0.35">
      <c r="A1861" t="s">
        <v>2494</v>
      </c>
      <c r="B1861" s="1">
        <v>0</v>
      </c>
      <c r="C1861" t="s">
        <v>329</v>
      </c>
      <c r="D1861" t="s">
        <v>5532</v>
      </c>
      <c r="E1861" t="s">
        <v>5068</v>
      </c>
      <c r="F1861" t="s">
        <v>5050</v>
      </c>
      <c r="G1861" t="s">
        <v>5337</v>
      </c>
      <c r="H1861" t="s">
        <v>614</v>
      </c>
      <c r="J1861" t="s">
        <v>2494</v>
      </c>
      <c r="K1861">
        <v>206.1</v>
      </c>
    </row>
    <row r="1862" spans="1:11" x14ac:dyDescent="0.35">
      <c r="A1862" t="s">
        <v>2495</v>
      </c>
      <c r="B1862" s="1">
        <v>0</v>
      </c>
      <c r="C1862" t="s">
        <v>989</v>
      </c>
      <c r="D1862" t="s">
        <v>5370</v>
      </c>
      <c r="E1862" t="s">
        <v>5068</v>
      </c>
      <c r="F1862" t="s">
        <v>5050</v>
      </c>
      <c r="G1862" t="s">
        <v>5411</v>
      </c>
      <c r="H1862" t="s">
        <v>216</v>
      </c>
      <c r="J1862" t="s">
        <v>2495</v>
      </c>
      <c r="K1862">
        <v>202.3</v>
      </c>
    </row>
    <row r="1863" spans="1:11" x14ac:dyDescent="0.35">
      <c r="A1863" t="s">
        <v>2496</v>
      </c>
      <c r="B1863" s="1">
        <v>0</v>
      </c>
      <c r="C1863" t="s">
        <v>454</v>
      </c>
      <c r="D1863" t="s">
        <v>5148</v>
      </c>
      <c r="E1863" t="s">
        <v>5323</v>
      </c>
      <c r="F1863" t="s">
        <v>5050</v>
      </c>
      <c r="G1863" t="s">
        <v>5339</v>
      </c>
      <c r="H1863" t="s">
        <v>2745</v>
      </c>
      <c r="J1863" t="s">
        <v>2496</v>
      </c>
      <c r="K1863">
        <v>193.4</v>
      </c>
    </row>
    <row r="1864" spans="1:11" x14ac:dyDescent="0.35">
      <c r="A1864" t="s">
        <v>2497</v>
      </c>
      <c r="B1864" s="1">
        <v>0</v>
      </c>
      <c r="C1864" t="s">
        <v>1876</v>
      </c>
      <c r="D1864" t="s">
        <v>5436</v>
      </c>
      <c r="E1864" t="s">
        <v>5170</v>
      </c>
      <c r="F1864" t="s">
        <v>5050</v>
      </c>
      <c r="G1864" t="s">
        <v>5168</v>
      </c>
      <c r="H1864" t="s">
        <v>2327</v>
      </c>
      <c r="J1864" t="s">
        <v>2497</v>
      </c>
      <c r="K1864">
        <v>186.7</v>
      </c>
    </row>
    <row r="1865" spans="1:11" x14ac:dyDescent="0.35">
      <c r="A1865" t="s">
        <v>2498</v>
      </c>
      <c r="B1865" s="1">
        <v>0</v>
      </c>
      <c r="C1865" t="s">
        <v>5463</v>
      </c>
      <c r="D1865" t="s">
        <v>5538</v>
      </c>
      <c r="E1865" t="s">
        <v>5310</v>
      </c>
      <c r="F1865" t="s">
        <v>5050</v>
      </c>
      <c r="G1865" t="s">
        <v>5348</v>
      </c>
      <c r="H1865" t="s">
        <v>1603</v>
      </c>
      <c r="J1865" t="s">
        <v>2498</v>
      </c>
      <c r="K1865">
        <v>179.4</v>
      </c>
    </row>
    <row r="1866" spans="1:11" x14ac:dyDescent="0.35">
      <c r="A1866" t="s">
        <v>2499</v>
      </c>
      <c r="B1866" s="1">
        <v>0</v>
      </c>
      <c r="C1866" t="s">
        <v>5564</v>
      </c>
      <c r="D1866" t="s">
        <v>5198</v>
      </c>
      <c r="E1866" t="s">
        <v>5303</v>
      </c>
      <c r="F1866" t="s">
        <v>5050</v>
      </c>
      <c r="G1866" t="s">
        <v>5180</v>
      </c>
      <c r="H1866" t="s">
        <v>1351</v>
      </c>
      <c r="J1866" t="s">
        <v>2499</v>
      </c>
      <c r="K1866">
        <v>171.9</v>
      </c>
    </row>
    <row r="1867" spans="1:11" x14ac:dyDescent="0.35">
      <c r="A1867" t="s">
        <v>2501</v>
      </c>
      <c r="B1867" s="1">
        <v>0</v>
      </c>
      <c r="C1867" t="s">
        <v>5228</v>
      </c>
      <c r="D1867" t="s">
        <v>5508</v>
      </c>
      <c r="E1867" t="s">
        <v>5597</v>
      </c>
      <c r="F1867" t="s">
        <v>5050</v>
      </c>
      <c r="G1867" t="s">
        <v>5195</v>
      </c>
      <c r="H1867" t="s">
        <v>901</v>
      </c>
      <c r="J1867" t="s">
        <v>2501</v>
      </c>
      <c r="K1867">
        <v>164.6</v>
      </c>
    </row>
    <row r="1868" spans="1:11" x14ac:dyDescent="0.35">
      <c r="A1868" t="s">
        <v>2502</v>
      </c>
      <c r="B1868" s="1">
        <v>0</v>
      </c>
      <c r="C1868" t="s">
        <v>5602</v>
      </c>
      <c r="D1868" t="s">
        <v>5203</v>
      </c>
      <c r="E1868" t="s">
        <v>5570</v>
      </c>
      <c r="F1868" t="s">
        <v>5050</v>
      </c>
      <c r="G1868" t="s">
        <v>5186</v>
      </c>
      <c r="H1868" t="s">
        <v>889</v>
      </c>
      <c r="J1868" t="s">
        <v>2502</v>
      </c>
      <c r="K1868">
        <v>159.80000000000001</v>
      </c>
    </row>
    <row r="1869" spans="1:11" x14ac:dyDescent="0.35">
      <c r="A1869" t="s">
        <v>2503</v>
      </c>
      <c r="B1869" s="1">
        <v>0</v>
      </c>
      <c r="C1869" t="s">
        <v>5607</v>
      </c>
      <c r="D1869" t="s">
        <v>5114</v>
      </c>
      <c r="E1869" t="s">
        <v>5283</v>
      </c>
      <c r="F1869" t="s">
        <v>5050</v>
      </c>
      <c r="G1869" t="s">
        <v>5195</v>
      </c>
      <c r="H1869" t="s">
        <v>1755</v>
      </c>
      <c r="J1869" t="s">
        <v>2503</v>
      </c>
      <c r="K1869">
        <v>161.1</v>
      </c>
    </row>
    <row r="1870" spans="1:11" x14ac:dyDescent="0.35">
      <c r="A1870" t="s">
        <v>2504</v>
      </c>
      <c r="B1870" s="1">
        <v>0</v>
      </c>
      <c r="C1870" t="s">
        <v>5498</v>
      </c>
      <c r="D1870" t="s">
        <v>5450</v>
      </c>
      <c r="E1870" t="s">
        <v>5420</v>
      </c>
      <c r="F1870" t="s">
        <v>5050</v>
      </c>
      <c r="G1870" t="s">
        <v>5195</v>
      </c>
      <c r="H1870" t="s">
        <v>800</v>
      </c>
      <c r="J1870" t="s">
        <v>2504</v>
      </c>
      <c r="K1870">
        <v>167.7</v>
      </c>
    </row>
    <row r="1871" spans="1:11" x14ac:dyDescent="0.35">
      <c r="A1871" t="s">
        <v>2505</v>
      </c>
      <c r="B1871" s="1">
        <v>0</v>
      </c>
      <c r="C1871" t="s">
        <v>5401</v>
      </c>
      <c r="D1871" t="s">
        <v>5485</v>
      </c>
      <c r="E1871" t="s">
        <v>5431</v>
      </c>
      <c r="F1871" t="s">
        <v>5050</v>
      </c>
      <c r="G1871" t="s">
        <v>5184</v>
      </c>
      <c r="H1871" t="s">
        <v>1222</v>
      </c>
      <c r="J1871" t="s">
        <v>2505</v>
      </c>
      <c r="K1871">
        <v>177.3</v>
      </c>
    </row>
    <row r="1872" spans="1:11" x14ac:dyDescent="0.35">
      <c r="A1872" t="s">
        <v>2506</v>
      </c>
      <c r="B1872" s="1">
        <v>0</v>
      </c>
      <c r="C1872" t="s">
        <v>385</v>
      </c>
      <c r="D1872" t="s">
        <v>5454</v>
      </c>
      <c r="E1872" t="s">
        <v>5234</v>
      </c>
      <c r="F1872" t="s">
        <v>5050</v>
      </c>
      <c r="G1872" t="s">
        <v>5180</v>
      </c>
      <c r="H1872" t="s">
        <v>3429</v>
      </c>
      <c r="J1872" t="s">
        <v>2506</v>
      </c>
      <c r="K1872">
        <v>183.7</v>
      </c>
    </row>
    <row r="1873" spans="1:11" x14ac:dyDescent="0.35">
      <c r="A1873" t="s">
        <v>2507</v>
      </c>
      <c r="B1873" s="1">
        <v>0</v>
      </c>
      <c r="C1873" t="s">
        <v>2237</v>
      </c>
      <c r="D1873" t="s">
        <v>5280</v>
      </c>
      <c r="E1873" t="s">
        <v>5175</v>
      </c>
      <c r="F1873" t="s">
        <v>5050</v>
      </c>
      <c r="G1873" t="s">
        <v>5177</v>
      </c>
      <c r="H1873" t="s">
        <v>3150</v>
      </c>
      <c r="J1873" t="s">
        <v>2507</v>
      </c>
      <c r="K1873">
        <v>189.1</v>
      </c>
    </row>
    <row r="1874" spans="1:11" x14ac:dyDescent="0.35">
      <c r="A1874" t="s">
        <v>2508</v>
      </c>
      <c r="B1874" s="1">
        <v>0</v>
      </c>
      <c r="C1874" t="s">
        <v>2603</v>
      </c>
      <c r="D1874" t="s">
        <v>5146</v>
      </c>
      <c r="E1874" t="s">
        <v>5167</v>
      </c>
      <c r="F1874" t="s">
        <v>5050</v>
      </c>
      <c r="G1874" t="s">
        <v>5168</v>
      </c>
      <c r="H1874" t="s">
        <v>3984</v>
      </c>
      <c r="J1874" t="s">
        <v>2508</v>
      </c>
      <c r="K1874">
        <v>195.4</v>
      </c>
    </row>
    <row r="1875" spans="1:11" x14ac:dyDescent="0.35">
      <c r="A1875" t="s">
        <v>2509</v>
      </c>
      <c r="B1875" s="1">
        <v>0</v>
      </c>
      <c r="C1875" t="s">
        <v>352</v>
      </c>
      <c r="D1875" t="s">
        <v>5086</v>
      </c>
      <c r="E1875" t="s">
        <v>5076</v>
      </c>
      <c r="F1875" t="s">
        <v>5050</v>
      </c>
      <c r="G1875" t="s">
        <v>5337</v>
      </c>
      <c r="H1875" t="s">
        <v>38</v>
      </c>
      <c r="J1875" t="s">
        <v>2509</v>
      </c>
      <c r="K1875">
        <v>198.7</v>
      </c>
    </row>
    <row r="1876" spans="1:11" x14ac:dyDescent="0.35">
      <c r="A1876" t="s">
        <v>2511</v>
      </c>
      <c r="B1876" s="1">
        <v>0</v>
      </c>
      <c r="C1876" t="s">
        <v>1054</v>
      </c>
      <c r="D1876" t="s">
        <v>5534</v>
      </c>
      <c r="E1876" t="s">
        <v>5204</v>
      </c>
      <c r="F1876" t="s">
        <v>5050</v>
      </c>
      <c r="G1876" t="s">
        <v>5339</v>
      </c>
      <c r="H1876" t="s">
        <v>2523</v>
      </c>
      <c r="J1876" t="s">
        <v>2511</v>
      </c>
      <c r="K1876">
        <v>191</v>
      </c>
    </row>
    <row r="1877" spans="1:11" x14ac:dyDescent="0.35">
      <c r="A1877" t="s">
        <v>2512</v>
      </c>
      <c r="B1877" s="1">
        <v>0</v>
      </c>
      <c r="C1877" t="s">
        <v>1488</v>
      </c>
      <c r="D1877" t="s">
        <v>5133</v>
      </c>
      <c r="E1877" t="s">
        <v>5170</v>
      </c>
      <c r="F1877" t="s">
        <v>5050</v>
      </c>
      <c r="G1877" t="s">
        <v>5164</v>
      </c>
      <c r="H1877" t="s">
        <v>1987</v>
      </c>
      <c r="J1877" t="s">
        <v>2512</v>
      </c>
      <c r="K1877">
        <v>182.4</v>
      </c>
    </row>
    <row r="1878" spans="1:11" x14ac:dyDescent="0.35">
      <c r="A1878" t="s">
        <v>2513</v>
      </c>
      <c r="B1878" s="1">
        <v>0</v>
      </c>
      <c r="C1878" t="s">
        <v>5465</v>
      </c>
      <c r="D1878" t="s">
        <v>5436</v>
      </c>
      <c r="E1878" t="s">
        <v>5204</v>
      </c>
      <c r="F1878" t="s">
        <v>5050</v>
      </c>
      <c r="G1878" t="s">
        <v>5177</v>
      </c>
      <c r="H1878" t="s">
        <v>189</v>
      </c>
      <c r="J1878" t="s">
        <v>2513</v>
      </c>
      <c r="K1878">
        <v>180.8</v>
      </c>
    </row>
    <row r="1879" spans="1:11" x14ac:dyDescent="0.35">
      <c r="A1879" t="s">
        <v>2514</v>
      </c>
      <c r="B1879" s="1">
        <v>0</v>
      </c>
      <c r="C1879" t="s">
        <v>1021</v>
      </c>
      <c r="D1879" t="s">
        <v>5101</v>
      </c>
      <c r="E1879" t="s">
        <v>5306</v>
      </c>
      <c r="F1879" t="s">
        <v>5050</v>
      </c>
      <c r="G1879" t="s">
        <v>5177</v>
      </c>
      <c r="H1879" t="s">
        <v>1213</v>
      </c>
      <c r="J1879" t="s">
        <v>2514</v>
      </c>
      <c r="K1879">
        <v>191.8</v>
      </c>
    </row>
    <row r="1880" spans="1:11" x14ac:dyDescent="0.35">
      <c r="A1880" t="s">
        <v>2515</v>
      </c>
      <c r="B1880" s="1">
        <v>0</v>
      </c>
      <c r="C1880" t="s">
        <v>1916</v>
      </c>
      <c r="D1880" t="s">
        <v>5491</v>
      </c>
      <c r="E1880" t="s">
        <v>5304</v>
      </c>
      <c r="F1880" t="s">
        <v>5240</v>
      </c>
      <c r="G1880" t="s">
        <v>5159</v>
      </c>
      <c r="H1880" t="s">
        <v>5715</v>
      </c>
      <c r="J1880" t="s">
        <v>2515</v>
      </c>
      <c r="K1880">
        <v>207.5</v>
      </c>
    </row>
    <row r="1881" spans="1:11" x14ac:dyDescent="0.35">
      <c r="A1881" t="s">
        <v>2516</v>
      </c>
      <c r="B1881" s="1">
        <v>0</v>
      </c>
      <c r="C1881" t="s">
        <v>323</v>
      </c>
      <c r="D1881" t="s">
        <v>5602</v>
      </c>
      <c r="E1881" t="s">
        <v>5069</v>
      </c>
      <c r="F1881" t="s">
        <v>5240</v>
      </c>
      <c r="G1881" t="s">
        <v>5164</v>
      </c>
      <c r="H1881" t="s">
        <v>5660</v>
      </c>
      <c r="J1881" t="s">
        <v>2516</v>
      </c>
      <c r="K1881">
        <v>217.5</v>
      </c>
    </row>
    <row r="1882" spans="1:11" x14ac:dyDescent="0.35">
      <c r="A1882" t="s">
        <v>2517</v>
      </c>
      <c r="B1882" s="1">
        <v>0</v>
      </c>
      <c r="C1882" t="s">
        <v>1481</v>
      </c>
      <c r="D1882" t="s">
        <v>5274</v>
      </c>
      <c r="E1882" t="s">
        <v>5072</v>
      </c>
      <c r="F1882" t="s">
        <v>5240</v>
      </c>
      <c r="G1882" t="s">
        <v>5339</v>
      </c>
      <c r="H1882" t="s">
        <v>3619</v>
      </c>
      <c r="J1882" t="s">
        <v>2517</v>
      </c>
      <c r="K1882">
        <v>222.1</v>
      </c>
    </row>
    <row r="1883" spans="1:11" x14ac:dyDescent="0.35">
      <c r="A1883" t="s">
        <v>2518</v>
      </c>
      <c r="B1883" s="1">
        <v>0</v>
      </c>
      <c r="C1883" t="s">
        <v>1535</v>
      </c>
      <c r="D1883" t="s">
        <v>5613</v>
      </c>
      <c r="E1883" t="s">
        <v>5067</v>
      </c>
      <c r="F1883" t="s">
        <v>5240</v>
      </c>
      <c r="G1883" t="s">
        <v>5334</v>
      </c>
      <c r="H1883" t="s">
        <v>1702</v>
      </c>
      <c r="J1883" t="s">
        <v>2518</v>
      </c>
      <c r="K1883">
        <v>218.4</v>
      </c>
    </row>
    <row r="1884" spans="1:11" x14ac:dyDescent="0.35">
      <c r="A1884" t="s">
        <v>2520</v>
      </c>
      <c r="B1884" s="1">
        <v>0</v>
      </c>
      <c r="C1884" t="s">
        <v>457</v>
      </c>
      <c r="D1884" t="s">
        <v>5242</v>
      </c>
      <c r="E1884" t="s">
        <v>5123</v>
      </c>
      <c r="F1884" t="s">
        <v>5240</v>
      </c>
      <c r="G1884" t="s">
        <v>5432</v>
      </c>
      <c r="H1884" t="s">
        <v>1700</v>
      </c>
      <c r="J1884" t="s">
        <v>2520</v>
      </c>
      <c r="K1884">
        <v>212.4</v>
      </c>
    </row>
    <row r="1885" spans="1:11" x14ac:dyDescent="0.35">
      <c r="A1885" t="s">
        <v>2521</v>
      </c>
      <c r="B1885" s="1">
        <v>0</v>
      </c>
      <c r="C1885" t="s">
        <v>449</v>
      </c>
      <c r="D1885" t="s">
        <v>5530</v>
      </c>
      <c r="E1885" t="s">
        <v>5066</v>
      </c>
      <c r="F1885" t="s">
        <v>5050</v>
      </c>
      <c r="G1885" t="s">
        <v>5153</v>
      </c>
      <c r="H1885" t="s">
        <v>1276</v>
      </c>
      <c r="J1885" t="s">
        <v>2521</v>
      </c>
      <c r="K1885">
        <v>200.5</v>
      </c>
    </row>
    <row r="1886" spans="1:11" x14ac:dyDescent="0.35">
      <c r="A1886" t="s">
        <v>2522</v>
      </c>
      <c r="B1886" s="1">
        <v>0</v>
      </c>
      <c r="C1886" t="s">
        <v>1018</v>
      </c>
      <c r="D1886" t="s">
        <v>5206</v>
      </c>
      <c r="E1886" t="s">
        <v>5428</v>
      </c>
      <c r="F1886" t="s">
        <v>5050</v>
      </c>
      <c r="G1886" t="s">
        <v>5334</v>
      </c>
      <c r="H1886" t="s">
        <v>2220</v>
      </c>
      <c r="J1886" t="s">
        <v>2522</v>
      </c>
      <c r="K1886">
        <v>189</v>
      </c>
    </row>
    <row r="1887" spans="1:11" x14ac:dyDescent="0.35">
      <c r="A1887" s="2">
        <v>41699</v>
      </c>
      <c r="B1887" s="1">
        <v>0</v>
      </c>
      <c r="C1887" t="s">
        <v>423</v>
      </c>
      <c r="D1887" t="s">
        <v>5108</v>
      </c>
      <c r="E1887" t="s">
        <v>5524</v>
      </c>
      <c r="F1887" t="s">
        <v>5050</v>
      </c>
      <c r="G1887" t="s">
        <v>5337</v>
      </c>
      <c r="H1887" t="s">
        <v>1223</v>
      </c>
      <c r="J1887" s="2">
        <v>41699</v>
      </c>
      <c r="K1887">
        <v>177.1</v>
      </c>
    </row>
    <row r="1888" spans="1:11" x14ac:dyDescent="0.35">
      <c r="A1888" s="2">
        <v>41700</v>
      </c>
      <c r="B1888" s="1">
        <v>0</v>
      </c>
      <c r="C1888" t="s">
        <v>5644</v>
      </c>
      <c r="D1888" t="s">
        <v>5473</v>
      </c>
      <c r="E1888" t="s">
        <v>5283</v>
      </c>
      <c r="F1888" t="s">
        <v>5078</v>
      </c>
      <c r="G1888" t="s">
        <v>5046</v>
      </c>
      <c r="H1888" t="s">
        <v>919</v>
      </c>
      <c r="J1888" s="2">
        <v>41700</v>
      </c>
      <c r="K1888">
        <v>175.9</v>
      </c>
    </row>
    <row r="1889" spans="1:11" x14ac:dyDescent="0.35">
      <c r="A1889" s="2">
        <v>41701</v>
      </c>
      <c r="B1889" s="1">
        <v>0</v>
      </c>
      <c r="C1889" t="s">
        <v>376</v>
      </c>
      <c r="D1889" t="s">
        <v>5131</v>
      </c>
      <c r="E1889" t="s">
        <v>5283</v>
      </c>
      <c r="F1889" t="s">
        <v>5078</v>
      </c>
      <c r="G1889" t="s">
        <v>5046</v>
      </c>
      <c r="H1889" t="s">
        <v>676</v>
      </c>
      <c r="J1889" s="2">
        <v>41701</v>
      </c>
      <c r="K1889">
        <v>178.1</v>
      </c>
    </row>
    <row r="1890" spans="1:11" x14ac:dyDescent="0.35">
      <c r="A1890" s="2">
        <v>41702</v>
      </c>
      <c r="B1890" s="1">
        <v>0</v>
      </c>
      <c r="C1890" t="s">
        <v>441</v>
      </c>
      <c r="D1890" t="s">
        <v>5108</v>
      </c>
      <c r="E1890" t="s">
        <v>5061</v>
      </c>
      <c r="F1890" t="s">
        <v>5078</v>
      </c>
      <c r="G1890" t="s">
        <v>5054</v>
      </c>
      <c r="H1890" t="s">
        <v>2510</v>
      </c>
      <c r="J1890" s="2">
        <v>41702</v>
      </c>
      <c r="K1890">
        <v>188.7</v>
      </c>
    </row>
    <row r="1891" spans="1:11" x14ac:dyDescent="0.35">
      <c r="A1891" s="2">
        <v>41703</v>
      </c>
      <c r="B1891" s="1">
        <v>0</v>
      </c>
      <c r="C1891" t="s">
        <v>362</v>
      </c>
      <c r="D1891" t="s">
        <v>5462</v>
      </c>
      <c r="E1891" t="s">
        <v>5431</v>
      </c>
      <c r="F1891" t="s">
        <v>5078</v>
      </c>
      <c r="G1891" t="s">
        <v>5058</v>
      </c>
      <c r="H1891" t="s">
        <v>214</v>
      </c>
      <c r="J1891" s="2">
        <v>41703</v>
      </c>
      <c r="K1891">
        <v>198.1</v>
      </c>
    </row>
    <row r="1892" spans="1:11" x14ac:dyDescent="0.35">
      <c r="A1892" s="2">
        <v>41704</v>
      </c>
      <c r="B1892" s="1">
        <v>0</v>
      </c>
      <c r="C1892" t="s">
        <v>475</v>
      </c>
      <c r="D1892" t="s">
        <v>5216</v>
      </c>
      <c r="E1892" t="s">
        <v>5176</v>
      </c>
      <c r="F1892" t="s">
        <v>5215</v>
      </c>
      <c r="G1892" t="s">
        <v>5058</v>
      </c>
      <c r="H1892" t="s">
        <v>1296</v>
      </c>
      <c r="J1892" s="2">
        <v>41704</v>
      </c>
      <c r="K1892">
        <v>205.7</v>
      </c>
    </row>
    <row r="1893" spans="1:11" x14ac:dyDescent="0.35">
      <c r="A1893" s="2">
        <v>41705</v>
      </c>
      <c r="B1893" s="1">
        <v>0</v>
      </c>
      <c r="C1893" t="s">
        <v>2565</v>
      </c>
      <c r="D1893" t="s">
        <v>5391</v>
      </c>
      <c r="E1893" t="s">
        <v>5059</v>
      </c>
      <c r="F1893" t="s">
        <v>5215</v>
      </c>
      <c r="G1893" t="s">
        <v>5179</v>
      </c>
      <c r="H1893" t="s">
        <v>1656</v>
      </c>
      <c r="J1893" s="2">
        <v>41705</v>
      </c>
      <c r="K1893">
        <v>208.1</v>
      </c>
    </row>
    <row r="1894" spans="1:11" x14ac:dyDescent="0.35">
      <c r="A1894" s="2">
        <v>41706</v>
      </c>
      <c r="B1894" s="1">
        <v>0</v>
      </c>
      <c r="C1894" t="s">
        <v>349</v>
      </c>
      <c r="D1894" t="s">
        <v>5235</v>
      </c>
      <c r="E1894" t="s">
        <v>5167</v>
      </c>
      <c r="F1894" t="s">
        <v>5215</v>
      </c>
      <c r="G1894" t="s">
        <v>5050</v>
      </c>
      <c r="H1894" t="s">
        <v>246</v>
      </c>
      <c r="J1894" s="2">
        <v>41706</v>
      </c>
      <c r="K1894">
        <v>201.2</v>
      </c>
    </row>
    <row r="1895" spans="1:11" x14ac:dyDescent="0.35">
      <c r="A1895" s="2">
        <v>41707</v>
      </c>
      <c r="B1895" s="1">
        <v>0</v>
      </c>
      <c r="C1895" t="s">
        <v>449</v>
      </c>
      <c r="D1895" t="s">
        <v>5446</v>
      </c>
      <c r="E1895" t="s">
        <v>5428</v>
      </c>
      <c r="F1895" t="s">
        <v>5078</v>
      </c>
      <c r="G1895" t="s">
        <v>5050</v>
      </c>
      <c r="H1895" t="s">
        <v>3139</v>
      </c>
      <c r="J1895" s="2">
        <v>41707</v>
      </c>
      <c r="K1895">
        <v>197</v>
      </c>
    </row>
    <row r="1896" spans="1:11" x14ac:dyDescent="0.35">
      <c r="A1896" s="2">
        <v>41708</v>
      </c>
      <c r="B1896" s="1">
        <v>0</v>
      </c>
      <c r="C1896" t="s">
        <v>981</v>
      </c>
      <c r="D1896" t="s">
        <v>5097</v>
      </c>
      <c r="E1896" t="s">
        <v>5323</v>
      </c>
      <c r="F1896" t="s">
        <v>5215</v>
      </c>
      <c r="G1896" t="s">
        <v>5062</v>
      </c>
      <c r="H1896" t="s">
        <v>3613</v>
      </c>
      <c r="J1896" s="2">
        <v>41708</v>
      </c>
      <c r="K1896">
        <v>209.3</v>
      </c>
    </row>
    <row r="1897" spans="1:11" x14ac:dyDescent="0.35">
      <c r="A1897" s="2">
        <v>41709</v>
      </c>
      <c r="B1897" s="1">
        <v>0</v>
      </c>
      <c r="C1897" t="s">
        <v>1447</v>
      </c>
      <c r="D1897" t="s">
        <v>5554</v>
      </c>
      <c r="E1897" t="s">
        <v>5098</v>
      </c>
      <c r="F1897" t="s">
        <v>5215</v>
      </c>
      <c r="G1897" t="s">
        <v>5116</v>
      </c>
      <c r="H1897" t="s">
        <v>2070</v>
      </c>
      <c r="J1897" s="2">
        <v>41709</v>
      </c>
      <c r="K1897">
        <v>239.8</v>
      </c>
    </row>
    <row r="1898" spans="1:11" x14ac:dyDescent="0.35">
      <c r="A1898" s="2">
        <v>41710</v>
      </c>
      <c r="B1898" s="1">
        <v>0</v>
      </c>
      <c r="C1898" t="s">
        <v>522</v>
      </c>
      <c r="D1898" t="s">
        <v>5607</v>
      </c>
      <c r="E1898" t="s">
        <v>5123</v>
      </c>
      <c r="F1898" t="s">
        <v>5215</v>
      </c>
      <c r="G1898" t="s">
        <v>5136</v>
      </c>
      <c r="H1898" t="s">
        <v>5680</v>
      </c>
      <c r="J1898" s="2">
        <v>41710</v>
      </c>
      <c r="K1898">
        <v>269.5</v>
      </c>
    </row>
    <row r="1899" spans="1:11" x14ac:dyDescent="0.35">
      <c r="A1899" s="2">
        <v>41711</v>
      </c>
      <c r="B1899" s="1">
        <v>0</v>
      </c>
      <c r="C1899" t="s">
        <v>1386</v>
      </c>
      <c r="D1899" t="s">
        <v>5472</v>
      </c>
      <c r="E1899" t="s">
        <v>5072</v>
      </c>
      <c r="F1899" t="s">
        <v>5099</v>
      </c>
      <c r="G1899" t="s">
        <v>5355</v>
      </c>
      <c r="H1899" t="s">
        <v>3664</v>
      </c>
      <c r="J1899" s="2">
        <v>41711</v>
      </c>
      <c r="K1899">
        <v>281.10000000000002</v>
      </c>
    </row>
    <row r="1900" spans="1:11" x14ac:dyDescent="0.35">
      <c r="A1900" s="2">
        <v>41712</v>
      </c>
      <c r="B1900" s="1">
        <v>0</v>
      </c>
      <c r="C1900" t="s">
        <v>1383</v>
      </c>
      <c r="D1900" t="s">
        <v>5515</v>
      </c>
      <c r="E1900" t="s">
        <v>5229</v>
      </c>
      <c r="F1900" t="s">
        <v>5099</v>
      </c>
      <c r="G1900" t="s">
        <v>5132</v>
      </c>
      <c r="H1900" t="s">
        <v>3633</v>
      </c>
      <c r="J1900" s="2">
        <v>41712</v>
      </c>
      <c r="K1900">
        <v>273.7</v>
      </c>
    </row>
    <row r="1901" spans="1:11" x14ac:dyDescent="0.35">
      <c r="A1901" s="2">
        <v>41713</v>
      </c>
      <c r="B1901" s="1">
        <v>0</v>
      </c>
      <c r="C1901" t="s">
        <v>2281</v>
      </c>
      <c r="D1901" t="s">
        <v>5134</v>
      </c>
      <c r="E1901" t="s">
        <v>5121</v>
      </c>
      <c r="F1901" t="s">
        <v>5215</v>
      </c>
      <c r="G1901" t="s">
        <v>5116</v>
      </c>
      <c r="H1901" t="s">
        <v>5712</v>
      </c>
      <c r="J1901" s="2">
        <v>41713</v>
      </c>
      <c r="K1901">
        <v>254.1</v>
      </c>
    </row>
    <row r="1902" spans="1:11" x14ac:dyDescent="0.35">
      <c r="A1902" s="2">
        <v>41714</v>
      </c>
      <c r="B1902" s="1">
        <v>0</v>
      </c>
      <c r="C1902" t="s">
        <v>4644</v>
      </c>
      <c r="D1902" t="s">
        <v>5217</v>
      </c>
      <c r="E1902" t="s">
        <v>5304</v>
      </c>
      <c r="F1902" t="s">
        <v>5215</v>
      </c>
      <c r="G1902" t="s">
        <v>5078</v>
      </c>
      <c r="H1902" t="s">
        <v>1308</v>
      </c>
      <c r="J1902" s="2">
        <v>41714</v>
      </c>
      <c r="K1902">
        <v>232.1</v>
      </c>
    </row>
    <row r="1903" spans="1:11" x14ac:dyDescent="0.35">
      <c r="A1903" s="2">
        <v>41715</v>
      </c>
      <c r="B1903" s="1">
        <v>0</v>
      </c>
      <c r="C1903" t="s">
        <v>350</v>
      </c>
      <c r="D1903" t="s">
        <v>5558</v>
      </c>
      <c r="E1903" t="s">
        <v>5160</v>
      </c>
      <c r="F1903" t="s">
        <v>5078</v>
      </c>
      <c r="G1903" t="s">
        <v>5412</v>
      </c>
      <c r="H1903" t="s">
        <v>2727</v>
      </c>
      <c r="J1903" s="2">
        <v>41715</v>
      </c>
      <c r="K1903">
        <v>211.3</v>
      </c>
    </row>
    <row r="1904" spans="1:11" x14ac:dyDescent="0.35">
      <c r="A1904" s="2">
        <v>41716</v>
      </c>
      <c r="B1904" s="1">
        <v>0</v>
      </c>
      <c r="C1904" t="s">
        <v>3494</v>
      </c>
      <c r="D1904" t="s">
        <v>5373</v>
      </c>
      <c r="E1904" t="s">
        <v>5234</v>
      </c>
      <c r="F1904" t="s">
        <v>5078</v>
      </c>
      <c r="G1904" t="s">
        <v>5240</v>
      </c>
      <c r="H1904" t="s">
        <v>3984</v>
      </c>
      <c r="J1904" s="2">
        <v>41716</v>
      </c>
      <c r="K1904">
        <v>195.4</v>
      </c>
    </row>
    <row r="1905" spans="1:11" x14ac:dyDescent="0.35">
      <c r="A1905" s="2">
        <v>41717</v>
      </c>
      <c r="B1905" s="1">
        <v>0</v>
      </c>
      <c r="C1905" t="s">
        <v>1910</v>
      </c>
      <c r="D1905" t="s">
        <v>5596</v>
      </c>
      <c r="E1905" t="s">
        <v>5223</v>
      </c>
      <c r="F1905" t="s">
        <v>5078</v>
      </c>
      <c r="G1905" t="s">
        <v>5050</v>
      </c>
      <c r="H1905" t="s">
        <v>2366</v>
      </c>
      <c r="J1905" s="2">
        <v>41717</v>
      </c>
      <c r="K1905">
        <v>193.9</v>
      </c>
    </row>
    <row r="1906" spans="1:11" x14ac:dyDescent="0.35">
      <c r="A1906" s="2">
        <v>41718</v>
      </c>
      <c r="B1906" s="1">
        <v>0</v>
      </c>
      <c r="C1906" t="s">
        <v>345</v>
      </c>
      <c r="D1906" t="s">
        <v>5392</v>
      </c>
      <c r="E1906" t="s">
        <v>5175</v>
      </c>
      <c r="F1906" t="s">
        <v>5078</v>
      </c>
      <c r="G1906" t="s">
        <v>5054</v>
      </c>
      <c r="H1906" t="s">
        <v>753</v>
      </c>
      <c r="J1906" s="2">
        <v>41718</v>
      </c>
      <c r="K1906">
        <v>204.1</v>
      </c>
    </row>
    <row r="1907" spans="1:11" x14ac:dyDescent="0.35">
      <c r="A1907" s="2">
        <v>41719</v>
      </c>
      <c r="B1907" s="1">
        <v>0</v>
      </c>
      <c r="C1907" t="s">
        <v>457</v>
      </c>
      <c r="D1907" t="s">
        <v>5625</v>
      </c>
      <c r="E1907" t="s">
        <v>5306</v>
      </c>
      <c r="F1907" t="s">
        <v>5078</v>
      </c>
      <c r="G1907" t="s">
        <v>5179</v>
      </c>
      <c r="H1907" t="s">
        <v>3175</v>
      </c>
      <c r="J1907" s="2">
        <v>41719</v>
      </c>
      <c r="K1907">
        <v>210.3</v>
      </c>
    </row>
    <row r="1908" spans="1:11" x14ac:dyDescent="0.35">
      <c r="A1908" s="2">
        <v>41720</v>
      </c>
      <c r="B1908" s="1">
        <v>0</v>
      </c>
      <c r="C1908" t="s">
        <v>1059</v>
      </c>
      <c r="D1908" t="s">
        <v>5112</v>
      </c>
      <c r="E1908" t="s">
        <v>5219</v>
      </c>
      <c r="F1908" t="s">
        <v>5078</v>
      </c>
      <c r="G1908" t="s">
        <v>5240</v>
      </c>
      <c r="H1908" t="s">
        <v>2724</v>
      </c>
      <c r="J1908" s="2">
        <v>41720</v>
      </c>
      <c r="K1908">
        <v>208</v>
      </c>
    </row>
    <row r="1909" spans="1:11" x14ac:dyDescent="0.35">
      <c r="A1909" s="2">
        <v>41721</v>
      </c>
      <c r="B1909" s="1">
        <v>0</v>
      </c>
      <c r="C1909" t="s">
        <v>1045</v>
      </c>
      <c r="D1909" t="s">
        <v>5107</v>
      </c>
      <c r="E1909" t="s">
        <v>5236</v>
      </c>
      <c r="F1909" t="s">
        <v>5078</v>
      </c>
      <c r="G1909" t="s">
        <v>5174</v>
      </c>
      <c r="H1909" t="s">
        <v>3753</v>
      </c>
      <c r="J1909" s="2">
        <v>41721</v>
      </c>
      <c r="K1909">
        <v>205.5</v>
      </c>
    </row>
    <row r="1910" spans="1:11" x14ac:dyDescent="0.35">
      <c r="A1910" s="2">
        <v>41722</v>
      </c>
      <c r="B1910" s="1">
        <v>0</v>
      </c>
      <c r="C1910" t="s">
        <v>440</v>
      </c>
      <c r="D1910" t="s">
        <v>5107</v>
      </c>
      <c r="E1910" t="s">
        <v>5219</v>
      </c>
      <c r="F1910" t="s">
        <v>5078</v>
      </c>
      <c r="G1910" t="s">
        <v>5230</v>
      </c>
      <c r="H1910" t="s">
        <v>4755</v>
      </c>
      <c r="J1910" s="2">
        <v>41722</v>
      </c>
      <c r="K1910">
        <v>206.3</v>
      </c>
    </row>
    <row r="1911" spans="1:11" x14ac:dyDescent="0.35">
      <c r="A1911" s="2">
        <v>41723</v>
      </c>
      <c r="B1911" s="1">
        <v>0</v>
      </c>
      <c r="C1911" t="s">
        <v>1523</v>
      </c>
      <c r="D1911" t="s">
        <v>5481</v>
      </c>
      <c r="E1911" t="s">
        <v>5068</v>
      </c>
      <c r="F1911" t="s">
        <v>5078</v>
      </c>
      <c r="G1911" t="s">
        <v>5046</v>
      </c>
      <c r="H1911" t="s">
        <v>2724</v>
      </c>
      <c r="J1911" s="2">
        <v>41723</v>
      </c>
      <c r="K1911">
        <v>208</v>
      </c>
    </row>
    <row r="1912" spans="1:11" x14ac:dyDescent="0.35">
      <c r="A1912" s="2">
        <v>41724</v>
      </c>
      <c r="B1912" s="1">
        <v>0</v>
      </c>
      <c r="C1912" t="s">
        <v>1471</v>
      </c>
      <c r="D1912" t="s">
        <v>5486</v>
      </c>
      <c r="E1912" t="s">
        <v>5221</v>
      </c>
      <c r="F1912" t="s">
        <v>5078</v>
      </c>
      <c r="G1912" t="s">
        <v>5058</v>
      </c>
      <c r="H1912" t="s">
        <v>1303</v>
      </c>
      <c r="J1912" s="2">
        <v>41724</v>
      </c>
      <c r="K1912">
        <v>210.4</v>
      </c>
    </row>
    <row r="1913" spans="1:11" x14ac:dyDescent="0.35">
      <c r="A1913" s="2">
        <v>41725</v>
      </c>
      <c r="B1913" s="1">
        <v>0</v>
      </c>
      <c r="C1913" t="s">
        <v>985</v>
      </c>
      <c r="D1913" t="s">
        <v>5393</v>
      </c>
      <c r="E1913" t="s">
        <v>5068</v>
      </c>
      <c r="F1913" t="s">
        <v>5078</v>
      </c>
      <c r="G1913" t="s">
        <v>5065</v>
      </c>
      <c r="H1913" t="s">
        <v>1844</v>
      </c>
      <c r="J1913" s="2">
        <v>41725</v>
      </c>
      <c r="K1913">
        <v>215.6</v>
      </c>
    </row>
    <row r="1914" spans="1:11" x14ac:dyDescent="0.35">
      <c r="A1914" s="2">
        <v>41726</v>
      </c>
      <c r="B1914" s="1">
        <v>0</v>
      </c>
      <c r="C1914" t="s">
        <v>473</v>
      </c>
      <c r="D1914" t="s">
        <v>5122</v>
      </c>
      <c r="E1914" t="s">
        <v>5098</v>
      </c>
      <c r="F1914" t="s">
        <v>5215</v>
      </c>
      <c r="G1914" t="s">
        <v>5062</v>
      </c>
      <c r="H1914" t="s">
        <v>1205</v>
      </c>
      <c r="J1914" s="2">
        <v>41726</v>
      </c>
      <c r="K1914">
        <v>220.9</v>
      </c>
    </row>
    <row r="1915" spans="1:11" x14ac:dyDescent="0.35">
      <c r="A1915" s="2">
        <v>41727</v>
      </c>
      <c r="B1915" s="1">
        <v>0</v>
      </c>
      <c r="C1915" t="s">
        <v>1473</v>
      </c>
      <c r="D1915" t="s">
        <v>5574</v>
      </c>
      <c r="E1915" t="s">
        <v>5304</v>
      </c>
      <c r="F1915" t="s">
        <v>5215</v>
      </c>
      <c r="G1915" t="s">
        <v>5058</v>
      </c>
      <c r="H1915" t="s">
        <v>3640</v>
      </c>
      <c r="J1915" s="2">
        <v>41727</v>
      </c>
      <c r="K1915">
        <v>223.7</v>
      </c>
    </row>
    <row r="1916" spans="1:11" x14ac:dyDescent="0.35">
      <c r="A1916" s="2">
        <v>41728</v>
      </c>
      <c r="B1916" s="1">
        <v>0</v>
      </c>
      <c r="C1916" t="s">
        <v>1543</v>
      </c>
      <c r="D1916" t="s">
        <v>5246</v>
      </c>
      <c r="E1916" t="s">
        <v>5257</v>
      </c>
      <c r="F1916" t="s">
        <v>5215</v>
      </c>
      <c r="G1916" t="s">
        <v>5058</v>
      </c>
      <c r="H1916" t="s">
        <v>2827</v>
      </c>
      <c r="J1916" s="2">
        <v>41728</v>
      </c>
      <c r="K1916">
        <v>225.8</v>
      </c>
    </row>
    <row r="1917" spans="1:11" x14ac:dyDescent="0.35">
      <c r="A1917" s="2">
        <v>41729</v>
      </c>
      <c r="B1917" s="1">
        <v>0</v>
      </c>
      <c r="C1917" t="s">
        <v>3498</v>
      </c>
      <c r="D1917" t="s">
        <v>5582</v>
      </c>
      <c r="E1917" t="s">
        <v>5182</v>
      </c>
      <c r="F1917" t="s">
        <v>5215</v>
      </c>
      <c r="G1917" t="s">
        <v>5412</v>
      </c>
      <c r="H1917" t="s">
        <v>741</v>
      </c>
      <c r="J1917" s="2">
        <v>41729</v>
      </c>
      <c r="K1917">
        <v>226.1</v>
      </c>
    </row>
    <row r="1918" spans="1:11" x14ac:dyDescent="0.35">
      <c r="A1918" t="s">
        <v>2526</v>
      </c>
      <c r="B1918" s="1">
        <v>0</v>
      </c>
      <c r="C1918" t="s">
        <v>1482</v>
      </c>
      <c r="D1918" t="s">
        <v>5387</v>
      </c>
      <c r="E1918" t="s">
        <v>5236</v>
      </c>
      <c r="F1918" t="s">
        <v>5215</v>
      </c>
      <c r="G1918" t="s">
        <v>5058</v>
      </c>
      <c r="H1918" t="s">
        <v>1844</v>
      </c>
      <c r="J1918" t="s">
        <v>2526</v>
      </c>
      <c r="K1918">
        <v>215.6</v>
      </c>
    </row>
    <row r="1919" spans="1:11" x14ac:dyDescent="0.35">
      <c r="A1919" t="s">
        <v>2527</v>
      </c>
      <c r="B1919" s="1">
        <v>0</v>
      </c>
      <c r="C1919" t="s">
        <v>346</v>
      </c>
      <c r="D1919" t="s">
        <v>5575</v>
      </c>
      <c r="E1919" t="s">
        <v>5066</v>
      </c>
      <c r="F1919" t="s">
        <v>5077</v>
      </c>
      <c r="G1919" t="s">
        <v>5240</v>
      </c>
      <c r="H1919" t="s">
        <v>2115</v>
      </c>
      <c r="J1919" t="s">
        <v>2527</v>
      </c>
      <c r="K1919">
        <v>209.9</v>
      </c>
    </row>
    <row r="1920" spans="1:11" x14ac:dyDescent="0.35">
      <c r="A1920" t="s">
        <v>2528</v>
      </c>
      <c r="B1920" s="1">
        <v>0</v>
      </c>
      <c r="C1920" t="s">
        <v>3799</v>
      </c>
      <c r="D1920" t="s">
        <v>5225</v>
      </c>
      <c r="E1920" t="s">
        <v>5173</v>
      </c>
      <c r="F1920" t="s">
        <v>5077</v>
      </c>
      <c r="G1920" t="s">
        <v>5046</v>
      </c>
      <c r="H1920" t="s">
        <v>1198</v>
      </c>
      <c r="J1920" t="s">
        <v>2528</v>
      </c>
      <c r="K1920">
        <v>200.9</v>
      </c>
    </row>
    <row r="1921" spans="1:11" x14ac:dyDescent="0.35">
      <c r="A1921" t="s">
        <v>2529</v>
      </c>
      <c r="B1921" s="1">
        <v>0</v>
      </c>
      <c r="C1921" t="s">
        <v>1524</v>
      </c>
      <c r="D1921" t="s">
        <v>5264</v>
      </c>
      <c r="E1921" t="s">
        <v>5221</v>
      </c>
      <c r="F1921" t="s">
        <v>5077</v>
      </c>
      <c r="G1921" t="s">
        <v>5174</v>
      </c>
      <c r="H1921" t="s">
        <v>1193</v>
      </c>
      <c r="J1921" t="s">
        <v>2529</v>
      </c>
      <c r="K1921">
        <v>197.9</v>
      </c>
    </row>
    <row r="1922" spans="1:11" x14ac:dyDescent="0.35">
      <c r="A1922" t="s">
        <v>2530</v>
      </c>
      <c r="B1922" s="1">
        <v>0</v>
      </c>
      <c r="C1922" t="s">
        <v>349</v>
      </c>
      <c r="D1922" t="s">
        <v>5133</v>
      </c>
      <c r="E1922" t="s">
        <v>5167</v>
      </c>
      <c r="F1922" t="s">
        <v>5077</v>
      </c>
      <c r="G1922" t="s">
        <v>5050</v>
      </c>
      <c r="H1922" t="s">
        <v>5732</v>
      </c>
      <c r="J1922" t="s">
        <v>2530</v>
      </c>
      <c r="K1922">
        <v>200.4</v>
      </c>
    </row>
    <row r="1923" spans="1:11" x14ac:dyDescent="0.35">
      <c r="A1923" t="s">
        <v>2531</v>
      </c>
      <c r="B1923" s="1">
        <v>0</v>
      </c>
      <c r="C1923" t="s">
        <v>3800</v>
      </c>
      <c r="D1923" t="s">
        <v>5252</v>
      </c>
      <c r="E1923" t="s">
        <v>5167</v>
      </c>
      <c r="F1923" t="s">
        <v>5077</v>
      </c>
      <c r="G1923" t="s">
        <v>5179</v>
      </c>
      <c r="H1923" t="s">
        <v>4012</v>
      </c>
      <c r="J1923" t="s">
        <v>2531</v>
      </c>
      <c r="K1923">
        <v>201.6</v>
      </c>
    </row>
    <row r="1924" spans="1:11" x14ac:dyDescent="0.35">
      <c r="A1924" t="s">
        <v>2532</v>
      </c>
      <c r="B1924" s="1">
        <v>0</v>
      </c>
      <c r="C1924" t="s">
        <v>1916</v>
      </c>
      <c r="D1924" t="s">
        <v>5528</v>
      </c>
      <c r="E1924" t="s">
        <v>5173</v>
      </c>
      <c r="F1924" t="s">
        <v>5077</v>
      </c>
      <c r="G1924" t="s">
        <v>5412</v>
      </c>
      <c r="H1924" t="s">
        <v>2356</v>
      </c>
      <c r="J1924" t="s">
        <v>2532</v>
      </c>
      <c r="K1924">
        <v>202.5</v>
      </c>
    </row>
    <row r="1925" spans="1:11" x14ac:dyDescent="0.35">
      <c r="A1925" t="s">
        <v>2533</v>
      </c>
      <c r="B1925" s="1">
        <v>0</v>
      </c>
      <c r="C1925" t="s">
        <v>1916</v>
      </c>
      <c r="D1925" t="s">
        <v>5193</v>
      </c>
      <c r="E1925" t="s">
        <v>5197</v>
      </c>
      <c r="F1925" t="s">
        <v>5077</v>
      </c>
      <c r="G1925" t="s">
        <v>5062</v>
      </c>
      <c r="H1925" t="s">
        <v>3135</v>
      </c>
      <c r="J1925" t="s">
        <v>2533</v>
      </c>
      <c r="K1925">
        <v>204.5</v>
      </c>
    </row>
    <row r="1926" spans="1:11" x14ac:dyDescent="0.35">
      <c r="A1926" t="s">
        <v>2534</v>
      </c>
      <c r="B1926" s="1">
        <v>0</v>
      </c>
      <c r="C1926" t="s">
        <v>1060</v>
      </c>
      <c r="D1926" t="s">
        <v>5238</v>
      </c>
      <c r="E1926" t="s">
        <v>5071</v>
      </c>
      <c r="F1926" t="s">
        <v>5077</v>
      </c>
      <c r="G1926" t="s">
        <v>5412</v>
      </c>
      <c r="H1926" t="s">
        <v>1686</v>
      </c>
      <c r="J1926" t="s">
        <v>2534</v>
      </c>
      <c r="K1926">
        <v>204.7</v>
      </c>
    </row>
    <row r="1927" spans="1:11" x14ac:dyDescent="0.35">
      <c r="A1927" t="s">
        <v>2535</v>
      </c>
      <c r="B1927" s="1">
        <v>0</v>
      </c>
      <c r="C1927" t="s">
        <v>1054</v>
      </c>
      <c r="D1927" t="s">
        <v>5101</v>
      </c>
      <c r="E1927" t="s">
        <v>5160</v>
      </c>
      <c r="F1927" t="s">
        <v>5077</v>
      </c>
      <c r="G1927" t="s">
        <v>5054</v>
      </c>
      <c r="H1927" t="s">
        <v>683</v>
      </c>
      <c r="J1927" t="s">
        <v>2535</v>
      </c>
      <c r="K1927">
        <v>201.1</v>
      </c>
    </row>
    <row r="1928" spans="1:11" x14ac:dyDescent="0.35">
      <c r="A1928" t="s">
        <v>2536</v>
      </c>
      <c r="B1928" s="1">
        <v>0</v>
      </c>
      <c r="C1928" t="s">
        <v>1039</v>
      </c>
      <c r="D1928" t="s">
        <v>5552</v>
      </c>
      <c r="E1928" t="s">
        <v>5178</v>
      </c>
      <c r="F1928" t="s">
        <v>5077</v>
      </c>
      <c r="G1928" t="s">
        <v>5174</v>
      </c>
      <c r="H1928" t="s">
        <v>1293</v>
      </c>
      <c r="J1928" t="s">
        <v>2536</v>
      </c>
      <c r="K1928">
        <v>199.2</v>
      </c>
    </row>
    <row r="1929" spans="1:11" x14ac:dyDescent="0.35">
      <c r="A1929" t="s">
        <v>2537</v>
      </c>
      <c r="B1929" s="1">
        <v>0</v>
      </c>
      <c r="C1929" t="s">
        <v>430</v>
      </c>
      <c r="D1929" t="s">
        <v>5109</v>
      </c>
      <c r="E1929" t="s">
        <v>5272</v>
      </c>
      <c r="F1929" t="s">
        <v>5077</v>
      </c>
      <c r="G1929" t="s">
        <v>5172</v>
      </c>
      <c r="H1929" t="s">
        <v>3143</v>
      </c>
      <c r="J1929" t="s">
        <v>2537</v>
      </c>
      <c r="K1929">
        <v>199.1</v>
      </c>
    </row>
    <row r="1930" spans="1:11" x14ac:dyDescent="0.35">
      <c r="A1930" t="s">
        <v>2538</v>
      </c>
      <c r="B1930" s="1">
        <v>0</v>
      </c>
      <c r="C1930" t="s">
        <v>2241</v>
      </c>
      <c r="D1930" t="s">
        <v>5244</v>
      </c>
      <c r="E1930" t="s">
        <v>5069</v>
      </c>
      <c r="F1930" t="s">
        <v>5077</v>
      </c>
      <c r="G1930" t="s">
        <v>5172</v>
      </c>
      <c r="H1930" t="s">
        <v>2825</v>
      </c>
      <c r="J1930" t="s">
        <v>2538</v>
      </c>
      <c r="K1930">
        <v>203.8</v>
      </c>
    </row>
    <row r="1931" spans="1:11" x14ac:dyDescent="0.35">
      <c r="A1931" t="s">
        <v>2539</v>
      </c>
      <c r="B1931" s="1">
        <v>0</v>
      </c>
      <c r="C1931" t="s">
        <v>409</v>
      </c>
      <c r="D1931" t="s">
        <v>5084</v>
      </c>
      <c r="E1931" t="s">
        <v>5121</v>
      </c>
      <c r="F1931" t="s">
        <v>5077</v>
      </c>
      <c r="G1931" t="s">
        <v>5222</v>
      </c>
      <c r="H1931" t="s">
        <v>1296</v>
      </c>
      <c r="J1931" t="s">
        <v>2539</v>
      </c>
      <c r="K1931">
        <v>205.7</v>
      </c>
    </row>
    <row r="1932" spans="1:11" x14ac:dyDescent="0.35">
      <c r="A1932" t="s">
        <v>2540</v>
      </c>
      <c r="B1932" s="1">
        <v>0</v>
      </c>
      <c r="C1932" t="s">
        <v>1910</v>
      </c>
      <c r="D1932" t="s">
        <v>5107</v>
      </c>
      <c r="E1932" t="s">
        <v>5102</v>
      </c>
      <c r="F1932" t="s">
        <v>5077</v>
      </c>
      <c r="G1932" t="s">
        <v>5230</v>
      </c>
      <c r="H1932" t="s">
        <v>1686</v>
      </c>
      <c r="J1932" t="s">
        <v>2540</v>
      </c>
      <c r="K1932">
        <v>204.7</v>
      </c>
    </row>
    <row r="1933" spans="1:11" x14ac:dyDescent="0.35">
      <c r="A1933" t="s">
        <v>2541</v>
      </c>
      <c r="B1933" s="1">
        <v>0</v>
      </c>
      <c r="C1933" t="s">
        <v>443</v>
      </c>
      <c r="D1933" t="s">
        <v>5484</v>
      </c>
      <c r="E1933" t="s">
        <v>5197</v>
      </c>
      <c r="F1933" t="s">
        <v>5077</v>
      </c>
      <c r="G1933" t="s">
        <v>5050</v>
      </c>
      <c r="H1933" t="s">
        <v>3135</v>
      </c>
      <c r="J1933" t="s">
        <v>2541</v>
      </c>
      <c r="K1933">
        <v>204.5</v>
      </c>
    </row>
    <row r="1934" spans="1:11" x14ac:dyDescent="0.35">
      <c r="A1934" t="s">
        <v>2542</v>
      </c>
      <c r="B1934" s="1">
        <v>0</v>
      </c>
      <c r="C1934" t="s">
        <v>475</v>
      </c>
      <c r="D1934" t="s">
        <v>5533</v>
      </c>
      <c r="E1934" t="s">
        <v>5170</v>
      </c>
      <c r="F1934" t="s">
        <v>5077</v>
      </c>
      <c r="G1934" t="s">
        <v>5058</v>
      </c>
      <c r="H1934" t="s">
        <v>656</v>
      </c>
      <c r="J1934" t="s">
        <v>2542</v>
      </c>
      <c r="K1934">
        <v>207.3</v>
      </c>
    </row>
    <row r="1935" spans="1:11" x14ac:dyDescent="0.35">
      <c r="A1935" t="s">
        <v>2543</v>
      </c>
      <c r="B1935" s="1">
        <v>0</v>
      </c>
      <c r="C1935" t="s">
        <v>1531</v>
      </c>
      <c r="D1935" t="s">
        <v>5606</v>
      </c>
      <c r="E1935" t="s">
        <v>5073</v>
      </c>
      <c r="F1935" t="s">
        <v>5077</v>
      </c>
      <c r="G1935" t="s">
        <v>5475</v>
      </c>
      <c r="H1935" t="s">
        <v>238</v>
      </c>
      <c r="J1935" t="s">
        <v>2543</v>
      </c>
      <c r="K1935">
        <v>208.8</v>
      </c>
    </row>
    <row r="1936" spans="1:11" x14ac:dyDescent="0.35">
      <c r="A1936" t="s">
        <v>2544</v>
      </c>
      <c r="B1936" s="1">
        <v>0</v>
      </c>
      <c r="C1936" t="s">
        <v>327</v>
      </c>
      <c r="D1936" t="s">
        <v>5438</v>
      </c>
      <c r="E1936" t="s">
        <v>5061</v>
      </c>
      <c r="F1936" t="s">
        <v>5077</v>
      </c>
      <c r="G1936" t="s">
        <v>5183</v>
      </c>
      <c r="H1936" t="s">
        <v>2825</v>
      </c>
      <c r="J1936" t="s">
        <v>2544</v>
      </c>
      <c r="K1936">
        <v>203.8</v>
      </c>
    </row>
    <row r="1937" spans="1:11" x14ac:dyDescent="0.35">
      <c r="A1937" t="s">
        <v>2545</v>
      </c>
      <c r="B1937" s="1">
        <v>0</v>
      </c>
      <c r="C1937" t="s">
        <v>989</v>
      </c>
      <c r="D1937" t="s">
        <v>5187</v>
      </c>
      <c r="E1937" t="s">
        <v>5283</v>
      </c>
      <c r="F1937" t="s">
        <v>5077</v>
      </c>
      <c r="G1937" t="s">
        <v>5065</v>
      </c>
      <c r="H1937" t="s">
        <v>778</v>
      </c>
      <c r="J1937" t="s">
        <v>2545</v>
      </c>
      <c r="K1937">
        <v>195.8</v>
      </c>
    </row>
    <row r="1938" spans="1:11" x14ac:dyDescent="0.35">
      <c r="A1938" t="s">
        <v>2546</v>
      </c>
      <c r="B1938" s="1">
        <v>0</v>
      </c>
      <c r="C1938" t="s">
        <v>3799</v>
      </c>
      <c r="D1938" t="s">
        <v>5435</v>
      </c>
      <c r="E1938" t="s">
        <v>5568</v>
      </c>
      <c r="F1938" t="s">
        <v>5077</v>
      </c>
      <c r="G1938" t="s">
        <v>5179</v>
      </c>
      <c r="H1938" t="s">
        <v>1268</v>
      </c>
      <c r="J1938" t="s">
        <v>2546</v>
      </c>
      <c r="K1938">
        <v>188.6</v>
      </c>
    </row>
    <row r="1939" spans="1:11" x14ac:dyDescent="0.35">
      <c r="A1939" t="s">
        <v>2547</v>
      </c>
      <c r="B1939" s="1">
        <v>0</v>
      </c>
      <c r="C1939" t="s">
        <v>1043</v>
      </c>
      <c r="D1939" t="s">
        <v>5121</v>
      </c>
      <c r="E1939" t="s">
        <v>5289</v>
      </c>
      <c r="F1939" t="s">
        <v>5077</v>
      </c>
      <c r="G1939" t="s">
        <v>5050</v>
      </c>
      <c r="H1939" t="s">
        <v>1600</v>
      </c>
      <c r="J1939" t="s">
        <v>2547</v>
      </c>
      <c r="K1939">
        <v>185.4</v>
      </c>
    </row>
    <row r="1940" spans="1:11" x14ac:dyDescent="0.35">
      <c r="A1940" t="s">
        <v>2548</v>
      </c>
      <c r="B1940" s="1">
        <v>0</v>
      </c>
      <c r="C1940" t="s">
        <v>454</v>
      </c>
      <c r="D1940" t="s">
        <v>5085</v>
      </c>
      <c r="E1940" t="s">
        <v>5185</v>
      </c>
      <c r="F1940" t="s">
        <v>5077</v>
      </c>
      <c r="G1940" t="s">
        <v>5230</v>
      </c>
      <c r="H1940" t="s">
        <v>198</v>
      </c>
      <c r="J1940" t="s">
        <v>2548</v>
      </c>
      <c r="K1940">
        <v>187</v>
      </c>
    </row>
    <row r="1941" spans="1:11" x14ac:dyDescent="0.35">
      <c r="A1941" t="s">
        <v>2549</v>
      </c>
      <c r="B1941" s="1">
        <v>0</v>
      </c>
      <c r="C1941" t="s">
        <v>446</v>
      </c>
      <c r="D1941" t="s">
        <v>5508</v>
      </c>
      <c r="E1941" t="s">
        <v>5431</v>
      </c>
      <c r="F1941" t="s">
        <v>5077</v>
      </c>
      <c r="G1941" t="s">
        <v>5227</v>
      </c>
      <c r="H1941" t="s">
        <v>654</v>
      </c>
      <c r="J1941" t="s">
        <v>2549</v>
      </c>
      <c r="K1941">
        <v>191.6</v>
      </c>
    </row>
    <row r="1942" spans="1:11" x14ac:dyDescent="0.35">
      <c r="A1942" t="s">
        <v>2550</v>
      </c>
      <c r="B1942" s="1">
        <v>0</v>
      </c>
      <c r="C1942" t="s">
        <v>330</v>
      </c>
      <c r="D1942" t="s">
        <v>5454</v>
      </c>
      <c r="E1942" t="s">
        <v>5306</v>
      </c>
      <c r="F1942" t="s">
        <v>5077</v>
      </c>
      <c r="G1942" t="s">
        <v>5227</v>
      </c>
      <c r="H1942" t="s">
        <v>1686</v>
      </c>
      <c r="J1942" t="s">
        <v>2550</v>
      </c>
      <c r="K1942">
        <v>204.7</v>
      </c>
    </row>
    <row r="1943" spans="1:11" x14ac:dyDescent="0.35">
      <c r="A1943" t="s">
        <v>2551</v>
      </c>
      <c r="B1943" s="1">
        <v>0</v>
      </c>
      <c r="C1943" t="s">
        <v>1531</v>
      </c>
      <c r="D1943" t="s">
        <v>5583</v>
      </c>
      <c r="E1943" t="s">
        <v>5270</v>
      </c>
      <c r="F1943" t="s">
        <v>5077</v>
      </c>
      <c r="G1943" t="s">
        <v>5172</v>
      </c>
      <c r="H1943" t="s">
        <v>1206</v>
      </c>
      <c r="J1943" t="s">
        <v>2551</v>
      </c>
      <c r="K1943">
        <v>220.8</v>
      </c>
    </row>
    <row r="1944" spans="1:11" x14ac:dyDescent="0.35">
      <c r="A1944" t="s">
        <v>2553</v>
      </c>
      <c r="B1944" s="1">
        <v>0</v>
      </c>
      <c r="C1944" t="s">
        <v>1472</v>
      </c>
      <c r="D1944" t="s">
        <v>5274</v>
      </c>
      <c r="E1944" t="s">
        <v>5067</v>
      </c>
      <c r="F1944" t="s">
        <v>5077</v>
      </c>
      <c r="G1944" t="s">
        <v>5174</v>
      </c>
      <c r="H1944" t="s">
        <v>3325</v>
      </c>
      <c r="J1944" t="s">
        <v>2553</v>
      </c>
      <c r="K1944">
        <v>231</v>
      </c>
    </row>
    <row r="1945" spans="1:11" x14ac:dyDescent="0.35">
      <c r="A1945" t="s">
        <v>2555</v>
      </c>
      <c r="B1945" s="1">
        <v>0</v>
      </c>
      <c r="C1945" t="s">
        <v>360</v>
      </c>
      <c r="D1945" t="s">
        <v>5268</v>
      </c>
      <c r="E1945" t="s">
        <v>5069</v>
      </c>
      <c r="F1945" t="s">
        <v>5077</v>
      </c>
      <c r="G1945" t="s">
        <v>5046</v>
      </c>
      <c r="H1945" t="s">
        <v>3327</v>
      </c>
      <c r="J1945" t="s">
        <v>2555</v>
      </c>
      <c r="K1945">
        <v>226.8</v>
      </c>
    </row>
    <row r="1946" spans="1:11" x14ac:dyDescent="0.35">
      <c r="A1946" t="s">
        <v>2557</v>
      </c>
      <c r="B1946" s="1">
        <v>0</v>
      </c>
      <c r="C1946" t="s">
        <v>3799</v>
      </c>
      <c r="D1946" t="s">
        <v>5109</v>
      </c>
      <c r="E1946" t="s">
        <v>5208</v>
      </c>
      <c r="F1946" t="s">
        <v>5077</v>
      </c>
      <c r="G1946" t="s">
        <v>5230</v>
      </c>
      <c r="H1946" t="s">
        <v>238</v>
      </c>
      <c r="J1946" t="s">
        <v>2557</v>
      </c>
      <c r="K1946">
        <v>208.8</v>
      </c>
    </row>
    <row r="1947" spans="1:11" x14ac:dyDescent="0.35">
      <c r="A1947" t="s">
        <v>2558</v>
      </c>
      <c r="B1947" s="1">
        <v>0</v>
      </c>
      <c r="C1947" t="s">
        <v>1003</v>
      </c>
      <c r="D1947" t="s">
        <v>5595</v>
      </c>
      <c r="E1947" t="s">
        <v>5323</v>
      </c>
      <c r="F1947" t="s">
        <v>5077</v>
      </c>
      <c r="G1947" t="s">
        <v>5227</v>
      </c>
      <c r="H1947" t="s">
        <v>1266</v>
      </c>
      <c r="J1947" t="s">
        <v>2558</v>
      </c>
      <c r="K1947">
        <v>188</v>
      </c>
    </row>
    <row r="1948" spans="1:11" x14ac:dyDescent="0.35">
      <c r="A1948" s="2">
        <v>41760</v>
      </c>
      <c r="B1948" s="1">
        <v>0</v>
      </c>
      <c r="C1948" t="s">
        <v>5455</v>
      </c>
      <c r="D1948" t="s">
        <v>5198</v>
      </c>
      <c r="E1948" t="s">
        <v>5431</v>
      </c>
      <c r="F1948" t="s">
        <v>5077</v>
      </c>
      <c r="G1948" t="s">
        <v>5224</v>
      </c>
      <c r="H1948" t="s">
        <v>90</v>
      </c>
      <c r="J1948" s="2">
        <v>41760</v>
      </c>
      <c r="K1948">
        <v>174.1</v>
      </c>
    </row>
    <row r="1949" spans="1:11" x14ac:dyDescent="0.35">
      <c r="A1949" s="2">
        <v>41761</v>
      </c>
      <c r="B1949" s="1">
        <v>0</v>
      </c>
      <c r="C1949" t="s">
        <v>5499</v>
      </c>
      <c r="D1949" t="s">
        <v>5572</v>
      </c>
      <c r="E1949" t="s">
        <v>5073</v>
      </c>
      <c r="F1949" t="s">
        <v>5077</v>
      </c>
      <c r="G1949" t="s">
        <v>5330</v>
      </c>
      <c r="H1949" t="s">
        <v>190</v>
      </c>
      <c r="J1949" s="2">
        <v>41761</v>
      </c>
      <c r="K1949">
        <v>170.9</v>
      </c>
    </row>
    <row r="1950" spans="1:11" x14ac:dyDescent="0.35">
      <c r="A1950" s="2">
        <v>41762</v>
      </c>
      <c r="B1950" s="1">
        <v>0</v>
      </c>
      <c r="C1950" t="s">
        <v>5581</v>
      </c>
      <c r="D1950" t="s">
        <v>5200</v>
      </c>
      <c r="E1950" t="s">
        <v>5073</v>
      </c>
      <c r="F1950" t="s">
        <v>5077</v>
      </c>
      <c r="G1950" t="s">
        <v>5297</v>
      </c>
      <c r="H1950" t="s">
        <v>1848</v>
      </c>
      <c r="J1950" s="2">
        <v>41762</v>
      </c>
      <c r="K1950">
        <v>172.4</v>
      </c>
    </row>
    <row r="1951" spans="1:11" x14ac:dyDescent="0.35">
      <c r="A1951" s="2">
        <v>41763</v>
      </c>
      <c r="B1951" s="1">
        <v>0</v>
      </c>
      <c r="C1951" t="s">
        <v>5515</v>
      </c>
      <c r="D1951" t="s">
        <v>5433</v>
      </c>
      <c r="E1951" t="s">
        <v>5070</v>
      </c>
      <c r="F1951" t="s">
        <v>5077</v>
      </c>
      <c r="G1951" t="s">
        <v>5297</v>
      </c>
      <c r="H1951" t="s">
        <v>1411</v>
      </c>
      <c r="J1951" s="2">
        <v>41763</v>
      </c>
      <c r="K1951">
        <v>170.1</v>
      </c>
    </row>
    <row r="1952" spans="1:11" x14ac:dyDescent="0.35">
      <c r="A1952" s="2">
        <v>41764</v>
      </c>
      <c r="B1952" s="1">
        <v>0</v>
      </c>
      <c r="C1952" t="s">
        <v>5474</v>
      </c>
      <c r="D1952" t="s">
        <v>5270</v>
      </c>
      <c r="E1952" t="s">
        <v>5295</v>
      </c>
      <c r="F1952" t="s">
        <v>5077</v>
      </c>
      <c r="G1952" t="s">
        <v>5342</v>
      </c>
      <c r="H1952" t="s">
        <v>169</v>
      </c>
      <c r="J1952" s="2">
        <v>41764</v>
      </c>
      <c r="K1952">
        <v>162.80000000000001</v>
      </c>
    </row>
    <row r="1953" spans="1:11" x14ac:dyDescent="0.35">
      <c r="A1953" s="2">
        <v>41765</v>
      </c>
      <c r="B1953" s="1">
        <v>0</v>
      </c>
      <c r="C1953" t="s">
        <v>5574</v>
      </c>
      <c r="D1953" t="s">
        <v>5059</v>
      </c>
      <c r="E1953" t="s">
        <v>5320</v>
      </c>
      <c r="F1953" t="s">
        <v>5045</v>
      </c>
      <c r="G1953" t="s">
        <v>5397</v>
      </c>
      <c r="H1953" t="s">
        <v>88</v>
      </c>
      <c r="J1953" s="2">
        <v>41765</v>
      </c>
      <c r="K1953">
        <v>153.30000000000001</v>
      </c>
    </row>
    <row r="1954" spans="1:11" x14ac:dyDescent="0.35">
      <c r="A1954" s="2">
        <v>41766</v>
      </c>
      <c r="B1954" s="1">
        <v>0</v>
      </c>
      <c r="C1954" t="s">
        <v>5101</v>
      </c>
      <c r="D1954" t="s">
        <v>5055</v>
      </c>
      <c r="E1954" t="s">
        <v>5423</v>
      </c>
      <c r="F1954" t="s">
        <v>5045</v>
      </c>
      <c r="G1954" t="s">
        <v>5432</v>
      </c>
      <c r="H1954" t="s">
        <v>1800</v>
      </c>
      <c r="J1954" s="2">
        <v>41766</v>
      </c>
      <c r="K1954">
        <v>145.1</v>
      </c>
    </row>
    <row r="1955" spans="1:11" x14ac:dyDescent="0.35">
      <c r="A1955" s="2">
        <v>41767</v>
      </c>
      <c r="B1955" s="1">
        <v>0</v>
      </c>
      <c r="C1955" t="s">
        <v>5392</v>
      </c>
      <c r="D1955" t="s">
        <v>5185</v>
      </c>
      <c r="E1955" t="s">
        <v>5529</v>
      </c>
      <c r="F1955" t="s">
        <v>5045</v>
      </c>
      <c r="G1955" t="s">
        <v>5153</v>
      </c>
      <c r="H1955" t="s">
        <v>1806</v>
      </c>
      <c r="J1955" s="2">
        <v>41767</v>
      </c>
      <c r="K1955">
        <v>142.6</v>
      </c>
    </row>
    <row r="1956" spans="1:11" x14ac:dyDescent="0.35">
      <c r="A1956" s="2">
        <v>41768</v>
      </c>
      <c r="B1956" s="1">
        <v>0</v>
      </c>
      <c r="C1956" t="s">
        <v>5104</v>
      </c>
      <c r="D1956" t="s">
        <v>5418</v>
      </c>
      <c r="E1956" t="s">
        <v>5430</v>
      </c>
      <c r="F1956" t="s">
        <v>5045</v>
      </c>
      <c r="G1956" t="s">
        <v>5432</v>
      </c>
      <c r="H1956" t="s">
        <v>293</v>
      </c>
      <c r="J1956" s="2">
        <v>41768</v>
      </c>
      <c r="K1956">
        <v>146.4</v>
      </c>
    </row>
    <row r="1957" spans="1:11" x14ac:dyDescent="0.35">
      <c r="A1957" s="2">
        <v>41769</v>
      </c>
      <c r="B1957" s="1">
        <v>0</v>
      </c>
      <c r="C1957" t="s">
        <v>5593</v>
      </c>
      <c r="D1957" t="s">
        <v>5313</v>
      </c>
      <c r="E1957" t="s">
        <v>5322</v>
      </c>
      <c r="F1957" t="s">
        <v>5045</v>
      </c>
      <c r="G1957" t="s">
        <v>5397</v>
      </c>
      <c r="H1957" t="s">
        <v>960</v>
      </c>
      <c r="J1957" s="2">
        <v>41769</v>
      </c>
      <c r="K1957">
        <v>153.6</v>
      </c>
    </row>
    <row r="1958" spans="1:11" x14ac:dyDescent="0.35">
      <c r="A1958" s="2">
        <v>41770</v>
      </c>
      <c r="B1958" s="1">
        <v>0</v>
      </c>
      <c r="C1958" t="s">
        <v>5503</v>
      </c>
      <c r="D1958" t="s">
        <v>5310</v>
      </c>
      <c r="E1958" t="s">
        <v>5049</v>
      </c>
      <c r="F1958" t="s">
        <v>5045</v>
      </c>
      <c r="G1958" t="s">
        <v>5315</v>
      </c>
      <c r="H1958" t="s">
        <v>905</v>
      </c>
      <c r="J1958" s="2">
        <v>41770</v>
      </c>
      <c r="K1958">
        <v>159.6</v>
      </c>
    </row>
    <row r="1959" spans="1:11" x14ac:dyDescent="0.35">
      <c r="A1959" s="2">
        <v>41771</v>
      </c>
      <c r="B1959" s="1">
        <v>0</v>
      </c>
      <c r="C1959" t="s">
        <v>2252</v>
      </c>
      <c r="D1959" t="s">
        <v>5059</v>
      </c>
      <c r="E1959" t="s">
        <v>5284</v>
      </c>
      <c r="F1959" t="s">
        <v>5077</v>
      </c>
      <c r="G1959" t="s">
        <v>5291</v>
      </c>
      <c r="H1959" t="s">
        <v>190</v>
      </c>
      <c r="J1959" s="2">
        <v>41771</v>
      </c>
      <c r="K1959">
        <v>170.9</v>
      </c>
    </row>
    <row r="1960" spans="1:11" x14ac:dyDescent="0.35">
      <c r="A1960" s="2">
        <v>41772</v>
      </c>
      <c r="B1960" s="1">
        <v>0</v>
      </c>
      <c r="C1960" t="s">
        <v>445</v>
      </c>
      <c r="D1960" t="s">
        <v>5085</v>
      </c>
      <c r="E1960" t="s">
        <v>5418</v>
      </c>
      <c r="F1960" t="s">
        <v>5077</v>
      </c>
      <c r="G1960" t="s">
        <v>5227</v>
      </c>
      <c r="H1960" t="s">
        <v>1991</v>
      </c>
      <c r="J1960" s="2">
        <v>41772</v>
      </c>
      <c r="K1960">
        <v>189.3</v>
      </c>
    </row>
    <row r="1961" spans="1:11" x14ac:dyDescent="0.35">
      <c r="A1961" s="2">
        <v>41773</v>
      </c>
      <c r="B1961" s="1">
        <v>0</v>
      </c>
      <c r="C1961" t="s">
        <v>323</v>
      </c>
      <c r="D1961" t="s">
        <v>5254</v>
      </c>
      <c r="E1961" t="s">
        <v>5170</v>
      </c>
      <c r="F1961" t="s">
        <v>5077</v>
      </c>
      <c r="G1961" t="s">
        <v>5172</v>
      </c>
      <c r="H1961" t="s">
        <v>3913</v>
      </c>
      <c r="J1961" s="2">
        <v>41773</v>
      </c>
      <c r="K1961">
        <v>204.2</v>
      </c>
    </row>
    <row r="1962" spans="1:11" x14ac:dyDescent="0.35">
      <c r="A1962" s="2">
        <v>41774</v>
      </c>
      <c r="B1962" s="1">
        <v>0</v>
      </c>
      <c r="C1962" t="s">
        <v>1918</v>
      </c>
      <c r="D1962" t="s">
        <v>5606</v>
      </c>
      <c r="E1962" t="s">
        <v>5175</v>
      </c>
      <c r="F1962" t="s">
        <v>5077</v>
      </c>
      <c r="G1962" t="s">
        <v>5227</v>
      </c>
      <c r="H1962" t="s">
        <v>1724</v>
      </c>
      <c r="J1962" s="2">
        <v>41774</v>
      </c>
      <c r="K1962">
        <v>203.2</v>
      </c>
    </row>
    <row r="1963" spans="1:11" x14ac:dyDescent="0.35">
      <c r="A1963" s="2">
        <v>41775</v>
      </c>
      <c r="B1963" s="1">
        <v>0</v>
      </c>
      <c r="C1963" t="s">
        <v>1912</v>
      </c>
      <c r="D1963" t="s">
        <v>5519</v>
      </c>
      <c r="E1963" t="s">
        <v>5056</v>
      </c>
      <c r="F1963" t="s">
        <v>5077</v>
      </c>
      <c r="G1963" t="s">
        <v>5288</v>
      </c>
      <c r="H1963" t="s">
        <v>5004</v>
      </c>
      <c r="J1963" s="2">
        <v>41775</v>
      </c>
      <c r="K1963">
        <v>191.9</v>
      </c>
    </row>
    <row r="1964" spans="1:11" x14ac:dyDescent="0.35">
      <c r="A1964" s="2">
        <v>41776</v>
      </c>
      <c r="B1964" s="1">
        <v>0</v>
      </c>
      <c r="C1964" t="s">
        <v>1035</v>
      </c>
      <c r="D1964" t="s">
        <v>5471</v>
      </c>
      <c r="E1964" t="s">
        <v>5328</v>
      </c>
      <c r="F1964" t="s">
        <v>5077</v>
      </c>
      <c r="G1964" t="s">
        <v>5309</v>
      </c>
      <c r="H1964" t="s">
        <v>956</v>
      </c>
      <c r="J1964" s="2">
        <v>41776</v>
      </c>
      <c r="K1964">
        <v>180.7</v>
      </c>
    </row>
    <row r="1965" spans="1:11" x14ac:dyDescent="0.35">
      <c r="A1965" s="2">
        <v>41777</v>
      </c>
      <c r="B1965" s="1">
        <v>0</v>
      </c>
      <c r="C1965" t="s">
        <v>404</v>
      </c>
      <c r="D1965" t="s">
        <v>5121</v>
      </c>
      <c r="E1965" t="s">
        <v>5319</v>
      </c>
      <c r="F1965" t="s">
        <v>5077</v>
      </c>
      <c r="G1965" t="s">
        <v>5291</v>
      </c>
      <c r="H1965" t="s">
        <v>166</v>
      </c>
      <c r="J1965" s="2">
        <v>41777</v>
      </c>
      <c r="K1965">
        <v>175.7</v>
      </c>
    </row>
    <row r="1966" spans="1:11" x14ac:dyDescent="0.35">
      <c r="A1966" s="2">
        <v>41778</v>
      </c>
      <c r="B1966" s="1">
        <v>0</v>
      </c>
      <c r="C1966" t="s">
        <v>1035</v>
      </c>
      <c r="D1966" t="s">
        <v>5060</v>
      </c>
      <c r="E1966" t="s">
        <v>5051</v>
      </c>
      <c r="F1966" t="s">
        <v>5077</v>
      </c>
      <c r="G1966" t="s">
        <v>5309</v>
      </c>
      <c r="H1966" t="s">
        <v>599</v>
      </c>
      <c r="J1966" s="2">
        <v>41778</v>
      </c>
      <c r="K1966">
        <v>172.5</v>
      </c>
    </row>
    <row r="1967" spans="1:11" x14ac:dyDescent="0.35">
      <c r="A1967" s="2">
        <v>41779</v>
      </c>
      <c r="B1967" s="1">
        <v>0</v>
      </c>
      <c r="C1967" t="s">
        <v>5644</v>
      </c>
      <c r="D1967" t="s">
        <v>5071</v>
      </c>
      <c r="E1967" t="s">
        <v>5049</v>
      </c>
      <c r="F1967" t="s">
        <v>5077</v>
      </c>
      <c r="G1967" t="s">
        <v>5297</v>
      </c>
      <c r="H1967" t="s">
        <v>891</v>
      </c>
      <c r="J1967" s="2">
        <v>41779</v>
      </c>
      <c r="K1967">
        <v>166.9</v>
      </c>
    </row>
    <row r="1968" spans="1:11" x14ac:dyDescent="0.35">
      <c r="A1968" s="2">
        <v>41780</v>
      </c>
      <c r="B1968" s="1">
        <v>0</v>
      </c>
      <c r="C1968" t="s">
        <v>5506</v>
      </c>
      <c r="D1968" t="s">
        <v>5323</v>
      </c>
      <c r="E1968" t="s">
        <v>5322</v>
      </c>
      <c r="F1968" t="s">
        <v>5077</v>
      </c>
      <c r="G1968" t="s">
        <v>5400</v>
      </c>
      <c r="H1968" t="s">
        <v>590</v>
      </c>
      <c r="J1968" s="2">
        <v>41780</v>
      </c>
      <c r="K1968">
        <v>157.5</v>
      </c>
    </row>
    <row r="1969" spans="1:11" x14ac:dyDescent="0.35">
      <c r="A1969" s="2">
        <v>41781</v>
      </c>
      <c r="B1969" s="1">
        <v>0</v>
      </c>
      <c r="C1969" t="s">
        <v>5476</v>
      </c>
      <c r="D1969" t="s">
        <v>5064</v>
      </c>
      <c r="E1969" t="s">
        <v>5307</v>
      </c>
      <c r="F1969" t="s">
        <v>5077</v>
      </c>
      <c r="G1969" t="s">
        <v>5140</v>
      </c>
      <c r="H1969" t="s">
        <v>285</v>
      </c>
      <c r="J1969" s="2">
        <v>41781</v>
      </c>
      <c r="K1969">
        <v>147.9</v>
      </c>
    </row>
    <row r="1970" spans="1:11" x14ac:dyDescent="0.35">
      <c r="A1970" s="2">
        <v>41782</v>
      </c>
      <c r="B1970" s="1">
        <v>0</v>
      </c>
      <c r="C1970" t="s">
        <v>5370</v>
      </c>
      <c r="D1970" t="s">
        <v>5295</v>
      </c>
      <c r="E1970" t="s">
        <v>5326</v>
      </c>
      <c r="F1970" t="s">
        <v>5045</v>
      </c>
      <c r="G1970" t="s">
        <v>5334</v>
      </c>
      <c r="H1970" t="s">
        <v>5653</v>
      </c>
      <c r="J1970" s="2">
        <v>41782</v>
      </c>
      <c r="K1970">
        <v>140.6</v>
      </c>
    </row>
    <row r="1971" spans="1:11" x14ac:dyDescent="0.35">
      <c r="A1971" s="2">
        <v>41783</v>
      </c>
      <c r="B1971" s="1">
        <v>0</v>
      </c>
      <c r="C1971" t="s">
        <v>5133</v>
      </c>
      <c r="D1971" t="s">
        <v>5525</v>
      </c>
      <c r="E1971" t="s">
        <v>5293</v>
      </c>
      <c r="F1971" t="s">
        <v>5045</v>
      </c>
      <c r="G1971" t="s">
        <v>5411</v>
      </c>
      <c r="H1971" t="s">
        <v>534</v>
      </c>
      <c r="J1971" s="2">
        <v>41783</v>
      </c>
      <c r="K1971">
        <v>135.9</v>
      </c>
    </row>
    <row r="1972" spans="1:11" x14ac:dyDescent="0.35">
      <c r="A1972" s="2">
        <v>41784</v>
      </c>
      <c r="B1972" s="1">
        <v>0</v>
      </c>
      <c r="C1972" t="s">
        <v>5443</v>
      </c>
      <c r="D1972" t="s">
        <v>5622</v>
      </c>
      <c r="E1972" t="s">
        <v>5296</v>
      </c>
      <c r="F1972" t="s">
        <v>5045</v>
      </c>
      <c r="G1972" t="s">
        <v>5411</v>
      </c>
      <c r="H1972" t="s">
        <v>2155</v>
      </c>
      <c r="J1972" s="2">
        <v>41784</v>
      </c>
      <c r="K1972">
        <v>133.19999999999999</v>
      </c>
    </row>
    <row r="1973" spans="1:11" x14ac:dyDescent="0.35">
      <c r="A1973" s="2">
        <v>41785</v>
      </c>
      <c r="B1973" s="1">
        <v>0</v>
      </c>
      <c r="C1973" t="s">
        <v>5505</v>
      </c>
      <c r="D1973" t="s">
        <v>5545</v>
      </c>
      <c r="E1973" t="s">
        <v>5421</v>
      </c>
      <c r="F1973" t="s">
        <v>5045</v>
      </c>
      <c r="G1973" t="s">
        <v>5411</v>
      </c>
      <c r="H1973" t="s">
        <v>124</v>
      </c>
      <c r="J1973" s="2">
        <v>41785</v>
      </c>
      <c r="K1973">
        <v>131.4</v>
      </c>
    </row>
    <row r="1974" spans="1:11" x14ac:dyDescent="0.35">
      <c r="A1974" s="2">
        <v>41786</v>
      </c>
      <c r="B1974" s="1">
        <v>0</v>
      </c>
      <c r="C1974" t="s">
        <v>5137</v>
      </c>
      <c r="D1974" t="s">
        <v>5416</v>
      </c>
      <c r="E1974" t="s">
        <v>5047</v>
      </c>
      <c r="F1974" t="s">
        <v>5045</v>
      </c>
      <c r="G1974" t="s">
        <v>5337</v>
      </c>
      <c r="H1974" t="s">
        <v>1857</v>
      </c>
      <c r="J1974" s="2">
        <v>41786</v>
      </c>
      <c r="K1974">
        <v>129.69999999999999</v>
      </c>
    </row>
    <row r="1975" spans="1:11" x14ac:dyDescent="0.35">
      <c r="A1975" s="2">
        <v>41787</v>
      </c>
      <c r="B1975" s="1">
        <v>0</v>
      </c>
      <c r="C1975" t="s">
        <v>5131</v>
      </c>
      <c r="D1975" t="s">
        <v>5049</v>
      </c>
      <c r="E1975" t="s">
        <v>5547</v>
      </c>
      <c r="F1975" t="s">
        <v>5045</v>
      </c>
      <c r="G1975" t="s">
        <v>5339</v>
      </c>
      <c r="H1975" t="s">
        <v>1567</v>
      </c>
      <c r="J1975" s="2">
        <v>41787</v>
      </c>
      <c r="K1975">
        <v>128.1</v>
      </c>
    </row>
    <row r="1976" spans="1:11" x14ac:dyDescent="0.35">
      <c r="A1976" s="2">
        <v>41788</v>
      </c>
      <c r="B1976" s="1">
        <v>0</v>
      </c>
      <c r="C1976" t="s">
        <v>5437</v>
      </c>
      <c r="D1976" t="s">
        <v>5302</v>
      </c>
      <c r="E1976" t="s">
        <v>5547</v>
      </c>
      <c r="F1976" t="s">
        <v>5045</v>
      </c>
      <c r="G1976" t="s">
        <v>5339</v>
      </c>
      <c r="H1976" t="s">
        <v>1107</v>
      </c>
      <c r="J1976" s="2">
        <v>41788</v>
      </c>
      <c r="K1976">
        <v>127.5</v>
      </c>
    </row>
    <row r="1977" spans="1:11" x14ac:dyDescent="0.35">
      <c r="A1977" s="2">
        <v>41789</v>
      </c>
      <c r="B1977" s="1">
        <v>0</v>
      </c>
      <c r="C1977" t="s">
        <v>5439</v>
      </c>
      <c r="D1977" t="s">
        <v>5423</v>
      </c>
      <c r="E1977" t="s">
        <v>5421</v>
      </c>
      <c r="F1977" t="s">
        <v>5045</v>
      </c>
      <c r="G1977" t="s">
        <v>5156</v>
      </c>
      <c r="H1977" t="s">
        <v>1463</v>
      </c>
      <c r="J1977" s="2">
        <v>41789</v>
      </c>
      <c r="K1977">
        <v>130.19999999999999</v>
      </c>
    </row>
    <row r="1978" spans="1:11" x14ac:dyDescent="0.35">
      <c r="A1978" s="2">
        <v>41790</v>
      </c>
      <c r="B1978" s="1">
        <v>0</v>
      </c>
      <c r="C1978" t="s">
        <v>5606</v>
      </c>
      <c r="D1978" t="s">
        <v>5284</v>
      </c>
      <c r="E1978" t="s">
        <v>5139</v>
      </c>
      <c r="F1978" t="s">
        <v>5045</v>
      </c>
      <c r="G1978" t="s">
        <v>5339</v>
      </c>
      <c r="H1978" t="s">
        <v>2180</v>
      </c>
      <c r="J1978" s="2">
        <v>41790</v>
      </c>
      <c r="K1978">
        <v>135.80000000000001</v>
      </c>
    </row>
    <row r="1979" spans="1:11" x14ac:dyDescent="0.35">
      <c r="A1979" s="2">
        <v>41791</v>
      </c>
      <c r="B1979" s="1">
        <v>0</v>
      </c>
      <c r="C1979" t="s">
        <v>5579</v>
      </c>
      <c r="D1979" t="s">
        <v>5289</v>
      </c>
      <c r="E1979" t="s">
        <v>5307</v>
      </c>
      <c r="F1979" t="s">
        <v>5045</v>
      </c>
      <c r="G1979" t="s">
        <v>5339</v>
      </c>
      <c r="H1979" t="s">
        <v>834</v>
      </c>
      <c r="J1979" s="2">
        <v>41791</v>
      </c>
      <c r="K1979">
        <v>140.4</v>
      </c>
    </row>
    <row r="1980" spans="1:11" x14ac:dyDescent="0.35">
      <c r="A1980" s="2">
        <v>41792</v>
      </c>
      <c r="B1980" s="1">
        <v>0</v>
      </c>
      <c r="C1980" t="s">
        <v>5073</v>
      </c>
      <c r="D1980" t="s">
        <v>5493</v>
      </c>
      <c r="E1980" t="s">
        <v>5082</v>
      </c>
      <c r="F1980" t="s">
        <v>5168</v>
      </c>
      <c r="G1980" t="s">
        <v>5349</v>
      </c>
      <c r="H1980" t="s">
        <v>5335</v>
      </c>
      <c r="J1980" s="2">
        <v>41792</v>
      </c>
      <c r="K1980">
        <v>99.4</v>
      </c>
    </row>
    <row r="1981" spans="1:11" x14ac:dyDescent="0.35">
      <c r="A1981" s="2">
        <v>41793</v>
      </c>
      <c r="B1981" s="1">
        <v>0</v>
      </c>
      <c r="C1981" t="s">
        <v>5319</v>
      </c>
      <c r="D1981" t="s">
        <v>5358</v>
      </c>
      <c r="E1981" t="s">
        <v>5124</v>
      </c>
      <c r="F1981" t="s">
        <v>5168</v>
      </c>
      <c r="G1981" t="s">
        <v>5349</v>
      </c>
      <c r="H1981" t="s">
        <v>2269</v>
      </c>
      <c r="J1981" s="2">
        <v>41793</v>
      </c>
      <c r="K1981">
        <v>96.2</v>
      </c>
    </row>
    <row r="1982" spans="1:11" x14ac:dyDescent="0.35">
      <c r="A1982" s="2">
        <v>41794</v>
      </c>
      <c r="B1982" s="1">
        <v>0</v>
      </c>
      <c r="C1982" t="s">
        <v>5290</v>
      </c>
      <c r="D1982" t="s">
        <v>5092</v>
      </c>
      <c r="E1982" t="s">
        <v>5078</v>
      </c>
      <c r="F1982" t="s">
        <v>5168</v>
      </c>
      <c r="G1982" t="s">
        <v>5349</v>
      </c>
      <c r="H1982" t="s">
        <v>469</v>
      </c>
      <c r="J1982" s="2">
        <v>41794</v>
      </c>
      <c r="K1982">
        <v>92.3</v>
      </c>
    </row>
    <row r="1983" spans="1:11" x14ac:dyDescent="0.35">
      <c r="A1983" s="2">
        <v>41795</v>
      </c>
      <c r="B1983" s="1">
        <v>0</v>
      </c>
      <c r="C1983" t="s">
        <v>5311</v>
      </c>
      <c r="D1983" t="s">
        <v>5110</v>
      </c>
      <c r="E1983" t="s">
        <v>5475</v>
      </c>
      <c r="F1983" t="s">
        <v>5168</v>
      </c>
      <c r="G1983" t="s">
        <v>5353</v>
      </c>
      <c r="H1983" t="s">
        <v>364</v>
      </c>
      <c r="J1983" s="2">
        <v>41795</v>
      </c>
      <c r="K1983">
        <v>90.1</v>
      </c>
    </row>
    <row r="1984" spans="1:11" x14ac:dyDescent="0.35">
      <c r="A1984" s="2">
        <v>41796</v>
      </c>
      <c r="B1984" s="1">
        <v>0</v>
      </c>
      <c r="C1984" t="s">
        <v>5329</v>
      </c>
      <c r="D1984" t="s">
        <v>5358</v>
      </c>
      <c r="E1984" t="s">
        <v>5183</v>
      </c>
      <c r="F1984" t="s">
        <v>5168</v>
      </c>
      <c r="G1984" t="s">
        <v>5353</v>
      </c>
      <c r="H1984" t="s">
        <v>364</v>
      </c>
      <c r="J1984" s="2">
        <v>41796</v>
      </c>
      <c r="K1984">
        <v>90.1</v>
      </c>
    </row>
    <row r="1985" spans="1:11" x14ac:dyDescent="0.35">
      <c r="A1985" s="2">
        <v>41797</v>
      </c>
      <c r="B1985" s="1">
        <v>0</v>
      </c>
      <c r="C1985" t="s">
        <v>5316</v>
      </c>
      <c r="D1985" t="s">
        <v>5493</v>
      </c>
      <c r="E1985" t="s">
        <v>5078</v>
      </c>
      <c r="F1985" t="s">
        <v>5168</v>
      </c>
      <c r="G1985" t="s">
        <v>5353</v>
      </c>
      <c r="H1985" t="s">
        <v>980</v>
      </c>
      <c r="J1985" s="2">
        <v>41797</v>
      </c>
      <c r="K1985">
        <v>90.6</v>
      </c>
    </row>
    <row r="1986" spans="1:11" x14ac:dyDescent="0.35">
      <c r="A1986" s="2">
        <v>41798</v>
      </c>
      <c r="B1986" s="1">
        <v>0</v>
      </c>
      <c r="C1986" t="s">
        <v>5352</v>
      </c>
      <c r="D1986" t="s">
        <v>5136</v>
      </c>
      <c r="E1986" t="s">
        <v>5078</v>
      </c>
      <c r="F1986" t="s">
        <v>5168</v>
      </c>
      <c r="G1986" t="s">
        <v>5353</v>
      </c>
      <c r="H1986" t="s">
        <v>2567</v>
      </c>
      <c r="J1986" s="2">
        <v>41798</v>
      </c>
      <c r="K1986">
        <v>90</v>
      </c>
    </row>
    <row r="1987" spans="1:11" x14ac:dyDescent="0.35">
      <c r="A1987" s="2">
        <v>41799</v>
      </c>
      <c r="B1987" s="1">
        <v>0</v>
      </c>
      <c r="C1987" t="s">
        <v>5345</v>
      </c>
      <c r="D1987" t="s">
        <v>5077</v>
      </c>
      <c r="E1987" t="s">
        <v>5475</v>
      </c>
      <c r="F1987" t="s">
        <v>5168</v>
      </c>
      <c r="G1987" t="s">
        <v>5353</v>
      </c>
      <c r="H1987" t="s">
        <v>353</v>
      </c>
      <c r="J1987" s="2">
        <v>41799</v>
      </c>
      <c r="K1987">
        <v>88.6</v>
      </c>
    </row>
    <row r="1988" spans="1:11" x14ac:dyDescent="0.35">
      <c r="A1988" s="2">
        <v>41800</v>
      </c>
      <c r="B1988" s="1">
        <v>0</v>
      </c>
      <c r="C1988" t="s">
        <v>5205</v>
      </c>
      <c r="D1988" t="s">
        <v>5095</v>
      </c>
      <c r="E1988" t="s">
        <v>5412</v>
      </c>
      <c r="F1988" t="s">
        <v>5168</v>
      </c>
      <c r="G1988" t="s">
        <v>5353</v>
      </c>
      <c r="H1988" t="s">
        <v>346</v>
      </c>
      <c r="J1988" s="2">
        <v>41800</v>
      </c>
      <c r="K1988">
        <v>86.9</v>
      </c>
    </row>
    <row r="1989" spans="1:11" x14ac:dyDescent="0.35">
      <c r="A1989" s="2">
        <v>41801</v>
      </c>
      <c r="B1989" s="1">
        <v>0</v>
      </c>
      <c r="C1989" t="s">
        <v>5333</v>
      </c>
      <c r="D1989" t="s">
        <v>5475</v>
      </c>
      <c r="E1989" t="s">
        <v>5179</v>
      </c>
      <c r="F1989" t="s">
        <v>5168</v>
      </c>
      <c r="G1989" t="s">
        <v>5354</v>
      </c>
      <c r="H1989" t="s">
        <v>326</v>
      </c>
      <c r="J1989" s="2">
        <v>41801</v>
      </c>
      <c r="K1989">
        <v>85.5</v>
      </c>
    </row>
    <row r="1990" spans="1:11" x14ac:dyDescent="0.35">
      <c r="A1990" s="2">
        <v>41802</v>
      </c>
      <c r="B1990" s="1">
        <v>0</v>
      </c>
      <c r="C1990" t="s">
        <v>5493</v>
      </c>
      <c r="D1990" t="s">
        <v>5412</v>
      </c>
      <c r="E1990" t="s">
        <v>5054</v>
      </c>
      <c r="F1990" t="s">
        <v>5168</v>
      </c>
      <c r="G1990" t="s">
        <v>5354</v>
      </c>
      <c r="H1990" t="s">
        <v>1523</v>
      </c>
      <c r="J1990" s="2">
        <v>41802</v>
      </c>
      <c r="K1990">
        <v>84.6</v>
      </c>
    </row>
    <row r="1991" spans="1:11" x14ac:dyDescent="0.35">
      <c r="A1991" s="2">
        <v>41803</v>
      </c>
      <c r="B1991" s="1">
        <v>0</v>
      </c>
      <c r="C1991" t="s">
        <v>5356</v>
      </c>
      <c r="D1991" t="s">
        <v>5179</v>
      </c>
      <c r="E1991" t="s">
        <v>5240</v>
      </c>
      <c r="F1991" t="s">
        <v>5168</v>
      </c>
      <c r="G1991" t="s">
        <v>5354</v>
      </c>
      <c r="H1991" t="s">
        <v>1527</v>
      </c>
      <c r="J1991" s="2">
        <v>41803</v>
      </c>
      <c r="K1991">
        <v>84.1</v>
      </c>
    </row>
    <row r="1992" spans="1:11" x14ac:dyDescent="0.35">
      <c r="A1992" s="2">
        <v>41804</v>
      </c>
      <c r="B1992" s="1">
        <v>0</v>
      </c>
      <c r="C1992" t="s">
        <v>5358</v>
      </c>
      <c r="D1992" t="s">
        <v>5054</v>
      </c>
      <c r="E1992" t="s">
        <v>5050</v>
      </c>
      <c r="F1992" t="s">
        <v>5168</v>
      </c>
      <c r="G1992" t="s">
        <v>5354</v>
      </c>
      <c r="H1992" t="s">
        <v>448</v>
      </c>
      <c r="J1992" s="2">
        <v>41804</v>
      </c>
      <c r="K1992">
        <v>83.7</v>
      </c>
    </row>
    <row r="1993" spans="1:11" x14ac:dyDescent="0.35">
      <c r="A1993" s="2">
        <v>41805</v>
      </c>
      <c r="B1993" s="1">
        <v>0</v>
      </c>
      <c r="C1993" t="s">
        <v>5089</v>
      </c>
      <c r="D1993" t="s">
        <v>5240</v>
      </c>
      <c r="E1993" t="s">
        <v>5050</v>
      </c>
      <c r="F1993" t="s">
        <v>5168</v>
      </c>
      <c r="G1993" t="s">
        <v>5354</v>
      </c>
      <c r="H1993" t="s">
        <v>444</v>
      </c>
      <c r="J1993" s="2">
        <v>41805</v>
      </c>
      <c r="K1993">
        <v>83.5</v>
      </c>
    </row>
    <row r="1994" spans="1:11" x14ac:dyDescent="0.35">
      <c r="A1994" s="2">
        <v>41806</v>
      </c>
      <c r="B1994" s="1">
        <v>0</v>
      </c>
      <c r="C1994" t="s">
        <v>5077</v>
      </c>
      <c r="D1994" t="s">
        <v>5050</v>
      </c>
      <c r="E1994" t="s">
        <v>5050</v>
      </c>
      <c r="F1994" t="s">
        <v>5168</v>
      </c>
      <c r="G1994" t="s">
        <v>5354</v>
      </c>
      <c r="H1994" t="s">
        <v>363</v>
      </c>
      <c r="J1994" s="2">
        <v>41806</v>
      </c>
      <c r="K1994">
        <v>83.3</v>
      </c>
    </row>
    <row r="1995" spans="1:11" x14ac:dyDescent="0.35">
      <c r="A1995" s="2">
        <v>41807</v>
      </c>
      <c r="B1995" s="1">
        <v>0</v>
      </c>
      <c r="C1995" t="s">
        <v>5358</v>
      </c>
      <c r="D1995" t="s">
        <v>5050</v>
      </c>
      <c r="E1995" t="s">
        <v>5046</v>
      </c>
      <c r="F1995" t="s">
        <v>5168</v>
      </c>
      <c r="G1995" t="s">
        <v>5354</v>
      </c>
      <c r="H1995" t="s">
        <v>444</v>
      </c>
      <c r="J1995" s="2">
        <v>41807</v>
      </c>
      <c r="K1995">
        <v>83.5</v>
      </c>
    </row>
    <row r="1996" spans="1:11" x14ac:dyDescent="0.35">
      <c r="A1996" s="2">
        <v>41808</v>
      </c>
      <c r="B1996" s="1">
        <v>0</v>
      </c>
      <c r="C1996" t="s">
        <v>5350</v>
      </c>
      <c r="D1996" t="s">
        <v>5046</v>
      </c>
      <c r="E1996" t="s">
        <v>5046</v>
      </c>
      <c r="F1996" t="s">
        <v>5168</v>
      </c>
      <c r="G1996" t="s">
        <v>5361</v>
      </c>
      <c r="H1996" t="s">
        <v>983</v>
      </c>
      <c r="J1996" s="2">
        <v>41808</v>
      </c>
      <c r="K1996">
        <v>86.7</v>
      </c>
    </row>
    <row r="1997" spans="1:11" x14ac:dyDescent="0.35">
      <c r="A1997" s="2">
        <v>41809</v>
      </c>
      <c r="B1997" s="1">
        <v>0</v>
      </c>
      <c r="C1997" t="s">
        <v>5052</v>
      </c>
      <c r="D1997" t="s">
        <v>5046</v>
      </c>
      <c r="E1997" t="s">
        <v>5046</v>
      </c>
      <c r="F1997" t="s">
        <v>5168</v>
      </c>
      <c r="G1997" t="s">
        <v>5360</v>
      </c>
      <c r="H1997" t="s">
        <v>2264</v>
      </c>
      <c r="J1997" s="2">
        <v>41809</v>
      </c>
      <c r="K1997">
        <v>93.5</v>
      </c>
    </row>
    <row r="1998" spans="1:11" x14ac:dyDescent="0.35">
      <c r="A1998" s="2">
        <v>41810</v>
      </c>
      <c r="B1998" s="1">
        <v>0</v>
      </c>
      <c r="C1998" t="s">
        <v>5257</v>
      </c>
      <c r="D1998" t="s">
        <v>5046</v>
      </c>
      <c r="E1998" t="s">
        <v>5046</v>
      </c>
      <c r="F1998" t="s">
        <v>5168</v>
      </c>
      <c r="G1998" t="s">
        <v>5396</v>
      </c>
      <c r="H1998" t="s">
        <v>1063</v>
      </c>
      <c r="J1998" s="2">
        <v>41810</v>
      </c>
      <c r="K1998">
        <v>100.8</v>
      </c>
    </row>
    <row r="1999" spans="1:11" x14ac:dyDescent="0.35">
      <c r="A1999" s="2">
        <v>41811</v>
      </c>
      <c r="B1999" s="1">
        <v>0</v>
      </c>
      <c r="C1999" t="s">
        <v>5218</v>
      </c>
      <c r="D1999" t="s">
        <v>5046</v>
      </c>
      <c r="E1999" t="s">
        <v>5046</v>
      </c>
      <c r="F1999" t="s">
        <v>5156</v>
      </c>
      <c r="G1999" t="s">
        <v>5395</v>
      </c>
      <c r="H1999" t="s">
        <v>1919</v>
      </c>
      <c r="J1999" s="2">
        <v>41811</v>
      </c>
      <c r="K1999">
        <v>102.5</v>
      </c>
    </row>
    <row r="2000" spans="1:11" x14ac:dyDescent="0.35">
      <c r="A2000" s="2">
        <v>41812</v>
      </c>
      <c r="B2000" s="1">
        <v>0</v>
      </c>
      <c r="C2000" t="s">
        <v>5249</v>
      </c>
      <c r="D2000" t="s">
        <v>5046</v>
      </c>
      <c r="E2000" t="s">
        <v>5046</v>
      </c>
      <c r="F2000" t="s">
        <v>5168</v>
      </c>
      <c r="G2000" t="s">
        <v>5562</v>
      </c>
      <c r="H2000" t="s">
        <v>1477</v>
      </c>
      <c r="J2000" s="2">
        <v>41812</v>
      </c>
      <c r="K2000">
        <v>99.8</v>
      </c>
    </row>
    <row r="2001" spans="1:11" x14ac:dyDescent="0.35">
      <c r="A2001" s="2">
        <v>41813</v>
      </c>
      <c r="B2001" s="1">
        <v>0</v>
      </c>
      <c r="C2001" t="s">
        <v>5328</v>
      </c>
      <c r="D2001" t="s">
        <v>5046</v>
      </c>
      <c r="E2001" t="s">
        <v>5046</v>
      </c>
      <c r="F2001" t="s">
        <v>5168</v>
      </c>
      <c r="G2001" t="s">
        <v>5360</v>
      </c>
      <c r="H2001" t="s">
        <v>2605</v>
      </c>
      <c r="J2001" s="2">
        <v>41813</v>
      </c>
      <c r="K2001">
        <v>94.8</v>
      </c>
    </row>
    <row r="2002" spans="1:11" x14ac:dyDescent="0.35">
      <c r="A2002" s="2">
        <v>41814</v>
      </c>
      <c r="B2002" s="1">
        <v>0</v>
      </c>
      <c r="C2002" t="s">
        <v>5044</v>
      </c>
      <c r="D2002" t="s">
        <v>5046</v>
      </c>
      <c r="E2002" t="s">
        <v>5046</v>
      </c>
      <c r="F2002" t="s">
        <v>5168</v>
      </c>
      <c r="G2002" t="s">
        <v>5343</v>
      </c>
      <c r="H2002" t="s">
        <v>355</v>
      </c>
      <c r="J2002" s="2">
        <v>41814</v>
      </c>
      <c r="K2002">
        <v>90.5</v>
      </c>
    </row>
    <row r="2003" spans="1:11" x14ac:dyDescent="0.35">
      <c r="A2003" s="2">
        <v>41815</v>
      </c>
      <c r="B2003" s="1">
        <v>0</v>
      </c>
      <c r="C2003" t="s">
        <v>5551</v>
      </c>
      <c r="D2003" t="s">
        <v>5046</v>
      </c>
      <c r="E2003" t="s">
        <v>5046</v>
      </c>
      <c r="F2003" t="s">
        <v>5168</v>
      </c>
      <c r="G2003" t="s">
        <v>5361</v>
      </c>
      <c r="H2003" t="s">
        <v>361</v>
      </c>
      <c r="J2003" s="2">
        <v>41815</v>
      </c>
      <c r="K2003">
        <v>87.9</v>
      </c>
    </row>
    <row r="2004" spans="1:11" x14ac:dyDescent="0.35">
      <c r="A2004" s="2">
        <v>41816</v>
      </c>
      <c r="B2004" s="1">
        <v>0</v>
      </c>
      <c r="C2004" t="s">
        <v>5527</v>
      </c>
      <c r="D2004" t="s">
        <v>5046</v>
      </c>
      <c r="E2004" t="s">
        <v>5046</v>
      </c>
      <c r="F2004" t="s">
        <v>5168</v>
      </c>
      <c r="G2004" t="s">
        <v>5349</v>
      </c>
      <c r="H2004" t="s">
        <v>457</v>
      </c>
      <c r="J2004" s="2">
        <v>41816</v>
      </c>
      <c r="K2004">
        <v>86.2</v>
      </c>
    </row>
    <row r="2005" spans="1:11" x14ac:dyDescent="0.35">
      <c r="A2005" s="2">
        <v>41817</v>
      </c>
      <c r="B2005" s="1">
        <v>0</v>
      </c>
      <c r="C2005" t="s">
        <v>5152</v>
      </c>
      <c r="D2005" t="s">
        <v>5046</v>
      </c>
      <c r="E2005" t="s">
        <v>5046</v>
      </c>
      <c r="F2005" t="s">
        <v>5168</v>
      </c>
      <c r="G2005" t="s">
        <v>5353</v>
      </c>
      <c r="H2005" t="s">
        <v>1917</v>
      </c>
      <c r="J2005" s="2">
        <v>41817</v>
      </c>
      <c r="K2005">
        <v>85.2</v>
      </c>
    </row>
    <row r="2006" spans="1:11" x14ac:dyDescent="0.35">
      <c r="A2006" s="2">
        <v>41818</v>
      </c>
      <c r="B2006" s="1">
        <v>0</v>
      </c>
      <c r="C2006" t="s">
        <v>5155</v>
      </c>
      <c r="D2006" t="s">
        <v>5046</v>
      </c>
      <c r="E2006" t="s">
        <v>5046</v>
      </c>
      <c r="F2006" t="s">
        <v>5168</v>
      </c>
      <c r="G2006" t="s">
        <v>5353</v>
      </c>
      <c r="H2006" t="s">
        <v>479</v>
      </c>
      <c r="J2006" s="2">
        <v>41818</v>
      </c>
      <c r="K2006">
        <v>84.9</v>
      </c>
    </row>
    <row r="2007" spans="1:11" x14ac:dyDescent="0.35">
      <c r="A2007" s="2">
        <v>41819</v>
      </c>
      <c r="B2007" s="1">
        <v>0</v>
      </c>
      <c r="C2007" t="s">
        <v>5155</v>
      </c>
      <c r="D2007" t="s">
        <v>5046</v>
      </c>
      <c r="E2007" t="s">
        <v>5046</v>
      </c>
      <c r="F2007" t="s">
        <v>5168</v>
      </c>
      <c r="G2007" t="s">
        <v>5353</v>
      </c>
      <c r="H2007" t="s">
        <v>1522</v>
      </c>
      <c r="J2007" s="2">
        <v>41819</v>
      </c>
      <c r="K2007">
        <v>84.8</v>
      </c>
    </row>
    <row r="2008" spans="1:11" x14ac:dyDescent="0.35">
      <c r="A2008" s="2">
        <v>41820</v>
      </c>
      <c r="B2008" s="1">
        <v>0</v>
      </c>
      <c r="C2008" t="s">
        <v>5188</v>
      </c>
      <c r="D2008" t="s">
        <v>5046</v>
      </c>
      <c r="E2008" t="s">
        <v>5046</v>
      </c>
      <c r="F2008" t="s">
        <v>5168</v>
      </c>
      <c r="G2008" t="s">
        <v>5354</v>
      </c>
      <c r="H2008" t="s">
        <v>1534</v>
      </c>
      <c r="J2008" s="2">
        <v>41820</v>
      </c>
      <c r="K2008">
        <v>84.7</v>
      </c>
    </row>
    <row r="2009" spans="1:11" x14ac:dyDescent="0.35">
      <c r="A2009" t="s">
        <v>2568</v>
      </c>
      <c r="B2009" s="1">
        <v>0</v>
      </c>
      <c r="C2009" t="s">
        <v>5166</v>
      </c>
      <c r="D2009" t="s">
        <v>5046</v>
      </c>
      <c r="E2009" t="s">
        <v>5046</v>
      </c>
      <c r="F2009" t="s">
        <v>5168</v>
      </c>
      <c r="G2009" t="s">
        <v>5354</v>
      </c>
      <c r="H2009" t="s">
        <v>341</v>
      </c>
      <c r="J2009" t="s">
        <v>2568</v>
      </c>
      <c r="K2009">
        <v>84.4</v>
      </c>
    </row>
    <row r="2010" spans="1:11" x14ac:dyDescent="0.35">
      <c r="A2010" t="s">
        <v>2569</v>
      </c>
      <c r="B2010" s="1">
        <v>0</v>
      </c>
      <c r="C2010" t="s">
        <v>5397</v>
      </c>
      <c r="D2010" t="s">
        <v>5357</v>
      </c>
      <c r="E2010" t="s">
        <v>5409</v>
      </c>
      <c r="F2010" t="s">
        <v>5364</v>
      </c>
      <c r="G2010" t="s">
        <v>5375</v>
      </c>
      <c r="H2010" t="s">
        <v>5455</v>
      </c>
      <c r="J2010" t="s">
        <v>2569</v>
      </c>
      <c r="K2010">
        <v>61</v>
      </c>
    </row>
    <row r="2011" spans="1:11" x14ac:dyDescent="0.35">
      <c r="A2011" t="s">
        <v>2570</v>
      </c>
      <c r="B2011" s="1">
        <v>0</v>
      </c>
      <c r="C2011" t="s">
        <v>5140</v>
      </c>
      <c r="D2011" t="s">
        <v>5357</v>
      </c>
      <c r="E2011" t="s">
        <v>5409</v>
      </c>
      <c r="F2011" t="s">
        <v>5364</v>
      </c>
      <c r="G2011" t="s">
        <v>5375</v>
      </c>
      <c r="H2011" t="s">
        <v>5231</v>
      </c>
      <c r="J2011" t="s">
        <v>2570</v>
      </c>
      <c r="K2011">
        <v>60.8</v>
      </c>
    </row>
    <row r="2012" spans="1:11" x14ac:dyDescent="0.35">
      <c r="A2012" t="s">
        <v>2571</v>
      </c>
      <c r="B2012" s="1">
        <v>0</v>
      </c>
      <c r="C2012" t="s">
        <v>5153</v>
      </c>
      <c r="D2012" t="s">
        <v>5357</v>
      </c>
      <c r="E2012" t="s">
        <v>5409</v>
      </c>
      <c r="F2012" t="s">
        <v>5364</v>
      </c>
      <c r="G2012" t="s">
        <v>5375</v>
      </c>
      <c r="H2012" t="s">
        <v>5586</v>
      </c>
      <c r="J2012" t="s">
        <v>2571</v>
      </c>
      <c r="K2012">
        <v>60.6</v>
      </c>
    </row>
    <row r="2013" spans="1:11" x14ac:dyDescent="0.35">
      <c r="A2013" t="s">
        <v>2572</v>
      </c>
      <c r="B2013" s="1">
        <v>0</v>
      </c>
      <c r="C2013" t="s">
        <v>5334</v>
      </c>
      <c r="D2013" t="s">
        <v>5357</v>
      </c>
      <c r="E2013" t="s">
        <v>5409</v>
      </c>
      <c r="F2013" t="s">
        <v>5364</v>
      </c>
      <c r="G2013" t="s">
        <v>5375</v>
      </c>
      <c r="H2013" t="s">
        <v>5134</v>
      </c>
      <c r="J2013" t="s">
        <v>2572</v>
      </c>
      <c r="K2013">
        <v>60.5</v>
      </c>
    </row>
    <row r="2014" spans="1:11" x14ac:dyDescent="0.35">
      <c r="A2014" t="s">
        <v>2573</v>
      </c>
      <c r="B2014" s="1">
        <v>0</v>
      </c>
      <c r="C2014" t="s">
        <v>5411</v>
      </c>
      <c r="D2014" t="s">
        <v>5357</v>
      </c>
      <c r="E2014" t="s">
        <v>5409</v>
      </c>
      <c r="F2014" t="s">
        <v>5364</v>
      </c>
      <c r="G2014" t="s">
        <v>5375</v>
      </c>
      <c r="H2014" t="s">
        <v>5609</v>
      </c>
      <c r="J2014" t="s">
        <v>2573</v>
      </c>
      <c r="K2014">
        <v>60.4</v>
      </c>
    </row>
    <row r="2015" spans="1:11" x14ac:dyDescent="0.35">
      <c r="A2015" t="s">
        <v>2574</v>
      </c>
      <c r="B2015" s="1">
        <v>0</v>
      </c>
      <c r="C2015" t="s">
        <v>5334</v>
      </c>
      <c r="D2015" t="s">
        <v>5357</v>
      </c>
      <c r="E2015" t="s">
        <v>5409</v>
      </c>
      <c r="F2015" t="s">
        <v>5364</v>
      </c>
      <c r="G2015" t="s">
        <v>5375</v>
      </c>
      <c r="H2015" t="s">
        <v>5134</v>
      </c>
      <c r="J2015" t="s">
        <v>2574</v>
      </c>
      <c r="K2015">
        <v>60.5</v>
      </c>
    </row>
    <row r="2016" spans="1:11" x14ac:dyDescent="0.35">
      <c r="A2016" t="s">
        <v>2575</v>
      </c>
      <c r="B2016" s="1">
        <v>0</v>
      </c>
      <c r="C2016" t="s">
        <v>5334</v>
      </c>
      <c r="D2016" t="s">
        <v>5357</v>
      </c>
      <c r="E2016" t="s">
        <v>5409</v>
      </c>
      <c r="F2016" t="s">
        <v>5364</v>
      </c>
      <c r="G2016" t="s">
        <v>5375</v>
      </c>
      <c r="H2016" t="s">
        <v>5134</v>
      </c>
      <c r="J2016" t="s">
        <v>2575</v>
      </c>
      <c r="K2016">
        <v>60.5</v>
      </c>
    </row>
    <row r="2017" spans="1:11" x14ac:dyDescent="0.35">
      <c r="A2017" t="s">
        <v>2576</v>
      </c>
      <c r="B2017" s="1">
        <v>0</v>
      </c>
      <c r="C2017" t="s">
        <v>5226</v>
      </c>
      <c r="D2017" t="s">
        <v>5195</v>
      </c>
      <c r="E2017" t="s">
        <v>5396</v>
      </c>
      <c r="F2017" t="s">
        <v>5364</v>
      </c>
      <c r="G2017" t="s">
        <v>5372</v>
      </c>
      <c r="H2017" t="s">
        <v>5621</v>
      </c>
      <c r="J2017" t="s">
        <v>2576</v>
      </c>
      <c r="K2017">
        <v>62.7</v>
      </c>
    </row>
    <row r="2018" spans="1:11" x14ac:dyDescent="0.35">
      <c r="A2018" t="s">
        <v>2577</v>
      </c>
      <c r="B2018" s="1">
        <v>0</v>
      </c>
      <c r="C2018" t="s">
        <v>5355</v>
      </c>
      <c r="D2018" t="s">
        <v>5156</v>
      </c>
      <c r="E2018" t="s">
        <v>5413</v>
      </c>
      <c r="F2018" t="s">
        <v>5364</v>
      </c>
      <c r="G2018" t="s">
        <v>5365</v>
      </c>
      <c r="H2018" t="s">
        <v>377</v>
      </c>
      <c r="J2018" t="s">
        <v>2577</v>
      </c>
      <c r="K2018">
        <v>67.7</v>
      </c>
    </row>
    <row r="2019" spans="1:11" x14ac:dyDescent="0.35">
      <c r="A2019" t="s">
        <v>2578</v>
      </c>
      <c r="B2019" s="1">
        <v>0</v>
      </c>
      <c r="C2019" t="s">
        <v>5194</v>
      </c>
      <c r="D2019" t="s">
        <v>5397</v>
      </c>
      <c r="E2019" t="s">
        <v>5405</v>
      </c>
      <c r="F2019" t="s">
        <v>5364</v>
      </c>
      <c r="G2019" t="s">
        <v>5368</v>
      </c>
      <c r="H2019" t="s">
        <v>395</v>
      </c>
      <c r="J2019" t="s">
        <v>2578</v>
      </c>
      <c r="K2019">
        <v>73.2</v>
      </c>
    </row>
    <row r="2020" spans="1:11" x14ac:dyDescent="0.35">
      <c r="A2020" t="s">
        <v>2579</v>
      </c>
      <c r="B2020" s="1">
        <v>0</v>
      </c>
      <c r="C2020" t="s">
        <v>5296</v>
      </c>
      <c r="D2020" t="s">
        <v>5342</v>
      </c>
      <c r="E2020" t="s">
        <v>5189</v>
      </c>
      <c r="F2020" t="s">
        <v>5364</v>
      </c>
      <c r="G2020" t="s">
        <v>5368</v>
      </c>
      <c r="H2020" t="s">
        <v>2237</v>
      </c>
      <c r="J2020" t="s">
        <v>2579</v>
      </c>
      <c r="K2020">
        <v>74.2</v>
      </c>
    </row>
    <row r="2021" spans="1:11" x14ac:dyDescent="0.35">
      <c r="A2021" t="s">
        <v>2580</v>
      </c>
      <c r="B2021" s="1">
        <v>0</v>
      </c>
      <c r="C2021" t="s">
        <v>5329</v>
      </c>
      <c r="D2021" t="s">
        <v>5397</v>
      </c>
      <c r="E2021" t="s">
        <v>5405</v>
      </c>
      <c r="F2021" t="s">
        <v>5364</v>
      </c>
      <c r="G2021" t="s">
        <v>5368</v>
      </c>
      <c r="H2021" t="s">
        <v>1516</v>
      </c>
      <c r="J2021" t="s">
        <v>2580</v>
      </c>
      <c r="K2021">
        <v>72.099999999999994</v>
      </c>
    </row>
    <row r="2022" spans="1:11" x14ac:dyDescent="0.35">
      <c r="A2022" t="s">
        <v>2582</v>
      </c>
      <c r="B2022" s="1">
        <v>0</v>
      </c>
      <c r="C2022" t="s">
        <v>5333</v>
      </c>
      <c r="D2022" t="s">
        <v>5334</v>
      </c>
      <c r="E2022" t="s">
        <v>5419</v>
      </c>
      <c r="F2022" t="s">
        <v>5364</v>
      </c>
      <c r="G2022" t="s">
        <v>5365</v>
      </c>
      <c r="H2022" t="s">
        <v>420</v>
      </c>
      <c r="J2022" t="s">
        <v>2582</v>
      </c>
      <c r="K2022">
        <v>68.5</v>
      </c>
    </row>
    <row r="2023" spans="1:11" x14ac:dyDescent="0.35">
      <c r="A2023" t="s">
        <v>2583</v>
      </c>
      <c r="B2023" s="1">
        <v>0</v>
      </c>
      <c r="C2023" t="s">
        <v>5065</v>
      </c>
      <c r="D2023" t="s">
        <v>5164</v>
      </c>
      <c r="E2023" t="s">
        <v>5399</v>
      </c>
      <c r="F2023" t="s">
        <v>5364</v>
      </c>
      <c r="G2023" t="s">
        <v>5371</v>
      </c>
      <c r="H2023" t="s">
        <v>5565</v>
      </c>
      <c r="J2023" t="s">
        <v>2583</v>
      </c>
      <c r="K2023">
        <v>65.3</v>
      </c>
    </row>
    <row r="2024" spans="1:11" x14ac:dyDescent="0.35">
      <c r="A2024" t="s">
        <v>2585</v>
      </c>
      <c r="B2024" s="1">
        <v>0</v>
      </c>
      <c r="C2024" t="s">
        <v>5207</v>
      </c>
      <c r="D2024" t="s">
        <v>5177</v>
      </c>
      <c r="E2024" t="s">
        <v>5395</v>
      </c>
      <c r="F2024" t="s">
        <v>5364</v>
      </c>
      <c r="G2024" t="s">
        <v>5372</v>
      </c>
      <c r="H2024" t="s">
        <v>5585</v>
      </c>
      <c r="J2024" t="s">
        <v>2585</v>
      </c>
      <c r="K2024">
        <v>63.5</v>
      </c>
    </row>
    <row r="2025" spans="1:11" x14ac:dyDescent="0.35">
      <c r="A2025" t="s">
        <v>2586</v>
      </c>
      <c r="B2025" s="1">
        <v>0</v>
      </c>
      <c r="C2025" t="s">
        <v>5312</v>
      </c>
      <c r="D2025" t="s">
        <v>5184</v>
      </c>
      <c r="E2025" t="s">
        <v>5396</v>
      </c>
      <c r="F2025" t="s">
        <v>5364</v>
      </c>
      <c r="G2025" t="s">
        <v>5372</v>
      </c>
      <c r="H2025" t="s">
        <v>5647</v>
      </c>
      <c r="J2025" t="s">
        <v>2586</v>
      </c>
      <c r="K2025">
        <v>62.3</v>
      </c>
    </row>
    <row r="2026" spans="1:11" x14ac:dyDescent="0.35">
      <c r="A2026" t="s">
        <v>2587</v>
      </c>
      <c r="B2026" s="1">
        <v>0</v>
      </c>
      <c r="C2026" t="s">
        <v>5400</v>
      </c>
      <c r="D2026" t="s">
        <v>5195</v>
      </c>
      <c r="E2026" t="s">
        <v>5562</v>
      </c>
      <c r="F2026" t="s">
        <v>5364</v>
      </c>
      <c r="G2026" t="s">
        <v>5375</v>
      </c>
      <c r="H2026" t="s">
        <v>5618</v>
      </c>
      <c r="J2026" t="s">
        <v>2587</v>
      </c>
      <c r="K2026">
        <v>61.5</v>
      </c>
    </row>
    <row r="2027" spans="1:11" x14ac:dyDescent="0.35">
      <c r="A2027" t="s">
        <v>2588</v>
      </c>
      <c r="B2027" s="1">
        <v>0</v>
      </c>
      <c r="C2027" t="s">
        <v>5432</v>
      </c>
      <c r="D2027" t="s">
        <v>5186</v>
      </c>
      <c r="E2027" t="s">
        <v>5562</v>
      </c>
      <c r="F2027" t="s">
        <v>5364</v>
      </c>
      <c r="G2027" t="s">
        <v>5375</v>
      </c>
      <c r="H2027" t="s">
        <v>5455</v>
      </c>
      <c r="J2027" t="s">
        <v>2588</v>
      </c>
      <c r="K2027">
        <v>61</v>
      </c>
    </row>
    <row r="2028" spans="1:11" x14ac:dyDescent="0.35">
      <c r="A2028" t="s">
        <v>2589</v>
      </c>
      <c r="B2028" s="1">
        <v>0</v>
      </c>
      <c r="C2028" t="s">
        <v>5411</v>
      </c>
      <c r="D2028" t="s">
        <v>5189</v>
      </c>
      <c r="E2028" t="s">
        <v>5562</v>
      </c>
      <c r="F2028" t="s">
        <v>5364</v>
      </c>
      <c r="G2028" t="s">
        <v>5375</v>
      </c>
      <c r="H2028" t="s">
        <v>5586</v>
      </c>
      <c r="J2028" t="s">
        <v>2589</v>
      </c>
      <c r="K2028">
        <v>60.6</v>
      </c>
    </row>
    <row r="2029" spans="1:11" x14ac:dyDescent="0.35">
      <c r="A2029" t="s">
        <v>2590</v>
      </c>
      <c r="B2029" s="1">
        <v>0</v>
      </c>
      <c r="C2029" t="s">
        <v>5337</v>
      </c>
      <c r="D2029" t="s">
        <v>5189</v>
      </c>
      <c r="E2029" t="s">
        <v>5409</v>
      </c>
      <c r="F2029" t="s">
        <v>5364</v>
      </c>
      <c r="G2029" t="s">
        <v>5375</v>
      </c>
      <c r="H2029" t="s">
        <v>5134</v>
      </c>
      <c r="J2029" t="s">
        <v>2590</v>
      </c>
      <c r="K2029">
        <v>60.5</v>
      </c>
    </row>
    <row r="2030" spans="1:11" x14ac:dyDescent="0.35">
      <c r="A2030" t="s">
        <v>2591</v>
      </c>
      <c r="B2030" s="1">
        <v>0</v>
      </c>
      <c r="C2030" t="s">
        <v>5337</v>
      </c>
      <c r="D2030" t="s">
        <v>5189</v>
      </c>
      <c r="E2030" t="s">
        <v>5409</v>
      </c>
      <c r="F2030" t="s">
        <v>5364</v>
      </c>
      <c r="G2030" t="s">
        <v>5375</v>
      </c>
      <c r="H2030" t="s">
        <v>5609</v>
      </c>
      <c r="J2030" t="s">
        <v>2591</v>
      </c>
      <c r="K2030">
        <v>60.4</v>
      </c>
    </row>
    <row r="2031" spans="1:11" x14ac:dyDescent="0.35">
      <c r="A2031" t="s">
        <v>2592</v>
      </c>
      <c r="B2031" s="1">
        <v>0</v>
      </c>
      <c r="C2031" t="s">
        <v>5337</v>
      </c>
      <c r="D2031" t="s">
        <v>5357</v>
      </c>
      <c r="E2031" t="s">
        <v>5409</v>
      </c>
      <c r="F2031" t="s">
        <v>5364</v>
      </c>
      <c r="G2031" t="s">
        <v>5372</v>
      </c>
      <c r="H2031" t="s">
        <v>5609</v>
      </c>
      <c r="J2031" t="s">
        <v>2592</v>
      </c>
      <c r="K2031">
        <v>60.4</v>
      </c>
    </row>
    <row r="2032" spans="1:11" x14ac:dyDescent="0.35">
      <c r="A2032" t="s">
        <v>2593</v>
      </c>
      <c r="B2032" s="1">
        <v>0</v>
      </c>
      <c r="C2032" t="s">
        <v>5337</v>
      </c>
      <c r="D2032" t="s">
        <v>5357</v>
      </c>
      <c r="E2032" t="s">
        <v>5409</v>
      </c>
      <c r="F2032" t="s">
        <v>5364</v>
      </c>
      <c r="G2032" t="s">
        <v>5372</v>
      </c>
      <c r="H2032" t="s">
        <v>5609</v>
      </c>
      <c r="J2032" t="s">
        <v>2593</v>
      </c>
      <c r="K2032">
        <v>60.4</v>
      </c>
    </row>
    <row r="2033" spans="1:11" x14ac:dyDescent="0.35">
      <c r="A2033" t="s">
        <v>2594</v>
      </c>
      <c r="B2033" s="1">
        <v>0</v>
      </c>
      <c r="C2033" t="s">
        <v>5339</v>
      </c>
      <c r="D2033" t="s">
        <v>5357</v>
      </c>
      <c r="E2033" t="s">
        <v>5409</v>
      </c>
      <c r="F2033" t="s">
        <v>5364</v>
      </c>
      <c r="G2033" t="s">
        <v>5372</v>
      </c>
      <c r="H2033" t="s">
        <v>5130</v>
      </c>
      <c r="J2033" t="s">
        <v>2594</v>
      </c>
      <c r="K2033">
        <v>60.3</v>
      </c>
    </row>
    <row r="2034" spans="1:11" x14ac:dyDescent="0.35">
      <c r="A2034" t="s">
        <v>2595</v>
      </c>
      <c r="B2034" s="1">
        <v>0</v>
      </c>
      <c r="C2034" t="s">
        <v>5156</v>
      </c>
      <c r="D2034" t="s">
        <v>5357</v>
      </c>
      <c r="E2034" t="s">
        <v>5409</v>
      </c>
      <c r="F2034" t="s">
        <v>5364</v>
      </c>
      <c r="G2034" t="s">
        <v>5375</v>
      </c>
      <c r="H2034" t="s">
        <v>5616</v>
      </c>
      <c r="J2034" t="s">
        <v>2595</v>
      </c>
      <c r="K2034">
        <v>60.2</v>
      </c>
    </row>
    <row r="2035" spans="1:11" x14ac:dyDescent="0.35">
      <c r="A2035" t="s">
        <v>2596</v>
      </c>
      <c r="B2035" s="1">
        <v>0</v>
      </c>
      <c r="C2035" t="s">
        <v>5156</v>
      </c>
      <c r="D2035" t="s">
        <v>5189</v>
      </c>
      <c r="E2035" t="s">
        <v>5409</v>
      </c>
      <c r="F2035" t="s">
        <v>5364</v>
      </c>
      <c r="G2035" t="s">
        <v>5375</v>
      </c>
      <c r="H2035" t="s">
        <v>5130</v>
      </c>
      <c r="J2035" t="s">
        <v>2596</v>
      </c>
      <c r="K2035">
        <v>60.3</v>
      </c>
    </row>
    <row r="2036" spans="1:11" x14ac:dyDescent="0.35">
      <c r="A2036" t="s">
        <v>2597</v>
      </c>
      <c r="B2036" s="1">
        <v>0</v>
      </c>
      <c r="C2036" t="s">
        <v>5156</v>
      </c>
      <c r="D2036" t="s">
        <v>5195</v>
      </c>
      <c r="E2036" t="s">
        <v>5396</v>
      </c>
      <c r="F2036" t="s">
        <v>5364</v>
      </c>
      <c r="G2036" t="s">
        <v>5375</v>
      </c>
      <c r="H2036" t="s">
        <v>5586</v>
      </c>
      <c r="J2036" t="s">
        <v>2597</v>
      </c>
      <c r="K2036">
        <v>60.6</v>
      </c>
    </row>
    <row r="2037" spans="1:11" x14ac:dyDescent="0.35">
      <c r="A2037" t="s">
        <v>2598</v>
      </c>
      <c r="B2037" s="1">
        <v>0</v>
      </c>
      <c r="C2037" t="s">
        <v>5337</v>
      </c>
      <c r="D2037" t="s">
        <v>5180</v>
      </c>
      <c r="E2037" t="s">
        <v>5395</v>
      </c>
      <c r="F2037" t="s">
        <v>5364</v>
      </c>
      <c r="G2037" t="s">
        <v>5375</v>
      </c>
      <c r="H2037" t="s">
        <v>5455</v>
      </c>
      <c r="J2037" t="s">
        <v>2598</v>
      </c>
      <c r="K2037">
        <v>61</v>
      </c>
    </row>
    <row r="2038" spans="1:11" x14ac:dyDescent="0.35">
      <c r="A2038" t="s">
        <v>2599</v>
      </c>
      <c r="B2038" s="1">
        <v>0</v>
      </c>
      <c r="C2038" t="s">
        <v>5334</v>
      </c>
      <c r="D2038" t="s">
        <v>5180</v>
      </c>
      <c r="E2038" t="s">
        <v>5395</v>
      </c>
      <c r="F2038" t="s">
        <v>5364</v>
      </c>
      <c r="G2038" t="s">
        <v>5375</v>
      </c>
      <c r="H2038" t="s">
        <v>5479</v>
      </c>
      <c r="J2038" t="s">
        <v>2599</v>
      </c>
      <c r="K2038">
        <v>61.3</v>
      </c>
    </row>
    <row r="2039" spans="1:11" x14ac:dyDescent="0.35">
      <c r="A2039" t="s">
        <v>2600</v>
      </c>
      <c r="B2039" s="1">
        <v>0</v>
      </c>
      <c r="C2039" t="s">
        <v>5140</v>
      </c>
      <c r="D2039" t="s">
        <v>5180</v>
      </c>
      <c r="E2039" t="s">
        <v>5395</v>
      </c>
      <c r="F2039" t="s">
        <v>5364</v>
      </c>
      <c r="G2039" t="s">
        <v>5375</v>
      </c>
      <c r="H2039" t="s">
        <v>5468</v>
      </c>
      <c r="J2039" t="s">
        <v>2600</v>
      </c>
      <c r="K2039">
        <v>61.6</v>
      </c>
    </row>
    <row r="2040" spans="1:11" x14ac:dyDescent="0.35">
      <c r="A2040" s="2">
        <v>41852</v>
      </c>
      <c r="B2040" s="1">
        <v>0</v>
      </c>
      <c r="C2040" t="s">
        <v>5330</v>
      </c>
      <c r="D2040" t="s">
        <v>5195</v>
      </c>
      <c r="E2040" t="s">
        <v>5396</v>
      </c>
      <c r="F2040" t="s">
        <v>5364</v>
      </c>
      <c r="G2040" t="s">
        <v>5375</v>
      </c>
      <c r="H2040" t="s">
        <v>5514</v>
      </c>
      <c r="J2040" s="2">
        <v>41852</v>
      </c>
      <c r="K2040">
        <v>61.7</v>
      </c>
    </row>
    <row r="2041" spans="1:11" x14ac:dyDescent="0.35">
      <c r="A2041" s="2">
        <v>41853</v>
      </c>
      <c r="B2041" s="1">
        <v>0</v>
      </c>
      <c r="C2041" t="s">
        <v>5207</v>
      </c>
      <c r="D2041" t="s">
        <v>5339</v>
      </c>
      <c r="E2041" t="s">
        <v>5189</v>
      </c>
      <c r="F2041" t="s">
        <v>5383</v>
      </c>
      <c r="G2041" t="s">
        <v>5888</v>
      </c>
      <c r="H2041" t="s">
        <v>5603</v>
      </c>
      <c r="J2041" s="2">
        <v>41853</v>
      </c>
      <c r="K2041">
        <v>66.900000000000006</v>
      </c>
    </row>
    <row r="2042" spans="1:11" x14ac:dyDescent="0.35">
      <c r="A2042" s="2">
        <v>41854</v>
      </c>
      <c r="B2042" s="1">
        <v>0</v>
      </c>
      <c r="C2042" t="s">
        <v>5230</v>
      </c>
      <c r="D2042" t="s">
        <v>5156</v>
      </c>
      <c r="E2042" t="s">
        <v>5189</v>
      </c>
      <c r="F2042" t="s">
        <v>5383</v>
      </c>
      <c r="G2042" t="s">
        <v>5885</v>
      </c>
      <c r="H2042" t="s">
        <v>397</v>
      </c>
      <c r="J2042" s="2">
        <v>41854</v>
      </c>
      <c r="K2042">
        <v>67.099999999999994</v>
      </c>
    </row>
    <row r="2043" spans="1:11" x14ac:dyDescent="0.35">
      <c r="A2043" s="2">
        <v>41855</v>
      </c>
      <c r="B2043" s="1">
        <v>0</v>
      </c>
      <c r="C2043" t="s">
        <v>5412</v>
      </c>
      <c r="D2043" t="s">
        <v>5156</v>
      </c>
      <c r="E2043" t="s">
        <v>5189</v>
      </c>
      <c r="F2043" t="s">
        <v>5383</v>
      </c>
      <c r="G2043" t="s">
        <v>5884</v>
      </c>
      <c r="H2043" t="s">
        <v>428</v>
      </c>
      <c r="J2043" s="2">
        <v>41855</v>
      </c>
      <c r="K2043">
        <v>68</v>
      </c>
    </row>
    <row r="2044" spans="1:11" x14ac:dyDescent="0.35">
      <c r="A2044" s="2">
        <v>41856</v>
      </c>
      <c r="B2044" s="1">
        <v>0</v>
      </c>
      <c r="C2044" t="s">
        <v>5136</v>
      </c>
      <c r="D2044" t="s">
        <v>5156</v>
      </c>
      <c r="E2044" t="s">
        <v>5357</v>
      </c>
      <c r="F2044" t="s">
        <v>5383</v>
      </c>
      <c r="G2044" t="s">
        <v>5883</v>
      </c>
      <c r="H2044" t="s">
        <v>392</v>
      </c>
      <c r="J2044" s="2">
        <v>41856</v>
      </c>
      <c r="K2044">
        <v>70.2</v>
      </c>
    </row>
    <row r="2045" spans="1:11" x14ac:dyDescent="0.35">
      <c r="A2045" s="2">
        <v>41857</v>
      </c>
      <c r="B2045" s="1">
        <v>0</v>
      </c>
      <c r="C2045" t="s">
        <v>5527</v>
      </c>
      <c r="D2045" t="s">
        <v>5168</v>
      </c>
      <c r="E2045" t="s">
        <v>5357</v>
      </c>
      <c r="F2045" t="s">
        <v>5383</v>
      </c>
      <c r="G2045" t="s">
        <v>5882</v>
      </c>
      <c r="H2045" t="s">
        <v>2241</v>
      </c>
      <c r="J2045" s="2">
        <v>41857</v>
      </c>
      <c r="K2045">
        <v>72.8</v>
      </c>
    </row>
    <row r="2046" spans="1:11" x14ac:dyDescent="0.35">
      <c r="A2046" s="2">
        <v>41858</v>
      </c>
      <c r="B2046" s="1">
        <v>0</v>
      </c>
      <c r="C2046" t="s">
        <v>5194</v>
      </c>
      <c r="D2046" t="s">
        <v>5168</v>
      </c>
      <c r="E2046" t="s">
        <v>5357</v>
      </c>
      <c r="F2046" t="s">
        <v>5383</v>
      </c>
      <c r="G2046" t="s">
        <v>5881</v>
      </c>
      <c r="H2046" t="s">
        <v>1021</v>
      </c>
      <c r="J2046" s="2">
        <v>41858</v>
      </c>
      <c r="K2046">
        <v>74.8</v>
      </c>
    </row>
    <row r="2047" spans="1:11" x14ac:dyDescent="0.35">
      <c r="A2047" s="2">
        <v>41859</v>
      </c>
      <c r="B2047" s="1">
        <v>0</v>
      </c>
      <c r="C2047" t="s">
        <v>5424</v>
      </c>
      <c r="D2047" t="s">
        <v>5153</v>
      </c>
      <c r="E2047" t="s">
        <v>5184</v>
      </c>
      <c r="F2047" t="s">
        <v>5383</v>
      </c>
      <c r="G2047" t="s">
        <v>5367</v>
      </c>
      <c r="H2047" t="s">
        <v>1054</v>
      </c>
      <c r="J2047" s="2">
        <v>41859</v>
      </c>
      <c r="K2047">
        <v>78.2</v>
      </c>
    </row>
    <row r="2048" spans="1:11" x14ac:dyDescent="0.35">
      <c r="A2048" s="2">
        <v>41860</v>
      </c>
      <c r="B2048" s="1">
        <v>0</v>
      </c>
      <c r="C2048" t="s">
        <v>5289</v>
      </c>
      <c r="D2048" t="s">
        <v>5288</v>
      </c>
      <c r="E2048" t="s">
        <v>5156</v>
      </c>
      <c r="F2048" t="s">
        <v>5383</v>
      </c>
      <c r="G2048" t="s">
        <v>5369</v>
      </c>
      <c r="H2048" t="s">
        <v>365</v>
      </c>
      <c r="J2048" s="2">
        <v>41860</v>
      </c>
      <c r="K2048">
        <v>82.9</v>
      </c>
    </row>
    <row r="2049" spans="1:11" x14ac:dyDescent="0.35">
      <c r="A2049" s="2">
        <v>41861</v>
      </c>
      <c r="B2049" s="1">
        <v>0</v>
      </c>
      <c r="C2049" t="s">
        <v>5052</v>
      </c>
      <c r="D2049" t="s">
        <v>5215</v>
      </c>
      <c r="E2049" t="s">
        <v>5342</v>
      </c>
      <c r="F2049" t="s">
        <v>5383</v>
      </c>
      <c r="G2049" t="s">
        <v>5363</v>
      </c>
      <c r="H2049" t="s">
        <v>350</v>
      </c>
      <c r="J2049" s="2">
        <v>41861</v>
      </c>
      <c r="K2049">
        <v>86.4</v>
      </c>
    </row>
    <row r="2050" spans="1:11" x14ac:dyDescent="0.35">
      <c r="A2050" s="2">
        <v>41862</v>
      </c>
      <c r="B2050" s="1">
        <v>0</v>
      </c>
      <c r="C2050" t="s">
        <v>5181</v>
      </c>
      <c r="D2050" t="s">
        <v>5333</v>
      </c>
      <c r="E2050" t="s">
        <v>5224</v>
      </c>
      <c r="F2050" t="s">
        <v>5383</v>
      </c>
      <c r="G2050" t="s">
        <v>5367</v>
      </c>
      <c r="H2050" t="s">
        <v>2567</v>
      </c>
      <c r="J2050" s="2">
        <v>41862</v>
      </c>
      <c r="K2050">
        <v>90</v>
      </c>
    </row>
    <row r="2051" spans="1:11" x14ac:dyDescent="0.35">
      <c r="A2051" s="2">
        <v>41863</v>
      </c>
      <c r="B2051" s="1">
        <v>0</v>
      </c>
      <c r="C2051" t="s">
        <v>5234</v>
      </c>
      <c r="D2051" t="s">
        <v>5345</v>
      </c>
      <c r="E2051" t="s">
        <v>5046</v>
      </c>
      <c r="F2051" t="s">
        <v>5383</v>
      </c>
      <c r="G2051" t="s">
        <v>5367</v>
      </c>
      <c r="H2051" t="s">
        <v>2605</v>
      </c>
      <c r="J2051" s="2">
        <v>41863</v>
      </c>
      <c r="K2051">
        <v>94.8</v>
      </c>
    </row>
    <row r="2052" spans="1:11" x14ac:dyDescent="0.35">
      <c r="A2052" s="2">
        <v>41864</v>
      </c>
      <c r="B2052" s="1">
        <v>0</v>
      </c>
      <c r="C2052" t="s">
        <v>5304</v>
      </c>
      <c r="D2052" t="s">
        <v>5527</v>
      </c>
      <c r="E2052" t="s">
        <v>5046</v>
      </c>
      <c r="F2052" t="s">
        <v>5383</v>
      </c>
      <c r="G2052" t="s">
        <v>5363</v>
      </c>
      <c r="H2052" t="s">
        <v>5735</v>
      </c>
      <c r="J2052" s="2">
        <v>41864</v>
      </c>
      <c r="K2052">
        <v>98.5</v>
      </c>
    </row>
    <row r="2053" spans="1:11" x14ac:dyDescent="0.35">
      <c r="A2053" s="2">
        <v>41865</v>
      </c>
      <c r="B2053" s="1">
        <v>0</v>
      </c>
      <c r="C2053" t="s">
        <v>5276</v>
      </c>
      <c r="D2053" t="s">
        <v>5347</v>
      </c>
      <c r="E2053" t="s">
        <v>5227</v>
      </c>
      <c r="F2053" t="s">
        <v>5383</v>
      </c>
      <c r="G2053" t="s">
        <v>5369</v>
      </c>
      <c r="H2053" t="s">
        <v>1467</v>
      </c>
      <c r="J2053" s="2">
        <v>41865</v>
      </c>
      <c r="K2053">
        <v>97.7</v>
      </c>
    </row>
    <row r="2054" spans="1:11" x14ac:dyDescent="0.35">
      <c r="A2054" s="2">
        <v>41866</v>
      </c>
      <c r="B2054" s="1">
        <v>0</v>
      </c>
      <c r="C2054" t="s">
        <v>5276</v>
      </c>
      <c r="D2054" t="s">
        <v>5132</v>
      </c>
      <c r="E2054" t="s">
        <v>5312</v>
      </c>
      <c r="F2054" t="s">
        <v>5383</v>
      </c>
      <c r="G2054" t="s">
        <v>5390</v>
      </c>
      <c r="H2054" t="s">
        <v>1473</v>
      </c>
      <c r="J2054" s="2">
        <v>41866</v>
      </c>
      <c r="K2054">
        <v>95.5</v>
      </c>
    </row>
    <row r="2055" spans="1:11" x14ac:dyDescent="0.35">
      <c r="A2055" s="2">
        <v>41867</v>
      </c>
      <c r="B2055" s="1">
        <v>0</v>
      </c>
      <c r="C2055" t="s">
        <v>5270</v>
      </c>
      <c r="D2055" t="s">
        <v>5183</v>
      </c>
      <c r="E2055" t="s">
        <v>5144</v>
      </c>
      <c r="F2055" t="s">
        <v>5383</v>
      </c>
      <c r="G2055" t="s">
        <v>5377</v>
      </c>
      <c r="H2055" t="s">
        <v>2266</v>
      </c>
      <c r="J2055" s="2">
        <v>41867</v>
      </c>
      <c r="K2055">
        <v>93.3</v>
      </c>
    </row>
    <row r="2056" spans="1:11" x14ac:dyDescent="0.35">
      <c r="A2056" s="2">
        <v>41868</v>
      </c>
      <c r="B2056" s="1">
        <v>0</v>
      </c>
      <c r="C2056" t="s">
        <v>5081</v>
      </c>
      <c r="D2056" t="s">
        <v>5412</v>
      </c>
      <c r="E2056" t="s">
        <v>5153</v>
      </c>
      <c r="F2056" t="s">
        <v>5383</v>
      </c>
      <c r="G2056" t="s">
        <v>5390</v>
      </c>
      <c r="H2056" t="s">
        <v>354</v>
      </c>
      <c r="J2056" s="2">
        <v>41868</v>
      </c>
      <c r="K2056">
        <v>92.4</v>
      </c>
    </row>
    <row r="2057" spans="1:11" x14ac:dyDescent="0.35">
      <c r="A2057" s="2">
        <v>41869</v>
      </c>
      <c r="B2057" s="1">
        <v>0</v>
      </c>
      <c r="C2057" t="s">
        <v>5072</v>
      </c>
      <c r="D2057" t="s">
        <v>5099</v>
      </c>
      <c r="E2057" t="s">
        <v>5144</v>
      </c>
      <c r="F2057" t="s">
        <v>5383</v>
      </c>
      <c r="G2057" t="s">
        <v>5362</v>
      </c>
      <c r="H2057" t="s">
        <v>1538</v>
      </c>
      <c r="J2057" s="2">
        <v>41869</v>
      </c>
      <c r="K2057">
        <v>95.1</v>
      </c>
    </row>
    <row r="2058" spans="1:11" x14ac:dyDescent="0.35">
      <c r="A2058" s="2">
        <v>41870</v>
      </c>
      <c r="B2058" s="1">
        <v>0</v>
      </c>
      <c r="C2058" t="s">
        <v>5088</v>
      </c>
      <c r="D2058" t="s">
        <v>5132</v>
      </c>
      <c r="E2058" t="s">
        <v>5315</v>
      </c>
      <c r="F2058" t="s">
        <v>5383</v>
      </c>
      <c r="G2058" t="s">
        <v>5362</v>
      </c>
      <c r="H2058" t="s">
        <v>3498</v>
      </c>
      <c r="J2058" s="2">
        <v>41870</v>
      </c>
      <c r="K2058">
        <v>97.2</v>
      </c>
    </row>
    <row r="2059" spans="1:11" x14ac:dyDescent="0.35">
      <c r="A2059" s="2">
        <v>41871</v>
      </c>
      <c r="B2059" s="1">
        <v>0</v>
      </c>
      <c r="C2059" t="s">
        <v>5257</v>
      </c>
      <c r="D2059" t="s">
        <v>5501</v>
      </c>
      <c r="E2059" t="s">
        <v>5294</v>
      </c>
      <c r="F2059" t="s">
        <v>5383</v>
      </c>
      <c r="G2059" t="s">
        <v>5363</v>
      </c>
      <c r="H2059" t="s">
        <v>2268</v>
      </c>
      <c r="J2059" s="2">
        <v>41871</v>
      </c>
      <c r="K2059">
        <v>95.4</v>
      </c>
    </row>
    <row r="2060" spans="1:11" x14ac:dyDescent="0.35">
      <c r="A2060" s="2">
        <v>41872</v>
      </c>
      <c r="B2060" s="1">
        <v>0</v>
      </c>
      <c r="C2060" t="s">
        <v>5068</v>
      </c>
      <c r="D2060" t="s">
        <v>5333</v>
      </c>
      <c r="E2060" t="s">
        <v>5309</v>
      </c>
      <c r="F2060" t="s">
        <v>5383</v>
      </c>
      <c r="G2060" t="s">
        <v>5367</v>
      </c>
      <c r="H2060" t="s">
        <v>1061</v>
      </c>
      <c r="J2060" s="2">
        <v>41872</v>
      </c>
      <c r="K2060">
        <v>93</v>
      </c>
    </row>
    <row r="2061" spans="1:11" x14ac:dyDescent="0.35">
      <c r="A2061" s="2">
        <v>41873</v>
      </c>
      <c r="B2061" s="1">
        <v>0</v>
      </c>
      <c r="C2061" t="s">
        <v>5223</v>
      </c>
      <c r="D2061" t="s">
        <v>5136</v>
      </c>
      <c r="E2061" t="s">
        <v>5297</v>
      </c>
      <c r="F2061" t="s">
        <v>5383</v>
      </c>
      <c r="G2061" t="s">
        <v>5367</v>
      </c>
      <c r="H2061" t="s">
        <v>347</v>
      </c>
      <c r="J2061" s="2">
        <v>41873</v>
      </c>
      <c r="K2061">
        <v>90.8</v>
      </c>
    </row>
    <row r="2062" spans="1:11" x14ac:dyDescent="0.35">
      <c r="A2062" s="2">
        <v>41874</v>
      </c>
      <c r="B2062" s="1">
        <v>0</v>
      </c>
      <c r="C2062" t="s">
        <v>5204</v>
      </c>
      <c r="D2062" t="s">
        <v>5356</v>
      </c>
      <c r="E2062" t="s">
        <v>5315</v>
      </c>
      <c r="F2062" t="s">
        <v>5383</v>
      </c>
      <c r="G2062" t="s">
        <v>5363</v>
      </c>
      <c r="H2062" t="s">
        <v>1481</v>
      </c>
      <c r="J2062" s="2">
        <v>41874</v>
      </c>
      <c r="K2062">
        <v>91.1</v>
      </c>
    </row>
    <row r="2063" spans="1:11" x14ac:dyDescent="0.35">
      <c r="A2063" s="2">
        <v>41875</v>
      </c>
      <c r="B2063" s="1">
        <v>0</v>
      </c>
      <c r="C2063" t="s">
        <v>5076</v>
      </c>
      <c r="D2063" t="s">
        <v>5333</v>
      </c>
      <c r="E2063" t="s">
        <v>5294</v>
      </c>
      <c r="F2063" t="s">
        <v>5383</v>
      </c>
      <c r="G2063" t="s">
        <v>5363</v>
      </c>
      <c r="H2063" t="s">
        <v>360</v>
      </c>
      <c r="J2063" s="2">
        <v>41875</v>
      </c>
      <c r="K2063">
        <v>92.7</v>
      </c>
    </row>
    <row r="2064" spans="1:11" x14ac:dyDescent="0.35">
      <c r="A2064" s="2">
        <v>41876</v>
      </c>
      <c r="B2064" s="1">
        <v>0</v>
      </c>
      <c r="C2064" t="s">
        <v>5176</v>
      </c>
      <c r="D2064" t="s">
        <v>5158</v>
      </c>
      <c r="E2064" t="s">
        <v>5226</v>
      </c>
      <c r="F2064" t="s">
        <v>5383</v>
      </c>
      <c r="G2064" t="s">
        <v>5363</v>
      </c>
      <c r="H2064" t="s">
        <v>2607</v>
      </c>
      <c r="J2064" s="2">
        <v>41876</v>
      </c>
      <c r="K2064">
        <v>93.6</v>
      </c>
    </row>
    <row r="2065" spans="1:11" x14ac:dyDescent="0.35">
      <c r="A2065" s="2">
        <v>41877</v>
      </c>
      <c r="B2065" s="1">
        <v>0</v>
      </c>
      <c r="C2065" t="s">
        <v>5313</v>
      </c>
      <c r="D2065" t="s">
        <v>5188</v>
      </c>
      <c r="E2065" t="s">
        <v>5288</v>
      </c>
      <c r="F2065" t="s">
        <v>5383</v>
      </c>
      <c r="G2065" t="s">
        <v>5364</v>
      </c>
      <c r="H2065" t="s">
        <v>357</v>
      </c>
      <c r="J2065" s="2">
        <v>41877</v>
      </c>
      <c r="K2065">
        <v>90.9</v>
      </c>
    </row>
    <row r="2066" spans="1:11" x14ac:dyDescent="0.35">
      <c r="A2066" s="2">
        <v>41878</v>
      </c>
      <c r="B2066" s="1">
        <v>0</v>
      </c>
      <c r="C2066" t="s">
        <v>5524</v>
      </c>
      <c r="D2066" t="s">
        <v>5201</v>
      </c>
      <c r="E2066" t="s">
        <v>5288</v>
      </c>
      <c r="F2066" t="s">
        <v>5383</v>
      </c>
      <c r="G2066" t="s">
        <v>5887</v>
      </c>
      <c r="H2066" t="s">
        <v>355</v>
      </c>
      <c r="J2066" s="2">
        <v>41878</v>
      </c>
      <c r="K2066">
        <v>90.5</v>
      </c>
    </row>
    <row r="2067" spans="1:11" x14ac:dyDescent="0.35">
      <c r="A2067" s="2">
        <v>41879</v>
      </c>
      <c r="B2067" s="1">
        <v>0</v>
      </c>
      <c r="C2067" t="s">
        <v>5123</v>
      </c>
      <c r="D2067" t="s">
        <v>5149</v>
      </c>
      <c r="E2067" t="s">
        <v>5222</v>
      </c>
      <c r="F2067" t="s">
        <v>5379</v>
      </c>
      <c r="G2067" t="s">
        <v>5881</v>
      </c>
      <c r="H2067" t="s">
        <v>2882</v>
      </c>
      <c r="J2067" s="2">
        <v>41879</v>
      </c>
      <c r="K2067">
        <v>98.8</v>
      </c>
    </row>
    <row r="2068" spans="1:11" x14ac:dyDescent="0.35">
      <c r="A2068" s="2">
        <v>41880</v>
      </c>
      <c r="B2068" s="1">
        <v>0</v>
      </c>
      <c r="C2068" t="s">
        <v>5216</v>
      </c>
      <c r="D2068" t="s">
        <v>5139</v>
      </c>
      <c r="E2068" t="s">
        <v>5183</v>
      </c>
      <c r="F2068" t="s">
        <v>5379</v>
      </c>
      <c r="G2068" t="s">
        <v>5363</v>
      </c>
      <c r="H2068" t="s">
        <v>320</v>
      </c>
      <c r="J2068" s="2">
        <v>41880</v>
      </c>
      <c r="K2068">
        <v>112.7</v>
      </c>
    </row>
    <row r="2069" spans="1:11" x14ac:dyDescent="0.35">
      <c r="A2069" s="2">
        <v>41881</v>
      </c>
      <c r="B2069" s="1">
        <v>0</v>
      </c>
      <c r="C2069" t="s">
        <v>5577</v>
      </c>
      <c r="D2069" t="s">
        <v>5048</v>
      </c>
      <c r="E2069" t="s">
        <v>5045</v>
      </c>
      <c r="F2069" t="s">
        <v>5379</v>
      </c>
      <c r="G2069" t="s">
        <v>5377</v>
      </c>
      <c r="H2069" t="s">
        <v>511</v>
      </c>
      <c r="J2069" s="2">
        <v>41881</v>
      </c>
      <c r="K2069">
        <v>122.6</v>
      </c>
    </row>
    <row r="2070" spans="1:11" x14ac:dyDescent="0.35">
      <c r="A2070" s="2">
        <v>41882</v>
      </c>
      <c r="B2070" s="1">
        <v>0</v>
      </c>
      <c r="C2070" t="s">
        <v>5591</v>
      </c>
      <c r="D2070" t="s">
        <v>5622</v>
      </c>
      <c r="E2070" t="s">
        <v>5089</v>
      </c>
      <c r="F2070" t="s">
        <v>5379</v>
      </c>
      <c r="G2070" t="s">
        <v>5376</v>
      </c>
      <c r="H2070" t="s">
        <v>509</v>
      </c>
      <c r="J2070" s="2">
        <v>41882</v>
      </c>
      <c r="K2070">
        <v>124.9</v>
      </c>
    </row>
    <row r="2071" spans="1:11" x14ac:dyDescent="0.35">
      <c r="A2071" t="s">
        <v>2612</v>
      </c>
      <c r="B2071" s="1">
        <v>0</v>
      </c>
      <c r="C2071" t="s">
        <v>5242</v>
      </c>
      <c r="D2071" t="s">
        <v>5292</v>
      </c>
      <c r="E2071" t="s">
        <v>5089</v>
      </c>
      <c r="F2071" t="s">
        <v>5379</v>
      </c>
      <c r="G2071" t="s">
        <v>5379</v>
      </c>
      <c r="H2071" t="s">
        <v>1082</v>
      </c>
      <c r="J2071" t="s">
        <v>2612</v>
      </c>
      <c r="K2071">
        <v>126.3</v>
      </c>
    </row>
    <row r="2072" spans="1:11" x14ac:dyDescent="0.35">
      <c r="A2072" t="s">
        <v>2615</v>
      </c>
      <c r="B2072" s="1">
        <v>0</v>
      </c>
      <c r="C2072" t="s">
        <v>5608</v>
      </c>
      <c r="D2072" t="s">
        <v>5055</v>
      </c>
      <c r="E2072" t="s">
        <v>5327</v>
      </c>
      <c r="F2072" t="s">
        <v>5156</v>
      </c>
      <c r="G2072" t="s">
        <v>5186</v>
      </c>
      <c r="H2072" t="s">
        <v>277</v>
      </c>
      <c r="J2072" t="s">
        <v>2615</v>
      </c>
      <c r="K2072">
        <v>153.9</v>
      </c>
    </row>
    <row r="2073" spans="1:11" x14ac:dyDescent="0.35">
      <c r="A2073" t="s">
        <v>2616</v>
      </c>
      <c r="B2073" s="1">
        <v>0</v>
      </c>
      <c r="C2073" t="s">
        <v>5398</v>
      </c>
      <c r="D2073" t="s">
        <v>5061</v>
      </c>
      <c r="E2073" t="s">
        <v>5293</v>
      </c>
      <c r="F2073" t="s">
        <v>5156</v>
      </c>
      <c r="G2073" t="s">
        <v>5357</v>
      </c>
      <c r="H2073" t="s">
        <v>1770</v>
      </c>
      <c r="J2073" t="s">
        <v>2616</v>
      </c>
      <c r="K2073">
        <v>150.4</v>
      </c>
    </row>
    <row r="2074" spans="1:11" x14ac:dyDescent="0.35">
      <c r="A2074" t="s">
        <v>2617</v>
      </c>
      <c r="B2074" s="1">
        <v>0</v>
      </c>
      <c r="C2074" t="s">
        <v>5639</v>
      </c>
      <c r="D2074" t="s">
        <v>5289</v>
      </c>
      <c r="E2074" t="s">
        <v>5143</v>
      </c>
      <c r="F2074" t="s">
        <v>5156</v>
      </c>
      <c r="G2074" t="s">
        <v>5357</v>
      </c>
      <c r="H2074" t="s">
        <v>259</v>
      </c>
      <c r="J2074" t="s">
        <v>2617</v>
      </c>
      <c r="K2074">
        <v>148.19999999999999</v>
      </c>
    </row>
    <row r="2075" spans="1:11" x14ac:dyDescent="0.35">
      <c r="A2075" t="s">
        <v>2618</v>
      </c>
      <c r="B2075" s="1">
        <v>0</v>
      </c>
      <c r="C2075" t="s">
        <v>5263</v>
      </c>
      <c r="D2075" t="s">
        <v>5622</v>
      </c>
      <c r="E2075" t="s">
        <v>5551</v>
      </c>
      <c r="F2075" t="s">
        <v>5156</v>
      </c>
      <c r="G2075" t="s">
        <v>5186</v>
      </c>
      <c r="H2075" t="s">
        <v>262</v>
      </c>
      <c r="J2075" t="s">
        <v>2618</v>
      </c>
      <c r="K2075">
        <v>149.4</v>
      </c>
    </row>
    <row r="2076" spans="1:11" x14ac:dyDescent="0.35">
      <c r="A2076" t="s">
        <v>2619</v>
      </c>
      <c r="B2076" s="1">
        <v>0</v>
      </c>
      <c r="C2076" t="s">
        <v>5465</v>
      </c>
      <c r="D2076" t="s">
        <v>5423</v>
      </c>
      <c r="E2076" t="s">
        <v>5043</v>
      </c>
      <c r="F2076" t="s">
        <v>5156</v>
      </c>
      <c r="G2076" t="s">
        <v>5186</v>
      </c>
      <c r="H2076" t="s">
        <v>1367</v>
      </c>
      <c r="J2076" t="s">
        <v>2619</v>
      </c>
      <c r="K2076">
        <v>149.69999999999999</v>
      </c>
    </row>
    <row r="2077" spans="1:11" x14ac:dyDescent="0.35">
      <c r="A2077" t="s">
        <v>2620</v>
      </c>
      <c r="B2077" s="1">
        <v>0</v>
      </c>
      <c r="C2077" t="s">
        <v>397</v>
      </c>
      <c r="D2077" t="s">
        <v>5430</v>
      </c>
      <c r="E2077" t="s">
        <v>5351</v>
      </c>
      <c r="F2077" t="s">
        <v>5156</v>
      </c>
      <c r="G2077" t="s">
        <v>5186</v>
      </c>
      <c r="H2077" t="s">
        <v>2560</v>
      </c>
      <c r="J2077" t="s">
        <v>2620</v>
      </c>
      <c r="K2077">
        <v>146.69999999999999</v>
      </c>
    </row>
    <row r="2078" spans="1:11" x14ac:dyDescent="0.35">
      <c r="A2078" t="s">
        <v>2621</v>
      </c>
      <c r="B2078" s="1">
        <v>0</v>
      </c>
      <c r="C2078" t="s">
        <v>5639</v>
      </c>
      <c r="D2078" t="s">
        <v>5293</v>
      </c>
      <c r="E2078" t="s">
        <v>5350</v>
      </c>
      <c r="F2078" t="s">
        <v>5156</v>
      </c>
      <c r="G2078" t="s">
        <v>5189</v>
      </c>
      <c r="H2078" t="s">
        <v>1393</v>
      </c>
      <c r="J2078" t="s">
        <v>2621</v>
      </c>
      <c r="K2078">
        <v>142.9</v>
      </c>
    </row>
    <row r="2079" spans="1:11" x14ac:dyDescent="0.35">
      <c r="A2079" t="s">
        <v>2622</v>
      </c>
      <c r="B2079" s="1">
        <v>0</v>
      </c>
      <c r="C2079" t="s">
        <v>5633</v>
      </c>
      <c r="D2079" t="s">
        <v>5296</v>
      </c>
      <c r="E2079" t="s">
        <v>5149</v>
      </c>
      <c r="F2079" t="s">
        <v>5156</v>
      </c>
      <c r="G2079" t="s">
        <v>5189</v>
      </c>
      <c r="H2079" t="s">
        <v>130</v>
      </c>
      <c r="J2079" t="s">
        <v>2622</v>
      </c>
      <c r="K2079">
        <v>141.69999999999999</v>
      </c>
    </row>
    <row r="2080" spans="1:11" x14ac:dyDescent="0.35">
      <c r="A2080" t="s">
        <v>2623</v>
      </c>
      <c r="B2080" s="1">
        <v>0</v>
      </c>
      <c r="C2080" t="s">
        <v>5628</v>
      </c>
      <c r="D2080" t="s">
        <v>5287</v>
      </c>
      <c r="E2080" t="s">
        <v>5191</v>
      </c>
      <c r="F2080" t="s">
        <v>5156</v>
      </c>
      <c r="G2080" t="s">
        <v>5186</v>
      </c>
      <c r="H2080" t="s">
        <v>148</v>
      </c>
      <c r="J2080" t="s">
        <v>2623</v>
      </c>
      <c r="K2080">
        <v>145</v>
      </c>
    </row>
    <row r="2081" spans="1:11" x14ac:dyDescent="0.35">
      <c r="A2081" t="s">
        <v>2624</v>
      </c>
      <c r="B2081" s="1">
        <v>0</v>
      </c>
      <c r="C2081" t="s">
        <v>5261</v>
      </c>
      <c r="D2081" t="s">
        <v>5289</v>
      </c>
      <c r="E2081" t="s">
        <v>5551</v>
      </c>
      <c r="F2081" t="s">
        <v>5156</v>
      </c>
      <c r="G2081" t="s">
        <v>5195</v>
      </c>
      <c r="H2081" t="s">
        <v>289</v>
      </c>
      <c r="J2081" t="s">
        <v>2624</v>
      </c>
      <c r="K2081">
        <v>151.69999999999999</v>
      </c>
    </row>
    <row r="2082" spans="1:11" x14ac:dyDescent="0.35">
      <c r="A2082" t="s">
        <v>2625</v>
      </c>
      <c r="B2082" s="1">
        <v>0</v>
      </c>
      <c r="C2082" t="s">
        <v>5465</v>
      </c>
      <c r="D2082" t="s">
        <v>5313</v>
      </c>
      <c r="E2082" t="s">
        <v>5547</v>
      </c>
      <c r="F2082" t="s">
        <v>5156</v>
      </c>
      <c r="G2082" t="s">
        <v>5184</v>
      </c>
      <c r="H2082" t="s">
        <v>185</v>
      </c>
      <c r="J2082" t="s">
        <v>2625</v>
      </c>
      <c r="K2082">
        <v>154.6</v>
      </c>
    </row>
    <row r="2083" spans="1:11" x14ac:dyDescent="0.35">
      <c r="A2083" t="s">
        <v>2627</v>
      </c>
      <c r="B2083" s="1">
        <v>0</v>
      </c>
      <c r="C2083" t="s">
        <v>5633</v>
      </c>
      <c r="D2083" t="s">
        <v>5524</v>
      </c>
      <c r="E2083" t="s">
        <v>5547</v>
      </c>
      <c r="F2083" t="s">
        <v>5156</v>
      </c>
      <c r="G2083" t="s">
        <v>5357</v>
      </c>
      <c r="H2083" t="s">
        <v>283</v>
      </c>
      <c r="J2083" t="s">
        <v>2627</v>
      </c>
      <c r="K2083">
        <v>149.30000000000001</v>
      </c>
    </row>
    <row r="2084" spans="1:11" x14ac:dyDescent="0.35">
      <c r="A2084" t="s">
        <v>2628</v>
      </c>
      <c r="B2084" s="1">
        <v>0</v>
      </c>
      <c r="C2084" t="s">
        <v>5535</v>
      </c>
      <c r="D2084" t="s">
        <v>5425</v>
      </c>
      <c r="E2084" t="s">
        <v>5047</v>
      </c>
      <c r="F2084" t="s">
        <v>5156</v>
      </c>
      <c r="G2084" t="s">
        <v>5402</v>
      </c>
      <c r="H2084" t="s">
        <v>275</v>
      </c>
      <c r="J2084" t="s">
        <v>2628</v>
      </c>
      <c r="K2084">
        <v>144.69999999999999</v>
      </c>
    </row>
    <row r="2085" spans="1:11" x14ac:dyDescent="0.35">
      <c r="A2085" t="s">
        <v>2629</v>
      </c>
      <c r="B2085" s="1">
        <v>0</v>
      </c>
      <c r="C2085" t="s">
        <v>5228</v>
      </c>
      <c r="D2085" t="s">
        <v>5323</v>
      </c>
      <c r="E2085" t="s">
        <v>5326</v>
      </c>
      <c r="F2085" t="s">
        <v>5156</v>
      </c>
      <c r="G2085" t="s">
        <v>5399</v>
      </c>
      <c r="H2085" t="s">
        <v>1440</v>
      </c>
      <c r="J2085" t="s">
        <v>2629</v>
      </c>
      <c r="K2085">
        <v>147.4</v>
      </c>
    </row>
    <row r="2086" spans="1:11" x14ac:dyDescent="0.35">
      <c r="A2086" t="s">
        <v>2630</v>
      </c>
      <c r="B2086" s="1">
        <v>0</v>
      </c>
      <c r="C2086" t="s">
        <v>5639</v>
      </c>
      <c r="D2086" t="s">
        <v>5165</v>
      </c>
      <c r="E2086" t="s">
        <v>5044</v>
      </c>
      <c r="F2086" t="s">
        <v>5156</v>
      </c>
      <c r="G2086" t="s">
        <v>5413</v>
      </c>
      <c r="H2086" t="s">
        <v>882</v>
      </c>
      <c r="J2086" t="s">
        <v>2630</v>
      </c>
      <c r="K2086">
        <v>156</v>
      </c>
    </row>
    <row r="2087" spans="1:11" x14ac:dyDescent="0.35">
      <c r="A2087" t="s">
        <v>2631</v>
      </c>
      <c r="B2087" s="1">
        <v>0</v>
      </c>
      <c r="C2087" t="s">
        <v>371</v>
      </c>
      <c r="D2087" t="s">
        <v>5074</v>
      </c>
      <c r="E2087" t="s">
        <v>5053</v>
      </c>
      <c r="F2087" t="s">
        <v>5156</v>
      </c>
      <c r="G2087" t="s">
        <v>5419</v>
      </c>
      <c r="H2087" t="s">
        <v>795</v>
      </c>
      <c r="J2087" t="s">
        <v>2631</v>
      </c>
      <c r="K2087">
        <v>166.8</v>
      </c>
    </row>
    <row r="2088" spans="1:11" x14ac:dyDescent="0.35">
      <c r="A2088" t="s">
        <v>2632</v>
      </c>
      <c r="B2088" s="1">
        <v>0</v>
      </c>
      <c r="C2088" t="s">
        <v>1016</v>
      </c>
      <c r="D2088" t="s">
        <v>5471</v>
      </c>
      <c r="E2088" t="s">
        <v>5319</v>
      </c>
      <c r="F2088" t="s">
        <v>5156</v>
      </c>
      <c r="G2088" t="s">
        <v>5357</v>
      </c>
      <c r="H2088" t="s">
        <v>83</v>
      </c>
      <c r="J2088" t="s">
        <v>2632</v>
      </c>
      <c r="K2088">
        <v>174.3</v>
      </c>
    </row>
    <row r="2089" spans="1:11" x14ac:dyDescent="0.35">
      <c r="A2089" t="s">
        <v>2633</v>
      </c>
      <c r="B2089" s="1">
        <v>0</v>
      </c>
      <c r="C2089" t="s">
        <v>453</v>
      </c>
      <c r="D2089" t="s">
        <v>5157</v>
      </c>
      <c r="E2089" t="s">
        <v>5057</v>
      </c>
      <c r="F2089" t="s">
        <v>5339</v>
      </c>
      <c r="G2089" t="s">
        <v>5195</v>
      </c>
      <c r="H2089" t="s">
        <v>893</v>
      </c>
      <c r="J2089" t="s">
        <v>2633</v>
      </c>
      <c r="K2089">
        <v>177.8</v>
      </c>
    </row>
    <row r="2090" spans="1:11" x14ac:dyDescent="0.35">
      <c r="A2090" t="s">
        <v>2634</v>
      </c>
      <c r="B2090" s="1">
        <v>0</v>
      </c>
      <c r="C2090" t="s">
        <v>418</v>
      </c>
      <c r="D2090" t="s">
        <v>5571</v>
      </c>
      <c r="E2090" t="s">
        <v>5568</v>
      </c>
      <c r="F2090" t="s">
        <v>5156</v>
      </c>
      <c r="G2090" t="s">
        <v>5184</v>
      </c>
      <c r="H2090" t="s">
        <v>1817</v>
      </c>
      <c r="J2090" t="s">
        <v>2634</v>
      </c>
      <c r="K2090">
        <v>174.7</v>
      </c>
    </row>
    <row r="2091" spans="1:11" x14ac:dyDescent="0.35">
      <c r="A2091" t="s">
        <v>2635</v>
      </c>
      <c r="B2091" s="1">
        <v>0</v>
      </c>
      <c r="C2091" t="s">
        <v>2584</v>
      </c>
      <c r="D2091" t="s">
        <v>5453</v>
      </c>
      <c r="E2091" t="s">
        <v>5053</v>
      </c>
      <c r="F2091" t="s">
        <v>5156</v>
      </c>
      <c r="G2091" t="s">
        <v>5195</v>
      </c>
      <c r="H2091" t="s">
        <v>2795</v>
      </c>
      <c r="J2091" t="s">
        <v>2635</v>
      </c>
      <c r="K2091">
        <v>168.9</v>
      </c>
    </row>
    <row r="2092" spans="1:11" x14ac:dyDescent="0.35">
      <c r="A2092" t="s">
        <v>2636</v>
      </c>
      <c r="B2092" s="1">
        <v>0</v>
      </c>
      <c r="C2092" t="s">
        <v>412</v>
      </c>
      <c r="D2092" t="s">
        <v>5123</v>
      </c>
      <c r="E2092" t="s">
        <v>5305</v>
      </c>
      <c r="F2092" t="s">
        <v>5156</v>
      </c>
      <c r="G2092" t="s">
        <v>5184</v>
      </c>
      <c r="H2092" t="s">
        <v>886</v>
      </c>
      <c r="J2092" t="s">
        <v>2636</v>
      </c>
      <c r="K2092">
        <v>167.5</v>
      </c>
    </row>
    <row r="2093" spans="1:11" x14ac:dyDescent="0.35">
      <c r="A2093" t="s">
        <v>2637</v>
      </c>
      <c r="B2093" s="1">
        <v>0</v>
      </c>
      <c r="C2093" t="s">
        <v>1016</v>
      </c>
      <c r="D2093" t="s">
        <v>5192</v>
      </c>
      <c r="E2093" t="s">
        <v>5324</v>
      </c>
      <c r="F2093" t="s">
        <v>5156</v>
      </c>
      <c r="G2093" t="s">
        <v>5184</v>
      </c>
      <c r="H2093" t="s">
        <v>891</v>
      </c>
      <c r="J2093" t="s">
        <v>2637</v>
      </c>
      <c r="K2093">
        <v>166.9</v>
      </c>
    </row>
    <row r="2094" spans="1:11" x14ac:dyDescent="0.35">
      <c r="A2094" t="s">
        <v>2638</v>
      </c>
      <c r="B2094" s="1">
        <v>0</v>
      </c>
      <c r="C2094" t="s">
        <v>410</v>
      </c>
      <c r="D2094" t="s">
        <v>5221</v>
      </c>
      <c r="E2094" t="s">
        <v>5296</v>
      </c>
      <c r="F2094" t="s">
        <v>5156</v>
      </c>
      <c r="G2094" t="s">
        <v>5186</v>
      </c>
      <c r="H2094" t="s">
        <v>793</v>
      </c>
      <c r="J2094" t="s">
        <v>2638</v>
      </c>
      <c r="K2094">
        <v>159.5</v>
      </c>
    </row>
    <row r="2095" spans="1:11" x14ac:dyDescent="0.35">
      <c r="A2095" t="s">
        <v>2641</v>
      </c>
      <c r="B2095" s="1">
        <v>0</v>
      </c>
      <c r="C2095" t="s">
        <v>5561</v>
      </c>
      <c r="D2095" t="s">
        <v>5313</v>
      </c>
      <c r="E2095" t="s">
        <v>5194</v>
      </c>
      <c r="F2095" t="s">
        <v>5156</v>
      </c>
      <c r="G2095" t="s">
        <v>5189</v>
      </c>
      <c r="H2095" t="s">
        <v>1590</v>
      </c>
      <c r="J2095" t="s">
        <v>2641</v>
      </c>
      <c r="K2095">
        <v>151.4</v>
      </c>
    </row>
    <row r="2096" spans="1:11" x14ac:dyDescent="0.35">
      <c r="A2096" t="s">
        <v>2642</v>
      </c>
      <c r="B2096" s="1">
        <v>0</v>
      </c>
      <c r="C2096" t="s">
        <v>5564</v>
      </c>
      <c r="D2096" t="s">
        <v>5418</v>
      </c>
      <c r="E2096" t="s">
        <v>5427</v>
      </c>
      <c r="F2096" t="s">
        <v>5156</v>
      </c>
      <c r="G2096" t="s">
        <v>5357</v>
      </c>
      <c r="H2096" t="s">
        <v>279</v>
      </c>
      <c r="J2096" t="s">
        <v>2642</v>
      </c>
      <c r="K2096">
        <v>148.4</v>
      </c>
    </row>
    <row r="2097" spans="1:11" x14ac:dyDescent="0.35">
      <c r="A2097" t="s">
        <v>2643</v>
      </c>
      <c r="B2097" s="1">
        <v>0</v>
      </c>
      <c r="C2097" t="s">
        <v>5561</v>
      </c>
      <c r="D2097" t="s">
        <v>5169</v>
      </c>
      <c r="E2097" t="s">
        <v>5293</v>
      </c>
      <c r="F2097" t="s">
        <v>5156</v>
      </c>
      <c r="G2097" t="s">
        <v>5357</v>
      </c>
      <c r="H2097" t="s">
        <v>157</v>
      </c>
      <c r="J2097" t="s">
        <v>2643</v>
      </c>
      <c r="K2097">
        <v>152.80000000000001</v>
      </c>
    </row>
    <row r="2098" spans="1:11" x14ac:dyDescent="0.35">
      <c r="A2098" t="s">
        <v>2644</v>
      </c>
      <c r="B2098" s="1">
        <v>0</v>
      </c>
      <c r="C2098" t="s">
        <v>1005</v>
      </c>
      <c r="D2098" t="s">
        <v>5197</v>
      </c>
      <c r="E2098" t="s">
        <v>5529</v>
      </c>
      <c r="F2098" t="s">
        <v>5156</v>
      </c>
      <c r="G2098" t="s">
        <v>5357</v>
      </c>
      <c r="H2098" t="s">
        <v>1810</v>
      </c>
      <c r="J2098" t="s">
        <v>2644</v>
      </c>
      <c r="K2098">
        <v>160.19999999999999</v>
      </c>
    </row>
    <row r="2099" spans="1:11" x14ac:dyDescent="0.35">
      <c r="A2099" t="s">
        <v>2645</v>
      </c>
      <c r="B2099" s="1">
        <v>0</v>
      </c>
      <c r="C2099" t="s">
        <v>405</v>
      </c>
      <c r="D2099" t="s">
        <v>5219</v>
      </c>
      <c r="E2099" t="s">
        <v>5044</v>
      </c>
      <c r="F2099" t="s">
        <v>5156</v>
      </c>
      <c r="G2099" t="s">
        <v>5405</v>
      </c>
      <c r="H2099" t="s">
        <v>2500</v>
      </c>
      <c r="J2099" t="s">
        <v>2645</v>
      </c>
      <c r="K2099">
        <v>159.9</v>
      </c>
    </row>
    <row r="2100" spans="1:11" x14ac:dyDescent="0.35">
      <c r="A2100" t="s">
        <v>2646</v>
      </c>
      <c r="B2100" s="1">
        <v>0</v>
      </c>
      <c r="C2100" t="s">
        <v>5410</v>
      </c>
      <c r="D2100" t="s">
        <v>5255</v>
      </c>
      <c r="E2100" t="s">
        <v>5529</v>
      </c>
      <c r="F2100" t="s">
        <v>5156</v>
      </c>
      <c r="G2100" t="s">
        <v>5419</v>
      </c>
      <c r="H2100" t="s">
        <v>1631</v>
      </c>
      <c r="J2100" t="s">
        <v>2646</v>
      </c>
      <c r="K2100">
        <v>155.4</v>
      </c>
    </row>
    <row r="2101" spans="1:11" x14ac:dyDescent="0.35">
      <c r="A2101" t="s">
        <v>2647</v>
      </c>
      <c r="B2101" s="1">
        <v>0</v>
      </c>
      <c r="C2101" t="s">
        <v>5500</v>
      </c>
      <c r="D2101" t="s">
        <v>5323</v>
      </c>
      <c r="E2101" t="s">
        <v>5324</v>
      </c>
      <c r="F2101" t="s">
        <v>5156</v>
      </c>
      <c r="G2101" t="s">
        <v>5402</v>
      </c>
      <c r="H2101" t="s">
        <v>296</v>
      </c>
      <c r="J2101" t="s">
        <v>2647</v>
      </c>
      <c r="K2101">
        <v>150.9</v>
      </c>
    </row>
    <row r="2102" spans="1:11" x14ac:dyDescent="0.35">
      <c r="A2102" t="s">
        <v>2648</v>
      </c>
      <c r="B2102" s="1">
        <v>0</v>
      </c>
      <c r="C2102" t="s">
        <v>5616</v>
      </c>
      <c r="D2102" t="s">
        <v>5123</v>
      </c>
      <c r="E2102" t="s">
        <v>5418</v>
      </c>
      <c r="F2102" t="s">
        <v>5050</v>
      </c>
      <c r="G2102" t="s">
        <v>5334</v>
      </c>
      <c r="H2102" t="s">
        <v>1348</v>
      </c>
      <c r="J2102" t="s">
        <v>2648</v>
      </c>
      <c r="K2102">
        <v>161.30000000000001</v>
      </c>
    </row>
    <row r="2103" spans="1:11" x14ac:dyDescent="0.35">
      <c r="A2103" t="s">
        <v>2649</v>
      </c>
      <c r="B2103" s="1">
        <v>0</v>
      </c>
      <c r="C2103" t="s">
        <v>5617</v>
      </c>
      <c r="D2103" t="s">
        <v>5081</v>
      </c>
      <c r="E2103" t="s">
        <v>5417</v>
      </c>
      <c r="F2103" t="s">
        <v>5050</v>
      </c>
      <c r="G2103" t="s">
        <v>5153</v>
      </c>
      <c r="H2103" t="s">
        <v>101</v>
      </c>
      <c r="J2103" t="s">
        <v>2649</v>
      </c>
      <c r="K2103">
        <v>158.5</v>
      </c>
    </row>
    <row r="2104" spans="1:11" x14ac:dyDescent="0.35">
      <c r="A2104" t="s">
        <v>2650</v>
      </c>
      <c r="B2104" s="1">
        <v>0</v>
      </c>
      <c r="C2104" t="s">
        <v>5510</v>
      </c>
      <c r="D2104" t="s">
        <v>5243</v>
      </c>
      <c r="E2104" t="s">
        <v>5295</v>
      </c>
      <c r="F2104" t="s">
        <v>5050</v>
      </c>
      <c r="G2104" t="s">
        <v>5140</v>
      </c>
      <c r="H2104" t="s">
        <v>3379</v>
      </c>
      <c r="J2104" t="s">
        <v>2650</v>
      </c>
      <c r="K2104">
        <v>160.6</v>
      </c>
    </row>
    <row r="2105" spans="1:11" x14ac:dyDescent="0.35">
      <c r="A2105" t="s">
        <v>2651</v>
      </c>
      <c r="B2105" s="1">
        <v>0</v>
      </c>
      <c r="C2105" t="s">
        <v>5635</v>
      </c>
      <c r="D2105" t="s">
        <v>5239</v>
      </c>
      <c r="E2105" t="s">
        <v>5052</v>
      </c>
      <c r="F2105" t="s">
        <v>5050</v>
      </c>
      <c r="G2105" t="s">
        <v>5330</v>
      </c>
      <c r="H2105" t="s">
        <v>670</v>
      </c>
      <c r="J2105" t="s">
        <v>2651</v>
      </c>
      <c r="K2105">
        <v>165.7</v>
      </c>
    </row>
    <row r="2106" spans="1:11" x14ac:dyDescent="0.35">
      <c r="A2106" t="s">
        <v>2652</v>
      </c>
      <c r="B2106" s="1">
        <v>0</v>
      </c>
      <c r="C2106" t="s">
        <v>996</v>
      </c>
      <c r="D2106" t="s">
        <v>5102</v>
      </c>
      <c r="E2106" t="s">
        <v>5057</v>
      </c>
      <c r="F2106" t="s">
        <v>5050</v>
      </c>
      <c r="G2106" t="s">
        <v>5330</v>
      </c>
      <c r="H2106" t="s">
        <v>1324</v>
      </c>
      <c r="J2106" t="s">
        <v>2652</v>
      </c>
      <c r="K2106">
        <v>169.9</v>
      </c>
    </row>
    <row r="2107" spans="1:11" x14ac:dyDescent="0.35">
      <c r="A2107" t="s">
        <v>2654</v>
      </c>
      <c r="B2107" s="1">
        <v>0</v>
      </c>
      <c r="C2107" t="s">
        <v>425</v>
      </c>
      <c r="D2107" t="s">
        <v>5081</v>
      </c>
      <c r="E2107" t="s">
        <v>5283</v>
      </c>
      <c r="F2107" t="s">
        <v>5050</v>
      </c>
      <c r="G2107" t="s">
        <v>5400</v>
      </c>
      <c r="H2107" t="s">
        <v>2457</v>
      </c>
      <c r="J2107" t="s">
        <v>2654</v>
      </c>
      <c r="K2107">
        <v>173.8</v>
      </c>
    </row>
    <row r="2108" spans="1:11" x14ac:dyDescent="0.35">
      <c r="A2108" t="s">
        <v>2655</v>
      </c>
      <c r="B2108" s="1">
        <v>0</v>
      </c>
      <c r="C2108" t="s">
        <v>1516</v>
      </c>
      <c r="D2108" t="s">
        <v>5102</v>
      </c>
      <c r="E2108" t="s">
        <v>5301</v>
      </c>
      <c r="F2108" t="s">
        <v>5050</v>
      </c>
      <c r="G2108" t="s">
        <v>5144</v>
      </c>
      <c r="H2108" t="s">
        <v>925</v>
      </c>
      <c r="J2108" t="s">
        <v>2655</v>
      </c>
      <c r="K2108">
        <v>171.7</v>
      </c>
    </row>
    <row r="2109" spans="1:11" x14ac:dyDescent="0.35">
      <c r="A2109" t="s">
        <v>2656</v>
      </c>
      <c r="B2109" s="1">
        <v>0</v>
      </c>
      <c r="C2109" t="s">
        <v>390</v>
      </c>
      <c r="D2109" t="s">
        <v>5270</v>
      </c>
      <c r="E2109" t="s">
        <v>5057</v>
      </c>
      <c r="F2109" t="s">
        <v>5050</v>
      </c>
      <c r="G2109" t="s">
        <v>5140</v>
      </c>
      <c r="H2109" t="s">
        <v>2457</v>
      </c>
      <c r="J2109" t="s">
        <v>2656</v>
      </c>
      <c r="K2109">
        <v>173.8</v>
      </c>
    </row>
    <row r="2110" spans="1:11" x14ac:dyDescent="0.35">
      <c r="A2110" t="s">
        <v>2657</v>
      </c>
      <c r="B2110" s="1">
        <v>0</v>
      </c>
      <c r="C2110" t="s">
        <v>1053</v>
      </c>
      <c r="D2110" t="s">
        <v>5150</v>
      </c>
      <c r="E2110" t="s">
        <v>5181</v>
      </c>
      <c r="F2110" t="s">
        <v>5050</v>
      </c>
      <c r="G2110" t="s">
        <v>5397</v>
      </c>
      <c r="H2110" t="s">
        <v>1215</v>
      </c>
      <c r="J2110" t="s">
        <v>2657</v>
      </c>
      <c r="K2110">
        <v>182.7</v>
      </c>
    </row>
    <row r="2111" spans="1:11" x14ac:dyDescent="0.35">
      <c r="A2111" t="s">
        <v>2658</v>
      </c>
      <c r="B2111" s="1">
        <v>0</v>
      </c>
      <c r="C2111" t="s">
        <v>345</v>
      </c>
      <c r="D2111" t="s">
        <v>5154</v>
      </c>
      <c r="E2111" t="s">
        <v>5171</v>
      </c>
      <c r="F2111" t="s">
        <v>5050</v>
      </c>
      <c r="G2111" t="s">
        <v>5330</v>
      </c>
      <c r="H2111" t="s">
        <v>2338</v>
      </c>
      <c r="J2111" t="s">
        <v>2658</v>
      </c>
      <c r="K2111">
        <v>192.5</v>
      </c>
    </row>
    <row r="2112" spans="1:11" x14ac:dyDescent="0.35">
      <c r="A2112" t="s">
        <v>2659</v>
      </c>
      <c r="B2112" s="1">
        <v>0</v>
      </c>
      <c r="C2112" t="s">
        <v>440</v>
      </c>
      <c r="D2112" t="s">
        <v>5594</v>
      </c>
      <c r="E2112" t="s">
        <v>5202</v>
      </c>
      <c r="F2112" t="s">
        <v>5050</v>
      </c>
      <c r="G2112" t="s">
        <v>5400</v>
      </c>
      <c r="H2112" t="s">
        <v>2523</v>
      </c>
      <c r="J2112" t="s">
        <v>2659</v>
      </c>
      <c r="K2112">
        <v>191</v>
      </c>
    </row>
    <row r="2113" spans="1:11" x14ac:dyDescent="0.35">
      <c r="A2113" t="s">
        <v>2660</v>
      </c>
      <c r="B2113" s="1">
        <v>0</v>
      </c>
      <c r="C2113" t="s">
        <v>409</v>
      </c>
      <c r="D2113" t="s">
        <v>5505</v>
      </c>
      <c r="E2113" t="s">
        <v>5204</v>
      </c>
      <c r="F2113" t="s">
        <v>5050</v>
      </c>
      <c r="G2113" t="s">
        <v>5432</v>
      </c>
      <c r="H2113" t="s">
        <v>898</v>
      </c>
      <c r="J2113" t="s">
        <v>2660</v>
      </c>
      <c r="K2113">
        <v>183.6</v>
      </c>
    </row>
    <row r="2114" spans="1:11" x14ac:dyDescent="0.35">
      <c r="A2114" t="s">
        <v>2663</v>
      </c>
      <c r="B2114" s="1">
        <v>0</v>
      </c>
      <c r="C2114" t="s">
        <v>5466</v>
      </c>
      <c r="D2114" t="s">
        <v>5505</v>
      </c>
      <c r="E2114" t="s">
        <v>5221</v>
      </c>
      <c r="F2114" t="s">
        <v>5050</v>
      </c>
      <c r="G2114" t="s">
        <v>5334</v>
      </c>
      <c r="H2114" t="s">
        <v>256</v>
      </c>
      <c r="J2114" t="s">
        <v>2663</v>
      </c>
      <c r="K2114">
        <v>176.2</v>
      </c>
    </row>
    <row r="2115" spans="1:11" x14ac:dyDescent="0.35">
      <c r="A2115" t="s">
        <v>2664</v>
      </c>
      <c r="B2115" s="1">
        <v>0</v>
      </c>
      <c r="C2115" t="s">
        <v>5480</v>
      </c>
      <c r="D2115" t="s">
        <v>5106</v>
      </c>
      <c r="E2115" t="s">
        <v>5176</v>
      </c>
      <c r="F2115" t="s">
        <v>5050</v>
      </c>
      <c r="G2115" t="s">
        <v>5153</v>
      </c>
      <c r="H2115" t="s">
        <v>1973</v>
      </c>
      <c r="J2115" t="s">
        <v>2664</v>
      </c>
      <c r="K2115">
        <v>176.4</v>
      </c>
    </row>
    <row r="2116" spans="1:11" x14ac:dyDescent="0.35">
      <c r="A2116" t="s">
        <v>2665</v>
      </c>
      <c r="B2116" s="1">
        <v>0</v>
      </c>
      <c r="C2116" t="s">
        <v>1879</v>
      </c>
      <c r="D2116" t="s">
        <v>5220</v>
      </c>
      <c r="E2116" t="s">
        <v>5076</v>
      </c>
      <c r="F2116" t="s">
        <v>5050</v>
      </c>
      <c r="G2116" t="s">
        <v>5397</v>
      </c>
      <c r="H2116" t="s">
        <v>714</v>
      </c>
      <c r="J2116" t="s">
        <v>2665</v>
      </c>
      <c r="K2116">
        <v>188.4</v>
      </c>
    </row>
    <row r="2117" spans="1:11" x14ac:dyDescent="0.35">
      <c r="A2117" t="s">
        <v>2666</v>
      </c>
      <c r="B2117" s="1">
        <v>0</v>
      </c>
      <c r="C2117" t="s">
        <v>1484</v>
      </c>
      <c r="D2117" t="s">
        <v>5539</v>
      </c>
      <c r="E2117" t="s">
        <v>5076</v>
      </c>
      <c r="F2117" t="s">
        <v>5240</v>
      </c>
      <c r="G2117" t="s">
        <v>5315</v>
      </c>
      <c r="H2117" t="s">
        <v>3136</v>
      </c>
      <c r="J2117" t="s">
        <v>2666</v>
      </c>
      <c r="K2117">
        <v>202.6</v>
      </c>
    </row>
    <row r="2118" spans="1:11" x14ac:dyDescent="0.35">
      <c r="A2118" t="s">
        <v>2667</v>
      </c>
      <c r="B2118" s="1">
        <v>0</v>
      </c>
      <c r="C2118" t="s">
        <v>470</v>
      </c>
      <c r="D2118" t="s">
        <v>5238</v>
      </c>
      <c r="E2118" t="s">
        <v>5059</v>
      </c>
      <c r="F2118" t="s">
        <v>5240</v>
      </c>
      <c r="G2118" t="s">
        <v>5294</v>
      </c>
      <c r="H2118" t="s">
        <v>3012</v>
      </c>
      <c r="J2118" t="s">
        <v>2667</v>
      </c>
      <c r="K2118">
        <v>216.5</v>
      </c>
    </row>
    <row r="2119" spans="1:11" x14ac:dyDescent="0.35">
      <c r="A2119" t="s">
        <v>2668</v>
      </c>
      <c r="B2119" s="1">
        <v>0</v>
      </c>
      <c r="C2119" t="s">
        <v>973</v>
      </c>
      <c r="D2119" t="s">
        <v>5481</v>
      </c>
      <c r="E2119" t="s">
        <v>5165</v>
      </c>
      <c r="F2119" t="s">
        <v>5240</v>
      </c>
      <c r="G2119" t="s">
        <v>5224</v>
      </c>
      <c r="H2119" t="s">
        <v>226</v>
      </c>
      <c r="J2119" t="s">
        <v>2668</v>
      </c>
      <c r="K2119">
        <v>230.8</v>
      </c>
    </row>
    <row r="2120" spans="1:11" x14ac:dyDescent="0.35">
      <c r="A2120" t="s">
        <v>2669</v>
      </c>
      <c r="B2120" s="1">
        <v>0</v>
      </c>
      <c r="C2120" t="s">
        <v>320</v>
      </c>
      <c r="D2120" t="s">
        <v>5630</v>
      </c>
      <c r="E2120" t="s">
        <v>5069</v>
      </c>
      <c r="F2120" t="s">
        <v>5054</v>
      </c>
      <c r="G2120" t="s">
        <v>5222</v>
      </c>
      <c r="H2120" t="s">
        <v>2838</v>
      </c>
      <c r="J2120" t="s">
        <v>2669</v>
      </c>
      <c r="K2120">
        <v>241.1</v>
      </c>
    </row>
    <row r="2121" spans="1:11" x14ac:dyDescent="0.35">
      <c r="A2121" t="s">
        <v>2670</v>
      </c>
      <c r="B2121" s="1">
        <v>0</v>
      </c>
      <c r="C2121" t="s">
        <v>118</v>
      </c>
      <c r="D2121" t="s">
        <v>5495</v>
      </c>
      <c r="E2121" t="s">
        <v>5435</v>
      </c>
      <c r="F2121" t="s">
        <v>5240</v>
      </c>
      <c r="G2121" t="s">
        <v>5050</v>
      </c>
      <c r="H2121" t="s">
        <v>5021</v>
      </c>
      <c r="J2121" t="s">
        <v>2670</v>
      </c>
      <c r="K2121">
        <v>246.6</v>
      </c>
    </row>
    <row r="2122" spans="1:11" x14ac:dyDescent="0.35">
      <c r="A2122" t="s">
        <v>2672</v>
      </c>
      <c r="B2122" s="1">
        <v>0</v>
      </c>
      <c r="C2122" t="s">
        <v>4124</v>
      </c>
      <c r="D2122" t="s">
        <v>5602</v>
      </c>
      <c r="E2122" t="s">
        <v>5088</v>
      </c>
      <c r="F2122" t="s">
        <v>5240</v>
      </c>
      <c r="G2122" t="s">
        <v>5054</v>
      </c>
      <c r="H2122" t="s">
        <v>5784</v>
      </c>
      <c r="J2122" t="s">
        <v>2672</v>
      </c>
      <c r="K2122">
        <v>246.9</v>
      </c>
    </row>
    <row r="2123" spans="1:11" x14ac:dyDescent="0.35">
      <c r="A2123" t="s">
        <v>2673</v>
      </c>
      <c r="B2123" s="1">
        <v>0</v>
      </c>
      <c r="C2123" t="s">
        <v>494</v>
      </c>
      <c r="D2123" t="s">
        <v>5517</v>
      </c>
      <c r="E2123" t="s">
        <v>5229</v>
      </c>
      <c r="F2123" t="s">
        <v>5240</v>
      </c>
      <c r="G2123" t="s">
        <v>5050</v>
      </c>
      <c r="H2123" t="s">
        <v>5736</v>
      </c>
      <c r="J2123" t="s">
        <v>2673</v>
      </c>
      <c r="K2123">
        <v>237.2</v>
      </c>
    </row>
    <row r="2124" spans="1:11" x14ac:dyDescent="0.35">
      <c r="A2124" t="s">
        <v>2674</v>
      </c>
      <c r="B2124" s="1">
        <v>0</v>
      </c>
      <c r="C2124" t="s">
        <v>2271</v>
      </c>
      <c r="D2124" t="s">
        <v>5115</v>
      </c>
      <c r="E2124" t="s">
        <v>5276</v>
      </c>
      <c r="F2124" t="s">
        <v>5240</v>
      </c>
      <c r="G2124" t="s">
        <v>5222</v>
      </c>
      <c r="H2124" t="s">
        <v>2002</v>
      </c>
      <c r="J2124" t="s">
        <v>2674</v>
      </c>
      <c r="K2124">
        <v>221.2</v>
      </c>
    </row>
    <row r="2125" spans="1:11" x14ac:dyDescent="0.35">
      <c r="A2125" t="s">
        <v>2675</v>
      </c>
      <c r="B2125" s="1">
        <v>0</v>
      </c>
      <c r="C2125" t="s">
        <v>1534</v>
      </c>
      <c r="D2125" t="s">
        <v>5487</v>
      </c>
      <c r="E2125" t="s">
        <v>5304</v>
      </c>
      <c r="F2125" t="s">
        <v>5240</v>
      </c>
      <c r="G2125" t="s">
        <v>5321</v>
      </c>
      <c r="H2125" t="s">
        <v>5696</v>
      </c>
      <c r="J2125" t="s">
        <v>2675</v>
      </c>
      <c r="K2125">
        <v>206.6</v>
      </c>
    </row>
    <row r="2126" spans="1:11" x14ac:dyDescent="0.35">
      <c r="A2126" t="s">
        <v>2677</v>
      </c>
      <c r="B2126" s="1">
        <v>0</v>
      </c>
      <c r="C2126" t="s">
        <v>1020</v>
      </c>
      <c r="D2126" t="s">
        <v>5391</v>
      </c>
      <c r="E2126" t="s">
        <v>5192</v>
      </c>
      <c r="F2126" t="s">
        <v>5050</v>
      </c>
      <c r="G2126" t="s">
        <v>5309</v>
      </c>
      <c r="H2126" t="s">
        <v>4835</v>
      </c>
      <c r="J2126" t="s">
        <v>2677</v>
      </c>
      <c r="K2126">
        <v>194.7</v>
      </c>
    </row>
    <row r="2127" spans="1:11" x14ac:dyDescent="0.35">
      <c r="A2127" t="s">
        <v>2678</v>
      </c>
      <c r="B2127" s="1">
        <v>0</v>
      </c>
      <c r="C2127" t="s">
        <v>435</v>
      </c>
      <c r="D2127" t="s">
        <v>5533</v>
      </c>
      <c r="E2127" t="s">
        <v>5165</v>
      </c>
      <c r="F2127" t="s">
        <v>5050</v>
      </c>
      <c r="G2127" t="s">
        <v>5297</v>
      </c>
      <c r="H2127" t="s">
        <v>2524</v>
      </c>
      <c r="J2127" t="s">
        <v>2678</v>
      </c>
      <c r="K2127">
        <v>190.9</v>
      </c>
    </row>
    <row r="2128" spans="1:11" x14ac:dyDescent="0.35">
      <c r="A2128" t="s">
        <v>2679</v>
      </c>
      <c r="B2128" s="1">
        <v>0</v>
      </c>
      <c r="C2128" t="s">
        <v>1911</v>
      </c>
      <c r="D2128" t="s">
        <v>5250</v>
      </c>
      <c r="E2128" t="s">
        <v>5192</v>
      </c>
      <c r="F2128" t="s">
        <v>5050</v>
      </c>
      <c r="G2128" t="s">
        <v>5342</v>
      </c>
      <c r="H2128" t="s">
        <v>757</v>
      </c>
      <c r="J2128" t="s">
        <v>2679</v>
      </c>
      <c r="K2128">
        <v>195.6</v>
      </c>
    </row>
    <row r="2129" spans="1:11" x14ac:dyDescent="0.35">
      <c r="A2129" t="s">
        <v>2680</v>
      </c>
      <c r="B2129" s="1">
        <v>0</v>
      </c>
      <c r="C2129" t="s">
        <v>1059</v>
      </c>
      <c r="D2129" t="s">
        <v>5494</v>
      </c>
      <c r="E2129" t="s">
        <v>5243</v>
      </c>
      <c r="F2129" t="s">
        <v>5240</v>
      </c>
      <c r="G2129" t="s">
        <v>5330</v>
      </c>
      <c r="H2129" t="s">
        <v>2144</v>
      </c>
      <c r="J2129" t="s">
        <v>2680</v>
      </c>
      <c r="K2129">
        <v>203.9</v>
      </c>
    </row>
    <row r="2130" spans="1:11" x14ac:dyDescent="0.35">
      <c r="A2130" t="s">
        <v>2681</v>
      </c>
      <c r="B2130" s="1">
        <v>0</v>
      </c>
      <c r="C2130" t="s">
        <v>1916</v>
      </c>
      <c r="D2130" t="s">
        <v>5233</v>
      </c>
      <c r="E2130" t="s">
        <v>5213</v>
      </c>
      <c r="F2130" t="s">
        <v>5240</v>
      </c>
      <c r="G2130" t="s">
        <v>5397</v>
      </c>
      <c r="H2130" t="s">
        <v>2478</v>
      </c>
      <c r="J2130" t="s">
        <v>2681</v>
      </c>
      <c r="K2130">
        <v>209</v>
      </c>
    </row>
    <row r="2131" spans="1:11" x14ac:dyDescent="0.35">
      <c r="A2131" t="s">
        <v>2682</v>
      </c>
      <c r="B2131" s="1">
        <v>0</v>
      </c>
      <c r="C2131" t="s">
        <v>362</v>
      </c>
      <c r="D2131" t="s">
        <v>5244</v>
      </c>
      <c r="E2131" t="s">
        <v>5444</v>
      </c>
      <c r="F2131" t="s">
        <v>5240</v>
      </c>
      <c r="G2131" t="s">
        <v>5400</v>
      </c>
      <c r="H2131" t="s">
        <v>1708</v>
      </c>
      <c r="J2131" t="s">
        <v>2682</v>
      </c>
      <c r="K2131">
        <v>212.8</v>
      </c>
    </row>
    <row r="2132" spans="1:11" x14ac:dyDescent="0.35">
      <c r="A2132" t="s">
        <v>2683</v>
      </c>
      <c r="B2132" s="1">
        <v>0</v>
      </c>
      <c r="C2132" t="s">
        <v>346</v>
      </c>
      <c r="D2132" t="s">
        <v>5459</v>
      </c>
      <c r="E2132" t="s">
        <v>5088</v>
      </c>
      <c r="F2132" t="s">
        <v>5240</v>
      </c>
      <c r="G2132" t="s">
        <v>5315</v>
      </c>
      <c r="H2132" t="s">
        <v>750</v>
      </c>
      <c r="J2132" t="s">
        <v>2683</v>
      </c>
      <c r="K2132">
        <v>217.7</v>
      </c>
    </row>
    <row r="2133" spans="1:11" x14ac:dyDescent="0.35">
      <c r="A2133" t="s">
        <v>2684</v>
      </c>
      <c r="B2133" s="1">
        <v>0</v>
      </c>
      <c r="C2133" t="s">
        <v>1470</v>
      </c>
      <c r="D2133" t="s">
        <v>5498</v>
      </c>
      <c r="E2133" t="s">
        <v>5433</v>
      </c>
      <c r="F2133" t="s">
        <v>5089</v>
      </c>
      <c r="G2133" t="s">
        <v>5116</v>
      </c>
      <c r="H2133" t="s">
        <v>204</v>
      </c>
      <c r="J2133" t="s">
        <v>2684</v>
      </c>
      <c r="K2133">
        <v>230.3</v>
      </c>
    </row>
    <row r="2134" spans="1:11" x14ac:dyDescent="0.35">
      <c r="A2134" t="s">
        <v>2685</v>
      </c>
      <c r="B2134" s="1">
        <v>0</v>
      </c>
      <c r="C2134" t="s">
        <v>457</v>
      </c>
      <c r="D2134" t="s">
        <v>5273</v>
      </c>
      <c r="E2134" t="s">
        <v>5448</v>
      </c>
      <c r="F2134" t="s">
        <v>5077</v>
      </c>
      <c r="G2134" t="s">
        <v>5110</v>
      </c>
      <c r="H2134" t="s">
        <v>1717</v>
      </c>
      <c r="J2134" t="s">
        <v>2685</v>
      </c>
      <c r="K2134">
        <v>221</v>
      </c>
    </row>
    <row r="2135" spans="1:11" x14ac:dyDescent="0.35">
      <c r="A2135" t="s">
        <v>2686</v>
      </c>
      <c r="B2135" s="1">
        <v>0</v>
      </c>
      <c r="C2135" t="s">
        <v>1046</v>
      </c>
      <c r="D2135" t="s">
        <v>5384</v>
      </c>
      <c r="E2135" t="s">
        <v>5071</v>
      </c>
      <c r="F2135" t="s">
        <v>5077</v>
      </c>
      <c r="G2135" t="s">
        <v>5095</v>
      </c>
      <c r="H2135" t="s">
        <v>3913</v>
      </c>
      <c r="J2135" t="s">
        <v>2686</v>
      </c>
      <c r="K2135">
        <v>204.2</v>
      </c>
    </row>
    <row r="2136" spans="1:11" x14ac:dyDescent="0.35">
      <c r="A2136" t="s">
        <v>2687</v>
      </c>
      <c r="B2136" s="1">
        <v>0</v>
      </c>
      <c r="C2136" t="s">
        <v>1033</v>
      </c>
      <c r="D2136" t="s">
        <v>5148</v>
      </c>
      <c r="E2136" t="s">
        <v>5310</v>
      </c>
      <c r="F2136" t="s">
        <v>5077</v>
      </c>
      <c r="G2136" t="s">
        <v>5078</v>
      </c>
      <c r="H2136" t="s">
        <v>241</v>
      </c>
      <c r="J2136" t="s">
        <v>2687</v>
      </c>
      <c r="K2136">
        <v>190.1</v>
      </c>
    </row>
    <row r="2137" spans="1:11" x14ac:dyDescent="0.35">
      <c r="A2137" t="s">
        <v>2688</v>
      </c>
      <c r="B2137" s="1">
        <v>0</v>
      </c>
      <c r="C2137" t="s">
        <v>392</v>
      </c>
      <c r="D2137" t="s">
        <v>5211</v>
      </c>
      <c r="E2137" t="s">
        <v>5070</v>
      </c>
      <c r="F2137" t="s">
        <v>5077</v>
      </c>
      <c r="G2137" t="s">
        <v>5183</v>
      </c>
      <c r="H2137" t="s">
        <v>2671</v>
      </c>
      <c r="J2137" t="s">
        <v>2688</v>
      </c>
      <c r="K2137">
        <v>185.7</v>
      </c>
    </row>
    <row r="2138" spans="1:11" x14ac:dyDescent="0.35">
      <c r="A2138" t="s">
        <v>2689</v>
      </c>
      <c r="B2138" s="1">
        <v>0</v>
      </c>
      <c r="C2138" t="s">
        <v>1011</v>
      </c>
      <c r="D2138" t="s">
        <v>5097</v>
      </c>
      <c r="E2138" t="s">
        <v>5223</v>
      </c>
      <c r="F2138" t="s">
        <v>5077</v>
      </c>
      <c r="G2138" t="s">
        <v>5475</v>
      </c>
      <c r="H2138" t="s">
        <v>1727</v>
      </c>
      <c r="J2138" t="s">
        <v>2689</v>
      </c>
      <c r="K2138">
        <v>190.2</v>
      </c>
    </row>
    <row r="2139" spans="1:11" x14ac:dyDescent="0.35">
      <c r="A2139" t="s">
        <v>2690</v>
      </c>
      <c r="B2139" s="1">
        <v>0</v>
      </c>
      <c r="C2139" t="s">
        <v>5636</v>
      </c>
      <c r="D2139" t="s">
        <v>5393</v>
      </c>
      <c r="E2139" t="s">
        <v>5306</v>
      </c>
      <c r="F2139" t="s">
        <v>5077</v>
      </c>
      <c r="G2139" t="s">
        <v>5062</v>
      </c>
      <c r="H2139" t="s">
        <v>1280</v>
      </c>
      <c r="J2139" t="s">
        <v>2690</v>
      </c>
      <c r="K2139">
        <v>193.5</v>
      </c>
    </row>
    <row r="2140" spans="1:11" x14ac:dyDescent="0.35">
      <c r="A2140" t="s">
        <v>2691</v>
      </c>
      <c r="B2140" s="1">
        <v>0</v>
      </c>
      <c r="C2140" t="s">
        <v>5639</v>
      </c>
      <c r="D2140" t="s">
        <v>5558</v>
      </c>
      <c r="E2140" t="s">
        <v>5208</v>
      </c>
      <c r="F2140" t="s">
        <v>5077</v>
      </c>
      <c r="G2140" t="s">
        <v>5179</v>
      </c>
      <c r="H2140" t="s">
        <v>2850</v>
      </c>
      <c r="J2140" t="s">
        <v>2691</v>
      </c>
      <c r="K2140">
        <v>191.1</v>
      </c>
    </row>
    <row r="2141" spans="1:11" x14ac:dyDescent="0.35">
      <c r="A2141" t="s">
        <v>2692</v>
      </c>
      <c r="B2141" s="1">
        <v>0</v>
      </c>
      <c r="C2141" t="s">
        <v>5588</v>
      </c>
      <c r="D2141" t="s">
        <v>5452</v>
      </c>
      <c r="E2141" t="s">
        <v>5434</v>
      </c>
      <c r="F2141" t="s">
        <v>5077</v>
      </c>
      <c r="G2141" t="s">
        <v>5054</v>
      </c>
      <c r="H2141" t="s">
        <v>1178</v>
      </c>
      <c r="J2141" t="s">
        <v>2692</v>
      </c>
      <c r="K2141">
        <v>188.3</v>
      </c>
    </row>
    <row r="2142" spans="1:11" x14ac:dyDescent="0.35">
      <c r="A2142" t="s">
        <v>2693</v>
      </c>
      <c r="B2142" s="1">
        <v>0</v>
      </c>
      <c r="C2142" t="s">
        <v>1886</v>
      </c>
      <c r="D2142" t="s">
        <v>5486</v>
      </c>
      <c r="E2142" t="s">
        <v>5210</v>
      </c>
      <c r="F2142" t="s">
        <v>5077</v>
      </c>
      <c r="G2142" t="s">
        <v>5412</v>
      </c>
      <c r="H2142" t="s">
        <v>2142</v>
      </c>
      <c r="J2142" t="s">
        <v>2693</v>
      </c>
      <c r="K2142">
        <v>197.3</v>
      </c>
    </row>
    <row r="2143" spans="1:11" x14ac:dyDescent="0.35">
      <c r="A2143" t="s">
        <v>2695</v>
      </c>
      <c r="B2143" s="1">
        <v>0</v>
      </c>
      <c r="C2143" t="s">
        <v>458</v>
      </c>
      <c r="D2143" t="s">
        <v>5483</v>
      </c>
      <c r="E2143" t="s">
        <v>5066</v>
      </c>
      <c r="F2143" t="s">
        <v>5089</v>
      </c>
      <c r="G2143" t="s">
        <v>5124</v>
      </c>
      <c r="H2143" t="s">
        <v>2004</v>
      </c>
      <c r="J2143" t="s">
        <v>2695</v>
      </c>
      <c r="K2143">
        <v>219.6</v>
      </c>
    </row>
    <row r="2144" spans="1:11" x14ac:dyDescent="0.35">
      <c r="A2144" t="s">
        <v>2697</v>
      </c>
      <c r="B2144" s="1">
        <v>0</v>
      </c>
      <c r="C2144" t="s">
        <v>307</v>
      </c>
      <c r="D2144" t="s">
        <v>5523</v>
      </c>
      <c r="E2144" t="s">
        <v>5243</v>
      </c>
      <c r="F2144" t="s">
        <v>5089</v>
      </c>
      <c r="G2144" t="s">
        <v>5045</v>
      </c>
      <c r="H2144" t="s">
        <v>3661</v>
      </c>
      <c r="J2144" t="s">
        <v>2697</v>
      </c>
      <c r="K2144">
        <v>240.4</v>
      </c>
    </row>
    <row r="2145" spans="1:11" x14ac:dyDescent="0.35">
      <c r="A2145" t="s">
        <v>2699</v>
      </c>
      <c r="B2145" s="1">
        <v>0</v>
      </c>
      <c r="C2145" t="s">
        <v>965</v>
      </c>
      <c r="D2145" t="s">
        <v>5214</v>
      </c>
      <c r="E2145" t="s">
        <v>5213</v>
      </c>
      <c r="F2145" t="s">
        <v>5089</v>
      </c>
      <c r="G2145" t="s">
        <v>5132</v>
      </c>
      <c r="H2145" t="s">
        <v>4608</v>
      </c>
      <c r="J2145" t="s">
        <v>2699</v>
      </c>
      <c r="K2145">
        <v>252.3</v>
      </c>
    </row>
    <row r="2146" spans="1:11" x14ac:dyDescent="0.35">
      <c r="A2146" t="s">
        <v>2701</v>
      </c>
      <c r="B2146" s="1">
        <v>0</v>
      </c>
      <c r="C2146" t="s">
        <v>3177</v>
      </c>
      <c r="D2146" t="s">
        <v>5580</v>
      </c>
      <c r="E2146" t="s">
        <v>5251</v>
      </c>
      <c r="F2146" t="s">
        <v>5089</v>
      </c>
      <c r="G2146" t="s">
        <v>5132</v>
      </c>
      <c r="H2146" t="s">
        <v>4042</v>
      </c>
      <c r="J2146" t="s">
        <v>2701</v>
      </c>
      <c r="K2146">
        <v>254.5</v>
      </c>
    </row>
    <row r="2147" spans="1:11" x14ac:dyDescent="0.35">
      <c r="A2147" t="s">
        <v>2703</v>
      </c>
      <c r="B2147" s="1">
        <v>0</v>
      </c>
      <c r="C2147" t="s">
        <v>2564</v>
      </c>
      <c r="D2147" t="s">
        <v>5576</v>
      </c>
      <c r="E2147" t="s">
        <v>5120</v>
      </c>
      <c r="F2147" t="s">
        <v>5089</v>
      </c>
      <c r="G2147" t="s">
        <v>5077</v>
      </c>
      <c r="H2147" t="s">
        <v>5719</v>
      </c>
      <c r="J2147" t="s">
        <v>2703</v>
      </c>
      <c r="K2147">
        <v>243.9</v>
      </c>
    </row>
    <row r="2148" spans="1:11" x14ac:dyDescent="0.35">
      <c r="A2148" t="s">
        <v>2705</v>
      </c>
      <c r="B2148" s="1">
        <v>0</v>
      </c>
      <c r="C2148" t="s">
        <v>335</v>
      </c>
      <c r="D2148" t="s">
        <v>5558</v>
      </c>
      <c r="E2148" t="s">
        <v>5160</v>
      </c>
      <c r="F2148" t="s">
        <v>5089</v>
      </c>
      <c r="G2148" t="s">
        <v>5082</v>
      </c>
      <c r="H2148" t="s">
        <v>1666</v>
      </c>
      <c r="J2148" t="s">
        <v>2705</v>
      </c>
      <c r="K2148">
        <v>221.6</v>
      </c>
    </row>
    <row r="2149" spans="1:11" x14ac:dyDescent="0.35">
      <c r="A2149" t="s">
        <v>2706</v>
      </c>
      <c r="B2149" s="1">
        <v>0</v>
      </c>
      <c r="C2149" t="s">
        <v>1916</v>
      </c>
      <c r="D2149" t="s">
        <v>5487</v>
      </c>
      <c r="E2149" t="s">
        <v>5175</v>
      </c>
      <c r="F2149" t="s">
        <v>5077</v>
      </c>
      <c r="G2149" t="s">
        <v>5215</v>
      </c>
      <c r="H2149" t="s">
        <v>1315</v>
      </c>
      <c r="J2149" t="s">
        <v>2706</v>
      </c>
      <c r="K2149">
        <v>207</v>
      </c>
    </row>
    <row r="2150" spans="1:11" x14ac:dyDescent="0.35">
      <c r="A2150" t="s">
        <v>2707</v>
      </c>
      <c r="B2150" s="1">
        <v>0</v>
      </c>
      <c r="C2150" t="s">
        <v>362</v>
      </c>
      <c r="D2150" t="s">
        <v>5558</v>
      </c>
      <c r="E2150" t="s">
        <v>5160</v>
      </c>
      <c r="F2150" t="s">
        <v>5077</v>
      </c>
      <c r="G2150" t="s">
        <v>5215</v>
      </c>
      <c r="H2150" t="s">
        <v>4532</v>
      </c>
      <c r="J2150" t="s">
        <v>2707</v>
      </c>
      <c r="K2150">
        <v>211</v>
      </c>
    </row>
    <row r="2151" spans="1:11" x14ac:dyDescent="0.35">
      <c r="A2151" t="s">
        <v>2709</v>
      </c>
      <c r="B2151" s="1">
        <v>0</v>
      </c>
      <c r="C2151" t="s">
        <v>458</v>
      </c>
      <c r="D2151" t="s">
        <v>5273</v>
      </c>
      <c r="E2151" t="s">
        <v>5105</v>
      </c>
      <c r="F2151" t="s">
        <v>5077</v>
      </c>
      <c r="G2151" t="s">
        <v>5082</v>
      </c>
      <c r="H2151" t="s">
        <v>627</v>
      </c>
      <c r="J2151" t="s">
        <v>2709</v>
      </c>
      <c r="K2151">
        <v>226.3</v>
      </c>
    </row>
    <row r="2152" spans="1:11" x14ac:dyDescent="0.35">
      <c r="A2152" t="s">
        <v>2710</v>
      </c>
      <c r="B2152" s="1">
        <v>0</v>
      </c>
      <c r="C2152" t="s">
        <v>2566</v>
      </c>
      <c r="D2152" t="s">
        <v>5232</v>
      </c>
      <c r="E2152" t="s">
        <v>5067</v>
      </c>
      <c r="F2152" t="s">
        <v>5077</v>
      </c>
      <c r="G2152" t="s">
        <v>5110</v>
      </c>
      <c r="H2152" t="s">
        <v>642</v>
      </c>
      <c r="J2152" t="s">
        <v>2710</v>
      </c>
      <c r="K2152">
        <v>228.9</v>
      </c>
    </row>
    <row r="2153" spans="1:11" x14ac:dyDescent="0.35">
      <c r="A2153" t="s">
        <v>2711</v>
      </c>
      <c r="B2153" s="1">
        <v>0</v>
      </c>
      <c r="C2153" t="s">
        <v>989</v>
      </c>
      <c r="D2153" t="s">
        <v>5630</v>
      </c>
      <c r="E2153" t="s">
        <v>5081</v>
      </c>
      <c r="F2153" t="s">
        <v>5077</v>
      </c>
      <c r="G2153" t="s">
        <v>5116</v>
      </c>
      <c r="H2153" t="s">
        <v>617</v>
      </c>
      <c r="J2153" t="s">
        <v>2711</v>
      </c>
      <c r="K2153">
        <v>217.4</v>
      </c>
    </row>
    <row r="2154" spans="1:11" x14ac:dyDescent="0.35">
      <c r="A2154" t="s">
        <v>2712</v>
      </c>
      <c r="B2154" s="1">
        <v>0</v>
      </c>
      <c r="C2154" t="s">
        <v>1909</v>
      </c>
      <c r="D2154" t="s">
        <v>5378</v>
      </c>
      <c r="E2154" t="s">
        <v>5306</v>
      </c>
      <c r="F2154" t="s">
        <v>5077</v>
      </c>
      <c r="G2154" t="s">
        <v>5124</v>
      </c>
      <c r="H2154" t="s">
        <v>683</v>
      </c>
      <c r="J2154" t="s">
        <v>2712</v>
      </c>
      <c r="K2154">
        <v>201.1</v>
      </c>
    </row>
    <row r="2155" spans="1:11" x14ac:dyDescent="0.35">
      <c r="A2155" t="s">
        <v>2713</v>
      </c>
      <c r="B2155" s="1">
        <v>0</v>
      </c>
      <c r="C2155" t="s">
        <v>371</v>
      </c>
      <c r="D2155" t="s">
        <v>5225</v>
      </c>
      <c r="E2155" t="s">
        <v>5202</v>
      </c>
      <c r="F2155" t="s">
        <v>5077</v>
      </c>
      <c r="G2155" t="s">
        <v>5183</v>
      </c>
      <c r="H2155" t="s">
        <v>5686</v>
      </c>
      <c r="J2155" t="s">
        <v>2713</v>
      </c>
      <c r="K2155">
        <v>189.6</v>
      </c>
    </row>
    <row r="2156" spans="1:11" x14ac:dyDescent="0.35">
      <c r="A2156" t="s">
        <v>2714</v>
      </c>
      <c r="B2156" s="1">
        <v>0</v>
      </c>
      <c r="C2156" t="s">
        <v>1005</v>
      </c>
      <c r="D2156" t="s">
        <v>5225</v>
      </c>
      <c r="E2156" t="s">
        <v>5310</v>
      </c>
      <c r="F2156" t="s">
        <v>5077</v>
      </c>
      <c r="G2156" t="s">
        <v>5062</v>
      </c>
      <c r="H2156" t="s">
        <v>2335</v>
      </c>
      <c r="J2156" t="s">
        <v>2714</v>
      </c>
      <c r="K2156">
        <v>187.8</v>
      </c>
    </row>
    <row r="2157" spans="1:11" x14ac:dyDescent="0.35">
      <c r="A2157" t="s">
        <v>2715</v>
      </c>
      <c r="B2157" s="1">
        <v>0</v>
      </c>
      <c r="C2157" t="s">
        <v>1027</v>
      </c>
      <c r="D2157" t="s">
        <v>5235</v>
      </c>
      <c r="E2157" t="s">
        <v>5170</v>
      </c>
      <c r="F2157" t="s">
        <v>5077</v>
      </c>
      <c r="G2157" t="s">
        <v>5412</v>
      </c>
      <c r="H2157" t="s">
        <v>1213</v>
      </c>
      <c r="J2157" t="s">
        <v>2715</v>
      </c>
      <c r="K2157">
        <v>191.8</v>
      </c>
    </row>
    <row r="2158" spans="1:11" x14ac:dyDescent="0.35">
      <c r="A2158" t="s">
        <v>2716</v>
      </c>
      <c r="B2158" s="1">
        <v>0</v>
      </c>
      <c r="C2158" t="s">
        <v>2602</v>
      </c>
      <c r="D2158" t="s">
        <v>5447</v>
      </c>
      <c r="E2158" t="s">
        <v>5323</v>
      </c>
      <c r="F2158" t="s">
        <v>5077</v>
      </c>
      <c r="G2158" t="s">
        <v>5065</v>
      </c>
      <c r="H2158" t="s">
        <v>214</v>
      </c>
      <c r="J2158" t="s">
        <v>2716</v>
      </c>
      <c r="K2158">
        <v>198.1</v>
      </c>
    </row>
    <row r="2159" spans="1:11" x14ac:dyDescent="0.35">
      <c r="A2159" t="s">
        <v>2717</v>
      </c>
      <c r="B2159" s="1">
        <v>0</v>
      </c>
      <c r="C2159" t="s">
        <v>466</v>
      </c>
      <c r="D2159" t="s">
        <v>5146</v>
      </c>
      <c r="E2159" t="s">
        <v>5076</v>
      </c>
      <c r="F2159" t="s">
        <v>5077</v>
      </c>
      <c r="G2159" t="s">
        <v>5078</v>
      </c>
      <c r="H2159" t="s">
        <v>4467</v>
      </c>
      <c r="J2159" t="s">
        <v>2717</v>
      </c>
      <c r="K2159">
        <v>206.2</v>
      </c>
    </row>
    <row r="2160" spans="1:11" x14ac:dyDescent="0.35">
      <c r="A2160" t="s">
        <v>2718</v>
      </c>
      <c r="B2160" s="1">
        <v>0</v>
      </c>
      <c r="C2160" t="s">
        <v>356</v>
      </c>
      <c r="D2160" t="s">
        <v>5280</v>
      </c>
      <c r="E2160" t="s">
        <v>5175</v>
      </c>
      <c r="F2160" t="s">
        <v>5089</v>
      </c>
      <c r="G2160" t="s">
        <v>5095</v>
      </c>
      <c r="H2160" t="s">
        <v>1300</v>
      </c>
      <c r="J2160" t="s">
        <v>2718</v>
      </c>
      <c r="K2160">
        <v>208.6</v>
      </c>
    </row>
    <row r="2161" spans="1:11" x14ac:dyDescent="0.35">
      <c r="A2161" t="s">
        <v>2719</v>
      </c>
      <c r="B2161" s="1">
        <v>0</v>
      </c>
      <c r="C2161" t="s">
        <v>336</v>
      </c>
      <c r="D2161" t="s">
        <v>5579</v>
      </c>
      <c r="E2161" t="s">
        <v>5076</v>
      </c>
      <c r="F2161" t="s">
        <v>5089</v>
      </c>
      <c r="G2161" t="s">
        <v>5092</v>
      </c>
      <c r="H2161" t="s">
        <v>3163</v>
      </c>
      <c r="J2161" t="s">
        <v>2719</v>
      </c>
      <c r="K2161">
        <v>212.9</v>
      </c>
    </row>
    <row r="2162" spans="1:11" x14ac:dyDescent="0.35">
      <c r="A2162" t="s">
        <v>2720</v>
      </c>
      <c r="B2162" s="1">
        <v>0</v>
      </c>
      <c r="C2162" t="s">
        <v>460</v>
      </c>
      <c r="D2162" t="s">
        <v>5487</v>
      </c>
      <c r="E2162" t="s">
        <v>5173</v>
      </c>
      <c r="F2162" t="s">
        <v>5089</v>
      </c>
      <c r="G2162" t="s">
        <v>5358</v>
      </c>
      <c r="H2162" t="s">
        <v>3658</v>
      </c>
      <c r="J2162" t="s">
        <v>2720</v>
      </c>
      <c r="K2162">
        <v>218.8</v>
      </c>
    </row>
    <row r="2163" spans="1:11" x14ac:dyDescent="0.35">
      <c r="A2163" t="s">
        <v>2721</v>
      </c>
      <c r="B2163" s="1">
        <v>0</v>
      </c>
      <c r="C2163" t="s">
        <v>471</v>
      </c>
      <c r="D2163" t="s">
        <v>5625</v>
      </c>
      <c r="E2163" t="s">
        <v>5102</v>
      </c>
      <c r="F2163" t="s">
        <v>5338</v>
      </c>
      <c r="G2163" t="s">
        <v>5201</v>
      </c>
      <c r="H2163" t="s">
        <v>733</v>
      </c>
      <c r="J2163" t="s">
        <v>2721</v>
      </c>
      <c r="K2163">
        <v>232.2</v>
      </c>
    </row>
    <row r="2164" spans="1:11" x14ac:dyDescent="0.35">
      <c r="A2164" t="s">
        <v>2722</v>
      </c>
      <c r="B2164" s="1">
        <v>0</v>
      </c>
      <c r="C2164" t="s">
        <v>4382</v>
      </c>
      <c r="D2164" t="s">
        <v>5541</v>
      </c>
      <c r="E2164" t="s">
        <v>5257</v>
      </c>
      <c r="F2164" t="s">
        <v>5338</v>
      </c>
      <c r="G2164" t="s">
        <v>5201</v>
      </c>
      <c r="H2164" t="s">
        <v>735</v>
      </c>
      <c r="J2164" t="s">
        <v>2722</v>
      </c>
      <c r="K2164">
        <v>235</v>
      </c>
    </row>
    <row r="2165" spans="1:11" x14ac:dyDescent="0.35">
      <c r="A2165" t="s">
        <v>2725</v>
      </c>
      <c r="B2165" s="1">
        <v>0</v>
      </c>
      <c r="C2165" t="s">
        <v>1472</v>
      </c>
      <c r="D2165" t="s">
        <v>5630</v>
      </c>
      <c r="E2165" t="s">
        <v>5270</v>
      </c>
      <c r="F2165" t="s">
        <v>5338</v>
      </c>
      <c r="G2165" t="s">
        <v>5501</v>
      </c>
      <c r="H2165" t="s">
        <v>2026</v>
      </c>
      <c r="J2165" t="s">
        <v>2725</v>
      </c>
      <c r="K2165">
        <v>230.5</v>
      </c>
    </row>
    <row r="2166" spans="1:11" x14ac:dyDescent="0.35">
      <c r="A2166" t="s">
        <v>2728</v>
      </c>
      <c r="B2166" s="1">
        <v>0</v>
      </c>
      <c r="C2166" t="s">
        <v>979</v>
      </c>
      <c r="D2166" t="s">
        <v>5496</v>
      </c>
      <c r="E2166" t="s">
        <v>5121</v>
      </c>
      <c r="F2166" t="s">
        <v>5338</v>
      </c>
      <c r="G2166" t="s">
        <v>5136</v>
      </c>
      <c r="H2166" t="s">
        <v>641</v>
      </c>
      <c r="J2166" t="s">
        <v>2728</v>
      </c>
      <c r="K2166">
        <v>227.7</v>
      </c>
    </row>
    <row r="2167" spans="1:11" x14ac:dyDescent="0.35">
      <c r="A2167" t="s">
        <v>2730</v>
      </c>
      <c r="B2167" s="1">
        <v>0</v>
      </c>
      <c r="C2167" t="s">
        <v>469</v>
      </c>
      <c r="D2167" t="s">
        <v>5589</v>
      </c>
      <c r="E2167" t="s">
        <v>5444</v>
      </c>
      <c r="F2167" t="s">
        <v>5338</v>
      </c>
      <c r="G2167" t="s">
        <v>5493</v>
      </c>
      <c r="H2167" t="s">
        <v>3891</v>
      </c>
      <c r="J2167" t="s">
        <v>2730</v>
      </c>
      <c r="K2167">
        <v>232.5</v>
      </c>
    </row>
    <row r="2168" spans="1:11" x14ac:dyDescent="0.35">
      <c r="A2168" t="s">
        <v>2731</v>
      </c>
      <c r="B2168" s="1">
        <v>0</v>
      </c>
      <c r="C2168" t="s">
        <v>4117</v>
      </c>
      <c r="D2168" t="s">
        <v>5499</v>
      </c>
      <c r="E2168" t="s">
        <v>5247</v>
      </c>
      <c r="F2168" t="s">
        <v>5338</v>
      </c>
      <c r="G2168" t="s">
        <v>5333</v>
      </c>
      <c r="H2168" t="s">
        <v>5678</v>
      </c>
      <c r="J2168" t="s">
        <v>2731</v>
      </c>
      <c r="K2168">
        <v>244.6</v>
      </c>
    </row>
    <row r="2169" spans="1:11" x14ac:dyDescent="0.35">
      <c r="A2169" t="s">
        <v>2733</v>
      </c>
      <c r="B2169" s="1">
        <v>0</v>
      </c>
      <c r="C2169" t="s">
        <v>3803</v>
      </c>
      <c r="D2169" t="s">
        <v>5231</v>
      </c>
      <c r="E2169" t="s">
        <v>5247</v>
      </c>
      <c r="F2169" t="s">
        <v>5338</v>
      </c>
      <c r="G2169" t="s">
        <v>5201</v>
      </c>
      <c r="H2169" t="s">
        <v>5722</v>
      </c>
      <c r="J2169" t="s">
        <v>2733</v>
      </c>
      <c r="K2169">
        <v>249.3</v>
      </c>
    </row>
    <row r="2170" spans="1:11" x14ac:dyDescent="0.35">
      <c r="A2170" t="s">
        <v>2735</v>
      </c>
      <c r="B2170" s="1">
        <v>0</v>
      </c>
      <c r="C2170" t="s">
        <v>4647</v>
      </c>
      <c r="D2170" t="s">
        <v>5613</v>
      </c>
      <c r="E2170" t="s">
        <v>5444</v>
      </c>
      <c r="F2170" t="s">
        <v>5338</v>
      </c>
      <c r="G2170" t="s">
        <v>5340</v>
      </c>
      <c r="H2170" t="s">
        <v>5670</v>
      </c>
      <c r="J2170" t="s">
        <v>2735</v>
      </c>
      <c r="K2170">
        <v>241.2</v>
      </c>
    </row>
    <row r="2171" spans="1:11" x14ac:dyDescent="0.35">
      <c r="A2171" t="s">
        <v>2737</v>
      </c>
      <c r="B2171" s="1">
        <v>0</v>
      </c>
      <c r="C2171" t="s">
        <v>3498</v>
      </c>
      <c r="D2171" t="s">
        <v>5246</v>
      </c>
      <c r="E2171" t="s">
        <v>5069</v>
      </c>
      <c r="F2171" t="s">
        <v>5338</v>
      </c>
      <c r="G2171" t="s">
        <v>5333</v>
      </c>
      <c r="H2171" t="s">
        <v>5741</v>
      </c>
      <c r="J2171" t="s">
        <v>2737</v>
      </c>
      <c r="K2171">
        <v>232.8</v>
      </c>
    </row>
    <row r="2172" spans="1:11" x14ac:dyDescent="0.35">
      <c r="A2172" t="s">
        <v>2738</v>
      </c>
      <c r="B2172" s="1">
        <v>0</v>
      </c>
      <c r="C2172" t="s">
        <v>1538</v>
      </c>
      <c r="D2172" t="s">
        <v>5558</v>
      </c>
      <c r="E2172" t="s">
        <v>5182</v>
      </c>
      <c r="F2172" t="s">
        <v>5338</v>
      </c>
      <c r="G2172" t="s">
        <v>5332</v>
      </c>
      <c r="H2172" t="s">
        <v>2384</v>
      </c>
      <c r="J2172" t="s">
        <v>2738</v>
      </c>
      <c r="K2172">
        <v>227.1</v>
      </c>
    </row>
    <row r="2173" spans="1:11" x14ac:dyDescent="0.35">
      <c r="A2173" t="s">
        <v>2739</v>
      </c>
      <c r="B2173" s="1">
        <v>0</v>
      </c>
      <c r="C2173" t="s">
        <v>1542</v>
      </c>
      <c r="D2173" t="s">
        <v>5554</v>
      </c>
      <c r="E2173" t="s">
        <v>5102</v>
      </c>
      <c r="F2173" t="s">
        <v>5338</v>
      </c>
      <c r="G2173" t="s">
        <v>5493</v>
      </c>
      <c r="H2173" t="s">
        <v>5710</v>
      </c>
      <c r="J2173" t="s">
        <v>2739</v>
      </c>
      <c r="K2173">
        <v>228.5</v>
      </c>
    </row>
    <row r="2174" spans="1:11" x14ac:dyDescent="0.35">
      <c r="A2174" t="s">
        <v>2740</v>
      </c>
      <c r="B2174" s="1">
        <v>0</v>
      </c>
      <c r="C2174" t="s">
        <v>1543</v>
      </c>
      <c r="D2174" t="s">
        <v>5573</v>
      </c>
      <c r="E2174" t="s">
        <v>5102</v>
      </c>
      <c r="F2174" t="s">
        <v>5338</v>
      </c>
      <c r="G2174" t="s">
        <v>5356</v>
      </c>
      <c r="H2174" t="s">
        <v>1659</v>
      </c>
      <c r="J2174" t="s">
        <v>2740</v>
      </c>
      <c r="K2174">
        <v>228.4</v>
      </c>
    </row>
    <row r="2175" spans="1:11" x14ac:dyDescent="0.35">
      <c r="A2175" t="s">
        <v>2741</v>
      </c>
      <c r="B2175" s="1">
        <v>0</v>
      </c>
      <c r="C2175" t="s">
        <v>3218</v>
      </c>
      <c r="D2175" t="s">
        <v>5512</v>
      </c>
      <c r="E2175" t="s">
        <v>5081</v>
      </c>
      <c r="F2175" t="s">
        <v>5338</v>
      </c>
      <c r="G2175" t="s">
        <v>5132</v>
      </c>
      <c r="H2175" t="s">
        <v>207</v>
      </c>
      <c r="J2175" t="s">
        <v>2741</v>
      </c>
      <c r="K2175">
        <v>230.4</v>
      </c>
    </row>
    <row r="2176" spans="1:11" x14ac:dyDescent="0.35">
      <c r="A2176" t="s">
        <v>2742</v>
      </c>
      <c r="B2176" s="1">
        <v>0</v>
      </c>
      <c r="C2176" t="s">
        <v>3219</v>
      </c>
      <c r="D2176" t="s">
        <v>5574</v>
      </c>
      <c r="E2176" t="s">
        <v>5105</v>
      </c>
      <c r="F2176" t="s">
        <v>5338</v>
      </c>
      <c r="G2176" t="s">
        <v>5132</v>
      </c>
      <c r="H2176" t="s">
        <v>3958</v>
      </c>
      <c r="J2176" t="s">
        <v>2742</v>
      </c>
      <c r="K2176">
        <v>232</v>
      </c>
    </row>
    <row r="2177" spans="1:11" x14ac:dyDescent="0.35">
      <c r="A2177" t="s">
        <v>2743</v>
      </c>
      <c r="B2177" s="1">
        <v>0</v>
      </c>
      <c r="C2177" t="s">
        <v>318</v>
      </c>
      <c r="D2177" t="s">
        <v>5590</v>
      </c>
      <c r="E2177" t="s">
        <v>5218</v>
      </c>
      <c r="F2177" t="s">
        <v>5338</v>
      </c>
      <c r="G2177" t="s">
        <v>5355</v>
      </c>
      <c r="H2177" t="s">
        <v>4210</v>
      </c>
      <c r="J2177" t="s">
        <v>2743</v>
      </c>
      <c r="K2177">
        <v>240.2</v>
      </c>
    </row>
    <row r="2178" spans="1:11" x14ac:dyDescent="0.35">
      <c r="A2178" t="s">
        <v>2744</v>
      </c>
      <c r="B2178" s="1">
        <v>0</v>
      </c>
      <c r="C2178" t="s">
        <v>485</v>
      </c>
      <c r="D2178" t="s">
        <v>5275</v>
      </c>
      <c r="E2178" t="s">
        <v>5074</v>
      </c>
      <c r="F2178" t="s">
        <v>5338</v>
      </c>
      <c r="G2178" t="s">
        <v>5340</v>
      </c>
      <c r="H2178" t="s">
        <v>3599</v>
      </c>
      <c r="J2178" t="s">
        <v>2744</v>
      </c>
      <c r="K2178">
        <v>246.7</v>
      </c>
    </row>
    <row r="2179" spans="1:11" x14ac:dyDescent="0.35">
      <c r="A2179" t="s">
        <v>2746</v>
      </c>
      <c r="B2179" s="1">
        <v>0</v>
      </c>
      <c r="C2179" t="s">
        <v>2614</v>
      </c>
      <c r="D2179" t="s">
        <v>5507</v>
      </c>
      <c r="E2179" t="s">
        <v>5093</v>
      </c>
      <c r="F2179" t="s">
        <v>5338</v>
      </c>
      <c r="G2179" t="s">
        <v>5188</v>
      </c>
      <c r="H2179" t="s">
        <v>3575</v>
      </c>
      <c r="J2179" t="s">
        <v>2746</v>
      </c>
      <c r="K2179">
        <v>252.4</v>
      </c>
    </row>
    <row r="2180" spans="1:11" x14ac:dyDescent="0.35">
      <c r="A2180" t="s">
        <v>2747</v>
      </c>
      <c r="B2180" s="1">
        <v>0</v>
      </c>
      <c r="C2180" t="s">
        <v>5600</v>
      </c>
      <c r="D2180" t="s">
        <v>5612</v>
      </c>
      <c r="E2180" t="s">
        <v>5085</v>
      </c>
      <c r="F2180" t="s">
        <v>5338</v>
      </c>
      <c r="G2180" t="s">
        <v>5188</v>
      </c>
      <c r="H2180" t="s">
        <v>4242</v>
      </c>
      <c r="J2180" t="s">
        <v>2747</v>
      </c>
      <c r="K2180">
        <v>248.1</v>
      </c>
    </row>
    <row r="2181" spans="1:11" x14ac:dyDescent="0.35">
      <c r="A2181" t="s">
        <v>2749</v>
      </c>
      <c r="B2181" s="1">
        <v>0</v>
      </c>
      <c r="C2181" t="s">
        <v>1476</v>
      </c>
      <c r="D2181" t="s">
        <v>5128</v>
      </c>
      <c r="E2181" t="s">
        <v>5229</v>
      </c>
      <c r="F2181" t="s">
        <v>5338</v>
      </c>
      <c r="G2181" t="s">
        <v>5501</v>
      </c>
      <c r="H2181" t="s">
        <v>5707</v>
      </c>
      <c r="J2181" t="s">
        <v>2749</v>
      </c>
      <c r="K2181">
        <v>239.5</v>
      </c>
    </row>
    <row r="2182" spans="1:11" x14ac:dyDescent="0.35">
      <c r="A2182" t="s">
        <v>2750</v>
      </c>
      <c r="B2182" s="1">
        <v>0</v>
      </c>
      <c r="C2182" t="s">
        <v>474</v>
      </c>
      <c r="D2182" t="s">
        <v>5277</v>
      </c>
      <c r="E2182" t="s">
        <v>5123</v>
      </c>
      <c r="F2182" t="s">
        <v>5338</v>
      </c>
      <c r="G2182" t="s">
        <v>5356</v>
      </c>
      <c r="H2182" t="s">
        <v>5723</v>
      </c>
      <c r="J2182" t="s">
        <v>2750</v>
      </c>
      <c r="K2182">
        <v>227.6</v>
      </c>
    </row>
    <row r="2183" spans="1:11" x14ac:dyDescent="0.35">
      <c r="A2183" t="s">
        <v>2752</v>
      </c>
      <c r="B2183" s="1">
        <v>0</v>
      </c>
      <c r="C2183" t="s">
        <v>353</v>
      </c>
      <c r="D2183" t="s">
        <v>5117</v>
      </c>
      <c r="E2183" t="s">
        <v>5239</v>
      </c>
      <c r="F2183" t="s">
        <v>5338</v>
      </c>
      <c r="G2183" t="s">
        <v>5077</v>
      </c>
      <c r="H2183" t="s">
        <v>1705</v>
      </c>
      <c r="J2183" t="s">
        <v>2752</v>
      </c>
      <c r="K2183">
        <v>218.9</v>
      </c>
    </row>
    <row r="2184" spans="1:11" x14ac:dyDescent="0.35">
      <c r="A2184" t="s">
        <v>2753</v>
      </c>
      <c r="B2184" s="1">
        <v>0</v>
      </c>
      <c r="C2184" t="s">
        <v>333</v>
      </c>
      <c r="D2184" t="s">
        <v>5575</v>
      </c>
      <c r="E2184" t="s">
        <v>5178</v>
      </c>
      <c r="F2184" t="s">
        <v>5338</v>
      </c>
      <c r="G2184" t="s">
        <v>5045</v>
      </c>
      <c r="H2184" t="s">
        <v>3032</v>
      </c>
      <c r="J2184" t="s">
        <v>2753</v>
      </c>
      <c r="K2184">
        <v>213.3</v>
      </c>
    </row>
    <row r="2185" spans="1:11" x14ac:dyDescent="0.35">
      <c r="A2185" t="s">
        <v>2754</v>
      </c>
      <c r="B2185" s="1">
        <v>0</v>
      </c>
      <c r="C2185" t="s">
        <v>989</v>
      </c>
      <c r="D2185" t="s">
        <v>5146</v>
      </c>
      <c r="E2185" t="s">
        <v>5208</v>
      </c>
      <c r="F2185" t="s">
        <v>5152</v>
      </c>
      <c r="G2185" t="s">
        <v>5089</v>
      </c>
      <c r="H2185" t="s">
        <v>2008</v>
      </c>
      <c r="J2185" t="s">
        <v>2754</v>
      </c>
      <c r="K2185">
        <v>212.3</v>
      </c>
    </row>
    <row r="2186" spans="1:11" x14ac:dyDescent="0.35">
      <c r="A2186" t="s">
        <v>2755</v>
      </c>
      <c r="B2186" s="1">
        <v>0</v>
      </c>
      <c r="C2186" t="s">
        <v>1522</v>
      </c>
      <c r="D2186" t="s">
        <v>5146</v>
      </c>
      <c r="E2186" t="s">
        <v>5098</v>
      </c>
      <c r="F2186" t="s">
        <v>5152</v>
      </c>
      <c r="G2186" t="s">
        <v>5358</v>
      </c>
      <c r="H2186" t="s">
        <v>2727</v>
      </c>
      <c r="J2186" t="s">
        <v>2755</v>
      </c>
      <c r="K2186">
        <v>211.3</v>
      </c>
    </row>
    <row r="2187" spans="1:11" x14ac:dyDescent="0.35">
      <c r="A2187" t="s">
        <v>2756</v>
      </c>
      <c r="B2187" s="1">
        <v>0</v>
      </c>
      <c r="C2187" t="s">
        <v>3800</v>
      </c>
      <c r="D2187" t="s">
        <v>5575</v>
      </c>
      <c r="E2187" t="s">
        <v>5208</v>
      </c>
      <c r="F2187" t="s">
        <v>5338</v>
      </c>
      <c r="G2187" t="s">
        <v>5358</v>
      </c>
      <c r="H2187" t="s">
        <v>4532</v>
      </c>
      <c r="J2187" t="s">
        <v>2756</v>
      </c>
      <c r="K2187">
        <v>211</v>
      </c>
    </row>
    <row r="2188" spans="1:11" x14ac:dyDescent="0.35">
      <c r="A2188" t="s">
        <v>2757</v>
      </c>
      <c r="B2188" s="1">
        <v>0</v>
      </c>
      <c r="C2188" t="s">
        <v>1047</v>
      </c>
      <c r="D2188" t="s">
        <v>5101</v>
      </c>
      <c r="E2188" t="s">
        <v>5208</v>
      </c>
      <c r="F2188" t="s">
        <v>5338</v>
      </c>
      <c r="G2188" t="s">
        <v>5077</v>
      </c>
      <c r="H2188" t="s">
        <v>1316</v>
      </c>
      <c r="J2188" t="s">
        <v>2757</v>
      </c>
      <c r="K2188">
        <v>206.8</v>
      </c>
    </row>
    <row r="2189" spans="1:11" x14ac:dyDescent="0.35">
      <c r="A2189" t="s">
        <v>2758</v>
      </c>
      <c r="B2189" s="1">
        <v>0</v>
      </c>
      <c r="C2189" t="s">
        <v>1027</v>
      </c>
      <c r="D2189" t="s">
        <v>5373</v>
      </c>
      <c r="E2189" t="s">
        <v>5306</v>
      </c>
      <c r="F2189" t="s">
        <v>5152</v>
      </c>
      <c r="G2189" t="s">
        <v>5092</v>
      </c>
      <c r="H2189" t="s">
        <v>1714</v>
      </c>
      <c r="J2189" t="s">
        <v>2758</v>
      </c>
      <c r="K2189">
        <v>197.5</v>
      </c>
    </row>
    <row r="2190" spans="1:11" x14ac:dyDescent="0.35">
      <c r="A2190" t="s">
        <v>2759</v>
      </c>
      <c r="B2190" s="1">
        <v>0</v>
      </c>
      <c r="C2190" t="s">
        <v>427</v>
      </c>
      <c r="D2190" t="s">
        <v>5454</v>
      </c>
      <c r="E2190" t="s">
        <v>5059</v>
      </c>
      <c r="F2190" t="s">
        <v>5152</v>
      </c>
      <c r="G2190" t="s">
        <v>5045</v>
      </c>
      <c r="H2190" t="s">
        <v>3170</v>
      </c>
      <c r="J2190" t="s">
        <v>2759</v>
      </c>
      <c r="K2190">
        <v>194.9</v>
      </c>
    </row>
    <row r="2191" spans="1:11" x14ac:dyDescent="0.35">
      <c r="A2191" t="s">
        <v>2760</v>
      </c>
      <c r="B2191" s="1">
        <v>0</v>
      </c>
      <c r="C2191" t="s">
        <v>1876</v>
      </c>
      <c r="D2191" t="s">
        <v>5391</v>
      </c>
      <c r="E2191" t="s">
        <v>5434</v>
      </c>
      <c r="F2191" t="s">
        <v>5152</v>
      </c>
      <c r="G2191" t="s">
        <v>5089</v>
      </c>
      <c r="H2191" t="s">
        <v>5732</v>
      </c>
      <c r="J2191" t="s">
        <v>2760</v>
      </c>
      <c r="K2191">
        <v>200.4</v>
      </c>
    </row>
    <row r="2192" spans="1:11" x14ac:dyDescent="0.35">
      <c r="A2192" t="s">
        <v>2761</v>
      </c>
      <c r="B2192" s="1">
        <v>0</v>
      </c>
      <c r="C2192" t="s">
        <v>447</v>
      </c>
      <c r="D2192" t="s">
        <v>5101</v>
      </c>
      <c r="E2192" t="s">
        <v>5239</v>
      </c>
      <c r="F2192" t="s">
        <v>5338</v>
      </c>
      <c r="G2192" t="s">
        <v>5132</v>
      </c>
      <c r="H2192" t="s">
        <v>2115</v>
      </c>
      <c r="J2192" t="s">
        <v>2761</v>
      </c>
      <c r="K2192">
        <v>209.9</v>
      </c>
    </row>
    <row r="2193" spans="1:11" x14ac:dyDescent="0.35">
      <c r="A2193" t="s">
        <v>2762</v>
      </c>
      <c r="B2193" s="1">
        <v>0</v>
      </c>
      <c r="C2193" t="s">
        <v>440</v>
      </c>
      <c r="D2193" t="s">
        <v>5373</v>
      </c>
      <c r="E2193" t="s">
        <v>5249</v>
      </c>
      <c r="F2193" t="s">
        <v>5338</v>
      </c>
      <c r="G2193" t="s">
        <v>5358</v>
      </c>
      <c r="H2193" t="s">
        <v>3366</v>
      </c>
      <c r="J2193" t="s">
        <v>2762</v>
      </c>
      <c r="K2193">
        <v>207.1</v>
      </c>
    </row>
    <row r="2194" spans="1:11" x14ac:dyDescent="0.35">
      <c r="A2194" t="s">
        <v>2763</v>
      </c>
      <c r="B2194" s="1">
        <v>0</v>
      </c>
      <c r="C2194" t="s">
        <v>2602</v>
      </c>
      <c r="D2194" t="s">
        <v>5449</v>
      </c>
      <c r="E2194" t="s">
        <v>5286</v>
      </c>
      <c r="F2194" t="s">
        <v>5077</v>
      </c>
      <c r="G2194" t="s">
        <v>5110</v>
      </c>
      <c r="H2194" t="s">
        <v>1820</v>
      </c>
      <c r="J2194" t="s">
        <v>2763</v>
      </c>
      <c r="K2194">
        <v>193.7</v>
      </c>
    </row>
    <row r="2195" spans="1:11" x14ac:dyDescent="0.35">
      <c r="A2195" t="s">
        <v>2764</v>
      </c>
      <c r="B2195" s="1">
        <v>0</v>
      </c>
      <c r="C2195" t="s">
        <v>1031</v>
      </c>
      <c r="D2195" t="s">
        <v>5571</v>
      </c>
      <c r="E2195" t="s">
        <v>5070</v>
      </c>
      <c r="F2195" t="s">
        <v>5077</v>
      </c>
      <c r="G2195" t="s">
        <v>5099</v>
      </c>
      <c r="H2195" t="s">
        <v>2441</v>
      </c>
      <c r="J2195" t="s">
        <v>2764</v>
      </c>
      <c r="K2195">
        <v>183.4</v>
      </c>
    </row>
    <row r="2196" spans="1:11" x14ac:dyDescent="0.35">
      <c r="A2196" t="s">
        <v>2765</v>
      </c>
      <c r="B2196" s="1">
        <v>0</v>
      </c>
      <c r="C2196" t="s">
        <v>5398</v>
      </c>
      <c r="D2196" t="s">
        <v>5437</v>
      </c>
      <c r="E2196" t="s">
        <v>5181</v>
      </c>
      <c r="F2196" t="s">
        <v>5077</v>
      </c>
      <c r="G2196" t="s">
        <v>5065</v>
      </c>
      <c r="H2196" t="s">
        <v>892</v>
      </c>
      <c r="J2196" t="s">
        <v>2765</v>
      </c>
      <c r="K2196">
        <v>174.2</v>
      </c>
    </row>
    <row r="2197" spans="1:11" x14ac:dyDescent="0.35">
      <c r="A2197" t="s">
        <v>2766</v>
      </c>
      <c r="B2197" s="1">
        <v>0</v>
      </c>
      <c r="C2197" t="s">
        <v>5611</v>
      </c>
      <c r="D2197" t="s">
        <v>5100</v>
      </c>
      <c r="E2197" t="s">
        <v>5181</v>
      </c>
      <c r="F2197" t="s">
        <v>5077</v>
      </c>
      <c r="G2197" t="s">
        <v>5412</v>
      </c>
      <c r="H2197" t="s">
        <v>1812</v>
      </c>
      <c r="J2197" t="s">
        <v>2766</v>
      </c>
      <c r="K2197">
        <v>169</v>
      </c>
    </row>
    <row r="2198" spans="1:11" x14ac:dyDescent="0.35">
      <c r="A2198" t="s">
        <v>2767</v>
      </c>
      <c r="B2198" s="1">
        <v>0</v>
      </c>
      <c r="C2198" t="s">
        <v>5617</v>
      </c>
      <c r="D2198" t="s">
        <v>5187</v>
      </c>
      <c r="E2198" t="s">
        <v>5524</v>
      </c>
      <c r="F2198" t="s">
        <v>5077</v>
      </c>
      <c r="G2198" t="s">
        <v>5058</v>
      </c>
      <c r="H2198" t="s">
        <v>934</v>
      </c>
      <c r="J2198" t="s">
        <v>2767</v>
      </c>
      <c r="K2198">
        <v>168.7</v>
      </c>
    </row>
    <row r="2199" spans="1:11" x14ac:dyDescent="0.35">
      <c r="A2199" t="s">
        <v>2768</v>
      </c>
      <c r="B2199" s="1">
        <v>0</v>
      </c>
      <c r="C2199" t="s">
        <v>5514</v>
      </c>
      <c r="D2199" t="s">
        <v>5442</v>
      </c>
      <c r="E2199" t="s">
        <v>5169</v>
      </c>
      <c r="F2199" t="s">
        <v>5077</v>
      </c>
      <c r="G2199" t="s">
        <v>5412</v>
      </c>
      <c r="H2199" t="s">
        <v>162</v>
      </c>
      <c r="J2199" t="s">
        <v>2768</v>
      </c>
      <c r="K2199">
        <v>174.6</v>
      </c>
    </row>
    <row r="2200" spans="1:11" x14ac:dyDescent="0.35">
      <c r="A2200" t="s">
        <v>2769</v>
      </c>
      <c r="B2200" s="1">
        <v>0</v>
      </c>
      <c r="C2200" t="s">
        <v>405</v>
      </c>
      <c r="D2200" t="s">
        <v>5451</v>
      </c>
      <c r="E2200" t="s">
        <v>5422</v>
      </c>
      <c r="F2200" t="s">
        <v>5077</v>
      </c>
      <c r="G2200" t="s">
        <v>5065</v>
      </c>
      <c r="H2200" t="s">
        <v>697</v>
      </c>
      <c r="J2200" t="s">
        <v>2769</v>
      </c>
      <c r="K2200">
        <v>184</v>
      </c>
    </row>
    <row r="2201" spans="1:11" x14ac:dyDescent="0.35">
      <c r="A2201" t="s">
        <v>2770</v>
      </c>
      <c r="B2201" s="1">
        <v>0</v>
      </c>
      <c r="C2201" t="s">
        <v>3489</v>
      </c>
      <c r="D2201" t="s">
        <v>5190</v>
      </c>
      <c r="E2201" t="s">
        <v>5428</v>
      </c>
      <c r="F2201" t="s">
        <v>5077</v>
      </c>
      <c r="G2201" t="s">
        <v>5078</v>
      </c>
      <c r="H2201" t="s">
        <v>1189</v>
      </c>
      <c r="J2201" t="s">
        <v>2770</v>
      </c>
      <c r="K2201">
        <v>193</v>
      </c>
    </row>
    <row r="2202" spans="1:11" x14ac:dyDescent="0.35">
      <c r="A2202" t="s">
        <v>2771</v>
      </c>
      <c r="B2202" s="1">
        <v>0</v>
      </c>
      <c r="C2202" t="s">
        <v>1878</v>
      </c>
      <c r="D2202" t="s">
        <v>5464</v>
      </c>
      <c r="E2202" t="s">
        <v>5056</v>
      </c>
      <c r="F2202" t="s">
        <v>5077</v>
      </c>
      <c r="G2202" t="s">
        <v>5124</v>
      </c>
      <c r="H2202" t="s">
        <v>3137</v>
      </c>
      <c r="J2202" t="s">
        <v>2771</v>
      </c>
      <c r="K2202">
        <v>192.3</v>
      </c>
    </row>
    <row r="2203" spans="1:11" x14ac:dyDescent="0.35">
      <c r="A2203" t="s">
        <v>2772</v>
      </c>
      <c r="B2203" s="1">
        <v>0</v>
      </c>
      <c r="C2203" t="s">
        <v>5650</v>
      </c>
      <c r="D2203" t="s">
        <v>5106</v>
      </c>
      <c r="E2203" t="s">
        <v>5073</v>
      </c>
      <c r="F2203" t="s">
        <v>5077</v>
      </c>
      <c r="G2203" t="s">
        <v>5099</v>
      </c>
      <c r="H2203" t="s">
        <v>1228</v>
      </c>
      <c r="J2203" t="s">
        <v>2772</v>
      </c>
      <c r="K2203">
        <v>182.8</v>
      </c>
    </row>
    <row r="2204" spans="1:11" x14ac:dyDescent="0.35">
      <c r="A2204" t="s">
        <v>2773</v>
      </c>
      <c r="B2204" s="1">
        <v>0</v>
      </c>
      <c r="C2204" t="s">
        <v>5535</v>
      </c>
      <c r="D2204" t="s">
        <v>5100</v>
      </c>
      <c r="E2204" t="s">
        <v>5599</v>
      </c>
      <c r="F2204" t="s">
        <v>5077</v>
      </c>
      <c r="G2204" t="s">
        <v>5078</v>
      </c>
      <c r="H2204" t="s">
        <v>934</v>
      </c>
      <c r="J2204" t="s">
        <v>2773</v>
      </c>
      <c r="K2204">
        <v>168.7</v>
      </c>
    </row>
    <row r="2205" spans="1:11" x14ac:dyDescent="0.35">
      <c r="A2205" t="s">
        <v>2774</v>
      </c>
      <c r="B2205" s="1">
        <v>0</v>
      </c>
      <c r="C2205" t="s">
        <v>5530</v>
      </c>
      <c r="D2205" t="s">
        <v>5257</v>
      </c>
      <c r="E2205" t="s">
        <v>5415</v>
      </c>
      <c r="F2205" t="s">
        <v>5077</v>
      </c>
      <c r="G2205" t="s">
        <v>5065</v>
      </c>
      <c r="H2205" t="s">
        <v>786</v>
      </c>
      <c r="J2205" t="s">
        <v>2774</v>
      </c>
      <c r="K2205">
        <v>155.1</v>
      </c>
    </row>
    <row r="2206" spans="1:11" x14ac:dyDescent="0.35">
      <c r="A2206" t="s">
        <v>2775</v>
      </c>
      <c r="B2206" s="1">
        <v>0</v>
      </c>
      <c r="C2206" t="s">
        <v>5606</v>
      </c>
      <c r="D2206" t="s">
        <v>5173</v>
      </c>
      <c r="E2206" t="s">
        <v>5416</v>
      </c>
      <c r="F2206" t="s">
        <v>5045</v>
      </c>
      <c r="G2206" t="s">
        <v>5412</v>
      </c>
      <c r="H2206" t="s">
        <v>2560</v>
      </c>
      <c r="J2206" t="s">
        <v>2775</v>
      </c>
      <c r="K2206">
        <v>146.69999999999999</v>
      </c>
    </row>
    <row r="2207" spans="1:11" x14ac:dyDescent="0.35">
      <c r="A2207" t="s">
        <v>2776</v>
      </c>
      <c r="B2207" s="1">
        <v>0</v>
      </c>
      <c r="C2207" t="s">
        <v>5129</v>
      </c>
      <c r="D2207" t="s">
        <v>5076</v>
      </c>
      <c r="E2207" t="s">
        <v>5423</v>
      </c>
      <c r="F2207" t="s">
        <v>5045</v>
      </c>
      <c r="G2207" t="s">
        <v>5065</v>
      </c>
      <c r="H2207" t="s">
        <v>297</v>
      </c>
      <c r="J2207" t="s">
        <v>2776</v>
      </c>
      <c r="K2207">
        <v>145.80000000000001</v>
      </c>
    </row>
    <row r="2208" spans="1:11" x14ac:dyDescent="0.35">
      <c r="A2208" t="s">
        <v>2777</v>
      </c>
      <c r="B2208" s="1">
        <v>0</v>
      </c>
      <c r="C2208" t="s">
        <v>5454</v>
      </c>
      <c r="D2208" t="s">
        <v>5120</v>
      </c>
      <c r="E2208" t="s">
        <v>5623</v>
      </c>
      <c r="F2208" t="s">
        <v>5045</v>
      </c>
      <c r="G2208" t="s">
        <v>5215</v>
      </c>
      <c r="H2208" t="s">
        <v>1154</v>
      </c>
      <c r="J2208" t="s">
        <v>2777</v>
      </c>
      <c r="K2208">
        <v>152.30000000000001</v>
      </c>
    </row>
    <row r="2209" spans="1:11" x14ac:dyDescent="0.35">
      <c r="A2209" t="s">
        <v>2778</v>
      </c>
      <c r="B2209" s="1">
        <v>0</v>
      </c>
      <c r="C2209" t="s">
        <v>5101</v>
      </c>
      <c r="D2209" t="s">
        <v>5245</v>
      </c>
      <c r="E2209" t="s">
        <v>5295</v>
      </c>
      <c r="F2209" t="s">
        <v>5045</v>
      </c>
      <c r="G2209" t="s">
        <v>5099</v>
      </c>
      <c r="H2209" t="s">
        <v>875</v>
      </c>
      <c r="J2209" t="s">
        <v>2778</v>
      </c>
      <c r="K2209">
        <v>161.4</v>
      </c>
    </row>
    <row r="2210" spans="1:11" x14ac:dyDescent="0.35">
      <c r="A2210" t="s">
        <v>2779</v>
      </c>
      <c r="B2210" s="1">
        <v>0</v>
      </c>
      <c r="C2210" t="s">
        <v>5558</v>
      </c>
      <c r="D2210" t="s">
        <v>5285</v>
      </c>
      <c r="E2210" t="s">
        <v>5303</v>
      </c>
      <c r="F2210" t="s">
        <v>5077</v>
      </c>
      <c r="G2210" t="s">
        <v>5124</v>
      </c>
      <c r="H2210" t="s">
        <v>1324</v>
      </c>
      <c r="J2210" t="s">
        <v>2779</v>
      </c>
      <c r="K2210">
        <v>169.9</v>
      </c>
    </row>
    <row r="2211" spans="1:11" x14ac:dyDescent="0.35">
      <c r="A2211" t="s">
        <v>2781</v>
      </c>
      <c r="B2211" s="1">
        <v>0</v>
      </c>
      <c r="C2211" t="s">
        <v>5590</v>
      </c>
      <c r="D2211" t="s">
        <v>5097</v>
      </c>
      <c r="E2211" t="s">
        <v>5073</v>
      </c>
      <c r="F2211" t="s">
        <v>5077</v>
      </c>
      <c r="G2211" t="s">
        <v>5124</v>
      </c>
      <c r="H2211" t="s">
        <v>1817</v>
      </c>
      <c r="J2211" t="s">
        <v>2781</v>
      </c>
      <c r="K2211">
        <v>174.7</v>
      </c>
    </row>
    <row r="2212" spans="1:11" x14ac:dyDescent="0.35">
      <c r="A2212" t="s">
        <v>2782</v>
      </c>
      <c r="B2212" s="1">
        <v>0</v>
      </c>
      <c r="C2212" t="s">
        <v>5616</v>
      </c>
      <c r="D2212" t="s">
        <v>5531</v>
      </c>
      <c r="E2212" t="s">
        <v>5313</v>
      </c>
      <c r="F2212" t="s">
        <v>5077</v>
      </c>
      <c r="G2212" t="s">
        <v>5099</v>
      </c>
      <c r="H2212" t="s">
        <v>920</v>
      </c>
      <c r="J2212" t="s">
        <v>2782</v>
      </c>
      <c r="K2212">
        <v>176.3</v>
      </c>
    </row>
    <row r="2213" spans="1:11" x14ac:dyDescent="0.35">
      <c r="A2213" t="s">
        <v>2784</v>
      </c>
      <c r="B2213" s="1">
        <v>0</v>
      </c>
      <c r="C2213" t="s">
        <v>5472</v>
      </c>
      <c r="D2213" t="s">
        <v>5157</v>
      </c>
      <c r="E2213" t="s">
        <v>5599</v>
      </c>
      <c r="F2213" t="s">
        <v>5077</v>
      </c>
      <c r="G2213" t="s">
        <v>5124</v>
      </c>
      <c r="H2213" t="s">
        <v>90</v>
      </c>
      <c r="J2213" t="s">
        <v>2784</v>
      </c>
      <c r="K2213">
        <v>174.1</v>
      </c>
    </row>
    <row r="2214" spans="1:11" x14ac:dyDescent="0.35">
      <c r="A2214" t="s">
        <v>2785</v>
      </c>
      <c r="B2214" s="1">
        <v>0</v>
      </c>
      <c r="C2214" t="s">
        <v>5647</v>
      </c>
      <c r="D2214" t="s">
        <v>5088</v>
      </c>
      <c r="E2214" t="s">
        <v>5052</v>
      </c>
      <c r="F2214" t="s">
        <v>5077</v>
      </c>
      <c r="G2214" t="s">
        <v>5095</v>
      </c>
      <c r="H2214" t="s">
        <v>1606</v>
      </c>
      <c r="J2214" t="s">
        <v>2785</v>
      </c>
      <c r="K2214">
        <v>170.6</v>
      </c>
    </row>
    <row r="2215" spans="1:11" x14ac:dyDescent="0.35">
      <c r="A2215" t="s">
        <v>2786</v>
      </c>
      <c r="B2215" s="1">
        <v>0</v>
      </c>
      <c r="C2215" t="s">
        <v>5214</v>
      </c>
      <c r="D2215" t="s">
        <v>5213</v>
      </c>
      <c r="E2215" t="s">
        <v>5301</v>
      </c>
      <c r="F2215" t="s">
        <v>5077</v>
      </c>
      <c r="G2215" t="s">
        <v>5095</v>
      </c>
      <c r="H2215" t="s">
        <v>931</v>
      </c>
      <c r="J2215" t="s">
        <v>2786</v>
      </c>
      <c r="K2215">
        <v>166.5</v>
      </c>
    </row>
    <row r="2216" spans="1:11" x14ac:dyDescent="0.35">
      <c r="A2216" t="s">
        <v>2787</v>
      </c>
      <c r="B2216" s="1">
        <v>0</v>
      </c>
      <c r="C2216" t="s">
        <v>5498</v>
      </c>
      <c r="D2216" t="s">
        <v>5444</v>
      </c>
      <c r="E2216" t="s">
        <v>5426</v>
      </c>
      <c r="F2216" t="s">
        <v>5077</v>
      </c>
      <c r="G2216" t="s">
        <v>5082</v>
      </c>
      <c r="H2216" t="s">
        <v>805</v>
      </c>
      <c r="J2216" t="s">
        <v>2787</v>
      </c>
      <c r="K2216">
        <v>169.5</v>
      </c>
    </row>
    <row r="2217" spans="1:11" x14ac:dyDescent="0.35">
      <c r="A2217" t="s">
        <v>2788</v>
      </c>
      <c r="B2217" s="1">
        <v>0</v>
      </c>
      <c r="C2217" t="s">
        <v>993</v>
      </c>
      <c r="D2217" t="s">
        <v>5141</v>
      </c>
      <c r="E2217" t="s">
        <v>5061</v>
      </c>
      <c r="F2217" t="s">
        <v>5077</v>
      </c>
      <c r="G2217" t="s">
        <v>5110</v>
      </c>
      <c r="H2217" t="s">
        <v>699</v>
      </c>
      <c r="J2217" t="s">
        <v>2788</v>
      </c>
      <c r="K2217">
        <v>180.9</v>
      </c>
    </row>
    <row r="2218" spans="1:11" x14ac:dyDescent="0.35">
      <c r="A2218" t="s">
        <v>2789</v>
      </c>
      <c r="B2218" s="1">
        <v>0</v>
      </c>
      <c r="C2218" t="s">
        <v>1060</v>
      </c>
      <c r="D2218" t="s">
        <v>5449</v>
      </c>
      <c r="E2218" t="s">
        <v>5073</v>
      </c>
      <c r="F2218" t="s">
        <v>5077</v>
      </c>
      <c r="G2218" t="s">
        <v>5045</v>
      </c>
      <c r="H2218" t="s">
        <v>3611</v>
      </c>
      <c r="J2218" t="s">
        <v>2789</v>
      </c>
      <c r="K2218">
        <v>197.8</v>
      </c>
    </row>
    <row r="2219" spans="1:11" x14ac:dyDescent="0.35">
      <c r="A2219" t="s">
        <v>2790</v>
      </c>
      <c r="B2219" s="1">
        <v>0</v>
      </c>
      <c r="C2219" t="s">
        <v>1871</v>
      </c>
      <c r="D2219" t="s">
        <v>5446</v>
      </c>
      <c r="E2219" t="s">
        <v>5202</v>
      </c>
      <c r="F2219" t="s">
        <v>5077</v>
      </c>
      <c r="G2219" t="s">
        <v>5358</v>
      </c>
      <c r="H2219" t="s">
        <v>2037</v>
      </c>
      <c r="J2219" t="s">
        <v>2790</v>
      </c>
      <c r="K2219">
        <v>213.4</v>
      </c>
    </row>
    <row r="2220" spans="1:11" x14ac:dyDescent="0.35">
      <c r="A2220" t="s">
        <v>2791</v>
      </c>
      <c r="B2220" s="1">
        <v>0</v>
      </c>
      <c r="C2220" t="s">
        <v>315</v>
      </c>
      <c r="D2220" t="s">
        <v>5280</v>
      </c>
      <c r="E2220" t="s">
        <v>5237</v>
      </c>
      <c r="F2220" t="s">
        <v>5089</v>
      </c>
      <c r="G2220" t="s">
        <v>5136</v>
      </c>
      <c r="H2220" t="s">
        <v>4470</v>
      </c>
      <c r="J2220" t="s">
        <v>2791</v>
      </c>
      <c r="K2220">
        <v>225.9</v>
      </c>
    </row>
    <row r="2221" spans="1:11" x14ac:dyDescent="0.35">
      <c r="A2221" t="s">
        <v>2792</v>
      </c>
      <c r="B2221" s="1">
        <v>0</v>
      </c>
      <c r="C2221" t="s">
        <v>5600</v>
      </c>
      <c r="D2221" t="s">
        <v>5532</v>
      </c>
      <c r="E2221" t="s">
        <v>5221</v>
      </c>
      <c r="F2221" t="s">
        <v>5089</v>
      </c>
      <c r="G2221" t="s">
        <v>5355</v>
      </c>
      <c r="H2221" t="s">
        <v>2026</v>
      </c>
      <c r="J2221" t="s">
        <v>2792</v>
      </c>
      <c r="K2221">
        <v>230.5</v>
      </c>
    </row>
    <row r="2222" spans="1:11" x14ac:dyDescent="0.35">
      <c r="A2222" t="s">
        <v>2793</v>
      </c>
      <c r="B2222" s="1">
        <v>0</v>
      </c>
      <c r="C2222" t="s">
        <v>5642</v>
      </c>
      <c r="D2222" t="s">
        <v>5094</v>
      </c>
      <c r="E2222" t="s">
        <v>5323</v>
      </c>
      <c r="F2222" t="s">
        <v>5089</v>
      </c>
      <c r="G2222" t="s">
        <v>5332</v>
      </c>
      <c r="H2222" t="s">
        <v>2031</v>
      </c>
      <c r="J2222" t="s">
        <v>2793</v>
      </c>
      <c r="K2222">
        <v>228.2</v>
      </c>
    </row>
    <row r="2223" spans="1:11" x14ac:dyDescent="0.35">
      <c r="A2223" t="s">
        <v>2794</v>
      </c>
      <c r="B2223" s="1">
        <v>0</v>
      </c>
      <c r="C2223" t="s">
        <v>489</v>
      </c>
      <c r="D2223" t="s">
        <v>5447</v>
      </c>
      <c r="E2223" t="s">
        <v>5237</v>
      </c>
      <c r="F2223" t="s">
        <v>5089</v>
      </c>
      <c r="G2223" t="s">
        <v>5333</v>
      </c>
      <c r="H2223" t="s">
        <v>2378</v>
      </c>
      <c r="J2223" t="s">
        <v>2794</v>
      </c>
      <c r="K2223">
        <v>225.1</v>
      </c>
    </row>
    <row r="2224" spans="1:11" x14ac:dyDescent="0.35">
      <c r="A2224" t="s">
        <v>2796</v>
      </c>
      <c r="B2224" s="1">
        <v>0</v>
      </c>
      <c r="C2224" t="s">
        <v>468</v>
      </c>
      <c r="D2224" t="s">
        <v>5374</v>
      </c>
      <c r="E2224" t="s">
        <v>5221</v>
      </c>
      <c r="F2224" t="s">
        <v>5089</v>
      </c>
      <c r="G2224" t="s">
        <v>5332</v>
      </c>
      <c r="H2224" t="s">
        <v>659</v>
      </c>
      <c r="J2224" t="s">
        <v>2796</v>
      </c>
      <c r="K2224">
        <v>217.2</v>
      </c>
    </row>
    <row r="2225" spans="1:11" x14ac:dyDescent="0.35">
      <c r="A2225" t="s">
        <v>2797</v>
      </c>
      <c r="B2225" s="1">
        <v>0</v>
      </c>
      <c r="C2225" t="s">
        <v>1052</v>
      </c>
      <c r="D2225" t="s">
        <v>5462</v>
      </c>
      <c r="E2225" t="s">
        <v>5064</v>
      </c>
      <c r="F2225" t="s">
        <v>5240</v>
      </c>
      <c r="G2225" t="s">
        <v>5432</v>
      </c>
      <c r="H2225" t="s">
        <v>649</v>
      </c>
      <c r="J2225" t="s">
        <v>2797</v>
      </c>
      <c r="K2225">
        <v>190.5</v>
      </c>
    </row>
    <row r="2226" spans="1:11" x14ac:dyDescent="0.35">
      <c r="A2226" t="s">
        <v>2798</v>
      </c>
      <c r="B2226" s="1">
        <v>0</v>
      </c>
      <c r="C2226" t="s">
        <v>395</v>
      </c>
      <c r="D2226" t="s">
        <v>5254</v>
      </c>
      <c r="E2226" t="s">
        <v>5303</v>
      </c>
      <c r="F2226" t="s">
        <v>5050</v>
      </c>
      <c r="G2226" t="s">
        <v>5337</v>
      </c>
      <c r="H2226" t="s">
        <v>1988</v>
      </c>
      <c r="J2226" t="s">
        <v>2798</v>
      </c>
      <c r="K2226">
        <v>182.5</v>
      </c>
    </row>
    <row r="2227" spans="1:11" x14ac:dyDescent="0.35">
      <c r="A2227" t="s">
        <v>2799</v>
      </c>
      <c r="B2227" s="1">
        <v>0</v>
      </c>
      <c r="C2227" t="s">
        <v>5604</v>
      </c>
      <c r="D2227" t="s">
        <v>5443</v>
      </c>
      <c r="E2227" t="s">
        <v>5070</v>
      </c>
      <c r="F2227" t="s">
        <v>5050</v>
      </c>
      <c r="G2227" t="s">
        <v>5168</v>
      </c>
      <c r="H2227" t="s">
        <v>4155</v>
      </c>
      <c r="J2227" t="s">
        <v>2799</v>
      </c>
      <c r="K2227">
        <v>174.5</v>
      </c>
    </row>
    <row r="2228" spans="1:11" x14ac:dyDescent="0.35">
      <c r="A2228" t="s">
        <v>2801</v>
      </c>
      <c r="B2228" s="1">
        <v>0</v>
      </c>
      <c r="C2228" t="s">
        <v>5581</v>
      </c>
      <c r="D2228" t="s">
        <v>5462</v>
      </c>
      <c r="E2228" t="s">
        <v>5064</v>
      </c>
      <c r="F2228" t="s">
        <v>5050</v>
      </c>
      <c r="G2228" t="s">
        <v>5348</v>
      </c>
      <c r="H2228" t="s">
        <v>2151</v>
      </c>
      <c r="J2228" t="s">
        <v>2801</v>
      </c>
      <c r="K2228">
        <v>171.8</v>
      </c>
    </row>
    <row r="2229" spans="1:11" x14ac:dyDescent="0.35">
      <c r="A2229" t="s">
        <v>2802</v>
      </c>
      <c r="B2229" s="1">
        <v>0</v>
      </c>
      <c r="C2229" t="s">
        <v>5614</v>
      </c>
      <c r="D2229" t="s">
        <v>5464</v>
      </c>
      <c r="E2229" t="s">
        <v>5171</v>
      </c>
      <c r="F2229" t="s">
        <v>5050</v>
      </c>
      <c r="G2229" t="s">
        <v>5164</v>
      </c>
      <c r="H2229" t="s">
        <v>1817</v>
      </c>
      <c r="J2229" t="s">
        <v>2802</v>
      </c>
      <c r="K2229">
        <v>174.7</v>
      </c>
    </row>
    <row r="2230" spans="1:11" x14ac:dyDescent="0.35">
      <c r="A2230" t="s">
        <v>2803</v>
      </c>
      <c r="B2230" s="1">
        <v>0</v>
      </c>
      <c r="C2230" t="s">
        <v>371</v>
      </c>
      <c r="D2230" t="s">
        <v>5262</v>
      </c>
      <c r="E2230" t="s">
        <v>5422</v>
      </c>
      <c r="F2230" t="s">
        <v>5050</v>
      </c>
      <c r="G2230" t="s">
        <v>5168</v>
      </c>
      <c r="H2230" t="s">
        <v>1337</v>
      </c>
      <c r="J2230" t="s">
        <v>2803</v>
      </c>
      <c r="K2230">
        <v>181.2</v>
      </c>
    </row>
    <row r="2231" spans="1:11" x14ac:dyDescent="0.35">
      <c r="A2231" t="s">
        <v>2804</v>
      </c>
      <c r="B2231" s="1">
        <v>0</v>
      </c>
      <c r="C2231" t="s">
        <v>1058</v>
      </c>
      <c r="D2231" t="s">
        <v>5264</v>
      </c>
      <c r="E2231" t="s">
        <v>5170</v>
      </c>
      <c r="F2231" t="s">
        <v>5050</v>
      </c>
      <c r="G2231" t="s">
        <v>5156</v>
      </c>
      <c r="H2231" t="s">
        <v>241</v>
      </c>
      <c r="J2231" t="s">
        <v>2804</v>
      </c>
      <c r="K2231">
        <v>190.1</v>
      </c>
    </row>
    <row r="2232" spans="1:11" x14ac:dyDescent="0.35">
      <c r="A2232" t="s">
        <v>2805</v>
      </c>
      <c r="B2232" s="1">
        <v>0</v>
      </c>
      <c r="C2232" t="s">
        <v>1051</v>
      </c>
      <c r="D2232" t="s">
        <v>5436</v>
      </c>
      <c r="E2232" t="s">
        <v>5428</v>
      </c>
      <c r="F2232" t="s">
        <v>5050</v>
      </c>
      <c r="G2232" t="s">
        <v>5168</v>
      </c>
      <c r="H2232" t="s">
        <v>1820</v>
      </c>
      <c r="J2232" t="s">
        <v>2805</v>
      </c>
      <c r="K2232">
        <v>193.7</v>
      </c>
    </row>
    <row r="2233" spans="1:11" x14ac:dyDescent="0.35">
      <c r="A2233" t="s">
        <v>2806</v>
      </c>
      <c r="B2233" s="1">
        <v>0</v>
      </c>
      <c r="C2233" t="s">
        <v>441</v>
      </c>
      <c r="D2233" t="s">
        <v>5446</v>
      </c>
      <c r="E2233" t="s">
        <v>5056</v>
      </c>
      <c r="F2233" t="s">
        <v>5050</v>
      </c>
      <c r="G2233" t="s">
        <v>5348</v>
      </c>
      <c r="H2233" t="s">
        <v>712</v>
      </c>
      <c r="J2233" t="s">
        <v>2806</v>
      </c>
      <c r="K2233">
        <v>190.3</v>
      </c>
    </row>
    <row r="2234" spans="1:11" x14ac:dyDescent="0.35">
      <c r="A2234" t="s">
        <v>2807</v>
      </c>
      <c r="B2234" s="1">
        <v>0</v>
      </c>
      <c r="C2234" t="s">
        <v>1031</v>
      </c>
      <c r="D2234" t="s">
        <v>5079</v>
      </c>
      <c r="E2234" t="s">
        <v>5422</v>
      </c>
      <c r="F2234" t="s">
        <v>5050</v>
      </c>
      <c r="G2234" t="s">
        <v>5177</v>
      </c>
      <c r="H2234" t="s">
        <v>2453</v>
      </c>
      <c r="J2234" t="s">
        <v>2807</v>
      </c>
      <c r="K2234">
        <v>181.6</v>
      </c>
    </row>
    <row r="2235" spans="1:11" x14ac:dyDescent="0.35">
      <c r="A2235" t="s">
        <v>2808</v>
      </c>
      <c r="B2235" s="1">
        <v>0</v>
      </c>
      <c r="C2235" t="s">
        <v>5584</v>
      </c>
      <c r="D2235" t="s">
        <v>5198</v>
      </c>
      <c r="E2235" t="s">
        <v>5064</v>
      </c>
      <c r="F2235" t="s">
        <v>5050</v>
      </c>
      <c r="G2235" t="s">
        <v>5184</v>
      </c>
      <c r="H2235" t="s">
        <v>1351</v>
      </c>
      <c r="J2235" t="s">
        <v>2808</v>
      </c>
      <c r="K2235">
        <v>171.9</v>
      </c>
    </row>
    <row r="2236" spans="1:11" x14ac:dyDescent="0.35">
      <c r="A2236" t="s">
        <v>2809</v>
      </c>
      <c r="B2236" s="1">
        <v>0</v>
      </c>
      <c r="C2236" t="s">
        <v>5130</v>
      </c>
      <c r="D2236" t="s">
        <v>5439</v>
      </c>
      <c r="E2236" t="s">
        <v>5420</v>
      </c>
      <c r="F2236" t="s">
        <v>5050</v>
      </c>
      <c r="G2236" t="s">
        <v>5195</v>
      </c>
      <c r="H2236" t="s">
        <v>72</v>
      </c>
      <c r="J2236" t="s">
        <v>2809</v>
      </c>
      <c r="K2236">
        <v>165.9</v>
      </c>
    </row>
    <row r="2237" spans="1:11" x14ac:dyDescent="0.35">
      <c r="A2237" t="s">
        <v>2810</v>
      </c>
      <c r="B2237" s="1">
        <v>0</v>
      </c>
      <c r="C2237" t="s">
        <v>5581</v>
      </c>
      <c r="D2237" t="s">
        <v>5456</v>
      </c>
      <c r="E2237" t="s">
        <v>5417</v>
      </c>
      <c r="F2237" t="s">
        <v>5050</v>
      </c>
      <c r="G2237" t="s">
        <v>5184</v>
      </c>
      <c r="H2237" t="s">
        <v>164</v>
      </c>
      <c r="J2237" t="s">
        <v>2810</v>
      </c>
      <c r="K2237">
        <v>167.3</v>
      </c>
    </row>
    <row r="2238" spans="1:11" x14ac:dyDescent="0.35">
      <c r="A2238" t="s">
        <v>2811</v>
      </c>
      <c r="B2238" s="1">
        <v>0</v>
      </c>
      <c r="C2238" t="s">
        <v>5403</v>
      </c>
      <c r="D2238" t="s">
        <v>5187</v>
      </c>
      <c r="E2238" t="s">
        <v>5295</v>
      </c>
      <c r="F2238" t="s">
        <v>5050</v>
      </c>
      <c r="G2238" t="s">
        <v>5177</v>
      </c>
      <c r="H2238" t="s">
        <v>2455</v>
      </c>
      <c r="J2238" t="s">
        <v>2811</v>
      </c>
      <c r="K2238">
        <v>173.2</v>
      </c>
    </row>
    <row r="2239" spans="1:11" x14ac:dyDescent="0.35">
      <c r="A2239" t="s">
        <v>2812</v>
      </c>
      <c r="B2239" s="1">
        <v>0</v>
      </c>
      <c r="C2239" t="s">
        <v>5650</v>
      </c>
      <c r="D2239" t="s">
        <v>5437</v>
      </c>
      <c r="E2239" t="s">
        <v>5057</v>
      </c>
      <c r="F2239" t="s">
        <v>5050</v>
      </c>
      <c r="G2239" t="s">
        <v>5180</v>
      </c>
      <c r="H2239" t="s">
        <v>190</v>
      </c>
      <c r="J2239" t="s">
        <v>2812</v>
      </c>
      <c r="K2239">
        <v>170.9</v>
      </c>
    </row>
    <row r="2240" spans="1:11" x14ac:dyDescent="0.35">
      <c r="A2240" t="s">
        <v>2813</v>
      </c>
      <c r="B2240" s="1">
        <v>0</v>
      </c>
      <c r="C2240" t="s">
        <v>5584</v>
      </c>
      <c r="D2240" t="s">
        <v>5435</v>
      </c>
      <c r="E2240" t="s">
        <v>5299</v>
      </c>
      <c r="F2240" t="s">
        <v>5050</v>
      </c>
      <c r="G2240" t="s">
        <v>5195</v>
      </c>
      <c r="H2240" t="s">
        <v>827</v>
      </c>
      <c r="J2240" t="s">
        <v>2813</v>
      </c>
      <c r="K2240">
        <v>164.2</v>
      </c>
    </row>
    <row r="2241" spans="1:11" x14ac:dyDescent="0.35">
      <c r="A2241" t="s">
        <v>2814</v>
      </c>
      <c r="B2241" s="1">
        <v>0</v>
      </c>
      <c r="C2241" t="s">
        <v>5268</v>
      </c>
      <c r="D2241" t="s">
        <v>5435</v>
      </c>
      <c r="E2241" t="s">
        <v>5319</v>
      </c>
      <c r="F2241" t="s">
        <v>5050</v>
      </c>
      <c r="G2241" t="s">
        <v>5189</v>
      </c>
      <c r="H2241" t="s">
        <v>2187</v>
      </c>
      <c r="J2241" t="s">
        <v>2814</v>
      </c>
      <c r="K2241">
        <v>158.6</v>
      </c>
    </row>
    <row r="2242" spans="1:11" x14ac:dyDescent="0.35">
      <c r="A2242" t="s">
        <v>2815</v>
      </c>
      <c r="B2242" s="1">
        <v>0</v>
      </c>
      <c r="C2242" t="s">
        <v>5277</v>
      </c>
      <c r="D2242" t="s">
        <v>5150</v>
      </c>
      <c r="E2242" t="s">
        <v>5052</v>
      </c>
      <c r="F2242" t="s">
        <v>5050</v>
      </c>
      <c r="G2242" t="s">
        <v>5357</v>
      </c>
      <c r="H2242" t="s">
        <v>1395</v>
      </c>
      <c r="J2242" t="s">
        <v>2815</v>
      </c>
      <c r="K2242">
        <v>156.5</v>
      </c>
    </row>
    <row r="2243" spans="1:11" x14ac:dyDescent="0.35">
      <c r="A2243" t="s">
        <v>2816</v>
      </c>
      <c r="B2243" s="1">
        <v>0</v>
      </c>
      <c r="C2243" t="s">
        <v>5212</v>
      </c>
      <c r="D2243" t="s">
        <v>5145</v>
      </c>
      <c r="E2243" t="s">
        <v>5570</v>
      </c>
      <c r="F2243" t="s">
        <v>5050</v>
      </c>
      <c r="G2243" t="s">
        <v>5189</v>
      </c>
      <c r="H2243" t="s">
        <v>101</v>
      </c>
      <c r="J2243" t="s">
        <v>2816</v>
      </c>
      <c r="K2243">
        <v>158.5</v>
      </c>
    </row>
    <row r="2244" spans="1:11" x14ac:dyDescent="0.35">
      <c r="A2244" t="s">
        <v>2817</v>
      </c>
      <c r="B2244" s="1">
        <v>0</v>
      </c>
      <c r="C2244" t="s">
        <v>5566</v>
      </c>
      <c r="D2244" t="s">
        <v>5440</v>
      </c>
      <c r="E2244" t="s">
        <v>5597</v>
      </c>
      <c r="F2244" t="s">
        <v>5050</v>
      </c>
      <c r="G2244" t="s">
        <v>5184</v>
      </c>
      <c r="H2244" t="s">
        <v>805</v>
      </c>
      <c r="J2244" t="s">
        <v>2817</v>
      </c>
      <c r="K2244">
        <v>169.5</v>
      </c>
    </row>
    <row r="2245" spans="1:11" x14ac:dyDescent="0.35">
      <c r="A2245" t="s">
        <v>2818</v>
      </c>
      <c r="B2245" s="1">
        <v>0</v>
      </c>
      <c r="C2245" t="s">
        <v>1039</v>
      </c>
      <c r="D2245" t="s">
        <v>5446</v>
      </c>
      <c r="E2245" t="s">
        <v>5171</v>
      </c>
      <c r="F2245" t="s">
        <v>5050</v>
      </c>
      <c r="G2245" t="s">
        <v>5348</v>
      </c>
      <c r="H2245" t="s">
        <v>937</v>
      </c>
      <c r="J2245" t="s">
        <v>2818</v>
      </c>
      <c r="K2245">
        <v>185.2</v>
      </c>
    </row>
    <row r="2246" spans="1:11" x14ac:dyDescent="0.35">
      <c r="A2246" t="s">
        <v>2819</v>
      </c>
      <c r="B2246" s="1">
        <v>0</v>
      </c>
      <c r="C2246" t="s">
        <v>3799</v>
      </c>
      <c r="D2246" t="s">
        <v>5209</v>
      </c>
      <c r="E2246" t="s">
        <v>5237</v>
      </c>
      <c r="F2246" t="s">
        <v>5050</v>
      </c>
      <c r="G2246" t="s">
        <v>5156</v>
      </c>
      <c r="H2246" t="s">
        <v>688</v>
      </c>
      <c r="J2246" t="s">
        <v>2819</v>
      </c>
      <c r="K2246">
        <v>197.6</v>
      </c>
    </row>
    <row r="2247" spans="1:11" x14ac:dyDescent="0.35">
      <c r="A2247" t="s">
        <v>2820</v>
      </c>
      <c r="B2247" s="1">
        <v>0</v>
      </c>
      <c r="C2247" t="s">
        <v>989</v>
      </c>
      <c r="D2247" t="s">
        <v>5481</v>
      </c>
      <c r="E2247" t="s">
        <v>5236</v>
      </c>
      <c r="F2247" t="s">
        <v>5050</v>
      </c>
      <c r="G2247" t="s">
        <v>5337</v>
      </c>
      <c r="H2247" t="s">
        <v>5696</v>
      </c>
      <c r="J2247" t="s">
        <v>2820</v>
      </c>
      <c r="K2247">
        <v>206.6</v>
      </c>
    </row>
    <row r="2248" spans="1:11" x14ac:dyDescent="0.35">
      <c r="A2248" t="s">
        <v>2821</v>
      </c>
      <c r="B2248" s="1">
        <v>0</v>
      </c>
      <c r="C2248" t="s">
        <v>457</v>
      </c>
      <c r="D2248" t="s">
        <v>5583</v>
      </c>
      <c r="E2248" t="s">
        <v>5257</v>
      </c>
      <c r="F2248" t="s">
        <v>5050</v>
      </c>
      <c r="G2248" t="s">
        <v>5334</v>
      </c>
      <c r="H2248" t="s">
        <v>4532</v>
      </c>
      <c r="J2248" t="s">
        <v>2821</v>
      </c>
      <c r="K2248">
        <v>211</v>
      </c>
    </row>
    <row r="2249" spans="1:11" x14ac:dyDescent="0.35">
      <c r="A2249" t="s">
        <v>2822</v>
      </c>
      <c r="B2249" s="1">
        <v>0</v>
      </c>
      <c r="C2249" t="s">
        <v>439</v>
      </c>
      <c r="D2249" t="s">
        <v>5541</v>
      </c>
      <c r="E2249" t="s">
        <v>5272</v>
      </c>
      <c r="F2249" t="s">
        <v>5050</v>
      </c>
      <c r="G2249" t="s">
        <v>5411</v>
      </c>
      <c r="H2249" t="s">
        <v>1685</v>
      </c>
      <c r="J2249" t="s">
        <v>2822</v>
      </c>
      <c r="K2249">
        <v>204.8</v>
      </c>
    </row>
    <row r="2250" spans="1:11" x14ac:dyDescent="0.35">
      <c r="A2250" t="s">
        <v>2823</v>
      </c>
      <c r="B2250" s="1">
        <v>0</v>
      </c>
      <c r="C2250" t="s">
        <v>374</v>
      </c>
      <c r="D2250" t="s">
        <v>5258</v>
      </c>
      <c r="E2250" t="s">
        <v>5434</v>
      </c>
      <c r="F2250" t="s">
        <v>5050</v>
      </c>
      <c r="G2250" t="s">
        <v>5339</v>
      </c>
      <c r="H2250" t="s">
        <v>80</v>
      </c>
      <c r="J2250" t="s">
        <v>2823</v>
      </c>
      <c r="K2250">
        <v>192.9</v>
      </c>
    </row>
    <row r="2251" spans="1:11" x14ac:dyDescent="0.35">
      <c r="A2251" t="s">
        <v>2824</v>
      </c>
      <c r="B2251" s="1">
        <v>0</v>
      </c>
      <c r="C2251" t="s">
        <v>423</v>
      </c>
      <c r="D2251" t="s">
        <v>5539</v>
      </c>
      <c r="E2251" t="s">
        <v>5175</v>
      </c>
      <c r="F2251" t="s">
        <v>5050</v>
      </c>
      <c r="G2251" t="s">
        <v>5156</v>
      </c>
      <c r="H2251" t="s">
        <v>1282</v>
      </c>
      <c r="J2251" t="s">
        <v>2824</v>
      </c>
      <c r="K2251">
        <v>184.2</v>
      </c>
    </row>
    <row r="2252" spans="1:11" x14ac:dyDescent="0.35">
      <c r="A2252" s="2">
        <v>42064</v>
      </c>
      <c r="B2252" s="1">
        <v>0</v>
      </c>
      <c r="C2252" t="s">
        <v>379</v>
      </c>
      <c r="D2252" t="s">
        <v>5220</v>
      </c>
      <c r="E2252" t="s">
        <v>5234</v>
      </c>
      <c r="F2252" t="s">
        <v>5050</v>
      </c>
      <c r="G2252" t="s">
        <v>5168</v>
      </c>
      <c r="H2252" t="s">
        <v>1226</v>
      </c>
      <c r="J2252" s="2">
        <v>42064</v>
      </c>
      <c r="K2252">
        <v>182</v>
      </c>
    </row>
    <row r="2253" spans="1:11" x14ac:dyDescent="0.35">
      <c r="A2253" s="2">
        <v>42065</v>
      </c>
      <c r="B2253" s="1">
        <v>0</v>
      </c>
      <c r="C2253" t="s">
        <v>2581</v>
      </c>
      <c r="D2253" t="s">
        <v>5225</v>
      </c>
      <c r="E2253" t="s">
        <v>5176</v>
      </c>
      <c r="F2253" t="s">
        <v>5078</v>
      </c>
      <c r="G2253" t="s">
        <v>5174</v>
      </c>
      <c r="H2253" t="s">
        <v>2694</v>
      </c>
      <c r="J2253" s="2">
        <v>42065</v>
      </c>
      <c r="K2253">
        <v>193.2</v>
      </c>
    </row>
    <row r="2254" spans="1:11" x14ac:dyDescent="0.35">
      <c r="A2254" s="2">
        <v>42066</v>
      </c>
      <c r="B2254" s="1">
        <v>0</v>
      </c>
      <c r="C2254" t="s">
        <v>3499</v>
      </c>
      <c r="D2254" t="s">
        <v>5374</v>
      </c>
      <c r="E2254" t="s">
        <v>5306</v>
      </c>
      <c r="F2254" t="s">
        <v>5078</v>
      </c>
      <c r="G2254" t="s">
        <v>5230</v>
      </c>
      <c r="H2254" t="s">
        <v>1644</v>
      </c>
      <c r="J2254" s="2">
        <v>42066</v>
      </c>
      <c r="K2254">
        <v>199.9</v>
      </c>
    </row>
    <row r="2255" spans="1:11" x14ac:dyDescent="0.35">
      <c r="A2255" s="2">
        <v>42067</v>
      </c>
      <c r="B2255" s="1">
        <v>0</v>
      </c>
      <c r="C2255" t="s">
        <v>337</v>
      </c>
      <c r="D2255" t="s">
        <v>5487</v>
      </c>
      <c r="E2255" t="s">
        <v>5249</v>
      </c>
      <c r="F2255" t="s">
        <v>5078</v>
      </c>
      <c r="G2255" t="s">
        <v>5046</v>
      </c>
      <c r="H2255" t="s">
        <v>940</v>
      </c>
      <c r="J2255" s="2">
        <v>42067</v>
      </c>
      <c r="K2255">
        <v>208.7</v>
      </c>
    </row>
    <row r="2256" spans="1:11" x14ac:dyDescent="0.35">
      <c r="A2256" s="2">
        <v>42068</v>
      </c>
      <c r="B2256" s="1">
        <v>0</v>
      </c>
      <c r="C2256" t="s">
        <v>2567</v>
      </c>
      <c r="D2256" t="s">
        <v>5481</v>
      </c>
      <c r="E2256" t="s">
        <v>5102</v>
      </c>
      <c r="F2256" t="s">
        <v>5215</v>
      </c>
      <c r="G2256" t="s">
        <v>5240</v>
      </c>
      <c r="H2256" t="s">
        <v>5028</v>
      </c>
      <c r="J2256" s="2">
        <v>42068</v>
      </c>
      <c r="K2256">
        <v>215.7</v>
      </c>
    </row>
    <row r="2257" spans="1:11" x14ac:dyDescent="0.35">
      <c r="A2257" s="2">
        <v>42069</v>
      </c>
      <c r="B2257" s="1">
        <v>0</v>
      </c>
      <c r="C2257" t="s">
        <v>2268</v>
      </c>
      <c r="D2257" t="s">
        <v>5583</v>
      </c>
      <c r="E2257" t="s">
        <v>5257</v>
      </c>
      <c r="F2257" t="s">
        <v>5215</v>
      </c>
      <c r="G2257" t="s">
        <v>5058</v>
      </c>
      <c r="H2257" t="s">
        <v>2034</v>
      </c>
      <c r="J2257" s="2">
        <v>42069</v>
      </c>
      <c r="K2257">
        <v>224.4</v>
      </c>
    </row>
    <row r="2258" spans="1:11" x14ac:dyDescent="0.35">
      <c r="A2258" s="2">
        <v>42070</v>
      </c>
      <c r="B2258" s="1">
        <v>0</v>
      </c>
      <c r="C2258" t="s">
        <v>5652</v>
      </c>
      <c r="D2258" t="s">
        <v>5269</v>
      </c>
      <c r="E2258" t="s">
        <v>5102</v>
      </c>
      <c r="F2258" t="s">
        <v>5215</v>
      </c>
      <c r="G2258" t="s">
        <v>5065</v>
      </c>
      <c r="H2258" t="s">
        <v>739</v>
      </c>
      <c r="J2258" s="2">
        <v>42070</v>
      </c>
      <c r="K2258">
        <v>227.8</v>
      </c>
    </row>
    <row r="2259" spans="1:11" x14ac:dyDescent="0.35">
      <c r="A2259" s="2">
        <v>42071</v>
      </c>
      <c r="B2259" s="1">
        <v>0</v>
      </c>
      <c r="C2259" t="s">
        <v>1919</v>
      </c>
      <c r="D2259" t="s">
        <v>5630</v>
      </c>
      <c r="E2259" t="s">
        <v>5239</v>
      </c>
      <c r="F2259" t="s">
        <v>5215</v>
      </c>
      <c r="G2259" t="s">
        <v>5183</v>
      </c>
      <c r="H2259" t="s">
        <v>3653</v>
      </c>
      <c r="J2259" s="2">
        <v>42071</v>
      </c>
      <c r="K2259">
        <v>231.6</v>
      </c>
    </row>
    <row r="2260" spans="1:11" x14ac:dyDescent="0.35">
      <c r="A2260" s="2">
        <v>42072</v>
      </c>
      <c r="B2260" s="1">
        <v>0</v>
      </c>
      <c r="C2260" t="s">
        <v>1065</v>
      </c>
      <c r="D2260" t="s">
        <v>5126</v>
      </c>
      <c r="E2260" t="s">
        <v>5257</v>
      </c>
      <c r="F2260" t="s">
        <v>5215</v>
      </c>
      <c r="G2260" t="s">
        <v>5078</v>
      </c>
      <c r="H2260" t="s">
        <v>4227</v>
      </c>
      <c r="J2260" s="2">
        <v>42072</v>
      </c>
      <c r="K2260">
        <v>236.5</v>
      </c>
    </row>
    <row r="2261" spans="1:11" x14ac:dyDescent="0.35">
      <c r="A2261" s="2">
        <v>42073</v>
      </c>
      <c r="B2261" s="1">
        <v>0</v>
      </c>
      <c r="C2261" t="s">
        <v>306</v>
      </c>
      <c r="D2261" t="s">
        <v>5497</v>
      </c>
      <c r="E2261" t="s">
        <v>5069</v>
      </c>
      <c r="F2261" t="s">
        <v>5215</v>
      </c>
      <c r="G2261" t="s">
        <v>5124</v>
      </c>
      <c r="H2261" t="s">
        <v>3953</v>
      </c>
      <c r="J2261" s="2">
        <v>42073</v>
      </c>
      <c r="K2261">
        <v>244.8</v>
      </c>
    </row>
    <row r="2262" spans="1:11" x14ac:dyDescent="0.35">
      <c r="A2262" s="2">
        <v>42074</v>
      </c>
      <c r="B2262" s="1">
        <v>0</v>
      </c>
      <c r="C2262" t="s">
        <v>1104</v>
      </c>
      <c r="D2262" t="s">
        <v>5580</v>
      </c>
      <c r="E2262" t="s">
        <v>5093</v>
      </c>
      <c r="F2262" t="s">
        <v>5215</v>
      </c>
      <c r="G2262" t="s">
        <v>5110</v>
      </c>
      <c r="H2262" t="s">
        <v>4041</v>
      </c>
      <c r="J2262" s="2">
        <v>42074</v>
      </c>
      <c r="K2262">
        <v>255.3</v>
      </c>
    </row>
    <row r="2263" spans="1:11" x14ac:dyDescent="0.35">
      <c r="A2263" s="2">
        <v>42075</v>
      </c>
      <c r="B2263" s="1">
        <v>0</v>
      </c>
      <c r="C2263" t="s">
        <v>3527</v>
      </c>
      <c r="D2263" t="s">
        <v>5498</v>
      </c>
      <c r="E2263" t="s">
        <v>5253</v>
      </c>
      <c r="F2263" t="s">
        <v>5215</v>
      </c>
      <c r="G2263" t="s">
        <v>5110</v>
      </c>
      <c r="H2263" t="s">
        <v>5785</v>
      </c>
      <c r="J2263" s="2">
        <v>42075</v>
      </c>
      <c r="K2263">
        <v>251.3</v>
      </c>
    </row>
    <row r="2264" spans="1:11" x14ac:dyDescent="0.35">
      <c r="A2264" s="2">
        <v>42076</v>
      </c>
      <c r="B2264" s="1">
        <v>0</v>
      </c>
      <c r="C2264" t="s">
        <v>3218</v>
      </c>
      <c r="D2264" t="s">
        <v>5273</v>
      </c>
      <c r="E2264" t="s">
        <v>5121</v>
      </c>
      <c r="F2264" t="s">
        <v>5215</v>
      </c>
      <c r="G2264" t="s">
        <v>5099</v>
      </c>
      <c r="H2264" t="s">
        <v>2468</v>
      </c>
      <c r="J2264" s="2">
        <v>42076</v>
      </c>
      <c r="K2264">
        <v>231.1</v>
      </c>
    </row>
    <row r="2265" spans="1:11" x14ac:dyDescent="0.35">
      <c r="A2265" s="2">
        <v>42077</v>
      </c>
      <c r="B2265" s="1">
        <v>0</v>
      </c>
      <c r="C2265" t="s">
        <v>1918</v>
      </c>
      <c r="D2265" t="s">
        <v>5115</v>
      </c>
      <c r="E2265" t="s">
        <v>5098</v>
      </c>
      <c r="F2265" t="s">
        <v>5078</v>
      </c>
      <c r="G2265" t="s">
        <v>5065</v>
      </c>
      <c r="H2265" t="s">
        <v>2726</v>
      </c>
      <c r="J2265" s="2">
        <v>42077</v>
      </c>
      <c r="K2265">
        <v>211.4</v>
      </c>
    </row>
    <row r="2266" spans="1:11" x14ac:dyDescent="0.35">
      <c r="A2266" s="2">
        <v>42078</v>
      </c>
      <c r="B2266" s="1">
        <v>0</v>
      </c>
      <c r="C2266" t="s">
        <v>1049</v>
      </c>
      <c r="D2266" t="s">
        <v>5250</v>
      </c>
      <c r="E2266" t="s">
        <v>5323</v>
      </c>
      <c r="F2266" t="s">
        <v>5078</v>
      </c>
      <c r="G2266" t="s">
        <v>5412</v>
      </c>
      <c r="H2266" t="s">
        <v>4011</v>
      </c>
      <c r="J2266" s="2">
        <v>42078</v>
      </c>
      <c r="K2266">
        <v>201.7</v>
      </c>
    </row>
    <row r="2267" spans="1:11" x14ac:dyDescent="0.35">
      <c r="A2267" s="2">
        <v>42079</v>
      </c>
      <c r="B2267" s="1">
        <v>0</v>
      </c>
      <c r="C2267" t="s">
        <v>479</v>
      </c>
      <c r="D2267" t="s">
        <v>5262</v>
      </c>
      <c r="E2267" t="s">
        <v>5169</v>
      </c>
      <c r="F2267" t="s">
        <v>5078</v>
      </c>
      <c r="G2267" t="s">
        <v>5412</v>
      </c>
      <c r="H2267" t="s">
        <v>3143</v>
      </c>
      <c r="J2267" s="2">
        <v>42079</v>
      </c>
      <c r="K2267">
        <v>199.1</v>
      </c>
    </row>
    <row r="2268" spans="1:11" x14ac:dyDescent="0.35">
      <c r="A2268" s="2">
        <v>42080</v>
      </c>
      <c r="B2268" s="1">
        <v>0</v>
      </c>
      <c r="C2268" t="s">
        <v>449</v>
      </c>
      <c r="D2268" t="s">
        <v>5508</v>
      </c>
      <c r="E2268" t="s">
        <v>5597</v>
      </c>
      <c r="F2268" t="s">
        <v>5078</v>
      </c>
      <c r="G2268" t="s">
        <v>5179</v>
      </c>
      <c r="H2268" t="s">
        <v>608</v>
      </c>
      <c r="J2268" s="2">
        <v>42080</v>
      </c>
      <c r="K2268">
        <v>190.7</v>
      </c>
    </row>
    <row r="2269" spans="1:11" x14ac:dyDescent="0.35">
      <c r="A2269" s="2">
        <v>42081</v>
      </c>
      <c r="B2269" s="1">
        <v>0</v>
      </c>
      <c r="C2269" t="s">
        <v>413</v>
      </c>
      <c r="D2269" t="s">
        <v>5114</v>
      </c>
      <c r="E2269" t="s">
        <v>5418</v>
      </c>
      <c r="F2269" t="s">
        <v>5078</v>
      </c>
      <c r="G2269" t="s">
        <v>5054</v>
      </c>
      <c r="H2269" t="s">
        <v>696</v>
      </c>
      <c r="J2269" s="2">
        <v>42081</v>
      </c>
      <c r="K2269">
        <v>184.8</v>
      </c>
    </row>
    <row r="2270" spans="1:11" x14ac:dyDescent="0.35">
      <c r="A2270" s="2">
        <v>42082</v>
      </c>
      <c r="B2270" s="1">
        <v>0</v>
      </c>
      <c r="C2270" t="s">
        <v>440</v>
      </c>
      <c r="D2270" t="s">
        <v>5127</v>
      </c>
      <c r="E2270" t="s">
        <v>5303</v>
      </c>
      <c r="F2270" t="s">
        <v>5078</v>
      </c>
      <c r="G2270" t="s">
        <v>5179</v>
      </c>
      <c r="H2270" t="s">
        <v>1189</v>
      </c>
      <c r="J2270" s="2">
        <v>42082</v>
      </c>
      <c r="K2270">
        <v>193</v>
      </c>
    </row>
    <row r="2271" spans="1:11" x14ac:dyDescent="0.35">
      <c r="A2271" s="2">
        <v>42083</v>
      </c>
      <c r="B2271" s="1">
        <v>0</v>
      </c>
      <c r="C2271" t="s">
        <v>4115</v>
      </c>
      <c r="D2271" t="s">
        <v>5101</v>
      </c>
      <c r="E2271" t="s">
        <v>5306</v>
      </c>
      <c r="F2271" t="s">
        <v>5215</v>
      </c>
      <c r="G2271" t="s">
        <v>5183</v>
      </c>
      <c r="H2271" t="s">
        <v>1704</v>
      </c>
      <c r="J2271" s="2">
        <v>42083</v>
      </c>
      <c r="K2271">
        <v>219</v>
      </c>
    </row>
    <row r="2272" spans="1:11" x14ac:dyDescent="0.35">
      <c r="A2272" s="2">
        <v>42084</v>
      </c>
      <c r="B2272" s="1">
        <v>0</v>
      </c>
      <c r="C2272" t="s">
        <v>1931</v>
      </c>
      <c r="D2272" t="s">
        <v>5273</v>
      </c>
      <c r="E2272" t="s">
        <v>5113</v>
      </c>
      <c r="F2272" t="s">
        <v>5215</v>
      </c>
      <c r="G2272" t="s">
        <v>5082</v>
      </c>
      <c r="H2272" t="s">
        <v>3578</v>
      </c>
      <c r="J2272" s="2">
        <v>42084</v>
      </c>
      <c r="K2272">
        <v>247.9</v>
      </c>
    </row>
    <row r="2273" spans="1:11" x14ac:dyDescent="0.35">
      <c r="A2273" s="2">
        <v>42085</v>
      </c>
      <c r="B2273" s="1">
        <v>0</v>
      </c>
      <c r="C2273" t="s">
        <v>1442</v>
      </c>
      <c r="D2273" t="s">
        <v>5566</v>
      </c>
      <c r="E2273" t="s">
        <v>5145</v>
      </c>
      <c r="F2273" t="s">
        <v>5215</v>
      </c>
      <c r="G2273" t="s">
        <v>5077</v>
      </c>
      <c r="H2273" t="s">
        <v>5786</v>
      </c>
      <c r="J2273" s="2">
        <v>42085</v>
      </c>
      <c r="K2273">
        <v>269.89999999999998</v>
      </c>
    </row>
    <row r="2274" spans="1:11" x14ac:dyDescent="0.35">
      <c r="A2274" s="2">
        <v>42086</v>
      </c>
      <c r="B2274" s="1">
        <v>0</v>
      </c>
      <c r="C2274" t="s">
        <v>527</v>
      </c>
      <c r="D2274" t="s">
        <v>428</v>
      </c>
      <c r="E2274" t="s">
        <v>5508</v>
      </c>
      <c r="F2274" t="s">
        <v>5099</v>
      </c>
      <c r="G2274" t="s">
        <v>5132</v>
      </c>
      <c r="H2274" t="s">
        <v>5787</v>
      </c>
      <c r="J2274" s="2">
        <v>42086</v>
      </c>
      <c r="K2274">
        <v>282.60000000000002</v>
      </c>
    </row>
    <row r="2275" spans="1:11" x14ac:dyDescent="0.35">
      <c r="A2275" s="2">
        <v>42087</v>
      </c>
      <c r="B2275" s="1">
        <v>0</v>
      </c>
      <c r="C2275" t="s">
        <v>527</v>
      </c>
      <c r="D2275" t="s">
        <v>5620</v>
      </c>
      <c r="E2275" t="s">
        <v>5245</v>
      </c>
      <c r="F2275" t="s">
        <v>5099</v>
      </c>
      <c r="G2275" t="s">
        <v>5358</v>
      </c>
      <c r="H2275" t="s">
        <v>5788</v>
      </c>
      <c r="J2275" s="2">
        <v>42087</v>
      </c>
      <c r="K2275">
        <v>283.8</v>
      </c>
    </row>
    <row r="2276" spans="1:11" x14ac:dyDescent="0.35">
      <c r="A2276" s="2">
        <v>42088</v>
      </c>
      <c r="B2276" s="1">
        <v>0</v>
      </c>
      <c r="C2276" t="s">
        <v>1124</v>
      </c>
      <c r="D2276" t="s">
        <v>5603</v>
      </c>
      <c r="E2276" t="s">
        <v>5471</v>
      </c>
      <c r="F2276" t="s">
        <v>5099</v>
      </c>
      <c r="G2276" t="s">
        <v>5045</v>
      </c>
      <c r="H2276" t="s">
        <v>5745</v>
      </c>
      <c r="J2276" s="2">
        <v>42088</v>
      </c>
      <c r="K2276">
        <v>274.10000000000002</v>
      </c>
    </row>
    <row r="2277" spans="1:11" x14ac:dyDescent="0.35">
      <c r="A2277" s="2">
        <v>42089</v>
      </c>
      <c r="B2277" s="1">
        <v>0</v>
      </c>
      <c r="C2277" t="s">
        <v>2288</v>
      </c>
      <c r="D2277" t="s">
        <v>5578</v>
      </c>
      <c r="E2277" t="s">
        <v>5444</v>
      </c>
      <c r="F2277" t="s">
        <v>5099</v>
      </c>
      <c r="G2277" t="s">
        <v>5082</v>
      </c>
      <c r="H2277" t="s">
        <v>4041</v>
      </c>
      <c r="J2277" s="2">
        <v>42089</v>
      </c>
      <c r="K2277">
        <v>255.3</v>
      </c>
    </row>
    <row r="2278" spans="1:11" x14ac:dyDescent="0.35">
      <c r="A2278" s="2">
        <v>42090</v>
      </c>
      <c r="B2278" s="1">
        <v>0</v>
      </c>
      <c r="C2278" t="s">
        <v>312</v>
      </c>
      <c r="D2278" t="s">
        <v>5626</v>
      </c>
      <c r="E2278" t="s">
        <v>5182</v>
      </c>
      <c r="F2278" t="s">
        <v>5215</v>
      </c>
      <c r="G2278" t="s">
        <v>5124</v>
      </c>
      <c r="H2278" t="s">
        <v>5757</v>
      </c>
      <c r="J2278" s="2">
        <v>42090</v>
      </c>
      <c r="K2278">
        <v>241.8</v>
      </c>
    </row>
    <row r="2279" spans="1:11" x14ac:dyDescent="0.35">
      <c r="A2279" s="2">
        <v>42091</v>
      </c>
      <c r="B2279" s="1">
        <v>0</v>
      </c>
      <c r="C2279" t="s">
        <v>968</v>
      </c>
      <c r="D2279" t="s">
        <v>5513</v>
      </c>
      <c r="E2279" t="s">
        <v>5304</v>
      </c>
      <c r="F2279" t="s">
        <v>5215</v>
      </c>
      <c r="G2279" t="s">
        <v>5116</v>
      </c>
      <c r="H2279" t="s">
        <v>2470</v>
      </c>
      <c r="J2279" s="2">
        <v>42091</v>
      </c>
      <c r="K2279">
        <v>244.9</v>
      </c>
    </row>
    <row r="2280" spans="1:11" x14ac:dyDescent="0.35">
      <c r="A2280" s="2">
        <v>42092</v>
      </c>
      <c r="B2280" s="1">
        <v>0</v>
      </c>
      <c r="C2280" t="s">
        <v>3461</v>
      </c>
      <c r="D2280" t="s">
        <v>5643</v>
      </c>
      <c r="E2280" t="s">
        <v>5276</v>
      </c>
      <c r="F2280" t="s">
        <v>5215</v>
      </c>
      <c r="G2280" t="s">
        <v>5089</v>
      </c>
      <c r="H2280" t="s">
        <v>3583</v>
      </c>
      <c r="J2280" s="2">
        <v>42092</v>
      </c>
      <c r="K2280">
        <v>254</v>
      </c>
    </row>
    <row r="2281" spans="1:11" x14ac:dyDescent="0.35">
      <c r="A2281" s="2">
        <v>42093</v>
      </c>
      <c r="B2281" s="1">
        <v>0</v>
      </c>
      <c r="C2281" t="s">
        <v>2281</v>
      </c>
      <c r="D2281" t="s">
        <v>5564</v>
      </c>
      <c r="E2281" t="s">
        <v>5218</v>
      </c>
      <c r="F2281" t="s">
        <v>5099</v>
      </c>
      <c r="G2281" t="s">
        <v>5089</v>
      </c>
      <c r="H2281" t="s">
        <v>5789</v>
      </c>
      <c r="J2281" s="2">
        <v>42093</v>
      </c>
      <c r="K2281">
        <v>258.89999999999998</v>
      </c>
    </row>
    <row r="2282" spans="1:11" x14ac:dyDescent="0.35">
      <c r="A2282" s="2">
        <v>42094</v>
      </c>
      <c r="B2282" s="1">
        <v>0</v>
      </c>
      <c r="C2282" t="s">
        <v>968</v>
      </c>
      <c r="D2282" t="s">
        <v>5587</v>
      </c>
      <c r="E2282" t="s">
        <v>5063</v>
      </c>
      <c r="F2282" t="s">
        <v>5215</v>
      </c>
      <c r="G2282" t="s">
        <v>5116</v>
      </c>
      <c r="H2282" t="s">
        <v>2103</v>
      </c>
      <c r="J2282" s="2">
        <v>42094</v>
      </c>
      <c r="K2282">
        <v>248.8</v>
      </c>
    </row>
    <row r="2283" spans="1:11" x14ac:dyDescent="0.35">
      <c r="A2283" t="s">
        <v>2839</v>
      </c>
      <c r="B2283" s="1">
        <v>0</v>
      </c>
      <c r="C2283" t="s">
        <v>4117</v>
      </c>
      <c r="D2283" t="s">
        <v>5128</v>
      </c>
      <c r="E2283" t="s">
        <v>5123</v>
      </c>
      <c r="F2283" t="s">
        <v>5215</v>
      </c>
      <c r="G2283" t="s">
        <v>5183</v>
      </c>
      <c r="H2283" t="s">
        <v>5690</v>
      </c>
      <c r="J2283" t="s">
        <v>2839</v>
      </c>
      <c r="K2283">
        <v>234</v>
      </c>
    </row>
    <row r="2284" spans="1:11" x14ac:dyDescent="0.35">
      <c r="A2284" t="s">
        <v>2842</v>
      </c>
      <c r="B2284" s="1">
        <v>0</v>
      </c>
      <c r="C2284" t="s">
        <v>4083</v>
      </c>
      <c r="D2284" t="s">
        <v>5212</v>
      </c>
      <c r="E2284" t="s">
        <v>5096</v>
      </c>
      <c r="F2284" t="s">
        <v>5089</v>
      </c>
      <c r="G2284" t="s">
        <v>5412</v>
      </c>
      <c r="H2284" t="s">
        <v>2834</v>
      </c>
      <c r="J2284" t="s">
        <v>2842</v>
      </c>
      <c r="K2284">
        <v>230</v>
      </c>
    </row>
    <row r="2285" spans="1:11" x14ac:dyDescent="0.35">
      <c r="A2285" t="s">
        <v>2843</v>
      </c>
      <c r="B2285" s="1">
        <v>0</v>
      </c>
      <c r="C2285" t="s">
        <v>1473</v>
      </c>
      <c r="D2285" t="s">
        <v>5553</v>
      </c>
      <c r="E2285" t="s">
        <v>5257</v>
      </c>
      <c r="F2285" t="s">
        <v>5089</v>
      </c>
      <c r="G2285" t="s">
        <v>5058</v>
      </c>
      <c r="H2285" t="s">
        <v>3656</v>
      </c>
      <c r="J2285" t="s">
        <v>2843</v>
      </c>
      <c r="K2285">
        <v>224.3</v>
      </c>
    </row>
    <row r="2286" spans="1:11" x14ac:dyDescent="0.35">
      <c r="A2286" t="s">
        <v>2845</v>
      </c>
      <c r="B2286" s="1">
        <v>0</v>
      </c>
      <c r="C2286" t="s">
        <v>358</v>
      </c>
      <c r="D2286" t="s">
        <v>5109</v>
      </c>
      <c r="E2286" t="s">
        <v>5165</v>
      </c>
      <c r="F2286" t="s">
        <v>5089</v>
      </c>
      <c r="G2286" t="s">
        <v>5058</v>
      </c>
      <c r="H2286" t="s">
        <v>942</v>
      </c>
      <c r="J2286" t="s">
        <v>2845</v>
      </c>
      <c r="K2286">
        <v>222.5</v>
      </c>
    </row>
    <row r="2287" spans="1:11" x14ac:dyDescent="0.35">
      <c r="A2287" t="s">
        <v>2846</v>
      </c>
      <c r="B2287" s="1">
        <v>0</v>
      </c>
      <c r="C2287" t="s">
        <v>1482</v>
      </c>
      <c r="D2287" t="s">
        <v>5491</v>
      </c>
      <c r="E2287" t="s">
        <v>5060</v>
      </c>
      <c r="F2287" t="s">
        <v>5089</v>
      </c>
      <c r="G2287" t="s">
        <v>5054</v>
      </c>
      <c r="H2287" t="s">
        <v>1306</v>
      </c>
      <c r="J2287" t="s">
        <v>2846</v>
      </c>
      <c r="K2287">
        <v>220</v>
      </c>
    </row>
    <row r="2288" spans="1:11" x14ac:dyDescent="0.35">
      <c r="A2288" t="s">
        <v>2848</v>
      </c>
      <c r="B2288" s="1">
        <v>0</v>
      </c>
      <c r="C2288" t="s">
        <v>1526</v>
      </c>
      <c r="D2288" t="s">
        <v>5271</v>
      </c>
      <c r="E2288" t="s">
        <v>5192</v>
      </c>
      <c r="F2288" t="s">
        <v>5077</v>
      </c>
      <c r="G2288" t="s">
        <v>5050</v>
      </c>
      <c r="H2288" t="s">
        <v>2346</v>
      </c>
      <c r="J2288" t="s">
        <v>2848</v>
      </c>
      <c r="K2288">
        <v>213.9</v>
      </c>
    </row>
    <row r="2289" spans="1:11" x14ac:dyDescent="0.35">
      <c r="A2289" t="s">
        <v>2849</v>
      </c>
      <c r="B2289" s="1">
        <v>0</v>
      </c>
      <c r="C2289" t="s">
        <v>1018</v>
      </c>
      <c r="D2289" t="s">
        <v>5553</v>
      </c>
      <c r="E2289" t="s">
        <v>5162</v>
      </c>
      <c r="F2289" t="s">
        <v>5077</v>
      </c>
      <c r="G2289" t="s">
        <v>5230</v>
      </c>
      <c r="H2289" t="s">
        <v>1724</v>
      </c>
      <c r="J2289" t="s">
        <v>2849</v>
      </c>
      <c r="K2289">
        <v>203.2</v>
      </c>
    </row>
    <row r="2290" spans="1:11" x14ac:dyDescent="0.35">
      <c r="A2290" t="s">
        <v>2851</v>
      </c>
      <c r="B2290" s="1">
        <v>0</v>
      </c>
      <c r="C2290" t="s">
        <v>430</v>
      </c>
      <c r="D2290" t="s">
        <v>5119</v>
      </c>
      <c r="E2290" t="s">
        <v>5066</v>
      </c>
      <c r="F2290" t="s">
        <v>5077</v>
      </c>
      <c r="G2290" t="s">
        <v>5172</v>
      </c>
      <c r="H2290" t="s">
        <v>686</v>
      </c>
      <c r="J2290" t="s">
        <v>2851</v>
      </c>
      <c r="K2290">
        <v>196.2</v>
      </c>
    </row>
    <row r="2291" spans="1:11" x14ac:dyDescent="0.35">
      <c r="A2291" t="s">
        <v>2852</v>
      </c>
      <c r="B2291" s="1">
        <v>0</v>
      </c>
      <c r="C2291" t="s">
        <v>404</v>
      </c>
      <c r="D2291" t="s">
        <v>5389</v>
      </c>
      <c r="E2291" t="s">
        <v>5236</v>
      </c>
      <c r="F2291" t="s">
        <v>5077</v>
      </c>
      <c r="G2291" t="s">
        <v>5172</v>
      </c>
      <c r="H2291" t="s">
        <v>757</v>
      </c>
      <c r="J2291" t="s">
        <v>2852</v>
      </c>
      <c r="K2291">
        <v>195.6</v>
      </c>
    </row>
    <row r="2292" spans="1:11" x14ac:dyDescent="0.35">
      <c r="A2292" t="s">
        <v>2853</v>
      </c>
      <c r="B2292" s="1">
        <v>0</v>
      </c>
      <c r="C2292" t="s">
        <v>418</v>
      </c>
      <c r="D2292" t="s">
        <v>5486</v>
      </c>
      <c r="E2292" t="s">
        <v>5236</v>
      </c>
      <c r="F2292" t="s">
        <v>5077</v>
      </c>
      <c r="G2292" t="s">
        <v>5172</v>
      </c>
      <c r="H2292" t="s">
        <v>1183</v>
      </c>
      <c r="J2292" t="s">
        <v>2853</v>
      </c>
      <c r="K2292">
        <v>198.2</v>
      </c>
    </row>
    <row r="2293" spans="1:11" x14ac:dyDescent="0.35">
      <c r="A2293" t="s">
        <v>2854</v>
      </c>
      <c r="B2293" s="1">
        <v>0</v>
      </c>
      <c r="C2293" t="s">
        <v>452</v>
      </c>
      <c r="D2293" t="s">
        <v>5483</v>
      </c>
      <c r="E2293" t="s">
        <v>5060</v>
      </c>
      <c r="F2293" t="s">
        <v>5077</v>
      </c>
      <c r="G2293" t="s">
        <v>5172</v>
      </c>
      <c r="H2293" t="s">
        <v>3753</v>
      </c>
      <c r="J2293" t="s">
        <v>2854</v>
      </c>
      <c r="K2293">
        <v>205.5</v>
      </c>
    </row>
    <row r="2294" spans="1:11" x14ac:dyDescent="0.35">
      <c r="A2294" t="s">
        <v>2855</v>
      </c>
      <c r="B2294" s="1">
        <v>0</v>
      </c>
      <c r="C2294" t="s">
        <v>1533</v>
      </c>
      <c r="D2294" t="s">
        <v>5246</v>
      </c>
      <c r="E2294" t="s">
        <v>5304</v>
      </c>
      <c r="F2294" t="s">
        <v>5077</v>
      </c>
      <c r="G2294" t="s">
        <v>5172</v>
      </c>
      <c r="H2294" t="s">
        <v>234</v>
      </c>
      <c r="J2294" t="s">
        <v>2855</v>
      </c>
      <c r="K2294">
        <v>210.5</v>
      </c>
    </row>
    <row r="2295" spans="1:11" x14ac:dyDescent="0.35">
      <c r="A2295" t="s">
        <v>2856</v>
      </c>
      <c r="B2295" s="1">
        <v>0</v>
      </c>
      <c r="C2295" t="s">
        <v>365</v>
      </c>
      <c r="D2295" t="s">
        <v>5269</v>
      </c>
      <c r="E2295" t="s">
        <v>5192</v>
      </c>
      <c r="F2295" t="s">
        <v>5077</v>
      </c>
      <c r="G2295" t="s">
        <v>5207</v>
      </c>
      <c r="H2295" t="s">
        <v>662</v>
      </c>
      <c r="J2295" t="s">
        <v>2856</v>
      </c>
      <c r="K2295">
        <v>211.5</v>
      </c>
    </row>
    <row r="2296" spans="1:11" x14ac:dyDescent="0.35">
      <c r="A2296" t="s">
        <v>2857</v>
      </c>
      <c r="B2296" s="1">
        <v>0</v>
      </c>
      <c r="C2296" t="s">
        <v>5543</v>
      </c>
      <c r="D2296" t="s">
        <v>5126</v>
      </c>
      <c r="E2296" t="s">
        <v>5165</v>
      </c>
      <c r="F2296" t="s">
        <v>5077</v>
      </c>
      <c r="G2296" t="s">
        <v>5172</v>
      </c>
      <c r="H2296" t="s">
        <v>2404</v>
      </c>
      <c r="J2296" t="s">
        <v>2857</v>
      </c>
      <c r="K2296">
        <v>214.4</v>
      </c>
    </row>
    <row r="2297" spans="1:11" x14ac:dyDescent="0.35">
      <c r="A2297" t="s">
        <v>2858</v>
      </c>
      <c r="B2297" s="1">
        <v>0</v>
      </c>
      <c r="C2297" t="s">
        <v>1917</v>
      </c>
      <c r="D2297" t="s">
        <v>5537</v>
      </c>
      <c r="E2297" t="s">
        <v>5208</v>
      </c>
      <c r="F2297" t="s">
        <v>5077</v>
      </c>
      <c r="G2297" t="s">
        <v>5222</v>
      </c>
      <c r="H2297" t="s">
        <v>1707</v>
      </c>
      <c r="J2297" t="s">
        <v>2858</v>
      </c>
      <c r="K2297">
        <v>212.7</v>
      </c>
    </row>
    <row r="2298" spans="1:11" x14ac:dyDescent="0.35">
      <c r="A2298" t="s">
        <v>2859</v>
      </c>
      <c r="B2298" s="1">
        <v>0</v>
      </c>
      <c r="C2298" t="s">
        <v>346</v>
      </c>
      <c r="D2298" t="s">
        <v>5483</v>
      </c>
      <c r="E2298" t="s">
        <v>5236</v>
      </c>
      <c r="F2298" t="s">
        <v>5077</v>
      </c>
      <c r="G2298" t="s">
        <v>5174</v>
      </c>
      <c r="H2298" t="s">
        <v>2083</v>
      </c>
      <c r="J2298" t="s">
        <v>2859</v>
      </c>
      <c r="K2298">
        <v>213</v>
      </c>
    </row>
    <row r="2299" spans="1:11" x14ac:dyDescent="0.35">
      <c r="A2299" t="s">
        <v>2860</v>
      </c>
      <c r="B2299" s="1">
        <v>0</v>
      </c>
      <c r="C2299" t="s">
        <v>338</v>
      </c>
      <c r="D2299" t="s">
        <v>5233</v>
      </c>
      <c r="E2299" t="s">
        <v>5060</v>
      </c>
      <c r="F2299" t="s">
        <v>5077</v>
      </c>
      <c r="G2299" t="s">
        <v>5050</v>
      </c>
      <c r="H2299" t="s">
        <v>3731</v>
      </c>
      <c r="J2299" t="s">
        <v>2860</v>
      </c>
      <c r="K2299">
        <v>216.3</v>
      </c>
    </row>
    <row r="2300" spans="1:11" x14ac:dyDescent="0.35">
      <c r="A2300" t="s">
        <v>2861</v>
      </c>
      <c r="B2300" s="1">
        <v>0</v>
      </c>
      <c r="C2300" t="s">
        <v>2566</v>
      </c>
      <c r="D2300" t="s">
        <v>5491</v>
      </c>
      <c r="E2300" t="s">
        <v>5270</v>
      </c>
      <c r="F2300" t="s">
        <v>5077</v>
      </c>
      <c r="G2300" t="s">
        <v>5240</v>
      </c>
      <c r="H2300" t="s">
        <v>3569</v>
      </c>
      <c r="J2300" t="s">
        <v>2861</v>
      </c>
      <c r="K2300">
        <v>221.9</v>
      </c>
    </row>
    <row r="2301" spans="1:11" x14ac:dyDescent="0.35">
      <c r="A2301" t="s">
        <v>2862</v>
      </c>
      <c r="B2301" s="1">
        <v>0</v>
      </c>
      <c r="C2301" t="s">
        <v>1482</v>
      </c>
      <c r="D2301" t="s">
        <v>5542</v>
      </c>
      <c r="E2301" t="s">
        <v>5113</v>
      </c>
      <c r="F2301" t="s">
        <v>5077</v>
      </c>
      <c r="G2301" t="s">
        <v>5050</v>
      </c>
      <c r="H2301" t="s">
        <v>2113</v>
      </c>
      <c r="J2301" t="s">
        <v>2862</v>
      </c>
      <c r="K2301">
        <v>223.1</v>
      </c>
    </row>
    <row r="2302" spans="1:11" x14ac:dyDescent="0.35">
      <c r="A2302" t="s">
        <v>2863</v>
      </c>
      <c r="B2302" s="1">
        <v>0</v>
      </c>
      <c r="C2302" t="s">
        <v>5543</v>
      </c>
      <c r="D2302" t="s">
        <v>5278</v>
      </c>
      <c r="E2302" t="s">
        <v>5270</v>
      </c>
      <c r="F2302" t="s">
        <v>5077</v>
      </c>
      <c r="G2302" t="s">
        <v>5230</v>
      </c>
      <c r="H2302" t="s">
        <v>2844</v>
      </c>
      <c r="J2302" t="s">
        <v>2863</v>
      </c>
      <c r="K2302">
        <v>214.1</v>
      </c>
    </row>
    <row r="2303" spans="1:11" x14ac:dyDescent="0.35">
      <c r="A2303" t="s">
        <v>2864</v>
      </c>
      <c r="B2303" s="1">
        <v>0</v>
      </c>
      <c r="C2303" t="s">
        <v>2603</v>
      </c>
      <c r="D2303" t="s">
        <v>5552</v>
      </c>
      <c r="E2303" t="s">
        <v>5208</v>
      </c>
      <c r="F2303" t="s">
        <v>5077</v>
      </c>
      <c r="G2303" t="s">
        <v>5172</v>
      </c>
      <c r="H2303" t="s">
        <v>3913</v>
      </c>
      <c r="J2303" t="s">
        <v>2864</v>
      </c>
      <c r="K2303">
        <v>204.2</v>
      </c>
    </row>
    <row r="2304" spans="1:11" x14ac:dyDescent="0.35">
      <c r="A2304" t="s">
        <v>2865</v>
      </c>
      <c r="B2304" s="1">
        <v>0</v>
      </c>
      <c r="C2304" t="s">
        <v>3496</v>
      </c>
      <c r="D2304" t="s">
        <v>5083</v>
      </c>
      <c r="E2304" t="s">
        <v>5068</v>
      </c>
      <c r="F2304" t="s">
        <v>5077</v>
      </c>
      <c r="G2304" t="s">
        <v>5172</v>
      </c>
      <c r="H2304" t="s">
        <v>1263</v>
      </c>
      <c r="J2304" t="s">
        <v>2865</v>
      </c>
      <c r="K2304">
        <v>196.3</v>
      </c>
    </row>
    <row r="2305" spans="1:11" x14ac:dyDescent="0.35">
      <c r="A2305" t="s">
        <v>2866</v>
      </c>
      <c r="B2305" s="1">
        <v>0</v>
      </c>
      <c r="C2305" t="s">
        <v>379</v>
      </c>
      <c r="D2305" t="s">
        <v>5097</v>
      </c>
      <c r="E2305" t="s">
        <v>5428</v>
      </c>
      <c r="F2305" t="s">
        <v>5077</v>
      </c>
      <c r="G2305" t="s">
        <v>5207</v>
      </c>
      <c r="H2305" t="s">
        <v>714</v>
      </c>
      <c r="J2305" t="s">
        <v>2866</v>
      </c>
      <c r="K2305">
        <v>188.4</v>
      </c>
    </row>
    <row r="2306" spans="1:11" x14ac:dyDescent="0.35">
      <c r="A2306" t="s">
        <v>2867</v>
      </c>
      <c r="B2306" s="1">
        <v>0</v>
      </c>
      <c r="C2306" t="s">
        <v>5463</v>
      </c>
      <c r="D2306" t="s">
        <v>5534</v>
      </c>
      <c r="E2306" t="s">
        <v>5170</v>
      </c>
      <c r="F2306" t="s">
        <v>5077</v>
      </c>
      <c r="G2306" t="s">
        <v>5172</v>
      </c>
      <c r="H2306" t="s">
        <v>252</v>
      </c>
      <c r="J2306" t="s">
        <v>2867</v>
      </c>
      <c r="K2306">
        <v>186</v>
      </c>
    </row>
    <row r="2307" spans="1:11" x14ac:dyDescent="0.35">
      <c r="A2307" t="s">
        <v>2868</v>
      </c>
      <c r="B2307" s="1">
        <v>0</v>
      </c>
      <c r="C2307" t="s">
        <v>412</v>
      </c>
      <c r="D2307" t="s">
        <v>5097</v>
      </c>
      <c r="E2307" t="s">
        <v>5234</v>
      </c>
      <c r="F2307" t="s">
        <v>5077</v>
      </c>
      <c r="G2307" t="s">
        <v>5046</v>
      </c>
      <c r="H2307" t="s">
        <v>4218</v>
      </c>
      <c r="J2307" t="s">
        <v>2868</v>
      </c>
      <c r="K2307">
        <v>192.1</v>
      </c>
    </row>
    <row r="2308" spans="1:11" x14ac:dyDescent="0.35">
      <c r="A2308" t="s">
        <v>2869</v>
      </c>
      <c r="B2308" s="1">
        <v>0</v>
      </c>
      <c r="C2308" t="s">
        <v>477</v>
      </c>
      <c r="D2308" t="s">
        <v>5250</v>
      </c>
      <c r="E2308" t="s">
        <v>5076</v>
      </c>
      <c r="F2308" t="s">
        <v>5077</v>
      </c>
      <c r="G2308" t="s">
        <v>5179</v>
      </c>
      <c r="H2308" t="s">
        <v>2401</v>
      </c>
      <c r="J2308" t="s">
        <v>2869</v>
      </c>
      <c r="K2308">
        <v>205.8</v>
      </c>
    </row>
    <row r="2309" spans="1:11" x14ac:dyDescent="0.35">
      <c r="A2309" t="s">
        <v>2870</v>
      </c>
      <c r="B2309" s="1">
        <v>0</v>
      </c>
      <c r="C2309" t="s">
        <v>3219</v>
      </c>
      <c r="D2309" t="s">
        <v>5484</v>
      </c>
      <c r="E2309" t="s">
        <v>5434</v>
      </c>
      <c r="F2309" t="s">
        <v>5089</v>
      </c>
      <c r="G2309" t="s">
        <v>5183</v>
      </c>
      <c r="H2309" t="s">
        <v>1722</v>
      </c>
      <c r="J2309" t="s">
        <v>2870</v>
      </c>
      <c r="K2309">
        <v>222.3</v>
      </c>
    </row>
    <row r="2310" spans="1:11" x14ac:dyDescent="0.35">
      <c r="A2310" t="s">
        <v>2871</v>
      </c>
      <c r="B2310" s="1">
        <v>0</v>
      </c>
      <c r="C2310" t="s">
        <v>1477</v>
      </c>
      <c r="D2310" t="s">
        <v>5625</v>
      </c>
      <c r="E2310" t="s">
        <v>5060</v>
      </c>
      <c r="F2310" t="s">
        <v>5089</v>
      </c>
      <c r="G2310" t="s">
        <v>5183</v>
      </c>
      <c r="H2310" t="s">
        <v>3327</v>
      </c>
      <c r="J2310" t="s">
        <v>2871</v>
      </c>
      <c r="K2310">
        <v>226.8</v>
      </c>
    </row>
    <row r="2311" spans="1:11" x14ac:dyDescent="0.35">
      <c r="A2311" t="s">
        <v>2872</v>
      </c>
      <c r="B2311" s="1">
        <v>0</v>
      </c>
      <c r="C2311" t="s">
        <v>1061</v>
      </c>
      <c r="D2311" t="s">
        <v>5481</v>
      </c>
      <c r="E2311" t="s">
        <v>5060</v>
      </c>
      <c r="F2311" t="s">
        <v>5089</v>
      </c>
      <c r="G2311" t="s">
        <v>5412</v>
      </c>
      <c r="H2311" t="s">
        <v>2054</v>
      </c>
      <c r="J2311" t="s">
        <v>2872</v>
      </c>
      <c r="K2311">
        <v>219.8</v>
      </c>
    </row>
    <row r="2312" spans="1:11" x14ac:dyDescent="0.35">
      <c r="A2312" t="s">
        <v>2873</v>
      </c>
      <c r="B2312" s="1">
        <v>0</v>
      </c>
      <c r="C2312" t="s">
        <v>983</v>
      </c>
      <c r="D2312" t="s">
        <v>5518</v>
      </c>
      <c r="E2312" t="s">
        <v>5066</v>
      </c>
      <c r="F2312" t="s">
        <v>5077</v>
      </c>
      <c r="G2312" t="s">
        <v>5240</v>
      </c>
      <c r="H2312" t="s">
        <v>2726</v>
      </c>
      <c r="J2312" t="s">
        <v>2873</v>
      </c>
      <c r="K2312">
        <v>211.4</v>
      </c>
    </row>
    <row r="2313" spans="1:11" x14ac:dyDescent="0.35">
      <c r="A2313" s="2">
        <v>42125</v>
      </c>
      <c r="B2313" s="1">
        <v>0</v>
      </c>
      <c r="C2313" t="s">
        <v>1918</v>
      </c>
      <c r="D2313" t="s">
        <v>5378</v>
      </c>
      <c r="E2313" t="s">
        <v>5059</v>
      </c>
      <c r="F2313" t="s">
        <v>5077</v>
      </c>
      <c r="G2313" t="s">
        <v>5174</v>
      </c>
      <c r="H2313" t="s">
        <v>2723</v>
      </c>
      <c r="J2313" s="2">
        <v>42125</v>
      </c>
      <c r="K2313">
        <v>207.9</v>
      </c>
    </row>
    <row r="2314" spans="1:11" x14ac:dyDescent="0.35">
      <c r="A2314" s="2">
        <v>42126</v>
      </c>
      <c r="B2314" s="1">
        <v>0</v>
      </c>
      <c r="C2314" t="s">
        <v>457</v>
      </c>
      <c r="D2314" t="s">
        <v>5540</v>
      </c>
      <c r="E2314" t="s">
        <v>5204</v>
      </c>
      <c r="F2314" t="s">
        <v>5077</v>
      </c>
      <c r="G2314" t="s">
        <v>5309</v>
      </c>
      <c r="H2314" t="s">
        <v>5001</v>
      </c>
      <c r="J2314" s="2">
        <v>42126</v>
      </c>
      <c r="K2314">
        <v>203.5</v>
      </c>
    </row>
    <row r="2315" spans="1:11" x14ac:dyDescent="0.35">
      <c r="A2315" s="2">
        <v>42127</v>
      </c>
      <c r="B2315" s="1">
        <v>0</v>
      </c>
      <c r="C2315" t="s">
        <v>1044</v>
      </c>
      <c r="D2315" t="s">
        <v>5464</v>
      </c>
      <c r="E2315" t="s">
        <v>5169</v>
      </c>
      <c r="F2315" t="s">
        <v>5077</v>
      </c>
      <c r="G2315" t="s">
        <v>5312</v>
      </c>
      <c r="H2315" t="s">
        <v>5004</v>
      </c>
      <c r="J2315" s="2">
        <v>42127</v>
      </c>
      <c r="K2315">
        <v>191.9</v>
      </c>
    </row>
    <row r="2316" spans="1:11" x14ac:dyDescent="0.35">
      <c r="A2316" s="2">
        <v>42128</v>
      </c>
      <c r="B2316" s="1">
        <v>0</v>
      </c>
      <c r="C2316" t="s">
        <v>427</v>
      </c>
      <c r="D2316" t="s">
        <v>5114</v>
      </c>
      <c r="E2316" t="s">
        <v>5417</v>
      </c>
      <c r="F2316" t="s">
        <v>5077</v>
      </c>
      <c r="G2316" t="s">
        <v>5315</v>
      </c>
      <c r="H2316" t="s">
        <v>676</v>
      </c>
      <c r="J2316" s="2">
        <v>42128</v>
      </c>
      <c r="K2316">
        <v>178.1</v>
      </c>
    </row>
    <row r="2317" spans="1:11" x14ac:dyDescent="0.35">
      <c r="A2317" s="2">
        <v>42129</v>
      </c>
      <c r="B2317" s="1">
        <v>0</v>
      </c>
      <c r="C2317" t="s">
        <v>5408</v>
      </c>
      <c r="D2317" t="s">
        <v>5081</v>
      </c>
      <c r="E2317" t="s">
        <v>5320</v>
      </c>
      <c r="F2317" t="s">
        <v>5077</v>
      </c>
      <c r="G2317" t="s">
        <v>5297</v>
      </c>
      <c r="H2317" t="s">
        <v>1978</v>
      </c>
      <c r="J2317" s="2">
        <v>42129</v>
      </c>
      <c r="K2317">
        <v>167.1</v>
      </c>
    </row>
    <row r="2318" spans="1:11" x14ac:dyDescent="0.35">
      <c r="A2318" s="2">
        <v>42130</v>
      </c>
      <c r="B2318" s="1">
        <v>0</v>
      </c>
      <c r="C2318" t="s">
        <v>5460</v>
      </c>
      <c r="D2318" t="s">
        <v>5306</v>
      </c>
      <c r="E2318" t="s">
        <v>5048</v>
      </c>
      <c r="F2318" t="s">
        <v>5045</v>
      </c>
      <c r="G2318" t="s">
        <v>5309</v>
      </c>
      <c r="H2318" t="s">
        <v>929</v>
      </c>
      <c r="J2318" s="2">
        <v>42130</v>
      </c>
      <c r="K2318">
        <v>164</v>
      </c>
    </row>
    <row r="2319" spans="1:11" x14ac:dyDescent="0.35">
      <c r="A2319" s="2">
        <v>42131</v>
      </c>
      <c r="B2319" s="1">
        <v>0</v>
      </c>
      <c r="C2319" t="s">
        <v>382</v>
      </c>
      <c r="D2319" t="s">
        <v>5162</v>
      </c>
      <c r="E2319" t="s">
        <v>5623</v>
      </c>
      <c r="F2319" t="s">
        <v>5077</v>
      </c>
      <c r="G2319" t="s">
        <v>5224</v>
      </c>
      <c r="H2319" t="s">
        <v>578</v>
      </c>
      <c r="J2319" s="2">
        <v>42131</v>
      </c>
      <c r="K2319">
        <v>171.6</v>
      </c>
    </row>
    <row r="2320" spans="1:11" x14ac:dyDescent="0.35">
      <c r="A2320" s="2">
        <v>42132</v>
      </c>
      <c r="B2320" s="1">
        <v>0</v>
      </c>
      <c r="C2320" t="s">
        <v>1049</v>
      </c>
      <c r="D2320" t="s">
        <v>5145</v>
      </c>
      <c r="E2320" t="s">
        <v>5597</v>
      </c>
      <c r="F2320" t="s">
        <v>5077</v>
      </c>
      <c r="G2320" t="s">
        <v>5172</v>
      </c>
      <c r="H2320" t="s">
        <v>1318</v>
      </c>
      <c r="J2320" s="2">
        <v>42132</v>
      </c>
      <c r="K2320">
        <v>191.3</v>
      </c>
    </row>
    <row r="2321" spans="1:11" x14ac:dyDescent="0.35">
      <c r="A2321" s="2">
        <v>42133</v>
      </c>
      <c r="B2321" s="1">
        <v>0</v>
      </c>
      <c r="C2321" t="s">
        <v>2605</v>
      </c>
      <c r="D2321" t="s">
        <v>5220</v>
      </c>
      <c r="E2321" t="s">
        <v>5234</v>
      </c>
      <c r="F2321" t="s">
        <v>5077</v>
      </c>
      <c r="G2321" t="s">
        <v>5174</v>
      </c>
      <c r="H2321" t="s">
        <v>4532</v>
      </c>
      <c r="J2321" s="2">
        <v>42133</v>
      </c>
      <c r="K2321">
        <v>211</v>
      </c>
    </row>
    <row r="2322" spans="1:11" x14ac:dyDescent="0.35">
      <c r="A2322" s="2">
        <v>42134</v>
      </c>
      <c r="B2322" s="1">
        <v>0</v>
      </c>
      <c r="C2322" t="s">
        <v>3218</v>
      </c>
      <c r="D2322" t="s">
        <v>5528</v>
      </c>
      <c r="E2322" t="s">
        <v>5221</v>
      </c>
      <c r="F2322" t="s">
        <v>5077</v>
      </c>
      <c r="G2322" t="s">
        <v>5230</v>
      </c>
      <c r="H2322" t="s">
        <v>3729</v>
      </c>
      <c r="J2322" s="2">
        <v>42134</v>
      </c>
      <c r="K2322">
        <v>215.1</v>
      </c>
    </row>
    <row r="2323" spans="1:11" x14ac:dyDescent="0.35">
      <c r="A2323" s="2">
        <v>42135</v>
      </c>
      <c r="B2323" s="1">
        <v>0</v>
      </c>
      <c r="C2323" t="s">
        <v>2266</v>
      </c>
      <c r="D2323" t="s">
        <v>5151</v>
      </c>
      <c r="E2323" t="s">
        <v>5170</v>
      </c>
      <c r="F2323" t="s">
        <v>5077</v>
      </c>
      <c r="G2323" t="s">
        <v>5207</v>
      </c>
      <c r="H2323" t="s">
        <v>657</v>
      </c>
      <c r="J2323" s="2">
        <v>42135</v>
      </c>
      <c r="K2323">
        <v>208.3</v>
      </c>
    </row>
    <row r="2324" spans="1:11" x14ac:dyDescent="0.35">
      <c r="A2324" s="2">
        <v>42136</v>
      </c>
      <c r="B2324" s="1">
        <v>0</v>
      </c>
      <c r="C2324" t="s">
        <v>457</v>
      </c>
      <c r="D2324" t="s">
        <v>5108</v>
      </c>
      <c r="E2324" t="s">
        <v>5303</v>
      </c>
      <c r="F2324" t="s">
        <v>5077</v>
      </c>
      <c r="G2324" t="s">
        <v>5224</v>
      </c>
      <c r="H2324" t="s">
        <v>1331</v>
      </c>
      <c r="J2324" s="2">
        <v>42136</v>
      </c>
      <c r="K2324">
        <v>197.2</v>
      </c>
    </row>
    <row r="2325" spans="1:11" x14ac:dyDescent="0.35">
      <c r="A2325" s="2">
        <v>42137</v>
      </c>
      <c r="B2325" s="1">
        <v>0</v>
      </c>
      <c r="C2325" t="s">
        <v>349</v>
      </c>
      <c r="D2325" t="s">
        <v>5473</v>
      </c>
      <c r="E2325" t="s">
        <v>5061</v>
      </c>
      <c r="F2325" t="s">
        <v>5077</v>
      </c>
      <c r="G2325" t="s">
        <v>5291</v>
      </c>
      <c r="H2325" t="s">
        <v>691</v>
      </c>
      <c r="J2325" s="2">
        <v>42137</v>
      </c>
      <c r="K2325">
        <v>191.4</v>
      </c>
    </row>
    <row r="2326" spans="1:11" x14ac:dyDescent="0.35">
      <c r="A2326" s="2">
        <v>42138</v>
      </c>
      <c r="B2326" s="1">
        <v>0</v>
      </c>
      <c r="C2326" t="s">
        <v>444</v>
      </c>
      <c r="D2326" t="s">
        <v>5137</v>
      </c>
      <c r="E2326" t="s">
        <v>5070</v>
      </c>
      <c r="F2326" t="s">
        <v>5077</v>
      </c>
      <c r="G2326" t="s">
        <v>5291</v>
      </c>
      <c r="H2326" t="s">
        <v>2694</v>
      </c>
      <c r="J2326" s="2">
        <v>42138</v>
      </c>
      <c r="K2326">
        <v>193.2</v>
      </c>
    </row>
    <row r="2327" spans="1:11" x14ac:dyDescent="0.35">
      <c r="A2327" s="2">
        <v>42139</v>
      </c>
      <c r="B2327" s="1">
        <v>0</v>
      </c>
      <c r="C2327" t="s">
        <v>325</v>
      </c>
      <c r="D2327" t="s">
        <v>5450</v>
      </c>
      <c r="E2327" t="s">
        <v>5310</v>
      </c>
      <c r="F2327" t="s">
        <v>5077</v>
      </c>
      <c r="G2327" t="s">
        <v>5321</v>
      </c>
      <c r="H2327" t="s">
        <v>2356</v>
      </c>
      <c r="J2327" s="2">
        <v>42139</v>
      </c>
      <c r="K2327">
        <v>202.5</v>
      </c>
    </row>
    <row r="2328" spans="1:11" x14ac:dyDescent="0.35">
      <c r="A2328" s="2">
        <v>42140</v>
      </c>
      <c r="B2328" s="1">
        <v>0</v>
      </c>
      <c r="C2328" t="s">
        <v>3219</v>
      </c>
      <c r="D2328" t="s">
        <v>5198</v>
      </c>
      <c r="E2328" t="s">
        <v>5428</v>
      </c>
      <c r="F2328" t="s">
        <v>5077</v>
      </c>
      <c r="G2328" t="s">
        <v>5174</v>
      </c>
      <c r="H2328" t="s">
        <v>1700</v>
      </c>
      <c r="J2328" s="2">
        <v>42140</v>
      </c>
      <c r="K2328">
        <v>212.4</v>
      </c>
    </row>
    <row r="2329" spans="1:11" x14ac:dyDescent="0.35">
      <c r="A2329" s="2">
        <v>42141</v>
      </c>
      <c r="B2329" s="1">
        <v>0</v>
      </c>
      <c r="C2329" t="s">
        <v>494</v>
      </c>
      <c r="D2329" t="s">
        <v>5449</v>
      </c>
      <c r="E2329" t="s">
        <v>5428</v>
      </c>
      <c r="F2329" t="s">
        <v>5089</v>
      </c>
      <c r="G2329" t="s">
        <v>5058</v>
      </c>
      <c r="H2329" t="s">
        <v>5697</v>
      </c>
      <c r="J2329" s="2">
        <v>42141</v>
      </c>
      <c r="K2329">
        <v>221.8</v>
      </c>
    </row>
    <row r="2330" spans="1:11" x14ac:dyDescent="0.35">
      <c r="A2330" s="2">
        <v>42142</v>
      </c>
      <c r="B2330" s="1">
        <v>0</v>
      </c>
      <c r="C2330" t="s">
        <v>5727</v>
      </c>
      <c r="D2330" t="s">
        <v>5440</v>
      </c>
      <c r="E2330" t="s">
        <v>5171</v>
      </c>
      <c r="F2330" t="s">
        <v>5089</v>
      </c>
      <c r="G2330" t="s">
        <v>5078</v>
      </c>
      <c r="H2330" t="s">
        <v>743</v>
      </c>
      <c r="J2330" s="2">
        <v>42142</v>
      </c>
      <c r="K2330">
        <v>228.1</v>
      </c>
    </row>
    <row r="2331" spans="1:11" x14ac:dyDescent="0.35">
      <c r="A2331" s="2">
        <v>42143</v>
      </c>
      <c r="B2331" s="1">
        <v>0</v>
      </c>
      <c r="C2331" t="s">
        <v>1929</v>
      </c>
      <c r="D2331" t="s">
        <v>5473</v>
      </c>
      <c r="E2331" t="s">
        <v>5181</v>
      </c>
      <c r="F2331" t="s">
        <v>5089</v>
      </c>
      <c r="G2331" t="s">
        <v>5099</v>
      </c>
      <c r="H2331" t="s">
        <v>4980</v>
      </c>
      <c r="J2331" s="2">
        <v>42143</v>
      </c>
      <c r="K2331">
        <v>226.7</v>
      </c>
    </row>
    <row r="2332" spans="1:11" x14ac:dyDescent="0.35">
      <c r="A2332" s="2">
        <v>42144</v>
      </c>
      <c r="B2332" s="1">
        <v>0</v>
      </c>
      <c r="C2332" t="s">
        <v>494</v>
      </c>
      <c r="D2332" t="s">
        <v>5218</v>
      </c>
      <c r="E2332" t="s">
        <v>5319</v>
      </c>
      <c r="F2332" t="s">
        <v>5089</v>
      </c>
      <c r="G2332" t="s">
        <v>5475</v>
      </c>
      <c r="H2332" t="s">
        <v>1203</v>
      </c>
      <c r="J2332" s="2">
        <v>42144</v>
      </c>
      <c r="K2332">
        <v>213.2</v>
      </c>
    </row>
    <row r="2333" spans="1:11" x14ac:dyDescent="0.35">
      <c r="A2333" s="2">
        <v>42145</v>
      </c>
      <c r="B2333" s="1">
        <v>0</v>
      </c>
      <c r="C2333" t="s">
        <v>4380</v>
      </c>
      <c r="D2333" t="s">
        <v>5178</v>
      </c>
      <c r="E2333" t="s">
        <v>5545</v>
      </c>
      <c r="F2333" t="s">
        <v>5077</v>
      </c>
      <c r="G2333" t="s">
        <v>5240</v>
      </c>
      <c r="H2333" t="s">
        <v>2694</v>
      </c>
      <c r="J2333" s="2">
        <v>42145</v>
      </c>
      <c r="K2333">
        <v>193.2</v>
      </c>
    </row>
    <row r="2334" spans="1:11" x14ac:dyDescent="0.35">
      <c r="A2334" s="2">
        <v>42146</v>
      </c>
      <c r="B2334" s="1">
        <v>0</v>
      </c>
      <c r="C2334" t="s">
        <v>1879</v>
      </c>
      <c r="D2334" t="s">
        <v>5056</v>
      </c>
      <c r="E2334" t="s">
        <v>5044</v>
      </c>
      <c r="F2334" t="s">
        <v>5077</v>
      </c>
      <c r="G2334" t="s">
        <v>5321</v>
      </c>
      <c r="H2334" t="s">
        <v>599</v>
      </c>
      <c r="J2334" s="2">
        <v>42146</v>
      </c>
      <c r="K2334">
        <v>172.5</v>
      </c>
    </row>
    <row r="2335" spans="1:11" x14ac:dyDescent="0.35">
      <c r="A2335" s="2">
        <v>42147</v>
      </c>
      <c r="B2335" s="1">
        <v>0</v>
      </c>
      <c r="C2335" t="s">
        <v>5504</v>
      </c>
      <c r="D2335" t="s">
        <v>5061</v>
      </c>
      <c r="E2335" t="s">
        <v>5327</v>
      </c>
      <c r="F2335" t="s">
        <v>5077</v>
      </c>
      <c r="G2335" t="s">
        <v>5297</v>
      </c>
      <c r="H2335" t="s">
        <v>1758</v>
      </c>
      <c r="J2335" s="2">
        <v>42147</v>
      </c>
      <c r="K2335">
        <v>155.9</v>
      </c>
    </row>
    <row r="2336" spans="1:11" x14ac:dyDescent="0.35">
      <c r="A2336" s="2">
        <v>42148</v>
      </c>
      <c r="B2336" s="1">
        <v>0</v>
      </c>
      <c r="C2336" t="s">
        <v>5109</v>
      </c>
      <c r="D2336" t="s">
        <v>5301</v>
      </c>
      <c r="E2336" t="s">
        <v>5300</v>
      </c>
      <c r="F2336" t="s">
        <v>5045</v>
      </c>
      <c r="G2336" t="s">
        <v>5397</v>
      </c>
      <c r="H2336" t="s">
        <v>881</v>
      </c>
      <c r="J2336" s="2">
        <v>42148</v>
      </c>
      <c r="K2336">
        <v>144.80000000000001</v>
      </c>
    </row>
    <row r="2337" spans="1:11" x14ac:dyDescent="0.35">
      <c r="A2337" s="2">
        <v>42149</v>
      </c>
      <c r="B2337" s="1">
        <v>0</v>
      </c>
      <c r="C2337" t="s">
        <v>5235</v>
      </c>
      <c r="D2337" t="s">
        <v>5292</v>
      </c>
      <c r="E2337" t="s">
        <v>5317</v>
      </c>
      <c r="F2337" t="s">
        <v>5045</v>
      </c>
      <c r="G2337" t="s">
        <v>5432</v>
      </c>
      <c r="H2337" t="s">
        <v>845</v>
      </c>
      <c r="J2337" s="2">
        <v>42149</v>
      </c>
      <c r="K2337">
        <v>137.5</v>
      </c>
    </row>
    <row r="2338" spans="1:11" x14ac:dyDescent="0.35">
      <c r="A2338" s="2">
        <v>42150</v>
      </c>
      <c r="B2338" s="1">
        <v>0</v>
      </c>
      <c r="C2338" t="s">
        <v>5443</v>
      </c>
      <c r="D2338" t="s">
        <v>5051</v>
      </c>
      <c r="E2338" t="s">
        <v>5308</v>
      </c>
      <c r="F2338" t="s">
        <v>5045</v>
      </c>
      <c r="G2338" t="s">
        <v>5411</v>
      </c>
      <c r="H2338" t="s">
        <v>13</v>
      </c>
      <c r="J2338" s="2">
        <v>42150</v>
      </c>
      <c r="K2338">
        <v>132.9</v>
      </c>
    </row>
    <row r="2339" spans="1:11" x14ac:dyDescent="0.35">
      <c r="A2339" s="2">
        <v>42151</v>
      </c>
      <c r="B2339" s="1">
        <v>0</v>
      </c>
      <c r="C2339" t="s">
        <v>5458</v>
      </c>
      <c r="D2339" t="s">
        <v>5546</v>
      </c>
      <c r="E2339" t="s">
        <v>5047</v>
      </c>
      <c r="F2339" t="s">
        <v>5045</v>
      </c>
      <c r="G2339" t="s">
        <v>5337</v>
      </c>
      <c r="H2339" t="s">
        <v>132</v>
      </c>
      <c r="J2339" s="2">
        <v>42151</v>
      </c>
      <c r="K2339">
        <v>130.5</v>
      </c>
    </row>
    <row r="2340" spans="1:11" x14ac:dyDescent="0.35">
      <c r="A2340" s="2">
        <v>42152</v>
      </c>
      <c r="B2340" s="1">
        <v>0</v>
      </c>
      <c r="C2340" t="s">
        <v>5245</v>
      </c>
      <c r="D2340" t="s">
        <v>5423</v>
      </c>
      <c r="E2340" t="s">
        <v>5047</v>
      </c>
      <c r="F2340" t="s">
        <v>5045</v>
      </c>
      <c r="G2340" t="s">
        <v>5339</v>
      </c>
      <c r="H2340" t="s">
        <v>1963</v>
      </c>
      <c r="J2340" s="2">
        <v>42152</v>
      </c>
      <c r="K2340">
        <v>129.9</v>
      </c>
    </row>
    <row r="2341" spans="1:11" x14ac:dyDescent="0.35">
      <c r="A2341" s="2">
        <v>42153</v>
      </c>
      <c r="B2341" s="1">
        <v>0</v>
      </c>
      <c r="C2341" t="s">
        <v>5458</v>
      </c>
      <c r="D2341" t="s">
        <v>5049</v>
      </c>
      <c r="E2341" t="s">
        <v>5047</v>
      </c>
      <c r="F2341" t="s">
        <v>5045</v>
      </c>
      <c r="G2341" t="s">
        <v>5156</v>
      </c>
      <c r="H2341" t="s">
        <v>1963</v>
      </c>
      <c r="J2341" s="2">
        <v>42153</v>
      </c>
      <c r="K2341">
        <v>129.9</v>
      </c>
    </row>
    <row r="2342" spans="1:11" x14ac:dyDescent="0.35">
      <c r="A2342" s="2">
        <v>42154</v>
      </c>
      <c r="B2342" s="1">
        <v>0</v>
      </c>
      <c r="C2342" t="s">
        <v>5157</v>
      </c>
      <c r="D2342" t="s">
        <v>5302</v>
      </c>
      <c r="E2342" t="s">
        <v>5547</v>
      </c>
      <c r="F2342" t="s">
        <v>5045</v>
      </c>
      <c r="G2342" t="s">
        <v>5156</v>
      </c>
      <c r="H2342" t="s">
        <v>120</v>
      </c>
      <c r="J2342" s="2">
        <v>42154</v>
      </c>
      <c r="K2342">
        <v>129.30000000000001</v>
      </c>
    </row>
    <row r="2343" spans="1:11" x14ac:dyDescent="0.35">
      <c r="A2343" s="2">
        <v>42155</v>
      </c>
      <c r="B2343" s="1">
        <v>0</v>
      </c>
      <c r="C2343" t="s">
        <v>5471</v>
      </c>
      <c r="D2343" t="s">
        <v>5305</v>
      </c>
      <c r="E2343" t="s">
        <v>5547</v>
      </c>
      <c r="F2343" t="s">
        <v>5045</v>
      </c>
      <c r="G2343" t="s">
        <v>5156</v>
      </c>
      <c r="H2343" t="s">
        <v>304</v>
      </c>
      <c r="J2343" s="2">
        <v>42155</v>
      </c>
      <c r="K2343">
        <v>128.30000000000001</v>
      </c>
    </row>
    <row r="2344" spans="1:11" x14ac:dyDescent="0.35">
      <c r="A2344" s="2">
        <v>42156</v>
      </c>
      <c r="B2344" s="1">
        <v>0</v>
      </c>
      <c r="C2344" t="s">
        <v>5125</v>
      </c>
      <c r="D2344" t="s">
        <v>5424</v>
      </c>
      <c r="E2344" t="s">
        <v>5547</v>
      </c>
      <c r="F2344" t="s">
        <v>5045</v>
      </c>
      <c r="G2344" t="s">
        <v>5168</v>
      </c>
      <c r="H2344" t="s">
        <v>1124</v>
      </c>
      <c r="J2344" s="2">
        <v>42156</v>
      </c>
      <c r="K2344">
        <v>127</v>
      </c>
    </row>
    <row r="2345" spans="1:11" x14ac:dyDescent="0.35">
      <c r="A2345" s="2">
        <v>42157</v>
      </c>
      <c r="B2345" s="1">
        <v>0</v>
      </c>
      <c r="C2345" t="s">
        <v>5152</v>
      </c>
      <c r="D2345" t="s">
        <v>5050</v>
      </c>
      <c r="E2345" t="s">
        <v>5050</v>
      </c>
      <c r="F2345" t="s">
        <v>5168</v>
      </c>
      <c r="G2345" t="s">
        <v>5354</v>
      </c>
      <c r="H2345" t="s">
        <v>1050</v>
      </c>
      <c r="J2345" s="2">
        <v>42157</v>
      </c>
      <c r="K2345">
        <v>85.3</v>
      </c>
    </row>
    <row r="2346" spans="1:11" x14ac:dyDescent="0.35">
      <c r="A2346" s="2">
        <v>42158</v>
      </c>
      <c r="B2346" s="1">
        <v>0</v>
      </c>
      <c r="C2346" t="s">
        <v>5331</v>
      </c>
      <c r="D2346" t="s">
        <v>5050</v>
      </c>
      <c r="E2346" t="s">
        <v>5050</v>
      </c>
      <c r="F2346" t="s">
        <v>5168</v>
      </c>
      <c r="G2346" t="s">
        <v>5353</v>
      </c>
      <c r="H2346" t="s">
        <v>442</v>
      </c>
      <c r="J2346" s="2">
        <v>42158</v>
      </c>
      <c r="K2346">
        <v>85.7</v>
      </c>
    </row>
    <row r="2347" spans="1:11" x14ac:dyDescent="0.35">
      <c r="A2347" s="2">
        <v>42159</v>
      </c>
      <c r="B2347" s="1">
        <v>0</v>
      </c>
      <c r="C2347" t="s">
        <v>5427</v>
      </c>
      <c r="D2347" t="s">
        <v>5240</v>
      </c>
      <c r="E2347" t="s">
        <v>5240</v>
      </c>
      <c r="F2347" t="s">
        <v>5168</v>
      </c>
      <c r="G2347" t="s">
        <v>5361</v>
      </c>
      <c r="H2347" t="s">
        <v>982</v>
      </c>
      <c r="J2347" s="2">
        <v>42159</v>
      </c>
      <c r="K2347">
        <v>88.7</v>
      </c>
    </row>
    <row r="2348" spans="1:11" x14ac:dyDescent="0.35">
      <c r="A2348" s="2">
        <v>42160</v>
      </c>
      <c r="B2348" s="1">
        <v>0</v>
      </c>
      <c r="C2348" t="s">
        <v>5599</v>
      </c>
      <c r="D2348" t="s">
        <v>5183</v>
      </c>
      <c r="E2348" t="s">
        <v>5412</v>
      </c>
      <c r="F2348" t="s">
        <v>5168</v>
      </c>
      <c r="G2348" t="s">
        <v>5344</v>
      </c>
      <c r="H2348" t="s">
        <v>1473</v>
      </c>
      <c r="J2348" s="2">
        <v>42160</v>
      </c>
      <c r="K2348">
        <v>95.5</v>
      </c>
    </row>
    <row r="2349" spans="1:11" x14ac:dyDescent="0.35">
      <c r="A2349" s="2">
        <v>42161</v>
      </c>
      <c r="B2349" s="1">
        <v>0</v>
      </c>
      <c r="C2349" t="s">
        <v>5304</v>
      </c>
      <c r="D2349" t="s">
        <v>5493</v>
      </c>
      <c r="E2349" t="s">
        <v>5099</v>
      </c>
      <c r="F2349" t="s">
        <v>5168</v>
      </c>
      <c r="G2349" t="s">
        <v>5550</v>
      </c>
      <c r="H2349" t="s">
        <v>5569</v>
      </c>
      <c r="J2349" s="2">
        <v>42161</v>
      </c>
      <c r="K2349">
        <v>104.1</v>
      </c>
    </row>
    <row r="2350" spans="1:11" x14ac:dyDescent="0.35">
      <c r="A2350" s="2">
        <v>42162</v>
      </c>
      <c r="B2350" s="1">
        <v>0</v>
      </c>
      <c r="C2350" t="s">
        <v>5067</v>
      </c>
      <c r="D2350" t="s">
        <v>5161</v>
      </c>
      <c r="E2350" t="s">
        <v>5045</v>
      </c>
      <c r="F2350" t="s">
        <v>5168</v>
      </c>
      <c r="G2350" t="s">
        <v>5550</v>
      </c>
      <c r="H2350" t="s">
        <v>2610</v>
      </c>
      <c r="J2350" s="2">
        <v>42162</v>
      </c>
      <c r="K2350">
        <v>108.6</v>
      </c>
    </row>
    <row r="2351" spans="1:11" x14ac:dyDescent="0.35">
      <c r="A2351" s="2">
        <v>42163</v>
      </c>
      <c r="B2351" s="1">
        <v>0</v>
      </c>
      <c r="C2351" t="s">
        <v>5120</v>
      </c>
      <c r="D2351" t="s">
        <v>5314</v>
      </c>
      <c r="E2351" t="s">
        <v>5089</v>
      </c>
      <c r="F2351" t="s">
        <v>5168</v>
      </c>
      <c r="G2351" t="s">
        <v>5360</v>
      </c>
      <c r="H2351" t="s">
        <v>482</v>
      </c>
      <c r="J2351" s="2">
        <v>42163</v>
      </c>
      <c r="K2351">
        <v>108.3</v>
      </c>
    </row>
    <row r="2352" spans="1:11" x14ac:dyDescent="0.35">
      <c r="A2352" s="2">
        <v>42164</v>
      </c>
      <c r="B2352" s="1">
        <v>0</v>
      </c>
      <c r="C2352" t="s">
        <v>5239</v>
      </c>
      <c r="D2352" t="s">
        <v>5149</v>
      </c>
      <c r="E2352" t="s">
        <v>5077</v>
      </c>
      <c r="F2352" t="s">
        <v>5168</v>
      </c>
      <c r="G2352" t="s">
        <v>5359</v>
      </c>
      <c r="H2352" t="s">
        <v>976</v>
      </c>
      <c r="J2352" s="2">
        <v>42164</v>
      </c>
      <c r="K2352">
        <v>107</v>
      </c>
    </row>
    <row r="2353" spans="1:11" x14ac:dyDescent="0.35">
      <c r="A2353" s="2">
        <v>42165</v>
      </c>
      <c r="B2353" s="1">
        <v>0</v>
      </c>
      <c r="C2353" t="s">
        <v>5257</v>
      </c>
      <c r="D2353" t="s">
        <v>5163</v>
      </c>
      <c r="E2353" t="s">
        <v>5110</v>
      </c>
      <c r="F2353" t="s">
        <v>5168</v>
      </c>
      <c r="G2353" t="s">
        <v>5359</v>
      </c>
      <c r="H2353" t="s">
        <v>5600</v>
      </c>
      <c r="J2353" s="2">
        <v>42165</v>
      </c>
      <c r="K2353">
        <v>106.5</v>
      </c>
    </row>
    <row r="2354" spans="1:11" x14ac:dyDescent="0.35">
      <c r="A2354" s="2">
        <v>42166</v>
      </c>
      <c r="B2354" s="1">
        <v>0</v>
      </c>
      <c r="C2354" t="s">
        <v>5304</v>
      </c>
      <c r="D2354" t="s">
        <v>5340</v>
      </c>
      <c r="E2354" t="s">
        <v>5099</v>
      </c>
      <c r="F2354" t="s">
        <v>5168</v>
      </c>
      <c r="G2354" t="s">
        <v>5360</v>
      </c>
      <c r="H2354" t="s">
        <v>1465</v>
      </c>
      <c r="J2354" s="2">
        <v>42166</v>
      </c>
      <c r="K2354">
        <v>104.6</v>
      </c>
    </row>
    <row r="2355" spans="1:11" x14ac:dyDescent="0.35">
      <c r="A2355" s="2">
        <v>42167</v>
      </c>
      <c r="B2355" s="1">
        <v>0</v>
      </c>
      <c r="C2355" t="s">
        <v>5076</v>
      </c>
      <c r="D2355" t="s">
        <v>5132</v>
      </c>
      <c r="E2355" t="s">
        <v>5183</v>
      </c>
      <c r="F2355" t="s">
        <v>5168</v>
      </c>
      <c r="G2355" t="s">
        <v>5359</v>
      </c>
      <c r="H2355" t="s">
        <v>1063</v>
      </c>
      <c r="J2355" s="2">
        <v>42167</v>
      </c>
      <c r="K2355">
        <v>100.8</v>
      </c>
    </row>
    <row r="2356" spans="1:11" x14ac:dyDescent="0.35">
      <c r="A2356" s="2">
        <v>42168</v>
      </c>
      <c r="B2356" s="1">
        <v>0</v>
      </c>
      <c r="C2356" t="s">
        <v>5426</v>
      </c>
      <c r="D2356" t="s">
        <v>5116</v>
      </c>
      <c r="E2356" t="s">
        <v>5062</v>
      </c>
      <c r="F2356" t="s">
        <v>5168</v>
      </c>
      <c r="G2356" t="s">
        <v>5344</v>
      </c>
      <c r="H2356" t="s">
        <v>2270</v>
      </c>
      <c r="J2356" s="2">
        <v>42168</v>
      </c>
      <c r="K2356">
        <v>96</v>
      </c>
    </row>
    <row r="2357" spans="1:11" x14ac:dyDescent="0.35">
      <c r="A2357" s="2">
        <v>42169</v>
      </c>
      <c r="B2357" s="1">
        <v>0</v>
      </c>
      <c r="C2357" t="s">
        <v>5324</v>
      </c>
      <c r="D2357" t="s">
        <v>5078</v>
      </c>
      <c r="E2357" t="s">
        <v>5179</v>
      </c>
      <c r="F2357" t="s">
        <v>5168</v>
      </c>
      <c r="G2357" t="s">
        <v>5346</v>
      </c>
      <c r="H2357" t="s">
        <v>1536</v>
      </c>
      <c r="J2357" s="2">
        <v>42169</v>
      </c>
      <c r="K2357">
        <v>91.4</v>
      </c>
    </row>
    <row r="2358" spans="1:11" x14ac:dyDescent="0.35">
      <c r="A2358" s="2">
        <v>42170</v>
      </c>
      <c r="B2358" s="1">
        <v>0</v>
      </c>
      <c r="C2358" t="s">
        <v>5549</v>
      </c>
      <c r="D2358" t="s">
        <v>5062</v>
      </c>
      <c r="E2358" t="s">
        <v>5054</v>
      </c>
      <c r="F2358" t="s">
        <v>5168</v>
      </c>
      <c r="G2358" t="s">
        <v>5349</v>
      </c>
      <c r="H2358" t="s">
        <v>340</v>
      </c>
      <c r="J2358" s="2">
        <v>42170</v>
      </c>
      <c r="K2358">
        <v>88.4</v>
      </c>
    </row>
    <row r="2359" spans="1:11" x14ac:dyDescent="0.35">
      <c r="A2359" s="2">
        <v>42171</v>
      </c>
      <c r="B2359" s="1">
        <v>0</v>
      </c>
      <c r="C2359" t="s">
        <v>5199</v>
      </c>
      <c r="D2359" t="s">
        <v>5058</v>
      </c>
      <c r="E2359" t="s">
        <v>5240</v>
      </c>
      <c r="F2359" t="s">
        <v>5168</v>
      </c>
      <c r="G2359" t="s">
        <v>5349</v>
      </c>
      <c r="H2359" t="s">
        <v>348</v>
      </c>
      <c r="J2359" s="2">
        <v>42171</v>
      </c>
      <c r="K2359">
        <v>86.6</v>
      </c>
    </row>
    <row r="2360" spans="1:11" x14ac:dyDescent="0.35">
      <c r="A2360" s="2">
        <v>42172</v>
      </c>
      <c r="B2360" s="1">
        <v>0</v>
      </c>
      <c r="C2360" t="s">
        <v>5347</v>
      </c>
      <c r="D2360" t="s">
        <v>5054</v>
      </c>
      <c r="E2360" t="s">
        <v>5050</v>
      </c>
      <c r="F2360" t="s">
        <v>5168</v>
      </c>
      <c r="G2360" t="s">
        <v>5353</v>
      </c>
      <c r="H2360" t="s">
        <v>326</v>
      </c>
      <c r="J2360" s="2">
        <v>42172</v>
      </c>
      <c r="K2360">
        <v>85.5</v>
      </c>
    </row>
    <row r="2361" spans="1:11" x14ac:dyDescent="0.35">
      <c r="A2361" s="2">
        <v>42173</v>
      </c>
      <c r="B2361" s="1">
        <v>0</v>
      </c>
      <c r="C2361" t="s">
        <v>5201</v>
      </c>
      <c r="D2361" t="s">
        <v>5240</v>
      </c>
      <c r="E2361" t="s">
        <v>5050</v>
      </c>
      <c r="F2361" t="s">
        <v>5168</v>
      </c>
      <c r="G2361" t="s">
        <v>5353</v>
      </c>
      <c r="H2361" t="s">
        <v>479</v>
      </c>
      <c r="J2361" s="2">
        <v>42173</v>
      </c>
      <c r="K2361">
        <v>84.9</v>
      </c>
    </row>
    <row r="2362" spans="1:11" x14ac:dyDescent="0.35">
      <c r="A2362" s="2">
        <v>42174</v>
      </c>
      <c r="B2362" s="1">
        <v>0</v>
      </c>
      <c r="C2362" t="s">
        <v>5333</v>
      </c>
      <c r="D2362" t="s">
        <v>5050</v>
      </c>
      <c r="E2362" t="s">
        <v>5050</v>
      </c>
      <c r="F2362" t="s">
        <v>5168</v>
      </c>
      <c r="G2362" t="s">
        <v>5354</v>
      </c>
      <c r="H2362" t="s">
        <v>341</v>
      </c>
      <c r="J2362" s="2">
        <v>42174</v>
      </c>
      <c r="K2362">
        <v>84.4</v>
      </c>
    </row>
    <row r="2363" spans="1:11" x14ac:dyDescent="0.35">
      <c r="A2363" s="2">
        <v>42175</v>
      </c>
      <c r="B2363" s="1">
        <v>0</v>
      </c>
      <c r="C2363" t="s">
        <v>5355</v>
      </c>
      <c r="D2363" t="s">
        <v>5050</v>
      </c>
      <c r="E2363" t="s">
        <v>5046</v>
      </c>
      <c r="F2363" t="s">
        <v>5168</v>
      </c>
      <c r="G2363" t="s">
        <v>5354</v>
      </c>
      <c r="H2363" t="s">
        <v>322</v>
      </c>
      <c r="J2363" s="2">
        <v>42175</v>
      </c>
      <c r="K2363">
        <v>84</v>
      </c>
    </row>
    <row r="2364" spans="1:11" x14ac:dyDescent="0.35">
      <c r="A2364" s="2">
        <v>42176</v>
      </c>
      <c r="B2364" s="1">
        <v>0</v>
      </c>
      <c r="C2364" t="s">
        <v>5356</v>
      </c>
      <c r="D2364" t="s">
        <v>5050</v>
      </c>
      <c r="E2364" t="s">
        <v>5046</v>
      </c>
      <c r="F2364" t="s">
        <v>5168</v>
      </c>
      <c r="G2364" t="s">
        <v>5354</v>
      </c>
      <c r="H2364" t="s">
        <v>3800</v>
      </c>
      <c r="J2364" s="2">
        <v>42176</v>
      </c>
      <c r="K2364">
        <v>83.6</v>
      </c>
    </row>
    <row r="2365" spans="1:11" x14ac:dyDescent="0.35">
      <c r="A2365" s="2">
        <v>42177</v>
      </c>
      <c r="B2365" s="1">
        <v>0</v>
      </c>
      <c r="C2365" t="s">
        <v>5358</v>
      </c>
      <c r="D2365" t="s">
        <v>5046</v>
      </c>
      <c r="E2365" t="s">
        <v>5046</v>
      </c>
      <c r="F2365" t="s">
        <v>5168</v>
      </c>
      <c r="G2365" t="s">
        <v>5354</v>
      </c>
      <c r="H2365" t="s">
        <v>345</v>
      </c>
      <c r="J2365" s="2">
        <v>42177</v>
      </c>
      <c r="K2365">
        <v>83.4</v>
      </c>
    </row>
    <row r="2366" spans="1:11" x14ac:dyDescent="0.35">
      <c r="A2366" s="2">
        <v>42178</v>
      </c>
      <c r="B2366" s="1">
        <v>0</v>
      </c>
      <c r="C2366" t="s">
        <v>5089</v>
      </c>
      <c r="D2366" t="s">
        <v>5046</v>
      </c>
      <c r="E2366" t="s">
        <v>5046</v>
      </c>
      <c r="F2366" t="s">
        <v>5168</v>
      </c>
      <c r="G2366" t="s">
        <v>5354</v>
      </c>
      <c r="H2366" t="s">
        <v>1528</v>
      </c>
      <c r="J2366" s="2">
        <v>42178</v>
      </c>
      <c r="K2366">
        <v>83.2</v>
      </c>
    </row>
    <row r="2367" spans="1:11" x14ac:dyDescent="0.35">
      <c r="A2367" s="2">
        <v>42179</v>
      </c>
      <c r="B2367" s="1">
        <v>0</v>
      </c>
      <c r="C2367" t="s">
        <v>5077</v>
      </c>
      <c r="D2367" t="s">
        <v>5046</v>
      </c>
      <c r="E2367" t="s">
        <v>5046</v>
      </c>
      <c r="F2367" t="s">
        <v>5168</v>
      </c>
      <c r="G2367" t="s">
        <v>5354</v>
      </c>
      <c r="H2367" t="s">
        <v>352</v>
      </c>
      <c r="J2367" s="2">
        <v>42179</v>
      </c>
      <c r="K2367">
        <v>83.1</v>
      </c>
    </row>
    <row r="2368" spans="1:11" x14ac:dyDescent="0.35">
      <c r="A2368" s="2">
        <v>42180</v>
      </c>
      <c r="B2368" s="1">
        <v>0</v>
      </c>
      <c r="C2368" t="s">
        <v>5077</v>
      </c>
      <c r="D2368" t="s">
        <v>5046</v>
      </c>
      <c r="E2368" t="s">
        <v>5046</v>
      </c>
      <c r="F2368" t="s">
        <v>5168</v>
      </c>
      <c r="G2368" t="s">
        <v>5354</v>
      </c>
      <c r="H2368" t="s">
        <v>352</v>
      </c>
      <c r="J2368" s="2">
        <v>42180</v>
      </c>
      <c r="K2368">
        <v>83.1</v>
      </c>
    </row>
    <row r="2369" spans="1:11" x14ac:dyDescent="0.35">
      <c r="A2369" s="2">
        <v>42181</v>
      </c>
      <c r="B2369" s="1">
        <v>0</v>
      </c>
      <c r="C2369" t="s">
        <v>5077</v>
      </c>
      <c r="D2369" t="s">
        <v>5046</v>
      </c>
      <c r="E2369" t="s">
        <v>5046</v>
      </c>
      <c r="F2369" t="s">
        <v>5168</v>
      </c>
      <c r="G2369" t="s">
        <v>5354</v>
      </c>
      <c r="H2369" t="s">
        <v>352</v>
      </c>
      <c r="J2369" s="2">
        <v>42181</v>
      </c>
      <c r="K2369">
        <v>83.1</v>
      </c>
    </row>
    <row r="2370" spans="1:11" x14ac:dyDescent="0.35">
      <c r="A2370" s="2">
        <v>42182</v>
      </c>
      <c r="B2370" s="1">
        <v>0</v>
      </c>
      <c r="C2370" t="s">
        <v>5358</v>
      </c>
      <c r="D2370" t="s">
        <v>5046</v>
      </c>
      <c r="E2370" t="s">
        <v>5046</v>
      </c>
      <c r="F2370" t="s">
        <v>5168</v>
      </c>
      <c r="G2370" t="s">
        <v>5354</v>
      </c>
      <c r="H2370" t="s">
        <v>363</v>
      </c>
      <c r="J2370" s="2">
        <v>42182</v>
      </c>
      <c r="K2370">
        <v>83.3</v>
      </c>
    </row>
    <row r="2371" spans="1:11" x14ac:dyDescent="0.35">
      <c r="A2371" s="2">
        <v>42183</v>
      </c>
      <c r="B2371" s="1">
        <v>0</v>
      </c>
      <c r="C2371" t="s">
        <v>5356</v>
      </c>
      <c r="D2371" t="s">
        <v>5046</v>
      </c>
      <c r="E2371" t="s">
        <v>5046</v>
      </c>
      <c r="F2371" t="s">
        <v>5168</v>
      </c>
      <c r="G2371" t="s">
        <v>5353</v>
      </c>
      <c r="H2371" t="s">
        <v>3800</v>
      </c>
      <c r="J2371" s="2">
        <v>42183</v>
      </c>
      <c r="K2371">
        <v>83.6</v>
      </c>
    </row>
    <row r="2372" spans="1:11" x14ac:dyDescent="0.35">
      <c r="A2372" s="2">
        <v>42184</v>
      </c>
      <c r="B2372" s="1">
        <v>0</v>
      </c>
      <c r="C2372" t="s">
        <v>5136</v>
      </c>
      <c r="D2372" t="s">
        <v>5046</v>
      </c>
      <c r="E2372" t="s">
        <v>5046</v>
      </c>
      <c r="F2372" t="s">
        <v>5168</v>
      </c>
      <c r="G2372" t="s">
        <v>5353</v>
      </c>
      <c r="H2372" t="s">
        <v>3800</v>
      </c>
      <c r="J2372" s="2">
        <v>42184</v>
      </c>
      <c r="K2372">
        <v>83.6</v>
      </c>
    </row>
    <row r="2373" spans="1:11" x14ac:dyDescent="0.35">
      <c r="A2373" s="2">
        <v>42185</v>
      </c>
      <c r="B2373" s="1">
        <v>0</v>
      </c>
      <c r="C2373" t="s">
        <v>5356</v>
      </c>
      <c r="D2373" t="s">
        <v>5046</v>
      </c>
      <c r="E2373" t="s">
        <v>5046</v>
      </c>
      <c r="F2373" t="s">
        <v>5168</v>
      </c>
      <c r="G2373" t="s">
        <v>5353</v>
      </c>
      <c r="H2373" t="s">
        <v>444</v>
      </c>
      <c r="J2373" s="2">
        <v>42185</v>
      </c>
      <c r="K2373">
        <v>83.5</v>
      </c>
    </row>
    <row r="2374" spans="1:11" x14ac:dyDescent="0.35">
      <c r="A2374" t="s">
        <v>2884</v>
      </c>
      <c r="B2374" s="1">
        <v>0</v>
      </c>
      <c r="C2374" t="s">
        <v>5358</v>
      </c>
      <c r="D2374" t="s">
        <v>5046</v>
      </c>
      <c r="E2374" t="s">
        <v>5046</v>
      </c>
      <c r="F2374" t="s">
        <v>5168</v>
      </c>
      <c r="G2374" t="s">
        <v>5354</v>
      </c>
      <c r="H2374" t="s">
        <v>345</v>
      </c>
      <c r="J2374" t="s">
        <v>2884</v>
      </c>
      <c r="K2374">
        <v>83.4</v>
      </c>
    </row>
    <row r="2375" spans="1:11" x14ac:dyDescent="0.35">
      <c r="A2375" t="s">
        <v>2885</v>
      </c>
      <c r="B2375" s="1">
        <v>0</v>
      </c>
      <c r="C2375" t="s">
        <v>5339</v>
      </c>
      <c r="D2375" t="s">
        <v>5357</v>
      </c>
      <c r="E2375" t="s">
        <v>5409</v>
      </c>
      <c r="F2375" t="s">
        <v>5364</v>
      </c>
      <c r="G2375" t="s">
        <v>5375</v>
      </c>
      <c r="H2375" t="s">
        <v>5616</v>
      </c>
      <c r="J2375" t="s">
        <v>2885</v>
      </c>
      <c r="K2375">
        <v>60.2</v>
      </c>
    </row>
    <row r="2376" spans="1:11" x14ac:dyDescent="0.35">
      <c r="A2376" t="s">
        <v>2886</v>
      </c>
      <c r="B2376" s="1">
        <v>0</v>
      </c>
      <c r="C2376" t="s">
        <v>5156</v>
      </c>
      <c r="D2376" t="s">
        <v>5357</v>
      </c>
      <c r="E2376" t="s">
        <v>5409</v>
      </c>
      <c r="F2376" t="s">
        <v>5364</v>
      </c>
      <c r="G2376" t="s">
        <v>5375</v>
      </c>
      <c r="H2376" t="s">
        <v>5616</v>
      </c>
      <c r="J2376" t="s">
        <v>2886</v>
      </c>
      <c r="K2376">
        <v>60.2</v>
      </c>
    </row>
    <row r="2377" spans="1:11" x14ac:dyDescent="0.35">
      <c r="A2377" t="s">
        <v>2887</v>
      </c>
      <c r="B2377" s="1">
        <v>0</v>
      </c>
      <c r="C2377" t="s">
        <v>5156</v>
      </c>
      <c r="D2377" t="s">
        <v>5357</v>
      </c>
      <c r="E2377" t="s">
        <v>5409</v>
      </c>
      <c r="F2377" t="s">
        <v>5364</v>
      </c>
      <c r="G2377" t="s">
        <v>5375</v>
      </c>
      <c r="H2377" t="s">
        <v>5490</v>
      </c>
      <c r="J2377" t="s">
        <v>2887</v>
      </c>
      <c r="K2377">
        <v>60.1</v>
      </c>
    </row>
    <row r="2378" spans="1:11" x14ac:dyDescent="0.35">
      <c r="A2378" t="s">
        <v>2888</v>
      </c>
      <c r="B2378" s="1">
        <v>0</v>
      </c>
      <c r="C2378" t="s">
        <v>5156</v>
      </c>
      <c r="D2378" t="s">
        <v>5357</v>
      </c>
      <c r="E2378" t="s">
        <v>5409</v>
      </c>
      <c r="F2378" t="s">
        <v>5364</v>
      </c>
      <c r="G2378" t="s">
        <v>5375</v>
      </c>
      <c r="H2378" t="s">
        <v>5490</v>
      </c>
      <c r="J2378" t="s">
        <v>2888</v>
      </c>
      <c r="K2378">
        <v>60.1</v>
      </c>
    </row>
    <row r="2379" spans="1:11" x14ac:dyDescent="0.35">
      <c r="A2379" t="s">
        <v>2889</v>
      </c>
      <c r="B2379" s="1">
        <v>0</v>
      </c>
      <c r="C2379" t="s">
        <v>5168</v>
      </c>
      <c r="D2379" t="s">
        <v>5357</v>
      </c>
      <c r="E2379" t="s">
        <v>5409</v>
      </c>
      <c r="F2379" t="s">
        <v>5364</v>
      </c>
      <c r="G2379" t="s">
        <v>5375</v>
      </c>
      <c r="H2379" t="s">
        <v>5510</v>
      </c>
      <c r="J2379" t="s">
        <v>2889</v>
      </c>
      <c r="K2379">
        <v>60</v>
      </c>
    </row>
    <row r="2380" spans="1:11" x14ac:dyDescent="0.35">
      <c r="A2380" t="s">
        <v>2890</v>
      </c>
      <c r="B2380" s="1">
        <v>0</v>
      </c>
      <c r="C2380" t="s">
        <v>5168</v>
      </c>
      <c r="D2380" t="s">
        <v>5357</v>
      </c>
      <c r="E2380" t="s">
        <v>5409</v>
      </c>
      <c r="F2380" t="s">
        <v>5364</v>
      </c>
      <c r="G2380" t="s">
        <v>5375</v>
      </c>
      <c r="H2380" t="s">
        <v>5510</v>
      </c>
      <c r="J2380" t="s">
        <v>2890</v>
      </c>
      <c r="K2380">
        <v>60</v>
      </c>
    </row>
    <row r="2381" spans="1:11" x14ac:dyDescent="0.35">
      <c r="A2381" t="s">
        <v>2891</v>
      </c>
      <c r="B2381" s="1">
        <v>0</v>
      </c>
      <c r="C2381" t="s">
        <v>5168</v>
      </c>
      <c r="D2381" t="s">
        <v>5357</v>
      </c>
      <c r="E2381" t="s">
        <v>5409</v>
      </c>
      <c r="F2381" t="s">
        <v>5364</v>
      </c>
      <c r="G2381" t="s">
        <v>5375</v>
      </c>
      <c r="H2381" t="s">
        <v>5510</v>
      </c>
      <c r="J2381" t="s">
        <v>2891</v>
      </c>
      <c r="K2381">
        <v>60</v>
      </c>
    </row>
    <row r="2382" spans="1:11" x14ac:dyDescent="0.35">
      <c r="A2382" t="s">
        <v>2892</v>
      </c>
      <c r="B2382" s="1">
        <v>0</v>
      </c>
      <c r="C2382" t="s">
        <v>5168</v>
      </c>
      <c r="D2382" t="s">
        <v>5357</v>
      </c>
      <c r="E2382" t="s">
        <v>5409</v>
      </c>
      <c r="F2382" t="s">
        <v>5364</v>
      </c>
      <c r="G2382" t="s">
        <v>5375</v>
      </c>
      <c r="H2382" t="s">
        <v>5510</v>
      </c>
      <c r="J2382" t="s">
        <v>2892</v>
      </c>
      <c r="K2382">
        <v>60</v>
      </c>
    </row>
    <row r="2383" spans="1:11" x14ac:dyDescent="0.35">
      <c r="A2383" t="s">
        <v>2893</v>
      </c>
      <c r="B2383" s="1">
        <v>0</v>
      </c>
      <c r="C2383" t="s">
        <v>5168</v>
      </c>
      <c r="D2383" t="s">
        <v>5357</v>
      </c>
      <c r="E2383" t="s">
        <v>5409</v>
      </c>
      <c r="F2383" t="s">
        <v>5364</v>
      </c>
      <c r="G2383" t="s">
        <v>5375</v>
      </c>
      <c r="H2383" t="s">
        <v>5510</v>
      </c>
      <c r="J2383" t="s">
        <v>2893</v>
      </c>
      <c r="K2383">
        <v>60</v>
      </c>
    </row>
    <row r="2384" spans="1:11" x14ac:dyDescent="0.35">
      <c r="A2384" t="s">
        <v>2894</v>
      </c>
      <c r="B2384" s="1">
        <v>0</v>
      </c>
      <c r="C2384" t="s">
        <v>5168</v>
      </c>
      <c r="D2384" t="s">
        <v>5357</v>
      </c>
      <c r="E2384" t="s">
        <v>5409</v>
      </c>
      <c r="F2384" t="s">
        <v>5364</v>
      </c>
      <c r="G2384" t="s">
        <v>5375</v>
      </c>
      <c r="H2384" t="s">
        <v>5510</v>
      </c>
      <c r="J2384" t="s">
        <v>2894</v>
      </c>
      <c r="K2384">
        <v>60</v>
      </c>
    </row>
    <row r="2385" spans="1:11" x14ac:dyDescent="0.35">
      <c r="A2385" t="s">
        <v>2895</v>
      </c>
      <c r="B2385" s="1">
        <v>0</v>
      </c>
      <c r="C2385" t="s">
        <v>5168</v>
      </c>
      <c r="D2385" t="s">
        <v>5357</v>
      </c>
      <c r="E2385" t="s">
        <v>5409</v>
      </c>
      <c r="F2385" t="s">
        <v>5364</v>
      </c>
      <c r="G2385" t="s">
        <v>5375</v>
      </c>
      <c r="H2385" t="s">
        <v>5510</v>
      </c>
      <c r="J2385" t="s">
        <v>2895</v>
      </c>
      <c r="K2385">
        <v>60</v>
      </c>
    </row>
    <row r="2386" spans="1:11" x14ac:dyDescent="0.35">
      <c r="A2386" t="s">
        <v>2896</v>
      </c>
      <c r="B2386" s="1">
        <v>0</v>
      </c>
      <c r="C2386" t="s">
        <v>5168</v>
      </c>
      <c r="D2386" t="s">
        <v>5357</v>
      </c>
      <c r="E2386" t="s">
        <v>5409</v>
      </c>
      <c r="F2386" t="s">
        <v>5364</v>
      </c>
      <c r="G2386" t="s">
        <v>5375</v>
      </c>
      <c r="H2386" t="s">
        <v>5510</v>
      </c>
      <c r="J2386" t="s">
        <v>2896</v>
      </c>
      <c r="K2386">
        <v>60</v>
      </c>
    </row>
    <row r="2387" spans="1:11" x14ac:dyDescent="0.35">
      <c r="A2387" t="s">
        <v>2897</v>
      </c>
      <c r="B2387" s="1">
        <v>0</v>
      </c>
      <c r="C2387" t="s">
        <v>5168</v>
      </c>
      <c r="D2387" t="s">
        <v>5357</v>
      </c>
      <c r="E2387" t="s">
        <v>5409</v>
      </c>
      <c r="F2387" t="s">
        <v>5364</v>
      </c>
      <c r="G2387" t="s">
        <v>5375</v>
      </c>
      <c r="H2387" t="s">
        <v>5510</v>
      </c>
      <c r="J2387" t="s">
        <v>2897</v>
      </c>
      <c r="K2387">
        <v>60</v>
      </c>
    </row>
    <row r="2388" spans="1:11" x14ac:dyDescent="0.35">
      <c r="A2388" t="s">
        <v>2898</v>
      </c>
      <c r="B2388" s="1">
        <v>0</v>
      </c>
      <c r="C2388" t="s">
        <v>5168</v>
      </c>
      <c r="D2388" t="s">
        <v>5357</v>
      </c>
      <c r="E2388" t="s">
        <v>5409</v>
      </c>
      <c r="F2388" t="s">
        <v>5364</v>
      </c>
      <c r="G2388" t="s">
        <v>5375</v>
      </c>
      <c r="H2388" t="s">
        <v>5510</v>
      </c>
      <c r="J2388" t="s">
        <v>2898</v>
      </c>
      <c r="K2388">
        <v>60</v>
      </c>
    </row>
    <row r="2389" spans="1:11" x14ac:dyDescent="0.35">
      <c r="A2389" t="s">
        <v>2899</v>
      </c>
      <c r="B2389" s="1">
        <v>0</v>
      </c>
      <c r="C2389" t="s">
        <v>5168</v>
      </c>
      <c r="D2389" t="s">
        <v>5357</v>
      </c>
      <c r="E2389" t="s">
        <v>5409</v>
      </c>
      <c r="F2389" t="s">
        <v>5364</v>
      </c>
      <c r="G2389" t="s">
        <v>5375</v>
      </c>
      <c r="H2389" t="s">
        <v>5510</v>
      </c>
      <c r="J2389" t="s">
        <v>2899</v>
      </c>
      <c r="K2389">
        <v>60</v>
      </c>
    </row>
    <row r="2390" spans="1:11" x14ac:dyDescent="0.35">
      <c r="A2390" t="s">
        <v>2900</v>
      </c>
      <c r="B2390" s="1">
        <v>0</v>
      </c>
      <c r="C2390" t="s">
        <v>5168</v>
      </c>
      <c r="D2390" t="s">
        <v>5189</v>
      </c>
      <c r="E2390" t="s">
        <v>5409</v>
      </c>
      <c r="F2390" t="s">
        <v>5364</v>
      </c>
      <c r="G2390" t="s">
        <v>5375</v>
      </c>
      <c r="H2390" t="s">
        <v>5490</v>
      </c>
      <c r="J2390" t="s">
        <v>2900</v>
      </c>
      <c r="K2390">
        <v>60.1</v>
      </c>
    </row>
    <row r="2391" spans="1:11" x14ac:dyDescent="0.35">
      <c r="A2391" t="s">
        <v>2901</v>
      </c>
      <c r="B2391" s="1">
        <v>0</v>
      </c>
      <c r="C2391" t="s">
        <v>5156</v>
      </c>
      <c r="D2391" t="s">
        <v>5186</v>
      </c>
      <c r="E2391" t="s">
        <v>5562</v>
      </c>
      <c r="F2391" t="s">
        <v>5364</v>
      </c>
      <c r="G2391" t="s">
        <v>5375</v>
      </c>
      <c r="H2391" t="s">
        <v>5134</v>
      </c>
      <c r="J2391" t="s">
        <v>2901</v>
      </c>
      <c r="K2391">
        <v>60.5</v>
      </c>
    </row>
    <row r="2392" spans="1:11" x14ac:dyDescent="0.35">
      <c r="A2392" t="s">
        <v>2902</v>
      </c>
      <c r="B2392" s="1">
        <v>0</v>
      </c>
      <c r="C2392" t="s">
        <v>5432</v>
      </c>
      <c r="D2392" t="s">
        <v>5184</v>
      </c>
      <c r="E2392" t="s">
        <v>5396</v>
      </c>
      <c r="F2392" t="s">
        <v>5364</v>
      </c>
      <c r="G2392" t="s">
        <v>5372</v>
      </c>
      <c r="H2392" t="s">
        <v>5498</v>
      </c>
      <c r="J2392" t="s">
        <v>2902</v>
      </c>
      <c r="K2392">
        <v>61.4</v>
      </c>
    </row>
    <row r="2393" spans="1:11" x14ac:dyDescent="0.35">
      <c r="A2393" t="s">
        <v>2903</v>
      </c>
      <c r="B2393" s="1">
        <v>0</v>
      </c>
      <c r="C2393" t="s">
        <v>5294</v>
      </c>
      <c r="D2393" t="s">
        <v>5184</v>
      </c>
      <c r="E2393" t="s">
        <v>5396</v>
      </c>
      <c r="F2393" t="s">
        <v>5364</v>
      </c>
      <c r="G2393" t="s">
        <v>5372</v>
      </c>
      <c r="H2393" t="s">
        <v>5472</v>
      </c>
      <c r="J2393" t="s">
        <v>2903</v>
      </c>
      <c r="K2393">
        <v>62.5</v>
      </c>
    </row>
    <row r="2394" spans="1:11" x14ac:dyDescent="0.35">
      <c r="A2394" t="s">
        <v>2904</v>
      </c>
      <c r="B2394" s="1">
        <v>0</v>
      </c>
      <c r="C2394" t="s">
        <v>5207</v>
      </c>
      <c r="D2394" t="s">
        <v>5184</v>
      </c>
      <c r="E2394" t="s">
        <v>5396</v>
      </c>
      <c r="F2394" t="s">
        <v>5364</v>
      </c>
      <c r="G2394" t="s">
        <v>5371</v>
      </c>
      <c r="H2394" t="s">
        <v>5581</v>
      </c>
      <c r="J2394" t="s">
        <v>2904</v>
      </c>
      <c r="K2394">
        <v>63.3</v>
      </c>
    </row>
    <row r="2395" spans="1:11" x14ac:dyDescent="0.35">
      <c r="A2395" t="s">
        <v>2905</v>
      </c>
      <c r="B2395" s="1">
        <v>0</v>
      </c>
      <c r="C2395" t="s">
        <v>5207</v>
      </c>
      <c r="D2395" t="s">
        <v>5180</v>
      </c>
      <c r="E2395" t="s">
        <v>5396</v>
      </c>
      <c r="F2395" t="s">
        <v>5364</v>
      </c>
      <c r="G2395" t="s">
        <v>5371</v>
      </c>
      <c r="H2395" t="s">
        <v>5588</v>
      </c>
      <c r="J2395" t="s">
        <v>2905</v>
      </c>
      <c r="K2395">
        <v>63.4</v>
      </c>
    </row>
    <row r="2396" spans="1:11" x14ac:dyDescent="0.35">
      <c r="A2396" t="s">
        <v>2906</v>
      </c>
      <c r="B2396" s="1">
        <v>0</v>
      </c>
      <c r="C2396" t="s">
        <v>5224</v>
      </c>
      <c r="D2396" t="s">
        <v>5159</v>
      </c>
      <c r="E2396" t="s">
        <v>5395</v>
      </c>
      <c r="F2396" t="s">
        <v>5364</v>
      </c>
      <c r="G2396" t="s">
        <v>5371</v>
      </c>
      <c r="H2396" t="s">
        <v>5588</v>
      </c>
      <c r="J2396" t="s">
        <v>2906</v>
      </c>
      <c r="K2396">
        <v>63.4</v>
      </c>
    </row>
    <row r="2397" spans="1:11" x14ac:dyDescent="0.35">
      <c r="A2397" t="s">
        <v>2907</v>
      </c>
      <c r="B2397" s="1">
        <v>0</v>
      </c>
      <c r="C2397" t="s">
        <v>5294</v>
      </c>
      <c r="D2397" t="s">
        <v>5156</v>
      </c>
      <c r="E2397" t="s">
        <v>5413</v>
      </c>
      <c r="F2397" t="s">
        <v>5364</v>
      </c>
      <c r="G2397" t="s">
        <v>5372</v>
      </c>
      <c r="H2397" t="s">
        <v>5588</v>
      </c>
      <c r="J2397" t="s">
        <v>2907</v>
      </c>
      <c r="K2397">
        <v>63.4</v>
      </c>
    </row>
    <row r="2398" spans="1:11" x14ac:dyDescent="0.35">
      <c r="A2398" t="s">
        <v>2908</v>
      </c>
      <c r="B2398" s="1">
        <v>0</v>
      </c>
      <c r="C2398" t="s">
        <v>5172</v>
      </c>
      <c r="D2398" t="s">
        <v>5153</v>
      </c>
      <c r="E2398" t="s">
        <v>5419</v>
      </c>
      <c r="F2398" t="s">
        <v>5364</v>
      </c>
      <c r="G2398" t="s">
        <v>5372</v>
      </c>
      <c r="H2398" t="s">
        <v>5634</v>
      </c>
      <c r="J2398" t="s">
        <v>2908</v>
      </c>
      <c r="K2398">
        <v>65</v>
      </c>
    </row>
    <row r="2399" spans="1:11" x14ac:dyDescent="0.35">
      <c r="A2399" t="s">
        <v>2909</v>
      </c>
      <c r="B2399" s="1">
        <v>0</v>
      </c>
      <c r="C2399" t="s">
        <v>5501</v>
      </c>
      <c r="D2399" t="s">
        <v>5297</v>
      </c>
      <c r="E2399" t="s">
        <v>5189</v>
      </c>
      <c r="F2399" t="s">
        <v>5364</v>
      </c>
      <c r="G2399" t="s">
        <v>5371</v>
      </c>
      <c r="H2399" t="s">
        <v>996</v>
      </c>
      <c r="J2399" t="s">
        <v>2909</v>
      </c>
      <c r="K2399">
        <v>69.8</v>
      </c>
    </row>
    <row r="2400" spans="1:11" x14ac:dyDescent="0.35">
      <c r="A2400" t="s">
        <v>2911</v>
      </c>
      <c r="B2400" s="1">
        <v>0</v>
      </c>
      <c r="C2400" t="s">
        <v>5317</v>
      </c>
      <c r="D2400" t="s">
        <v>5230</v>
      </c>
      <c r="E2400" t="s">
        <v>5177</v>
      </c>
      <c r="F2400" t="s">
        <v>5364</v>
      </c>
      <c r="G2400" t="s">
        <v>5368</v>
      </c>
      <c r="H2400" t="s">
        <v>413</v>
      </c>
      <c r="J2400" t="s">
        <v>2911</v>
      </c>
      <c r="K2400">
        <v>76.5</v>
      </c>
    </row>
    <row r="2401" spans="1:11" x14ac:dyDescent="0.35">
      <c r="A2401" t="s">
        <v>2912</v>
      </c>
      <c r="B2401" s="1">
        <v>0</v>
      </c>
      <c r="C2401" t="s">
        <v>5545</v>
      </c>
      <c r="D2401" t="s">
        <v>5058</v>
      </c>
      <c r="E2401" t="s">
        <v>5164</v>
      </c>
      <c r="F2401" t="s">
        <v>5364</v>
      </c>
      <c r="G2401" t="s">
        <v>5556</v>
      </c>
      <c r="H2401" t="s">
        <v>2603</v>
      </c>
      <c r="J2401" t="s">
        <v>2912</v>
      </c>
      <c r="K2401">
        <v>79.7</v>
      </c>
    </row>
    <row r="2402" spans="1:11" x14ac:dyDescent="0.35">
      <c r="A2402" t="s">
        <v>2913</v>
      </c>
      <c r="B2402" s="1">
        <v>0</v>
      </c>
      <c r="C2402" t="s">
        <v>5424</v>
      </c>
      <c r="D2402" t="s">
        <v>5240</v>
      </c>
      <c r="E2402" t="s">
        <v>5348</v>
      </c>
      <c r="F2402" t="s">
        <v>5364</v>
      </c>
      <c r="G2402" t="s">
        <v>5368</v>
      </c>
      <c r="H2402" t="s">
        <v>1058</v>
      </c>
      <c r="J2402" t="s">
        <v>2913</v>
      </c>
      <c r="K2402">
        <v>78.599999999999994</v>
      </c>
    </row>
    <row r="2403" spans="1:11" x14ac:dyDescent="0.35">
      <c r="A2403" t="s">
        <v>2914</v>
      </c>
      <c r="B2403" s="1">
        <v>0</v>
      </c>
      <c r="C2403" t="s">
        <v>5196</v>
      </c>
      <c r="D2403" t="s">
        <v>5227</v>
      </c>
      <c r="E2403" t="s">
        <v>5184</v>
      </c>
      <c r="F2403" t="s">
        <v>5364</v>
      </c>
      <c r="G2403" t="s">
        <v>5368</v>
      </c>
      <c r="H2403" t="s">
        <v>1038</v>
      </c>
      <c r="J2403" t="s">
        <v>2914</v>
      </c>
      <c r="K2403">
        <v>74.599999999999994</v>
      </c>
    </row>
    <row r="2404" spans="1:11" x14ac:dyDescent="0.35">
      <c r="A2404" t="s">
        <v>2915</v>
      </c>
      <c r="B2404" s="1">
        <v>0</v>
      </c>
      <c r="C2404" t="s">
        <v>5188</v>
      </c>
      <c r="D2404" t="s">
        <v>5342</v>
      </c>
      <c r="E2404" t="s">
        <v>5405</v>
      </c>
      <c r="F2404" t="s">
        <v>5364</v>
      </c>
      <c r="G2404" t="s">
        <v>5365</v>
      </c>
      <c r="H2404" t="s">
        <v>394</v>
      </c>
      <c r="J2404" t="s">
        <v>2915</v>
      </c>
      <c r="K2404">
        <v>70.099999999999994</v>
      </c>
    </row>
    <row r="2405" spans="1:11" x14ac:dyDescent="0.35">
      <c r="A2405" s="2">
        <v>42217</v>
      </c>
      <c r="B2405" s="1">
        <v>0</v>
      </c>
      <c r="C2405" t="s">
        <v>5116</v>
      </c>
      <c r="D2405" t="s">
        <v>5144</v>
      </c>
      <c r="E2405" t="s">
        <v>5405</v>
      </c>
      <c r="F2405" t="s">
        <v>5364</v>
      </c>
      <c r="G2405" t="s">
        <v>5365</v>
      </c>
      <c r="H2405" t="s">
        <v>5567</v>
      </c>
      <c r="J2405" s="2">
        <v>42217</v>
      </c>
      <c r="K2405">
        <v>67.900000000000006</v>
      </c>
    </row>
    <row r="2406" spans="1:11" x14ac:dyDescent="0.35">
      <c r="A2406" s="2">
        <v>42218</v>
      </c>
      <c r="B2406" s="1">
        <v>0</v>
      </c>
      <c r="C2406" t="s">
        <v>5341</v>
      </c>
      <c r="D2406" t="s">
        <v>5172</v>
      </c>
      <c r="E2406" t="s">
        <v>5337</v>
      </c>
      <c r="F2406" t="s">
        <v>5383</v>
      </c>
      <c r="G2406" t="s">
        <v>5883</v>
      </c>
      <c r="H2406" t="s">
        <v>1876</v>
      </c>
      <c r="J2406" s="2">
        <v>42218</v>
      </c>
      <c r="K2406">
        <v>74.5</v>
      </c>
    </row>
    <row r="2407" spans="1:11" x14ac:dyDescent="0.35">
      <c r="A2407" s="2">
        <v>42219</v>
      </c>
      <c r="B2407" s="1">
        <v>0</v>
      </c>
      <c r="C2407" t="s">
        <v>5311</v>
      </c>
      <c r="D2407" t="s">
        <v>5062</v>
      </c>
      <c r="E2407" t="s">
        <v>5397</v>
      </c>
      <c r="F2407" t="s">
        <v>5383</v>
      </c>
      <c r="G2407" t="s">
        <v>5880</v>
      </c>
      <c r="H2407" t="s">
        <v>1045</v>
      </c>
      <c r="J2407" s="2">
        <v>42219</v>
      </c>
      <c r="K2407">
        <v>79.599999999999994</v>
      </c>
    </row>
    <row r="2408" spans="1:11" x14ac:dyDescent="0.35">
      <c r="A2408" s="2">
        <v>42220</v>
      </c>
      <c r="B2408" s="1">
        <v>0</v>
      </c>
      <c r="C2408" t="s">
        <v>5048</v>
      </c>
      <c r="D2408" t="s">
        <v>5183</v>
      </c>
      <c r="E2408" t="s">
        <v>5400</v>
      </c>
      <c r="F2408" t="s">
        <v>5383</v>
      </c>
      <c r="G2408" t="s">
        <v>5887</v>
      </c>
      <c r="H2408" t="s">
        <v>448</v>
      </c>
      <c r="J2408" s="2">
        <v>42220</v>
      </c>
      <c r="K2408">
        <v>83.7</v>
      </c>
    </row>
    <row r="2409" spans="1:11" x14ac:dyDescent="0.35">
      <c r="A2409" s="2">
        <v>42221</v>
      </c>
      <c r="B2409" s="1">
        <v>0</v>
      </c>
      <c r="C2409" t="s">
        <v>5053</v>
      </c>
      <c r="D2409" t="s">
        <v>5058</v>
      </c>
      <c r="E2409" t="s">
        <v>5140</v>
      </c>
      <c r="F2409" t="s">
        <v>5383</v>
      </c>
      <c r="G2409" t="s">
        <v>5887</v>
      </c>
      <c r="H2409" t="s">
        <v>345</v>
      </c>
      <c r="J2409" s="2">
        <v>42221</v>
      </c>
      <c r="K2409">
        <v>83.4</v>
      </c>
    </row>
    <row r="2410" spans="1:11" x14ac:dyDescent="0.35">
      <c r="A2410" s="2">
        <v>42222</v>
      </c>
      <c r="B2410" s="1">
        <v>0</v>
      </c>
      <c r="C2410" t="s">
        <v>5290</v>
      </c>
      <c r="D2410" t="s">
        <v>5222</v>
      </c>
      <c r="E2410" t="s">
        <v>5411</v>
      </c>
      <c r="F2410" t="s">
        <v>5383</v>
      </c>
      <c r="G2410" t="s">
        <v>5882</v>
      </c>
      <c r="H2410" t="s">
        <v>450</v>
      </c>
      <c r="J2410" s="2">
        <v>42222</v>
      </c>
      <c r="K2410">
        <v>79.900000000000006</v>
      </c>
    </row>
    <row r="2411" spans="1:11" x14ac:dyDescent="0.35">
      <c r="A2411" s="2">
        <v>42223</v>
      </c>
      <c r="B2411" s="1">
        <v>0</v>
      </c>
      <c r="C2411" t="s">
        <v>5527</v>
      </c>
      <c r="D2411" t="s">
        <v>5294</v>
      </c>
      <c r="E2411" t="s">
        <v>5164</v>
      </c>
      <c r="F2411" t="s">
        <v>5383</v>
      </c>
      <c r="G2411" t="s">
        <v>5886</v>
      </c>
      <c r="H2411" t="s">
        <v>1020</v>
      </c>
      <c r="J2411" s="2">
        <v>42223</v>
      </c>
      <c r="K2411">
        <v>75.099999999999994</v>
      </c>
    </row>
    <row r="2412" spans="1:11" x14ac:dyDescent="0.35">
      <c r="A2412" s="2">
        <v>42224</v>
      </c>
      <c r="B2412" s="1">
        <v>0</v>
      </c>
      <c r="C2412" t="s">
        <v>5132</v>
      </c>
      <c r="D2412" t="s">
        <v>5400</v>
      </c>
      <c r="E2412" t="s">
        <v>5177</v>
      </c>
      <c r="F2412" t="s">
        <v>5383</v>
      </c>
      <c r="G2412" t="s">
        <v>5879</v>
      </c>
      <c r="H2412" t="s">
        <v>1031</v>
      </c>
      <c r="J2412" s="2">
        <v>42224</v>
      </c>
      <c r="K2412">
        <v>71.5</v>
      </c>
    </row>
    <row r="2413" spans="1:11" x14ac:dyDescent="0.35">
      <c r="A2413" s="2">
        <v>42225</v>
      </c>
      <c r="B2413" s="1">
        <v>0</v>
      </c>
      <c r="C2413" t="s">
        <v>5475</v>
      </c>
      <c r="D2413" t="s">
        <v>5432</v>
      </c>
      <c r="E2413" t="s">
        <v>5184</v>
      </c>
      <c r="F2413" t="s">
        <v>5383</v>
      </c>
      <c r="G2413" t="s">
        <v>5884</v>
      </c>
      <c r="H2413" t="s">
        <v>5403</v>
      </c>
      <c r="J2413" s="2">
        <v>42225</v>
      </c>
      <c r="K2413">
        <v>69.3</v>
      </c>
    </row>
    <row r="2414" spans="1:11" x14ac:dyDescent="0.35">
      <c r="A2414" s="2">
        <v>42226</v>
      </c>
      <c r="B2414" s="1">
        <v>0</v>
      </c>
      <c r="C2414" t="s">
        <v>5050</v>
      </c>
      <c r="D2414" t="s">
        <v>5334</v>
      </c>
      <c r="E2414" t="s">
        <v>5186</v>
      </c>
      <c r="F2414" t="s">
        <v>5383</v>
      </c>
      <c r="G2414" t="s">
        <v>5884</v>
      </c>
      <c r="H2414" t="s">
        <v>428</v>
      </c>
      <c r="J2414" s="2">
        <v>42226</v>
      </c>
      <c r="K2414">
        <v>68</v>
      </c>
    </row>
    <row r="2415" spans="1:11" x14ac:dyDescent="0.35">
      <c r="A2415" s="2">
        <v>42227</v>
      </c>
      <c r="B2415" s="1">
        <v>0</v>
      </c>
      <c r="C2415" t="s">
        <v>5174</v>
      </c>
      <c r="D2415" t="s">
        <v>5337</v>
      </c>
      <c r="E2415" t="s">
        <v>5186</v>
      </c>
      <c r="F2415" t="s">
        <v>5383</v>
      </c>
      <c r="G2415" t="s">
        <v>5885</v>
      </c>
      <c r="H2415" t="s">
        <v>5461</v>
      </c>
      <c r="J2415" s="2">
        <v>42227</v>
      </c>
      <c r="K2415">
        <v>67.5</v>
      </c>
    </row>
    <row r="2416" spans="1:11" x14ac:dyDescent="0.35">
      <c r="A2416" s="2">
        <v>42228</v>
      </c>
      <c r="B2416" s="1">
        <v>0</v>
      </c>
      <c r="C2416" t="s">
        <v>5046</v>
      </c>
      <c r="D2416" t="s">
        <v>5339</v>
      </c>
      <c r="E2416" t="s">
        <v>5189</v>
      </c>
      <c r="F2416" t="s">
        <v>5383</v>
      </c>
      <c r="G2416" t="s">
        <v>5885</v>
      </c>
      <c r="H2416" t="s">
        <v>5263</v>
      </c>
      <c r="J2416" s="2">
        <v>42228</v>
      </c>
      <c r="K2416">
        <v>67.400000000000006</v>
      </c>
    </row>
    <row r="2417" spans="1:11" x14ac:dyDescent="0.35">
      <c r="A2417" s="2">
        <v>42229</v>
      </c>
      <c r="B2417" s="1">
        <v>0</v>
      </c>
      <c r="C2417" t="s">
        <v>5230</v>
      </c>
      <c r="D2417" t="s">
        <v>5156</v>
      </c>
      <c r="E2417" t="s">
        <v>5189</v>
      </c>
      <c r="F2417" t="s">
        <v>5383</v>
      </c>
      <c r="G2417" t="s">
        <v>5888</v>
      </c>
      <c r="H2417" t="s">
        <v>397</v>
      </c>
      <c r="J2417" s="2">
        <v>42229</v>
      </c>
      <c r="K2417">
        <v>67.099999999999994</v>
      </c>
    </row>
    <row r="2418" spans="1:11" x14ac:dyDescent="0.35">
      <c r="A2418" s="2">
        <v>42230</v>
      </c>
      <c r="B2418" s="1">
        <v>0</v>
      </c>
      <c r="C2418" t="s">
        <v>5227</v>
      </c>
      <c r="D2418" t="s">
        <v>5156</v>
      </c>
      <c r="E2418" t="s">
        <v>5357</v>
      </c>
      <c r="F2418" t="s">
        <v>5383</v>
      </c>
      <c r="G2418" t="s">
        <v>5888</v>
      </c>
      <c r="H2418" t="s">
        <v>5640</v>
      </c>
      <c r="J2418" s="2">
        <v>42230</v>
      </c>
      <c r="K2418">
        <v>66.599999999999994</v>
      </c>
    </row>
    <row r="2419" spans="1:11" x14ac:dyDescent="0.35">
      <c r="A2419" s="2">
        <v>42231</v>
      </c>
      <c r="B2419" s="1">
        <v>0</v>
      </c>
      <c r="C2419" t="s">
        <v>5475</v>
      </c>
      <c r="D2419" t="s">
        <v>5411</v>
      </c>
      <c r="E2419" t="s">
        <v>5189</v>
      </c>
      <c r="F2419" t="s">
        <v>5383</v>
      </c>
      <c r="G2419" t="s">
        <v>5885</v>
      </c>
      <c r="H2419" t="s">
        <v>437</v>
      </c>
      <c r="J2419" s="2">
        <v>42231</v>
      </c>
      <c r="K2419">
        <v>68.599999999999994</v>
      </c>
    </row>
    <row r="2420" spans="1:11" x14ac:dyDescent="0.35">
      <c r="A2420" s="2">
        <v>42232</v>
      </c>
      <c r="B2420" s="1">
        <v>0</v>
      </c>
      <c r="C2420" t="s">
        <v>5350</v>
      </c>
      <c r="D2420" t="s">
        <v>5342</v>
      </c>
      <c r="E2420" t="s">
        <v>5186</v>
      </c>
      <c r="F2420" t="s">
        <v>5383</v>
      </c>
      <c r="G2420" t="s">
        <v>5883</v>
      </c>
      <c r="H2420" t="s">
        <v>2237</v>
      </c>
      <c r="J2420" s="2">
        <v>42232</v>
      </c>
      <c r="K2420">
        <v>74.2</v>
      </c>
    </row>
    <row r="2421" spans="1:11" x14ac:dyDescent="0.35">
      <c r="A2421" s="2">
        <v>42233</v>
      </c>
      <c r="B2421" s="1">
        <v>0</v>
      </c>
      <c r="C2421" t="s">
        <v>5284</v>
      </c>
      <c r="D2421" t="s">
        <v>5227</v>
      </c>
      <c r="E2421" t="s">
        <v>5195</v>
      </c>
      <c r="F2421" t="s">
        <v>5383</v>
      </c>
      <c r="G2421" t="s">
        <v>5882</v>
      </c>
      <c r="H2421" t="s">
        <v>440</v>
      </c>
      <c r="J2421" s="2">
        <v>42233</v>
      </c>
      <c r="K2421">
        <v>80.8</v>
      </c>
    </row>
    <row r="2422" spans="1:11" x14ac:dyDescent="0.35">
      <c r="A2422" s="2">
        <v>42234</v>
      </c>
      <c r="B2422" s="1">
        <v>0</v>
      </c>
      <c r="C2422" t="s">
        <v>5289</v>
      </c>
      <c r="D2422" t="s">
        <v>5230</v>
      </c>
      <c r="E2422" t="s">
        <v>5184</v>
      </c>
      <c r="F2422" t="s">
        <v>5383</v>
      </c>
      <c r="G2422" t="s">
        <v>5887</v>
      </c>
      <c r="H2422" t="s">
        <v>467</v>
      </c>
      <c r="J2422" s="2">
        <v>42234</v>
      </c>
      <c r="K2422">
        <v>82.4</v>
      </c>
    </row>
    <row r="2423" spans="1:11" x14ac:dyDescent="0.35">
      <c r="A2423" s="2">
        <v>42235</v>
      </c>
      <c r="B2423" s="1">
        <v>0</v>
      </c>
      <c r="C2423" t="s">
        <v>5423</v>
      </c>
      <c r="D2423" t="s">
        <v>5207</v>
      </c>
      <c r="E2423" t="s">
        <v>5195</v>
      </c>
      <c r="F2423" t="s">
        <v>5383</v>
      </c>
      <c r="G2423" t="s">
        <v>5882</v>
      </c>
      <c r="H2423" t="s">
        <v>1915</v>
      </c>
      <c r="J2423" s="2">
        <v>42235</v>
      </c>
      <c r="K2423">
        <v>80</v>
      </c>
    </row>
    <row r="2424" spans="1:11" x14ac:dyDescent="0.35">
      <c r="A2424" s="2">
        <v>42236</v>
      </c>
      <c r="B2424" s="1">
        <v>0</v>
      </c>
      <c r="C2424" t="s">
        <v>5043</v>
      </c>
      <c r="D2424" t="s">
        <v>5288</v>
      </c>
      <c r="E2424" t="s">
        <v>5195</v>
      </c>
      <c r="F2424" t="s">
        <v>5383</v>
      </c>
      <c r="G2424" t="s">
        <v>5886</v>
      </c>
      <c r="H2424" t="s">
        <v>1040</v>
      </c>
      <c r="J2424" s="2">
        <v>42236</v>
      </c>
      <c r="K2424">
        <v>75.8</v>
      </c>
    </row>
    <row r="2425" spans="1:11" x14ac:dyDescent="0.35">
      <c r="A2425" s="2">
        <v>42237</v>
      </c>
      <c r="B2425" s="1">
        <v>0</v>
      </c>
      <c r="C2425" t="s">
        <v>5163</v>
      </c>
      <c r="D2425" t="s">
        <v>5312</v>
      </c>
      <c r="E2425" t="s">
        <v>5195</v>
      </c>
      <c r="F2425" t="s">
        <v>5383</v>
      </c>
      <c r="G2425" t="s">
        <v>5883</v>
      </c>
      <c r="H2425" t="s">
        <v>412</v>
      </c>
      <c r="J2425" s="2">
        <v>42237</v>
      </c>
      <c r="K2425">
        <v>73.7</v>
      </c>
    </row>
    <row r="2426" spans="1:11" x14ac:dyDescent="0.35">
      <c r="A2426" s="2">
        <v>42238</v>
      </c>
      <c r="B2426" s="1">
        <v>0</v>
      </c>
      <c r="C2426" t="s">
        <v>5598</v>
      </c>
      <c r="D2426" t="s">
        <v>5294</v>
      </c>
      <c r="E2426" t="s">
        <v>5177</v>
      </c>
      <c r="F2426" t="s">
        <v>5383</v>
      </c>
      <c r="G2426" t="s">
        <v>5883</v>
      </c>
      <c r="H2426" t="s">
        <v>413</v>
      </c>
      <c r="J2426" s="2">
        <v>42238</v>
      </c>
      <c r="K2426">
        <v>76.5</v>
      </c>
    </row>
    <row r="2427" spans="1:11" x14ac:dyDescent="0.35">
      <c r="A2427" s="2">
        <v>42239</v>
      </c>
      <c r="B2427" s="1">
        <v>0</v>
      </c>
      <c r="C2427" t="s">
        <v>5295</v>
      </c>
      <c r="D2427" t="s">
        <v>5207</v>
      </c>
      <c r="E2427" t="s">
        <v>5156</v>
      </c>
      <c r="F2427" t="s">
        <v>5383</v>
      </c>
      <c r="G2427" t="s">
        <v>5880</v>
      </c>
      <c r="H2427" t="s">
        <v>363</v>
      </c>
      <c r="J2427" s="2">
        <v>42239</v>
      </c>
      <c r="K2427">
        <v>83.3</v>
      </c>
    </row>
    <row r="2428" spans="1:11" x14ac:dyDescent="0.35">
      <c r="A2428" s="2">
        <v>42240</v>
      </c>
      <c r="B2428" s="1">
        <v>0</v>
      </c>
      <c r="C2428" t="s">
        <v>5071</v>
      </c>
      <c r="D2428" t="s">
        <v>5065</v>
      </c>
      <c r="E2428" t="s">
        <v>5432</v>
      </c>
      <c r="F2428" t="s">
        <v>5383</v>
      </c>
      <c r="G2428" t="s">
        <v>5881</v>
      </c>
      <c r="H2428" t="s">
        <v>2567</v>
      </c>
      <c r="J2428" s="2">
        <v>42240</v>
      </c>
      <c r="K2428">
        <v>90</v>
      </c>
    </row>
    <row r="2429" spans="1:11" x14ac:dyDescent="0.35">
      <c r="A2429" s="2">
        <v>42241</v>
      </c>
      <c r="B2429" s="1">
        <v>0</v>
      </c>
      <c r="C2429" t="s">
        <v>5304</v>
      </c>
      <c r="D2429" t="s">
        <v>5110</v>
      </c>
      <c r="E2429" t="s">
        <v>5330</v>
      </c>
      <c r="F2429" t="s">
        <v>5383</v>
      </c>
      <c r="G2429" t="s">
        <v>5364</v>
      </c>
      <c r="H2429" t="s">
        <v>339</v>
      </c>
      <c r="J2429" s="2">
        <v>42241</v>
      </c>
      <c r="K2429">
        <v>93.2</v>
      </c>
    </row>
    <row r="2430" spans="1:11" x14ac:dyDescent="0.35">
      <c r="A2430" s="2">
        <v>42242</v>
      </c>
      <c r="B2430" s="1">
        <v>0</v>
      </c>
      <c r="C2430" t="s">
        <v>5237</v>
      </c>
      <c r="D2430" t="s">
        <v>5116</v>
      </c>
      <c r="E2430" t="s">
        <v>5400</v>
      </c>
      <c r="F2430" t="s">
        <v>5383</v>
      </c>
      <c r="G2430" t="s">
        <v>5881</v>
      </c>
      <c r="H2430" t="s">
        <v>364</v>
      </c>
      <c r="J2430" s="2">
        <v>42242</v>
      </c>
      <c r="K2430">
        <v>90.1</v>
      </c>
    </row>
    <row r="2431" spans="1:11" x14ac:dyDescent="0.35">
      <c r="A2431" s="2">
        <v>42243</v>
      </c>
      <c r="B2431" s="1">
        <v>0</v>
      </c>
      <c r="C2431" t="s">
        <v>5415</v>
      </c>
      <c r="D2431" t="s">
        <v>5475</v>
      </c>
      <c r="E2431" t="s">
        <v>5432</v>
      </c>
      <c r="F2431" t="s">
        <v>5383</v>
      </c>
      <c r="G2431" t="s">
        <v>5882</v>
      </c>
      <c r="H2431" t="s">
        <v>1527</v>
      </c>
      <c r="J2431" s="2">
        <v>42243</v>
      </c>
      <c r="K2431">
        <v>84.1</v>
      </c>
    </row>
    <row r="2432" spans="1:11" x14ac:dyDescent="0.35">
      <c r="A2432" s="2">
        <v>42244</v>
      </c>
      <c r="B2432" s="1">
        <v>0</v>
      </c>
      <c r="C2432" t="s">
        <v>5322</v>
      </c>
      <c r="D2432" t="s">
        <v>5054</v>
      </c>
      <c r="E2432" t="s">
        <v>5334</v>
      </c>
      <c r="F2432" t="s">
        <v>5383</v>
      </c>
      <c r="G2432" t="s">
        <v>5882</v>
      </c>
      <c r="H2432" t="s">
        <v>1051</v>
      </c>
      <c r="J2432" s="2">
        <v>42244</v>
      </c>
      <c r="K2432">
        <v>81.3</v>
      </c>
    </row>
    <row r="2433" spans="1:11" x14ac:dyDescent="0.35">
      <c r="A2433" s="2">
        <v>42245</v>
      </c>
      <c r="B2433" s="1">
        <v>0</v>
      </c>
      <c r="C2433" t="s">
        <v>5301</v>
      </c>
      <c r="D2433" t="s">
        <v>5058</v>
      </c>
      <c r="E2433" t="s">
        <v>5153</v>
      </c>
      <c r="F2433" t="s">
        <v>5383</v>
      </c>
      <c r="G2433" t="s">
        <v>5887</v>
      </c>
      <c r="H2433" t="s">
        <v>466</v>
      </c>
      <c r="J2433" s="2">
        <v>42245</v>
      </c>
      <c r="K2433">
        <v>84.5</v>
      </c>
    </row>
    <row r="2434" spans="1:11" x14ac:dyDescent="0.35">
      <c r="A2434" s="2">
        <v>42246</v>
      </c>
      <c r="B2434" s="1">
        <v>0</v>
      </c>
      <c r="C2434" t="s">
        <v>5210</v>
      </c>
      <c r="D2434" t="s">
        <v>5124</v>
      </c>
      <c r="E2434" t="s">
        <v>5400</v>
      </c>
      <c r="F2434" t="s">
        <v>5383</v>
      </c>
      <c r="G2434" t="s">
        <v>5363</v>
      </c>
      <c r="H2434" t="s">
        <v>1482</v>
      </c>
      <c r="J2434" s="2">
        <v>42246</v>
      </c>
      <c r="K2434">
        <v>91.2</v>
      </c>
    </row>
    <row r="2435" spans="1:11" x14ac:dyDescent="0.35">
      <c r="A2435" s="2">
        <v>42247</v>
      </c>
      <c r="B2435" s="1">
        <v>0</v>
      </c>
      <c r="C2435" t="s">
        <v>5069</v>
      </c>
      <c r="D2435" t="s">
        <v>5077</v>
      </c>
      <c r="E2435" t="s">
        <v>5297</v>
      </c>
      <c r="F2435" t="s">
        <v>5383</v>
      </c>
      <c r="G2435" t="s">
        <v>5362</v>
      </c>
      <c r="H2435" t="s">
        <v>2268</v>
      </c>
      <c r="J2435" s="2">
        <v>42247</v>
      </c>
      <c r="K2435">
        <v>95.4</v>
      </c>
    </row>
    <row r="2436" spans="1:11" x14ac:dyDescent="0.35">
      <c r="A2436" t="s">
        <v>2919</v>
      </c>
      <c r="B2436" s="1">
        <v>0</v>
      </c>
      <c r="C2436" t="s">
        <v>5150</v>
      </c>
      <c r="D2436" t="s">
        <v>5201</v>
      </c>
      <c r="E2436" t="s">
        <v>5321</v>
      </c>
      <c r="F2436" t="s">
        <v>5383</v>
      </c>
      <c r="G2436" t="s">
        <v>5362</v>
      </c>
      <c r="H2436" t="s">
        <v>1475</v>
      </c>
      <c r="J2436" t="s">
        <v>2919</v>
      </c>
      <c r="K2436">
        <v>99.7</v>
      </c>
    </row>
    <row r="2437" spans="1:11" x14ac:dyDescent="0.35">
      <c r="A2437" t="s">
        <v>2920</v>
      </c>
      <c r="B2437" s="1">
        <v>0</v>
      </c>
      <c r="C2437" t="s">
        <v>5393</v>
      </c>
      <c r="D2437" t="s">
        <v>5307</v>
      </c>
      <c r="E2437" t="s">
        <v>5311</v>
      </c>
      <c r="F2437" t="s">
        <v>5156</v>
      </c>
      <c r="G2437" t="s">
        <v>5562</v>
      </c>
      <c r="H2437" t="s">
        <v>1462</v>
      </c>
      <c r="J2437" t="s">
        <v>2920</v>
      </c>
      <c r="K2437">
        <v>130.1</v>
      </c>
    </row>
    <row r="2438" spans="1:11" x14ac:dyDescent="0.35">
      <c r="A2438" t="s">
        <v>2921</v>
      </c>
      <c r="B2438" s="1">
        <v>0</v>
      </c>
      <c r="C2438" t="s">
        <v>5452</v>
      </c>
      <c r="D2438" t="s">
        <v>5318</v>
      </c>
      <c r="E2438" t="s">
        <v>5547</v>
      </c>
      <c r="F2438" t="s">
        <v>5156</v>
      </c>
      <c r="G2438" t="s">
        <v>5550</v>
      </c>
      <c r="H2438" t="s">
        <v>840</v>
      </c>
      <c r="J2438" t="s">
        <v>2921</v>
      </c>
      <c r="K2438">
        <v>132.69999999999999</v>
      </c>
    </row>
    <row r="2439" spans="1:11" x14ac:dyDescent="0.35">
      <c r="A2439" t="s">
        <v>2922</v>
      </c>
      <c r="B2439" s="1">
        <v>0</v>
      </c>
      <c r="C2439" t="s">
        <v>5553</v>
      </c>
      <c r="D2439" t="s">
        <v>5301</v>
      </c>
      <c r="E2439" t="s">
        <v>5308</v>
      </c>
      <c r="F2439" t="s">
        <v>5156</v>
      </c>
      <c r="G2439" t="s">
        <v>5409</v>
      </c>
      <c r="H2439" t="s">
        <v>837</v>
      </c>
      <c r="J2439" t="s">
        <v>2922</v>
      </c>
      <c r="K2439">
        <v>136.6</v>
      </c>
    </row>
    <row r="2440" spans="1:11" x14ac:dyDescent="0.35">
      <c r="A2440" t="s">
        <v>2923</v>
      </c>
      <c r="B2440" s="1">
        <v>0</v>
      </c>
      <c r="C2440" t="s">
        <v>5126</v>
      </c>
      <c r="D2440" t="s">
        <v>5181</v>
      </c>
      <c r="E2440" t="s">
        <v>5296</v>
      </c>
      <c r="F2440" t="s">
        <v>5156</v>
      </c>
      <c r="G2440" t="s">
        <v>5562</v>
      </c>
      <c r="H2440" t="s">
        <v>155</v>
      </c>
      <c r="J2440" t="s">
        <v>2923</v>
      </c>
      <c r="K2440">
        <v>139.80000000000001</v>
      </c>
    </row>
    <row r="2441" spans="1:11" x14ac:dyDescent="0.35">
      <c r="A2441" t="s">
        <v>2924</v>
      </c>
      <c r="B2441" s="1">
        <v>0</v>
      </c>
      <c r="C2441" t="s">
        <v>5242</v>
      </c>
      <c r="D2441" t="s">
        <v>5295</v>
      </c>
      <c r="E2441" t="s">
        <v>5143</v>
      </c>
      <c r="F2441" t="s">
        <v>5156</v>
      </c>
      <c r="G2441" t="s">
        <v>5562</v>
      </c>
      <c r="H2441" t="s">
        <v>154</v>
      </c>
      <c r="J2441" t="s">
        <v>2924</v>
      </c>
      <c r="K2441">
        <v>138.5</v>
      </c>
    </row>
    <row r="2442" spans="1:11" x14ac:dyDescent="0.35">
      <c r="A2442" t="s">
        <v>2925</v>
      </c>
      <c r="B2442" s="1">
        <v>0</v>
      </c>
      <c r="C2442" t="s">
        <v>5244</v>
      </c>
      <c r="D2442" t="s">
        <v>5426</v>
      </c>
      <c r="E2442" t="s">
        <v>5598</v>
      </c>
      <c r="F2442" t="s">
        <v>5156</v>
      </c>
      <c r="G2442" t="s">
        <v>5562</v>
      </c>
      <c r="H2442" t="s">
        <v>300</v>
      </c>
      <c r="J2442" t="s">
        <v>2925</v>
      </c>
      <c r="K2442">
        <v>138.6</v>
      </c>
    </row>
    <row r="2443" spans="1:11" x14ac:dyDescent="0.35">
      <c r="A2443" t="s">
        <v>2926</v>
      </c>
      <c r="B2443" s="1">
        <v>0</v>
      </c>
      <c r="C2443" t="s">
        <v>5217</v>
      </c>
      <c r="D2443" t="s">
        <v>5599</v>
      </c>
      <c r="E2443" t="s">
        <v>5194</v>
      </c>
      <c r="F2443" t="s">
        <v>5156</v>
      </c>
      <c r="G2443" t="s">
        <v>5396</v>
      </c>
      <c r="H2443" t="s">
        <v>2653</v>
      </c>
      <c r="J2443" t="s">
        <v>2926</v>
      </c>
      <c r="K2443">
        <v>140.30000000000001</v>
      </c>
    </row>
    <row r="2444" spans="1:11" x14ac:dyDescent="0.35">
      <c r="A2444" t="s">
        <v>2927</v>
      </c>
      <c r="B2444" s="1">
        <v>0</v>
      </c>
      <c r="C2444" t="s">
        <v>5244</v>
      </c>
      <c r="D2444" t="s">
        <v>5319</v>
      </c>
      <c r="E2444" t="s">
        <v>5549</v>
      </c>
      <c r="F2444" t="s">
        <v>5156</v>
      </c>
      <c r="G2444" t="s">
        <v>5395</v>
      </c>
      <c r="H2444" t="s">
        <v>1777</v>
      </c>
      <c r="J2444" t="s">
        <v>2927</v>
      </c>
      <c r="K2444">
        <v>137.6</v>
      </c>
    </row>
    <row r="2445" spans="1:11" x14ac:dyDescent="0.35">
      <c r="A2445" t="s">
        <v>2928</v>
      </c>
      <c r="B2445" s="1">
        <v>0</v>
      </c>
      <c r="C2445" t="s">
        <v>5271</v>
      </c>
      <c r="D2445" t="s">
        <v>5623</v>
      </c>
      <c r="E2445" t="s">
        <v>5329</v>
      </c>
      <c r="F2445" t="s">
        <v>5156</v>
      </c>
      <c r="G2445" t="s">
        <v>5399</v>
      </c>
      <c r="H2445" t="s">
        <v>953</v>
      </c>
      <c r="J2445" t="s">
        <v>2928</v>
      </c>
      <c r="K2445">
        <v>136.30000000000001</v>
      </c>
    </row>
    <row r="2446" spans="1:11" x14ac:dyDescent="0.35">
      <c r="A2446" t="s">
        <v>2929</v>
      </c>
      <c r="B2446" s="1">
        <v>0</v>
      </c>
      <c r="C2446" t="s">
        <v>5521</v>
      </c>
      <c r="D2446" t="s">
        <v>5298</v>
      </c>
      <c r="E2446" t="s">
        <v>5147</v>
      </c>
      <c r="F2446" t="s">
        <v>5156</v>
      </c>
      <c r="G2446" t="s">
        <v>5413</v>
      </c>
      <c r="H2446" t="s">
        <v>838</v>
      </c>
      <c r="J2446" t="s">
        <v>2929</v>
      </c>
      <c r="K2446">
        <v>137.30000000000001</v>
      </c>
    </row>
    <row r="2447" spans="1:11" x14ac:dyDescent="0.35">
      <c r="A2447" t="s">
        <v>2930</v>
      </c>
      <c r="B2447" s="1">
        <v>0</v>
      </c>
      <c r="C2447" t="s">
        <v>5459</v>
      </c>
      <c r="D2447" t="s">
        <v>5417</v>
      </c>
      <c r="E2447" t="s">
        <v>5429</v>
      </c>
      <c r="F2447" t="s">
        <v>5156</v>
      </c>
      <c r="G2447" t="s">
        <v>5413</v>
      </c>
      <c r="H2447" t="s">
        <v>5653</v>
      </c>
      <c r="J2447" t="s">
        <v>2930</v>
      </c>
      <c r="K2447">
        <v>140.6</v>
      </c>
    </row>
    <row r="2448" spans="1:11" x14ac:dyDescent="0.35">
      <c r="A2448" t="s">
        <v>2931</v>
      </c>
      <c r="B2448" s="1">
        <v>0</v>
      </c>
      <c r="C2448" t="s">
        <v>5271</v>
      </c>
      <c r="D2448" t="s">
        <v>5328</v>
      </c>
      <c r="E2448" t="s">
        <v>5143</v>
      </c>
      <c r="F2448" t="s">
        <v>5156</v>
      </c>
      <c r="G2448" t="s">
        <v>5395</v>
      </c>
      <c r="H2448" t="s">
        <v>11</v>
      </c>
      <c r="J2448" t="s">
        <v>2931</v>
      </c>
      <c r="K2448">
        <v>139.9</v>
      </c>
    </row>
    <row r="2449" spans="1:11" x14ac:dyDescent="0.35">
      <c r="A2449" t="s">
        <v>2932</v>
      </c>
      <c r="B2449" s="1">
        <v>0</v>
      </c>
      <c r="C2449" t="s">
        <v>5393</v>
      </c>
      <c r="D2449" t="s">
        <v>5570</v>
      </c>
      <c r="E2449" t="s">
        <v>5429</v>
      </c>
      <c r="F2449" t="s">
        <v>5156</v>
      </c>
      <c r="G2449" t="s">
        <v>5409</v>
      </c>
      <c r="H2449" t="s">
        <v>1785</v>
      </c>
      <c r="J2449" t="s">
        <v>2932</v>
      </c>
      <c r="K2449">
        <v>133.69999999999999</v>
      </c>
    </row>
    <row r="2450" spans="1:11" x14ac:dyDescent="0.35">
      <c r="A2450" t="s">
        <v>2933</v>
      </c>
      <c r="B2450" s="1">
        <v>0</v>
      </c>
      <c r="C2450" t="s">
        <v>5079</v>
      </c>
      <c r="D2450" t="s">
        <v>5423</v>
      </c>
      <c r="E2450" t="s">
        <v>5316</v>
      </c>
      <c r="F2450" t="s">
        <v>5156</v>
      </c>
      <c r="G2450" t="s">
        <v>5359</v>
      </c>
      <c r="H2450" t="s">
        <v>1859</v>
      </c>
      <c r="J2450" t="s">
        <v>2933</v>
      </c>
      <c r="K2450">
        <v>124.1</v>
      </c>
    </row>
    <row r="2451" spans="1:11" x14ac:dyDescent="0.35">
      <c r="A2451" t="s">
        <v>2935</v>
      </c>
      <c r="B2451" s="1">
        <v>0</v>
      </c>
      <c r="C2451" t="s">
        <v>5241</v>
      </c>
      <c r="D2451" t="s">
        <v>5143</v>
      </c>
      <c r="E2451" t="s">
        <v>5161</v>
      </c>
      <c r="F2451" t="s">
        <v>5156</v>
      </c>
      <c r="G2451" t="s">
        <v>5344</v>
      </c>
      <c r="H2451" t="s">
        <v>7</v>
      </c>
      <c r="J2451" t="s">
        <v>2935</v>
      </c>
      <c r="K2451">
        <v>118.5</v>
      </c>
    </row>
    <row r="2452" spans="1:11" x14ac:dyDescent="0.35">
      <c r="A2452" t="s">
        <v>2936</v>
      </c>
      <c r="B2452" s="1">
        <v>0</v>
      </c>
      <c r="C2452" t="s">
        <v>5454</v>
      </c>
      <c r="D2452" t="s">
        <v>5316</v>
      </c>
      <c r="E2452" t="s">
        <v>5158</v>
      </c>
      <c r="F2452" t="s">
        <v>5156</v>
      </c>
      <c r="G2452" t="s">
        <v>5360</v>
      </c>
      <c r="H2452" t="s">
        <v>499</v>
      </c>
      <c r="J2452" t="s">
        <v>2936</v>
      </c>
      <c r="K2452">
        <v>121.2</v>
      </c>
    </row>
    <row r="2453" spans="1:11" x14ac:dyDescent="0.35">
      <c r="A2453" t="s">
        <v>2937</v>
      </c>
      <c r="B2453" s="1">
        <v>0</v>
      </c>
      <c r="C2453" t="s">
        <v>5582</v>
      </c>
      <c r="D2453" t="s">
        <v>5147</v>
      </c>
      <c r="E2453" t="s">
        <v>5155</v>
      </c>
      <c r="F2453" t="s">
        <v>5156</v>
      </c>
      <c r="G2453" t="s">
        <v>5562</v>
      </c>
      <c r="H2453" t="s">
        <v>1093</v>
      </c>
      <c r="J2453" t="s">
        <v>2937</v>
      </c>
      <c r="K2453">
        <v>128.6</v>
      </c>
    </row>
    <row r="2454" spans="1:11" x14ac:dyDescent="0.35">
      <c r="A2454" t="s">
        <v>2938</v>
      </c>
      <c r="B2454" s="1">
        <v>0</v>
      </c>
      <c r="C2454" t="s">
        <v>5259</v>
      </c>
      <c r="D2454" t="s">
        <v>5547</v>
      </c>
      <c r="E2454" t="s">
        <v>5338</v>
      </c>
      <c r="F2454" t="s">
        <v>5156</v>
      </c>
      <c r="G2454" t="s">
        <v>5395</v>
      </c>
      <c r="H2454" t="s">
        <v>3119</v>
      </c>
      <c r="J2454" t="s">
        <v>2938</v>
      </c>
      <c r="K2454">
        <v>133.4</v>
      </c>
    </row>
    <row r="2455" spans="1:11" x14ac:dyDescent="0.35">
      <c r="A2455" t="s">
        <v>2939</v>
      </c>
      <c r="B2455" s="1">
        <v>0</v>
      </c>
      <c r="C2455" t="s">
        <v>5507</v>
      </c>
      <c r="D2455" t="s">
        <v>5044</v>
      </c>
      <c r="E2455" t="s">
        <v>5352</v>
      </c>
      <c r="F2455" t="s">
        <v>5156</v>
      </c>
      <c r="G2455" t="s">
        <v>5413</v>
      </c>
      <c r="H2455" t="s">
        <v>1777</v>
      </c>
      <c r="J2455" t="s">
        <v>2939</v>
      </c>
      <c r="K2455">
        <v>137.6</v>
      </c>
    </row>
    <row r="2456" spans="1:11" x14ac:dyDescent="0.35">
      <c r="A2456" t="s">
        <v>2940</v>
      </c>
      <c r="B2456" s="1">
        <v>0</v>
      </c>
      <c r="C2456" t="s">
        <v>5259</v>
      </c>
      <c r="D2456" t="s">
        <v>5053</v>
      </c>
      <c r="E2456" t="s">
        <v>5549</v>
      </c>
      <c r="F2456" t="s">
        <v>5156</v>
      </c>
      <c r="G2456" t="s">
        <v>5402</v>
      </c>
      <c r="H2456" t="s">
        <v>5657</v>
      </c>
      <c r="J2456" t="s">
        <v>2940</v>
      </c>
      <c r="K2456">
        <v>138.80000000000001</v>
      </c>
    </row>
    <row r="2457" spans="1:11" x14ac:dyDescent="0.35">
      <c r="A2457" t="s">
        <v>2941</v>
      </c>
      <c r="B2457" s="1">
        <v>0</v>
      </c>
      <c r="C2457" t="s">
        <v>5577</v>
      </c>
      <c r="D2457" t="s">
        <v>5320</v>
      </c>
      <c r="E2457" t="s">
        <v>5194</v>
      </c>
      <c r="F2457" t="s">
        <v>5156</v>
      </c>
      <c r="G2457" t="s">
        <v>5413</v>
      </c>
      <c r="H2457" t="s">
        <v>174</v>
      </c>
      <c r="J2457" t="s">
        <v>2941</v>
      </c>
      <c r="K2457">
        <v>135.30000000000001</v>
      </c>
    </row>
    <row r="2458" spans="1:11" x14ac:dyDescent="0.35">
      <c r="A2458" t="s">
        <v>2942</v>
      </c>
      <c r="B2458" s="1">
        <v>0</v>
      </c>
      <c r="C2458" t="s">
        <v>5486</v>
      </c>
      <c r="D2458" t="s">
        <v>5052</v>
      </c>
      <c r="E2458" t="s">
        <v>5047</v>
      </c>
      <c r="F2458" t="s">
        <v>5168</v>
      </c>
      <c r="G2458" t="s">
        <v>5395</v>
      </c>
      <c r="H2458" t="s">
        <v>522</v>
      </c>
      <c r="J2458" t="s">
        <v>2942</v>
      </c>
      <c r="K2458">
        <v>134.1</v>
      </c>
    </row>
    <row r="2459" spans="1:11" x14ac:dyDescent="0.35">
      <c r="A2459" t="s">
        <v>2943</v>
      </c>
      <c r="B2459" s="1">
        <v>0</v>
      </c>
      <c r="C2459" t="s">
        <v>5491</v>
      </c>
      <c r="D2459" t="s">
        <v>5073</v>
      </c>
      <c r="E2459" t="s">
        <v>5290</v>
      </c>
      <c r="F2459" t="s">
        <v>5156</v>
      </c>
      <c r="G2459" t="s">
        <v>5395</v>
      </c>
      <c r="H2459" t="s">
        <v>851</v>
      </c>
      <c r="J2459" t="s">
        <v>2943</v>
      </c>
      <c r="K2459">
        <v>140.9</v>
      </c>
    </row>
    <row r="2460" spans="1:11" x14ac:dyDescent="0.35">
      <c r="A2460" t="s">
        <v>2944</v>
      </c>
      <c r="B2460" s="1">
        <v>0</v>
      </c>
      <c r="C2460" t="s">
        <v>5633</v>
      </c>
      <c r="D2460" t="s">
        <v>5255</v>
      </c>
      <c r="E2460" t="s">
        <v>5529</v>
      </c>
      <c r="F2460" t="s">
        <v>5156</v>
      </c>
      <c r="G2460" t="s">
        <v>5402</v>
      </c>
      <c r="H2460" t="s">
        <v>284</v>
      </c>
      <c r="J2460" t="s">
        <v>2944</v>
      </c>
      <c r="K2460">
        <v>153.4</v>
      </c>
    </row>
    <row r="2461" spans="1:11" x14ac:dyDescent="0.35">
      <c r="A2461" t="s">
        <v>2945</v>
      </c>
      <c r="B2461" s="1">
        <v>0</v>
      </c>
      <c r="C2461" t="s">
        <v>404</v>
      </c>
      <c r="D2461" t="s">
        <v>5162</v>
      </c>
      <c r="E2461" t="s">
        <v>5302</v>
      </c>
      <c r="F2461" t="s">
        <v>5156</v>
      </c>
      <c r="G2461" t="s">
        <v>5405</v>
      </c>
      <c r="H2461" t="s">
        <v>177</v>
      </c>
      <c r="J2461" t="s">
        <v>2945</v>
      </c>
      <c r="K2461">
        <v>163.80000000000001</v>
      </c>
    </row>
    <row r="2462" spans="1:11" x14ac:dyDescent="0.35">
      <c r="A2462" t="s">
        <v>2946</v>
      </c>
      <c r="B2462" s="1">
        <v>0</v>
      </c>
      <c r="C2462" t="s">
        <v>1879</v>
      </c>
      <c r="D2462" t="s">
        <v>5162</v>
      </c>
      <c r="E2462" t="s">
        <v>5305</v>
      </c>
      <c r="F2462" t="s">
        <v>5156</v>
      </c>
      <c r="G2462" t="s">
        <v>5357</v>
      </c>
      <c r="H2462" t="s">
        <v>2186</v>
      </c>
      <c r="J2462" t="s">
        <v>2946</v>
      </c>
      <c r="K2462">
        <v>167.2</v>
      </c>
    </row>
    <row r="2463" spans="1:11" x14ac:dyDescent="0.35">
      <c r="A2463" t="s">
        <v>2947</v>
      </c>
      <c r="B2463" s="1">
        <v>0</v>
      </c>
      <c r="C2463" t="s">
        <v>1040</v>
      </c>
      <c r="D2463" t="s">
        <v>5160</v>
      </c>
      <c r="E2463" t="s">
        <v>5322</v>
      </c>
      <c r="F2463" t="s">
        <v>5156</v>
      </c>
      <c r="G2463" t="s">
        <v>5357</v>
      </c>
      <c r="H2463" t="s">
        <v>2676</v>
      </c>
      <c r="J2463" t="s">
        <v>2947</v>
      </c>
      <c r="K2463">
        <v>166.6</v>
      </c>
    </row>
    <row r="2464" spans="1:11" x14ac:dyDescent="0.35">
      <c r="A2464" t="s">
        <v>2948</v>
      </c>
      <c r="B2464" s="1">
        <v>0</v>
      </c>
      <c r="C2464" t="s">
        <v>1024</v>
      </c>
      <c r="D2464" t="s">
        <v>5234</v>
      </c>
      <c r="E2464" t="s">
        <v>5307</v>
      </c>
      <c r="F2464" t="s">
        <v>5156</v>
      </c>
      <c r="G2464" t="s">
        <v>5405</v>
      </c>
      <c r="H2464" t="s">
        <v>146</v>
      </c>
      <c r="J2464" t="s">
        <v>2948</v>
      </c>
      <c r="K2464">
        <v>162.19999999999999</v>
      </c>
    </row>
    <row r="2465" spans="1:11" x14ac:dyDescent="0.35">
      <c r="A2465" t="s">
        <v>2949</v>
      </c>
      <c r="B2465" s="1">
        <v>0</v>
      </c>
      <c r="C2465" t="s">
        <v>1874</v>
      </c>
      <c r="D2465" t="s">
        <v>5202</v>
      </c>
      <c r="E2465" t="s">
        <v>5325</v>
      </c>
      <c r="F2465" t="s">
        <v>5156</v>
      </c>
      <c r="G2465" t="s">
        <v>5405</v>
      </c>
      <c r="H2465" t="s">
        <v>559</v>
      </c>
      <c r="J2465" t="s">
        <v>2949</v>
      </c>
      <c r="K2465">
        <v>161.9</v>
      </c>
    </row>
    <row r="2466" spans="1:11" x14ac:dyDescent="0.35">
      <c r="A2466" t="s">
        <v>2950</v>
      </c>
      <c r="B2466" s="1">
        <v>0</v>
      </c>
      <c r="C2466" t="s">
        <v>3212</v>
      </c>
      <c r="D2466" t="s">
        <v>5173</v>
      </c>
      <c r="E2466" t="s">
        <v>5430</v>
      </c>
      <c r="F2466" t="s">
        <v>5156</v>
      </c>
      <c r="G2466" t="s">
        <v>5195</v>
      </c>
      <c r="H2466" t="s">
        <v>1812</v>
      </c>
      <c r="J2466" t="s">
        <v>2950</v>
      </c>
      <c r="K2466">
        <v>169</v>
      </c>
    </row>
    <row r="2467" spans="1:11" x14ac:dyDescent="0.35">
      <c r="A2467" t="s">
        <v>2951</v>
      </c>
      <c r="B2467" s="1">
        <v>0</v>
      </c>
      <c r="C2467" t="s">
        <v>346</v>
      </c>
      <c r="D2467" t="s">
        <v>5131</v>
      </c>
      <c r="E2467" t="s">
        <v>5070</v>
      </c>
      <c r="F2467" t="s">
        <v>5050</v>
      </c>
      <c r="G2467" t="s">
        <v>5309</v>
      </c>
      <c r="H2467" t="s">
        <v>1280</v>
      </c>
      <c r="J2467" t="s">
        <v>2951</v>
      </c>
      <c r="K2467">
        <v>193.5</v>
      </c>
    </row>
    <row r="2468" spans="1:11" x14ac:dyDescent="0.35">
      <c r="A2468" t="s">
        <v>2952</v>
      </c>
      <c r="B2468" s="1">
        <v>0</v>
      </c>
      <c r="C2468" t="s">
        <v>325</v>
      </c>
      <c r="D2468" t="s">
        <v>5200</v>
      </c>
      <c r="E2468" t="s">
        <v>5064</v>
      </c>
      <c r="F2468" t="s">
        <v>5050</v>
      </c>
      <c r="G2468" t="s">
        <v>5288</v>
      </c>
      <c r="H2468" t="s">
        <v>1331</v>
      </c>
      <c r="J2468" t="s">
        <v>2952</v>
      </c>
      <c r="K2468">
        <v>197.2</v>
      </c>
    </row>
    <row r="2469" spans="1:11" x14ac:dyDescent="0.35">
      <c r="A2469" t="s">
        <v>2953</v>
      </c>
      <c r="B2469" s="1">
        <v>0</v>
      </c>
      <c r="C2469" t="s">
        <v>2566</v>
      </c>
      <c r="D2469" t="s">
        <v>5471</v>
      </c>
      <c r="E2469" t="s">
        <v>5169</v>
      </c>
      <c r="F2469" t="s">
        <v>5050</v>
      </c>
      <c r="G2469" t="s">
        <v>5226</v>
      </c>
      <c r="H2469" t="s">
        <v>682</v>
      </c>
      <c r="J2469" t="s">
        <v>2953</v>
      </c>
      <c r="K2469">
        <v>200.2</v>
      </c>
    </row>
    <row r="2470" spans="1:11" x14ac:dyDescent="0.35">
      <c r="A2470" t="s">
        <v>2954</v>
      </c>
      <c r="B2470" s="1">
        <v>0</v>
      </c>
      <c r="C2470" t="s">
        <v>1536</v>
      </c>
      <c r="D2470" t="s">
        <v>5571</v>
      </c>
      <c r="E2470" t="s">
        <v>5073</v>
      </c>
      <c r="F2470" t="s">
        <v>5050</v>
      </c>
      <c r="G2470" t="s">
        <v>5226</v>
      </c>
      <c r="H2470" t="s">
        <v>86</v>
      </c>
      <c r="J2470" t="s">
        <v>2954</v>
      </c>
      <c r="K2470">
        <v>199.7</v>
      </c>
    </row>
    <row r="2471" spans="1:11" x14ac:dyDescent="0.35">
      <c r="A2471" t="s">
        <v>2955</v>
      </c>
      <c r="B2471" s="1">
        <v>0</v>
      </c>
      <c r="C2471" t="s">
        <v>987</v>
      </c>
      <c r="D2471" t="s">
        <v>5151</v>
      </c>
      <c r="E2471" t="s">
        <v>5234</v>
      </c>
      <c r="F2471" t="s">
        <v>5240</v>
      </c>
      <c r="G2471" t="s">
        <v>5226</v>
      </c>
      <c r="H2471" t="s">
        <v>4755</v>
      </c>
      <c r="J2471" t="s">
        <v>2955</v>
      </c>
      <c r="K2471">
        <v>206.3</v>
      </c>
    </row>
    <row r="2472" spans="1:11" x14ac:dyDescent="0.35">
      <c r="A2472" t="s">
        <v>2956</v>
      </c>
      <c r="B2472" s="1">
        <v>0</v>
      </c>
      <c r="C2472" t="s">
        <v>468</v>
      </c>
      <c r="D2472" t="s">
        <v>5494</v>
      </c>
      <c r="E2472" t="s">
        <v>5208</v>
      </c>
      <c r="F2472" t="s">
        <v>5240</v>
      </c>
      <c r="G2472" t="s">
        <v>5288</v>
      </c>
      <c r="H2472" t="s">
        <v>3729</v>
      </c>
      <c r="J2472" t="s">
        <v>2956</v>
      </c>
      <c r="K2472">
        <v>215.1</v>
      </c>
    </row>
    <row r="2473" spans="1:11" x14ac:dyDescent="0.35">
      <c r="A2473" t="s">
        <v>2957</v>
      </c>
      <c r="B2473" s="1">
        <v>0</v>
      </c>
      <c r="C2473" t="s">
        <v>335</v>
      </c>
      <c r="D2473" t="s">
        <v>5491</v>
      </c>
      <c r="E2473" t="s">
        <v>5276</v>
      </c>
      <c r="F2473" t="s">
        <v>5240</v>
      </c>
      <c r="G2473" t="s">
        <v>5291</v>
      </c>
      <c r="H2473" t="s">
        <v>2002</v>
      </c>
      <c r="J2473" t="s">
        <v>2957</v>
      </c>
      <c r="K2473">
        <v>221.2</v>
      </c>
    </row>
    <row r="2474" spans="1:11" x14ac:dyDescent="0.35">
      <c r="A2474" t="s">
        <v>2959</v>
      </c>
      <c r="B2474" s="1">
        <v>0</v>
      </c>
      <c r="C2474" t="s">
        <v>985</v>
      </c>
      <c r="D2474" t="s">
        <v>5542</v>
      </c>
      <c r="E2474" t="s">
        <v>5113</v>
      </c>
      <c r="F2474" t="s">
        <v>5240</v>
      </c>
      <c r="G2474" t="s">
        <v>5288</v>
      </c>
      <c r="H2474" t="s">
        <v>773</v>
      </c>
      <c r="J2474" t="s">
        <v>2959</v>
      </c>
      <c r="K2474">
        <v>221.4</v>
      </c>
    </row>
    <row r="2475" spans="1:11" x14ac:dyDescent="0.35">
      <c r="A2475" t="s">
        <v>2960</v>
      </c>
      <c r="B2475" s="1">
        <v>0</v>
      </c>
      <c r="C2475" t="s">
        <v>986</v>
      </c>
      <c r="D2475" t="s">
        <v>5582</v>
      </c>
      <c r="E2475" t="s">
        <v>5276</v>
      </c>
      <c r="F2475" t="s">
        <v>5240</v>
      </c>
      <c r="G2475" t="s">
        <v>5226</v>
      </c>
      <c r="H2475" t="s">
        <v>2097</v>
      </c>
      <c r="J2475" t="s">
        <v>2960</v>
      </c>
      <c r="K2475">
        <v>219.1</v>
      </c>
    </row>
    <row r="2476" spans="1:11" x14ac:dyDescent="0.35">
      <c r="A2476" t="s">
        <v>2961</v>
      </c>
      <c r="B2476" s="1">
        <v>0</v>
      </c>
      <c r="C2476" t="s">
        <v>458</v>
      </c>
      <c r="D2476" t="s">
        <v>5115</v>
      </c>
      <c r="E2476" t="s">
        <v>5304</v>
      </c>
      <c r="F2476" t="s">
        <v>5240</v>
      </c>
      <c r="G2476" t="s">
        <v>5321</v>
      </c>
      <c r="H2476" t="s">
        <v>1238</v>
      </c>
      <c r="J2476" t="s">
        <v>2961</v>
      </c>
      <c r="K2476">
        <v>216</v>
      </c>
    </row>
    <row r="2477" spans="1:11" x14ac:dyDescent="0.35">
      <c r="A2477" t="s">
        <v>2962</v>
      </c>
      <c r="B2477" s="1">
        <v>0</v>
      </c>
      <c r="C2477" t="s">
        <v>326</v>
      </c>
      <c r="D2477" t="s">
        <v>5280</v>
      </c>
      <c r="E2477" t="s">
        <v>5434</v>
      </c>
      <c r="F2477" t="s">
        <v>5240</v>
      </c>
      <c r="G2477" t="s">
        <v>5226</v>
      </c>
      <c r="H2477" t="s">
        <v>3913</v>
      </c>
      <c r="J2477" t="s">
        <v>2962</v>
      </c>
      <c r="K2477">
        <v>204.2</v>
      </c>
    </row>
    <row r="2478" spans="1:11" x14ac:dyDescent="0.35">
      <c r="A2478" t="s">
        <v>2963</v>
      </c>
      <c r="B2478" s="1">
        <v>0</v>
      </c>
      <c r="C2478" t="s">
        <v>441</v>
      </c>
      <c r="D2478" t="s">
        <v>5206</v>
      </c>
      <c r="E2478" t="s">
        <v>5255</v>
      </c>
      <c r="F2478" t="s">
        <v>5050</v>
      </c>
      <c r="G2478" t="s">
        <v>5294</v>
      </c>
      <c r="H2478" t="s">
        <v>1820</v>
      </c>
      <c r="J2478" t="s">
        <v>2963</v>
      </c>
      <c r="K2478">
        <v>193.7</v>
      </c>
    </row>
    <row r="2479" spans="1:11" x14ac:dyDescent="0.35">
      <c r="A2479" t="s">
        <v>2964</v>
      </c>
      <c r="B2479" s="1">
        <v>0</v>
      </c>
      <c r="C2479" t="s">
        <v>3494</v>
      </c>
      <c r="D2479" t="s">
        <v>5193</v>
      </c>
      <c r="E2479" t="s">
        <v>5071</v>
      </c>
      <c r="F2479" t="s">
        <v>5050</v>
      </c>
      <c r="G2479" t="s">
        <v>5312</v>
      </c>
      <c r="H2479" t="s">
        <v>2745</v>
      </c>
      <c r="J2479" t="s">
        <v>2964</v>
      </c>
      <c r="K2479">
        <v>193.4</v>
      </c>
    </row>
    <row r="2480" spans="1:11" x14ac:dyDescent="0.35">
      <c r="A2480" t="s">
        <v>2965</v>
      </c>
      <c r="B2480" s="1">
        <v>0</v>
      </c>
      <c r="C2480" t="s">
        <v>454</v>
      </c>
      <c r="D2480" t="s">
        <v>5366</v>
      </c>
      <c r="E2480" t="s">
        <v>5178</v>
      </c>
      <c r="F2480" t="s">
        <v>5050</v>
      </c>
      <c r="G2480" t="s">
        <v>5312</v>
      </c>
      <c r="H2480" t="s">
        <v>3143</v>
      </c>
      <c r="J2480" t="s">
        <v>2965</v>
      </c>
      <c r="K2480">
        <v>199.1</v>
      </c>
    </row>
    <row r="2481" spans="1:11" x14ac:dyDescent="0.35">
      <c r="A2481" t="s">
        <v>2966</v>
      </c>
      <c r="B2481" s="1">
        <v>0</v>
      </c>
      <c r="C2481" t="s">
        <v>1047</v>
      </c>
      <c r="D2481" t="s">
        <v>5366</v>
      </c>
      <c r="E2481" t="s">
        <v>5208</v>
      </c>
      <c r="F2481" t="s">
        <v>5050</v>
      </c>
      <c r="G2481" t="s">
        <v>5297</v>
      </c>
      <c r="H2481" t="s">
        <v>243</v>
      </c>
      <c r="J2481" t="s">
        <v>2966</v>
      </c>
      <c r="K2481">
        <v>198.3</v>
      </c>
    </row>
    <row r="2482" spans="1:11" x14ac:dyDescent="0.35">
      <c r="A2482" t="s">
        <v>2967</v>
      </c>
      <c r="B2482" s="1">
        <v>0</v>
      </c>
      <c r="C2482" t="s">
        <v>2237</v>
      </c>
      <c r="D2482" t="s">
        <v>5446</v>
      </c>
      <c r="E2482" t="s">
        <v>5173</v>
      </c>
      <c r="F2482" t="s">
        <v>5050</v>
      </c>
      <c r="G2482" t="s">
        <v>5342</v>
      </c>
      <c r="H2482" t="s">
        <v>2510</v>
      </c>
      <c r="J2482" t="s">
        <v>2967</v>
      </c>
      <c r="K2482">
        <v>188.7</v>
      </c>
    </row>
    <row r="2483" spans="1:11" x14ac:dyDescent="0.35">
      <c r="A2483" t="s">
        <v>2968</v>
      </c>
      <c r="B2483" s="1">
        <v>0</v>
      </c>
      <c r="C2483" t="s">
        <v>5636</v>
      </c>
      <c r="D2483" t="s">
        <v>5103</v>
      </c>
      <c r="E2483" t="s">
        <v>5422</v>
      </c>
      <c r="F2483" t="s">
        <v>5050</v>
      </c>
      <c r="G2483" t="s">
        <v>5342</v>
      </c>
      <c r="H2483" t="s">
        <v>1424</v>
      </c>
      <c r="J2483" t="s">
        <v>2968</v>
      </c>
      <c r="K2483">
        <v>178.3</v>
      </c>
    </row>
    <row r="2484" spans="1:11" x14ac:dyDescent="0.35">
      <c r="A2484" t="s">
        <v>2969</v>
      </c>
      <c r="B2484" s="1">
        <v>0</v>
      </c>
      <c r="C2484" t="s">
        <v>420</v>
      </c>
      <c r="D2484" t="s">
        <v>5200</v>
      </c>
      <c r="E2484" t="s">
        <v>5064</v>
      </c>
      <c r="F2484" t="s">
        <v>5050</v>
      </c>
      <c r="G2484" t="s">
        <v>5315</v>
      </c>
      <c r="H2484" t="s">
        <v>705</v>
      </c>
      <c r="J2484" t="s">
        <v>2969</v>
      </c>
      <c r="K2484">
        <v>175.4</v>
      </c>
    </row>
    <row r="2485" spans="1:11" x14ac:dyDescent="0.35">
      <c r="A2485" t="s">
        <v>2970</v>
      </c>
      <c r="B2485" s="1">
        <v>0</v>
      </c>
      <c r="C2485" t="s">
        <v>430</v>
      </c>
      <c r="D2485" t="s">
        <v>5106</v>
      </c>
      <c r="E2485" t="s">
        <v>5170</v>
      </c>
      <c r="F2485" t="s">
        <v>5050</v>
      </c>
      <c r="G2485" t="s">
        <v>5297</v>
      </c>
      <c r="H2485" t="s">
        <v>1225</v>
      </c>
      <c r="J2485" t="s">
        <v>2970</v>
      </c>
      <c r="K2485">
        <v>181.9</v>
      </c>
    </row>
    <row r="2486" spans="1:11" x14ac:dyDescent="0.35">
      <c r="A2486" t="s">
        <v>2971</v>
      </c>
      <c r="B2486" s="1">
        <v>0</v>
      </c>
      <c r="C2486" t="s">
        <v>2917</v>
      </c>
      <c r="D2486" t="s">
        <v>5097</v>
      </c>
      <c r="E2486" t="s">
        <v>5210</v>
      </c>
      <c r="F2486" t="s">
        <v>5050</v>
      </c>
      <c r="G2486" t="s">
        <v>5315</v>
      </c>
      <c r="H2486" t="s">
        <v>199</v>
      </c>
      <c r="J2486" t="s">
        <v>2971</v>
      </c>
      <c r="K2486">
        <v>194.5</v>
      </c>
    </row>
    <row r="2487" spans="1:11" x14ac:dyDescent="0.35">
      <c r="A2487" t="s">
        <v>2972</v>
      </c>
      <c r="B2487" s="1">
        <v>0</v>
      </c>
      <c r="C2487" t="s">
        <v>345</v>
      </c>
      <c r="D2487" t="s">
        <v>5142</v>
      </c>
      <c r="E2487" t="s">
        <v>5060</v>
      </c>
      <c r="F2487" t="s">
        <v>5240</v>
      </c>
      <c r="G2487" t="s">
        <v>5400</v>
      </c>
      <c r="H2487" t="s">
        <v>1201</v>
      </c>
      <c r="J2487" t="s">
        <v>2972</v>
      </c>
      <c r="K2487">
        <v>204</v>
      </c>
    </row>
    <row r="2488" spans="1:11" x14ac:dyDescent="0.35">
      <c r="A2488" t="s">
        <v>2973</v>
      </c>
      <c r="B2488" s="1">
        <v>0</v>
      </c>
      <c r="C2488" t="s">
        <v>350</v>
      </c>
      <c r="D2488" t="s">
        <v>5387</v>
      </c>
      <c r="E2488" t="s">
        <v>5102</v>
      </c>
      <c r="F2488" t="s">
        <v>5240</v>
      </c>
      <c r="G2488" t="s">
        <v>5144</v>
      </c>
      <c r="H2488" t="s">
        <v>657</v>
      </c>
      <c r="J2488" t="s">
        <v>2973</v>
      </c>
      <c r="K2488">
        <v>208.3</v>
      </c>
    </row>
    <row r="2489" spans="1:11" x14ac:dyDescent="0.35">
      <c r="A2489" t="s">
        <v>2974</v>
      </c>
      <c r="B2489" s="1">
        <v>0</v>
      </c>
      <c r="C2489" t="s">
        <v>983</v>
      </c>
      <c r="D2489" t="s">
        <v>5258</v>
      </c>
      <c r="E2489" t="s">
        <v>5178</v>
      </c>
      <c r="F2489" t="s">
        <v>5240</v>
      </c>
      <c r="G2489" t="s">
        <v>5400</v>
      </c>
      <c r="H2489" t="s">
        <v>5696</v>
      </c>
      <c r="J2489" t="s">
        <v>2974</v>
      </c>
      <c r="K2489">
        <v>206.6</v>
      </c>
    </row>
    <row r="2490" spans="1:11" x14ac:dyDescent="0.35">
      <c r="A2490" t="s">
        <v>2975</v>
      </c>
      <c r="B2490" s="1">
        <v>0</v>
      </c>
      <c r="C2490" t="s">
        <v>1522</v>
      </c>
      <c r="D2490" t="s">
        <v>5533</v>
      </c>
      <c r="E2490" t="s">
        <v>5059</v>
      </c>
      <c r="F2490" t="s">
        <v>5240</v>
      </c>
      <c r="G2490" t="s">
        <v>5342</v>
      </c>
      <c r="H2490" t="s">
        <v>1642</v>
      </c>
      <c r="J2490" t="s">
        <v>2975</v>
      </c>
      <c r="K2490">
        <v>201.4</v>
      </c>
    </row>
    <row r="2491" spans="1:11" x14ac:dyDescent="0.35">
      <c r="A2491" t="s">
        <v>2976</v>
      </c>
      <c r="B2491" s="1">
        <v>0</v>
      </c>
      <c r="C2491" t="s">
        <v>368</v>
      </c>
      <c r="D2491" t="s">
        <v>5264</v>
      </c>
      <c r="E2491" t="s">
        <v>5237</v>
      </c>
      <c r="F2491" t="s">
        <v>5050</v>
      </c>
      <c r="G2491" t="s">
        <v>5297</v>
      </c>
      <c r="H2491" t="s">
        <v>1712</v>
      </c>
      <c r="J2491" t="s">
        <v>2976</v>
      </c>
      <c r="K2491">
        <v>196.4</v>
      </c>
    </row>
    <row r="2492" spans="1:11" x14ac:dyDescent="0.35">
      <c r="A2492" t="s">
        <v>2977</v>
      </c>
      <c r="B2492" s="1">
        <v>0</v>
      </c>
      <c r="C2492" t="s">
        <v>341</v>
      </c>
      <c r="D2492" t="s">
        <v>5190</v>
      </c>
      <c r="E2492" t="s">
        <v>5204</v>
      </c>
      <c r="F2492" t="s">
        <v>5050</v>
      </c>
      <c r="G2492" t="s">
        <v>5294</v>
      </c>
      <c r="H2492" t="s">
        <v>665</v>
      </c>
      <c r="J2492" t="s">
        <v>2977</v>
      </c>
      <c r="K2492">
        <v>196.9</v>
      </c>
    </row>
    <row r="2493" spans="1:11" x14ac:dyDescent="0.35">
      <c r="A2493" t="s">
        <v>2978</v>
      </c>
      <c r="B2493" s="1">
        <v>0</v>
      </c>
      <c r="C2493" t="s">
        <v>1523</v>
      </c>
      <c r="D2493" t="s">
        <v>5445</v>
      </c>
      <c r="E2493" t="s">
        <v>5323</v>
      </c>
      <c r="F2493" t="s">
        <v>5240</v>
      </c>
      <c r="G2493" t="s">
        <v>5294</v>
      </c>
      <c r="H2493" t="s">
        <v>688</v>
      </c>
      <c r="J2493" t="s">
        <v>2978</v>
      </c>
      <c r="K2493">
        <v>197.6</v>
      </c>
    </row>
    <row r="2494" spans="1:11" x14ac:dyDescent="0.35">
      <c r="A2494" t="s">
        <v>2979</v>
      </c>
      <c r="B2494" s="1">
        <v>0</v>
      </c>
      <c r="C2494" t="s">
        <v>4381</v>
      </c>
      <c r="D2494" t="s">
        <v>5464</v>
      </c>
      <c r="E2494" t="s">
        <v>5234</v>
      </c>
      <c r="F2494" t="s">
        <v>5050</v>
      </c>
      <c r="G2494" t="s">
        <v>5297</v>
      </c>
      <c r="H2494" t="s">
        <v>2366</v>
      </c>
      <c r="J2494" t="s">
        <v>2979</v>
      </c>
      <c r="K2494">
        <v>193.9</v>
      </c>
    </row>
    <row r="2495" spans="1:11" x14ac:dyDescent="0.35">
      <c r="A2495" t="s">
        <v>2980</v>
      </c>
      <c r="B2495" s="1">
        <v>0</v>
      </c>
      <c r="C2495" t="s">
        <v>447</v>
      </c>
      <c r="D2495" t="s">
        <v>5445</v>
      </c>
      <c r="E2495" t="s">
        <v>5221</v>
      </c>
      <c r="F2495" t="s">
        <v>5050</v>
      </c>
      <c r="G2495" t="s">
        <v>5297</v>
      </c>
      <c r="H2495" t="s">
        <v>199</v>
      </c>
      <c r="J2495" t="s">
        <v>2980</v>
      </c>
      <c r="K2495">
        <v>194.5</v>
      </c>
    </row>
    <row r="2496" spans="1:11" x14ac:dyDescent="0.35">
      <c r="A2496" t="s">
        <v>2981</v>
      </c>
      <c r="B2496" s="1">
        <v>0</v>
      </c>
      <c r="C2496" t="s">
        <v>362</v>
      </c>
      <c r="D2496" t="s">
        <v>5079</v>
      </c>
      <c r="E2496" t="s">
        <v>5173</v>
      </c>
      <c r="F2496" t="s">
        <v>5050</v>
      </c>
      <c r="G2496" t="s">
        <v>5294</v>
      </c>
      <c r="H2496" t="s">
        <v>214</v>
      </c>
      <c r="J2496" t="s">
        <v>2981</v>
      </c>
      <c r="K2496">
        <v>198.1</v>
      </c>
    </row>
    <row r="2497" spans="1:11" x14ac:dyDescent="0.35">
      <c r="A2497" t="s">
        <v>2982</v>
      </c>
      <c r="B2497" s="1">
        <v>0</v>
      </c>
      <c r="C2497" t="s">
        <v>1918</v>
      </c>
      <c r="D2497" t="s">
        <v>5462</v>
      </c>
      <c r="E2497" t="s">
        <v>5175</v>
      </c>
      <c r="F2497" t="s">
        <v>5050</v>
      </c>
      <c r="G2497" t="s">
        <v>5291</v>
      </c>
      <c r="H2497" t="s">
        <v>243</v>
      </c>
      <c r="J2497" t="s">
        <v>2982</v>
      </c>
      <c r="K2497">
        <v>198.3</v>
      </c>
    </row>
    <row r="2498" spans="1:11" x14ac:dyDescent="0.35">
      <c r="A2498" t="s">
        <v>2983</v>
      </c>
      <c r="B2498" s="1">
        <v>0</v>
      </c>
      <c r="C2498" t="s">
        <v>1533</v>
      </c>
      <c r="D2498" t="s">
        <v>5533</v>
      </c>
      <c r="E2498" t="s">
        <v>5167</v>
      </c>
      <c r="F2498" t="s">
        <v>5077</v>
      </c>
      <c r="G2498" t="s">
        <v>5116</v>
      </c>
      <c r="H2498" t="s">
        <v>250</v>
      </c>
      <c r="J2498" t="s">
        <v>2983</v>
      </c>
      <c r="K2498">
        <v>203.3</v>
      </c>
    </row>
    <row r="2499" spans="1:11" x14ac:dyDescent="0.35">
      <c r="A2499" t="s">
        <v>2984</v>
      </c>
      <c r="B2499" s="1">
        <v>0</v>
      </c>
      <c r="C2499" t="s">
        <v>374</v>
      </c>
      <c r="D2499" t="s">
        <v>5454</v>
      </c>
      <c r="E2499" t="s">
        <v>5237</v>
      </c>
      <c r="F2499" t="s">
        <v>5077</v>
      </c>
      <c r="G2499" t="s">
        <v>5095</v>
      </c>
      <c r="H2499" t="s">
        <v>3077</v>
      </c>
      <c r="J2499" t="s">
        <v>2984</v>
      </c>
      <c r="K2499">
        <v>195</v>
      </c>
    </row>
    <row r="2500" spans="1:11" x14ac:dyDescent="0.35">
      <c r="A2500" t="s">
        <v>2985</v>
      </c>
      <c r="B2500" s="1">
        <v>0</v>
      </c>
      <c r="C2500" t="s">
        <v>5650</v>
      </c>
      <c r="D2500" t="s">
        <v>5532</v>
      </c>
      <c r="E2500" t="s">
        <v>5076</v>
      </c>
      <c r="F2500" t="s">
        <v>5077</v>
      </c>
      <c r="G2500" t="s">
        <v>5099</v>
      </c>
      <c r="H2500" t="s">
        <v>711</v>
      </c>
      <c r="J2500" t="s">
        <v>2985</v>
      </c>
      <c r="K2500">
        <v>191.2</v>
      </c>
    </row>
    <row r="2501" spans="1:11" x14ac:dyDescent="0.35">
      <c r="A2501" t="s">
        <v>2986</v>
      </c>
      <c r="B2501" s="1">
        <v>0</v>
      </c>
      <c r="C2501" t="s">
        <v>5636</v>
      </c>
      <c r="D2501" t="s">
        <v>5558</v>
      </c>
      <c r="E2501" t="s">
        <v>5434</v>
      </c>
      <c r="F2501" t="s">
        <v>5077</v>
      </c>
      <c r="G2501" t="s">
        <v>5124</v>
      </c>
      <c r="H2501" t="s">
        <v>1670</v>
      </c>
      <c r="J2501" t="s">
        <v>2986</v>
      </c>
      <c r="K2501">
        <v>196.1</v>
      </c>
    </row>
    <row r="2502" spans="1:11" x14ac:dyDescent="0.35">
      <c r="A2502" t="s">
        <v>2987</v>
      </c>
      <c r="B2502" s="1">
        <v>0</v>
      </c>
      <c r="C2502" t="s">
        <v>395</v>
      </c>
      <c r="D2502" t="s">
        <v>5104</v>
      </c>
      <c r="E2502" t="s">
        <v>5162</v>
      </c>
      <c r="F2502" t="s">
        <v>5077</v>
      </c>
      <c r="G2502" t="s">
        <v>5082</v>
      </c>
      <c r="H2502" t="s">
        <v>220</v>
      </c>
      <c r="J2502" t="s">
        <v>2987</v>
      </c>
      <c r="K2502">
        <v>201.9</v>
      </c>
    </row>
    <row r="2503" spans="1:11" x14ac:dyDescent="0.35">
      <c r="A2503" t="s">
        <v>2988</v>
      </c>
      <c r="B2503" s="1">
        <v>0</v>
      </c>
      <c r="C2503" t="s">
        <v>1045</v>
      </c>
      <c r="D2503" t="s">
        <v>5558</v>
      </c>
      <c r="E2503" t="s">
        <v>5066</v>
      </c>
      <c r="F2503" t="s">
        <v>5077</v>
      </c>
      <c r="G2503" t="s">
        <v>5092</v>
      </c>
      <c r="H2503" t="s">
        <v>656</v>
      </c>
      <c r="J2503" t="s">
        <v>2988</v>
      </c>
      <c r="K2503">
        <v>207.3</v>
      </c>
    </row>
    <row r="2504" spans="1:11" x14ac:dyDescent="0.35">
      <c r="A2504" t="s">
        <v>2989</v>
      </c>
      <c r="B2504" s="1">
        <v>0</v>
      </c>
      <c r="C2504" t="s">
        <v>451</v>
      </c>
      <c r="D2504" t="s">
        <v>5248</v>
      </c>
      <c r="E2504" t="s">
        <v>5160</v>
      </c>
      <c r="F2504" t="s">
        <v>5077</v>
      </c>
      <c r="G2504" t="s">
        <v>5110</v>
      </c>
      <c r="H2504" t="s">
        <v>1697</v>
      </c>
      <c r="J2504" t="s">
        <v>2989</v>
      </c>
      <c r="K2504">
        <v>208.2</v>
      </c>
    </row>
    <row r="2505" spans="1:11" x14ac:dyDescent="0.35">
      <c r="A2505" t="s">
        <v>2990</v>
      </c>
      <c r="B2505" s="1">
        <v>0</v>
      </c>
      <c r="C2505" t="s">
        <v>1525</v>
      </c>
      <c r="D2505" t="s">
        <v>5486</v>
      </c>
      <c r="E2505" t="s">
        <v>5306</v>
      </c>
      <c r="F2505" t="s">
        <v>5077</v>
      </c>
      <c r="G2505" t="s">
        <v>5082</v>
      </c>
      <c r="H2505" t="s">
        <v>614</v>
      </c>
      <c r="J2505" t="s">
        <v>2990</v>
      </c>
      <c r="K2505">
        <v>206.1</v>
      </c>
    </row>
    <row r="2506" spans="1:11" x14ac:dyDescent="0.35">
      <c r="A2506" t="s">
        <v>2991</v>
      </c>
      <c r="B2506" s="1">
        <v>0</v>
      </c>
      <c r="C2506" t="s">
        <v>4641</v>
      </c>
      <c r="D2506" t="s">
        <v>5532</v>
      </c>
      <c r="E2506" t="s">
        <v>5167</v>
      </c>
      <c r="F2506" t="s">
        <v>5077</v>
      </c>
      <c r="G2506" t="s">
        <v>5099</v>
      </c>
      <c r="H2506" t="s">
        <v>86</v>
      </c>
      <c r="J2506" t="s">
        <v>2991</v>
      </c>
      <c r="K2506">
        <v>199.7</v>
      </c>
    </row>
    <row r="2507" spans="1:11" x14ac:dyDescent="0.35">
      <c r="A2507" t="s">
        <v>2992</v>
      </c>
      <c r="B2507" s="1">
        <v>0</v>
      </c>
      <c r="C2507" t="s">
        <v>3496</v>
      </c>
      <c r="D2507" t="s">
        <v>5374</v>
      </c>
      <c r="E2507" t="s">
        <v>5234</v>
      </c>
      <c r="F2507" t="s">
        <v>5077</v>
      </c>
      <c r="G2507" t="s">
        <v>5215</v>
      </c>
      <c r="H2507" t="s">
        <v>2358</v>
      </c>
      <c r="J2507" t="s">
        <v>2992</v>
      </c>
      <c r="K2507">
        <v>195.7</v>
      </c>
    </row>
    <row r="2508" spans="1:11" x14ac:dyDescent="0.35">
      <c r="A2508" t="s">
        <v>2993</v>
      </c>
      <c r="B2508" s="1">
        <v>0</v>
      </c>
      <c r="C2508" t="s">
        <v>418</v>
      </c>
      <c r="D2508" t="s">
        <v>5206</v>
      </c>
      <c r="E2508" t="s">
        <v>5310</v>
      </c>
      <c r="F2508" t="s">
        <v>5077</v>
      </c>
      <c r="G2508" t="s">
        <v>5215</v>
      </c>
      <c r="H2508" t="s">
        <v>2337</v>
      </c>
      <c r="J2508" t="s">
        <v>2993</v>
      </c>
      <c r="K2508">
        <v>192.6</v>
      </c>
    </row>
    <row r="2509" spans="1:11" x14ac:dyDescent="0.35">
      <c r="A2509" t="s">
        <v>2994</v>
      </c>
      <c r="B2509" s="1">
        <v>0</v>
      </c>
      <c r="C2509" t="s">
        <v>1033</v>
      </c>
      <c r="D2509" t="s">
        <v>5594</v>
      </c>
      <c r="E2509" t="s">
        <v>5061</v>
      </c>
      <c r="F2509" t="s">
        <v>5077</v>
      </c>
      <c r="G2509" t="s">
        <v>5078</v>
      </c>
      <c r="H2509" t="s">
        <v>34</v>
      </c>
      <c r="J2509" t="s">
        <v>2994</v>
      </c>
      <c r="K2509">
        <v>184.9</v>
      </c>
    </row>
    <row r="2510" spans="1:11" x14ac:dyDescent="0.35">
      <c r="A2510" t="s">
        <v>2995</v>
      </c>
      <c r="B2510" s="1">
        <v>0</v>
      </c>
      <c r="C2510" t="s">
        <v>5465</v>
      </c>
      <c r="D2510" t="s">
        <v>5456</v>
      </c>
      <c r="E2510" t="s">
        <v>5283</v>
      </c>
      <c r="F2510" t="s">
        <v>5077</v>
      </c>
      <c r="G2510" t="s">
        <v>5183</v>
      </c>
      <c r="H2510" t="s">
        <v>677</v>
      </c>
      <c r="J2510" t="s">
        <v>2995</v>
      </c>
      <c r="K2510">
        <v>179.1</v>
      </c>
    </row>
    <row r="2511" spans="1:11" x14ac:dyDescent="0.35">
      <c r="A2511" t="s">
        <v>2996</v>
      </c>
      <c r="B2511" s="1">
        <v>0</v>
      </c>
      <c r="C2511" t="s">
        <v>1003</v>
      </c>
      <c r="D2511" t="s">
        <v>5440</v>
      </c>
      <c r="E2511" t="s">
        <v>5426</v>
      </c>
      <c r="F2511" t="s">
        <v>5077</v>
      </c>
      <c r="G2511" t="s">
        <v>5183</v>
      </c>
      <c r="H2511" t="s">
        <v>1337</v>
      </c>
      <c r="J2511" t="s">
        <v>2996</v>
      </c>
      <c r="K2511">
        <v>181.2</v>
      </c>
    </row>
    <row r="2512" spans="1:11" x14ac:dyDescent="0.35">
      <c r="A2512" t="s">
        <v>2998</v>
      </c>
      <c r="B2512" s="1">
        <v>0</v>
      </c>
      <c r="C2512" t="s">
        <v>1021</v>
      </c>
      <c r="D2512" t="s">
        <v>5373</v>
      </c>
      <c r="E2512" t="s">
        <v>5431</v>
      </c>
      <c r="F2512" t="s">
        <v>5077</v>
      </c>
      <c r="G2512" t="s">
        <v>5475</v>
      </c>
      <c r="H2512" t="s">
        <v>1185</v>
      </c>
      <c r="J2512" t="s">
        <v>2998</v>
      </c>
      <c r="K2512">
        <v>194.2</v>
      </c>
    </row>
    <row r="2513" spans="1:11" x14ac:dyDescent="0.35">
      <c r="A2513" t="s">
        <v>2999</v>
      </c>
      <c r="B2513" s="1">
        <v>0</v>
      </c>
      <c r="C2513" t="s">
        <v>1524</v>
      </c>
      <c r="D2513" t="s">
        <v>5126</v>
      </c>
      <c r="E2513" t="s">
        <v>5160</v>
      </c>
      <c r="F2513" t="s">
        <v>5077</v>
      </c>
      <c r="G2513" t="s">
        <v>5183</v>
      </c>
      <c r="H2513" t="s">
        <v>1303</v>
      </c>
      <c r="J2513" t="s">
        <v>2999</v>
      </c>
      <c r="K2513">
        <v>210.4</v>
      </c>
    </row>
    <row r="2514" spans="1:11" x14ac:dyDescent="0.35">
      <c r="A2514" t="s">
        <v>3000</v>
      </c>
      <c r="B2514" s="1">
        <v>0</v>
      </c>
      <c r="C2514" t="s">
        <v>446</v>
      </c>
      <c r="D2514" t="s">
        <v>5520</v>
      </c>
      <c r="E2514" t="s">
        <v>5192</v>
      </c>
      <c r="F2514" t="s">
        <v>5077</v>
      </c>
      <c r="G2514" t="s">
        <v>5475</v>
      </c>
      <c r="H2514" t="s">
        <v>3032</v>
      </c>
      <c r="J2514" t="s">
        <v>3000</v>
      </c>
      <c r="K2514">
        <v>213.3</v>
      </c>
    </row>
    <row r="2515" spans="1:11" x14ac:dyDescent="0.35">
      <c r="A2515" t="s">
        <v>3001</v>
      </c>
      <c r="B2515" s="1">
        <v>0</v>
      </c>
      <c r="C2515" t="s">
        <v>439</v>
      </c>
      <c r="D2515" t="s">
        <v>5232</v>
      </c>
      <c r="E2515" t="s">
        <v>5182</v>
      </c>
      <c r="F2515" t="s">
        <v>5077</v>
      </c>
      <c r="G2515" t="s">
        <v>5078</v>
      </c>
      <c r="H2515" t="s">
        <v>3859</v>
      </c>
      <c r="J2515" t="s">
        <v>3001</v>
      </c>
      <c r="K2515">
        <v>215.4</v>
      </c>
    </row>
    <row r="2516" spans="1:11" x14ac:dyDescent="0.35">
      <c r="A2516" t="s">
        <v>3002</v>
      </c>
      <c r="B2516" s="1">
        <v>0</v>
      </c>
      <c r="C2516" t="s">
        <v>476</v>
      </c>
      <c r="D2516" t="s">
        <v>5274</v>
      </c>
      <c r="E2516" t="s">
        <v>5120</v>
      </c>
      <c r="F2516" t="s">
        <v>5089</v>
      </c>
      <c r="G2516" t="s">
        <v>5099</v>
      </c>
      <c r="H2516" t="s">
        <v>1666</v>
      </c>
      <c r="J2516" t="s">
        <v>3002</v>
      </c>
      <c r="K2516">
        <v>221.6</v>
      </c>
    </row>
    <row r="2517" spans="1:11" x14ac:dyDescent="0.35">
      <c r="A2517" t="s">
        <v>3003</v>
      </c>
      <c r="B2517" s="1">
        <v>0</v>
      </c>
      <c r="C2517" t="s">
        <v>364</v>
      </c>
      <c r="D2517" t="s">
        <v>5619</v>
      </c>
      <c r="E2517" t="s">
        <v>5123</v>
      </c>
      <c r="F2517" t="s">
        <v>5089</v>
      </c>
      <c r="G2517" t="s">
        <v>5124</v>
      </c>
      <c r="H2517" t="s">
        <v>2827</v>
      </c>
      <c r="J2517" t="s">
        <v>3003</v>
      </c>
      <c r="K2517">
        <v>225.8</v>
      </c>
    </row>
    <row r="2518" spans="1:11" x14ac:dyDescent="0.35">
      <c r="A2518" t="s">
        <v>3004</v>
      </c>
      <c r="B2518" s="1">
        <v>0</v>
      </c>
      <c r="C2518" t="s">
        <v>465</v>
      </c>
      <c r="D2518" t="s">
        <v>5128</v>
      </c>
      <c r="E2518" t="s">
        <v>5276</v>
      </c>
      <c r="F2518" t="s">
        <v>5077</v>
      </c>
      <c r="G2518" t="s">
        <v>5078</v>
      </c>
      <c r="H2518" t="s">
        <v>2395</v>
      </c>
      <c r="J2518" t="s">
        <v>3004</v>
      </c>
      <c r="K2518">
        <v>222.6</v>
      </c>
    </row>
    <row r="2519" spans="1:11" x14ac:dyDescent="0.35">
      <c r="A2519" t="s">
        <v>3005</v>
      </c>
      <c r="B2519" s="1">
        <v>0</v>
      </c>
      <c r="C2519" t="s">
        <v>445</v>
      </c>
      <c r="D2519" t="s">
        <v>5542</v>
      </c>
      <c r="E2519" t="s">
        <v>5182</v>
      </c>
      <c r="F2519" t="s">
        <v>5077</v>
      </c>
      <c r="G2519" t="s">
        <v>5062</v>
      </c>
      <c r="H2519" t="s">
        <v>4518</v>
      </c>
      <c r="J2519" t="s">
        <v>3005</v>
      </c>
      <c r="K2519">
        <v>213.8</v>
      </c>
    </row>
    <row r="2520" spans="1:11" x14ac:dyDescent="0.35">
      <c r="A2520" t="s">
        <v>3006</v>
      </c>
      <c r="B2520" s="1">
        <v>0</v>
      </c>
      <c r="C2520" t="s">
        <v>2581</v>
      </c>
      <c r="D2520" t="s">
        <v>5107</v>
      </c>
      <c r="E2520" t="s">
        <v>5060</v>
      </c>
      <c r="F2520" t="s">
        <v>5077</v>
      </c>
      <c r="G2520" t="s">
        <v>5240</v>
      </c>
      <c r="H2520" t="s">
        <v>2144</v>
      </c>
      <c r="J2520" t="s">
        <v>3006</v>
      </c>
      <c r="K2520">
        <v>203.9</v>
      </c>
    </row>
    <row r="2521" spans="1:11" x14ac:dyDescent="0.35">
      <c r="A2521" t="s">
        <v>3007</v>
      </c>
      <c r="B2521" s="1">
        <v>0</v>
      </c>
      <c r="C2521" t="s">
        <v>1883</v>
      </c>
      <c r="D2521" t="s">
        <v>5491</v>
      </c>
      <c r="E2521" t="s">
        <v>5304</v>
      </c>
      <c r="F2521" t="s">
        <v>5077</v>
      </c>
      <c r="G2521" t="s">
        <v>5050</v>
      </c>
      <c r="H2521" t="s">
        <v>244</v>
      </c>
      <c r="J2521" t="s">
        <v>3007</v>
      </c>
      <c r="K2521">
        <v>204.9</v>
      </c>
    </row>
    <row r="2522" spans="1:11" x14ac:dyDescent="0.35">
      <c r="A2522" t="s">
        <v>3008</v>
      </c>
      <c r="B2522" s="1">
        <v>0</v>
      </c>
      <c r="C2522" t="s">
        <v>989</v>
      </c>
      <c r="D2522" t="s">
        <v>5128</v>
      </c>
      <c r="E2522" t="s">
        <v>5251</v>
      </c>
      <c r="F2522" t="s">
        <v>5089</v>
      </c>
      <c r="G2522" t="s">
        <v>5412</v>
      </c>
      <c r="H2522" t="s">
        <v>1206</v>
      </c>
      <c r="J2522" t="s">
        <v>3008</v>
      </c>
      <c r="K2522">
        <v>220.8</v>
      </c>
    </row>
    <row r="2523" spans="1:11" x14ac:dyDescent="0.35">
      <c r="A2523" t="s">
        <v>3009</v>
      </c>
      <c r="B2523" s="1">
        <v>0</v>
      </c>
      <c r="C2523" t="s">
        <v>4117</v>
      </c>
      <c r="D2523" t="s">
        <v>5643</v>
      </c>
      <c r="E2523" t="s">
        <v>5437</v>
      </c>
      <c r="F2523" t="s">
        <v>5089</v>
      </c>
      <c r="G2523" t="s">
        <v>5124</v>
      </c>
      <c r="H2523" t="s">
        <v>2734</v>
      </c>
      <c r="J2523" t="s">
        <v>3009</v>
      </c>
      <c r="K2523">
        <v>242.3</v>
      </c>
    </row>
    <row r="2524" spans="1:11" x14ac:dyDescent="0.35">
      <c r="A2524" t="s">
        <v>3011</v>
      </c>
      <c r="B2524" s="1">
        <v>0</v>
      </c>
      <c r="C2524" t="s">
        <v>2225</v>
      </c>
      <c r="D2524" t="s">
        <v>5460</v>
      </c>
      <c r="E2524" t="s">
        <v>5522</v>
      </c>
      <c r="F2524" t="s">
        <v>5089</v>
      </c>
      <c r="G2524" t="s">
        <v>5092</v>
      </c>
      <c r="H2524" t="s">
        <v>3907</v>
      </c>
      <c r="J2524" t="s">
        <v>3011</v>
      </c>
      <c r="K2524">
        <v>256.2</v>
      </c>
    </row>
    <row r="2525" spans="1:11" x14ac:dyDescent="0.35">
      <c r="A2525" t="s">
        <v>3013</v>
      </c>
      <c r="B2525" s="1">
        <v>0</v>
      </c>
      <c r="C2525" t="s">
        <v>5641</v>
      </c>
      <c r="D2525" t="s">
        <v>5603</v>
      </c>
      <c r="E2525" t="s">
        <v>5103</v>
      </c>
      <c r="F2525" t="s">
        <v>5089</v>
      </c>
      <c r="G2525" t="s">
        <v>5092</v>
      </c>
      <c r="H2525" t="s">
        <v>3901</v>
      </c>
      <c r="J2525" t="s">
        <v>3013</v>
      </c>
      <c r="K2525">
        <v>261</v>
      </c>
    </row>
    <row r="2526" spans="1:11" x14ac:dyDescent="0.35">
      <c r="A2526" t="s">
        <v>3015</v>
      </c>
      <c r="B2526" s="1">
        <v>0</v>
      </c>
      <c r="C2526" t="s">
        <v>494</v>
      </c>
      <c r="D2526" t="s">
        <v>5407</v>
      </c>
      <c r="E2526" t="s">
        <v>5108</v>
      </c>
      <c r="F2526" t="s">
        <v>5089</v>
      </c>
      <c r="G2526" t="s">
        <v>5116</v>
      </c>
      <c r="H2526" t="s">
        <v>3062</v>
      </c>
      <c r="J2526" t="s">
        <v>3015</v>
      </c>
      <c r="K2526">
        <v>255.5</v>
      </c>
    </row>
    <row r="2527" spans="1:11" x14ac:dyDescent="0.35">
      <c r="A2527" t="s">
        <v>3016</v>
      </c>
      <c r="B2527" s="1">
        <v>0</v>
      </c>
      <c r="C2527" t="s">
        <v>5648</v>
      </c>
      <c r="D2527" t="s">
        <v>5503</v>
      </c>
      <c r="E2527" t="s">
        <v>5200</v>
      </c>
      <c r="F2527" t="s">
        <v>5089</v>
      </c>
      <c r="G2527" t="s">
        <v>5215</v>
      </c>
      <c r="H2527" t="s">
        <v>2837</v>
      </c>
      <c r="J2527" t="s">
        <v>3016</v>
      </c>
      <c r="K2527">
        <v>241</v>
      </c>
    </row>
    <row r="2528" spans="1:11" x14ac:dyDescent="0.35">
      <c r="A2528" t="s">
        <v>3018</v>
      </c>
      <c r="B2528" s="1">
        <v>0</v>
      </c>
      <c r="C2528" t="s">
        <v>1871</v>
      </c>
      <c r="D2528" t="s">
        <v>5643</v>
      </c>
      <c r="E2528" t="s">
        <v>5137</v>
      </c>
      <c r="F2528" t="s">
        <v>5338</v>
      </c>
      <c r="G2528" t="s">
        <v>5045</v>
      </c>
      <c r="H2528" t="s">
        <v>2012</v>
      </c>
      <c r="J2528" t="s">
        <v>3018</v>
      </c>
      <c r="K2528">
        <v>239.9</v>
      </c>
    </row>
    <row r="2529" spans="1:11" x14ac:dyDescent="0.35">
      <c r="A2529" t="s">
        <v>3019</v>
      </c>
      <c r="B2529" s="1">
        <v>0</v>
      </c>
      <c r="C2529" t="s">
        <v>980</v>
      </c>
      <c r="D2529" t="s">
        <v>5274</v>
      </c>
      <c r="E2529" t="s">
        <v>5145</v>
      </c>
      <c r="F2529" t="s">
        <v>5338</v>
      </c>
      <c r="G2529" t="s">
        <v>5045</v>
      </c>
      <c r="H2529" t="s">
        <v>1308</v>
      </c>
      <c r="J2529" t="s">
        <v>3019</v>
      </c>
      <c r="K2529">
        <v>232.1</v>
      </c>
    </row>
    <row r="2530" spans="1:11" x14ac:dyDescent="0.35">
      <c r="A2530" t="s">
        <v>3020</v>
      </c>
      <c r="B2530" s="1">
        <v>0</v>
      </c>
      <c r="C2530" t="s">
        <v>347</v>
      </c>
      <c r="D2530" t="s">
        <v>5496</v>
      </c>
      <c r="E2530" t="s">
        <v>5085</v>
      </c>
      <c r="F2530" t="s">
        <v>5338</v>
      </c>
      <c r="G2530" t="s">
        <v>5089</v>
      </c>
      <c r="H2530" t="s">
        <v>2058</v>
      </c>
      <c r="J2530" t="s">
        <v>3020</v>
      </c>
      <c r="K2530">
        <v>228.8</v>
      </c>
    </row>
    <row r="2531" spans="1:11" x14ac:dyDescent="0.35">
      <c r="A2531" t="s">
        <v>3022</v>
      </c>
      <c r="B2531" s="1">
        <v>0</v>
      </c>
      <c r="C2531" t="s">
        <v>1867</v>
      </c>
      <c r="D2531" t="s">
        <v>5476</v>
      </c>
      <c r="E2531" t="s">
        <v>5069</v>
      </c>
      <c r="F2531" t="s">
        <v>5338</v>
      </c>
      <c r="G2531" t="s">
        <v>5132</v>
      </c>
      <c r="H2531" t="s">
        <v>208</v>
      </c>
      <c r="J2531" t="s">
        <v>3022</v>
      </c>
      <c r="K2531">
        <v>223</v>
      </c>
    </row>
    <row r="2532" spans="1:11" x14ac:dyDescent="0.35">
      <c r="A2532" t="s">
        <v>3023</v>
      </c>
      <c r="B2532" s="1">
        <v>0</v>
      </c>
      <c r="C2532" t="s">
        <v>2565</v>
      </c>
      <c r="D2532" t="s">
        <v>5117</v>
      </c>
      <c r="E2532" t="s">
        <v>5182</v>
      </c>
      <c r="F2532" t="s">
        <v>5152</v>
      </c>
      <c r="G2532" t="s">
        <v>5356</v>
      </c>
      <c r="H2532" t="s">
        <v>5672</v>
      </c>
      <c r="J2532" t="s">
        <v>3023</v>
      </c>
      <c r="K2532">
        <v>218.5</v>
      </c>
    </row>
    <row r="2533" spans="1:11" x14ac:dyDescent="0.35">
      <c r="A2533" t="s">
        <v>3024</v>
      </c>
      <c r="B2533" s="1">
        <v>0</v>
      </c>
      <c r="C2533" t="s">
        <v>327</v>
      </c>
      <c r="D2533" t="s">
        <v>5452</v>
      </c>
      <c r="E2533" t="s">
        <v>5272</v>
      </c>
      <c r="F2533" t="s">
        <v>5152</v>
      </c>
      <c r="G2533" t="s">
        <v>5356</v>
      </c>
      <c r="H2533" t="s">
        <v>2095</v>
      </c>
      <c r="J2533" t="s">
        <v>3024</v>
      </c>
      <c r="K2533">
        <v>220.2</v>
      </c>
    </row>
    <row r="2534" spans="1:11" x14ac:dyDescent="0.35">
      <c r="A2534" t="s">
        <v>3025</v>
      </c>
      <c r="B2534" s="1">
        <v>0</v>
      </c>
      <c r="C2534" t="s">
        <v>335</v>
      </c>
      <c r="D2534" t="s">
        <v>5233</v>
      </c>
      <c r="E2534" t="s">
        <v>5105</v>
      </c>
      <c r="F2534" t="s">
        <v>5338</v>
      </c>
      <c r="G2534" t="s">
        <v>5356</v>
      </c>
      <c r="H2534" t="s">
        <v>739</v>
      </c>
      <c r="J2534" t="s">
        <v>3025</v>
      </c>
      <c r="K2534">
        <v>227.8</v>
      </c>
    </row>
    <row r="2535" spans="1:11" x14ac:dyDescent="0.35">
      <c r="A2535" t="s">
        <v>3026</v>
      </c>
      <c r="B2535" s="1">
        <v>0</v>
      </c>
      <c r="C2535" t="s">
        <v>471</v>
      </c>
      <c r="D2535" t="s">
        <v>5521</v>
      </c>
      <c r="E2535" t="s">
        <v>5072</v>
      </c>
      <c r="F2535" t="s">
        <v>5338</v>
      </c>
      <c r="G2535" t="s">
        <v>5355</v>
      </c>
      <c r="H2535" t="s">
        <v>5726</v>
      </c>
      <c r="J2535" t="s">
        <v>3026</v>
      </c>
      <c r="K2535">
        <v>237.4</v>
      </c>
    </row>
    <row r="2536" spans="1:11" x14ac:dyDescent="0.35">
      <c r="A2536" t="s">
        <v>3027</v>
      </c>
      <c r="B2536" s="1">
        <v>0</v>
      </c>
      <c r="C2536" t="s">
        <v>2274</v>
      </c>
      <c r="D2536" t="s">
        <v>5087</v>
      </c>
      <c r="E2536" t="s">
        <v>5085</v>
      </c>
      <c r="F2536" t="s">
        <v>5338</v>
      </c>
      <c r="G2536" t="s">
        <v>5332</v>
      </c>
      <c r="H2536" t="s">
        <v>1259</v>
      </c>
      <c r="J2536" t="s">
        <v>3027</v>
      </c>
      <c r="K2536">
        <v>238</v>
      </c>
    </row>
    <row r="2537" spans="1:11" x14ac:dyDescent="0.35">
      <c r="A2537" t="s">
        <v>3030</v>
      </c>
      <c r="B2537" s="1">
        <v>0</v>
      </c>
      <c r="C2537" t="s">
        <v>358</v>
      </c>
      <c r="D2537" t="s">
        <v>5087</v>
      </c>
      <c r="E2537" t="s">
        <v>5088</v>
      </c>
      <c r="F2537" t="s">
        <v>5152</v>
      </c>
      <c r="G2537" t="s">
        <v>5332</v>
      </c>
      <c r="H2537" t="s">
        <v>3602</v>
      </c>
      <c r="J2537" t="s">
        <v>3030</v>
      </c>
      <c r="K2537">
        <v>233.4</v>
      </c>
    </row>
    <row r="2538" spans="1:11" x14ac:dyDescent="0.35">
      <c r="A2538" t="s">
        <v>3031</v>
      </c>
      <c r="B2538" s="1">
        <v>0</v>
      </c>
      <c r="C2538" t="s">
        <v>457</v>
      </c>
      <c r="D2538" t="s">
        <v>5246</v>
      </c>
      <c r="E2538" t="s">
        <v>5229</v>
      </c>
      <c r="F2538" t="s">
        <v>5152</v>
      </c>
      <c r="G2538" t="s">
        <v>5493</v>
      </c>
      <c r="H2538" t="s">
        <v>769</v>
      </c>
      <c r="J2538" t="s">
        <v>3031</v>
      </c>
      <c r="K2538">
        <v>222.2</v>
      </c>
    </row>
    <row r="2539" spans="1:11" x14ac:dyDescent="0.35">
      <c r="A2539" t="s">
        <v>3033</v>
      </c>
      <c r="B2539" s="1">
        <v>0</v>
      </c>
      <c r="C2539" t="s">
        <v>365</v>
      </c>
      <c r="D2539" t="s">
        <v>5541</v>
      </c>
      <c r="E2539" t="s">
        <v>5063</v>
      </c>
      <c r="F2539" t="s">
        <v>5152</v>
      </c>
      <c r="G2539" t="s">
        <v>5356</v>
      </c>
      <c r="H2539" t="s">
        <v>767</v>
      </c>
      <c r="J2539" t="s">
        <v>3033</v>
      </c>
      <c r="K2539">
        <v>217.3</v>
      </c>
    </row>
    <row r="2540" spans="1:11" x14ac:dyDescent="0.35">
      <c r="A2540" t="s">
        <v>3034</v>
      </c>
      <c r="B2540" s="1">
        <v>0</v>
      </c>
      <c r="C2540" t="s">
        <v>478</v>
      </c>
      <c r="D2540" t="s">
        <v>5104</v>
      </c>
      <c r="E2540" t="s">
        <v>5096</v>
      </c>
      <c r="F2540" t="s">
        <v>5152</v>
      </c>
      <c r="G2540" t="s">
        <v>5136</v>
      </c>
      <c r="H2540" t="s">
        <v>3017</v>
      </c>
      <c r="J2540" t="s">
        <v>3034</v>
      </c>
      <c r="K2540">
        <v>221.3</v>
      </c>
    </row>
    <row r="2541" spans="1:11" x14ac:dyDescent="0.35">
      <c r="A2541" t="s">
        <v>3036</v>
      </c>
      <c r="B2541" s="1">
        <v>0</v>
      </c>
      <c r="C2541" t="s">
        <v>360</v>
      </c>
      <c r="D2541" t="s">
        <v>5574</v>
      </c>
      <c r="E2541" t="s">
        <v>5067</v>
      </c>
      <c r="F2541" t="s">
        <v>5152</v>
      </c>
      <c r="G2541" t="s">
        <v>5355</v>
      </c>
      <c r="H2541" t="s">
        <v>4763</v>
      </c>
      <c r="J2541" t="s">
        <v>3036</v>
      </c>
      <c r="K2541">
        <v>228</v>
      </c>
    </row>
    <row r="2542" spans="1:11" x14ac:dyDescent="0.35">
      <c r="A2542" t="s">
        <v>3039</v>
      </c>
      <c r="B2542" s="1">
        <v>0</v>
      </c>
      <c r="C2542" t="s">
        <v>360</v>
      </c>
      <c r="D2542" t="s">
        <v>5591</v>
      </c>
      <c r="E2542" t="s">
        <v>5218</v>
      </c>
      <c r="F2542" t="s">
        <v>5152</v>
      </c>
      <c r="G2542" t="s">
        <v>5493</v>
      </c>
      <c r="H2542" t="s">
        <v>2031</v>
      </c>
      <c r="J2542" t="s">
        <v>3039</v>
      </c>
      <c r="K2542">
        <v>228.2</v>
      </c>
    </row>
    <row r="2543" spans="1:11" x14ac:dyDescent="0.35">
      <c r="A2543" t="s">
        <v>3040</v>
      </c>
      <c r="B2543" s="1">
        <v>0</v>
      </c>
      <c r="C2543" t="s">
        <v>2267</v>
      </c>
      <c r="D2543" t="s">
        <v>5269</v>
      </c>
      <c r="E2543" t="s">
        <v>5229</v>
      </c>
      <c r="F2543" t="s">
        <v>5152</v>
      </c>
      <c r="G2543" t="s">
        <v>5355</v>
      </c>
      <c r="H2543" t="s">
        <v>2041</v>
      </c>
      <c r="J2543" t="s">
        <v>3040</v>
      </c>
      <c r="K2543">
        <v>229.4</v>
      </c>
    </row>
    <row r="2544" spans="1:11" x14ac:dyDescent="0.35">
      <c r="A2544" t="s">
        <v>3041</v>
      </c>
      <c r="B2544" s="1">
        <v>0</v>
      </c>
      <c r="C2544" t="s">
        <v>5648</v>
      </c>
      <c r="D2544" t="s">
        <v>5590</v>
      </c>
      <c r="E2544" t="s">
        <v>5453</v>
      </c>
      <c r="F2544" t="s">
        <v>5338</v>
      </c>
      <c r="G2544" t="s">
        <v>5332</v>
      </c>
      <c r="H2544" t="s">
        <v>3937</v>
      </c>
      <c r="J2544" t="s">
        <v>3041</v>
      </c>
      <c r="K2544">
        <v>235.3</v>
      </c>
    </row>
    <row r="2545" spans="1:11" x14ac:dyDescent="0.35">
      <c r="A2545" t="s">
        <v>3043</v>
      </c>
      <c r="B2545" s="1">
        <v>0</v>
      </c>
      <c r="C2545" t="s">
        <v>5659</v>
      </c>
      <c r="D2545" t="s">
        <v>5497</v>
      </c>
      <c r="E2545" t="s">
        <v>5088</v>
      </c>
      <c r="F2545" t="s">
        <v>5338</v>
      </c>
      <c r="G2545" t="s">
        <v>5501</v>
      </c>
      <c r="H2545" t="s">
        <v>5677</v>
      </c>
      <c r="J2545" t="s">
        <v>3043</v>
      </c>
      <c r="K2545">
        <v>241.9</v>
      </c>
    </row>
    <row r="2546" spans="1:11" x14ac:dyDescent="0.35">
      <c r="A2546" t="s">
        <v>3046</v>
      </c>
      <c r="B2546" s="1">
        <v>0</v>
      </c>
      <c r="C2546" t="s">
        <v>307</v>
      </c>
      <c r="D2546" t="s">
        <v>5612</v>
      </c>
      <c r="E2546" t="s">
        <v>5441</v>
      </c>
      <c r="F2546" t="s">
        <v>5338</v>
      </c>
      <c r="G2546" t="s">
        <v>5333</v>
      </c>
      <c r="H2546" t="s">
        <v>3322</v>
      </c>
      <c r="J2546" t="s">
        <v>3046</v>
      </c>
      <c r="K2546">
        <v>248.6</v>
      </c>
    </row>
    <row r="2547" spans="1:11" x14ac:dyDescent="0.35">
      <c r="A2547" t="s">
        <v>3049</v>
      </c>
      <c r="B2547" s="1">
        <v>0</v>
      </c>
      <c r="C2547" t="s">
        <v>4116</v>
      </c>
      <c r="D2547" t="s">
        <v>5273</v>
      </c>
      <c r="E2547" t="s">
        <v>5093</v>
      </c>
      <c r="F2547" t="s">
        <v>5338</v>
      </c>
      <c r="G2547" t="s">
        <v>5501</v>
      </c>
      <c r="H2547" t="s">
        <v>4210</v>
      </c>
      <c r="J2547" t="s">
        <v>3049</v>
      </c>
      <c r="K2547">
        <v>240.2</v>
      </c>
    </row>
    <row r="2548" spans="1:11" x14ac:dyDescent="0.35">
      <c r="A2548" t="s">
        <v>3052</v>
      </c>
      <c r="B2548" s="1">
        <v>0</v>
      </c>
      <c r="C2548" t="s">
        <v>475</v>
      </c>
      <c r="D2548" t="s">
        <v>5537</v>
      </c>
      <c r="E2548" t="s">
        <v>5096</v>
      </c>
      <c r="F2548" t="s">
        <v>5338</v>
      </c>
      <c r="G2548" t="s">
        <v>5356</v>
      </c>
      <c r="H2548" t="s">
        <v>730</v>
      </c>
      <c r="J2548" t="s">
        <v>3052</v>
      </c>
      <c r="K2548">
        <v>222.8</v>
      </c>
    </row>
    <row r="2549" spans="1:11" x14ac:dyDescent="0.35">
      <c r="A2549" t="s">
        <v>3053</v>
      </c>
      <c r="B2549" s="1">
        <v>0</v>
      </c>
      <c r="C2549" t="s">
        <v>1521</v>
      </c>
      <c r="D2549" t="s">
        <v>5481</v>
      </c>
      <c r="E2549" t="s">
        <v>5120</v>
      </c>
      <c r="F2549" t="s">
        <v>5338</v>
      </c>
      <c r="G2549" t="s">
        <v>5089</v>
      </c>
      <c r="H2549" t="s">
        <v>3911</v>
      </c>
      <c r="J2549" t="s">
        <v>3053</v>
      </c>
      <c r="K2549">
        <v>210.9</v>
      </c>
    </row>
    <row r="2550" spans="1:11" x14ac:dyDescent="0.35">
      <c r="A2550" t="s">
        <v>3054</v>
      </c>
      <c r="B2550" s="1">
        <v>0</v>
      </c>
      <c r="C2550" t="s">
        <v>2604</v>
      </c>
      <c r="D2550" t="s">
        <v>5573</v>
      </c>
      <c r="E2550" t="s">
        <v>5276</v>
      </c>
      <c r="F2550" t="s">
        <v>5338</v>
      </c>
      <c r="G2550" t="s">
        <v>5089</v>
      </c>
      <c r="H2550" t="s">
        <v>663</v>
      </c>
      <c r="J2550" t="s">
        <v>3054</v>
      </c>
      <c r="K2550">
        <v>212.6</v>
      </c>
    </row>
    <row r="2551" spans="1:11" x14ac:dyDescent="0.35">
      <c r="A2551" t="s">
        <v>3055</v>
      </c>
      <c r="B2551" s="1">
        <v>0</v>
      </c>
      <c r="C2551" t="s">
        <v>342</v>
      </c>
      <c r="D2551" t="s">
        <v>5242</v>
      </c>
      <c r="E2551" t="s">
        <v>5096</v>
      </c>
      <c r="F2551" t="s">
        <v>5152</v>
      </c>
      <c r="G2551" t="s">
        <v>5132</v>
      </c>
      <c r="H2551" t="s">
        <v>3639</v>
      </c>
      <c r="J2551" t="s">
        <v>3055</v>
      </c>
      <c r="K2551">
        <v>223.5</v>
      </c>
    </row>
    <row r="2552" spans="1:11" x14ac:dyDescent="0.35">
      <c r="A2552" t="s">
        <v>3056</v>
      </c>
      <c r="B2552" s="1">
        <v>0</v>
      </c>
      <c r="C2552" t="s">
        <v>334</v>
      </c>
      <c r="D2552" t="s">
        <v>5128</v>
      </c>
      <c r="E2552" t="s">
        <v>5085</v>
      </c>
      <c r="F2552" t="s">
        <v>5152</v>
      </c>
      <c r="G2552" t="s">
        <v>5132</v>
      </c>
      <c r="H2552" t="s">
        <v>2446</v>
      </c>
      <c r="J2552" t="s">
        <v>3056</v>
      </c>
      <c r="K2552">
        <v>229.9</v>
      </c>
    </row>
    <row r="2553" spans="1:11" x14ac:dyDescent="0.35">
      <c r="A2553" t="s">
        <v>3057</v>
      </c>
      <c r="B2553" s="1">
        <v>0</v>
      </c>
      <c r="C2553" t="s">
        <v>325</v>
      </c>
      <c r="D2553" t="s">
        <v>5510</v>
      </c>
      <c r="E2553" t="s">
        <v>5125</v>
      </c>
      <c r="F2553" t="s">
        <v>5152</v>
      </c>
      <c r="G2553" t="s">
        <v>5358</v>
      </c>
      <c r="H2553" t="s">
        <v>3958</v>
      </c>
      <c r="J2553" t="s">
        <v>3057</v>
      </c>
      <c r="K2553">
        <v>232</v>
      </c>
    </row>
    <row r="2554" spans="1:11" x14ac:dyDescent="0.35">
      <c r="A2554" t="s">
        <v>3058</v>
      </c>
      <c r="B2554" s="1">
        <v>0</v>
      </c>
      <c r="C2554" t="s">
        <v>458</v>
      </c>
      <c r="D2554" t="s">
        <v>5643</v>
      </c>
      <c r="E2554" t="s">
        <v>5114</v>
      </c>
      <c r="F2554" t="s">
        <v>5152</v>
      </c>
      <c r="G2554" t="s">
        <v>5356</v>
      </c>
      <c r="H2554" t="s">
        <v>3051</v>
      </c>
      <c r="J2554" t="s">
        <v>3058</v>
      </c>
      <c r="K2554">
        <v>237.1</v>
      </c>
    </row>
    <row r="2555" spans="1:11" x14ac:dyDescent="0.35">
      <c r="A2555" t="s">
        <v>3059</v>
      </c>
      <c r="B2555" s="1">
        <v>0</v>
      </c>
      <c r="C2555" t="s">
        <v>2274</v>
      </c>
      <c r="D2555" t="s">
        <v>5263</v>
      </c>
      <c r="E2555" t="s">
        <v>5440</v>
      </c>
      <c r="F2555" t="s">
        <v>5338</v>
      </c>
      <c r="G2555" t="s">
        <v>5355</v>
      </c>
      <c r="H2555" t="s">
        <v>3976</v>
      </c>
      <c r="J2555" t="s">
        <v>3059</v>
      </c>
      <c r="K2555">
        <v>252.2</v>
      </c>
    </row>
    <row r="2556" spans="1:11" x14ac:dyDescent="0.35">
      <c r="A2556" t="s">
        <v>3060</v>
      </c>
      <c r="B2556" s="1">
        <v>0</v>
      </c>
      <c r="C2556" t="s">
        <v>5637</v>
      </c>
      <c r="D2556" t="s">
        <v>2241</v>
      </c>
      <c r="E2556" t="s">
        <v>5190</v>
      </c>
      <c r="F2556" t="s">
        <v>5338</v>
      </c>
      <c r="G2556" t="s">
        <v>5501</v>
      </c>
      <c r="H2556" t="s">
        <v>3972</v>
      </c>
      <c r="J2556" t="s">
        <v>3060</v>
      </c>
      <c r="K2556">
        <v>266.39999999999998</v>
      </c>
    </row>
    <row r="2557" spans="1:11" x14ac:dyDescent="0.35">
      <c r="A2557" t="s">
        <v>3061</v>
      </c>
      <c r="B2557" s="1">
        <v>0</v>
      </c>
      <c r="C2557" t="s">
        <v>2562</v>
      </c>
      <c r="D2557" t="s">
        <v>1015</v>
      </c>
      <c r="E2557" t="s">
        <v>5485</v>
      </c>
      <c r="F2557" t="s">
        <v>5338</v>
      </c>
      <c r="G2557" t="s">
        <v>5341</v>
      </c>
      <c r="H2557" t="s">
        <v>5790</v>
      </c>
      <c r="J2557" t="s">
        <v>3061</v>
      </c>
      <c r="K2557">
        <v>275</v>
      </c>
    </row>
    <row r="2558" spans="1:11" x14ac:dyDescent="0.35">
      <c r="A2558" t="s">
        <v>3063</v>
      </c>
      <c r="B2558" s="1">
        <v>0</v>
      </c>
      <c r="C2558" t="s">
        <v>312</v>
      </c>
      <c r="D2558" t="s">
        <v>2237</v>
      </c>
      <c r="E2558" t="s">
        <v>5133</v>
      </c>
      <c r="F2558" t="s">
        <v>5338</v>
      </c>
      <c r="G2558" t="s">
        <v>5340</v>
      </c>
      <c r="H2558" t="s">
        <v>5791</v>
      </c>
      <c r="J2558" t="s">
        <v>3063</v>
      </c>
      <c r="K2558">
        <v>271.60000000000002</v>
      </c>
    </row>
    <row r="2559" spans="1:11" x14ac:dyDescent="0.35">
      <c r="A2559" t="s">
        <v>3066</v>
      </c>
      <c r="B2559" s="1">
        <v>0</v>
      </c>
      <c r="C2559" t="s">
        <v>1560</v>
      </c>
      <c r="D2559" t="s">
        <v>428</v>
      </c>
      <c r="E2559" t="s">
        <v>5245</v>
      </c>
      <c r="F2559" t="s">
        <v>5089</v>
      </c>
      <c r="G2559" t="s">
        <v>5166</v>
      </c>
      <c r="H2559" t="s">
        <v>5661</v>
      </c>
      <c r="J2559" t="s">
        <v>3066</v>
      </c>
      <c r="K2559">
        <v>256.60000000000002</v>
      </c>
    </row>
    <row r="2560" spans="1:11" x14ac:dyDescent="0.35">
      <c r="A2560" t="s">
        <v>3068</v>
      </c>
      <c r="B2560" s="1">
        <v>0</v>
      </c>
      <c r="C2560" t="s">
        <v>1474</v>
      </c>
      <c r="D2560" t="s">
        <v>5581</v>
      </c>
      <c r="E2560" t="s">
        <v>5437</v>
      </c>
      <c r="F2560" t="s">
        <v>5089</v>
      </c>
      <c r="G2560" t="s">
        <v>5166</v>
      </c>
      <c r="H2560" t="s">
        <v>3350</v>
      </c>
      <c r="J2560" t="s">
        <v>3068</v>
      </c>
      <c r="K2560">
        <v>244.5</v>
      </c>
    </row>
    <row r="2561" spans="1:11" x14ac:dyDescent="0.35">
      <c r="A2561" t="s">
        <v>3069</v>
      </c>
      <c r="B2561" s="1">
        <v>0</v>
      </c>
      <c r="C2561" t="s">
        <v>2272</v>
      </c>
      <c r="D2561" t="s">
        <v>5232</v>
      </c>
      <c r="E2561" t="s">
        <v>5218</v>
      </c>
      <c r="F2561" t="s">
        <v>5089</v>
      </c>
      <c r="G2561" t="s">
        <v>5340</v>
      </c>
      <c r="H2561" t="s">
        <v>3939</v>
      </c>
      <c r="J2561" t="s">
        <v>3069</v>
      </c>
      <c r="K2561">
        <v>234.3</v>
      </c>
    </row>
    <row r="2562" spans="1:11" x14ac:dyDescent="0.35">
      <c r="A2562" t="s">
        <v>3070</v>
      </c>
      <c r="B2562" s="1">
        <v>0</v>
      </c>
      <c r="C2562" t="s">
        <v>2605</v>
      </c>
      <c r="D2562" t="s">
        <v>5509</v>
      </c>
      <c r="E2562" t="s">
        <v>5276</v>
      </c>
      <c r="F2562" t="s">
        <v>5089</v>
      </c>
      <c r="G2562" t="s">
        <v>5341</v>
      </c>
      <c r="H2562" t="s">
        <v>738</v>
      </c>
      <c r="J2562" t="s">
        <v>3070</v>
      </c>
      <c r="K2562">
        <v>228.6</v>
      </c>
    </row>
    <row r="2563" spans="1:11" x14ac:dyDescent="0.35">
      <c r="A2563" t="s">
        <v>3071</v>
      </c>
      <c r="B2563" s="1">
        <v>0</v>
      </c>
      <c r="C2563" t="s">
        <v>460</v>
      </c>
      <c r="D2563" t="s">
        <v>5112</v>
      </c>
      <c r="E2563" t="s">
        <v>5102</v>
      </c>
      <c r="F2563" t="s">
        <v>5089</v>
      </c>
      <c r="G2563" t="s">
        <v>5332</v>
      </c>
      <c r="H2563" t="s">
        <v>3656</v>
      </c>
      <c r="J2563" t="s">
        <v>3071</v>
      </c>
      <c r="K2563">
        <v>224.3</v>
      </c>
    </row>
    <row r="2564" spans="1:11" x14ac:dyDescent="0.35">
      <c r="A2564" t="s">
        <v>3072</v>
      </c>
      <c r="B2564" s="1">
        <v>0</v>
      </c>
      <c r="C2564" t="s">
        <v>358</v>
      </c>
      <c r="D2564" t="s">
        <v>5384</v>
      </c>
      <c r="E2564" t="s">
        <v>5162</v>
      </c>
      <c r="F2564" t="s">
        <v>5089</v>
      </c>
      <c r="G2564" t="s">
        <v>5332</v>
      </c>
      <c r="H2564" t="s">
        <v>5025</v>
      </c>
      <c r="J2564" t="s">
        <v>3072</v>
      </c>
      <c r="K2564">
        <v>223.2</v>
      </c>
    </row>
    <row r="2565" spans="1:11" x14ac:dyDescent="0.35">
      <c r="A2565" t="s">
        <v>3073</v>
      </c>
      <c r="B2565" s="1">
        <v>0</v>
      </c>
      <c r="C2565" t="s">
        <v>987</v>
      </c>
      <c r="D2565" t="s">
        <v>5389</v>
      </c>
      <c r="E2565" t="s">
        <v>5219</v>
      </c>
      <c r="F2565" t="s">
        <v>5089</v>
      </c>
      <c r="G2565" t="s">
        <v>5332</v>
      </c>
      <c r="H2565" t="s">
        <v>2095</v>
      </c>
      <c r="J2565" t="s">
        <v>3073</v>
      </c>
      <c r="K2565">
        <v>220.2</v>
      </c>
    </row>
    <row r="2566" spans="1:11" x14ac:dyDescent="0.35">
      <c r="A2566" t="s">
        <v>3074</v>
      </c>
      <c r="B2566" s="1">
        <v>0</v>
      </c>
      <c r="C2566" t="s">
        <v>980</v>
      </c>
      <c r="D2566" t="s">
        <v>5366</v>
      </c>
      <c r="E2566" t="s">
        <v>5255</v>
      </c>
      <c r="F2566" t="s">
        <v>5077</v>
      </c>
      <c r="G2566" t="s">
        <v>5332</v>
      </c>
      <c r="H2566" t="s">
        <v>5742</v>
      </c>
      <c r="J2566" t="s">
        <v>3074</v>
      </c>
      <c r="K2566">
        <v>214.8</v>
      </c>
    </row>
    <row r="2567" spans="1:11" x14ac:dyDescent="0.35">
      <c r="A2567" t="s">
        <v>3076</v>
      </c>
      <c r="B2567" s="1">
        <v>0</v>
      </c>
      <c r="C2567" t="s">
        <v>979</v>
      </c>
      <c r="D2567" t="s">
        <v>5370</v>
      </c>
      <c r="E2567" t="s">
        <v>5068</v>
      </c>
      <c r="F2567" t="s">
        <v>5077</v>
      </c>
      <c r="G2567" t="s">
        <v>5355</v>
      </c>
      <c r="H2567" t="s">
        <v>2343</v>
      </c>
      <c r="J2567" t="s">
        <v>3076</v>
      </c>
      <c r="K2567">
        <v>214.6</v>
      </c>
    </row>
    <row r="2568" spans="1:11" x14ac:dyDescent="0.35">
      <c r="A2568" t="s">
        <v>3078</v>
      </c>
      <c r="B2568" s="1">
        <v>0</v>
      </c>
      <c r="C2568" t="s">
        <v>1469</v>
      </c>
      <c r="D2568" t="s">
        <v>5484</v>
      </c>
      <c r="E2568" t="s">
        <v>5160</v>
      </c>
      <c r="F2568" t="s">
        <v>5077</v>
      </c>
      <c r="G2568" t="s">
        <v>5493</v>
      </c>
      <c r="H2568" t="s">
        <v>1841</v>
      </c>
      <c r="J2568" t="s">
        <v>3078</v>
      </c>
      <c r="K2568">
        <v>220.4</v>
      </c>
    </row>
    <row r="2569" spans="1:11" x14ac:dyDescent="0.35">
      <c r="A2569" t="s">
        <v>3079</v>
      </c>
      <c r="B2569" s="1">
        <v>0</v>
      </c>
      <c r="C2569" t="s">
        <v>1480</v>
      </c>
      <c r="D2569" t="s">
        <v>5080</v>
      </c>
      <c r="E2569" t="s">
        <v>5160</v>
      </c>
      <c r="F2569" t="s">
        <v>5077</v>
      </c>
      <c r="G2569" t="s">
        <v>5136</v>
      </c>
      <c r="H2569" t="s">
        <v>1306</v>
      </c>
      <c r="J2569" t="s">
        <v>3079</v>
      </c>
      <c r="K2569">
        <v>220</v>
      </c>
    </row>
    <row r="2570" spans="1:11" x14ac:dyDescent="0.35">
      <c r="A2570" t="s">
        <v>3082</v>
      </c>
      <c r="B2570" s="1">
        <v>0</v>
      </c>
      <c r="C2570" t="s">
        <v>364</v>
      </c>
      <c r="D2570" t="s">
        <v>5486</v>
      </c>
      <c r="E2570" t="s">
        <v>5434</v>
      </c>
      <c r="F2570" t="s">
        <v>5077</v>
      </c>
      <c r="G2570" t="s">
        <v>5356</v>
      </c>
      <c r="H2570" t="s">
        <v>2696</v>
      </c>
      <c r="J2570" t="s">
        <v>3082</v>
      </c>
      <c r="K2570">
        <v>216.4</v>
      </c>
    </row>
    <row r="2571" spans="1:11" x14ac:dyDescent="0.35">
      <c r="A2571" t="s">
        <v>3083</v>
      </c>
      <c r="B2571" s="1">
        <v>0</v>
      </c>
      <c r="C2571" t="s">
        <v>327</v>
      </c>
      <c r="D2571" t="s">
        <v>5558</v>
      </c>
      <c r="E2571" t="s">
        <v>5192</v>
      </c>
      <c r="F2571" t="s">
        <v>5077</v>
      </c>
      <c r="G2571" t="s">
        <v>5493</v>
      </c>
      <c r="H2571" t="s">
        <v>3658</v>
      </c>
      <c r="J2571" t="s">
        <v>3083</v>
      </c>
      <c r="K2571">
        <v>218.8</v>
      </c>
    </row>
    <row r="2572" spans="1:11" x14ac:dyDescent="0.35">
      <c r="A2572" t="s">
        <v>3084</v>
      </c>
      <c r="B2572" s="1">
        <v>0</v>
      </c>
      <c r="C2572" t="s">
        <v>2266</v>
      </c>
      <c r="D2572" t="s">
        <v>5126</v>
      </c>
      <c r="E2572" t="s">
        <v>5448</v>
      </c>
      <c r="F2572" t="s">
        <v>5077</v>
      </c>
      <c r="G2572" t="s">
        <v>5355</v>
      </c>
      <c r="H2572" t="s">
        <v>2384</v>
      </c>
      <c r="J2572" t="s">
        <v>3084</v>
      </c>
      <c r="K2572">
        <v>227.1</v>
      </c>
    </row>
    <row r="2573" spans="1:11" x14ac:dyDescent="0.35">
      <c r="A2573" t="s">
        <v>3085</v>
      </c>
      <c r="B2573" s="1">
        <v>0</v>
      </c>
      <c r="C2573" t="s">
        <v>2272</v>
      </c>
      <c r="D2573" t="s">
        <v>5217</v>
      </c>
      <c r="E2573" t="s">
        <v>5213</v>
      </c>
      <c r="F2573" t="s">
        <v>5077</v>
      </c>
      <c r="G2573" t="s">
        <v>5493</v>
      </c>
      <c r="H2573" t="s">
        <v>3654</v>
      </c>
      <c r="J2573" t="s">
        <v>3085</v>
      </c>
      <c r="K2573">
        <v>231.5</v>
      </c>
    </row>
    <row r="2574" spans="1:11" x14ac:dyDescent="0.35">
      <c r="A2574" t="s">
        <v>3087</v>
      </c>
      <c r="B2574" s="1">
        <v>0</v>
      </c>
      <c r="C2574" t="s">
        <v>1472</v>
      </c>
      <c r="D2574" t="s">
        <v>5271</v>
      </c>
      <c r="E2574" t="s">
        <v>5276</v>
      </c>
      <c r="F2574" t="s">
        <v>5077</v>
      </c>
      <c r="G2574" t="s">
        <v>5136</v>
      </c>
      <c r="H2574" t="s">
        <v>223</v>
      </c>
      <c r="J2574" t="s">
        <v>3087</v>
      </c>
      <c r="K2574">
        <v>228.7</v>
      </c>
    </row>
    <row r="2575" spans="1:11" x14ac:dyDescent="0.35">
      <c r="A2575" t="s">
        <v>3089</v>
      </c>
      <c r="B2575" s="1">
        <v>0</v>
      </c>
      <c r="C2575" t="s">
        <v>1473</v>
      </c>
      <c r="D2575" t="s">
        <v>5541</v>
      </c>
      <c r="E2575" t="s">
        <v>5102</v>
      </c>
      <c r="F2575" t="s">
        <v>5077</v>
      </c>
      <c r="G2575" t="s">
        <v>5356</v>
      </c>
      <c r="H2575" t="s">
        <v>741</v>
      </c>
      <c r="J2575" t="s">
        <v>3089</v>
      </c>
      <c r="K2575">
        <v>226.1</v>
      </c>
    </row>
    <row r="2576" spans="1:11" x14ac:dyDescent="0.35">
      <c r="A2576" t="s">
        <v>3090</v>
      </c>
      <c r="B2576" s="1">
        <v>0</v>
      </c>
      <c r="C2576" t="s">
        <v>468</v>
      </c>
      <c r="D2576" t="s">
        <v>5573</v>
      </c>
      <c r="E2576" t="s">
        <v>5162</v>
      </c>
      <c r="F2576" t="s">
        <v>5089</v>
      </c>
      <c r="G2576" t="s">
        <v>5136</v>
      </c>
      <c r="H2576" t="s">
        <v>3038</v>
      </c>
      <c r="J2576" t="s">
        <v>3090</v>
      </c>
      <c r="K2576">
        <v>223.3</v>
      </c>
    </row>
    <row r="2577" spans="1:11" x14ac:dyDescent="0.35">
      <c r="A2577" t="s">
        <v>3091</v>
      </c>
      <c r="B2577" s="1">
        <v>0</v>
      </c>
      <c r="C2577" t="s">
        <v>1866</v>
      </c>
      <c r="D2577" t="s">
        <v>5384</v>
      </c>
      <c r="E2577" t="s">
        <v>5208</v>
      </c>
      <c r="F2577" t="s">
        <v>5089</v>
      </c>
      <c r="G2577" t="s">
        <v>5136</v>
      </c>
      <c r="H2577" t="s">
        <v>1717</v>
      </c>
      <c r="J2577" t="s">
        <v>3091</v>
      </c>
      <c r="K2577">
        <v>221</v>
      </c>
    </row>
    <row r="2578" spans="1:11" x14ac:dyDescent="0.35">
      <c r="A2578" t="s">
        <v>3092</v>
      </c>
      <c r="B2578" s="1">
        <v>0</v>
      </c>
      <c r="C2578" t="s">
        <v>1482</v>
      </c>
      <c r="D2578" t="s">
        <v>5518</v>
      </c>
      <c r="E2578" t="s">
        <v>5066</v>
      </c>
      <c r="F2578" t="s">
        <v>5089</v>
      </c>
      <c r="G2578" t="s">
        <v>5136</v>
      </c>
      <c r="H2578" t="s">
        <v>2407</v>
      </c>
      <c r="J2578" t="s">
        <v>3092</v>
      </c>
      <c r="K2578">
        <v>218.3</v>
      </c>
    </row>
    <row r="2579" spans="1:11" x14ac:dyDescent="0.35">
      <c r="A2579" t="s">
        <v>3093</v>
      </c>
      <c r="B2579" s="1">
        <v>0</v>
      </c>
      <c r="C2579" t="s">
        <v>981</v>
      </c>
      <c r="D2579" t="s">
        <v>5083</v>
      </c>
      <c r="E2579" t="s">
        <v>5255</v>
      </c>
      <c r="F2579" t="s">
        <v>5089</v>
      </c>
      <c r="G2579" t="s">
        <v>5136</v>
      </c>
      <c r="H2579" t="s">
        <v>1209</v>
      </c>
      <c r="J2579" t="s">
        <v>3093</v>
      </c>
      <c r="K2579">
        <v>215.2</v>
      </c>
    </row>
    <row r="2580" spans="1:11" x14ac:dyDescent="0.35">
      <c r="A2580" t="s">
        <v>3094</v>
      </c>
      <c r="B2580" s="1">
        <v>0</v>
      </c>
      <c r="C2580" t="s">
        <v>325</v>
      </c>
      <c r="D2580" t="s">
        <v>5097</v>
      </c>
      <c r="E2580" t="s">
        <v>5170</v>
      </c>
      <c r="F2580" t="s">
        <v>5089</v>
      </c>
      <c r="G2580" t="s">
        <v>5132</v>
      </c>
      <c r="H2580" t="s">
        <v>1303</v>
      </c>
      <c r="J2580" t="s">
        <v>3094</v>
      </c>
      <c r="K2580">
        <v>210.4</v>
      </c>
    </row>
    <row r="2581" spans="1:11" x14ac:dyDescent="0.35">
      <c r="A2581" t="s">
        <v>3095</v>
      </c>
      <c r="B2581" s="1">
        <v>0</v>
      </c>
      <c r="C2581" t="s">
        <v>348</v>
      </c>
      <c r="D2581" t="s">
        <v>5531</v>
      </c>
      <c r="E2581" t="s">
        <v>5425</v>
      </c>
      <c r="F2581" t="s">
        <v>5077</v>
      </c>
      <c r="G2581" t="s">
        <v>5358</v>
      </c>
      <c r="H2581" t="s">
        <v>2825</v>
      </c>
      <c r="J2581" t="s">
        <v>3095</v>
      </c>
      <c r="K2581">
        <v>203.8</v>
      </c>
    </row>
    <row r="2582" spans="1:11" x14ac:dyDescent="0.35">
      <c r="A2582" t="s">
        <v>3096</v>
      </c>
      <c r="B2582" s="1">
        <v>0</v>
      </c>
      <c r="C2582" t="s">
        <v>2916</v>
      </c>
      <c r="D2582" t="s">
        <v>5075</v>
      </c>
      <c r="E2582" t="s">
        <v>5181</v>
      </c>
      <c r="F2582" t="s">
        <v>5077</v>
      </c>
      <c r="G2582" t="s">
        <v>5077</v>
      </c>
      <c r="H2582" t="s">
        <v>3021</v>
      </c>
      <c r="J2582" t="s">
        <v>3096</v>
      </c>
      <c r="K2582">
        <v>194.4</v>
      </c>
    </row>
    <row r="2583" spans="1:11" x14ac:dyDescent="0.35">
      <c r="A2583" t="s">
        <v>3097</v>
      </c>
      <c r="B2583" s="1">
        <v>0</v>
      </c>
      <c r="C2583" t="s">
        <v>2917</v>
      </c>
      <c r="D2583" t="s">
        <v>5440</v>
      </c>
      <c r="E2583" t="s">
        <v>5597</v>
      </c>
      <c r="F2583" t="s">
        <v>5077</v>
      </c>
      <c r="G2583" t="s">
        <v>5092</v>
      </c>
      <c r="H2583" t="s">
        <v>648</v>
      </c>
      <c r="J2583" t="s">
        <v>3097</v>
      </c>
      <c r="K2583">
        <v>191.5</v>
      </c>
    </row>
    <row r="2584" spans="1:11" x14ac:dyDescent="0.35">
      <c r="A2584" t="s">
        <v>3098</v>
      </c>
      <c r="B2584" s="1">
        <v>0</v>
      </c>
      <c r="C2584" t="s">
        <v>3499</v>
      </c>
      <c r="D2584" t="s">
        <v>5505</v>
      </c>
      <c r="E2584" t="s">
        <v>5425</v>
      </c>
      <c r="F2584" t="s">
        <v>5077</v>
      </c>
      <c r="G2584" t="s">
        <v>5045</v>
      </c>
      <c r="H2584" t="s">
        <v>3170</v>
      </c>
      <c r="J2584" t="s">
        <v>3098</v>
      </c>
      <c r="K2584">
        <v>194.9</v>
      </c>
    </row>
    <row r="2585" spans="1:11" x14ac:dyDescent="0.35">
      <c r="A2585" t="s">
        <v>3099</v>
      </c>
      <c r="B2585" s="1">
        <v>0</v>
      </c>
      <c r="C2585" t="s">
        <v>454</v>
      </c>
      <c r="D2585" t="s">
        <v>5103</v>
      </c>
      <c r="E2585" t="s">
        <v>5303</v>
      </c>
      <c r="F2585" t="s">
        <v>5077</v>
      </c>
      <c r="G2585" t="s">
        <v>5045</v>
      </c>
      <c r="H2585" t="s">
        <v>2365</v>
      </c>
      <c r="J2585" t="s">
        <v>3099</v>
      </c>
      <c r="K2585">
        <v>193.8</v>
      </c>
    </row>
    <row r="2586" spans="1:11" x14ac:dyDescent="0.35">
      <c r="A2586" t="s">
        <v>3100</v>
      </c>
      <c r="B2586" s="1">
        <v>0</v>
      </c>
      <c r="C2586" t="s">
        <v>409</v>
      </c>
      <c r="D2586" t="s">
        <v>5442</v>
      </c>
      <c r="E2586" t="s">
        <v>5425</v>
      </c>
      <c r="F2586" t="s">
        <v>5077</v>
      </c>
      <c r="G2586" t="s">
        <v>5110</v>
      </c>
      <c r="H2586" t="s">
        <v>1266</v>
      </c>
      <c r="J2586" t="s">
        <v>3100</v>
      </c>
      <c r="K2586">
        <v>188</v>
      </c>
    </row>
    <row r="2587" spans="1:11" x14ac:dyDescent="0.35">
      <c r="A2587" t="s">
        <v>3101</v>
      </c>
      <c r="B2587" s="1">
        <v>0</v>
      </c>
      <c r="C2587" t="s">
        <v>5563</v>
      </c>
      <c r="D2587" t="s">
        <v>5106</v>
      </c>
      <c r="E2587" t="s">
        <v>5070</v>
      </c>
      <c r="F2587" t="s">
        <v>5077</v>
      </c>
      <c r="G2587" t="s">
        <v>5095</v>
      </c>
      <c r="H2587" t="s">
        <v>5040</v>
      </c>
      <c r="J2587" t="s">
        <v>3101</v>
      </c>
      <c r="K2587">
        <v>178.9</v>
      </c>
    </row>
    <row r="2588" spans="1:11" x14ac:dyDescent="0.35">
      <c r="A2588" t="s">
        <v>3102</v>
      </c>
      <c r="B2588" s="1">
        <v>0</v>
      </c>
      <c r="C2588" t="s">
        <v>5507</v>
      </c>
      <c r="D2588" t="s">
        <v>5241</v>
      </c>
      <c r="E2588" t="s">
        <v>5328</v>
      </c>
      <c r="F2588" t="s">
        <v>5045</v>
      </c>
      <c r="G2588" t="s">
        <v>5215</v>
      </c>
      <c r="H2588" t="s">
        <v>899</v>
      </c>
      <c r="J2588" t="s">
        <v>3102</v>
      </c>
      <c r="K2588">
        <v>172.2</v>
      </c>
    </row>
    <row r="2589" spans="1:11" x14ac:dyDescent="0.35">
      <c r="A2589" t="s">
        <v>3103</v>
      </c>
      <c r="B2589" s="1">
        <v>0</v>
      </c>
      <c r="C2589" t="s">
        <v>5589</v>
      </c>
      <c r="D2589" t="s">
        <v>5446</v>
      </c>
      <c r="E2589" t="s">
        <v>5171</v>
      </c>
      <c r="F2589" t="s">
        <v>5077</v>
      </c>
      <c r="G2589" t="s">
        <v>5078</v>
      </c>
      <c r="H2589" t="s">
        <v>256</v>
      </c>
      <c r="J2589" t="s">
        <v>3103</v>
      </c>
      <c r="K2589">
        <v>176.2</v>
      </c>
    </row>
    <row r="2590" spans="1:11" x14ac:dyDescent="0.35">
      <c r="A2590" t="s">
        <v>3104</v>
      </c>
      <c r="B2590" s="1">
        <v>0</v>
      </c>
      <c r="C2590" t="s">
        <v>5268</v>
      </c>
      <c r="D2590" t="s">
        <v>5539</v>
      </c>
      <c r="E2590" t="s">
        <v>5171</v>
      </c>
      <c r="F2590" t="s">
        <v>5050</v>
      </c>
      <c r="G2590" t="s">
        <v>5189</v>
      </c>
      <c r="H2590" t="s">
        <v>805</v>
      </c>
      <c r="J2590" t="s">
        <v>3104</v>
      </c>
      <c r="K2590">
        <v>169.5</v>
      </c>
    </row>
    <row r="2591" spans="1:11" x14ac:dyDescent="0.35">
      <c r="A2591" t="s">
        <v>3105</v>
      </c>
      <c r="B2591" s="1">
        <v>0</v>
      </c>
      <c r="C2591" t="s">
        <v>5643</v>
      </c>
      <c r="D2591" t="s">
        <v>5083</v>
      </c>
      <c r="E2591" t="s">
        <v>5323</v>
      </c>
      <c r="F2591" t="s">
        <v>5050</v>
      </c>
      <c r="G2591" t="s">
        <v>5189</v>
      </c>
      <c r="H2591" t="s">
        <v>44</v>
      </c>
      <c r="J2591" t="s">
        <v>3105</v>
      </c>
      <c r="K2591">
        <v>176.9</v>
      </c>
    </row>
    <row r="2592" spans="1:11" x14ac:dyDescent="0.35">
      <c r="A2592" t="s">
        <v>3106</v>
      </c>
      <c r="B2592" s="1">
        <v>0</v>
      </c>
      <c r="C2592" t="s">
        <v>5515</v>
      </c>
      <c r="D2592" t="s">
        <v>5595</v>
      </c>
      <c r="E2592" t="s">
        <v>5170</v>
      </c>
      <c r="F2592" t="s">
        <v>5050</v>
      </c>
      <c r="G2592" t="s">
        <v>5189</v>
      </c>
      <c r="H2592" t="s">
        <v>1433</v>
      </c>
      <c r="J2592" t="s">
        <v>3106</v>
      </c>
      <c r="K2592">
        <v>175.5</v>
      </c>
    </row>
    <row r="2593" spans="1:11" x14ac:dyDescent="0.35">
      <c r="A2593" t="s">
        <v>3107</v>
      </c>
      <c r="B2593" s="1">
        <v>0</v>
      </c>
      <c r="C2593" t="s">
        <v>5479</v>
      </c>
      <c r="D2593" t="s">
        <v>5127</v>
      </c>
      <c r="E2593" t="s">
        <v>5328</v>
      </c>
      <c r="F2593" t="s">
        <v>5050</v>
      </c>
      <c r="G2593" t="s">
        <v>5189</v>
      </c>
      <c r="H2593" t="s">
        <v>2431</v>
      </c>
      <c r="J2593" t="s">
        <v>3107</v>
      </c>
      <c r="K2593">
        <v>167.6</v>
      </c>
    </row>
    <row r="2594" spans="1:11" x14ac:dyDescent="0.35">
      <c r="A2594" t="s">
        <v>3108</v>
      </c>
      <c r="B2594" s="1">
        <v>0</v>
      </c>
      <c r="C2594" t="s">
        <v>5517</v>
      </c>
      <c r="D2594" t="s">
        <v>5069</v>
      </c>
      <c r="E2594" t="s">
        <v>5415</v>
      </c>
      <c r="F2594" t="s">
        <v>5050</v>
      </c>
      <c r="G2594" t="s">
        <v>5405</v>
      </c>
      <c r="H2594" t="s">
        <v>277</v>
      </c>
      <c r="J2594" t="s">
        <v>3108</v>
      </c>
      <c r="K2594">
        <v>153.9</v>
      </c>
    </row>
    <row r="2595" spans="1:11" x14ac:dyDescent="0.35">
      <c r="A2595" t="s">
        <v>3109</v>
      </c>
      <c r="B2595" s="1">
        <v>0</v>
      </c>
      <c r="C2595" t="s">
        <v>5138</v>
      </c>
      <c r="D2595" t="s">
        <v>5059</v>
      </c>
      <c r="E2595" t="s">
        <v>5423</v>
      </c>
      <c r="F2595" t="s">
        <v>5050</v>
      </c>
      <c r="G2595" t="s">
        <v>5404</v>
      </c>
      <c r="H2595" t="s">
        <v>2168</v>
      </c>
      <c r="J2595" t="s">
        <v>3109</v>
      </c>
      <c r="K2595">
        <v>145.9</v>
      </c>
    </row>
    <row r="2596" spans="1:11" x14ac:dyDescent="0.35">
      <c r="A2596" t="s">
        <v>3110</v>
      </c>
      <c r="B2596" s="1">
        <v>0</v>
      </c>
      <c r="C2596" t="s">
        <v>5091</v>
      </c>
      <c r="D2596" t="s">
        <v>5236</v>
      </c>
      <c r="E2596" t="s">
        <v>5048</v>
      </c>
      <c r="F2596" t="s">
        <v>5050</v>
      </c>
      <c r="G2596" t="s">
        <v>5404</v>
      </c>
      <c r="H2596" t="s">
        <v>1440</v>
      </c>
      <c r="J2596" t="s">
        <v>3110</v>
      </c>
      <c r="K2596">
        <v>147.4</v>
      </c>
    </row>
    <row r="2597" spans="1:11" x14ac:dyDescent="0.35">
      <c r="A2597" t="s">
        <v>3111</v>
      </c>
      <c r="B2597" s="1">
        <v>0</v>
      </c>
      <c r="C2597" t="s">
        <v>5517</v>
      </c>
      <c r="D2597" t="s">
        <v>5096</v>
      </c>
      <c r="E2597" t="s">
        <v>5298</v>
      </c>
      <c r="F2597" t="s">
        <v>5050</v>
      </c>
      <c r="G2597" t="s">
        <v>5404</v>
      </c>
      <c r="H2597" t="s">
        <v>1160</v>
      </c>
      <c r="J2597" t="s">
        <v>3111</v>
      </c>
      <c r="K2597">
        <v>154.19999999999999</v>
      </c>
    </row>
    <row r="2598" spans="1:11" x14ac:dyDescent="0.35">
      <c r="A2598" t="s">
        <v>3112</v>
      </c>
      <c r="B2598" s="1">
        <v>0</v>
      </c>
      <c r="C2598" t="s">
        <v>5521</v>
      </c>
      <c r="D2598" t="s">
        <v>5229</v>
      </c>
      <c r="E2598" t="s">
        <v>5319</v>
      </c>
      <c r="F2598" t="s">
        <v>5050</v>
      </c>
      <c r="G2598" t="s">
        <v>5405</v>
      </c>
      <c r="H2598" t="s">
        <v>196</v>
      </c>
      <c r="J2598" t="s">
        <v>3112</v>
      </c>
      <c r="K2598">
        <v>155.30000000000001</v>
      </c>
    </row>
    <row r="2599" spans="1:11" x14ac:dyDescent="0.35">
      <c r="A2599" t="s">
        <v>3113</v>
      </c>
      <c r="B2599" s="1">
        <v>0</v>
      </c>
      <c r="C2599" t="s">
        <v>5583</v>
      </c>
      <c r="D2599" t="s">
        <v>5448</v>
      </c>
      <c r="E2599" t="s">
        <v>5525</v>
      </c>
      <c r="F2599" t="s">
        <v>5050</v>
      </c>
      <c r="G2599" t="s">
        <v>5189</v>
      </c>
      <c r="H2599" t="s">
        <v>88</v>
      </c>
      <c r="J2599" t="s">
        <v>3113</v>
      </c>
      <c r="K2599">
        <v>153.30000000000001</v>
      </c>
    </row>
    <row r="2600" spans="1:11" x14ac:dyDescent="0.35">
      <c r="A2600" t="s">
        <v>3114</v>
      </c>
      <c r="B2600" s="1">
        <v>0</v>
      </c>
      <c r="C2600" t="s">
        <v>5574</v>
      </c>
      <c r="D2600" t="s">
        <v>5102</v>
      </c>
      <c r="E2600" t="s">
        <v>5320</v>
      </c>
      <c r="F2600" t="s">
        <v>5050</v>
      </c>
      <c r="G2600" t="s">
        <v>5195</v>
      </c>
      <c r="H2600" t="s">
        <v>1590</v>
      </c>
      <c r="J2600" t="s">
        <v>3114</v>
      </c>
      <c r="K2600">
        <v>151.4</v>
      </c>
    </row>
    <row r="2601" spans="1:11" x14ac:dyDescent="0.35">
      <c r="A2601" t="s">
        <v>3115</v>
      </c>
      <c r="B2601" s="1">
        <v>0</v>
      </c>
      <c r="C2601" t="s">
        <v>5536</v>
      </c>
      <c r="D2601" t="s">
        <v>5120</v>
      </c>
      <c r="E2601" t="s">
        <v>5525</v>
      </c>
      <c r="F2601" t="s">
        <v>5050</v>
      </c>
      <c r="G2601" t="s">
        <v>5184</v>
      </c>
      <c r="H2601" t="s">
        <v>1156</v>
      </c>
      <c r="J2601" t="s">
        <v>3115</v>
      </c>
      <c r="K2601">
        <v>154.4</v>
      </c>
    </row>
    <row r="2602" spans="1:11" x14ac:dyDescent="0.35">
      <c r="A2602" t="s">
        <v>3116</v>
      </c>
      <c r="B2602" s="1">
        <v>0</v>
      </c>
      <c r="C2602" t="s">
        <v>5586</v>
      </c>
      <c r="D2602" t="s">
        <v>5125</v>
      </c>
      <c r="E2602" t="s">
        <v>5295</v>
      </c>
      <c r="F2602" t="s">
        <v>5050</v>
      </c>
      <c r="G2602" t="s">
        <v>5184</v>
      </c>
      <c r="H2602" t="s">
        <v>184</v>
      </c>
      <c r="J2602" t="s">
        <v>3116</v>
      </c>
      <c r="K2602">
        <v>163</v>
      </c>
    </row>
    <row r="2603" spans="1:11" x14ac:dyDescent="0.35">
      <c r="A2603" t="s">
        <v>3117</v>
      </c>
      <c r="B2603" s="1">
        <v>0</v>
      </c>
      <c r="C2603" t="s">
        <v>5500</v>
      </c>
      <c r="D2603" t="s">
        <v>5440</v>
      </c>
      <c r="E2603" t="s">
        <v>5328</v>
      </c>
      <c r="F2603" t="s">
        <v>5050</v>
      </c>
      <c r="G2603" t="s">
        <v>5195</v>
      </c>
      <c r="H2603" t="s">
        <v>674</v>
      </c>
      <c r="J2603" t="s">
        <v>3117</v>
      </c>
      <c r="K2603">
        <v>168.3</v>
      </c>
    </row>
    <row r="2604" spans="1:11" x14ac:dyDescent="0.35">
      <c r="A2604" t="s">
        <v>3118</v>
      </c>
      <c r="B2604" s="1">
        <v>0</v>
      </c>
      <c r="C2604" t="s">
        <v>5535</v>
      </c>
      <c r="D2604" t="s">
        <v>5157</v>
      </c>
      <c r="E2604" t="s">
        <v>5597</v>
      </c>
      <c r="F2604" t="s">
        <v>5050</v>
      </c>
      <c r="G2604" t="s">
        <v>5357</v>
      </c>
      <c r="H2604" t="s">
        <v>595</v>
      </c>
      <c r="J2604" t="s">
        <v>3118</v>
      </c>
      <c r="K2604">
        <v>163.9</v>
      </c>
    </row>
    <row r="2605" spans="1:11" x14ac:dyDescent="0.35">
      <c r="A2605" t="s">
        <v>3120</v>
      </c>
      <c r="B2605" s="1">
        <v>0</v>
      </c>
      <c r="C2605" t="s">
        <v>5536</v>
      </c>
      <c r="D2605" t="s">
        <v>5203</v>
      </c>
      <c r="E2605" t="s">
        <v>5426</v>
      </c>
      <c r="F2605" t="s">
        <v>5050</v>
      </c>
      <c r="G2605" t="s">
        <v>5405</v>
      </c>
      <c r="H2605" t="s">
        <v>1749</v>
      </c>
      <c r="J2605" t="s">
        <v>3120</v>
      </c>
      <c r="K2605">
        <v>158.1</v>
      </c>
    </row>
    <row r="2606" spans="1:11" x14ac:dyDescent="0.35">
      <c r="A2606" t="s">
        <v>3121</v>
      </c>
      <c r="B2606" s="1">
        <v>0</v>
      </c>
      <c r="C2606" t="s">
        <v>5613</v>
      </c>
      <c r="D2606" t="s">
        <v>5203</v>
      </c>
      <c r="E2606" t="s">
        <v>5295</v>
      </c>
      <c r="F2606" t="s">
        <v>5050</v>
      </c>
      <c r="G2606" t="s">
        <v>5189</v>
      </c>
      <c r="H2606" t="s">
        <v>1810</v>
      </c>
      <c r="J2606" t="s">
        <v>3121</v>
      </c>
      <c r="K2606">
        <v>160.19999999999999</v>
      </c>
    </row>
    <row r="2607" spans="1:11" x14ac:dyDescent="0.35">
      <c r="A2607" t="s">
        <v>3123</v>
      </c>
      <c r="B2607" s="1">
        <v>0</v>
      </c>
      <c r="C2607" t="s">
        <v>5639</v>
      </c>
      <c r="D2607" t="s">
        <v>5157</v>
      </c>
      <c r="E2607" t="s">
        <v>5524</v>
      </c>
      <c r="F2607" t="s">
        <v>5050</v>
      </c>
      <c r="G2607" t="s">
        <v>5184</v>
      </c>
      <c r="H2607" t="s">
        <v>2202</v>
      </c>
      <c r="J2607" t="s">
        <v>3123</v>
      </c>
      <c r="K2607">
        <v>170.3</v>
      </c>
    </row>
    <row r="2608" spans="1:11" x14ac:dyDescent="0.35">
      <c r="A2608" t="s">
        <v>3124</v>
      </c>
      <c r="B2608" s="1">
        <v>0</v>
      </c>
      <c r="C2608" t="s">
        <v>5267</v>
      </c>
      <c r="D2608" t="s">
        <v>5127</v>
      </c>
      <c r="E2608" t="s">
        <v>5169</v>
      </c>
      <c r="F2608" t="s">
        <v>5050</v>
      </c>
      <c r="G2608" t="s">
        <v>5159</v>
      </c>
      <c r="H2608" t="s">
        <v>167</v>
      </c>
      <c r="J2608" t="s">
        <v>3124</v>
      </c>
      <c r="K2608">
        <v>177</v>
      </c>
    </row>
    <row r="2609" spans="1:11" x14ac:dyDescent="0.35">
      <c r="A2609" t="s">
        <v>3125</v>
      </c>
      <c r="B2609" s="1">
        <v>0</v>
      </c>
      <c r="C2609" t="s">
        <v>1011</v>
      </c>
      <c r="D2609" t="s">
        <v>5439</v>
      </c>
      <c r="E2609" t="s">
        <v>5425</v>
      </c>
      <c r="F2609" t="s">
        <v>5050</v>
      </c>
      <c r="G2609" t="s">
        <v>5164</v>
      </c>
      <c r="H2609" t="s">
        <v>676</v>
      </c>
      <c r="J2609" t="s">
        <v>3125</v>
      </c>
      <c r="K2609">
        <v>178.1</v>
      </c>
    </row>
    <row r="2610" spans="1:11" x14ac:dyDescent="0.35">
      <c r="A2610" t="s">
        <v>3126</v>
      </c>
      <c r="B2610" s="1">
        <v>0</v>
      </c>
      <c r="C2610" t="s">
        <v>380</v>
      </c>
      <c r="D2610" t="s">
        <v>5522</v>
      </c>
      <c r="E2610" t="s">
        <v>5061</v>
      </c>
      <c r="F2610" t="s">
        <v>5050</v>
      </c>
      <c r="G2610" t="s">
        <v>5339</v>
      </c>
      <c r="H2610" t="s">
        <v>1673</v>
      </c>
      <c r="J2610" t="s">
        <v>3126</v>
      </c>
      <c r="K2610">
        <v>179.5</v>
      </c>
    </row>
    <row r="2611" spans="1:11" x14ac:dyDescent="0.35">
      <c r="A2611" t="s">
        <v>3127</v>
      </c>
      <c r="B2611" s="1">
        <v>0</v>
      </c>
      <c r="C2611" t="s">
        <v>1053</v>
      </c>
      <c r="D2611" t="s">
        <v>5505</v>
      </c>
      <c r="E2611" t="s">
        <v>5328</v>
      </c>
      <c r="F2611" t="s">
        <v>5050</v>
      </c>
      <c r="G2611" t="s">
        <v>5334</v>
      </c>
      <c r="H2611" t="s">
        <v>2481</v>
      </c>
      <c r="J2611" t="s">
        <v>3127</v>
      </c>
      <c r="K2611">
        <v>185.9</v>
      </c>
    </row>
    <row r="2612" spans="1:11" x14ac:dyDescent="0.35">
      <c r="A2612" t="s">
        <v>3128</v>
      </c>
      <c r="B2612" s="1">
        <v>0</v>
      </c>
      <c r="C2612" t="s">
        <v>365</v>
      </c>
      <c r="D2612" t="s">
        <v>5264</v>
      </c>
      <c r="E2612" t="s">
        <v>5073</v>
      </c>
      <c r="F2612" t="s">
        <v>5050</v>
      </c>
      <c r="G2612" t="s">
        <v>5153</v>
      </c>
      <c r="H2612" t="s">
        <v>2366</v>
      </c>
      <c r="J2612" t="s">
        <v>3128</v>
      </c>
      <c r="K2612">
        <v>193.9</v>
      </c>
    </row>
    <row r="2613" spans="1:11" x14ac:dyDescent="0.35">
      <c r="A2613" t="s">
        <v>3129</v>
      </c>
      <c r="B2613" s="1">
        <v>0</v>
      </c>
      <c r="C2613" t="s">
        <v>1916</v>
      </c>
      <c r="D2613" t="s">
        <v>5206</v>
      </c>
      <c r="E2613" t="s">
        <v>5310</v>
      </c>
      <c r="F2613" t="s">
        <v>5050</v>
      </c>
      <c r="G2613" t="s">
        <v>5334</v>
      </c>
      <c r="H2613" t="s">
        <v>1670</v>
      </c>
      <c r="J2613" t="s">
        <v>3129</v>
      </c>
      <c r="K2613">
        <v>196.1</v>
      </c>
    </row>
    <row r="2614" spans="1:11" x14ac:dyDescent="0.35">
      <c r="A2614" t="s">
        <v>3130</v>
      </c>
      <c r="B2614" s="1">
        <v>0</v>
      </c>
      <c r="C2614" t="s">
        <v>365</v>
      </c>
      <c r="D2614" t="s">
        <v>5531</v>
      </c>
      <c r="E2614" t="s">
        <v>5073</v>
      </c>
      <c r="F2614" t="s">
        <v>5050</v>
      </c>
      <c r="G2614" t="s">
        <v>5411</v>
      </c>
      <c r="H2614" t="s">
        <v>1820</v>
      </c>
      <c r="J2614" t="s">
        <v>3130</v>
      </c>
      <c r="K2614">
        <v>193.7</v>
      </c>
    </row>
    <row r="2615" spans="1:11" x14ac:dyDescent="0.35">
      <c r="A2615" t="s">
        <v>3131</v>
      </c>
      <c r="B2615" s="1">
        <v>0</v>
      </c>
      <c r="C2615" t="s">
        <v>452</v>
      </c>
      <c r="D2615" t="s">
        <v>5450</v>
      </c>
      <c r="E2615" t="s">
        <v>5420</v>
      </c>
      <c r="F2615" t="s">
        <v>5050</v>
      </c>
      <c r="G2615" t="s">
        <v>5411</v>
      </c>
      <c r="H2615" t="s">
        <v>2188</v>
      </c>
      <c r="J2615" t="s">
        <v>3131</v>
      </c>
      <c r="K2615">
        <v>186.5</v>
      </c>
    </row>
    <row r="2616" spans="1:11" x14ac:dyDescent="0.35">
      <c r="A2616" t="s">
        <v>3132</v>
      </c>
      <c r="B2616" s="1">
        <v>0</v>
      </c>
      <c r="C2616" t="s">
        <v>386</v>
      </c>
      <c r="D2616" t="s">
        <v>5200</v>
      </c>
      <c r="E2616" t="s">
        <v>5426</v>
      </c>
      <c r="F2616" t="s">
        <v>5050</v>
      </c>
      <c r="G2616" t="s">
        <v>5337</v>
      </c>
      <c r="H2616" t="s">
        <v>1218</v>
      </c>
      <c r="J2616" t="s">
        <v>3132</v>
      </c>
      <c r="K2616">
        <v>177.6</v>
      </c>
    </row>
    <row r="2617" spans="1:11" x14ac:dyDescent="0.35">
      <c r="A2617" t="s">
        <v>3133</v>
      </c>
      <c r="B2617" s="1">
        <v>0</v>
      </c>
      <c r="C2617" t="s">
        <v>5461</v>
      </c>
      <c r="D2617" t="s">
        <v>5085</v>
      </c>
      <c r="E2617" t="s">
        <v>5289</v>
      </c>
      <c r="F2617" t="s">
        <v>5050</v>
      </c>
      <c r="G2617" t="s">
        <v>5156</v>
      </c>
      <c r="H2617" t="s">
        <v>1812</v>
      </c>
      <c r="J2617" t="s">
        <v>3133</v>
      </c>
      <c r="K2617">
        <v>169</v>
      </c>
    </row>
    <row r="2618" spans="1:11" x14ac:dyDescent="0.35">
      <c r="A2618" s="2">
        <v>42430</v>
      </c>
      <c r="B2618" s="1">
        <v>0</v>
      </c>
      <c r="C2618" t="s">
        <v>5635</v>
      </c>
      <c r="D2618" t="s">
        <v>5435</v>
      </c>
      <c r="E2618" t="s">
        <v>5319</v>
      </c>
      <c r="F2618" t="s">
        <v>5050</v>
      </c>
      <c r="G2618" t="s">
        <v>5164</v>
      </c>
      <c r="H2618" t="s">
        <v>575</v>
      </c>
      <c r="J2618" s="2">
        <v>42430</v>
      </c>
      <c r="K2618">
        <v>166.4</v>
      </c>
    </row>
    <row r="2619" spans="1:11" x14ac:dyDescent="0.35">
      <c r="A2619" s="2">
        <v>42431</v>
      </c>
      <c r="B2619" s="1">
        <v>0</v>
      </c>
      <c r="C2619" t="s">
        <v>1038</v>
      </c>
      <c r="D2619" t="s">
        <v>5451</v>
      </c>
      <c r="E2619" t="s">
        <v>5599</v>
      </c>
      <c r="F2619" t="s">
        <v>5078</v>
      </c>
      <c r="G2619" t="s">
        <v>5046</v>
      </c>
      <c r="H2619" t="s">
        <v>3563</v>
      </c>
      <c r="J2619" s="2">
        <v>42431</v>
      </c>
      <c r="K2619">
        <v>185.5</v>
      </c>
    </row>
    <row r="2620" spans="1:11" x14ac:dyDescent="0.35">
      <c r="A2620" s="2">
        <v>42432</v>
      </c>
      <c r="B2620" s="1">
        <v>0</v>
      </c>
      <c r="C2620" t="s">
        <v>367</v>
      </c>
      <c r="D2620" t="s">
        <v>5373</v>
      </c>
      <c r="E2620" t="s">
        <v>5431</v>
      </c>
      <c r="F2620" t="s">
        <v>5215</v>
      </c>
      <c r="G2620" t="s">
        <v>5054</v>
      </c>
      <c r="H2620" t="s">
        <v>2398</v>
      </c>
      <c r="J2620" s="2">
        <v>42432</v>
      </c>
      <c r="K2620">
        <v>204.3</v>
      </c>
    </row>
    <row r="2621" spans="1:11" x14ac:dyDescent="0.35">
      <c r="A2621" s="2">
        <v>42433</v>
      </c>
      <c r="B2621" s="1">
        <v>0</v>
      </c>
      <c r="C2621" t="s">
        <v>3219</v>
      </c>
      <c r="D2621" t="s">
        <v>5109</v>
      </c>
      <c r="E2621" t="s">
        <v>5197</v>
      </c>
      <c r="F2621" t="s">
        <v>5215</v>
      </c>
      <c r="G2621" t="s">
        <v>5062</v>
      </c>
      <c r="H2621" t="s">
        <v>3037</v>
      </c>
      <c r="J2621" s="2">
        <v>42433</v>
      </c>
      <c r="K2621">
        <v>223.4</v>
      </c>
    </row>
    <row r="2622" spans="1:11" x14ac:dyDescent="0.35">
      <c r="A2622" s="2">
        <v>42434</v>
      </c>
      <c r="B2622" s="1">
        <v>0</v>
      </c>
      <c r="C2622" t="s">
        <v>3807</v>
      </c>
      <c r="D2622" t="s">
        <v>5217</v>
      </c>
      <c r="E2622" t="s">
        <v>5239</v>
      </c>
      <c r="F2622" t="s">
        <v>5215</v>
      </c>
      <c r="G2622" t="s">
        <v>5078</v>
      </c>
      <c r="H2622" t="s">
        <v>3937</v>
      </c>
      <c r="J2622" s="2">
        <v>42434</v>
      </c>
      <c r="K2622">
        <v>235.3</v>
      </c>
    </row>
    <row r="2623" spans="1:11" x14ac:dyDescent="0.35">
      <c r="A2623" s="2">
        <v>42435</v>
      </c>
      <c r="B2623" s="1">
        <v>0</v>
      </c>
      <c r="C2623" t="s">
        <v>5600</v>
      </c>
      <c r="D2623" t="s">
        <v>5520</v>
      </c>
      <c r="E2623" t="s">
        <v>5081</v>
      </c>
      <c r="F2623" t="s">
        <v>5215</v>
      </c>
      <c r="G2623" t="s">
        <v>5124</v>
      </c>
      <c r="H2623" t="s">
        <v>2014</v>
      </c>
      <c r="J2623" s="2">
        <v>42435</v>
      </c>
      <c r="K2623">
        <v>240</v>
      </c>
    </row>
    <row r="2624" spans="1:11" x14ac:dyDescent="0.35">
      <c r="A2624" s="2">
        <v>42436</v>
      </c>
      <c r="B2624" s="1">
        <v>0</v>
      </c>
      <c r="C2624" t="s">
        <v>2875</v>
      </c>
      <c r="D2624" t="s">
        <v>5268</v>
      </c>
      <c r="E2624" t="s">
        <v>5081</v>
      </c>
      <c r="F2624" t="s">
        <v>5215</v>
      </c>
      <c r="G2624" t="s">
        <v>5110</v>
      </c>
      <c r="H2624" t="s">
        <v>638</v>
      </c>
      <c r="J2624" s="2">
        <v>42436</v>
      </c>
      <c r="K2624">
        <v>245.1</v>
      </c>
    </row>
    <row r="2625" spans="1:11" x14ac:dyDescent="0.35">
      <c r="A2625" s="2">
        <v>42437</v>
      </c>
      <c r="B2625" s="1">
        <v>0</v>
      </c>
      <c r="C2625" t="s">
        <v>1118</v>
      </c>
      <c r="D2625" t="s">
        <v>5632</v>
      </c>
      <c r="E2625" t="s">
        <v>5063</v>
      </c>
      <c r="F2625" t="s">
        <v>5099</v>
      </c>
      <c r="G2625" t="s">
        <v>5089</v>
      </c>
      <c r="H2625" t="s">
        <v>5039</v>
      </c>
      <c r="J2625" s="2">
        <v>42437</v>
      </c>
      <c r="K2625">
        <v>260.7</v>
      </c>
    </row>
    <row r="2626" spans="1:11" x14ac:dyDescent="0.35">
      <c r="A2626" s="2">
        <v>42438</v>
      </c>
      <c r="B2626" s="1">
        <v>0</v>
      </c>
      <c r="C2626" t="s">
        <v>2182</v>
      </c>
      <c r="D2626" t="s">
        <v>5649</v>
      </c>
      <c r="E2626" t="s">
        <v>5473</v>
      </c>
      <c r="F2626" t="s">
        <v>5099</v>
      </c>
      <c r="G2626" t="s">
        <v>5136</v>
      </c>
      <c r="H2626" t="s">
        <v>5792</v>
      </c>
      <c r="J2626" s="2">
        <v>42438</v>
      </c>
      <c r="K2626">
        <v>282.7</v>
      </c>
    </row>
    <row r="2627" spans="1:11" x14ac:dyDescent="0.35">
      <c r="A2627" s="2">
        <v>42439</v>
      </c>
      <c r="B2627" s="1">
        <v>0</v>
      </c>
      <c r="C2627" t="s">
        <v>1581</v>
      </c>
      <c r="D2627" t="s">
        <v>402</v>
      </c>
      <c r="E2627" t="s">
        <v>5505</v>
      </c>
      <c r="F2627" t="s">
        <v>5099</v>
      </c>
      <c r="G2627" t="s">
        <v>5136</v>
      </c>
      <c r="H2627" t="s">
        <v>5793</v>
      </c>
      <c r="J2627" s="2">
        <v>42439</v>
      </c>
      <c r="K2627">
        <v>287.39999999999998</v>
      </c>
    </row>
    <row r="2628" spans="1:11" x14ac:dyDescent="0.35">
      <c r="A2628" s="2">
        <v>42440</v>
      </c>
      <c r="B2628" s="1">
        <v>0</v>
      </c>
      <c r="C2628" t="s">
        <v>509</v>
      </c>
      <c r="D2628" t="s">
        <v>428</v>
      </c>
      <c r="E2628" t="s">
        <v>5458</v>
      </c>
      <c r="F2628" t="s">
        <v>5099</v>
      </c>
      <c r="G2628" t="s">
        <v>5089</v>
      </c>
      <c r="H2628" t="s">
        <v>3592</v>
      </c>
      <c r="J2628" s="2">
        <v>42440</v>
      </c>
      <c r="K2628">
        <v>274.60000000000002</v>
      </c>
    </row>
    <row r="2629" spans="1:11" x14ac:dyDescent="0.35">
      <c r="A2629" s="2">
        <v>42441</v>
      </c>
      <c r="B2629" s="1">
        <v>0</v>
      </c>
      <c r="C2629" t="s">
        <v>1448</v>
      </c>
      <c r="D2629" t="s">
        <v>5588</v>
      </c>
      <c r="E2629" t="s">
        <v>5141</v>
      </c>
      <c r="F2629" t="s">
        <v>5215</v>
      </c>
      <c r="G2629" t="s">
        <v>5110</v>
      </c>
      <c r="H2629" t="s">
        <v>3907</v>
      </c>
      <c r="J2629" s="2">
        <v>42441</v>
      </c>
      <c r="K2629">
        <v>256.2</v>
      </c>
    </row>
    <row r="2630" spans="1:11" x14ac:dyDescent="0.35">
      <c r="A2630" s="2">
        <v>42442</v>
      </c>
      <c r="B2630" s="1">
        <v>0</v>
      </c>
      <c r="C2630" t="s">
        <v>3226</v>
      </c>
      <c r="D2630" t="s">
        <v>5268</v>
      </c>
      <c r="E2630" t="s">
        <v>5072</v>
      </c>
      <c r="F2630" t="s">
        <v>5215</v>
      </c>
      <c r="G2630" t="s">
        <v>5124</v>
      </c>
      <c r="H2630" t="s">
        <v>2392</v>
      </c>
      <c r="J2630" s="2">
        <v>42442</v>
      </c>
      <c r="K2630">
        <v>240.5</v>
      </c>
    </row>
    <row r="2631" spans="1:11" x14ac:dyDescent="0.35">
      <c r="A2631" s="2">
        <v>42443</v>
      </c>
      <c r="B2631" s="1">
        <v>0</v>
      </c>
      <c r="C2631" t="s">
        <v>5662</v>
      </c>
      <c r="D2631" t="s">
        <v>5583</v>
      </c>
      <c r="E2631" t="s">
        <v>5243</v>
      </c>
      <c r="F2631" t="s">
        <v>5215</v>
      </c>
      <c r="G2631" t="s">
        <v>5095</v>
      </c>
      <c r="H2631" t="s">
        <v>1661</v>
      </c>
      <c r="J2631" s="2">
        <v>42443</v>
      </c>
      <c r="K2631">
        <v>235.1</v>
      </c>
    </row>
    <row r="2632" spans="1:11" x14ac:dyDescent="0.35">
      <c r="A2632" s="2">
        <v>42444</v>
      </c>
      <c r="B2632" s="1">
        <v>0</v>
      </c>
      <c r="C2632" t="s">
        <v>970</v>
      </c>
      <c r="D2632" t="s">
        <v>5541</v>
      </c>
      <c r="E2632" t="s">
        <v>5192</v>
      </c>
      <c r="F2632" t="s">
        <v>5215</v>
      </c>
      <c r="G2632" t="s">
        <v>5116</v>
      </c>
      <c r="H2632" t="s">
        <v>2698</v>
      </c>
      <c r="J2632" s="2">
        <v>42444</v>
      </c>
      <c r="K2632">
        <v>238.1</v>
      </c>
    </row>
    <row r="2633" spans="1:11" x14ac:dyDescent="0.35">
      <c r="A2633" s="2">
        <v>42445</v>
      </c>
      <c r="B2633" s="1">
        <v>0</v>
      </c>
      <c r="C2633" t="s">
        <v>305</v>
      </c>
      <c r="D2633" t="s">
        <v>5574</v>
      </c>
      <c r="E2633" t="s">
        <v>5249</v>
      </c>
      <c r="F2633" t="s">
        <v>5215</v>
      </c>
      <c r="G2633" t="s">
        <v>5092</v>
      </c>
      <c r="H2633" t="s">
        <v>5674</v>
      </c>
      <c r="J2633" s="2">
        <v>42445</v>
      </c>
      <c r="K2633">
        <v>242.9</v>
      </c>
    </row>
    <row r="2634" spans="1:11" x14ac:dyDescent="0.35">
      <c r="A2634" s="2">
        <v>42446</v>
      </c>
      <c r="B2634" s="1">
        <v>0</v>
      </c>
      <c r="C2634" t="s">
        <v>1</v>
      </c>
      <c r="D2634" t="s">
        <v>5630</v>
      </c>
      <c r="E2634" t="s">
        <v>5178</v>
      </c>
      <c r="F2634" t="s">
        <v>5215</v>
      </c>
      <c r="G2634" t="s">
        <v>5092</v>
      </c>
      <c r="H2634" t="s">
        <v>633</v>
      </c>
      <c r="J2634" s="2">
        <v>42446</v>
      </c>
      <c r="K2634">
        <v>245.6</v>
      </c>
    </row>
    <row r="2635" spans="1:11" x14ac:dyDescent="0.35">
      <c r="A2635" s="2">
        <v>42447</v>
      </c>
      <c r="B2635" s="1">
        <v>0</v>
      </c>
      <c r="C2635" t="s">
        <v>3529</v>
      </c>
      <c r="D2635" t="s">
        <v>5591</v>
      </c>
      <c r="E2635" t="s">
        <v>5236</v>
      </c>
      <c r="F2635" t="s">
        <v>5215</v>
      </c>
      <c r="G2635" t="s">
        <v>5124</v>
      </c>
      <c r="H2635" t="s">
        <v>3661</v>
      </c>
      <c r="J2635" s="2">
        <v>42447</v>
      </c>
      <c r="K2635">
        <v>240.4</v>
      </c>
    </row>
    <row r="2636" spans="1:11" x14ac:dyDescent="0.35">
      <c r="A2636" s="2">
        <v>42448</v>
      </c>
      <c r="B2636" s="1">
        <v>0</v>
      </c>
      <c r="C2636" t="s">
        <v>3808</v>
      </c>
      <c r="D2636" t="s">
        <v>5122</v>
      </c>
      <c r="E2636" t="s">
        <v>5197</v>
      </c>
      <c r="F2636" t="s">
        <v>5215</v>
      </c>
      <c r="G2636" t="s">
        <v>5475</v>
      </c>
      <c r="H2636" t="s">
        <v>3654</v>
      </c>
      <c r="J2636" s="2">
        <v>42448</v>
      </c>
      <c r="K2636">
        <v>231.5</v>
      </c>
    </row>
    <row r="2637" spans="1:11" x14ac:dyDescent="0.35">
      <c r="A2637" s="2">
        <v>42449</v>
      </c>
      <c r="B2637" s="1">
        <v>0</v>
      </c>
      <c r="C2637" t="s">
        <v>2</v>
      </c>
      <c r="D2637" t="s">
        <v>5083</v>
      </c>
      <c r="E2637" t="s">
        <v>5170</v>
      </c>
      <c r="F2637" t="s">
        <v>5215</v>
      </c>
      <c r="G2637" t="s">
        <v>5058</v>
      </c>
      <c r="H2637" t="s">
        <v>1838</v>
      </c>
      <c r="J2637" s="2">
        <v>42449</v>
      </c>
      <c r="K2637">
        <v>219.9</v>
      </c>
    </row>
    <row r="2638" spans="1:11" x14ac:dyDescent="0.35">
      <c r="A2638" s="2">
        <v>42450</v>
      </c>
      <c r="B2638" s="1">
        <v>0</v>
      </c>
      <c r="C2638" t="s">
        <v>2</v>
      </c>
      <c r="D2638" t="s">
        <v>5235</v>
      </c>
      <c r="E2638" t="s">
        <v>5073</v>
      </c>
      <c r="F2638" t="s">
        <v>5215</v>
      </c>
      <c r="G2638" t="s">
        <v>5062</v>
      </c>
      <c r="H2638" t="s">
        <v>617</v>
      </c>
      <c r="J2638" s="2">
        <v>42450</v>
      </c>
      <c r="K2638">
        <v>217.4</v>
      </c>
    </row>
    <row r="2639" spans="1:11" x14ac:dyDescent="0.35">
      <c r="A2639" s="2">
        <v>42451</v>
      </c>
      <c r="B2639" s="1">
        <v>0</v>
      </c>
      <c r="C2639" t="s">
        <v>4081</v>
      </c>
      <c r="D2639" t="s">
        <v>5209</v>
      </c>
      <c r="E2639" t="s">
        <v>5422</v>
      </c>
      <c r="F2639" t="s">
        <v>5215</v>
      </c>
      <c r="G2639" t="s">
        <v>5078</v>
      </c>
      <c r="H2639" t="s">
        <v>2002</v>
      </c>
      <c r="J2639" s="2">
        <v>42451</v>
      </c>
      <c r="K2639">
        <v>221.2</v>
      </c>
    </row>
    <row r="2640" spans="1:11" x14ac:dyDescent="0.35">
      <c r="A2640" s="2">
        <v>42452</v>
      </c>
      <c r="B2640" s="1">
        <v>0</v>
      </c>
      <c r="C2640" t="s">
        <v>2275</v>
      </c>
      <c r="D2640" t="s">
        <v>5486</v>
      </c>
      <c r="E2640" t="s">
        <v>5237</v>
      </c>
      <c r="F2640" t="s">
        <v>5215</v>
      </c>
      <c r="G2640" t="s">
        <v>5078</v>
      </c>
      <c r="H2640" t="s">
        <v>3017</v>
      </c>
      <c r="J2640" s="2">
        <v>42452</v>
      </c>
      <c r="K2640">
        <v>221.3</v>
      </c>
    </row>
    <row r="2641" spans="1:11" x14ac:dyDescent="0.35">
      <c r="A2641" s="2">
        <v>42453</v>
      </c>
      <c r="B2641" s="1">
        <v>0</v>
      </c>
      <c r="C2641" t="s">
        <v>1532</v>
      </c>
      <c r="D2641" t="s">
        <v>5119</v>
      </c>
      <c r="E2641" t="s">
        <v>5210</v>
      </c>
      <c r="F2641" t="s">
        <v>5215</v>
      </c>
      <c r="G2641" t="s">
        <v>5062</v>
      </c>
      <c r="H2641" t="s">
        <v>231</v>
      </c>
      <c r="J2641" s="2">
        <v>42453</v>
      </c>
      <c r="K2641">
        <v>215.5</v>
      </c>
    </row>
    <row r="2642" spans="1:11" x14ac:dyDescent="0.35">
      <c r="A2642" s="2">
        <v>42454</v>
      </c>
      <c r="B2642" s="1">
        <v>0</v>
      </c>
      <c r="C2642" t="s">
        <v>444</v>
      </c>
      <c r="D2642" t="s">
        <v>5119</v>
      </c>
      <c r="E2642" t="s">
        <v>5066</v>
      </c>
      <c r="F2642" t="s">
        <v>5078</v>
      </c>
      <c r="G2642" t="s">
        <v>5240</v>
      </c>
      <c r="H2642" t="s">
        <v>5720</v>
      </c>
      <c r="J2642" s="2">
        <v>42454</v>
      </c>
      <c r="K2642">
        <v>207.7</v>
      </c>
    </row>
    <row r="2643" spans="1:11" x14ac:dyDescent="0.35">
      <c r="A2643" s="2">
        <v>42455</v>
      </c>
      <c r="B2643" s="1">
        <v>0</v>
      </c>
      <c r="C2643" t="s">
        <v>439</v>
      </c>
      <c r="D2643" t="s">
        <v>5119</v>
      </c>
      <c r="E2643" t="s">
        <v>5098</v>
      </c>
      <c r="F2643" t="s">
        <v>5215</v>
      </c>
      <c r="G2643" t="s">
        <v>5174</v>
      </c>
      <c r="H2643" t="s">
        <v>2148</v>
      </c>
      <c r="J2643" s="2">
        <v>42455</v>
      </c>
      <c r="K2643">
        <v>205.2</v>
      </c>
    </row>
    <row r="2644" spans="1:11" x14ac:dyDescent="0.35">
      <c r="A2644" s="2">
        <v>42456</v>
      </c>
      <c r="B2644" s="1">
        <v>0</v>
      </c>
      <c r="C2644" t="s">
        <v>477</v>
      </c>
      <c r="D2644" t="s">
        <v>5481</v>
      </c>
      <c r="E2644" t="s">
        <v>5236</v>
      </c>
      <c r="F2644" t="s">
        <v>5215</v>
      </c>
      <c r="G2644" t="s">
        <v>5050</v>
      </c>
      <c r="H2644" t="s">
        <v>2115</v>
      </c>
      <c r="J2644" s="2">
        <v>42456</v>
      </c>
      <c r="K2644">
        <v>209.9</v>
      </c>
    </row>
    <row r="2645" spans="1:11" x14ac:dyDescent="0.35">
      <c r="A2645" s="2">
        <v>42457</v>
      </c>
      <c r="B2645" s="1">
        <v>0</v>
      </c>
      <c r="C2645" t="s">
        <v>2567</v>
      </c>
      <c r="D2645" t="s">
        <v>5625</v>
      </c>
      <c r="E2645" t="s">
        <v>5255</v>
      </c>
      <c r="F2645" t="s">
        <v>5215</v>
      </c>
      <c r="G2645" t="s">
        <v>5179</v>
      </c>
      <c r="H2645" t="s">
        <v>4518</v>
      </c>
      <c r="J2645" s="2">
        <v>42457</v>
      </c>
      <c r="K2645">
        <v>213.8</v>
      </c>
    </row>
    <row r="2646" spans="1:11" x14ac:dyDescent="0.35">
      <c r="A2646" s="2">
        <v>42458</v>
      </c>
      <c r="B2646" s="1">
        <v>0</v>
      </c>
      <c r="C2646" t="s">
        <v>982</v>
      </c>
      <c r="D2646" t="s">
        <v>5532</v>
      </c>
      <c r="E2646" t="s">
        <v>5056</v>
      </c>
      <c r="F2646" t="s">
        <v>5215</v>
      </c>
      <c r="G2646" t="s">
        <v>5058</v>
      </c>
      <c r="H2646" t="s">
        <v>940</v>
      </c>
      <c r="J2646" s="2">
        <v>42458</v>
      </c>
      <c r="K2646">
        <v>208.7</v>
      </c>
    </row>
    <row r="2647" spans="1:11" x14ac:dyDescent="0.35">
      <c r="A2647" s="2">
        <v>42459</v>
      </c>
      <c r="B2647" s="1">
        <v>0</v>
      </c>
      <c r="C2647" t="s">
        <v>1526</v>
      </c>
      <c r="D2647" t="s">
        <v>5492</v>
      </c>
      <c r="E2647" t="s">
        <v>5171</v>
      </c>
      <c r="F2647" t="s">
        <v>5215</v>
      </c>
      <c r="G2647" t="s">
        <v>5058</v>
      </c>
      <c r="H2647" t="s">
        <v>3336</v>
      </c>
      <c r="J2647" s="2">
        <v>42459</v>
      </c>
      <c r="K2647">
        <v>200.8</v>
      </c>
    </row>
    <row r="2648" spans="1:11" x14ac:dyDescent="0.35">
      <c r="A2648" s="2">
        <v>42460</v>
      </c>
      <c r="B2648" s="1">
        <v>0</v>
      </c>
      <c r="C2648" t="s">
        <v>356</v>
      </c>
      <c r="D2648" t="s">
        <v>5374</v>
      </c>
      <c r="E2648" t="s">
        <v>5204</v>
      </c>
      <c r="F2648" t="s">
        <v>5215</v>
      </c>
      <c r="G2648" t="s">
        <v>5412</v>
      </c>
      <c r="H2648" t="s">
        <v>1296</v>
      </c>
      <c r="J2648" s="2">
        <v>42460</v>
      </c>
      <c r="K2648">
        <v>205.7</v>
      </c>
    </row>
    <row r="2649" spans="1:11" x14ac:dyDescent="0.35">
      <c r="A2649" t="s">
        <v>3140</v>
      </c>
      <c r="B2649" s="1">
        <v>0</v>
      </c>
      <c r="C2649" t="s">
        <v>4905</v>
      </c>
      <c r="D2649" t="s">
        <v>5112</v>
      </c>
      <c r="E2649" t="s">
        <v>5249</v>
      </c>
      <c r="F2649" t="s">
        <v>5215</v>
      </c>
      <c r="G2649" t="s">
        <v>5183</v>
      </c>
      <c r="H2649" t="s">
        <v>739</v>
      </c>
      <c r="J2649" t="s">
        <v>3140</v>
      </c>
      <c r="K2649">
        <v>227.8</v>
      </c>
    </row>
    <row r="2650" spans="1:11" x14ac:dyDescent="0.35">
      <c r="A2650" t="s">
        <v>3141</v>
      </c>
      <c r="B2650" s="1">
        <v>0</v>
      </c>
      <c r="C2650" t="s">
        <v>1069</v>
      </c>
      <c r="D2650" t="s">
        <v>5506</v>
      </c>
      <c r="E2650" t="s">
        <v>5145</v>
      </c>
      <c r="F2650" t="s">
        <v>5358</v>
      </c>
      <c r="G2650" t="s">
        <v>5116</v>
      </c>
      <c r="H2650" t="s">
        <v>3361</v>
      </c>
      <c r="J2650" t="s">
        <v>3141</v>
      </c>
      <c r="K2650">
        <v>263.10000000000002</v>
      </c>
    </row>
    <row r="2651" spans="1:11" x14ac:dyDescent="0.35">
      <c r="A2651" t="s">
        <v>3142</v>
      </c>
      <c r="B2651" s="1">
        <v>0</v>
      </c>
      <c r="C2651" t="s">
        <v>268</v>
      </c>
      <c r="D2651" t="s">
        <v>5615</v>
      </c>
      <c r="E2651" t="s">
        <v>5187</v>
      </c>
      <c r="F2651" t="s">
        <v>5358</v>
      </c>
      <c r="G2651" t="s">
        <v>5045</v>
      </c>
      <c r="H2651" t="s">
        <v>5704</v>
      </c>
      <c r="J2651" t="s">
        <v>3142</v>
      </c>
      <c r="K2651">
        <v>270.89999999999998</v>
      </c>
    </row>
    <row r="2652" spans="1:11" x14ac:dyDescent="0.35">
      <c r="A2652" t="s">
        <v>3144</v>
      </c>
      <c r="B2652" s="1">
        <v>0</v>
      </c>
      <c r="C2652" t="s">
        <v>4347</v>
      </c>
      <c r="D2652" t="s">
        <v>5513</v>
      </c>
      <c r="E2652" t="s">
        <v>5125</v>
      </c>
      <c r="F2652" t="s">
        <v>5358</v>
      </c>
      <c r="G2652" t="s">
        <v>5082</v>
      </c>
      <c r="H2652" t="s">
        <v>3573</v>
      </c>
      <c r="J2652" t="s">
        <v>3144</v>
      </c>
      <c r="K2652">
        <v>256</v>
      </c>
    </row>
    <row r="2653" spans="1:11" x14ac:dyDescent="0.35">
      <c r="A2653" t="s">
        <v>3145</v>
      </c>
      <c r="B2653" s="1">
        <v>0</v>
      </c>
      <c r="C2653" t="s">
        <v>4905</v>
      </c>
      <c r="D2653" t="s">
        <v>5476</v>
      </c>
      <c r="E2653" t="s">
        <v>5096</v>
      </c>
      <c r="F2653" t="s">
        <v>5089</v>
      </c>
      <c r="G2653" t="s">
        <v>5183</v>
      </c>
      <c r="H2653" t="s">
        <v>3958</v>
      </c>
      <c r="J2653" t="s">
        <v>3145</v>
      </c>
      <c r="K2653">
        <v>232</v>
      </c>
    </row>
    <row r="2654" spans="1:11" x14ac:dyDescent="0.35">
      <c r="A2654" t="s">
        <v>3146</v>
      </c>
      <c r="B2654" s="1">
        <v>0</v>
      </c>
      <c r="C2654" t="s">
        <v>464</v>
      </c>
      <c r="D2654" t="s">
        <v>5238</v>
      </c>
      <c r="E2654" t="s">
        <v>5192</v>
      </c>
      <c r="F2654" t="s">
        <v>5089</v>
      </c>
      <c r="G2654" t="s">
        <v>5054</v>
      </c>
      <c r="H2654" t="s">
        <v>2727</v>
      </c>
      <c r="J2654" t="s">
        <v>3146</v>
      </c>
      <c r="K2654">
        <v>211.3</v>
      </c>
    </row>
    <row r="2655" spans="1:11" x14ac:dyDescent="0.35">
      <c r="A2655" t="s">
        <v>3147</v>
      </c>
      <c r="B2655" s="1">
        <v>0</v>
      </c>
      <c r="C2655" t="s">
        <v>1534</v>
      </c>
      <c r="D2655" t="s">
        <v>5083</v>
      </c>
      <c r="E2655" t="s">
        <v>5165</v>
      </c>
      <c r="F2655" t="s">
        <v>5077</v>
      </c>
      <c r="G2655" t="s">
        <v>5050</v>
      </c>
      <c r="H2655" t="s">
        <v>657</v>
      </c>
      <c r="J2655" t="s">
        <v>3147</v>
      </c>
      <c r="K2655">
        <v>208.3</v>
      </c>
    </row>
    <row r="2656" spans="1:11" x14ac:dyDescent="0.35">
      <c r="A2656" t="s">
        <v>3148</v>
      </c>
      <c r="B2656" s="1">
        <v>0</v>
      </c>
      <c r="C2656" t="s">
        <v>357</v>
      </c>
      <c r="D2656" t="s">
        <v>5277</v>
      </c>
      <c r="E2656" t="s">
        <v>5096</v>
      </c>
      <c r="F2656" t="s">
        <v>5077</v>
      </c>
      <c r="G2656" t="s">
        <v>5054</v>
      </c>
      <c r="H2656" t="s">
        <v>232</v>
      </c>
      <c r="J2656" t="s">
        <v>3148</v>
      </c>
      <c r="K2656">
        <v>222.4</v>
      </c>
    </row>
    <row r="2657" spans="1:11" x14ac:dyDescent="0.35">
      <c r="A2657" t="s">
        <v>3149</v>
      </c>
      <c r="B2657" s="1">
        <v>0</v>
      </c>
      <c r="C2657" t="s">
        <v>1864</v>
      </c>
      <c r="D2657" t="s">
        <v>5506</v>
      </c>
      <c r="E2657" t="s">
        <v>5441</v>
      </c>
      <c r="F2657" t="s">
        <v>5089</v>
      </c>
      <c r="G2657" t="s">
        <v>5412</v>
      </c>
      <c r="H2657" t="s">
        <v>1241</v>
      </c>
      <c r="J2657" t="s">
        <v>3149</v>
      </c>
      <c r="K2657">
        <v>236.3</v>
      </c>
    </row>
    <row r="2658" spans="1:11" x14ac:dyDescent="0.35">
      <c r="A2658" t="s">
        <v>3151</v>
      </c>
      <c r="B2658" s="1">
        <v>0</v>
      </c>
      <c r="C2658" t="s">
        <v>1469</v>
      </c>
      <c r="D2658" t="s">
        <v>5647</v>
      </c>
      <c r="E2658" t="s">
        <v>5125</v>
      </c>
      <c r="F2658" t="s">
        <v>5089</v>
      </c>
      <c r="G2658" t="s">
        <v>5058</v>
      </c>
      <c r="H2658" t="s">
        <v>735</v>
      </c>
      <c r="J2658" t="s">
        <v>3151</v>
      </c>
      <c r="K2658">
        <v>235</v>
      </c>
    </row>
    <row r="2659" spans="1:11" x14ac:dyDescent="0.35">
      <c r="A2659" t="s">
        <v>3153</v>
      </c>
      <c r="B2659" s="1">
        <v>0</v>
      </c>
      <c r="C2659" t="s">
        <v>362</v>
      </c>
      <c r="D2659" t="s">
        <v>5613</v>
      </c>
      <c r="E2659" t="s">
        <v>5251</v>
      </c>
      <c r="F2659" t="s">
        <v>5077</v>
      </c>
      <c r="G2659" t="s">
        <v>5050</v>
      </c>
      <c r="H2659" t="s">
        <v>1702</v>
      </c>
      <c r="J2659" t="s">
        <v>3153</v>
      </c>
      <c r="K2659">
        <v>218.4</v>
      </c>
    </row>
    <row r="2660" spans="1:11" x14ac:dyDescent="0.35">
      <c r="A2660" t="s">
        <v>3154</v>
      </c>
      <c r="B2660" s="1">
        <v>0</v>
      </c>
      <c r="C2660" t="s">
        <v>1013</v>
      </c>
      <c r="D2660" t="s">
        <v>5518</v>
      </c>
      <c r="E2660" t="s">
        <v>5162</v>
      </c>
      <c r="F2660" t="s">
        <v>5077</v>
      </c>
      <c r="G2660" t="s">
        <v>5230</v>
      </c>
      <c r="H2660" t="s">
        <v>2826</v>
      </c>
      <c r="J2660" t="s">
        <v>3154</v>
      </c>
      <c r="K2660">
        <v>198.6</v>
      </c>
    </row>
    <row r="2661" spans="1:11" x14ac:dyDescent="0.35">
      <c r="A2661" t="s">
        <v>3155</v>
      </c>
      <c r="B2661" s="1">
        <v>0</v>
      </c>
      <c r="C2661" t="s">
        <v>5403</v>
      </c>
      <c r="D2661" t="s">
        <v>5129</v>
      </c>
      <c r="E2661" t="s">
        <v>5221</v>
      </c>
      <c r="F2661" t="s">
        <v>5077</v>
      </c>
      <c r="G2661" t="s">
        <v>5222</v>
      </c>
      <c r="H2661" t="s">
        <v>1682</v>
      </c>
      <c r="J2661" t="s">
        <v>3155</v>
      </c>
      <c r="K2661">
        <v>186.3</v>
      </c>
    </row>
    <row r="2662" spans="1:11" x14ac:dyDescent="0.35">
      <c r="A2662" t="s">
        <v>3156</v>
      </c>
      <c r="B2662" s="1">
        <v>0</v>
      </c>
      <c r="C2662" t="s">
        <v>423</v>
      </c>
      <c r="D2662" t="s">
        <v>5157</v>
      </c>
      <c r="E2662" t="s">
        <v>5055</v>
      </c>
      <c r="F2662" t="s">
        <v>5077</v>
      </c>
      <c r="G2662" t="s">
        <v>5222</v>
      </c>
      <c r="H2662" t="s">
        <v>782</v>
      </c>
      <c r="J2662" t="s">
        <v>3156</v>
      </c>
      <c r="K2662">
        <v>182.1</v>
      </c>
    </row>
    <row r="2663" spans="1:11" x14ac:dyDescent="0.35">
      <c r="A2663" t="s">
        <v>3157</v>
      </c>
      <c r="B2663" s="1">
        <v>0</v>
      </c>
      <c r="C2663" t="s">
        <v>399</v>
      </c>
      <c r="D2663" t="s">
        <v>5093</v>
      </c>
      <c r="E2663" t="s">
        <v>5181</v>
      </c>
      <c r="F2663" t="s">
        <v>5077</v>
      </c>
      <c r="G2663" t="s">
        <v>5046</v>
      </c>
      <c r="H2663" t="s">
        <v>189</v>
      </c>
      <c r="J2663" t="s">
        <v>3157</v>
      </c>
      <c r="K2663">
        <v>180.8</v>
      </c>
    </row>
    <row r="2664" spans="1:11" x14ac:dyDescent="0.35">
      <c r="A2664" t="s">
        <v>3158</v>
      </c>
      <c r="B2664" s="1">
        <v>0</v>
      </c>
      <c r="C2664" t="s">
        <v>407</v>
      </c>
      <c r="D2664" t="s">
        <v>5120</v>
      </c>
      <c r="E2664" t="s">
        <v>5057</v>
      </c>
      <c r="F2664" t="s">
        <v>5077</v>
      </c>
      <c r="G2664" t="s">
        <v>5240</v>
      </c>
      <c r="H2664" t="s">
        <v>1337</v>
      </c>
      <c r="J2664" t="s">
        <v>3158</v>
      </c>
      <c r="K2664">
        <v>181.2</v>
      </c>
    </row>
    <row r="2665" spans="1:11" x14ac:dyDescent="0.35">
      <c r="A2665" t="s">
        <v>3159</v>
      </c>
      <c r="B2665" s="1">
        <v>0</v>
      </c>
      <c r="C2665" t="s">
        <v>351</v>
      </c>
      <c r="D2665" t="s">
        <v>5067</v>
      </c>
      <c r="E2665" t="s">
        <v>5295</v>
      </c>
      <c r="F2665" t="s">
        <v>5077</v>
      </c>
      <c r="G2665" t="s">
        <v>5062</v>
      </c>
      <c r="H2665" t="s">
        <v>2708</v>
      </c>
      <c r="J2665" t="s">
        <v>3159</v>
      </c>
      <c r="K2665">
        <v>194</v>
      </c>
    </row>
    <row r="2666" spans="1:11" x14ac:dyDescent="0.35">
      <c r="A2666" t="s">
        <v>3160</v>
      </c>
      <c r="B2666" s="1">
        <v>0</v>
      </c>
      <c r="C2666" t="s">
        <v>488</v>
      </c>
      <c r="D2666" t="s">
        <v>5443</v>
      </c>
      <c r="E2666" t="s">
        <v>5223</v>
      </c>
      <c r="F2666" t="s">
        <v>5077</v>
      </c>
      <c r="G2666" t="s">
        <v>5099</v>
      </c>
      <c r="H2666" t="s">
        <v>1841</v>
      </c>
      <c r="J2666" t="s">
        <v>3160</v>
      </c>
      <c r="K2666">
        <v>220.4</v>
      </c>
    </row>
    <row r="2667" spans="1:11" x14ac:dyDescent="0.35">
      <c r="A2667" t="s">
        <v>3161</v>
      </c>
      <c r="B2667" s="1">
        <v>0</v>
      </c>
      <c r="C2667" t="s">
        <v>499</v>
      </c>
      <c r="D2667" t="s">
        <v>5109</v>
      </c>
      <c r="E2667" t="s">
        <v>5182</v>
      </c>
      <c r="F2667" t="s">
        <v>5089</v>
      </c>
      <c r="G2667" t="s">
        <v>5110</v>
      </c>
      <c r="H2667" t="s">
        <v>2021</v>
      </c>
      <c r="J2667" t="s">
        <v>3161</v>
      </c>
      <c r="K2667">
        <v>250.9</v>
      </c>
    </row>
    <row r="2668" spans="1:11" x14ac:dyDescent="0.35">
      <c r="A2668" t="s">
        <v>3162</v>
      </c>
      <c r="B2668" s="1">
        <v>0</v>
      </c>
      <c r="C2668" t="s">
        <v>514</v>
      </c>
      <c r="D2668" t="s">
        <v>5474</v>
      </c>
      <c r="E2668" t="s">
        <v>5453</v>
      </c>
      <c r="F2668" t="s">
        <v>5089</v>
      </c>
      <c r="G2668" t="s">
        <v>5045</v>
      </c>
      <c r="H2668" t="s">
        <v>2067</v>
      </c>
      <c r="J2668" t="s">
        <v>3162</v>
      </c>
      <c r="K2668">
        <v>264.5</v>
      </c>
    </row>
    <row r="2669" spans="1:11" x14ac:dyDescent="0.35">
      <c r="A2669" t="s">
        <v>3164</v>
      </c>
      <c r="B2669" s="1">
        <v>0</v>
      </c>
      <c r="C2669" t="s">
        <v>1457</v>
      </c>
      <c r="D2669" t="s">
        <v>5455</v>
      </c>
      <c r="E2669" t="s">
        <v>5253</v>
      </c>
      <c r="F2669" t="s">
        <v>5089</v>
      </c>
      <c r="G2669" t="s">
        <v>5116</v>
      </c>
      <c r="H2669" t="s">
        <v>4766</v>
      </c>
      <c r="J2669" t="s">
        <v>3164</v>
      </c>
      <c r="K2669">
        <v>259.2</v>
      </c>
    </row>
    <row r="2670" spans="1:11" x14ac:dyDescent="0.35">
      <c r="A2670" t="s">
        <v>3165</v>
      </c>
      <c r="B2670" s="1">
        <v>0</v>
      </c>
      <c r="C2670" t="s">
        <v>3224</v>
      </c>
      <c r="D2670" t="s">
        <v>5259</v>
      </c>
      <c r="E2670" t="s">
        <v>5063</v>
      </c>
      <c r="F2670" t="s">
        <v>5089</v>
      </c>
      <c r="G2670" t="s">
        <v>5078</v>
      </c>
      <c r="H2670" t="s">
        <v>5764</v>
      </c>
      <c r="J2670" t="s">
        <v>3165</v>
      </c>
      <c r="K2670">
        <v>238.5</v>
      </c>
    </row>
    <row r="2671" spans="1:11" x14ac:dyDescent="0.35">
      <c r="A2671" t="s">
        <v>3166</v>
      </c>
      <c r="B2671" s="1">
        <v>0</v>
      </c>
      <c r="C2671" t="s">
        <v>1538</v>
      </c>
      <c r="D2671" t="s">
        <v>5244</v>
      </c>
      <c r="E2671" t="s">
        <v>5276</v>
      </c>
      <c r="F2671" t="s">
        <v>5089</v>
      </c>
      <c r="G2671" t="s">
        <v>5412</v>
      </c>
      <c r="H2671" t="s">
        <v>2840</v>
      </c>
      <c r="J2671" t="s">
        <v>3166</v>
      </c>
      <c r="K2671">
        <v>226.5</v>
      </c>
    </row>
    <row r="2672" spans="1:11" x14ac:dyDescent="0.35">
      <c r="A2672" t="s">
        <v>3167</v>
      </c>
      <c r="B2672" s="1">
        <v>0</v>
      </c>
      <c r="C2672" t="s">
        <v>1467</v>
      </c>
      <c r="D2672" t="s">
        <v>5593</v>
      </c>
      <c r="E2672" t="s">
        <v>5229</v>
      </c>
      <c r="F2672" t="s">
        <v>5089</v>
      </c>
      <c r="G2672" t="s">
        <v>5058</v>
      </c>
      <c r="H2672" t="s">
        <v>5743</v>
      </c>
      <c r="J2672" t="s">
        <v>3167</v>
      </c>
      <c r="K2672">
        <v>234.2</v>
      </c>
    </row>
    <row r="2673" spans="1:11" x14ac:dyDescent="0.35">
      <c r="A2673" t="s">
        <v>3168</v>
      </c>
      <c r="B2673" s="1">
        <v>0</v>
      </c>
      <c r="C2673" t="s">
        <v>3801</v>
      </c>
      <c r="D2673" t="s">
        <v>5566</v>
      </c>
      <c r="E2673" t="s">
        <v>5203</v>
      </c>
      <c r="F2673" t="s">
        <v>5089</v>
      </c>
      <c r="G2673" t="s">
        <v>5062</v>
      </c>
      <c r="H2673" t="s">
        <v>2091</v>
      </c>
      <c r="J2673" t="s">
        <v>3168</v>
      </c>
      <c r="K2673">
        <v>246</v>
      </c>
    </row>
    <row r="2674" spans="1:11" x14ac:dyDescent="0.35">
      <c r="A2674" t="s">
        <v>3169</v>
      </c>
      <c r="B2674" s="1">
        <v>0</v>
      </c>
      <c r="C2674" t="s">
        <v>5548</v>
      </c>
      <c r="D2674" t="s">
        <v>5564</v>
      </c>
      <c r="E2674" t="s">
        <v>5203</v>
      </c>
      <c r="F2674" t="s">
        <v>5089</v>
      </c>
      <c r="G2674" t="s">
        <v>5475</v>
      </c>
      <c r="H2674" t="s">
        <v>5693</v>
      </c>
      <c r="J2674" t="s">
        <v>3169</v>
      </c>
      <c r="K2674">
        <v>249</v>
      </c>
    </row>
    <row r="2675" spans="1:11" x14ac:dyDescent="0.35">
      <c r="A2675" t="s">
        <v>3171</v>
      </c>
      <c r="B2675" s="1">
        <v>0</v>
      </c>
      <c r="C2675" t="s">
        <v>5637</v>
      </c>
      <c r="D2675" t="s">
        <v>5629</v>
      </c>
      <c r="E2675" t="s">
        <v>5074</v>
      </c>
      <c r="F2675" t="s">
        <v>5089</v>
      </c>
      <c r="G2675" t="s">
        <v>5078</v>
      </c>
      <c r="H2675" t="s">
        <v>2470</v>
      </c>
      <c r="J2675" t="s">
        <v>3171</v>
      </c>
      <c r="K2675">
        <v>244.9</v>
      </c>
    </row>
    <row r="2676" spans="1:11" x14ac:dyDescent="0.35">
      <c r="A2676" t="s">
        <v>3172</v>
      </c>
      <c r="B2676" s="1">
        <v>0</v>
      </c>
      <c r="C2676" t="s">
        <v>1465</v>
      </c>
      <c r="D2676" t="s">
        <v>5084</v>
      </c>
      <c r="E2676" t="s">
        <v>5120</v>
      </c>
      <c r="F2676" t="s">
        <v>5089</v>
      </c>
      <c r="G2676" t="s">
        <v>5215</v>
      </c>
      <c r="H2676" t="s">
        <v>2732</v>
      </c>
      <c r="J2676" t="s">
        <v>3172</v>
      </c>
      <c r="K2676">
        <v>237.3</v>
      </c>
    </row>
    <row r="2677" spans="1:11" x14ac:dyDescent="0.35">
      <c r="A2677" t="s">
        <v>3173</v>
      </c>
      <c r="B2677" s="1">
        <v>0</v>
      </c>
      <c r="C2677" t="s">
        <v>2274</v>
      </c>
      <c r="D2677" t="s">
        <v>5530</v>
      </c>
      <c r="E2677" t="s">
        <v>5434</v>
      </c>
      <c r="F2677" t="s">
        <v>5089</v>
      </c>
      <c r="G2677" t="s">
        <v>5078</v>
      </c>
      <c r="H2677" t="s">
        <v>2033</v>
      </c>
      <c r="J2677" t="s">
        <v>3173</v>
      </c>
      <c r="K2677">
        <v>224.5</v>
      </c>
    </row>
    <row r="2678" spans="1:11" x14ac:dyDescent="0.35">
      <c r="A2678" t="s">
        <v>3174</v>
      </c>
      <c r="B2678" s="1">
        <v>0</v>
      </c>
      <c r="C2678" t="s">
        <v>474</v>
      </c>
      <c r="D2678" t="s">
        <v>5534</v>
      </c>
      <c r="E2678" t="s">
        <v>5204</v>
      </c>
      <c r="F2678" t="s">
        <v>5089</v>
      </c>
      <c r="G2678" t="s">
        <v>5183</v>
      </c>
      <c r="H2678" t="s">
        <v>2727</v>
      </c>
      <c r="J2678" t="s">
        <v>3174</v>
      </c>
      <c r="K2678">
        <v>211.3</v>
      </c>
    </row>
    <row r="2679" spans="1:11" x14ac:dyDescent="0.35">
      <c r="A2679" s="2">
        <v>42491</v>
      </c>
      <c r="B2679" s="1">
        <v>0</v>
      </c>
      <c r="C2679" t="s">
        <v>326</v>
      </c>
      <c r="D2679" t="s">
        <v>5090</v>
      </c>
      <c r="E2679" t="s">
        <v>5303</v>
      </c>
      <c r="F2679" t="s">
        <v>5077</v>
      </c>
      <c r="G2679" t="s">
        <v>5065</v>
      </c>
      <c r="H2679" t="s">
        <v>86</v>
      </c>
      <c r="J2679" s="2">
        <v>42491</v>
      </c>
      <c r="K2679">
        <v>199.7</v>
      </c>
    </row>
    <row r="2680" spans="1:11" x14ac:dyDescent="0.35">
      <c r="A2680" s="2">
        <v>42492</v>
      </c>
      <c r="B2680" s="1">
        <v>0</v>
      </c>
      <c r="C2680" t="s">
        <v>1526</v>
      </c>
      <c r="D2680" t="s">
        <v>5442</v>
      </c>
      <c r="E2680" t="s">
        <v>5597</v>
      </c>
      <c r="F2680" t="s">
        <v>5077</v>
      </c>
      <c r="G2680" t="s">
        <v>5172</v>
      </c>
      <c r="H2680" t="s">
        <v>764</v>
      </c>
      <c r="J2680" s="2">
        <v>42492</v>
      </c>
      <c r="K2680">
        <v>195.1</v>
      </c>
    </row>
    <row r="2681" spans="1:11" x14ac:dyDescent="0.35">
      <c r="A2681" s="2">
        <v>42493</v>
      </c>
      <c r="B2681" s="1">
        <v>0</v>
      </c>
      <c r="C2681" t="s">
        <v>1917</v>
      </c>
      <c r="D2681" t="s">
        <v>5106</v>
      </c>
      <c r="E2681" t="s">
        <v>5597</v>
      </c>
      <c r="F2681" t="s">
        <v>5077</v>
      </c>
      <c r="G2681" t="s">
        <v>5172</v>
      </c>
      <c r="H2681" t="s">
        <v>5655</v>
      </c>
      <c r="J2681" s="2">
        <v>42493</v>
      </c>
      <c r="K2681">
        <v>196.6</v>
      </c>
    </row>
    <row r="2682" spans="1:11" x14ac:dyDescent="0.35">
      <c r="A2682" s="2">
        <v>42494</v>
      </c>
      <c r="B2682" s="1">
        <v>0</v>
      </c>
      <c r="C2682" t="s">
        <v>361</v>
      </c>
      <c r="D2682" t="s">
        <v>5190</v>
      </c>
      <c r="E2682" t="s">
        <v>5073</v>
      </c>
      <c r="F2682" t="s">
        <v>5077</v>
      </c>
      <c r="G2682" t="s">
        <v>5230</v>
      </c>
      <c r="H2682" t="s">
        <v>216</v>
      </c>
      <c r="J2682" s="2">
        <v>42494</v>
      </c>
      <c r="K2682">
        <v>202.3</v>
      </c>
    </row>
    <row r="2683" spans="1:11" x14ac:dyDescent="0.35">
      <c r="A2683" s="2">
        <v>42495</v>
      </c>
      <c r="B2683" s="1">
        <v>0</v>
      </c>
      <c r="C2683" t="s">
        <v>1530</v>
      </c>
      <c r="D2683" t="s">
        <v>5370</v>
      </c>
      <c r="E2683" t="s">
        <v>5068</v>
      </c>
      <c r="F2683" t="s">
        <v>5077</v>
      </c>
      <c r="G2683" t="s">
        <v>5046</v>
      </c>
      <c r="H2683" t="s">
        <v>1844</v>
      </c>
      <c r="J2683" s="2">
        <v>42495</v>
      </c>
      <c r="K2683">
        <v>215.6</v>
      </c>
    </row>
    <row r="2684" spans="1:11" x14ac:dyDescent="0.35">
      <c r="A2684" s="2">
        <v>42496</v>
      </c>
      <c r="B2684" s="1">
        <v>0</v>
      </c>
      <c r="C2684" t="s">
        <v>3808</v>
      </c>
      <c r="D2684" t="s">
        <v>5536</v>
      </c>
      <c r="E2684" t="s">
        <v>5448</v>
      </c>
      <c r="F2684" t="s">
        <v>5089</v>
      </c>
      <c r="G2684" t="s">
        <v>5179</v>
      </c>
      <c r="H2684" t="s">
        <v>2698</v>
      </c>
      <c r="J2684" s="2">
        <v>42496</v>
      </c>
      <c r="K2684">
        <v>238.1</v>
      </c>
    </row>
    <row r="2685" spans="1:11" x14ac:dyDescent="0.35">
      <c r="A2685" s="2">
        <v>42497</v>
      </c>
      <c r="B2685" s="1">
        <v>0</v>
      </c>
      <c r="C2685" t="s">
        <v>3462</v>
      </c>
      <c r="D2685" t="s">
        <v>5467</v>
      </c>
      <c r="E2685" t="s">
        <v>5145</v>
      </c>
      <c r="F2685" t="s">
        <v>5089</v>
      </c>
      <c r="G2685" t="s">
        <v>5058</v>
      </c>
      <c r="H2685" t="s">
        <v>5701</v>
      </c>
      <c r="J2685" s="2">
        <v>42497</v>
      </c>
      <c r="K2685">
        <v>257.10000000000002</v>
      </c>
    </row>
    <row r="2686" spans="1:11" x14ac:dyDescent="0.35">
      <c r="A2686" s="2">
        <v>42498</v>
      </c>
      <c r="B2686" s="1">
        <v>0</v>
      </c>
      <c r="C2686" t="s">
        <v>2934</v>
      </c>
      <c r="D2686" t="s">
        <v>5581</v>
      </c>
      <c r="E2686" t="s">
        <v>5135</v>
      </c>
      <c r="F2686" t="s">
        <v>5089</v>
      </c>
      <c r="G2686" t="s">
        <v>5240</v>
      </c>
      <c r="H2686" t="s">
        <v>3062</v>
      </c>
      <c r="J2686" s="2">
        <v>42498</v>
      </c>
      <c r="K2686">
        <v>255.5</v>
      </c>
    </row>
    <row r="2687" spans="1:11" x14ac:dyDescent="0.35">
      <c r="A2687" s="2">
        <v>42499</v>
      </c>
      <c r="B2687" s="1">
        <v>0</v>
      </c>
      <c r="C2687" t="s">
        <v>3213</v>
      </c>
      <c r="D2687" t="s">
        <v>5260</v>
      </c>
      <c r="E2687" t="s">
        <v>5218</v>
      </c>
      <c r="F2687" t="s">
        <v>5089</v>
      </c>
      <c r="G2687" t="s">
        <v>5230</v>
      </c>
      <c r="H2687" t="s">
        <v>3651</v>
      </c>
      <c r="J2687" s="2">
        <v>42499</v>
      </c>
      <c r="K2687">
        <v>237.5</v>
      </c>
    </row>
    <row r="2688" spans="1:11" x14ac:dyDescent="0.35">
      <c r="A2688" s="2">
        <v>42500</v>
      </c>
      <c r="B2688" s="1">
        <v>0</v>
      </c>
      <c r="C2688" t="s">
        <v>465</v>
      </c>
      <c r="D2688" t="s">
        <v>5486</v>
      </c>
      <c r="E2688" t="s">
        <v>5236</v>
      </c>
      <c r="F2688" t="s">
        <v>5089</v>
      </c>
      <c r="G2688" t="s">
        <v>5227</v>
      </c>
      <c r="H2688" t="s">
        <v>644</v>
      </c>
      <c r="J2688" s="2">
        <v>42500</v>
      </c>
      <c r="K2688">
        <v>211.6</v>
      </c>
    </row>
    <row r="2689" spans="1:11" x14ac:dyDescent="0.35">
      <c r="A2689" s="2">
        <v>42501</v>
      </c>
      <c r="B2689" s="1">
        <v>0</v>
      </c>
      <c r="C2689" t="s">
        <v>1879</v>
      </c>
      <c r="D2689" t="s">
        <v>5451</v>
      </c>
      <c r="E2689" t="s">
        <v>5171</v>
      </c>
      <c r="F2689" t="s">
        <v>5077</v>
      </c>
      <c r="G2689" t="s">
        <v>5226</v>
      </c>
      <c r="H2689" t="s">
        <v>1179</v>
      </c>
      <c r="J2689" s="2">
        <v>42501</v>
      </c>
      <c r="K2689">
        <v>188.1</v>
      </c>
    </row>
    <row r="2690" spans="1:11" x14ac:dyDescent="0.35">
      <c r="A2690" s="2">
        <v>42502</v>
      </c>
      <c r="B2690" s="1">
        <v>0</v>
      </c>
      <c r="C2690" t="s">
        <v>5639</v>
      </c>
      <c r="D2690" t="s">
        <v>5072</v>
      </c>
      <c r="E2690" t="s">
        <v>5283</v>
      </c>
      <c r="F2690" t="s">
        <v>5077</v>
      </c>
      <c r="G2690" t="s">
        <v>5309</v>
      </c>
      <c r="H2690" t="s">
        <v>255</v>
      </c>
      <c r="J2690" s="2">
        <v>42502</v>
      </c>
      <c r="K2690">
        <v>169.7</v>
      </c>
    </row>
    <row r="2691" spans="1:11" x14ac:dyDescent="0.35">
      <c r="A2691" s="2">
        <v>42503</v>
      </c>
      <c r="B2691" s="1">
        <v>0</v>
      </c>
      <c r="C2691" t="s">
        <v>5542</v>
      </c>
      <c r="D2691" t="s">
        <v>5219</v>
      </c>
      <c r="E2691" t="s">
        <v>5284</v>
      </c>
      <c r="F2691" t="s">
        <v>5045</v>
      </c>
      <c r="G2691" t="s">
        <v>5315</v>
      </c>
      <c r="H2691" t="s">
        <v>1162</v>
      </c>
      <c r="J2691" s="2">
        <v>42503</v>
      </c>
      <c r="K2691">
        <v>155.69999999999999</v>
      </c>
    </row>
    <row r="2692" spans="1:11" x14ac:dyDescent="0.35">
      <c r="A2692" s="2">
        <v>42504</v>
      </c>
      <c r="B2692" s="1">
        <v>0</v>
      </c>
      <c r="C2692" t="s">
        <v>5575</v>
      </c>
      <c r="D2692" t="s">
        <v>5422</v>
      </c>
      <c r="E2692" t="s">
        <v>5302</v>
      </c>
      <c r="F2692" t="s">
        <v>5045</v>
      </c>
      <c r="G2692" t="s">
        <v>5397</v>
      </c>
      <c r="H2692" t="s">
        <v>1456</v>
      </c>
      <c r="J2692" s="2">
        <v>42504</v>
      </c>
      <c r="K2692">
        <v>145.19999999999999</v>
      </c>
    </row>
    <row r="2693" spans="1:11" x14ac:dyDescent="0.35">
      <c r="A2693" s="2">
        <v>42505</v>
      </c>
      <c r="B2693" s="1">
        <v>0</v>
      </c>
      <c r="C2693" t="s">
        <v>5133</v>
      </c>
      <c r="D2693" t="s">
        <v>5597</v>
      </c>
      <c r="E2693" t="s">
        <v>5324</v>
      </c>
      <c r="F2693" t="s">
        <v>5045</v>
      </c>
      <c r="G2693" t="s">
        <v>5153</v>
      </c>
      <c r="H2693" t="s">
        <v>154</v>
      </c>
      <c r="J2693" s="2">
        <v>42505</v>
      </c>
      <c r="K2693">
        <v>138.5</v>
      </c>
    </row>
    <row r="2694" spans="1:11" x14ac:dyDescent="0.35">
      <c r="A2694" s="2">
        <v>42506</v>
      </c>
      <c r="B2694" s="1">
        <v>0</v>
      </c>
      <c r="C2694" t="s">
        <v>5211</v>
      </c>
      <c r="D2694" t="s">
        <v>5295</v>
      </c>
      <c r="E2694" t="s">
        <v>5325</v>
      </c>
      <c r="F2694" t="s">
        <v>5045</v>
      </c>
      <c r="G2694" t="s">
        <v>5334</v>
      </c>
      <c r="H2694" t="s">
        <v>1802</v>
      </c>
      <c r="J2694" s="2">
        <v>42506</v>
      </c>
      <c r="K2694">
        <v>136.9</v>
      </c>
    </row>
    <row r="2695" spans="1:11" x14ac:dyDescent="0.35">
      <c r="A2695" s="2">
        <v>42507</v>
      </c>
      <c r="B2695" s="1">
        <v>0</v>
      </c>
      <c r="C2695" t="s">
        <v>5534</v>
      </c>
      <c r="D2695" t="s">
        <v>5417</v>
      </c>
      <c r="E2695" t="s">
        <v>5325</v>
      </c>
      <c r="F2695" t="s">
        <v>5045</v>
      </c>
      <c r="G2695" t="s">
        <v>5153</v>
      </c>
      <c r="H2695" t="s">
        <v>300</v>
      </c>
      <c r="J2695" s="2">
        <v>42507</v>
      </c>
      <c r="K2695">
        <v>138.6</v>
      </c>
    </row>
    <row r="2696" spans="1:11" x14ac:dyDescent="0.35">
      <c r="A2696" s="2">
        <v>42508</v>
      </c>
      <c r="B2696" s="1">
        <v>0</v>
      </c>
      <c r="C2696" t="s">
        <v>5454</v>
      </c>
      <c r="D2696" t="s">
        <v>5417</v>
      </c>
      <c r="E2696" t="s">
        <v>5325</v>
      </c>
      <c r="F2696" t="s">
        <v>5045</v>
      </c>
      <c r="G2696" t="s">
        <v>5140</v>
      </c>
      <c r="H2696" t="s">
        <v>2178</v>
      </c>
      <c r="J2696" s="2">
        <v>42508</v>
      </c>
      <c r="K2696">
        <v>140</v>
      </c>
    </row>
    <row r="2697" spans="1:11" x14ac:dyDescent="0.35">
      <c r="A2697" s="2">
        <v>42509</v>
      </c>
      <c r="B2697" s="1">
        <v>0</v>
      </c>
      <c r="C2697" t="s">
        <v>5225</v>
      </c>
      <c r="D2697" t="s">
        <v>5283</v>
      </c>
      <c r="E2697" t="s">
        <v>5290</v>
      </c>
      <c r="F2697" t="s">
        <v>5045</v>
      </c>
      <c r="G2697" t="s">
        <v>5140</v>
      </c>
      <c r="H2697" t="s">
        <v>154</v>
      </c>
      <c r="J2697" s="2">
        <v>42509</v>
      </c>
      <c r="K2697">
        <v>138.5</v>
      </c>
    </row>
    <row r="2698" spans="1:11" x14ac:dyDescent="0.35">
      <c r="A2698" s="2">
        <v>42510</v>
      </c>
      <c r="B2698" s="1">
        <v>0</v>
      </c>
      <c r="C2698" t="s">
        <v>5151</v>
      </c>
      <c r="D2698" t="s">
        <v>5319</v>
      </c>
      <c r="E2698" t="s">
        <v>5300</v>
      </c>
      <c r="F2698" t="s">
        <v>5045</v>
      </c>
      <c r="G2698" t="s">
        <v>5153</v>
      </c>
      <c r="H2698" t="s">
        <v>1371</v>
      </c>
      <c r="J2698" s="2">
        <v>42510</v>
      </c>
      <c r="K2698">
        <v>135.19999999999999</v>
      </c>
    </row>
    <row r="2699" spans="1:11" x14ac:dyDescent="0.35">
      <c r="A2699" s="2">
        <v>42511</v>
      </c>
      <c r="B2699" s="1">
        <v>0</v>
      </c>
      <c r="C2699" t="s">
        <v>5245</v>
      </c>
      <c r="D2699" t="s">
        <v>5623</v>
      </c>
      <c r="E2699" t="s">
        <v>5317</v>
      </c>
      <c r="F2699" t="s">
        <v>5045</v>
      </c>
      <c r="G2699" t="s">
        <v>5334</v>
      </c>
      <c r="H2699" t="s">
        <v>843</v>
      </c>
      <c r="J2699" s="2">
        <v>42511</v>
      </c>
      <c r="K2699">
        <v>131.5</v>
      </c>
    </row>
    <row r="2700" spans="1:11" x14ac:dyDescent="0.35">
      <c r="A2700" s="2">
        <v>42512</v>
      </c>
      <c r="B2700" s="1">
        <v>0</v>
      </c>
      <c r="C2700" t="s">
        <v>5203</v>
      </c>
      <c r="D2700" t="s">
        <v>5545</v>
      </c>
      <c r="E2700" t="s">
        <v>5308</v>
      </c>
      <c r="F2700" t="s">
        <v>5045</v>
      </c>
      <c r="G2700" t="s">
        <v>5337</v>
      </c>
      <c r="H2700" t="s">
        <v>20</v>
      </c>
      <c r="J2700" s="2">
        <v>42512</v>
      </c>
      <c r="K2700">
        <v>128.69999999999999</v>
      </c>
    </row>
    <row r="2701" spans="1:11" x14ac:dyDescent="0.35">
      <c r="A2701" s="2">
        <v>42513</v>
      </c>
      <c r="B2701" s="1">
        <v>0</v>
      </c>
      <c r="C2701" t="s">
        <v>5088</v>
      </c>
      <c r="D2701" t="s">
        <v>5416</v>
      </c>
      <c r="E2701" t="s">
        <v>5047</v>
      </c>
      <c r="F2701" t="s">
        <v>5045</v>
      </c>
      <c r="G2701" t="s">
        <v>5339</v>
      </c>
      <c r="H2701" t="s">
        <v>1124</v>
      </c>
      <c r="J2701" s="2">
        <v>42513</v>
      </c>
      <c r="K2701">
        <v>127</v>
      </c>
    </row>
    <row r="2702" spans="1:11" x14ac:dyDescent="0.35">
      <c r="A2702" s="2">
        <v>42514</v>
      </c>
      <c r="B2702" s="1">
        <v>0</v>
      </c>
      <c r="C2702" t="s">
        <v>5229</v>
      </c>
      <c r="D2702" t="s">
        <v>5049</v>
      </c>
      <c r="E2702" t="s">
        <v>5547</v>
      </c>
      <c r="F2702" t="s">
        <v>5045</v>
      </c>
      <c r="G2702" t="s">
        <v>5156</v>
      </c>
      <c r="H2702" t="s">
        <v>302</v>
      </c>
      <c r="J2702" s="2">
        <v>42514</v>
      </c>
      <c r="K2702">
        <v>125.9</v>
      </c>
    </row>
    <row r="2703" spans="1:11" x14ac:dyDescent="0.35">
      <c r="A2703" s="2">
        <v>42515</v>
      </c>
      <c r="B2703" s="1">
        <v>0</v>
      </c>
      <c r="C2703" t="s">
        <v>5096</v>
      </c>
      <c r="D2703" t="s">
        <v>5305</v>
      </c>
      <c r="E2703" t="s">
        <v>5547</v>
      </c>
      <c r="F2703" t="s">
        <v>5045</v>
      </c>
      <c r="G2703" t="s">
        <v>5156</v>
      </c>
      <c r="H2703" t="s">
        <v>272</v>
      </c>
      <c r="J2703" s="2">
        <v>42515</v>
      </c>
      <c r="K2703">
        <v>125.2</v>
      </c>
    </row>
    <row r="2704" spans="1:11" x14ac:dyDescent="0.35">
      <c r="A2704" s="2">
        <v>42516</v>
      </c>
      <c r="B2704" s="1">
        <v>0</v>
      </c>
      <c r="C2704" t="s">
        <v>5121</v>
      </c>
      <c r="D2704" t="s">
        <v>5305</v>
      </c>
      <c r="E2704" t="s">
        <v>5547</v>
      </c>
      <c r="F2704" t="s">
        <v>5045</v>
      </c>
      <c r="G2704" t="s">
        <v>5156</v>
      </c>
      <c r="H2704" t="s">
        <v>1573</v>
      </c>
      <c r="J2704" s="2">
        <v>42516</v>
      </c>
      <c r="K2704">
        <v>124.8</v>
      </c>
    </row>
    <row r="2705" spans="1:11" x14ac:dyDescent="0.35">
      <c r="A2705" s="2">
        <v>42517</v>
      </c>
      <c r="B2705" s="1">
        <v>0</v>
      </c>
      <c r="C2705" t="s">
        <v>5448</v>
      </c>
      <c r="D2705" t="s">
        <v>5424</v>
      </c>
      <c r="E2705" t="s">
        <v>5143</v>
      </c>
      <c r="F2705" t="s">
        <v>5045</v>
      </c>
      <c r="G2705" t="s">
        <v>5168</v>
      </c>
      <c r="H2705" t="s">
        <v>1452</v>
      </c>
      <c r="J2705" s="2">
        <v>42517</v>
      </c>
      <c r="K2705">
        <v>124.5</v>
      </c>
    </row>
    <row r="2706" spans="1:11" x14ac:dyDescent="0.35">
      <c r="A2706" s="2">
        <v>42518</v>
      </c>
      <c r="B2706" s="1">
        <v>0</v>
      </c>
      <c r="C2706" t="s">
        <v>5105</v>
      </c>
      <c r="D2706" t="s">
        <v>5424</v>
      </c>
      <c r="E2706" t="s">
        <v>5143</v>
      </c>
      <c r="F2706" t="s">
        <v>5045</v>
      </c>
      <c r="G2706" t="s">
        <v>5168</v>
      </c>
      <c r="H2706" t="s">
        <v>10</v>
      </c>
      <c r="J2706" s="2">
        <v>42518</v>
      </c>
      <c r="K2706">
        <v>124.3</v>
      </c>
    </row>
    <row r="2707" spans="1:11" x14ac:dyDescent="0.35">
      <c r="A2707" s="2">
        <v>42519</v>
      </c>
      <c r="B2707" s="1">
        <v>0</v>
      </c>
      <c r="C2707" t="s">
        <v>5123</v>
      </c>
      <c r="D2707" t="s">
        <v>5044</v>
      </c>
      <c r="E2707" t="s">
        <v>5143</v>
      </c>
      <c r="F2707" t="s">
        <v>5045</v>
      </c>
      <c r="G2707" t="s">
        <v>5168</v>
      </c>
      <c r="H2707" t="s">
        <v>544</v>
      </c>
      <c r="J2707" s="2">
        <v>42519</v>
      </c>
      <c r="K2707">
        <v>124.2</v>
      </c>
    </row>
    <row r="2708" spans="1:11" x14ac:dyDescent="0.35">
      <c r="A2708" s="2">
        <v>42520</v>
      </c>
      <c r="B2708" s="1">
        <v>0</v>
      </c>
      <c r="C2708" t="s">
        <v>5123</v>
      </c>
      <c r="D2708" t="s">
        <v>5305</v>
      </c>
      <c r="E2708" t="s">
        <v>5547</v>
      </c>
      <c r="F2708" t="s">
        <v>5045</v>
      </c>
      <c r="G2708" t="s">
        <v>5168</v>
      </c>
      <c r="H2708" t="s">
        <v>1452</v>
      </c>
      <c r="J2708" s="2">
        <v>42520</v>
      </c>
      <c r="K2708">
        <v>124.5</v>
      </c>
    </row>
    <row r="2709" spans="1:11" x14ac:dyDescent="0.35">
      <c r="A2709" s="2">
        <v>42521</v>
      </c>
      <c r="B2709" s="1">
        <v>0</v>
      </c>
      <c r="C2709" t="s">
        <v>5448</v>
      </c>
      <c r="D2709" t="s">
        <v>5546</v>
      </c>
      <c r="E2709" t="s">
        <v>5047</v>
      </c>
      <c r="F2709" t="s">
        <v>5045</v>
      </c>
      <c r="G2709" t="s">
        <v>5168</v>
      </c>
      <c r="H2709" t="s">
        <v>505</v>
      </c>
      <c r="J2709" s="2">
        <v>42521</v>
      </c>
      <c r="K2709">
        <v>125.3</v>
      </c>
    </row>
    <row r="2710" spans="1:11" x14ac:dyDescent="0.35">
      <c r="A2710" s="2">
        <v>42522</v>
      </c>
      <c r="B2710" s="1">
        <v>0</v>
      </c>
      <c r="C2710" t="s">
        <v>5213</v>
      </c>
      <c r="D2710" t="s">
        <v>5053</v>
      </c>
      <c r="E2710" t="s">
        <v>5308</v>
      </c>
      <c r="F2710" t="s">
        <v>5045</v>
      </c>
      <c r="G2710" t="s">
        <v>5168</v>
      </c>
      <c r="H2710" t="s">
        <v>1082</v>
      </c>
      <c r="J2710" s="2">
        <v>42522</v>
      </c>
      <c r="K2710">
        <v>126.3</v>
      </c>
    </row>
    <row r="2711" spans="1:11" x14ac:dyDescent="0.35">
      <c r="A2711" s="2">
        <v>42523</v>
      </c>
      <c r="B2711" s="1">
        <v>0</v>
      </c>
      <c r="C2711" t="s">
        <v>5501</v>
      </c>
      <c r="D2711" t="s">
        <v>5124</v>
      </c>
      <c r="E2711" t="s">
        <v>5058</v>
      </c>
      <c r="F2711" t="s">
        <v>5168</v>
      </c>
      <c r="G2711" t="s">
        <v>5354</v>
      </c>
      <c r="H2711" t="s">
        <v>337</v>
      </c>
      <c r="J2711" s="2">
        <v>42523</v>
      </c>
      <c r="K2711">
        <v>85.8</v>
      </c>
    </row>
    <row r="2712" spans="1:11" x14ac:dyDescent="0.35">
      <c r="A2712" s="2">
        <v>42524</v>
      </c>
      <c r="B2712" s="1">
        <v>0</v>
      </c>
      <c r="C2712" t="s">
        <v>5501</v>
      </c>
      <c r="D2712" t="s">
        <v>5215</v>
      </c>
      <c r="E2712" t="s">
        <v>5179</v>
      </c>
      <c r="F2712" t="s">
        <v>5168</v>
      </c>
      <c r="G2712" t="s">
        <v>5354</v>
      </c>
      <c r="H2712" t="s">
        <v>442</v>
      </c>
      <c r="J2712" s="2">
        <v>42524</v>
      </c>
      <c r="K2712">
        <v>85.7</v>
      </c>
    </row>
    <row r="2713" spans="1:11" x14ac:dyDescent="0.35">
      <c r="A2713" s="2">
        <v>42525</v>
      </c>
      <c r="B2713" s="1">
        <v>0</v>
      </c>
      <c r="C2713" t="s">
        <v>5332</v>
      </c>
      <c r="D2713" t="s">
        <v>5475</v>
      </c>
      <c r="E2713" t="s">
        <v>5054</v>
      </c>
      <c r="F2713" t="s">
        <v>5168</v>
      </c>
      <c r="G2713" t="s">
        <v>5354</v>
      </c>
      <c r="H2713" t="s">
        <v>5543</v>
      </c>
      <c r="J2713" s="2">
        <v>42525</v>
      </c>
      <c r="K2713">
        <v>85.1</v>
      </c>
    </row>
    <row r="2714" spans="1:11" x14ac:dyDescent="0.35">
      <c r="A2714" s="2">
        <v>42526</v>
      </c>
      <c r="B2714" s="1">
        <v>0</v>
      </c>
      <c r="C2714" t="s">
        <v>5136</v>
      </c>
      <c r="D2714" t="s">
        <v>5412</v>
      </c>
      <c r="E2714" t="s">
        <v>5240</v>
      </c>
      <c r="F2714" t="s">
        <v>5168</v>
      </c>
      <c r="G2714" t="s">
        <v>5354</v>
      </c>
      <c r="H2714" t="s">
        <v>341</v>
      </c>
      <c r="J2714" s="2">
        <v>42526</v>
      </c>
      <c r="K2714">
        <v>84.4</v>
      </c>
    </row>
    <row r="2715" spans="1:11" x14ac:dyDescent="0.35">
      <c r="A2715" s="2">
        <v>42527</v>
      </c>
      <c r="B2715" s="1">
        <v>0</v>
      </c>
      <c r="C2715" t="s">
        <v>5132</v>
      </c>
      <c r="D2715" t="s">
        <v>5179</v>
      </c>
      <c r="E2715" t="s">
        <v>5050</v>
      </c>
      <c r="F2715" t="s">
        <v>5168</v>
      </c>
      <c r="G2715" t="s">
        <v>5354</v>
      </c>
      <c r="H2715" t="s">
        <v>1916</v>
      </c>
      <c r="J2715" s="2">
        <v>42527</v>
      </c>
      <c r="K2715">
        <v>83.9</v>
      </c>
    </row>
    <row r="2716" spans="1:11" x14ac:dyDescent="0.35">
      <c r="A2716" s="2">
        <v>42528</v>
      </c>
      <c r="B2716" s="1">
        <v>0</v>
      </c>
      <c r="C2716" t="s">
        <v>5358</v>
      </c>
      <c r="D2716" t="s">
        <v>5240</v>
      </c>
      <c r="E2716" t="s">
        <v>5050</v>
      </c>
      <c r="F2716" t="s">
        <v>5168</v>
      </c>
      <c r="G2716" t="s">
        <v>5354</v>
      </c>
      <c r="H2716" t="s">
        <v>3800</v>
      </c>
      <c r="J2716" s="2">
        <v>42528</v>
      </c>
      <c r="K2716">
        <v>83.6</v>
      </c>
    </row>
    <row r="2717" spans="1:11" x14ac:dyDescent="0.35">
      <c r="A2717" s="2">
        <v>42529</v>
      </c>
      <c r="B2717" s="1">
        <v>0</v>
      </c>
      <c r="C2717" t="s">
        <v>5089</v>
      </c>
      <c r="D2717" t="s">
        <v>5240</v>
      </c>
      <c r="E2717" t="s">
        <v>5050</v>
      </c>
      <c r="F2717" t="s">
        <v>5168</v>
      </c>
      <c r="G2717" t="s">
        <v>5354</v>
      </c>
      <c r="H2717" t="s">
        <v>345</v>
      </c>
      <c r="J2717" s="2">
        <v>42529</v>
      </c>
      <c r="K2717">
        <v>83.4</v>
      </c>
    </row>
    <row r="2718" spans="1:11" x14ac:dyDescent="0.35">
      <c r="A2718" s="2">
        <v>42530</v>
      </c>
      <c r="B2718" s="1">
        <v>0</v>
      </c>
      <c r="C2718" t="s">
        <v>5077</v>
      </c>
      <c r="D2718" t="s">
        <v>5050</v>
      </c>
      <c r="E2718" t="s">
        <v>5046</v>
      </c>
      <c r="F2718" t="s">
        <v>5168</v>
      </c>
      <c r="G2718" t="s">
        <v>5354</v>
      </c>
      <c r="H2718" t="s">
        <v>363</v>
      </c>
      <c r="J2718" s="2">
        <v>42530</v>
      </c>
      <c r="K2718">
        <v>83.3</v>
      </c>
    </row>
    <row r="2719" spans="1:11" x14ac:dyDescent="0.35">
      <c r="A2719" s="2">
        <v>42531</v>
      </c>
      <c r="B2719" s="1">
        <v>0</v>
      </c>
      <c r="C2719" t="s">
        <v>5077</v>
      </c>
      <c r="D2719" t="s">
        <v>5050</v>
      </c>
      <c r="E2719" t="s">
        <v>5046</v>
      </c>
      <c r="F2719" t="s">
        <v>5168</v>
      </c>
      <c r="G2719" t="s">
        <v>5354</v>
      </c>
      <c r="H2719" t="s">
        <v>1528</v>
      </c>
      <c r="J2719" s="2">
        <v>42531</v>
      </c>
      <c r="K2719">
        <v>83.2</v>
      </c>
    </row>
    <row r="2720" spans="1:11" x14ac:dyDescent="0.35">
      <c r="A2720" s="2">
        <v>42532</v>
      </c>
      <c r="B2720" s="1">
        <v>0</v>
      </c>
      <c r="C2720" t="s">
        <v>5045</v>
      </c>
      <c r="D2720" t="s">
        <v>5046</v>
      </c>
      <c r="E2720" t="s">
        <v>5046</v>
      </c>
      <c r="F2720" t="s">
        <v>5168</v>
      </c>
      <c r="G2720" t="s">
        <v>5354</v>
      </c>
      <c r="H2720" t="s">
        <v>352</v>
      </c>
      <c r="J2720" s="2">
        <v>42532</v>
      </c>
      <c r="K2720">
        <v>83.1</v>
      </c>
    </row>
    <row r="2721" spans="1:11" x14ac:dyDescent="0.35">
      <c r="A2721" s="2">
        <v>42533</v>
      </c>
      <c r="B2721" s="1">
        <v>0</v>
      </c>
      <c r="C2721" t="s">
        <v>5045</v>
      </c>
      <c r="D2721" t="s">
        <v>5046</v>
      </c>
      <c r="E2721" t="s">
        <v>5046</v>
      </c>
      <c r="F2721" t="s">
        <v>5168</v>
      </c>
      <c r="G2721" t="s">
        <v>5354</v>
      </c>
      <c r="H2721" t="s">
        <v>352</v>
      </c>
      <c r="J2721" s="2">
        <v>42533</v>
      </c>
      <c r="K2721">
        <v>83.1</v>
      </c>
    </row>
    <row r="2722" spans="1:11" x14ac:dyDescent="0.35">
      <c r="A2722" s="2">
        <v>42534</v>
      </c>
      <c r="B2722" s="1">
        <v>0</v>
      </c>
      <c r="C2722" t="s">
        <v>5045</v>
      </c>
      <c r="D2722" t="s">
        <v>5046</v>
      </c>
      <c r="E2722" t="s">
        <v>5046</v>
      </c>
      <c r="F2722" t="s">
        <v>5168</v>
      </c>
      <c r="G2722" t="s">
        <v>5354</v>
      </c>
      <c r="H2722" t="s">
        <v>368</v>
      </c>
      <c r="J2722" s="2">
        <v>42534</v>
      </c>
      <c r="K2722">
        <v>83</v>
      </c>
    </row>
    <row r="2723" spans="1:11" x14ac:dyDescent="0.35">
      <c r="A2723" s="2">
        <v>42535</v>
      </c>
      <c r="B2723" s="1">
        <v>0</v>
      </c>
      <c r="C2723" t="s">
        <v>5045</v>
      </c>
      <c r="D2723" t="s">
        <v>5046</v>
      </c>
      <c r="E2723" t="s">
        <v>5046</v>
      </c>
      <c r="F2723" t="s">
        <v>5168</v>
      </c>
      <c r="G2723" t="s">
        <v>5354</v>
      </c>
      <c r="H2723" t="s">
        <v>368</v>
      </c>
      <c r="J2723" s="2">
        <v>42535</v>
      </c>
      <c r="K2723">
        <v>83</v>
      </c>
    </row>
    <row r="2724" spans="1:11" x14ac:dyDescent="0.35">
      <c r="A2724" s="2">
        <v>42536</v>
      </c>
      <c r="B2724" s="1">
        <v>0</v>
      </c>
      <c r="C2724" t="s">
        <v>5045</v>
      </c>
      <c r="D2724" t="s">
        <v>5046</v>
      </c>
      <c r="E2724" t="s">
        <v>5046</v>
      </c>
      <c r="F2724" t="s">
        <v>5168</v>
      </c>
      <c r="G2724" t="s">
        <v>5354</v>
      </c>
      <c r="H2724" t="s">
        <v>368</v>
      </c>
      <c r="J2724" s="2">
        <v>42536</v>
      </c>
      <c r="K2724">
        <v>83</v>
      </c>
    </row>
    <row r="2725" spans="1:11" x14ac:dyDescent="0.35">
      <c r="A2725" s="2">
        <v>42537</v>
      </c>
      <c r="B2725" s="1">
        <v>0</v>
      </c>
      <c r="C2725" t="s">
        <v>5045</v>
      </c>
      <c r="D2725" t="s">
        <v>5046</v>
      </c>
      <c r="E2725" t="s">
        <v>5046</v>
      </c>
      <c r="F2725" t="s">
        <v>5168</v>
      </c>
      <c r="G2725" t="s">
        <v>5354</v>
      </c>
      <c r="H2725" t="s">
        <v>368</v>
      </c>
      <c r="J2725" s="2">
        <v>42537</v>
      </c>
      <c r="K2725">
        <v>83</v>
      </c>
    </row>
    <row r="2726" spans="1:11" x14ac:dyDescent="0.35">
      <c r="A2726" s="2">
        <v>42538</v>
      </c>
      <c r="B2726" s="1">
        <v>0</v>
      </c>
      <c r="C2726" t="s">
        <v>5045</v>
      </c>
      <c r="D2726" t="s">
        <v>5046</v>
      </c>
      <c r="E2726" t="s">
        <v>5046</v>
      </c>
      <c r="F2726" t="s">
        <v>5168</v>
      </c>
      <c r="G2726" t="s">
        <v>5354</v>
      </c>
      <c r="H2726" t="s">
        <v>368</v>
      </c>
      <c r="J2726" s="2">
        <v>42538</v>
      </c>
      <c r="K2726">
        <v>83</v>
      </c>
    </row>
    <row r="2727" spans="1:11" x14ac:dyDescent="0.35">
      <c r="A2727" s="2">
        <v>42539</v>
      </c>
      <c r="B2727" s="1">
        <v>0</v>
      </c>
      <c r="C2727" t="s">
        <v>5356</v>
      </c>
      <c r="D2727" t="s">
        <v>5046</v>
      </c>
      <c r="E2727" t="s">
        <v>5046</v>
      </c>
      <c r="F2727" t="s">
        <v>5168</v>
      </c>
      <c r="G2727" t="s">
        <v>5354</v>
      </c>
      <c r="H2727" t="s">
        <v>444</v>
      </c>
      <c r="J2727" s="2">
        <v>42539</v>
      </c>
      <c r="K2727">
        <v>83.5</v>
      </c>
    </row>
    <row r="2728" spans="1:11" x14ac:dyDescent="0.35">
      <c r="A2728" s="2">
        <v>42540</v>
      </c>
      <c r="B2728" s="1">
        <v>0</v>
      </c>
      <c r="C2728" t="s">
        <v>5205</v>
      </c>
      <c r="D2728" t="s">
        <v>5046</v>
      </c>
      <c r="E2728" t="s">
        <v>5046</v>
      </c>
      <c r="F2728" t="s">
        <v>5168</v>
      </c>
      <c r="G2728" t="s">
        <v>5354</v>
      </c>
      <c r="H2728" t="s">
        <v>1534</v>
      </c>
      <c r="J2728" s="2">
        <v>42540</v>
      </c>
      <c r="K2728">
        <v>84.7</v>
      </c>
    </row>
    <row r="2729" spans="1:11" x14ac:dyDescent="0.35">
      <c r="A2729" s="2">
        <v>42541</v>
      </c>
      <c r="B2729" s="1">
        <v>0</v>
      </c>
      <c r="C2729" t="s">
        <v>5527</v>
      </c>
      <c r="D2729" t="s">
        <v>5046</v>
      </c>
      <c r="E2729" t="s">
        <v>5046</v>
      </c>
      <c r="F2729" t="s">
        <v>5168</v>
      </c>
      <c r="G2729" t="s">
        <v>5354</v>
      </c>
      <c r="H2729" t="s">
        <v>476</v>
      </c>
      <c r="J2729" s="2">
        <v>42541</v>
      </c>
      <c r="K2729">
        <v>86</v>
      </c>
    </row>
    <row r="2730" spans="1:11" x14ac:dyDescent="0.35">
      <c r="A2730" s="2">
        <v>42542</v>
      </c>
      <c r="B2730" s="1">
        <v>0</v>
      </c>
      <c r="C2730" t="s">
        <v>5314</v>
      </c>
      <c r="D2730" t="s">
        <v>5046</v>
      </c>
      <c r="E2730" t="s">
        <v>5046</v>
      </c>
      <c r="F2730" t="s">
        <v>5168</v>
      </c>
      <c r="G2730" t="s">
        <v>5354</v>
      </c>
      <c r="H2730" t="s">
        <v>350</v>
      </c>
      <c r="J2730" s="2">
        <v>42542</v>
      </c>
      <c r="K2730">
        <v>86.4</v>
      </c>
    </row>
    <row r="2731" spans="1:11" x14ac:dyDescent="0.35">
      <c r="A2731" s="2">
        <v>42543</v>
      </c>
      <c r="B2731" s="1">
        <v>0</v>
      </c>
      <c r="C2731" t="s">
        <v>5526</v>
      </c>
      <c r="D2731" t="s">
        <v>5046</v>
      </c>
      <c r="E2731" t="s">
        <v>5046</v>
      </c>
      <c r="F2731" t="s">
        <v>5168</v>
      </c>
      <c r="G2731" t="s">
        <v>5353</v>
      </c>
      <c r="H2731" t="s">
        <v>344</v>
      </c>
      <c r="J2731" s="2">
        <v>42543</v>
      </c>
      <c r="K2731">
        <v>87.3</v>
      </c>
    </row>
    <row r="2732" spans="1:11" x14ac:dyDescent="0.35">
      <c r="A2732" s="2">
        <v>42544</v>
      </c>
      <c r="B2732" s="1">
        <v>0</v>
      </c>
      <c r="C2732" t="s">
        <v>5300</v>
      </c>
      <c r="D2732" t="s">
        <v>5046</v>
      </c>
      <c r="E2732" t="s">
        <v>5046</v>
      </c>
      <c r="F2732" t="s">
        <v>5168</v>
      </c>
      <c r="G2732" t="s">
        <v>5343</v>
      </c>
      <c r="H2732" t="s">
        <v>323</v>
      </c>
      <c r="J2732" s="2">
        <v>42544</v>
      </c>
      <c r="K2732">
        <v>89.4</v>
      </c>
    </row>
    <row r="2733" spans="1:11" x14ac:dyDescent="0.35">
      <c r="A2733" s="2">
        <v>42545</v>
      </c>
      <c r="B2733" s="1">
        <v>0</v>
      </c>
      <c r="C2733" t="s">
        <v>5051</v>
      </c>
      <c r="D2733" t="s">
        <v>5046</v>
      </c>
      <c r="E2733" t="s">
        <v>5046</v>
      </c>
      <c r="F2733" t="s">
        <v>5168</v>
      </c>
      <c r="G2733" t="s">
        <v>5360</v>
      </c>
      <c r="H2733" t="s">
        <v>458</v>
      </c>
      <c r="J2733" s="2">
        <v>42545</v>
      </c>
      <c r="K2733">
        <v>91.9</v>
      </c>
    </row>
    <row r="2734" spans="1:11" x14ac:dyDescent="0.35">
      <c r="A2734" s="2">
        <v>42546</v>
      </c>
      <c r="B2734" s="1">
        <v>0</v>
      </c>
      <c r="C2734" t="s">
        <v>5053</v>
      </c>
      <c r="D2734" t="s">
        <v>5046</v>
      </c>
      <c r="E2734" t="s">
        <v>5046</v>
      </c>
      <c r="F2734" t="s">
        <v>5168</v>
      </c>
      <c r="G2734" t="s">
        <v>5550</v>
      </c>
      <c r="H2734" t="s">
        <v>2566</v>
      </c>
      <c r="J2734" s="2">
        <v>42546</v>
      </c>
      <c r="K2734">
        <v>92.2</v>
      </c>
    </row>
    <row r="2735" spans="1:11" x14ac:dyDescent="0.35">
      <c r="A2735" s="2">
        <v>42547</v>
      </c>
      <c r="B2735" s="1">
        <v>0</v>
      </c>
      <c r="C2735" t="s">
        <v>5529</v>
      </c>
      <c r="D2735" t="s">
        <v>5046</v>
      </c>
      <c r="E2735" t="s">
        <v>5046</v>
      </c>
      <c r="F2735" t="s">
        <v>5168</v>
      </c>
      <c r="G2735" t="s">
        <v>5360</v>
      </c>
      <c r="H2735" t="s">
        <v>979</v>
      </c>
      <c r="J2735" s="2">
        <v>42547</v>
      </c>
      <c r="K2735">
        <v>90.7</v>
      </c>
    </row>
    <row r="2736" spans="1:11" x14ac:dyDescent="0.35">
      <c r="A2736" s="2">
        <v>42548</v>
      </c>
      <c r="B2736" s="1">
        <v>0</v>
      </c>
      <c r="C2736" t="s">
        <v>5598</v>
      </c>
      <c r="D2736" t="s">
        <v>5046</v>
      </c>
      <c r="E2736" t="s">
        <v>5046</v>
      </c>
      <c r="F2736" t="s">
        <v>5168</v>
      </c>
      <c r="G2736" t="s">
        <v>5344</v>
      </c>
      <c r="H2736" t="s">
        <v>321</v>
      </c>
      <c r="J2736" s="2">
        <v>42548</v>
      </c>
      <c r="K2736">
        <v>88.3</v>
      </c>
    </row>
    <row r="2737" spans="1:11" x14ac:dyDescent="0.35">
      <c r="A2737" s="2">
        <v>42549</v>
      </c>
      <c r="B2737" s="1">
        <v>0</v>
      </c>
      <c r="C2737" t="s">
        <v>5314</v>
      </c>
      <c r="D2737" t="s">
        <v>5046</v>
      </c>
      <c r="E2737" t="s">
        <v>5046</v>
      </c>
      <c r="F2737" t="s">
        <v>5168</v>
      </c>
      <c r="G2737" t="s">
        <v>5346</v>
      </c>
      <c r="H2737" t="s">
        <v>356</v>
      </c>
      <c r="J2737" s="2">
        <v>42549</v>
      </c>
      <c r="K2737">
        <v>86.8</v>
      </c>
    </row>
    <row r="2738" spans="1:11" x14ac:dyDescent="0.35">
      <c r="A2738" s="2">
        <v>42550</v>
      </c>
      <c r="B2738" s="1">
        <v>0</v>
      </c>
      <c r="C2738" t="s">
        <v>5329</v>
      </c>
      <c r="D2738" t="s">
        <v>5046</v>
      </c>
      <c r="E2738" t="s">
        <v>5046</v>
      </c>
      <c r="F2738" t="s">
        <v>5168</v>
      </c>
      <c r="G2738" t="s">
        <v>5361</v>
      </c>
      <c r="H2738" t="s">
        <v>984</v>
      </c>
      <c r="J2738" s="2">
        <v>42550</v>
      </c>
      <c r="K2738">
        <v>87.1</v>
      </c>
    </row>
    <row r="2739" spans="1:11" x14ac:dyDescent="0.35">
      <c r="A2739" s="2">
        <v>42551</v>
      </c>
      <c r="B2739" s="1">
        <v>0</v>
      </c>
      <c r="C2739" t="s">
        <v>5427</v>
      </c>
      <c r="D2739" t="s">
        <v>5050</v>
      </c>
      <c r="E2739" t="s">
        <v>5046</v>
      </c>
      <c r="F2739" t="s">
        <v>5168</v>
      </c>
      <c r="G2739" t="s">
        <v>5349</v>
      </c>
      <c r="H2739" t="s">
        <v>465</v>
      </c>
      <c r="J2739" s="2">
        <v>42551</v>
      </c>
      <c r="K2739">
        <v>88.2</v>
      </c>
    </row>
    <row r="2740" spans="1:11" x14ac:dyDescent="0.35">
      <c r="A2740" t="s">
        <v>3180</v>
      </c>
      <c r="B2740" s="1">
        <v>0</v>
      </c>
      <c r="C2740" t="s">
        <v>5308</v>
      </c>
      <c r="D2740" t="s">
        <v>5050</v>
      </c>
      <c r="E2740" t="s">
        <v>5046</v>
      </c>
      <c r="F2740" t="s">
        <v>5168</v>
      </c>
      <c r="G2740" t="s">
        <v>5353</v>
      </c>
      <c r="H2740" t="s">
        <v>353</v>
      </c>
      <c r="J2740" t="s">
        <v>3180</v>
      </c>
      <c r="K2740">
        <v>88.6</v>
      </c>
    </row>
    <row r="2741" spans="1:11" x14ac:dyDescent="0.35">
      <c r="A2741" t="s">
        <v>3181</v>
      </c>
      <c r="B2741" s="1">
        <v>0</v>
      </c>
      <c r="C2741" t="s">
        <v>5116</v>
      </c>
      <c r="D2741" t="s">
        <v>5189</v>
      </c>
      <c r="E2741" t="s">
        <v>5409</v>
      </c>
      <c r="F2741" t="s">
        <v>5364</v>
      </c>
      <c r="G2741" t="s">
        <v>5372</v>
      </c>
      <c r="H2741" t="s">
        <v>5460</v>
      </c>
      <c r="J2741" t="s">
        <v>3181</v>
      </c>
      <c r="K2741">
        <v>64.900000000000006</v>
      </c>
    </row>
    <row r="2742" spans="1:11" x14ac:dyDescent="0.35">
      <c r="A2742" t="s">
        <v>3182</v>
      </c>
      <c r="B2742" s="1">
        <v>0</v>
      </c>
      <c r="C2742" t="s">
        <v>5058</v>
      </c>
      <c r="D2742" t="s">
        <v>5357</v>
      </c>
      <c r="E2742" t="s">
        <v>5409</v>
      </c>
      <c r="F2742" t="s">
        <v>5364</v>
      </c>
      <c r="G2742" t="s">
        <v>5375</v>
      </c>
      <c r="H2742" t="s">
        <v>5503</v>
      </c>
      <c r="J2742" t="s">
        <v>3182</v>
      </c>
      <c r="K2742">
        <v>63.6</v>
      </c>
    </row>
    <row r="2743" spans="1:11" x14ac:dyDescent="0.35">
      <c r="A2743" t="s">
        <v>3183</v>
      </c>
      <c r="B2743" s="1">
        <v>0</v>
      </c>
      <c r="C2743" t="s">
        <v>5321</v>
      </c>
      <c r="D2743" t="s">
        <v>5357</v>
      </c>
      <c r="E2743" t="s">
        <v>5409</v>
      </c>
      <c r="F2743" t="s">
        <v>5364</v>
      </c>
      <c r="G2743" t="s">
        <v>5375</v>
      </c>
      <c r="H2743" t="s">
        <v>5500</v>
      </c>
      <c r="J2743" t="s">
        <v>3183</v>
      </c>
      <c r="K2743">
        <v>62.4</v>
      </c>
    </row>
    <row r="2744" spans="1:11" x14ac:dyDescent="0.35">
      <c r="A2744" t="s">
        <v>3184</v>
      </c>
      <c r="B2744" s="1">
        <v>0</v>
      </c>
      <c r="C2744" t="s">
        <v>5312</v>
      </c>
      <c r="D2744" t="s">
        <v>5357</v>
      </c>
      <c r="E2744" t="s">
        <v>5409</v>
      </c>
      <c r="F2744" t="s">
        <v>5364</v>
      </c>
      <c r="G2744" t="s">
        <v>5375</v>
      </c>
      <c r="H2744" t="s">
        <v>5514</v>
      </c>
      <c r="J2744" t="s">
        <v>3184</v>
      </c>
      <c r="K2744">
        <v>61.7</v>
      </c>
    </row>
    <row r="2745" spans="1:11" x14ac:dyDescent="0.35">
      <c r="A2745" t="s">
        <v>3185</v>
      </c>
      <c r="B2745" s="1">
        <v>0</v>
      </c>
      <c r="C2745" t="s">
        <v>5400</v>
      </c>
      <c r="D2745" t="s">
        <v>5357</v>
      </c>
      <c r="E2745" t="s">
        <v>5409</v>
      </c>
      <c r="F2745" t="s">
        <v>5364</v>
      </c>
      <c r="G2745" t="s">
        <v>5375</v>
      </c>
      <c r="H2745" t="s">
        <v>5506</v>
      </c>
      <c r="J2745" t="s">
        <v>3185</v>
      </c>
      <c r="K2745">
        <v>61.2</v>
      </c>
    </row>
    <row r="2746" spans="1:11" x14ac:dyDescent="0.35">
      <c r="A2746" t="s">
        <v>3186</v>
      </c>
      <c r="B2746" s="1">
        <v>0</v>
      </c>
      <c r="C2746" t="s">
        <v>5140</v>
      </c>
      <c r="D2746" t="s">
        <v>5357</v>
      </c>
      <c r="E2746" t="s">
        <v>5409</v>
      </c>
      <c r="F2746" t="s">
        <v>5364</v>
      </c>
      <c r="G2746" t="s">
        <v>5375</v>
      </c>
      <c r="H2746" t="s">
        <v>5231</v>
      </c>
      <c r="J2746" t="s">
        <v>3186</v>
      </c>
      <c r="K2746">
        <v>60.8</v>
      </c>
    </row>
    <row r="2747" spans="1:11" x14ac:dyDescent="0.35">
      <c r="A2747" t="s">
        <v>3187</v>
      </c>
      <c r="B2747" s="1">
        <v>0</v>
      </c>
      <c r="C2747" t="s">
        <v>5334</v>
      </c>
      <c r="D2747" t="s">
        <v>5357</v>
      </c>
      <c r="E2747" t="s">
        <v>5409</v>
      </c>
      <c r="F2747" t="s">
        <v>5364</v>
      </c>
      <c r="G2747" t="s">
        <v>5375</v>
      </c>
      <c r="H2747" t="s">
        <v>5134</v>
      </c>
      <c r="J2747" t="s">
        <v>3187</v>
      </c>
      <c r="K2747">
        <v>60.5</v>
      </c>
    </row>
    <row r="2748" spans="1:11" x14ac:dyDescent="0.35">
      <c r="A2748" t="s">
        <v>3188</v>
      </c>
      <c r="B2748" s="1">
        <v>0</v>
      </c>
      <c r="C2748" t="s">
        <v>5337</v>
      </c>
      <c r="D2748" t="s">
        <v>5357</v>
      </c>
      <c r="E2748" t="s">
        <v>5409</v>
      </c>
      <c r="F2748" t="s">
        <v>5364</v>
      </c>
      <c r="G2748" t="s">
        <v>5375</v>
      </c>
      <c r="H2748" t="s">
        <v>5130</v>
      </c>
      <c r="J2748" t="s">
        <v>3188</v>
      </c>
      <c r="K2748">
        <v>60.3</v>
      </c>
    </row>
    <row r="2749" spans="1:11" x14ac:dyDescent="0.35">
      <c r="A2749" t="s">
        <v>3189</v>
      </c>
      <c r="B2749" s="1">
        <v>0</v>
      </c>
      <c r="C2749" t="s">
        <v>5339</v>
      </c>
      <c r="D2749" t="s">
        <v>5357</v>
      </c>
      <c r="E2749" t="s">
        <v>5409</v>
      </c>
      <c r="F2749" t="s">
        <v>5364</v>
      </c>
      <c r="G2749" t="s">
        <v>5375</v>
      </c>
      <c r="H2749" t="s">
        <v>5616</v>
      </c>
      <c r="J2749" t="s">
        <v>3189</v>
      </c>
      <c r="K2749">
        <v>60.2</v>
      </c>
    </row>
    <row r="2750" spans="1:11" x14ac:dyDescent="0.35">
      <c r="A2750" t="s">
        <v>3190</v>
      </c>
      <c r="B2750" s="1">
        <v>0</v>
      </c>
      <c r="C2750" t="s">
        <v>5156</v>
      </c>
      <c r="D2750" t="s">
        <v>5357</v>
      </c>
      <c r="E2750" t="s">
        <v>5409</v>
      </c>
      <c r="F2750" t="s">
        <v>5364</v>
      </c>
      <c r="G2750" t="s">
        <v>5375</v>
      </c>
      <c r="H2750" t="s">
        <v>5490</v>
      </c>
      <c r="J2750" t="s">
        <v>3190</v>
      </c>
      <c r="K2750">
        <v>60.1</v>
      </c>
    </row>
    <row r="2751" spans="1:11" x14ac:dyDescent="0.35">
      <c r="A2751" t="s">
        <v>3191</v>
      </c>
      <c r="B2751" s="1">
        <v>0</v>
      </c>
      <c r="C2751" t="s">
        <v>5156</v>
      </c>
      <c r="D2751" t="s">
        <v>5357</v>
      </c>
      <c r="E2751" t="s">
        <v>5409</v>
      </c>
      <c r="F2751" t="s">
        <v>5364</v>
      </c>
      <c r="G2751" t="s">
        <v>5375</v>
      </c>
      <c r="H2751" t="s">
        <v>5490</v>
      </c>
      <c r="J2751" t="s">
        <v>3191</v>
      </c>
      <c r="K2751">
        <v>60.1</v>
      </c>
    </row>
    <row r="2752" spans="1:11" x14ac:dyDescent="0.35">
      <c r="A2752" t="s">
        <v>3192</v>
      </c>
      <c r="B2752" s="1">
        <v>0</v>
      </c>
      <c r="C2752" t="s">
        <v>5339</v>
      </c>
      <c r="D2752" t="s">
        <v>5357</v>
      </c>
      <c r="E2752" t="s">
        <v>5409</v>
      </c>
      <c r="F2752" t="s">
        <v>5364</v>
      </c>
      <c r="G2752" t="s">
        <v>5375</v>
      </c>
      <c r="H2752" t="s">
        <v>5616</v>
      </c>
      <c r="J2752" t="s">
        <v>3192</v>
      </c>
      <c r="K2752">
        <v>60.2</v>
      </c>
    </row>
    <row r="2753" spans="1:11" x14ac:dyDescent="0.35">
      <c r="A2753" t="s">
        <v>3193</v>
      </c>
      <c r="B2753" s="1">
        <v>0</v>
      </c>
      <c r="C2753" t="s">
        <v>5339</v>
      </c>
      <c r="D2753" t="s">
        <v>5357</v>
      </c>
      <c r="E2753" t="s">
        <v>5409</v>
      </c>
      <c r="F2753" t="s">
        <v>5364</v>
      </c>
      <c r="G2753" t="s">
        <v>5375</v>
      </c>
      <c r="H2753" t="s">
        <v>5616</v>
      </c>
      <c r="J2753" t="s">
        <v>3193</v>
      </c>
      <c r="K2753">
        <v>60.2</v>
      </c>
    </row>
    <row r="2754" spans="1:11" x14ac:dyDescent="0.35">
      <c r="A2754" t="s">
        <v>3194</v>
      </c>
      <c r="B2754" s="1">
        <v>0</v>
      </c>
      <c r="C2754" t="s">
        <v>5339</v>
      </c>
      <c r="D2754" t="s">
        <v>5357</v>
      </c>
      <c r="E2754" t="s">
        <v>5409</v>
      </c>
      <c r="F2754" t="s">
        <v>5364</v>
      </c>
      <c r="G2754" t="s">
        <v>5375</v>
      </c>
      <c r="H2754" t="s">
        <v>5616</v>
      </c>
      <c r="J2754" t="s">
        <v>3194</v>
      </c>
      <c r="K2754">
        <v>60.2</v>
      </c>
    </row>
    <row r="2755" spans="1:11" x14ac:dyDescent="0.35">
      <c r="A2755" t="s">
        <v>3195</v>
      </c>
      <c r="B2755" s="1">
        <v>0</v>
      </c>
      <c r="C2755" t="s">
        <v>5339</v>
      </c>
      <c r="D2755" t="s">
        <v>5357</v>
      </c>
      <c r="E2755" t="s">
        <v>5409</v>
      </c>
      <c r="F2755" t="s">
        <v>5364</v>
      </c>
      <c r="G2755" t="s">
        <v>5375</v>
      </c>
      <c r="H2755" t="s">
        <v>5616</v>
      </c>
      <c r="J2755" t="s">
        <v>3195</v>
      </c>
      <c r="K2755">
        <v>60.2</v>
      </c>
    </row>
    <row r="2756" spans="1:11" x14ac:dyDescent="0.35">
      <c r="A2756" t="s">
        <v>3196</v>
      </c>
      <c r="B2756" s="1">
        <v>0</v>
      </c>
      <c r="C2756" t="s">
        <v>5156</v>
      </c>
      <c r="D2756" t="s">
        <v>5357</v>
      </c>
      <c r="E2756" t="s">
        <v>5409</v>
      </c>
      <c r="F2756" t="s">
        <v>5364</v>
      </c>
      <c r="G2756" t="s">
        <v>5375</v>
      </c>
      <c r="H2756" t="s">
        <v>5490</v>
      </c>
      <c r="J2756" t="s">
        <v>3196</v>
      </c>
      <c r="K2756">
        <v>60.1</v>
      </c>
    </row>
    <row r="2757" spans="1:11" x14ac:dyDescent="0.35">
      <c r="A2757" t="s">
        <v>3197</v>
      </c>
      <c r="B2757" s="1">
        <v>0</v>
      </c>
      <c r="C2757" t="s">
        <v>5156</v>
      </c>
      <c r="D2757" t="s">
        <v>5357</v>
      </c>
      <c r="E2757" t="s">
        <v>5409</v>
      </c>
      <c r="F2757" t="s">
        <v>5364</v>
      </c>
      <c r="G2757" t="s">
        <v>5375</v>
      </c>
      <c r="H2757" t="s">
        <v>5490</v>
      </c>
      <c r="J2757" t="s">
        <v>3197</v>
      </c>
      <c r="K2757">
        <v>60.1</v>
      </c>
    </row>
    <row r="2758" spans="1:11" x14ac:dyDescent="0.35">
      <c r="A2758" t="s">
        <v>3198</v>
      </c>
      <c r="B2758" s="1">
        <v>0</v>
      </c>
      <c r="C2758" t="s">
        <v>5168</v>
      </c>
      <c r="D2758" t="s">
        <v>5357</v>
      </c>
      <c r="E2758" t="s">
        <v>5409</v>
      </c>
      <c r="F2758" t="s">
        <v>5364</v>
      </c>
      <c r="G2758" t="s">
        <v>5375</v>
      </c>
      <c r="H2758" t="s">
        <v>5510</v>
      </c>
      <c r="J2758" t="s">
        <v>3198</v>
      </c>
      <c r="K2758">
        <v>60</v>
      </c>
    </row>
    <row r="2759" spans="1:11" x14ac:dyDescent="0.35">
      <c r="A2759" t="s">
        <v>3199</v>
      </c>
      <c r="B2759" s="1">
        <v>0</v>
      </c>
      <c r="C2759" t="s">
        <v>5168</v>
      </c>
      <c r="D2759" t="s">
        <v>5357</v>
      </c>
      <c r="E2759" t="s">
        <v>5409</v>
      </c>
      <c r="F2759" t="s">
        <v>5364</v>
      </c>
      <c r="G2759" t="s">
        <v>5375</v>
      </c>
      <c r="H2759" t="s">
        <v>5510</v>
      </c>
      <c r="J2759" t="s">
        <v>3199</v>
      </c>
      <c r="K2759">
        <v>60</v>
      </c>
    </row>
    <row r="2760" spans="1:11" x14ac:dyDescent="0.35">
      <c r="A2760" t="s">
        <v>3200</v>
      </c>
      <c r="B2760" s="1">
        <v>0</v>
      </c>
      <c r="C2760" t="s">
        <v>5168</v>
      </c>
      <c r="D2760" t="s">
        <v>5357</v>
      </c>
      <c r="E2760" t="s">
        <v>5409</v>
      </c>
      <c r="F2760" t="s">
        <v>5364</v>
      </c>
      <c r="G2760" t="s">
        <v>5375</v>
      </c>
      <c r="H2760" t="s">
        <v>5510</v>
      </c>
      <c r="J2760" t="s">
        <v>3200</v>
      </c>
      <c r="K2760">
        <v>60</v>
      </c>
    </row>
    <row r="2761" spans="1:11" x14ac:dyDescent="0.35">
      <c r="A2761" t="s">
        <v>3201</v>
      </c>
      <c r="B2761" s="1">
        <v>0</v>
      </c>
      <c r="C2761" t="s">
        <v>5156</v>
      </c>
      <c r="D2761" t="s">
        <v>5357</v>
      </c>
      <c r="E2761" t="s">
        <v>5409</v>
      </c>
      <c r="F2761" t="s">
        <v>5364</v>
      </c>
      <c r="G2761" t="s">
        <v>5375</v>
      </c>
      <c r="H2761" t="s">
        <v>5490</v>
      </c>
      <c r="J2761" t="s">
        <v>3201</v>
      </c>
      <c r="K2761">
        <v>60.1</v>
      </c>
    </row>
    <row r="2762" spans="1:11" x14ac:dyDescent="0.35">
      <c r="A2762" t="s">
        <v>3202</v>
      </c>
      <c r="B2762" s="1">
        <v>0</v>
      </c>
      <c r="C2762" t="s">
        <v>5337</v>
      </c>
      <c r="D2762" t="s">
        <v>5357</v>
      </c>
      <c r="E2762" t="s">
        <v>5409</v>
      </c>
      <c r="F2762" t="s">
        <v>5364</v>
      </c>
      <c r="G2762" t="s">
        <v>5375</v>
      </c>
      <c r="H2762" t="s">
        <v>5130</v>
      </c>
      <c r="J2762" t="s">
        <v>3202</v>
      </c>
      <c r="K2762">
        <v>60.3</v>
      </c>
    </row>
    <row r="2763" spans="1:11" x14ac:dyDescent="0.35">
      <c r="A2763" t="s">
        <v>3203</v>
      </c>
      <c r="B2763" s="1">
        <v>0</v>
      </c>
      <c r="C2763" t="s">
        <v>5334</v>
      </c>
      <c r="D2763" t="s">
        <v>5357</v>
      </c>
      <c r="E2763" t="s">
        <v>5409</v>
      </c>
      <c r="F2763" t="s">
        <v>5364</v>
      </c>
      <c r="G2763" t="s">
        <v>5375</v>
      </c>
      <c r="H2763" t="s">
        <v>5134</v>
      </c>
      <c r="J2763" t="s">
        <v>3203</v>
      </c>
      <c r="K2763">
        <v>60.5</v>
      </c>
    </row>
    <row r="2764" spans="1:11" x14ac:dyDescent="0.35">
      <c r="A2764" t="s">
        <v>3204</v>
      </c>
      <c r="B2764" s="1">
        <v>0</v>
      </c>
      <c r="C2764" t="s">
        <v>5144</v>
      </c>
      <c r="D2764" t="s">
        <v>5186</v>
      </c>
      <c r="E2764" t="s">
        <v>5562</v>
      </c>
      <c r="F2764" t="s">
        <v>5364</v>
      </c>
      <c r="G2764" t="s">
        <v>5375</v>
      </c>
      <c r="H2764" t="s">
        <v>5506</v>
      </c>
      <c r="J2764" t="s">
        <v>3204</v>
      </c>
      <c r="K2764">
        <v>61.2</v>
      </c>
    </row>
    <row r="2765" spans="1:11" x14ac:dyDescent="0.35">
      <c r="A2765" t="s">
        <v>3205</v>
      </c>
      <c r="B2765" s="1">
        <v>0</v>
      </c>
      <c r="C2765" t="s">
        <v>5222</v>
      </c>
      <c r="D2765" t="s">
        <v>5164</v>
      </c>
      <c r="E2765" t="s">
        <v>5413</v>
      </c>
      <c r="F2765" t="s">
        <v>5364</v>
      </c>
      <c r="G2765" t="s">
        <v>5372</v>
      </c>
      <c r="H2765" t="s">
        <v>5477</v>
      </c>
      <c r="J2765" t="s">
        <v>3205</v>
      </c>
      <c r="K2765">
        <v>64.2</v>
      </c>
    </row>
    <row r="2766" spans="1:11" x14ac:dyDescent="0.35">
      <c r="A2766" t="s">
        <v>3206</v>
      </c>
      <c r="B2766" s="1">
        <v>0</v>
      </c>
      <c r="C2766" t="s">
        <v>5501</v>
      </c>
      <c r="D2766" t="s">
        <v>5397</v>
      </c>
      <c r="E2766" t="s">
        <v>5357</v>
      </c>
      <c r="F2766" t="s">
        <v>5364</v>
      </c>
      <c r="G2766" t="s">
        <v>5371</v>
      </c>
      <c r="H2766" t="s">
        <v>5636</v>
      </c>
      <c r="J2766" t="s">
        <v>3206</v>
      </c>
      <c r="K2766">
        <v>69.2</v>
      </c>
    </row>
    <row r="2767" spans="1:11" x14ac:dyDescent="0.35">
      <c r="A2767" t="s">
        <v>3207</v>
      </c>
      <c r="B2767" s="1">
        <v>0</v>
      </c>
      <c r="C2767" t="s">
        <v>5329</v>
      </c>
      <c r="D2767" t="s">
        <v>5294</v>
      </c>
      <c r="E2767" t="s">
        <v>5184</v>
      </c>
      <c r="F2767" t="s">
        <v>5364</v>
      </c>
      <c r="G2767" t="s">
        <v>5368</v>
      </c>
      <c r="H2767" t="s">
        <v>1886</v>
      </c>
      <c r="J2767" t="s">
        <v>3207</v>
      </c>
      <c r="K2767">
        <v>73.3</v>
      </c>
    </row>
    <row r="2768" spans="1:11" x14ac:dyDescent="0.35">
      <c r="A2768" t="s">
        <v>3208</v>
      </c>
      <c r="B2768" s="1">
        <v>0</v>
      </c>
      <c r="C2768" t="s">
        <v>5047</v>
      </c>
      <c r="D2768" t="s">
        <v>5321</v>
      </c>
      <c r="E2768" t="s">
        <v>5177</v>
      </c>
      <c r="F2768" t="s">
        <v>5364</v>
      </c>
      <c r="G2768" t="s">
        <v>5556</v>
      </c>
      <c r="H2768" t="s">
        <v>2910</v>
      </c>
      <c r="J2768" t="s">
        <v>3208</v>
      </c>
      <c r="K2768">
        <v>75.599999999999994</v>
      </c>
    </row>
    <row r="2769" spans="1:11" x14ac:dyDescent="0.35">
      <c r="A2769" t="s">
        <v>3209</v>
      </c>
      <c r="B2769" s="1">
        <v>0</v>
      </c>
      <c r="C2769" t="s">
        <v>5307</v>
      </c>
      <c r="D2769" t="s">
        <v>5046</v>
      </c>
      <c r="E2769" t="s">
        <v>5348</v>
      </c>
      <c r="F2769" t="s">
        <v>5364</v>
      </c>
      <c r="G2769" t="s">
        <v>5557</v>
      </c>
      <c r="H2769" t="s">
        <v>1055</v>
      </c>
      <c r="J2769" t="s">
        <v>3209</v>
      </c>
      <c r="K2769">
        <v>77.8</v>
      </c>
    </row>
    <row r="2770" spans="1:11" x14ac:dyDescent="0.35">
      <c r="A2770" t="s">
        <v>3210</v>
      </c>
      <c r="B2770" s="1">
        <v>0</v>
      </c>
      <c r="C2770" t="s">
        <v>5302</v>
      </c>
      <c r="D2770" t="s">
        <v>5062</v>
      </c>
      <c r="E2770" t="s">
        <v>5168</v>
      </c>
      <c r="F2770" t="s">
        <v>5364</v>
      </c>
      <c r="G2770" t="s">
        <v>5557</v>
      </c>
      <c r="H2770" t="s">
        <v>1045</v>
      </c>
      <c r="J2770" t="s">
        <v>3210</v>
      </c>
      <c r="K2770">
        <v>79.599999999999994</v>
      </c>
    </row>
    <row r="2771" spans="1:11" x14ac:dyDescent="0.35">
      <c r="A2771" s="2">
        <v>42583</v>
      </c>
      <c r="B2771" s="1">
        <v>0</v>
      </c>
      <c r="C2771" t="s">
        <v>5290</v>
      </c>
      <c r="D2771" t="s">
        <v>5058</v>
      </c>
      <c r="E2771" t="s">
        <v>5164</v>
      </c>
      <c r="F2771" t="s">
        <v>5364</v>
      </c>
      <c r="G2771" t="s">
        <v>5556</v>
      </c>
      <c r="H2771" t="s">
        <v>1057</v>
      </c>
      <c r="J2771" s="2">
        <v>42583</v>
      </c>
      <c r="K2771">
        <v>78.099999999999994</v>
      </c>
    </row>
    <row r="2772" spans="1:11" x14ac:dyDescent="0.35">
      <c r="A2772" s="2">
        <v>42584</v>
      </c>
      <c r="B2772" s="1">
        <v>0</v>
      </c>
      <c r="C2772" t="s">
        <v>5194</v>
      </c>
      <c r="D2772" t="s">
        <v>5065</v>
      </c>
      <c r="E2772" t="s">
        <v>5334</v>
      </c>
      <c r="F2772" t="s">
        <v>5383</v>
      </c>
      <c r="G2772" t="s">
        <v>5883</v>
      </c>
      <c r="H2772" t="s">
        <v>1045</v>
      </c>
      <c r="J2772" s="2">
        <v>42584</v>
      </c>
      <c r="K2772">
        <v>79.599999999999994</v>
      </c>
    </row>
    <row r="2773" spans="1:11" x14ac:dyDescent="0.35">
      <c r="A2773" s="2">
        <v>42585</v>
      </c>
      <c r="B2773" s="1">
        <v>0</v>
      </c>
      <c r="C2773" t="s">
        <v>5347</v>
      </c>
      <c r="D2773" t="s">
        <v>5222</v>
      </c>
      <c r="E2773" t="s">
        <v>5156</v>
      </c>
      <c r="F2773" t="s">
        <v>5383</v>
      </c>
      <c r="G2773" t="s">
        <v>5879</v>
      </c>
      <c r="H2773" t="s">
        <v>3496</v>
      </c>
      <c r="J2773" s="2">
        <v>42585</v>
      </c>
      <c r="K2773">
        <v>75.2</v>
      </c>
    </row>
    <row r="2774" spans="1:11" x14ac:dyDescent="0.35">
      <c r="A2774" s="2">
        <v>42586</v>
      </c>
      <c r="B2774" s="1">
        <v>0</v>
      </c>
      <c r="C2774" t="s">
        <v>5110</v>
      </c>
      <c r="D2774" t="s">
        <v>5294</v>
      </c>
      <c r="E2774" t="s">
        <v>5159</v>
      </c>
      <c r="F2774" t="s">
        <v>5383</v>
      </c>
      <c r="G2774" t="s">
        <v>5884</v>
      </c>
      <c r="H2774" t="s">
        <v>1011</v>
      </c>
      <c r="J2774" s="2">
        <v>42586</v>
      </c>
      <c r="K2774">
        <v>71.400000000000006</v>
      </c>
    </row>
    <row r="2775" spans="1:11" x14ac:dyDescent="0.35">
      <c r="A2775" s="2">
        <v>42587</v>
      </c>
      <c r="B2775" s="1">
        <v>0</v>
      </c>
      <c r="C2775" t="s">
        <v>5058</v>
      </c>
      <c r="D2775" t="s">
        <v>5400</v>
      </c>
      <c r="E2775" t="s">
        <v>5180</v>
      </c>
      <c r="F2775" t="s">
        <v>5383</v>
      </c>
      <c r="G2775" t="s">
        <v>5885</v>
      </c>
      <c r="H2775" t="s">
        <v>5636</v>
      </c>
      <c r="J2775" s="2">
        <v>42587</v>
      </c>
      <c r="K2775">
        <v>69.2</v>
      </c>
    </row>
    <row r="2776" spans="1:11" x14ac:dyDescent="0.35">
      <c r="A2776" s="2">
        <v>42588</v>
      </c>
      <c r="B2776" s="1">
        <v>0</v>
      </c>
      <c r="C2776" t="s">
        <v>5172</v>
      </c>
      <c r="D2776" t="s">
        <v>5140</v>
      </c>
      <c r="E2776" t="s">
        <v>5195</v>
      </c>
      <c r="F2776" t="s">
        <v>5383</v>
      </c>
      <c r="G2776" t="s">
        <v>5885</v>
      </c>
      <c r="H2776" t="s">
        <v>372</v>
      </c>
      <c r="J2776" s="2">
        <v>42588</v>
      </c>
      <c r="K2776">
        <v>67.8</v>
      </c>
    </row>
    <row r="2777" spans="1:11" x14ac:dyDescent="0.35">
      <c r="A2777" s="2">
        <v>42589</v>
      </c>
      <c r="B2777" s="1">
        <v>0</v>
      </c>
      <c r="C2777" t="s">
        <v>5226</v>
      </c>
      <c r="D2777" t="s">
        <v>5334</v>
      </c>
      <c r="E2777" t="s">
        <v>5186</v>
      </c>
      <c r="F2777" t="s">
        <v>5383</v>
      </c>
      <c r="G2777" t="s">
        <v>5885</v>
      </c>
      <c r="H2777" t="s">
        <v>5401</v>
      </c>
      <c r="J2777" s="2">
        <v>42589</v>
      </c>
      <c r="K2777">
        <v>66.8</v>
      </c>
    </row>
    <row r="2778" spans="1:11" x14ac:dyDescent="0.35">
      <c r="A2778" s="2">
        <v>42590</v>
      </c>
      <c r="B2778" s="1">
        <v>0</v>
      </c>
      <c r="C2778" t="s">
        <v>5309</v>
      </c>
      <c r="D2778" t="s">
        <v>5337</v>
      </c>
      <c r="E2778" t="s">
        <v>5189</v>
      </c>
      <c r="F2778" t="s">
        <v>5383</v>
      </c>
      <c r="G2778" t="s">
        <v>5888</v>
      </c>
      <c r="H2778" t="s">
        <v>5466</v>
      </c>
      <c r="J2778" s="2">
        <v>42590</v>
      </c>
      <c r="K2778">
        <v>66.3</v>
      </c>
    </row>
    <row r="2779" spans="1:11" x14ac:dyDescent="0.35">
      <c r="A2779" s="2">
        <v>42591</v>
      </c>
      <c r="B2779" s="1">
        <v>0</v>
      </c>
      <c r="C2779" t="s">
        <v>5291</v>
      </c>
      <c r="D2779" t="s">
        <v>5339</v>
      </c>
      <c r="E2779" t="s">
        <v>5189</v>
      </c>
      <c r="F2779" t="s">
        <v>5383</v>
      </c>
      <c r="G2779" t="s">
        <v>5885</v>
      </c>
      <c r="H2779" t="s">
        <v>5561</v>
      </c>
      <c r="J2779" s="2">
        <v>42591</v>
      </c>
      <c r="K2779">
        <v>66.2</v>
      </c>
    </row>
    <row r="2780" spans="1:11" x14ac:dyDescent="0.35">
      <c r="A2780" s="2">
        <v>42592</v>
      </c>
      <c r="B2780" s="1">
        <v>0</v>
      </c>
      <c r="C2780" t="s">
        <v>5224</v>
      </c>
      <c r="D2780" t="s">
        <v>5339</v>
      </c>
      <c r="E2780" t="s">
        <v>5189</v>
      </c>
      <c r="F2780" t="s">
        <v>5383</v>
      </c>
      <c r="G2780" t="s">
        <v>5885</v>
      </c>
      <c r="H2780" t="s">
        <v>5640</v>
      </c>
      <c r="J2780" s="2">
        <v>42592</v>
      </c>
      <c r="K2780">
        <v>66.599999999999994</v>
      </c>
    </row>
    <row r="2781" spans="1:11" x14ac:dyDescent="0.35">
      <c r="A2781" s="2">
        <v>42593</v>
      </c>
      <c r="B2781" s="1">
        <v>0</v>
      </c>
      <c r="C2781" t="s">
        <v>5183</v>
      </c>
      <c r="D2781" t="s">
        <v>5334</v>
      </c>
      <c r="E2781" t="s">
        <v>5186</v>
      </c>
      <c r="F2781" t="s">
        <v>5383</v>
      </c>
      <c r="G2781" t="s">
        <v>5884</v>
      </c>
      <c r="H2781" t="s">
        <v>5620</v>
      </c>
      <c r="J2781" s="2">
        <v>42593</v>
      </c>
      <c r="K2781">
        <v>68.900000000000006</v>
      </c>
    </row>
    <row r="2782" spans="1:11" x14ac:dyDescent="0.35">
      <c r="A2782" s="2">
        <v>42594</v>
      </c>
      <c r="B2782" s="1">
        <v>0</v>
      </c>
      <c r="C2782" t="s">
        <v>5152</v>
      </c>
      <c r="D2782" t="s">
        <v>5330</v>
      </c>
      <c r="E2782" t="s">
        <v>5180</v>
      </c>
      <c r="F2782" t="s">
        <v>5383</v>
      </c>
      <c r="G2782" t="s">
        <v>5879</v>
      </c>
      <c r="H2782" t="s">
        <v>425</v>
      </c>
      <c r="J2782" s="2">
        <v>42594</v>
      </c>
      <c r="K2782">
        <v>73</v>
      </c>
    </row>
    <row r="2783" spans="1:11" x14ac:dyDescent="0.35">
      <c r="A2783" s="2">
        <v>42595</v>
      </c>
      <c r="B2783" s="1">
        <v>0</v>
      </c>
      <c r="C2783" t="s">
        <v>5427</v>
      </c>
      <c r="D2783" t="s">
        <v>5288</v>
      </c>
      <c r="E2783" t="s">
        <v>5348</v>
      </c>
      <c r="F2783" t="s">
        <v>5383</v>
      </c>
      <c r="G2783" t="s">
        <v>5879</v>
      </c>
      <c r="H2783" t="s">
        <v>4641</v>
      </c>
      <c r="J2783" s="2">
        <v>42595</v>
      </c>
      <c r="K2783">
        <v>77</v>
      </c>
    </row>
    <row r="2784" spans="1:11" x14ac:dyDescent="0.35">
      <c r="A2784" s="2">
        <v>42596</v>
      </c>
      <c r="B2784" s="1">
        <v>0</v>
      </c>
      <c r="C2784" t="s">
        <v>5044</v>
      </c>
      <c r="D2784" t="s">
        <v>5230</v>
      </c>
      <c r="E2784" t="s">
        <v>5339</v>
      </c>
      <c r="F2784" t="s">
        <v>5383</v>
      </c>
      <c r="G2784" t="s">
        <v>5879</v>
      </c>
      <c r="H2784" t="s">
        <v>2916</v>
      </c>
      <c r="J2784" s="2">
        <v>42596</v>
      </c>
      <c r="K2784">
        <v>80.400000000000006</v>
      </c>
    </row>
    <row r="2785" spans="1:11" x14ac:dyDescent="0.35">
      <c r="A2785" s="2">
        <v>42597</v>
      </c>
      <c r="B2785" s="1">
        <v>0</v>
      </c>
      <c r="C2785" t="s">
        <v>5328</v>
      </c>
      <c r="D2785" t="s">
        <v>5099</v>
      </c>
      <c r="E2785" t="s">
        <v>5144</v>
      </c>
      <c r="F2785" t="s">
        <v>5383</v>
      </c>
      <c r="G2785" t="s">
        <v>5880</v>
      </c>
      <c r="H2785" t="s">
        <v>356</v>
      </c>
      <c r="J2785" s="2">
        <v>42597</v>
      </c>
      <c r="K2785">
        <v>86.8</v>
      </c>
    </row>
    <row r="2786" spans="1:11" x14ac:dyDescent="0.35">
      <c r="A2786" s="2">
        <v>42598</v>
      </c>
      <c r="B2786" s="1">
        <v>0</v>
      </c>
      <c r="C2786" t="s">
        <v>5272</v>
      </c>
      <c r="D2786" t="s">
        <v>5501</v>
      </c>
      <c r="E2786" t="s">
        <v>5309</v>
      </c>
      <c r="F2786" t="s">
        <v>5383</v>
      </c>
      <c r="G2786" t="s">
        <v>5364</v>
      </c>
      <c r="H2786" t="s">
        <v>1868</v>
      </c>
      <c r="J2786" s="2">
        <v>42598</v>
      </c>
      <c r="K2786">
        <v>95.2</v>
      </c>
    </row>
    <row r="2787" spans="1:11" x14ac:dyDescent="0.35">
      <c r="A2787" s="2">
        <v>42599</v>
      </c>
      <c r="B2787" s="1">
        <v>0</v>
      </c>
      <c r="C2787" t="s">
        <v>5074</v>
      </c>
      <c r="D2787" t="s">
        <v>5166</v>
      </c>
      <c r="E2787" t="s">
        <v>5288</v>
      </c>
      <c r="F2787" t="s">
        <v>5383</v>
      </c>
      <c r="G2787" t="s">
        <v>5369</v>
      </c>
      <c r="H2787" t="s">
        <v>5735</v>
      </c>
      <c r="J2787" s="2">
        <v>42599</v>
      </c>
      <c r="K2787">
        <v>98.5</v>
      </c>
    </row>
    <row r="2788" spans="1:11" x14ac:dyDescent="0.35">
      <c r="A2788" s="2">
        <v>42600</v>
      </c>
      <c r="B2788" s="1">
        <v>0</v>
      </c>
      <c r="C2788" t="s">
        <v>5218</v>
      </c>
      <c r="D2788" t="s">
        <v>5332</v>
      </c>
      <c r="E2788" t="s">
        <v>5309</v>
      </c>
      <c r="F2788" t="s">
        <v>5383</v>
      </c>
      <c r="G2788" t="s">
        <v>5390</v>
      </c>
      <c r="H2788" t="s">
        <v>5648</v>
      </c>
      <c r="J2788" s="2">
        <v>42600</v>
      </c>
      <c r="K2788">
        <v>97.3</v>
      </c>
    </row>
    <row r="2789" spans="1:11" x14ac:dyDescent="0.35">
      <c r="A2789" s="2">
        <v>42601</v>
      </c>
      <c r="B2789" s="1">
        <v>0</v>
      </c>
      <c r="C2789" t="s">
        <v>5243</v>
      </c>
      <c r="D2789" t="s">
        <v>5092</v>
      </c>
      <c r="E2789" t="s">
        <v>5342</v>
      </c>
      <c r="F2789" t="s">
        <v>5383</v>
      </c>
      <c r="G2789" t="s">
        <v>5390</v>
      </c>
      <c r="H2789" t="s">
        <v>468</v>
      </c>
      <c r="J2789" s="2">
        <v>42601</v>
      </c>
      <c r="K2789">
        <v>94.4</v>
      </c>
    </row>
    <row r="2790" spans="1:11" x14ac:dyDescent="0.35">
      <c r="A2790" s="2">
        <v>42602</v>
      </c>
      <c r="B2790" s="1">
        <v>0</v>
      </c>
      <c r="C2790" t="s">
        <v>5304</v>
      </c>
      <c r="D2790" t="s">
        <v>5475</v>
      </c>
      <c r="E2790" t="s">
        <v>5140</v>
      </c>
      <c r="F2790" t="s">
        <v>5383</v>
      </c>
      <c r="G2790" t="s">
        <v>5362</v>
      </c>
      <c r="H2790" t="s">
        <v>354</v>
      </c>
      <c r="J2790" s="2">
        <v>42602</v>
      </c>
      <c r="K2790">
        <v>92.4</v>
      </c>
    </row>
    <row r="2791" spans="1:11" x14ac:dyDescent="0.35">
      <c r="A2791" s="2">
        <v>42603</v>
      </c>
      <c r="B2791" s="1">
        <v>0</v>
      </c>
      <c r="C2791" t="s">
        <v>5270</v>
      </c>
      <c r="D2791" t="s">
        <v>5062</v>
      </c>
      <c r="E2791" t="s">
        <v>5432</v>
      </c>
      <c r="F2791" t="s">
        <v>5383</v>
      </c>
      <c r="G2791" t="s">
        <v>5369</v>
      </c>
      <c r="H2791" t="s">
        <v>985</v>
      </c>
      <c r="J2791" s="2">
        <v>42603</v>
      </c>
      <c r="K2791">
        <v>92.5</v>
      </c>
    </row>
    <row r="2792" spans="1:11" x14ac:dyDescent="0.35">
      <c r="A2792" s="2">
        <v>42604</v>
      </c>
      <c r="B2792" s="1">
        <v>0</v>
      </c>
      <c r="C2792" t="s">
        <v>5093</v>
      </c>
      <c r="D2792" t="s">
        <v>5116</v>
      </c>
      <c r="E2792" t="s">
        <v>5400</v>
      </c>
      <c r="F2792" t="s">
        <v>5379</v>
      </c>
      <c r="G2792" t="s">
        <v>5363</v>
      </c>
      <c r="H2792" t="s">
        <v>2272</v>
      </c>
      <c r="J2792" s="2">
        <v>42604</v>
      </c>
      <c r="K2792">
        <v>96.1</v>
      </c>
    </row>
    <row r="2793" spans="1:11" x14ac:dyDescent="0.35">
      <c r="A2793" s="2">
        <v>42605</v>
      </c>
      <c r="B2793" s="1">
        <v>0</v>
      </c>
      <c r="C2793" t="s">
        <v>5458</v>
      </c>
      <c r="D2793" t="s">
        <v>5166</v>
      </c>
      <c r="E2793" t="s">
        <v>5288</v>
      </c>
      <c r="F2793" t="s">
        <v>5379</v>
      </c>
      <c r="G2793" t="s">
        <v>5363</v>
      </c>
      <c r="H2793" t="s">
        <v>3217</v>
      </c>
      <c r="J2793" s="2">
        <v>42605</v>
      </c>
      <c r="K2793">
        <v>102</v>
      </c>
    </row>
    <row r="2794" spans="1:11" x14ac:dyDescent="0.35">
      <c r="A2794" s="2">
        <v>42606</v>
      </c>
      <c r="B2794" s="1">
        <v>0</v>
      </c>
      <c r="C2794" t="s">
        <v>5235</v>
      </c>
      <c r="D2794" t="s">
        <v>5199</v>
      </c>
      <c r="E2794" t="s">
        <v>5172</v>
      </c>
      <c r="F2794" t="s">
        <v>5379</v>
      </c>
      <c r="G2794" t="s">
        <v>5390</v>
      </c>
      <c r="H2794" t="s">
        <v>2225</v>
      </c>
      <c r="J2794" s="2">
        <v>42606</v>
      </c>
      <c r="K2794">
        <v>109.6</v>
      </c>
    </row>
    <row r="2795" spans="1:11" x14ac:dyDescent="0.35">
      <c r="A2795" s="2">
        <v>42607</v>
      </c>
      <c r="B2795" s="1">
        <v>0</v>
      </c>
      <c r="C2795" t="s">
        <v>5482</v>
      </c>
      <c r="D2795" t="s">
        <v>5191</v>
      </c>
      <c r="E2795" t="s">
        <v>5174</v>
      </c>
      <c r="F2795" t="s">
        <v>5379</v>
      </c>
      <c r="G2795" t="s">
        <v>5379</v>
      </c>
      <c r="H2795" t="s">
        <v>4129</v>
      </c>
      <c r="J2795" s="2">
        <v>42607</v>
      </c>
      <c r="K2795">
        <v>117.7</v>
      </c>
    </row>
    <row r="2796" spans="1:11" x14ac:dyDescent="0.35">
      <c r="A2796" s="2">
        <v>42608</v>
      </c>
      <c r="B2796" s="1">
        <v>0</v>
      </c>
      <c r="C2796" t="s">
        <v>5589</v>
      </c>
      <c r="D2796" t="s">
        <v>5329</v>
      </c>
      <c r="E2796" t="s">
        <v>5046</v>
      </c>
      <c r="F2796" t="s">
        <v>5379</v>
      </c>
      <c r="G2796" t="s">
        <v>5382</v>
      </c>
      <c r="H2796" t="s">
        <v>506</v>
      </c>
      <c r="J2796" s="2">
        <v>42608</v>
      </c>
      <c r="K2796">
        <v>123.4</v>
      </c>
    </row>
    <row r="2797" spans="1:11" x14ac:dyDescent="0.35">
      <c r="A2797" s="2">
        <v>42609</v>
      </c>
      <c r="B2797" s="1">
        <v>0</v>
      </c>
      <c r="C2797" t="s">
        <v>5259</v>
      </c>
      <c r="D2797" t="s">
        <v>5350</v>
      </c>
      <c r="E2797" t="s">
        <v>5230</v>
      </c>
      <c r="F2797" t="s">
        <v>5379</v>
      </c>
      <c r="G2797" t="s">
        <v>5559</v>
      </c>
      <c r="H2797" t="s">
        <v>1069</v>
      </c>
      <c r="J2797" s="2">
        <v>42609</v>
      </c>
      <c r="K2797">
        <v>121.7</v>
      </c>
    </row>
    <row r="2798" spans="1:11" x14ac:dyDescent="0.35">
      <c r="A2798" s="2">
        <v>42610</v>
      </c>
      <c r="B2798" s="1">
        <v>0</v>
      </c>
      <c r="C2798" t="s">
        <v>5573</v>
      </c>
      <c r="D2798" t="s">
        <v>5199</v>
      </c>
      <c r="E2798" t="s">
        <v>5222</v>
      </c>
      <c r="F2798" t="s">
        <v>5379</v>
      </c>
      <c r="G2798" t="s">
        <v>5382</v>
      </c>
      <c r="H2798" t="s">
        <v>2288</v>
      </c>
      <c r="J2798" s="2">
        <v>42610</v>
      </c>
      <c r="K2798">
        <v>115.9</v>
      </c>
    </row>
    <row r="2799" spans="1:11" x14ac:dyDescent="0.35">
      <c r="A2799" s="2">
        <v>42611</v>
      </c>
      <c r="B2799" s="1">
        <v>0</v>
      </c>
      <c r="C2799" t="s">
        <v>5462</v>
      </c>
      <c r="D2799" t="s">
        <v>5155</v>
      </c>
      <c r="E2799" t="s">
        <v>5321</v>
      </c>
      <c r="F2799" t="s">
        <v>5379</v>
      </c>
      <c r="G2799" t="s">
        <v>5379</v>
      </c>
      <c r="H2799" t="s">
        <v>3803</v>
      </c>
      <c r="J2799" s="2">
        <v>42611</v>
      </c>
      <c r="K2799">
        <v>105.3</v>
      </c>
    </row>
    <row r="2800" spans="1:11" x14ac:dyDescent="0.35">
      <c r="A2800" s="2">
        <v>42612</v>
      </c>
      <c r="B2800" s="1">
        <v>0</v>
      </c>
      <c r="C2800" t="s">
        <v>5165</v>
      </c>
      <c r="D2800" t="s">
        <v>5501</v>
      </c>
      <c r="E2800" t="s">
        <v>5294</v>
      </c>
      <c r="F2800" t="s">
        <v>5379</v>
      </c>
      <c r="G2800" t="s">
        <v>5390</v>
      </c>
      <c r="H2800" t="s">
        <v>1538</v>
      </c>
      <c r="J2800" s="2">
        <v>42612</v>
      </c>
      <c r="K2800">
        <v>95.1</v>
      </c>
    </row>
    <row r="2801" spans="1:11" x14ac:dyDescent="0.35">
      <c r="A2801" s="2">
        <v>42613</v>
      </c>
      <c r="B2801" s="1">
        <v>0</v>
      </c>
      <c r="C2801" t="s">
        <v>5319</v>
      </c>
      <c r="D2801" t="s">
        <v>5355</v>
      </c>
      <c r="E2801" t="s">
        <v>5315</v>
      </c>
      <c r="F2801" t="s">
        <v>5383</v>
      </c>
      <c r="G2801" t="s">
        <v>5364</v>
      </c>
      <c r="H2801" t="s">
        <v>478</v>
      </c>
      <c r="J2801" s="2">
        <v>42613</v>
      </c>
      <c r="K2801">
        <v>87.4</v>
      </c>
    </row>
    <row r="2802" spans="1:11" x14ac:dyDescent="0.35">
      <c r="A2802" t="s">
        <v>3220</v>
      </c>
      <c r="B2802" s="1">
        <v>0</v>
      </c>
      <c r="C2802" t="s">
        <v>5196</v>
      </c>
      <c r="D2802" t="s">
        <v>5089</v>
      </c>
      <c r="E2802" t="s">
        <v>5400</v>
      </c>
      <c r="F2802" t="s">
        <v>5383</v>
      </c>
      <c r="G2802" t="s">
        <v>5882</v>
      </c>
      <c r="H2802" t="s">
        <v>447</v>
      </c>
      <c r="J2802" t="s">
        <v>3220</v>
      </c>
      <c r="K2802">
        <v>81.400000000000006</v>
      </c>
    </row>
    <row r="2803" spans="1:11" x14ac:dyDescent="0.35">
      <c r="A2803" t="s">
        <v>3221</v>
      </c>
      <c r="B2803" s="1">
        <v>0</v>
      </c>
      <c r="C2803" t="s">
        <v>5076</v>
      </c>
      <c r="D2803" t="s">
        <v>5414</v>
      </c>
      <c r="E2803" t="s">
        <v>5158</v>
      </c>
      <c r="F2803" t="s">
        <v>5168</v>
      </c>
      <c r="G2803" t="s">
        <v>5343</v>
      </c>
      <c r="H2803" t="s">
        <v>1066</v>
      </c>
      <c r="J2803" t="s">
        <v>3221</v>
      </c>
      <c r="K2803">
        <v>105.8</v>
      </c>
    </row>
    <row r="2804" spans="1:11" x14ac:dyDescent="0.35">
      <c r="A2804" t="s">
        <v>3222</v>
      </c>
      <c r="B2804" s="1">
        <v>0</v>
      </c>
      <c r="C2804" t="s">
        <v>5210</v>
      </c>
      <c r="D2804" t="s">
        <v>5331</v>
      </c>
      <c r="E2804" t="s">
        <v>5158</v>
      </c>
      <c r="F2804" t="s">
        <v>5168</v>
      </c>
      <c r="G2804" t="s">
        <v>5343</v>
      </c>
      <c r="H2804" t="s">
        <v>3808</v>
      </c>
      <c r="J2804" t="s">
        <v>3222</v>
      </c>
      <c r="K2804">
        <v>106.3</v>
      </c>
    </row>
    <row r="2805" spans="1:11" x14ac:dyDescent="0.35">
      <c r="A2805" t="s">
        <v>3223</v>
      </c>
      <c r="B2805" s="1">
        <v>0</v>
      </c>
      <c r="C2805" t="s">
        <v>5276</v>
      </c>
      <c r="D2805" t="s">
        <v>5152</v>
      </c>
      <c r="E2805" t="s">
        <v>5158</v>
      </c>
      <c r="F2805" t="s">
        <v>5168</v>
      </c>
      <c r="G2805" t="s">
        <v>5344</v>
      </c>
      <c r="H2805" t="s">
        <v>2610</v>
      </c>
      <c r="J2805" t="s">
        <v>3223</v>
      </c>
      <c r="K2805">
        <v>108.6</v>
      </c>
    </row>
    <row r="2806" spans="1:11" x14ac:dyDescent="0.35">
      <c r="A2806" t="s">
        <v>3225</v>
      </c>
      <c r="B2806" s="1">
        <v>0</v>
      </c>
      <c r="C2806" t="s">
        <v>5150</v>
      </c>
      <c r="D2806" t="s">
        <v>5345</v>
      </c>
      <c r="E2806" t="s">
        <v>5347</v>
      </c>
      <c r="F2806" t="s">
        <v>5156</v>
      </c>
      <c r="G2806" t="s">
        <v>5344</v>
      </c>
      <c r="H2806" t="s">
        <v>5641</v>
      </c>
      <c r="J2806" t="s">
        <v>3225</v>
      </c>
      <c r="K2806">
        <v>111.6</v>
      </c>
    </row>
    <row r="2807" spans="1:11" x14ac:dyDescent="0.35">
      <c r="A2807" t="s">
        <v>3227</v>
      </c>
      <c r="B2807" s="1">
        <v>0</v>
      </c>
      <c r="C2807" t="s">
        <v>5127</v>
      </c>
      <c r="D2807" t="s">
        <v>5196</v>
      </c>
      <c r="E2807" t="s">
        <v>5161</v>
      </c>
      <c r="F2807" t="s">
        <v>5156</v>
      </c>
      <c r="G2807" t="s">
        <v>5344</v>
      </c>
      <c r="H2807" t="s">
        <v>963</v>
      </c>
      <c r="J2807" t="s">
        <v>3227</v>
      </c>
      <c r="K2807">
        <v>117.8</v>
      </c>
    </row>
    <row r="2808" spans="1:11" x14ac:dyDescent="0.35">
      <c r="A2808" t="s">
        <v>3228</v>
      </c>
      <c r="B2808" s="1">
        <v>0</v>
      </c>
      <c r="C2808" t="s">
        <v>5446</v>
      </c>
      <c r="D2808" t="s">
        <v>5049</v>
      </c>
      <c r="E2808" t="s">
        <v>5351</v>
      </c>
      <c r="F2808" t="s">
        <v>5156</v>
      </c>
      <c r="G2808" t="s">
        <v>5344</v>
      </c>
      <c r="H2808" t="s">
        <v>1573</v>
      </c>
      <c r="J2808" t="s">
        <v>3228</v>
      </c>
      <c r="K2808">
        <v>124.8</v>
      </c>
    </row>
    <row r="2809" spans="1:11" x14ac:dyDescent="0.35">
      <c r="A2809" t="s">
        <v>3229</v>
      </c>
      <c r="B2809" s="1">
        <v>0</v>
      </c>
      <c r="C2809" t="s">
        <v>5235</v>
      </c>
      <c r="D2809" t="s">
        <v>5525</v>
      </c>
      <c r="E2809" t="s">
        <v>5043</v>
      </c>
      <c r="F2809" t="s">
        <v>5156</v>
      </c>
      <c r="G2809" t="s">
        <v>5344</v>
      </c>
      <c r="H2809" t="s">
        <v>137</v>
      </c>
      <c r="J2809" t="s">
        <v>3229</v>
      </c>
      <c r="K2809">
        <v>128.4</v>
      </c>
    </row>
    <row r="2810" spans="1:11" x14ac:dyDescent="0.35">
      <c r="A2810" t="s">
        <v>3230</v>
      </c>
      <c r="B2810" s="1">
        <v>0</v>
      </c>
      <c r="C2810" t="s">
        <v>5193</v>
      </c>
      <c r="D2810" t="s">
        <v>5623</v>
      </c>
      <c r="E2810" t="s">
        <v>5316</v>
      </c>
      <c r="F2810" t="s">
        <v>5156</v>
      </c>
      <c r="G2810" t="s">
        <v>5344</v>
      </c>
      <c r="H2810" t="s">
        <v>2626</v>
      </c>
      <c r="J2810" t="s">
        <v>3230</v>
      </c>
      <c r="K2810">
        <v>127.4</v>
      </c>
    </row>
    <row r="2811" spans="1:11" x14ac:dyDescent="0.35">
      <c r="A2811" t="s">
        <v>3231</v>
      </c>
      <c r="B2811" s="1">
        <v>0</v>
      </c>
      <c r="C2811" t="s">
        <v>5146</v>
      </c>
      <c r="D2811" t="s">
        <v>5416</v>
      </c>
      <c r="E2811" t="s">
        <v>5350</v>
      </c>
      <c r="F2811" t="s">
        <v>5156</v>
      </c>
      <c r="G2811" t="s">
        <v>5360</v>
      </c>
      <c r="H2811" t="s">
        <v>2874</v>
      </c>
      <c r="J2811" t="s">
        <v>3231</v>
      </c>
      <c r="K2811">
        <v>127.6</v>
      </c>
    </row>
    <row r="2812" spans="1:11" x14ac:dyDescent="0.35">
      <c r="A2812" t="s">
        <v>3233</v>
      </c>
      <c r="B2812" s="1">
        <v>0</v>
      </c>
      <c r="C2812" t="s">
        <v>5138</v>
      </c>
      <c r="D2812" t="s">
        <v>5305</v>
      </c>
      <c r="E2812" t="s">
        <v>5350</v>
      </c>
      <c r="F2812" t="s">
        <v>5156</v>
      </c>
      <c r="G2812" t="s">
        <v>5409</v>
      </c>
      <c r="H2812" t="s">
        <v>3122</v>
      </c>
      <c r="J2812" t="s">
        <v>3233</v>
      </c>
      <c r="K2812">
        <v>130.80000000000001</v>
      </c>
    </row>
    <row r="2813" spans="1:11" x14ac:dyDescent="0.35">
      <c r="A2813" t="s">
        <v>3234</v>
      </c>
      <c r="B2813" s="1">
        <v>0</v>
      </c>
      <c r="C2813" t="s">
        <v>5244</v>
      </c>
      <c r="D2813" t="s">
        <v>5048</v>
      </c>
      <c r="E2813" t="s">
        <v>5316</v>
      </c>
      <c r="F2813" t="s">
        <v>5156</v>
      </c>
      <c r="G2813" t="s">
        <v>5395</v>
      </c>
      <c r="H2813" t="s">
        <v>537</v>
      </c>
      <c r="J2813" t="s">
        <v>3234</v>
      </c>
      <c r="K2813">
        <v>135.69999999999999</v>
      </c>
    </row>
    <row r="2814" spans="1:11" x14ac:dyDescent="0.35">
      <c r="A2814" t="s">
        <v>3236</v>
      </c>
      <c r="B2814" s="1">
        <v>0</v>
      </c>
      <c r="C2814" t="s">
        <v>5482</v>
      </c>
      <c r="D2814" t="s">
        <v>5048</v>
      </c>
      <c r="E2814" t="s">
        <v>5316</v>
      </c>
      <c r="F2814" t="s">
        <v>5156</v>
      </c>
      <c r="G2814" t="s">
        <v>5396</v>
      </c>
      <c r="H2814" t="s">
        <v>1581</v>
      </c>
      <c r="J2814" t="s">
        <v>3236</v>
      </c>
      <c r="K2814">
        <v>133.9</v>
      </c>
    </row>
    <row r="2815" spans="1:11" x14ac:dyDescent="0.35">
      <c r="A2815" t="s">
        <v>3237</v>
      </c>
      <c r="B2815" s="1">
        <v>0</v>
      </c>
      <c r="C2815" t="s">
        <v>5117</v>
      </c>
      <c r="D2815" t="s">
        <v>5318</v>
      </c>
      <c r="E2815" t="s">
        <v>5316</v>
      </c>
      <c r="F2815" t="s">
        <v>5156</v>
      </c>
      <c r="G2815" t="s">
        <v>5562</v>
      </c>
      <c r="H2815" t="s">
        <v>1126</v>
      </c>
      <c r="J2815" t="s">
        <v>3237</v>
      </c>
      <c r="K2815">
        <v>131.69999999999999</v>
      </c>
    </row>
    <row r="2816" spans="1:11" x14ac:dyDescent="0.35">
      <c r="A2816" t="s">
        <v>3238</v>
      </c>
      <c r="B2816" s="1">
        <v>0</v>
      </c>
      <c r="C2816" t="s">
        <v>5384</v>
      </c>
      <c r="D2816" t="s">
        <v>5319</v>
      </c>
      <c r="E2816" t="s">
        <v>5549</v>
      </c>
      <c r="F2816" t="s">
        <v>5156</v>
      </c>
      <c r="G2816" t="s">
        <v>5409</v>
      </c>
      <c r="H2816" t="s">
        <v>3119</v>
      </c>
      <c r="J2816" t="s">
        <v>3238</v>
      </c>
      <c r="K2816">
        <v>133.4</v>
      </c>
    </row>
    <row r="2817" spans="1:11" x14ac:dyDescent="0.35">
      <c r="A2817" t="s">
        <v>3239</v>
      </c>
      <c r="B2817" s="1">
        <v>0</v>
      </c>
      <c r="C2817" t="s">
        <v>5104</v>
      </c>
      <c r="D2817" t="s">
        <v>5283</v>
      </c>
      <c r="E2817" t="s">
        <v>5598</v>
      </c>
      <c r="F2817" t="s">
        <v>5156</v>
      </c>
      <c r="G2817" t="s">
        <v>5562</v>
      </c>
      <c r="H2817" t="s">
        <v>525</v>
      </c>
      <c r="J2817" t="s">
        <v>3239</v>
      </c>
      <c r="K2817">
        <v>136.1</v>
      </c>
    </row>
    <row r="2818" spans="1:11" x14ac:dyDescent="0.35">
      <c r="A2818" t="s">
        <v>3240</v>
      </c>
      <c r="B2818" s="1">
        <v>0</v>
      </c>
      <c r="C2818" t="s">
        <v>5117</v>
      </c>
      <c r="D2818" t="s">
        <v>5568</v>
      </c>
      <c r="E2818" t="s">
        <v>5429</v>
      </c>
      <c r="F2818" t="s">
        <v>5156</v>
      </c>
      <c r="G2818" t="s">
        <v>5562</v>
      </c>
      <c r="H2818" t="s">
        <v>536</v>
      </c>
      <c r="J2818" t="s">
        <v>3240</v>
      </c>
      <c r="K2818">
        <v>134</v>
      </c>
    </row>
    <row r="2819" spans="1:11" x14ac:dyDescent="0.35">
      <c r="A2819" t="s">
        <v>3241</v>
      </c>
      <c r="B2819" s="1">
        <v>0</v>
      </c>
      <c r="C2819" t="s">
        <v>5279</v>
      </c>
      <c r="D2819" t="s">
        <v>5292</v>
      </c>
      <c r="E2819" t="s">
        <v>5311</v>
      </c>
      <c r="F2819" t="s">
        <v>5156</v>
      </c>
      <c r="G2819" t="s">
        <v>5562</v>
      </c>
      <c r="H2819" t="s">
        <v>3122</v>
      </c>
      <c r="J2819" t="s">
        <v>3241</v>
      </c>
      <c r="K2819">
        <v>130.80000000000001</v>
      </c>
    </row>
    <row r="2820" spans="1:11" x14ac:dyDescent="0.35">
      <c r="A2820" t="s">
        <v>3242</v>
      </c>
      <c r="B2820" s="1">
        <v>0</v>
      </c>
      <c r="C2820" t="s">
        <v>5138</v>
      </c>
      <c r="D2820" t="s">
        <v>5298</v>
      </c>
      <c r="E2820" t="s">
        <v>5196</v>
      </c>
      <c r="F2820" t="s">
        <v>5156</v>
      </c>
      <c r="G2820" t="s">
        <v>5395</v>
      </c>
      <c r="H2820" t="s">
        <v>1581</v>
      </c>
      <c r="J2820" t="s">
        <v>3242</v>
      </c>
      <c r="K2820">
        <v>133.9</v>
      </c>
    </row>
    <row r="2821" spans="1:11" x14ac:dyDescent="0.35">
      <c r="A2821" t="s">
        <v>3244</v>
      </c>
      <c r="B2821" s="1">
        <v>0</v>
      </c>
      <c r="C2821" t="s">
        <v>5274</v>
      </c>
      <c r="D2821" t="s">
        <v>5418</v>
      </c>
      <c r="E2821" t="s">
        <v>5194</v>
      </c>
      <c r="F2821" t="s">
        <v>5156</v>
      </c>
      <c r="G2821" t="s">
        <v>5402</v>
      </c>
      <c r="H2821" t="s">
        <v>4067</v>
      </c>
      <c r="J2821" t="s">
        <v>3244</v>
      </c>
      <c r="K2821">
        <v>143.19999999999999</v>
      </c>
    </row>
    <row r="2822" spans="1:11" x14ac:dyDescent="0.35">
      <c r="A2822" t="s">
        <v>3245</v>
      </c>
      <c r="B2822" s="1">
        <v>0</v>
      </c>
      <c r="C2822" t="s">
        <v>5610</v>
      </c>
      <c r="D2822" t="s">
        <v>5185</v>
      </c>
      <c r="E2822" t="s">
        <v>5194</v>
      </c>
      <c r="F2822" t="s">
        <v>5156</v>
      </c>
      <c r="G2822" t="s">
        <v>5357</v>
      </c>
      <c r="H2822" t="s">
        <v>1770</v>
      </c>
      <c r="J2822" t="s">
        <v>3245</v>
      </c>
      <c r="K2822">
        <v>150.4</v>
      </c>
    </row>
    <row r="2823" spans="1:11" x14ac:dyDescent="0.35">
      <c r="A2823" t="s">
        <v>3246</v>
      </c>
      <c r="B2823" s="1">
        <v>0</v>
      </c>
      <c r="C2823" t="s">
        <v>5406</v>
      </c>
      <c r="D2823" t="s">
        <v>5057</v>
      </c>
      <c r="E2823" t="s">
        <v>5551</v>
      </c>
      <c r="F2823" t="s">
        <v>5156</v>
      </c>
      <c r="G2823" t="s">
        <v>5189</v>
      </c>
      <c r="H2823" t="s">
        <v>157</v>
      </c>
      <c r="J2823" t="s">
        <v>3246</v>
      </c>
      <c r="K2823">
        <v>152.80000000000001</v>
      </c>
    </row>
    <row r="2824" spans="1:11" x14ac:dyDescent="0.35">
      <c r="A2824" t="s">
        <v>3247</v>
      </c>
      <c r="B2824" s="1">
        <v>0</v>
      </c>
      <c r="C2824" t="s">
        <v>1003</v>
      </c>
      <c r="D2824" t="s">
        <v>5622</v>
      </c>
      <c r="E2824" t="s">
        <v>5549</v>
      </c>
      <c r="F2824" t="s">
        <v>5156</v>
      </c>
      <c r="G2824" t="s">
        <v>5357</v>
      </c>
      <c r="H2824" t="s">
        <v>2662</v>
      </c>
      <c r="J2824" t="s">
        <v>3247</v>
      </c>
      <c r="K2824">
        <v>151.19999999999999</v>
      </c>
    </row>
    <row r="2825" spans="1:11" x14ac:dyDescent="0.35">
      <c r="A2825" t="s">
        <v>3248</v>
      </c>
      <c r="B2825" s="1">
        <v>0</v>
      </c>
      <c r="C2825" t="s">
        <v>5282</v>
      </c>
      <c r="D2825" t="s">
        <v>5305</v>
      </c>
      <c r="E2825" t="s">
        <v>5329</v>
      </c>
      <c r="F2825" t="s">
        <v>5156</v>
      </c>
      <c r="G2825" t="s">
        <v>5404</v>
      </c>
      <c r="H2825" t="s">
        <v>2223</v>
      </c>
      <c r="J2825" t="s">
        <v>3248</v>
      </c>
      <c r="K2825">
        <v>144.1</v>
      </c>
    </row>
    <row r="2826" spans="1:11" x14ac:dyDescent="0.35">
      <c r="A2826" t="s">
        <v>3249</v>
      </c>
      <c r="B2826" s="1">
        <v>0</v>
      </c>
      <c r="C2826" t="s">
        <v>5611</v>
      </c>
      <c r="D2826" t="s">
        <v>5302</v>
      </c>
      <c r="E2826" t="s">
        <v>5329</v>
      </c>
      <c r="F2826" t="s">
        <v>5156</v>
      </c>
      <c r="G2826" t="s">
        <v>5413</v>
      </c>
      <c r="H2826" t="s">
        <v>16</v>
      </c>
      <c r="J2826" t="s">
        <v>3249</v>
      </c>
      <c r="K2826">
        <v>139.6</v>
      </c>
    </row>
    <row r="2827" spans="1:11" x14ac:dyDescent="0.35">
      <c r="A2827" t="s">
        <v>3250</v>
      </c>
      <c r="B2827" s="1">
        <v>0</v>
      </c>
      <c r="C2827" t="s">
        <v>5217</v>
      </c>
      <c r="D2827" t="s">
        <v>5318</v>
      </c>
      <c r="E2827" t="s">
        <v>5043</v>
      </c>
      <c r="F2827" t="s">
        <v>5156</v>
      </c>
      <c r="G2827" t="s">
        <v>5399</v>
      </c>
      <c r="H2827" t="s">
        <v>845</v>
      </c>
      <c r="J2827" t="s">
        <v>3250</v>
      </c>
      <c r="K2827">
        <v>137.5</v>
      </c>
    </row>
    <row r="2828" spans="1:11" x14ac:dyDescent="0.35">
      <c r="A2828" t="s">
        <v>3251</v>
      </c>
      <c r="B2828" s="1">
        <v>0</v>
      </c>
      <c r="C2828" t="s">
        <v>5590</v>
      </c>
      <c r="D2828" t="s">
        <v>5048</v>
      </c>
      <c r="E2828" t="s">
        <v>5147</v>
      </c>
      <c r="F2828" t="s">
        <v>5156</v>
      </c>
      <c r="G2828" t="s">
        <v>5413</v>
      </c>
      <c r="H2828" t="s">
        <v>864</v>
      </c>
      <c r="J2828" t="s">
        <v>3251</v>
      </c>
      <c r="K2828">
        <v>136.5</v>
      </c>
    </row>
    <row r="2829" spans="1:11" x14ac:dyDescent="0.35">
      <c r="A2829" t="s">
        <v>3252</v>
      </c>
      <c r="B2829" s="1">
        <v>0</v>
      </c>
      <c r="C2829" t="s">
        <v>5511</v>
      </c>
      <c r="D2829" t="s">
        <v>5546</v>
      </c>
      <c r="E2829" t="s">
        <v>5043</v>
      </c>
      <c r="F2829" t="s">
        <v>5156</v>
      </c>
      <c r="G2829" t="s">
        <v>5402</v>
      </c>
      <c r="H2829" t="s">
        <v>1802</v>
      </c>
      <c r="J2829" t="s">
        <v>3252</v>
      </c>
      <c r="K2829">
        <v>136.9</v>
      </c>
    </row>
    <row r="2830" spans="1:11" x14ac:dyDescent="0.35">
      <c r="A2830" t="s">
        <v>3253</v>
      </c>
      <c r="B2830" s="1">
        <v>0</v>
      </c>
      <c r="C2830" t="s">
        <v>5590</v>
      </c>
      <c r="D2830" t="s">
        <v>5048</v>
      </c>
      <c r="E2830" t="s">
        <v>5526</v>
      </c>
      <c r="F2830" t="s">
        <v>5156</v>
      </c>
      <c r="G2830" t="s">
        <v>5402</v>
      </c>
      <c r="H2830" t="s">
        <v>1455</v>
      </c>
      <c r="J2830" t="s">
        <v>3253</v>
      </c>
      <c r="K2830">
        <v>136.80000000000001</v>
      </c>
    </row>
    <row r="2831" spans="1:11" x14ac:dyDescent="0.35">
      <c r="A2831" t="s">
        <v>3254</v>
      </c>
      <c r="B2831" s="1">
        <v>0</v>
      </c>
      <c r="C2831" t="s">
        <v>5242</v>
      </c>
      <c r="D2831" t="s">
        <v>5051</v>
      </c>
      <c r="E2831" t="s">
        <v>5549</v>
      </c>
      <c r="F2831" t="s">
        <v>5156</v>
      </c>
      <c r="G2831" t="s">
        <v>5413</v>
      </c>
      <c r="H2831" t="s">
        <v>1773</v>
      </c>
      <c r="J2831" t="s">
        <v>3254</v>
      </c>
      <c r="K2831">
        <v>136.19999999999999</v>
      </c>
    </row>
    <row r="2832" spans="1:11" x14ac:dyDescent="0.35">
      <c r="A2832" t="s">
        <v>3255</v>
      </c>
      <c r="B2832" s="1">
        <v>0</v>
      </c>
      <c r="C2832" t="s">
        <v>5593</v>
      </c>
      <c r="D2832" t="s">
        <v>5185</v>
      </c>
      <c r="E2832" t="s">
        <v>5547</v>
      </c>
      <c r="F2832" t="s">
        <v>5156</v>
      </c>
      <c r="G2832" t="s">
        <v>5413</v>
      </c>
      <c r="H2832" t="s">
        <v>22</v>
      </c>
      <c r="J2832" t="s">
        <v>3255</v>
      </c>
      <c r="K2832">
        <v>143.6</v>
      </c>
    </row>
    <row r="2833" spans="1:11" x14ac:dyDescent="0.35">
      <c r="A2833" t="s">
        <v>3256</v>
      </c>
      <c r="B2833" s="1">
        <v>0</v>
      </c>
      <c r="C2833" t="s">
        <v>5465</v>
      </c>
      <c r="D2833" t="s">
        <v>5437</v>
      </c>
      <c r="E2833" t="s">
        <v>5420</v>
      </c>
      <c r="F2833" t="s">
        <v>5050</v>
      </c>
      <c r="G2833" t="s">
        <v>5432</v>
      </c>
      <c r="H2833" t="s">
        <v>811</v>
      </c>
      <c r="J2833" t="s">
        <v>3256</v>
      </c>
      <c r="K2833">
        <v>173.6</v>
      </c>
    </row>
    <row r="2834" spans="1:11" x14ac:dyDescent="0.35">
      <c r="A2834" t="s">
        <v>3257</v>
      </c>
      <c r="B2834" s="1">
        <v>0</v>
      </c>
      <c r="C2834" t="s">
        <v>410</v>
      </c>
      <c r="D2834" t="s">
        <v>5127</v>
      </c>
      <c r="E2834" t="s">
        <v>5422</v>
      </c>
      <c r="F2834" t="s">
        <v>5050</v>
      </c>
      <c r="G2834" t="s">
        <v>5432</v>
      </c>
      <c r="H2834" t="s">
        <v>1596</v>
      </c>
      <c r="J2834" t="s">
        <v>3257</v>
      </c>
      <c r="K2834">
        <v>180.5</v>
      </c>
    </row>
    <row r="2835" spans="1:11" x14ac:dyDescent="0.35">
      <c r="A2835" t="s">
        <v>3258</v>
      </c>
      <c r="B2835" s="1">
        <v>0</v>
      </c>
      <c r="C2835" t="s">
        <v>371</v>
      </c>
      <c r="D2835" t="s">
        <v>5190</v>
      </c>
      <c r="E2835" t="s">
        <v>5056</v>
      </c>
      <c r="F2835" t="s">
        <v>5050</v>
      </c>
      <c r="G2835" t="s">
        <v>5432</v>
      </c>
      <c r="H2835" t="s">
        <v>3341</v>
      </c>
      <c r="J2835" t="s">
        <v>3258</v>
      </c>
      <c r="K2835">
        <v>182.3</v>
      </c>
    </row>
    <row r="2836" spans="1:11" x14ac:dyDescent="0.35">
      <c r="A2836" t="s">
        <v>3259</v>
      </c>
      <c r="B2836" s="1">
        <v>0</v>
      </c>
      <c r="C2836" t="s">
        <v>399</v>
      </c>
      <c r="D2836" t="s">
        <v>5538</v>
      </c>
      <c r="E2836" t="s">
        <v>5428</v>
      </c>
      <c r="F2836" t="s">
        <v>5050</v>
      </c>
      <c r="G2836" t="s">
        <v>5140</v>
      </c>
      <c r="H2836" t="s">
        <v>1404</v>
      </c>
      <c r="J2836" t="s">
        <v>3259</v>
      </c>
      <c r="K2836">
        <v>185.1</v>
      </c>
    </row>
    <row r="2837" spans="1:11" x14ac:dyDescent="0.35">
      <c r="A2837" t="s">
        <v>3260</v>
      </c>
      <c r="B2837" s="1">
        <v>0</v>
      </c>
      <c r="C2837" t="s">
        <v>407</v>
      </c>
      <c r="D2837" t="s">
        <v>5220</v>
      </c>
      <c r="E2837" t="s">
        <v>5170</v>
      </c>
      <c r="F2837" t="s">
        <v>5050</v>
      </c>
      <c r="G2837" t="s">
        <v>5397</v>
      </c>
      <c r="H2837" t="s">
        <v>1178</v>
      </c>
      <c r="J2837" t="s">
        <v>3260</v>
      </c>
      <c r="K2837">
        <v>188.3</v>
      </c>
    </row>
    <row r="2838" spans="1:11" x14ac:dyDescent="0.35">
      <c r="A2838" t="s">
        <v>3261</v>
      </c>
      <c r="B2838" s="1">
        <v>0</v>
      </c>
      <c r="C2838" t="s">
        <v>1878</v>
      </c>
      <c r="D2838" t="s">
        <v>5443</v>
      </c>
      <c r="E2838" t="s">
        <v>5171</v>
      </c>
      <c r="F2838" t="s">
        <v>5050</v>
      </c>
      <c r="G2838" t="s">
        <v>5397</v>
      </c>
      <c r="H2838" t="s">
        <v>2671</v>
      </c>
      <c r="J2838" t="s">
        <v>3261</v>
      </c>
      <c r="K2838">
        <v>185.7</v>
      </c>
    </row>
    <row r="2839" spans="1:11" x14ac:dyDescent="0.35">
      <c r="A2839" t="s">
        <v>3262</v>
      </c>
      <c r="B2839" s="1">
        <v>0</v>
      </c>
      <c r="C2839" t="s">
        <v>2237</v>
      </c>
      <c r="D2839" t="s">
        <v>5198</v>
      </c>
      <c r="E2839" t="s">
        <v>5064</v>
      </c>
      <c r="F2839" t="s">
        <v>5050</v>
      </c>
      <c r="G2839" t="s">
        <v>5144</v>
      </c>
      <c r="H2839" t="s">
        <v>896</v>
      </c>
      <c r="J2839" t="s">
        <v>3262</v>
      </c>
      <c r="K2839">
        <v>183.5</v>
      </c>
    </row>
    <row r="2840" spans="1:11" x14ac:dyDescent="0.35">
      <c r="A2840" t="s">
        <v>3263</v>
      </c>
      <c r="B2840" s="1">
        <v>0</v>
      </c>
      <c r="C2840" t="s">
        <v>453</v>
      </c>
      <c r="D2840" t="s">
        <v>5519</v>
      </c>
      <c r="E2840" t="s">
        <v>5055</v>
      </c>
      <c r="F2840" t="s">
        <v>5050</v>
      </c>
      <c r="G2840" t="s">
        <v>5397</v>
      </c>
      <c r="H2840" t="s">
        <v>709</v>
      </c>
      <c r="J2840" t="s">
        <v>3263</v>
      </c>
      <c r="K2840">
        <v>187.6</v>
      </c>
    </row>
    <row r="2841" spans="1:11" x14ac:dyDescent="0.35">
      <c r="A2841" t="s">
        <v>3264</v>
      </c>
      <c r="B2841" s="1">
        <v>0</v>
      </c>
      <c r="C2841" t="s">
        <v>1523</v>
      </c>
      <c r="D2841" t="s">
        <v>5485</v>
      </c>
      <c r="E2841" t="s">
        <v>5170</v>
      </c>
      <c r="F2841" t="s">
        <v>5240</v>
      </c>
      <c r="G2841" t="s">
        <v>5330</v>
      </c>
      <c r="H2841" t="s">
        <v>688</v>
      </c>
      <c r="J2841" t="s">
        <v>3264</v>
      </c>
      <c r="K2841">
        <v>197.6</v>
      </c>
    </row>
    <row r="2842" spans="1:11" x14ac:dyDescent="0.35">
      <c r="A2842" t="s">
        <v>3265</v>
      </c>
      <c r="B2842" s="1">
        <v>0</v>
      </c>
      <c r="C2842" t="s">
        <v>1469</v>
      </c>
      <c r="D2842" t="s">
        <v>5374</v>
      </c>
      <c r="E2842" t="s">
        <v>5197</v>
      </c>
      <c r="F2842" t="s">
        <v>5240</v>
      </c>
      <c r="G2842" t="s">
        <v>5312</v>
      </c>
      <c r="H2842" t="s">
        <v>662</v>
      </c>
      <c r="J2842" t="s">
        <v>3265</v>
      </c>
      <c r="K2842">
        <v>211.5</v>
      </c>
    </row>
    <row r="2843" spans="1:11" x14ac:dyDescent="0.35">
      <c r="A2843" t="s">
        <v>3266</v>
      </c>
      <c r="B2843" s="1">
        <v>0</v>
      </c>
      <c r="C2843" t="s">
        <v>1864</v>
      </c>
      <c r="D2843" t="s">
        <v>5370</v>
      </c>
      <c r="E2843" t="s">
        <v>5066</v>
      </c>
      <c r="F2843" t="s">
        <v>5240</v>
      </c>
      <c r="G2843" t="s">
        <v>5309</v>
      </c>
      <c r="H2843" t="s">
        <v>1844</v>
      </c>
      <c r="J2843" t="s">
        <v>3266</v>
      </c>
      <c r="K2843">
        <v>215.6</v>
      </c>
    </row>
    <row r="2844" spans="1:11" x14ac:dyDescent="0.35">
      <c r="A2844" t="s">
        <v>3267</v>
      </c>
      <c r="B2844" s="1">
        <v>0</v>
      </c>
      <c r="C2844" t="s">
        <v>1480</v>
      </c>
      <c r="D2844" t="s">
        <v>5447</v>
      </c>
      <c r="E2844" t="s">
        <v>5066</v>
      </c>
      <c r="F2844" t="s">
        <v>5240</v>
      </c>
      <c r="G2844" t="s">
        <v>5309</v>
      </c>
      <c r="H2844" t="s">
        <v>3981</v>
      </c>
      <c r="J2844" t="s">
        <v>3267</v>
      </c>
      <c r="K2844">
        <v>212</v>
      </c>
    </row>
    <row r="2845" spans="1:11" x14ac:dyDescent="0.35">
      <c r="A2845" t="s">
        <v>3268</v>
      </c>
      <c r="B2845" s="1">
        <v>0</v>
      </c>
      <c r="C2845" t="s">
        <v>364</v>
      </c>
      <c r="D2845" t="s">
        <v>5373</v>
      </c>
      <c r="E2845" t="s">
        <v>5178</v>
      </c>
      <c r="F2845" t="s">
        <v>5050</v>
      </c>
      <c r="G2845" t="s">
        <v>5294</v>
      </c>
      <c r="H2845" t="s">
        <v>1300</v>
      </c>
      <c r="J2845" t="s">
        <v>3268</v>
      </c>
      <c r="K2845">
        <v>208.6</v>
      </c>
    </row>
    <row r="2846" spans="1:11" x14ac:dyDescent="0.35">
      <c r="A2846" t="s">
        <v>3269</v>
      </c>
      <c r="B2846" s="1">
        <v>0</v>
      </c>
      <c r="C2846" t="s">
        <v>367</v>
      </c>
      <c r="D2846" t="s">
        <v>5146</v>
      </c>
      <c r="E2846" t="s">
        <v>5249</v>
      </c>
      <c r="F2846" t="s">
        <v>5050</v>
      </c>
      <c r="G2846" t="s">
        <v>5312</v>
      </c>
      <c r="H2846" t="s">
        <v>3754</v>
      </c>
      <c r="J2846" t="s">
        <v>3269</v>
      </c>
      <c r="K2846">
        <v>205.6</v>
      </c>
    </row>
    <row r="2847" spans="1:11" x14ac:dyDescent="0.35">
      <c r="A2847" t="s">
        <v>3270</v>
      </c>
      <c r="B2847" s="1">
        <v>0</v>
      </c>
      <c r="C2847" t="s">
        <v>2565</v>
      </c>
      <c r="D2847" t="s">
        <v>5238</v>
      </c>
      <c r="E2847" t="s">
        <v>5165</v>
      </c>
      <c r="F2847" t="s">
        <v>5050</v>
      </c>
      <c r="G2847" t="s">
        <v>5312</v>
      </c>
      <c r="H2847" t="s">
        <v>656</v>
      </c>
      <c r="J2847" t="s">
        <v>3270</v>
      </c>
      <c r="K2847">
        <v>207.3</v>
      </c>
    </row>
    <row r="2848" spans="1:11" x14ac:dyDescent="0.35">
      <c r="A2848" t="s">
        <v>3271</v>
      </c>
      <c r="B2848" s="1">
        <v>0</v>
      </c>
      <c r="C2848" t="s">
        <v>1471</v>
      </c>
      <c r="D2848" t="s">
        <v>5366</v>
      </c>
      <c r="E2848" t="s">
        <v>5060</v>
      </c>
      <c r="F2848" t="s">
        <v>5240</v>
      </c>
      <c r="G2848" t="s">
        <v>5294</v>
      </c>
      <c r="H2848" t="s">
        <v>1656</v>
      </c>
      <c r="J2848" t="s">
        <v>3271</v>
      </c>
      <c r="K2848">
        <v>208.1</v>
      </c>
    </row>
    <row r="2849" spans="1:11" x14ac:dyDescent="0.35">
      <c r="A2849" t="s">
        <v>3272</v>
      </c>
      <c r="B2849" s="1">
        <v>0</v>
      </c>
      <c r="C2849" t="s">
        <v>1484</v>
      </c>
      <c r="D2849" t="s">
        <v>5250</v>
      </c>
      <c r="E2849" t="s">
        <v>5208</v>
      </c>
      <c r="F2849" t="s">
        <v>5240</v>
      </c>
      <c r="G2849" t="s">
        <v>5294</v>
      </c>
      <c r="H2849" t="s">
        <v>2401</v>
      </c>
      <c r="J2849" t="s">
        <v>3272</v>
      </c>
      <c r="K2849">
        <v>205.8</v>
      </c>
    </row>
    <row r="2850" spans="1:11" x14ac:dyDescent="0.35">
      <c r="A2850" t="s">
        <v>3273</v>
      </c>
      <c r="B2850" s="1">
        <v>0</v>
      </c>
      <c r="C2850" t="s">
        <v>325</v>
      </c>
      <c r="D2850" t="s">
        <v>5280</v>
      </c>
      <c r="E2850" t="s">
        <v>5162</v>
      </c>
      <c r="F2850" t="s">
        <v>5240</v>
      </c>
      <c r="G2850" t="s">
        <v>5291</v>
      </c>
      <c r="H2850" t="s">
        <v>1668</v>
      </c>
      <c r="J2850" t="s">
        <v>3273</v>
      </c>
      <c r="K2850">
        <v>208.9</v>
      </c>
    </row>
    <row r="2851" spans="1:11" x14ac:dyDescent="0.35">
      <c r="A2851" t="s">
        <v>3274</v>
      </c>
      <c r="B2851" s="1">
        <v>0</v>
      </c>
      <c r="C2851" t="s">
        <v>324</v>
      </c>
      <c r="D2851" t="s">
        <v>5080</v>
      </c>
      <c r="E2851" t="s">
        <v>5257</v>
      </c>
      <c r="F2851" t="s">
        <v>5240</v>
      </c>
      <c r="G2851" t="s">
        <v>5288</v>
      </c>
      <c r="H2851" t="s">
        <v>660</v>
      </c>
      <c r="J2851" t="s">
        <v>3274</v>
      </c>
      <c r="K2851">
        <v>216.2</v>
      </c>
    </row>
    <row r="2852" spans="1:11" x14ac:dyDescent="0.35">
      <c r="A2852" t="s">
        <v>3275</v>
      </c>
      <c r="B2852" s="1">
        <v>0</v>
      </c>
      <c r="C2852" t="s">
        <v>1866</v>
      </c>
      <c r="D2852" t="s">
        <v>5248</v>
      </c>
      <c r="E2852" t="s">
        <v>5276</v>
      </c>
      <c r="F2852" t="s">
        <v>5240</v>
      </c>
      <c r="G2852" t="s">
        <v>5291</v>
      </c>
      <c r="H2852" t="s">
        <v>2696</v>
      </c>
      <c r="J2852" t="s">
        <v>3275</v>
      </c>
      <c r="K2852">
        <v>216.4</v>
      </c>
    </row>
    <row r="2853" spans="1:11" x14ac:dyDescent="0.35">
      <c r="A2853" t="s">
        <v>3276</v>
      </c>
      <c r="B2853" s="1">
        <v>0</v>
      </c>
      <c r="C2853" t="s">
        <v>366</v>
      </c>
      <c r="D2853" t="s">
        <v>5392</v>
      </c>
      <c r="E2853" t="s">
        <v>5243</v>
      </c>
      <c r="F2853" t="s">
        <v>5240</v>
      </c>
      <c r="G2853" t="s">
        <v>5312</v>
      </c>
      <c r="H2853" t="s">
        <v>2353</v>
      </c>
      <c r="J2853" t="s">
        <v>3276</v>
      </c>
      <c r="K2853">
        <v>207.4</v>
      </c>
    </row>
    <row r="2854" spans="1:11" x14ac:dyDescent="0.35">
      <c r="A2854" t="s">
        <v>3277</v>
      </c>
      <c r="B2854" s="1">
        <v>0</v>
      </c>
      <c r="C2854" t="s">
        <v>380</v>
      </c>
      <c r="D2854" t="s">
        <v>5133</v>
      </c>
      <c r="E2854" t="s">
        <v>5236</v>
      </c>
      <c r="F2854" t="s">
        <v>5240</v>
      </c>
      <c r="G2854" t="s">
        <v>5397</v>
      </c>
      <c r="H2854" t="s">
        <v>2510</v>
      </c>
      <c r="J2854" t="s">
        <v>3277</v>
      </c>
      <c r="K2854">
        <v>188.7</v>
      </c>
    </row>
    <row r="2855" spans="1:11" x14ac:dyDescent="0.35">
      <c r="A2855" t="s">
        <v>3278</v>
      </c>
      <c r="B2855" s="1">
        <v>0</v>
      </c>
      <c r="C2855" t="s">
        <v>5499</v>
      </c>
      <c r="D2855" t="s">
        <v>5131</v>
      </c>
      <c r="E2855" t="s">
        <v>5223</v>
      </c>
      <c r="F2855" t="s">
        <v>5050</v>
      </c>
      <c r="G2855" t="s">
        <v>5411</v>
      </c>
      <c r="H2855" t="s">
        <v>886</v>
      </c>
      <c r="J2855" t="s">
        <v>3278</v>
      </c>
      <c r="K2855">
        <v>167.5</v>
      </c>
    </row>
    <row r="2856" spans="1:11" x14ac:dyDescent="0.35">
      <c r="A2856" t="s">
        <v>3279</v>
      </c>
      <c r="B2856" s="1">
        <v>0</v>
      </c>
      <c r="C2856" t="s">
        <v>5536</v>
      </c>
      <c r="D2856" t="s">
        <v>5182</v>
      </c>
      <c r="E2856" t="s">
        <v>5185</v>
      </c>
      <c r="F2856" t="s">
        <v>5050</v>
      </c>
      <c r="G2856" t="s">
        <v>5339</v>
      </c>
      <c r="H2856" t="s">
        <v>565</v>
      </c>
      <c r="J2856" t="s">
        <v>3279</v>
      </c>
      <c r="K2856">
        <v>156.1</v>
      </c>
    </row>
    <row r="2857" spans="1:11" x14ac:dyDescent="0.35">
      <c r="A2857" t="s">
        <v>3280</v>
      </c>
      <c r="B2857" s="1">
        <v>0</v>
      </c>
      <c r="C2857" t="s">
        <v>5609</v>
      </c>
      <c r="D2857" t="s">
        <v>5219</v>
      </c>
      <c r="E2857" t="s">
        <v>5568</v>
      </c>
      <c r="F2857" t="s">
        <v>5050</v>
      </c>
      <c r="G2857" t="s">
        <v>5334</v>
      </c>
      <c r="H2857" t="s">
        <v>1748</v>
      </c>
      <c r="J2857" t="s">
        <v>3280</v>
      </c>
      <c r="K2857">
        <v>158</v>
      </c>
    </row>
    <row r="2858" spans="1:11" x14ac:dyDescent="0.35">
      <c r="A2858" t="s">
        <v>3281</v>
      </c>
      <c r="B2858" s="1">
        <v>0</v>
      </c>
      <c r="C2858" t="s">
        <v>1011</v>
      </c>
      <c r="D2858" t="s">
        <v>5304</v>
      </c>
      <c r="E2858" t="s">
        <v>5301</v>
      </c>
      <c r="F2858" t="s">
        <v>5050</v>
      </c>
      <c r="G2858" t="s">
        <v>5330</v>
      </c>
      <c r="H2858" t="s">
        <v>1168</v>
      </c>
      <c r="J2858" t="s">
        <v>3281</v>
      </c>
      <c r="K2858">
        <v>171.4</v>
      </c>
    </row>
    <row r="2859" spans="1:11" x14ac:dyDescent="0.35">
      <c r="A2859" t="s">
        <v>3282</v>
      </c>
      <c r="B2859" s="1">
        <v>0</v>
      </c>
      <c r="C2859" t="s">
        <v>1915</v>
      </c>
      <c r="D2859" t="s">
        <v>5453</v>
      </c>
      <c r="E2859" t="s">
        <v>5417</v>
      </c>
      <c r="F2859" t="s">
        <v>5050</v>
      </c>
      <c r="G2859" t="s">
        <v>5291</v>
      </c>
      <c r="H2859" t="s">
        <v>1339</v>
      </c>
      <c r="J2859" t="s">
        <v>3282</v>
      </c>
      <c r="K2859">
        <v>184.1</v>
      </c>
    </row>
    <row r="2860" spans="1:11" x14ac:dyDescent="0.35">
      <c r="A2860" t="s">
        <v>3283</v>
      </c>
      <c r="B2860" s="1">
        <v>0</v>
      </c>
      <c r="C2860" t="s">
        <v>1917</v>
      </c>
      <c r="D2860" t="s">
        <v>5157</v>
      </c>
      <c r="E2860" t="s">
        <v>5313</v>
      </c>
      <c r="F2860" t="s">
        <v>5050</v>
      </c>
      <c r="G2860" t="s">
        <v>5321</v>
      </c>
      <c r="H2860" t="s">
        <v>1820</v>
      </c>
      <c r="J2860" t="s">
        <v>3283</v>
      </c>
      <c r="K2860">
        <v>193.7</v>
      </c>
    </row>
    <row r="2861" spans="1:11" x14ac:dyDescent="0.35">
      <c r="A2861" t="s">
        <v>3284</v>
      </c>
      <c r="B2861" s="1">
        <v>0</v>
      </c>
      <c r="C2861" t="s">
        <v>443</v>
      </c>
      <c r="D2861" t="s">
        <v>5458</v>
      </c>
      <c r="E2861" t="s">
        <v>5313</v>
      </c>
      <c r="F2861" t="s">
        <v>5050</v>
      </c>
      <c r="G2861" t="s">
        <v>5224</v>
      </c>
      <c r="H2861" t="s">
        <v>712</v>
      </c>
      <c r="J2861" t="s">
        <v>3284</v>
      </c>
      <c r="K2861">
        <v>190.3</v>
      </c>
    </row>
    <row r="2862" spans="1:11" x14ac:dyDescent="0.35">
      <c r="A2862" t="s">
        <v>3285</v>
      </c>
      <c r="B2862" s="1">
        <v>0</v>
      </c>
      <c r="C2862" t="s">
        <v>425</v>
      </c>
      <c r="D2862" t="s">
        <v>5200</v>
      </c>
      <c r="E2862" t="s">
        <v>5597</v>
      </c>
      <c r="F2862" t="s">
        <v>5050</v>
      </c>
      <c r="G2862" t="s">
        <v>5294</v>
      </c>
      <c r="H2862" t="s">
        <v>49</v>
      </c>
      <c r="J2862" t="s">
        <v>3285</v>
      </c>
      <c r="K2862">
        <v>179.3</v>
      </c>
    </row>
    <row r="2863" spans="1:11" x14ac:dyDescent="0.35">
      <c r="A2863" t="s">
        <v>3286</v>
      </c>
      <c r="B2863" s="1">
        <v>0</v>
      </c>
      <c r="C2863" t="s">
        <v>377</v>
      </c>
      <c r="D2863" t="s">
        <v>5435</v>
      </c>
      <c r="E2863" t="s">
        <v>5417</v>
      </c>
      <c r="F2863" t="s">
        <v>5050</v>
      </c>
      <c r="G2863" t="s">
        <v>5400</v>
      </c>
      <c r="H2863" t="s">
        <v>1594</v>
      </c>
      <c r="J2863" t="s">
        <v>3286</v>
      </c>
      <c r="K2863">
        <v>170.7</v>
      </c>
    </row>
    <row r="2864" spans="1:11" x14ac:dyDescent="0.35">
      <c r="A2864" t="s">
        <v>3287</v>
      </c>
      <c r="B2864" s="1">
        <v>0</v>
      </c>
      <c r="C2864" t="s">
        <v>1874</v>
      </c>
      <c r="D2864" t="s">
        <v>5154</v>
      </c>
      <c r="E2864" t="s">
        <v>5328</v>
      </c>
      <c r="F2864" t="s">
        <v>5077</v>
      </c>
      <c r="G2864" t="s">
        <v>5475</v>
      </c>
      <c r="H2864" t="s">
        <v>82</v>
      </c>
      <c r="J2864" t="s">
        <v>3287</v>
      </c>
      <c r="K2864">
        <v>186.8</v>
      </c>
    </row>
    <row r="2865" spans="1:11" x14ac:dyDescent="0.35">
      <c r="A2865" t="s">
        <v>3288</v>
      </c>
      <c r="B2865" s="1">
        <v>0</v>
      </c>
      <c r="C2865" t="s">
        <v>321</v>
      </c>
      <c r="D2865" t="s">
        <v>5220</v>
      </c>
      <c r="E2865" t="s">
        <v>5055</v>
      </c>
      <c r="F2865" t="s">
        <v>5089</v>
      </c>
      <c r="G2865" t="s">
        <v>5078</v>
      </c>
      <c r="H2865" t="s">
        <v>1685</v>
      </c>
      <c r="J2865" t="s">
        <v>3288</v>
      </c>
      <c r="K2865">
        <v>204.8</v>
      </c>
    </row>
    <row r="2866" spans="1:11" x14ac:dyDescent="0.35">
      <c r="A2866" t="s">
        <v>3289</v>
      </c>
      <c r="B2866" s="1">
        <v>0</v>
      </c>
      <c r="C2866" t="s">
        <v>2882</v>
      </c>
      <c r="D2866" t="s">
        <v>5366</v>
      </c>
      <c r="E2866" t="s">
        <v>5176</v>
      </c>
      <c r="F2866" t="s">
        <v>5089</v>
      </c>
      <c r="G2866" t="s">
        <v>5099</v>
      </c>
      <c r="H2866" t="s">
        <v>1206</v>
      </c>
      <c r="J2866" t="s">
        <v>3289</v>
      </c>
      <c r="K2866">
        <v>220.8</v>
      </c>
    </row>
    <row r="2867" spans="1:11" x14ac:dyDescent="0.35">
      <c r="A2867" t="s">
        <v>3290</v>
      </c>
      <c r="B2867" s="1">
        <v>0</v>
      </c>
      <c r="C2867" t="s">
        <v>463</v>
      </c>
      <c r="D2867" t="s">
        <v>5083</v>
      </c>
      <c r="E2867" t="s">
        <v>5176</v>
      </c>
      <c r="F2867" t="s">
        <v>5089</v>
      </c>
      <c r="G2867" t="s">
        <v>5215</v>
      </c>
      <c r="H2867" t="s">
        <v>659</v>
      </c>
      <c r="J2867" t="s">
        <v>3290</v>
      </c>
      <c r="K2867">
        <v>217.2</v>
      </c>
    </row>
    <row r="2868" spans="1:11" x14ac:dyDescent="0.35">
      <c r="A2868" t="s">
        <v>3291</v>
      </c>
      <c r="B2868" s="1">
        <v>0</v>
      </c>
      <c r="C2868" t="s">
        <v>988</v>
      </c>
      <c r="D2868" t="s">
        <v>5238</v>
      </c>
      <c r="E2868" t="s">
        <v>5234</v>
      </c>
      <c r="F2868" t="s">
        <v>5089</v>
      </c>
      <c r="G2868" t="s">
        <v>5183</v>
      </c>
      <c r="H2868" t="s">
        <v>1654</v>
      </c>
      <c r="J2868" t="s">
        <v>3291</v>
      </c>
      <c r="K2868">
        <v>209.6</v>
      </c>
    </row>
    <row r="2869" spans="1:11" x14ac:dyDescent="0.35">
      <c r="A2869" t="s">
        <v>3292</v>
      </c>
      <c r="B2869" s="1">
        <v>0</v>
      </c>
      <c r="C2869" t="s">
        <v>1917</v>
      </c>
      <c r="D2869" t="s">
        <v>5279</v>
      </c>
      <c r="E2869" t="s">
        <v>5237</v>
      </c>
      <c r="F2869" t="s">
        <v>5089</v>
      </c>
      <c r="G2869" t="s">
        <v>5475</v>
      </c>
      <c r="H2869" t="s">
        <v>656</v>
      </c>
      <c r="J2869" t="s">
        <v>3292</v>
      </c>
      <c r="K2869">
        <v>207.3</v>
      </c>
    </row>
    <row r="2870" spans="1:11" x14ac:dyDescent="0.35">
      <c r="A2870" t="s">
        <v>3293</v>
      </c>
      <c r="B2870" s="1">
        <v>0</v>
      </c>
      <c r="C2870" t="s">
        <v>346</v>
      </c>
      <c r="D2870" t="s">
        <v>5486</v>
      </c>
      <c r="E2870" t="s">
        <v>5167</v>
      </c>
      <c r="F2870" t="s">
        <v>5089</v>
      </c>
      <c r="G2870" t="s">
        <v>5183</v>
      </c>
      <c r="H2870" t="s">
        <v>234</v>
      </c>
      <c r="J2870" t="s">
        <v>3293</v>
      </c>
      <c r="K2870">
        <v>210.5</v>
      </c>
    </row>
    <row r="2871" spans="1:11" x14ac:dyDescent="0.35">
      <c r="A2871" t="s">
        <v>3294</v>
      </c>
      <c r="B2871" s="1">
        <v>0</v>
      </c>
      <c r="C2871" t="s">
        <v>351</v>
      </c>
      <c r="D2871" t="s">
        <v>5387</v>
      </c>
      <c r="E2871" t="s">
        <v>5210</v>
      </c>
      <c r="F2871" t="s">
        <v>5077</v>
      </c>
      <c r="G2871" t="s">
        <v>5078</v>
      </c>
      <c r="H2871" t="s">
        <v>2008</v>
      </c>
      <c r="J2871" t="s">
        <v>3294</v>
      </c>
      <c r="K2871">
        <v>212.3</v>
      </c>
    </row>
    <row r="2872" spans="1:11" x14ac:dyDescent="0.35">
      <c r="A2872" t="s">
        <v>3295</v>
      </c>
      <c r="B2872" s="1">
        <v>0</v>
      </c>
      <c r="C2872" t="s">
        <v>477</v>
      </c>
      <c r="D2872" t="s">
        <v>5119</v>
      </c>
      <c r="E2872" t="s">
        <v>5071</v>
      </c>
      <c r="F2872" t="s">
        <v>5077</v>
      </c>
      <c r="G2872" t="s">
        <v>5215</v>
      </c>
      <c r="H2872" t="s">
        <v>4052</v>
      </c>
      <c r="J2872" t="s">
        <v>3295</v>
      </c>
      <c r="K2872">
        <v>211.1</v>
      </c>
    </row>
    <row r="2873" spans="1:11" x14ac:dyDescent="0.35">
      <c r="A2873" t="s">
        <v>3296</v>
      </c>
      <c r="B2873" s="1">
        <v>0</v>
      </c>
      <c r="C2873" t="s">
        <v>4381</v>
      </c>
      <c r="D2873" t="s">
        <v>5101</v>
      </c>
      <c r="E2873" t="s">
        <v>5076</v>
      </c>
      <c r="F2873" t="s">
        <v>5077</v>
      </c>
      <c r="G2873" t="s">
        <v>5078</v>
      </c>
      <c r="H2873" t="s">
        <v>3135</v>
      </c>
      <c r="J2873" t="s">
        <v>3296</v>
      </c>
      <c r="K2873">
        <v>204.5</v>
      </c>
    </row>
    <row r="2874" spans="1:11" x14ac:dyDescent="0.35">
      <c r="A2874" t="s">
        <v>3297</v>
      </c>
      <c r="B2874" s="1">
        <v>0</v>
      </c>
      <c r="C2874" t="s">
        <v>452</v>
      </c>
      <c r="D2874" t="s">
        <v>5193</v>
      </c>
      <c r="E2874" t="s">
        <v>5223</v>
      </c>
      <c r="F2874" t="s">
        <v>5077</v>
      </c>
      <c r="G2874" t="s">
        <v>5475</v>
      </c>
      <c r="H2874" t="s">
        <v>1183</v>
      </c>
      <c r="J2874" t="s">
        <v>3297</v>
      </c>
      <c r="K2874">
        <v>198.2</v>
      </c>
    </row>
    <row r="2875" spans="1:11" x14ac:dyDescent="0.35">
      <c r="A2875" t="s">
        <v>3298</v>
      </c>
      <c r="B2875" s="1">
        <v>0</v>
      </c>
      <c r="C2875" t="s">
        <v>413</v>
      </c>
      <c r="D2875" t="s">
        <v>5190</v>
      </c>
      <c r="E2875" t="s">
        <v>5070</v>
      </c>
      <c r="F2875" t="s">
        <v>5077</v>
      </c>
      <c r="G2875" t="s">
        <v>5065</v>
      </c>
      <c r="H2875" t="s">
        <v>1318</v>
      </c>
      <c r="J2875" t="s">
        <v>3298</v>
      </c>
      <c r="K2875">
        <v>191.3</v>
      </c>
    </row>
    <row r="2876" spans="1:11" x14ac:dyDescent="0.35">
      <c r="A2876" t="s">
        <v>3299</v>
      </c>
      <c r="B2876" s="1">
        <v>0</v>
      </c>
      <c r="C2876" t="s">
        <v>2237</v>
      </c>
      <c r="D2876" t="s">
        <v>5508</v>
      </c>
      <c r="E2876" t="s">
        <v>5181</v>
      </c>
      <c r="F2876" t="s">
        <v>5077</v>
      </c>
      <c r="G2876" t="s">
        <v>5062</v>
      </c>
      <c r="H2876" t="s">
        <v>3563</v>
      </c>
      <c r="J2876" t="s">
        <v>3299</v>
      </c>
      <c r="K2876">
        <v>185.5</v>
      </c>
    </row>
    <row r="2877" spans="1:11" x14ac:dyDescent="0.35">
      <c r="A2877" t="s">
        <v>3300</v>
      </c>
      <c r="B2877" s="1">
        <v>0</v>
      </c>
      <c r="C2877" t="s">
        <v>1054</v>
      </c>
      <c r="D2877" t="s">
        <v>5245</v>
      </c>
      <c r="E2877" t="s">
        <v>5061</v>
      </c>
      <c r="F2877" t="s">
        <v>5077</v>
      </c>
      <c r="G2877" t="s">
        <v>5078</v>
      </c>
      <c r="H2877" t="s">
        <v>1727</v>
      </c>
      <c r="J2877" t="s">
        <v>3300</v>
      </c>
      <c r="K2877">
        <v>190.2</v>
      </c>
    </row>
    <row r="2878" spans="1:11" x14ac:dyDescent="0.35">
      <c r="A2878" t="s">
        <v>3301</v>
      </c>
      <c r="B2878" s="1">
        <v>0</v>
      </c>
      <c r="C2878" t="s">
        <v>323</v>
      </c>
      <c r="D2878" t="s">
        <v>5206</v>
      </c>
      <c r="E2878" t="s">
        <v>5310</v>
      </c>
      <c r="F2878" t="s">
        <v>5077</v>
      </c>
      <c r="G2878" t="s">
        <v>5116</v>
      </c>
      <c r="H2878" t="s">
        <v>2723</v>
      </c>
      <c r="J2878" t="s">
        <v>3301</v>
      </c>
      <c r="K2878">
        <v>207.9</v>
      </c>
    </row>
    <row r="2879" spans="1:11" x14ac:dyDescent="0.35">
      <c r="A2879" t="s">
        <v>3302</v>
      </c>
      <c r="B2879" s="1">
        <v>0</v>
      </c>
      <c r="C2879" t="s">
        <v>3214</v>
      </c>
      <c r="D2879" t="s">
        <v>5278</v>
      </c>
      <c r="E2879" t="s">
        <v>5160</v>
      </c>
      <c r="F2879" t="s">
        <v>5089</v>
      </c>
      <c r="G2879" t="s">
        <v>5132</v>
      </c>
      <c r="H2879" t="s">
        <v>2047</v>
      </c>
      <c r="J2879" t="s">
        <v>3302</v>
      </c>
      <c r="K2879">
        <v>234.9</v>
      </c>
    </row>
    <row r="2880" spans="1:11" x14ac:dyDescent="0.35">
      <c r="A2880" t="s">
        <v>3303</v>
      </c>
      <c r="B2880" s="1">
        <v>0</v>
      </c>
      <c r="C2880" t="s">
        <v>313</v>
      </c>
      <c r="D2880" t="s">
        <v>5609</v>
      </c>
      <c r="E2880" t="s">
        <v>5243</v>
      </c>
      <c r="F2880" t="s">
        <v>5089</v>
      </c>
      <c r="G2880" t="s">
        <v>5493</v>
      </c>
      <c r="H2880" t="s">
        <v>5795</v>
      </c>
      <c r="J2880" t="s">
        <v>3303</v>
      </c>
      <c r="K2880">
        <v>250.8</v>
      </c>
    </row>
    <row r="2881" spans="1:11" x14ac:dyDescent="0.35">
      <c r="A2881" t="s">
        <v>3304</v>
      </c>
      <c r="B2881" s="1">
        <v>0</v>
      </c>
      <c r="C2881" t="s">
        <v>3808</v>
      </c>
      <c r="D2881" t="s">
        <v>5455</v>
      </c>
      <c r="E2881" t="s">
        <v>5257</v>
      </c>
      <c r="F2881" t="s">
        <v>5089</v>
      </c>
      <c r="G2881" t="s">
        <v>5358</v>
      </c>
      <c r="H2881" t="s">
        <v>3933</v>
      </c>
      <c r="J2881" t="s">
        <v>3304</v>
      </c>
      <c r="K2881">
        <v>244.2</v>
      </c>
    </row>
    <row r="2882" spans="1:11" x14ac:dyDescent="0.35">
      <c r="A2882" t="s">
        <v>3305</v>
      </c>
      <c r="B2882" s="1">
        <v>0</v>
      </c>
      <c r="C2882" t="s">
        <v>2264</v>
      </c>
      <c r="D2882" t="s">
        <v>5275</v>
      </c>
      <c r="E2882" t="s">
        <v>5208</v>
      </c>
      <c r="F2882" t="s">
        <v>5089</v>
      </c>
      <c r="G2882" t="s">
        <v>5116</v>
      </c>
      <c r="H2882" t="s">
        <v>741</v>
      </c>
      <c r="J2882" t="s">
        <v>3305</v>
      </c>
      <c r="K2882">
        <v>226.1</v>
      </c>
    </row>
    <row r="2883" spans="1:11" x14ac:dyDescent="0.35">
      <c r="A2883" t="s">
        <v>3306</v>
      </c>
      <c r="B2883" s="1">
        <v>0</v>
      </c>
      <c r="C2883" t="s">
        <v>1867</v>
      </c>
      <c r="D2883" t="s">
        <v>5591</v>
      </c>
      <c r="E2883" t="s">
        <v>5236</v>
      </c>
      <c r="F2883" t="s">
        <v>5089</v>
      </c>
      <c r="G2883" t="s">
        <v>5099</v>
      </c>
      <c r="H2883" t="s">
        <v>5266</v>
      </c>
      <c r="J2883" t="s">
        <v>3306</v>
      </c>
      <c r="K2883">
        <v>218</v>
      </c>
    </row>
    <row r="2884" spans="1:11" x14ac:dyDescent="0.35">
      <c r="A2884" t="s">
        <v>3307</v>
      </c>
      <c r="B2884" s="1">
        <v>0</v>
      </c>
      <c r="C2884" t="s">
        <v>1476</v>
      </c>
      <c r="D2884" t="s">
        <v>5521</v>
      </c>
      <c r="E2884" t="s">
        <v>5081</v>
      </c>
      <c r="F2884" t="s">
        <v>5089</v>
      </c>
      <c r="G2884" t="s">
        <v>5095</v>
      </c>
      <c r="H2884" t="s">
        <v>1308</v>
      </c>
      <c r="J2884" t="s">
        <v>3307</v>
      </c>
      <c r="K2884">
        <v>232.1</v>
      </c>
    </row>
    <row r="2885" spans="1:11" x14ac:dyDescent="0.35">
      <c r="A2885" t="s">
        <v>3308</v>
      </c>
      <c r="B2885" s="1">
        <v>0</v>
      </c>
      <c r="C2885" t="s">
        <v>118</v>
      </c>
      <c r="D2885" t="s">
        <v>5593</v>
      </c>
      <c r="E2885" t="s">
        <v>5085</v>
      </c>
      <c r="F2885" t="s">
        <v>5089</v>
      </c>
      <c r="G2885" t="s">
        <v>5045</v>
      </c>
      <c r="H2885" t="s">
        <v>5733</v>
      </c>
      <c r="J2885" t="s">
        <v>3308</v>
      </c>
      <c r="K2885">
        <v>253.1</v>
      </c>
    </row>
    <row r="2886" spans="1:11" x14ac:dyDescent="0.35">
      <c r="A2886" t="s">
        <v>3309</v>
      </c>
      <c r="B2886" s="1">
        <v>0</v>
      </c>
      <c r="C2886" t="s">
        <v>1458</v>
      </c>
      <c r="D2886" t="s">
        <v>5586</v>
      </c>
      <c r="E2886" t="s">
        <v>5441</v>
      </c>
      <c r="F2886" t="s">
        <v>5358</v>
      </c>
      <c r="G2886" t="s">
        <v>5089</v>
      </c>
      <c r="H2886" t="s">
        <v>3921</v>
      </c>
      <c r="J2886" t="s">
        <v>3309</v>
      </c>
      <c r="K2886">
        <v>259.8</v>
      </c>
    </row>
    <row r="2887" spans="1:11" x14ac:dyDescent="0.35">
      <c r="A2887" t="s">
        <v>3310</v>
      </c>
      <c r="B2887" s="1">
        <v>0</v>
      </c>
      <c r="C2887" t="s">
        <v>2561</v>
      </c>
      <c r="D2887" t="s">
        <v>5260</v>
      </c>
      <c r="E2887" t="s">
        <v>5074</v>
      </c>
      <c r="F2887" t="s">
        <v>5089</v>
      </c>
      <c r="G2887" t="s">
        <v>5089</v>
      </c>
      <c r="H2887" t="s">
        <v>2108</v>
      </c>
      <c r="J2887" t="s">
        <v>3310</v>
      </c>
      <c r="K2887">
        <v>248.7</v>
      </c>
    </row>
    <row r="2888" spans="1:11" x14ac:dyDescent="0.35">
      <c r="A2888" t="s">
        <v>3311</v>
      </c>
      <c r="B2888" s="1">
        <v>0</v>
      </c>
      <c r="C2888" t="s">
        <v>471</v>
      </c>
      <c r="D2888" t="s">
        <v>5582</v>
      </c>
      <c r="E2888" t="s">
        <v>5270</v>
      </c>
      <c r="F2888" t="s">
        <v>5089</v>
      </c>
      <c r="G2888" t="s">
        <v>5077</v>
      </c>
      <c r="H2888" t="s">
        <v>1308</v>
      </c>
      <c r="J2888" t="s">
        <v>3311</v>
      </c>
      <c r="K2888">
        <v>232.1</v>
      </c>
    </row>
    <row r="2889" spans="1:11" x14ac:dyDescent="0.35">
      <c r="A2889" t="s">
        <v>3312</v>
      </c>
      <c r="B2889" s="1">
        <v>0</v>
      </c>
      <c r="C2889" t="s">
        <v>2566</v>
      </c>
      <c r="D2889" t="s">
        <v>5122</v>
      </c>
      <c r="E2889" t="s">
        <v>5162</v>
      </c>
      <c r="F2889" t="s">
        <v>5089</v>
      </c>
      <c r="G2889" t="s">
        <v>5089</v>
      </c>
      <c r="H2889" t="s">
        <v>1717</v>
      </c>
      <c r="J2889" t="s">
        <v>3312</v>
      </c>
      <c r="K2889">
        <v>221</v>
      </c>
    </row>
    <row r="2890" spans="1:11" x14ac:dyDescent="0.35">
      <c r="A2890" t="s">
        <v>3313</v>
      </c>
      <c r="B2890" s="1">
        <v>0</v>
      </c>
      <c r="C2890" t="s">
        <v>1484</v>
      </c>
      <c r="D2890" t="s">
        <v>5091</v>
      </c>
      <c r="E2890" t="s">
        <v>5066</v>
      </c>
      <c r="F2890" t="s">
        <v>5077</v>
      </c>
      <c r="G2890" t="s">
        <v>5089</v>
      </c>
      <c r="H2890" t="s">
        <v>5028</v>
      </c>
      <c r="J2890" t="s">
        <v>3313</v>
      </c>
      <c r="K2890">
        <v>215.7</v>
      </c>
    </row>
    <row r="2891" spans="1:11" x14ac:dyDescent="0.35">
      <c r="A2891" t="s">
        <v>3314</v>
      </c>
      <c r="B2891" s="1">
        <v>0</v>
      </c>
      <c r="C2891" t="s">
        <v>1484</v>
      </c>
      <c r="D2891" t="s">
        <v>5476</v>
      </c>
      <c r="E2891" t="s">
        <v>5162</v>
      </c>
      <c r="F2891" t="s">
        <v>5077</v>
      </c>
      <c r="G2891" t="s">
        <v>5089</v>
      </c>
      <c r="H2891" t="s">
        <v>767</v>
      </c>
      <c r="J2891" t="s">
        <v>3314</v>
      </c>
      <c r="K2891">
        <v>217.3</v>
      </c>
    </row>
    <row r="2892" spans="1:11" x14ac:dyDescent="0.35">
      <c r="A2892" t="s">
        <v>3315</v>
      </c>
      <c r="B2892" s="1">
        <v>0</v>
      </c>
      <c r="C2892" t="s">
        <v>1532</v>
      </c>
      <c r="D2892" t="s">
        <v>5126</v>
      </c>
      <c r="E2892" t="s">
        <v>5257</v>
      </c>
      <c r="F2892" t="s">
        <v>5089</v>
      </c>
      <c r="G2892" t="s">
        <v>5089</v>
      </c>
      <c r="H2892" t="s">
        <v>3640</v>
      </c>
      <c r="J2892" t="s">
        <v>3315</v>
      </c>
      <c r="K2892">
        <v>223.7</v>
      </c>
    </row>
    <row r="2893" spans="1:11" x14ac:dyDescent="0.35">
      <c r="A2893" t="s">
        <v>3316</v>
      </c>
      <c r="B2893" s="1">
        <v>0</v>
      </c>
      <c r="C2893" t="s">
        <v>3219</v>
      </c>
      <c r="D2893" t="s">
        <v>5602</v>
      </c>
      <c r="E2893" t="s">
        <v>5096</v>
      </c>
      <c r="F2893" t="s">
        <v>5089</v>
      </c>
      <c r="G2893" t="s">
        <v>5077</v>
      </c>
      <c r="H2893" t="s">
        <v>3603</v>
      </c>
      <c r="J2893" t="s">
        <v>3316</v>
      </c>
      <c r="K2893">
        <v>233.5</v>
      </c>
    </row>
    <row r="2894" spans="1:11" x14ac:dyDescent="0.35">
      <c r="A2894" t="s">
        <v>3317</v>
      </c>
      <c r="B2894" s="1">
        <v>0</v>
      </c>
      <c r="C2894" t="s">
        <v>2227</v>
      </c>
      <c r="D2894" t="s">
        <v>5455</v>
      </c>
      <c r="E2894" t="s">
        <v>5471</v>
      </c>
      <c r="F2894" t="s">
        <v>5338</v>
      </c>
      <c r="G2894" t="s">
        <v>5341</v>
      </c>
      <c r="H2894" t="s">
        <v>5796</v>
      </c>
      <c r="J2894" t="s">
        <v>3317</v>
      </c>
      <c r="K2894">
        <v>253.8</v>
      </c>
    </row>
    <row r="2895" spans="1:11" x14ac:dyDescent="0.35">
      <c r="A2895" t="s">
        <v>3320</v>
      </c>
      <c r="B2895" s="1">
        <v>0</v>
      </c>
      <c r="C2895" t="s">
        <v>2225</v>
      </c>
      <c r="D2895" t="s">
        <v>5504</v>
      </c>
      <c r="E2895" t="s">
        <v>5456</v>
      </c>
      <c r="F2895" t="s">
        <v>5338</v>
      </c>
      <c r="G2895" t="s">
        <v>5333</v>
      </c>
      <c r="H2895" t="s">
        <v>5797</v>
      </c>
      <c r="J2895" t="s">
        <v>3320</v>
      </c>
      <c r="K2895">
        <v>256.5</v>
      </c>
    </row>
    <row r="2896" spans="1:11" x14ac:dyDescent="0.35">
      <c r="A2896" t="s">
        <v>3323</v>
      </c>
      <c r="B2896" s="1">
        <v>0</v>
      </c>
      <c r="C2896" t="s">
        <v>5659</v>
      </c>
      <c r="D2896" t="s">
        <v>5130</v>
      </c>
      <c r="E2896" t="s">
        <v>5203</v>
      </c>
      <c r="F2896" t="s">
        <v>5338</v>
      </c>
      <c r="G2896" t="s">
        <v>5332</v>
      </c>
      <c r="H2896" t="s">
        <v>2092</v>
      </c>
      <c r="J2896" t="s">
        <v>3323</v>
      </c>
      <c r="K2896">
        <v>246.1</v>
      </c>
    </row>
    <row r="2897" spans="1:11" x14ac:dyDescent="0.35">
      <c r="A2897" t="s">
        <v>3324</v>
      </c>
      <c r="B2897" s="1">
        <v>0</v>
      </c>
      <c r="C2897" t="s">
        <v>2883</v>
      </c>
      <c r="D2897" t="s">
        <v>5128</v>
      </c>
      <c r="E2897" t="s">
        <v>5435</v>
      </c>
      <c r="F2897" t="s">
        <v>5338</v>
      </c>
      <c r="G2897" t="s">
        <v>5355</v>
      </c>
      <c r="H2897" t="s">
        <v>1242</v>
      </c>
      <c r="J2897" t="s">
        <v>3324</v>
      </c>
      <c r="K2897">
        <v>236</v>
      </c>
    </row>
    <row r="2898" spans="1:11" x14ac:dyDescent="0.35">
      <c r="A2898" t="s">
        <v>3326</v>
      </c>
      <c r="B2898" s="1">
        <v>0</v>
      </c>
      <c r="C2898" t="s">
        <v>2264</v>
      </c>
      <c r="D2898" t="s">
        <v>5495</v>
      </c>
      <c r="E2898" t="s">
        <v>5096</v>
      </c>
      <c r="F2898" t="s">
        <v>5338</v>
      </c>
      <c r="G2898" t="s">
        <v>5493</v>
      </c>
      <c r="H2898" t="s">
        <v>3941</v>
      </c>
      <c r="J2898" t="s">
        <v>3326</v>
      </c>
      <c r="K2898">
        <v>231.3</v>
      </c>
    </row>
    <row r="2899" spans="1:11" x14ac:dyDescent="0.35">
      <c r="A2899" t="s">
        <v>3328</v>
      </c>
      <c r="B2899" s="1">
        <v>0</v>
      </c>
      <c r="C2899" t="s">
        <v>987</v>
      </c>
      <c r="D2899" t="s">
        <v>5523</v>
      </c>
      <c r="E2899" t="s">
        <v>5213</v>
      </c>
      <c r="F2899" t="s">
        <v>5338</v>
      </c>
      <c r="G2899" t="s">
        <v>5136</v>
      </c>
      <c r="H2899" t="s">
        <v>4795</v>
      </c>
      <c r="J2899" t="s">
        <v>3328</v>
      </c>
      <c r="K2899">
        <v>230.7</v>
      </c>
    </row>
    <row r="2900" spans="1:11" x14ac:dyDescent="0.35">
      <c r="A2900" t="s">
        <v>3329</v>
      </c>
      <c r="B2900" s="1">
        <v>0</v>
      </c>
      <c r="C2900" t="s">
        <v>1867</v>
      </c>
      <c r="D2900" t="s">
        <v>5630</v>
      </c>
      <c r="E2900" t="s">
        <v>5276</v>
      </c>
      <c r="F2900" t="s">
        <v>5152</v>
      </c>
      <c r="G2900" t="s">
        <v>5132</v>
      </c>
      <c r="H2900" t="s">
        <v>4055</v>
      </c>
      <c r="J2900" t="s">
        <v>3329</v>
      </c>
      <c r="K2900">
        <v>223.6</v>
      </c>
    </row>
    <row r="2901" spans="1:11" x14ac:dyDescent="0.35">
      <c r="A2901" t="s">
        <v>3330</v>
      </c>
      <c r="B2901" s="1">
        <v>0</v>
      </c>
      <c r="C2901" t="s">
        <v>984</v>
      </c>
      <c r="D2901" t="s">
        <v>5577</v>
      </c>
      <c r="E2901" t="s">
        <v>5182</v>
      </c>
      <c r="F2901" t="s">
        <v>5152</v>
      </c>
      <c r="G2901" t="s">
        <v>5089</v>
      </c>
      <c r="H2901" t="s">
        <v>2097</v>
      </c>
      <c r="J2901" t="s">
        <v>3330</v>
      </c>
      <c r="K2901">
        <v>219.1</v>
      </c>
    </row>
    <row r="2902" spans="1:11" x14ac:dyDescent="0.35">
      <c r="A2902" t="s">
        <v>3331</v>
      </c>
      <c r="B2902" s="1">
        <v>0</v>
      </c>
      <c r="C2902" t="s">
        <v>334</v>
      </c>
      <c r="D2902" t="s">
        <v>5138</v>
      </c>
      <c r="E2902" t="s">
        <v>5304</v>
      </c>
      <c r="F2902" t="s">
        <v>5152</v>
      </c>
      <c r="G2902" t="s">
        <v>5132</v>
      </c>
      <c r="H2902" t="s">
        <v>3017</v>
      </c>
      <c r="J2902" t="s">
        <v>3331</v>
      </c>
      <c r="K2902">
        <v>221.3</v>
      </c>
    </row>
    <row r="2903" spans="1:11" x14ac:dyDescent="0.35">
      <c r="A2903" t="s">
        <v>3332</v>
      </c>
      <c r="B2903" s="1">
        <v>0</v>
      </c>
      <c r="C2903" t="s">
        <v>985</v>
      </c>
      <c r="D2903" t="s">
        <v>5392</v>
      </c>
      <c r="E2903" t="s">
        <v>5208</v>
      </c>
      <c r="F2903" t="s">
        <v>5338</v>
      </c>
      <c r="G2903" t="s">
        <v>5356</v>
      </c>
      <c r="H2903" t="s">
        <v>1305</v>
      </c>
      <c r="J2903" t="s">
        <v>3332</v>
      </c>
      <c r="K2903">
        <v>220.3</v>
      </c>
    </row>
    <row r="2904" spans="1:11" x14ac:dyDescent="0.35">
      <c r="A2904" t="s">
        <v>3333</v>
      </c>
      <c r="B2904" s="1">
        <v>0</v>
      </c>
      <c r="C2904" t="s">
        <v>338</v>
      </c>
      <c r="D2904" t="s">
        <v>5193</v>
      </c>
      <c r="E2904" t="s">
        <v>5071</v>
      </c>
      <c r="F2904" t="s">
        <v>5338</v>
      </c>
      <c r="G2904" t="s">
        <v>5356</v>
      </c>
      <c r="H2904" t="s">
        <v>2346</v>
      </c>
      <c r="J2904" t="s">
        <v>3333</v>
      </c>
      <c r="K2904">
        <v>213.9</v>
      </c>
    </row>
    <row r="2905" spans="1:11" x14ac:dyDescent="0.35">
      <c r="A2905" t="s">
        <v>3334</v>
      </c>
      <c r="B2905" s="1">
        <v>0</v>
      </c>
      <c r="C2905" t="s">
        <v>340</v>
      </c>
      <c r="D2905" t="s">
        <v>5447</v>
      </c>
      <c r="E2905" t="s">
        <v>5434</v>
      </c>
      <c r="F2905" t="s">
        <v>5338</v>
      </c>
      <c r="G2905" t="s">
        <v>5356</v>
      </c>
      <c r="H2905" t="s">
        <v>2345</v>
      </c>
      <c r="J2905" t="s">
        <v>3334</v>
      </c>
      <c r="K2905">
        <v>214</v>
      </c>
    </row>
    <row r="2906" spans="1:11" x14ac:dyDescent="0.35">
      <c r="A2906" t="s">
        <v>3337</v>
      </c>
      <c r="B2906" s="1">
        <v>0</v>
      </c>
      <c r="C2906" t="s">
        <v>463</v>
      </c>
      <c r="D2906" t="s">
        <v>5393</v>
      </c>
      <c r="E2906" t="s">
        <v>5272</v>
      </c>
      <c r="F2906" t="s">
        <v>5338</v>
      </c>
      <c r="G2906" t="s">
        <v>5355</v>
      </c>
      <c r="H2906" t="s">
        <v>211</v>
      </c>
      <c r="J2906" t="s">
        <v>3337</v>
      </c>
      <c r="K2906">
        <v>225.3</v>
      </c>
    </row>
    <row r="2907" spans="1:11" x14ac:dyDescent="0.35">
      <c r="A2907" t="s">
        <v>3338</v>
      </c>
      <c r="B2907" s="1">
        <v>0</v>
      </c>
      <c r="C2907" t="s">
        <v>4902</v>
      </c>
      <c r="D2907" t="s">
        <v>5104</v>
      </c>
      <c r="E2907" t="s">
        <v>5069</v>
      </c>
      <c r="F2907" t="s">
        <v>5338</v>
      </c>
      <c r="G2907" t="s">
        <v>5501</v>
      </c>
      <c r="H2907" t="s">
        <v>3950</v>
      </c>
      <c r="J2907" t="s">
        <v>3338</v>
      </c>
      <c r="K2907">
        <v>235.9</v>
      </c>
    </row>
    <row r="2908" spans="1:11" x14ac:dyDescent="0.35">
      <c r="A2908" t="s">
        <v>3339</v>
      </c>
      <c r="B2908" s="1">
        <v>0</v>
      </c>
      <c r="C2908" t="s">
        <v>4116</v>
      </c>
      <c r="D2908" t="s">
        <v>5554</v>
      </c>
      <c r="E2908" t="s">
        <v>5448</v>
      </c>
      <c r="F2908" t="s">
        <v>5338</v>
      </c>
      <c r="G2908" t="s">
        <v>5501</v>
      </c>
      <c r="H2908" t="s">
        <v>3602</v>
      </c>
      <c r="J2908" t="s">
        <v>3339</v>
      </c>
      <c r="K2908">
        <v>233.4</v>
      </c>
    </row>
    <row r="2909" spans="1:11" x14ac:dyDescent="0.35">
      <c r="A2909" t="s">
        <v>3340</v>
      </c>
      <c r="B2909" s="1">
        <v>0</v>
      </c>
      <c r="C2909" t="s">
        <v>2267</v>
      </c>
      <c r="D2909" t="s">
        <v>5392</v>
      </c>
      <c r="E2909" t="s">
        <v>5182</v>
      </c>
      <c r="F2909" t="s">
        <v>5338</v>
      </c>
      <c r="G2909" t="s">
        <v>5355</v>
      </c>
      <c r="H2909" t="s">
        <v>769</v>
      </c>
      <c r="J2909" t="s">
        <v>3340</v>
      </c>
      <c r="K2909">
        <v>222.2</v>
      </c>
    </row>
    <row r="2910" spans="1:11" x14ac:dyDescent="0.35">
      <c r="A2910" t="s">
        <v>3342</v>
      </c>
      <c r="B2910" s="1">
        <v>0</v>
      </c>
      <c r="C2910" t="s">
        <v>1484</v>
      </c>
      <c r="D2910" t="s">
        <v>5193</v>
      </c>
      <c r="E2910" t="s">
        <v>5178</v>
      </c>
      <c r="F2910" t="s">
        <v>5152</v>
      </c>
      <c r="G2910" t="s">
        <v>5356</v>
      </c>
      <c r="H2910" t="s">
        <v>2083</v>
      </c>
      <c r="J2910" t="s">
        <v>3342</v>
      </c>
      <c r="K2910">
        <v>213</v>
      </c>
    </row>
    <row r="2911" spans="1:11" x14ac:dyDescent="0.35">
      <c r="A2911" t="s">
        <v>3343</v>
      </c>
      <c r="B2911" s="1">
        <v>0</v>
      </c>
      <c r="C2911" t="s">
        <v>367</v>
      </c>
      <c r="D2911" t="s">
        <v>5225</v>
      </c>
      <c r="E2911" t="s">
        <v>5434</v>
      </c>
      <c r="F2911" t="s">
        <v>5152</v>
      </c>
      <c r="G2911" t="s">
        <v>5132</v>
      </c>
      <c r="H2911" t="s">
        <v>1298</v>
      </c>
      <c r="J2911" t="s">
        <v>3343</v>
      </c>
      <c r="K2911">
        <v>210.7</v>
      </c>
    </row>
    <row r="2912" spans="1:11" x14ac:dyDescent="0.35">
      <c r="A2912" t="s">
        <v>3344</v>
      </c>
      <c r="B2912" s="1">
        <v>0</v>
      </c>
      <c r="C2912" t="s">
        <v>347</v>
      </c>
      <c r="D2912" t="s">
        <v>5374</v>
      </c>
      <c r="E2912" t="s">
        <v>5208</v>
      </c>
      <c r="F2912" t="s">
        <v>5338</v>
      </c>
      <c r="G2912" t="s">
        <v>5136</v>
      </c>
      <c r="H2912" t="s">
        <v>4984</v>
      </c>
      <c r="J2912" t="s">
        <v>3344</v>
      </c>
      <c r="K2912">
        <v>216.9</v>
      </c>
    </row>
    <row r="2913" spans="1:11" x14ac:dyDescent="0.35">
      <c r="A2913" t="s">
        <v>3345</v>
      </c>
      <c r="B2913" s="1">
        <v>0</v>
      </c>
      <c r="C2913" t="s">
        <v>2265</v>
      </c>
      <c r="D2913" t="s">
        <v>5080</v>
      </c>
      <c r="E2913" t="s">
        <v>5272</v>
      </c>
      <c r="F2913" t="s">
        <v>5338</v>
      </c>
      <c r="G2913" t="s">
        <v>5355</v>
      </c>
      <c r="H2913" t="s">
        <v>2476</v>
      </c>
      <c r="J2913" t="s">
        <v>3345</v>
      </c>
      <c r="K2913">
        <v>225.7</v>
      </c>
    </row>
    <row r="2914" spans="1:11" x14ac:dyDescent="0.35">
      <c r="A2914" t="s">
        <v>3346</v>
      </c>
      <c r="B2914" s="1">
        <v>0</v>
      </c>
      <c r="C2914" t="s">
        <v>3217</v>
      </c>
      <c r="D2914" t="s">
        <v>5271</v>
      </c>
      <c r="E2914" t="s">
        <v>5072</v>
      </c>
      <c r="F2914" t="s">
        <v>5338</v>
      </c>
      <c r="G2914" t="s">
        <v>5501</v>
      </c>
      <c r="H2914" t="s">
        <v>3637</v>
      </c>
      <c r="J2914" t="s">
        <v>3346</v>
      </c>
      <c r="K2914">
        <v>239.2</v>
      </c>
    </row>
    <row r="2915" spans="1:11" x14ac:dyDescent="0.35">
      <c r="A2915" t="s">
        <v>3348</v>
      </c>
      <c r="B2915" s="1">
        <v>0</v>
      </c>
      <c r="C2915" t="s">
        <v>3803</v>
      </c>
      <c r="D2915" t="s">
        <v>5274</v>
      </c>
      <c r="E2915" t="s">
        <v>5145</v>
      </c>
      <c r="F2915" t="s">
        <v>5338</v>
      </c>
      <c r="G2915" t="s">
        <v>5501</v>
      </c>
      <c r="H2915" t="s">
        <v>3578</v>
      </c>
      <c r="J2915" t="s">
        <v>3348</v>
      </c>
      <c r="K2915">
        <v>247.9</v>
      </c>
    </row>
    <row r="2916" spans="1:11" x14ac:dyDescent="0.35">
      <c r="A2916" t="s">
        <v>3349</v>
      </c>
      <c r="B2916" s="1">
        <v>0</v>
      </c>
      <c r="C2916" t="s">
        <v>971</v>
      </c>
      <c r="D2916" t="s">
        <v>5504</v>
      </c>
      <c r="E2916" t="s">
        <v>5157</v>
      </c>
      <c r="F2916" t="s">
        <v>5338</v>
      </c>
      <c r="G2916" t="s">
        <v>5501</v>
      </c>
      <c r="H2916" t="s">
        <v>2831</v>
      </c>
      <c r="J2916" t="s">
        <v>3349</v>
      </c>
      <c r="K2916">
        <v>255.7</v>
      </c>
    </row>
    <row r="2917" spans="1:11" x14ac:dyDescent="0.35">
      <c r="A2917" t="s">
        <v>3351</v>
      </c>
      <c r="B2917" s="1">
        <v>0</v>
      </c>
      <c r="C2917" t="s">
        <v>969</v>
      </c>
      <c r="D2917" t="s">
        <v>5564</v>
      </c>
      <c r="E2917" t="s">
        <v>5127</v>
      </c>
      <c r="F2917" t="s">
        <v>5338</v>
      </c>
      <c r="G2917" t="s">
        <v>5333</v>
      </c>
      <c r="H2917" t="s">
        <v>5798</v>
      </c>
      <c r="J2917" t="s">
        <v>3351</v>
      </c>
      <c r="K2917">
        <v>260.39999999999998</v>
      </c>
    </row>
    <row r="2918" spans="1:11" x14ac:dyDescent="0.35">
      <c r="A2918" t="s">
        <v>3353</v>
      </c>
      <c r="B2918" s="1">
        <v>0</v>
      </c>
      <c r="C2918" t="s">
        <v>1447</v>
      </c>
      <c r="D2918" t="s">
        <v>5651</v>
      </c>
      <c r="E2918" t="s">
        <v>5451</v>
      </c>
      <c r="F2918" t="s">
        <v>5338</v>
      </c>
      <c r="G2918" t="s">
        <v>5166</v>
      </c>
      <c r="H2918" t="s">
        <v>5794</v>
      </c>
      <c r="J2918" t="s">
        <v>3353</v>
      </c>
      <c r="K2918">
        <v>265.10000000000002</v>
      </c>
    </row>
    <row r="2919" spans="1:11" x14ac:dyDescent="0.35">
      <c r="A2919" t="s">
        <v>3354</v>
      </c>
      <c r="B2919" s="1">
        <v>0</v>
      </c>
      <c r="C2919" t="s">
        <v>1120</v>
      </c>
      <c r="D2919" t="s">
        <v>5651</v>
      </c>
      <c r="E2919" t="s">
        <v>5451</v>
      </c>
      <c r="F2919" t="s">
        <v>5338</v>
      </c>
      <c r="G2919" t="s">
        <v>5155</v>
      </c>
      <c r="H2919" t="s">
        <v>5718</v>
      </c>
      <c r="J2919" t="s">
        <v>3354</v>
      </c>
      <c r="K2919">
        <v>270.10000000000002</v>
      </c>
    </row>
    <row r="2920" spans="1:11" x14ac:dyDescent="0.35">
      <c r="A2920" t="s">
        <v>3355</v>
      </c>
      <c r="B2920" s="1">
        <v>0</v>
      </c>
      <c r="C2920" t="s">
        <v>4079</v>
      </c>
      <c r="D2920" t="s">
        <v>5639</v>
      </c>
      <c r="E2920" t="s">
        <v>5127</v>
      </c>
      <c r="F2920" t="s">
        <v>5338</v>
      </c>
      <c r="G2920" t="s">
        <v>5152</v>
      </c>
      <c r="H2920" t="s">
        <v>3631</v>
      </c>
      <c r="J2920" t="s">
        <v>3355</v>
      </c>
      <c r="K2920">
        <v>276.60000000000002</v>
      </c>
    </row>
    <row r="2921" spans="1:11" x14ac:dyDescent="0.35">
      <c r="A2921" t="s">
        <v>3357</v>
      </c>
      <c r="B2921" s="1">
        <v>0</v>
      </c>
      <c r="C2921" t="s">
        <v>137</v>
      </c>
      <c r="D2921" t="s">
        <v>5265</v>
      </c>
      <c r="E2921" t="s">
        <v>5505</v>
      </c>
      <c r="F2921" t="s">
        <v>5338</v>
      </c>
      <c r="G2921" t="s">
        <v>5338</v>
      </c>
      <c r="H2921" t="s">
        <v>3666</v>
      </c>
      <c r="J2921" t="s">
        <v>3357</v>
      </c>
      <c r="K2921">
        <v>281.5</v>
      </c>
    </row>
    <row r="2922" spans="1:11" x14ac:dyDescent="0.35">
      <c r="A2922" t="s">
        <v>3359</v>
      </c>
      <c r="B2922" s="1">
        <v>0</v>
      </c>
      <c r="C2922" t="s">
        <v>1860</v>
      </c>
      <c r="D2922" t="s">
        <v>5628</v>
      </c>
      <c r="E2922" t="s">
        <v>5157</v>
      </c>
      <c r="F2922" t="s">
        <v>5338</v>
      </c>
      <c r="G2922" t="s">
        <v>5347</v>
      </c>
      <c r="H2922" t="s">
        <v>3628</v>
      </c>
      <c r="J2922" t="s">
        <v>3359</v>
      </c>
      <c r="K2922">
        <v>275.60000000000002</v>
      </c>
    </row>
    <row r="2923" spans="1:11" x14ac:dyDescent="0.35">
      <c r="A2923" t="s">
        <v>3360</v>
      </c>
      <c r="B2923" s="1">
        <v>0</v>
      </c>
      <c r="C2923" t="s">
        <v>14</v>
      </c>
      <c r="D2923" t="s">
        <v>5564</v>
      </c>
      <c r="E2923" t="s">
        <v>5187</v>
      </c>
      <c r="F2923" t="s">
        <v>5338</v>
      </c>
      <c r="G2923" t="s">
        <v>5158</v>
      </c>
      <c r="H2923" t="s">
        <v>5685</v>
      </c>
      <c r="J2923" t="s">
        <v>3360</v>
      </c>
      <c r="K2923">
        <v>266.5</v>
      </c>
    </row>
    <row r="2924" spans="1:11" x14ac:dyDescent="0.35">
      <c r="A2924" t="s">
        <v>3363</v>
      </c>
      <c r="B2924" s="1">
        <v>0</v>
      </c>
      <c r="C2924" t="s">
        <v>312</v>
      </c>
      <c r="D2924" t="s">
        <v>5621</v>
      </c>
      <c r="E2924" t="s">
        <v>5200</v>
      </c>
      <c r="F2924" t="s">
        <v>5338</v>
      </c>
      <c r="G2924" t="s">
        <v>5201</v>
      </c>
      <c r="H2924" t="s">
        <v>4041</v>
      </c>
      <c r="J2924" t="s">
        <v>3363</v>
      </c>
      <c r="K2924">
        <v>255.3</v>
      </c>
    </row>
    <row r="2925" spans="1:11" x14ac:dyDescent="0.35">
      <c r="A2925" t="s">
        <v>3364</v>
      </c>
      <c r="B2925" s="1">
        <v>0</v>
      </c>
      <c r="C2925" t="s">
        <v>4904</v>
      </c>
      <c r="D2925" t="s">
        <v>5260</v>
      </c>
      <c r="E2925" t="s">
        <v>5067</v>
      </c>
      <c r="F2925" t="s">
        <v>5089</v>
      </c>
      <c r="G2925" t="s">
        <v>5332</v>
      </c>
      <c r="H2925" t="s">
        <v>4228</v>
      </c>
      <c r="J2925" t="s">
        <v>3364</v>
      </c>
      <c r="K2925">
        <v>236.6</v>
      </c>
    </row>
    <row r="2926" spans="1:11" x14ac:dyDescent="0.35">
      <c r="A2926" t="s">
        <v>3365</v>
      </c>
      <c r="B2926" s="1">
        <v>0</v>
      </c>
      <c r="C2926" t="s">
        <v>1918</v>
      </c>
      <c r="D2926" t="s">
        <v>5553</v>
      </c>
      <c r="E2926" t="s">
        <v>5257</v>
      </c>
      <c r="F2926" t="s">
        <v>5077</v>
      </c>
      <c r="G2926" t="s">
        <v>5089</v>
      </c>
      <c r="H2926" t="s">
        <v>660</v>
      </c>
      <c r="J2926" t="s">
        <v>3365</v>
      </c>
      <c r="K2926">
        <v>216.2</v>
      </c>
    </row>
    <row r="2927" spans="1:11" x14ac:dyDescent="0.35">
      <c r="A2927" t="s">
        <v>3367</v>
      </c>
      <c r="B2927" s="1">
        <v>0</v>
      </c>
      <c r="C2927" t="s">
        <v>3496</v>
      </c>
      <c r="D2927" t="s">
        <v>5101</v>
      </c>
      <c r="E2927" t="s">
        <v>5236</v>
      </c>
      <c r="F2927" t="s">
        <v>5077</v>
      </c>
      <c r="G2927" t="s">
        <v>5082</v>
      </c>
      <c r="H2927" t="s">
        <v>3375</v>
      </c>
      <c r="J2927" t="s">
        <v>3367</v>
      </c>
      <c r="K2927">
        <v>199.8</v>
      </c>
    </row>
    <row r="2928" spans="1:11" x14ac:dyDescent="0.35">
      <c r="A2928" t="s">
        <v>3368</v>
      </c>
      <c r="B2928" s="1">
        <v>0</v>
      </c>
      <c r="C2928" t="s">
        <v>1020</v>
      </c>
      <c r="D2928" t="s">
        <v>5146</v>
      </c>
      <c r="E2928" t="s">
        <v>5210</v>
      </c>
      <c r="F2928" t="s">
        <v>5077</v>
      </c>
      <c r="G2928" t="s">
        <v>5124</v>
      </c>
      <c r="H2928" t="s">
        <v>1194</v>
      </c>
      <c r="J2928" t="s">
        <v>3368</v>
      </c>
      <c r="K2928">
        <v>198</v>
      </c>
    </row>
    <row r="2929" spans="1:11" x14ac:dyDescent="0.35">
      <c r="A2929" t="s">
        <v>3369</v>
      </c>
      <c r="B2929" s="1">
        <v>0</v>
      </c>
      <c r="C2929" t="s">
        <v>1522</v>
      </c>
      <c r="D2929" t="s">
        <v>5248</v>
      </c>
      <c r="E2929" t="s">
        <v>5208</v>
      </c>
      <c r="F2929" t="s">
        <v>5077</v>
      </c>
      <c r="G2929" t="s">
        <v>5110</v>
      </c>
      <c r="H2929" t="s">
        <v>2726</v>
      </c>
      <c r="J2929" t="s">
        <v>3369</v>
      </c>
      <c r="K2929">
        <v>211.4</v>
      </c>
    </row>
    <row r="2930" spans="1:11" x14ac:dyDescent="0.35">
      <c r="A2930" t="s">
        <v>3370</v>
      </c>
      <c r="B2930" s="1">
        <v>0</v>
      </c>
      <c r="C2930" t="s">
        <v>2270</v>
      </c>
      <c r="D2930" t="s">
        <v>5591</v>
      </c>
      <c r="E2930" t="s">
        <v>5102</v>
      </c>
      <c r="F2930" t="s">
        <v>5089</v>
      </c>
      <c r="G2930" t="s">
        <v>5356</v>
      </c>
      <c r="H2930" t="s">
        <v>2383</v>
      </c>
      <c r="J2930" t="s">
        <v>3370</v>
      </c>
      <c r="K2930">
        <v>227.2</v>
      </c>
    </row>
    <row r="2931" spans="1:11" x14ac:dyDescent="0.35">
      <c r="A2931" t="s">
        <v>3371</v>
      </c>
      <c r="B2931" s="1">
        <v>0</v>
      </c>
      <c r="C2931" t="s">
        <v>4382</v>
      </c>
      <c r="D2931" t="s">
        <v>5269</v>
      </c>
      <c r="E2931" t="s">
        <v>5304</v>
      </c>
      <c r="F2931" t="s">
        <v>5089</v>
      </c>
      <c r="G2931" t="s">
        <v>5332</v>
      </c>
      <c r="H2931" t="s">
        <v>3603</v>
      </c>
      <c r="J2931" t="s">
        <v>3371</v>
      </c>
      <c r="K2931">
        <v>233.5</v>
      </c>
    </row>
    <row r="2932" spans="1:11" x14ac:dyDescent="0.35">
      <c r="A2932" t="s">
        <v>3373</v>
      </c>
      <c r="B2932" s="1">
        <v>0</v>
      </c>
      <c r="C2932" t="s">
        <v>5652</v>
      </c>
      <c r="D2932" t="s">
        <v>5115</v>
      </c>
      <c r="E2932" t="s">
        <v>5098</v>
      </c>
      <c r="F2932" t="s">
        <v>5089</v>
      </c>
      <c r="G2932" t="s">
        <v>5332</v>
      </c>
      <c r="H2932" t="s">
        <v>5681</v>
      </c>
      <c r="J2932" t="s">
        <v>3373</v>
      </c>
      <c r="K2932">
        <v>227.4</v>
      </c>
    </row>
    <row r="2933" spans="1:11" x14ac:dyDescent="0.35">
      <c r="A2933" t="s">
        <v>3374</v>
      </c>
      <c r="B2933" s="1">
        <v>0</v>
      </c>
      <c r="C2933" t="s">
        <v>1484</v>
      </c>
      <c r="D2933" t="s">
        <v>5454</v>
      </c>
      <c r="E2933" t="s">
        <v>5176</v>
      </c>
      <c r="F2933" t="s">
        <v>5077</v>
      </c>
      <c r="G2933" t="s">
        <v>5132</v>
      </c>
      <c r="H2933" t="s">
        <v>3613</v>
      </c>
      <c r="J2933" t="s">
        <v>3374</v>
      </c>
      <c r="K2933">
        <v>209.3</v>
      </c>
    </row>
    <row r="2934" spans="1:11" x14ac:dyDescent="0.35">
      <c r="A2934" t="s">
        <v>3376</v>
      </c>
      <c r="B2934" s="1">
        <v>0</v>
      </c>
      <c r="C2934" t="s">
        <v>2235</v>
      </c>
      <c r="D2934" t="s">
        <v>5443</v>
      </c>
      <c r="E2934" t="s">
        <v>5055</v>
      </c>
      <c r="F2934" t="s">
        <v>5077</v>
      </c>
      <c r="G2934" t="s">
        <v>5110</v>
      </c>
      <c r="H2934" t="s">
        <v>608</v>
      </c>
      <c r="J2934" t="s">
        <v>3376</v>
      </c>
      <c r="K2934">
        <v>190.7</v>
      </c>
    </row>
    <row r="2935" spans="1:11" x14ac:dyDescent="0.35">
      <c r="A2935" t="s">
        <v>3377</v>
      </c>
      <c r="B2935" s="1">
        <v>0</v>
      </c>
      <c r="C2935" t="s">
        <v>5614</v>
      </c>
      <c r="D2935" t="s">
        <v>5106</v>
      </c>
      <c r="E2935" t="s">
        <v>5303</v>
      </c>
      <c r="F2935" t="s">
        <v>5077</v>
      </c>
      <c r="G2935" t="s">
        <v>5124</v>
      </c>
      <c r="H2935" t="s">
        <v>2215</v>
      </c>
      <c r="J2935" t="s">
        <v>3377</v>
      </c>
      <c r="K2935">
        <v>179.2</v>
      </c>
    </row>
    <row r="2936" spans="1:11" x14ac:dyDescent="0.35">
      <c r="A2936" t="s">
        <v>3378</v>
      </c>
      <c r="B2936" s="1">
        <v>0</v>
      </c>
      <c r="C2936" t="s">
        <v>5467</v>
      </c>
      <c r="D2936" t="s">
        <v>5438</v>
      </c>
      <c r="E2936" t="s">
        <v>5055</v>
      </c>
      <c r="F2936" t="s">
        <v>5077</v>
      </c>
      <c r="G2936" t="s">
        <v>5215</v>
      </c>
      <c r="H2936" t="s">
        <v>1807</v>
      </c>
      <c r="J2936" t="s">
        <v>3378</v>
      </c>
      <c r="K2936">
        <v>177.9</v>
      </c>
    </row>
    <row r="2937" spans="1:11" x14ac:dyDescent="0.35">
      <c r="A2937" t="s">
        <v>3380</v>
      </c>
      <c r="B2937" s="1">
        <v>0</v>
      </c>
      <c r="C2937" t="s">
        <v>5614</v>
      </c>
      <c r="D2937" t="s">
        <v>5606</v>
      </c>
      <c r="E2937" t="s">
        <v>5056</v>
      </c>
      <c r="F2937" t="s">
        <v>5077</v>
      </c>
      <c r="G2937" t="s">
        <v>5183</v>
      </c>
      <c r="H2937" t="s">
        <v>1335</v>
      </c>
      <c r="J2937" t="s">
        <v>3380</v>
      </c>
      <c r="K2937">
        <v>183.8</v>
      </c>
    </row>
    <row r="2938" spans="1:11" x14ac:dyDescent="0.35">
      <c r="A2938" t="s">
        <v>3381</v>
      </c>
      <c r="B2938" s="1">
        <v>0</v>
      </c>
      <c r="C2938" t="s">
        <v>5603</v>
      </c>
      <c r="D2938" t="s">
        <v>5534</v>
      </c>
      <c r="E2938" t="s">
        <v>5056</v>
      </c>
      <c r="F2938" t="s">
        <v>5077</v>
      </c>
      <c r="G2938" t="s">
        <v>5065</v>
      </c>
      <c r="H2938" t="s">
        <v>1404</v>
      </c>
      <c r="J2938" t="s">
        <v>3381</v>
      </c>
      <c r="K2938">
        <v>185.1</v>
      </c>
    </row>
    <row r="2939" spans="1:11" x14ac:dyDescent="0.35">
      <c r="A2939" t="s">
        <v>3382</v>
      </c>
      <c r="B2939" s="1">
        <v>0</v>
      </c>
      <c r="C2939" t="s">
        <v>5477</v>
      </c>
      <c r="D2939" t="s">
        <v>5151</v>
      </c>
      <c r="E2939" t="s">
        <v>5055</v>
      </c>
      <c r="F2939" t="s">
        <v>5077</v>
      </c>
      <c r="G2939" t="s">
        <v>5412</v>
      </c>
      <c r="H2939" t="s">
        <v>49</v>
      </c>
      <c r="J2939" t="s">
        <v>3382</v>
      </c>
      <c r="K2939">
        <v>179.3</v>
      </c>
    </row>
    <row r="2940" spans="1:11" x14ac:dyDescent="0.35">
      <c r="A2940" t="s">
        <v>3383</v>
      </c>
      <c r="B2940" s="1">
        <v>0</v>
      </c>
      <c r="C2940" t="s">
        <v>5643</v>
      </c>
      <c r="D2940" t="s">
        <v>5127</v>
      </c>
      <c r="E2940" t="s">
        <v>5524</v>
      </c>
      <c r="F2940" t="s">
        <v>5077</v>
      </c>
      <c r="G2940" t="s">
        <v>5062</v>
      </c>
      <c r="H2940" t="s">
        <v>703</v>
      </c>
      <c r="J2940" t="s">
        <v>3383</v>
      </c>
      <c r="K2940">
        <v>175</v>
      </c>
    </row>
    <row r="2941" spans="1:11" x14ac:dyDescent="0.35">
      <c r="A2941" t="s">
        <v>3384</v>
      </c>
      <c r="B2941" s="1">
        <v>0</v>
      </c>
      <c r="C2941" t="s">
        <v>5633</v>
      </c>
      <c r="D2941" t="s">
        <v>5256</v>
      </c>
      <c r="E2941" t="s">
        <v>5070</v>
      </c>
      <c r="F2941" t="s">
        <v>5077</v>
      </c>
      <c r="G2941" t="s">
        <v>5183</v>
      </c>
      <c r="H2941" t="s">
        <v>676</v>
      </c>
      <c r="J2941" t="s">
        <v>3384</v>
      </c>
      <c r="K2941">
        <v>178.1</v>
      </c>
    </row>
    <row r="2942" spans="1:11" x14ac:dyDescent="0.35">
      <c r="A2942" t="s">
        <v>3385</v>
      </c>
      <c r="B2942" s="1">
        <v>0</v>
      </c>
      <c r="C2942" t="s">
        <v>5636</v>
      </c>
      <c r="D2942" t="s">
        <v>5436</v>
      </c>
      <c r="E2942" t="s">
        <v>5286</v>
      </c>
      <c r="F2942" t="s">
        <v>5077</v>
      </c>
      <c r="G2942" t="s">
        <v>5124</v>
      </c>
      <c r="H2942" t="s">
        <v>1341</v>
      </c>
      <c r="J2942" t="s">
        <v>3385</v>
      </c>
      <c r="K2942">
        <v>187.4</v>
      </c>
    </row>
    <row r="2943" spans="1:11" x14ac:dyDescent="0.35">
      <c r="A2943" t="s">
        <v>3386</v>
      </c>
      <c r="B2943" s="1">
        <v>0</v>
      </c>
      <c r="C2943" t="s">
        <v>1015</v>
      </c>
      <c r="D2943" t="s">
        <v>5366</v>
      </c>
      <c r="E2943" t="s">
        <v>5167</v>
      </c>
      <c r="F2943" t="s">
        <v>5077</v>
      </c>
      <c r="G2943" t="s">
        <v>5116</v>
      </c>
      <c r="H2943" t="s">
        <v>214</v>
      </c>
      <c r="J2943" t="s">
        <v>3386</v>
      </c>
      <c r="K2943">
        <v>198.1</v>
      </c>
    </row>
    <row r="2944" spans="1:11" x14ac:dyDescent="0.35">
      <c r="A2944" t="s">
        <v>3387</v>
      </c>
      <c r="B2944" s="1">
        <v>0</v>
      </c>
      <c r="C2944" t="s">
        <v>1042</v>
      </c>
      <c r="D2944" t="s">
        <v>5489</v>
      </c>
      <c r="E2944" t="s">
        <v>5210</v>
      </c>
      <c r="F2944" t="s">
        <v>5077</v>
      </c>
      <c r="G2944" t="s">
        <v>5077</v>
      </c>
      <c r="H2944" t="s">
        <v>1315</v>
      </c>
      <c r="J2944" t="s">
        <v>3387</v>
      </c>
      <c r="K2944">
        <v>207</v>
      </c>
    </row>
    <row r="2945" spans="1:11" x14ac:dyDescent="0.35">
      <c r="A2945" t="s">
        <v>3388</v>
      </c>
      <c r="B2945" s="1">
        <v>0</v>
      </c>
      <c r="C2945" t="s">
        <v>2565</v>
      </c>
      <c r="D2945" t="s">
        <v>5487</v>
      </c>
      <c r="E2945" t="s">
        <v>5210</v>
      </c>
      <c r="F2945" t="s">
        <v>5077</v>
      </c>
      <c r="G2945" t="s">
        <v>5132</v>
      </c>
      <c r="H2945" t="s">
        <v>1708</v>
      </c>
      <c r="J2945" t="s">
        <v>3388</v>
      </c>
      <c r="K2945">
        <v>212.8</v>
      </c>
    </row>
    <row r="2946" spans="1:11" x14ac:dyDescent="0.35">
      <c r="A2946" t="s">
        <v>3389</v>
      </c>
      <c r="B2946" s="1">
        <v>0</v>
      </c>
      <c r="C2946" t="s">
        <v>986</v>
      </c>
      <c r="D2946" t="s">
        <v>5575</v>
      </c>
      <c r="E2946" t="s">
        <v>5255</v>
      </c>
      <c r="F2946" t="s">
        <v>5089</v>
      </c>
      <c r="G2946" t="s">
        <v>5136</v>
      </c>
      <c r="H2946" t="s">
        <v>3012</v>
      </c>
      <c r="J2946" t="s">
        <v>3389</v>
      </c>
      <c r="K2946">
        <v>216.5</v>
      </c>
    </row>
    <row r="2947" spans="1:11" x14ac:dyDescent="0.35">
      <c r="A2947" t="s">
        <v>3390</v>
      </c>
      <c r="B2947" s="1">
        <v>0</v>
      </c>
      <c r="C2947" t="s">
        <v>472</v>
      </c>
      <c r="D2947" t="s">
        <v>5487</v>
      </c>
      <c r="E2947" t="s">
        <v>5197</v>
      </c>
      <c r="F2947" t="s">
        <v>5089</v>
      </c>
      <c r="G2947" t="s">
        <v>5332</v>
      </c>
      <c r="H2947" t="s">
        <v>232</v>
      </c>
      <c r="J2947" t="s">
        <v>3390</v>
      </c>
      <c r="K2947">
        <v>222.4</v>
      </c>
    </row>
    <row r="2948" spans="1:11" x14ac:dyDescent="0.35">
      <c r="A2948" t="s">
        <v>3391</v>
      </c>
      <c r="B2948" s="1">
        <v>0</v>
      </c>
      <c r="C2948" t="s">
        <v>1539</v>
      </c>
      <c r="D2948" t="s">
        <v>5101</v>
      </c>
      <c r="E2948" t="s">
        <v>5255</v>
      </c>
      <c r="F2948" t="s">
        <v>5089</v>
      </c>
      <c r="G2948" t="s">
        <v>5501</v>
      </c>
      <c r="H2948" t="s">
        <v>5025</v>
      </c>
      <c r="J2948" t="s">
        <v>3391</v>
      </c>
      <c r="K2948">
        <v>223.2</v>
      </c>
    </row>
    <row r="2949" spans="1:11" x14ac:dyDescent="0.35">
      <c r="A2949" t="s">
        <v>3392</v>
      </c>
      <c r="B2949" s="1">
        <v>0</v>
      </c>
      <c r="C2949" t="s">
        <v>2271</v>
      </c>
      <c r="D2949" t="s">
        <v>5494</v>
      </c>
      <c r="E2949" t="s">
        <v>5197</v>
      </c>
      <c r="F2949" t="s">
        <v>5089</v>
      </c>
      <c r="G2949" t="s">
        <v>5332</v>
      </c>
      <c r="H2949" t="s">
        <v>2002</v>
      </c>
      <c r="J2949" t="s">
        <v>3392</v>
      </c>
      <c r="K2949">
        <v>221.2</v>
      </c>
    </row>
    <row r="2950" spans="1:11" x14ac:dyDescent="0.35">
      <c r="A2950" t="s">
        <v>3393</v>
      </c>
      <c r="B2950" s="1">
        <v>0</v>
      </c>
      <c r="C2950" t="s">
        <v>458</v>
      </c>
      <c r="D2950" t="s">
        <v>5494</v>
      </c>
      <c r="E2950" t="s">
        <v>5197</v>
      </c>
      <c r="F2950" t="s">
        <v>5089</v>
      </c>
      <c r="G2950" t="s">
        <v>5493</v>
      </c>
      <c r="H2950" t="s">
        <v>4984</v>
      </c>
      <c r="J2950" t="s">
        <v>3393</v>
      </c>
      <c r="K2950">
        <v>216.9</v>
      </c>
    </row>
    <row r="2951" spans="1:11" x14ac:dyDescent="0.35">
      <c r="A2951" t="s">
        <v>3394</v>
      </c>
      <c r="B2951" s="1">
        <v>0</v>
      </c>
      <c r="C2951" t="s">
        <v>364</v>
      </c>
      <c r="D2951" t="s">
        <v>5494</v>
      </c>
      <c r="E2951" t="s">
        <v>5197</v>
      </c>
      <c r="F2951" t="s">
        <v>5089</v>
      </c>
      <c r="G2951" t="s">
        <v>5356</v>
      </c>
      <c r="H2951" t="s">
        <v>3729</v>
      </c>
      <c r="J2951" t="s">
        <v>3394</v>
      </c>
      <c r="K2951">
        <v>215.1</v>
      </c>
    </row>
    <row r="2952" spans="1:11" x14ac:dyDescent="0.35">
      <c r="A2952" t="s">
        <v>3395</v>
      </c>
      <c r="B2952" s="1">
        <v>0</v>
      </c>
      <c r="C2952" t="s">
        <v>327</v>
      </c>
      <c r="D2952" t="s">
        <v>5238</v>
      </c>
      <c r="E2952" t="s">
        <v>5167</v>
      </c>
      <c r="F2952" t="s">
        <v>5089</v>
      </c>
      <c r="G2952" t="s">
        <v>5356</v>
      </c>
      <c r="H2952" t="s">
        <v>1203</v>
      </c>
      <c r="J2952" t="s">
        <v>3395</v>
      </c>
      <c r="K2952">
        <v>213.2</v>
      </c>
    </row>
    <row r="2953" spans="1:11" x14ac:dyDescent="0.35">
      <c r="A2953" t="s">
        <v>3396</v>
      </c>
      <c r="B2953" s="1">
        <v>0</v>
      </c>
      <c r="C2953" t="s">
        <v>1532</v>
      </c>
      <c r="D2953" t="s">
        <v>5454</v>
      </c>
      <c r="E2953" t="s">
        <v>5204</v>
      </c>
      <c r="F2953" t="s">
        <v>5077</v>
      </c>
      <c r="G2953" t="s">
        <v>5493</v>
      </c>
      <c r="H2953" t="s">
        <v>3163</v>
      </c>
      <c r="J2953" t="s">
        <v>3396</v>
      </c>
      <c r="K2953">
        <v>212.9</v>
      </c>
    </row>
    <row r="2954" spans="1:11" x14ac:dyDescent="0.35">
      <c r="A2954" t="s">
        <v>3397</v>
      </c>
      <c r="B2954" s="1">
        <v>0</v>
      </c>
      <c r="C2954" t="s">
        <v>2607</v>
      </c>
      <c r="D2954" t="s">
        <v>5148</v>
      </c>
      <c r="E2954" t="s">
        <v>5170</v>
      </c>
      <c r="F2954" t="s">
        <v>5077</v>
      </c>
      <c r="G2954" t="s">
        <v>5501</v>
      </c>
      <c r="H2954" t="s">
        <v>2729</v>
      </c>
      <c r="J2954" t="s">
        <v>3397</v>
      </c>
      <c r="K2954">
        <v>214.5</v>
      </c>
    </row>
    <row r="2955" spans="1:11" x14ac:dyDescent="0.35">
      <c r="A2955" t="s">
        <v>3398</v>
      </c>
      <c r="B2955" s="1">
        <v>0</v>
      </c>
      <c r="C2955" t="s">
        <v>469</v>
      </c>
      <c r="D2955" t="s">
        <v>5606</v>
      </c>
      <c r="E2955" t="s">
        <v>5202</v>
      </c>
      <c r="F2955" t="s">
        <v>5077</v>
      </c>
      <c r="G2955" t="s">
        <v>5501</v>
      </c>
      <c r="H2955" t="s">
        <v>663</v>
      </c>
      <c r="J2955" t="s">
        <v>3398</v>
      </c>
      <c r="K2955">
        <v>212.6</v>
      </c>
    </row>
    <row r="2956" spans="1:11" x14ac:dyDescent="0.35">
      <c r="A2956" t="s">
        <v>3399</v>
      </c>
      <c r="B2956" s="1">
        <v>0</v>
      </c>
      <c r="C2956" t="s">
        <v>1916</v>
      </c>
      <c r="D2956" t="s">
        <v>5157</v>
      </c>
      <c r="E2956" t="s">
        <v>5418</v>
      </c>
      <c r="F2956" t="s">
        <v>5050</v>
      </c>
      <c r="G2956" t="s">
        <v>5144</v>
      </c>
      <c r="H2956" t="s">
        <v>241</v>
      </c>
      <c r="J2956" t="s">
        <v>3399</v>
      </c>
      <c r="K2956">
        <v>190.1</v>
      </c>
    </row>
    <row r="2957" spans="1:11" x14ac:dyDescent="0.35">
      <c r="A2957" t="s">
        <v>3400</v>
      </c>
      <c r="B2957" s="1">
        <v>0</v>
      </c>
      <c r="C2957" t="s">
        <v>1049</v>
      </c>
      <c r="D2957" t="s">
        <v>5157</v>
      </c>
      <c r="E2957" t="s">
        <v>5418</v>
      </c>
      <c r="F2957" t="s">
        <v>5050</v>
      </c>
      <c r="G2957" t="s">
        <v>5140</v>
      </c>
      <c r="H2957" t="s">
        <v>1269</v>
      </c>
      <c r="J2957" t="s">
        <v>3400</v>
      </c>
      <c r="K2957">
        <v>188.8</v>
      </c>
    </row>
    <row r="2958" spans="1:11" x14ac:dyDescent="0.35">
      <c r="A2958" t="s">
        <v>3401</v>
      </c>
      <c r="B2958" s="1">
        <v>0</v>
      </c>
      <c r="C2958" t="s">
        <v>1052</v>
      </c>
      <c r="D2958" t="s">
        <v>5571</v>
      </c>
      <c r="E2958" t="s">
        <v>5599</v>
      </c>
      <c r="F2958" t="s">
        <v>5050</v>
      </c>
      <c r="G2958" t="s">
        <v>5432</v>
      </c>
      <c r="H2958" t="s">
        <v>1681</v>
      </c>
      <c r="J2958" t="s">
        <v>3401</v>
      </c>
      <c r="K2958">
        <v>186.4</v>
      </c>
    </row>
    <row r="2959" spans="1:11" x14ac:dyDescent="0.35">
      <c r="A2959" t="s">
        <v>3402</v>
      </c>
      <c r="B2959" s="1">
        <v>0</v>
      </c>
      <c r="C2959" t="s">
        <v>374</v>
      </c>
      <c r="D2959" t="s">
        <v>5150</v>
      </c>
      <c r="E2959" t="s">
        <v>5057</v>
      </c>
      <c r="F2959" t="s">
        <v>5050</v>
      </c>
      <c r="G2959" t="s">
        <v>5337</v>
      </c>
      <c r="H2959" t="s">
        <v>167</v>
      </c>
      <c r="J2959" t="s">
        <v>3402</v>
      </c>
      <c r="K2959">
        <v>177</v>
      </c>
    </row>
    <row r="2960" spans="1:11" x14ac:dyDescent="0.35">
      <c r="A2960" t="s">
        <v>3403</v>
      </c>
      <c r="B2960" s="1">
        <v>0</v>
      </c>
      <c r="C2960" t="s">
        <v>5604</v>
      </c>
      <c r="D2960" t="s">
        <v>5435</v>
      </c>
      <c r="E2960" t="s">
        <v>5289</v>
      </c>
      <c r="F2960" t="s">
        <v>5050</v>
      </c>
      <c r="G2960" t="s">
        <v>5164</v>
      </c>
      <c r="H2960" t="s">
        <v>1978</v>
      </c>
      <c r="J2960" t="s">
        <v>3403</v>
      </c>
      <c r="K2960">
        <v>167.1</v>
      </c>
    </row>
    <row r="2961" spans="1:11" x14ac:dyDescent="0.35">
      <c r="A2961" t="s">
        <v>3404</v>
      </c>
      <c r="B2961" s="1">
        <v>0</v>
      </c>
      <c r="C2961" t="s">
        <v>5613</v>
      </c>
      <c r="D2961" t="s">
        <v>5444</v>
      </c>
      <c r="E2961" t="s">
        <v>5568</v>
      </c>
      <c r="F2961" t="s">
        <v>5050</v>
      </c>
      <c r="G2961" t="s">
        <v>5180</v>
      </c>
      <c r="H2961" t="s">
        <v>1749</v>
      </c>
      <c r="J2961" t="s">
        <v>3404</v>
      </c>
      <c r="K2961">
        <v>158.1</v>
      </c>
    </row>
    <row r="2962" spans="1:11" x14ac:dyDescent="0.35">
      <c r="A2962" t="s">
        <v>3405</v>
      </c>
      <c r="B2962" s="1">
        <v>0</v>
      </c>
      <c r="C2962" t="s">
        <v>5512</v>
      </c>
      <c r="D2962" t="s">
        <v>5063</v>
      </c>
      <c r="E2962" t="s">
        <v>5299</v>
      </c>
      <c r="F2962" t="s">
        <v>5050</v>
      </c>
      <c r="G2962" t="s">
        <v>5195</v>
      </c>
      <c r="H2962" t="s">
        <v>157</v>
      </c>
      <c r="J2962" t="s">
        <v>3405</v>
      </c>
      <c r="K2962">
        <v>152.80000000000001</v>
      </c>
    </row>
    <row r="2963" spans="1:11" x14ac:dyDescent="0.35">
      <c r="A2963" t="s">
        <v>3407</v>
      </c>
      <c r="B2963" s="1">
        <v>0</v>
      </c>
      <c r="C2963" t="s">
        <v>5491</v>
      </c>
      <c r="D2963" t="s">
        <v>5063</v>
      </c>
      <c r="E2963" t="s">
        <v>5299</v>
      </c>
      <c r="F2963" t="s">
        <v>5050</v>
      </c>
      <c r="G2963" t="s">
        <v>5195</v>
      </c>
      <c r="H2963" t="s">
        <v>869</v>
      </c>
      <c r="J2963" t="s">
        <v>3407</v>
      </c>
      <c r="K2963">
        <v>154</v>
      </c>
    </row>
    <row r="2964" spans="1:11" x14ac:dyDescent="0.35">
      <c r="A2964" t="s">
        <v>3409</v>
      </c>
      <c r="B2964" s="1">
        <v>0</v>
      </c>
      <c r="C2964" t="s">
        <v>5513</v>
      </c>
      <c r="D2964" t="s">
        <v>5433</v>
      </c>
      <c r="E2964" t="s">
        <v>5052</v>
      </c>
      <c r="F2964" t="s">
        <v>5050</v>
      </c>
      <c r="G2964" t="s">
        <v>5180</v>
      </c>
      <c r="H2964" t="s">
        <v>1348</v>
      </c>
      <c r="J2964" t="s">
        <v>3409</v>
      </c>
      <c r="K2964">
        <v>161.30000000000001</v>
      </c>
    </row>
    <row r="2965" spans="1:11" x14ac:dyDescent="0.35">
      <c r="A2965" t="s">
        <v>3410</v>
      </c>
      <c r="B2965" s="1">
        <v>0</v>
      </c>
      <c r="C2965" t="s">
        <v>5634</v>
      </c>
      <c r="D2965" t="s">
        <v>5114</v>
      </c>
      <c r="E2965" t="s">
        <v>5599</v>
      </c>
      <c r="F2965" t="s">
        <v>5050</v>
      </c>
      <c r="G2965" t="s">
        <v>5159</v>
      </c>
      <c r="H2965" t="s">
        <v>934</v>
      </c>
      <c r="J2965" t="s">
        <v>3410</v>
      </c>
      <c r="K2965">
        <v>168.7</v>
      </c>
    </row>
    <row r="2966" spans="1:11" x14ac:dyDescent="0.35">
      <c r="A2966" t="s">
        <v>3411</v>
      </c>
      <c r="B2966" s="1">
        <v>0</v>
      </c>
      <c r="C2966" t="s">
        <v>1488</v>
      </c>
      <c r="D2966" t="s">
        <v>5505</v>
      </c>
      <c r="E2966" t="s">
        <v>5313</v>
      </c>
      <c r="F2966" t="s">
        <v>5050</v>
      </c>
      <c r="G2966" t="s">
        <v>5168</v>
      </c>
      <c r="H2966" t="s">
        <v>1322</v>
      </c>
      <c r="J2966" t="s">
        <v>3411</v>
      </c>
      <c r="K2966">
        <v>178</v>
      </c>
    </row>
    <row r="2967" spans="1:11" x14ac:dyDescent="0.35">
      <c r="A2967" t="s">
        <v>3412</v>
      </c>
      <c r="B2967" s="1">
        <v>0</v>
      </c>
      <c r="C2967" t="s">
        <v>2232</v>
      </c>
      <c r="D2967" t="s">
        <v>5106</v>
      </c>
      <c r="E2967" t="s">
        <v>5425</v>
      </c>
      <c r="F2967" t="s">
        <v>5050</v>
      </c>
      <c r="G2967" t="s">
        <v>5156</v>
      </c>
      <c r="H2967" t="s">
        <v>4035</v>
      </c>
      <c r="J2967" t="s">
        <v>3412</v>
      </c>
      <c r="K2967">
        <v>179.9</v>
      </c>
    </row>
    <row r="2968" spans="1:11" x14ac:dyDescent="0.35">
      <c r="A2968" t="s">
        <v>3413</v>
      </c>
      <c r="B2968" s="1">
        <v>0</v>
      </c>
      <c r="C2968" t="s">
        <v>1033</v>
      </c>
      <c r="D2968" t="s">
        <v>5111</v>
      </c>
      <c r="E2968" t="s">
        <v>5420</v>
      </c>
      <c r="F2968" t="s">
        <v>5050</v>
      </c>
      <c r="G2968" t="s">
        <v>5168</v>
      </c>
      <c r="H2968" t="s">
        <v>1286</v>
      </c>
      <c r="J2968" t="s">
        <v>3413</v>
      </c>
      <c r="K2968">
        <v>176.5</v>
      </c>
    </row>
    <row r="2969" spans="1:11" x14ac:dyDescent="0.35">
      <c r="A2969" t="s">
        <v>3414</v>
      </c>
      <c r="B2969" s="1">
        <v>0</v>
      </c>
      <c r="C2969" t="s">
        <v>435</v>
      </c>
      <c r="D2969" t="s">
        <v>5100</v>
      </c>
      <c r="E2969" t="s">
        <v>5597</v>
      </c>
      <c r="F2969" t="s">
        <v>5050</v>
      </c>
      <c r="G2969" t="s">
        <v>5156</v>
      </c>
      <c r="H2969" t="s">
        <v>1973</v>
      </c>
      <c r="J2969" t="s">
        <v>3414</v>
      </c>
      <c r="K2969">
        <v>176.4</v>
      </c>
    </row>
    <row r="2970" spans="1:11" x14ac:dyDescent="0.35">
      <c r="A2970" t="s">
        <v>3415</v>
      </c>
      <c r="B2970" s="1">
        <v>0</v>
      </c>
      <c r="C2970" t="s">
        <v>345</v>
      </c>
      <c r="D2970" t="s">
        <v>5106</v>
      </c>
      <c r="E2970" t="s">
        <v>5310</v>
      </c>
      <c r="F2970" t="s">
        <v>5050</v>
      </c>
      <c r="G2970" t="s">
        <v>5153</v>
      </c>
      <c r="H2970" t="s">
        <v>3137</v>
      </c>
      <c r="J2970" t="s">
        <v>3415</v>
      </c>
      <c r="K2970">
        <v>192.3</v>
      </c>
    </row>
    <row r="2971" spans="1:11" x14ac:dyDescent="0.35">
      <c r="A2971" t="s">
        <v>3416</v>
      </c>
      <c r="B2971" s="1">
        <v>0</v>
      </c>
      <c r="C2971" t="s">
        <v>4116</v>
      </c>
      <c r="D2971" t="s">
        <v>5258</v>
      </c>
      <c r="E2971" t="s">
        <v>5060</v>
      </c>
      <c r="F2971" t="s">
        <v>5240</v>
      </c>
      <c r="G2971" t="s">
        <v>5315</v>
      </c>
      <c r="H2971" t="s">
        <v>1205</v>
      </c>
      <c r="J2971" t="s">
        <v>3416</v>
      </c>
      <c r="K2971">
        <v>220.9</v>
      </c>
    </row>
    <row r="2972" spans="1:11" x14ac:dyDescent="0.35">
      <c r="A2972" t="s">
        <v>3417</v>
      </c>
      <c r="B2972" s="1">
        <v>0</v>
      </c>
      <c r="C2972" t="s">
        <v>310</v>
      </c>
      <c r="D2972" t="s">
        <v>5277</v>
      </c>
      <c r="E2972" t="s">
        <v>5096</v>
      </c>
      <c r="F2972" t="s">
        <v>5240</v>
      </c>
      <c r="G2972" t="s">
        <v>5288</v>
      </c>
      <c r="H2972" t="s">
        <v>3051</v>
      </c>
      <c r="J2972" t="s">
        <v>3417</v>
      </c>
      <c r="K2972">
        <v>237.1</v>
      </c>
    </row>
    <row r="2973" spans="1:11" x14ac:dyDescent="0.35">
      <c r="A2973" t="s">
        <v>3418</v>
      </c>
      <c r="B2973" s="1">
        <v>0</v>
      </c>
      <c r="C2973" t="s">
        <v>311</v>
      </c>
      <c r="D2973" t="s">
        <v>5591</v>
      </c>
      <c r="E2973" t="s">
        <v>5069</v>
      </c>
      <c r="F2973" t="s">
        <v>5240</v>
      </c>
      <c r="G2973" t="s">
        <v>5291</v>
      </c>
      <c r="H2973" t="s">
        <v>631</v>
      </c>
      <c r="J2973" t="s">
        <v>3418</v>
      </c>
      <c r="K2973">
        <v>231.2</v>
      </c>
    </row>
    <row r="2974" spans="1:11" x14ac:dyDescent="0.35">
      <c r="A2974" t="s">
        <v>3419</v>
      </c>
      <c r="B2974" s="1">
        <v>0</v>
      </c>
      <c r="C2974" t="s">
        <v>1868</v>
      </c>
      <c r="D2974" t="s">
        <v>5554</v>
      </c>
      <c r="E2974" t="s">
        <v>5102</v>
      </c>
      <c r="F2974" t="s">
        <v>5240</v>
      </c>
      <c r="G2974" t="s">
        <v>5297</v>
      </c>
      <c r="H2974" t="s">
        <v>5672</v>
      </c>
      <c r="J2974" t="s">
        <v>3419</v>
      </c>
      <c r="K2974">
        <v>218.5</v>
      </c>
    </row>
    <row r="2975" spans="1:11" x14ac:dyDescent="0.35">
      <c r="A2975" t="s">
        <v>3420</v>
      </c>
      <c r="B2975" s="1">
        <v>0</v>
      </c>
      <c r="C2975" t="s">
        <v>2566</v>
      </c>
      <c r="D2975" t="s">
        <v>5478</v>
      </c>
      <c r="E2975" t="s">
        <v>5098</v>
      </c>
      <c r="F2975" t="s">
        <v>5240</v>
      </c>
      <c r="G2975" t="s">
        <v>5342</v>
      </c>
      <c r="H2975" t="s">
        <v>3886</v>
      </c>
      <c r="J2975" t="s">
        <v>3420</v>
      </c>
      <c r="K2975">
        <v>213.1</v>
      </c>
    </row>
    <row r="2976" spans="1:11" x14ac:dyDescent="0.35">
      <c r="A2976" t="s">
        <v>3421</v>
      </c>
      <c r="B2976" s="1">
        <v>0</v>
      </c>
      <c r="C2976" t="s">
        <v>463</v>
      </c>
      <c r="D2976" t="s">
        <v>5573</v>
      </c>
      <c r="E2976" t="s">
        <v>5249</v>
      </c>
      <c r="F2976" t="s">
        <v>5240</v>
      </c>
      <c r="G2976" t="s">
        <v>5315</v>
      </c>
      <c r="H2976" t="s">
        <v>210</v>
      </c>
      <c r="J2976" t="s">
        <v>3421</v>
      </c>
      <c r="K2976">
        <v>217.9</v>
      </c>
    </row>
    <row r="2977" spans="1:11" x14ac:dyDescent="0.35">
      <c r="A2977" t="s">
        <v>3422</v>
      </c>
      <c r="B2977" s="1">
        <v>0</v>
      </c>
      <c r="C2977" t="s">
        <v>1472</v>
      </c>
      <c r="D2977" t="s">
        <v>5091</v>
      </c>
      <c r="E2977" t="s">
        <v>5178</v>
      </c>
      <c r="F2977" t="s">
        <v>5240</v>
      </c>
      <c r="G2977" t="s">
        <v>5312</v>
      </c>
      <c r="H2977" t="s">
        <v>751</v>
      </c>
      <c r="J2977" t="s">
        <v>3422</v>
      </c>
      <c r="K2977">
        <v>218.6</v>
      </c>
    </row>
    <row r="2978" spans="1:11" x14ac:dyDescent="0.35">
      <c r="A2978" t="s">
        <v>3423</v>
      </c>
      <c r="B2978" s="1">
        <v>0</v>
      </c>
      <c r="C2978" t="s">
        <v>462</v>
      </c>
      <c r="D2978" t="s">
        <v>5119</v>
      </c>
      <c r="E2978" t="s">
        <v>5434</v>
      </c>
      <c r="F2978" t="s">
        <v>5240</v>
      </c>
      <c r="G2978" t="s">
        <v>5294</v>
      </c>
      <c r="H2978" t="s">
        <v>3873</v>
      </c>
      <c r="J2978" t="s">
        <v>3423</v>
      </c>
      <c r="K2978">
        <v>214.2</v>
      </c>
    </row>
    <row r="2979" spans="1:11" x14ac:dyDescent="0.35">
      <c r="A2979" t="s">
        <v>3424</v>
      </c>
      <c r="B2979" s="1">
        <v>0</v>
      </c>
      <c r="C2979" t="s">
        <v>479</v>
      </c>
      <c r="D2979" t="s">
        <v>5101</v>
      </c>
      <c r="E2979" t="s">
        <v>5255</v>
      </c>
      <c r="F2979" t="s">
        <v>5050</v>
      </c>
      <c r="G2979" t="s">
        <v>5297</v>
      </c>
      <c r="H2979" t="s">
        <v>1211</v>
      </c>
      <c r="J2979" t="s">
        <v>3424</v>
      </c>
      <c r="K2979">
        <v>203.6</v>
      </c>
    </row>
    <row r="2980" spans="1:11" x14ac:dyDescent="0.35">
      <c r="A2980" t="s">
        <v>3425</v>
      </c>
      <c r="B2980" s="1">
        <v>0</v>
      </c>
      <c r="C2980" t="s">
        <v>1020</v>
      </c>
      <c r="D2980" t="s">
        <v>5447</v>
      </c>
      <c r="E2980" t="s">
        <v>5175</v>
      </c>
      <c r="F2980" t="s">
        <v>5050</v>
      </c>
      <c r="G2980" t="s">
        <v>5140</v>
      </c>
      <c r="H2980" t="s">
        <v>608</v>
      </c>
      <c r="J2980" t="s">
        <v>3425</v>
      </c>
      <c r="K2980">
        <v>190.7</v>
      </c>
    </row>
    <row r="2981" spans="1:11" x14ac:dyDescent="0.35">
      <c r="A2981" t="s">
        <v>3426</v>
      </c>
      <c r="B2981" s="1">
        <v>0</v>
      </c>
      <c r="C2981" t="s">
        <v>397</v>
      </c>
      <c r="D2981" t="s">
        <v>5596</v>
      </c>
      <c r="E2981" t="s">
        <v>5323</v>
      </c>
      <c r="F2981" t="s">
        <v>5050</v>
      </c>
      <c r="G2981" t="s">
        <v>5339</v>
      </c>
      <c r="H2981" t="s">
        <v>189</v>
      </c>
      <c r="J2981" t="s">
        <v>3426</v>
      </c>
      <c r="K2981">
        <v>180.8</v>
      </c>
    </row>
    <row r="2982" spans="1:11" x14ac:dyDescent="0.35">
      <c r="A2982" t="s">
        <v>3427</v>
      </c>
      <c r="B2982" s="1">
        <v>0</v>
      </c>
      <c r="C2982" t="s">
        <v>5479</v>
      </c>
      <c r="D2982" t="s">
        <v>5264</v>
      </c>
      <c r="E2982" t="s">
        <v>5422</v>
      </c>
      <c r="F2982" t="s">
        <v>5050</v>
      </c>
      <c r="G2982" t="s">
        <v>5177</v>
      </c>
      <c r="H2982" t="s">
        <v>2151</v>
      </c>
      <c r="J2982" t="s">
        <v>3427</v>
      </c>
      <c r="K2982">
        <v>171.8</v>
      </c>
    </row>
    <row r="2983" spans="1:11" x14ac:dyDescent="0.35">
      <c r="A2983" s="2">
        <v>42795</v>
      </c>
      <c r="B2983" s="1">
        <v>0</v>
      </c>
      <c r="C2983" t="s">
        <v>5499</v>
      </c>
      <c r="D2983" t="s">
        <v>5090</v>
      </c>
      <c r="E2983" t="s">
        <v>5425</v>
      </c>
      <c r="F2983" t="s">
        <v>5050</v>
      </c>
      <c r="G2983" t="s">
        <v>5195</v>
      </c>
      <c r="H2983" t="s">
        <v>581</v>
      </c>
      <c r="J2983" s="2">
        <v>42795</v>
      </c>
      <c r="K2983">
        <v>168.8</v>
      </c>
    </row>
    <row r="2984" spans="1:11" x14ac:dyDescent="0.35">
      <c r="A2984" s="2">
        <v>42796</v>
      </c>
      <c r="B2984" s="1">
        <v>0</v>
      </c>
      <c r="C2984" t="s">
        <v>5610</v>
      </c>
      <c r="D2984" t="s">
        <v>5198</v>
      </c>
      <c r="E2984" t="s">
        <v>5185</v>
      </c>
      <c r="F2984" t="s">
        <v>5078</v>
      </c>
      <c r="G2984" t="s">
        <v>5227</v>
      </c>
      <c r="H2984" t="s">
        <v>163</v>
      </c>
      <c r="J2984" s="2">
        <v>42796</v>
      </c>
      <c r="K2984">
        <v>176.7</v>
      </c>
    </row>
    <row r="2985" spans="1:11" x14ac:dyDescent="0.35">
      <c r="A2985" s="2">
        <v>42797</v>
      </c>
      <c r="B2985" s="1">
        <v>0</v>
      </c>
      <c r="C2985" t="s">
        <v>5644</v>
      </c>
      <c r="D2985" t="s">
        <v>5108</v>
      </c>
      <c r="E2985" t="s">
        <v>5283</v>
      </c>
      <c r="F2985" t="s">
        <v>5078</v>
      </c>
      <c r="G2985" t="s">
        <v>5227</v>
      </c>
      <c r="H2985" t="s">
        <v>722</v>
      </c>
      <c r="J2985" s="2">
        <v>42797</v>
      </c>
      <c r="K2985">
        <v>176.6</v>
      </c>
    </row>
    <row r="2986" spans="1:11" x14ac:dyDescent="0.35">
      <c r="A2986" s="2">
        <v>42798</v>
      </c>
      <c r="B2986" s="1">
        <v>0</v>
      </c>
      <c r="C2986" t="s">
        <v>5267</v>
      </c>
      <c r="D2986" t="s">
        <v>5154</v>
      </c>
      <c r="E2986" t="s">
        <v>5417</v>
      </c>
      <c r="F2986" t="s">
        <v>5078</v>
      </c>
      <c r="G2986" t="s">
        <v>5227</v>
      </c>
      <c r="H2986" t="s">
        <v>5040</v>
      </c>
      <c r="J2986" s="2">
        <v>42798</v>
      </c>
      <c r="K2986">
        <v>178.9</v>
      </c>
    </row>
    <row r="2987" spans="1:11" x14ac:dyDescent="0.35">
      <c r="A2987" s="2">
        <v>42799</v>
      </c>
      <c r="B2987" s="1">
        <v>0</v>
      </c>
      <c r="C2987" t="s">
        <v>386</v>
      </c>
      <c r="D2987" t="s">
        <v>5485</v>
      </c>
      <c r="E2987" t="s">
        <v>5064</v>
      </c>
      <c r="F2987" t="s">
        <v>5078</v>
      </c>
      <c r="G2987" t="s">
        <v>5207</v>
      </c>
      <c r="H2987" t="s">
        <v>54</v>
      </c>
      <c r="J2987" s="2">
        <v>42799</v>
      </c>
      <c r="K2987">
        <v>187.7</v>
      </c>
    </row>
    <row r="2988" spans="1:11" x14ac:dyDescent="0.35">
      <c r="A2988" s="2">
        <v>42800</v>
      </c>
      <c r="B2988" s="1">
        <v>0</v>
      </c>
      <c r="C2988" t="s">
        <v>1055</v>
      </c>
      <c r="D2988" t="s">
        <v>5083</v>
      </c>
      <c r="E2988" t="s">
        <v>5234</v>
      </c>
      <c r="F2988" t="s">
        <v>5078</v>
      </c>
      <c r="G2988" t="s">
        <v>5222</v>
      </c>
      <c r="H2988" t="s">
        <v>1331</v>
      </c>
      <c r="J2988" s="2">
        <v>42800</v>
      </c>
      <c r="K2988">
        <v>197.2</v>
      </c>
    </row>
    <row r="2989" spans="1:11" x14ac:dyDescent="0.35">
      <c r="A2989" s="2">
        <v>42801</v>
      </c>
      <c r="B2989" s="1">
        <v>0</v>
      </c>
      <c r="C2989" t="s">
        <v>2918</v>
      </c>
      <c r="D2989" t="s">
        <v>5484</v>
      </c>
      <c r="E2989" t="s">
        <v>5175</v>
      </c>
      <c r="F2989" t="s">
        <v>5078</v>
      </c>
      <c r="G2989" t="s">
        <v>5222</v>
      </c>
      <c r="H2989" t="s">
        <v>86</v>
      </c>
      <c r="J2989" s="2">
        <v>42801</v>
      </c>
      <c r="K2989">
        <v>199.7</v>
      </c>
    </row>
    <row r="2990" spans="1:11" x14ac:dyDescent="0.35">
      <c r="A2990" s="2">
        <v>42802</v>
      </c>
      <c r="B2990" s="1">
        <v>0</v>
      </c>
      <c r="C2990" t="s">
        <v>2604</v>
      </c>
      <c r="D2990" t="s">
        <v>5484</v>
      </c>
      <c r="E2990" t="s">
        <v>5167</v>
      </c>
      <c r="F2990" t="s">
        <v>5078</v>
      </c>
      <c r="G2990" t="s">
        <v>5230</v>
      </c>
      <c r="H2990" t="s">
        <v>220</v>
      </c>
      <c r="J2990" s="2">
        <v>42802</v>
      </c>
      <c r="K2990">
        <v>201.9</v>
      </c>
    </row>
    <row r="2991" spans="1:11" x14ac:dyDescent="0.35">
      <c r="A2991" s="2">
        <v>42803</v>
      </c>
      <c r="B2991" s="1">
        <v>0</v>
      </c>
      <c r="C2991" t="s">
        <v>1524</v>
      </c>
      <c r="D2991" t="s">
        <v>5094</v>
      </c>
      <c r="E2991" t="s">
        <v>5204</v>
      </c>
      <c r="F2991" t="s">
        <v>5078</v>
      </c>
      <c r="G2991" t="s">
        <v>5046</v>
      </c>
      <c r="H2991" t="s">
        <v>1648</v>
      </c>
      <c r="J2991" s="2">
        <v>42803</v>
      </c>
      <c r="K2991">
        <v>199.4</v>
      </c>
    </row>
    <row r="2992" spans="1:11" x14ac:dyDescent="0.35">
      <c r="A2992" s="2">
        <v>42804</v>
      </c>
      <c r="B2992" s="1">
        <v>0</v>
      </c>
      <c r="C2992" t="s">
        <v>3496</v>
      </c>
      <c r="D2992" t="s">
        <v>5519</v>
      </c>
      <c r="E2992" t="s">
        <v>5169</v>
      </c>
      <c r="F2992" t="s">
        <v>5078</v>
      </c>
      <c r="G2992" t="s">
        <v>5230</v>
      </c>
      <c r="H2992" t="s">
        <v>2510</v>
      </c>
      <c r="J2992" s="2">
        <v>42804</v>
      </c>
      <c r="K2992">
        <v>188.7</v>
      </c>
    </row>
    <row r="2993" spans="1:11" x14ac:dyDescent="0.35">
      <c r="A2993" s="2">
        <v>42805</v>
      </c>
      <c r="B2993" s="1">
        <v>0</v>
      </c>
      <c r="C2993" t="s">
        <v>382</v>
      </c>
      <c r="D2993" t="s">
        <v>5505</v>
      </c>
      <c r="E2993" t="s">
        <v>5524</v>
      </c>
      <c r="F2993" t="s">
        <v>5078</v>
      </c>
      <c r="G2993" t="s">
        <v>5230</v>
      </c>
      <c r="H2993" t="s">
        <v>1337</v>
      </c>
      <c r="J2993" s="2">
        <v>42805</v>
      </c>
      <c r="K2993">
        <v>181.2</v>
      </c>
    </row>
    <row r="2994" spans="1:11" x14ac:dyDescent="0.35">
      <c r="A2994" s="2">
        <v>42806</v>
      </c>
      <c r="B2994" s="1">
        <v>0</v>
      </c>
      <c r="C2994" t="s">
        <v>1011</v>
      </c>
      <c r="D2994" t="s">
        <v>5241</v>
      </c>
      <c r="E2994" t="s">
        <v>5070</v>
      </c>
      <c r="F2994" t="s">
        <v>5078</v>
      </c>
      <c r="G2994" t="s">
        <v>5046</v>
      </c>
      <c r="H2994" t="s">
        <v>3081</v>
      </c>
      <c r="J2994" s="2">
        <v>42806</v>
      </c>
      <c r="K2994">
        <v>183</v>
      </c>
    </row>
    <row r="2995" spans="1:11" x14ac:dyDescent="0.35">
      <c r="A2995" s="2">
        <v>42807</v>
      </c>
      <c r="B2995" s="1">
        <v>0</v>
      </c>
      <c r="C2995" t="s">
        <v>467</v>
      </c>
      <c r="D2995" t="s">
        <v>5534</v>
      </c>
      <c r="E2995" t="s">
        <v>5202</v>
      </c>
      <c r="F2995" t="s">
        <v>5078</v>
      </c>
      <c r="G2995" t="s">
        <v>5179</v>
      </c>
      <c r="H2995" t="s">
        <v>3143</v>
      </c>
      <c r="J2995" s="2">
        <v>42807</v>
      </c>
      <c r="K2995">
        <v>199.1</v>
      </c>
    </row>
    <row r="2996" spans="1:11" x14ac:dyDescent="0.35">
      <c r="A2996" s="2">
        <v>42808</v>
      </c>
      <c r="B2996" s="1">
        <v>0</v>
      </c>
      <c r="C2996" t="s">
        <v>5735</v>
      </c>
      <c r="D2996" t="s">
        <v>5091</v>
      </c>
      <c r="E2996" t="s">
        <v>5236</v>
      </c>
      <c r="F2996" t="s">
        <v>5215</v>
      </c>
      <c r="G2996" t="s">
        <v>5475</v>
      </c>
      <c r="H2996" t="s">
        <v>3656</v>
      </c>
      <c r="J2996" s="2">
        <v>42808</v>
      </c>
      <c r="K2996">
        <v>224.3</v>
      </c>
    </row>
    <row r="2997" spans="1:11" x14ac:dyDescent="0.35">
      <c r="A2997" s="2">
        <v>42809</v>
      </c>
      <c r="B2997" s="1">
        <v>0</v>
      </c>
      <c r="C2997" t="s">
        <v>1100</v>
      </c>
      <c r="D2997" t="s">
        <v>5259</v>
      </c>
      <c r="E2997" t="s">
        <v>5123</v>
      </c>
      <c r="F2997" t="s">
        <v>5215</v>
      </c>
      <c r="G2997" t="s">
        <v>5124</v>
      </c>
      <c r="H2997" t="s">
        <v>634</v>
      </c>
      <c r="J2997" s="2">
        <v>42809</v>
      </c>
      <c r="K2997">
        <v>244.4</v>
      </c>
    </row>
    <row r="2998" spans="1:11" x14ac:dyDescent="0.35">
      <c r="A2998" s="2">
        <v>42810</v>
      </c>
      <c r="B2998" s="1">
        <v>0</v>
      </c>
      <c r="C2998" t="s">
        <v>2290</v>
      </c>
      <c r="D2998" t="s">
        <v>5128</v>
      </c>
      <c r="E2998" t="s">
        <v>5113</v>
      </c>
      <c r="F2998" t="s">
        <v>5215</v>
      </c>
      <c r="G2998" t="s">
        <v>5095</v>
      </c>
      <c r="H2998" t="s">
        <v>5799</v>
      </c>
      <c r="J2998" s="2">
        <v>42810</v>
      </c>
      <c r="K2998">
        <v>247.2</v>
      </c>
    </row>
    <row r="2999" spans="1:11" x14ac:dyDescent="0.35">
      <c r="A2999" s="2">
        <v>42811</v>
      </c>
      <c r="B2999" s="1">
        <v>0</v>
      </c>
      <c r="C2999" t="s">
        <v>3224</v>
      </c>
      <c r="D2999" t="s">
        <v>5630</v>
      </c>
      <c r="E2999" t="s">
        <v>5120</v>
      </c>
      <c r="F2999" t="s">
        <v>5215</v>
      </c>
      <c r="G2999" t="s">
        <v>5215</v>
      </c>
      <c r="H2999" t="s">
        <v>1663</v>
      </c>
      <c r="J2999" s="2">
        <v>42811</v>
      </c>
      <c r="K2999">
        <v>233.9</v>
      </c>
    </row>
    <row r="3000" spans="1:11" x14ac:dyDescent="0.35">
      <c r="A3000" s="2">
        <v>42812</v>
      </c>
      <c r="B3000" s="1">
        <v>0</v>
      </c>
      <c r="C3000" t="s">
        <v>323</v>
      </c>
      <c r="D3000" t="s">
        <v>5142</v>
      </c>
      <c r="E3000" t="s">
        <v>5208</v>
      </c>
      <c r="F3000" t="s">
        <v>5215</v>
      </c>
      <c r="G3000" t="s">
        <v>5412</v>
      </c>
      <c r="H3000" t="s">
        <v>3886</v>
      </c>
      <c r="J3000" s="2">
        <v>42812</v>
      </c>
      <c r="K3000">
        <v>213.1</v>
      </c>
    </row>
    <row r="3001" spans="1:11" x14ac:dyDescent="0.35">
      <c r="A3001" s="2">
        <v>42813</v>
      </c>
      <c r="B3001" s="1">
        <v>0</v>
      </c>
      <c r="C3001" t="s">
        <v>352</v>
      </c>
      <c r="D3001" t="s">
        <v>5392</v>
      </c>
      <c r="E3001" t="s">
        <v>5434</v>
      </c>
      <c r="F3001" t="s">
        <v>5215</v>
      </c>
      <c r="G3001" t="s">
        <v>5240</v>
      </c>
      <c r="H3001" t="s">
        <v>613</v>
      </c>
      <c r="J3001" s="2">
        <v>42813</v>
      </c>
      <c r="K3001">
        <v>205</v>
      </c>
    </row>
    <row r="3002" spans="1:11" x14ac:dyDescent="0.35">
      <c r="A3002" s="2">
        <v>42814</v>
      </c>
      <c r="B3002" s="1">
        <v>0</v>
      </c>
      <c r="C3002" t="s">
        <v>323</v>
      </c>
      <c r="D3002" t="s">
        <v>5233</v>
      </c>
      <c r="E3002" t="s">
        <v>5239</v>
      </c>
      <c r="F3002" t="s">
        <v>5215</v>
      </c>
      <c r="G3002" t="s">
        <v>5240</v>
      </c>
      <c r="H3002" t="s">
        <v>1239</v>
      </c>
      <c r="J3002" s="2">
        <v>42814</v>
      </c>
      <c r="K3002">
        <v>216.1</v>
      </c>
    </row>
    <row r="3003" spans="1:11" x14ac:dyDescent="0.35">
      <c r="A3003" s="2">
        <v>42815</v>
      </c>
      <c r="B3003" s="1">
        <v>0</v>
      </c>
      <c r="C3003" t="s">
        <v>4383</v>
      </c>
      <c r="D3003" t="s">
        <v>5212</v>
      </c>
      <c r="E3003" t="s">
        <v>5081</v>
      </c>
      <c r="F3003" t="s">
        <v>5215</v>
      </c>
      <c r="G3003" t="s">
        <v>5065</v>
      </c>
      <c r="H3003" t="s">
        <v>1308</v>
      </c>
      <c r="J3003" s="2">
        <v>42815</v>
      </c>
      <c r="K3003">
        <v>232.1</v>
      </c>
    </row>
    <row r="3004" spans="1:11" x14ac:dyDescent="0.35">
      <c r="A3004" s="2">
        <v>42816</v>
      </c>
      <c r="B3004" s="1">
        <v>0</v>
      </c>
      <c r="C3004" t="s">
        <v>2225</v>
      </c>
      <c r="D3004" t="s">
        <v>5212</v>
      </c>
      <c r="E3004" t="s">
        <v>5182</v>
      </c>
      <c r="F3004" t="s">
        <v>5215</v>
      </c>
      <c r="G3004" t="s">
        <v>5099</v>
      </c>
      <c r="H3004" t="s">
        <v>2060</v>
      </c>
      <c r="J3004" s="2">
        <v>42816</v>
      </c>
      <c r="K3004">
        <v>240.8</v>
      </c>
    </row>
    <row r="3005" spans="1:11" x14ac:dyDescent="0.35">
      <c r="A3005" s="2">
        <v>42817</v>
      </c>
      <c r="B3005" s="1">
        <v>0</v>
      </c>
      <c r="C3005" t="s">
        <v>1548</v>
      </c>
      <c r="D3005" t="s">
        <v>5242</v>
      </c>
      <c r="E3005" t="s">
        <v>5060</v>
      </c>
      <c r="F3005" t="s">
        <v>5215</v>
      </c>
      <c r="G3005" t="s">
        <v>5116</v>
      </c>
      <c r="H3005" t="s">
        <v>5667</v>
      </c>
      <c r="J3005" s="2">
        <v>42817</v>
      </c>
      <c r="K3005">
        <v>244.1</v>
      </c>
    </row>
    <row r="3006" spans="1:11" x14ac:dyDescent="0.35">
      <c r="A3006" s="2">
        <v>42818</v>
      </c>
      <c r="B3006" s="1">
        <v>0</v>
      </c>
      <c r="C3006" t="s">
        <v>1924</v>
      </c>
      <c r="D3006" t="s">
        <v>5583</v>
      </c>
      <c r="E3006" t="s">
        <v>5098</v>
      </c>
      <c r="F3006" t="s">
        <v>5215</v>
      </c>
      <c r="G3006" t="s">
        <v>5110</v>
      </c>
      <c r="H3006" t="s">
        <v>1255</v>
      </c>
      <c r="J3006" s="2">
        <v>42818</v>
      </c>
      <c r="K3006">
        <v>242</v>
      </c>
    </row>
    <row r="3007" spans="1:11" x14ac:dyDescent="0.35">
      <c r="A3007" s="2">
        <v>42819</v>
      </c>
      <c r="B3007" s="1">
        <v>0</v>
      </c>
      <c r="C3007" t="s">
        <v>3802</v>
      </c>
      <c r="D3007" t="s">
        <v>5574</v>
      </c>
      <c r="E3007" t="s">
        <v>5160</v>
      </c>
      <c r="F3007" t="s">
        <v>5215</v>
      </c>
      <c r="G3007" t="s">
        <v>5095</v>
      </c>
      <c r="H3007" t="s">
        <v>3602</v>
      </c>
      <c r="J3007" s="2">
        <v>42819</v>
      </c>
      <c r="K3007">
        <v>233.4</v>
      </c>
    </row>
    <row r="3008" spans="1:11" x14ac:dyDescent="0.35">
      <c r="A3008" s="2">
        <v>42820</v>
      </c>
      <c r="B3008" s="1">
        <v>0</v>
      </c>
      <c r="C3008" t="s">
        <v>2265</v>
      </c>
      <c r="D3008" t="s">
        <v>5483</v>
      </c>
      <c r="E3008" t="s">
        <v>5197</v>
      </c>
      <c r="F3008" t="s">
        <v>5215</v>
      </c>
      <c r="G3008" t="s">
        <v>5183</v>
      </c>
      <c r="H3008" t="s">
        <v>3730</v>
      </c>
      <c r="J3008" s="2">
        <v>42820</v>
      </c>
      <c r="K3008">
        <v>221.1</v>
      </c>
    </row>
    <row r="3009" spans="1:11" x14ac:dyDescent="0.35">
      <c r="A3009" s="2">
        <v>42821</v>
      </c>
      <c r="B3009" s="1">
        <v>0</v>
      </c>
      <c r="C3009" t="s">
        <v>361</v>
      </c>
      <c r="D3009" t="s">
        <v>5478</v>
      </c>
      <c r="E3009" t="s">
        <v>5076</v>
      </c>
      <c r="F3009" t="s">
        <v>5215</v>
      </c>
      <c r="G3009" t="s">
        <v>5062</v>
      </c>
      <c r="H3009" t="s">
        <v>1298</v>
      </c>
      <c r="J3009" s="2">
        <v>42821</v>
      </c>
      <c r="K3009">
        <v>210.7</v>
      </c>
    </row>
    <row r="3010" spans="1:11" x14ac:dyDescent="0.35">
      <c r="A3010" s="2">
        <v>42822</v>
      </c>
      <c r="B3010" s="1">
        <v>0</v>
      </c>
      <c r="C3010" t="s">
        <v>352</v>
      </c>
      <c r="D3010" t="s">
        <v>5279</v>
      </c>
      <c r="E3010" t="s">
        <v>5221</v>
      </c>
      <c r="F3010" t="s">
        <v>5078</v>
      </c>
      <c r="G3010" t="s">
        <v>5179</v>
      </c>
      <c r="H3010" t="s">
        <v>2144</v>
      </c>
      <c r="J3010" s="2">
        <v>42822</v>
      </c>
      <c r="K3010">
        <v>203.9</v>
      </c>
    </row>
    <row r="3011" spans="1:11" x14ac:dyDescent="0.35">
      <c r="A3011" s="2">
        <v>42823</v>
      </c>
      <c r="B3011" s="1">
        <v>0</v>
      </c>
      <c r="C3011" t="s">
        <v>1525</v>
      </c>
      <c r="D3011" t="s">
        <v>5101</v>
      </c>
      <c r="E3011" t="s">
        <v>5076</v>
      </c>
      <c r="F3011" t="s">
        <v>5078</v>
      </c>
      <c r="G3011" t="s">
        <v>5050</v>
      </c>
      <c r="H3011" t="s">
        <v>220</v>
      </c>
      <c r="J3011" s="2">
        <v>42823</v>
      </c>
      <c r="K3011">
        <v>201.9</v>
      </c>
    </row>
    <row r="3012" spans="1:11" x14ac:dyDescent="0.35">
      <c r="A3012" s="2">
        <v>42824</v>
      </c>
      <c r="B3012" s="1">
        <v>0</v>
      </c>
      <c r="C3012" t="s">
        <v>330</v>
      </c>
      <c r="D3012" t="s">
        <v>5577</v>
      </c>
      <c r="E3012" t="s">
        <v>5219</v>
      </c>
      <c r="F3012" t="s">
        <v>5078</v>
      </c>
      <c r="G3012" t="s">
        <v>5046</v>
      </c>
      <c r="H3012" t="s">
        <v>1302</v>
      </c>
      <c r="J3012" s="2">
        <v>42824</v>
      </c>
      <c r="K3012">
        <v>210.2</v>
      </c>
    </row>
    <row r="3013" spans="1:11" x14ac:dyDescent="0.35">
      <c r="A3013" s="2">
        <v>42825</v>
      </c>
      <c r="B3013" s="1">
        <v>0</v>
      </c>
      <c r="C3013" t="s">
        <v>1483</v>
      </c>
      <c r="D3013" t="s">
        <v>5084</v>
      </c>
      <c r="E3013" t="s">
        <v>5249</v>
      </c>
      <c r="F3013" t="s">
        <v>5078</v>
      </c>
      <c r="G3013" t="s">
        <v>5050</v>
      </c>
      <c r="H3013" t="s">
        <v>616</v>
      </c>
      <c r="J3013" s="2">
        <v>42825</v>
      </c>
      <c r="K3013">
        <v>218.7</v>
      </c>
    </row>
    <row r="3014" spans="1:11" x14ac:dyDescent="0.35">
      <c r="A3014" t="s">
        <v>3431</v>
      </c>
      <c r="B3014" s="1">
        <v>0</v>
      </c>
      <c r="C3014" t="s">
        <v>337</v>
      </c>
      <c r="D3014" t="s">
        <v>5574</v>
      </c>
      <c r="E3014" t="s">
        <v>5306</v>
      </c>
      <c r="F3014" t="s">
        <v>5078</v>
      </c>
      <c r="G3014" t="s">
        <v>5050</v>
      </c>
      <c r="H3014" t="s">
        <v>3980</v>
      </c>
      <c r="J3014" t="s">
        <v>3431</v>
      </c>
      <c r="K3014">
        <v>211.7</v>
      </c>
    </row>
    <row r="3015" spans="1:11" x14ac:dyDescent="0.35">
      <c r="A3015" t="s">
        <v>3432</v>
      </c>
      <c r="B3015" s="1">
        <v>0</v>
      </c>
      <c r="C3015" t="s">
        <v>3211</v>
      </c>
      <c r="D3015" t="s">
        <v>5117</v>
      </c>
      <c r="E3015" t="s">
        <v>5071</v>
      </c>
      <c r="F3015" t="s">
        <v>5077</v>
      </c>
      <c r="G3015" t="s">
        <v>5046</v>
      </c>
      <c r="H3015" t="s">
        <v>753</v>
      </c>
      <c r="J3015" t="s">
        <v>3432</v>
      </c>
      <c r="K3015">
        <v>204.1</v>
      </c>
    </row>
    <row r="3016" spans="1:11" x14ac:dyDescent="0.35">
      <c r="A3016" t="s">
        <v>3433</v>
      </c>
      <c r="B3016" s="1">
        <v>0</v>
      </c>
      <c r="C3016" t="s">
        <v>371</v>
      </c>
      <c r="D3016" t="s">
        <v>5193</v>
      </c>
      <c r="E3016" t="s">
        <v>5323</v>
      </c>
      <c r="F3016" t="s">
        <v>5077</v>
      </c>
      <c r="G3016" t="s">
        <v>5230</v>
      </c>
      <c r="H3016" t="s">
        <v>4257</v>
      </c>
      <c r="J3016" t="s">
        <v>3433</v>
      </c>
      <c r="K3016">
        <v>189.7</v>
      </c>
    </row>
    <row r="3017" spans="1:11" x14ac:dyDescent="0.35">
      <c r="A3017" t="s">
        <v>3434</v>
      </c>
      <c r="B3017" s="1">
        <v>0</v>
      </c>
      <c r="C3017" t="s">
        <v>437</v>
      </c>
      <c r="D3017" t="s">
        <v>5519</v>
      </c>
      <c r="E3017" t="s">
        <v>5286</v>
      </c>
      <c r="F3017" t="s">
        <v>5077</v>
      </c>
      <c r="G3017" t="s">
        <v>5230</v>
      </c>
      <c r="H3017" t="s">
        <v>3429</v>
      </c>
      <c r="J3017" t="s">
        <v>3434</v>
      </c>
      <c r="K3017">
        <v>183.7</v>
      </c>
    </row>
    <row r="3018" spans="1:11" x14ac:dyDescent="0.35">
      <c r="A3018" t="s">
        <v>3435</v>
      </c>
      <c r="B3018" s="1">
        <v>0</v>
      </c>
      <c r="C3018" t="s">
        <v>405</v>
      </c>
      <c r="D3018" t="s">
        <v>5505</v>
      </c>
      <c r="E3018" t="s">
        <v>5169</v>
      </c>
      <c r="F3018" t="s">
        <v>5077</v>
      </c>
      <c r="G3018" t="s">
        <v>5222</v>
      </c>
      <c r="H3018" t="s">
        <v>183</v>
      </c>
      <c r="J3018" t="s">
        <v>3435</v>
      </c>
      <c r="K3018">
        <v>181.4</v>
      </c>
    </row>
    <row r="3019" spans="1:11" x14ac:dyDescent="0.35">
      <c r="A3019" t="s">
        <v>3436</v>
      </c>
      <c r="B3019" s="1">
        <v>0</v>
      </c>
      <c r="C3019" t="s">
        <v>5614</v>
      </c>
      <c r="D3019" t="s">
        <v>5437</v>
      </c>
      <c r="E3019" t="s">
        <v>5185</v>
      </c>
      <c r="F3019" t="s">
        <v>5077</v>
      </c>
      <c r="G3019" t="s">
        <v>5207</v>
      </c>
      <c r="H3019" t="s">
        <v>2525</v>
      </c>
      <c r="J3019" t="s">
        <v>3436</v>
      </c>
      <c r="K3019">
        <v>173.4</v>
      </c>
    </row>
    <row r="3020" spans="1:11" x14ac:dyDescent="0.35">
      <c r="A3020" t="s">
        <v>3437</v>
      </c>
      <c r="B3020" s="1">
        <v>0</v>
      </c>
      <c r="C3020" t="s">
        <v>5535</v>
      </c>
      <c r="D3020" t="s">
        <v>5213</v>
      </c>
      <c r="E3020" t="s">
        <v>5289</v>
      </c>
      <c r="F3020" t="s">
        <v>5077</v>
      </c>
      <c r="G3020" t="s">
        <v>5224</v>
      </c>
      <c r="H3020" t="s">
        <v>1389</v>
      </c>
      <c r="J3020" t="s">
        <v>3437</v>
      </c>
      <c r="K3020">
        <v>163.6</v>
      </c>
    </row>
    <row r="3021" spans="1:11" x14ac:dyDescent="0.35">
      <c r="A3021" t="s">
        <v>3438</v>
      </c>
      <c r="B3021" s="1">
        <v>0</v>
      </c>
      <c r="C3021" t="s">
        <v>5217</v>
      </c>
      <c r="D3021" t="s">
        <v>5067</v>
      </c>
      <c r="E3021" t="s">
        <v>5289</v>
      </c>
      <c r="F3021" t="s">
        <v>5077</v>
      </c>
      <c r="G3021" t="s">
        <v>5226</v>
      </c>
      <c r="H3021" t="s">
        <v>1627</v>
      </c>
      <c r="J3021" t="s">
        <v>3438</v>
      </c>
      <c r="K3021">
        <v>161.5</v>
      </c>
    </row>
    <row r="3022" spans="1:11" x14ac:dyDescent="0.35">
      <c r="A3022" t="s">
        <v>3439</v>
      </c>
      <c r="B3022" s="1">
        <v>0</v>
      </c>
      <c r="C3022" t="s">
        <v>5503</v>
      </c>
      <c r="D3022" t="s">
        <v>5440</v>
      </c>
      <c r="E3022" t="s">
        <v>5420</v>
      </c>
      <c r="F3022" t="s">
        <v>5077</v>
      </c>
      <c r="G3022" t="s">
        <v>5321</v>
      </c>
      <c r="H3022" t="s">
        <v>4155</v>
      </c>
      <c r="J3022" t="s">
        <v>3439</v>
      </c>
      <c r="K3022">
        <v>174.5</v>
      </c>
    </row>
    <row r="3023" spans="1:11" x14ac:dyDescent="0.35">
      <c r="A3023" t="s">
        <v>3440</v>
      </c>
      <c r="B3023" s="1">
        <v>0</v>
      </c>
      <c r="C3023" t="s">
        <v>2602</v>
      </c>
      <c r="D3023" t="s">
        <v>5533</v>
      </c>
      <c r="E3023" t="s">
        <v>5056</v>
      </c>
      <c r="F3023" t="s">
        <v>5077</v>
      </c>
      <c r="G3023" t="s">
        <v>5174</v>
      </c>
      <c r="H3023" t="s">
        <v>249</v>
      </c>
      <c r="J3023" t="s">
        <v>3440</v>
      </c>
      <c r="K3023">
        <v>196.7</v>
      </c>
    </row>
    <row r="3024" spans="1:11" x14ac:dyDescent="0.35">
      <c r="A3024" t="s">
        <v>3441</v>
      </c>
      <c r="B3024" s="1">
        <v>0</v>
      </c>
      <c r="C3024" t="s">
        <v>474</v>
      </c>
      <c r="D3024" t="s">
        <v>5393</v>
      </c>
      <c r="E3024" t="s">
        <v>5068</v>
      </c>
      <c r="F3024" t="s">
        <v>5077</v>
      </c>
      <c r="G3024" t="s">
        <v>5412</v>
      </c>
      <c r="H3024" t="s">
        <v>2696</v>
      </c>
      <c r="J3024" t="s">
        <v>3441</v>
      </c>
      <c r="K3024">
        <v>216.4</v>
      </c>
    </row>
    <row r="3025" spans="1:11" x14ac:dyDescent="0.35">
      <c r="A3025" t="s">
        <v>3442</v>
      </c>
      <c r="B3025" s="1">
        <v>0</v>
      </c>
      <c r="C3025" t="s">
        <v>972</v>
      </c>
      <c r="D3025" t="s">
        <v>5512</v>
      </c>
      <c r="E3025" t="s">
        <v>5066</v>
      </c>
      <c r="F3025" t="s">
        <v>5089</v>
      </c>
      <c r="G3025" t="s">
        <v>5099</v>
      </c>
      <c r="H3025" t="s">
        <v>1242</v>
      </c>
      <c r="J3025" t="s">
        <v>3442</v>
      </c>
      <c r="K3025">
        <v>236</v>
      </c>
    </row>
    <row r="3026" spans="1:11" x14ac:dyDescent="0.35">
      <c r="A3026" t="s">
        <v>3443</v>
      </c>
      <c r="B3026" s="1">
        <v>0</v>
      </c>
      <c r="C3026" t="s">
        <v>1095</v>
      </c>
      <c r="D3026" t="s">
        <v>5536</v>
      </c>
      <c r="E3026" t="s">
        <v>5272</v>
      </c>
      <c r="F3026" t="s">
        <v>5089</v>
      </c>
      <c r="G3026" t="s">
        <v>5082</v>
      </c>
      <c r="H3026" t="s">
        <v>5777</v>
      </c>
      <c r="J3026" t="s">
        <v>3443</v>
      </c>
      <c r="K3026">
        <v>251.5</v>
      </c>
    </row>
    <row r="3027" spans="1:11" x14ac:dyDescent="0.35">
      <c r="A3027" t="s">
        <v>3444</v>
      </c>
      <c r="B3027" s="1">
        <v>0</v>
      </c>
      <c r="C3027" t="s">
        <v>302</v>
      </c>
      <c r="D3027" t="s">
        <v>5626</v>
      </c>
      <c r="E3027" t="s">
        <v>5121</v>
      </c>
      <c r="F3027" t="s">
        <v>5089</v>
      </c>
      <c r="G3027" t="s">
        <v>5095</v>
      </c>
      <c r="H3027" t="s">
        <v>5721</v>
      </c>
      <c r="J3027" t="s">
        <v>3444</v>
      </c>
      <c r="K3027">
        <v>261.8</v>
      </c>
    </row>
    <row r="3028" spans="1:11" x14ac:dyDescent="0.35">
      <c r="A3028" t="s">
        <v>3445</v>
      </c>
      <c r="B3028" s="1">
        <v>0</v>
      </c>
      <c r="C3028" t="s">
        <v>1107</v>
      </c>
      <c r="D3028" t="s">
        <v>5514</v>
      </c>
      <c r="E3028" t="s">
        <v>5444</v>
      </c>
      <c r="F3028" t="s">
        <v>5358</v>
      </c>
      <c r="G3028" t="s">
        <v>5078</v>
      </c>
      <c r="H3028" t="s">
        <v>4480</v>
      </c>
      <c r="J3028" t="s">
        <v>3445</v>
      </c>
      <c r="K3028">
        <v>267</v>
      </c>
    </row>
    <row r="3029" spans="1:11" x14ac:dyDescent="0.35">
      <c r="A3029" t="s">
        <v>3446</v>
      </c>
      <c r="B3029" s="1">
        <v>0</v>
      </c>
      <c r="C3029" t="s">
        <v>304</v>
      </c>
      <c r="D3029" t="s">
        <v>5635</v>
      </c>
      <c r="E3029" t="s">
        <v>5150</v>
      </c>
      <c r="F3029" t="s">
        <v>5358</v>
      </c>
      <c r="G3029" t="s">
        <v>5065</v>
      </c>
      <c r="H3029" t="s">
        <v>5800</v>
      </c>
      <c r="J3029" t="s">
        <v>3446</v>
      </c>
      <c r="K3029">
        <v>272.5</v>
      </c>
    </row>
    <row r="3030" spans="1:11" x14ac:dyDescent="0.35">
      <c r="A3030" t="s">
        <v>3447</v>
      </c>
      <c r="B3030" s="1">
        <v>0</v>
      </c>
      <c r="C3030" t="s">
        <v>2283</v>
      </c>
      <c r="D3030" t="s">
        <v>5563</v>
      </c>
      <c r="E3030" t="s">
        <v>5085</v>
      </c>
      <c r="F3030" t="s">
        <v>5358</v>
      </c>
      <c r="G3030" t="s">
        <v>5412</v>
      </c>
      <c r="H3030" t="s">
        <v>2106</v>
      </c>
      <c r="J3030" t="s">
        <v>3447</v>
      </c>
      <c r="K3030">
        <v>265.3</v>
      </c>
    </row>
    <row r="3031" spans="1:11" x14ac:dyDescent="0.35">
      <c r="A3031" t="s">
        <v>3448</v>
      </c>
      <c r="B3031" s="1">
        <v>0</v>
      </c>
      <c r="C3031" t="s">
        <v>1924</v>
      </c>
      <c r="D3031" t="s">
        <v>5457</v>
      </c>
      <c r="E3031" t="s">
        <v>5213</v>
      </c>
      <c r="F3031" t="s">
        <v>5089</v>
      </c>
      <c r="G3031" t="s">
        <v>5054</v>
      </c>
      <c r="H3031" t="s">
        <v>5769</v>
      </c>
      <c r="J3031" t="s">
        <v>3448</v>
      </c>
      <c r="K3031">
        <v>251.9</v>
      </c>
    </row>
    <row r="3032" spans="1:11" x14ac:dyDescent="0.35">
      <c r="A3032" t="s">
        <v>3449</v>
      </c>
      <c r="B3032" s="1">
        <v>0</v>
      </c>
      <c r="C3032" t="s">
        <v>3218</v>
      </c>
      <c r="D3032" t="s">
        <v>5576</v>
      </c>
      <c r="E3032" t="s">
        <v>5192</v>
      </c>
      <c r="F3032" t="s">
        <v>5089</v>
      </c>
      <c r="G3032" t="s">
        <v>5174</v>
      </c>
      <c r="H3032" t="s">
        <v>3014</v>
      </c>
      <c r="J3032" t="s">
        <v>3449</v>
      </c>
      <c r="K3032">
        <v>229.6</v>
      </c>
    </row>
    <row r="3033" spans="1:11" x14ac:dyDescent="0.35">
      <c r="A3033" t="s">
        <v>3450</v>
      </c>
      <c r="B3033" s="1">
        <v>0</v>
      </c>
      <c r="C3033" t="s">
        <v>1526</v>
      </c>
      <c r="D3033" t="s">
        <v>5481</v>
      </c>
      <c r="E3033" t="s">
        <v>5306</v>
      </c>
      <c r="F3033" t="s">
        <v>5089</v>
      </c>
      <c r="G3033" t="s">
        <v>5172</v>
      </c>
      <c r="H3033" t="s">
        <v>1300</v>
      </c>
      <c r="J3033" t="s">
        <v>3450</v>
      </c>
      <c r="K3033">
        <v>208.6</v>
      </c>
    </row>
    <row r="3034" spans="1:11" x14ac:dyDescent="0.35">
      <c r="A3034" t="s">
        <v>3451</v>
      </c>
      <c r="B3034" s="1">
        <v>0</v>
      </c>
      <c r="C3034" t="s">
        <v>1053</v>
      </c>
      <c r="D3034" t="s">
        <v>5101</v>
      </c>
      <c r="E3034" t="s">
        <v>5255</v>
      </c>
      <c r="F3034" t="s">
        <v>5077</v>
      </c>
      <c r="G3034" t="s">
        <v>5207</v>
      </c>
      <c r="H3034" t="s">
        <v>682</v>
      </c>
      <c r="J3034" t="s">
        <v>3451</v>
      </c>
      <c r="K3034">
        <v>200.2</v>
      </c>
    </row>
    <row r="3035" spans="1:11" x14ac:dyDescent="0.35">
      <c r="A3035" t="s">
        <v>3452</v>
      </c>
      <c r="B3035" s="1">
        <v>0</v>
      </c>
      <c r="C3035" t="s">
        <v>456</v>
      </c>
      <c r="D3035" t="s">
        <v>5101</v>
      </c>
      <c r="E3035" t="s">
        <v>5071</v>
      </c>
      <c r="F3035" t="s">
        <v>5077</v>
      </c>
      <c r="G3035" t="s">
        <v>5172</v>
      </c>
      <c r="H3035" t="s">
        <v>3136</v>
      </c>
      <c r="J3035" t="s">
        <v>3452</v>
      </c>
      <c r="K3035">
        <v>202.6</v>
      </c>
    </row>
    <row r="3036" spans="1:11" x14ac:dyDescent="0.35">
      <c r="A3036" t="s">
        <v>3453</v>
      </c>
      <c r="B3036" s="1">
        <v>0</v>
      </c>
      <c r="C3036" t="s">
        <v>364</v>
      </c>
      <c r="D3036" t="s">
        <v>5122</v>
      </c>
      <c r="E3036" t="s">
        <v>5102</v>
      </c>
      <c r="F3036" t="s">
        <v>5089</v>
      </c>
      <c r="G3036" t="s">
        <v>5050</v>
      </c>
      <c r="H3036" t="s">
        <v>767</v>
      </c>
      <c r="J3036" t="s">
        <v>3453</v>
      </c>
      <c r="K3036">
        <v>217.3</v>
      </c>
    </row>
    <row r="3037" spans="1:11" x14ac:dyDescent="0.35">
      <c r="A3037" t="s">
        <v>3454</v>
      </c>
      <c r="B3037" s="1">
        <v>0</v>
      </c>
      <c r="C3037" t="s">
        <v>4382</v>
      </c>
      <c r="D3037" t="s">
        <v>5542</v>
      </c>
      <c r="E3037" t="s">
        <v>5121</v>
      </c>
      <c r="F3037" t="s">
        <v>5089</v>
      </c>
      <c r="G3037" t="s">
        <v>5412</v>
      </c>
      <c r="H3037" t="s">
        <v>3603</v>
      </c>
      <c r="J3037" t="s">
        <v>3454</v>
      </c>
      <c r="K3037">
        <v>233.5</v>
      </c>
    </row>
    <row r="3038" spans="1:11" x14ac:dyDescent="0.35">
      <c r="A3038" t="s">
        <v>3455</v>
      </c>
      <c r="B3038" s="1">
        <v>0</v>
      </c>
      <c r="C3038" t="s">
        <v>975</v>
      </c>
      <c r="D3038" t="s">
        <v>5576</v>
      </c>
      <c r="E3038" t="s">
        <v>5067</v>
      </c>
      <c r="F3038" t="s">
        <v>5089</v>
      </c>
      <c r="G3038" t="s">
        <v>5183</v>
      </c>
      <c r="H3038" t="s">
        <v>5676</v>
      </c>
      <c r="J3038" t="s">
        <v>3455</v>
      </c>
      <c r="K3038">
        <v>242.1</v>
      </c>
    </row>
    <row r="3039" spans="1:11" x14ac:dyDescent="0.35">
      <c r="A3039" t="s">
        <v>3456</v>
      </c>
      <c r="B3039" s="1">
        <v>0</v>
      </c>
      <c r="C3039" t="s">
        <v>3226</v>
      </c>
      <c r="D3039" t="s">
        <v>5128</v>
      </c>
      <c r="E3039" t="s">
        <v>5251</v>
      </c>
      <c r="F3039" t="s">
        <v>5089</v>
      </c>
      <c r="G3039" t="s">
        <v>5183</v>
      </c>
      <c r="H3039" t="s">
        <v>4210</v>
      </c>
      <c r="J3039" t="s">
        <v>3456</v>
      </c>
      <c r="K3039">
        <v>240.2</v>
      </c>
    </row>
    <row r="3040" spans="1:11" x14ac:dyDescent="0.35">
      <c r="A3040" t="s">
        <v>3457</v>
      </c>
      <c r="B3040" s="1">
        <v>0</v>
      </c>
      <c r="C3040" t="s">
        <v>5646</v>
      </c>
      <c r="D3040" t="s">
        <v>5273</v>
      </c>
      <c r="E3040" t="s">
        <v>5213</v>
      </c>
      <c r="F3040" t="s">
        <v>5089</v>
      </c>
      <c r="G3040" t="s">
        <v>5065</v>
      </c>
      <c r="H3040" t="s">
        <v>1241</v>
      </c>
      <c r="J3040" t="s">
        <v>3457</v>
      </c>
      <c r="K3040">
        <v>236.3</v>
      </c>
    </row>
    <row r="3041" spans="1:11" x14ac:dyDescent="0.35">
      <c r="A3041" t="s">
        <v>3458</v>
      </c>
      <c r="B3041" s="1">
        <v>0</v>
      </c>
      <c r="C3041" t="s">
        <v>470</v>
      </c>
      <c r="D3041" t="s">
        <v>5511</v>
      </c>
      <c r="E3041" t="s">
        <v>5448</v>
      </c>
      <c r="F3041" t="s">
        <v>5089</v>
      </c>
      <c r="G3041" t="s">
        <v>5179</v>
      </c>
      <c r="H3041" t="s">
        <v>2027</v>
      </c>
      <c r="J3041" t="s">
        <v>3458</v>
      </c>
      <c r="K3041">
        <v>230.6</v>
      </c>
    </row>
    <row r="3042" spans="1:11" x14ac:dyDescent="0.35">
      <c r="A3042" t="s">
        <v>3459</v>
      </c>
      <c r="B3042" s="1">
        <v>0</v>
      </c>
      <c r="C3042" t="s">
        <v>980</v>
      </c>
      <c r="D3042" t="s">
        <v>5138</v>
      </c>
      <c r="E3042" t="s">
        <v>5249</v>
      </c>
      <c r="F3042" t="s">
        <v>5089</v>
      </c>
      <c r="G3042" t="s">
        <v>5174</v>
      </c>
      <c r="H3042" t="s">
        <v>3012</v>
      </c>
      <c r="J3042" t="s">
        <v>3459</v>
      </c>
      <c r="K3042">
        <v>216.5</v>
      </c>
    </row>
    <row r="3043" spans="1:11" x14ac:dyDescent="0.35">
      <c r="A3043" t="s">
        <v>3460</v>
      </c>
      <c r="B3043" s="1">
        <v>0</v>
      </c>
      <c r="C3043" t="s">
        <v>452</v>
      </c>
      <c r="D3043" t="s">
        <v>5534</v>
      </c>
      <c r="E3043" t="s">
        <v>5237</v>
      </c>
      <c r="F3043" t="s">
        <v>5077</v>
      </c>
      <c r="G3043" t="s">
        <v>5227</v>
      </c>
      <c r="H3043" t="s">
        <v>1264</v>
      </c>
      <c r="J3043" t="s">
        <v>3460</v>
      </c>
      <c r="K3043">
        <v>196.5</v>
      </c>
    </row>
    <row r="3044" spans="1:11" x14ac:dyDescent="0.35">
      <c r="A3044" s="2">
        <v>42856</v>
      </c>
      <c r="B3044" s="1">
        <v>0</v>
      </c>
      <c r="C3044" t="s">
        <v>5466</v>
      </c>
      <c r="D3044" t="s">
        <v>5111</v>
      </c>
      <c r="E3044" t="s">
        <v>5420</v>
      </c>
      <c r="F3044" t="s">
        <v>5077</v>
      </c>
      <c r="G3044" t="s">
        <v>5288</v>
      </c>
      <c r="H3044" t="s">
        <v>959</v>
      </c>
      <c r="J3044" s="2">
        <v>42856</v>
      </c>
      <c r="K3044">
        <v>175.2</v>
      </c>
    </row>
    <row r="3045" spans="1:11" x14ac:dyDescent="0.35">
      <c r="A3045" s="2">
        <v>42857</v>
      </c>
      <c r="B3045" s="1">
        <v>0</v>
      </c>
      <c r="C3045" t="s">
        <v>5259</v>
      </c>
      <c r="D3045" t="s">
        <v>5165</v>
      </c>
      <c r="E3045" t="s">
        <v>5415</v>
      </c>
      <c r="F3045" t="s">
        <v>5077</v>
      </c>
      <c r="G3045" t="s">
        <v>5153</v>
      </c>
      <c r="H3045" t="s">
        <v>1749</v>
      </c>
      <c r="J3045" s="2">
        <v>42857</v>
      </c>
      <c r="K3045">
        <v>158.1</v>
      </c>
    </row>
    <row r="3046" spans="1:11" x14ac:dyDescent="0.35">
      <c r="A3046" s="2">
        <v>42858</v>
      </c>
      <c r="B3046" s="1">
        <v>0</v>
      </c>
      <c r="C3046" t="s">
        <v>5484</v>
      </c>
      <c r="D3046" t="s">
        <v>5056</v>
      </c>
      <c r="E3046" t="s">
        <v>5423</v>
      </c>
      <c r="F3046" t="s">
        <v>5045</v>
      </c>
      <c r="G3046" t="s">
        <v>5411</v>
      </c>
      <c r="H3046" t="s">
        <v>1363</v>
      </c>
      <c r="J3046" s="2">
        <v>42858</v>
      </c>
      <c r="K3046">
        <v>146.30000000000001</v>
      </c>
    </row>
    <row r="3047" spans="1:11" x14ac:dyDescent="0.35">
      <c r="A3047" s="2">
        <v>42859</v>
      </c>
      <c r="B3047" s="1">
        <v>0</v>
      </c>
      <c r="C3047" t="s">
        <v>5485</v>
      </c>
      <c r="D3047" t="s">
        <v>5420</v>
      </c>
      <c r="E3047" t="s">
        <v>5430</v>
      </c>
      <c r="F3047" t="s">
        <v>5045</v>
      </c>
      <c r="G3047" t="s">
        <v>5337</v>
      </c>
      <c r="H3047" t="s">
        <v>5657</v>
      </c>
      <c r="J3047" s="2">
        <v>42859</v>
      </c>
      <c r="K3047">
        <v>138.80000000000001</v>
      </c>
    </row>
    <row r="3048" spans="1:11" x14ac:dyDescent="0.35">
      <c r="A3048" s="2">
        <v>42860</v>
      </c>
      <c r="B3048" s="1">
        <v>0</v>
      </c>
      <c r="C3048" t="s">
        <v>5505</v>
      </c>
      <c r="D3048" t="s">
        <v>5057</v>
      </c>
      <c r="E3048" t="s">
        <v>5290</v>
      </c>
      <c r="F3048" t="s">
        <v>5045</v>
      </c>
      <c r="G3048" t="s">
        <v>5339</v>
      </c>
      <c r="H3048" t="s">
        <v>1785</v>
      </c>
      <c r="J3048" s="2">
        <v>42860</v>
      </c>
      <c r="K3048">
        <v>133.69999999999999</v>
      </c>
    </row>
    <row r="3049" spans="1:11" x14ac:dyDescent="0.35">
      <c r="A3049" s="2">
        <v>42861</v>
      </c>
      <c r="B3049" s="1">
        <v>0</v>
      </c>
      <c r="C3049" t="s">
        <v>5442</v>
      </c>
      <c r="D3049" t="s">
        <v>5301</v>
      </c>
      <c r="E3049" t="s">
        <v>5290</v>
      </c>
      <c r="F3049" t="s">
        <v>5045</v>
      </c>
      <c r="G3049" t="s">
        <v>5339</v>
      </c>
      <c r="H3049" t="s">
        <v>3119</v>
      </c>
      <c r="J3049" s="2">
        <v>42861</v>
      </c>
      <c r="K3049">
        <v>133.4</v>
      </c>
    </row>
    <row r="3050" spans="1:11" x14ac:dyDescent="0.35">
      <c r="A3050" s="2">
        <v>42862</v>
      </c>
      <c r="B3050" s="1">
        <v>0</v>
      </c>
      <c r="C3050" t="s">
        <v>5080</v>
      </c>
      <c r="D3050" t="s">
        <v>5055</v>
      </c>
      <c r="E3050" t="s">
        <v>5424</v>
      </c>
      <c r="F3050" t="s">
        <v>5045</v>
      </c>
      <c r="G3050" t="s">
        <v>5411</v>
      </c>
      <c r="H3050" t="s">
        <v>1456</v>
      </c>
      <c r="J3050" s="2">
        <v>42862</v>
      </c>
      <c r="K3050">
        <v>145.19999999999999</v>
      </c>
    </row>
    <row r="3051" spans="1:11" x14ac:dyDescent="0.35">
      <c r="A3051" s="2">
        <v>42863</v>
      </c>
      <c r="B3051" s="1">
        <v>0</v>
      </c>
      <c r="C3051" t="s">
        <v>5631</v>
      </c>
      <c r="D3051" t="s">
        <v>5272</v>
      </c>
      <c r="E3051" t="s">
        <v>5299</v>
      </c>
      <c r="F3051" t="s">
        <v>5077</v>
      </c>
      <c r="G3051" t="s">
        <v>5397</v>
      </c>
      <c r="H3051" t="s">
        <v>1812</v>
      </c>
      <c r="J3051" s="2">
        <v>42863</v>
      </c>
      <c r="K3051">
        <v>169</v>
      </c>
    </row>
    <row r="3052" spans="1:11" x14ac:dyDescent="0.35">
      <c r="A3052" s="2">
        <v>42864</v>
      </c>
      <c r="B3052" s="1">
        <v>0</v>
      </c>
      <c r="C3052" t="s">
        <v>368</v>
      </c>
      <c r="D3052" t="s">
        <v>5125</v>
      </c>
      <c r="E3052" t="s">
        <v>5597</v>
      </c>
      <c r="F3052" t="s">
        <v>5077</v>
      </c>
      <c r="G3052" t="s">
        <v>5297</v>
      </c>
      <c r="H3052" t="s">
        <v>241</v>
      </c>
      <c r="J3052" s="2">
        <v>42864</v>
      </c>
      <c r="K3052">
        <v>190.1</v>
      </c>
    </row>
    <row r="3053" spans="1:11" x14ac:dyDescent="0.35">
      <c r="A3053" s="2">
        <v>42865</v>
      </c>
      <c r="B3053" s="1">
        <v>0</v>
      </c>
      <c r="C3053" t="s">
        <v>5543</v>
      </c>
      <c r="D3053" t="s">
        <v>5125</v>
      </c>
      <c r="E3053" t="s">
        <v>5061</v>
      </c>
      <c r="F3053" t="s">
        <v>5077</v>
      </c>
      <c r="G3053" t="s">
        <v>5309</v>
      </c>
      <c r="H3053" t="s">
        <v>2337</v>
      </c>
      <c r="J3053" s="2">
        <v>42865</v>
      </c>
      <c r="K3053">
        <v>192.6</v>
      </c>
    </row>
    <row r="3054" spans="1:11" x14ac:dyDescent="0.35">
      <c r="A3054" s="2">
        <v>42866</v>
      </c>
      <c r="B3054" s="1">
        <v>0</v>
      </c>
      <c r="C3054" t="s">
        <v>4641</v>
      </c>
      <c r="D3054" t="s">
        <v>5213</v>
      </c>
      <c r="E3054" t="s">
        <v>5570</v>
      </c>
      <c r="F3054" t="s">
        <v>5077</v>
      </c>
      <c r="G3054" t="s">
        <v>5294</v>
      </c>
      <c r="H3054" t="s">
        <v>183</v>
      </c>
      <c r="J3054" s="2">
        <v>42866</v>
      </c>
      <c r="K3054">
        <v>181.4</v>
      </c>
    </row>
    <row r="3055" spans="1:11" x14ac:dyDescent="0.35">
      <c r="A3055" s="2">
        <v>42867</v>
      </c>
      <c r="B3055" s="1">
        <v>0</v>
      </c>
      <c r="C3055" t="s">
        <v>5635</v>
      </c>
      <c r="D3055" t="s">
        <v>5098</v>
      </c>
      <c r="E3055" t="s">
        <v>5415</v>
      </c>
      <c r="F3055" t="s">
        <v>5077</v>
      </c>
      <c r="G3055" t="s">
        <v>5315</v>
      </c>
      <c r="H3055" t="s">
        <v>1439</v>
      </c>
      <c r="J3055" s="2">
        <v>42867</v>
      </c>
      <c r="K3055">
        <v>166</v>
      </c>
    </row>
    <row r="3056" spans="1:11" x14ac:dyDescent="0.35">
      <c r="A3056" s="2">
        <v>42868</v>
      </c>
      <c r="B3056" s="1">
        <v>0</v>
      </c>
      <c r="C3056" t="s">
        <v>5260</v>
      </c>
      <c r="D3056" t="s">
        <v>5076</v>
      </c>
      <c r="E3056" t="s">
        <v>5622</v>
      </c>
      <c r="F3056" t="s">
        <v>5077</v>
      </c>
      <c r="G3056" t="s">
        <v>5400</v>
      </c>
      <c r="H3056" t="s">
        <v>888</v>
      </c>
      <c r="J3056" s="2">
        <v>42868</v>
      </c>
      <c r="K3056">
        <v>156.4</v>
      </c>
    </row>
    <row r="3057" spans="1:11" x14ac:dyDescent="0.35">
      <c r="A3057" s="2">
        <v>42869</v>
      </c>
      <c r="B3057" s="1">
        <v>0</v>
      </c>
      <c r="C3057" t="s">
        <v>5607</v>
      </c>
      <c r="D3057" t="s">
        <v>5160</v>
      </c>
      <c r="E3057" t="s">
        <v>5320</v>
      </c>
      <c r="F3057" t="s">
        <v>5077</v>
      </c>
      <c r="G3057" t="s">
        <v>5400</v>
      </c>
      <c r="H3057" t="s">
        <v>815</v>
      </c>
      <c r="J3057" s="2">
        <v>42869</v>
      </c>
      <c r="K3057">
        <v>157.9</v>
      </c>
    </row>
    <row r="3058" spans="1:11" x14ac:dyDescent="0.35">
      <c r="A3058" s="2">
        <v>42870</v>
      </c>
      <c r="B3058" s="1">
        <v>0</v>
      </c>
      <c r="C3058" t="s">
        <v>5578</v>
      </c>
      <c r="D3058" t="s">
        <v>5123</v>
      </c>
      <c r="E3058" t="s">
        <v>5301</v>
      </c>
      <c r="F3058" t="s">
        <v>5077</v>
      </c>
      <c r="G3058" t="s">
        <v>5330</v>
      </c>
      <c r="H3058" t="s">
        <v>820</v>
      </c>
      <c r="J3058" s="2">
        <v>42870</v>
      </c>
      <c r="K3058">
        <v>165</v>
      </c>
    </row>
    <row r="3059" spans="1:11" x14ac:dyDescent="0.35">
      <c r="A3059" s="2">
        <v>42871</v>
      </c>
      <c r="B3059" s="1">
        <v>0</v>
      </c>
      <c r="C3059" t="s">
        <v>397</v>
      </c>
      <c r="D3059" t="s">
        <v>5141</v>
      </c>
      <c r="E3059" t="s">
        <v>5181</v>
      </c>
      <c r="F3059" t="s">
        <v>5077</v>
      </c>
      <c r="G3059" t="s">
        <v>5315</v>
      </c>
      <c r="H3059" t="s">
        <v>604</v>
      </c>
      <c r="J3059" s="2">
        <v>42871</v>
      </c>
      <c r="K3059">
        <v>174.8</v>
      </c>
    </row>
    <row r="3060" spans="1:11" x14ac:dyDescent="0.35">
      <c r="A3060" s="2">
        <v>42872</v>
      </c>
      <c r="B3060" s="1">
        <v>0</v>
      </c>
      <c r="C3060" t="s">
        <v>417</v>
      </c>
      <c r="D3060" t="s">
        <v>5440</v>
      </c>
      <c r="E3060" t="s">
        <v>5070</v>
      </c>
      <c r="F3060" t="s">
        <v>5077</v>
      </c>
      <c r="G3060" t="s">
        <v>5297</v>
      </c>
      <c r="H3060" t="s">
        <v>3341</v>
      </c>
      <c r="J3060" s="2">
        <v>42872</v>
      </c>
      <c r="K3060">
        <v>182.3</v>
      </c>
    </row>
    <row r="3061" spans="1:11" x14ac:dyDescent="0.35">
      <c r="A3061" s="2">
        <v>42873</v>
      </c>
      <c r="B3061" s="1">
        <v>0</v>
      </c>
      <c r="C3061" t="s">
        <v>1910</v>
      </c>
      <c r="D3061" t="s">
        <v>5464</v>
      </c>
      <c r="E3061" t="s">
        <v>5171</v>
      </c>
      <c r="F3061" t="s">
        <v>5077</v>
      </c>
      <c r="G3061" t="s">
        <v>5294</v>
      </c>
      <c r="H3061" t="s">
        <v>1727</v>
      </c>
      <c r="J3061" s="2">
        <v>42873</v>
      </c>
      <c r="K3061">
        <v>190.2</v>
      </c>
    </row>
    <row r="3062" spans="1:11" x14ac:dyDescent="0.35">
      <c r="A3062" s="2">
        <v>42874</v>
      </c>
      <c r="B3062" s="1">
        <v>0</v>
      </c>
      <c r="C3062" t="s">
        <v>1914</v>
      </c>
      <c r="D3062" t="s">
        <v>5538</v>
      </c>
      <c r="E3062" t="s">
        <v>5202</v>
      </c>
      <c r="F3062" t="s">
        <v>5077</v>
      </c>
      <c r="G3062" t="s">
        <v>5294</v>
      </c>
      <c r="H3062" t="s">
        <v>2338</v>
      </c>
      <c r="J3062" s="2">
        <v>42874</v>
      </c>
      <c r="K3062">
        <v>192.5</v>
      </c>
    </row>
    <row r="3063" spans="1:11" x14ac:dyDescent="0.35">
      <c r="A3063" s="2">
        <v>42875</v>
      </c>
      <c r="B3063" s="1">
        <v>0</v>
      </c>
      <c r="C3063" t="s">
        <v>1886</v>
      </c>
      <c r="D3063" t="s">
        <v>5443</v>
      </c>
      <c r="E3063" t="s">
        <v>5286</v>
      </c>
      <c r="F3063" t="s">
        <v>5077</v>
      </c>
      <c r="G3063" t="s">
        <v>5312</v>
      </c>
      <c r="H3063" t="s">
        <v>2188</v>
      </c>
      <c r="J3063" s="2">
        <v>42875</v>
      </c>
      <c r="K3063">
        <v>186.5</v>
      </c>
    </row>
    <row r="3064" spans="1:11" x14ac:dyDescent="0.35">
      <c r="A3064" s="2">
        <v>42876</v>
      </c>
      <c r="B3064" s="1">
        <v>0</v>
      </c>
      <c r="C3064" t="s">
        <v>5408</v>
      </c>
      <c r="D3064" t="s">
        <v>5571</v>
      </c>
      <c r="E3064" t="s">
        <v>5425</v>
      </c>
      <c r="F3064" t="s">
        <v>5077</v>
      </c>
      <c r="G3064" t="s">
        <v>5315</v>
      </c>
      <c r="H3064" t="s">
        <v>90</v>
      </c>
      <c r="J3064" s="2">
        <v>42876</v>
      </c>
      <c r="K3064">
        <v>174.1</v>
      </c>
    </row>
    <row r="3065" spans="1:11" x14ac:dyDescent="0.35">
      <c r="A3065" s="2">
        <v>42877</v>
      </c>
      <c r="B3065" s="1">
        <v>0</v>
      </c>
      <c r="C3065" t="s">
        <v>5212</v>
      </c>
      <c r="D3065" t="s">
        <v>5069</v>
      </c>
      <c r="E3065" t="s">
        <v>5283</v>
      </c>
      <c r="F3065" t="s">
        <v>5077</v>
      </c>
      <c r="G3065" t="s">
        <v>5397</v>
      </c>
      <c r="H3065" t="s">
        <v>41</v>
      </c>
      <c r="J3065" s="2">
        <v>42877</v>
      </c>
      <c r="K3065">
        <v>159.69999999999999</v>
      </c>
    </row>
    <row r="3066" spans="1:11" x14ac:dyDescent="0.35">
      <c r="A3066" s="2">
        <v>42878</v>
      </c>
      <c r="B3066" s="1">
        <v>0</v>
      </c>
      <c r="C3066" t="s">
        <v>5575</v>
      </c>
      <c r="D3066" t="s">
        <v>5068</v>
      </c>
      <c r="E3066" t="s">
        <v>5622</v>
      </c>
      <c r="F3066" t="s">
        <v>5045</v>
      </c>
      <c r="G3066" t="s">
        <v>5432</v>
      </c>
      <c r="H3066" t="s">
        <v>1392</v>
      </c>
      <c r="J3066" s="2">
        <v>42878</v>
      </c>
      <c r="K3066">
        <v>147.69999999999999</v>
      </c>
    </row>
    <row r="3067" spans="1:11" x14ac:dyDescent="0.35">
      <c r="A3067" s="2">
        <v>42879</v>
      </c>
      <c r="B3067" s="1">
        <v>0</v>
      </c>
      <c r="C3067" t="s">
        <v>5079</v>
      </c>
      <c r="D3067" t="s">
        <v>5064</v>
      </c>
      <c r="E3067" t="s">
        <v>5424</v>
      </c>
      <c r="F3067" t="s">
        <v>5045</v>
      </c>
      <c r="G3067" t="s">
        <v>5334</v>
      </c>
      <c r="H3067" t="s">
        <v>151</v>
      </c>
      <c r="J3067" s="2">
        <v>42879</v>
      </c>
      <c r="K3067">
        <v>139.19999999999999</v>
      </c>
    </row>
    <row r="3068" spans="1:11" x14ac:dyDescent="0.35">
      <c r="A3068" s="2">
        <v>42880</v>
      </c>
      <c r="B3068" s="1">
        <v>0</v>
      </c>
      <c r="C3068" t="s">
        <v>5458</v>
      </c>
      <c r="D3068" t="s">
        <v>5426</v>
      </c>
      <c r="E3068" t="s">
        <v>5307</v>
      </c>
      <c r="F3068" t="s">
        <v>5045</v>
      </c>
      <c r="G3068" t="s">
        <v>5337</v>
      </c>
      <c r="H3068" t="s">
        <v>1581</v>
      </c>
      <c r="J3068" s="2">
        <v>42880</v>
      </c>
      <c r="K3068">
        <v>133.9</v>
      </c>
    </row>
    <row r="3069" spans="1:11" x14ac:dyDescent="0.35">
      <c r="A3069" s="2">
        <v>42881</v>
      </c>
      <c r="B3069" s="1">
        <v>0</v>
      </c>
      <c r="C3069" t="s">
        <v>5135</v>
      </c>
      <c r="D3069" t="s">
        <v>5525</v>
      </c>
      <c r="E3069" t="s">
        <v>5300</v>
      </c>
      <c r="F3069" t="s">
        <v>5045</v>
      </c>
      <c r="G3069" t="s">
        <v>5339</v>
      </c>
      <c r="H3069" t="s">
        <v>132</v>
      </c>
      <c r="J3069" s="2">
        <v>42881</v>
      </c>
      <c r="K3069">
        <v>130.5</v>
      </c>
    </row>
    <row r="3070" spans="1:11" x14ac:dyDescent="0.35">
      <c r="A3070" s="2">
        <v>42882</v>
      </c>
      <c r="B3070" s="1">
        <v>0</v>
      </c>
      <c r="C3070" t="s">
        <v>5433</v>
      </c>
      <c r="D3070" t="s">
        <v>5622</v>
      </c>
      <c r="E3070" t="s">
        <v>5317</v>
      </c>
      <c r="F3070" t="s">
        <v>5045</v>
      </c>
      <c r="G3070" t="s">
        <v>5156</v>
      </c>
      <c r="H3070" t="s">
        <v>137</v>
      </c>
      <c r="J3070" s="2">
        <v>42882</v>
      </c>
      <c r="K3070">
        <v>128.4</v>
      </c>
    </row>
    <row r="3071" spans="1:11" x14ac:dyDescent="0.35">
      <c r="A3071" s="2">
        <v>42883</v>
      </c>
      <c r="B3071" s="1">
        <v>0</v>
      </c>
      <c r="C3071" t="s">
        <v>5074</v>
      </c>
      <c r="D3071" t="s">
        <v>5545</v>
      </c>
      <c r="E3071" t="s">
        <v>5308</v>
      </c>
      <c r="F3071" t="s">
        <v>5045</v>
      </c>
      <c r="G3071" t="s">
        <v>5156</v>
      </c>
      <c r="H3071" t="s">
        <v>1450</v>
      </c>
      <c r="J3071" s="2">
        <v>42883</v>
      </c>
      <c r="K3071">
        <v>127.1</v>
      </c>
    </row>
    <row r="3072" spans="1:11" x14ac:dyDescent="0.35">
      <c r="A3072" s="2">
        <v>42884</v>
      </c>
      <c r="B3072" s="1">
        <v>0</v>
      </c>
      <c r="C3072" t="s">
        <v>5085</v>
      </c>
      <c r="D3072" t="s">
        <v>5416</v>
      </c>
      <c r="E3072" t="s">
        <v>5421</v>
      </c>
      <c r="F3072" t="s">
        <v>5045</v>
      </c>
      <c r="G3072" t="s">
        <v>5156</v>
      </c>
      <c r="H3072" t="s">
        <v>1116</v>
      </c>
      <c r="J3072" s="2">
        <v>42884</v>
      </c>
      <c r="K3072">
        <v>126.9</v>
      </c>
    </row>
    <row r="3073" spans="1:11" x14ac:dyDescent="0.35">
      <c r="A3073" s="2">
        <v>42885</v>
      </c>
      <c r="B3073" s="1">
        <v>0</v>
      </c>
      <c r="C3073" t="s">
        <v>5437</v>
      </c>
      <c r="D3073" t="s">
        <v>5049</v>
      </c>
      <c r="E3073" t="s">
        <v>5047</v>
      </c>
      <c r="F3073" t="s">
        <v>5045</v>
      </c>
      <c r="G3073" t="s">
        <v>5156</v>
      </c>
      <c r="H3073" t="s">
        <v>2874</v>
      </c>
      <c r="J3073" s="2">
        <v>42885</v>
      </c>
      <c r="K3073">
        <v>127.6</v>
      </c>
    </row>
    <row r="3074" spans="1:11" x14ac:dyDescent="0.35">
      <c r="A3074" s="2">
        <v>42886</v>
      </c>
      <c r="B3074" s="1">
        <v>0</v>
      </c>
      <c r="C3074" t="s">
        <v>5187</v>
      </c>
      <c r="D3074" t="s">
        <v>5305</v>
      </c>
      <c r="E3074" t="s">
        <v>5547</v>
      </c>
      <c r="F3074" t="s">
        <v>5045</v>
      </c>
      <c r="G3074" t="s">
        <v>5168</v>
      </c>
      <c r="H3074" t="s">
        <v>4080</v>
      </c>
      <c r="J3074" s="2">
        <v>42886</v>
      </c>
      <c r="K3074">
        <v>128.5</v>
      </c>
    </row>
    <row r="3075" spans="1:11" x14ac:dyDescent="0.35">
      <c r="A3075" s="2">
        <v>42887</v>
      </c>
      <c r="B3075" s="1">
        <v>0</v>
      </c>
      <c r="C3075" t="s">
        <v>5187</v>
      </c>
      <c r="D3075" t="s">
        <v>5305</v>
      </c>
      <c r="E3075" t="s">
        <v>5547</v>
      </c>
      <c r="F3075" t="s">
        <v>5045</v>
      </c>
      <c r="G3075" t="s">
        <v>5168</v>
      </c>
      <c r="H3075" t="s">
        <v>137</v>
      </c>
      <c r="J3075" s="2">
        <v>42887</v>
      </c>
      <c r="K3075">
        <v>128.4</v>
      </c>
    </row>
    <row r="3076" spans="1:11" x14ac:dyDescent="0.35">
      <c r="A3076" s="2">
        <v>42888</v>
      </c>
      <c r="B3076" s="1">
        <v>0</v>
      </c>
      <c r="C3076" t="s">
        <v>5314</v>
      </c>
      <c r="D3076" t="s">
        <v>5050</v>
      </c>
      <c r="E3076" t="s">
        <v>5046</v>
      </c>
      <c r="F3076" t="s">
        <v>5168</v>
      </c>
      <c r="G3076" t="s">
        <v>5354</v>
      </c>
      <c r="H3076" t="s">
        <v>367</v>
      </c>
      <c r="J3076" s="2">
        <v>42888</v>
      </c>
      <c r="K3076">
        <v>86.5</v>
      </c>
    </row>
    <row r="3077" spans="1:11" x14ac:dyDescent="0.35">
      <c r="A3077" s="2">
        <v>42889</v>
      </c>
      <c r="B3077" s="1">
        <v>0</v>
      </c>
      <c r="C3077" t="s">
        <v>5331</v>
      </c>
      <c r="D3077" t="s">
        <v>5050</v>
      </c>
      <c r="E3077" t="s">
        <v>5046</v>
      </c>
      <c r="F3077" t="s">
        <v>5168</v>
      </c>
      <c r="G3077" t="s">
        <v>5354</v>
      </c>
      <c r="H3077" t="s">
        <v>477</v>
      </c>
      <c r="J3077" s="2">
        <v>42889</v>
      </c>
      <c r="K3077">
        <v>85.4</v>
      </c>
    </row>
    <row r="3078" spans="1:11" x14ac:dyDescent="0.35">
      <c r="A3078" s="2">
        <v>42890</v>
      </c>
      <c r="B3078" s="1">
        <v>0</v>
      </c>
      <c r="C3078" t="s">
        <v>5166</v>
      </c>
      <c r="D3078" t="s">
        <v>5046</v>
      </c>
      <c r="E3078" t="s">
        <v>5046</v>
      </c>
      <c r="F3078" t="s">
        <v>5168</v>
      </c>
      <c r="G3078" t="s">
        <v>5354</v>
      </c>
      <c r="H3078" t="s">
        <v>341</v>
      </c>
      <c r="J3078" s="2">
        <v>42890</v>
      </c>
      <c r="K3078">
        <v>84.4</v>
      </c>
    </row>
    <row r="3079" spans="1:11" x14ac:dyDescent="0.35">
      <c r="A3079" s="2">
        <v>42891</v>
      </c>
      <c r="B3079" s="1">
        <v>0</v>
      </c>
      <c r="C3079" t="s">
        <v>5332</v>
      </c>
      <c r="D3079" t="s">
        <v>5046</v>
      </c>
      <c r="E3079" t="s">
        <v>5046</v>
      </c>
      <c r="F3079" t="s">
        <v>5168</v>
      </c>
      <c r="G3079" t="s">
        <v>5354</v>
      </c>
      <c r="H3079" t="s">
        <v>1916</v>
      </c>
      <c r="J3079" s="2">
        <v>42891</v>
      </c>
      <c r="K3079">
        <v>83.9</v>
      </c>
    </row>
    <row r="3080" spans="1:11" x14ac:dyDescent="0.35">
      <c r="A3080" s="2">
        <v>42892</v>
      </c>
      <c r="B3080" s="1">
        <v>0</v>
      </c>
      <c r="C3080" t="s">
        <v>5493</v>
      </c>
      <c r="D3080" t="s">
        <v>5046</v>
      </c>
      <c r="E3080" t="s">
        <v>5046</v>
      </c>
      <c r="F3080" t="s">
        <v>5168</v>
      </c>
      <c r="G3080" t="s">
        <v>5354</v>
      </c>
      <c r="H3080" t="s">
        <v>448</v>
      </c>
      <c r="J3080" s="2">
        <v>42892</v>
      </c>
      <c r="K3080">
        <v>83.7</v>
      </c>
    </row>
    <row r="3081" spans="1:11" x14ac:dyDescent="0.35">
      <c r="A3081" s="2">
        <v>42893</v>
      </c>
      <c r="B3081" s="1">
        <v>0</v>
      </c>
      <c r="C3081" t="s">
        <v>5136</v>
      </c>
      <c r="D3081" t="s">
        <v>5046</v>
      </c>
      <c r="E3081" t="s">
        <v>5046</v>
      </c>
      <c r="F3081" t="s">
        <v>5168</v>
      </c>
      <c r="G3081" t="s">
        <v>5354</v>
      </c>
      <c r="H3081" t="s">
        <v>3800</v>
      </c>
      <c r="J3081" s="2">
        <v>42893</v>
      </c>
      <c r="K3081">
        <v>83.6</v>
      </c>
    </row>
    <row r="3082" spans="1:11" x14ac:dyDescent="0.35">
      <c r="A3082" s="2">
        <v>42894</v>
      </c>
      <c r="B3082" s="1">
        <v>0</v>
      </c>
      <c r="C3082" t="s">
        <v>5132</v>
      </c>
      <c r="D3082" t="s">
        <v>5050</v>
      </c>
      <c r="E3082" t="s">
        <v>5046</v>
      </c>
      <c r="F3082" t="s">
        <v>5168</v>
      </c>
      <c r="G3082" t="s">
        <v>5354</v>
      </c>
      <c r="H3082" t="s">
        <v>444</v>
      </c>
      <c r="J3082" s="2">
        <v>42894</v>
      </c>
      <c r="K3082">
        <v>83.5</v>
      </c>
    </row>
    <row r="3083" spans="1:11" x14ac:dyDescent="0.35">
      <c r="A3083" s="2">
        <v>42895</v>
      </c>
      <c r="B3083" s="1">
        <v>0</v>
      </c>
      <c r="C3083" t="s">
        <v>5358</v>
      </c>
      <c r="D3083" t="s">
        <v>5050</v>
      </c>
      <c r="E3083" t="s">
        <v>5046</v>
      </c>
      <c r="F3083" t="s">
        <v>5168</v>
      </c>
      <c r="G3083" t="s">
        <v>5354</v>
      </c>
      <c r="H3083" t="s">
        <v>345</v>
      </c>
      <c r="J3083" s="2">
        <v>42895</v>
      </c>
      <c r="K3083">
        <v>83.4</v>
      </c>
    </row>
    <row r="3084" spans="1:11" x14ac:dyDescent="0.35">
      <c r="A3084" s="2">
        <v>42896</v>
      </c>
      <c r="B3084" s="1">
        <v>0</v>
      </c>
      <c r="C3084" t="s">
        <v>5089</v>
      </c>
      <c r="D3084" t="s">
        <v>5050</v>
      </c>
      <c r="E3084" t="s">
        <v>5046</v>
      </c>
      <c r="F3084" t="s">
        <v>5168</v>
      </c>
      <c r="G3084" t="s">
        <v>5354</v>
      </c>
      <c r="H3084" t="s">
        <v>363</v>
      </c>
      <c r="J3084" s="2">
        <v>42896</v>
      </c>
      <c r="K3084">
        <v>83.3</v>
      </c>
    </row>
    <row r="3085" spans="1:11" x14ac:dyDescent="0.35">
      <c r="A3085" s="2">
        <v>42897</v>
      </c>
      <c r="B3085" s="1">
        <v>0</v>
      </c>
      <c r="C3085" t="s">
        <v>5089</v>
      </c>
      <c r="D3085" t="s">
        <v>5046</v>
      </c>
      <c r="E3085" t="s">
        <v>5046</v>
      </c>
      <c r="F3085" t="s">
        <v>5168</v>
      </c>
      <c r="G3085" t="s">
        <v>5354</v>
      </c>
      <c r="H3085" t="s">
        <v>363</v>
      </c>
      <c r="J3085" s="2">
        <v>42897</v>
      </c>
      <c r="K3085">
        <v>83.3</v>
      </c>
    </row>
    <row r="3086" spans="1:11" x14ac:dyDescent="0.35">
      <c r="A3086" s="2">
        <v>42898</v>
      </c>
      <c r="B3086" s="1">
        <v>0</v>
      </c>
      <c r="C3086" t="s">
        <v>5358</v>
      </c>
      <c r="D3086" t="s">
        <v>5046</v>
      </c>
      <c r="E3086" t="s">
        <v>5046</v>
      </c>
      <c r="F3086" t="s">
        <v>5168</v>
      </c>
      <c r="G3086" t="s">
        <v>5354</v>
      </c>
      <c r="H3086" t="s">
        <v>363</v>
      </c>
      <c r="J3086" s="2">
        <v>42898</v>
      </c>
      <c r="K3086">
        <v>83.3</v>
      </c>
    </row>
    <row r="3087" spans="1:11" x14ac:dyDescent="0.35">
      <c r="A3087" s="2">
        <v>42899</v>
      </c>
      <c r="B3087" s="1">
        <v>0</v>
      </c>
      <c r="C3087" t="s">
        <v>5089</v>
      </c>
      <c r="D3087" t="s">
        <v>5046</v>
      </c>
      <c r="E3087" t="s">
        <v>5046</v>
      </c>
      <c r="F3087" t="s">
        <v>5168</v>
      </c>
      <c r="G3087" t="s">
        <v>5354</v>
      </c>
      <c r="H3087" t="s">
        <v>363</v>
      </c>
      <c r="J3087" s="2">
        <v>42899</v>
      </c>
      <c r="K3087">
        <v>83.3</v>
      </c>
    </row>
    <row r="3088" spans="1:11" x14ac:dyDescent="0.35">
      <c r="A3088" s="2">
        <v>42900</v>
      </c>
      <c r="B3088" s="1">
        <v>0</v>
      </c>
      <c r="C3088" t="s">
        <v>5089</v>
      </c>
      <c r="D3088" t="s">
        <v>5046</v>
      </c>
      <c r="E3088" t="s">
        <v>5046</v>
      </c>
      <c r="F3088" t="s">
        <v>5168</v>
      </c>
      <c r="G3088" t="s">
        <v>5354</v>
      </c>
      <c r="H3088" t="s">
        <v>1528</v>
      </c>
      <c r="J3088" s="2">
        <v>42900</v>
      </c>
      <c r="K3088">
        <v>83.2</v>
      </c>
    </row>
    <row r="3089" spans="1:11" x14ac:dyDescent="0.35">
      <c r="A3089" s="2">
        <v>42901</v>
      </c>
      <c r="B3089" s="1">
        <v>0</v>
      </c>
      <c r="C3089" t="s">
        <v>5077</v>
      </c>
      <c r="D3089" t="s">
        <v>5046</v>
      </c>
      <c r="E3089" t="s">
        <v>5046</v>
      </c>
      <c r="F3089" t="s">
        <v>5168</v>
      </c>
      <c r="G3089" t="s">
        <v>5354</v>
      </c>
      <c r="H3089" t="s">
        <v>352</v>
      </c>
      <c r="J3089" s="2">
        <v>42901</v>
      </c>
      <c r="K3089">
        <v>83.1</v>
      </c>
    </row>
    <row r="3090" spans="1:11" x14ac:dyDescent="0.35">
      <c r="A3090" s="2">
        <v>42902</v>
      </c>
      <c r="B3090" s="1">
        <v>0</v>
      </c>
      <c r="C3090" t="s">
        <v>5077</v>
      </c>
      <c r="D3090" t="s">
        <v>5046</v>
      </c>
      <c r="E3090" t="s">
        <v>5046</v>
      </c>
      <c r="F3090" t="s">
        <v>5168</v>
      </c>
      <c r="G3090" t="s">
        <v>5354</v>
      </c>
      <c r="H3090" t="s">
        <v>352</v>
      </c>
      <c r="J3090" s="2">
        <v>42902</v>
      </c>
      <c r="K3090">
        <v>83.1</v>
      </c>
    </row>
    <row r="3091" spans="1:11" x14ac:dyDescent="0.35">
      <c r="A3091" s="2">
        <v>42903</v>
      </c>
      <c r="B3091" s="1">
        <v>0</v>
      </c>
      <c r="C3091" t="s">
        <v>5077</v>
      </c>
      <c r="D3091" t="s">
        <v>5046</v>
      </c>
      <c r="E3091" t="s">
        <v>5046</v>
      </c>
      <c r="F3091" t="s">
        <v>5168</v>
      </c>
      <c r="G3091" t="s">
        <v>5354</v>
      </c>
      <c r="H3091" t="s">
        <v>1528</v>
      </c>
      <c r="J3091" s="2">
        <v>42903</v>
      </c>
      <c r="K3091">
        <v>83.2</v>
      </c>
    </row>
    <row r="3092" spans="1:11" x14ac:dyDescent="0.35">
      <c r="A3092" s="2">
        <v>42904</v>
      </c>
      <c r="B3092" s="1">
        <v>0</v>
      </c>
      <c r="C3092" t="s">
        <v>5356</v>
      </c>
      <c r="D3092" t="s">
        <v>5046</v>
      </c>
      <c r="E3092" t="s">
        <v>5046</v>
      </c>
      <c r="F3092" t="s">
        <v>5168</v>
      </c>
      <c r="G3092" t="s">
        <v>5353</v>
      </c>
      <c r="H3092" t="s">
        <v>3800</v>
      </c>
      <c r="J3092" s="2">
        <v>42904</v>
      </c>
      <c r="K3092">
        <v>83.6</v>
      </c>
    </row>
    <row r="3093" spans="1:11" x14ac:dyDescent="0.35">
      <c r="A3093" s="2">
        <v>42905</v>
      </c>
      <c r="B3093" s="1">
        <v>0</v>
      </c>
      <c r="C3093" t="s">
        <v>5341</v>
      </c>
      <c r="D3093" t="s">
        <v>5046</v>
      </c>
      <c r="E3093" t="s">
        <v>5046</v>
      </c>
      <c r="F3093" t="s">
        <v>5168</v>
      </c>
      <c r="G3093" t="s">
        <v>5349</v>
      </c>
      <c r="H3093" t="s">
        <v>341</v>
      </c>
      <c r="J3093" s="2">
        <v>42905</v>
      </c>
      <c r="K3093">
        <v>84.4</v>
      </c>
    </row>
    <row r="3094" spans="1:11" x14ac:dyDescent="0.35">
      <c r="A3094" s="2">
        <v>42906</v>
      </c>
      <c r="B3094" s="1">
        <v>0</v>
      </c>
      <c r="C3094" t="s">
        <v>5158</v>
      </c>
      <c r="D3094" t="s">
        <v>5046</v>
      </c>
      <c r="E3094" t="s">
        <v>5046</v>
      </c>
      <c r="F3094" t="s">
        <v>5168</v>
      </c>
      <c r="G3094" t="s">
        <v>5346</v>
      </c>
      <c r="H3094" t="s">
        <v>1050</v>
      </c>
      <c r="J3094" s="2">
        <v>42906</v>
      </c>
      <c r="K3094">
        <v>85.3</v>
      </c>
    </row>
    <row r="3095" spans="1:11" x14ac:dyDescent="0.35">
      <c r="A3095" s="2">
        <v>42907</v>
      </c>
      <c r="B3095" s="1">
        <v>0</v>
      </c>
      <c r="C3095" t="s">
        <v>5347</v>
      </c>
      <c r="D3095" t="s">
        <v>5046</v>
      </c>
      <c r="E3095" t="s">
        <v>5046</v>
      </c>
      <c r="F3095" t="s">
        <v>5168</v>
      </c>
      <c r="G3095" t="s">
        <v>5343</v>
      </c>
      <c r="H3095" t="s">
        <v>326</v>
      </c>
      <c r="J3095" s="2">
        <v>42907</v>
      </c>
      <c r="K3095">
        <v>85.5</v>
      </c>
    </row>
    <row r="3096" spans="1:11" x14ac:dyDescent="0.35">
      <c r="A3096" s="2">
        <v>42908</v>
      </c>
      <c r="B3096" s="1">
        <v>0</v>
      </c>
      <c r="C3096" t="s">
        <v>5345</v>
      </c>
      <c r="D3096" t="s">
        <v>5046</v>
      </c>
      <c r="E3096" t="s">
        <v>5046</v>
      </c>
      <c r="F3096" t="s">
        <v>5168</v>
      </c>
      <c r="G3096" t="s">
        <v>5343</v>
      </c>
      <c r="H3096" t="s">
        <v>476</v>
      </c>
      <c r="J3096" s="2">
        <v>42908</v>
      </c>
      <c r="K3096">
        <v>86</v>
      </c>
    </row>
    <row r="3097" spans="1:11" x14ac:dyDescent="0.35">
      <c r="A3097" s="2">
        <v>42909</v>
      </c>
      <c r="B3097" s="1">
        <v>0</v>
      </c>
      <c r="C3097" t="s">
        <v>5147</v>
      </c>
      <c r="D3097" t="s">
        <v>5046</v>
      </c>
      <c r="E3097" t="s">
        <v>5046</v>
      </c>
      <c r="F3097" t="s">
        <v>5168</v>
      </c>
      <c r="G3097" t="s">
        <v>5346</v>
      </c>
      <c r="H3097" t="s">
        <v>344</v>
      </c>
      <c r="J3097" s="2">
        <v>42909</v>
      </c>
      <c r="K3097">
        <v>87.3</v>
      </c>
    </row>
    <row r="3098" spans="1:11" x14ac:dyDescent="0.35">
      <c r="A3098" s="2">
        <v>42910</v>
      </c>
      <c r="B3098" s="1">
        <v>0</v>
      </c>
      <c r="C3098" t="s">
        <v>5296</v>
      </c>
      <c r="D3098" t="s">
        <v>5046</v>
      </c>
      <c r="E3098" t="s">
        <v>5046</v>
      </c>
      <c r="F3098" t="s">
        <v>5168</v>
      </c>
      <c r="G3098" t="s">
        <v>5346</v>
      </c>
      <c r="H3098" t="s">
        <v>1535</v>
      </c>
      <c r="J3098" s="2">
        <v>42910</v>
      </c>
      <c r="K3098">
        <v>88.9</v>
      </c>
    </row>
    <row r="3099" spans="1:11" x14ac:dyDescent="0.35">
      <c r="A3099" s="2">
        <v>42911</v>
      </c>
      <c r="B3099" s="1">
        <v>0</v>
      </c>
      <c r="C3099" t="s">
        <v>5293</v>
      </c>
      <c r="D3099" t="s">
        <v>5046</v>
      </c>
      <c r="E3099" t="s">
        <v>5046</v>
      </c>
      <c r="F3099" t="s">
        <v>5168</v>
      </c>
      <c r="G3099" t="s">
        <v>5361</v>
      </c>
      <c r="H3099" t="s">
        <v>1867</v>
      </c>
      <c r="J3099" s="2">
        <v>42911</v>
      </c>
      <c r="K3099">
        <v>89</v>
      </c>
    </row>
    <row r="3100" spans="1:11" x14ac:dyDescent="0.35">
      <c r="A3100" s="2">
        <v>42912</v>
      </c>
      <c r="B3100" s="1">
        <v>0</v>
      </c>
      <c r="C3100" t="s">
        <v>5598</v>
      </c>
      <c r="D3100" t="s">
        <v>5046</v>
      </c>
      <c r="E3100" t="s">
        <v>5046</v>
      </c>
      <c r="F3100" t="s">
        <v>5168</v>
      </c>
      <c r="G3100" t="s">
        <v>5361</v>
      </c>
      <c r="H3100" t="s">
        <v>361</v>
      </c>
      <c r="J3100" s="2">
        <v>42912</v>
      </c>
      <c r="K3100">
        <v>87.9</v>
      </c>
    </row>
    <row r="3101" spans="1:11" x14ac:dyDescent="0.35">
      <c r="A3101" s="2">
        <v>42913</v>
      </c>
      <c r="B3101" s="1">
        <v>0</v>
      </c>
      <c r="C3101" t="s">
        <v>5352</v>
      </c>
      <c r="D3101" t="s">
        <v>5046</v>
      </c>
      <c r="E3101" t="s">
        <v>5046</v>
      </c>
      <c r="F3101" t="s">
        <v>5168</v>
      </c>
      <c r="G3101" t="s">
        <v>5349</v>
      </c>
      <c r="H3101" t="s">
        <v>350</v>
      </c>
      <c r="J3101" s="2">
        <v>42913</v>
      </c>
      <c r="K3101">
        <v>86.4</v>
      </c>
    </row>
    <row r="3102" spans="1:11" x14ac:dyDescent="0.35">
      <c r="A3102" s="2">
        <v>42914</v>
      </c>
      <c r="B3102" s="1">
        <v>0</v>
      </c>
      <c r="C3102" t="s">
        <v>5163</v>
      </c>
      <c r="D3102" t="s">
        <v>5046</v>
      </c>
      <c r="E3102" t="s">
        <v>5046</v>
      </c>
      <c r="F3102" t="s">
        <v>5168</v>
      </c>
      <c r="G3102" t="s">
        <v>5353</v>
      </c>
      <c r="H3102" t="s">
        <v>326</v>
      </c>
      <c r="J3102" s="2">
        <v>42914</v>
      </c>
      <c r="K3102">
        <v>85.5</v>
      </c>
    </row>
    <row r="3103" spans="1:11" x14ac:dyDescent="0.35">
      <c r="A3103" s="2">
        <v>42915</v>
      </c>
      <c r="B3103" s="1">
        <v>0</v>
      </c>
      <c r="C3103" t="s">
        <v>5345</v>
      </c>
      <c r="D3103" t="s">
        <v>5046</v>
      </c>
      <c r="E3103" t="s">
        <v>5046</v>
      </c>
      <c r="F3103" t="s">
        <v>5168</v>
      </c>
      <c r="G3103" t="s">
        <v>5353</v>
      </c>
      <c r="H3103" t="s">
        <v>1918</v>
      </c>
      <c r="J3103" s="2">
        <v>42915</v>
      </c>
      <c r="K3103">
        <v>85.6</v>
      </c>
    </row>
    <row r="3104" spans="1:11" x14ac:dyDescent="0.35">
      <c r="A3104" s="2">
        <v>42916</v>
      </c>
      <c r="B3104" s="1">
        <v>0</v>
      </c>
      <c r="C3104" t="s">
        <v>5314</v>
      </c>
      <c r="D3104" t="s">
        <v>5050</v>
      </c>
      <c r="E3104" t="s">
        <v>5046</v>
      </c>
      <c r="F3104" t="s">
        <v>5168</v>
      </c>
      <c r="G3104" t="s">
        <v>5353</v>
      </c>
      <c r="H3104" t="s">
        <v>348</v>
      </c>
      <c r="J3104" s="2">
        <v>42916</v>
      </c>
      <c r="K3104">
        <v>86.6</v>
      </c>
    </row>
    <row r="3105" spans="1:11" x14ac:dyDescent="0.35">
      <c r="A3105" t="s">
        <v>3463</v>
      </c>
      <c r="B3105" s="1">
        <v>0</v>
      </c>
      <c r="C3105" t="s">
        <v>5427</v>
      </c>
      <c r="D3105" t="s">
        <v>5050</v>
      </c>
      <c r="E3105" t="s">
        <v>5046</v>
      </c>
      <c r="F3105" t="s">
        <v>5168</v>
      </c>
      <c r="G3105" t="s">
        <v>5353</v>
      </c>
      <c r="H3105" t="s">
        <v>988</v>
      </c>
      <c r="J3105" t="s">
        <v>3463</v>
      </c>
      <c r="K3105">
        <v>88.1</v>
      </c>
    </row>
    <row r="3106" spans="1:11" x14ac:dyDescent="0.35">
      <c r="A3106" t="s">
        <v>3464</v>
      </c>
      <c r="B3106" s="1">
        <v>0</v>
      </c>
      <c r="C3106" t="s">
        <v>5341</v>
      </c>
      <c r="D3106" t="s">
        <v>5189</v>
      </c>
      <c r="E3106" t="s">
        <v>5409</v>
      </c>
      <c r="F3106" t="s">
        <v>5364</v>
      </c>
      <c r="G3106" t="s">
        <v>5372</v>
      </c>
      <c r="H3106" t="s">
        <v>5608</v>
      </c>
      <c r="J3106" t="s">
        <v>3464</v>
      </c>
      <c r="K3106">
        <v>66.5</v>
      </c>
    </row>
    <row r="3107" spans="1:11" x14ac:dyDescent="0.35">
      <c r="A3107" t="s">
        <v>3465</v>
      </c>
      <c r="B3107" s="1">
        <v>0</v>
      </c>
      <c r="C3107" t="s">
        <v>5501</v>
      </c>
      <c r="D3107" t="s">
        <v>5189</v>
      </c>
      <c r="E3107" t="s">
        <v>5409</v>
      </c>
      <c r="F3107" t="s">
        <v>5364</v>
      </c>
      <c r="G3107" t="s">
        <v>5371</v>
      </c>
      <c r="H3107" t="s">
        <v>5466</v>
      </c>
      <c r="J3107" t="s">
        <v>3465</v>
      </c>
      <c r="K3107">
        <v>66.3</v>
      </c>
    </row>
    <row r="3108" spans="1:11" x14ac:dyDescent="0.35">
      <c r="A3108" t="s">
        <v>3466</v>
      </c>
      <c r="B3108" s="1">
        <v>0</v>
      </c>
      <c r="C3108" t="s">
        <v>5077</v>
      </c>
      <c r="D3108" t="s">
        <v>5189</v>
      </c>
      <c r="E3108" t="s">
        <v>5409</v>
      </c>
      <c r="F3108" t="s">
        <v>5364</v>
      </c>
      <c r="G3108" t="s">
        <v>5371</v>
      </c>
      <c r="H3108" t="s">
        <v>5614</v>
      </c>
      <c r="J3108" t="s">
        <v>3466</v>
      </c>
      <c r="K3108">
        <v>65.400000000000006</v>
      </c>
    </row>
    <row r="3109" spans="1:11" x14ac:dyDescent="0.35">
      <c r="A3109" t="s">
        <v>3467</v>
      </c>
      <c r="B3109" s="1">
        <v>0</v>
      </c>
      <c r="C3109" t="s">
        <v>5475</v>
      </c>
      <c r="D3109" t="s">
        <v>5189</v>
      </c>
      <c r="E3109" t="s">
        <v>5409</v>
      </c>
      <c r="F3109" t="s">
        <v>5364</v>
      </c>
      <c r="G3109" t="s">
        <v>5371</v>
      </c>
      <c r="H3109" t="s">
        <v>5477</v>
      </c>
      <c r="J3109" t="s">
        <v>3467</v>
      </c>
      <c r="K3109">
        <v>64.2</v>
      </c>
    </row>
    <row r="3110" spans="1:11" x14ac:dyDescent="0.35">
      <c r="A3110" t="s">
        <v>3468</v>
      </c>
      <c r="B3110" s="1">
        <v>0</v>
      </c>
      <c r="C3110" t="s">
        <v>5240</v>
      </c>
      <c r="D3110" t="s">
        <v>5189</v>
      </c>
      <c r="E3110" t="s">
        <v>5409</v>
      </c>
      <c r="F3110" t="s">
        <v>5364</v>
      </c>
      <c r="G3110" t="s">
        <v>5371</v>
      </c>
      <c r="H3110" t="s">
        <v>5585</v>
      </c>
      <c r="J3110" t="s">
        <v>3468</v>
      </c>
      <c r="K3110">
        <v>63.5</v>
      </c>
    </row>
    <row r="3111" spans="1:11" x14ac:dyDescent="0.35">
      <c r="A3111" t="s">
        <v>3469</v>
      </c>
      <c r="B3111" s="1">
        <v>0</v>
      </c>
      <c r="C3111" t="s">
        <v>5062</v>
      </c>
      <c r="D3111" t="s">
        <v>5189</v>
      </c>
      <c r="E3111" t="s">
        <v>5409</v>
      </c>
      <c r="F3111" t="s">
        <v>5364</v>
      </c>
      <c r="G3111" t="s">
        <v>5365</v>
      </c>
      <c r="H3111" t="s">
        <v>5564</v>
      </c>
      <c r="J3111" t="s">
        <v>3469</v>
      </c>
      <c r="K3111">
        <v>64</v>
      </c>
    </row>
    <row r="3112" spans="1:11" x14ac:dyDescent="0.35">
      <c r="A3112" t="s">
        <v>3470</v>
      </c>
      <c r="B3112" s="1">
        <v>0</v>
      </c>
      <c r="C3112" t="s">
        <v>5077</v>
      </c>
      <c r="D3112" t="s">
        <v>5186</v>
      </c>
      <c r="E3112" t="s">
        <v>5409</v>
      </c>
      <c r="F3112" t="s">
        <v>5364</v>
      </c>
      <c r="G3112" t="s">
        <v>5365</v>
      </c>
      <c r="H3112" t="s">
        <v>5628</v>
      </c>
      <c r="J3112" t="s">
        <v>3470</v>
      </c>
      <c r="K3112">
        <v>65.5</v>
      </c>
    </row>
    <row r="3113" spans="1:11" x14ac:dyDescent="0.35">
      <c r="A3113" t="s">
        <v>3471</v>
      </c>
      <c r="B3113" s="1">
        <v>0</v>
      </c>
      <c r="C3113" t="s">
        <v>5341</v>
      </c>
      <c r="D3113" t="s">
        <v>5186</v>
      </c>
      <c r="E3113" t="s">
        <v>5409</v>
      </c>
      <c r="F3113" t="s">
        <v>5364</v>
      </c>
      <c r="G3113" t="s">
        <v>5365</v>
      </c>
      <c r="H3113" t="s">
        <v>5401</v>
      </c>
      <c r="J3113" t="s">
        <v>3471</v>
      </c>
      <c r="K3113">
        <v>66.8</v>
      </c>
    </row>
    <row r="3114" spans="1:11" x14ac:dyDescent="0.35">
      <c r="A3114" t="s">
        <v>3472</v>
      </c>
      <c r="B3114" s="1">
        <v>0</v>
      </c>
      <c r="C3114" t="s">
        <v>5332</v>
      </c>
      <c r="D3114" t="s">
        <v>5186</v>
      </c>
      <c r="E3114" t="s">
        <v>5409</v>
      </c>
      <c r="F3114" t="s">
        <v>5364</v>
      </c>
      <c r="G3114" t="s">
        <v>5371</v>
      </c>
      <c r="H3114" t="s">
        <v>5480</v>
      </c>
      <c r="J3114" t="s">
        <v>3472</v>
      </c>
      <c r="K3114">
        <v>66.400000000000006</v>
      </c>
    </row>
    <row r="3115" spans="1:11" x14ac:dyDescent="0.35">
      <c r="A3115" t="s">
        <v>3473</v>
      </c>
      <c r="B3115" s="1">
        <v>0</v>
      </c>
      <c r="C3115" t="s">
        <v>5116</v>
      </c>
      <c r="D3115" t="s">
        <v>5186</v>
      </c>
      <c r="E3115" t="s">
        <v>5409</v>
      </c>
      <c r="F3115" t="s">
        <v>5364</v>
      </c>
      <c r="G3115" t="s">
        <v>5371</v>
      </c>
      <c r="H3115" t="s">
        <v>5408</v>
      </c>
      <c r="J3115" t="s">
        <v>3473</v>
      </c>
      <c r="K3115">
        <v>65.099999999999994</v>
      </c>
    </row>
    <row r="3116" spans="1:11" x14ac:dyDescent="0.35">
      <c r="A3116" t="s">
        <v>3474</v>
      </c>
      <c r="B3116" s="1">
        <v>0</v>
      </c>
      <c r="C3116" t="s">
        <v>5240</v>
      </c>
      <c r="D3116" t="s">
        <v>5189</v>
      </c>
      <c r="E3116" t="s">
        <v>5409</v>
      </c>
      <c r="F3116" t="s">
        <v>5364</v>
      </c>
      <c r="G3116" t="s">
        <v>5372</v>
      </c>
      <c r="H3116" t="s">
        <v>5585</v>
      </c>
      <c r="J3116" t="s">
        <v>3474</v>
      </c>
      <c r="K3116">
        <v>63.5</v>
      </c>
    </row>
    <row r="3117" spans="1:11" x14ac:dyDescent="0.35">
      <c r="A3117" t="s">
        <v>3475</v>
      </c>
      <c r="B3117" s="1">
        <v>0</v>
      </c>
      <c r="C3117" t="s">
        <v>5224</v>
      </c>
      <c r="D3117" t="s">
        <v>5189</v>
      </c>
      <c r="E3117" t="s">
        <v>5409</v>
      </c>
      <c r="F3117" t="s">
        <v>5364</v>
      </c>
      <c r="G3117" t="s">
        <v>5372</v>
      </c>
      <c r="H3117" t="s">
        <v>5647</v>
      </c>
      <c r="J3117" t="s">
        <v>3475</v>
      </c>
      <c r="K3117">
        <v>62.3</v>
      </c>
    </row>
    <row r="3118" spans="1:11" x14ac:dyDescent="0.35">
      <c r="A3118" t="s">
        <v>3476</v>
      </c>
      <c r="B3118" s="1">
        <v>0</v>
      </c>
      <c r="C3118" t="s">
        <v>5297</v>
      </c>
      <c r="D3118" t="s">
        <v>5189</v>
      </c>
      <c r="E3118" t="s">
        <v>5409</v>
      </c>
      <c r="F3118" t="s">
        <v>5364</v>
      </c>
      <c r="G3118" t="s">
        <v>5372</v>
      </c>
      <c r="H3118" t="s">
        <v>5468</v>
      </c>
      <c r="J3118" t="s">
        <v>3476</v>
      </c>
      <c r="K3118">
        <v>61.6</v>
      </c>
    </row>
    <row r="3119" spans="1:11" x14ac:dyDescent="0.35">
      <c r="A3119" t="s">
        <v>3477</v>
      </c>
      <c r="B3119" s="1">
        <v>0</v>
      </c>
      <c r="C3119" t="s">
        <v>5397</v>
      </c>
      <c r="D3119" t="s">
        <v>5357</v>
      </c>
      <c r="E3119" t="s">
        <v>5409</v>
      </c>
      <c r="F3119" t="s">
        <v>5364</v>
      </c>
      <c r="G3119" t="s">
        <v>5375</v>
      </c>
      <c r="H3119" t="s">
        <v>5499</v>
      </c>
      <c r="J3119" t="s">
        <v>3477</v>
      </c>
      <c r="K3119">
        <v>61.1</v>
      </c>
    </row>
    <row r="3120" spans="1:11" x14ac:dyDescent="0.35">
      <c r="A3120" t="s">
        <v>3478</v>
      </c>
      <c r="B3120" s="1">
        <v>0</v>
      </c>
      <c r="C3120" t="s">
        <v>5140</v>
      </c>
      <c r="D3120" t="s">
        <v>5357</v>
      </c>
      <c r="E3120" t="s">
        <v>5409</v>
      </c>
      <c r="F3120" t="s">
        <v>5364</v>
      </c>
      <c r="G3120" t="s">
        <v>5375</v>
      </c>
      <c r="H3120" t="s">
        <v>5231</v>
      </c>
      <c r="J3120" t="s">
        <v>3478</v>
      </c>
      <c r="K3120">
        <v>60.8</v>
      </c>
    </row>
    <row r="3121" spans="1:11" x14ac:dyDescent="0.35">
      <c r="A3121" t="s">
        <v>3479</v>
      </c>
      <c r="B3121" s="1">
        <v>0</v>
      </c>
      <c r="C3121" t="s">
        <v>5153</v>
      </c>
      <c r="D3121" t="s">
        <v>5357</v>
      </c>
      <c r="E3121" t="s">
        <v>5409</v>
      </c>
      <c r="F3121" t="s">
        <v>5364</v>
      </c>
      <c r="G3121" t="s">
        <v>5375</v>
      </c>
      <c r="H3121" t="s">
        <v>5586</v>
      </c>
      <c r="J3121" t="s">
        <v>3479</v>
      </c>
      <c r="K3121">
        <v>60.6</v>
      </c>
    </row>
    <row r="3122" spans="1:11" x14ac:dyDescent="0.35">
      <c r="A3122" t="s">
        <v>3480</v>
      </c>
      <c r="B3122" s="1">
        <v>0</v>
      </c>
      <c r="C3122" t="s">
        <v>5334</v>
      </c>
      <c r="D3122" t="s">
        <v>5357</v>
      </c>
      <c r="E3122" t="s">
        <v>5409</v>
      </c>
      <c r="F3122" t="s">
        <v>5364</v>
      </c>
      <c r="G3122" t="s">
        <v>5375</v>
      </c>
      <c r="H3122" t="s">
        <v>5134</v>
      </c>
      <c r="J3122" t="s">
        <v>3480</v>
      </c>
      <c r="K3122">
        <v>60.5</v>
      </c>
    </row>
    <row r="3123" spans="1:11" x14ac:dyDescent="0.35">
      <c r="A3123" t="s">
        <v>3481</v>
      </c>
      <c r="B3123" s="1">
        <v>0</v>
      </c>
      <c r="C3123" t="s">
        <v>5337</v>
      </c>
      <c r="D3123" t="s">
        <v>5357</v>
      </c>
      <c r="E3123" t="s">
        <v>5409</v>
      </c>
      <c r="F3123" t="s">
        <v>5364</v>
      </c>
      <c r="G3123" t="s">
        <v>5375</v>
      </c>
      <c r="H3123" t="s">
        <v>5130</v>
      </c>
      <c r="J3123" t="s">
        <v>3481</v>
      </c>
      <c r="K3123">
        <v>60.3</v>
      </c>
    </row>
    <row r="3124" spans="1:11" x14ac:dyDescent="0.35">
      <c r="A3124" t="s">
        <v>3482</v>
      </c>
      <c r="B3124" s="1">
        <v>0</v>
      </c>
      <c r="C3124" t="s">
        <v>5339</v>
      </c>
      <c r="D3124" t="s">
        <v>5357</v>
      </c>
      <c r="E3124" t="s">
        <v>5409</v>
      </c>
      <c r="F3124" t="s">
        <v>5364</v>
      </c>
      <c r="G3124" t="s">
        <v>5375</v>
      </c>
      <c r="H3124" t="s">
        <v>5616</v>
      </c>
      <c r="J3124" t="s">
        <v>3482</v>
      </c>
      <c r="K3124">
        <v>60.2</v>
      </c>
    </row>
    <row r="3125" spans="1:11" x14ac:dyDescent="0.35">
      <c r="A3125" t="s">
        <v>3483</v>
      </c>
      <c r="B3125" s="1">
        <v>0</v>
      </c>
      <c r="C3125" t="s">
        <v>5337</v>
      </c>
      <c r="D3125" t="s">
        <v>5357</v>
      </c>
      <c r="E3125" t="s">
        <v>5409</v>
      </c>
      <c r="F3125" t="s">
        <v>5364</v>
      </c>
      <c r="G3125" t="s">
        <v>5375</v>
      </c>
      <c r="H3125" t="s">
        <v>5130</v>
      </c>
      <c r="J3125" t="s">
        <v>3483</v>
      </c>
      <c r="K3125">
        <v>60.3</v>
      </c>
    </row>
    <row r="3126" spans="1:11" x14ac:dyDescent="0.35">
      <c r="A3126" t="s">
        <v>3484</v>
      </c>
      <c r="B3126" s="1">
        <v>0</v>
      </c>
      <c r="C3126" t="s">
        <v>5330</v>
      </c>
      <c r="D3126" t="s">
        <v>5186</v>
      </c>
      <c r="E3126" t="s">
        <v>5562</v>
      </c>
      <c r="F3126" t="s">
        <v>5364</v>
      </c>
      <c r="G3126" t="s">
        <v>5372</v>
      </c>
      <c r="H3126" t="s">
        <v>5468</v>
      </c>
      <c r="J3126" t="s">
        <v>3484</v>
      </c>
      <c r="K3126">
        <v>61.6</v>
      </c>
    </row>
    <row r="3127" spans="1:11" x14ac:dyDescent="0.35">
      <c r="A3127" t="s">
        <v>3485</v>
      </c>
      <c r="B3127" s="1">
        <v>0</v>
      </c>
      <c r="C3127" t="s">
        <v>5174</v>
      </c>
      <c r="D3127" t="s">
        <v>5164</v>
      </c>
      <c r="E3127" t="s">
        <v>5399</v>
      </c>
      <c r="F3127" t="s">
        <v>5364</v>
      </c>
      <c r="G3127" t="s">
        <v>5371</v>
      </c>
      <c r="H3127" t="s">
        <v>5282</v>
      </c>
      <c r="J3127" t="s">
        <v>3485</v>
      </c>
      <c r="K3127">
        <v>64.400000000000006</v>
      </c>
    </row>
    <row r="3128" spans="1:11" x14ac:dyDescent="0.35">
      <c r="A3128" t="s">
        <v>3486</v>
      </c>
      <c r="B3128" s="1">
        <v>0</v>
      </c>
      <c r="C3128" t="s">
        <v>5082</v>
      </c>
      <c r="D3128" t="s">
        <v>5400</v>
      </c>
      <c r="E3128" t="s">
        <v>5405</v>
      </c>
      <c r="F3128" t="s">
        <v>5364</v>
      </c>
      <c r="G3128" t="s">
        <v>5371</v>
      </c>
      <c r="H3128" t="s">
        <v>372</v>
      </c>
      <c r="J3128" t="s">
        <v>3486</v>
      </c>
      <c r="K3128">
        <v>67.8</v>
      </c>
    </row>
    <row r="3129" spans="1:11" x14ac:dyDescent="0.35">
      <c r="A3129" t="s">
        <v>3487</v>
      </c>
      <c r="B3129" s="1">
        <v>0</v>
      </c>
      <c r="C3129" t="s">
        <v>5089</v>
      </c>
      <c r="D3129" t="s">
        <v>5224</v>
      </c>
      <c r="E3129" t="s">
        <v>5184</v>
      </c>
      <c r="F3129" t="s">
        <v>5364</v>
      </c>
      <c r="G3129" t="s">
        <v>5371</v>
      </c>
      <c r="H3129" t="s">
        <v>394</v>
      </c>
      <c r="J3129" t="s">
        <v>3487</v>
      </c>
      <c r="K3129">
        <v>70.099999999999994</v>
      </c>
    </row>
    <row r="3130" spans="1:11" x14ac:dyDescent="0.35">
      <c r="A3130" t="s">
        <v>3490</v>
      </c>
      <c r="B3130" s="1">
        <v>0</v>
      </c>
      <c r="C3130" t="s">
        <v>5341</v>
      </c>
      <c r="D3130" t="s">
        <v>5174</v>
      </c>
      <c r="E3130" t="s">
        <v>5177</v>
      </c>
      <c r="F3130" t="s">
        <v>5364</v>
      </c>
      <c r="G3130" t="s">
        <v>5365</v>
      </c>
      <c r="H3130" t="s">
        <v>404</v>
      </c>
      <c r="J3130" t="s">
        <v>3490</v>
      </c>
      <c r="K3130">
        <v>72</v>
      </c>
    </row>
    <row r="3131" spans="1:11" x14ac:dyDescent="0.35">
      <c r="A3131" t="s">
        <v>3491</v>
      </c>
      <c r="B3131" s="1">
        <v>0</v>
      </c>
      <c r="C3131" t="s">
        <v>5527</v>
      </c>
      <c r="D3131" t="s">
        <v>5230</v>
      </c>
      <c r="E3131" t="s">
        <v>5180</v>
      </c>
      <c r="F3131" t="s">
        <v>5364</v>
      </c>
      <c r="G3131" t="s">
        <v>5365</v>
      </c>
      <c r="H3131" t="s">
        <v>412</v>
      </c>
      <c r="J3131" t="s">
        <v>3491</v>
      </c>
      <c r="K3131">
        <v>73.7</v>
      </c>
    </row>
    <row r="3132" spans="1:11" x14ac:dyDescent="0.35">
      <c r="A3132" t="s">
        <v>3492</v>
      </c>
      <c r="B3132" s="1">
        <v>0</v>
      </c>
      <c r="C3132" t="s">
        <v>5427</v>
      </c>
      <c r="D3132" t="s">
        <v>5224</v>
      </c>
      <c r="E3132" t="s">
        <v>5195</v>
      </c>
      <c r="F3132" t="s">
        <v>5364</v>
      </c>
      <c r="G3132" t="s">
        <v>5368</v>
      </c>
      <c r="H3132" t="s">
        <v>1021</v>
      </c>
      <c r="J3132" t="s">
        <v>3492</v>
      </c>
      <c r="K3132">
        <v>74.8</v>
      </c>
    </row>
    <row r="3133" spans="1:11" x14ac:dyDescent="0.35">
      <c r="A3133" t="s">
        <v>3493</v>
      </c>
      <c r="B3133" s="1">
        <v>0</v>
      </c>
      <c r="C3133" t="s">
        <v>5429</v>
      </c>
      <c r="D3133" t="s">
        <v>5315</v>
      </c>
      <c r="E3133" t="s">
        <v>5405</v>
      </c>
      <c r="F3133" t="s">
        <v>5364</v>
      </c>
      <c r="G3133" t="s">
        <v>5368</v>
      </c>
      <c r="H3133" t="s">
        <v>1886</v>
      </c>
      <c r="J3133" t="s">
        <v>3493</v>
      </c>
      <c r="K3133">
        <v>73.3</v>
      </c>
    </row>
    <row r="3134" spans="1:11" x14ac:dyDescent="0.35">
      <c r="A3134" t="s">
        <v>3495</v>
      </c>
      <c r="B3134" s="1">
        <v>0</v>
      </c>
      <c r="C3134" t="s">
        <v>5414</v>
      </c>
      <c r="D3134" t="s">
        <v>5432</v>
      </c>
      <c r="E3134" t="s">
        <v>5402</v>
      </c>
      <c r="F3134" t="s">
        <v>5364</v>
      </c>
      <c r="G3134" t="s">
        <v>5368</v>
      </c>
      <c r="H3134" t="s">
        <v>385</v>
      </c>
      <c r="J3134" t="s">
        <v>3495</v>
      </c>
      <c r="K3134">
        <v>70.3</v>
      </c>
    </row>
    <row r="3135" spans="1:11" x14ac:dyDescent="0.35">
      <c r="A3135" t="s">
        <v>3497</v>
      </c>
      <c r="B3135" s="1">
        <v>0</v>
      </c>
      <c r="C3135" t="s">
        <v>5089</v>
      </c>
      <c r="D3135" t="s">
        <v>5156</v>
      </c>
      <c r="E3135" t="s">
        <v>5399</v>
      </c>
      <c r="F3135" t="s">
        <v>5364</v>
      </c>
      <c r="G3135" t="s">
        <v>5365</v>
      </c>
      <c r="H3135" t="s">
        <v>397</v>
      </c>
      <c r="J3135" t="s">
        <v>3497</v>
      </c>
      <c r="K3135">
        <v>67.099999999999994</v>
      </c>
    </row>
    <row r="3136" spans="1:11" x14ac:dyDescent="0.35">
      <c r="A3136" s="2">
        <v>42948</v>
      </c>
      <c r="B3136" s="1">
        <v>0</v>
      </c>
      <c r="C3136" t="s">
        <v>5054</v>
      </c>
      <c r="D3136" t="s">
        <v>5159</v>
      </c>
      <c r="E3136" t="s">
        <v>5395</v>
      </c>
      <c r="F3136" t="s">
        <v>5364</v>
      </c>
      <c r="G3136" t="s">
        <v>5371</v>
      </c>
      <c r="H3136" t="s">
        <v>5470</v>
      </c>
      <c r="J3136" s="2">
        <v>42948</v>
      </c>
      <c r="K3136">
        <v>64.5</v>
      </c>
    </row>
    <row r="3137" spans="1:11" x14ac:dyDescent="0.35">
      <c r="A3137" s="2">
        <v>42949</v>
      </c>
      <c r="B3137" s="1">
        <v>0</v>
      </c>
      <c r="C3137" t="s">
        <v>5215</v>
      </c>
      <c r="D3137" t="s">
        <v>5334</v>
      </c>
      <c r="E3137" t="s">
        <v>5186</v>
      </c>
      <c r="F3137" t="s">
        <v>5383</v>
      </c>
      <c r="G3137" t="s">
        <v>5885</v>
      </c>
      <c r="H3137" t="s">
        <v>5463</v>
      </c>
      <c r="J3137" s="2">
        <v>42949</v>
      </c>
      <c r="K3137">
        <v>69</v>
      </c>
    </row>
    <row r="3138" spans="1:11" x14ac:dyDescent="0.35">
      <c r="A3138" s="2">
        <v>42950</v>
      </c>
      <c r="B3138" s="1">
        <v>0</v>
      </c>
      <c r="C3138" t="s">
        <v>5188</v>
      </c>
      <c r="D3138" t="s">
        <v>5144</v>
      </c>
      <c r="E3138" t="s">
        <v>5195</v>
      </c>
      <c r="F3138" t="s">
        <v>5383</v>
      </c>
      <c r="G3138" t="s">
        <v>5884</v>
      </c>
      <c r="H3138" t="s">
        <v>404</v>
      </c>
      <c r="J3138" s="2">
        <v>42950</v>
      </c>
      <c r="K3138">
        <v>72</v>
      </c>
    </row>
    <row r="3139" spans="1:11" x14ac:dyDescent="0.35">
      <c r="A3139" s="2">
        <v>42951</v>
      </c>
      <c r="B3139" s="1">
        <v>0</v>
      </c>
      <c r="C3139" t="s">
        <v>5293</v>
      </c>
      <c r="D3139" t="s">
        <v>5288</v>
      </c>
      <c r="E3139" t="s">
        <v>5164</v>
      </c>
      <c r="F3139" t="s">
        <v>5383</v>
      </c>
      <c r="G3139" t="s">
        <v>5886</v>
      </c>
      <c r="H3139" t="s">
        <v>1057</v>
      </c>
      <c r="J3139" s="2">
        <v>42951</v>
      </c>
      <c r="K3139">
        <v>78.099999999999994</v>
      </c>
    </row>
    <row r="3140" spans="1:11" x14ac:dyDescent="0.35">
      <c r="A3140" s="2">
        <v>42952</v>
      </c>
      <c r="B3140" s="1">
        <v>0</v>
      </c>
      <c r="C3140" t="s">
        <v>5524</v>
      </c>
      <c r="D3140" t="s">
        <v>5183</v>
      </c>
      <c r="E3140" t="s">
        <v>5140</v>
      </c>
      <c r="F3140" t="s">
        <v>5383</v>
      </c>
      <c r="G3140" t="s">
        <v>5364</v>
      </c>
      <c r="H3140" t="s">
        <v>346</v>
      </c>
      <c r="J3140" s="2">
        <v>42952</v>
      </c>
      <c r="K3140">
        <v>86.9</v>
      </c>
    </row>
    <row r="3141" spans="1:11" x14ac:dyDescent="0.35">
      <c r="A3141" s="2">
        <v>42953</v>
      </c>
      <c r="B3141" s="1">
        <v>0</v>
      </c>
      <c r="C3141" t="s">
        <v>5120</v>
      </c>
      <c r="D3141" t="s">
        <v>5355</v>
      </c>
      <c r="E3141" t="s">
        <v>5294</v>
      </c>
      <c r="F3141" t="s">
        <v>5383</v>
      </c>
      <c r="G3141" t="s">
        <v>5390</v>
      </c>
      <c r="H3141" t="s">
        <v>2271</v>
      </c>
      <c r="J3141" s="2">
        <v>42953</v>
      </c>
      <c r="K3141">
        <v>95.9</v>
      </c>
    </row>
    <row r="3142" spans="1:11" x14ac:dyDescent="0.35">
      <c r="A3142" s="2">
        <v>42954</v>
      </c>
      <c r="B3142" s="1">
        <v>0</v>
      </c>
      <c r="C3142" t="s">
        <v>5522</v>
      </c>
      <c r="D3142" t="s">
        <v>5338</v>
      </c>
      <c r="E3142" t="s">
        <v>5227</v>
      </c>
      <c r="F3142" t="s">
        <v>5383</v>
      </c>
      <c r="G3142" t="s">
        <v>5386</v>
      </c>
      <c r="H3142" t="s">
        <v>315</v>
      </c>
      <c r="J3142" s="2">
        <v>42954</v>
      </c>
      <c r="K3142">
        <v>103.1</v>
      </c>
    </row>
    <row r="3143" spans="1:11" x14ac:dyDescent="0.35">
      <c r="A3143" s="2">
        <v>42955</v>
      </c>
      <c r="B3143" s="1">
        <v>0</v>
      </c>
      <c r="C3143" t="s">
        <v>5145</v>
      </c>
      <c r="D3143" t="s">
        <v>5338</v>
      </c>
      <c r="E3143" t="s">
        <v>5207</v>
      </c>
      <c r="F3143" t="s">
        <v>5379</v>
      </c>
      <c r="G3143" t="s">
        <v>5376</v>
      </c>
      <c r="H3143" t="s">
        <v>4645</v>
      </c>
      <c r="J3143" s="2">
        <v>42955</v>
      </c>
      <c r="K3143">
        <v>101.7</v>
      </c>
    </row>
    <row r="3144" spans="1:11" x14ac:dyDescent="0.35">
      <c r="A3144" s="2">
        <v>42956</v>
      </c>
      <c r="B3144" s="1">
        <v>0</v>
      </c>
      <c r="C3144" t="s">
        <v>5272</v>
      </c>
      <c r="D3144" t="s">
        <v>5501</v>
      </c>
      <c r="E3144" t="s">
        <v>5288</v>
      </c>
      <c r="F3144" t="s">
        <v>5383</v>
      </c>
      <c r="G3144" t="s">
        <v>5390</v>
      </c>
      <c r="H3144" t="s">
        <v>2608</v>
      </c>
      <c r="J3144" s="2">
        <v>42956</v>
      </c>
      <c r="K3144">
        <v>95.8</v>
      </c>
    </row>
    <row r="3145" spans="1:11" x14ac:dyDescent="0.35">
      <c r="A3145" s="2">
        <v>42957</v>
      </c>
      <c r="B3145" s="1">
        <v>0</v>
      </c>
      <c r="C3145" t="s">
        <v>5223</v>
      </c>
      <c r="D3145" t="s">
        <v>5095</v>
      </c>
      <c r="E3145" t="s">
        <v>5342</v>
      </c>
      <c r="F3145" t="s">
        <v>5383</v>
      </c>
      <c r="G3145" t="s">
        <v>5369</v>
      </c>
      <c r="H3145" t="s">
        <v>327</v>
      </c>
      <c r="J3145" s="2">
        <v>42957</v>
      </c>
      <c r="K3145">
        <v>89.6</v>
      </c>
    </row>
    <row r="3146" spans="1:11" x14ac:dyDescent="0.35">
      <c r="A3146" s="2">
        <v>42958</v>
      </c>
      <c r="B3146" s="1">
        <v>0</v>
      </c>
      <c r="C3146" t="s">
        <v>5426</v>
      </c>
      <c r="D3146" t="s">
        <v>5046</v>
      </c>
      <c r="E3146" t="s">
        <v>5153</v>
      </c>
      <c r="F3146" t="s">
        <v>5383</v>
      </c>
      <c r="G3146" t="s">
        <v>5367</v>
      </c>
      <c r="H3146" t="s">
        <v>1522</v>
      </c>
      <c r="J3146" s="2">
        <v>42958</v>
      </c>
      <c r="K3146">
        <v>84.8</v>
      </c>
    </row>
    <row r="3147" spans="1:11" x14ac:dyDescent="0.35">
      <c r="A3147" s="2">
        <v>42959</v>
      </c>
      <c r="B3147" s="1">
        <v>0</v>
      </c>
      <c r="C3147" t="s">
        <v>5546</v>
      </c>
      <c r="D3147" t="s">
        <v>5288</v>
      </c>
      <c r="E3147" t="s">
        <v>5156</v>
      </c>
      <c r="F3147" t="s">
        <v>5383</v>
      </c>
      <c r="G3147" t="s">
        <v>5881</v>
      </c>
      <c r="H3147" t="s">
        <v>449</v>
      </c>
      <c r="J3147" s="2">
        <v>42959</v>
      </c>
      <c r="K3147">
        <v>80.7</v>
      </c>
    </row>
    <row r="3148" spans="1:11" x14ac:dyDescent="0.35">
      <c r="A3148" s="2">
        <v>42960</v>
      </c>
      <c r="B3148" s="1">
        <v>0</v>
      </c>
      <c r="C3148" t="s">
        <v>5143</v>
      </c>
      <c r="D3148" t="s">
        <v>5342</v>
      </c>
      <c r="E3148" t="s">
        <v>5159</v>
      </c>
      <c r="F3148" t="s">
        <v>5383</v>
      </c>
      <c r="G3148" t="s">
        <v>5882</v>
      </c>
      <c r="H3148" t="s">
        <v>453</v>
      </c>
      <c r="J3148" s="2">
        <v>42960</v>
      </c>
      <c r="K3148">
        <v>76.8</v>
      </c>
    </row>
    <row r="3149" spans="1:11" x14ac:dyDescent="0.35">
      <c r="A3149" s="2">
        <v>42961</v>
      </c>
      <c r="B3149" s="1">
        <v>0</v>
      </c>
      <c r="C3149" t="s">
        <v>5149</v>
      </c>
      <c r="D3149" t="s">
        <v>5144</v>
      </c>
      <c r="E3149" t="s">
        <v>5180</v>
      </c>
      <c r="F3149" t="s">
        <v>5383</v>
      </c>
      <c r="G3149" t="s">
        <v>5880</v>
      </c>
      <c r="H3149" t="s">
        <v>1874</v>
      </c>
      <c r="J3149" s="2">
        <v>42961</v>
      </c>
      <c r="K3149">
        <v>74.099999999999994</v>
      </c>
    </row>
    <row r="3150" spans="1:11" x14ac:dyDescent="0.35">
      <c r="A3150" s="2">
        <v>42962</v>
      </c>
      <c r="B3150" s="1">
        <v>0</v>
      </c>
      <c r="C3150" t="s">
        <v>5527</v>
      </c>
      <c r="D3150" t="s">
        <v>5153</v>
      </c>
      <c r="E3150" t="s">
        <v>5195</v>
      </c>
      <c r="F3150" t="s">
        <v>5383</v>
      </c>
      <c r="G3150" t="s">
        <v>5886</v>
      </c>
      <c r="H3150" t="s">
        <v>390</v>
      </c>
      <c r="J3150" s="2">
        <v>42962</v>
      </c>
      <c r="K3150">
        <v>73.400000000000006</v>
      </c>
    </row>
    <row r="3151" spans="1:11" x14ac:dyDescent="0.35">
      <c r="A3151" s="2">
        <v>42963</v>
      </c>
      <c r="B3151" s="1">
        <v>0</v>
      </c>
      <c r="C3151" t="s">
        <v>5043</v>
      </c>
      <c r="D3151" t="s">
        <v>5411</v>
      </c>
      <c r="E3151" t="s">
        <v>5186</v>
      </c>
      <c r="F3151" t="s">
        <v>5383</v>
      </c>
      <c r="G3151" t="s">
        <v>5880</v>
      </c>
      <c r="H3151" t="s">
        <v>2237</v>
      </c>
      <c r="J3151" s="2">
        <v>42963</v>
      </c>
      <c r="K3151">
        <v>74.2</v>
      </c>
    </row>
    <row r="3152" spans="1:11" x14ac:dyDescent="0.35">
      <c r="A3152" s="2">
        <v>42964</v>
      </c>
      <c r="B3152" s="1">
        <v>0</v>
      </c>
      <c r="C3152" t="s">
        <v>5311</v>
      </c>
      <c r="D3152" t="s">
        <v>5337</v>
      </c>
      <c r="E3152" t="s">
        <v>5189</v>
      </c>
      <c r="F3152" t="s">
        <v>5383</v>
      </c>
      <c r="G3152" t="s">
        <v>5882</v>
      </c>
      <c r="H3152" t="s">
        <v>1039</v>
      </c>
      <c r="J3152" s="2">
        <v>42964</v>
      </c>
      <c r="K3152">
        <v>74.3</v>
      </c>
    </row>
    <row r="3153" spans="1:11" x14ac:dyDescent="0.35">
      <c r="A3153" s="2">
        <v>42965</v>
      </c>
      <c r="B3153" s="1">
        <v>0</v>
      </c>
      <c r="C3153" t="s">
        <v>5549</v>
      </c>
      <c r="D3153" t="s">
        <v>5337</v>
      </c>
      <c r="E3153" t="s">
        <v>5189</v>
      </c>
      <c r="F3153" t="s">
        <v>5383</v>
      </c>
      <c r="G3153" t="s">
        <v>5887</v>
      </c>
      <c r="H3153" t="s">
        <v>374</v>
      </c>
      <c r="J3153" s="2">
        <v>42965</v>
      </c>
      <c r="K3153">
        <v>74.400000000000006</v>
      </c>
    </row>
    <row r="3154" spans="1:11" x14ac:dyDescent="0.35">
      <c r="A3154" s="2">
        <v>42966</v>
      </c>
      <c r="B3154" s="1">
        <v>0</v>
      </c>
      <c r="C3154" t="s">
        <v>5139</v>
      </c>
      <c r="D3154" t="s">
        <v>5400</v>
      </c>
      <c r="E3154" t="s">
        <v>5184</v>
      </c>
      <c r="F3154" t="s">
        <v>5383</v>
      </c>
      <c r="G3154" t="s">
        <v>5364</v>
      </c>
      <c r="H3154" t="s">
        <v>1909</v>
      </c>
      <c r="J3154" s="2">
        <v>42966</v>
      </c>
      <c r="K3154">
        <v>77.2</v>
      </c>
    </row>
    <row r="3155" spans="1:11" x14ac:dyDescent="0.35">
      <c r="A3155" s="2">
        <v>42967</v>
      </c>
      <c r="B3155" s="1">
        <v>0</v>
      </c>
      <c r="C3155" t="s">
        <v>5057</v>
      </c>
      <c r="D3155" t="s">
        <v>5222</v>
      </c>
      <c r="E3155" t="s">
        <v>5156</v>
      </c>
      <c r="F3155" t="s">
        <v>5383</v>
      </c>
      <c r="G3155" t="s">
        <v>5363</v>
      </c>
      <c r="H3155" t="s">
        <v>444</v>
      </c>
      <c r="J3155" s="2">
        <v>42967</v>
      </c>
      <c r="K3155">
        <v>83.5</v>
      </c>
    </row>
    <row r="3156" spans="1:11" x14ac:dyDescent="0.35">
      <c r="A3156" s="2">
        <v>42968</v>
      </c>
      <c r="B3156" s="1">
        <v>0</v>
      </c>
      <c r="C3156" t="s">
        <v>5237</v>
      </c>
      <c r="D3156" t="s">
        <v>5099</v>
      </c>
      <c r="E3156" t="s">
        <v>5432</v>
      </c>
      <c r="F3156" t="s">
        <v>5383</v>
      </c>
      <c r="G3156" t="s">
        <v>5369</v>
      </c>
      <c r="H3156" t="s">
        <v>1470</v>
      </c>
      <c r="J3156" s="2">
        <v>42968</v>
      </c>
      <c r="K3156">
        <v>89.7</v>
      </c>
    </row>
    <row r="3157" spans="1:11" x14ac:dyDescent="0.35">
      <c r="A3157" s="2">
        <v>42969</v>
      </c>
      <c r="B3157" s="1">
        <v>0</v>
      </c>
      <c r="C3157" t="s">
        <v>5237</v>
      </c>
      <c r="D3157" t="s">
        <v>5116</v>
      </c>
      <c r="E3157" t="s">
        <v>5144</v>
      </c>
      <c r="F3157" t="s">
        <v>5383</v>
      </c>
      <c r="G3157" t="s">
        <v>5369</v>
      </c>
      <c r="H3157" t="s">
        <v>332</v>
      </c>
      <c r="J3157" s="2">
        <v>42969</v>
      </c>
      <c r="K3157">
        <v>90.2</v>
      </c>
    </row>
    <row r="3158" spans="1:11" x14ac:dyDescent="0.35">
      <c r="A3158" s="2">
        <v>42970</v>
      </c>
      <c r="B3158" s="1">
        <v>0</v>
      </c>
      <c r="C3158" t="s">
        <v>5599</v>
      </c>
      <c r="D3158" t="s">
        <v>5099</v>
      </c>
      <c r="E3158" t="s">
        <v>5432</v>
      </c>
      <c r="F3158" t="s">
        <v>5383</v>
      </c>
      <c r="G3158" t="s">
        <v>5367</v>
      </c>
      <c r="H3158" t="s">
        <v>366</v>
      </c>
      <c r="J3158" s="2">
        <v>42970</v>
      </c>
      <c r="K3158">
        <v>86.3</v>
      </c>
    </row>
    <row r="3159" spans="1:11" x14ac:dyDescent="0.35">
      <c r="A3159" s="2">
        <v>42971</v>
      </c>
      <c r="B3159" s="1">
        <v>0</v>
      </c>
      <c r="C3159" t="s">
        <v>5529</v>
      </c>
      <c r="D3159" t="s">
        <v>5054</v>
      </c>
      <c r="E3159" t="s">
        <v>5337</v>
      </c>
      <c r="F3159" t="s">
        <v>5383</v>
      </c>
      <c r="G3159" t="s">
        <v>5881</v>
      </c>
      <c r="H3159" t="s">
        <v>1051</v>
      </c>
      <c r="J3159" s="2">
        <v>42971</v>
      </c>
      <c r="K3159">
        <v>81.3</v>
      </c>
    </row>
    <row r="3160" spans="1:11" x14ac:dyDescent="0.35">
      <c r="A3160" s="2">
        <v>42972</v>
      </c>
      <c r="B3160" s="1">
        <v>0</v>
      </c>
      <c r="C3160" t="s">
        <v>5300</v>
      </c>
      <c r="D3160" t="s">
        <v>5174</v>
      </c>
      <c r="E3160" t="s">
        <v>5156</v>
      </c>
      <c r="F3160" t="s">
        <v>5383</v>
      </c>
      <c r="G3160" t="s">
        <v>5887</v>
      </c>
      <c r="H3160" t="s">
        <v>1045</v>
      </c>
      <c r="J3160" s="2">
        <v>42972</v>
      </c>
      <c r="K3160">
        <v>79.599999999999994</v>
      </c>
    </row>
    <row r="3161" spans="1:11" x14ac:dyDescent="0.35">
      <c r="A3161" s="2">
        <v>42973</v>
      </c>
      <c r="B3161" s="1">
        <v>0</v>
      </c>
      <c r="C3161" t="s">
        <v>5284</v>
      </c>
      <c r="D3161" t="s">
        <v>5062</v>
      </c>
      <c r="E3161" t="s">
        <v>5411</v>
      </c>
      <c r="F3161" t="s">
        <v>5383</v>
      </c>
      <c r="G3161" t="s">
        <v>5887</v>
      </c>
      <c r="H3161" t="s">
        <v>345</v>
      </c>
      <c r="J3161" s="2">
        <v>42973</v>
      </c>
      <c r="K3161">
        <v>83.4</v>
      </c>
    </row>
    <row r="3162" spans="1:11" x14ac:dyDescent="0.35">
      <c r="A3162" s="2">
        <v>42974</v>
      </c>
      <c r="B3162" s="1">
        <v>0</v>
      </c>
      <c r="C3162" t="s">
        <v>5425</v>
      </c>
      <c r="D3162" t="s">
        <v>5356</v>
      </c>
      <c r="E3162" t="s">
        <v>5330</v>
      </c>
      <c r="F3162" t="s">
        <v>5383</v>
      </c>
      <c r="G3162" t="s">
        <v>5881</v>
      </c>
      <c r="H3162" t="s">
        <v>338</v>
      </c>
      <c r="J3162" s="2">
        <v>42974</v>
      </c>
      <c r="K3162">
        <v>89.1</v>
      </c>
    </row>
    <row r="3163" spans="1:11" x14ac:dyDescent="0.35">
      <c r="A3163" s="2">
        <v>42975</v>
      </c>
      <c r="B3163" s="1">
        <v>0</v>
      </c>
      <c r="C3163" t="s">
        <v>5073</v>
      </c>
      <c r="D3163" t="s">
        <v>5158</v>
      </c>
      <c r="E3163" t="s">
        <v>5309</v>
      </c>
      <c r="F3163" t="s">
        <v>5383</v>
      </c>
      <c r="G3163" t="s">
        <v>5881</v>
      </c>
      <c r="H3163" t="s">
        <v>1536</v>
      </c>
      <c r="J3163" s="2">
        <v>42975</v>
      </c>
      <c r="K3163">
        <v>91.4</v>
      </c>
    </row>
    <row r="3164" spans="1:11" x14ac:dyDescent="0.35">
      <c r="A3164" s="2">
        <v>42976</v>
      </c>
      <c r="B3164" s="1">
        <v>0</v>
      </c>
      <c r="C3164" t="s">
        <v>5052</v>
      </c>
      <c r="D3164" t="s">
        <v>5205</v>
      </c>
      <c r="E3164" t="s">
        <v>5294</v>
      </c>
      <c r="F3164" t="s">
        <v>5383</v>
      </c>
      <c r="G3164" t="s">
        <v>5881</v>
      </c>
      <c r="H3164" t="s">
        <v>1535</v>
      </c>
      <c r="J3164" s="2">
        <v>42976</v>
      </c>
      <c r="K3164">
        <v>88.9</v>
      </c>
    </row>
    <row r="3165" spans="1:11" x14ac:dyDescent="0.35">
      <c r="A3165" s="2">
        <v>42977</v>
      </c>
      <c r="B3165" s="1">
        <v>0</v>
      </c>
      <c r="C3165" t="s">
        <v>5307</v>
      </c>
      <c r="D3165" t="s">
        <v>5132</v>
      </c>
      <c r="E3165" t="s">
        <v>5330</v>
      </c>
      <c r="F3165" t="s">
        <v>5383</v>
      </c>
      <c r="G3165" t="s">
        <v>5882</v>
      </c>
      <c r="H3165" t="s">
        <v>3798</v>
      </c>
      <c r="J3165" s="2">
        <v>42977</v>
      </c>
      <c r="K3165">
        <v>83.8</v>
      </c>
    </row>
    <row r="3166" spans="1:11" x14ac:dyDescent="0.35">
      <c r="A3166" s="2">
        <v>42978</v>
      </c>
      <c r="B3166" s="1">
        <v>0</v>
      </c>
      <c r="C3166" t="s">
        <v>5351</v>
      </c>
      <c r="D3166" t="s">
        <v>5183</v>
      </c>
      <c r="E3166" t="s">
        <v>5153</v>
      </c>
      <c r="F3166" t="s">
        <v>5383</v>
      </c>
      <c r="G3166" t="s">
        <v>5886</v>
      </c>
      <c r="H3166" t="s">
        <v>438</v>
      </c>
      <c r="J3166" s="2">
        <v>42978</v>
      </c>
      <c r="K3166">
        <v>78.8</v>
      </c>
    </row>
    <row r="3167" spans="1:11" x14ac:dyDescent="0.35">
      <c r="A3167" t="s">
        <v>3500</v>
      </c>
      <c r="B3167" s="1">
        <v>0</v>
      </c>
      <c r="C3167" t="s">
        <v>5527</v>
      </c>
      <c r="D3167" t="s">
        <v>5058</v>
      </c>
      <c r="E3167" t="s">
        <v>5334</v>
      </c>
      <c r="F3167" t="s">
        <v>5383</v>
      </c>
      <c r="G3167" t="s">
        <v>5883</v>
      </c>
      <c r="H3167" t="s">
        <v>1913</v>
      </c>
      <c r="J3167" t="s">
        <v>3500</v>
      </c>
      <c r="K3167">
        <v>77.5</v>
      </c>
    </row>
    <row r="3168" spans="1:11" x14ac:dyDescent="0.35">
      <c r="A3168" t="s">
        <v>3501</v>
      </c>
      <c r="B3168" s="1">
        <v>0</v>
      </c>
      <c r="C3168" t="s">
        <v>5182</v>
      </c>
      <c r="D3168" t="s">
        <v>5199</v>
      </c>
      <c r="E3168" t="s">
        <v>5152</v>
      </c>
      <c r="F3168" t="s">
        <v>5168</v>
      </c>
      <c r="G3168" t="s">
        <v>5346</v>
      </c>
      <c r="H3168" t="s">
        <v>2564</v>
      </c>
      <c r="J3168" t="s">
        <v>3501</v>
      </c>
      <c r="K3168">
        <v>108.8</v>
      </c>
    </row>
    <row r="3169" spans="1:11" x14ac:dyDescent="0.35">
      <c r="A3169" t="s">
        <v>3502</v>
      </c>
      <c r="B3169" s="1">
        <v>0</v>
      </c>
      <c r="C3169" t="s">
        <v>5135</v>
      </c>
      <c r="D3169" t="s">
        <v>5143</v>
      </c>
      <c r="E3169" t="s">
        <v>5352</v>
      </c>
      <c r="F3169" t="s">
        <v>5168</v>
      </c>
      <c r="G3169" t="s">
        <v>5343</v>
      </c>
      <c r="H3169" t="s">
        <v>4</v>
      </c>
      <c r="J3169" t="s">
        <v>3502</v>
      </c>
      <c r="K3169">
        <v>116.1</v>
      </c>
    </row>
    <row r="3170" spans="1:11" x14ac:dyDescent="0.35">
      <c r="A3170" t="s">
        <v>3503</v>
      </c>
      <c r="B3170" s="1">
        <v>0</v>
      </c>
      <c r="C3170" t="s">
        <v>5256</v>
      </c>
      <c r="D3170" t="s">
        <v>5424</v>
      </c>
      <c r="E3170" t="s">
        <v>5526</v>
      </c>
      <c r="F3170" t="s">
        <v>5156</v>
      </c>
      <c r="G3170" t="s">
        <v>5344</v>
      </c>
      <c r="H3170" t="s">
        <v>511</v>
      </c>
      <c r="J3170" t="s">
        <v>3503</v>
      </c>
      <c r="K3170">
        <v>122.6</v>
      </c>
    </row>
    <row r="3171" spans="1:11" x14ac:dyDescent="0.35">
      <c r="A3171" t="s">
        <v>3504</v>
      </c>
      <c r="B3171" s="1">
        <v>0</v>
      </c>
      <c r="C3171" t="s">
        <v>5235</v>
      </c>
      <c r="D3171" t="s">
        <v>5546</v>
      </c>
      <c r="E3171" t="s">
        <v>5311</v>
      </c>
      <c r="F3171" t="s">
        <v>5156</v>
      </c>
      <c r="G3171" t="s">
        <v>5344</v>
      </c>
      <c r="H3171" t="s">
        <v>518</v>
      </c>
      <c r="J3171" t="s">
        <v>3504</v>
      </c>
      <c r="K3171">
        <v>127.3</v>
      </c>
    </row>
    <row r="3172" spans="1:11" x14ac:dyDescent="0.35">
      <c r="A3172" t="s">
        <v>3505</v>
      </c>
      <c r="B3172" s="1">
        <v>0</v>
      </c>
      <c r="C3172" t="s">
        <v>5083</v>
      </c>
      <c r="D3172" t="s">
        <v>5423</v>
      </c>
      <c r="E3172" t="s">
        <v>5526</v>
      </c>
      <c r="F3172" t="s">
        <v>5156</v>
      </c>
      <c r="G3172" t="s">
        <v>5359</v>
      </c>
      <c r="H3172" t="s">
        <v>1110</v>
      </c>
      <c r="J3172" t="s">
        <v>3505</v>
      </c>
      <c r="K3172">
        <v>128.80000000000001</v>
      </c>
    </row>
    <row r="3173" spans="1:11" x14ac:dyDescent="0.35">
      <c r="A3173" t="s">
        <v>3506</v>
      </c>
      <c r="B3173" s="1">
        <v>0</v>
      </c>
      <c r="C3173" t="s">
        <v>5238</v>
      </c>
      <c r="D3173" t="s">
        <v>5044</v>
      </c>
      <c r="E3173" t="s">
        <v>5329</v>
      </c>
      <c r="F3173" t="s">
        <v>5156</v>
      </c>
      <c r="G3173" t="s">
        <v>5360</v>
      </c>
      <c r="H3173" t="s">
        <v>515</v>
      </c>
      <c r="J3173" t="s">
        <v>3506</v>
      </c>
      <c r="K3173">
        <v>127.9</v>
      </c>
    </row>
    <row r="3174" spans="1:11" x14ac:dyDescent="0.35">
      <c r="A3174" t="s">
        <v>3507</v>
      </c>
      <c r="B3174" s="1">
        <v>0</v>
      </c>
      <c r="C3174" t="s">
        <v>5115</v>
      </c>
      <c r="D3174" t="s">
        <v>5545</v>
      </c>
      <c r="E3174" t="s">
        <v>5526</v>
      </c>
      <c r="F3174" t="s">
        <v>5156</v>
      </c>
      <c r="G3174" t="s">
        <v>5562</v>
      </c>
      <c r="H3174" t="s">
        <v>840</v>
      </c>
      <c r="J3174" t="s">
        <v>3507</v>
      </c>
      <c r="K3174">
        <v>132.69999999999999</v>
      </c>
    </row>
    <row r="3175" spans="1:11" x14ac:dyDescent="0.35">
      <c r="A3175" t="s">
        <v>3508</v>
      </c>
      <c r="B3175" s="1">
        <v>0</v>
      </c>
      <c r="C3175" t="s">
        <v>5578</v>
      </c>
      <c r="D3175" t="s">
        <v>5061</v>
      </c>
      <c r="E3175" t="s">
        <v>5047</v>
      </c>
      <c r="F3175" t="s">
        <v>5156</v>
      </c>
      <c r="G3175" t="s">
        <v>5419</v>
      </c>
      <c r="H3175" t="s">
        <v>100</v>
      </c>
      <c r="J3175" t="s">
        <v>3508</v>
      </c>
      <c r="K3175">
        <v>146.80000000000001</v>
      </c>
    </row>
    <row r="3176" spans="1:11" x14ac:dyDescent="0.35">
      <c r="A3176" t="s">
        <v>3509</v>
      </c>
      <c r="B3176" s="1">
        <v>0</v>
      </c>
      <c r="C3176" t="s">
        <v>2584</v>
      </c>
      <c r="D3176" t="s">
        <v>5176</v>
      </c>
      <c r="E3176" t="s">
        <v>5325</v>
      </c>
      <c r="F3176" t="s">
        <v>5156</v>
      </c>
      <c r="G3176" t="s">
        <v>5195</v>
      </c>
      <c r="H3176" t="s">
        <v>1348</v>
      </c>
      <c r="J3176" t="s">
        <v>3509</v>
      </c>
      <c r="K3176">
        <v>161.30000000000001</v>
      </c>
    </row>
    <row r="3177" spans="1:11" x14ac:dyDescent="0.35">
      <c r="A3177" t="s">
        <v>3510</v>
      </c>
      <c r="B3177" s="1">
        <v>0</v>
      </c>
      <c r="C3177" t="s">
        <v>3496</v>
      </c>
      <c r="D3177" t="s">
        <v>5210</v>
      </c>
      <c r="E3177" t="s">
        <v>5307</v>
      </c>
      <c r="F3177" t="s">
        <v>5156</v>
      </c>
      <c r="G3177" t="s">
        <v>5180</v>
      </c>
      <c r="H3177" t="s">
        <v>1763</v>
      </c>
      <c r="J3177" t="s">
        <v>3510</v>
      </c>
      <c r="K3177">
        <v>165.8</v>
      </c>
    </row>
    <row r="3178" spans="1:11" x14ac:dyDescent="0.35">
      <c r="A3178" t="s">
        <v>3511</v>
      </c>
      <c r="B3178" s="1">
        <v>0</v>
      </c>
      <c r="C3178" t="s">
        <v>404</v>
      </c>
      <c r="D3178" t="s">
        <v>5071</v>
      </c>
      <c r="E3178" t="s">
        <v>5327</v>
      </c>
      <c r="F3178" t="s">
        <v>5156</v>
      </c>
      <c r="G3178" t="s">
        <v>5184</v>
      </c>
      <c r="H3178" t="s">
        <v>594</v>
      </c>
      <c r="J3178" t="s">
        <v>3511</v>
      </c>
      <c r="K3178">
        <v>162.5</v>
      </c>
    </row>
    <row r="3179" spans="1:11" x14ac:dyDescent="0.35">
      <c r="A3179" t="s">
        <v>3512</v>
      </c>
      <c r="B3179" s="1">
        <v>0</v>
      </c>
      <c r="C3179" t="s">
        <v>394</v>
      </c>
      <c r="D3179" t="s">
        <v>5098</v>
      </c>
      <c r="E3179" t="s">
        <v>5307</v>
      </c>
      <c r="F3179" t="s">
        <v>5156</v>
      </c>
      <c r="G3179" t="s">
        <v>5189</v>
      </c>
      <c r="H3179" t="s">
        <v>876</v>
      </c>
      <c r="J3179" t="s">
        <v>3512</v>
      </c>
      <c r="K3179">
        <v>160.9</v>
      </c>
    </row>
    <row r="3180" spans="1:11" x14ac:dyDescent="0.35">
      <c r="A3180" t="s">
        <v>3513</v>
      </c>
      <c r="B3180" s="1">
        <v>0</v>
      </c>
      <c r="C3180" t="s">
        <v>371</v>
      </c>
      <c r="D3180" t="s">
        <v>5162</v>
      </c>
      <c r="E3180" t="s">
        <v>5307</v>
      </c>
      <c r="F3180" t="s">
        <v>5156</v>
      </c>
      <c r="G3180" t="s">
        <v>5357</v>
      </c>
      <c r="H3180" t="s">
        <v>146</v>
      </c>
      <c r="J3180" t="s">
        <v>3513</v>
      </c>
      <c r="K3180">
        <v>162.19999999999999</v>
      </c>
    </row>
    <row r="3181" spans="1:11" x14ac:dyDescent="0.35">
      <c r="A3181" t="s">
        <v>3514</v>
      </c>
      <c r="B3181" s="1">
        <v>0</v>
      </c>
      <c r="C3181" t="s">
        <v>394</v>
      </c>
      <c r="D3181" t="s">
        <v>5173</v>
      </c>
      <c r="E3181" t="s">
        <v>5139</v>
      </c>
      <c r="F3181" t="s">
        <v>5156</v>
      </c>
      <c r="G3181" t="s">
        <v>5357</v>
      </c>
      <c r="H3181" t="s">
        <v>197</v>
      </c>
      <c r="J3181" t="s">
        <v>3514</v>
      </c>
      <c r="K3181">
        <v>158.9</v>
      </c>
    </row>
    <row r="3182" spans="1:11" x14ac:dyDescent="0.35">
      <c r="A3182" t="s">
        <v>3515</v>
      </c>
      <c r="B3182" s="1">
        <v>0</v>
      </c>
      <c r="C3182" t="s">
        <v>5564</v>
      </c>
      <c r="D3182" t="s">
        <v>5169</v>
      </c>
      <c r="E3182" t="s">
        <v>5047</v>
      </c>
      <c r="F3182" t="s">
        <v>5156</v>
      </c>
      <c r="G3182" t="s">
        <v>5404</v>
      </c>
      <c r="H3182" t="s">
        <v>1367</v>
      </c>
      <c r="J3182" t="s">
        <v>3515</v>
      </c>
      <c r="K3182">
        <v>149.69999999999999</v>
      </c>
    </row>
    <row r="3183" spans="1:11" x14ac:dyDescent="0.35">
      <c r="A3183" t="s">
        <v>3516</v>
      </c>
      <c r="B3183" s="1">
        <v>0</v>
      </c>
      <c r="C3183" t="s">
        <v>5126</v>
      </c>
      <c r="D3183" t="s">
        <v>5283</v>
      </c>
      <c r="E3183" t="s">
        <v>5429</v>
      </c>
      <c r="F3183" t="s">
        <v>5156</v>
      </c>
      <c r="G3183" t="s">
        <v>5413</v>
      </c>
      <c r="H3183" t="s">
        <v>154</v>
      </c>
      <c r="J3183" t="s">
        <v>3516</v>
      </c>
      <c r="K3183">
        <v>138.5</v>
      </c>
    </row>
    <row r="3184" spans="1:11" x14ac:dyDescent="0.35">
      <c r="A3184" t="s">
        <v>3517</v>
      </c>
      <c r="B3184" s="1">
        <v>0</v>
      </c>
      <c r="C3184" t="s">
        <v>5083</v>
      </c>
      <c r="D3184" t="s">
        <v>5053</v>
      </c>
      <c r="E3184" t="s">
        <v>5526</v>
      </c>
      <c r="F3184" t="s">
        <v>5156</v>
      </c>
      <c r="G3184" t="s">
        <v>5395</v>
      </c>
      <c r="H3184" t="s">
        <v>1462</v>
      </c>
      <c r="J3184" t="s">
        <v>3517</v>
      </c>
      <c r="K3184">
        <v>130.1</v>
      </c>
    </row>
    <row r="3185" spans="1:11" x14ac:dyDescent="0.35">
      <c r="A3185" t="s">
        <v>3518</v>
      </c>
      <c r="B3185" s="1">
        <v>0</v>
      </c>
      <c r="C3185" t="s">
        <v>5532</v>
      </c>
      <c r="D3185" t="s">
        <v>5622</v>
      </c>
      <c r="E3185" t="s">
        <v>5526</v>
      </c>
      <c r="F3185" t="s">
        <v>5156</v>
      </c>
      <c r="G3185" t="s">
        <v>5399</v>
      </c>
      <c r="H3185" t="s">
        <v>1952</v>
      </c>
      <c r="J3185" t="s">
        <v>3518</v>
      </c>
      <c r="K3185">
        <v>130.30000000000001</v>
      </c>
    </row>
    <row r="3186" spans="1:11" x14ac:dyDescent="0.35">
      <c r="A3186" t="s">
        <v>3519</v>
      </c>
      <c r="B3186" s="1">
        <v>0</v>
      </c>
      <c r="C3186" t="s">
        <v>5544</v>
      </c>
      <c r="D3186" t="s">
        <v>5295</v>
      </c>
      <c r="E3186" t="s">
        <v>5194</v>
      </c>
      <c r="F3186" t="s">
        <v>5156</v>
      </c>
      <c r="G3186" t="s">
        <v>5419</v>
      </c>
      <c r="H3186" t="s">
        <v>2164</v>
      </c>
      <c r="J3186" t="s">
        <v>3519</v>
      </c>
      <c r="K3186">
        <v>140.80000000000001</v>
      </c>
    </row>
    <row r="3187" spans="1:11" x14ac:dyDescent="0.35">
      <c r="A3187" t="s">
        <v>3520</v>
      </c>
      <c r="B3187" s="1">
        <v>0</v>
      </c>
      <c r="C3187" t="s">
        <v>5561</v>
      </c>
      <c r="D3187" t="s">
        <v>5223</v>
      </c>
      <c r="E3187" t="s">
        <v>5293</v>
      </c>
      <c r="F3187" t="s">
        <v>5156</v>
      </c>
      <c r="G3187" t="s">
        <v>5405</v>
      </c>
      <c r="H3187" t="s">
        <v>284</v>
      </c>
      <c r="J3187" t="s">
        <v>3520</v>
      </c>
      <c r="K3187">
        <v>153.4</v>
      </c>
    </row>
    <row r="3188" spans="1:11" x14ac:dyDescent="0.35">
      <c r="A3188" t="s">
        <v>3521</v>
      </c>
      <c r="B3188" s="1">
        <v>0</v>
      </c>
      <c r="C3188" t="s">
        <v>5406</v>
      </c>
      <c r="D3188" t="s">
        <v>5170</v>
      </c>
      <c r="E3188" t="s">
        <v>5293</v>
      </c>
      <c r="F3188" t="s">
        <v>5156</v>
      </c>
      <c r="G3188" t="s">
        <v>5405</v>
      </c>
      <c r="H3188" t="s">
        <v>1981</v>
      </c>
      <c r="J3188" t="s">
        <v>3521</v>
      </c>
      <c r="K3188">
        <v>156.9</v>
      </c>
    </row>
    <row r="3189" spans="1:11" x14ac:dyDescent="0.35">
      <c r="A3189" t="s">
        <v>3522</v>
      </c>
      <c r="B3189" s="1">
        <v>0</v>
      </c>
      <c r="C3189" t="s">
        <v>5565</v>
      </c>
      <c r="D3189" t="s">
        <v>5524</v>
      </c>
      <c r="E3189" t="s">
        <v>5143</v>
      </c>
      <c r="F3189" t="s">
        <v>5156</v>
      </c>
      <c r="G3189" t="s">
        <v>5402</v>
      </c>
      <c r="H3189" t="s">
        <v>880</v>
      </c>
      <c r="J3189" t="s">
        <v>3522</v>
      </c>
      <c r="K3189">
        <v>150.1</v>
      </c>
    </row>
    <row r="3190" spans="1:11" x14ac:dyDescent="0.35">
      <c r="A3190" t="s">
        <v>3523</v>
      </c>
      <c r="B3190" s="1">
        <v>0</v>
      </c>
      <c r="C3190" t="s">
        <v>5613</v>
      </c>
      <c r="D3190" t="s">
        <v>5284</v>
      </c>
      <c r="E3190" t="s">
        <v>5329</v>
      </c>
      <c r="F3190" t="s">
        <v>5156</v>
      </c>
      <c r="G3190" t="s">
        <v>5562</v>
      </c>
      <c r="H3190" t="s">
        <v>115</v>
      </c>
      <c r="J3190" t="s">
        <v>3523</v>
      </c>
      <c r="K3190">
        <v>138.30000000000001</v>
      </c>
    </row>
    <row r="3191" spans="1:11" x14ac:dyDescent="0.35">
      <c r="A3191" t="s">
        <v>3525</v>
      </c>
      <c r="B3191" s="1">
        <v>0</v>
      </c>
      <c r="C3191" t="s">
        <v>5484</v>
      </c>
      <c r="D3191" t="s">
        <v>5327</v>
      </c>
      <c r="E3191" t="s">
        <v>5527</v>
      </c>
      <c r="F3191" t="s">
        <v>5156</v>
      </c>
      <c r="G3191" t="s">
        <v>5360</v>
      </c>
      <c r="H3191" t="s">
        <v>2874</v>
      </c>
      <c r="J3191" t="s">
        <v>3525</v>
      </c>
      <c r="K3191">
        <v>127.6</v>
      </c>
    </row>
    <row r="3192" spans="1:11" x14ac:dyDescent="0.35">
      <c r="A3192" t="s">
        <v>3526</v>
      </c>
      <c r="B3192" s="1">
        <v>0</v>
      </c>
      <c r="C3192" t="s">
        <v>5528</v>
      </c>
      <c r="D3192" t="s">
        <v>5139</v>
      </c>
      <c r="E3192" t="s">
        <v>5352</v>
      </c>
      <c r="F3192" t="s">
        <v>5156</v>
      </c>
      <c r="G3192" t="s">
        <v>5344</v>
      </c>
      <c r="H3192" t="s">
        <v>1079</v>
      </c>
      <c r="J3192" t="s">
        <v>3526</v>
      </c>
      <c r="K3192">
        <v>122.7</v>
      </c>
    </row>
    <row r="3193" spans="1:11" x14ac:dyDescent="0.35">
      <c r="A3193" t="s">
        <v>3528</v>
      </c>
      <c r="B3193" s="1">
        <v>0</v>
      </c>
      <c r="C3193" t="s">
        <v>5262</v>
      </c>
      <c r="D3193" t="s">
        <v>5327</v>
      </c>
      <c r="E3193" t="s">
        <v>5043</v>
      </c>
      <c r="F3193" t="s">
        <v>5156</v>
      </c>
      <c r="G3193" t="s">
        <v>5344</v>
      </c>
      <c r="H3193" t="s">
        <v>1079</v>
      </c>
      <c r="J3193" t="s">
        <v>3528</v>
      </c>
      <c r="K3193">
        <v>122.7</v>
      </c>
    </row>
    <row r="3194" spans="1:11" x14ac:dyDescent="0.35">
      <c r="A3194" t="s">
        <v>3530</v>
      </c>
      <c r="B3194" s="1">
        <v>0</v>
      </c>
      <c r="C3194" t="s">
        <v>5533</v>
      </c>
      <c r="D3194" t="s">
        <v>5423</v>
      </c>
      <c r="E3194" t="s">
        <v>5194</v>
      </c>
      <c r="F3194" t="s">
        <v>5156</v>
      </c>
      <c r="G3194" t="s">
        <v>5360</v>
      </c>
      <c r="H3194" t="s">
        <v>1858</v>
      </c>
      <c r="J3194" t="s">
        <v>3530</v>
      </c>
      <c r="K3194">
        <v>128</v>
      </c>
    </row>
    <row r="3195" spans="1:11" x14ac:dyDescent="0.35">
      <c r="A3195" t="s">
        <v>3531</v>
      </c>
      <c r="B3195" s="1">
        <v>0</v>
      </c>
      <c r="C3195" t="s">
        <v>5537</v>
      </c>
      <c r="D3195" t="s">
        <v>5597</v>
      </c>
      <c r="E3195" t="s">
        <v>5290</v>
      </c>
      <c r="F3195" t="s">
        <v>5156</v>
      </c>
      <c r="G3195" t="s">
        <v>5409</v>
      </c>
      <c r="H3195" t="s">
        <v>2800</v>
      </c>
      <c r="J3195" t="s">
        <v>3531</v>
      </c>
      <c r="K3195">
        <v>139.30000000000001</v>
      </c>
    </row>
    <row r="3196" spans="1:11" x14ac:dyDescent="0.35">
      <c r="A3196" t="s">
        <v>3532</v>
      </c>
      <c r="B3196" s="1">
        <v>0</v>
      </c>
      <c r="C3196" t="s">
        <v>5455</v>
      </c>
      <c r="D3196" t="s">
        <v>5236</v>
      </c>
      <c r="E3196" t="s">
        <v>5048</v>
      </c>
      <c r="F3196" t="s">
        <v>5156</v>
      </c>
      <c r="G3196" t="s">
        <v>5562</v>
      </c>
      <c r="H3196" t="s">
        <v>156</v>
      </c>
      <c r="J3196" t="s">
        <v>3532</v>
      </c>
      <c r="K3196">
        <v>151.9</v>
      </c>
    </row>
    <row r="3197" spans="1:11" x14ac:dyDescent="0.35">
      <c r="A3197" t="s">
        <v>3533</v>
      </c>
      <c r="B3197" s="1">
        <v>0</v>
      </c>
      <c r="C3197" t="s">
        <v>5134</v>
      </c>
      <c r="D3197" t="s">
        <v>5243</v>
      </c>
      <c r="E3197" t="s">
        <v>5053</v>
      </c>
      <c r="F3197" t="s">
        <v>5156</v>
      </c>
      <c r="G3197" t="s">
        <v>5396</v>
      </c>
      <c r="H3197" t="s">
        <v>960</v>
      </c>
      <c r="J3197" t="s">
        <v>3533</v>
      </c>
      <c r="K3197">
        <v>153.6</v>
      </c>
    </row>
    <row r="3198" spans="1:11" x14ac:dyDescent="0.35">
      <c r="A3198" t="s">
        <v>3534</v>
      </c>
      <c r="B3198" s="1">
        <v>0</v>
      </c>
      <c r="C3198" t="s">
        <v>5609</v>
      </c>
      <c r="D3198" t="s">
        <v>5141</v>
      </c>
      <c r="E3198" t="s">
        <v>5303</v>
      </c>
      <c r="F3198" t="s">
        <v>5050</v>
      </c>
      <c r="G3198" t="s">
        <v>5337</v>
      </c>
      <c r="H3198" t="s">
        <v>670</v>
      </c>
      <c r="J3198" t="s">
        <v>3534</v>
      </c>
      <c r="K3198">
        <v>165.7</v>
      </c>
    </row>
    <row r="3199" spans="1:11" x14ac:dyDescent="0.35">
      <c r="A3199" t="s">
        <v>3535</v>
      </c>
      <c r="B3199" s="1">
        <v>0</v>
      </c>
      <c r="C3199" t="s">
        <v>5639</v>
      </c>
      <c r="D3199" t="s">
        <v>5247</v>
      </c>
      <c r="E3199" t="s">
        <v>5328</v>
      </c>
      <c r="F3199" t="s">
        <v>5050</v>
      </c>
      <c r="G3199" t="s">
        <v>5432</v>
      </c>
      <c r="H3199" t="s">
        <v>1812</v>
      </c>
      <c r="J3199" t="s">
        <v>3535</v>
      </c>
      <c r="K3199">
        <v>169</v>
      </c>
    </row>
    <row r="3200" spans="1:11" x14ac:dyDescent="0.35">
      <c r="A3200" t="s">
        <v>3536</v>
      </c>
      <c r="B3200" s="1">
        <v>0</v>
      </c>
      <c r="C3200" t="s">
        <v>1910</v>
      </c>
      <c r="D3200" t="s">
        <v>5141</v>
      </c>
      <c r="E3200" t="s">
        <v>5070</v>
      </c>
      <c r="F3200" t="s">
        <v>5050</v>
      </c>
      <c r="G3200" t="s">
        <v>5342</v>
      </c>
      <c r="H3200" t="s">
        <v>895</v>
      </c>
      <c r="J3200" t="s">
        <v>3536</v>
      </c>
      <c r="K3200">
        <v>183.2</v>
      </c>
    </row>
    <row r="3201" spans="1:11" x14ac:dyDescent="0.35">
      <c r="A3201" t="s">
        <v>3537</v>
      </c>
      <c r="B3201" s="1">
        <v>0</v>
      </c>
      <c r="C3201" t="s">
        <v>361</v>
      </c>
      <c r="D3201" t="s">
        <v>5505</v>
      </c>
      <c r="E3201" t="s">
        <v>5286</v>
      </c>
      <c r="F3201" t="s">
        <v>5240</v>
      </c>
      <c r="G3201" t="s">
        <v>5291</v>
      </c>
      <c r="H3201" t="s">
        <v>214</v>
      </c>
      <c r="J3201" t="s">
        <v>3537</v>
      </c>
      <c r="K3201">
        <v>198.1</v>
      </c>
    </row>
    <row r="3202" spans="1:11" x14ac:dyDescent="0.35">
      <c r="A3202" t="s">
        <v>3538</v>
      </c>
      <c r="B3202" s="1">
        <v>0</v>
      </c>
      <c r="C3202" t="s">
        <v>1471</v>
      </c>
      <c r="D3202" t="s">
        <v>5198</v>
      </c>
      <c r="E3202" t="s">
        <v>5170</v>
      </c>
      <c r="F3202" t="s">
        <v>5240</v>
      </c>
      <c r="G3202" t="s">
        <v>5291</v>
      </c>
      <c r="H3202" t="s">
        <v>1645</v>
      </c>
      <c r="J3202" t="s">
        <v>3538</v>
      </c>
      <c r="K3202">
        <v>200</v>
      </c>
    </row>
    <row r="3203" spans="1:11" x14ac:dyDescent="0.35">
      <c r="A3203" t="s">
        <v>3539</v>
      </c>
      <c r="B3203" s="1">
        <v>0</v>
      </c>
      <c r="C3203" t="s">
        <v>442</v>
      </c>
      <c r="D3203" t="s">
        <v>5254</v>
      </c>
      <c r="E3203" t="s">
        <v>5204</v>
      </c>
      <c r="F3203" t="s">
        <v>5240</v>
      </c>
      <c r="G3203" t="s">
        <v>5294</v>
      </c>
      <c r="H3203" t="s">
        <v>1193</v>
      </c>
      <c r="J3203" t="s">
        <v>3539</v>
      </c>
      <c r="K3203">
        <v>197.9</v>
      </c>
    </row>
    <row r="3204" spans="1:11" x14ac:dyDescent="0.35">
      <c r="A3204" t="s">
        <v>3540</v>
      </c>
      <c r="B3204" s="1">
        <v>0</v>
      </c>
      <c r="C3204" t="s">
        <v>2565</v>
      </c>
      <c r="D3204" t="s">
        <v>5596</v>
      </c>
      <c r="E3204" t="s">
        <v>5059</v>
      </c>
      <c r="F3204" t="s">
        <v>5050</v>
      </c>
      <c r="G3204" t="s">
        <v>5294</v>
      </c>
      <c r="H3204" t="s">
        <v>1201</v>
      </c>
      <c r="J3204" t="s">
        <v>3540</v>
      </c>
      <c r="K3204">
        <v>204</v>
      </c>
    </row>
    <row r="3205" spans="1:11" x14ac:dyDescent="0.35">
      <c r="A3205" t="s">
        <v>3541</v>
      </c>
      <c r="B3205" s="1">
        <v>0</v>
      </c>
      <c r="C3205" t="s">
        <v>360</v>
      </c>
      <c r="D3205" t="s">
        <v>5142</v>
      </c>
      <c r="E3205" t="s">
        <v>5060</v>
      </c>
      <c r="F3205" t="s">
        <v>5240</v>
      </c>
      <c r="G3205" t="s">
        <v>5294</v>
      </c>
      <c r="H3205" t="s">
        <v>2346</v>
      </c>
      <c r="J3205" t="s">
        <v>3541</v>
      </c>
      <c r="K3205">
        <v>213.9</v>
      </c>
    </row>
    <row r="3206" spans="1:11" x14ac:dyDescent="0.35">
      <c r="A3206" t="s">
        <v>3542</v>
      </c>
      <c r="B3206" s="1">
        <v>0</v>
      </c>
      <c r="C3206" t="s">
        <v>1472</v>
      </c>
      <c r="D3206" t="s">
        <v>5512</v>
      </c>
      <c r="E3206" t="s">
        <v>5448</v>
      </c>
      <c r="F3206" t="s">
        <v>5240</v>
      </c>
      <c r="G3206" t="s">
        <v>5294</v>
      </c>
      <c r="H3206" t="s">
        <v>773</v>
      </c>
      <c r="J3206" t="s">
        <v>3542</v>
      </c>
      <c r="K3206">
        <v>221.4</v>
      </c>
    </row>
    <row r="3207" spans="1:11" x14ac:dyDescent="0.35">
      <c r="A3207" t="s">
        <v>3543</v>
      </c>
      <c r="B3207" s="1">
        <v>0</v>
      </c>
      <c r="C3207" t="s">
        <v>1538</v>
      </c>
      <c r="D3207" t="s">
        <v>5476</v>
      </c>
      <c r="E3207" t="s">
        <v>5113</v>
      </c>
      <c r="F3207" t="s">
        <v>5240</v>
      </c>
      <c r="G3207" t="s">
        <v>5312</v>
      </c>
      <c r="H3207" t="s">
        <v>773</v>
      </c>
      <c r="J3207" t="s">
        <v>3543</v>
      </c>
      <c r="K3207">
        <v>221.4</v>
      </c>
    </row>
    <row r="3208" spans="1:11" x14ac:dyDescent="0.35">
      <c r="A3208" t="s">
        <v>3544</v>
      </c>
      <c r="B3208" s="1">
        <v>0</v>
      </c>
      <c r="C3208" t="s">
        <v>463</v>
      </c>
      <c r="D3208" t="s">
        <v>5491</v>
      </c>
      <c r="E3208" t="s">
        <v>5063</v>
      </c>
      <c r="F3208" t="s">
        <v>5240</v>
      </c>
      <c r="G3208" t="s">
        <v>5297</v>
      </c>
      <c r="H3208" t="s">
        <v>3619</v>
      </c>
      <c r="J3208" t="s">
        <v>3544</v>
      </c>
      <c r="K3208">
        <v>222.1</v>
      </c>
    </row>
    <row r="3209" spans="1:11" x14ac:dyDescent="0.35">
      <c r="A3209" t="s">
        <v>3545</v>
      </c>
      <c r="B3209" s="1">
        <v>0</v>
      </c>
      <c r="C3209" t="s">
        <v>328</v>
      </c>
      <c r="D3209" t="s">
        <v>5509</v>
      </c>
      <c r="E3209" t="s">
        <v>5072</v>
      </c>
      <c r="F3209" t="s">
        <v>5240</v>
      </c>
      <c r="G3209" t="s">
        <v>5342</v>
      </c>
      <c r="H3209" t="s">
        <v>3619</v>
      </c>
      <c r="J3209" t="s">
        <v>3545</v>
      </c>
      <c r="K3209">
        <v>222.1</v>
      </c>
    </row>
    <row r="3210" spans="1:11" x14ac:dyDescent="0.35">
      <c r="A3210" t="s">
        <v>3546</v>
      </c>
      <c r="B3210" s="1">
        <v>0</v>
      </c>
      <c r="C3210" t="s">
        <v>324</v>
      </c>
      <c r="D3210" t="s">
        <v>5521</v>
      </c>
      <c r="E3210" t="s">
        <v>5453</v>
      </c>
      <c r="F3210" t="s">
        <v>5240</v>
      </c>
      <c r="G3210" t="s">
        <v>5297</v>
      </c>
      <c r="H3210" t="s">
        <v>2113</v>
      </c>
      <c r="J3210" t="s">
        <v>3546</v>
      </c>
      <c r="K3210">
        <v>223.1</v>
      </c>
    </row>
    <row r="3211" spans="1:11" x14ac:dyDescent="0.35">
      <c r="A3211" t="s">
        <v>3547</v>
      </c>
      <c r="B3211" s="1">
        <v>0</v>
      </c>
      <c r="C3211" t="s">
        <v>469</v>
      </c>
      <c r="D3211" t="s">
        <v>5122</v>
      </c>
      <c r="E3211" t="s">
        <v>5113</v>
      </c>
      <c r="F3211" t="s">
        <v>5240</v>
      </c>
      <c r="G3211" t="s">
        <v>5309</v>
      </c>
      <c r="H3211" t="s">
        <v>944</v>
      </c>
      <c r="J3211" t="s">
        <v>3547</v>
      </c>
      <c r="K3211">
        <v>217.8</v>
      </c>
    </row>
    <row r="3212" spans="1:11" x14ac:dyDescent="0.35">
      <c r="A3212" t="s">
        <v>3548</v>
      </c>
      <c r="B3212" s="1">
        <v>0</v>
      </c>
      <c r="C3212" t="s">
        <v>361</v>
      </c>
      <c r="D3212" t="s">
        <v>5539</v>
      </c>
      <c r="E3212" t="s">
        <v>5434</v>
      </c>
      <c r="F3212" t="s">
        <v>5240</v>
      </c>
      <c r="G3212" t="s">
        <v>5309</v>
      </c>
      <c r="H3212" t="s">
        <v>1686</v>
      </c>
      <c r="J3212" t="s">
        <v>3548</v>
      </c>
      <c r="K3212">
        <v>204.7</v>
      </c>
    </row>
    <row r="3213" spans="1:11" x14ac:dyDescent="0.35">
      <c r="A3213" t="s">
        <v>3549</v>
      </c>
      <c r="B3213" s="1">
        <v>0</v>
      </c>
      <c r="C3213" t="s">
        <v>3499</v>
      </c>
      <c r="D3213" t="s">
        <v>5135</v>
      </c>
      <c r="E3213" t="s">
        <v>5055</v>
      </c>
      <c r="F3213" t="s">
        <v>5050</v>
      </c>
      <c r="G3213" t="s">
        <v>5297</v>
      </c>
      <c r="H3213" t="s">
        <v>760</v>
      </c>
      <c r="J3213" t="s">
        <v>3549</v>
      </c>
      <c r="K3213">
        <v>187.5</v>
      </c>
    </row>
    <row r="3214" spans="1:11" x14ac:dyDescent="0.35">
      <c r="A3214" t="s">
        <v>3550</v>
      </c>
      <c r="B3214" s="1">
        <v>0</v>
      </c>
      <c r="C3214" t="s">
        <v>399</v>
      </c>
      <c r="D3214" t="s">
        <v>5160</v>
      </c>
      <c r="E3214" t="s">
        <v>5319</v>
      </c>
      <c r="F3214" t="s">
        <v>5050</v>
      </c>
      <c r="G3214" t="s">
        <v>5397</v>
      </c>
      <c r="H3214" t="s">
        <v>61</v>
      </c>
      <c r="J3214" t="s">
        <v>3550</v>
      </c>
      <c r="K3214">
        <v>171.1</v>
      </c>
    </row>
    <row r="3215" spans="1:11" x14ac:dyDescent="0.35">
      <c r="A3215" t="s">
        <v>3551</v>
      </c>
      <c r="B3215" s="1">
        <v>0</v>
      </c>
      <c r="C3215" t="s">
        <v>383</v>
      </c>
      <c r="D3215" t="s">
        <v>5313</v>
      </c>
      <c r="E3215" t="s">
        <v>5049</v>
      </c>
      <c r="F3215" t="s">
        <v>5050</v>
      </c>
      <c r="G3215" t="s">
        <v>5334</v>
      </c>
      <c r="H3215" t="s">
        <v>41</v>
      </c>
      <c r="J3215" t="s">
        <v>3551</v>
      </c>
      <c r="K3215">
        <v>159.69999999999999</v>
      </c>
    </row>
    <row r="3216" spans="1:11" x14ac:dyDescent="0.35">
      <c r="A3216" t="s">
        <v>3552</v>
      </c>
      <c r="B3216" s="1">
        <v>0</v>
      </c>
      <c r="C3216" t="s">
        <v>5615</v>
      </c>
      <c r="D3216" t="s">
        <v>5568</v>
      </c>
      <c r="E3216" t="s">
        <v>5324</v>
      </c>
      <c r="F3216" t="s">
        <v>5050</v>
      </c>
      <c r="G3216" t="s">
        <v>5337</v>
      </c>
      <c r="H3216" t="s">
        <v>145</v>
      </c>
      <c r="J3216" t="s">
        <v>3552</v>
      </c>
      <c r="K3216">
        <v>152.19999999999999</v>
      </c>
    </row>
    <row r="3217" spans="1:11" x14ac:dyDescent="0.35">
      <c r="A3217" t="s">
        <v>3553</v>
      </c>
      <c r="B3217" s="1">
        <v>0</v>
      </c>
      <c r="C3217" t="s">
        <v>5588</v>
      </c>
      <c r="D3217" t="s">
        <v>5622</v>
      </c>
      <c r="E3217" t="s">
        <v>5300</v>
      </c>
      <c r="F3217" t="s">
        <v>5050</v>
      </c>
      <c r="G3217" t="s">
        <v>5411</v>
      </c>
      <c r="H3217" t="s">
        <v>2661</v>
      </c>
      <c r="J3217" t="s">
        <v>3553</v>
      </c>
      <c r="K3217">
        <v>151.1</v>
      </c>
    </row>
    <row r="3218" spans="1:11" x14ac:dyDescent="0.35">
      <c r="A3218" t="s">
        <v>3554</v>
      </c>
      <c r="B3218" s="1">
        <v>0</v>
      </c>
      <c r="C3218" t="s">
        <v>5480</v>
      </c>
      <c r="D3218" t="s">
        <v>5292</v>
      </c>
      <c r="E3218" t="s">
        <v>5139</v>
      </c>
      <c r="F3218" t="s">
        <v>5050</v>
      </c>
      <c r="G3218" t="s">
        <v>5334</v>
      </c>
      <c r="H3218" t="s">
        <v>258</v>
      </c>
      <c r="J3218" t="s">
        <v>3554</v>
      </c>
      <c r="K3218">
        <v>154.5</v>
      </c>
    </row>
    <row r="3219" spans="1:11" x14ac:dyDescent="0.35">
      <c r="A3219" t="s">
        <v>3555</v>
      </c>
      <c r="B3219" s="1">
        <v>0</v>
      </c>
      <c r="C3219" t="s">
        <v>5649</v>
      </c>
      <c r="D3219" t="s">
        <v>5052</v>
      </c>
      <c r="E3219" t="s">
        <v>5327</v>
      </c>
      <c r="F3219" t="s">
        <v>5050</v>
      </c>
      <c r="G3219" t="s">
        <v>5334</v>
      </c>
      <c r="H3219" t="s">
        <v>62</v>
      </c>
      <c r="J3219" t="s">
        <v>3555</v>
      </c>
      <c r="K3219">
        <v>157.69999999999999</v>
      </c>
    </row>
    <row r="3220" spans="1:11" x14ac:dyDescent="0.35">
      <c r="A3220" t="s">
        <v>3557</v>
      </c>
      <c r="B3220" s="1">
        <v>0</v>
      </c>
      <c r="C3220" t="s">
        <v>402</v>
      </c>
      <c r="D3220" t="s">
        <v>5431</v>
      </c>
      <c r="E3220" t="s">
        <v>5049</v>
      </c>
      <c r="F3220" t="s">
        <v>5050</v>
      </c>
      <c r="G3220" t="s">
        <v>5153</v>
      </c>
      <c r="H3220" t="s">
        <v>1609</v>
      </c>
      <c r="J3220" t="s">
        <v>3557</v>
      </c>
      <c r="K3220">
        <v>164.1</v>
      </c>
    </row>
    <row r="3221" spans="1:11" x14ac:dyDescent="0.35">
      <c r="A3221" t="s">
        <v>3558</v>
      </c>
      <c r="B3221" s="1">
        <v>0</v>
      </c>
      <c r="C3221" t="s">
        <v>1881</v>
      </c>
      <c r="D3221" t="s">
        <v>5060</v>
      </c>
      <c r="E3221" t="s">
        <v>5299</v>
      </c>
      <c r="F3221" t="s">
        <v>5050</v>
      </c>
      <c r="G3221" t="s">
        <v>5144</v>
      </c>
      <c r="H3221" t="s">
        <v>1433</v>
      </c>
      <c r="J3221" t="s">
        <v>3558</v>
      </c>
      <c r="K3221">
        <v>175.5</v>
      </c>
    </row>
    <row r="3222" spans="1:11" x14ac:dyDescent="0.35">
      <c r="A3222" t="s">
        <v>3559</v>
      </c>
      <c r="B3222" s="1">
        <v>0</v>
      </c>
      <c r="C3222" t="s">
        <v>2567</v>
      </c>
      <c r="D3222" t="s">
        <v>5505</v>
      </c>
      <c r="E3222" t="s">
        <v>5422</v>
      </c>
      <c r="F3222" t="s">
        <v>5240</v>
      </c>
      <c r="G3222" t="s">
        <v>5297</v>
      </c>
      <c r="H3222" t="s">
        <v>86</v>
      </c>
      <c r="J3222" t="s">
        <v>3559</v>
      </c>
      <c r="K3222">
        <v>199.7</v>
      </c>
    </row>
    <row r="3223" spans="1:11" x14ac:dyDescent="0.35">
      <c r="A3223" t="s">
        <v>3560</v>
      </c>
      <c r="B3223" s="1">
        <v>0</v>
      </c>
      <c r="C3223" t="s">
        <v>492</v>
      </c>
      <c r="D3223" t="s">
        <v>5478</v>
      </c>
      <c r="E3223" t="s">
        <v>5165</v>
      </c>
      <c r="F3223" t="s">
        <v>5240</v>
      </c>
      <c r="G3223" t="s">
        <v>5288</v>
      </c>
      <c r="H3223" t="s">
        <v>771</v>
      </c>
      <c r="J3223" t="s">
        <v>3560</v>
      </c>
      <c r="K3223">
        <v>227.5</v>
      </c>
    </row>
    <row r="3224" spans="1:11" x14ac:dyDescent="0.35">
      <c r="A3224" t="s">
        <v>3561</v>
      </c>
      <c r="B3224" s="1">
        <v>0</v>
      </c>
      <c r="C3224" t="s">
        <v>1459</v>
      </c>
      <c r="D3224" t="s">
        <v>5497</v>
      </c>
      <c r="E3224" t="s">
        <v>5218</v>
      </c>
      <c r="F3224" t="s">
        <v>5240</v>
      </c>
      <c r="G3224" t="s">
        <v>5321</v>
      </c>
      <c r="H3224" t="s">
        <v>5679</v>
      </c>
      <c r="J3224" t="s">
        <v>3561</v>
      </c>
      <c r="K3224">
        <v>245.8</v>
      </c>
    </row>
    <row r="3225" spans="1:11" x14ac:dyDescent="0.35">
      <c r="A3225" t="s">
        <v>3562</v>
      </c>
      <c r="B3225" s="1">
        <v>0</v>
      </c>
      <c r="C3225" t="s">
        <v>320</v>
      </c>
      <c r="D3225" t="s">
        <v>5260</v>
      </c>
      <c r="E3225" t="s">
        <v>5435</v>
      </c>
      <c r="F3225" t="s">
        <v>5054</v>
      </c>
      <c r="G3225" t="s">
        <v>5224</v>
      </c>
      <c r="H3225" t="s">
        <v>638</v>
      </c>
      <c r="J3225" t="s">
        <v>3562</v>
      </c>
      <c r="K3225">
        <v>245.1</v>
      </c>
    </row>
    <row r="3226" spans="1:11" x14ac:dyDescent="0.35">
      <c r="A3226" t="s">
        <v>3564</v>
      </c>
      <c r="B3226" s="1">
        <v>0</v>
      </c>
      <c r="C3226" t="s">
        <v>977</v>
      </c>
      <c r="D3226" t="s">
        <v>5275</v>
      </c>
      <c r="E3226" t="s">
        <v>5218</v>
      </c>
      <c r="F3226" t="s">
        <v>5054</v>
      </c>
      <c r="G3226" t="s">
        <v>5226</v>
      </c>
      <c r="H3226" t="s">
        <v>3044</v>
      </c>
      <c r="J3226" t="s">
        <v>3564</v>
      </c>
      <c r="K3226">
        <v>238.7</v>
      </c>
    </row>
    <row r="3227" spans="1:11" x14ac:dyDescent="0.35">
      <c r="A3227" t="s">
        <v>3565</v>
      </c>
      <c r="B3227" s="1">
        <v>0</v>
      </c>
      <c r="C3227" t="s">
        <v>3214</v>
      </c>
      <c r="D3227" t="s">
        <v>5084</v>
      </c>
      <c r="E3227" t="s">
        <v>5213</v>
      </c>
      <c r="F3227" t="s">
        <v>5054</v>
      </c>
      <c r="G3227" t="s">
        <v>5224</v>
      </c>
      <c r="H3227" t="s">
        <v>2047</v>
      </c>
      <c r="J3227" t="s">
        <v>3565</v>
      </c>
      <c r="K3227">
        <v>234.9</v>
      </c>
    </row>
    <row r="3228" spans="1:11" x14ac:dyDescent="0.35">
      <c r="A3228" t="s">
        <v>3566</v>
      </c>
      <c r="B3228" s="1">
        <v>0</v>
      </c>
      <c r="C3228" t="s">
        <v>3802</v>
      </c>
      <c r="D3228" t="s">
        <v>5109</v>
      </c>
      <c r="E3228" t="s">
        <v>5272</v>
      </c>
      <c r="F3228" t="s">
        <v>5240</v>
      </c>
      <c r="G3228" t="s">
        <v>5321</v>
      </c>
      <c r="H3228" t="s">
        <v>226</v>
      </c>
      <c r="J3228" t="s">
        <v>3566</v>
      </c>
      <c r="K3228">
        <v>230.8</v>
      </c>
    </row>
    <row r="3229" spans="1:11" x14ac:dyDescent="0.35">
      <c r="A3229" t="s">
        <v>3567</v>
      </c>
      <c r="B3229" s="1">
        <v>0</v>
      </c>
      <c r="C3229" t="s">
        <v>2876</v>
      </c>
      <c r="D3229" t="s">
        <v>5497</v>
      </c>
      <c r="E3229" t="s">
        <v>5257</v>
      </c>
      <c r="F3229" t="s">
        <v>5089</v>
      </c>
      <c r="G3229" t="s">
        <v>5132</v>
      </c>
      <c r="H3229" t="s">
        <v>5667</v>
      </c>
      <c r="J3229" t="s">
        <v>3567</v>
      </c>
      <c r="K3229">
        <v>244.1</v>
      </c>
    </row>
    <row r="3230" spans="1:11" x14ac:dyDescent="0.35">
      <c r="A3230" t="s">
        <v>3568</v>
      </c>
      <c r="B3230" s="1">
        <v>0</v>
      </c>
      <c r="C3230" t="s">
        <v>966</v>
      </c>
      <c r="D3230" t="s">
        <v>5617</v>
      </c>
      <c r="E3230" t="s">
        <v>5081</v>
      </c>
      <c r="F3230" t="s">
        <v>5089</v>
      </c>
      <c r="G3230" t="s">
        <v>5356</v>
      </c>
      <c r="H3230" t="s">
        <v>5799</v>
      </c>
      <c r="J3230" t="s">
        <v>3568</v>
      </c>
      <c r="K3230">
        <v>247.2</v>
      </c>
    </row>
    <row r="3231" spans="1:11" x14ac:dyDescent="0.35">
      <c r="A3231" t="s">
        <v>3570</v>
      </c>
      <c r="B3231" s="1">
        <v>0</v>
      </c>
      <c r="C3231" t="s">
        <v>2288</v>
      </c>
      <c r="D3231" t="s">
        <v>5580</v>
      </c>
      <c r="E3231" t="s">
        <v>5213</v>
      </c>
      <c r="F3231" t="s">
        <v>5089</v>
      </c>
      <c r="G3231" t="s">
        <v>5136</v>
      </c>
      <c r="H3231" t="s">
        <v>5669</v>
      </c>
      <c r="J3231" t="s">
        <v>3570</v>
      </c>
      <c r="K3231">
        <v>255.1</v>
      </c>
    </row>
    <row r="3232" spans="1:11" x14ac:dyDescent="0.35">
      <c r="A3232" t="s">
        <v>3571</v>
      </c>
      <c r="B3232" s="1">
        <v>0</v>
      </c>
      <c r="C3232" t="s">
        <v>2281</v>
      </c>
      <c r="D3232" t="s">
        <v>5469</v>
      </c>
      <c r="E3232" t="s">
        <v>5093</v>
      </c>
      <c r="F3232" t="s">
        <v>5089</v>
      </c>
      <c r="G3232" t="s">
        <v>5136</v>
      </c>
      <c r="H3232" t="s">
        <v>5039</v>
      </c>
      <c r="J3232" t="s">
        <v>3571</v>
      </c>
      <c r="K3232">
        <v>260.7</v>
      </c>
    </row>
    <row r="3233" spans="1:11" x14ac:dyDescent="0.35">
      <c r="A3233" t="s">
        <v>3572</v>
      </c>
      <c r="B3233" s="1">
        <v>0</v>
      </c>
      <c r="C3233" t="s">
        <v>2281</v>
      </c>
      <c r="D3233" t="s">
        <v>5592</v>
      </c>
      <c r="E3233" t="s">
        <v>5100</v>
      </c>
      <c r="F3233" t="s">
        <v>5089</v>
      </c>
      <c r="G3233" t="s">
        <v>5136</v>
      </c>
      <c r="H3233" t="s">
        <v>5698</v>
      </c>
      <c r="J3233" t="s">
        <v>3572</v>
      </c>
      <c r="K3233">
        <v>263.60000000000002</v>
      </c>
    </row>
    <row r="3234" spans="1:11" x14ac:dyDescent="0.35">
      <c r="A3234" t="s">
        <v>3574</v>
      </c>
      <c r="B3234" s="1">
        <v>0</v>
      </c>
      <c r="C3234" t="s">
        <v>4661</v>
      </c>
      <c r="D3234" t="s">
        <v>5466</v>
      </c>
      <c r="E3234" t="s">
        <v>5145</v>
      </c>
      <c r="F3234" t="s">
        <v>5089</v>
      </c>
      <c r="G3234" t="s">
        <v>5356</v>
      </c>
      <c r="H3234" t="s">
        <v>3065</v>
      </c>
      <c r="J3234" t="s">
        <v>3574</v>
      </c>
      <c r="K3234">
        <v>257.7</v>
      </c>
    </row>
    <row r="3235" spans="1:11" x14ac:dyDescent="0.35">
      <c r="A3235" t="s">
        <v>3577</v>
      </c>
      <c r="B3235" s="1">
        <v>0</v>
      </c>
      <c r="C3235" t="s">
        <v>3805</v>
      </c>
      <c r="D3235" t="s">
        <v>5603</v>
      </c>
      <c r="E3235" t="s">
        <v>5200</v>
      </c>
      <c r="F3235" t="s">
        <v>5089</v>
      </c>
      <c r="G3235" t="s">
        <v>5358</v>
      </c>
      <c r="H3235" t="s">
        <v>5801</v>
      </c>
      <c r="J3235" t="s">
        <v>3577</v>
      </c>
      <c r="K3235">
        <v>251.8</v>
      </c>
    </row>
    <row r="3236" spans="1:11" x14ac:dyDescent="0.35">
      <c r="A3236" t="s">
        <v>3579</v>
      </c>
      <c r="B3236" s="1">
        <v>0</v>
      </c>
      <c r="C3236" t="s">
        <v>4118</v>
      </c>
      <c r="D3236" t="s">
        <v>5610</v>
      </c>
      <c r="E3236" t="s">
        <v>5141</v>
      </c>
      <c r="F3236" t="s">
        <v>5089</v>
      </c>
      <c r="G3236" t="s">
        <v>5089</v>
      </c>
      <c r="H3236" t="s">
        <v>2102</v>
      </c>
      <c r="J3236" t="s">
        <v>3579</v>
      </c>
      <c r="K3236">
        <v>248.9</v>
      </c>
    </row>
    <row r="3237" spans="1:11" x14ac:dyDescent="0.35">
      <c r="A3237" t="s">
        <v>3580</v>
      </c>
      <c r="B3237" s="1">
        <v>0</v>
      </c>
      <c r="C3237" t="s">
        <v>5637</v>
      </c>
      <c r="D3237" t="s">
        <v>5282</v>
      </c>
      <c r="E3237" t="s">
        <v>5125</v>
      </c>
      <c r="F3237" t="s">
        <v>5089</v>
      </c>
      <c r="G3237" t="s">
        <v>5358</v>
      </c>
      <c r="H3237" t="s">
        <v>2375</v>
      </c>
      <c r="J3237" t="s">
        <v>3580</v>
      </c>
      <c r="K3237">
        <v>250.6</v>
      </c>
    </row>
    <row r="3238" spans="1:11" x14ac:dyDescent="0.35">
      <c r="A3238" t="s">
        <v>3582</v>
      </c>
      <c r="B3238" s="1">
        <v>0</v>
      </c>
      <c r="C3238" t="s">
        <v>1100</v>
      </c>
      <c r="D3238" t="s">
        <v>5477</v>
      </c>
      <c r="E3238" t="s">
        <v>5253</v>
      </c>
      <c r="F3238" t="s">
        <v>5089</v>
      </c>
      <c r="G3238" t="s">
        <v>5493</v>
      </c>
      <c r="H3238" t="s">
        <v>2831</v>
      </c>
      <c r="J3238" t="s">
        <v>3582</v>
      </c>
      <c r="K3238">
        <v>255.7</v>
      </c>
    </row>
    <row r="3239" spans="1:11" x14ac:dyDescent="0.35">
      <c r="A3239" t="s">
        <v>3584</v>
      </c>
      <c r="B3239" s="1">
        <v>0</v>
      </c>
      <c r="C3239" t="s">
        <v>969</v>
      </c>
      <c r="D3239" t="s">
        <v>5265</v>
      </c>
      <c r="E3239" t="s">
        <v>5203</v>
      </c>
      <c r="F3239" t="s">
        <v>5089</v>
      </c>
      <c r="G3239" t="s">
        <v>5493</v>
      </c>
      <c r="H3239" t="s">
        <v>5802</v>
      </c>
      <c r="J3239" t="s">
        <v>3584</v>
      </c>
      <c r="K3239">
        <v>256.89999999999998</v>
      </c>
    </row>
    <row r="3240" spans="1:11" x14ac:dyDescent="0.35">
      <c r="A3240" t="s">
        <v>3585</v>
      </c>
      <c r="B3240" s="1">
        <v>0</v>
      </c>
      <c r="C3240" t="s">
        <v>494</v>
      </c>
      <c r="D3240" t="s">
        <v>437</v>
      </c>
      <c r="E3240" t="s">
        <v>5137</v>
      </c>
      <c r="F3240" t="s">
        <v>5089</v>
      </c>
      <c r="G3240" t="s">
        <v>5356</v>
      </c>
      <c r="H3240" t="s">
        <v>3064</v>
      </c>
      <c r="J3240" t="s">
        <v>3585</v>
      </c>
      <c r="K3240">
        <v>257.60000000000002</v>
      </c>
    </row>
    <row r="3241" spans="1:11" x14ac:dyDescent="0.35">
      <c r="A3241" t="s">
        <v>3587</v>
      </c>
      <c r="B3241" s="1">
        <v>0</v>
      </c>
      <c r="C3241" t="s">
        <v>3808</v>
      </c>
      <c r="D3241" t="s">
        <v>2584</v>
      </c>
      <c r="E3241" t="s">
        <v>5241</v>
      </c>
      <c r="F3241" t="s">
        <v>5089</v>
      </c>
      <c r="G3241" t="s">
        <v>5089</v>
      </c>
      <c r="H3241" t="s">
        <v>5803</v>
      </c>
      <c r="J3241" t="s">
        <v>3587</v>
      </c>
      <c r="K3241">
        <v>262.3</v>
      </c>
    </row>
    <row r="3242" spans="1:11" x14ac:dyDescent="0.35">
      <c r="A3242" t="s">
        <v>3589</v>
      </c>
      <c r="B3242" s="1">
        <v>0</v>
      </c>
      <c r="C3242" t="s">
        <v>1098</v>
      </c>
      <c r="D3242" t="s">
        <v>399</v>
      </c>
      <c r="E3242" t="s">
        <v>5090</v>
      </c>
      <c r="F3242" t="s">
        <v>5358</v>
      </c>
      <c r="G3242" t="s">
        <v>5077</v>
      </c>
      <c r="H3242" t="s">
        <v>5746</v>
      </c>
      <c r="J3242" t="s">
        <v>3589</v>
      </c>
      <c r="K3242">
        <v>268.89999999999998</v>
      </c>
    </row>
    <row r="3243" spans="1:11" x14ac:dyDescent="0.35">
      <c r="A3243" t="s">
        <v>3590</v>
      </c>
      <c r="B3243" s="1">
        <v>0</v>
      </c>
      <c r="C3243" t="s">
        <v>1096</v>
      </c>
      <c r="D3243" t="s">
        <v>402</v>
      </c>
      <c r="E3243" t="s">
        <v>5127</v>
      </c>
      <c r="F3243" t="s">
        <v>5358</v>
      </c>
      <c r="G3243" t="s">
        <v>5089</v>
      </c>
      <c r="H3243" t="s">
        <v>5804</v>
      </c>
      <c r="J3243" t="s">
        <v>3590</v>
      </c>
      <c r="K3243">
        <v>274</v>
      </c>
    </row>
    <row r="3244" spans="1:11" x14ac:dyDescent="0.35">
      <c r="A3244" t="s">
        <v>3591</v>
      </c>
      <c r="B3244" s="1">
        <v>0</v>
      </c>
      <c r="C3244" t="s">
        <v>1452</v>
      </c>
      <c r="D3244" t="s">
        <v>5644</v>
      </c>
      <c r="E3244" t="s">
        <v>5108</v>
      </c>
      <c r="F3244" t="s">
        <v>5358</v>
      </c>
      <c r="G3244" t="s">
        <v>5356</v>
      </c>
      <c r="H3244" t="s">
        <v>3628</v>
      </c>
      <c r="J3244" t="s">
        <v>3591</v>
      </c>
      <c r="K3244">
        <v>275.60000000000002</v>
      </c>
    </row>
    <row r="3245" spans="1:11" x14ac:dyDescent="0.35">
      <c r="A3245" t="s">
        <v>3593</v>
      </c>
      <c r="B3245" s="1">
        <v>0</v>
      </c>
      <c r="C3245" t="s">
        <v>508</v>
      </c>
      <c r="D3245" t="s">
        <v>5635</v>
      </c>
      <c r="E3245" t="s">
        <v>5471</v>
      </c>
      <c r="F3245" t="s">
        <v>5358</v>
      </c>
      <c r="G3245" t="s">
        <v>5356</v>
      </c>
      <c r="H3245" t="s">
        <v>5805</v>
      </c>
      <c r="J3245" t="s">
        <v>3593</v>
      </c>
      <c r="K3245">
        <v>270.3</v>
      </c>
    </row>
    <row r="3246" spans="1:11" x14ac:dyDescent="0.35">
      <c r="A3246" t="s">
        <v>3594</v>
      </c>
      <c r="B3246" s="1">
        <v>0</v>
      </c>
      <c r="C3246" t="s">
        <v>500</v>
      </c>
      <c r="D3246" t="s">
        <v>5635</v>
      </c>
      <c r="E3246" t="s">
        <v>5473</v>
      </c>
      <c r="F3246" t="s">
        <v>5358</v>
      </c>
      <c r="G3246" t="s">
        <v>5356</v>
      </c>
      <c r="H3246" t="s">
        <v>5685</v>
      </c>
      <c r="J3246" t="s">
        <v>3594</v>
      </c>
      <c r="K3246">
        <v>266.5</v>
      </c>
    </row>
    <row r="3247" spans="1:11" x14ac:dyDescent="0.35">
      <c r="A3247" t="s">
        <v>3596</v>
      </c>
      <c r="B3247" s="1">
        <v>0</v>
      </c>
      <c r="C3247" t="s">
        <v>1921</v>
      </c>
      <c r="D3247" t="s">
        <v>5604</v>
      </c>
      <c r="E3247" t="s">
        <v>5200</v>
      </c>
      <c r="F3247" t="s">
        <v>5358</v>
      </c>
      <c r="G3247" t="s">
        <v>5358</v>
      </c>
      <c r="H3247" t="s">
        <v>5806</v>
      </c>
      <c r="J3247" t="s">
        <v>3596</v>
      </c>
      <c r="K3247">
        <v>258</v>
      </c>
    </row>
    <row r="3248" spans="1:11" x14ac:dyDescent="0.35">
      <c r="A3248" t="s">
        <v>3598</v>
      </c>
      <c r="B3248" s="1">
        <v>0</v>
      </c>
      <c r="C3248" t="s">
        <v>4118</v>
      </c>
      <c r="D3248" t="s">
        <v>5565</v>
      </c>
      <c r="E3248" t="s">
        <v>5203</v>
      </c>
      <c r="F3248" t="s">
        <v>5089</v>
      </c>
      <c r="G3248" t="s">
        <v>5077</v>
      </c>
      <c r="H3248" t="s">
        <v>5711</v>
      </c>
      <c r="J3248" t="s">
        <v>3598</v>
      </c>
      <c r="K3248">
        <v>247.7</v>
      </c>
    </row>
    <row r="3249" spans="1:11" x14ac:dyDescent="0.35">
      <c r="A3249" t="s">
        <v>3601</v>
      </c>
      <c r="B3249" s="1">
        <v>0</v>
      </c>
      <c r="C3249" t="s">
        <v>2267</v>
      </c>
      <c r="D3249" t="s">
        <v>5467</v>
      </c>
      <c r="E3249" t="s">
        <v>5435</v>
      </c>
      <c r="F3249" t="s">
        <v>5089</v>
      </c>
      <c r="G3249" t="s">
        <v>5092</v>
      </c>
      <c r="H3249" t="s">
        <v>5716</v>
      </c>
      <c r="J3249" t="s">
        <v>3601</v>
      </c>
      <c r="K3249">
        <v>234.4</v>
      </c>
    </row>
    <row r="3250" spans="1:11" x14ac:dyDescent="0.35">
      <c r="A3250" t="s">
        <v>3604</v>
      </c>
      <c r="B3250" s="1">
        <v>0</v>
      </c>
      <c r="C3250" t="s">
        <v>367</v>
      </c>
      <c r="D3250" t="s">
        <v>5602</v>
      </c>
      <c r="E3250" t="s">
        <v>5182</v>
      </c>
      <c r="F3250" t="s">
        <v>5089</v>
      </c>
      <c r="G3250" t="s">
        <v>5082</v>
      </c>
      <c r="H3250" t="s">
        <v>1841</v>
      </c>
      <c r="J3250" t="s">
        <v>3604</v>
      </c>
      <c r="K3250">
        <v>220.4</v>
      </c>
    </row>
    <row r="3251" spans="1:11" x14ac:dyDescent="0.35">
      <c r="A3251" t="s">
        <v>3606</v>
      </c>
      <c r="B3251" s="1">
        <v>0</v>
      </c>
      <c r="C3251" t="s">
        <v>451</v>
      </c>
      <c r="D3251" t="s">
        <v>5481</v>
      </c>
      <c r="E3251" t="s">
        <v>5255</v>
      </c>
      <c r="F3251" t="s">
        <v>5089</v>
      </c>
      <c r="G3251" t="s">
        <v>5124</v>
      </c>
      <c r="H3251" t="s">
        <v>1656</v>
      </c>
      <c r="J3251" t="s">
        <v>3606</v>
      </c>
      <c r="K3251">
        <v>208.1</v>
      </c>
    </row>
    <row r="3252" spans="1:11" x14ac:dyDescent="0.35">
      <c r="A3252" t="s">
        <v>3607</v>
      </c>
      <c r="B3252" s="1">
        <v>0</v>
      </c>
      <c r="C3252" t="s">
        <v>2917</v>
      </c>
      <c r="D3252" t="s">
        <v>5391</v>
      </c>
      <c r="E3252" t="s">
        <v>5428</v>
      </c>
      <c r="F3252" t="s">
        <v>5077</v>
      </c>
      <c r="G3252" t="s">
        <v>5078</v>
      </c>
      <c r="H3252" t="s">
        <v>3143</v>
      </c>
      <c r="J3252" t="s">
        <v>3607</v>
      </c>
      <c r="K3252">
        <v>199.1</v>
      </c>
    </row>
    <row r="3253" spans="1:11" x14ac:dyDescent="0.35">
      <c r="A3253" t="s">
        <v>3608</v>
      </c>
      <c r="B3253" s="1">
        <v>0</v>
      </c>
      <c r="C3253" t="s">
        <v>418</v>
      </c>
      <c r="D3253" t="s">
        <v>5454</v>
      </c>
      <c r="E3253" t="s">
        <v>5204</v>
      </c>
      <c r="F3253" t="s">
        <v>5077</v>
      </c>
      <c r="G3253" t="s">
        <v>5475</v>
      </c>
      <c r="H3253" t="s">
        <v>199</v>
      </c>
      <c r="J3253" t="s">
        <v>3608</v>
      </c>
      <c r="K3253">
        <v>194.5</v>
      </c>
    </row>
    <row r="3254" spans="1:11" x14ac:dyDescent="0.35">
      <c r="A3254" t="s">
        <v>3609</v>
      </c>
      <c r="B3254" s="1">
        <v>0</v>
      </c>
      <c r="C3254" t="s">
        <v>425</v>
      </c>
      <c r="D3254" t="s">
        <v>5391</v>
      </c>
      <c r="E3254" t="s">
        <v>5076</v>
      </c>
      <c r="F3254" t="s">
        <v>5077</v>
      </c>
      <c r="G3254" t="s">
        <v>5065</v>
      </c>
      <c r="H3254" t="s">
        <v>1185</v>
      </c>
      <c r="J3254" t="s">
        <v>3609</v>
      </c>
      <c r="K3254">
        <v>194.2</v>
      </c>
    </row>
    <row r="3255" spans="1:11" x14ac:dyDescent="0.35">
      <c r="A3255" t="s">
        <v>3610</v>
      </c>
      <c r="B3255" s="1">
        <v>0</v>
      </c>
      <c r="C3255" t="s">
        <v>3489</v>
      </c>
      <c r="D3255" t="s">
        <v>5083</v>
      </c>
      <c r="E3255" t="s">
        <v>5197</v>
      </c>
      <c r="F3255" t="s">
        <v>5077</v>
      </c>
      <c r="G3255" t="s">
        <v>5475</v>
      </c>
      <c r="H3255" t="s">
        <v>3916</v>
      </c>
      <c r="J3255" t="s">
        <v>3610</v>
      </c>
      <c r="K3255">
        <v>198.8</v>
      </c>
    </row>
    <row r="3256" spans="1:11" x14ac:dyDescent="0.35">
      <c r="A3256" t="s">
        <v>3612</v>
      </c>
      <c r="B3256" s="1">
        <v>0</v>
      </c>
      <c r="C3256" t="s">
        <v>1522</v>
      </c>
      <c r="D3256" t="s">
        <v>5478</v>
      </c>
      <c r="E3256" t="s">
        <v>5236</v>
      </c>
      <c r="F3256" t="s">
        <v>5077</v>
      </c>
      <c r="G3256" t="s">
        <v>5215</v>
      </c>
      <c r="H3256" t="s">
        <v>3175</v>
      </c>
      <c r="J3256" t="s">
        <v>3612</v>
      </c>
      <c r="K3256">
        <v>210.3</v>
      </c>
    </row>
    <row r="3257" spans="1:11" x14ac:dyDescent="0.35">
      <c r="A3257" t="s">
        <v>3614</v>
      </c>
      <c r="B3257" s="1">
        <v>0</v>
      </c>
      <c r="C3257" t="s">
        <v>980</v>
      </c>
      <c r="D3257" t="s">
        <v>5541</v>
      </c>
      <c r="E3257" t="s">
        <v>5102</v>
      </c>
      <c r="F3257" t="s">
        <v>5077</v>
      </c>
      <c r="G3257" t="s">
        <v>5095</v>
      </c>
      <c r="H3257" t="s">
        <v>2056</v>
      </c>
      <c r="J3257" t="s">
        <v>3614</v>
      </c>
      <c r="K3257">
        <v>220.1</v>
      </c>
    </row>
    <row r="3258" spans="1:11" x14ac:dyDescent="0.35">
      <c r="A3258" t="s">
        <v>3615</v>
      </c>
      <c r="B3258" s="1">
        <v>0</v>
      </c>
      <c r="C3258" t="s">
        <v>336</v>
      </c>
      <c r="D3258" t="s">
        <v>5582</v>
      </c>
      <c r="E3258" t="s">
        <v>5272</v>
      </c>
      <c r="F3258" t="s">
        <v>5089</v>
      </c>
      <c r="G3258" t="s">
        <v>5095</v>
      </c>
      <c r="H3258" t="s">
        <v>3029</v>
      </c>
      <c r="J3258" t="s">
        <v>3615</v>
      </c>
      <c r="K3258">
        <v>220.6</v>
      </c>
    </row>
    <row r="3259" spans="1:11" x14ac:dyDescent="0.35">
      <c r="A3259" t="s">
        <v>3616</v>
      </c>
      <c r="B3259" s="1">
        <v>0</v>
      </c>
      <c r="C3259" t="s">
        <v>347</v>
      </c>
      <c r="D3259" t="s">
        <v>5269</v>
      </c>
      <c r="E3259" t="s">
        <v>5063</v>
      </c>
      <c r="F3259" t="s">
        <v>5338</v>
      </c>
      <c r="G3259" t="s">
        <v>5132</v>
      </c>
      <c r="H3259" t="s">
        <v>2841</v>
      </c>
      <c r="J3259" t="s">
        <v>3616</v>
      </c>
      <c r="K3259">
        <v>226.4</v>
      </c>
    </row>
    <row r="3260" spans="1:11" x14ac:dyDescent="0.35">
      <c r="A3260" t="s">
        <v>3617</v>
      </c>
      <c r="B3260" s="1">
        <v>0</v>
      </c>
      <c r="C3260" t="s">
        <v>331</v>
      </c>
      <c r="D3260" t="s">
        <v>5537</v>
      </c>
      <c r="E3260" t="s">
        <v>5121</v>
      </c>
      <c r="F3260" t="s">
        <v>5152</v>
      </c>
      <c r="G3260" t="s">
        <v>5358</v>
      </c>
      <c r="H3260" t="s">
        <v>5665</v>
      </c>
      <c r="J3260" t="s">
        <v>3617</v>
      </c>
      <c r="K3260">
        <v>223.9</v>
      </c>
    </row>
    <row r="3261" spans="1:11" x14ac:dyDescent="0.35">
      <c r="A3261" t="s">
        <v>3618</v>
      </c>
      <c r="B3261" s="1">
        <v>0</v>
      </c>
      <c r="C3261" t="s">
        <v>347</v>
      </c>
      <c r="D3261" t="s">
        <v>5591</v>
      </c>
      <c r="E3261" t="s">
        <v>5069</v>
      </c>
      <c r="F3261" t="s">
        <v>5152</v>
      </c>
      <c r="G3261" t="s">
        <v>5132</v>
      </c>
      <c r="H3261" t="s">
        <v>628</v>
      </c>
      <c r="J3261" t="s">
        <v>3618</v>
      </c>
      <c r="K3261">
        <v>225.2</v>
      </c>
    </row>
    <row r="3262" spans="1:11" x14ac:dyDescent="0.35">
      <c r="A3262" t="s">
        <v>3620</v>
      </c>
      <c r="B3262" s="1">
        <v>0</v>
      </c>
      <c r="C3262" t="s">
        <v>1482</v>
      </c>
      <c r="D3262" t="s">
        <v>5246</v>
      </c>
      <c r="E3262" t="s">
        <v>5113</v>
      </c>
      <c r="F3262" t="s">
        <v>5152</v>
      </c>
      <c r="G3262" t="s">
        <v>5356</v>
      </c>
      <c r="H3262" t="s">
        <v>627</v>
      </c>
      <c r="J3262" t="s">
        <v>3620</v>
      </c>
      <c r="K3262">
        <v>226.3</v>
      </c>
    </row>
    <row r="3263" spans="1:11" x14ac:dyDescent="0.35">
      <c r="A3263" t="s">
        <v>3621</v>
      </c>
      <c r="B3263" s="1">
        <v>0</v>
      </c>
      <c r="C3263" t="s">
        <v>1532</v>
      </c>
      <c r="D3263" t="s">
        <v>5496</v>
      </c>
      <c r="E3263" t="s">
        <v>5074</v>
      </c>
      <c r="F3263" t="s">
        <v>5152</v>
      </c>
      <c r="G3263" t="s">
        <v>5136</v>
      </c>
      <c r="H3263" t="s">
        <v>2041</v>
      </c>
      <c r="J3263" t="s">
        <v>3621</v>
      </c>
      <c r="K3263">
        <v>229.4</v>
      </c>
    </row>
    <row r="3264" spans="1:11" x14ac:dyDescent="0.35">
      <c r="A3264" t="s">
        <v>3622</v>
      </c>
      <c r="B3264" s="1">
        <v>0</v>
      </c>
      <c r="C3264" t="s">
        <v>1871</v>
      </c>
      <c r="D3264" t="s">
        <v>5510</v>
      </c>
      <c r="E3264" t="s">
        <v>5141</v>
      </c>
      <c r="F3264" t="s">
        <v>5338</v>
      </c>
      <c r="G3264" t="s">
        <v>5493</v>
      </c>
      <c r="H3264" t="s">
        <v>3651</v>
      </c>
      <c r="J3264" t="s">
        <v>3622</v>
      </c>
      <c r="K3264">
        <v>237.5</v>
      </c>
    </row>
    <row r="3265" spans="1:11" x14ac:dyDescent="0.35">
      <c r="A3265" t="s">
        <v>3623</v>
      </c>
      <c r="B3265" s="1">
        <v>0</v>
      </c>
      <c r="C3265" t="s">
        <v>315</v>
      </c>
      <c r="D3265" t="s">
        <v>5621</v>
      </c>
      <c r="E3265" t="s">
        <v>5108</v>
      </c>
      <c r="F3265" t="s">
        <v>5338</v>
      </c>
      <c r="G3265" t="s">
        <v>5333</v>
      </c>
      <c r="H3265" t="s">
        <v>4773</v>
      </c>
      <c r="J3265" t="s">
        <v>3623</v>
      </c>
      <c r="K3265">
        <v>251.2</v>
      </c>
    </row>
    <row r="3266" spans="1:11" x14ac:dyDescent="0.35">
      <c r="A3266" t="s">
        <v>3624</v>
      </c>
      <c r="B3266" s="1">
        <v>0</v>
      </c>
      <c r="C3266" t="s">
        <v>1447</v>
      </c>
      <c r="D3266" t="s">
        <v>5614</v>
      </c>
      <c r="E3266" t="s">
        <v>5241</v>
      </c>
      <c r="F3266" t="s">
        <v>5338</v>
      </c>
      <c r="G3266" t="s">
        <v>5188</v>
      </c>
      <c r="H3266" t="s">
        <v>5768</v>
      </c>
      <c r="J3266" t="s">
        <v>3624</v>
      </c>
      <c r="K3266">
        <v>265.7</v>
      </c>
    </row>
    <row r="3267" spans="1:11" x14ac:dyDescent="0.35">
      <c r="A3267" t="s">
        <v>3625</v>
      </c>
      <c r="B3267" s="1">
        <v>0</v>
      </c>
      <c r="C3267" t="s">
        <v>3524</v>
      </c>
      <c r="D3267" t="s">
        <v>377</v>
      </c>
      <c r="E3267" t="s">
        <v>5256</v>
      </c>
      <c r="F3267" t="s">
        <v>5338</v>
      </c>
      <c r="G3267" t="s">
        <v>5347</v>
      </c>
      <c r="H3267" t="s">
        <v>5807</v>
      </c>
      <c r="J3267" t="s">
        <v>3625</v>
      </c>
      <c r="K3267">
        <v>274.5</v>
      </c>
    </row>
    <row r="3268" spans="1:11" x14ac:dyDescent="0.35">
      <c r="A3268" t="s">
        <v>3627</v>
      </c>
      <c r="B3268" s="1">
        <v>0</v>
      </c>
      <c r="C3268" t="s">
        <v>1095</v>
      </c>
      <c r="D3268" t="s">
        <v>1005</v>
      </c>
      <c r="E3268" t="s">
        <v>5262</v>
      </c>
      <c r="F3268" t="s">
        <v>5338</v>
      </c>
      <c r="G3268" t="s">
        <v>5152</v>
      </c>
      <c r="H3268" t="s">
        <v>5808</v>
      </c>
      <c r="J3268" t="s">
        <v>3627</v>
      </c>
      <c r="K3268">
        <v>278.5</v>
      </c>
    </row>
    <row r="3269" spans="1:11" x14ac:dyDescent="0.35">
      <c r="A3269" t="s">
        <v>3629</v>
      </c>
      <c r="B3269" s="1">
        <v>0</v>
      </c>
      <c r="C3269" t="s">
        <v>4348</v>
      </c>
      <c r="D3269" t="s">
        <v>1027</v>
      </c>
      <c r="E3269" t="s">
        <v>5485</v>
      </c>
      <c r="F3269" t="s">
        <v>5338</v>
      </c>
      <c r="G3269" t="s">
        <v>5152</v>
      </c>
      <c r="H3269" t="s">
        <v>5809</v>
      </c>
      <c r="J3269" t="s">
        <v>3629</v>
      </c>
      <c r="K3269">
        <v>279.7</v>
      </c>
    </row>
    <row r="3270" spans="1:11" x14ac:dyDescent="0.35">
      <c r="A3270" t="s">
        <v>3632</v>
      </c>
      <c r="B3270" s="1">
        <v>0</v>
      </c>
      <c r="C3270" t="s">
        <v>2934</v>
      </c>
      <c r="D3270" t="s">
        <v>2241</v>
      </c>
      <c r="E3270" t="s">
        <v>5446</v>
      </c>
      <c r="F3270" t="s">
        <v>5338</v>
      </c>
      <c r="G3270" t="s">
        <v>5347</v>
      </c>
      <c r="H3270" t="s">
        <v>3631</v>
      </c>
      <c r="J3270" t="s">
        <v>3632</v>
      </c>
      <c r="K3270">
        <v>276.60000000000002</v>
      </c>
    </row>
    <row r="3271" spans="1:11" x14ac:dyDescent="0.35">
      <c r="A3271" t="s">
        <v>3634</v>
      </c>
      <c r="B3271" s="1">
        <v>0</v>
      </c>
      <c r="C3271" t="s">
        <v>2876</v>
      </c>
      <c r="D3271" t="s">
        <v>1033</v>
      </c>
      <c r="E3271" t="s">
        <v>5446</v>
      </c>
      <c r="F3271" t="s">
        <v>5338</v>
      </c>
      <c r="G3271" t="s">
        <v>5347</v>
      </c>
      <c r="H3271" t="s">
        <v>5791</v>
      </c>
      <c r="J3271" t="s">
        <v>3634</v>
      </c>
      <c r="K3271">
        <v>271.60000000000002</v>
      </c>
    </row>
    <row r="3272" spans="1:11" x14ac:dyDescent="0.35">
      <c r="A3272" t="s">
        <v>3635</v>
      </c>
      <c r="B3272" s="1">
        <v>0</v>
      </c>
      <c r="C3272" t="s">
        <v>4383</v>
      </c>
      <c r="D3272" t="s">
        <v>5465</v>
      </c>
      <c r="E3272" t="s">
        <v>5220</v>
      </c>
      <c r="F3272" t="s">
        <v>5338</v>
      </c>
      <c r="G3272" t="s">
        <v>5188</v>
      </c>
      <c r="H3272" t="s">
        <v>5789</v>
      </c>
      <c r="J3272" t="s">
        <v>3635</v>
      </c>
      <c r="K3272">
        <v>258.89999999999998</v>
      </c>
    </row>
    <row r="3273" spans="1:11" x14ac:dyDescent="0.35">
      <c r="A3273" t="s">
        <v>3636</v>
      </c>
      <c r="B3273" s="1">
        <v>0</v>
      </c>
      <c r="C3273" t="s">
        <v>359</v>
      </c>
      <c r="D3273" t="s">
        <v>5565</v>
      </c>
      <c r="E3273" t="s">
        <v>5449</v>
      </c>
      <c r="F3273" t="s">
        <v>5152</v>
      </c>
      <c r="G3273" t="s">
        <v>5501</v>
      </c>
      <c r="H3273" t="s">
        <v>3750</v>
      </c>
      <c r="J3273" t="s">
        <v>3636</v>
      </c>
      <c r="K3273">
        <v>242.2</v>
      </c>
    </row>
    <row r="3274" spans="1:11" x14ac:dyDescent="0.35">
      <c r="A3274" t="s">
        <v>3638</v>
      </c>
      <c r="B3274" s="1">
        <v>0</v>
      </c>
      <c r="C3274" t="s">
        <v>2603</v>
      </c>
      <c r="D3274" t="s">
        <v>5500</v>
      </c>
      <c r="E3274" t="s">
        <v>5508</v>
      </c>
      <c r="F3274" t="s">
        <v>5152</v>
      </c>
      <c r="G3274" t="s">
        <v>5132</v>
      </c>
      <c r="H3274" t="s">
        <v>2840</v>
      </c>
      <c r="J3274" t="s">
        <v>3638</v>
      </c>
      <c r="K3274">
        <v>226.5</v>
      </c>
    </row>
    <row r="3275" spans="1:11" x14ac:dyDescent="0.35">
      <c r="A3275" t="s">
        <v>3641</v>
      </c>
      <c r="B3275" s="1">
        <v>0</v>
      </c>
      <c r="C3275" t="s">
        <v>1876</v>
      </c>
      <c r="D3275" t="s">
        <v>5498</v>
      </c>
      <c r="E3275" t="s">
        <v>5471</v>
      </c>
      <c r="F3275" t="s">
        <v>5152</v>
      </c>
      <c r="G3275" t="s">
        <v>5045</v>
      </c>
      <c r="H3275" t="s">
        <v>1704</v>
      </c>
      <c r="J3275" t="s">
        <v>3641</v>
      </c>
      <c r="K3275">
        <v>219</v>
      </c>
    </row>
    <row r="3276" spans="1:11" x14ac:dyDescent="0.35">
      <c r="A3276" t="s">
        <v>3642</v>
      </c>
      <c r="B3276" s="1">
        <v>0</v>
      </c>
      <c r="C3276" t="s">
        <v>3499</v>
      </c>
      <c r="D3276" t="s">
        <v>5585</v>
      </c>
      <c r="E3276" t="s">
        <v>5157</v>
      </c>
      <c r="F3276" t="s">
        <v>5152</v>
      </c>
      <c r="G3276" t="s">
        <v>5045</v>
      </c>
      <c r="H3276" t="s">
        <v>743</v>
      </c>
      <c r="J3276" t="s">
        <v>3642</v>
      </c>
      <c r="K3276">
        <v>228.1</v>
      </c>
    </row>
    <row r="3277" spans="1:11" x14ac:dyDescent="0.35">
      <c r="A3277" t="s">
        <v>3643</v>
      </c>
      <c r="B3277" s="1">
        <v>0</v>
      </c>
      <c r="C3277" t="s">
        <v>360</v>
      </c>
      <c r="D3277" t="s">
        <v>5603</v>
      </c>
      <c r="E3277" t="s">
        <v>5594</v>
      </c>
      <c r="F3277" t="s">
        <v>5338</v>
      </c>
      <c r="G3277" t="s">
        <v>5356</v>
      </c>
      <c r="H3277" t="s">
        <v>4244</v>
      </c>
      <c r="J3277" t="s">
        <v>3643</v>
      </c>
      <c r="K3277">
        <v>245.7</v>
      </c>
    </row>
    <row r="3278" spans="1:11" x14ac:dyDescent="0.35">
      <c r="A3278" t="s">
        <v>3646</v>
      </c>
      <c r="B3278" s="1">
        <v>0</v>
      </c>
      <c r="C3278" t="s">
        <v>4642</v>
      </c>
      <c r="D3278" t="s">
        <v>5461</v>
      </c>
      <c r="E3278" t="s">
        <v>5075</v>
      </c>
      <c r="F3278" t="s">
        <v>5338</v>
      </c>
      <c r="G3278" t="s">
        <v>5355</v>
      </c>
      <c r="H3278" t="s">
        <v>3352</v>
      </c>
      <c r="J3278" t="s">
        <v>3646</v>
      </c>
      <c r="K3278">
        <v>252.1</v>
      </c>
    </row>
    <row r="3279" spans="1:11" x14ac:dyDescent="0.35">
      <c r="A3279" t="s">
        <v>3649</v>
      </c>
      <c r="B3279" s="1">
        <v>0</v>
      </c>
      <c r="C3279" t="s">
        <v>1479</v>
      </c>
      <c r="D3279" t="s">
        <v>5410</v>
      </c>
      <c r="E3279" t="s">
        <v>5108</v>
      </c>
      <c r="F3279" t="s">
        <v>5338</v>
      </c>
      <c r="G3279" t="s">
        <v>5501</v>
      </c>
      <c r="H3279" t="s">
        <v>3321</v>
      </c>
      <c r="J3279" t="s">
        <v>3649</v>
      </c>
      <c r="K3279">
        <v>248.5</v>
      </c>
    </row>
    <row r="3280" spans="1:11" x14ac:dyDescent="0.35">
      <c r="A3280" t="s">
        <v>3650</v>
      </c>
      <c r="B3280" s="1">
        <v>0</v>
      </c>
      <c r="C3280" t="s">
        <v>339</v>
      </c>
      <c r="D3280" t="s">
        <v>5581</v>
      </c>
      <c r="E3280" t="s">
        <v>5111</v>
      </c>
      <c r="F3280" t="s">
        <v>5152</v>
      </c>
      <c r="G3280" t="s">
        <v>5501</v>
      </c>
      <c r="H3280" t="s">
        <v>2392</v>
      </c>
      <c r="J3280" t="s">
        <v>3650</v>
      </c>
      <c r="K3280">
        <v>240.5</v>
      </c>
    </row>
    <row r="3281" spans="1:11" x14ac:dyDescent="0.35">
      <c r="A3281" t="s">
        <v>3652</v>
      </c>
      <c r="B3281" s="1">
        <v>0</v>
      </c>
      <c r="C3281" t="s">
        <v>336</v>
      </c>
      <c r="D3281" t="s">
        <v>5499</v>
      </c>
      <c r="E3281" t="s">
        <v>5114</v>
      </c>
      <c r="F3281" t="s">
        <v>5152</v>
      </c>
      <c r="G3281" t="s">
        <v>5332</v>
      </c>
      <c r="H3281" t="s">
        <v>622</v>
      </c>
      <c r="J3281" t="s">
        <v>3652</v>
      </c>
      <c r="K3281">
        <v>234.5</v>
      </c>
    </row>
    <row r="3282" spans="1:11" x14ac:dyDescent="0.35">
      <c r="A3282" t="s">
        <v>3655</v>
      </c>
      <c r="B3282" s="1">
        <v>0</v>
      </c>
      <c r="C3282" t="s">
        <v>457</v>
      </c>
      <c r="D3282" t="s">
        <v>5607</v>
      </c>
      <c r="E3282" t="s">
        <v>5100</v>
      </c>
      <c r="F3282" t="s">
        <v>5152</v>
      </c>
      <c r="G3282" t="s">
        <v>5136</v>
      </c>
      <c r="H3282" t="s">
        <v>744</v>
      </c>
      <c r="J3282" t="s">
        <v>3655</v>
      </c>
      <c r="K3282">
        <v>227.3</v>
      </c>
    </row>
    <row r="3283" spans="1:11" x14ac:dyDescent="0.35">
      <c r="A3283" t="s">
        <v>3657</v>
      </c>
      <c r="B3283" s="1">
        <v>0</v>
      </c>
      <c r="C3283" t="s">
        <v>1523</v>
      </c>
      <c r="D3283" t="s">
        <v>5244</v>
      </c>
      <c r="E3283" t="s">
        <v>5085</v>
      </c>
      <c r="F3283" t="s">
        <v>5152</v>
      </c>
      <c r="G3283" t="s">
        <v>5132</v>
      </c>
      <c r="H3283" t="s">
        <v>5697</v>
      </c>
      <c r="J3283" t="s">
        <v>3657</v>
      </c>
      <c r="K3283">
        <v>221.8</v>
      </c>
    </row>
    <row r="3284" spans="1:11" x14ac:dyDescent="0.35">
      <c r="A3284" t="s">
        <v>3659</v>
      </c>
      <c r="B3284" s="1">
        <v>0</v>
      </c>
      <c r="C3284" t="s">
        <v>331</v>
      </c>
      <c r="D3284" t="s">
        <v>5511</v>
      </c>
      <c r="E3284" t="s">
        <v>5453</v>
      </c>
      <c r="F3284" t="s">
        <v>5152</v>
      </c>
      <c r="G3284" t="s">
        <v>5356</v>
      </c>
      <c r="H3284" t="s">
        <v>771</v>
      </c>
      <c r="J3284" t="s">
        <v>3659</v>
      </c>
      <c r="K3284">
        <v>227.5</v>
      </c>
    </row>
    <row r="3285" spans="1:11" x14ac:dyDescent="0.35">
      <c r="A3285" t="s">
        <v>3660</v>
      </c>
      <c r="B3285" s="1">
        <v>0</v>
      </c>
      <c r="C3285" t="s">
        <v>1063</v>
      </c>
      <c r="D3285" t="s">
        <v>5611</v>
      </c>
      <c r="E3285" t="s">
        <v>5100</v>
      </c>
      <c r="F3285" t="s">
        <v>5338</v>
      </c>
      <c r="G3285" t="s">
        <v>5355</v>
      </c>
      <c r="H3285" t="s">
        <v>5758</v>
      </c>
      <c r="J3285" t="s">
        <v>3660</v>
      </c>
      <c r="K3285">
        <v>243.6</v>
      </c>
    </row>
    <row r="3286" spans="1:11" x14ac:dyDescent="0.35">
      <c r="A3286" t="s">
        <v>3662</v>
      </c>
      <c r="B3286" s="1">
        <v>0</v>
      </c>
      <c r="C3286" t="s">
        <v>1934</v>
      </c>
      <c r="D3286" t="s">
        <v>5610</v>
      </c>
      <c r="E3286" t="s">
        <v>5458</v>
      </c>
      <c r="F3286" t="s">
        <v>5338</v>
      </c>
      <c r="G3286" t="s">
        <v>5201</v>
      </c>
      <c r="H3286" t="s">
        <v>5746</v>
      </c>
      <c r="J3286" t="s">
        <v>3662</v>
      </c>
      <c r="K3286">
        <v>268.89999999999998</v>
      </c>
    </row>
    <row r="3287" spans="1:11" x14ac:dyDescent="0.35">
      <c r="A3287" t="s">
        <v>3663</v>
      </c>
      <c r="B3287" s="1">
        <v>0</v>
      </c>
      <c r="C3287" t="s">
        <v>1116</v>
      </c>
      <c r="D3287" t="s">
        <v>5406</v>
      </c>
      <c r="E3287" t="s">
        <v>5451</v>
      </c>
      <c r="F3287" t="s">
        <v>5331</v>
      </c>
      <c r="G3287" t="s">
        <v>5347</v>
      </c>
      <c r="H3287" t="s">
        <v>5810</v>
      </c>
      <c r="J3287" t="s">
        <v>3663</v>
      </c>
      <c r="K3287">
        <v>284.2</v>
      </c>
    </row>
    <row r="3288" spans="1:11" x14ac:dyDescent="0.35">
      <c r="A3288" t="s">
        <v>3665</v>
      </c>
      <c r="B3288" s="1">
        <v>0</v>
      </c>
      <c r="C3288" t="s">
        <v>268</v>
      </c>
      <c r="D3288" t="s">
        <v>1005</v>
      </c>
      <c r="E3288" t="s">
        <v>5451</v>
      </c>
      <c r="F3288" t="s">
        <v>5331</v>
      </c>
      <c r="G3288" t="s">
        <v>5152</v>
      </c>
      <c r="H3288" t="s">
        <v>5811</v>
      </c>
      <c r="J3288" t="s">
        <v>3665</v>
      </c>
      <c r="K3288">
        <v>284.39999999999998</v>
      </c>
    </row>
    <row r="3289" spans="1:11" x14ac:dyDescent="0.35">
      <c r="A3289" t="s">
        <v>3667</v>
      </c>
      <c r="B3289" s="1">
        <v>0</v>
      </c>
      <c r="C3289" t="s">
        <v>4124</v>
      </c>
      <c r="D3289" t="s">
        <v>5488</v>
      </c>
      <c r="E3289" t="s">
        <v>5458</v>
      </c>
      <c r="F3289" t="s">
        <v>5338</v>
      </c>
      <c r="G3289" t="s">
        <v>5205</v>
      </c>
      <c r="H3289" t="s">
        <v>4480</v>
      </c>
      <c r="J3289" t="s">
        <v>3667</v>
      </c>
      <c r="K3289">
        <v>267</v>
      </c>
    </row>
    <row r="3290" spans="1:11" x14ac:dyDescent="0.35">
      <c r="A3290" t="s">
        <v>3669</v>
      </c>
      <c r="B3290" s="1">
        <v>0</v>
      </c>
      <c r="C3290" t="s">
        <v>1476</v>
      </c>
      <c r="D3290" t="s">
        <v>5231</v>
      </c>
      <c r="E3290" t="s">
        <v>5444</v>
      </c>
      <c r="F3290" t="s">
        <v>5089</v>
      </c>
      <c r="G3290" t="s">
        <v>5341</v>
      </c>
      <c r="H3290" t="s">
        <v>3067</v>
      </c>
      <c r="J3290" t="s">
        <v>3669</v>
      </c>
      <c r="K3290">
        <v>240.6</v>
      </c>
    </row>
    <row r="3291" spans="1:11" x14ac:dyDescent="0.35">
      <c r="A3291" t="s">
        <v>3670</v>
      </c>
      <c r="B3291" s="1">
        <v>0</v>
      </c>
      <c r="C3291" t="s">
        <v>1917</v>
      </c>
      <c r="D3291" t="s">
        <v>5536</v>
      </c>
      <c r="E3291" t="s">
        <v>5081</v>
      </c>
      <c r="F3291" t="s">
        <v>5077</v>
      </c>
      <c r="G3291" t="s">
        <v>5136</v>
      </c>
      <c r="H3291" t="s">
        <v>751</v>
      </c>
      <c r="J3291" t="s">
        <v>3670</v>
      </c>
      <c r="K3291">
        <v>218.6</v>
      </c>
    </row>
    <row r="3292" spans="1:11" x14ac:dyDescent="0.35">
      <c r="A3292" t="s">
        <v>3671</v>
      </c>
      <c r="B3292" s="1">
        <v>0</v>
      </c>
      <c r="C3292" t="s">
        <v>2910</v>
      </c>
      <c r="D3292" t="s">
        <v>5530</v>
      </c>
      <c r="E3292" t="s">
        <v>5236</v>
      </c>
      <c r="F3292" t="s">
        <v>5077</v>
      </c>
      <c r="G3292" t="s">
        <v>5089</v>
      </c>
      <c r="H3292" t="s">
        <v>2078</v>
      </c>
      <c r="J3292" t="s">
        <v>3671</v>
      </c>
      <c r="K3292">
        <v>201.8</v>
      </c>
    </row>
    <row r="3293" spans="1:11" x14ac:dyDescent="0.35">
      <c r="A3293" t="s">
        <v>3672</v>
      </c>
      <c r="B3293" s="1">
        <v>0</v>
      </c>
      <c r="C3293" t="s">
        <v>427</v>
      </c>
      <c r="D3293" t="s">
        <v>5454</v>
      </c>
      <c r="E3293" t="s">
        <v>5167</v>
      </c>
      <c r="F3293" t="s">
        <v>5077</v>
      </c>
      <c r="G3293" t="s">
        <v>5092</v>
      </c>
      <c r="H3293" t="s">
        <v>3137</v>
      </c>
      <c r="J3293" t="s">
        <v>3672</v>
      </c>
      <c r="K3293">
        <v>192.3</v>
      </c>
    </row>
    <row r="3294" spans="1:11" x14ac:dyDescent="0.35">
      <c r="A3294" t="s">
        <v>3673</v>
      </c>
      <c r="B3294" s="1">
        <v>0</v>
      </c>
      <c r="C3294" t="s">
        <v>402</v>
      </c>
      <c r="D3294" t="s">
        <v>5285</v>
      </c>
      <c r="E3294" t="s">
        <v>5237</v>
      </c>
      <c r="F3294" t="s">
        <v>5077</v>
      </c>
      <c r="G3294" t="s">
        <v>5110</v>
      </c>
      <c r="H3294" t="s">
        <v>712</v>
      </c>
      <c r="J3294" t="s">
        <v>3673</v>
      </c>
      <c r="K3294">
        <v>190.3</v>
      </c>
    </row>
    <row r="3295" spans="1:11" x14ac:dyDescent="0.35">
      <c r="A3295" t="s">
        <v>3674</v>
      </c>
      <c r="B3295" s="1">
        <v>0</v>
      </c>
      <c r="C3295" t="s">
        <v>415</v>
      </c>
      <c r="D3295" t="s">
        <v>5190</v>
      </c>
      <c r="E3295" t="s">
        <v>5170</v>
      </c>
      <c r="F3295" t="s">
        <v>5077</v>
      </c>
      <c r="G3295" t="s">
        <v>5110</v>
      </c>
      <c r="H3295" t="s">
        <v>1727</v>
      </c>
      <c r="J3295" t="s">
        <v>3674</v>
      </c>
      <c r="K3295">
        <v>190.2</v>
      </c>
    </row>
    <row r="3296" spans="1:11" x14ac:dyDescent="0.35">
      <c r="A3296" t="s">
        <v>3675</v>
      </c>
      <c r="B3296" s="1">
        <v>0</v>
      </c>
      <c r="C3296" t="s">
        <v>395</v>
      </c>
      <c r="D3296" t="s">
        <v>5157</v>
      </c>
      <c r="E3296" t="s">
        <v>5303</v>
      </c>
      <c r="F3296" t="s">
        <v>5077</v>
      </c>
      <c r="G3296" t="s">
        <v>5110</v>
      </c>
      <c r="H3296" t="s">
        <v>32</v>
      </c>
      <c r="J3296" t="s">
        <v>3675</v>
      </c>
      <c r="K3296">
        <v>186.6</v>
      </c>
    </row>
    <row r="3297" spans="1:11" x14ac:dyDescent="0.35">
      <c r="A3297" t="s">
        <v>3676</v>
      </c>
      <c r="B3297" s="1">
        <v>0</v>
      </c>
      <c r="C3297" t="s">
        <v>437</v>
      </c>
      <c r="D3297" t="s">
        <v>5253</v>
      </c>
      <c r="E3297" t="s">
        <v>5599</v>
      </c>
      <c r="F3297" t="s">
        <v>5077</v>
      </c>
      <c r="G3297" t="s">
        <v>5082</v>
      </c>
      <c r="H3297" t="s">
        <v>676</v>
      </c>
      <c r="J3297" t="s">
        <v>3676</v>
      </c>
      <c r="K3297">
        <v>178.1</v>
      </c>
    </row>
    <row r="3298" spans="1:11" x14ac:dyDescent="0.35">
      <c r="A3298" t="s">
        <v>3677</v>
      </c>
      <c r="B3298" s="1">
        <v>0</v>
      </c>
      <c r="C3298" t="s">
        <v>5614</v>
      </c>
      <c r="D3298" t="s">
        <v>5088</v>
      </c>
      <c r="E3298" t="s">
        <v>5426</v>
      </c>
      <c r="F3298" t="s">
        <v>5077</v>
      </c>
      <c r="G3298" t="s">
        <v>5124</v>
      </c>
      <c r="H3298" t="s">
        <v>40</v>
      </c>
      <c r="J3298" t="s">
        <v>3677</v>
      </c>
      <c r="K3298">
        <v>173.9</v>
      </c>
    </row>
    <row r="3299" spans="1:11" x14ac:dyDescent="0.35">
      <c r="A3299" t="s">
        <v>3678</v>
      </c>
      <c r="B3299" s="1">
        <v>0</v>
      </c>
      <c r="C3299" t="s">
        <v>5567</v>
      </c>
      <c r="D3299" t="s">
        <v>5440</v>
      </c>
      <c r="E3299" t="s">
        <v>5070</v>
      </c>
      <c r="F3299" t="s">
        <v>5077</v>
      </c>
      <c r="G3299" t="s">
        <v>5124</v>
      </c>
      <c r="H3299" t="s">
        <v>1337</v>
      </c>
      <c r="J3299" t="s">
        <v>3678</v>
      </c>
      <c r="K3299">
        <v>181.2</v>
      </c>
    </row>
    <row r="3300" spans="1:11" x14ac:dyDescent="0.35">
      <c r="A3300" t="s">
        <v>3679</v>
      </c>
      <c r="B3300" s="1">
        <v>0</v>
      </c>
      <c r="C3300" t="s">
        <v>1878</v>
      </c>
      <c r="D3300" t="s">
        <v>5454</v>
      </c>
      <c r="E3300" t="s">
        <v>5221</v>
      </c>
      <c r="F3300" t="s">
        <v>5077</v>
      </c>
      <c r="G3300" t="s">
        <v>5082</v>
      </c>
      <c r="H3300" t="s">
        <v>1264</v>
      </c>
      <c r="J3300" t="s">
        <v>3679</v>
      </c>
      <c r="K3300">
        <v>196.5</v>
      </c>
    </row>
    <row r="3301" spans="1:11" x14ac:dyDescent="0.35">
      <c r="A3301" t="s">
        <v>3680</v>
      </c>
      <c r="B3301" s="1">
        <v>0</v>
      </c>
      <c r="C3301" t="s">
        <v>1049</v>
      </c>
      <c r="D3301" t="s">
        <v>5554</v>
      </c>
      <c r="E3301" t="s">
        <v>5249</v>
      </c>
      <c r="F3301" t="s">
        <v>5077</v>
      </c>
      <c r="G3301" t="s">
        <v>5110</v>
      </c>
      <c r="H3301" t="s">
        <v>1303</v>
      </c>
      <c r="J3301" t="s">
        <v>3680</v>
      </c>
      <c r="K3301">
        <v>210.4</v>
      </c>
    </row>
    <row r="3302" spans="1:11" x14ac:dyDescent="0.35">
      <c r="A3302" t="s">
        <v>3681</v>
      </c>
      <c r="B3302" s="1">
        <v>0</v>
      </c>
      <c r="C3302" t="s">
        <v>337</v>
      </c>
      <c r="D3302" t="s">
        <v>5278</v>
      </c>
      <c r="E3302" t="s">
        <v>5272</v>
      </c>
      <c r="F3302" t="s">
        <v>5077</v>
      </c>
      <c r="G3302" t="s">
        <v>5045</v>
      </c>
      <c r="H3302" t="s">
        <v>3012</v>
      </c>
      <c r="J3302" t="s">
        <v>3681</v>
      </c>
      <c r="K3302">
        <v>216.5</v>
      </c>
    </row>
    <row r="3303" spans="1:11" x14ac:dyDescent="0.35">
      <c r="A3303" t="s">
        <v>3683</v>
      </c>
      <c r="B3303" s="1">
        <v>0</v>
      </c>
      <c r="C3303" t="s">
        <v>349</v>
      </c>
      <c r="D3303" t="s">
        <v>5112</v>
      </c>
      <c r="E3303" t="s">
        <v>5192</v>
      </c>
      <c r="F3303" t="s">
        <v>5077</v>
      </c>
      <c r="G3303" t="s">
        <v>5045</v>
      </c>
      <c r="H3303" t="s">
        <v>3980</v>
      </c>
      <c r="J3303" t="s">
        <v>3683</v>
      </c>
      <c r="K3303">
        <v>211.7</v>
      </c>
    </row>
    <row r="3304" spans="1:11" x14ac:dyDescent="0.35">
      <c r="A3304" t="s">
        <v>3684</v>
      </c>
      <c r="B3304" s="1">
        <v>0</v>
      </c>
      <c r="C3304" t="s">
        <v>1024</v>
      </c>
      <c r="D3304" t="s">
        <v>5146</v>
      </c>
      <c r="E3304" t="s">
        <v>5068</v>
      </c>
      <c r="F3304" t="s">
        <v>5077</v>
      </c>
      <c r="G3304" t="s">
        <v>5116</v>
      </c>
      <c r="H3304" t="s">
        <v>686</v>
      </c>
      <c r="J3304" t="s">
        <v>3684</v>
      </c>
      <c r="K3304">
        <v>196.2</v>
      </c>
    </row>
    <row r="3305" spans="1:11" x14ac:dyDescent="0.35">
      <c r="A3305" t="s">
        <v>3685</v>
      </c>
      <c r="B3305" s="1">
        <v>0</v>
      </c>
      <c r="C3305" t="s">
        <v>5565</v>
      </c>
      <c r="D3305" t="s">
        <v>5254</v>
      </c>
      <c r="E3305" t="s">
        <v>5431</v>
      </c>
      <c r="F3305" t="s">
        <v>5077</v>
      </c>
      <c r="G3305" t="s">
        <v>5124</v>
      </c>
      <c r="H3305" t="s">
        <v>1337</v>
      </c>
      <c r="J3305" t="s">
        <v>3685</v>
      </c>
      <c r="K3305">
        <v>181.2</v>
      </c>
    </row>
    <row r="3306" spans="1:11" x14ac:dyDescent="0.35">
      <c r="A3306" t="s">
        <v>3686</v>
      </c>
      <c r="B3306" s="1">
        <v>0</v>
      </c>
      <c r="C3306" t="s">
        <v>5516</v>
      </c>
      <c r="D3306" t="s">
        <v>5108</v>
      </c>
      <c r="E3306" t="s">
        <v>5070</v>
      </c>
      <c r="F3306" t="s">
        <v>5077</v>
      </c>
      <c r="G3306" t="s">
        <v>5099</v>
      </c>
      <c r="H3306" t="s">
        <v>1223</v>
      </c>
      <c r="J3306" t="s">
        <v>3686</v>
      </c>
      <c r="K3306">
        <v>177.1</v>
      </c>
    </row>
    <row r="3307" spans="1:11" x14ac:dyDescent="0.35">
      <c r="A3307" t="s">
        <v>3687</v>
      </c>
      <c r="B3307" s="1">
        <v>0</v>
      </c>
      <c r="C3307" t="s">
        <v>1011</v>
      </c>
      <c r="D3307" t="s">
        <v>5450</v>
      </c>
      <c r="E3307" t="s">
        <v>5169</v>
      </c>
      <c r="F3307" t="s">
        <v>5077</v>
      </c>
      <c r="G3307" t="s">
        <v>5095</v>
      </c>
      <c r="H3307" t="s">
        <v>2671</v>
      </c>
      <c r="J3307" t="s">
        <v>3687</v>
      </c>
      <c r="K3307">
        <v>185.7</v>
      </c>
    </row>
    <row r="3308" spans="1:11" x14ac:dyDescent="0.35">
      <c r="A3308" t="s">
        <v>3688</v>
      </c>
      <c r="B3308" s="1">
        <v>0</v>
      </c>
      <c r="C3308" t="s">
        <v>2601</v>
      </c>
      <c r="D3308" t="s">
        <v>5519</v>
      </c>
      <c r="E3308" t="s">
        <v>5223</v>
      </c>
      <c r="F3308" t="s">
        <v>5077</v>
      </c>
      <c r="G3308" t="s">
        <v>5110</v>
      </c>
      <c r="H3308" t="s">
        <v>756</v>
      </c>
      <c r="J3308" t="s">
        <v>3688</v>
      </c>
      <c r="K3308">
        <v>194.8</v>
      </c>
    </row>
    <row r="3309" spans="1:11" x14ac:dyDescent="0.35">
      <c r="A3309" t="s">
        <v>3689</v>
      </c>
      <c r="B3309" s="1">
        <v>0</v>
      </c>
      <c r="C3309" t="s">
        <v>2602</v>
      </c>
      <c r="D3309" t="s">
        <v>5252</v>
      </c>
      <c r="E3309" t="s">
        <v>5170</v>
      </c>
      <c r="F3309" t="s">
        <v>5077</v>
      </c>
      <c r="G3309" t="s">
        <v>5110</v>
      </c>
      <c r="H3309" t="s">
        <v>686</v>
      </c>
      <c r="J3309" t="s">
        <v>3689</v>
      </c>
      <c r="K3309">
        <v>196.2</v>
      </c>
    </row>
    <row r="3310" spans="1:11" x14ac:dyDescent="0.35">
      <c r="A3310" t="s">
        <v>3690</v>
      </c>
      <c r="B3310" s="1">
        <v>0</v>
      </c>
      <c r="C3310" t="s">
        <v>1054</v>
      </c>
      <c r="D3310" t="s">
        <v>5264</v>
      </c>
      <c r="E3310" t="s">
        <v>5202</v>
      </c>
      <c r="F3310" t="s">
        <v>5077</v>
      </c>
      <c r="G3310" t="s">
        <v>5110</v>
      </c>
      <c r="H3310" t="s">
        <v>686</v>
      </c>
      <c r="J3310" t="s">
        <v>3690</v>
      </c>
      <c r="K3310">
        <v>196.2</v>
      </c>
    </row>
    <row r="3311" spans="1:11" x14ac:dyDescent="0.35">
      <c r="A3311" t="s">
        <v>3691</v>
      </c>
      <c r="B3311" s="1">
        <v>0</v>
      </c>
      <c r="C3311" t="s">
        <v>2916</v>
      </c>
      <c r="D3311" t="s">
        <v>5531</v>
      </c>
      <c r="E3311" t="s">
        <v>5170</v>
      </c>
      <c r="F3311" t="s">
        <v>5077</v>
      </c>
      <c r="G3311" t="s">
        <v>5092</v>
      </c>
      <c r="H3311" t="s">
        <v>689</v>
      </c>
      <c r="J3311" t="s">
        <v>3691</v>
      </c>
      <c r="K3311">
        <v>198.5</v>
      </c>
    </row>
    <row r="3312" spans="1:11" x14ac:dyDescent="0.35">
      <c r="A3312" t="s">
        <v>3692</v>
      </c>
      <c r="B3312" s="1">
        <v>0</v>
      </c>
      <c r="C3312" t="s">
        <v>1051</v>
      </c>
      <c r="D3312" t="s">
        <v>5220</v>
      </c>
      <c r="E3312" t="s">
        <v>5170</v>
      </c>
      <c r="F3312" t="s">
        <v>5077</v>
      </c>
      <c r="G3312" t="s">
        <v>5045</v>
      </c>
      <c r="H3312" t="s">
        <v>1648</v>
      </c>
      <c r="J3312" t="s">
        <v>3692</v>
      </c>
      <c r="K3312">
        <v>199.4</v>
      </c>
    </row>
    <row r="3313" spans="1:11" x14ac:dyDescent="0.35">
      <c r="A3313" t="s">
        <v>3693</v>
      </c>
      <c r="B3313" s="1">
        <v>0</v>
      </c>
      <c r="C3313" t="s">
        <v>1521</v>
      </c>
      <c r="D3313" t="s">
        <v>5262</v>
      </c>
      <c r="E3313" t="s">
        <v>5286</v>
      </c>
      <c r="F3313" t="s">
        <v>5077</v>
      </c>
      <c r="G3313" t="s">
        <v>5045</v>
      </c>
      <c r="H3313" t="s">
        <v>1264</v>
      </c>
      <c r="J3313" t="s">
        <v>3693</v>
      </c>
      <c r="K3313">
        <v>196.5</v>
      </c>
    </row>
    <row r="3314" spans="1:11" x14ac:dyDescent="0.35">
      <c r="A3314" t="s">
        <v>3694</v>
      </c>
      <c r="B3314" s="1">
        <v>0</v>
      </c>
      <c r="C3314" t="s">
        <v>1020</v>
      </c>
      <c r="D3314" t="s">
        <v>5464</v>
      </c>
      <c r="E3314" t="s">
        <v>5055</v>
      </c>
      <c r="F3314" t="s">
        <v>5077</v>
      </c>
      <c r="G3314" t="s">
        <v>5092</v>
      </c>
      <c r="H3314" t="s">
        <v>691</v>
      </c>
      <c r="J3314" t="s">
        <v>3694</v>
      </c>
      <c r="K3314">
        <v>191.4</v>
      </c>
    </row>
    <row r="3315" spans="1:11" x14ac:dyDescent="0.35">
      <c r="A3315" t="s">
        <v>3695</v>
      </c>
      <c r="B3315" s="1">
        <v>0</v>
      </c>
      <c r="C3315" t="s">
        <v>1003</v>
      </c>
      <c r="D3315" t="s">
        <v>5106</v>
      </c>
      <c r="E3315" t="s">
        <v>5061</v>
      </c>
      <c r="F3315" t="s">
        <v>5077</v>
      </c>
      <c r="G3315" t="s">
        <v>5116</v>
      </c>
      <c r="H3315" t="s">
        <v>895</v>
      </c>
      <c r="J3315" t="s">
        <v>3695</v>
      </c>
      <c r="K3315">
        <v>183.2</v>
      </c>
    </row>
    <row r="3316" spans="1:11" x14ac:dyDescent="0.35">
      <c r="A3316" t="s">
        <v>3696</v>
      </c>
      <c r="B3316" s="1">
        <v>0</v>
      </c>
      <c r="C3316" t="s">
        <v>5561</v>
      </c>
      <c r="D3316" t="s">
        <v>5187</v>
      </c>
      <c r="E3316" t="s">
        <v>5052</v>
      </c>
      <c r="F3316" t="s">
        <v>5077</v>
      </c>
      <c r="G3316" t="s">
        <v>5116</v>
      </c>
      <c r="H3316" t="s">
        <v>163</v>
      </c>
      <c r="J3316" t="s">
        <v>3696</v>
      </c>
      <c r="K3316">
        <v>176.7</v>
      </c>
    </row>
    <row r="3317" spans="1:11" x14ac:dyDescent="0.35">
      <c r="A3317" t="s">
        <v>3697</v>
      </c>
      <c r="B3317" s="1">
        <v>0</v>
      </c>
      <c r="C3317" t="s">
        <v>5461</v>
      </c>
      <c r="D3317" t="s">
        <v>5114</v>
      </c>
      <c r="E3317" t="s">
        <v>5301</v>
      </c>
      <c r="F3317" t="s">
        <v>5077</v>
      </c>
      <c r="G3317" t="s">
        <v>5110</v>
      </c>
      <c r="H3317" t="s">
        <v>721</v>
      </c>
      <c r="J3317" t="s">
        <v>3697</v>
      </c>
      <c r="K3317">
        <v>177.5</v>
      </c>
    </row>
    <row r="3318" spans="1:11" x14ac:dyDescent="0.35">
      <c r="A3318" t="s">
        <v>3698</v>
      </c>
      <c r="B3318" s="1">
        <v>0</v>
      </c>
      <c r="C3318" t="s">
        <v>395</v>
      </c>
      <c r="D3318" t="s">
        <v>5154</v>
      </c>
      <c r="E3318" t="s">
        <v>5185</v>
      </c>
      <c r="F3318" t="s">
        <v>5077</v>
      </c>
      <c r="G3318" t="s">
        <v>5092</v>
      </c>
      <c r="H3318" t="s">
        <v>1681</v>
      </c>
      <c r="J3318" t="s">
        <v>3698</v>
      </c>
      <c r="K3318">
        <v>186.4</v>
      </c>
    </row>
    <row r="3319" spans="1:11" x14ac:dyDescent="0.35">
      <c r="A3319" t="s">
        <v>3699</v>
      </c>
      <c r="B3319" s="1">
        <v>0</v>
      </c>
      <c r="C3319" t="s">
        <v>4381</v>
      </c>
      <c r="D3319" t="s">
        <v>5148</v>
      </c>
      <c r="E3319" t="s">
        <v>5223</v>
      </c>
      <c r="F3319" t="s">
        <v>5077</v>
      </c>
      <c r="G3319" t="s">
        <v>5077</v>
      </c>
      <c r="H3319" t="s">
        <v>4012</v>
      </c>
      <c r="J3319" t="s">
        <v>3699</v>
      </c>
      <c r="K3319">
        <v>201.6</v>
      </c>
    </row>
    <row r="3320" spans="1:11" x14ac:dyDescent="0.35">
      <c r="A3320" t="s">
        <v>3700</v>
      </c>
      <c r="B3320" s="1">
        <v>0</v>
      </c>
      <c r="C3320" t="s">
        <v>448</v>
      </c>
      <c r="D3320" t="s">
        <v>5370</v>
      </c>
      <c r="E3320" t="s">
        <v>5175</v>
      </c>
      <c r="F3320" t="s">
        <v>5077</v>
      </c>
      <c r="G3320" t="s">
        <v>5077</v>
      </c>
      <c r="H3320" t="s">
        <v>4755</v>
      </c>
      <c r="J3320" t="s">
        <v>3700</v>
      </c>
      <c r="K3320">
        <v>206.3</v>
      </c>
    </row>
    <row r="3321" spans="1:11" x14ac:dyDescent="0.35">
      <c r="A3321" t="s">
        <v>3701</v>
      </c>
      <c r="B3321" s="1">
        <v>0</v>
      </c>
      <c r="C3321" t="s">
        <v>1057</v>
      </c>
      <c r="D3321" t="s">
        <v>5206</v>
      </c>
      <c r="E3321" t="s">
        <v>5170</v>
      </c>
      <c r="F3321" t="s">
        <v>5050</v>
      </c>
      <c r="G3321" t="s">
        <v>5164</v>
      </c>
      <c r="H3321" t="s">
        <v>712</v>
      </c>
      <c r="J3321" t="s">
        <v>3701</v>
      </c>
      <c r="K3321">
        <v>190.3</v>
      </c>
    </row>
    <row r="3322" spans="1:11" x14ac:dyDescent="0.35">
      <c r="A3322" t="s">
        <v>3702</v>
      </c>
      <c r="B3322" s="1">
        <v>0</v>
      </c>
      <c r="C3322" t="s">
        <v>1046</v>
      </c>
      <c r="D3322" t="s">
        <v>5094</v>
      </c>
      <c r="E3322" t="s">
        <v>5173</v>
      </c>
      <c r="F3322" t="s">
        <v>5050</v>
      </c>
      <c r="G3322" t="s">
        <v>5164</v>
      </c>
      <c r="H3322" t="s">
        <v>2745</v>
      </c>
      <c r="J3322" t="s">
        <v>3702</v>
      </c>
      <c r="K3322">
        <v>193.4</v>
      </c>
    </row>
    <row r="3323" spans="1:11" x14ac:dyDescent="0.35">
      <c r="A3323" t="s">
        <v>3703</v>
      </c>
      <c r="B3323" s="1">
        <v>0</v>
      </c>
      <c r="C3323" t="s">
        <v>1915</v>
      </c>
      <c r="D3323" t="s">
        <v>5487</v>
      </c>
      <c r="E3323" t="s">
        <v>5160</v>
      </c>
      <c r="F3323" t="s">
        <v>5050</v>
      </c>
      <c r="G3323" t="s">
        <v>5156</v>
      </c>
      <c r="H3323" t="s">
        <v>214</v>
      </c>
      <c r="J3323" t="s">
        <v>3703</v>
      </c>
      <c r="K3323">
        <v>198.1</v>
      </c>
    </row>
    <row r="3324" spans="1:11" x14ac:dyDescent="0.35">
      <c r="A3324" t="s">
        <v>3704</v>
      </c>
      <c r="B3324" s="1">
        <v>0</v>
      </c>
      <c r="C3324" t="s">
        <v>2918</v>
      </c>
      <c r="D3324" t="s">
        <v>5392</v>
      </c>
      <c r="E3324" t="s">
        <v>5306</v>
      </c>
      <c r="F3324" t="s">
        <v>5050</v>
      </c>
      <c r="G3324" t="s">
        <v>5168</v>
      </c>
      <c r="H3324" t="s">
        <v>778</v>
      </c>
      <c r="J3324" t="s">
        <v>3704</v>
      </c>
      <c r="K3324">
        <v>195.8</v>
      </c>
    </row>
    <row r="3325" spans="1:11" x14ac:dyDescent="0.35">
      <c r="A3325" t="s">
        <v>3705</v>
      </c>
      <c r="B3325" s="1">
        <v>0</v>
      </c>
      <c r="C3325" t="s">
        <v>409</v>
      </c>
      <c r="D3325" t="s">
        <v>5540</v>
      </c>
      <c r="E3325" t="s">
        <v>5428</v>
      </c>
      <c r="F3325" t="s">
        <v>5050</v>
      </c>
      <c r="G3325" t="s">
        <v>5164</v>
      </c>
      <c r="H3325" t="s">
        <v>85</v>
      </c>
      <c r="J3325" t="s">
        <v>3705</v>
      </c>
      <c r="K3325">
        <v>187.3</v>
      </c>
    </row>
    <row r="3326" spans="1:11" x14ac:dyDescent="0.35">
      <c r="A3326" t="s">
        <v>3706</v>
      </c>
      <c r="B3326" s="1">
        <v>0</v>
      </c>
      <c r="C3326" t="s">
        <v>5628</v>
      </c>
      <c r="D3326" t="s">
        <v>5443</v>
      </c>
      <c r="E3326" t="s">
        <v>5313</v>
      </c>
      <c r="F3326" t="s">
        <v>5050</v>
      </c>
      <c r="G3326" t="s">
        <v>5177</v>
      </c>
      <c r="H3326" t="s">
        <v>2525</v>
      </c>
      <c r="J3326" t="s">
        <v>3706</v>
      </c>
      <c r="K3326">
        <v>173.4</v>
      </c>
    </row>
    <row r="3327" spans="1:11" x14ac:dyDescent="0.35">
      <c r="A3327" t="s">
        <v>3707</v>
      </c>
      <c r="B3327" s="1">
        <v>0</v>
      </c>
      <c r="C3327" t="s">
        <v>5274</v>
      </c>
      <c r="D3327" t="s">
        <v>5571</v>
      </c>
      <c r="E3327" t="s">
        <v>5283</v>
      </c>
      <c r="F3327" t="s">
        <v>5050</v>
      </c>
      <c r="G3327" t="s">
        <v>5195</v>
      </c>
      <c r="H3327" t="s">
        <v>879</v>
      </c>
      <c r="J3327" t="s">
        <v>3707</v>
      </c>
      <c r="K3327">
        <v>162.6</v>
      </c>
    </row>
    <row r="3328" spans="1:11" x14ac:dyDescent="0.35">
      <c r="A3328" t="s">
        <v>3709</v>
      </c>
      <c r="B3328" s="1">
        <v>0</v>
      </c>
      <c r="C3328" t="s">
        <v>5535</v>
      </c>
      <c r="D3328" t="s">
        <v>5200</v>
      </c>
      <c r="E3328" t="s">
        <v>5057</v>
      </c>
      <c r="F3328" t="s">
        <v>5050</v>
      </c>
      <c r="G3328" t="s">
        <v>5186</v>
      </c>
      <c r="H3328" t="s">
        <v>559</v>
      </c>
      <c r="J3328" t="s">
        <v>3709</v>
      </c>
      <c r="K3328">
        <v>161.9</v>
      </c>
    </row>
    <row r="3329" spans="1:11" x14ac:dyDescent="0.35">
      <c r="A3329" t="s">
        <v>3710</v>
      </c>
      <c r="B3329" s="1">
        <v>0</v>
      </c>
      <c r="C3329" t="s">
        <v>5633</v>
      </c>
      <c r="D3329" t="s">
        <v>5458</v>
      </c>
      <c r="E3329" t="s">
        <v>5185</v>
      </c>
      <c r="F3329" t="s">
        <v>5050</v>
      </c>
      <c r="G3329" t="s">
        <v>5186</v>
      </c>
      <c r="H3329" t="s">
        <v>2795</v>
      </c>
      <c r="J3329" t="s">
        <v>3710</v>
      </c>
      <c r="K3329">
        <v>168.9</v>
      </c>
    </row>
    <row r="3330" spans="1:11" x14ac:dyDescent="0.35">
      <c r="A3330" t="s">
        <v>3711</v>
      </c>
      <c r="B3330" s="1">
        <v>0</v>
      </c>
      <c r="C3330" t="s">
        <v>372</v>
      </c>
      <c r="D3330" t="s">
        <v>5449</v>
      </c>
      <c r="E3330" t="s">
        <v>5524</v>
      </c>
      <c r="F3330" t="s">
        <v>5050</v>
      </c>
      <c r="G3330" t="s">
        <v>5195</v>
      </c>
      <c r="H3330" t="s">
        <v>958</v>
      </c>
      <c r="J3330" t="s">
        <v>3711</v>
      </c>
      <c r="K3330">
        <v>174.9</v>
      </c>
    </row>
    <row r="3331" spans="1:11" x14ac:dyDescent="0.35">
      <c r="A3331" t="s">
        <v>3712</v>
      </c>
      <c r="B3331" s="1">
        <v>0</v>
      </c>
      <c r="C3331" t="s">
        <v>5407</v>
      </c>
      <c r="D3331" t="s">
        <v>5256</v>
      </c>
      <c r="E3331" t="s">
        <v>5070</v>
      </c>
      <c r="F3331" t="s">
        <v>5050</v>
      </c>
      <c r="G3331" t="s">
        <v>5184</v>
      </c>
      <c r="H3331" t="s">
        <v>83</v>
      </c>
      <c r="J3331" t="s">
        <v>3712</v>
      </c>
      <c r="K3331">
        <v>174.3</v>
      </c>
    </row>
    <row r="3332" spans="1:11" x14ac:dyDescent="0.35">
      <c r="A3332" t="s">
        <v>3713</v>
      </c>
      <c r="B3332" s="1">
        <v>0</v>
      </c>
      <c r="C3332" t="s">
        <v>5398</v>
      </c>
      <c r="D3332" t="s">
        <v>5451</v>
      </c>
      <c r="E3332" t="s">
        <v>5524</v>
      </c>
      <c r="F3332" t="s">
        <v>5050</v>
      </c>
      <c r="G3332" t="s">
        <v>5195</v>
      </c>
      <c r="H3332" t="s">
        <v>1235</v>
      </c>
      <c r="J3332" t="s">
        <v>3713</v>
      </c>
      <c r="K3332">
        <v>172</v>
      </c>
    </row>
    <row r="3333" spans="1:11" x14ac:dyDescent="0.35">
      <c r="A3333" t="s">
        <v>3714</v>
      </c>
      <c r="B3333" s="1">
        <v>0</v>
      </c>
      <c r="C3333" t="s">
        <v>5640</v>
      </c>
      <c r="D3333" t="s">
        <v>5449</v>
      </c>
      <c r="E3333" t="s">
        <v>5328</v>
      </c>
      <c r="F3333" t="s">
        <v>5050</v>
      </c>
      <c r="G3333" t="s">
        <v>5180</v>
      </c>
      <c r="H3333" t="s">
        <v>811</v>
      </c>
      <c r="J3333" t="s">
        <v>3714</v>
      </c>
      <c r="K3333">
        <v>173.6</v>
      </c>
    </row>
    <row r="3334" spans="1:11" x14ac:dyDescent="0.35">
      <c r="A3334" t="s">
        <v>3715</v>
      </c>
      <c r="B3334" s="1">
        <v>0</v>
      </c>
      <c r="C3334" t="s">
        <v>430</v>
      </c>
      <c r="D3334" t="s">
        <v>5241</v>
      </c>
      <c r="E3334" t="s">
        <v>5061</v>
      </c>
      <c r="F3334" t="s">
        <v>5050</v>
      </c>
      <c r="G3334" t="s">
        <v>5164</v>
      </c>
      <c r="H3334" t="s">
        <v>3088</v>
      </c>
      <c r="J3334" t="s">
        <v>3715</v>
      </c>
      <c r="K3334">
        <v>178.7</v>
      </c>
    </row>
    <row r="3335" spans="1:11" x14ac:dyDescent="0.35">
      <c r="A3335" t="s">
        <v>3716</v>
      </c>
      <c r="B3335" s="1">
        <v>0</v>
      </c>
      <c r="C3335" t="s">
        <v>449</v>
      </c>
      <c r="D3335" t="s">
        <v>5254</v>
      </c>
      <c r="E3335" t="s">
        <v>5313</v>
      </c>
      <c r="F3335" t="s">
        <v>5050</v>
      </c>
      <c r="G3335" t="s">
        <v>5153</v>
      </c>
      <c r="H3335" t="s">
        <v>2117</v>
      </c>
      <c r="J3335" t="s">
        <v>3716</v>
      </c>
      <c r="K3335">
        <v>189.8</v>
      </c>
    </row>
    <row r="3336" spans="1:11" x14ac:dyDescent="0.35">
      <c r="A3336" t="s">
        <v>3717</v>
      </c>
      <c r="B3336" s="1">
        <v>0</v>
      </c>
      <c r="C3336" t="s">
        <v>2566</v>
      </c>
      <c r="D3336" t="s">
        <v>5528</v>
      </c>
      <c r="E3336" t="s">
        <v>5431</v>
      </c>
      <c r="F3336" t="s">
        <v>5050</v>
      </c>
      <c r="G3336" t="s">
        <v>5315</v>
      </c>
      <c r="H3336" t="s">
        <v>244</v>
      </c>
      <c r="J3336" t="s">
        <v>3717</v>
      </c>
      <c r="K3336">
        <v>204.9</v>
      </c>
    </row>
    <row r="3337" spans="1:11" x14ac:dyDescent="0.35">
      <c r="A3337" t="s">
        <v>3718</v>
      </c>
      <c r="B3337" s="1">
        <v>0</v>
      </c>
      <c r="C3337" t="s">
        <v>488</v>
      </c>
      <c r="D3337" t="s">
        <v>5370</v>
      </c>
      <c r="E3337" t="s">
        <v>5076</v>
      </c>
      <c r="F3337" t="s">
        <v>5050</v>
      </c>
      <c r="G3337" t="s">
        <v>5224</v>
      </c>
      <c r="H3337" t="s">
        <v>1722</v>
      </c>
      <c r="J3337" t="s">
        <v>3718</v>
      </c>
      <c r="K3337">
        <v>222.3</v>
      </c>
    </row>
    <row r="3338" spans="1:11" x14ac:dyDescent="0.35">
      <c r="A3338" t="s">
        <v>3719</v>
      </c>
      <c r="B3338" s="1">
        <v>0</v>
      </c>
      <c r="C3338" t="s">
        <v>2875</v>
      </c>
      <c r="D3338" t="s">
        <v>5080</v>
      </c>
      <c r="E3338" t="s">
        <v>5219</v>
      </c>
      <c r="F3338" t="s">
        <v>5240</v>
      </c>
      <c r="G3338" t="s">
        <v>5227</v>
      </c>
      <c r="H3338" t="s">
        <v>733</v>
      </c>
      <c r="J3338" t="s">
        <v>3719</v>
      </c>
      <c r="K3338">
        <v>232.2</v>
      </c>
    </row>
    <row r="3339" spans="1:11" x14ac:dyDescent="0.35">
      <c r="A3339" t="s">
        <v>3720</v>
      </c>
      <c r="B3339" s="1">
        <v>0</v>
      </c>
      <c r="C3339" t="s">
        <v>306</v>
      </c>
      <c r="D3339" t="s">
        <v>5393</v>
      </c>
      <c r="E3339" t="s">
        <v>5066</v>
      </c>
      <c r="F3339" t="s">
        <v>5240</v>
      </c>
      <c r="G3339" t="s">
        <v>5207</v>
      </c>
      <c r="H3339" t="s">
        <v>4487</v>
      </c>
      <c r="J3339" t="s">
        <v>3720</v>
      </c>
      <c r="K3339">
        <v>233.3</v>
      </c>
    </row>
    <row r="3340" spans="1:11" x14ac:dyDescent="0.35">
      <c r="A3340" t="s">
        <v>3721</v>
      </c>
      <c r="B3340" s="1">
        <v>0</v>
      </c>
      <c r="C3340" t="s">
        <v>4903</v>
      </c>
      <c r="D3340" t="s">
        <v>5370</v>
      </c>
      <c r="E3340" t="s">
        <v>5197</v>
      </c>
      <c r="F3340" t="s">
        <v>5240</v>
      </c>
      <c r="G3340" t="s">
        <v>5288</v>
      </c>
      <c r="H3340" t="s">
        <v>3730</v>
      </c>
      <c r="J3340" t="s">
        <v>3721</v>
      </c>
      <c r="K3340">
        <v>221.1</v>
      </c>
    </row>
    <row r="3341" spans="1:11" x14ac:dyDescent="0.35">
      <c r="A3341" t="s">
        <v>3722</v>
      </c>
      <c r="B3341" s="1">
        <v>0</v>
      </c>
      <c r="C3341" t="s">
        <v>462</v>
      </c>
      <c r="D3341" t="s">
        <v>5148</v>
      </c>
      <c r="E3341" t="s">
        <v>5237</v>
      </c>
      <c r="F3341" t="s">
        <v>5050</v>
      </c>
      <c r="G3341" t="s">
        <v>5315</v>
      </c>
      <c r="H3341" t="s">
        <v>5720</v>
      </c>
      <c r="J3341" t="s">
        <v>3722</v>
      </c>
      <c r="K3341">
        <v>207.7</v>
      </c>
    </row>
    <row r="3342" spans="1:11" x14ac:dyDescent="0.35">
      <c r="A3342" t="s">
        <v>3723</v>
      </c>
      <c r="B3342" s="1">
        <v>0</v>
      </c>
      <c r="C3342" t="s">
        <v>344</v>
      </c>
      <c r="D3342" t="s">
        <v>5596</v>
      </c>
      <c r="E3342" t="s">
        <v>5237</v>
      </c>
      <c r="F3342" t="s">
        <v>5050</v>
      </c>
      <c r="G3342" t="s">
        <v>5397</v>
      </c>
      <c r="H3342" t="s">
        <v>220</v>
      </c>
      <c r="J3342" t="s">
        <v>3723</v>
      </c>
      <c r="K3342">
        <v>201.9</v>
      </c>
    </row>
    <row r="3343" spans="1:11" x14ac:dyDescent="0.35">
      <c r="A3343" t="s">
        <v>3724</v>
      </c>
      <c r="B3343" s="1">
        <v>0</v>
      </c>
      <c r="C3343" t="s">
        <v>329</v>
      </c>
      <c r="D3343" t="s">
        <v>5101</v>
      </c>
      <c r="E3343" t="s">
        <v>5306</v>
      </c>
      <c r="F3343" t="s">
        <v>5050</v>
      </c>
      <c r="G3343" t="s">
        <v>5397</v>
      </c>
      <c r="H3343" t="s">
        <v>5713</v>
      </c>
      <c r="J3343" t="s">
        <v>3724</v>
      </c>
      <c r="K3343">
        <v>207.6</v>
      </c>
    </row>
    <row r="3344" spans="1:11" x14ac:dyDescent="0.35">
      <c r="A3344" t="s">
        <v>3725</v>
      </c>
      <c r="B3344" s="1">
        <v>0</v>
      </c>
      <c r="C3344" t="s">
        <v>2607</v>
      </c>
      <c r="D3344" t="s">
        <v>5138</v>
      </c>
      <c r="E3344" t="s">
        <v>5208</v>
      </c>
      <c r="F3344" t="s">
        <v>5050</v>
      </c>
      <c r="G3344" t="s">
        <v>5400</v>
      </c>
      <c r="H3344" t="s">
        <v>231</v>
      </c>
      <c r="J3344" t="s">
        <v>3725</v>
      </c>
      <c r="K3344">
        <v>215.5</v>
      </c>
    </row>
    <row r="3345" spans="1:11" x14ac:dyDescent="0.35">
      <c r="A3345" t="s">
        <v>3726</v>
      </c>
      <c r="B3345" s="1">
        <v>0</v>
      </c>
      <c r="C3345" t="s">
        <v>1866</v>
      </c>
      <c r="D3345" t="s">
        <v>5119</v>
      </c>
      <c r="E3345" t="s">
        <v>5236</v>
      </c>
      <c r="F3345" t="s">
        <v>5240</v>
      </c>
      <c r="G3345" t="s">
        <v>5400</v>
      </c>
      <c r="H3345" t="s">
        <v>2346</v>
      </c>
      <c r="J3345" t="s">
        <v>3726</v>
      </c>
      <c r="K3345">
        <v>213.9</v>
      </c>
    </row>
    <row r="3346" spans="1:11" x14ac:dyDescent="0.35">
      <c r="A3346" t="s">
        <v>3727</v>
      </c>
      <c r="B3346" s="1">
        <v>0</v>
      </c>
      <c r="C3346" t="s">
        <v>984</v>
      </c>
      <c r="D3346" t="s">
        <v>5238</v>
      </c>
      <c r="E3346" t="s">
        <v>5173</v>
      </c>
      <c r="F3346" t="s">
        <v>5050</v>
      </c>
      <c r="G3346" t="s">
        <v>5144</v>
      </c>
      <c r="H3346" t="s">
        <v>2398</v>
      </c>
      <c r="J3346" t="s">
        <v>3727</v>
      </c>
      <c r="K3346">
        <v>204.3</v>
      </c>
    </row>
    <row r="3347" spans="1:11" x14ac:dyDescent="0.35">
      <c r="A3347" t="s">
        <v>3728</v>
      </c>
      <c r="B3347" s="1">
        <v>0</v>
      </c>
      <c r="C3347" t="s">
        <v>439</v>
      </c>
      <c r="D3347" t="s">
        <v>5436</v>
      </c>
      <c r="E3347" t="s">
        <v>5170</v>
      </c>
      <c r="F3347" t="s">
        <v>5050</v>
      </c>
      <c r="G3347" t="s">
        <v>5432</v>
      </c>
      <c r="H3347" t="s">
        <v>2708</v>
      </c>
      <c r="J3347" t="s">
        <v>3728</v>
      </c>
      <c r="K3347">
        <v>194</v>
      </c>
    </row>
    <row r="3348" spans="1:11" x14ac:dyDescent="0.35">
      <c r="A3348" s="2">
        <v>43160</v>
      </c>
      <c r="B3348" s="1">
        <v>0</v>
      </c>
      <c r="C3348" t="s">
        <v>2601</v>
      </c>
      <c r="D3348" t="s">
        <v>5538</v>
      </c>
      <c r="E3348" t="s">
        <v>5431</v>
      </c>
      <c r="F3348" t="s">
        <v>5050</v>
      </c>
      <c r="G3348" t="s">
        <v>5411</v>
      </c>
      <c r="H3348" t="s">
        <v>1329</v>
      </c>
      <c r="J3348" s="2">
        <v>43160</v>
      </c>
      <c r="K3348">
        <v>188.5</v>
      </c>
    </row>
    <row r="3349" spans="1:11" x14ac:dyDescent="0.35">
      <c r="A3349" s="2">
        <v>43161</v>
      </c>
      <c r="B3349" s="1">
        <v>0</v>
      </c>
      <c r="C3349" t="s">
        <v>1914</v>
      </c>
      <c r="D3349" t="s">
        <v>5193</v>
      </c>
      <c r="E3349" t="s">
        <v>5055</v>
      </c>
      <c r="F3349" t="s">
        <v>5078</v>
      </c>
      <c r="G3349" t="s">
        <v>5054</v>
      </c>
      <c r="H3349" t="s">
        <v>199</v>
      </c>
      <c r="J3349" s="2">
        <v>43161</v>
      </c>
      <c r="K3349">
        <v>194.5</v>
      </c>
    </row>
    <row r="3350" spans="1:11" x14ac:dyDescent="0.35">
      <c r="A3350" s="2">
        <v>43162</v>
      </c>
      <c r="B3350" s="1">
        <v>0</v>
      </c>
      <c r="C3350" t="s">
        <v>1041</v>
      </c>
      <c r="D3350" t="s">
        <v>5238</v>
      </c>
      <c r="E3350" t="s">
        <v>5310</v>
      </c>
      <c r="F3350" t="s">
        <v>5078</v>
      </c>
      <c r="G3350" t="s">
        <v>5054</v>
      </c>
      <c r="H3350" t="s">
        <v>1277</v>
      </c>
      <c r="J3350" s="2">
        <v>43162</v>
      </c>
      <c r="K3350">
        <v>200.3</v>
      </c>
    </row>
    <row r="3351" spans="1:11" x14ac:dyDescent="0.35">
      <c r="A3351" s="2">
        <v>43163</v>
      </c>
      <c r="B3351" s="1">
        <v>0</v>
      </c>
      <c r="C3351" t="s">
        <v>465</v>
      </c>
      <c r="D3351" t="s">
        <v>5530</v>
      </c>
      <c r="E3351" t="s">
        <v>5428</v>
      </c>
      <c r="F3351" t="s">
        <v>5215</v>
      </c>
      <c r="G3351" t="s">
        <v>5058</v>
      </c>
      <c r="H3351" t="s">
        <v>1399</v>
      </c>
      <c r="J3351" s="2">
        <v>43163</v>
      </c>
      <c r="K3351">
        <v>209.7</v>
      </c>
    </row>
    <row r="3352" spans="1:11" x14ac:dyDescent="0.35">
      <c r="A3352" s="2">
        <v>43164</v>
      </c>
      <c r="B3352" s="1">
        <v>0</v>
      </c>
      <c r="C3352" t="s">
        <v>1532</v>
      </c>
      <c r="D3352" t="s">
        <v>5452</v>
      </c>
      <c r="E3352" t="s">
        <v>5323</v>
      </c>
      <c r="F3352" t="s">
        <v>5215</v>
      </c>
      <c r="G3352" t="s">
        <v>5412</v>
      </c>
      <c r="H3352" t="s">
        <v>2346</v>
      </c>
      <c r="J3352" s="2">
        <v>43164</v>
      </c>
      <c r="K3352">
        <v>213.9</v>
      </c>
    </row>
    <row r="3353" spans="1:11" x14ac:dyDescent="0.35">
      <c r="A3353" s="2">
        <v>43165</v>
      </c>
      <c r="B3353" s="1">
        <v>0</v>
      </c>
      <c r="C3353" t="s">
        <v>465</v>
      </c>
      <c r="D3353" t="s">
        <v>5392</v>
      </c>
      <c r="E3353" t="s">
        <v>5286</v>
      </c>
      <c r="F3353" t="s">
        <v>5215</v>
      </c>
      <c r="G3353" t="s">
        <v>5058</v>
      </c>
      <c r="H3353" t="s">
        <v>2723</v>
      </c>
      <c r="J3353" s="2">
        <v>43165</v>
      </c>
      <c r="K3353">
        <v>207.9</v>
      </c>
    </row>
    <row r="3354" spans="1:11" x14ac:dyDescent="0.35">
      <c r="A3354" s="2">
        <v>43166</v>
      </c>
      <c r="B3354" s="1">
        <v>0</v>
      </c>
      <c r="C3354" t="s">
        <v>322</v>
      </c>
      <c r="D3354" t="s">
        <v>5454</v>
      </c>
      <c r="E3354" t="s">
        <v>5073</v>
      </c>
      <c r="F3354" t="s">
        <v>5215</v>
      </c>
      <c r="G3354" t="s">
        <v>5058</v>
      </c>
      <c r="H3354" t="s">
        <v>246</v>
      </c>
      <c r="J3354" s="2">
        <v>43166</v>
      </c>
      <c r="K3354">
        <v>201.2</v>
      </c>
    </row>
    <row r="3355" spans="1:11" x14ac:dyDescent="0.35">
      <c r="A3355" s="2">
        <v>43167</v>
      </c>
      <c r="B3355" s="1">
        <v>0</v>
      </c>
      <c r="C3355" t="s">
        <v>447</v>
      </c>
      <c r="D3355" t="s">
        <v>5539</v>
      </c>
      <c r="E3355" t="s">
        <v>5073</v>
      </c>
      <c r="F3355" t="s">
        <v>5078</v>
      </c>
      <c r="G3355" t="s">
        <v>5179</v>
      </c>
      <c r="H3355" t="s">
        <v>688</v>
      </c>
      <c r="J3355" s="2">
        <v>43167</v>
      </c>
      <c r="K3355">
        <v>197.6</v>
      </c>
    </row>
    <row r="3356" spans="1:11" x14ac:dyDescent="0.35">
      <c r="A3356" s="2">
        <v>43168</v>
      </c>
      <c r="B3356" s="1">
        <v>0</v>
      </c>
      <c r="C3356" t="s">
        <v>455</v>
      </c>
      <c r="D3356" t="s">
        <v>5606</v>
      </c>
      <c r="E3356" t="s">
        <v>5310</v>
      </c>
      <c r="F3356" t="s">
        <v>5078</v>
      </c>
      <c r="G3356" t="s">
        <v>5179</v>
      </c>
      <c r="H3356" t="s">
        <v>243</v>
      </c>
      <c r="J3356" s="2">
        <v>43168</v>
      </c>
      <c r="K3356">
        <v>198.3</v>
      </c>
    </row>
    <row r="3357" spans="1:11" x14ac:dyDescent="0.35">
      <c r="A3357" s="2">
        <v>43169</v>
      </c>
      <c r="B3357" s="1">
        <v>0</v>
      </c>
      <c r="C3357" t="s">
        <v>1050</v>
      </c>
      <c r="D3357" t="s">
        <v>5225</v>
      </c>
      <c r="E3357" t="s">
        <v>5422</v>
      </c>
      <c r="F3357" t="s">
        <v>5215</v>
      </c>
      <c r="G3357" t="s">
        <v>5412</v>
      </c>
      <c r="H3357" t="s">
        <v>5691</v>
      </c>
      <c r="J3357" s="2">
        <v>43169</v>
      </c>
      <c r="K3357">
        <v>202.2</v>
      </c>
    </row>
    <row r="3358" spans="1:11" x14ac:dyDescent="0.35">
      <c r="A3358" s="2">
        <v>43170</v>
      </c>
      <c r="B3358" s="1">
        <v>0</v>
      </c>
      <c r="C3358" t="s">
        <v>336</v>
      </c>
      <c r="D3358" t="s">
        <v>5492</v>
      </c>
      <c r="E3358" t="s">
        <v>5171</v>
      </c>
      <c r="F3358" t="s">
        <v>5215</v>
      </c>
      <c r="G3358" t="s">
        <v>5065</v>
      </c>
      <c r="H3358" t="s">
        <v>727</v>
      </c>
      <c r="J3358" s="2">
        <v>43170</v>
      </c>
      <c r="K3358">
        <v>206.9</v>
      </c>
    </row>
    <row r="3359" spans="1:11" x14ac:dyDescent="0.35">
      <c r="A3359" s="2">
        <v>43171</v>
      </c>
      <c r="B3359" s="1">
        <v>0</v>
      </c>
      <c r="C3359" t="s">
        <v>981</v>
      </c>
      <c r="D3359" t="s">
        <v>5252</v>
      </c>
      <c r="E3359" t="s">
        <v>5420</v>
      </c>
      <c r="F3359" t="s">
        <v>5215</v>
      </c>
      <c r="G3359" t="s">
        <v>5065</v>
      </c>
      <c r="H3359" t="s">
        <v>3753</v>
      </c>
      <c r="J3359" s="2">
        <v>43171</v>
      </c>
      <c r="K3359">
        <v>205.5</v>
      </c>
    </row>
    <row r="3360" spans="1:11" x14ac:dyDescent="0.35">
      <c r="A3360" s="2">
        <v>43172</v>
      </c>
      <c r="B3360" s="1">
        <v>0</v>
      </c>
      <c r="C3360" t="s">
        <v>479</v>
      </c>
      <c r="D3360" t="s">
        <v>5106</v>
      </c>
      <c r="E3360" t="s">
        <v>5057</v>
      </c>
      <c r="F3360" t="s">
        <v>5078</v>
      </c>
      <c r="G3360" t="s">
        <v>5058</v>
      </c>
      <c r="H3360" t="s">
        <v>779</v>
      </c>
      <c r="J3360" s="2">
        <v>43172</v>
      </c>
      <c r="K3360">
        <v>195.2</v>
      </c>
    </row>
    <row r="3361" spans="1:11" x14ac:dyDescent="0.35">
      <c r="A3361" s="2">
        <v>43173</v>
      </c>
      <c r="B3361" s="1">
        <v>0</v>
      </c>
      <c r="C3361" t="s">
        <v>3489</v>
      </c>
      <c r="D3361" t="s">
        <v>5456</v>
      </c>
      <c r="E3361" t="s">
        <v>5299</v>
      </c>
      <c r="F3361" t="s">
        <v>5078</v>
      </c>
      <c r="G3361" t="s">
        <v>5050</v>
      </c>
      <c r="H3361" t="s">
        <v>180</v>
      </c>
      <c r="J3361" s="2">
        <v>43173</v>
      </c>
      <c r="K3361">
        <v>183.9</v>
      </c>
    </row>
    <row r="3362" spans="1:11" x14ac:dyDescent="0.35">
      <c r="A3362" s="2">
        <v>43174</v>
      </c>
      <c r="B3362" s="1">
        <v>0</v>
      </c>
      <c r="C3362" t="s">
        <v>5644</v>
      </c>
      <c r="D3362" t="s">
        <v>5471</v>
      </c>
      <c r="E3362" t="s">
        <v>5319</v>
      </c>
      <c r="F3362" t="s">
        <v>5078</v>
      </c>
      <c r="G3362" t="s">
        <v>5230</v>
      </c>
      <c r="H3362" t="s">
        <v>179</v>
      </c>
      <c r="J3362" s="2">
        <v>43174</v>
      </c>
      <c r="K3362">
        <v>175.3</v>
      </c>
    </row>
    <row r="3363" spans="1:11" x14ac:dyDescent="0.35">
      <c r="A3363" s="2">
        <v>43175</v>
      </c>
      <c r="B3363" s="1">
        <v>0</v>
      </c>
      <c r="C3363" t="s">
        <v>5614</v>
      </c>
      <c r="D3363" t="s">
        <v>5137</v>
      </c>
      <c r="E3363" t="s">
        <v>5568</v>
      </c>
      <c r="F3363" t="s">
        <v>5078</v>
      </c>
      <c r="G3363" t="s">
        <v>5222</v>
      </c>
      <c r="H3363" t="s">
        <v>2222</v>
      </c>
      <c r="J3363" s="2">
        <v>43175</v>
      </c>
      <c r="K3363">
        <v>173</v>
      </c>
    </row>
    <row r="3364" spans="1:11" x14ac:dyDescent="0.35">
      <c r="A3364" s="2">
        <v>43176</v>
      </c>
      <c r="B3364" s="1">
        <v>0</v>
      </c>
      <c r="C3364" t="s">
        <v>1005</v>
      </c>
      <c r="D3364" t="s">
        <v>5462</v>
      </c>
      <c r="E3364" t="s">
        <v>5599</v>
      </c>
      <c r="F3364" t="s">
        <v>5078</v>
      </c>
      <c r="G3364" t="s">
        <v>5046</v>
      </c>
      <c r="H3364" t="s">
        <v>183</v>
      </c>
      <c r="J3364" s="2">
        <v>43176</v>
      </c>
      <c r="K3364">
        <v>181.4</v>
      </c>
    </row>
    <row r="3365" spans="1:11" x14ac:dyDescent="0.35">
      <c r="A3365" s="2">
        <v>43177</v>
      </c>
      <c r="B3365" s="1">
        <v>0</v>
      </c>
      <c r="C3365" t="s">
        <v>2918</v>
      </c>
      <c r="D3365" t="s">
        <v>5373</v>
      </c>
      <c r="E3365" t="s">
        <v>5310</v>
      </c>
      <c r="F3365" t="s">
        <v>5078</v>
      </c>
      <c r="G3365" t="s">
        <v>5058</v>
      </c>
      <c r="H3365" t="s">
        <v>240</v>
      </c>
      <c r="J3365" s="2">
        <v>43177</v>
      </c>
      <c r="K3365">
        <v>196.8</v>
      </c>
    </row>
    <row r="3366" spans="1:11" x14ac:dyDescent="0.35">
      <c r="A3366" s="2">
        <v>43178</v>
      </c>
      <c r="B3366" s="1">
        <v>0</v>
      </c>
      <c r="C3366" t="s">
        <v>477</v>
      </c>
      <c r="D3366" t="s">
        <v>5384</v>
      </c>
      <c r="E3366" t="s">
        <v>5167</v>
      </c>
      <c r="F3366" t="s">
        <v>5078</v>
      </c>
      <c r="G3366" t="s">
        <v>5065</v>
      </c>
      <c r="H3366" t="s">
        <v>219</v>
      </c>
      <c r="J3366" s="2">
        <v>43178</v>
      </c>
      <c r="K3366">
        <v>209.1</v>
      </c>
    </row>
    <row r="3367" spans="1:11" x14ac:dyDescent="0.35">
      <c r="A3367" s="2">
        <v>43179</v>
      </c>
      <c r="B3367" s="1">
        <v>0</v>
      </c>
      <c r="C3367" t="s">
        <v>1483</v>
      </c>
      <c r="D3367" t="s">
        <v>5630</v>
      </c>
      <c r="E3367" t="s">
        <v>5178</v>
      </c>
      <c r="F3367" t="s">
        <v>5215</v>
      </c>
      <c r="G3367" t="s">
        <v>5183</v>
      </c>
      <c r="H3367" t="s">
        <v>210</v>
      </c>
      <c r="J3367" s="2">
        <v>43179</v>
      </c>
      <c r="K3367">
        <v>217.9</v>
      </c>
    </row>
    <row r="3368" spans="1:11" x14ac:dyDescent="0.35">
      <c r="A3368" s="2">
        <v>43180</v>
      </c>
      <c r="B3368" s="1">
        <v>0</v>
      </c>
      <c r="C3368" t="s">
        <v>2266</v>
      </c>
      <c r="D3368" t="s">
        <v>5128</v>
      </c>
      <c r="E3368" t="s">
        <v>5123</v>
      </c>
      <c r="F3368" t="s">
        <v>5215</v>
      </c>
      <c r="G3368" t="s">
        <v>5183</v>
      </c>
      <c r="H3368" t="s">
        <v>4980</v>
      </c>
      <c r="J3368" s="2">
        <v>43180</v>
      </c>
      <c r="K3368">
        <v>226.7</v>
      </c>
    </row>
    <row r="3369" spans="1:11" x14ac:dyDescent="0.35">
      <c r="A3369" s="2">
        <v>43181</v>
      </c>
      <c r="B3369" s="1">
        <v>0</v>
      </c>
      <c r="C3369" t="s">
        <v>468</v>
      </c>
      <c r="D3369" t="s">
        <v>5616</v>
      </c>
      <c r="E3369" t="s">
        <v>5435</v>
      </c>
      <c r="F3369" t="s">
        <v>5215</v>
      </c>
      <c r="G3369" t="s">
        <v>5065</v>
      </c>
      <c r="H3369" t="s">
        <v>2468</v>
      </c>
      <c r="J3369" s="2">
        <v>43181</v>
      </c>
      <c r="K3369">
        <v>231.1</v>
      </c>
    </row>
    <row r="3370" spans="1:11" x14ac:dyDescent="0.35">
      <c r="A3370" s="2">
        <v>43182</v>
      </c>
      <c r="B3370" s="1">
        <v>0</v>
      </c>
      <c r="C3370" t="s">
        <v>325</v>
      </c>
      <c r="D3370" t="s">
        <v>5593</v>
      </c>
      <c r="E3370" t="s">
        <v>5435</v>
      </c>
      <c r="F3370" t="s">
        <v>5215</v>
      </c>
      <c r="G3370" t="s">
        <v>5179</v>
      </c>
      <c r="H3370" t="s">
        <v>211</v>
      </c>
      <c r="J3370" s="2">
        <v>43182</v>
      </c>
      <c r="K3370">
        <v>225.3</v>
      </c>
    </row>
    <row r="3371" spans="1:11" x14ac:dyDescent="0.35">
      <c r="A3371" s="2">
        <v>43183</v>
      </c>
      <c r="B3371" s="1">
        <v>0</v>
      </c>
      <c r="C3371" t="s">
        <v>1526</v>
      </c>
      <c r="D3371" t="s">
        <v>5495</v>
      </c>
      <c r="E3371" t="s">
        <v>5213</v>
      </c>
      <c r="F3371" t="s">
        <v>5215</v>
      </c>
      <c r="G3371" t="s">
        <v>5050</v>
      </c>
      <c r="H3371" t="s">
        <v>660</v>
      </c>
      <c r="J3371" s="2">
        <v>43183</v>
      </c>
      <c r="K3371">
        <v>216.2</v>
      </c>
    </row>
    <row r="3372" spans="1:11" x14ac:dyDescent="0.35">
      <c r="A3372" s="2">
        <v>43184</v>
      </c>
      <c r="B3372" s="1">
        <v>0</v>
      </c>
      <c r="C3372" t="s">
        <v>1521</v>
      </c>
      <c r="D3372" t="s">
        <v>5577</v>
      </c>
      <c r="E3372" t="s">
        <v>5165</v>
      </c>
      <c r="F3372" t="s">
        <v>5215</v>
      </c>
      <c r="G3372" t="s">
        <v>5050</v>
      </c>
      <c r="H3372" t="s">
        <v>1296</v>
      </c>
      <c r="J3372" s="2">
        <v>43184</v>
      </c>
      <c r="K3372">
        <v>205.7</v>
      </c>
    </row>
    <row r="3373" spans="1:11" x14ac:dyDescent="0.35">
      <c r="A3373" s="2">
        <v>43185</v>
      </c>
      <c r="B3373" s="1">
        <v>0</v>
      </c>
      <c r="C3373" t="s">
        <v>2237</v>
      </c>
      <c r="D3373" t="s">
        <v>5533</v>
      </c>
      <c r="E3373" t="s">
        <v>5234</v>
      </c>
      <c r="F3373" t="s">
        <v>5078</v>
      </c>
      <c r="G3373" t="s">
        <v>5050</v>
      </c>
      <c r="H3373" t="s">
        <v>3137</v>
      </c>
      <c r="J3373" s="2">
        <v>43185</v>
      </c>
      <c r="K3373">
        <v>192.3</v>
      </c>
    </row>
    <row r="3374" spans="1:11" x14ac:dyDescent="0.35">
      <c r="A3374" s="2">
        <v>43186</v>
      </c>
      <c r="B3374" s="1">
        <v>0</v>
      </c>
      <c r="C3374" t="s">
        <v>376</v>
      </c>
      <c r="D3374" t="s">
        <v>5462</v>
      </c>
      <c r="E3374" t="s">
        <v>5313</v>
      </c>
      <c r="F3374" t="s">
        <v>5078</v>
      </c>
      <c r="G3374" t="s">
        <v>5240</v>
      </c>
      <c r="H3374" t="s">
        <v>2441</v>
      </c>
      <c r="J3374" s="2">
        <v>43186</v>
      </c>
      <c r="K3374">
        <v>183.4</v>
      </c>
    </row>
    <row r="3375" spans="1:11" x14ac:dyDescent="0.35">
      <c r="A3375" s="2">
        <v>43187</v>
      </c>
      <c r="B3375" s="1">
        <v>0</v>
      </c>
      <c r="C3375" t="s">
        <v>1911</v>
      </c>
      <c r="D3375" t="s">
        <v>5190</v>
      </c>
      <c r="E3375" t="s">
        <v>5070</v>
      </c>
      <c r="F3375" t="s">
        <v>5078</v>
      </c>
      <c r="G3375" t="s">
        <v>5058</v>
      </c>
      <c r="H3375" t="s">
        <v>608</v>
      </c>
      <c r="J3375" s="2">
        <v>43187</v>
      </c>
      <c r="K3375">
        <v>190.7</v>
      </c>
    </row>
    <row r="3376" spans="1:11" x14ac:dyDescent="0.35">
      <c r="A3376" s="2">
        <v>43188</v>
      </c>
      <c r="B3376" s="1">
        <v>0</v>
      </c>
      <c r="C3376" t="s">
        <v>474</v>
      </c>
      <c r="D3376" t="s">
        <v>5083</v>
      </c>
      <c r="E3376" t="s">
        <v>5237</v>
      </c>
      <c r="F3376" t="s">
        <v>5215</v>
      </c>
      <c r="G3376" t="s">
        <v>5078</v>
      </c>
      <c r="H3376" t="s">
        <v>4493</v>
      </c>
      <c r="J3376" s="2">
        <v>43188</v>
      </c>
      <c r="K3376">
        <v>213.7</v>
      </c>
    </row>
    <row r="3377" spans="1:11" x14ac:dyDescent="0.35">
      <c r="A3377" s="2">
        <v>43189</v>
      </c>
      <c r="B3377" s="1">
        <v>0</v>
      </c>
      <c r="C3377" t="s">
        <v>311</v>
      </c>
      <c r="D3377" t="s">
        <v>5233</v>
      </c>
      <c r="E3377" t="s">
        <v>5236</v>
      </c>
      <c r="F3377" t="s">
        <v>5215</v>
      </c>
      <c r="G3377" t="s">
        <v>5124</v>
      </c>
      <c r="H3377" t="s">
        <v>2468</v>
      </c>
      <c r="J3377" s="2">
        <v>43189</v>
      </c>
      <c r="K3377">
        <v>231.1</v>
      </c>
    </row>
    <row r="3378" spans="1:11" x14ac:dyDescent="0.35">
      <c r="A3378" s="2">
        <v>43190</v>
      </c>
      <c r="B3378" s="1">
        <v>0</v>
      </c>
      <c r="C3378" t="s">
        <v>4647</v>
      </c>
      <c r="D3378" t="s">
        <v>5138</v>
      </c>
      <c r="E3378" t="s">
        <v>5306</v>
      </c>
      <c r="F3378" t="s">
        <v>5215</v>
      </c>
      <c r="G3378" t="s">
        <v>5215</v>
      </c>
      <c r="H3378" t="s">
        <v>2841</v>
      </c>
      <c r="J3378" s="2">
        <v>43190</v>
      </c>
      <c r="K3378">
        <v>226.4</v>
      </c>
    </row>
    <row r="3379" spans="1:11" x14ac:dyDescent="0.35">
      <c r="A3379" t="s">
        <v>3732</v>
      </c>
      <c r="B3379" s="1">
        <v>0</v>
      </c>
      <c r="C3379" t="s">
        <v>364</v>
      </c>
      <c r="D3379" t="s">
        <v>5454</v>
      </c>
      <c r="E3379" t="s">
        <v>5223</v>
      </c>
      <c r="F3379" t="s">
        <v>5215</v>
      </c>
      <c r="G3379" t="s">
        <v>5412</v>
      </c>
      <c r="H3379" t="s">
        <v>1697</v>
      </c>
      <c r="J3379" t="s">
        <v>3732</v>
      </c>
      <c r="K3379">
        <v>208.2</v>
      </c>
    </row>
    <row r="3380" spans="1:11" x14ac:dyDescent="0.35">
      <c r="A3380" t="s">
        <v>3733</v>
      </c>
      <c r="B3380" s="1">
        <v>0</v>
      </c>
      <c r="C3380" t="s">
        <v>479</v>
      </c>
      <c r="D3380" t="s">
        <v>5264</v>
      </c>
      <c r="E3380" t="s">
        <v>5223</v>
      </c>
      <c r="F3380" t="s">
        <v>5089</v>
      </c>
      <c r="G3380" t="s">
        <v>5050</v>
      </c>
      <c r="H3380" t="s">
        <v>246</v>
      </c>
      <c r="J3380" t="s">
        <v>3733</v>
      </c>
      <c r="K3380">
        <v>201.2</v>
      </c>
    </row>
    <row r="3381" spans="1:11" x14ac:dyDescent="0.35">
      <c r="A3381" t="s">
        <v>3734</v>
      </c>
      <c r="B3381" s="1">
        <v>0</v>
      </c>
      <c r="C3381" t="s">
        <v>466</v>
      </c>
      <c r="D3381" t="s">
        <v>5451</v>
      </c>
      <c r="E3381" t="s">
        <v>5073</v>
      </c>
      <c r="F3381" t="s">
        <v>5089</v>
      </c>
      <c r="G3381" t="s">
        <v>5050</v>
      </c>
      <c r="H3381" t="s">
        <v>214</v>
      </c>
      <c r="J3381" t="s">
        <v>3734</v>
      </c>
      <c r="K3381">
        <v>198.1</v>
      </c>
    </row>
    <row r="3382" spans="1:11" x14ac:dyDescent="0.35">
      <c r="A3382" t="s">
        <v>3735</v>
      </c>
      <c r="B3382" s="1">
        <v>0</v>
      </c>
      <c r="C3382" t="s">
        <v>351</v>
      </c>
      <c r="D3382" t="s">
        <v>5254</v>
      </c>
      <c r="E3382" t="s">
        <v>5310</v>
      </c>
      <c r="F3382" t="s">
        <v>5089</v>
      </c>
      <c r="G3382" t="s">
        <v>5054</v>
      </c>
      <c r="H3382" t="s">
        <v>2340</v>
      </c>
      <c r="J3382" t="s">
        <v>3735</v>
      </c>
      <c r="K3382">
        <v>202.1</v>
      </c>
    </row>
    <row r="3383" spans="1:11" x14ac:dyDescent="0.35">
      <c r="A3383" t="s">
        <v>3736</v>
      </c>
      <c r="B3383" s="1">
        <v>0</v>
      </c>
      <c r="C3383" t="s">
        <v>988</v>
      </c>
      <c r="D3383" t="s">
        <v>5133</v>
      </c>
      <c r="E3383" t="s">
        <v>5204</v>
      </c>
      <c r="F3383" t="s">
        <v>5089</v>
      </c>
      <c r="G3383" t="s">
        <v>5179</v>
      </c>
      <c r="H3383" t="s">
        <v>2147</v>
      </c>
      <c r="J3383" t="s">
        <v>3736</v>
      </c>
      <c r="K3383">
        <v>205.3</v>
      </c>
    </row>
    <row r="3384" spans="1:11" x14ac:dyDescent="0.35">
      <c r="A3384" t="s">
        <v>3737</v>
      </c>
      <c r="B3384" s="1">
        <v>0</v>
      </c>
      <c r="C3384" t="s">
        <v>1470</v>
      </c>
      <c r="D3384" t="s">
        <v>5595</v>
      </c>
      <c r="E3384" t="s">
        <v>5068</v>
      </c>
      <c r="F3384" t="s">
        <v>5089</v>
      </c>
      <c r="G3384" t="s">
        <v>5179</v>
      </c>
      <c r="H3384" t="s">
        <v>2115</v>
      </c>
      <c r="J3384" t="s">
        <v>3737</v>
      </c>
      <c r="K3384">
        <v>209.9</v>
      </c>
    </row>
    <row r="3385" spans="1:11" x14ac:dyDescent="0.35">
      <c r="A3385" t="s">
        <v>3738</v>
      </c>
      <c r="B3385" s="1">
        <v>0</v>
      </c>
      <c r="C3385" t="s">
        <v>355</v>
      </c>
      <c r="D3385" t="s">
        <v>5370</v>
      </c>
      <c r="E3385" t="s">
        <v>5071</v>
      </c>
      <c r="F3385" t="s">
        <v>5089</v>
      </c>
      <c r="G3385" t="s">
        <v>5179</v>
      </c>
      <c r="H3385" t="s">
        <v>1699</v>
      </c>
      <c r="J3385" t="s">
        <v>3738</v>
      </c>
      <c r="K3385">
        <v>212.5</v>
      </c>
    </row>
    <row r="3386" spans="1:11" x14ac:dyDescent="0.35">
      <c r="A3386" t="s">
        <v>3739</v>
      </c>
      <c r="B3386" s="1">
        <v>0</v>
      </c>
      <c r="C3386" t="s">
        <v>347</v>
      </c>
      <c r="D3386" t="s">
        <v>5370</v>
      </c>
      <c r="E3386" t="s">
        <v>5210</v>
      </c>
      <c r="F3386" t="s">
        <v>5077</v>
      </c>
      <c r="G3386" t="s">
        <v>5179</v>
      </c>
      <c r="H3386" t="s">
        <v>1707</v>
      </c>
      <c r="J3386" t="s">
        <v>3739</v>
      </c>
      <c r="K3386">
        <v>212.7</v>
      </c>
    </row>
    <row r="3387" spans="1:11" x14ac:dyDescent="0.35">
      <c r="A3387" t="s">
        <v>3740</v>
      </c>
      <c r="B3387" s="1">
        <v>0</v>
      </c>
      <c r="C3387" t="s">
        <v>987</v>
      </c>
      <c r="D3387" t="s">
        <v>5575</v>
      </c>
      <c r="E3387" t="s">
        <v>5071</v>
      </c>
      <c r="F3387" t="s">
        <v>5089</v>
      </c>
      <c r="G3387" t="s">
        <v>5412</v>
      </c>
      <c r="H3387" t="s">
        <v>2696</v>
      </c>
      <c r="J3387" t="s">
        <v>3740</v>
      </c>
      <c r="K3387">
        <v>216.4</v>
      </c>
    </row>
    <row r="3388" spans="1:11" x14ac:dyDescent="0.35">
      <c r="A3388" t="s">
        <v>3741</v>
      </c>
      <c r="B3388" s="1">
        <v>0</v>
      </c>
      <c r="C3388" t="s">
        <v>1479</v>
      </c>
      <c r="D3388" t="s">
        <v>5494</v>
      </c>
      <c r="E3388" t="s">
        <v>5160</v>
      </c>
      <c r="F3388" t="s">
        <v>5089</v>
      </c>
      <c r="G3388" t="s">
        <v>5475</v>
      </c>
      <c r="H3388" t="s">
        <v>3017</v>
      </c>
      <c r="J3388" t="s">
        <v>3741</v>
      </c>
      <c r="K3388">
        <v>221.3</v>
      </c>
    </row>
    <row r="3389" spans="1:11" x14ac:dyDescent="0.35">
      <c r="A3389" t="s">
        <v>3742</v>
      </c>
      <c r="B3389" s="1">
        <v>0</v>
      </c>
      <c r="C3389" t="s">
        <v>3213</v>
      </c>
      <c r="D3389" t="s">
        <v>5080</v>
      </c>
      <c r="E3389" t="s">
        <v>5236</v>
      </c>
      <c r="F3389" t="s">
        <v>5089</v>
      </c>
      <c r="G3389" t="s">
        <v>5099</v>
      </c>
      <c r="H3389" t="s">
        <v>2031</v>
      </c>
      <c r="J3389" t="s">
        <v>3742</v>
      </c>
      <c r="K3389">
        <v>228.2</v>
      </c>
    </row>
    <row r="3390" spans="1:11" x14ac:dyDescent="0.35">
      <c r="A3390" t="s">
        <v>3743</v>
      </c>
      <c r="B3390" s="1">
        <v>0</v>
      </c>
      <c r="C3390" t="s">
        <v>2562</v>
      </c>
      <c r="D3390" t="s">
        <v>5109</v>
      </c>
      <c r="E3390" t="s">
        <v>5192</v>
      </c>
      <c r="F3390" t="s">
        <v>5089</v>
      </c>
      <c r="G3390" t="s">
        <v>5116</v>
      </c>
      <c r="H3390" t="s">
        <v>1245</v>
      </c>
      <c r="J3390" t="s">
        <v>3743</v>
      </c>
      <c r="K3390">
        <v>239.4</v>
      </c>
    </row>
    <row r="3391" spans="1:11" x14ac:dyDescent="0.35">
      <c r="A3391" t="s">
        <v>3744</v>
      </c>
      <c r="B3391" s="1">
        <v>0</v>
      </c>
      <c r="C3391" t="s">
        <v>1461</v>
      </c>
      <c r="D3391" t="s">
        <v>5497</v>
      </c>
      <c r="E3391" t="s">
        <v>5105</v>
      </c>
      <c r="F3391" t="s">
        <v>5089</v>
      </c>
      <c r="G3391" t="s">
        <v>5089</v>
      </c>
      <c r="H3391" t="s">
        <v>2832</v>
      </c>
      <c r="J3391" t="s">
        <v>3744</v>
      </c>
      <c r="K3391">
        <v>255.9</v>
      </c>
    </row>
    <row r="3392" spans="1:11" x14ac:dyDescent="0.35">
      <c r="A3392" t="s">
        <v>3746</v>
      </c>
      <c r="B3392" s="1">
        <v>0</v>
      </c>
      <c r="C3392" t="s">
        <v>2639</v>
      </c>
      <c r="D3392" t="s">
        <v>5609</v>
      </c>
      <c r="E3392" t="s">
        <v>5067</v>
      </c>
      <c r="F3392" t="s">
        <v>5089</v>
      </c>
      <c r="G3392" t="s">
        <v>5136</v>
      </c>
      <c r="H3392" t="s">
        <v>5739</v>
      </c>
      <c r="J3392" t="s">
        <v>3746</v>
      </c>
      <c r="K3392">
        <v>270</v>
      </c>
    </row>
    <row r="3393" spans="1:11" x14ac:dyDescent="0.35">
      <c r="A3393" t="s">
        <v>3747</v>
      </c>
      <c r="B3393" s="1">
        <v>0</v>
      </c>
      <c r="C3393" t="s">
        <v>281</v>
      </c>
      <c r="D3393" t="s">
        <v>5134</v>
      </c>
      <c r="E3393" t="s">
        <v>5251</v>
      </c>
      <c r="F3393" t="s">
        <v>5089</v>
      </c>
      <c r="G3393" t="s">
        <v>5136</v>
      </c>
      <c r="H3393" t="s">
        <v>5791</v>
      </c>
      <c r="J3393" t="s">
        <v>3747</v>
      </c>
      <c r="K3393">
        <v>271.60000000000002</v>
      </c>
    </row>
    <row r="3394" spans="1:11" x14ac:dyDescent="0.35">
      <c r="A3394" t="s">
        <v>3749</v>
      </c>
      <c r="B3394" s="1">
        <v>0</v>
      </c>
      <c r="C3394" t="s">
        <v>2283</v>
      </c>
      <c r="D3394" t="s">
        <v>5602</v>
      </c>
      <c r="E3394" t="s">
        <v>5081</v>
      </c>
      <c r="F3394" t="s">
        <v>5089</v>
      </c>
      <c r="G3394" t="s">
        <v>5077</v>
      </c>
      <c r="H3394" t="s">
        <v>3597</v>
      </c>
      <c r="J3394" t="s">
        <v>3749</v>
      </c>
      <c r="K3394">
        <v>257</v>
      </c>
    </row>
    <row r="3395" spans="1:11" x14ac:dyDescent="0.35">
      <c r="A3395" t="s">
        <v>3751</v>
      </c>
      <c r="B3395" s="1">
        <v>0</v>
      </c>
      <c r="C3395" t="s">
        <v>485</v>
      </c>
      <c r="D3395" t="s">
        <v>5476</v>
      </c>
      <c r="E3395" t="s">
        <v>5178</v>
      </c>
      <c r="F3395" t="s">
        <v>5089</v>
      </c>
      <c r="G3395" t="s">
        <v>5099</v>
      </c>
      <c r="H3395" t="s">
        <v>1242</v>
      </c>
      <c r="J3395" t="s">
        <v>3751</v>
      </c>
      <c r="K3395">
        <v>236</v>
      </c>
    </row>
    <row r="3396" spans="1:11" x14ac:dyDescent="0.35">
      <c r="A3396" t="s">
        <v>3752</v>
      </c>
      <c r="B3396" s="1">
        <v>0</v>
      </c>
      <c r="C3396" t="s">
        <v>2266</v>
      </c>
      <c r="D3396" t="s">
        <v>5530</v>
      </c>
      <c r="E3396" t="s">
        <v>5306</v>
      </c>
      <c r="F3396" t="s">
        <v>5089</v>
      </c>
      <c r="G3396" t="s">
        <v>5412</v>
      </c>
      <c r="H3396" t="s">
        <v>5660</v>
      </c>
      <c r="J3396" t="s">
        <v>3752</v>
      </c>
      <c r="K3396">
        <v>217.5</v>
      </c>
    </row>
    <row r="3397" spans="1:11" x14ac:dyDescent="0.35">
      <c r="A3397" t="s">
        <v>3755</v>
      </c>
      <c r="B3397" s="1">
        <v>0</v>
      </c>
      <c r="C3397" t="s">
        <v>368</v>
      </c>
      <c r="D3397" t="s">
        <v>5533</v>
      </c>
      <c r="E3397" t="s">
        <v>5221</v>
      </c>
      <c r="F3397" t="s">
        <v>5077</v>
      </c>
      <c r="G3397" t="s">
        <v>5050</v>
      </c>
      <c r="H3397" t="s">
        <v>5812</v>
      </c>
      <c r="J3397" t="s">
        <v>3755</v>
      </c>
      <c r="K3397">
        <v>202.7</v>
      </c>
    </row>
    <row r="3398" spans="1:11" x14ac:dyDescent="0.35">
      <c r="A3398" t="s">
        <v>3756</v>
      </c>
      <c r="B3398" s="1">
        <v>0</v>
      </c>
      <c r="C3398" t="s">
        <v>1876</v>
      </c>
      <c r="D3398" t="s">
        <v>5151</v>
      </c>
      <c r="E3398" t="s">
        <v>5422</v>
      </c>
      <c r="F3398" t="s">
        <v>5077</v>
      </c>
      <c r="G3398" t="s">
        <v>5222</v>
      </c>
      <c r="H3398" t="s">
        <v>3150</v>
      </c>
      <c r="J3398" t="s">
        <v>3756</v>
      </c>
      <c r="K3398">
        <v>189.1</v>
      </c>
    </row>
    <row r="3399" spans="1:11" x14ac:dyDescent="0.35">
      <c r="A3399" t="s">
        <v>3757</v>
      </c>
      <c r="B3399" s="1">
        <v>0</v>
      </c>
      <c r="C3399" t="s">
        <v>5636</v>
      </c>
      <c r="D3399" t="s">
        <v>5571</v>
      </c>
      <c r="E3399" t="s">
        <v>5061</v>
      </c>
      <c r="F3399" t="s">
        <v>5077</v>
      </c>
      <c r="G3399" t="s">
        <v>5227</v>
      </c>
      <c r="H3399" t="s">
        <v>3088</v>
      </c>
      <c r="J3399" t="s">
        <v>3757</v>
      </c>
      <c r="K3399">
        <v>178.7</v>
      </c>
    </row>
    <row r="3400" spans="1:11" x14ac:dyDescent="0.35">
      <c r="A3400" t="s">
        <v>3758</v>
      </c>
      <c r="B3400" s="1">
        <v>0</v>
      </c>
      <c r="C3400" t="s">
        <v>372</v>
      </c>
      <c r="D3400" t="s">
        <v>5453</v>
      </c>
      <c r="E3400" t="s">
        <v>5283</v>
      </c>
      <c r="F3400" t="s">
        <v>5077</v>
      </c>
      <c r="G3400" t="s">
        <v>5224</v>
      </c>
      <c r="H3400" t="s">
        <v>922</v>
      </c>
      <c r="J3400" t="s">
        <v>3758</v>
      </c>
      <c r="K3400">
        <v>173.7</v>
      </c>
    </row>
    <row r="3401" spans="1:11" x14ac:dyDescent="0.35">
      <c r="A3401" t="s">
        <v>3759</v>
      </c>
      <c r="B3401" s="1">
        <v>0</v>
      </c>
      <c r="C3401" t="s">
        <v>428</v>
      </c>
      <c r="D3401" t="s">
        <v>5448</v>
      </c>
      <c r="E3401" t="s">
        <v>5568</v>
      </c>
      <c r="F3401" t="s">
        <v>5077</v>
      </c>
      <c r="G3401" t="s">
        <v>5226</v>
      </c>
      <c r="H3401" t="s">
        <v>1351</v>
      </c>
      <c r="J3401" t="s">
        <v>3759</v>
      </c>
      <c r="K3401">
        <v>171.9</v>
      </c>
    </row>
    <row r="3402" spans="1:11" x14ac:dyDescent="0.35">
      <c r="A3402" t="s">
        <v>3760</v>
      </c>
      <c r="B3402" s="1">
        <v>0</v>
      </c>
      <c r="C3402" t="s">
        <v>5649</v>
      </c>
      <c r="D3402" t="s">
        <v>5243</v>
      </c>
      <c r="E3402" t="s">
        <v>5289</v>
      </c>
      <c r="F3402" t="s">
        <v>5077</v>
      </c>
      <c r="G3402" t="s">
        <v>5226</v>
      </c>
      <c r="H3402" t="s">
        <v>1168</v>
      </c>
      <c r="J3402" t="s">
        <v>3760</v>
      </c>
      <c r="K3402">
        <v>171.4</v>
      </c>
    </row>
    <row r="3403" spans="1:11" x14ac:dyDescent="0.35">
      <c r="A3403" t="s">
        <v>3761</v>
      </c>
      <c r="B3403" s="1">
        <v>0</v>
      </c>
      <c r="C3403" t="s">
        <v>5581</v>
      </c>
      <c r="D3403" t="s">
        <v>5066</v>
      </c>
      <c r="E3403" t="s">
        <v>5525</v>
      </c>
      <c r="F3403" t="s">
        <v>5077</v>
      </c>
      <c r="G3403" t="s">
        <v>5291</v>
      </c>
      <c r="H3403" t="s">
        <v>583</v>
      </c>
      <c r="J3403" t="s">
        <v>3761</v>
      </c>
      <c r="K3403">
        <v>164.4</v>
      </c>
    </row>
    <row r="3404" spans="1:11" x14ac:dyDescent="0.35">
      <c r="A3404" t="s">
        <v>3762</v>
      </c>
      <c r="B3404" s="1">
        <v>0</v>
      </c>
      <c r="C3404" t="s">
        <v>5511</v>
      </c>
      <c r="D3404" t="s">
        <v>5237</v>
      </c>
      <c r="E3404" t="s">
        <v>5053</v>
      </c>
      <c r="F3404" t="s">
        <v>5077</v>
      </c>
      <c r="G3404" t="s">
        <v>5294</v>
      </c>
      <c r="H3404" t="s">
        <v>586</v>
      </c>
      <c r="J3404" t="s">
        <v>3762</v>
      </c>
      <c r="K3404">
        <v>154.80000000000001</v>
      </c>
    </row>
    <row r="3405" spans="1:11" x14ac:dyDescent="0.35">
      <c r="A3405" t="s">
        <v>3763</v>
      </c>
      <c r="B3405" s="1">
        <v>0</v>
      </c>
      <c r="C3405" t="s">
        <v>5101</v>
      </c>
      <c r="D3405" t="s">
        <v>5064</v>
      </c>
      <c r="E3405" t="s">
        <v>5302</v>
      </c>
      <c r="F3405" t="s">
        <v>5077</v>
      </c>
      <c r="G3405" t="s">
        <v>5297</v>
      </c>
      <c r="H3405" t="s">
        <v>1361</v>
      </c>
      <c r="J3405" t="s">
        <v>3763</v>
      </c>
      <c r="K3405">
        <v>145.30000000000001</v>
      </c>
    </row>
    <row r="3406" spans="1:11" x14ac:dyDescent="0.35">
      <c r="A3406" t="s">
        <v>3764</v>
      </c>
      <c r="B3406" s="1">
        <v>0</v>
      </c>
      <c r="C3406" t="s">
        <v>5094</v>
      </c>
      <c r="D3406" t="s">
        <v>5313</v>
      </c>
      <c r="E3406" t="s">
        <v>5322</v>
      </c>
      <c r="F3406" t="s">
        <v>5045</v>
      </c>
      <c r="G3406" t="s">
        <v>5297</v>
      </c>
      <c r="H3406" t="s">
        <v>1393</v>
      </c>
      <c r="J3406" t="s">
        <v>3764</v>
      </c>
      <c r="K3406">
        <v>142.9</v>
      </c>
    </row>
    <row r="3407" spans="1:11" x14ac:dyDescent="0.35">
      <c r="A3407" t="s">
        <v>3765</v>
      </c>
      <c r="B3407" s="1">
        <v>0</v>
      </c>
      <c r="C3407" t="s">
        <v>5523</v>
      </c>
      <c r="D3407" t="s">
        <v>5059</v>
      </c>
      <c r="E3407" t="s">
        <v>5318</v>
      </c>
      <c r="F3407" t="s">
        <v>5077</v>
      </c>
      <c r="G3407" t="s">
        <v>5291</v>
      </c>
      <c r="H3407" t="s">
        <v>882</v>
      </c>
      <c r="J3407" t="s">
        <v>3765</v>
      </c>
      <c r="K3407">
        <v>156</v>
      </c>
    </row>
    <row r="3408" spans="1:11" x14ac:dyDescent="0.35">
      <c r="A3408" t="s">
        <v>3766</v>
      </c>
      <c r="B3408" s="1">
        <v>0</v>
      </c>
      <c r="C3408" t="s">
        <v>2235</v>
      </c>
      <c r="D3408" t="s">
        <v>5439</v>
      </c>
      <c r="E3408" t="s">
        <v>5524</v>
      </c>
      <c r="F3408" t="s">
        <v>5077</v>
      </c>
      <c r="G3408" t="s">
        <v>5230</v>
      </c>
      <c r="H3408" t="s">
        <v>168</v>
      </c>
      <c r="J3408" t="s">
        <v>3766</v>
      </c>
      <c r="K3408">
        <v>186.2</v>
      </c>
    </row>
    <row r="3409" spans="1:11" x14ac:dyDescent="0.35">
      <c r="A3409" s="2">
        <v>43221</v>
      </c>
      <c r="B3409" s="1">
        <v>0</v>
      </c>
      <c r="C3409" t="s">
        <v>360</v>
      </c>
      <c r="D3409" t="s">
        <v>5552</v>
      </c>
      <c r="E3409" t="s">
        <v>5434</v>
      </c>
      <c r="F3409" t="s">
        <v>5089</v>
      </c>
      <c r="G3409" t="s">
        <v>5062</v>
      </c>
      <c r="H3409" t="s">
        <v>210</v>
      </c>
      <c r="J3409" s="2">
        <v>43221</v>
      </c>
      <c r="K3409">
        <v>217.9</v>
      </c>
    </row>
    <row r="3410" spans="1:11" x14ac:dyDescent="0.35">
      <c r="A3410" s="2">
        <v>43222</v>
      </c>
      <c r="B3410" s="1">
        <v>0</v>
      </c>
      <c r="C3410" t="s">
        <v>5654</v>
      </c>
      <c r="D3410" t="s">
        <v>5523</v>
      </c>
      <c r="E3410" t="s">
        <v>5276</v>
      </c>
      <c r="F3410" t="s">
        <v>5089</v>
      </c>
      <c r="G3410" t="s">
        <v>5240</v>
      </c>
      <c r="H3410" t="s">
        <v>4227</v>
      </c>
      <c r="J3410" s="2">
        <v>43222</v>
      </c>
      <c r="K3410">
        <v>236.5</v>
      </c>
    </row>
    <row r="3411" spans="1:11" x14ac:dyDescent="0.35">
      <c r="A3411" s="2">
        <v>43223</v>
      </c>
      <c r="B3411" s="1">
        <v>0</v>
      </c>
      <c r="C3411" t="s">
        <v>4117</v>
      </c>
      <c r="D3411" t="s">
        <v>5630</v>
      </c>
      <c r="E3411" t="s">
        <v>5272</v>
      </c>
      <c r="F3411" t="s">
        <v>5089</v>
      </c>
      <c r="G3411" t="s">
        <v>5240</v>
      </c>
      <c r="H3411" t="s">
        <v>204</v>
      </c>
      <c r="J3411" s="2">
        <v>43223</v>
      </c>
      <c r="K3411">
        <v>230.3</v>
      </c>
    </row>
    <row r="3412" spans="1:11" x14ac:dyDescent="0.35">
      <c r="A3412" s="2">
        <v>43224</v>
      </c>
      <c r="B3412" s="1">
        <v>0</v>
      </c>
      <c r="C3412" t="s">
        <v>1537</v>
      </c>
      <c r="D3412" t="s">
        <v>5494</v>
      </c>
      <c r="E3412" t="s">
        <v>5059</v>
      </c>
      <c r="F3412" t="s">
        <v>5089</v>
      </c>
      <c r="G3412" t="s">
        <v>5230</v>
      </c>
      <c r="H3412" t="s">
        <v>2346</v>
      </c>
      <c r="J3412" s="2">
        <v>43224</v>
      </c>
      <c r="K3412">
        <v>213.9</v>
      </c>
    </row>
    <row r="3413" spans="1:11" x14ac:dyDescent="0.35">
      <c r="A3413" s="2">
        <v>43225</v>
      </c>
      <c r="B3413" s="1">
        <v>0</v>
      </c>
      <c r="C3413" t="s">
        <v>466</v>
      </c>
      <c r="D3413" t="s">
        <v>5534</v>
      </c>
      <c r="E3413" t="s">
        <v>5170</v>
      </c>
      <c r="F3413" t="s">
        <v>5077</v>
      </c>
      <c r="G3413" t="s">
        <v>5227</v>
      </c>
      <c r="H3413" t="s">
        <v>1196</v>
      </c>
      <c r="J3413" s="2">
        <v>43225</v>
      </c>
      <c r="K3413">
        <v>201.3</v>
      </c>
    </row>
    <row r="3414" spans="1:11" x14ac:dyDescent="0.35">
      <c r="A3414" s="2">
        <v>43226</v>
      </c>
      <c r="B3414" s="1">
        <v>0</v>
      </c>
      <c r="C3414" t="s">
        <v>368</v>
      </c>
      <c r="D3414" t="s">
        <v>5446</v>
      </c>
      <c r="E3414" t="s">
        <v>5223</v>
      </c>
      <c r="F3414" t="s">
        <v>5077</v>
      </c>
      <c r="G3414" t="s">
        <v>5224</v>
      </c>
      <c r="H3414" t="s">
        <v>2411</v>
      </c>
      <c r="J3414" s="2">
        <v>43226</v>
      </c>
      <c r="K3414">
        <v>198.9</v>
      </c>
    </row>
    <row r="3415" spans="1:11" x14ac:dyDescent="0.35">
      <c r="A3415" s="2">
        <v>43227</v>
      </c>
      <c r="B3415" s="1">
        <v>0</v>
      </c>
      <c r="C3415" t="s">
        <v>451</v>
      </c>
      <c r="D3415" t="s">
        <v>5606</v>
      </c>
      <c r="E3415" t="s">
        <v>5170</v>
      </c>
      <c r="F3415" t="s">
        <v>5077</v>
      </c>
      <c r="G3415" t="s">
        <v>5224</v>
      </c>
      <c r="H3415" t="s">
        <v>38</v>
      </c>
      <c r="J3415" s="2">
        <v>43227</v>
      </c>
      <c r="K3415">
        <v>198.7</v>
      </c>
    </row>
    <row r="3416" spans="1:11" x14ac:dyDescent="0.35">
      <c r="A3416" s="2">
        <v>43228</v>
      </c>
      <c r="B3416" s="1">
        <v>0</v>
      </c>
      <c r="C3416" t="s">
        <v>1058</v>
      </c>
      <c r="D3416" t="s">
        <v>5519</v>
      </c>
      <c r="E3416" t="s">
        <v>5310</v>
      </c>
      <c r="F3416" t="s">
        <v>5077</v>
      </c>
      <c r="G3416" t="s">
        <v>5226</v>
      </c>
      <c r="H3416" t="s">
        <v>80</v>
      </c>
      <c r="J3416" s="2">
        <v>43228</v>
      </c>
      <c r="K3416">
        <v>192.9</v>
      </c>
    </row>
    <row r="3417" spans="1:11" x14ac:dyDescent="0.35">
      <c r="A3417" s="2">
        <v>43229</v>
      </c>
      <c r="B3417" s="1">
        <v>0</v>
      </c>
      <c r="C3417" t="s">
        <v>1886</v>
      </c>
      <c r="D3417" t="s">
        <v>5508</v>
      </c>
      <c r="E3417" t="s">
        <v>5070</v>
      </c>
      <c r="F3417" t="s">
        <v>5077</v>
      </c>
      <c r="G3417" t="s">
        <v>5291</v>
      </c>
      <c r="H3417" t="s">
        <v>957</v>
      </c>
      <c r="J3417" s="2">
        <v>43229</v>
      </c>
      <c r="K3417">
        <v>183.3</v>
      </c>
    </row>
    <row r="3418" spans="1:11" x14ac:dyDescent="0.35">
      <c r="A3418" s="2">
        <v>43230</v>
      </c>
      <c r="B3418" s="1">
        <v>0</v>
      </c>
      <c r="C3418" t="s">
        <v>412</v>
      </c>
      <c r="D3418" t="s">
        <v>5247</v>
      </c>
      <c r="E3418" t="s">
        <v>5185</v>
      </c>
      <c r="F3418" t="s">
        <v>5077</v>
      </c>
      <c r="G3418" t="s">
        <v>5288</v>
      </c>
      <c r="H3418" t="s">
        <v>699</v>
      </c>
      <c r="J3418" s="2">
        <v>43230</v>
      </c>
      <c r="K3418">
        <v>180.9</v>
      </c>
    </row>
    <row r="3419" spans="1:11" x14ac:dyDescent="0.35">
      <c r="A3419" s="2">
        <v>43231</v>
      </c>
      <c r="B3419" s="1">
        <v>0</v>
      </c>
      <c r="C3419" t="s">
        <v>341</v>
      </c>
      <c r="D3419" t="s">
        <v>5114</v>
      </c>
      <c r="E3419" t="s">
        <v>5420</v>
      </c>
      <c r="F3419" t="s">
        <v>5077</v>
      </c>
      <c r="G3419" t="s">
        <v>5222</v>
      </c>
      <c r="H3419" t="s">
        <v>1820</v>
      </c>
      <c r="J3419" s="2">
        <v>43231</v>
      </c>
      <c r="K3419">
        <v>193.7</v>
      </c>
    </row>
    <row r="3420" spans="1:11" x14ac:dyDescent="0.35">
      <c r="A3420" s="2">
        <v>43232</v>
      </c>
      <c r="B3420" s="1">
        <v>0</v>
      </c>
      <c r="C3420" t="s">
        <v>1474</v>
      </c>
      <c r="D3420" t="s">
        <v>5090</v>
      </c>
      <c r="E3420" t="s">
        <v>5422</v>
      </c>
      <c r="F3420" t="s">
        <v>5089</v>
      </c>
      <c r="G3420" t="s">
        <v>5062</v>
      </c>
      <c r="H3420" t="s">
        <v>2343</v>
      </c>
      <c r="J3420" s="2">
        <v>43232</v>
      </c>
      <c r="K3420">
        <v>214.6</v>
      </c>
    </row>
    <row r="3421" spans="1:11" x14ac:dyDescent="0.35">
      <c r="A3421" s="2">
        <v>43233</v>
      </c>
      <c r="B3421" s="1">
        <v>0</v>
      </c>
      <c r="C3421" t="s">
        <v>2879</v>
      </c>
      <c r="D3421" t="s">
        <v>5464</v>
      </c>
      <c r="E3421" t="s">
        <v>5202</v>
      </c>
      <c r="F3421" t="s">
        <v>5089</v>
      </c>
      <c r="G3421" t="s">
        <v>5124</v>
      </c>
      <c r="H3421" t="s">
        <v>2828</v>
      </c>
      <c r="J3421" s="2">
        <v>43233</v>
      </c>
      <c r="K3421">
        <v>225.6</v>
      </c>
    </row>
    <row r="3422" spans="1:11" x14ac:dyDescent="0.35">
      <c r="A3422" s="2">
        <v>43234</v>
      </c>
      <c r="B3422" s="1">
        <v>0</v>
      </c>
      <c r="C3422" t="s">
        <v>2614</v>
      </c>
      <c r="D3422" t="s">
        <v>5462</v>
      </c>
      <c r="E3422" t="s">
        <v>5223</v>
      </c>
      <c r="F3422" t="s">
        <v>5089</v>
      </c>
      <c r="G3422" t="s">
        <v>5095</v>
      </c>
      <c r="H3422" t="s">
        <v>748</v>
      </c>
      <c r="J3422" s="2">
        <v>43234</v>
      </c>
      <c r="K3422">
        <v>226.9</v>
      </c>
    </row>
    <row r="3423" spans="1:11" x14ac:dyDescent="0.35">
      <c r="A3423" s="2">
        <v>43235</v>
      </c>
      <c r="B3423" s="1">
        <v>0</v>
      </c>
      <c r="C3423" t="s">
        <v>486</v>
      </c>
      <c r="D3423" t="s">
        <v>5129</v>
      </c>
      <c r="E3423" t="s">
        <v>5176</v>
      </c>
      <c r="F3423" t="s">
        <v>5089</v>
      </c>
      <c r="G3423" t="s">
        <v>5215</v>
      </c>
      <c r="H3423" t="s">
        <v>641</v>
      </c>
      <c r="J3423" s="2">
        <v>43235</v>
      </c>
      <c r="K3423">
        <v>227.7</v>
      </c>
    </row>
    <row r="3424" spans="1:11" x14ac:dyDescent="0.35">
      <c r="A3424" s="2">
        <v>43236</v>
      </c>
      <c r="B3424" s="1">
        <v>0</v>
      </c>
      <c r="C3424" t="s">
        <v>1100</v>
      </c>
      <c r="D3424" t="s">
        <v>5487</v>
      </c>
      <c r="E3424" t="s">
        <v>5208</v>
      </c>
      <c r="F3424" t="s">
        <v>5089</v>
      </c>
      <c r="G3424" t="s">
        <v>5475</v>
      </c>
      <c r="H3424" t="s">
        <v>621</v>
      </c>
      <c r="J3424" s="2">
        <v>43236</v>
      </c>
      <c r="K3424">
        <v>235.7</v>
      </c>
    </row>
    <row r="3425" spans="1:11" x14ac:dyDescent="0.35">
      <c r="A3425" s="2">
        <v>43237</v>
      </c>
      <c r="B3425" s="1">
        <v>0</v>
      </c>
      <c r="C3425" t="s">
        <v>967</v>
      </c>
      <c r="D3425" t="s">
        <v>5541</v>
      </c>
      <c r="E3425" t="s">
        <v>5081</v>
      </c>
      <c r="F3425" t="s">
        <v>5089</v>
      </c>
      <c r="G3425" t="s">
        <v>5062</v>
      </c>
      <c r="H3425" t="s">
        <v>5670</v>
      </c>
      <c r="J3425" s="2">
        <v>43237</v>
      </c>
      <c r="K3425">
        <v>241.2</v>
      </c>
    </row>
    <row r="3426" spans="1:11" x14ac:dyDescent="0.35">
      <c r="A3426" s="2">
        <v>43238</v>
      </c>
      <c r="B3426" s="1">
        <v>0</v>
      </c>
      <c r="C3426" t="s">
        <v>2877</v>
      </c>
      <c r="D3426" t="s">
        <v>5512</v>
      </c>
      <c r="E3426" t="s">
        <v>5182</v>
      </c>
      <c r="F3426" t="s">
        <v>5089</v>
      </c>
      <c r="G3426" t="s">
        <v>5412</v>
      </c>
      <c r="H3426" t="s">
        <v>5764</v>
      </c>
      <c r="J3426" s="2">
        <v>43238</v>
      </c>
      <c r="K3426">
        <v>238.5</v>
      </c>
    </row>
    <row r="3427" spans="1:11" x14ac:dyDescent="0.35">
      <c r="A3427" s="2">
        <v>43239</v>
      </c>
      <c r="B3427" s="1">
        <v>0</v>
      </c>
      <c r="C3427" t="s">
        <v>311</v>
      </c>
      <c r="D3427" t="s">
        <v>5248</v>
      </c>
      <c r="E3427" t="s">
        <v>5178</v>
      </c>
      <c r="F3427" t="s">
        <v>5077</v>
      </c>
      <c r="G3427" t="s">
        <v>5179</v>
      </c>
      <c r="H3427" t="s">
        <v>3014</v>
      </c>
      <c r="J3427" s="2">
        <v>43239</v>
      </c>
      <c r="K3427">
        <v>229.6</v>
      </c>
    </row>
    <row r="3428" spans="1:11" x14ac:dyDescent="0.35">
      <c r="A3428" s="2">
        <v>43240</v>
      </c>
      <c r="B3428" s="1">
        <v>0</v>
      </c>
      <c r="C3428" t="s">
        <v>4644</v>
      </c>
      <c r="D3428" t="s">
        <v>5083</v>
      </c>
      <c r="E3428" t="s">
        <v>5434</v>
      </c>
      <c r="F3428" t="s">
        <v>5077</v>
      </c>
      <c r="G3428" t="s">
        <v>5240</v>
      </c>
      <c r="H3428" t="s">
        <v>3038</v>
      </c>
      <c r="J3428" s="2">
        <v>43240</v>
      </c>
      <c r="K3428">
        <v>223.3</v>
      </c>
    </row>
    <row r="3429" spans="1:11" x14ac:dyDescent="0.35">
      <c r="A3429" s="2">
        <v>43241</v>
      </c>
      <c r="B3429" s="1">
        <v>0</v>
      </c>
      <c r="C3429" t="s">
        <v>4382</v>
      </c>
      <c r="D3429" t="s">
        <v>5532</v>
      </c>
      <c r="E3429" t="s">
        <v>5208</v>
      </c>
      <c r="F3429" t="s">
        <v>5077</v>
      </c>
      <c r="G3429" t="s">
        <v>5050</v>
      </c>
      <c r="H3429" t="s">
        <v>4498</v>
      </c>
      <c r="J3429" s="2">
        <v>43241</v>
      </c>
      <c r="K3429">
        <v>224.1</v>
      </c>
    </row>
    <row r="3430" spans="1:11" x14ac:dyDescent="0.35">
      <c r="A3430" s="2">
        <v>43242</v>
      </c>
      <c r="B3430" s="1">
        <v>0</v>
      </c>
      <c r="C3430" t="s">
        <v>1475</v>
      </c>
      <c r="D3430" t="s">
        <v>5373</v>
      </c>
      <c r="E3430" t="s">
        <v>5434</v>
      </c>
      <c r="F3430" t="s">
        <v>5077</v>
      </c>
      <c r="G3430" t="s">
        <v>5174</v>
      </c>
      <c r="H3430" t="s">
        <v>1717</v>
      </c>
      <c r="J3430" s="2">
        <v>43242</v>
      </c>
      <c r="K3430">
        <v>221</v>
      </c>
    </row>
    <row r="3431" spans="1:11" x14ac:dyDescent="0.35">
      <c r="A3431" s="2">
        <v>43243</v>
      </c>
      <c r="B3431" s="1">
        <v>0</v>
      </c>
      <c r="C3431" t="s">
        <v>2270</v>
      </c>
      <c r="D3431" t="s">
        <v>5606</v>
      </c>
      <c r="E3431" t="s">
        <v>5068</v>
      </c>
      <c r="F3431" t="s">
        <v>5077</v>
      </c>
      <c r="G3431" t="s">
        <v>5207</v>
      </c>
      <c r="H3431" t="s">
        <v>3873</v>
      </c>
      <c r="J3431" s="2">
        <v>43243</v>
      </c>
      <c r="K3431">
        <v>214.2</v>
      </c>
    </row>
    <row r="3432" spans="1:11" x14ac:dyDescent="0.35">
      <c r="A3432" s="2">
        <v>43244</v>
      </c>
      <c r="B3432" s="1">
        <v>0</v>
      </c>
      <c r="C3432" t="s">
        <v>340</v>
      </c>
      <c r="D3432" t="s">
        <v>5451</v>
      </c>
      <c r="E3432" t="s">
        <v>5223</v>
      </c>
      <c r="F3432" t="s">
        <v>5077</v>
      </c>
      <c r="G3432" t="s">
        <v>5224</v>
      </c>
      <c r="H3432" t="s">
        <v>220</v>
      </c>
      <c r="J3432" s="2">
        <v>43244</v>
      </c>
      <c r="K3432">
        <v>201.9</v>
      </c>
    </row>
    <row r="3433" spans="1:11" x14ac:dyDescent="0.35">
      <c r="A3433" s="2">
        <v>43245</v>
      </c>
      <c r="B3433" s="1">
        <v>0</v>
      </c>
      <c r="C3433" t="s">
        <v>1912</v>
      </c>
      <c r="D3433" t="s">
        <v>5100</v>
      </c>
      <c r="E3433" t="s">
        <v>5181</v>
      </c>
      <c r="F3433" t="s">
        <v>5077</v>
      </c>
      <c r="G3433" t="s">
        <v>5294</v>
      </c>
      <c r="H3433" t="s">
        <v>3138</v>
      </c>
      <c r="J3433" s="2">
        <v>43245</v>
      </c>
      <c r="K3433">
        <v>184.6</v>
      </c>
    </row>
    <row r="3434" spans="1:11" x14ac:dyDescent="0.35">
      <c r="A3434" s="2">
        <v>43246</v>
      </c>
      <c r="B3434" s="1">
        <v>0</v>
      </c>
      <c r="C3434" t="s">
        <v>5466</v>
      </c>
      <c r="D3434" t="s">
        <v>5270</v>
      </c>
      <c r="E3434" t="s">
        <v>5299</v>
      </c>
      <c r="F3434" t="s">
        <v>5077</v>
      </c>
      <c r="G3434" t="s">
        <v>5342</v>
      </c>
      <c r="H3434" t="s">
        <v>1637</v>
      </c>
      <c r="J3434" s="2">
        <v>43246</v>
      </c>
      <c r="K3434">
        <v>168.5</v>
      </c>
    </row>
    <row r="3435" spans="1:11" x14ac:dyDescent="0.35">
      <c r="A3435" s="2">
        <v>43247</v>
      </c>
      <c r="B3435" s="1">
        <v>0</v>
      </c>
      <c r="C3435" t="s">
        <v>5496</v>
      </c>
      <c r="D3435" t="s">
        <v>5173</v>
      </c>
      <c r="E3435" t="s">
        <v>5048</v>
      </c>
      <c r="F3435" t="s">
        <v>5077</v>
      </c>
      <c r="G3435" t="s">
        <v>5144</v>
      </c>
      <c r="H3435" t="s">
        <v>1156</v>
      </c>
      <c r="J3435" s="2">
        <v>43247</v>
      </c>
      <c r="K3435">
        <v>154.4</v>
      </c>
    </row>
    <row r="3436" spans="1:11" x14ac:dyDescent="0.35">
      <c r="A3436" s="2">
        <v>43248</v>
      </c>
      <c r="B3436" s="1">
        <v>0</v>
      </c>
      <c r="C3436" t="s">
        <v>5392</v>
      </c>
      <c r="D3436" t="s">
        <v>5064</v>
      </c>
      <c r="E3436" t="s">
        <v>5322</v>
      </c>
      <c r="F3436" t="s">
        <v>5045</v>
      </c>
      <c r="G3436" t="s">
        <v>5153</v>
      </c>
      <c r="H3436" t="s">
        <v>2166</v>
      </c>
      <c r="J3436" s="2">
        <v>43248</v>
      </c>
      <c r="K3436">
        <v>143.80000000000001</v>
      </c>
    </row>
    <row r="3437" spans="1:11" x14ac:dyDescent="0.35">
      <c r="A3437" s="2">
        <v>43249</v>
      </c>
      <c r="B3437" s="1">
        <v>0</v>
      </c>
      <c r="C3437" t="s">
        <v>5538</v>
      </c>
      <c r="D3437" t="s">
        <v>5295</v>
      </c>
      <c r="E3437" t="s">
        <v>5325</v>
      </c>
      <c r="F3437" t="s">
        <v>5045</v>
      </c>
      <c r="G3437" t="s">
        <v>5411</v>
      </c>
      <c r="H3437" t="s">
        <v>3428</v>
      </c>
      <c r="J3437" s="2">
        <v>43249</v>
      </c>
      <c r="K3437">
        <v>137</v>
      </c>
    </row>
    <row r="3438" spans="1:11" x14ac:dyDescent="0.35">
      <c r="A3438" s="2">
        <v>43250</v>
      </c>
      <c r="B3438" s="1">
        <v>0</v>
      </c>
      <c r="C3438" t="s">
        <v>5439</v>
      </c>
      <c r="D3438" t="s">
        <v>5525</v>
      </c>
      <c r="E3438" t="s">
        <v>5139</v>
      </c>
      <c r="F3438" t="s">
        <v>5045</v>
      </c>
      <c r="G3438" t="s">
        <v>5339</v>
      </c>
      <c r="H3438" t="s">
        <v>135</v>
      </c>
      <c r="J3438" s="2">
        <v>43250</v>
      </c>
      <c r="K3438">
        <v>132.4</v>
      </c>
    </row>
    <row r="3439" spans="1:11" x14ac:dyDescent="0.35">
      <c r="A3439" s="2">
        <v>43251</v>
      </c>
      <c r="B3439" s="1">
        <v>0</v>
      </c>
      <c r="C3439" t="s">
        <v>5141</v>
      </c>
      <c r="D3439" t="s">
        <v>5622</v>
      </c>
      <c r="E3439" t="s">
        <v>5296</v>
      </c>
      <c r="F3439" t="s">
        <v>5045</v>
      </c>
      <c r="G3439" t="s">
        <v>5339</v>
      </c>
      <c r="H3439" t="s">
        <v>1084</v>
      </c>
      <c r="J3439" s="2">
        <v>43251</v>
      </c>
      <c r="K3439">
        <v>129.5</v>
      </c>
    </row>
    <row r="3440" spans="1:11" x14ac:dyDescent="0.35">
      <c r="A3440" s="2">
        <v>43252</v>
      </c>
      <c r="B3440" s="1">
        <v>0</v>
      </c>
      <c r="C3440" t="s">
        <v>5118</v>
      </c>
      <c r="D3440" t="s">
        <v>5545</v>
      </c>
      <c r="E3440" t="s">
        <v>5308</v>
      </c>
      <c r="F3440" t="s">
        <v>5045</v>
      </c>
      <c r="G3440" t="s">
        <v>5156</v>
      </c>
      <c r="H3440" t="s">
        <v>1107</v>
      </c>
      <c r="J3440" s="2">
        <v>43252</v>
      </c>
      <c r="K3440">
        <v>127.5</v>
      </c>
    </row>
    <row r="3441" spans="1:11" x14ac:dyDescent="0.35">
      <c r="A3441" s="2">
        <v>43253</v>
      </c>
      <c r="B3441" s="1">
        <v>0</v>
      </c>
      <c r="C3441" t="s">
        <v>5166</v>
      </c>
      <c r="D3441" t="s">
        <v>5412</v>
      </c>
      <c r="E3441" t="s">
        <v>5240</v>
      </c>
      <c r="F3441" t="s">
        <v>5168</v>
      </c>
      <c r="G3441" t="s">
        <v>5353</v>
      </c>
      <c r="H3441" t="s">
        <v>1917</v>
      </c>
      <c r="J3441" s="2">
        <v>43253</v>
      </c>
      <c r="K3441">
        <v>85.2</v>
      </c>
    </row>
    <row r="3442" spans="1:11" x14ac:dyDescent="0.35">
      <c r="A3442" s="2">
        <v>43254</v>
      </c>
      <c r="B3442" s="1">
        <v>0</v>
      </c>
      <c r="C3442" t="s">
        <v>5501</v>
      </c>
      <c r="D3442" t="s">
        <v>5179</v>
      </c>
      <c r="E3442" t="s">
        <v>5050</v>
      </c>
      <c r="F3442" t="s">
        <v>5168</v>
      </c>
      <c r="G3442" t="s">
        <v>5354</v>
      </c>
      <c r="H3442" t="s">
        <v>466</v>
      </c>
      <c r="J3442" s="2">
        <v>43254</v>
      </c>
      <c r="K3442">
        <v>84.5</v>
      </c>
    </row>
    <row r="3443" spans="1:11" x14ac:dyDescent="0.35">
      <c r="A3443" s="2">
        <v>43255</v>
      </c>
      <c r="B3443" s="1">
        <v>0</v>
      </c>
      <c r="C3443" t="s">
        <v>5501</v>
      </c>
      <c r="D3443" t="s">
        <v>5240</v>
      </c>
      <c r="E3443" t="s">
        <v>5050</v>
      </c>
      <c r="F3443" t="s">
        <v>5168</v>
      </c>
      <c r="G3443" t="s">
        <v>5354</v>
      </c>
      <c r="H3443" t="s">
        <v>362</v>
      </c>
      <c r="J3443" s="2">
        <v>43255</v>
      </c>
      <c r="K3443">
        <v>84.3</v>
      </c>
    </row>
    <row r="3444" spans="1:11" x14ac:dyDescent="0.35">
      <c r="A3444" s="2">
        <v>43256</v>
      </c>
      <c r="B3444" s="1">
        <v>0</v>
      </c>
      <c r="C3444" t="s">
        <v>5501</v>
      </c>
      <c r="D3444" t="s">
        <v>5050</v>
      </c>
      <c r="E3444" t="s">
        <v>5050</v>
      </c>
      <c r="F3444" t="s">
        <v>5168</v>
      </c>
      <c r="G3444" t="s">
        <v>5354</v>
      </c>
      <c r="H3444" t="s">
        <v>362</v>
      </c>
      <c r="J3444" s="2">
        <v>43256</v>
      </c>
      <c r="K3444">
        <v>84.3</v>
      </c>
    </row>
    <row r="3445" spans="1:11" x14ac:dyDescent="0.35">
      <c r="A3445" s="2">
        <v>43257</v>
      </c>
      <c r="B3445" s="1">
        <v>0</v>
      </c>
      <c r="C3445" t="s">
        <v>5332</v>
      </c>
      <c r="D3445" t="s">
        <v>5050</v>
      </c>
      <c r="E3445" t="s">
        <v>5046</v>
      </c>
      <c r="F3445" t="s">
        <v>5168</v>
      </c>
      <c r="G3445" t="s">
        <v>5354</v>
      </c>
      <c r="H3445" t="s">
        <v>1527</v>
      </c>
      <c r="J3445" s="2">
        <v>43257</v>
      </c>
      <c r="K3445">
        <v>84.1</v>
      </c>
    </row>
    <row r="3446" spans="1:11" x14ac:dyDescent="0.35">
      <c r="A3446" s="2">
        <v>43258</v>
      </c>
      <c r="B3446" s="1">
        <v>0</v>
      </c>
      <c r="C3446" t="s">
        <v>5493</v>
      </c>
      <c r="D3446" t="s">
        <v>5046</v>
      </c>
      <c r="E3446" t="s">
        <v>5046</v>
      </c>
      <c r="F3446" t="s">
        <v>5168</v>
      </c>
      <c r="G3446" t="s">
        <v>5354</v>
      </c>
      <c r="H3446" t="s">
        <v>3798</v>
      </c>
      <c r="J3446" s="2">
        <v>43258</v>
      </c>
      <c r="K3446">
        <v>83.8</v>
      </c>
    </row>
    <row r="3447" spans="1:11" x14ac:dyDescent="0.35">
      <c r="A3447" s="2">
        <v>43259</v>
      </c>
      <c r="B3447" s="1">
        <v>0</v>
      </c>
      <c r="C3447" t="s">
        <v>5356</v>
      </c>
      <c r="D3447" t="s">
        <v>5046</v>
      </c>
      <c r="E3447" t="s">
        <v>5046</v>
      </c>
      <c r="F3447" t="s">
        <v>5168</v>
      </c>
      <c r="G3447" t="s">
        <v>5354</v>
      </c>
      <c r="H3447" t="s">
        <v>444</v>
      </c>
      <c r="J3447" s="2">
        <v>43259</v>
      </c>
      <c r="K3447">
        <v>83.5</v>
      </c>
    </row>
    <row r="3448" spans="1:11" x14ac:dyDescent="0.35">
      <c r="A3448" s="2">
        <v>43260</v>
      </c>
      <c r="B3448" s="1">
        <v>0</v>
      </c>
      <c r="C3448" t="s">
        <v>5358</v>
      </c>
      <c r="D3448" t="s">
        <v>5046</v>
      </c>
      <c r="E3448" t="s">
        <v>5046</v>
      </c>
      <c r="F3448" t="s">
        <v>5168</v>
      </c>
      <c r="G3448" t="s">
        <v>5354</v>
      </c>
      <c r="H3448" t="s">
        <v>363</v>
      </c>
      <c r="J3448" s="2">
        <v>43260</v>
      </c>
      <c r="K3448">
        <v>83.3</v>
      </c>
    </row>
    <row r="3449" spans="1:11" x14ac:dyDescent="0.35">
      <c r="A3449" s="2">
        <v>43261</v>
      </c>
      <c r="B3449" s="1">
        <v>0</v>
      </c>
      <c r="C3449" t="s">
        <v>5089</v>
      </c>
      <c r="D3449" t="s">
        <v>5046</v>
      </c>
      <c r="E3449" t="s">
        <v>5046</v>
      </c>
      <c r="F3449" t="s">
        <v>5168</v>
      </c>
      <c r="G3449" t="s">
        <v>5354</v>
      </c>
      <c r="H3449" t="s">
        <v>1528</v>
      </c>
      <c r="J3449" s="2">
        <v>43261</v>
      </c>
      <c r="K3449">
        <v>83.2</v>
      </c>
    </row>
    <row r="3450" spans="1:11" x14ac:dyDescent="0.35">
      <c r="A3450" s="2">
        <v>43262</v>
      </c>
      <c r="B3450" s="1">
        <v>0</v>
      </c>
      <c r="C3450" t="s">
        <v>5077</v>
      </c>
      <c r="D3450" t="s">
        <v>5046</v>
      </c>
      <c r="E3450" t="s">
        <v>5046</v>
      </c>
      <c r="F3450" t="s">
        <v>5168</v>
      </c>
      <c r="G3450" t="s">
        <v>5354</v>
      </c>
      <c r="H3450" t="s">
        <v>352</v>
      </c>
      <c r="J3450" s="2">
        <v>43262</v>
      </c>
      <c r="K3450">
        <v>83.1</v>
      </c>
    </row>
    <row r="3451" spans="1:11" x14ac:dyDescent="0.35">
      <c r="A3451" s="2">
        <v>43263</v>
      </c>
      <c r="B3451" s="1">
        <v>0</v>
      </c>
      <c r="C3451" t="s">
        <v>5089</v>
      </c>
      <c r="D3451" t="s">
        <v>5046</v>
      </c>
      <c r="E3451" t="s">
        <v>5046</v>
      </c>
      <c r="F3451" t="s">
        <v>5168</v>
      </c>
      <c r="G3451" t="s">
        <v>5354</v>
      </c>
      <c r="H3451" t="s">
        <v>1528</v>
      </c>
      <c r="J3451" s="2">
        <v>43263</v>
      </c>
      <c r="K3451">
        <v>83.2</v>
      </c>
    </row>
    <row r="3452" spans="1:11" x14ac:dyDescent="0.35">
      <c r="A3452" s="2">
        <v>43264</v>
      </c>
      <c r="B3452" s="1">
        <v>0</v>
      </c>
      <c r="C3452" t="s">
        <v>5089</v>
      </c>
      <c r="D3452" t="s">
        <v>5046</v>
      </c>
      <c r="E3452" t="s">
        <v>5046</v>
      </c>
      <c r="F3452" t="s">
        <v>5168</v>
      </c>
      <c r="G3452" t="s">
        <v>5354</v>
      </c>
      <c r="H3452" t="s">
        <v>1528</v>
      </c>
      <c r="J3452" s="2">
        <v>43264</v>
      </c>
      <c r="K3452">
        <v>83.2</v>
      </c>
    </row>
    <row r="3453" spans="1:11" x14ac:dyDescent="0.35">
      <c r="A3453" s="2">
        <v>43265</v>
      </c>
      <c r="B3453" s="1">
        <v>0</v>
      </c>
      <c r="C3453" t="s">
        <v>5089</v>
      </c>
      <c r="D3453" t="s">
        <v>5046</v>
      </c>
      <c r="E3453" t="s">
        <v>5046</v>
      </c>
      <c r="F3453" t="s">
        <v>5168</v>
      </c>
      <c r="G3453" t="s">
        <v>5354</v>
      </c>
      <c r="H3453" t="s">
        <v>1528</v>
      </c>
      <c r="J3453" s="2">
        <v>43265</v>
      </c>
      <c r="K3453">
        <v>83.2</v>
      </c>
    </row>
    <row r="3454" spans="1:11" x14ac:dyDescent="0.35">
      <c r="A3454" s="2">
        <v>43266</v>
      </c>
      <c r="B3454" s="1">
        <v>0</v>
      </c>
      <c r="C3454" t="s">
        <v>5089</v>
      </c>
      <c r="D3454" t="s">
        <v>5046</v>
      </c>
      <c r="E3454" t="s">
        <v>5046</v>
      </c>
      <c r="F3454" t="s">
        <v>5168</v>
      </c>
      <c r="G3454" t="s">
        <v>5354</v>
      </c>
      <c r="H3454" t="s">
        <v>1528</v>
      </c>
      <c r="J3454" s="2">
        <v>43266</v>
      </c>
      <c r="K3454">
        <v>83.2</v>
      </c>
    </row>
    <row r="3455" spans="1:11" x14ac:dyDescent="0.35">
      <c r="A3455" s="2">
        <v>43267</v>
      </c>
      <c r="B3455" s="1">
        <v>0</v>
      </c>
      <c r="C3455" t="s">
        <v>5089</v>
      </c>
      <c r="D3455" t="s">
        <v>5046</v>
      </c>
      <c r="E3455" t="s">
        <v>5046</v>
      </c>
      <c r="F3455" t="s">
        <v>5168</v>
      </c>
      <c r="G3455" t="s">
        <v>5354</v>
      </c>
      <c r="H3455" t="s">
        <v>1528</v>
      </c>
      <c r="J3455" s="2">
        <v>43267</v>
      </c>
      <c r="K3455">
        <v>83.2</v>
      </c>
    </row>
    <row r="3456" spans="1:11" x14ac:dyDescent="0.35">
      <c r="A3456" s="2">
        <v>43268</v>
      </c>
      <c r="B3456" s="1">
        <v>0</v>
      </c>
      <c r="C3456" t="s">
        <v>5356</v>
      </c>
      <c r="D3456" t="s">
        <v>5046</v>
      </c>
      <c r="E3456" t="s">
        <v>5046</v>
      </c>
      <c r="F3456" t="s">
        <v>5168</v>
      </c>
      <c r="G3456" t="s">
        <v>5354</v>
      </c>
      <c r="H3456" t="s">
        <v>444</v>
      </c>
      <c r="J3456" s="2">
        <v>43268</v>
      </c>
      <c r="K3456">
        <v>83.5</v>
      </c>
    </row>
    <row r="3457" spans="1:11" x14ac:dyDescent="0.35">
      <c r="A3457" s="2">
        <v>43269</v>
      </c>
      <c r="B3457" s="1">
        <v>0</v>
      </c>
      <c r="C3457" t="s">
        <v>5332</v>
      </c>
      <c r="D3457" t="s">
        <v>5046</v>
      </c>
      <c r="E3457" t="s">
        <v>5046</v>
      </c>
      <c r="F3457" t="s">
        <v>5168</v>
      </c>
      <c r="G3457" t="s">
        <v>5354</v>
      </c>
      <c r="H3457" t="s">
        <v>322</v>
      </c>
      <c r="J3457" s="2">
        <v>43269</v>
      </c>
      <c r="K3457">
        <v>84</v>
      </c>
    </row>
    <row r="3458" spans="1:11" x14ac:dyDescent="0.35">
      <c r="A3458" s="2">
        <v>43270</v>
      </c>
      <c r="B3458" s="1">
        <v>0</v>
      </c>
      <c r="C3458" t="s">
        <v>5333</v>
      </c>
      <c r="D3458" t="s">
        <v>5046</v>
      </c>
      <c r="E3458" t="s">
        <v>5046</v>
      </c>
      <c r="F3458" t="s">
        <v>5168</v>
      </c>
      <c r="G3458" t="s">
        <v>5354</v>
      </c>
      <c r="H3458" t="s">
        <v>1526</v>
      </c>
      <c r="J3458" s="2">
        <v>43270</v>
      </c>
      <c r="K3458">
        <v>84.2</v>
      </c>
    </row>
    <row r="3459" spans="1:11" x14ac:dyDescent="0.35">
      <c r="A3459" s="2">
        <v>43271</v>
      </c>
      <c r="B3459" s="1">
        <v>0</v>
      </c>
      <c r="C3459" t="s">
        <v>5341</v>
      </c>
      <c r="D3459" t="s">
        <v>5046</v>
      </c>
      <c r="E3459" t="s">
        <v>5046</v>
      </c>
      <c r="F3459" t="s">
        <v>5168</v>
      </c>
      <c r="G3459" t="s">
        <v>5354</v>
      </c>
      <c r="H3459" t="s">
        <v>362</v>
      </c>
      <c r="J3459" s="2">
        <v>43271</v>
      </c>
      <c r="K3459">
        <v>84.3</v>
      </c>
    </row>
    <row r="3460" spans="1:11" x14ac:dyDescent="0.35">
      <c r="A3460" s="2">
        <v>43272</v>
      </c>
      <c r="B3460" s="1">
        <v>0</v>
      </c>
      <c r="C3460" t="s">
        <v>5166</v>
      </c>
      <c r="D3460" t="s">
        <v>5050</v>
      </c>
      <c r="E3460" t="s">
        <v>5046</v>
      </c>
      <c r="F3460" t="s">
        <v>5168</v>
      </c>
      <c r="G3460" t="s">
        <v>5353</v>
      </c>
      <c r="H3460" t="s">
        <v>466</v>
      </c>
      <c r="J3460" s="2">
        <v>43272</v>
      </c>
      <c r="K3460">
        <v>84.5</v>
      </c>
    </row>
    <row r="3461" spans="1:11" x14ac:dyDescent="0.35">
      <c r="A3461" s="2">
        <v>43273</v>
      </c>
      <c r="B3461" s="1">
        <v>0</v>
      </c>
      <c r="C3461" t="s">
        <v>5155</v>
      </c>
      <c r="D3461" t="s">
        <v>5050</v>
      </c>
      <c r="E3461" t="s">
        <v>5046</v>
      </c>
      <c r="F3461" t="s">
        <v>5168</v>
      </c>
      <c r="G3461" t="s">
        <v>5353</v>
      </c>
      <c r="H3461" t="s">
        <v>479</v>
      </c>
      <c r="J3461" s="2">
        <v>43273</v>
      </c>
      <c r="K3461">
        <v>84.9</v>
      </c>
    </row>
    <row r="3462" spans="1:11" x14ac:dyDescent="0.35">
      <c r="A3462" s="2">
        <v>43274</v>
      </c>
      <c r="B3462" s="1">
        <v>0</v>
      </c>
      <c r="C3462" t="s">
        <v>5338</v>
      </c>
      <c r="D3462" t="s">
        <v>5050</v>
      </c>
      <c r="E3462" t="s">
        <v>5046</v>
      </c>
      <c r="F3462" t="s">
        <v>5168</v>
      </c>
      <c r="G3462" t="s">
        <v>5353</v>
      </c>
      <c r="H3462" t="s">
        <v>477</v>
      </c>
      <c r="J3462" s="2">
        <v>43274</v>
      </c>
      <c r="K3462">
        <v>85.4</v>
      </c>
    </row>
    <row r="3463" spans="1:11" x14ac:dyDescent="0.35">
      <c r="A3463" s="2">
        <v>43275</v>
      </c>
      <c r="B3463" s="1">
        <v>0</v>
      </c>
      <c r="C3463" t="s">
        <v>5527</v>
      </c>
      <c r="D3463" t="s">
        <v>5050</v>
      </c>
      <c r="E3463" t="s">
        <v>5046</v>
      </c>
      <c r="F3463" t="s">
        <v>5168</v>
      </c>
      <c r="G3463" t="s">
        <v>5349</v>
      </c>
      <c r="H3463" t="s">
        <v>350</v>
      </c>
      <c r="J3463" s="2">
        <v>43275</v>
      </c>
      <c r="K3463">
        <v>86.4</v>
      </c>
    </row>
    <row r="3464" spans="1:11" x14ac:dyDescent="0.35">
      <c r="A3464" s="2">
        <v>43276</v>
      </c>
      <c r="B3464" s="1">
        <v>0</v>
      </c>
      <c r="C3464" t="s">
        <v>5043</v>
      </c>
      <c r="D3464" t="s">
        <v>5240</v>
      </c>
      <c r="E3464" t="s">
        <v>5050</v>
      </c>
      <c r="F3464" t="s">
        <v>5168</v>
      </c>
      <c r="G3464" t="s">
        <v>5361</v>
      </c>
      <c r="H3464" t="s">
        <v>2565</v>
      </c>
      <c r="J3464" s="2">
        <v>43276</v>
      </c>
      <c r="K3464">
        <v>87.6</v>
      </c>
    </row>
    <row r="3465" spans="1:11" x14ac:dyDescent="0.35">
      <c r="A3465" s="2">
        <v>43277</v>
      </c>
      <c r="B3465" s="1">
        <v>0</v>
      </c>
      <c r="C3465" t="s">
        <v>5196</v>
      </c>
      <c r="D3465" t="s">
        <v>5179</v>
      </c>
      <c r="E3465" t="s">
        <v>5240</v>
      </c>
      <c r="F3465" t="s">
        <v>5168</v>
      </c>
      <c r="G3465" t="s">
        <v>5343</v>
      </c>
      <c r="H3465" t="s">
        <v>1471</v>
      </c>
      <c r="J3465" s="2">
        <v>43277</v>
      </c>
      <c r="K3465">
        <v>88.5</v>
      </c>
    </row>
    <row r="3466" spans="1:11" x14ac:dyDescent="0.35">
      <c r="A3466" s="2">
        <v>43278</v>
      </c>
      <c r="B3466" s="1">
        <v>0</v>
      </c>
      <c r="C3466" t="s">
        <v>5194</v>
      </c>
      <c r="D3466" t="s">
        <v>5058</v>
      </c>
      <c r="E3466" t="s">
        <v>5240</v>
      </c>
      <c r="F3466" t="s">
        <v>5168</v>
      </c>
      <c r="G3466" t="s">
        <v>5343</v>
      </c>
      <c r="H3466" t="s">
        <v>1535</v>
      </c>
      <c r="J3466" s="2">
        <v>43278</v>
      </c>
      <c r="K3466">
        <v>88.9</v>
      </c>
    </row>
    <row r="3467" spans="1:11" x14ac:dyDescent="0.35">
      <c r="A3467" s="2">
        <v>43279</v>
      </c>
      <c r="B3467" s="1">
        <v>0</v>
      </c>
      <c r="C3467" t="s">
        <v>5307</v>
      </c>
      <c r="D3467" t="s">
        <v>5412</v>
      </c>
      <c r="E3467" t="s">
        <v>5240</v>
      </c>
      <c r="F3467" t="s">
        <v>5168</v>
      </c>
      <c r="G3467" t="s">
        <v>5343</v>
      </c>
      <c r="H3467" t="s">
        <v>979</v>
      </c>
      <c r="J3467" s="2">
        <v>43279</v>
      </c>
      <c r="K3467">
        <v>90.7</v>
      </c>
    </row>
    <row r="3468" spans="1:11" x14ac:dyDescent="0.35">
      <c r="A3468" s="2">
        <v>43280</v>
      </c>
      <c r="B3468" s="1">
        <v>0</v>
      </c>
      <c r="C3468" t="s">
        <v>5525</v>
      </c>
      <c r="D3468" t="s">
        <v>5065</v>
      </c>
      <c r="E3468" t="s">
        <v>5240</v>
      </c>
      <c r="F3468" t="s">
        <v>5168</v>
      </c>
      <c r="G3468" t="s">
        <v>5344</v>
      </c>
      <c r="H3468" t="s">
        <v>2607</v>
      </c>
      <c r="J3468" s="2">
        <v>43280</v>
      </c>
      <c r="K3468">
        <v>93.6</v>
      </c>
    </row>
    <row r="3469" spans="1:11" x14ac:dyDescent="0.35">
      <c r="A3469" s="2">
        <v>43281</v>
      </c>
      <c r="B3469" s="1">
        <v>0</v>
      </c>
      <c r="C3469" t="s">
        <v>5181</v>
      </c>
      <c r="D3469" t="s">
        <v>5215</v>
      </c>
      <c r="E3469" t="s">
        <v>5240</v>
      </c>
      <c r="F3469" t="s">
        <v>5168</v>
      </c>
      <c r="G3469" t="s">
        <v>5344</v>
      </c>
      <c r="H3469" t="s">
        <v>1472</v>
      </c>
      <c r="J3469" s="2">
        <v>43281</v>
      </c>
      <c r="K3469">
        <v>95.6</v>
      </c>
    </row>
    <row r="3470" spans="1:11" x14ac:dyDescent="0.35">
      <c r="A3470" t="s">
        <v>3767</v>
      </c>
      <c r="B3470" s="1">
        <v>0</v>
      </c>
      <c r="C3470" t="s">
        <v>5283</v>
      </c>
      <c r="D3470" t="s">
        <v>5099</v>
      </c>
      <c r="E3470" t="s">
        <v>5240</v>
      </c>
      <c r="F3470" t="s">
        <v>5168</v>
      </c>
      <c r="G3470" t="s">
        <v>5344</v>
      </c>
      <c r="H3470" t="s">
        <v>2605</v>
      </c>
      <c r="J3470" t="s">
        <v>3767</v>
      </c>
      <c r="K3470">
        <v>94.8</v>
      </c>
    </row>
    <row r="3471" spans="1:11" x14ac:dyDescent="0.35">
      <c r="A3471" t="s">
        <v>3768</v>
      </c>
      <c r="B3471" s="1">
        <v>0</v>
      </c>
      <c r="C3471" t="s">
        <v>5345</v>
      </c>
      <c r="D3471" t="s">
        <v>5156</v>
      </c>
      <c r="E3471" t="s">
        <v>5562</v>
      </c>
      <c r="F3471" t="s">
        <v>5364</v>
      </c>
      <c r="G3471" t="s">
        <v>5556</v>
      </c>
      <c r="H3471" t="s">
        <v>5636</v>
      </c>
      <c r="J3471" t="s">
        <v>3768</v>
      </c>
      <c r="K3471">
        <v>69.2</v>
      </c>
    </row>
    <row r="3472" spans="1:11" x14ac:dyDescent="0.35">
      <c r="A3472" t="s">
        <v>3769</v>
      </c>
      <c r="B3472" s="1">
        <v>0</v>
      </c>
      <c r="C3472" t="s">
        <v>5166</v>
      </c>
      <c r="D3472" t="s">
        <v>5348</v>
      </c>
      <c r="E3472" t="s">
        <v>5562</v>
      </c>
      <c r="F3472" t="s">
        <v>5364</v>
      </c>
      <c r="G3472" t="s">
        <v>5368</v>
      </c>
      <c r="H3472" t="s">
        <v>377</v>
      </c>
      <c r="J3472" t="s">
        <v>3769</v>
      </c>
      <c r="K3472">
        <v>67.7</v>
      </c>
    </row>
    <row r="3473" spans="1:11" x14ac:dyDescent="0.35">
      <c r="A3473" t="s">
        <v>3770</v>
      </c>
      <c r="B3473" s="1">
        <v>0</v>
      </c>
      <c r="C3473" t="s">
        <v>5199</v>
      </c>
      <c r="D3473" t="s">
        <v>5177</v>
      </c>
      <c r="E3473" t="s">
        <v>5562</v>
      </c>
      <c r="F3473" t="s">
        <v>5364</v>
      </c>
      <c r="G3473" t="s">
        <v>5368</v>
      </c>
      <c r="H3473" t="s">
        <v>5620</v>
      </c>
      <c r="J3473" t="s">
        <v>3770</v>
      </c>
      <c r="K3473">
        <v>68.900000000000006</v>
      </c>
    </row>
    <row r="3474" spans="1:11" x14ac:dyDescent="0.35">
      <c r="A3474" t="s">
        <v>3771</v>
      </c>
      <c r="B3474" s="1">
        <v>0</v>
      </c>
      <c r="C3474" t="s">
        <v>5047</v>
      </c>
      <c r="D3474" t="s">
        <v>5180</v>
      </c>
      <c r="E3474" t="s">
        <v>5409</v>
      </c>
      <c r="F3474" t="s">
        <v>5364</v>
      </c>
      <c r="G3474" t="s">
        <v>5556</v>
      </c>
      <c r="H3474" t="s">
        <v>2252</v>
      </c>
      <c r="J3474" t="s">
        <v>3771</v>
      </c>
      <c r="K3474">
        <v>71.3</v>
      </c>
    </row>
    <row r="3475" spans="1:11" x14ac:dyDescent="0.35">
      <c r="A3475" t="s">
        <v>3772</v>
      </c>
      <c r="B3475" s="1">
        <v>0</v>
      </c>
      <c r="C3475" t="s">
        <v>5047</v>
      </c>
      <c r="D3475" t="s">
        <v>5184</v>
      </c>
      <c r="E3475" t="s">
        <v>5409</v>
      </c>
      <c r="F3475" t="s">
        <v>5364</v>
      </c>
      <c r="G3475" t="s">
        <v>5556</v>
      </c>
      <c r="H3475" t="s">
        <v>410</v>
      </c>
      <c r="J3475" t="s">
        <v>3772</v>
      </c>
      <c r="K3475">
        <v>71.2</v>
      </c>
    </row>
    <row r="3476" spans="1:11" x14ac:dyDescent="0.35">
      <c r="A3476" t="s">
        <v>3773</v>
      </c>
      <c r="B3476" s="1">
        <v>0</v>
      </c>
      <c r="C3476" t="s">
        <v>5314</v>
      </c>
      <c r="D3476" t="s">
        <v>5195</v>
      </c>
      <c r="E3476" t="s">
        <v>5409</v>
      </c>
      <c r="F3476" t="s">
        <v>5364</v>
      </c>
      <c r="G3476" t="s">
        <v>5556</v>
      </c>
      <c r="H3476" t="s">
        <v>5636</v>
      </c>
      <c r="J3476" t="s">
        <v>3773</v>
      </c>
      <c r="K3476">
        <v>69.2</v>
      </c>
    </row>
    <row r="3477" spans="1:11" x14ac:dyDescent="0.35">
      <c r="A3477" t="s">
        <v>3774</v>
      </c>
      <c r="B3477" s="1">
        <v>0</v>
      </c>
      <c r="C3477" t="s">
        <v>5355</v>
      </c>
      <c r="D3477" t="s">
        <v>5186</v>
      </c>
      <c r="E3477" t="s">
        <v>5409</v>
      </c>
      <c r="F3477" t="s">
        <v>5364</v>
      </c>
      <c r="G3477" t="s">
        <v>5365</v>
      </c>
      <c r="H3477" t="s">
        <v>5466</v>
      </c>
      <c r="J3477" t="s">
        <v>3774</v>
      </c>
      <c r="K3477">
        <v>66.3</v>
      </c>
    </row>
    <row r="3478" spans="1:11" x14ac:dyDescent="0.35">
      <c r="A3478" t="s">
        <v>3775</v>
      </c>
      <c r="B3478" s="1">
        <v>0</v>
      </c>
      <c r="C3478" t="s">
        <v>5412</v>
      </c>
      <c r="D3478" t="s">
        <v>5189</v>
      </c>
      <c r="E3478" t="s">
        <v>5409</v>
      </c>
      <c r="F3478" t="s">
        <v>5364</v>
      </c>
      <c r="G3478" t="s">
        <v>5371</v>
      </c>
      <c r="H3478" t="s">
        <v>5564</v>
      </c>
      <c r="J3478" t="s">
        <v>3775</v>
      </c>
      <c r="K3478">
        <v>64</v>
      </c>
    </row>
    <row r="3479" spans="1:11" x14ac:dyDescent="0.35">
      <c r="A3479" t="s">
        <v>3776</v>
      </c>
      <c r="B3479" s="1">
        <v>0</v>
      </c>
      <c r="C3479" t="s">
        <v>5227</v>
      </c>
      <c r="D3479" t="s">
        <v>5189</v>
      </c>
      <c r="E3479" t="s">
        <v>5409</v>
      </c>
      <c r="F3479" t="s">
        <v>5364</v>
      </c>
      <c r="G3479" t="s">
        <v>5372</v>
      </c>
      <c r="H3479" t="s">
        <v>5467</v>
      </c>
      <c r="J3479" t="s">
        <v>3776</v>
      </c>
      <c r="K3479">
        <v>62.6</v>
      </c>
    </row>
    <row r="3480" spans="1:11" x14ac:dyDescent="0.35">
      <c r="A3480" t="s">
        <v>3777</v>
      </c>
      <c r="B3480" s="1">
        <v>0</v>
      </c>
      <c r="C3480" t="s">
        <v>5297</v>
      </c>
      <c r="D3480" t="s">
        <v>5189</v>
      </c>
      <c r="E3480" t="s">
        <v>5409</v>
      </c>
      <c r="F3480" t="s">
        <v>5364</v>
      </c>
      <c r="G3480" t="s">
        <v>5372</v>
      </c>
      <c r="H3480" t="s">
        <v>5514</v>
      </c>
      <c r="J3480" t="s">
        <v>3777</v>
      </c>
      <c r="K3480">
        <v>61.7</v>
      </c>
    </row>
    <row r="3481" spans="1:11" x14ac:dyDescent="0.35">
      <c r="A3481" t="s">
        <v>3778</v>
      </c>
      <c r="B3481" s="1">
        <v>0</v>
      </c>
      <c r="C3481" t="s">
        <v>5397</v>
      </c>
      <c r="D3481" t="s">
        <v>5357</v>
      </c>
      <c r="E3481" t="s">
        <v>5409</v>
      </c>
      <c r="F3481" t="s">
        <v>5364</v>
      </c>
      <c r="G3481" t="s">
        <v>5372</v>
      </c>
      <c r="H3481" t="s">
        <v>5499</v>
      </c>
      <c r="J3481" t="s">
        <v>3778</v>
      </c>
      <c r="K3481">
        <v>61.1</v>
      </c>
    </row>
    <row r="3482" spans="1:11" x14ac:dyDescent="0.35">
      <c r="A3482" t="s">
        <v>3779</v>
      </c>
      <c r="B3482" s="1">
        <v>0</v>
      </c>
      <c r="C3482" t="s">
        <v>5432</v>
      </c>
      <c r="D3482" t="s">
        <v>5357</v>
      </c>
      <c r="E3482" t="s">
        <v>5409</v>
      </c>
      <c r="F3482" t="s">
        <v>5364</v>
      </c>
      <c r="G3482" t="s">
        <v>5375</v>
      </c>
      <c r="H3482" t="s">
        <v>5580</v>
      </c>
      <c r="J3482" t="s">
        <v>3779</v>
      </c>
      <c r="K3482">
        <v>60.7</v>
      </c>
    </row>
    <row r="3483" spans="1:11" x14ac:dyDescent="0.35">
      <c r="A3483" t="s">
        <v>3780</v>
      </c>
      <c r="B3483" s="1">
        <v>0</v>
      </c>
      <c r="C3483" t="s">
        <v>5411</v>
      </c>
      <c r="D3483" t="s">
        <v>5357</v>
      </c>
      <c r="E3483" t="s">
        <v>5409</v>
      </c>
      <c r="F3483" t="s">
        <v>5364</v>
      </c>
      <c r="G3483" t="s">
        <v>5375</v>
      </c>
      <c r="H3483" t="s">
        <v>5134</v>
      </c>
      <c r="J3483" t="s">
        <v>3780</v>
      </c>
      <c r="K3483">
        <v>60.5</v>
      </c>
    </row>
    <row r="3484" spans="1:11" x14ac:dyDescent="0.35">
      <c r="A3484" t="s">
        <v>3781</v>
      </c>
      <c r="B3484" s="1">
        <v>0</v>
      </c>
      <c r="C3484" t="s">
        <v>5337</v>
      </c>
      <c r="D3484" t="s">
        <v>5357</v>
      </c>
      <c r="E3484" t="s">
        <v>5409</v>
      </c>
      <c r="F3484" t="s">
        <v>5364</v>
      </c>
      <c r="G3484" t="s">
        <v>5375</v>
      </c>
      <c r="H3484" t="s">
        <v>5130</v>
      </c>
      <c r="J3484" t="s">
        <v>3781</v>
      </c>
      <c r="K3484">
        <v>60.3</v>
      </c>
    </row>
    <row r="3485" spans="1:11" x14ac:dyDescent="0.35">
      <c r="A3485" t="s">
        <v>3782</v>
      </c>
      <c r="B3485" s="1">
        <v>0</v>
      </c>
      <c r="C3485" t="s">
        <v>5339</v>
      </c>
      <c r="D3485" t="s">
        <v>5357</v>
      </c>
      <c r="E3485" t="s">
        <v>5409</v>
      </c>
      <c r="F3485" t="s">
        <v>5364</v>
      </c>
      <c r="G3485" t="s">
        <v>5375</v>
      </c>
      <c r="H3485" t="s">
        <v>5616</v>
      </c>
      <c r="J3485" t="s">
        <v>3782</v>
      </c>
      <c r="K3485">
        <v>60.2</v>
      </c>
    </row>
    <row r="3486" spans="1:11" x14ac:dyDescent="0.35">
      <c r="A3486" t="s">
        <v>3783</v>
      </c>
      <c r="B3486" s="1">
        <v>0</v>
      </c>
      <c r="C3486" t="s">
        <v>5156</v>
      </c>
      <c r="D3486" t="s">
        <v>5357</v>
      </c>
      <c r="E3486" t="s">
        <v>5409</v>
      </c>
      <c r="F3486" t="s">
        <v>5364</v>
      </c>
      <c r="G3486" t="s">
        <v>5375</v>
      </c>
      <c r="H3486" t="s">
        <v>5490</v>
      </c>
      <c r="J3486" t="s">
        <v>3783</v>
      </c>
      <c r="K3486">
        <v>60.1</v>
      </c>
    </row>
    <row r="3487" spans="1:11" x14ac:dyDescent="0.35">
      <c r="A3487" t="s">
        <v>3784</v>
      </c>
      <c r="B3487" s="1">
        <v>0</v>
      </c>
      <c r="C3487" t="s">
        <v>5156</v>
      </c>
      <c r="D3487" t="s">
        <v>5357</v>
      </c>
      <c r="E3487" t="s">
        <v>5409</v>
      </c>
      <c r="F3487" t="s">
        <v>5364</v>
      </c>
      <c r="G3487" t="s">
        <v>5375</v>
      </c>
      <c r="H3487" t="s">
        <v>5490</v>
      </c>
      <c r="J3487" t="s">
        <v>3784</v>
      </c>
      <c r="K3487">
        <v>60.1</v>
      </c>
    </row>
    <row r="3488" spans="1:11" x14ac:dyDescent="0.35">
      <c r="A3488" t="s">
        <v>3785</v>
      </c>
      <c r="B3488" s="1">
        <v>0</v>
      </c>
      <c r="C3488" t="s">
        <v>5168</v>
      </c>
      <c r="D3488" t="s">
        <v>5357</v>
      </c>
      <c r="E3488" t="s">
        <v>5409</v>
      </c>
      <c r="F3488" t="s">
        <v>5364</v>
      </c>
      <c r="G3488" t="s">
        <v>5375</v>
      </c>
      <c r="H3488" t="s">
        <v>5490</v>
      </c>
      <c r="J3488" t="s">
        <v>3785</v>
      </c>
      <c r="K3488">
        <v>60.1</v>
      </c>
    </row>
    <row r="3489" spans="1:11" x14ac:dyDescent="0.35">
      <c r="A3489" t="s">
        <v>3786</v>
      </c>
      <c r="B3489" s="1">
        <v>0</v>
      </c>
      <c r="C3489" t="s">
        <v>5168</v>
      </c>
      <c r="D3489" t="s">
        <v>5357</v>
      </c>
      <c r="E3489" t="s">
        <v>5409</v>
      </c>
      <c r="F3489" t="s">
        <v>5364</v>
      </c>
      <c r="G3489" t="s">
        <v>5375</v>
      </c>
      <c r="H3489" t="s">
        <v>5510</v>
      </c>
      <c r="J3489" t="s">
        <v>3786</v>
      </c>
      <c r="K3489">
        <v>60</v>
      </c>
    </row>
    <row r="3490" spans="1:11" x14ac:dyDescent="0.35">
      <c r="A3490" t="s">
        <v>3787</v>
      </c>
      <c r="B3490" s="1">
        <v>0</v>
      </c>
      <c r="C3490" t="s">
        <v>5168</v>
      </c>
      <c r="D3490" t="s">
        <v>5357</v>
      </c>
      <c r="E3490" t="s">
        <v>5409</v>
      </c>
      <c r="F3490" t="s">
        <v>5364</v>
      </c>
      <c r="G3490" t="s">
        <v>5375</v>
      </c>
      <c r="H3490" t="s">
        <v>5510</v>
      </c>
      <c r="J3490" t="s">
        <v>3787</v>
      </c>
      <c r="K3490">
        <v>60</v>
      </c>
    </row>
    <row r="3491" spans="1:11" x14ac:dyDescent="0.35">
      <c r="A3491" t="s">
        <v>3788</v>
      </c>
      <c r="B3491" s="1">
        <v>0</v>
      </c>
      <c r="C3491" t="s">
        <v>5168</v>
      </c>
      <c r="D3491" t="s">
        <v>5357</v>
      </c>
      <c r="E3491" t="s">
        <v>5409</v>
      </c>
      <c r="F3491" t="s">
        <v>5364</v>
      </c>
      <c r="G3491" t="s">
        <v>5375</v>
      </c>
      <c r="H3491" t="s">
        <v>5510</v>
      </c>
      <c r="J3491" t="s">
        <v>3788</v>
      </c>
      <c r="K3491">
        <v>60</v>
      </c>
    </row>
    <row r="3492" spans="1:11" x14ac:dyDescent="0.35">
      <c r="A3492" t="s">
        <v>3789</v>
      </c>
      <c r="B3492" s="1">
        <v>0</v>
      </c>
      <c r="C3492" t="s">
        <v>5168</v>
      </c>
      <c r="D3492" t="s">
        <v>5357</v>
      </c>
      <c r="E3492" t="s">
        <v>5409</v>
      </c>
      <c r="F3492" t="s">
        <v>5364</v>
      </c>
      <c r="G3492" t="s">
        <v>5375</v>
      </c>
      <c r="H3492" t="s">
        <v>5510</v>
      </c>
      <c r="J3492" t="s">
        <v>3789</v>
      </c>
      <c r="K3492">
        <v>60</v>
      </c>
    </row>
    <row r="3493" spans="1:11" x14ac:dyDescent="0.35">
      <c r="A3493" t="s">
        <v>3790</v>
      </c>
      <c r="B3493" s="1">
        <v>0</v>
      </c>
      <c r="C3493" t="s">
        <v>5168</v>
      </c>
      <c r="D3493" t="s">
        <v>5357</v>
      </c>
      <c r="E3493" t="s">
        <v>5409</v>
      </c>
      <c r="F3493" t="s">
        <v>5364</v>
      </c>
      <c r="G3493" t="s">
        <v>5375</v>
      </c>
      <c r="H3493" t="s">
        <v>5510</v>
      </c>
      <c r="J3493" t="s">
        <v>3790</v>
      </c>
      <c r="K3493">
        <v>60</v>
      </c>
    </row>
    <row r="3494" spans="1:11" x14ac:dyDescent="0.35">
      <c r="A3494" t="s">
        <v>3791</v>
      </c>
      <c r="B3494" s="1">
        <v>0</v>
      </c>
      <c r="C3494" t="s">
        <v>5168</v>
      </c>
      <c r="D3494" t="s">
        <v>5357</v>
      </c>
      <c r="E3494" t="s">
        <v>5409</v>
      </c>
      <c r="F3494" t="s">
        <v>5364</v>
      </c>
      <c r="G3494" t="s">
        <v>5375</v>
      </c>
      <c r="H3494" t="s">
        <v>5510</v>
      </c>
      <c r="J3494" t="s">
        <v>3791</v>
      </c>
      <c r="K3494">
        <v>60</v>
      </c>
    </row>
    <row r="3495" spans="1:11" x14ac:dyDescent="0.35">
      <c r="A3495" t="s">
        <v>3792</v>
      </c>
      <c r="B3495" s="1">
        <v>0</v>
      </c>
      <c r="C3495" t="s">
        <v>5168</v>
      </c>
      <c r="D3495" t="s">
        <v>5357</v>
      </c>
      <c r="E3495" t="s">
        <v>5409</v>
      </c>
      <c r="F3495" t="s">
        <v>5364</v>
      </c>
      <c r="G3495" t="s">
        <v>5375</v>
      </c>
      <c r="H3495" t="s">
        <v>5510</v>
      </c>
      <c r="J3495" t="s">
        <v>3792</v>
      </c>
      <c r="K3495">
        <v>60</v>
      </c>
    </row>
    <row r="3496" spans="1:11" x14ac:dyDescent="0.35">
      <c r="A3496" t="s">
        <v>3793</v>
      </c>
      <c r="B3496" s="1">
        <v>0</v>
      </c>
      <c r="C3496" t="s">
        <v>5168</v>
      </c>
      <c r="D3496" t="s">
        <v>5357</v>
      </c>
      <c r="E3496" t="s">
        <v>5409</v>
      </c>
      <c r="F3496" t="s">
        <v>5364</v>
      </c>
      <c r="G3496" t="s">
        <v>5375</v>
      </c>
      <c r="H3496" t="s">
        <v>5510</v>
      </c>
      <c r="J3496" t="s">
        <v>3793</v>
      </c>
      <c r="K3496">
        <v>60</v>
      </c>
    </row>
    <row r="3497" spans="1:11" x14ac:dyDescent="0.35">
      <c r="A3497" t="s">
        <v>3794</v>
      </c>
      <c r="B3497" s="1">
        <v>0</v>
      </c>
      <c r="C3497" t="s">
        <v>5168</v>
      </c>
      <c r="D3497" t="s">
        <v>5357</v>
      </c>
      <c r="E3497" t="s">
        <v>5409</v>
      </c>
      <c r="F3497" t="s">
        <v>5364</v>
      </c>
      <c r="G3497" t="s">
        <v>5375</v>
      </c>
      <c r="H3497" t="s">
        <v>5510</v>
      </c>
      <c r="J3497" t="s">
        <v>3794</v>
      </c>
      <c r="K3497">
        <v>60</v>
      </c>
    </row>
    <row r="3498" spans="1:11" x14ac:dyDescent="0.35">
      <c r="A3498" t="s">
        <v>3795</v>
      </c>
      <c r="B3498" s="1">
        <v>0</v>
      </c>
      <c r="C3498" t="s">
        <v>5168</v>
      </c>
      <c r="D3498" t="s">
        <v>5357</v>
      </c>
      <c r="E3498" t="s">
        <v>5409</v>
      </c>
      <c r="F3498" t="s">
        <v>5364</v>
      </c>
      <c r="G3498" t="s">
        <v>5375</v>
      </c>
      <c r="H3498" t="s">
        <v>5510</v>
      </c>
      <c r="J3498" t="s">
        <v>3795</v>
      </c>
      <c r="K3498">
        <v>60</v>
      </c>
    </row>
    <row r="3499" spans="1:11" x14ac:dyDescent="0.35">
      <c r="A3499" t="s">
        <v>3796</v>
      </c>
      <c r="B3499" s="1">
        <v>0</v>
      </c>
      <c r="C3499" t="s">
        <v>5168</v>
      </c>
      <c r="D3499" t="s">
        <v>5357</v>
      </c>
      <c r="E3499" t="s">
        <v>5409</v>
      </c>
      <c r="F3499" t="s">
        <v>5364</v>
      </c>
      <c r="G3499" t="s">
        <v>5375</v>
      </c>
      <c r="H3499" t="s">
        <v>5490</v>
      </c>
      <c r="J3499" t="s">
        <v>3796</v>
      </c>
      <c r="K3499">
        <v>60.1</v>
      </c>
    </row>
    <row r="3500" spans="1:11" x14ac:dyDescent="0.35">
      <c r="A3500" t="s">
        <v>3797</v>
      </c>
      <c r="B3500" s="1">
        <v>0</v>
      </c>
      <c r="C3500" t="s">
        <v>5330</v>
      </c>
      <c r="D3500" t="s">
        <v>5184</v>
      </c>
      <c r="E3500" t="s">
        <v>5396</v>
      </c>
      <c r="F3500" t="s">
        <v>5364</v>
      </c>
      <c r="G3500" t="s">
        <v>5372</v>
      </c>
      <c r="H3500" t="s">
        <v>5643</v>
      </c>
      <c r="J3500" t="s">
        <v>3797</v>
      </c>
      <c r="K3500">
        <v>62</v>
      </c>
    </row>
    <row r="3501" spans="1:11" x14ac:dyDescent="0.35">
      <c r="A3501" s="2">
        <v>43313</v>
      </c>
      <c r="B3501" s="1">
        <v>0</v>
      </c>
      <c r="C3501" t="s">
        <v>5183</v>
      </c>
      <c r="D3501" t="s">
        <v>5411</v>
      </c>
      <c r="E3501" t="s">
        <v>5402</v>
      </c>
      <c r="F3501" t="s">
        <v>5364</v>
      </c>
      <c r="G3501" t="s">
        <v>5371</v>
      </c>
      <c r="H3501" t="s">
        <v>5466</v>
      </c>
      <c r="J3501" s="2">
        <v>43313</v>
      </c>
      <c r="K3501">
        <v>66.3</v>
      </c>
    </row>
    <row r="3502" spans="1:11" x14ac:dyDescent="0.35">
      <c r="A3502" s="2">
        <v>43314</v>
      </c>
      <c r="B3502" s="1">
        <v>0</v>
      </c>
      <c r="C3502" t="s">
        <v>5336</v>
      </c>
      <c r="D3502" t="s">
        <v>5172</v>
      </c>
      <c r="E3502" t="s">
        <v>5339</v>
      </c>
      <c r="F3502" t="s">
        <v>5383</v>
      </c>
      <c r="G3502" t="s">
        <v>5883</v>
      </c>
      <c r="H3502" t="s">
        <v>2581</v>
      </c>
      <c r="J3502" s="2">
        <v>43314</v>
      </c>
      <c r="K3502">
        <v>76</v>
      </c>
    </row>
    <row r="3503" spans="1:11" x14ac:dyDescent="0.35">
      <c r="A3503" s="2">
        <v>43315</v>
      </c>
      <c r="B3503" s="1">
        <v>0</v>
      </c>
      <c r="C3503" t="s">
        <v>5314</v>
      </c>
      <c r="D3503" t="s">
        <v>5174</v>
      </c>
      <c r="E3503" t="s">
        <v>5337</v>
      </c>
      <c r="F3503" t="s">
        <v>5383</v>
      </c>
      <c r="G3503" t="s">
        <v>5883</v>
      </c>
      <c r="H3503" t="s">
        <v>4641</v>
      </c>
      <c r="J3503" s="2">
        <v>43315</v>
      </c>
      <c r="K3503">
        <v>77</v>
      </c>
    </row>
    <row r="3504" spans="1:11" x14ac:dyDescent="0.35">
      <c r="A3504" s="2">
        <v>43316</v>
      </c>
      <c r="B3504" s="1">
        <v>0</v>
      </c>
      <c r="C3504" t="s">
        <v>5331</v>
      </c>
      <c r="D3504" t="s">
        <v>5207</v>
      </c>
      <c r="E3504" t="s">
        <v>5339</v>
      </c>
      <c r="F3504" t="s">
        <v>5383</v>
      </c>
      <c r="G3504" t="s">
        <v>5879</v>
      </c>
      <c r="H3504" t="s">
        <v>1879</v>
      </c>
      <c r="J3504" s="2">
        <v>43316</v>
      </c>
      <c r="K3504">
        <v>75.3</v>
      </c>
    </row>
    <row r="3505" spans="1:11" x14ac:dyDescent="0.35">
      <c r="A3505" s="2">
        <v>43317</v>
      </c>
      <c r="B3505" s="1">
        <v>0</v>
      </c>
      <c r="C3505" t="s">
        <v>5132</v>
      </c>
      <c r="D3505" t="s">
        <v>5291</v>
      </c>
      <c r="E3505" t="s">
        <v>5164</v>
      </c>
      <c r="F3505" t="s">
        <v>5383</v>
      </c>
      <c r="G3505" t="s">
        <v>5884</v>
      </c>
      <c r="H3505" t="s">
        <v>2584</v>
      </c>
      <c r="J3505" s="2">
        <v>43317</v>
      </c>
      <c r="K3505">
        <v>72.400000000000006</v>
      </c>
    </row>
    <row r="3506" spans="1:11" x14ac:dyDescent="0.35">
      <c r="A3506" s="2">
        <v>43318</v>
      </c>
      <c r="B3506" s="1">
        <v>0</v>
      </c>
      <c r="C3506" t="s">
        <v>5475</v>
      </c>
      <c r="D3506" t="s">
        <v>5330</v>
      </c>
      <c r="E3506" t="s">
        <v>5180</v>
      </c>
      <c r="F3506" t="s">
        <v>5383</v>
      </c>
      <c r="G3506" t="s">
        <v>5884</v>
      </c>
      <c r="H3506" t="s">
        <v>993</v>
      </c>
      <c r="J3506" s="2">
        <v>43318</v>
      </c>
      <c r="K3506">
        <v>69.7</v>
      </c>
    </row>
    <row r="3507" spans="1:11" x14ac:dyDescent="0.35">
      <c r="A3507" s="2">
        <v>43319</v>
      </c>
      <c r="B3507" s="1">
        <v>0</v>
      </c>
      <c r="C3507" t="s">
        <v>5046</v>
      </c>
      <c r="D3507" t="s">
        <v>5140</v>
      </c>
      <c r="E3507" t="s">
        <v>5184</v>
      </c>
      <c r="F3507" t="s">
        <v>5383</v>
      </c>
      <c r="G3507" t="s">
        <v>5885</v>
      </c>
      <c r="H3507" t="s">
        <v>5644</v>
      </c>
      <c r="J3507" s="2">
        <v>43319</v>
      </c>
      <c r="K3507">
        <v>68.2</v>
      </c>
    </row>
    <row r="3508" spans="1:11" x14ac:dyDescent="0.35">
      <c r="A3508" s="2">
        <v>43320</v>
      </c>
      <c r="B3508" s="1">
        <v>0</v>
      </c>
      <c r="C3508" t="s">
        <v>5227</v>
      </c>
      <c r="D3508" t="s">
        <v>5334</v>
      </c>
      <c r="E3508" t="s">
        <v>5186</v>
      </c>
      <c r="F3508" t="s">
        <v>5383</v>
      </c>
      <c r="G3508" t="s">
        <v>5885</v>
      </c>
      <c r="H3508" t="s">
        <v>383</v>
      </c>
      <c r="J3508" s="2">
        <v>43320</v>
      </c>
      <c r="K3508">
        <v>67.3</v>
      </c>
    </row>
    <row r="3509" spans="1:11" x14ac:dyDescent="0.35">
      <c r="A3509" s="2">
        <v>43321</v>
      </c>
      <c r="B3509" s="1">
        <v>0</v>
      </c>
      <c r="C3509" t="s">
        <v>5226</v>
      </c>
      <c r="D3509" t="s">
        <v>5337</v>
      </c>
      <c r="E3509" t="s">
        <v>5186</v>
      </c>
      <c r="F3509" t="s">
        <v>5383</v>
      </c>
      <c r="G3509" t="s">
        <v>5885</v>
      </c>
      <c r="H3509" t="s">
        <v>5407</v>
      </c>
      <c r="J3509" s="2">
        <v>43321</v>
      </c>
      <c r="K3509">
        <v>66.7</v>
      </c>
    </row>
    <row r="3510" spans="1:11" x14ac:dyDescent="0.35">
      <c r="A3510" s="2">
        <v>43322</v>
      </c>
      <c r="B3510" s="1">
        <v>0</v>
      </c>
      <c r="C3510" t="s">
        <v>5172</v>
      </c>
      <c r="D3510" t="s">
        <v>5397</v>
      </c>
      <c r="E3510" t="s">
        <v>5180</v>
      </c>
      <c r="F3510" t="s">
        <v>5383</v>
      </c>
      <c r="G3510" t="s">
        <v>5888</v>
      </c>
      <c r="H3510" t="s">
        <v>5644</v>
      </c>
      <c r="J3510" s="2">
        <v>43322</v>
      </c>
      <c r="K3510">
        <v>68.2</v>
      </c>
    </row>
    <row r="3511" spans="1:11" x14ac:dyDescent="0.35">
      <c r="A3511" s="2">
        <v>43323</v>
      </c>
      <c r="B3511" s="1">
        <v>0</v>
      </c>
      <c r="C3511" t="s">
        <v>5475</v>
      </c>
      <c r="D3511" t="s">
        <v>5230</v>
      </c>
      <c r="E3511" t="s">
        <v>5411</v>
      </c>
      <c r="F3511" t="s">
        <v>5383</v>
      </c>
      <c r="G3511" t="s">
        <v>5888</v>
      </c>
      <c r="H3511" t="s">
        <v>1516</v>
      </c>
      <c r="J3511" s="2">
        <v>43323</v>
      </c>
      <c r="K3511">
        <v>72.099999999999994</v>
      </c>
    </row>
    <row r="3512" spans="1:11" x14ac:dyDescent="0.35">
      <c r="A3512" s="2">
        <v>43324</v>
      </c>
      <c r="B3512" s="1">
        <v>0</v>
      </c>
      <c r="C3512" t="s">
        <v>5132</v>
      </c>
      <c r="D3512" t="s">
        <v>5045</v>
      </c>
      <c r="E3512" t="s">
        <v>5297</v>
      </c>
      <c r="F3512" t="s">
        <v>5383</v>
      </c>
      <c r="G3512" t="s">
        <v>5885</v>
      </c>
      <c r="H3512" t="s">
        <v>4641</v>
      </c>
      <c r="J3512" s="2">
        <v>43324</v>
      </c>
      <c r="K3512">
        <v>77</v>
      </c>
    </row>
    <row r="3513" spans="1:11" x14ac:dyDescent="0.35">
      <c r="A3513" s="2">
        <v>43325</v>
      </c>
      <c r="B3513" s="1">
        <v>0</v>
      </c>
      <c r="C3513" t="s">
        <v>5152</v>
      </c>
      <c r="D3513" t="s">
        <v>5493</v>
      </c>
      <c r="E3513" t="s">
        <v>5291</v>
      </c>
      <c r="F3513" t="s">
        <v>5383</v>
      </c>
      <c r="G3513" t="s">
        <v>5884</v>
      </c>
      <c r="H3513" t="s">
        <v>1915</v>
      </c>
      <c r="J3513" s="2">
        <v>43325</v>
      </c>
      <c r="K3513">
        <v>80</v>
      </c>
    </row>
    <row r="3514" spans="1:11" x14ac:dyDescent="0.35">
      <c r="A3514" s="2">
        <v>43326</v>
      </c>
      <c r="B3514" s="1">
        <v>0</v>
      </c>
      <c r="C3514" t="s">
        <v>5526</v>
      </c>
      <c r="D3514" t="s">
        <v>5132</v>
      </c>
      <c r="E3514" t="s">
        <v>5288</v>
      </c>
      <c r="F3514" t="s">
        <v>5383</v>
      </c>
      <c r="G3514" t="s">
        <v>5883</v>
      </c>
      <c r="H3514" t="s">
        <v>1042</v>
      </c>
      <c r="J3514" s="2">
        <v>43326</v>
      </c>
      <c r="K3514">
        <v>81.900000000000006</v>
      </c>
    </row>
    <row r="3515" spans="1:11" x14ac:dyDescent="0.35">
      <c r="A3515" s="2">
        <v>43327</v>
      </c>
      <c r="B3515" s="1">
        <v>0</v>
      </c>
      <c r="C3515" t="s">
        <v>5143</v>
      </c>
      <c r="D3515" t="s">
        <v>5082</v>
      </c>
      <c r="E3515" t="s">
        <v>5309</v>
      </c>
      <c r="F3515" t="s">
        <v>5383</v>
      </c>
      <c r="G3515" t="s">
        <v>5886</v>
      </c>
      <c r="H3515" t="s">
        <v>4381</v>
      </c>
      <c r="J3515" s="2">
        <v>43327</v>
      </c>
      <c r="K3515">
        <v>81.8</v>
      </c>
    </row>
    <row r="3516" spans="1:11" x14ac:dyDescent="0.35">
      <c r="A3516" s="2">
        <v>43328</v>
      </c>
      <c r="B3516" s="1">
        <v>0</v>
      </c>
      <c r="C3516" t="s">
        <v>5526</v>
      </c>
      <c r="D3516" t="s">
        <v>5179</v>
      </c>
      <c r="E3516" t="s">
        <v>5330</v>
      </c>
      <c r="F3516" t="s">
        <v>5383</v>
      </c>
      <c r="G3516" t="s">
        <v>5883</v>
      </c>
      <c r="H3516" t="s">
        <v>3212</v>
      </c>
      <c r="J3516" s="2">
        <v>43328</v>
      </c>
      <c r="K3516">
        <v>79</v>
      </c>
    </row>
    <row r="3517" spans="1:11" x14ac:dyDescent="0.35">
      <c r="A3517" s="2">
        <v>43329</v>
      </c>
      <c r="B3517" s="1">
        <v>0</v>
      </c>
      <c r="C3517" t="s">
        <v>5338</v>
      </c>
      <c r="D3517" t="s">
        <v>5207</v>
      </c>
      <c r="E3517" t="s">
        <v>5432</v>
      </c>
      <c r="F3517" t="s">
        <v>5383</v>
      </c>
      <c r="G3517" t="s">
        <v>5879</v>
      </c>
      <c r="H3517" t="s">
        <v>433</v>
      </c>
      <c r="J3517" s="2">
        <v>43329</v>
      </c>
      <c r="K3517">
        <v>75.7</v>
      </c>
    </row>
    <row r="3518" spans="1:11" x14ac:dyDescent="0.35">
      <c r="A3518" s="2">
        <v>43330</v>
      </c>
      <c r="B3518" s="1">
        <v>0</v>
      </c>
      <c r="C3518" t="s">
        <v>5077</v>
      </c>
      <c r="D3518" t="s">
        <v>5294</v>
      </c>
      <c r="E3518" t="s">
        <v>5339</v>
      </c>
      <c r="F3518" t="s">
        <v>5383</v>
      </c>
      <c r="G3518" t="s">
        <v>5884</v>
      </c>
      <c r="H3518" t="s">
        <v>1517</v>
      </c>
      <c r="J3518" s="2">
        <v>43330</v>
      </c>
      <c r="K3518">
        <v>72.3</v>
      </c>
    </row>
    <row r="3519" spans="1:11" x14ac:dyDescent="0.35">
      <c r="A3519" s="2">
        <v>43331</v>
      </c>
      <c r="B3519" s="1">
        <v>0</v>
      </c>
      <c r="C3519" t="s">
        <v>5183</v>
      </c>
      <c r="D3519" t="s">
        <v>5400</v>
      </c>
      <c r="E3519" t="s">
        <v>5348</v>
      </c>
      <c r="F3519" t="s">
        <v>5383</v>
      </c>
      <c r="G3519" t="s">
        <v>5884</v>
      </c>
      <c r="H3519" t="s">
        <v>394</v>
      </c>
      <c r="J3519" s="2">
        <v>43331</v>
      </c>
      <c r="K3519">
        <v>70.099999999999994</v>
      </c>
    </row>
    <row r="3520" spans="1:11" x14ac:dyDescent="0.35">
      <c r="A3520" s="2">
        <v>43332</v>
      </c>
      <c r="B3520" s="1">
        <v>0</v>
      </c>
      <c r="C3520" t="s">
        <v>5356</v>
      </c>
      <c r="D3520" t="s">
        <v>5330</v>
      </c>
      <c r="E3520" t="s">
        <v>5159</v>
      </c>
      <c r="F3520" t="s">
        <v>5383</v>
      </c>
      <c r="G3520" t="s">
        <v>5883</v>
      </c>
      <c r="H3520" t="s">
        <v>430</v>
      </c>
      <c r="J3520" s="2">
        <v>43332</v>
      </c>
      <c r="K3520">
        <v>71.7</v>
      </c>
    </row>
    <row r="3521" spans="1:11" x14ac:dyDescent="0.35">
      <c r="A3521" s="2">
        <v>43333</v>
      </c>
      <c r="B3521" s="1">
        <v>0</v>
      </c>
      <c r="C3521" t="s">
        <v>5311</v>
      </c>
      <c r="D3521" t="s">
        <v>5309</v>
      </c>
      <c r="E3521" t="s">
        <v>5164</v>
      </c>
      <c r="F3521" t="s">
        <v>5383</v>
      </c>
      <c r="G3521" t="s">
        <v>5887</v>
      </c>
      <c r="H3521" t="s">
        <v>1910</v>
      </c>
      <c r="J3521" s="2">
        <v>43333</v>
      </c>
      <c r="K3521">
        <v>76.900000000000006</v>
      </c>
    </row>
    <row r="3522" spans="1:11" x14ac:dyDescent="0.35">
      <c r="A3522" s="2">
        <v>43334</v>
      </c>
      <c r="B3522" s="1">
        <v>0</v>
      </c>
      <c r="C3522" t="s">
        <v>5052</v>
      </c>
      <c r="D3522" t="s">
        <v>5050</v>
      </c>
      <c r="E3522" t="s">
        <v>5337</v>
      </c>
      <c r="F3522" t="s">
        <v>5383</v>
      </c>
      <c r="G3522" t="s">
        <v>5362</v>
      </c>
      <c r="H3522" t="s">
        <v>466</v>
      </c>
      <c r="J3522" s="2">
        <v>43334</v>
      </c>
      <c r="K3522">
        <v>84.5</v>
      </c>
    </row>
    <row r="3523" spans="1:11" x14ac:dyDescent="0.35">
      <c r="A3523" s="2">
        <v>43335</v>
      </c>
      <c r="B3523" s="1">
        <v>0</v>
      </c>
      <c r="C3523" t="s">
        <v>5165</v>
      </c>
      <c r="D3523" t="s">
        <v>5116</v>
      </c>
      <c r="E3523" t="s">
        <v>5140</v>
      </c>
      <c r="F3523" t="s">
        <v>5383</v>
      </c>
      <c r="G3523" t="s">
        <v>5376</v>
      </c>
      <c r="H3523" t="s">
        <v>339</v>
      </c>
      <c r="J3523" s="2">
        <v>43335</v>
      </c>
      <c r="K3523">
        <v>93.2</v>
      </c>
    </row>
    <row r="3524" spans="1:11" x14ac:dyDescent="0.35">
      <c r="A3524" s="2">
        <v>43336</v>
      </c>
      <c r="B3524" s="1">
        <v>0</v>
      </c>
      <c r="C3524" t="s">
        <v>5519</v>
      </c>
      <c r="D3524" t="s">
        <v>5158</v>
      </c>
      <c r="E3524" t="s">
        <v>5294</v>
      </c>
      <c r="F3524" t="s">
        <v>5379</v>
      </c>
      <c r="G3524" t="s">
        <v>5380</v>
      </c>
      <c r="H3524" t="s">
        <v>5548</v>
      </c>
      <c r="J3524" s="2">
        <v>43336</v>
      </c>
      <c r="K3524">
        <v>105.7</v>
      </c>
    </row>
    <row r="3525" spans="1:11" x14ac:dyDescent="0.35">
      <c r="A3525" s="2">
        <v>43337</v>
      </c>
      <c r="B3525" s="1">
        <v>0</v>
      </c>
      <c r="C3525" t="s">
        <v>5481</v>
      </c>
      <c r="D3525" t="s">
        <v>5147</v>
      </c>
      <c r="E3525" t="s">
        <v>5172</v>
      </c>
      <c r="F3525" t="s">
        <v>5379</v>
      </c>
      <c r="G3525" t="s">
        <v>5555</v>
      </c>
      <c r="H3525" t="s">
        <v>1103</v>
      </c>
      <c r="J3525" s="2">
        <v>43337</v>
      </c>
      <c r="K3525">
        <v>116.6</v>
      </c>
    </row>
    <row r="3526" spans="1:11" x14ac:dyDescent="0.35">
      <c r="A3526" s="2">
        <v>43338</v>
      </c>
      <c r="B3526" s="1">
        <v>0</v>
      </c>
      <c r="C3526" t="s">
        <v>5491</v>
      </c>
      <c r="D3526" t="s">
        <v>5143</v>
      </c>
      <c r="E3526" t="s">
        <v>5240</v>
      </c>
      <c r="F3526" t="s">
        <v>5379</v>
      </c>
      <c r="G3526" t="s">
        <v>5559</v>
      </c>
      <c r="H3526" t="s">
        <v>2295</v>
      </c>
      <c r="J3526" s="2">
        <v>43338</v>
      </c>
      <c r="K3526">
        <v>120.6</v>
      </c>
    </row>
    <row r="3527" spans="1:11" x14ac:dyDescent="0.35">
      <c r="A3527" s="2">
        <v>43339</v>
      </c>
      <c r="B3527" s="1">
        <v>0</v>
      </c>
      <c r="C3527" t="s">
        <v>5389</v>
      </c>
      <c r="D3527" t="s">
        <v>5308</v>
      </c>
      <c r="E3527" t="s">
        <v>5058</v>
      </c>
      <c r="F3527" t="s">
        <v>5379</v>
      </c>
      <c r="G3527" t="s">
        <v>5382</v>
      </c>
      <c r="H3527" t="s">
        <v>266</v>
      </c>
      <c r="J3527" s="2">
        <v>43339</v>
      </c>
      <c r="K3527">
        <v>117.4</v>
      </c>
    </row>
    <row r="3528" spans="1:11" x14ac:dyDescent="0.35">
      <c r="A3528" s="2">
        <v>43340</v>
      </c>
      <c r="B3528" s="1">
        <v>0</v>
      </c>
      <c r="C3528" t="s">
        <v>5528</v>
      </c>
      <c r="D3528" t="s">
        <v>5293</v>
      </c>
      <c r="E3528" t="s">
        <v>5065</v>
      </c>
      <c r="F3528" t="s">
        <v>5379</v>
      </c>
      <c r="G3528" t="s">
        <v>5380</v>
      </c>
      <c r="H3528" t="s">
        <v>1924</v>
      </c>
      <c r="J3528" s="2">
        <v>43340</v>
      </c>
      <c r="K3528">
        <v>112.9</v>
      </c>
    </row>
    <row r="3529" spans="1:11" x14ac:dyDescent="0.35">
      <c r="A3529" s="2">
        <v>43341</v>
      </c>
      <c r="B3529" s="1">
        <v>0</v>
      </c>
      <c r="C3529" t="s">
        <v>5264</v>
      </c>
      <c r="D3529" t="s">
        <v>5300</v>
      </c>
      <c r="E3529" t="s">
        <v>5475</v>
      </c>
      <c r="F3529" t="s">
        <v>5379</v>
      </c>
      <c r="G3529" t="s">
        <v>5379</v>
      </c>
      <c r="H3529" t="s">
        <v>1553</v>
      </c>
      <c r="J3529" s="2">
        <v>43341</v>
      </c>
      <c r="K3529">
        <v>112.4</v>
      </c>
    </row>
    <row r="3530" spans="1:11" x14ac:dyDescent="0.35">
      <c r="A3530" s="2">
        <v>43342</v>
      </c>
      <c r="B3530" s="1">
        <v>0</v>
      </c>
      <c r="C3530" t="s">
        <v>5484</v>
      </c>
      <c r="D3530" t="s">
        <v>5324</v>
      </c>
      <c r="E3530" t="s">
        <v>5215</v>
      </c>
      <c r="F3530" t="s">
        <v>5379</v>
      </c>
      <c r="G3530" t="s">
        <v>5381</v>
      </c>
      <c r="H3530" t="s">
        <v>1076</v>
      </c>
      <c r="J3530" s="2">
        <v>43342</v>
      </c>
      <c r="K3530">
        <v>118.4</v>
      </c>
    </row>
    <row r="3531" spans="1:11" x14ac:dyDescent="0.35">
      <c r="A3531" s="2">
        <v>43343</v>
      </c>
      <c r="B3531" s="1">
        <v>0</v>
      </c>
      <c r="C3531" t="s">
        <v>5553</v>
      </c>
      <c r="D3531" t="s">
        <v>5307</v>
      </c>
      <c r="E3531" t="s">
        <v>5124</v>
      </c>
      <c r="F3531" t="s">
        <v>5379</v>
      </c>
      <c r="G3531" t="s">
        <v>5380</v>
      </c>
      <c r="H3531" t="s">
        <v>1942</v>
      </c>
      <c r="J3531" s="2">
        <v>43343</v>
      </c>
      <c r="K3531">
        <v>122</v>
      </c>
    </row>
    <row r="3532" spans="1:11" x14ac:dyDescent="0.35">
      <c r="A3532" t="s">
        <v>3809</v>
      </c>
      <c r="B3532" s="1">
        <v>0</v>
      </c>
      <c r="C3532" t="s">
        <v>5518</v>
      </c>
      <c r="D3532" t="s">
        <v>5547</v>
      </c>
      <c r="E3532" t="s">
        <v>5183</v>
      </c>
      <c r="F3532" t="s">
        <v>5379</v>
      </c>
      <c r="G3532" t="s">
        <v>5379</v>
      </c>
      <c r="H3532" t="s">
        <v>3235</v>
      </c>
      <c r="J3532" t="s">
        <v>3809</v>
      </c>
      <c r="K3532">
        <v>117.5</v>
      </c>
    </row>
    <row r="3533" spans="1:11" x14ac:dyDescent="0.35">
      <c r="A3533" t="s">
        <v>3810</v>
      </c>
      <c r="B3533" s="1">
        <v>0</v>
      </c>
      <c r="C3533" t="s">
        <v>5576</v>
      </c>
      <c r="D3533" t="s">
        <v>5044</v>
      </c>
      <c r="E3533" t="s">
        <v>5196</v>
      </c>
      <c r="F3533" t="s">
        <v>5156</v>
      </c>
      <c r="G3533" t="s">
        <v>5404</v>
      </c>
      <c r="H3533" t="s">
        <v>1090</v>
      </c>
      <c r="J3533" t="s">
        <v>3810</v>
      </c>
      <c r="K3533">
        <v>138.19999999999999</v>
      </c>
    </row>
    <row r="3534" spans="1:11" x14ac:dyDescent="0.35">
      <c r="A3534" t="s">
        <v>3811</v>
      </c>
      <c r="B3534" s="1">
        <v>0</v>
      </c>
      <c r="C3534" t="s">
        <v>5536</v>
      </c>
      <c r="D3534" t="s">
        <v>5430</v>
      </c>
      <c r="E3534" t="s">
        <v>5043</v>
      </c>
      <c r="F3534" t="s">
        <v>5156</v>
      </c>
      <c r="G3534" t="s">
        <v>5413</v>
      </c>
      <c r="H3534" t="s">
        <v>174</v>
      </c>
      <c r="J3534" t="s">
        <v>3811</v>
      </c>
      <c r="K3534">
        <v>135.30000000000001</v>
      </c>
    </row>
    <row r="3535" spans="1:11" x14ac:dyDescent="0.35">
      <c r="A3535" t="s">
        <v>3812</v>
      </c>
      <c r="B3535" s="1">
        <v>0</v>
      </c>
      <c r="C3535" t="s">
        <v>5544</v>
      </c>
      <c r="D3535" t="s">
        <v>5322</v>
      </c>
      <c r="E3535" t="s">
        <v>5329</v>
      </c>
      <c r="F3535" t="s">
        <v>5156</v>
      </c>
      <c r="G3535" t="s">
        <v>5413</v>
      </c>
      <c r="H3535" t="s">
        <v>529</v>
      </c>
      <c r="J3535" t="s">
        <v>3812</v>
      </c>
      <c r="K3535">
        <v>136.4</v>
      </c>
    </row>
    <row r="3536" spans="1:11" x14ac:dyDescent="0.35">
      <c r="A3536" t="s">
        <v>3813</v>
      </c>
      <c r="B3536" s="1">
        <v>0</v>
      </c>
      <c r="C3536" t="s">
        <v>5474</v>
      </c>
      <c r="D3536" t="s">
        <v>5318</v>
      </c>
      <c r="E3536" t="s">
        <v>5311</v>
      </c>
      <c r="F3536" t="s">
        <v>5156</v>
      </c>
      <c r="G3536" t="s">
        <v>5402</v>
      </c>
      <c r="H3536" t="s">
        <v>834</v>
      </c>
      <c r="J3536" t="s">
        <v>3813</v>
      </c>
      <c r="K3536">
        <v>140.4</v>
      </c>
    </row>
    <row r="3537" spans="1:11" x14ac:dyDescent="0.35">
      <c r="A3537" t="s">
        <v>3814</v>
      </c>
      <c r="B3537" s="1">
        <v>0</v>
      </c>
      <c r="C3537" t="s">
        <v>5513</v>
      </c>
      <c r="D3537" t="s">
        <v>5525</v>
      </c>
      <c r="E3537" t="s">
        <v>5194</v>
      </c>
      <c r="F3537" t="s">
        <v>5156</v>
      </c>
      <c r="G3537" t="s">
        <v>5402</v>
      </c>
      <c r="H3537" t="s">
        <v>125</v>
      </c>
      <c r="J3537" t="s">
        <v>3814</v>
      </c>
      <c r="K3537">
        <v>142.1</v>
      </c>
    </row>
    <row r="3538" spans="1:11" x14ac:dyDescent="0.35">
      <c r="A3538" t="s">
        <v>3815</v>
      </c>
      <c r="B3538" s="1">
        <v>0</v>
      </c>
      <c r="C3538" t="s">
        <v>5506</v>
      </c>
      <c r="D3538" t="s">
        <v>5185</v>
      </c>
      <c r="E3538" t="s">
        <v>5296</v>
      </c>
      <c r="F3538" t="s">
        <v>5156</v>
      </c>
      <c r="G3538" t="s">
        <v>5402</v>
      </c>
      <c r="H3538" t="s">
        <v>297</v>
      </c>
      <c r="J3538" t="s">
        <v>3815</v>
      </c>
      <c r="K3538">
        <v>145.80000000000001</v>
      </c>
    </row>
    <row r="3539" spans="1:11" x14ac:dyDescent="0.35">
      <c r="A3539" t="s">
        <v>3816</v>
      </c>
      <c r="B3539" s="1">
        <v>0</v>
      </c>
      <c r="C3539" t="s">
        <v>5265</v>
      </c>
      <c r="D3539" t="s">
        <v>5056</v>
      </c>
      <c r="E3539" t="s">
        <v>5307</v>
      </c>
      <c r="F3539" t="s">
        <v>5156</v>
      </c>
      <c r="G3539" t="s">
        <v>5419</v>
      </c>
      <c r="H3539" t="s">
        <v>277</v>
      </c>
      <c r="J3539" t="s">
        <v>3816</v>
      </c>
      <c r="K3539">
        <v>153.9</v>
      </c>
    </row>
    <row r="3540" spans="1:11" x14ac:dyDescent="0.35">
      <c r="A3540" t="s">
        <v>3817</v>
      </c>
      <c r="B3540" s="1">
        <v>0</v>
      </c>
      <c r="C3540" t="s">
        <v>395</v>
      </c>
      <c r="D3540" t="s">
        <v>5236</v>
      </c>
      <c r="E3540" t="s">
        <v>5305</v>
      </c>
      <c r="F3540" t="s">
        <v>5156</v>
      </c>
      <c r="G3540" t="s">
        <v>5189</v>
      </c>
      <c r="H3540" t="s">
        <v>901</v>
      </c>
      <c r="J3540" t="s">
        <v>3817</v>
      </c>
      <c r="K3540">
        <v>164.6</v>
      </c>
    </row>
    <row r="3541" spans="1:11" x14ac:dyDescent="0.35">
      <c r="A3541" t="s">
        <v>3818</v>
      </c>
      <c r="B3541" s="1">
        <v>0</v>
      </c>
      <c r="C3541" t="s">
        <v>1056</v>
      </c>
      <c r="D3541" t="s">
        <v>5192</v>
      </c>
      <c r="E3541" t="s">
        <v>5049</v>
      </c>
      <c r="F3541" t="s">
        <v>5156</v>
      </c>
      <c r="G3541" t="s">
        <v>5184</v>
      </c>
      <c r="H3541" t="s">
        <v>580</v>
      </c>
      <c r="J3541" t="s">
        <v>3818</v>
      </c>
      <c r="K3541">
        <v>170.2</v>
      </c>
    </row>
    <row r="3542" spans="1:11" x14ac:dyDescent="0.35">
      <c r="A3542" t="s">
        <v>3819</v>
      </c>
      <c r="B3542" s="1">
        <v>0</v>
      </c>
      <c r="C3542" t="s">
        <v>1881</v>
      </c>
      <c r="D3542" t="s">
        <v>5066</v>
      </c>
      <c r="E3542" t="s">
        <v>5322</v>
      </c>
      <c r="F3542" t="s">
        <v>5156</v>
      </c>
      <c r="G3542" t="s">
        <v>5180</v>
      </c>
      <c r="H3542" t="s">
        <v>674</v>
      </c>
      <c r="J3542" t="s">
        <v>3819</v>
      </c>
      <c r="K3542">
        <v>168.3</v>
      </c>
    </row>
    <row r="3543" spans="1:11" x14ac:dyDescent="0.35">
      <c r="A3543" t="s">
        <v>3820</v>
      </c>
      <c r="B3543" s="1">
        <v>0</v>
      </c>
      <c r="C3543" t="s">
        <v>1020</v>
      </c>
      <c r="D3543" t="s">
        <v>5210</v>
      </c>
      <c r="E3543" t="s">
        <v>5324</v>
      </c>
      <c r="F3543" t="s">
        <v>5156</v>
      </c>
      <c r="G3543" t="s">
        <v>5184</v>
      </c>
      <c r="H3543" t="s">
        <v>1388</v>
      </c>
      <c r="J3543" t="s">
        <v>3820</v>
      </c>
      <c r="K3543">
        <v>165.5</v>
      </c>
    </row>
    <row r="3544" spans="1:11" x14ac:dyDescent="0.35">
      <c r="A3544" t="s">
        <v>3821</v>
      </c>
      <c r="B3544" s="1">
        <v>0</v>
      </c>
      <c r="C3544" t="s">
        <v>386</v>
      </c>
      <c r="D3544" t="s">
        <v>5306</v>
      </c>
      <c r="E3544" t="s">
        <v>5327</v>
      </c>
      <c r="F3544" t="s">
        <v>5156</v>
      </c>
      <c r="G3544" t="s">
        <v>5195</v>
      </c>
      <c r="H3544" t="s">
        <v>1389</v>
      </c>
      <c r="J3544" t="s">
        <v>3821</v>
      </c>
      <c r="K3544">
        <v>163.6</v>
      </c>
    </row>
    <row r="3545" spans="1:11" x14ac:dyDescent="0.35">
      <c r="A3545" t="s">
        <v>3822</v>
      </c>
      <c r="B3545" s="1">
        <v>0</v>
      </c>
      <c r="C3545" t="s">
        <v>5649</v>
      </c>
      <c r="D3545" t="s">
        <v>5323</v>
      </c>
      <c r="E3545" t="s">
        <v>5296</v>
      </c>
      <c r="F3545" t="s">
        <v>5156</v>
      </c>
      <c r="G3545" t="s">
        <v>5357</v>
      </c>
      <c r="H3545" t="s">
        <v>882</v>
      </c>
      <c r="J3545" t="s">
        <v>3822</v>
      </c>
      <c r="K3545">
        <v>156</v>
      </c>
    </row>
    <row r="3546" spans="1:11" x14ac:dyDescent="0.35">
      <c r="A3546" t="s">
        <v>3823</v>
      </c>
      <c r="B3546" s="1">
        <v>0</v>
      </c>
      <c r="C3546" t="s">
        <v>5514</v>
      </c>
      <c r="D3546" t="s">
        <v>5286</v>
      </c>
      <c r="E3546" t="s">
        <v>5547</v>
      </c>
      <c r="F3546" t="s">
        <v>5156</v>
      </c>
      <c r="G3546" t="s">
        <v>5404</v>
      </c>
      <c r="H3546" t="s">
        <v>278</v>
      </c>
      <c r="J3546" t="s">
        <v>3823</v>
      </c>
      <c r="K3546">
        <v>148</v>
      </c>
    </row>
    <row r="3547" spans="1:11" x14ac:dyDescent="0.35">
      <c r="A3547" t="s">
        <v>3824</v>
      </c>
      <c r="B3547" s="1">
        <v>0</v>
      </c>
      <c r="C3547" t="s">
        <v>5214</v>
      </c>
      <c r="D3547" t="s">
        <v>5176</v>
      </c>
      <c r="E3547" t="s">
        <v>5296</v>
      </c>
      <c r="F3547" t="s">
        <v>5156</v>
      </c>
      <c r="G3547" t="s">
        <v>5402</v>
      </c>
      <c r="H3547" t="s">
        <v>551</v>
      </c>
      <c r="J3547" t="s">
        <v>3824</v>
      </c>
      <c r="K3547">
        <v>147.5</v>
      </c>
    </row>
    <row r="3548" spans="1:11" x14ac:dyDescent="0.35">
      <c r="A3548" t="s">
        <v>3825</v>
      </c>
      <c r="B3548" s="1">
        <v>0</v>
      </c>
      <c r="C3548" t="s">
        <v>5408</v>
      </c>
      <c r="D3548" t="s">
        <v>5120</v>
      </c>
      <c r="E3548" t="s">
        <v>5424</v>
      </c>
      <c r="F3548" t="s">
        <v>5156</v>
      </c>
      <c r="G3548" t="s">
        <v>5419</v>
      </c>
      <c r="H3548" t="s">
        <v>815</v>
      </c>
      <c r="J3548" t="s">
        <v>3825</v>
      </c>
      <c r="K3548">
        <v>157.9</v>
      </c>
    </row>
    <row r="3549" spans="1:11" x14ac:dyDescent="0.35">
      <c r="A3549" t="s">
        <v>3826</v>
      </c>
      <c r="B3549" s="1">
        <v>0</v>
      </c>
      <c r="C3549" t="s">
        <v>410</v>
      </c>
      <c r="D3549" t="s">
        <v>5135</v>
      </c>
      <c r="E3549" t="s">
        <v>5320</v>
      </c>
      <c r="F3549" t="s">
        <v>5156</v>
      </c>
      <c r="G3549" t="s">
        <v>5404</v>
      </c>
      <c r="H3549" t="s">
        <v>2519</v>
      </c>
      <c r="J3549" t="s">
        <v>3826</v>
      </c>
      <c r="K3549">
        <v>169.3</v>
      </c>
    </row>
    <row r="3550" spans="1:11" x14ac:dyDescent="0.35">
      <c r="A3550" t="s">
        <v>3827</v>
      </c>
      <c r="B3550" s="1">
        <v>0</v>
      </c>
      <c r="C3550" t="s">
        <v>423</v>
      </c>
      <c r="D3550" t="s">
        <v>5141</v>
      </c>
      <c r="E3550" t="s">
        <v>5298</v>
      </c>
      <c r="F3550" t="s">
        <v>5156</v>
      </c>
      <c r="G3550" t="s">
        <v>5404</v>
      </c>
      <c r="H3550" t="s">
        <v>581</v>
      </c>
      <c r="J3550" t="s">
        <v>3827</v>
      </c>
      <c r="K3550">
        <v>168.8</v>
      </c>
    </row>
    <row r="3551" spans="1:11" x14ac:dyDescent="0.35">
      <c r="A3551" t="s">
        <v>3828</v>
      </c>
      <c r="B3551" s="1">
        <v>0</v>
      </c>
      <c r="C3551" t="s">
        <v>5408</v>
      </c>
      <c r="D3551" t="s">
        <v>5218</v>
      </c>
      <c r="E3551" t="s">
        <v>5053</v>
      </c>
      <c r="F3551" t="s">
        <v>5156</v>
      </c>
      <c r="G3551" t="s">
        <v>5402</v>
      </c>
      <c r="H3551" t="s">
        <v>290</v>
      </c>
      <c r="J3551" t="s">
        <v>3828</v>
      </c>
      <c r="K3551">
        <v>160.1</v>
      </c>
    </row>
    <row r="3552" spans="1:11" x14ac:dyDescent="0.35">
      <c r="A3552" t="s">
        <v>3829</v>
      </c>
      <c r="B3552" s="1">
        <v>0</v>
      </c>
      <c r="C3552" t="s">
        <v>5510</v>
      </c>
      <c r="D3552" t="s">
        <v>5434</v>
      </c>
      <c r="E3552" t="s">
        <v>5424</v>
      </c>
      <c r="F3552" t="s">
        <v>5156</v>
      </c>
      <c r="G3552" t="s">
        <v>5399</v>
      </c>
      <c r="H3552" t="s">
        <v>1770</v>
      </c>
      <c r="J3552" t="s">
        <v>3829</v>
      </c>
      <c r="K3552">
        <v>150.4</v>
      </c>
    </row>
    <row r="3553" spans="1:11" x14ac:dyDescent="0.35">
      <c r="A3553" t="s">
        <v>3830</v>
      </c>
      <c r="B3553" s="1">
        <v>0</v>
      </c>
      <c r="C3553" t="s">
        <v>5589</v>
      </c>
      <c r="D3553" t="s">
        <v>5431</v>
      </c>
      <c r="E3553" t="s">
        <v>5327</v>
      </c>
      <c r="F3553" t="s">
        <v>5156</v>
      </c>
      <c r="G3553" t="s">
        <v>5395</v>
      </c>
      <c r="H3553" t="s">
        <v>46</v>
      </c>
      <c r="J3553" t="s">
        <v>3830</v>
      </c>
      <c r="K3553">
        <v>145.69999999999999</v>
      </c>
    </row>
    <row r="3554" spans="1:11" x14ac:dyDescent="0.35">
      <c r="A3554" t="s">
        <v>3831</v>
      </c>
      <c r="B3554" s="1">
        <v>0</v>
      </c>
      <c r="C3554" t="s">
        <v>5647</v>
      </c>
      <c r="D3554" t="s">
        <v>5431</v>
      </c>
      <c r="E3554" t="s">
        <v>5307</v>
      </c>
      <c r="F3554" t="s">
        <v>5156</v>
      </c>
      <c r="G3554" t="s">
        <v>5413</v>
      </c>
      <c r="H3554" t="s">
        <v>262</v>
      </c>
      <c r="J3554" t="s">
        <v>3831</v>
      </c>
      <c r="K3554">
        <v>149.4</v>
      </c>
    </row>
    <row r="3555" spans="1:11" x14ac:dyDescent="0.35">
      <c r="A3555" t="s">
        <v>3832</v>
      </c>
      <c r="B3555" s="1">
        <v>0</v>
      </c>
      <c r="C3555" t="s">
        <v>371</v>
      </c>
      <c r="D3555" t="s">
        <v>5197</v>
      </c>
      <c r="E3555" t="s">
        <v>5302</v>
      </c>
      <c r="F3555" t="s">
        <v>5156</v>
      </c>
      <c r="G3555" t="s">
        <v>5405</v>
      </c>
      <c r="H3555" t="s">
        <v>1387</v>
      </c>
      <c r="J3555" t="s">
        <v>3832</v>
      </c>
      <c r="K3555">
        <v>161.6</v>
      </c>
    </row>
    <row r="3556" spans="1:11" x14ac:dyDescent="0.35">
      <c r="A3556" t="s">
        <v>3833</v>
      </c>
      <c r="B3556" s="1">
        <v>0</v>
      </c>
      <c r="C3556" t="s">
        <v>1058</v>
      </c>
      <c r="D3556" t="s">
        <v>5249</v>
      </c>
      <c r="E3556" t="s">
        <v>5546</v>
      </c>
      <c r="F3556" t="s">
        <v>5156</v>
      </c>
      <c r="G3556" t="s">
        <v>5195</v>
      </c>
      <c r="H3556" t="s">
        <v>58</v>
      </c>
      <c r="J3556" t="s">
        <v>3833</v>
      </c>
      <c r="K3556">
        <v>171.3</v>
      </c>
    </row>
    <row r="3557" spans="1:11" x14ac:dyDescent="0.35">
      <c r="A3557" t="s">
        <v>3834</v>
      </c>
      <c r="B3557" s="1">
        <v>0</v>
      </c>
      <c r="C3557" t="s">
        <v>2917</v>
      </c>
      <c r="D3557" t="s">
        <v>5219</v>
      </c>
      <c r="E3557" t="s">
        <v>5044</v>
      </c>
      <c r="F3557" t="s">
        <v>5156</v>
      </c>
      <c r="G3557" t="s">
        <v>5184</v>
      </c>
      <c r="H3557" t="s">
        <v>255</v>
      </c>
      <c r="J3557" t="s">
        <v>3834</v>
      </c>
      <c r="K3557">
        <v>169.7</v>
      </c>
    </row>
    <row r="3558" spans="1:11" x14ac:dyDescent="0.35">
      <c r="A3558" t="s">
        <v>3835</v>
      </c>
      <c r="B3558" s="1">
        <v>0</v>
      </c>
      <c r="C3558" t="s">
        <v>1886</v>
      </c>
      <c r="D3558" t="s">
        <v>5175</v>
      </c>
      <c r="E3558" t="s">
        <v>5325</v>
      </c>
      <c r="F3558" t="s">
        <v>5156</v>
      </c>
      <c r="G3558" t="s">
        <v>5186</v>
      </c>
      <c r="H3558" t="s">
        <v>594</v>
      </c>
      <c r="J3558" t="s">
        <v>3835</v>
      </c>
      <c r="K3558">
        <v>162.5</v>
      </c>
    </row>
    <row r="3559" spans="1:11" x14ac:dyDescent="0.35">
      <c r="A3559" t="s">
        <v>3836</v>
      </c>
      <c r="B3559" s="1">
        <v>0</v>
      </c>
      <c r="C3559" t="s">
        <v>404</v>
      </c>
      <c r="D3559" t="s">
        <v>5076</v>
      </c>
      <c r="E3559" t="s">
        <v>5290</v>
      </c>
      <c r="F3559" t="s">
        <v>5156</v>
      </c>
      <c r="G3559" t="s">
        <v>5186</v>
      </c>
      <c r="H3559" t="s">
        <v>1755</v>
      </c>
      <c r="J3559" t="s">
        <v>3836</v>
      </c>
      <c r="K3559">
        <v>161.1</v>
      </c>
    </row>
    <row r="3560" spans="1:11" x14ac:dyDescent="0.35">
      <c r="A3560" t="s">
        <v>3837</v>
      </c>
      <c r="B3560" s="1">
        <v>0</v>
      </c>
      <c r="C3560" t="s">
        <v>413</v>
      </c>
      <c r="D3560" t="s">
        <v>5060</v>
      </c>
      <c r="E3560" t="s">
        <v>5322</v>
      </c>
      <c r="F3560" t="s">
        <v>5156</v>
      </c>
      <c r="G3560" t="s">
        <v>5184</v>
      </c>
      <c r="H3560" t="s">
        <v>1637</v>
      </c>
      <c r="J3560" t="s">
        <v>3837</v>
      </c>
      <c r="K3560">
        <v>168.5</v>
      </c>
    </row>
    <row r="3561" spans="1:11" x14ac:dyDescent="0.35">
      <c r="A3561" t="s">
        <v>3838</v>
      </c>
      <c r="B3561" s="1">
        <v>0</v>
      </c>
      <c r="C3561" t="s">
        <v>467</v>
      </c>
      <c r="D3561" t="s">
        <v>5229</v>
      </c>
      <c r="E3561" t="s">
        <v>5545</v>
      </c>
      <c r="F3561" t="s">
        <v>5156</v>
      </c>
      <c r="G3561" t="s">
        <v>5177</v>
      </c>
      <c r="H3561" t="s">
        <v>1345</v>
      </c>
      <c r="J3561" t="s">
        <v>3838</v>
      </c>
      <c r="K3561">
        <v>178.4</v>
      </c>
    </row>
    <row r="3562" spans="1:11" x14ac:dyDescent="0.35">
      <c r="A3562" t="s">
        <v>3840</v>
      </c>
      <c r="B3562" s="1">
        <v>0</v>
      </c>
      <c r="C3562" t="s">
        <v>476</v>
      </c>
      <c r="D3562" t="s">
        <v>5114</v>
      </c>
      <c r="E3562" t="s">
        <v>5298</v>
      </c>
      <c r="F3562" t="s">
        <v>5156</v>
      </c>
      <c r="G3562" t="s">
        <v>5159</v>
      </c>
      <c r="H3562" t="s">
        <v>1600</v>
      </c>
      <c r="J3562" t="s">
        <v>3840</v>
      </c>
      <c r="K3562">
        <v>185.4</v>
      </c>
    </row>
    <row r="3563" spans="1:11" x14ac:dyDescent="0.35">
      <c r="A3563" t="s">
        <v>3841</v>
      </c>
      <c r="B3563" s="1">
        <v>0</v>
      </c>
      <c r="C3563" t="s">
        <v>1867</v>
      </c>
      <c r="D3563" t="s">
        <v>5216</v>
      </c>
      <c r="E3563" t="s">
        <v>5237</v>
      </c>
      <c r="F3563" t="s">
        <v>5050</v>
      </c>
      <c r="G3563" t="s">
        <v>5294</v>
      </c>
      <c r="H3563" t="s">
        <v>2144</v>
      </c>
      <c r="J3563" t="s">
        <v>3841</v>
      </c>
      <c r="K3563">
        <v>203.9</v>
      </c>
    </row>
    <row r="3564" spans="1:11" x14ac:dyDescent="0.35">
      <c r="A3564" t="s">
        <v>3842</v>
      </c>
      <c r="B3564" s="1">
        <v>0</v>
      </c>
      <c r="C3564" t="s">
        <v>352</v>
      </c>
      <c r="D3564" t="s">
        <v>5079</v>
      </c>
      <c r="E3564" t="s">
        <v>5202</v>
      </c>
      <c r="F3564" t="s">
        <v>5050</v>
      </c>
      <c r="G3564" t="s">
        <v>5342</v>
      </c>
      <c r="H3564" t="s">
        <v>779</v>
      </c>
      <c r="J3564" t="s">
        <v>3842</v>
      </c>
      <c r="K3564">
        <v>195.2</v>
      </c>
    </row>
    <row r="3565" spans="1:11" x14ac:dyDescent="0.35">
      <c r="A3565" t="s">
        <v>3843</v>
      </c>
      <c r="B3565" s="1">
        <v>0</v>
      </c>
      <c r="C3565" t="s">
        <v>1013</v>
      </c>
      <c r="D3565" t="s">
        <v>5103</v>
      </c>
      <c r="E3565" t="s">
        <v>5425</v>
      </c>
      <c r="F3565" t="s">
        <v>5050</v>
      </c>
      <c r="G3565" t="s">
        <v>5144</v>
      </c>
      <c r="H3565" t="s">
        <v>2453</v>
      </c>
      <c r="J3565" t="s">
        <v>3843</v>
      </c>
      <c r="K3565">
        <v>181.6</v>
      </c>
    </row>
    <row r="3566" spans="1:11" x14ac:dyDescent="0.35">
      <c r="A3566" t="s">
        <v>3844</v>
      </c>
      <c r="B3566" s="1">
        <v>0</v>
      </c>
      <c r="C3566" t="s">
        <v>5631</v>
      </c>
      <c r="D3566" t="s">
        <v>5571</v>
      </c>
      <c r="E3566" t="s">
        <v>5328</v>
      </c>
      <c r="F3566" t="s">
        <v>5050</v>
      </c>
      <c r="G3566" t="s">
        <v>5153</v>
      </c>
      <c r="H3566" t="s">
        <v>605</v>
      </c>
      <c r="J3566" t="s">
        <v>3844</v>
      </c>
      <c r="K3566">
        <v>173.5</v>
      </c>
    </row>
    <row r="3567" spans="1:11" x14ac:dyDescent="0.35">
      <c r="A3567" t="s">
        <v>3845</v>
      </c>
      <c r="B3567" s="1">
        <v>0</v>
      </c>
      <c r="C3567" t="s">
        <v>377</v>
      </c>
      <c r="D3567" t="s">
        <v>5137</v>
      </c>
      <c r="E3567" t="s">
        <v>5169</v>
      </c>
      <c r="F3567" t="s">
        <v>5050</v>
      </c>
      <c r="G3567" t="s">
        <v>5432</v>
      </c>
      <c r="H3567" t="s">
        <v>1817</v>
      </c>
      <c r="J3567" t="s">
        <v>3845</v>
      </c>
      <c r="K3567">
        <v>174.7</v>
      </c>
    </row>
    <row r="3568" spans="1:11" x14ac:dyDescent="0.35">
      <c r="A3568" t="s">
        <v>3846</v>
      </c>
      <c r="B3568" s="1">
        <v>0</v>
      </c>
      <c r="C3568" t="s">
        <v>1020</v>
      </c>
      <c r="D3568" t="s">
        <v>5241</v>
      </c>
      <c r="E3568" t="s">
        <v>5204</v>
      </c>
      <c r="F3568" t="s">
        <v>5050</v>
      </c>
      <c r="G3568" t="s">
        <v>5330</v>
      </c>
      <c r="H3568" t="s">
        <v>3863</v>
      </c>
      <c r="J3568" t="s">
        <v>3846</v>
      </c>
      <c r="K3568">
        <v>185.6</v>
      </c>
    </row>
    <row r="3569" spans="1:11" x14ac:dyDescent="0.35">
      <c r="A3569" t="s">
        <v>3847</v>
      </c>
      <c r="B3569" s="1">
        <v>0</v>
      </c>
      <c r="C3569" t="s">
        <v>444</v>
      </c>
      <c r="D3569" t="s">
        <v>5264</v>
      </c>
      <c r="E3569" t="s">
        <v>5197</v>
      </c>
      <c r="F3569" t="s">
        <v>5050</v>
      </c>
      <c r="G3569" t="s">
        <v>5312</v>
      </c>
      <c r="H3569" t="s">
        <v>1194</v>
      </c>
      <c r="J3569" t="s">
        <v>3847</v>
      </c>
      <c r="K3569">
        <v>198</v>
      </c>
    </row>
    <row r="3570" spans="1:11" x14ac:dyDescent="0.35">
      <c r="A3570" t="s">
        <v>3848</v>
      </c>
      <c r="B3570" s="1">
        <v>0</v>
      </c>
      <c r="C3570" t="s">
        <v>979</v>
      </c>
      <c r="D3570" t="s">
        <v>5374</v>
      </c>
      <c r="E3570" t="s">
        <v>5178</v>
      </c>
      <c r="F3570" t="s">
        <v>5240</v>
      </c>
      <c r="G3570" t="s">
        <v>5288</v>
      </c>
      <c r="H3570" t="s">
        <v>3613</v>
      </c>
      <c r="J3570" t="s">
        <v>3848</v>
      </c>
      <c r="K3570">
        <v>209.3</v>
      </c>
    </row>
    <row r="3571" spans="1:11" x14ac:dyDescent="0.35">
      <c r="A3571" t="s">
        <v>3849</v>
      </c>
      <c r="B3571" s="1">
        <v>0</v>
      </c>
      <c r="C3571" t="s">
        <v>461</v>
      </c>
      <c r="D3571" t="s">
        <v>5392</v>
      </c>
      <c r="E3571" t="s">
        <v>5239</v>
      </c>
      <c r="F3571" t="s">
        <v>5240</v>
      </c>
      <c r="G3571" t="s">
        <v>5226</v>
      </c>
      <c r="H3571" t="s">
        <v>3163</v>
      </c>
      <c r="J3571" t="s">
        <v>3849</v>
      </c>
      <c r="K3571">
        <v>212.9</v>
      </c>
    </row>
    <row r="3572" spans="1:11" x14ac:dyDescent="0.35">
      <c r="A3572" t="s">
        <v>3850</v>
      </c>
      <c r="B3572" s="1">
        <v>0</v>
      </c>
      <c r="C3572" t="s">
        <v>2608</v>
      </c>
      <c r="D3572" t="s">
        <v>5486</v>
      </c>
      <c r="E3572" t="s">
        <v>5272</v>
      </c>
      <c r="F3572" t="s">
        <v>5240</v>
      </c>
      <c r="G3572" t="s">
        <v>5224</v>
      </c>
      <c r="H3572" t="s">
        <v>945</v>
      </c>
      <c r="J3572" t="s">
        <v>3850</v>
      </c>
      <c r="K3572">
        <v>218.2</v>
      </c>
    </row>
    <row r="3573" spans="1:11" x14ac:dyDescent="0.35">
      <c r="A3573" t="s">
        <v>3851</v>
      </c>
      <c r="B3573" s="1">
        <v>0</v>
      </c>
      <c r="C3573" t="s">
        <v>4081</v>
      </c>
      <c r="D3573" t="s">
        <v>5117</v>
      </c>
      <c r="E3573" t="s">
        <v>5081</v>
      </c>
      <c r="F3573" t="s">
        <v>5240</v>
      </c>
      <c r="G3573" t="s">
        <v>5227</v>
      </c>
      <c r="H3573" t="s">
        <v>2827</v>
      </c>
      <c r="J3573" t="s">
        <v>3851</v>
      </c>
      <c r="K3573">
        <v>225.8</v>
      </c>
    </row>
    <row r="3574" spans="1:11" x14ac:dyDescent="0.35">
      <c r="A3574" t="s">
        <v>3852</v>
      </c>
      <c r="B3574" s="1">
        <v>0</v>
      </c>
      <c r="C3574" t="s">
        <v>4081</v>
      </c>
      <c r="D3574" t="s">
        <v>5494</v>
      </c>
      <c r="E3574" t="s">
        <v>5165</v>
      </c>
      <c r="F3574" t="s">
        <v>5240</v>
      </c>
      <c r="G3574" t="s">
        <v>5207</v>
      </c>
      <c r="H3574" t="s">
        <v>2113</v>
      </c>
      <c r="J3574" t="s">
        <v>3852</v>
      </c>
      <c r="K3574">
        <v>223.1</v>
      </c>
    </row>
    <row r="3575" spans="1:11" x14ac:dyDescent="0.35">
      <c r="A3575" t="s">
        <v>3853</v>
      </c>
      <c r="B3575" s="1">
        <v>0</v>
      </c>
      <c r="C3575" t="s">
        <v>1061</v>
      </c>
      <c r="D3575" t="s">
        <v>5606</v>
      </c>
      <c r="E3575" t="s">
        <v>5197</v>
      </c>
      <c r="F3575" t="s">
        <v>5240</v>
      </c>
      <c r="G3575" t="s">
        <v>5226</v>
      </c>
      <c r="H3575" t="s">
        <v>1668</v>
      </c>
      <c r="J3575" t="s">
        <v>3853</v>
      </c>
      <c r="K3575">
        <v>208.9</v>
      </c>
    </row>
    <row r="3576" spans="1:11" x14ac:dyDescent="0.35">
      <c r="A3576" t="s">
        <v>3854</v>
      </c>
      <c r="B3576" s="1">
        <v>0</v>
      </c>
      <c r="C3576" t="s">
        <v>4381</v>
      </c>
      <c r="D3576" t="s">
        <v>5198</v>
      </c>
      <c r="E3576" t="s">
        <v>5428</v>
      </c>
      <c r="F3576" t="s">
        <v>5240</v>
      </c>
      <c r="G3576" t="s">
        <v>5297</v>
      </c>
      <c r="H3576" t="s">
        <v>1189</v>
      </c>
      <c r="J3576" t="s">
        <v>3854</v>
      </c>
      <c r="K3576">
        <v>193</v>
      </c>
    </row>
    <row r="3577" spans="1:11" x14ac:dyDescent="0.35">
      <c r="A3577" t="s">
        <v>3855</v>
      </c>
      <c r="B3577" s="1">
        <v>0</v>
      </c>
      <c r="C3577" t="s">
        <v>1013</v>
      </c>
      <c r="D3577" t="s">
        <v>5245</v>
      </c>
      <c r="E3577" t="s">
        <v>5310</v>
      </c>
      <c r="F3577" t="s">
        <v>5050</v>
      </c>
      <c r="G3577" t="s">
        <v>5144</v>
      </c>
      <c r="H3577" t="s">
        <v>782</v>
      </c>
      <c r="J3577" t="s">
        <v>3855</v>
      </c>
      <c r="K3577">
        <v>182.1</v>
      </c>
    </row>
    <row r="3578" spans="1:11" x14ac:dyDescent="0.35">
      <c r="A3578" t="s">
        <v>3856</v>
      </c>
      <c r="B3578" s="1">
        <v>0</v>
      </c>
      <c r="C3578" t="s">
        <v>2235</v>
      </c>
      <c r="D3578" t="s">
        <v>5154</v>
      </c>
      <c r="E3578" t="s">
        <v>5202</v>
      </c>
      <c r="F3578" t="s">
        <v>5050</v>
      </c>
      <c r="G3578" t="s">
        <v>5140</v>
      </c>
      <c r="H3578" t="s">
        <v>1339</v>
      </c>
      <c r="J3578" t="s">
        <v>3856</v>
      </c>
      <c r="K3578">
        <v>184.1</v>
      </c>
    </row>
    <row r="3579" spans="1:11" x14ac:dyDescent="0.35">
      <c r="A3579" t="s">
        <v>3857</v>
      </c>
      <c r="B3579" s="1">
        <v>0</v>
      </c>
      <c r="C3579" t="s">
        <v>442</v>
      </c>
      <c r="D3579" t="s">
        <v>5129</v>
      </c>
      <c r="E3579" t="s">
        <v>5255</v>
      </c>
      <c r="F3579" t="s">
        <v>5240</v>
      </c>
      <c r="G3579" t="s">
        <v>5342</v>
      </c>
      <c r="H3579" t="s">
        <v>5663</v>
      </c>
      <c r="J3579" t="s">
        <v>3857</v>
      </c>
      <c r="K3579">
        <v>200.1</v>
      </c>
    </row>
    <row r="3580" spans="1:11" x14ac:dyDescent="0.35">
      <c r="A3580" t="s">
        <v>3858</v>
      </c>
      <c r="B3580" s="1">
        <v>0</v>
      </c>
      <c r="C3580" t="s">
        <v>1467</v>
      </c>
      <c r="D3580" t="s">
        <v>5392</v>
      </c>
      <c r="E3580" t="s">
        <v>5192</v>
      </c>
      <c r="F3580" t="s">
        <v>5240</v>
      </c>
      <c r="G3580" t="s">
        <v>5226</v>
      </c>
      <c r="H3580" t="s">
        <v>751</v>
      </c>
      <c r="J3580" t="s">
        <v>3858</v>
      </c>
      <c r="K3580">
        <v>218.6</v>
      </c>
    </row>
    <row r="3581" spans="1:11" x14ac:dyDescent="0.35">
      <c r="A3581" t="s">
        <v>3860</v>
      </c>
      <c r="B3581" s="1">
        <v>0</v>
      </c>
      <c r="C3581" t="s">
        <v>2</v>
      </c>
      <c r="D3581" t="s">
        <v>5101</v>
      </c>
      <c r="E3581" t="s">
        <v>5102</v>
      </c>
      <c r="F3581" t="s">
        <v>5240</v>
      </c>
      <c r="G3581" t="s">
        <v>5227</v>
      </c>
      <c r="H3581" t="s">
        <v>1666</v>
      </c>
      <c r="J3581" t="s">
        <v>3860</v>
      </c>
      <c r="K3581">
        <v>221.6</v>
      </c>
    </row>
    <row r="3582" spans="1:11" x14ac:dyDescent="0.35">
      <c r="A3582" t="s">
        <v>3861</v>
      </c>
      <c r="B3582" s="1">
        <v>0</v>
      </c>
      <c r="C3582" t="s">
        <v>328</v>
      </c>
      <c r="D3582" t="s">
        <v>5596</v>
      </c>
      <c r="E3582" t="s">
        <v>5434</v>
      </c>
      <c r="F3582" t="s">
        <v>5240</v>
      </c>
      <c r="G3582" t="s">
        <v>5226</v>
      </c>
      <c r="H3582" t="s">
        <v>229</v>
      </c>
      <c r="J3582" t="s">
        <v>3861</v>
      </c>
      <c r="K3582">
        <v>211.2</v>
      </c>
    </row>
    <row r="3583" spans="1:11" x14ac:dyDescent="0.35">
      <c r="A3583" t="s">
        <v>3862</v>
      </c>
      <c r="B3583" s="1">
        <v>0</v>
      </c>
      <c r="C3583" t="s">
        <v>367</v>
      </c>
      <c r="D3583" t="s">
        <v>5451</v>
      </c>
      <c r="E3583" t="s">
        <v>5237</v>
      </c>
      <c r="F3583" t="s">
        <v>5050</v>
      </c>
      <c r="G3583" t="s">
        <v>5294</v>
      </c>
      <c r="H3583" t="s">
        <v>243</v>
      </c>
      <c r="J3583" t="s">
        <v>3862</v>
      </c>
      <c r="K3583">
        <v>198.3</v>
      </c>
    </row>
    <row r="3584" spans="1:11" x14ac:dyDescent="0.35">
      <c r="A3584" t="s">
        <v>3864</v>
      </c>
      <c r="B3584" s="1">
        <v>0</v>
      </c>
      <c r="C3584" t="s">
        <v>1533</v>
      </c>
      <c r="D3584" t="s">
        <v>5100</v>
      </c>
      <c r="E3584" t="s">
        <v>5064</v>
      </c>
      <c r="F3584" t="s">
        <v>5050</v>
      </c>
      <c r="G3584" t="s">
        <v>5315</v>
      </c>
      <c r="H3584" t="s">
        <v>54</v>
      </c>
      <c r="J3584" t="s">
        <v>3864</v>
      </c>
      <c r="K3584">
        <v>187.7</v>
      </c>
    </row>
    <row r="3585" spans="1:11" x14ac:dyDescent="0.35">
      <c r="A3585" t="s">
        <v>3865</v>
      </c>
      <c r="B3585" s="1">
        <v>0</v>
      </c>
      <c r="C3585" t="s">
        <v>1915</v>
      </c>
      <c r="D3585" t="s">
        <v>5121</v>
      </c>
      <c r="E3585" t="s">
        <v>5597</v>
      </c>
      <c r="F3585" t="s">
        <v>5050</v>
      </c>
      <c r="G3585" t="s">
        <v>5315</v>
      </c>
      <c r="H3585" t="s">
        <v>1228</v>
      </c>
      <c r="J3585" t="s">
        <v>3865</v>
      </c>
      <c r="K3585">
        <v>182.8</v>
      </c>
    </row>
    <row r="3586" spans="1:11" x14ac:dyDescent="0.35">
      <c r="A3586" t="s">
        <v>3866</v>
      </c>
      <c r="B3586" s="1">
        <v>0</v>
      </c>
      <c r="C3586" t="s">
        <v>1910</v>
      </c>
      <c r="D3586" t="s">
        <v>5239</v>
      </c>
      <c r="E3586" t="s">
        <v>5417</v>
      </c>
      <c r="F3586" t="s">
        <v>5050</v>
      </c>
      <c r="G3586" t="s">
        <v>5342</v>
      </c>
      <c r="H3586" t="s">
        <v>721</v>
      </c>
      <c r="J3586" t="s">
        <v>3866</v>
      </c>
      <c r="K3586">
        <v>177.5</v>
      </c>
    </row>
    <row r="3587" spans="1:11" x14ac:dyDescent="0.35">
      <c r="A3587" t="s">
        <v>3867</v>
      </c>
      <c r="B3587" s="1">
        <v>0</v>
      </c>
      <c r="C3587" t="s">
        <v>2235</v>
      </c>
      <c r="D3587" t="s">
        <v>5236</v>
      </c>
      <c r="E3587" t="s">
        <v>5052</v>
      </c>
      <c r="F3587" t="s">
        <v>5050</v>
      </c>
      <c r="G3587" t="s">
        <v>5400</v>
      </c>
      <c r="H3587" t="s">
        <v>40</v>
      </c>
      <c r="J3587" t="s">
        <v>3867</v>
      </c>
      <c r="K3587">
        <v>173.9</v>
      </c>
    </row>
    <row r="3588" spans="1:11" x14ac:dyDescent="0.35">
      <c r="A3588" t="s">
        <v>3868</v>
      </c>
      <c r="B3588" s="1">
        <v>0</v>
      </c>
      <c r="C3588" t="s">
        <v>1056</v>
      </c>
      <c r="D3588" t="s">
        <v>5239</v>
      </c>
      <c r="E3588" t="s">
        <v>5295</v>
      </c>
      <c r="F3588" t="s">
        <v>5050</v>
      </c>
      <c r="G3588" t="s">
        <v>5397</v>
      </c>
      <c r="H3588" t="s">
        <v>808</v>
      </c>
      <c r="J3588" t="s">
        <v>3868</v>
      </c>
      <c r="K3588">
        <v>177.7</v>
      </c>
    </row>
    <row r="3589" spans="1:11" x14ac:dyDescent="0.35">
      <c r="A3589" t="s">
        <v>3869</v>
      </c>
      <c r="B3589" s="1">
        <v>0</v>
      </c>
      <c r="C3589" t="s">
        <v>1526</v>
      </c>
      <c r="D3589" t="s">
        <v>5435</v>
      </c>
      <c r="E3589" t="s">
        <v>5328</v>
      </c>
      <c r="F3589" t="s">
        <v>5050</v>
      </c>
      <c r="G3589" t="s">
        <v>5342</v>
      </c>
      <c r="H3589" t="s">
        <v>759</v>
      </c>
      <c r="J3589" t="s">
        <v>3869</v>
      </c>
      <c r="K3589">
        <v>188.2</v>
      </c>
    </row>
    <row r="3590" spans="1:11" x14ac:dyDescent="0.35">
      <c r="A3590" t="s">
        <v>3870</v>
      </c>
      <c r="B3590" s="1">
        <v>0</v>
      </c>
      <c r="C3590" t="s">
        <v>4083</v>
      </c>
      <c r="D3590" t="s">
        <v>5438</v>
      </c>
      <c r="E3590" t="s">
        <v>5237</v>
      </c>
      <c r="F3590" t="s">
        <v>5240</v>
      </c>
      <c r="G3590" t="s">
        <v>5288</v>
      </c>
      <c r="H3590" t="s">
        <v>1400</v>
      </c>
      <c r="J3590" t="s">
        <v>3870</v>
      </c>
      <c r="K3590">
        <v>209.8</v>
      </c>
    </row>
    <row r="3591" spans="1:11" x14ac:dyDescent="0.35">
      <c r="A3591" t="s">
        <v>3871</v>
      </c>
      <c r="B3591" s="1">
        <v>0</v>
      </c>
      <c r="C3591" t="s">
        <v>3179</v>
      </c>
      <c r="D3591" t="s">
        <v>5487</v>
      </c>
      <c r="E3591" t="s">
        <v>5192</v>
      </c>
      <c r="F3591" t="s">
        <v>5240</v>
      </c>
      <c r="G3591" t="s">
        <v>5222</v>
      </c>
      <c r="H3591" t="s">
        <v>2041</v>
      </c>
      <c r="J3591" t="s">
        <v>3871</v>
      </c>
      <c r="K3591">
        <v>229.4</v>
      </c>
    </row>
    <row r="3592" spans="1:11" x14ac:dyDescent="0.35">
      <c r="A3592" t="s">
        <v>3872</v>
      </c>
      <c r="B3592" s="1">
        <v>0</v>
      </c>
      <c r="C3592" t="s">
        <v>4661</v>
      </c>
      <c r="D3592" t="s">
        <v>5537</v>
      </c>
      <c r="E3592" t="s">
        <v>5251</v>
      </c>
      <c r="F3592" t="s">
        <v>5240</v>
      </c>
      <c r="G3592" t="s">
        <v>5046</v>
      </c>
      <c r="H3592" t="s">
        <v>1244</v>
      </c>
      <c r="J3592" t="s">
        <v>3872</v>
      </c>
      <c r="K3592">
        <v>239.1</v>
      </c>
    </row>
    <row r="3593" spans="1:11" x14ac:dyDescent="0.35">
      <c r="A3593" t="s">
        <v>3874</v>
      </c>
      <c r="B3593" s="1">
        <v>0</v>
      </c>
      <c r="C3593" t="s">
        <v>8</v>
      </c>
      <c r="D3593" t="s">
        <v>5269</v>
      </c>
      <c r="E3593" t="s">
        <v>5074</v>
      </c>
      <c r="F3593" t="s">
        <v>5240</v>
      </c>
      <c r="G3593" t="s">
        <v>5222</v>
      </c>
      <c r="H3593" t="s">
        <v>3978</v>
      </c>
      <c r="J3593" t="s">
        <v>3874</v>
      </c>
      <c r="K3593">
        <v>232.4</v>
      </c>
    </row>
    <row r="3594" spans="1:11" x14ac:dyDescent="0.35">
      <c r="A3594" t="s">
        <v>3876</v>
      </c>
      <c r="B3594" s="1">
        <v>0</v>
      </c>
      <c r="C3594" t="s">
        <v>1532</v>
      </c>
      <c r="D3594" t="s">
        <v>5576</v>
      </c>
      <c r="E3594" t="s">
        <v>5085</v>
      </c>
      <c r="F3594" t="s">
        <v>5077</v>
      </c>
      <c r="G3594" t="s">
        <v>5045</v>
      </c>
      <c r="H3594" t="s">
        <v>2031</v>
      </c>
      <c r="J3594" t="s">
        <v>3876</v>
      </c>
      <c r="K3594">
        <v>228.2</v>
      </c>
    </row>
    <row r="3595" spans="1:11" x14ac:dyDescent="0.35">
      <c r="A3595" t="s">
        <v>3879</v>
      </c>
      <c r="B3595" s="1">
        <v>0</v>
      </c>
      <c r="C3595" t="s">
        <v>1523</v>
      </c>
      <c r="D3595" t="s">
        <v>5583</v>
      </c>
      <c r="E3595" t="s">
        <v>5113</v>
      </c>
      <c r="F3595" t="s">
        <v>5077</v>
      </c>
      <c r="G3595" t="s">
        <v>5082</v>
      </c>
      <c r="H3595" t="s">
        <v>3347</v>
      </c>
      <c r="J3595" t="s">
        <v>3879</v>
      </c>
      <c r="K3595">
        <v>216.8</v>
      </c>
    </row>
    <row r="3596" spans="1:11" x14ac:dyDescent="0.35">
      <c r="A3596" t="s">
        <v>3881</v>
      </c>
      <c r="B3596" s="1">
        <v>0</v>
      </c>
      <c r="C3596" t="s">
        <v>1471</v>
      </c>
      <c r="D3596" t="s">
        <v>5574</v>
      </c>
      <c r="E3596" t="s">
        <v>5069</v>
      </c>
      <c r="F3596" t="s">
        <v>5077</v>
      </c>
      <c r="G3596" t="s">
        <v>5116</v>
      </c>
      <c r="H3596" t="s">
        <v>1306</v>
      </c>
      <c r="J3596" t="s">
        <v>3881</v>
      </c>
      <c r="K3596">
        <v>220</v>
      </c>
    </row>
    <row r="3597" spans="1:11" x14ac:dyDescent="0.35">
      <c r="A3597" t="s">
        <v>3883</v>
      </c>
      <c r="B3597" s="1">
        <v>0</v>
      </c>
      <c r="C3597" t="s">
        <v>1473</v>
      </c>
      <c r="D3597" t="s">
        <v>5590</v>
      </c>
      <c r="E3597" t="s">
        <v>5251</v>
      </c>
      <c r="F3597" t="s">
        <v>5089</v>
      </c>
      <c r="G3597" t="s">
        <v>5045</v>
      </c>
      <c r="H3597" t="s">
        <v>2446</v>
      </c>
      <c r="J3597" t="s">
        <v>3883</v>
      </c>
      <c r="K3597">
        <v>229.9</v>
      </c>
    </row>
    <row r="3598" spans="1:11" x14ac:dyDescent="0.35">
      <c r="A3598" t="s">
        <v>3884</v>
      </c>
      <c r="B3598" s="1">
        <v>0</v>
      </c>
      <c r="C3598" t="s">
        <v>354</v>
      </c>
      <c r="D3598" t="s">
        <v>5212</v>
      </c>
      <c r="E3598" t="s">
        <v>5213</v>
      </c>
      <c r="F3598" t="s">
        <v>5089</v>
      </c>
      <c r="G3598" t="s">
        <v>5045</v>
      </c>
      <c r="H3598" t="s">
        <v>3943</v>
      </c>
      <c r="J3598" t="s">
        <v>3884</v>
      </c>
      <c r="K3598">
        <v>226.6</v>
      </c>
    </row>
    <row r="3599" spans="1:11" x14ac:dyDescent="0.35">
      <c r="A3599" t="s">
        <v>3885</v>
      </c>
      <c r="B3599" s="1">
        <v>0</v>
      </c>
      <c r="C3599" t="s">
        <v>466</v>
      </c>
      <c r="D3599" t="s">
        <v>5537</v>
      </c>
      <c r="E3599" t="s">
        <v>5257</v>
      </c>
      <c r="F3599" t="s">
        <v>5089</v>
      </c>
      <c r="G3599" t="s">
        <v>5110</v>
      </c>
      <c r="H3599" t="s">
        <v>3875</v>
      </c>
      <c r="J3599" t="s">
        <v>3885</v>
      </c>
      <c r="K3599">
        <v>215.3</v>
      </c>
    </row>
    <row r="3600" spans="1:11" x14ac:dyDescent="0.35">
      <c r="A3600" t="s">
        <v>3887</v>
      </c>
      <c r="B3600" s="1">
        <v>0</v>
      </c>
      <c r="C3600" t="s">
        <v>445</v>
      </c>
      <c r="D3600" t="s">
        <v>5574</v>
      </c>
      <c r="E3600" t="s">
        <v>5060</v>
      </c>
      <c r="F3600" t="s">
        <v>5089</v>
      </c>
      <c r="G3600" t="s">
        <v>5116</v>
      </c>
      <c r="H3600" t="s">
        <v>2008</v>
      </c>
      <c r="J3600" t="s">
        <v>3887</v>
      </c>
      <c r="K3600">
        <v>212.3</v>
      </c>
    </row>
    <row r="3601" spans="1:11" x14ac:dyDescent="0.35">
      <c r="A3601" t="s">
        <v>3888</v>
      </c>
      <c r="B3601" s="1">
        <v>0</v>
      </c>
      <c r="C3601" t="s">
        <v>2567</v>
      </c>
      <c r="D3601" t="s">
        <v>5523</v>
      </c>
      <c r="E3601" t="s">
        <v>5239</v>
      </c>
      <c r="F3601" t="s">
        <v>5089</v>
      </c>
      <c r="G3601" t="s">
        <v>5116</v>
      </c>
      <c r="H3601" t="s">
        <v>1689</v>
      </c>
      <c r="J3601" t="s">
        <v>3888</v>
      </c>
      <c r="K3601">
        <v>222.7</v>
      </c>
    </row>
    <row r="3602" spans="1:11" x14ac:dyDescent="0.35">
      <c r="A3602" t="s">
        <v>3889</v>
      </c>
      <c r="B3602" s="1">
        <v>0</v>
      </c>
      <c r="C3602" t="s">
        <v>4642</v>
      </c>
      <c r="D3602" t="s">
        <v>5612</v>
      </c>
      <c r="E3602" t="s">
        <v>5243</v>
      </c>
      <c r="F3602" t="s">
        <v>5089</v>
      </c>
      <c r="G3602" t="s">
        <v>5092</v>
      </c>
      <c r="H3602" t="s">
        <v>1663</v>
      </c>
      <c r="J3602" t="s">
        <v>3889</v>
      </c>
      <c r="K3602">
        <v>233.9</v>
      </c>
    </row>
    <row r="3603" spans="1:11" x14ac:dyDescent="0.35">
      <c r="A3603" t="s">
        <v>3892</v>
      </c>
      <c r="B3603" s="1">
        <v>0</v>
      </c>
      <c r="C3603" t="s">
        <v>1539</v>
      </c>
      <c r="D3603" t="s">
        <v>5617</v>
      </c>
      <c r="E3603" t="s">
        <v>5182</v>
      </c>
      <c r="F3603" t="s">
        <v>5089</v>
      </c>
      <c r="G3603" t="s">
        <v>5045</v>
      </c>
      <c r="H3603" t="s">
        <v>3890</v>
      </c>
      <c r="J3603" t="s">
        <v>3892</v>
      </c>
      <c r="K3603">
        <v>232.6</v>
      </c>
    </row>
    <row r="3604" spans="1:11" x14ac:dyDescent="0.35">
      <c r="A3604" t="s">
        <v>3894</v>
      </c>
      <c r="B3604" s="1">
        <v>0</v>
      </c>
      <c r="C3604" t="s">
        <v>458</v>
      </c>
      <c r="D3604" t="s">
        <v>5582</v>
      </c>
      <c r="E3604" t="s">
        <v>5165</v>
      </c>
      <c r="F3604" t="s">
        <v>5089</v>
      </c>
      <c r="G3604" t="s">
        <v>5077</v>
      </c>
      <c r="H3604" t="s">
        <v>1689</v>
      </c>
      <c r="J3604" t="s">
        <v>3894</v>
      </c>
      <c r="K3604">
        <v>222.7</v>
      </c>
    </row>
    <row r="3605" spans="1:11" x14ac:dyDescent="0.35">
      <c r="A3605" t="s">
        <v>3895</v>
      </c>
      <c r="B3605" s="1">
        <v>0</v>
      </c>
      <c r="C3605" t="s">
        <v>1522</v>
      </c>
      <c r="D3605" t="s">
        <v>5384</v>
      </c>
      <c r="E3605" t="s">
        <v>5178</v>
      </c>
      <c r="F3605" t="s">
        <v>5089</v>
      </c>
      <c r="G3605" t="s">
        <v>5045</v>
      </c>
      <c r="H3605" t="s">
        <v>1699</v>
      </c>
      <c r="J3605" t="s">
        <v>3895</v>
      </c>
      <c r="K3605">
        <v>212.5</v>
      </c>
    </row>
    <row r="3606" spans="1:11" x14ac:dyDescent="0.35">
      <c r="A3606" t="s">
        <v>3896</v>
      </c>
      <c r="B3606" s="1">
        <v>0</v>
      </c>
      <c r="C3606" t="s">
        <v>988</v>
      </c>
      <c r="D3606" t="s">
        <v>5577</v>
      </c>
      <c r="E3606" t="s">
        <v>5272</v>
      </c>
      <c r="F3606" t="s">
        <v>5089</v>
      </c>
      <c r="G3606" t="s">
        <v>5077</v>
      </c>
      <c r="H3606" t="s">
        <v>944</v>
      </c>
      <c r="J3606" t="s">
        <v>3896</v>
      </c>
      <c r="K3606">
        <v>217.8</v>
      </c>
    </row>
    <row r="3607" spans="1:11" x14ac:dyDescent="0.35">
      <c r="A3607" t="s">
        <v>3897</v>
      </c>
      <c r="B3607" s="1">
        <v>0</v>
      </c>
      <c r="C3607" t="s">
        <v>5659</v>
      </c>
      <c r="D3607" t="s">
        <v>5507</v>
      </c>
      <c r="E3607" t="s">
        <v>5435</v>
      </c>
      <c r="F3607" t="s">
        <v>5089</v>
      </c>
      <c r="G3607" t="s">
        <v>5356</v>
      </c>
      <c r="H3607" t="s">
        <v>2061</v>
      </c>
      <c r="J3607" t="s">
        <v>3897</v>
      </c>
      <c r="K3607">
        <v>240.7</v>
      </c>
    </row>
    <row r="3608" spans="1:11" x14ac:dyDescent="0.35">
      <c r="A3608" t="s">
        <v>3900</v>
      </c>
      <c r="B3608" s="1">
        <v>0</v>
      </c>
      <c r="C3608" t="s">
        <v>497</v>
      </c>
      <c r="D3608" t="s">
        <v>5516</v>
      </c>
      <c r="E3608" t="s">
        <v>5131</v>
      </c>
      <c r="F3608" t="s">
        <v>5089</v>
      </c>
      <c r="G3608" t="s">
        <v>5355</v>
      </c>
      <c r="H3608" t="s">
        <v>5813</v>
      </c>
      <c r="J3608" t="s">
        <v>3900</v>
      </c>
      <c r="K3608">
        <v>262</v>
      </c>
    </row>
    <row r="3609" spans="1:11" x14ac:dyDescent="0.35">
      <c r="A3609" t="s">
        <v>3902</v>
      </c>
      <c r="B3609" s="1">
        <v>0</v>
      </c>
      <c r="C3609" t="s">
        <v>1070</v>
      </c>
      <c r="D3609" t="s">
        <v>5614</v>
      </c>
      <c r="E3609" t="s">
        <v>5437</v>
      </c>
      <c r="F3609" t="s">
        <v>5358</v>
      </c>
      <c r="G3609" t="s">
        <v>5355</v>
      </c>
      <c r="H3609" t="s">
        <v>5700</v>
      </c>
      <c r="J3609" t="s">
        <v>3902</v>
      </c>
      <c r="K3609">
        <v>268.10000000000002</v>
      </c>
    </row>
    <row r="3610" spans="1:11" x14ac:dyDescent="0.35">
      <c r="A3610" t="s">
        <v>3904</v>
      </c>
      <c r="B3610" s="1">
        <v>0</v>
      </c>
      <c r="C3610" t="s">
        <v>2298</v>
      </c>
      <c r="D3610" t="s">
        <v>5651</v>
      </c>
      <c r="E3610" t="s">
        <v>5093</v>
      </c>
      <c r="F3610" t="s">
        <v>5358</v>
      </c>
      <c r="G3610" t="s">
        <v>5493</v>
      </c>
      <c r="H3610" t="s">
        <v>5689</v>
      </c>
      <c r="J3610" t="s">
        <v>3904</v>
      </c>
      <c r="K3610">
        <v>265.60000000000002</v>
      </c>
    </row>
    <row r="3611" spans="1:11" x14ac:dyDescent="0.35">
      <c r="A3611" t="s">
        <v>3905</v>
      </c>
      <c r="B3611" s="1">
        <v>0</v>
      </c>
      <c r="C3611" t="s">
        <v>118</v>
      </c>
      <c r="D3611" t="s">
        <v>5502</v>
      </c>
      <c r="E3611" t="s">
        <v>5444</v>
      </c>
      <c r="F3611" t="s">
        <v>5358</v>
      </c>
      <c r="G3611" t="s">
        <v>5132</v>
      </c>
      <c r="H3611" t="s">
        <v>5701</v>
      </c>
      <c r="J3611" t="s">
        <v>3905</v>
      </c>
      <c r="K3611">
        <v>257.10000000000002</v>
      </c>
    </row>
    <row r="3612" spans="1:11" x14ac:dyDescent="0.35">
      <c r="A3612" t="s">
        <v>3908</v>
      </c>
      <c r="B3612" s="1">
        <v>0</v>
      </c>
      <c r="C3612" t="s">
        <v>1465</v>
      </c>
      <c r="D3612" t="s">
        <v>5134</v>
      </c>
      <c r="E3612" t="s">
        <v>5096</v>
      </c>
      <c r="F3612" t="s">
        <v>5089</v>
      </c>
      <c r="G3612" t="s">
        <v>5092</v>
      </c>
      <c r="H3612" t="s">
        <v>3319</v>
      </c>
      <c r="J3612" t="s">
        <v>3908</v>
      </c>
      <c r="K3612">
        <v>243</v>
      </c>
    </row>
    <row r="3613" spans="1:11" x14ac:dyDescent="0.35">
      <c r="A3613" t="s">
        <v>3909</v>
      </c>
      <c r="B3613" s="1">
        <v>0</v>
      </c>
      <c r="C3613" t="s">
        <v>1542</v>
      </c>
      <c r="D3613" t="s">
        <v>5576</v>
      </c>
      <c r="E3613" t="s">
        <v>5276</v>
      </c>
      <c r="F3613" t="s">
        <v>5089</v>
      </c>
      <c r="G3613" t="s">
        <v>5116</v>
      </c>
      <c r="H3613" t="s">
        <v>2369</v>
      </c>
      <c r="J3613" t="s">
        <v>3909</v>
      </c>
      <c r="K3613">
        <v>231.7</v>
      </c>
    </row>
    <row r="3614" spans="1:11" x14ac:dyDescent="0.35">
      <c r="A3614" t="s">
        <v>3910</v>
      </c>
      <c r="B3614" s="1">
        <v>0</v>
      </c>
      <c r="C3614" t="s">
        <v>1468</v>
      </c>
      <c r="D3614" t="s">
        <v>5217</v>
      </c>
      <c r="E3614" t="s">
        <v>5081</v>
      </c>
      <c r="F3614" t="s">
        <v>5089</v>
      </c>
      <c r="G3614" t="s">
        <v>5110</v>
      </c>
      <c r="H3614" t="s">
        <v>3653</v>
      </c>
      <c r="J3614" t="s">
        <v>3910</v>
      </c>
      <c r="K3614">
        <v>231.6</v>
      </c>
    </row>
    <row r="3615" spans="1:11" x14ac:dyDescent="0.35">
      <c r="A3615" t="s">
        <v>3912</v>
      </c>
      <c r="B3615" s="1">
        <v>0</v>
      </c>
      <c r="C3615" t="s">
        <v>3801</v>
      </c>
      <c r="D3615" t="s">
        <v>5275</v>
      </c>
      <c r="E3615" t="s">
        <v>5123</v>
      </c>
      <c r="F3615" t="s">
        <v>5089</v>
      </c>
      <c r="G3615" t="s">
        <v>5358</v>
      </c>
      <c r="H3615" t="s">
        <v>2386</v>
      </c>
      <c r="J3615" t="s">
        <v>3912</v>
      </c>
      <c r="K3615">
        <v>238.2</v>
      </c>
    </row>
    <row r="3616" spans="1:11" x14ac:dyDescent="0.35">
      <c r="A3616" t="s">
        <v>3914</v>
      </c>
      <c r="B3616" s="1">
        <v>0</v>
      </c>
      <c r="C3616" t="s">
        <v>1066</v>
      </c>
      <c r="D3616" t="s">
        <v>5602</v>
      </c>
      <c r="E3616" t="s">
        <v>5105</v>
      </c>
      <c r="F3616" t="s">
        <v>5089</v>
      </c>
      <c r="G3616" t="s">
        <v>5355</v>
      </c>
      <c r="H3616" t="s">
        <v>2045</v>
      </c>
      <c r="J3616" t="s">
        <v>3914</v>
      </c>
      <c r="K3616">
        <v>241.6</v>
      </c>
    </row>
    <row r="3617" spans="1:11" x14ac:dyDescent="0.35">
      <c r="A3617" t="s">
        <v>3915</v>
      </c>
      <c r="B3617" s="1">
        <v>0</v>
      </c>
      <c r="C3617" t="s">
        <v>3808</v>
      </c>
      <c r="D3617" t="s">
        <v>5228</v>
      </c>
      <c r="E3617" t="s">
        <v>5063</v>
      </c>
      <c r="F3617" t="s">
        <v>5089</v>
      </c>
      <c r="G3617" t="s">
        <v>5333</v>
      </c>
      <c r="H3617" t="s">
        <v>638</v>
      </c>
      <c r="J3617" t="s">
        <v>3915</v>
      </c>
      <c r="K3617">
        <v>245.1</v>
      </c>
    </row>
    <row r="3618" spans="1:11" x14ac:dyDescent="0.35">
      <c r="A3618" t="s">
        <v>3917</v>
      </c>
      <c r="B3618" s="1">
        <v>0</v>
      </c>
      <c r="C3618" t="s">
        <v>2227</v>
      </c>
      <c r="D3618" t="s">
        <v>5467</v>
      </c>
      <c r="E3618" t="s">
        <v>5435</v>
      </c>
      <c r="F3618" t="s">
        <v>5089</v>
      </c>
      <c r="G3618" t="s">
        <v>5341</v>
      </c>
      <c r="H3618" t="s">
        <v>5814</v>
      </c>
      <c r="J3618" t="s">
        <v>3917</v>
      </c>
      <c r="K3618">
        <v>251.1</v>
      </c>
    </row>
    <row r="3619" spans="1:11" x14ac:dyDescent="0.35">
      <c r="A3619" t="s">
        <v>3918</v>
      </c>
      <c r="B3619" s="1">
        <v>0</v>
      </c>
      <c r="C3619" t="s">
        <v>2224</v>
      </c>
      <c r="D3619" t="s">
        <v>5408</v>
      </c>
      <c r="E3619" t="s">
        <v>5118</v>
      </c>
      <c r="F3619" t="s">
        <v>5089</v>
      </c>
      <c r="G3619" t="s">
        <v>5166</v>
      </c>
      <c r="H3619" t="s">
        <v>5815</v>
      </c>
      <c r="J3619" t="s">
        <v>3918</v>
      </c>
      <c r="K3619">
        <v>262.10000000000002</v>
      </c>
    </row>
    <row r="3620" spans="1:11" x14ac:dyDescent="0.35">
      <c r="A3620" t="s">
        <v>3919</v>
      </c>
      <c r="B3620" s="1">
        <v>0</v>
      </c>
      <c r="C3620" t="s">
        <v>1858</v>
      </c>
      <c r="D3620" t="s">
        <v>5649</v>
      </c>
      <c r="E3620" t="s">
        <v>5145</v>
      </c>
      <c r="F3620" t="s">
        <v>5358</v>
      </c>
      <c r="G3620" t="s">
        <v>5188</v>
      </c>
      <c r="H3620" t="s">
        <v>5816</v>
      </c>
      <c r="J3620" t="s">
        <v>3919</v>
      </c>
      <c r="K3620">
        <v>278.2</v>
      </c>
    </row>
    <row r="3621" spans="1:11" x14ac:dyDescent="0.35">
      <c r="A3621" t="s">
        <v>3920</v>
      </c>
      <c r="B3621" s="1">
        <v>0</v>
      </c>
      <c r="C3621" t="s">
        <v>3708</v>
      </c>
      <c r="D3621" t="s">
        <v>5649</v>
      </c>
      <c r="E3621" t="s">
        <v>5145</v>
      </c>
      <c r="F3621" t="s">
        <v>5358</v>
      </c>
      <c r="G3621" t="s">
        <v>5205</v>
      </c>
      <c r="H3621" t="s">
        <v>5817</v>
      </c>
      <c r="J3621" t="s">
        <v>3920</v>
      </c>
      <c r="K3621">
        <v>282.39999999999998</v>
      </c>
    </row>
    <row r="3622" spans="1:11" x14ac:dyDescent="0.35">
      <c r="A3622" t="s">
        <v>3923</v>
      </c>
      <c r="B3622" s="1">
        <v>0</v>
      </c>
      <c r="C3622" t="s">
        <v>1114</v>
      </c>
      <c r="D3622" t="s">
        <v>5477</v>
      </c>
      <c r="E3622" t="s">
        <v>5453</v>
      </c>
      <c r="F3622" t="s">
        <v>5358</v>
      </c>
      <c r="G3622" t="s">
        <v>5188</v>
      </c>
      <c r="H3622" t="s">
        <v>5818</v>
      </c>
      <c r="J3622" t="s">
        <v>3923</v>
      </c>
      <c r="K3622">
        <v>273.8</v>
      </c>
    </row>
    <row r="3623" spans="1:11" x14ac:dyDescent="0.35">
      <c r="A3623" t="s">
        <v>3924</v>
      </c>
      <c r="B3623" s="1">
        <v>0</v>
      </c>
      <c r="C3623" t="s">
        <v>843</v>
      </c>
      <c r="D3623" t="s">
        <v>5468</v>
      </c>
      <c r="E3623" t="s">
        <v>5067</v>
      </c>
      <c r="F3623" t="s">
        <v>5358</v>
      </c>
      <c r="G3623" t="s">
        <v>5347</v>
      </c>
      <c r="H3623" t="s">
        <v>5819</v>
      </c>
      <c r="J3623" t="s">
        <v>3924</v>
      </c>
      <c r="K3623">
        <v>273.39999999999998</v>
      </c>
    </row>
    <row r="3624" spans="1:11" x14ac:dyDescent="0.35">
      <c r="A3624" t="s">
        <v>3925</v>
      </c>
      <c r="B3624" s="1">
        <v>0</v>
      </c>
      <c r="C3624" t="s">
        <v>961</v>
      </c>
      <c r="D3624" t="s">
        <v>5564</v>
      </c>
      <c r="E3624" t="s">
        <v>5111</v>
      </c>
      <c r="F3624" t="s">
        <v>5331</v>
      </c>
      <c r="G3624" t="s">
        <v>5191</v>
      </c>
      <c r="H3624" t="s">
        <v>5820</v>
      </c>
      <c r="J3624" t="s">
        <v>3925</v>
      </c>
      <c r="K3624">
        <v>292.39999999999998</v>
      </c>
    </row>
    <row r="3625" spans="1:11" x14ac:dyDescent="0.35">
      <c r="A3625" t="s">
        <v>3926</v>
      </c>
      <c r="B3625" s="1">
        <v>0</v>
      </c>
      <c r="C3625" t="s">
        <v>2166</v>
      </c>
      <c r="D3625" t="s">
        <v>5401</v>
      </c>
      <c r="E3625" t="s">
        <v>5157</v>
      </c>
      <c r="F3625" t="s">
        <v>5331</v>
      </c>
      <c r="G3625" t="s">
        <v>5191</v>
      </c>
      <c r="H3625" t="s">
        <v>5821</v>
      </c>
      <c r="J3625" t="s">
        <v>3926</v>
      </c>
      <c r="K3625">
        <v>298.3</v>
      </c>
    </row>
    <row r="3626" spans="1:11" x14ac:dyDescent="0.35">
      <c r="A3626" t="s">
        <v>3927</v>
      </c>
      <c r="B3626" s="1">
        <v>0</v>
      </c>
      <c r="C3626" t="s">
        <v>1418</v>
      </c>
      <c r="D3626" t="s">
        <v>5636</v>
      </c>
      <c r="E3626" t="s">
        <v>5440</v>
      </c>
      <c r="F3626" t="s">
        <v>5331</v>
      </c>
      <c r="G3626" t="s">
        <v>5350</v>
      </c>
      <c r="H3626" t="s">
        <v>5738</v>
      </c>
      <c r="J3626" t="s">
        <v>3927</v>
      </c>
      <c r="K3626">
        <v>298.60000000000002</v>
      </c>
    </row>
    <row r="3627" spans="1:11" x14ac:dyDescent="0.35">
      <c r="A3627" t="s">
        <v>3928</v>
      </c>
      <c r="B3627" s="1">
        <v>0</v>
      </c>
      <c r="C3627" t="s">
        <v>1787</v>
      </c>
      <c r="D3627" t="s">
        <v>382</v>
      </c>
      <c r="E3627" t="s">
        <v>5106</v>
      </c>
      <c r="F3627" t="s">
        <v>5331</v>
      </c>
      <c r="G3627" t="s">
        <v>5527</v>
      </c>
      <c r="H3627" t="s">
        <v>5822</v>
      </c>
      <c r="J3627" t="s">
        <v>3928</v>
      </c>
      <c r="K3627">
        <v>295.8</v>
      </c>
    </row>
    <row r="3628" spans="1:11" x14ac:dyDescent="0.35">
      <c r="A3628" t="s">
        <v>3930</v>
      </c>
      <c r="B3628" s="1">
        <v>0</v>
      </c>
      <c r="C3628" t="s">
        <v>1951</v>
      </c>
      <c r="D3628" t="s">
        <v>5267</v>
      </c>
      <c r="E3628" t="s">
        <v>5442</v>
      </c>
      <c r="F3628" t="s">
        <v>5331</v>
      </c>
      <c r="G3628" t="s">
        <v>5345</v>
      </c>
      <c r="H3628" t="s">
        <v>5823</v>
      </c>
      <c r="J3628" t="s">
        <v>3930</v>
      </c>
      <c r="K3628">
        <v>287.10000000000002</v>
      </c>
    </row>
    <row r="3629" spans="1:11" x14ac:dyDescent="0.35">
      <c r="A3629" t="s">
        <v>3931</v>
      </c>
      <c r="B3629" s="1">
        <v>0</v>
      </c>
      <c r="C3629" t="s">
        <v>963</v>
      </c>
      <c r="D3629" t="s">
        <v>5565</v>
      </c>
      <c r="E3629" t="s">
        <v>5571</v>
      </c>
      <c r="F3629" t="s">
        <v>5338</v>
      </c>
      <c r="G3629" t="s">
        <v>5158</v>
      </c>
      <c r="H3629" t="s">
        <v>5775</v>
      </c>
      <c r="J3629" t="s">
        <v>3931</v>
      </c>
      <c r="K3629">
        <v>268.39999999999998</v>
      </c>
    </row>
    <row r="3630" spans="1:11" x14ac:dyDescent="0.35">
      <c r="A3630" t="s">
        <v>3932</v>
      </c>
      <c r="B3630" s="1">
        <v>0</v>
      </c>
      <c r="C3630" t="s">
        <v>306</v>
      </c>
      <c r="D3630" t="s">
        <v>5566</v>
      </c>
      <c r="E3630" t="s">
        <v>5187</v>
      </c>
      <c r="F3630" t="s">
        <v>5338</v>
      </c>
      <c r="G3630" t="s">
        <v>5188</v>
      </c>
      <c r="H3630" t="s">
        <v>5016</v>
      </c>
      <c r="J3630" t="s">
        <v>3932</v>
      </c>
      <c r="K3630">
        <v>260.2</v>
      </c>
    </row>
    <row r="3631" spans="1:11" x14ac:dyDescent="0.35">
      <c r="A3631" t="s">
        <v>3934</v>
      </c>
      <c r="B3631" s="1">
        <v>0</v>
      </c>
      <c r="C3631" t="s">
        <v>3243</v>
      </c>
      <c r="D3631" t="s">
        <v>5480</v>
      </c>
      <c r="E3631" t="s">
        <v>5442</v>
      </c>
      <c r="F3631" t="s">
        <v>5338</v>
      </c>
      <c r="G3631" t="s">
        <v>5347</v>
      </c>
      <c r="H3631" t="s">
        <v>3626</v>
      </c>
      <c r="J3631" t="s">
        <v>3934</v>
      </c>
      <c r="K3631">
        <v>271.39999999999998</v>
      </c>
    </row>
    <row r="3632" spans="1:11" x14ac:dyDescent="0.35">
      <c r="A3632" t="s">
        <v>3936</v>
      </c>
      <c r="B3632" s="1">
        <v>0</v>
      </c>
      <c r="C3632" t="s">
        <v>1126</v>
      </c>
      <c r="D3632" t="s">
        <v>5636</v>
      </c>
      <c r="E3632" t="s">
        <v>5256</v>
      </c>
      <c r="F3632" t="s">
        <v>5331</v>
      </c>
      <c r="G3632" t="s">
        <v>5161</v>
      </c>
      <c r="H3632" t="s">
        <v>5824</v>
      </c>
      <c r="J3632" t="s">
        <v>3936</v>
      </c>
      <c r="K3632">
        <v>289.7</v>
      </c>
    </row>
    <row r="3633" spans="1:11" x14ac:dyDescent="0.35">
      <c r="A3633" t="s">
        <v>3938</v>
      </c>
      <c r="B3633" s="1">
        <v>0</v>
      </c>
      <c r="C3633" t="s">
        <v>1790</v>
      </c>
      <c r="D3633" t="s">
        <v>1488</v>
      </c>
      <c r="E3633" t="s">
        <v>5190</v>
      </c>
      <c r="F3633" t="s">
        <v>5331</v>
      </c>
      <c r="G3633" t="s">
        <v>5336</v>
      </c>
      <c r="H3633" t="s">
        <v>5825</v>
      </c>
      <c r="J3633" t="s">
        <v>3938</v>
      </c>
      <c r="K3633">
        <v>299.8</v>
      </c>
    </row>
    <row r="3634" spans="1:11" x14ac:dyDescent="0.35">
      <c r="A3634" t="s">
        <v>3940</v>
      </c>
      <c r="B3634" s="1">
        <v>0</v>
      </c>
      <c r="C3634" t="s">
        <v>3428</v>
      </c>
      <c r="D3634" t="s">
        <v>2584</v>
      </c>
      <c r="E3634" t="s">
        <v>5211</v>
      </c>
      <c r="F3634" t="s">
        <v>5331</v>
      </c>
      <c r="G3634" t="s">
        <v>5414</v>
      </c>
      <c r="H3634" t="s">
        <v>5782</v>
      </c>
      <c r="J3634" t="s">
        <v>3940</v>
      </c>
      <c r="K3634">
        <v>299.39999999999998</v>
      </c>
    </row>
    <row r="3635" spans="1:11" x14ac:dyDescent="0.35">
      <c r="A3635" t="s">
        <v>3942</v>
      </c>
      <c r="B3635" s="1">
        <v>0</v>
      </c>
      <c r="C3635" t="s">
        <v>2639</v>
      </c>
      <c r="D3635" t="s">
        <v>2241</v>
      </c>
      <c r="E3635" t="s">
        <v>5445</v>
      </c>
      <c r="F3635" t="s">
        <v>5331</v>
      </c>
      <c r="G3635" t="s">
        <v>5338</v>
      </c>
      <c r="H3635" t="s">
        <v>5826</v>
      </c>
      <c r="J3635" t="s">
        <v>3942</v>
      </c>
      <c r="K3635">
        <v>292.8</v>
      </c>
    </row>
    <row r="3636" spans="1:11" x14ac:dyDescent="0.35">
      <c r="A3636" t="s">
        <v>3944</v>
      </c>
      <c r="B3636" s="1">
        <v>0</v>
      </c>
      <c r="C3636" t="s">
        <v>4079</v>
      </c>
      <c r="D3636" t="s">
        <v>395</v>
      </c>
      <c r="E3636" t="s">
        <v>5519</v>
      </c>
      <c r="F3636" t="s">
        <v>5338</v>
      </c>
      <c r="G3636" t="s">
        <v>5158</v>
      </c>
      <c r="H3636" t="s">
        <v>5827</v>
      </c>
      <c r="J3636" t="s">
        <v>3944</v>
      </c>
      <c r="K3636">
        <v>286.60000000000002</v>
      </c>
    </row>
    <row r="3637" spans="1:11" x14ac:dyDescent="0.35">
      <c r="A3637" t="s">
        <v>3945</v>
      </c>
      <c r="B3637" s="1">
        <v>0</v>
      </c>
      <c r="C3637" t="s">
        <v>2281</v>
      </c>
      <c r="D3637" t="s">
        <v>410</v>
      </c>
      <c r="E3637" t="s">
        <v>5198</v>
      </c>
      <c r="F3637" t="s">
        <v>5338</v>
      </c>
      <c r="G3637" t="s">
        <v>5205</v>
      </c>
      <c r="H3637" t="s">
        <v>2065</v>
      </c>
      <c r="J3637" t="s">
        <v>3945</v>
      </c>
      <c r="K3637">
        <v>276.10000000000002</v>
      </c>
    </row>
    <row r="3638" spans="1:11" x14ac:dyDescent="0.35">
      <c r="A3638" t="s">
        <v>3946</v>
      </c>
      <c r="B3638" s="1">
        <v>0</v>
      </c>
      <c r="C3638" t="s">
        <v>4346</v>
      </c>
      <c r="D3638" t="s">
        <v>405</v>
      </c>
      <c r="E3638" t="s">
        <v>5440</v>
      </c>
      <c r="F3638" t="s">
        <v>5338</v>
      </c>
      <c r="G3638" t="s">
        <v>5155</v>
      </c>
      <c r="H3638" t="s">
        <v>5828</v>
      </c>
      <c r="J3638" t="s">
        <v>3946</v>
      </c>
      <c r="K3638">
        <v>271.3</v>
      </c>
    </row>
    <row r="3639" spans="1:11" x14ac:dyDescent="0.35">
      <c r="A3639" t="s">
        <v>3948</v>
      </c>
      <c r="B3639" s="1">
        <v>0</v>
      </c>
      <c r="C3639" t="s">
        <v>1122</v>
      </c>
      <c r="D3639" t="s">
        <v>5263</v>
      </c>
      <c r="E3639" t="s">
        <v>5137</v>
      </c>
      <c r="F3639" t="s">
        <v>5338</v>
      </c>
      <c r="G3639" t="s">
        <v>5347</v>
      </c>
      <c r="H3639" t="s">
        <v>5725</v>
      </c>
      <c r="J3639" t="s">
        <v>3948</v>
      </c>
      <c r="K3639">
        <v>272.7</v>
      </c>
    </row>
    <row r="3640" spans="1:11" x14ac:dyDescent="0.35">
      <c r="A3640" t="s">
        <v>3949</v>
      </c>
      <c r="B3640" s="1">
        <v>0</v>
      </c>
      <c r="C3640" t="s">
        <v>1863</v>
      </c>
      <c r="D3640" t="s">
        <v>5561</v>
      </c>
      <c r="E3640" t="s">
        <v>5471</v>
      </c>
      <c r="F3640" t="s">
        <v>5331</v>
      </c>
      <c r="G3640" t="s">
        <v>5338</v>
      </c>
      <c r="H3640" t="s">
        <v>5829</v>
      </c>
      <c r="J3640" t="s">
        <v>3949</v>
      </c>
      <c r="K3640">
        <v>277.3</v>
      </c>
    </row>
    <row r="3641" spans="1:11" x14ac:dyDescent="0.35">
      <c r="A3641" t="s">
        <v>3951</v>
      </c>
      <c r="B3641" s="1">
        <v>0</v>
      </c>
      <c r="C3641" t="s">
        <v>117</v>
      </c>
      <c r="D3641" t="s">
        <v>5628</v>
      </c>
      <c r="E3641" t="s">
        <v>5111</v>
      </c>
      <c r="F3641" t="s">
        <v>5331</v>
      </c>
      <c r="G3641" t="s">
        <v>5152</v>
      </c>
      <c r="H3641" t="s">
        <v>5830</v>
      </c>
      <c r="J3641" t="s">
        <v>3951</v>
      </c>
      <c r="K3641">
        <v>276.39999999999998</v>
      </c>
    </row>
    <row r="3642" spans="1:11" x14ac:dyDescent="0.35">
      <c r="A3642" t="s">
        <v>3952</v>
      </c>
      <c r="B3642" s="1">
        <v>0</v>
      </c>
      <c r="C3642" t="s">
        <v>3524</v>
      </c>
      <c r="D3642" t="s">
        <v>5633</v>
      </c>
      <c r="E3642" t="s">
        <v>5200</v>
      </c>
      <c r="F3642" t="s">
        <v>5338</v>
      </c>
      <c r="G3642" t="s">
        <v>5205</v>
      </c>
      <c r="H3642" t="s">
        <v>3903</v>
      </c>
      <c r="J3642" t="s">
        <v>3952</v>
      </c>
      <c r="K3642">
        <v>267.2</v>
      </c>
    </row>
    <row r="3643" spans="1:11" x14ac:dyDescent="0.35">
      <c r="A3643" t="s">
        <v>3955</v>
      </c>
      <c r="B3643" s="1">
        <v>0</v>
      </c>
      <c r="C3643" t="s">
        <v>2563</v>
      </c>
      <c r="D3643" t="s">
        <v>5504</v>
      </c>
      <c r="E3643" t="s">
        <v>5131</v>
      </c>
      <c r="F3643" t="s">
        <v>5338</v>
      </c>
      <c r="G3643" t="s">
        <v>5166</v>
      </c>
      <c r="H3643" t="s">
        <v>5797</v>
      </c>
      <c r="J3643" t="s">
        <v>3955</v>
      </c>
      <c r="K3643">
        <v>256.5</v>
      </c>
    </row>
    <row r="3644" spans="1:11" x14ac:dyDescent="0.35">
      <c r="A3644" t="s">
        <v>3956</v>
      </c>
      <c r="B3644" s="1">
        <v>0</v>
      </c>
      <c r="C3644" t="s">
        <v>318</v>
      </c>
      <c r="D3644" t="s">
        <v>5490</v>
      </c>
      <c r="E3644" t="s">
        <v>5247</v>
      </c>
      <c r="F3644" t="s">
        <v>5338</v>
      </c>
      <c r="G3644" t="s">
        <v>5341</v>
      </c>
      <c r="H3644" t="s">
        <v>2091</v>
      </c>
      <c r="J3644" t="s">
        <v>3956</v>
      </c>
      <c r="K3644">
        <v>246</v>
      </c>
    </row>
    <row r="3645" spans="1:11" x14ac:dyDescent="0.35">
      <c r="A3645" t="s">
        <v>3957</v>
      </c>
      <c r="B3645" s="1">
        <v>0</v>
      </c>
      <c r="C3645" t="s">
        <v>2274</v>
      </c>
      <c r="D3645" t="s">
        <v>5607</v>
      </c>
      <c r="E3645" t="s">
        <v>5118</v>
      </c>
      <c r="F3645" t="s">
        <v>5338</v>
      </c>
      <c r="G3645" t="s">
        <v>5341</v>
      </c>
      <c r="H3645" t="s">
        <v>4210</v>
      </c>
      <c r="J3645" t="s">
        <v>3957</v>
      </c>
      <c r="K3645">
        <v>240.2</v>
      </c>
    </row>
    <row r="3646" spans="1:11" x14ac:dyDescent="0.35">
      <c r="A3646" t="s">
        <v>3959</v>
      </c>
      <c r="B3646" s="1">
        <v>0</v>
      </c>
      <c r="C3646" t="s">
        <v>1871</v>
      </c>
      <c r="D3646" t="s">
        <v>5497</v>
      </c>
      <c r="E3646" t="s">
        <v>5085</v>
      </c>
      <c r="F3646" t="s">
        <v>5338</v>
      </c>
      <c r="G3646" t="s">
        <v>5501</v>
      </c>
      <c r="H3646" t="s">
        <v>3603</v>
      </c>
      <c r="J3646" t="s">
        <v>3959</v>
      </c>
      <c r="K3646">
        <v>233.5</v>
      </c>
    </row>
    <row r="3647" spans="1:11" x14ac:dyDescent="0.35">
      <c r="A3647" t="s">
        <v>3961</v>
      </c>
      <c r="B3647" s="1">
        <v>0</v>
      </c>
      <c r="C3647" t="s">
        <v>988</v>
      </c>
      <c r="D3647" t="s">
        <v>5242</v>
      </c>
      <c r="E3647" t="s">
        <v>5229</v>
      </c>
      <c r="F3647" t="s">
        <v>5152</v>
      </c>
      <c r="G3647" t="s">
        <v>5136</v>
      </c>
      <c r="H3647" t="s">
        <v>2033</v>
      </c>
      <c r="J3647" t="s">
        <v>3961</v>
      </c>
      <c r="K3647">
        <v>224.5</v>
      </c>
    </row>
    <row r="3648" spans="1:11" x14ac:dyDescent="0.35">
      <c r="A3648" t="s">
        <v>3962</v>
      </c>
      <c r="B3648" s="1">
        <v>0</v>
      </c>
      <c r="C3648" t="s">
        <v>351</v>
      </c>
      <c r="D3648" t="s">
        <v>5537</v>
      </c>
      <c r="E3648" t="s">
        <v>5067</v>
      </c>
      <c r="F3648" t="s">
        <v>5152</v>
      </c>
      <c r="G3648" t="s">
        <v>5356</v>
      </c>
      <c r="H3648" t="s">
        <v>769</v>
      </c>
      <c r="J3648" t="s">
        <v>3962</v>
      </c>
      <c r="K3648">
        <v>222.2</v>
      </c>
    </row>
    <row r="3649" spans="1:11" x14ac:dyDescent="0.35">
      <c r="A3649" t="s">
        <v>3963</v>
      </c>
      <c r="B3649" s="1">
        <v>0</v>
      </c>
      <c r="C3649" t="s">
        <v>458</v>
      </c>
      <c r="D3649" t="s">
        <v>5630</v>
      </c>
      <c r="E3649" t="s">
        <v>5218</v>
      </c>
      <c r="F3649" t="s">
        <v>5338</v>
      </c>
      <c r="G3649" t="s">
        <v>5493</v>
      </c>
      <c r="H3649" t="s">
        <v>4763</v>
      </c>
      <c r="J3649" t="s">
        <v>3963</v>
      </c>
      <c r="K3649">
        <v>228</v>
      </c>
    </row>
    <row r="3650" spans="1:11" x14ac:dyDescent="0.35">
      <c r="A3650" t="s">
        <v>3964</v>
      </c>
      <c r="B3650" s="1">
        <v>0</v>
      </c>
      <c r="C3650" t="s">
        <v>1864</v>
      </c>
      <c r="D3650" t="s">
        <v>5523</v>
      </c>
      <c r="E3650" t="s">
        <v>5072</v>
      </c>
      <c r="F3650" t="s">
        <v>5338</v>
      </c>
      <c r="G3650" t="s">
        <v>5501</v>
      </c>
      <c r="H3650" t="s">
        <v>735</v>
      </c>
      <c r="J3650" t="s">
        <v>3964</v>
      </c>
      <c r="K3650">
        <v>235</v>
      </c>
    </row>
    <row r="3651" spans="1:11" x14ac:dyDescent="0.35">
      <c r="A3651" t="s">
        <v>3965</v>
      </c>
      <c r="B3651" s="1">
        <v>0</v>
      </c>
      <c r="C3651" t="s">
        <v>1868</v>
      </c>
      <c r="D3651" t="s">
        <v>5612</v>
      </c>
      <c r="E3651" t="s">
        <v>5074</v>
      </c>
      <c r="F3651" t="s">
        <v>5338</v>
      </c>
      <c r="G3651" t="s">
        <v>5501</v>
      </c>
      <c r="H3651" t="s">
        <v>1242</v>
      </c>
      <c r="J3651" t="s">
        <v>3965</v>
      </c>
      <c r="K3651">
        <v>236</v>
      </c>
    </row>
    <row r="3652" spans="1:11" x14ac:dyDescent="0.35">
      <c r="A3652" t="s">
        <v>3966</v>
      </c>
      <c r="B3652" s="1">
        <v>0</v>
      </c>
      <c r="C3652" t="s">
        <v>331</v>
      </c>
      <c r="D3652" t="s">
        <v>5274</v>
      </c>
      <c r="E3652" t="s">
        <v>5074</v>
      </c>
      <c r="F3652" t="s">
        <v>5152</v>
      </c>
      <c r="G3652" t="s">
        <v>5355</v>
      </c>
      <c r="H3652" t="s">
        <v>2026</v>
      </c>
      <c r="J3652" t="s">
        <v>3966</v>
      </c>
      <c r="K3652">
        <v>230.5</v>
      </c>
    </row>
    <row r="3653" spans="1:11" x14ac:dyDescent="0.35">
      <c r="A3653" t="s">
        <v>3967</v>
      </c>
      <c r="B3653" s="1">
        <v>0</v>
      </c>
      <c r="C3653" t="s">
        <v>2267</v>
      </c>
      <c r="D3653" t="s">
        <v>5231</v>
      </c>
      <c r="E3653" t="s">
        <v>5100</v>
      </c>
      <c r="F3653" t="s">
        <v>5152</v>
      </c>
      <c r="G3653" t="s">
        <v>5355</v>
      </c>
      <c r="H3653" t="s">
        <v>1720</v>
      </c>
      <c r="J3653" t="s">
        <v>3967</v>
      </c>
      <c r="K3653">
        <v>236.7</v>
      </c>
    </row>
    <row r="3654" spans="1:11" x14ac:dyDescent="0.35">
      <c r="A3654" t="s">
        <v>3969</v>
      </c>
      <c r="B3654" s="1">
        <v>0</v>
      </c>
      <c r="C3654" t="s">
        <v>2876</v>
      </c>
      <c r="D3654" t="s">
        <v>5564</v>
      </c>
      <c r="E3654" t="s">
        <v>5157</v>
      </c>
      <c r="F3654" t="s">
        <v>5338</v>
      </c>
      <c r="G3654" t="s">
        <v>5340</v>
      </c>
      <c r="H3654" t="s">
        <v>4766</v>
      </c>
      <c r="J3654" t="s">
        <v>3969</v>
      </c>
      <c r="K3654">
        <v>259.2</v>
      </c>
    </row>
    <row r="3655" spans="1:11" x14ac:dyDescent="0.35">
      <c r="A3655" t="s">
        <v>3970</v>
      </c>
      <c r="B3655" s="1">
        <v>0</v>
      </c>
      <c r="C3655" t="s">
        <v>1107</v>
      </c>
      <c r="D3655" t="s">
        <v>5516</v>
      </c>
      <c r="E3655" t="s">
        <v>5281</v>
      </c>
      <c r="F3655" t="s">
        <v>5089</v>
      </c>
      <c r="G3655" t="s">
        <v>5155</v>
      </c>
      <c r="H3655" t="s">
        <v>5831</v>
      </c>
      <c r="J3655" t="s">
        <v>3970</v>
      </c>
      <c r="K3655">
        <v>275.2</v>
      </c>
    </row>
    <row r="3656" spans="1:11" x14ac:dyDescent="0.35">
      <c r="A3656" t="s">
        <v>3973</v>
      </c>
      <c r="B3656" s="1">
        <v>0</v>
      </c>
      <c r="C3656" t="s">
        <v>1963</v>
      </c>
      <c r="D3656" t="s">
        <v>5588</v>
      </c>
      <c r="E3656" t="s">
        <v>5571</v>
      </c>
      <c r="F3656" t="s">
        <v>5089</v>
      </c>
      <c r="G3656" t="s">
        <v>5158</v>
      </c>
      <c r="H3656" t="s">
        <v>3630</v>
      </c>
      <c r="J3656" t="s">
        <v>3973</v>
      </c>
      <c r="K3656">
        <v>276.7</v>
      </c>
    </row>
    <row r="3657" spans="1:11" x14ac:dyDescent="0.35">
      <c r="A3657" t="s">
        <v>3975</v>
      </c>
      <c r="B3657" s="1">
        <v>0</v>
      </c>
      <c r="C3657" t="s">
        <v>1443</v>
      </c>
      <c r="D3657" t="s">
        <v>5611</v>
      </c>
      <c r="E3657" t="s">
        <v>5150</v>
      </c>
      <c r="F3657" t="s">
        <v>5089</v>
      </c>
      <c r="G3657" t="s">
        <v>5205</v>
      </c>
      <c r="H3657" t="s">
        <v>3588</v>
      </c>
      <c r="J3657" t="s">
        <v>3975</v>
      </c>
      <c r="K3657">
        <v>261.10000000000002</v>
      </c>
    </row>
    <row r="3658" spans="1:11" x14ac:dyDescent="0.35">
      <c r="A3658" t="s">
        <v>3977</v>
      </c>
      <c r="B3658" s="1">
        <v>0</v>
      </c>
      <c r="C3658" t="s">
        <v>5548</v>
      </c>
      <c r="D3658" t="s">
        <v>5511</v>
      </c>
      <c r="E3658" t="s">
        <v>5113</v>
      </c>
      <c r="F3658" t="s">
        <v>5089</v>
      </c>
      <c r="G3658" t="s">
        <v>5166</v>
      </c>
      <c r="H3658" t="s">
        <v>5832</v>
      </c>
      <c r="J3658" t="s">
        <v>3977</v>
      </c>
      <c r="K3658">
        <v>241.4</v>
      </c>
    </row>
    <row r="3659" spans="1:11" x14ac:dyDescent="0.35">
      <c r="A3659" t="s">
        <v>3979</v>
      </c>
      <c r="B3659" s="1">
        <v>0</v>
      </c>
      <c r="C3659" t="s">
        <v>1482</v>
      </c>
      <c r="D3659" t="s">
        <v>5091</v>
      </c>
      <c r="E3659" t="s">
        <v>5060</v>
      </c>
      <c r="F3659" t="s">
        <v>5089</v>
      </c>
      <c r="G3659" t="s">
        <v>5332</v>
      </c>
      <c r="H3659" t="s">
        <v>3028</v>
      </c>
      <c r="J3659" t="s">
        <v>3979</v>
      </c>
      <c r="K3659">
        <v>220.7</v>
      </c>
    </row>
    <row r="3660" spans="1:11" x14ac:dyDescent="0.35">
      <c r="A3660" t="s">
        <v>3982</v>
      </c>
      <c r="B3660" s="1">
        <v>0</v>
      </c>
      <c r="C3660" t="s">
        <v>2917</v>
      </c>
      <c r="D3660" t="s">
        <v>5393</v>
      </c>
      <c r="E3660" t="s">
        <v>5160</v>
      </c>
      <c r="F3660" t="s">
        <v>5077</v>
      </c>
      <c r="G3660" t="s">
        <v>5358</v>
      </c>
      <c r="H3660" t="s">
        <v>3135</v>
      </c>
      <c r="J3660" t="s">
        <v>3982</v>
      </c>
      <c r="K3660">
        <v>204.5</v>
      </c>
    </row>
    <row r="3661" spans="1:11" x14ac:dyDescent="0.35">
      <c r="A3661" t="s">
        <v>3985</v>
      </c>
      <c r="B3661" s="1">
        <v>0</v>
      </c>
      <c r="C3661" t="s">
        <v>5463</v>
      </c>
      <c r="D3661" t="s">
        <v>5392</v>
      </c>
      <c r="E3661" t="s">
        <v>5173</v>
      </c>
      <c r="F3661" t="s">
        <v>5077</v>
      </c>
      <c r="G3661" t="s">
        <v>5092</v>
      </c>
      <c r="H3661" t="s">
        <v>2338</v>
      </c>
      <c r="J3661" t="s">
        <v>3985</v>
      </c>
      <c r="K3661">
        <v>192.5</v>
      </c>
    </row>
    <row r="3662" spans="1:11" x14ac:dyDescent="0.35">
      <c r="A3662" t="s">
        <v>3986</v>
      </c>
      <c r="B3662" s="1">
        <v>0</v>
      </c>
      <c r="C3662" t="s">
        <v>5565</v>
      </c>
      <c r="D3662" t="s">
        <v>5596</v>
      </c>
      <c r="E3662" t="s">
        <v>5056</v>
      </c>
      <c r="F3662" t="s">
        <v>5077</v>
      </c>
      <c r="G3662" t="s">
        <v>5116</v>
      </c>
      <c r="H3662" t="s">
        <v>1404</v>
      </c>
      <c r="J3662" t="s">
        <v>3986</v>
      </c>
      <c r="K3662">
        <v>185.1</v>
      </c>
    </row>
    <row r="3663" spans="1:11" x14ac:dyDescent="0.35">
      <c r="A3663" t="s">
        <v>3987</v>
      </c>
      <c r="B3663" s="1">
        <v>0</v>
      </c>
      <c r="C3663" t="s">
        <v>5604</v>
      </c>
      <c r="D3663" t="s">
        <v>5254</v>
      </c>
      <c r="E3663" t="s">
        <v>5064</v>
      </c>
      <c r="F3663" t="s">
        <v>5077</v>
      </c>
      <c r="G3663" t="s">
        <v>5110</v>
      </c>
      <c r="H3663" t="s">
        <v>717</v>
      </c>
      <c r="J3663" t="s">
        <v>3987</v>
      </c>
      <c r="K3663">
        <v>181.8</v>
      </c>
    </row>
    <row r="3664" spans="1:11" x14ac:dyDescent="0.35">
      <c r="A3664" t="s">
        <v>3988</v>
      </c>
      <c r="B3664" s="1">
        <v>0</v>
      </c>
      <c r="C3664" t="s">
        <v>5567</v>
      </c>
      <c r="D3664" t="s">
        <v>5137</v>
      </c>
      <c r="E3664" t="s">
        <v>5418</v>
      </c>
      <c r="F3664" t="s">
        <v>5077</v>
      </c>
      <c r="G3664" t="s">
        <v>5092</v>
      </c>
      <c r="H3664" t="s">
        <v>4035</v>
      </c>
      <c r="J3664" t="s">
        <v>3988</v>
      </c>
      <c r="K3664">
        <v>179.9</v>
      </c>
    </row>
    <row r="3665" spans="1:11" x14ac:dyDescent="0.35">
      <c r="A3665" t="s">
        <v>3989</v>
      </c>
      <c r="B3665" s="1">
        <v>0</v>
      </c>
      <c r="C3665" t="s">
        <v>420</v>
      </c>
      <c r="D3665" t="s">
        <v>5135</v>
      </c>
      <c r="E3665" t="s">
        <v>5295</v>
      </c>
      <c r="F3665" t="s">
        <v>5077</v>
      </c>
      <c r="G3665" t="s">
        <v>5045</v>
      </c>
      <c r="H3665" t="s">
        <v>191</v>
      </c>
      <c r="J3665" t="s">
        <v>3989</v>
      </c>
      <c r="K3665">
        <v>179</v>
      </c>
    </row>
    <row r="3666" spans="1:11" x14ac:dyDescent="0.35">
      <c r="A3666" t="s">
        <v>3990</v>
      </c>
      <c r="B3666" s="1">
        <v>0</v>
      </c>
      <c r="C3666" t="s">
        <v>385</v>
      </c>
      <c r="D3666" t="s">
        <v>5245</v>
      </c>
      <c r="E3666" t="s">
        <v>5061</v>
      </c>
      <c r="F3666" t="s">
        <v>5077</v>
      </c>
      <c r="G3666" t="s">
        <v>5077</v>
      </c>
      <c r="H3666" t="s">
        <v>957</v>
      </c>
      <c r="J3666" t="s">
        <v>3990</v>
      </c>
      <c r="K3666">
        <v>183.3</v>
      </c>
    </row>
    <row r="3667" spans="1:11" x14ac:dyDescent="0.35">
      <c r="A3667" t="s">
        <v>3991</v>
      </c>
      <c r="B3667" s="1">
        <v>0</v>
      </c>
      <c r="C3667" t="s">
        <v>386</v>
      </c>
      <c r="D3667" t="s">
        <v>5220</v>
      </c>
      <c r="E3667" t="s">
        <v>5422</v>
      </c>
      <c r="F3667" t="s">
        <v>5077</v>
      </c>
      <c r="G3667" t="s">
        <v>5077</v>
      </c>
      <c r="H3667" t="s">
        <v>711</v>
      </c>
      <c r="J3667" t="s">
        <v>3991</v>
      </c>
      <c r="K3667">
        <v>191.2</v>
      </c>
    </row>
    <row r="3668" spans="1:11" x14ac:dyDescent="0.35">
      <c r="A3668" t="s">
        <v>3992</v>
      </c>
      <c r="B3668" s="1">
        <v>0</v>
      </c>
      <c r="C3668" t="s">
        <v>2603</v>
      </c>
      <c r="D3668" t="s">
        <v>5454</v>
      </c>
      <c r="E3668" t="s">
        <v>5176</v>
      </c>
      <c r="F3668" t="s">
        <v>5077</v>
      </c>
      <c r="G3668" t="s">
        <v>5077</v>
      </c>
      <c r="H3668" t="s">
        <v>1199</v>
      </c>
      <c r="J3668" t="s">
        <v>3992</v>
      </c>
      <c r="K3668">
        <v>201</v>
      </c>
    </row>
    <row r="3669" spans="1:11" x14ac:dyDescent="0.35">
      <c r="A3669" t="s">
        <v>3993</v>
      </c>
      <c r="B3669" s="1">
        <v>0</v>
      </c>
      <c r="C3669" t="s">
        <v>477</v>
      </c>
      <c r="D3669" t="s">
        <v>5374</v>
      </c>
      <c r="E3669" t="s">
        <v>5221</v>
      </c>
      <c r="F3669" t="s">
        <v>5077</v>
      </c>
      <c r="G3669" t="s">
        <v>5089</v>
      </c>
      <c r="H3669" t="s">
        <v>656</v>
      </c>
      <c r="J3669" t="s">
        <v>3993</v>
      </c>
      <c r="K3669">
        <v>207.3</v>
      </c>
    </row>
    <row r="3670" spans="1:11" x14ac:dyDescent="0.35">
      <c r="A3670" t="s">
        <v>3994</v>
      </c>
      <c r="B3670" s="1">
        <v>0</v>
      </c>
      <c r="C3670" t="s">
        <v>327</v>
      </c>
      <c r="D3670" t="s">
        <v>5216</v>
      </c>
      <c r="E3670" t="s">
        <v>5428</v>
      </c>
      <c r="F3670" t="s">
        <v>5077</v>
      </c>
      <c r="G3670" t="s">
        <v>5358</v>
      </c>
      <c r="H3670" t="s">
        <v>1399</v>
      </c>
      <c r="J3670" t="s">
        <v>3994</v>
      </c>
      <c r="K3670">
        <v>209.7</v>
      </c>
    </row>
    <row r="3671" spans="1:11" x14ac:dyDescent="0.35">
      <c r="A3671" t="s">
        <v>3995</v>
      </c>
      <c r="B3671" s="1">
        <v>0</v>
      </c>
      <c r="C3671" t="s">
        <v>1470</v>
      </c>
      <c r="D3671" t="s">
        <v>5519</v>
      </c>
      <c r="E3671" t="s">
        <v>5431</v>
      </c>
      <c r="F3671" t="s">
        <v>5077</v>
      </c>
      <c r="G3671" t="s">
        <v>5356</v>
      </c>
      <c r="H3671" t="s">
        <v>2556</v>
      </c>
      <c r="J3671" t="s">
        <v>3995</v>
      </c>
      <c r="K3671">
        <v>207.2</v>
      </c>
    </row>
    <row r="3672" spans="1:11" x14ac:dyDescent="0.35">
      <c r="A3672" t="s">
        <v>3996</v>
      </c>
      <c r="B3672" s="1">
        <v>0</v>
      </c>
      <c r="C3672" t="s">
        <v>1527</v>
      </c>
      <c r="D3672" t="s">
        <v>5154</v>
      </c>
      <c r="E3672" t="s">
        <v>5070</v>
      </c>
      <c r="F3672" t="s">
        <v>5077</v>
      </c>
      <c r="G3672" t="s">
        <v>5132</v>
      </c>
      <c r="H3672" t="s">
        <v>2826</v>
      </c>
      <c r="J3672" t="s">
        <v>3996</v>
      </c>
      <c r="K3672">
        <v>198.6</v>
      </c>
    </row>
    <row r="3673" spans="1:11" x14ac:dyDescent="0.35">
      <c r="A3673" t="s">
        <v>3997</v>
      </c>
      <c r="B3673" s="1">
        <v>0</v>
      </c>
      <c r="C3673" t="s">
        <v>3212</v>
      </c>
      <c r="D3673" t="s">
        <v>5154</v>
      </c>
      <c r="E3673" t="s">
        <v>5425</v>
      </c>
      <c r="F3673" t="s">
        <v>5077</v>
      </c>
      <c r="G3673" t="s">
        <v>5358</v>
      </c>
      <c r="H3673" t="s">
        <v>1280</v>
      </c>
      <c r="J3673" t="s">
        <v>3997</v>
      </c>
      <c r="K3673">
        <v>193.5</v>
      </c>
    </row>
    <row r="3674" spans="1:11" x14ac:dyDescent="0.35">
      <c r="A3674" t="s">
        <v>3998</v>
      </c>
      <c r="B3674" s="1">
        <v>0</v>
      </c>
      <c r="C3674" t="s">
        <v>1016</v>
      </c>
      <c r="D3674" t="s">
        <v>5462</v>
      </c>
      <c r="E3674" t="s">
        <v>5171</v>
      </c>
      <c r="F3674" t="s">
        <v>5077</v>
      </c>
      <c r="G3674" t="s">
        <v>5077</v>
      </c>
      <c r="H3674" t="s">
        <v>711</v>
      </c>
      <c r="J3674" t="s">
        <v>3998</v>
      </c>
      <c r="K3674">
        <v>191.2</v>
      </c>
    </row>
    <row r="3675" spans="1:11" x14ac:dyDescent="0.35">
      <c r="A3675" t="s">
        <v>3999</v>
      </c>
      <c r="B3675" s="1">
        <v>0</v>
      </c>
      <c r="C3675" t="s">
        <v>1033</v>
      </c>
      <c r="D3675" t="s">
        <v>5198</v>
      </c>
      <c r="E3675" t="s">
        <v>5073</v>
      </c>
      <c r="F3675" t="s">
        <v>5077</v>
      </c>
      <c r="G3675" t="s">
        <v>5092</v>
      </c>
      <c r="H3675" t="s">
        <v>2140</v>
      </c>
      <c r="J3675" t="s">
        <v>3999</v>
      </c>
      <c r="K3675">
        <v>187.1</v>
      </c>
    </row>
    <row r="3676" spans="1:11" x14ac:dyDescent="0.35">
      <c r="A3676" t="s">
        <v>4000</v>
      </c>
      <c r="B3676" s="1">
        <v>0</v>
      </c>
      <c r="C3676" t="s">
        <v>1039</v>
      </c>
      <c r="D3676" t="s">
        <v>5594</v>
      </c>
      <c r="E3676" t="s">
        <v>5073</v>
      </c>
      <c r="F3676" t="s">
        <v>5077</v>
      </c>
      <c r="G3676" t="s">
        <v>5110</v>
      </c>
      <c r="H3676" t="s">
        <v>1825</v>
      </c>
      <c r="J3676" t="s">
        <v>4000</v>
      </c>
      <c r="K3676">
        <v>189.4</v>
      </c>
    </row>
    <row r="3677" spans="1:11" x14ac:dyDescent="0.35">
      <c r="A3677" t="s">
        <v>4001</v>
      </c>
      <c r="B3677" s="1">
        <v>0</v>
      </c>
      <c r="C3677" t="s">
        <v>439</v>
      </c>
      <c r="D3677" t="s">
        <v>5443</v>
      </c>
      <c r="E3677" t="s">
        <v>5171</v>
      </c>
      <c r="F3677" t="s">
        <v>5077</v>
      </c>
      <c r="G3677" t="s">
        <v>5045</v>
      </c>
      <c r="H3677" t="s">
        <v>1274</v>
      </c>
      <c r="J3677" t="s">
        <v>4001</v>
      </c>
      <c r="K3677">
        <v>197.4</v>
      </c>
    </row>
    <row r="3678" spans="1:11" x14ac:dyDescent="0.35">
      <c r="A3678" t="s">
        <v>4002</v>
      </c>
      <c r="B3678" s="1">
        <v>0</v>
      </c>
      <c r="C3678" t="s">
        <v>362</v>
      </c>
      <c r="D3678" t="s">
        <v>5262</v>
      </c>
      <c r="E3678" t="s">
        <v>5431</v>
      </c>
      <c r="F3678" t="s">
        <v>5077</v>
      </c>
      <c r="G3678" t="s">
        <v>5077</v>
      </c>
      <c r="H3678" t="s">
        <v>1196</v>
      </c>
      <c r="J3678" t="s">
        <v>4002</v>
      </c>
      <c r="K3678">
        <v>201.3</v>
      </c>
    </row>
    <row r="3679" spans="1:11" x14ac:dyDescent="0.35">
      <c r="A3679" t="s">
        <v>4003</v>
      </c>
      <c r="B3679" s="1">
        <v>0</v>
      </c>
      <c r="C3679" t="s">
        <v>440</v>
      </c>
      <c r="D3679" t="s">
        <v>5445</v>
      </c>
      <c r="E3679" t="s">
        <v>5073</v>
      </c>
      <c r="F3679" t="s">
        <v>5077</v>
      </c>
      <c r="G3679" t="s">
        <v>5045</v>
      </c>
      <c r="H3679" t="s">
        <v>688</v>
      </c>
      <c r="J3679" t="s">
        <v>4003</v>
      </c>
      <c r="K3679">
        <v>197.6</v>
      </c>
    </row>
    <row r="3680" spans="1:11" x14ac:dyDescent="0.35">
      <c r="A3680" t="s">
        <v>4004</v>
      </c>
      <c r="B3680" s="1">
        <v>0</v>
      </c>
      <c r="C3680" t="s">
        <v>1909</v>
      </c>
      <c r="D3680" t="s">
        <v>5538</v>
      </c>
      <c r="E3680" t="s">
        <v>5055</v>
      </c>
      <c r="F3680" t="s">
        <v>5077</v>
      </c>
      <c r="G3680" t="s">
        <v>5092</v>
      </c>
      <c r="H3680" t="s">
        <v>2748</v>
      </c>
      <c r="J3680" t="s">
        <v>4004</v>
      </c>
      <c r="K3680">
        <v>194.3</v>
      </c>
    </row>
    <row r="3681" spans="1:11" x14ac:dyDescent="0.35">
      <c r="A3681" t="s">
        <v>4005</v>
      </c>
      <c r="B3681" s="1">
        <v>0</v>
      </c>
      <c r="C3681" t="s">
        <v>3212</v>
      </c>
      <c r="D3681" t="s">
        <v>5446</v>
      </c>
      <c r="E3681" t="s">
        <v>5223</v>
      </c>
      <c r="F3681" t="s">
        <v>5077</v>
      </c>
      <c r="G3681" t="s">
        <v>5092</v>
      </c>
      <c r="H3681" t="s">
        <v>688</v>
      </c>
      <c r="J3681" t="s">
        <v>4005</v>
      </c>
      <c r="K3681">
        <v>197.6</v>
      </c>
    </row>
    <row r="3682" spans="1:11" x14ac:dyDescent="0.35">
      <c r="A3682" t="s">
        <v>4006</v>
      </c>
      <c r="B3682" s="1">
        <v>0</v>
      </c>
      <c r="C3682" t="s">
        <v>1486</v>
      </c>
      <c r="D3682" t="s">
        <v>5238</v>
      </c>
      <c r="E3682" t="s">
        <v>5068</v>
      </c>
      <c r="F3682" t="s">
        <v>5077</v>
      </c>
      <c r="G3682" t="s">
        <v>5089</v>
      </c>
      <c r="H3682" t="s">
        <v>776</v>
      </c>
      <c r="J3682" t="s">
        <v>4006</v>
      </c>
      <c r="K3682">
        <v>210.8</v>
      </c>
    </row>
    <row r="3683" spans="1:11" x14ac:dyDescent="0.35">
      <c r="A3683" t="s">
        <v>4007</v>
      </c>
      <c r="B3683" s="1">
        <v>0</v>
      </c>
      <c r="C3683" t="s">
        <v>2606</v>
      </c>
      <c r="D3683" t="s">
        <v>5512</v>
      </c>
      <c r="E3683" t="s">
        <v>5192</v>
      </c>
      <c r="F3683" t="s">
        <v>5089</v>
      </c>
      <c r="G3683" t="s">
        <v>5136</v>
      </c>
      <c r="H3683" t="s">
        <v>3943</v>
      </c>
      <c r="J3683" t="s">
        <v>4007</v>
      </c>
      <c r="K3683">
        <v>226.6</v>
      </c>
    </row>
    <row r="3684" spans="1:11" x14ac:dyDescent="0.35">
      <c r="A3684" t="s">
        <v>4008</v>
      </c>
      <c r="B3684" s="1">
        <v>0</v>
      </c>
      <c r="C3684" t="s">
        <v>491</v>
      </c>
      <c r="D3684" t="s">
        <v>5459</v>
      </c>
      <c r="E3684" t="s">
        <v>5448</v>
      </c>
      <c r="F3684" t="s">
        <v>5089</v>
      </c>
      <c r="G3684" t="s">
        <v>5332</v>
      </c>
      <c r="H3684" t="s">
        <v>2043</v>
      </c>
      <c r="J3684" t="s">
        <v>4008</v>
      </c>
      <c r="K3684">
        <v>238.9</v>
      </c>
    </row>
    <row r="3685" spans="1:11" x14ac:dyDescent="0.35">
      <c r="A3685" t="s">
        <v>4009</v>
      </c>
      <c r="B3685" s="1">
        <v>0</v>
      </c>
      <c r="C3685" t="s">
        <v>1560</v>
      </c>
      <c r="D3685" t="s">
        <v>5232</v>
      </c>
      <c r="E3685" t="s">
        <v>5213</v>
      </c>
      <c r="F3685" t="s">
        <v>5089</v>
      </c>
      <c r="G3685" t="s">
        <v>5333</v>
      </c>
      <c r="H3685" t="s">
        <v>3644</v>
      </c>
      <c r="J3685" t="s">
        <v>4009</v>
      </c>
      <c r="K3685">
        <v>242.7</v>
      </c>
    </row>
    <row r="3686" spans="1:11" x14ac:dyDescent="0.35">
      <c r="A3686" t="s">
        <v>4010</v>
      </c>
      <c r="B3686" s="1">
        <v>0</v>
      </c>
      <c r="C3686" t="s">
        <v>4116</v>
      </c>
      <c r="D3686" t="s">
        <v>5271</v>
      </c>
      <c r="E3686" t="s">
        <v>5102</v>
      </c>
      <c r="F3686" t="s">
        <v>5240</v>
      </c>
      <c r="G3686" t="s">
        <v>5400</v>
      </c>
      <c r="H3686" t="s">
        <v>627</v>
      </c>
      <c r="J3686" t="s">
        <v>4010</v>
      </c>
      <c r="K3686">
        <v>226.3</v>
      </c>
    </row>
    <row r="3687" spans="1:11" x14ac:dyDescent="0.35">
      <c r="A3687" t="s">
        <v>4013</v>
      </c>
      <c r="B3687" s="1">
        <v>0</v>
      </c>
      <c r="C3687" t="s">
        <v>2269</v>
      </c>
      <c r="D3687" t="s">
        <v>5269</v>
      </c>
      <c r="E3687" t="s">
        <v>5192</v>
      </c>
      <c r="F3687" t="s">
        <v>5240</v>
      </c>
      <c r="G3687" t="s">
        <v>5397</v>
      </c>
      <c r="H3687" t="s">
        <v>3017</v>
      </c>
      <c r="J3687" t="s">
        <v>4013</v>
      </c>
      <c r="K3687">
        <v>221.3</v>
      </c>
    </row>
    <row r="3688" spans="1:11" x14ac:dyDescent="0.35">
      <c r="A3688" t="s">
        <v>4014</v>
      </c>
      <c r="B3688" s="1">
        <v>0</v>
      </c>
      <c r="C3688" t="s">
        <v>340</v>
      </c>
      <c r="D3688" t="s">
        <v>5091</v>
      </c>
      <c r="E3688" t="s">
        <v>5098</v>
      </c>
      <c r="F3688" t="s">
        <v>5050</v>
      </c>
      <c r="G3688" t="s">
        <v>5153</v>
      </c>
      <c r="H3688" t="s">
        <v>1302</v>
      </c>
      <c r="J3688" t="s">
        <v>4014</v>
      </c>
      <c r="K3688">
        <v>210.2</v>
      </c>
    </row>
    <row r="3689" spans="1:11" x14ac:dyDescent="0.35">
      <c r="A3689" t="s">
        <v>4015</v>
      </c>
      <c r="B3689" s="1">
        <v>0</v>
      </c>
      <c r="C3689" t="s">
        <v>1059</v>
      </c>
      <c r="D3689" t="s">
        <v>5258</v>
      </c>
      <c r="E3689" t="s">
        <v>5071</v>
      </c>
      <c r="F3689" t="s">
        <v>5050</v>
      </c>
      <c r="G3689" t="s">
        <v>5337</v>
      </c>
      <c r="H3689" t="s">
        <v>683</v>
      </c>
      <c r="J3689" t="s">
        <v>4015</v>
      </c>
      <c r="K3689">
        <v>201.1</v>
      </c>
    </row>
    <row r="3690" spans="1:11" x14ac:dyDescent="0.35">
      <c r="A3690" t="s">
        <v>4016</v>
      </c>
      <c r="B3690" s="1">
        <v>0</v>
      </c>
      <c r="C3690" t="s">
        <v>443</v>
      </c>
      <c r="D3690" t="s">
        <v>5094</v>
      </c>
      <c r="E3690" t="s">
        <v>5197</v>
      </c>
      <c r="F3690" t="s">
        <v>5050</v>
      </c>
      <c r="G3690" t="s">
        <v>5337</v>
      </c>
      <c r="H3690" t="s">
        <v>1181</v>
      </c>
      <c r="J3690" t="s">
        <v>4016</v>
      </c>
      <c r="K3690">
        <v>197.7</v>
      </c>
    </row>
    <row r="3691" spans="1:11" x14ac:dyDescent="0.35">
      <c r="A3691" t="s">
        <v>4017</v>
      </c>
      <c r="B3691" s="1">
        <v>0</v>
      </c>
      <c r="C3691" t="s">
        <v>449</v>
      </c>
      <c r="D3691" t="s">
        <v>5225</v>
      </c>
      <c r="E3691" t="s">
        <v>5076</v>
      </c>
      <c r="F3691" t="s">
        <v>5050</v>
      </c>
      <c r="G3691" t="s">
        <v>5411</v>
      </c>
      <c r="H3691" t="s">
        <v>756</v>
      </c>
      <c r="J3691" t="s">
        <v>4017</v>
      </c>
      <c r="K3691">
        <v>194.8</v>
      </c>
    </row>
    <row r="3692" spans="1:11" x14ac:dyDescent="0.35">
      <c r="A3692" t="s">
        <v>4018</v>
      </c>
      <c r="B3692" s="1">
        <v>0</v>
      </c>
      <c r="C3692" t="s">
        <v>1879</v>
      </c>
      <c r="D3692" t="s">
        <v>5254</v>
      </c>
      <c r="E3692" t="s">
        <v>5223</v>
      </c>
      <c r="F3692" t="s">
        <v>5050</v>
      </c>
      <c r="G3692" t="s">
        <v>5339</v>
      </c>
      <c r="H3692" t="s">
        <v>3563</v>
      </c>
      <c r="J3692" t="s">
        <v>4018</v>
      </c>
      <c r="K3692">
        <v>185.5</v>
      </c>
    </row>
    <row r="3693" spans="1:11" x14ac:dyDescent="0.35">
      <c r="A3693" t="s">
        <v>4019</v>
      </c>
      <c r="B3693" s="1">
        <v>0</v>
      </c>
      <c r="C3693" t="s">
        <v>2252</v>
      </c>
      <c r="D3693" t="s">
        <v>5127</v>
      </c>
      <c r="E3693" t="s">
        <v>5169</v>
      </c>
      <c r="F3693" t="s">
        <v>5050</v>
      </c>
      <c r="G3693" t="s">
        <v>5168</v>
      </c>
      <c r="H3693" t="s">
        <v>49</v>
      </c>
      <c r="J3693" t="s">
        <v>4019</v>
      </c>
      <c r="K3693">
        <v>179.3</v>
      </c>
    </row>
    <row r="3694" spans="1:11" x14ac:dyDescent="0.35">
      <c r="A3694" t="s">
        <v>4020</v>
      </c>
      <c r="B3694" s="1">
        <v>0</v>
      </c>
      <c r="C3694" t="s">
        <v>1024</v>
      </c>
      <c r="D3694" t="s">
        <v>5262</v>
      </c>
      <c r="E3694" t="s">
        <v>5422</v>
      </c>
      <c r="F3694" t="s">
        <v>5050</v>
      </c>
      <c r="G3694" t="s">
        <v>5156</v>
      </c>
      <c r="H3694" t="s">
        <v>1335</v>
      </c>
      <c r="J3694" t="s">
        <v>4020</v>
      </c>
      <c r="K3694">
        <v>183.8</v>
      </c>
    </row>
    <row r="3695" spans="1:11" x14ac:dyDescent="0.35">
      <c r="A3695" t="s">
        <v>4021</v>
      </c>
      <c r="B3695" s="1">
        <v>0</v>
      </c>
      <c r="C3695" t="s">
        <v>1521</v>
      </c>
      <c r="D3695" t="s">
        <v>5533</v>
      </c>
      <c r="E3695" t="s">
        <v>5167</v>
      </c>
      <c r="F3695" t="s">
        <v>5050</v>
      </c>
      <c r="G3695" t="s">
        <v>5337</v>
      </c>
      <c r="H3695" t="s">
        <v>247</v>
      </c>
      <c r="J3695" t="s">
        <v>4021</v>
      </c>
      <c r="K3695">
        <v>194.6</v>
      </c>
    </row>
    <row r="3696" spans="1:11" x14ac:dyDescent="0.35">
      <c r="A3696" t="s">
        <v>4022</v>
      </c>
      <c r="B3696" s="1">
        <v>0</v>
      </c>
      <c r="C3696" t="s">
        <v>2604</v>
      </c>
      <c r="D3696" t="s">
        <v>5487</v>
      </c>
      <c r="E3696" t="s">
        <v>5236</v>
      </c>
      <c r="F3696" t="s">
        <v>5050</v>
      </c>
      <c r="G3696" t="s">
        <v>5334</v>
      </c>
      <c r="H3696" t="s">
        <v>3010</v>
      </c>
      <c r="J3696" t="s">
        <v>4022</v>
      </c>
      <c r="K3696">
        <v>199.3</v>
      </c>
    </row>
    <row r="3697" spans="1:11" x14ac:dyDescent="0.35">
      <c r="A3697" t="s">
        <v>4023</v>
      </c>
      <c r="B3697" s="1">
        <v>0</v>
      </c>
      <c r="C3697" t="s">
        <v>1913</v>
      </c>
      <c r="D3697" t="s">
        <v>5258</v>
      </c>
      <c r="E3697" t="s">
        <v>5066</v>
      </c>
      <c r="F3697" t="s">
        <v>5050</v>
      </c>
      <c r="G3697" t="s">
        <v>5411</v>
      </c>
      <c r="H3697" t="s">
        <v>1712</v>
      </c>
      <c r="J3697" t="s">
        <v>4023</v>
      </c>
      <c r="K3697">
        <v>196.4</v>
      </c>
    </row>
    <row r="3698" spans="1:11" x14ac:dyDescent="0.35">
      <c r="A3698" t="s">
        <v>4024</v>
      </c>
      <c r="B3698" s="1">
        <v>0</v>
      </c>
      <c r="C3698" t="s">
        <v>1912</v>
      </c>
      <c r="D3698" t="s">
        <v>5494</v>
      </c>
      <c r="E3698" t="s">
        <v>5219</v>
      </c>
      <c r="F3698" t="s">
        <v>5050</v>
      </c>
      <c r="G3698" t="s">
        <v>5411</v>
      </c>
      <c r="H3698" t="s">
        <v>2358</v>
      </c>
      <c r="J3698" t="s">
        <v>4024</v>
      </c>
      <c r="K3698">
        <v>195.7</v>
      </c>
    </row>
    <row r="3699" spans="1:11" x14ac:dyDescent="0.35">
      <c r="A3699" t="s">
        <v>4025</v>
      </c>
      <c r="B3699" s="1">
        <v>0</v>
      </c>
      <c r="C3699" t="s">
        <v>2604</v>
      </c>
      <c r="D3699" t="s">
        <v>5142</v>
      </c>
      <c r="E3699" t="s">
        <v>5071</v>
      </c>
      <c r="F3699" t="s">
        <v>5050</v>
      </c>
      <c r="G3699" t="s">
        <v>5153</v>
      </c>
      <c r="H3699" t="s">
        <v>4050</v>
      </c>
      <c r="J3699" t="s">
        <v>4025</v>
      </c>
      <c r="K3699">
        <v>199.5</v>
      </c>
    </row>
    <row r="3700" spans="1:11" x14ac:dyDescent="0.35">
      <c r="A3700" t="s">
        <v>4026</v>
      </c>
      <c r="B3700" s="1">
        <v>0</v>
      </c>
      <c r="C3700" t="s">
        <v>443</v>
      </c>
      <c r="D3700" t="s">
        <v>5532</v>
      </c>
      <c r="E3700" t="s">
        <v>5175</v>
      </c>
      <c r="F3700" t="s">
        <v>5050</v>
      </c>
      <c r="G3700" t="s">
        <v>5153</v>
      </c>
      <c r="H3700" t="s">
        <v>2329</v>
      </c>
      <c r="J3700" t="s">
        <v>4026</v>
      </c>
      <c r="K3700">
        <v>198.4</v>
      </c>
    </row>
    <row r="3701" spans="1:11" x14ac:dyDescent="0.35">
      <c r="A3701" t="s">
        <v>4027</v>
      </c>
      <c r="B3701" s="1">
        <v>0</v>
      </c>
      <c r="C3701" t="s">
        <v>345</v>
      </c>
      <c r="D3701" t="s">
        <v>5238</v>
      </c>
      <c r="E3701" t="s">
        <v>5237</v>
      </c>
      <c r="F3701" t="s">
        <v>5050</v>
      </c>
      <c r="G3701" t="s">
        <v>5432</v>
      </c>
      <c r="H3701" t="s">
        <v>86</v>
      </c>
      <c r="J3701" t="s">
        <v>4027</v>
      </c>
      <c r="K3701">
        <v>199.7</v>
      </c>
    </row>
    <row r="3702" spans="1:11" x14ac:dyDescent="0.35">
      <c r="A3702" t="s">
        <v>4028</v>
      </c>
      <c r="B3702" s="1">
        <v>0</v>
      </c>
      <c r="C3702" t="s">
        <v>2565</v>
      </c>
      <c r="D3702" t="s">
        <v>5248</v>
      </c>
      <c r="E3702" t="s">
        <v>5255</v>
      </c>
      <c r="F3702" t="s">
        <v>5240</v>
      </c>
      <c r="G3702" t="s">
        <v>5144</v>
      </c>
      <c r="H3702" t="s">
        <v>656</v>
      </c>
      <c r="J3702" t="s">
        <v>4028</v>
      </c>
      <c r="K3702">
        <v>207.3</v>
      </c>
    </row>
    <row r="3703" spans="1:11" x14ac:dyDescent="0.35">
      <c r="A3703" t="s">
        <v>4029</v>
      </c>
      <c r="B3703" s="1">
        <v>0</v>
      </c>
      <c r="C3703" t="s">
        <v>2566</v>
      </c>
      <c r="D3703" t="s">
        <v>5553</v>
      </c>
      <c r="E3703" t="s">
        <v>5098</v>
      </c>
      <c r="F3703" t="s">
        <v>5240</v>
      </c>
      <c r="G3703" t="s">
        <v>5144</v>
      </c>
      <c r="H3703" t="s">
        <v>1209</v>
      </c>
      <c r="J3703" t="s">
        <v>4029</v>
      </c>
      <c r="K3703">
        <v>215.2</v>
      </c>
    </row>
    <row r="3704" spans="1:11" x14ac:dyDescent="0.35">
      <c r="A3704" t="s">
        <v>4030</v>
      </c>
      <c r="B3704" s="1">
        <v>0</v>
      </c>
      <c r="C3704" t="s">
        <v>339</v>
      </c>
      <c r="D3704" t="s">
        <v>5591</v>
      </c>
      <c r="E3704" t="s">
        <v>5060</v>
      </c>
      <c r="F3704" t="s">
        <v>5240</v>
      </c>
      <c r="G3704" t="s">
        <v>5140</v>
      </c>
      <c r="H3704" t="s">
        <v>767</v>
      </c>
      <c r="J3704" t="s">
        <v>4030</v>
      </c>
      <c r="K3704">
        <v>217.3</v>
      </c>
    </row>
    <row r="3705" spans="1:11" x14ac:dyDescent="0.35">
      <c r="A3705" t="s">
        <v>4031</v>
      </c>
      <c r="B3705" s="1">
        <v>0</v>
      </c>
      <c r="C3705" t="s">
        <v>327</v>
      </c>
      <c r="D3705" t="s">
        <v>5109</v>
      </c>
      <c r="E3705" t="s">
        <v>5249</v>
      </c>
      <c r="F3705" t="s">
        <v>5240</v>
      </c>
      <c r="G3705" t="s">
        <v>5334</v>
      </c>
      <c r="H3705" t="s">
        <v>2008</v>
      </c>
      <c r="J3705" t="s">
        <v>4031</v>
      </c>
      <c r="K3705">
        <v>212.3</v>
      </c>
    </row>
    <row r="3706" spans="1:11" x14ac:dyDescent="0.35">
      <c r="A3706" t="s">
        <v>4032</v>
      </c>
      <c r="B3706" s="1">
        <v>0</v>
      </c>
      <c r="C3706" t="s">
        <v>355</v>
      </c>
      <c r="D3706" t="s">
        <v>5476</v>
      </c>
      <c r="E3706" t="s">
        <v>5304</v>
      </c>
      <c r="F3706" t="s">
        <v>5240</v>
      </c>
      <c r="G3706" t="s">
        <v>5334</v>
      </c>
      <c r="H3706" t="s">
        <v>2404</v>
      </c>
      <c r="J3706" t="s">
        <v>4032</v>
      </c>
      <c r="K3706">
        <v>214.4</v>
      </c>
    </row>
    <row r="3707" spans="1:11" x14ac:dyDescent="0.35">
      <c r="A3707" t="s">
        <v>4033</v>
      </c>
      <c r="B3707" s="1">
        <v>0</v>
      </c>
      <c r="C3707" t="s">
        <v>4645</v>
      </c>
      <c r="D3707" t="s">
        <v>5613</v>
      </c>
      <c r="E3707" t="s">
        <v>5229</v>
      </c>
      <c r="F3707" t="s">
        <v>5240</v>
      </c>
      <c r="G3707" t="s">
        <v>5144</v>
      </c>
      <c r="H3707" t="s">
        <v>3042</v>
      </c>
      <c r="J3707" t="s">
        <v>4033</v>
      </c>
      <c r="K3707">
        <v>231.9</v>
      </c>
    </row>
    <row r="3708" spans="1:11" x14ac:dyDescent="0.35">
      <c r="A3708" t="s">
        <v>4034</v>
      </c>
      <c r="B3708" s="1">
        <v>0</v>
      </c>
      <c r="C3708" t="s">
        <v>320</v>
      </c>
      <c r="D3708" t="s">
        <v>5580</v>
      </c>
      <c r="E3708" t="s">
        <v>5125</v>
      </c>
      <c r="F3708" t="s">
        <v>5240</v>
      </c>
      <c r="G3708" t="s">
        <v>5315</v>
      </c>
      <c r="H3708" t="s">
        <v>5763</v>
      </c>
      <c r="J3708" t="s">
        <v>4034</v>
      </c>
      <c r="K3708">
        <v>247.8</v>
      </c>
    </row>
    <row r="3709" spans="1:11" x14ac:dyDescent="0.35">
      <c r="A3709" t="s">
        <v>4036</v>
      </c>
      <c r="B3709" s="1">
        <v>0</v>
      </c>
      <c r="C3709" t="s">
        <v>968</v>
      </c>
      <c r="D3709" t="s">
        <v>5607</v>
      </c>
      <c r="E3709" t="s">
        <v>5074</v>
      </c>
      <c r="F3709" t="s">
        <v>5240</v>
      </c>
      <c r="G3709" t="s">
        <v>5342</v>
      </c>
      <c r="H3709" t="s">
        <v>5677</v>
      </c>
      <c r="J3709" t="s">
        <v>4036</v>
      </c>
      <c r="K3709">
        <v>241.9</v>
      </c>
    </row>
    <row r="3710" spans="1:11" x14ac:dyDescent="0.35">
      <c r="A3710" t="s">
        <v>4037</v>
      </c>
      <c r="B3710" s="1">
        <v>0</v>
      </c>
      <c r="C3710" t="s">
        <v>2606</v>
      </c>
      <c r="D3710" t="s">
        <v>5091</v>
      </c>
      <c r="E3710" t="s">
        <v>5304</v>
      </c>
      <c r="F3710" t="s">
        <v>5240</v>
      </c>
      <c r="G3710" t="s">
        <v>5140</v>
      </c>
      <c r="H3710" t="s">
        <v>3605</v>
      </c>
      <c r="J3710" t="s">
        <v>4037</v>
      </c>
      <c r="K3710">
        <v>219.4</v>
      </c>
    </row>
    <row r="3711" spans="1:11" x14ac:dyDescent="0.35">
      <c r="A3711" t="s">
        <v>4038</v>
      </c>
      <c r="B3711" s="1">
        <v>0</v>
      </c>
      <c r="C3711" t="s">
        <v>1533</v>
      </c>
      <c r="D3711" t="s">
        <v>5225</v>
      </c>
      <c r="E3711" t="s">
        <v>5176</v>
      </c>
      <c r="F3711" t="s">
        <v>5050</v>
      </c>
      <c r="G3711" t="s">
        <v>5339</v>
      </c>
      <c r="H3711" t="s">
        <v>779</v>
      </c>
      <c r="J3711" t="s">
        <v>4038</v>
      </c>
      <c r="K3711">
        <v>195.2</v>
      </c>
    </row>
    <row r="3712" spans="1:11" x14ac:dyDescent="0.35">
      <c r="A3712" t="s">
        <v>4039</v>
      </c>
      <c r="B3712" s="1">
        <v>0</v>
      </c>
      <c r="C3712" t="s">
        <v>418</v>
      </c>
      <c r="D3712" t="s">
        <v>5440</v>
      </c>
      <c r="E3712" t="s">
        <v>5303</v>
      </c>
      <c r="F3712" t="s">
        <v>5050</v>
      </c>
      <c r="G3712" t="s">
        <v>5348</v>
      </c>
      <c r="H3712" t="s">
        <v>700</v>
      </c>
      <c r="J3712" t="s">
        <v>4039</v>
      </c>
      <c r="K3712">
        <v>181.7</v>
      </c>
    </row>
    <row r="3713" spans="1:11" x14ac:dyDescent="0.35">
      <c r="A3713" s="2">
        <v>43525</v>
      </c>
      <c r="B3713" s="1">
        <v>0</v>
      </c>
      <c r="C3713" t="s">
        <v>418</v>
      </c>
      <c r="D3713" t="s">
        <v>5108</v>
      </c>
      <c r="E3713" t="s">
        <v>5313</v>
      </c>
      <c r="F3713" t="s">
        <v>5050</v>
      </c>
      <c r="G3713" t="s">
        <v>5348</v>
      </c>
      <c r="H3713" t="s">
        <v>699</v>
      </c>
      <c r="J3713" s="2">
        <v>43525</v>
      </c>
      <c r="K3713">
        <v>180.9</v>
      </c>
    </row>
    <row r="3714" spans="1:11" x14ac:dyDescent="0.35">
      <c r="A3714" s="2">
        <v>43526</v>
      </c>
      <c r="B3714" s="1">
        <v>0</v>
      </c>
      <c r="C3714" t="s">
        <v>1909</v>
      </c>
      <c r="D3714" t="s">
        <v>5079</v>
      </c>
      <c r="E3714" t="s">
        <v>5064</v>
      </c>
      <c r="F3714" t="s">
        <v>5078</v>
      </c>
      <c r="G3714" t="s">
        <v>5174</v>
      </c>
      <c r="H3714" t="s">
        <v>2524</v>
      </c>
      <c r="J3714" s="2">
        <v>43526</v>
      </c>
      <c r="K3714">
        <v>190.9</v>
      </c>
    </row>
    <row r="3715" spans="1:11" x14ac:dyDescent="0.35">
      <c r="A3715" s="2">
        <v>43527</v>
      </c>
      <c r="B3715" s="1">
        <v>0</v>
      </c>
      <c r="C3715" t="s">
        <v>2918</v>
      </c>
      <c r="D3715" t="s">
        <v>5097</v>
      </c>
      <c r="E3715" t="s">
        <v>5223</v>
      </c>
      <c r="F3715" t="s">
        <v>5078</v>
      </c>
      <c r="G3715" t="s">
        <v>5050</v>
      </c>
      <c r="H3715" t="s">
        <v>2358</v>
      </c>
      <c r="J3715" s="2">
        <v>43527</v>
      </c>
      <c r="K3715">
        <v>195.7</v>
      </c>
    </row>
    <row r="3716" spans="1:11" x14ac:dyDescent="0.35">
      <c r="A3716" s="2">
        <v>43528</v>
      </c>
      <c r="B3716" s="1">
        <v>0</v>
      </c>
      <c r="C3716" t="s">
        <v>445</v>
      </c>
      <c r="D3716" t="s">
        <v>5279</v>
      </c>
      <c r="E3716" t="s">
        <v>5076</v>
      </c>
      <c r="F3716" t="s">
        <v>5078</v>
      </c>
      <c r="G3716" t="s">
        <v>5054</v>
      </c>
      <c r="H3716" t="s">
        <v>754</v>
      </c>
      <c r="J3716" s="2">
        <v>43528</v>
      </c>
      <c r="K3716">
        <v>203.4</v>
      </c>
    </row>
    <row r="3717" spans="1:11" x14ac:dyDescent="0.35">
      <c r="A3717" s="2">
        <v>43529</v>
      </c>
      <c r="B3717" s="1">
        <v>0</v>
      </c>
      <c r="C3717" t="s">
        <v>4380</v>
      </c>
      <c r="D3717" t="s">
        <v>5476</v>
      </c>
      <c r="E3717" t="s">
        <v>5060</v>
      </c>
      <c r="F3717" t="s">
        <v>5078</v>
      </c>
      <c r="G3717" t="s">
        <v>5412</v>
      </c>
      <c r="H3717" t="s">
        <v>1704</v>
      </c>
      <c r="J3717" s="2">
        <v>43529</v>
      </c>
      <c r="K3717">
        <v>219</v>
      </c>
    </row>
    <row r="3718" spans="1:11" x14ac:dyDescent="0.35">
      <c r="A3718" s="2">
        <v>43530</v>
      </c>
      <c r="B3718" s="1">
        <v>0</v>
      </c>
      <c r="C3718" t="s">
        <v>5601</v>
      </c>
      <c r="D3718" t="s">
        <v>5544</v>
      </c>
      <c r="E3718" t="s">
        <v>5105</v>
      </c>
      <c r="F3718" t="s">
        <v>5215</v>
      </c>
      <c r="G3718" t="s">
        <v>5475</v>
      </c>
      <c r="H3718" t="s">
        <v>5765</v>
      </c>
      <c r="J3718" s="2">
        <v>43530</v>
      </c>
      <c r="K3718">
        <v>233.2</v>
      </c>
    </row>
    <row r="3719" spans="1:11" x14ac:dyDescent="0.35">
      <c r="A3719" s="2">
        <v>43531</v>
      </c>
      <c r="B3719" s="1">
        <v>0</v>
      </c>
      <c r="C3719" t="s">
        <v>485</v>
      </c>
      <c r="D3719" t="s">
        <v>5274</v>
      </c>
      <c r="E3719" t="s">
        <v>5218</v>
      </c>
      <c r="F3719" t="s">
        <v>5215</v>
      </c>
      <c r="G3719" t="s">
        <v>5215</v>
      </c>
      <c r="H3719" t="s">
        <v>5674</v>
      </c>
      <c r="J3719" s="2">
        <v>43531</v>
      </c>
      <c r="K3719">
        <v>242.9</v>
      </c>
    </row>
    <row r="3720" spans="1:11" x14ac:dyDescent="0.35">
      <c r="A3720" s="2">
        <v>43532</v>
      </c>
      <c r="B3720" s="1">
        <v>0</v>
      </c>
      <c r="C3720" t="s">
        <v>316</v>
      </c>
      <c r="D3720" t="s">
        <v>5228</v>
      </c>
      <c r="E3720" t="s">
        <v>5229</v>
      </c>
      <c r="F3720" t="s">
        <v>5215</v>
      </c>
      <c r="G3720" t="s">
        <v>5099</v>
      </c>
      <c r="H3720" t="s">
        <v>639</v>
      </c>
      <c r="J3720" s="2">
        <v>43532</v>
      </c>
      <c r="K3720">
        <v>244</v>
      </c>
    </row>
    <row r="3721" spans="1:11" x14ac:dyDescent="0.35">
      <c r="A3721" s="2">
        <v>43533</v>
      </c>
      <c r="B3721" s="1">
        <v>0</v>
      </c>
      <c r="C3721" t="s">
        <v>2879</v>
      </c>
      <c r="D3721" t="s">
        <v>5589</v>
      </c>
      <c r="E3721" t="s">
        <v>5213</v>
      </c>
      <c r="F3721" t="s">
        <v>5215</v>
      </c>
      <c r="G3721" t="s">
        <v>5095</v>
      </c>
      <c r="H3721" t="s">
        <v>634</v>
      </c>
      <c r="J3721" s="2">
        <v>43533</v>
      </c>
      <c r="K3721">
        <v>244.4</v>
      </c>
    </row>
    <row r="3722" spans="1:11" x14ac:dyDescent="0.35">
      <c r="A3722" s="2">
        <v>43534</v>
      </c>
      <c r="B3722" s="1">
        <v>0</v>
      </c>
      <c r="C3722" t="s">
        <v>2225</v>
      </c>
      <c r="D3722" t="s">
        <v>5536</v>
      </c>
      <c r="E3722" t="s">
        <v>5102</v>
      </c>
      <c r="F3722" t="s">
        <v>5215</v>
      </c>
      <c r="G3722" t="s">
        <v>5116</v>
      </c>
      <c r="H3722" t="s">
        <v>2061</v>
      </c>
      <c r="J3722" s="2">
        <v>43534</v>
      </c>
      <c r="K3722">
        <v>240.7</v>
      </c>
    </row>
    <row r="3723" spans="1:11" x14ac:dyDescent="0.35">
      <c r="A3723" s="2">
        <v>43535</v>
      </c>
      <c r="B3723" s="1">
        <v>0</v>
      </c>
      <c r="C3723" t="s">
        <v>974</v>
      </c>
      <c r="D3723" t="s">
        <v>5109</v>
      </c>
      <c r="E3723" t="s">
        <v>5219</v>
      </c>
      <c r="F3723" t="s">
        <v>5215</v>
      </c>
      <c r="G3723" t="s">
        <v>5082</v>
      </c>
      <c r="H3723" t="s">
        <v>3939</v>
      </c>
      <c r="J3723" s="2">
        <v>43535</v>
      </c>
      <c r="K3723">
        <v>234.3</v>
      </c>
    </row>
    <row r="3724" spans="1:11" x14ac:dyDescent="0.35">
      <c r="A3724" s="2">
        <v>43536</v>
      </c>
      <c r="B3724" s="1">
        <v>0</v>
      </c>
      <c r="C3724" t="s">
        <v>485</v>
      </c>
      <c r="D3724" t="s">
        <v>5577</v>
      </c>
      <c r="E3724" t="s">
        <v>5160</v>
      </c>
      <c r="F3724" t="s">
        <v>5215</v>
      </c>
      <c r="G3724" t="s">
        <v>5124</v>
      </c>
      <c r="H3724" t="s">
        <v>2072</v>
      </c>
      <c r="J3724" s="2">
        <v>43536</v>
      </c>
      <c r="K3724">
        <v>233.7</v>
      </c>
    </row>
    <row r="3725" spans="1:11" x14ac:dyDescent="0.35">
      <c r="A3725" s="2">
        <v>43537</v>
      </c>
      <c r="B3725" s="1">
        <v>0</v>
      </c>
      <c r="C3725" t="s">
        <v>483</v>
      </c>
      <c r="D3725" t="s">
        <v>5104</v>
      </c>
      <c r="E3725" t="s">
        <v>5219</v>
      </c>
      <c r="F3725" t="s">
        <v>5215</v>
      </c>
      <c r="G3725" t="s">
        <v>5078</v>
      </c>
      <c r="H3725" t="s">
        <v>624</v>
      </c>
      <c r="J3725" s="2">
        <v>43537</v>
      </c>
      <c r="K3725">
        <v>232.9</v>
      </c>
    </row>
    <row r="3726" spans="1:11" x14ac:dyDescent="0.35">
      <c r="A3726" s="2">
        <v>43538</v>
      </c>
      <c r="B3726" s="1">
        <v>0</v>
      </c>
      <c r="C3726" t="s">
        <v>491</v>
      </c>
      <c r="D3726" t="s">
        <v>5233</v>
      </c>
      <c r="E3726" t="s">
        <v>5160</v>
      </c>
      <c r="F3726" t="s">
        <v>5215</v>
      </c>
      <c r="G3726" t="s">
        <v>5062</v>
      </c>
      <c r="H3726" t="s">
        <v>2029</v>
      </c>
      <c r="J3726" s="2">
        <v>43538</v>
      </c>
      <c r="K3726">
        <v>229.1</v>
      </c>
    </row>
    <row r="3727" spans="1:11" x14ac:dyDescent="0.35">
      <c r="A3727" s="2">
        <v>43539</v>
      </c>
      <c r="B3727" s="1">
        <v>0</v>
      </c>
      <c r="C3727" t="s">
        <v>4644</v>
      </c>
      <c r="D3727" t="s">
        <v>5554</v>
      </c>
      <c r="E3727" t="s">
        <v>5173</v>
      </c>
      <c r="F3727" t="s">
        <v>5215</v>
      </c>
      <c r="G3727" t="s">
        <v>5058</v>
      </c>
      <c r="H3727" t="s">
        <v>3372</v>
      </c>
      <c r="J3727" s="2">
        <v>43539</v>
      </c>
      <c r="K3727">
        <v>224.7</v>
      </c>
    </row>
    <row r="3728" spans="1:11" x14ac:dyDescent="0.35">
      <c r="A3728" s="2">
        <v>43540</v>
      </c>
      <c r="B3728" s="1">
        <v>0</v>
      </c>
      <c r="C3728" t="s">
        <v>2883</v>
      </c>
      <c r="D3728" t="s">
        <v>5370</v>
      </c>
      <c r="E3728" t="s">
        <v>5431</v>
      </c>
      <c r="F3728" t="s">
        <v>5215</v>
      </c>
      <c r="G3728" t="s">
        <v>5054</v>
      </c>
      <c r="H3728" t="s">
        <v>5742</v>
      </c>
      <c r="J3728" s="2">
        <v>43540</v>
      </c>
      <c r="K3728">
        <v>214.8</v>
      </c>
    </row>
    <row r="3729" spans="1:11" x14ac:dyDescent="0.35">
      <c r="A3729" s="2">
        <v>43541</v>
      </c>
      <c r="B3729" s="1">
        <v>0</v>
      </c>
      <c r="C3729" t="s">
        <v>1480</v>
      </c>
      <c r="D3729" t="s">
        <v>5264</v>
      </c>
      <c r="E3729" t="s">
        <v>5181</v>
      </c>
      <c r="F3729" t="s">
        <v>5215</v>
      </c>
      <c r="G3729" t="s">
        <v>5240</v>
      </c>
      <c r="H3729" t="s">
        <v>5715</v>
      </c>
      <c r="J3729" s="2">
        <v>43541</v>
      </c>
      <c r="K3729">
        <v>207.5</v>
      </c>
    </row>
    <row r="3730" spans="1:11" x14ac:dyDescent="0.35">
      <c r="A3730" s="2">
        <v>43542</v>
      </c>
      <c r="B3730" s="1">
        <v>0</v>
      </c>
      <c r="C3730" t="s">
        <v>473</v>
      </c>
      <c r="D3730" t="s">
        <v>5254</v>
      </c>
      <c r="E3730" t="s">
        <v>5599</v>
      </c>
      <c r="F3730" t="s">
        <v>5215</v>
      </c>
      <c r="G3730" t="s">
        <v>5058</v>
      </c>
      <c r="H3730" t="s">
        <v>2556</v>
      </c>
      <c r="J3730" s="2">
        <v>43542</v>
      </c>
      <c r="K3730">
        <v>207.2</v>
      </c>
    </row>
    <row r="3731" spans="1:11" x14ac:dyDescent="0.35">
      <c r="A3731" s="2">
        <v>43543</v>
      </c>
      <c r="B3731" s="1">
        <v>0</v>
      </c>
      <c r="C3731" t="s">
        <v>1468</v>
      </c>
      <c r="D3731" t="s">
        <v>5538</v>
      </c>
      <c r="E3731" t="s">
        <v>5313</v>
      </c>
      <c r="F3731" t="s">
        <v>5099</v>
      </c>
      <c r="G3731" t="s">
        <v>5062</v>
      </c>
      <c r="H3731" t="s">
        <v>1700</v>
      </c>
      <c r="J3731" s="2">
        <v>43543</v>
      </c>
      <c r="K3731">
        <v>212.4</v>
      </c>
    </row>
    <row r="3732" spans="1:11" x14ac:dyDescent="0.35">
      <c r="A3732" s="2">
        <v>43544</v>
      </c>
      <c r="B3732" s="1">
        <v>0</v>
      </c>
      <c r="C3732" t="s">
        <v>311</v>
      </c>
      <c r="D3732" t="s">
        <v>5579</v>
      </c>
      <c r="E3732" t="s">
        <v>5221</v>
      </c>
      <c r="F3732" t="s">
        <v>5099</v>
      </c>
      <c r="G3732" t="s">
        <v>5183</v>
      </c>
      <c r="H3732" t="s">
        <v>211</v>
      </c>
      <c r="J3732" s="2">
        <v>43544</v>
      </c>
      <c r="K3732">
        <v>225.3</v>
      </c>
    </row>
    <row r="3733" spans="1:11" x14ac:dyDescent="0.35">
      <c r="A3733" s="2">
        <v>43545</v>
      </c>
      <c r="B3733" s="1">
        <v>0</v>
      </c>
      <c r="C3733" t="s">
        <v>308</v>
      </c>
      <c r="D3733" t="s">
        <v>5476</v>
      </c>
      <c r="E3733" t="s">
        <v>5102</v>
      </c>
      <c r="F3733" t="s">
        <v>5215</v>
      </c>
      <c r="G3733" t="s">
        <v>5099</v>
      </c>
      <c r="H3733" t="s">
        <v>3045</v>
      </c>
      <c r="J3733" s="2">
        <v>43545</v>
      </c>
      <c r="K3733">
        <v>238.6</v>
      </c>
    </row>
    <row r="3734" spans="1:11" x14ac:dyDescent="0.35">
      <c r="A3734" s="2">
        <v>43546</v>
      </c>
      <c r="B3734" s="1">
        <v>0</v>
      </c>
      <c r="C3734" t="s">
        <v>978</v>
      </c>
      <c r="D3734" t="s">
        <v>5277</v>
      </c>
      <c r="E3734" t="s">
        <v>5120</v>
      </c>
      <c r="F3734" t="s">
        <v>5215</v>
      </c>
      <c r="G3734" t="s">
        <v>5215</v>
      </c>
      <c r="H3734" t="s">
        <v>3637</v>
      </c>
      <c r="J3734" s="2">
        <v>43546</v>
      </c>
      <c r="K3734">
        <v>239.2</v>
      </c>
    </row>
    <row r="3735" spans="1:11" x14ac:dyDescent="0.35">
      <c r="A3735" s="2">
        <v>43547</v>
      </c>
      <c r="B3735" s="1">
        <v>0</v>
      </c>
      <c r="C3735" t="s">
        <v>2609</v>
      </c>
      <c r="D3735" t="s">
        <v>5476</v>
      </c>
      <c r="E3735" t="s">
        <v>5182</v>
      </c>
      <c r="F3735" t="s">
        <v>5215</v>
      </c>
      <c r="G3735" t="s">
        <v>5183</v>
      </c>
      <c r="H3735" t="s">
        <v>3042</v>
      </c>
      <c r="J3735" s="2">
        <v>43547</v>
      </c>
      <c r="K3735">
        <v>231.9</v>
      </c>
    </row>
    <row r="3736" spans="1:11" x14ac:dyDescent="0.35">
      <c r="A3736" s="2">
        <v>43548</v>
      </c>
      <c r="B3736" s="1">
        <v>0</v>
      </c>
      <c r="C3736" t="s">
        <v>1063</v>
      </c>
      <c r="D3736" t="s">
        <v>5107</v>
      </c>
      <c r="E3736" t="s">
        <v>5182</v>
      </c>
      <c r="F3736" t="s">
        <v>5078</v>
      </c>
      <c r="G3736" t="s">
        <v>5065</v>
      </c>
      <c r="H3736" t="s">
        <v>2029</v>
      </c>
      <c r="J3736" s="2">
        <v>43548</v>
      </c>
      <c r="K3736">
        <v>229.1</v>
      </c>
    </row>
    <row r="3737" spans="1:11" x14ac:dyDescent="0.35">
      <c r="A3737" s="2">
        <v>43549</v>
      </c>
      <c r="B3737" s="1">
        <v>0</v>
      </c>
      <c r="C3737" t="s">
        <v>3216</v>
      </c>
      <c r="D3737" t="s">
        <v>5517</v>
      </c>
      <c r="E3737" t="s">
        <v>5276</v>
      </c>
      <c r="F3737" t="s">
        <v>5215</v>
      </c>
      <c r="G3737" t="s">
        <v>5065</v>
      </c>
      <c r="H3737" t="s">
        <v>624</v>
      </c>
      <c r="J3737" s="2">
        <v>43549</v>
      </c>
      <c r="K3737">
        <v>232.9</v>
      </c>
    </row>
    <row r="3738" spans="1:11" x14ac:dyDescent="0.35">
      <c r="A3738" s="2">
        <v>43550</v>
      </c>
      <c r="B3738" s="1">
        <v>0</v>
      </c>
      <c r="C3738" t="s">
        <v>1065</v>
      </c>
      <c r="D3738" t="s">
        <v>5523</v>
      </c>
      <c r="E3738" t="s">
        <v>5448</v>
      </c>
      <c r="F3738" t="s">
        <v>5215</v>
      </c>
      <c r="G3738" t="s">
        <v>5183</v>
      </c>
      <c r="H3738" t="s">
        <v>5766</v>
      </c>
      <c r="J3738" s="2">
        <v>43550</v>
      </c>
      <c r="K3738">
        <v>238.4</v>
      </c>
    </row>
    <row r="3739" spans="1:11" x14ac:dyDescent="0.35">
      <c r="A3739" s="2">
        <v>43551</v>
      </c>
      <c r="B3739" s="1">
        <v>0</v>
      </c>
      <c r="C3739" t="s">
        <v>270</v>
      </c>
      <c r="D3739" t="s">
        <v>5576</v>
      </c>
      <c r="E3739" t="s">
        <v>5113</v>
      </c>
      <c r="F3739" t="s">
        <v>5215</v>
      </c>
      <c r="G3739" t="s">
        <v>5099</v>
      </c>
      <c r="H3739" t="s">
        <v>3321</v>
      </c>
      <c r="J3739" s="2">
        <v>43551</v>
      </c>
      <c r="K3739">
        <v>248.5</v>
      </c>
    </row>
    <row r="3740" spans="1:11" x14ac:dyDescent="0.35">
      <c r="A3740" s="2">
        <v>43552</v>
      </c>
      <c r="B3740" s="1">
        <v>0</v>
      </c>
      <c r="C3740" t="s">
        <v>1944</v>
      </c>
      <c r="D3740" t="s">
        <v>5474</v>
      </c>
      <c r="E3740" t="s">
        <v>5096</v>
      </c>
      <c r="F3740" t="s">
        <v>5099</v>
      </c>
      <c r="G3740" t="s">
        <v>5110</v>
      </c>
      <c r="H3740" t="s">
        <v>5767</v>
      </c>
      <c r="J3740" s="2">
        <v>43552</v>
      </c>
      <c r="K3740">
        <v>261.3</v>
      </c>
    </row>
    <row r="3741" spans="1:11" x14ac:dyDescent="0.35">
      <c r="A3741" s="2">
        <v>43553</v>
      </c>
      <c r="B3741" s="1">
        <v>0</v>
      </c>
      <c r="C3741" t="s">
        <v>1857</v>
      </c>
      <c r="D3741" t="s">
        <v>5513</v>
      </c>
      <c r="E3741" t="s">
        <v>5069</v>
      </c>
      <c r="F3741" t="s">
        <v>5099</v>
      </c>
      <c r="G3741" t="s">
        <v>5110</v>
      </c>
      <c r="H3741" t="s">
        <v>5833</v>
      </c>
      <c r="J3741" s="2">
        <v>43553</v>
      </c>
      <c r="K3741">
        <v>265.8</v>
      </c>
    </row>
    <row r="3742" spans="1:11" x14ac:dyDescent="0.35">
      <c r="A3742" s="2">
        <v>43554</v>
      </c>
      <c r="B3742" s="1">
        <v>0</v>
      </c>
      <c r="C3742" t="s">
        <v>517</v>
      </c>
      <c r="D3742" t="s">
        <v>5626</v>
      </c>
      <c r="E3742" t="s">
        <v>5120</v>
      </c>
      <c r="F3742" t="s">
        <v>5099</v>
      </c>
      <c r="G3742" t="s">
        <v>5116</v>
      </c>
      <c r="H3742" t="s">
        <v>5834</v>
      </c>
      <c r="J3742" s="2">
        <v>43554</v>
      </c>
      <c r="K3742">
        <v>263.8</v>
      </c>
    </row>
    <row r="3743" spans="1:11" x14ac:dyDescent="0.35">
      <c r="A3743" s="2">
        <v>43555</v>
      </c>
      <c r="B3743" s="1">
        <v>0</v>
      </c>
      <c r="C3743" t="s">
        <v>1859</v>
      </c>
      <c r="D3743" t="s">
        <v>5602</v>
      </c>
      <c r="E3743" t="s">
        <v>5081</v>
      </c>
      <c r="F3743" t="s">
        <v>5099</v>
      </c>
      <c r="G3743" t="s">
        <v>5095</v>
      </c>
      <c r="H3743" t="s">
        <v>5701</v>
      </c>
      <c r="J3743" s="2">
        <v>43555</v>
      </c>
      <c r="K3743">
        <v>257.10000000000002</v>
      </c>
    </row>
    <row r="3744" spans="1:11" x14ac:dyDescent="0.35">
      <c r="A3744" t="s">
        <v>4043</v>
      </c>
      <c r="B3744" s="1">
        <v>0</v>
      </c>
      <c r="C3744" t="s">
        <v>1074</v>
      </c>
      <c r="D3744" t="s">
        <v>5536</v>
      </c>
      <c r="E3744" t="s">
        <v>5304</v>
      </c>
      <c r="F3744" t="s">
        <v>5099</v>
      </c>
      <c r="G3744" t="s">
        <v>5099</v>
      </c>
      <c r="H3744" t="s">
        <v>2372</v>
      </c>
      <c r="J3744" t="s">
        <v>4043</v>
      </c>
      <c r="K3744">
        <v>247.3</v>
      </c>
    </row>
    <row r="3745" spans="1:11" x14ac:dyDescent="0.35">
      <c r="A3745" t="s">
        <v>4044</v>
      </c>
      <c r="B3745" s="1">
        <v>0</v>
      </c>
      <c r="C3745" t="s">
        <v>973</v>
      </c>
      <c r="D3745" t="s">
        <v>5582</v>
      </c>
      <c r="E3745" t="s">
        <v>5123</v>
      </c>
      <c r="F3745" t="s">
        <v>5089</v>
      </c>
      <c r="G3745" t="s">
        <v>5078</v>
      </c>
      <c r="H3745" t="s">
        <v>5766</v>
      </c>
      <c r="J3745" t="s">
        <v>4044</v>
      </c>
      <c r="K3745">
        <v>238.4</v>
      </c>
    </row>
    <row r="3746" spans="1:11" x14ac:dyDescent="0.35">
      <c r="A3746" t="s">
        <v>4045</v>
      </c>
      <c r="B3746" s="1">
        <v>0</v>
      </c>
      <c r="C3746" t="s">
        <v>328</v>
      </c>
      <c r="D3746" t="s">
        <v>5142</v>
      </c>
      <c r="E3746" t="s">
        <v>5249</v>
      </c>
      <c r="F3746" t="s">
        <v>5089</v>
      </c>
      <c r="G3746" t="s">
        <v>5065</v>
      </c>
      <c r="H3746" t="s">
        <v>2097</v>
      </c>
      <c r="J3746" t="s">
        <v>4045</v>
      </c>
      <c r="K3746">
        <v>219.1</v>
      </c>
    </row>
    <row r="3747" spans="1:11" x14ac:dyDescent="0.35">
      <c r="A3747" t="s">
        <v>4046</v>
      </c>
      <c r="B3747" s="1">
        <v>0</v>
      </c>
      <c r="C3747" t="s">
        <v>1533</v>
      </c>
      <c r="D3747" t="s">
        <v>5540</v>
      </c>
      <c r="E3747" t="s">
        <v>5210</v>
      </c>
      <c r="F3747" t="s">
        <v>5077</v>
      </c>
      <c r="G3747" t="s">
        <v>5412</v>
      </c>
      <c r="H3747" t="s">
        <v>2355</v>
      </c>
      <c r="J3747" t="s">
        <v>4046</v>
      </c>
      <c r="K3747">
        <v>202.4</v>
      </c>
    </row>
    <row r="3748" spans="1:11" x14ac:dyDescent="0.35">
      <c r="A3748" t="s">
        <v>4047</v>
      </c>
      <c r="B3748" s="1">
        <v>0</v>
      </c>
      <c r="C3748" t="s">
        <v>1018</v>
      </c>
      <c r="D3748" t="s">
        <v>5148</v>
      </c>
      <c r="E3748" t="s">
        <v>5210</v>
      </c>
      <c r="F3748" t="s">
        <v>5077</v>
      </c>
      <c r="G3748" t="s">
        <v>5054</v>
      </c>
      <c r="H3748" t="s">
        <v>1670</v>
      </c>
      <c r="J3748" t="s">
        <v>4047</v>
      </c>
      <c r="K3748">
        <v>196.1</v>
      </c>
    </row>
    <row r="3749" spans="1:11" x14ac:dyDescent="0.35">
      <c r="A3749" t="s">
        <v>4048</v>
      </c>
      <c r="B3749" s="1">
        <v>0</v>
      </c>
      <c r="C3749" t="s">
        <v>1911</v>
      </c>
      <c r="D3749" t="s">
        <v>5370</v>
      </c>
      <c r="E3749" t="s">
        <v>5219</v>
      </c>
      <c r="F3749" t="s">
        <v>5077</v>
      </c>
      <c r="G3749" t="s">
        <v>5240</v>
      </c>
      <c r="H3749" t="s">
        <v>3143</v>
      </c>
      <c r="J3749" t="s">
        <v>4048</v>
      </c>
      <c r="K3749">
        <v>199.1</v>
      </c>
    </row>
    <row r="3750" spans="1:11" x14ac:dyDescent="0.35">
      <c r="A3750" t="s">
        <v>4049</v>
      </c>
      <c r="B3750" s="1">
        <v>0</v>
      </c>
      <c r="C3750" t="s">
        <v>1059</v>
      </c>
      <c r="D3750" t="s">
        <v>5115</v>
      </c>
      <c r="E3750" t="s">
        <v>5165</v>
      </c>
      <c r="F3750" t="s">
        <v>5077</v>
      </c>
      <c r="G3750" t="s">
        <v>5240</v>
      </c>
      <c r="H3750" t="s">
        <v>217</v>
      </c>
      <c r="J3750" t="s">
        <v>4049</v>
      </c>
      <c r="K3750">
        <v>209.5</v>
      </c>
    </row>
    <row r="3751" spans="1:11" x14ac:dyDescent="0.35">
      <c r="A3751" t="s">
        <v>4051</v>
      </c>
      <c r="B3751" s="1">
        <v>0</v>
      </c>
      <c r="C3751" t="s">
        <v>1867</v>
      </c>
      <c r="D3751" t="s">
        <v>5511</v>
      </c>
      <c r="E3751" t="s">
        <v>5276</v>
      </c>
      <c r="F3751" t="s">
        <v>5077</v>
      </c>
      <c r="G3751" t="s">
        <v>5179</v>
      </c>
      <c r="H3751" t="s">
        <v>3730</v>
      </c>
      <c r="J3751" t="s">
        <v>4051</v>
      </c>
      <c r="K3751">
        <v>221.1</v>
      </c>
    </row>
    <row r="3752" spans="1:11" x14ac:dyDescent="0.35">
      <c r="A3752" t="s">
        <v>4053</v>
      </c>
      <c r="B3752" s="1">
        <v>0</v>
      </c>
      <c r="C3752" t="s">
        <v>473</v>
      </c>
      <c r="D3752" t="s">
        <v>5513</v>
      </c>
      <c r="E3752" t="s">
        <v>5251</v>
      </c>
      <c r="F3752" t="s">
        <v>5089</v>
      </c>
      <c r="G3752" t="s">
        <v>5062</v>
      </c>
      <c r="H3752" t="s">
        <v>3893</v>
      </c>
      <c r="J3752" t="s">
        <v>4053</v>
      </c>
      <c r="K3752">
        <v>231.4</v>
      </c>
    </row>
    <row r="3753" spans="1:11" x14ac:dyDescent="0.35">
      <c r="A3753" t="s">
        <v>4054</v>
      </c>
      <c r="B3753" s="1">
        <v>0</v>
      </c>
      <c r="C3753" t="s">
        <v>2269</v>
      </c>
      <c r="D3753" t="s">
        <v>5510</v>
      </c>
      <c r="E3753" t="s">
        <v>5218</v>
      </c>
      <c r="F3753" t="s">
        <v>5089</v>
      </c>
      <c r="G3753" t="s">
        <v>5475</v>
      </c>
      <c r="H3753" t="s">
        <v>3603</v>
      </c>
      <c r="J3753" t="s">
        <v>4054</v>
      </c>
      <c r="K3753">
        <v>233.5</v>
      </c>
    </row>
    <row r="3754" spans="1:11" x14ac:dyDescent="0.35">
      <c r="A3754" t="s">
        <v>4056</v>
      </c>
      <c r="B3754" s="1">
        <v>0</v>
      </c>
      <c r="C3754" t="s">
        <v>463</v>
      </c>
      <c r="D3754" t="s">
        <v>5128</v>
      </c>
      <c r="E3754" t="s">
        <v>5069</v>
      </c>
      <c r="F3754" t="s">
        <v>5089</v>
      </c>
      <c r="G3754" t="s">
        <v>5065</v>
      </c>
      <c r="H3754" t="s">
        <v>2041</v>
      </c>
      <c r="J3754" t="s">
        <v>4056</v>
      </c>
      <c r="K3754">
        <v>229.4</v>
      </c>
    </row>
    <row r="3755" spans="1:11" x14ac:dyDescent="0.35">
      <c r="A3755" t="s">
        <v>4057</v>
      </c>
      <c r="B3755" s="1">
        <v>0</v>
      </c>
      <c r="C3755" t="s">
        <v>1866</v>
      </c>
      <c r="D3755" t="s">
        <v>5087</v>
      </c>
      <c r="E3755" t="s">
        <v>5120</v>
      </c>
      <c r="F3755" t="s">
        <v>5089</v>
      </c>
      <c r="G3755" t="s">
        <v>5412</v>
      </c>
      <c r="H3755" t="s">
        <v>2378</v>
      </c>
      <c r="J3755" t="s">
        <v>4057</v>
      </c>
      <c r="K3755">
        <v>225.1</v>
      </c>
    </row>
    <row r="3756" spans="1:11" x14ac:dyDescent="0.35">
      <c r="A3756" t="s">
        <v>4058</v>
      </c>
      <c r="B3756" s="1">
        <v>0</v>
      </c>
      <c r="C3756" t="s">
        <v>457</v>
      </c>
      <c r="D3756" t="s">
        <v>5476</v>
      </c>
      <c r="E3756" t="s">
        <v>5165</v>
      </c>
      <c r="F3756" t="s">
        <v>5077</v>
      </c>
      <c r="G3756" t="s">
        <v>5050</v>
      </c>
      <c r="H3756" t="s">
        <v>2405</v>
      </c>
      <c r="J3756" t="s">
        <v>4058</v>
      </c>
      <c r="K3756">
        <v>214.3</v>
      </c>
    </row>
    <row r="3757" spans="1:11" x14ac:dyDescent="0.35">
      <c r="A3757" t="s">
        <v>4059</v>
      </c>
      <c r="B3757" s="1">
        <v>0</v>
      </c>
      <c r="C3757" t="s">
        <v>3800</v>
      </c>
      <c r="D3757" t="s">
        <v>5482</v>
      </c>
      <c r="E3757" t="s">
        <v>5060</v>
      </c>
      <c r="F3757" t="s">
        <v>5077</v>
      </c>
      <c r="G3757" t="s">
        <v>5174</v>
      </c>
      <c r="H3757" t="s">
        <v>2726</v>
      </c>
      <c r="J3757" t="s">
        <v>4059</v>
      </c>
      <c r="K3757">
        <v>211.4</v>
      </c>
    </row>
    <row r="3758" spans="1:11" x14ac:dyDescent="0.35">
      <c r="A3758" t="s">
        <v>4060</v>
      </c>
      <c r="B3758" s="1">
        <v>0</v>
      </c>
      <c r="C3758" t="s">
        <v>477</v>
      </c>
      <c r="D3758" t="s">
        <v>5271</v>
      </c>
      <c r="E3758" t="s">
        <v>5192</v>
      </c>
      <c r="F3758" t="s">
        <v>5077</v>
      </c>
      <c r="G3758" t="s">
        <v>5174</v>
      </c>
      <c r="H3758" t="s">
        <v>3947</v>
      </c>
      <c r="J3758" t="s">
        <v>4060</v>
      </c>
      <c r="K3758">
        <v>214.9</v>
      </c>
    </row>
    <row r="3759" spans="1:11" x14ac:dyDescent="0.35">
      <c r="A3759" t="s">
        <v>4061</v>
      </c>
      <c r="B3759" s="1">
        <v>0</v>
      </c>
      <c r="C3759" t="s">
        <v>1471</v>
      </c>
      <c r="D3759" t="s">
        <v>5496</v>
      </c>
      <c r="E3759" t="s">
        <v>5304</v>
      </c>
      <c r="F3759" t="s">
        <v>5089</v>
      </c>
      <c r="G3759" t="s">
        <v>5046</v>
      </c>
      <c r="H3759" t="s">
        <v>2004</v>
      </c>
      <c r="J3759" t="s">
        <v>4061</v>
      </c>
      <c r="K3759">
        <v>219.6</v>
      </c>
    </row>
    <row r="3760" spans="1:11" x14ac:dyDescent="0.35">
      <c r="A3760" t="s">
        <v>4062</v>
      </c>
      <c r="B3760" s="1">
        <v>0</v>
      </c>
      <c r="C3760" t="s">
        <v>348</v>
      </c>
      <c r="D3760" t="s">
        <v>5630</v>
      </c>
      <c r="E3760" t="s">
        <v>5162</v>
      </c>
      <c r="F3760" t="s">
        <v>5089</v>
      </c>
      <c r="G3760" t="s">
        <v>5174</v>
      </c>
      <c r="H3760" t="s">
        <v>1209</v>
      </c>
      <c r="J3760" t="s">
        <v>4062</v>
      </c>
      <c r="K3760">
        <v>215.2</v>
      </c>
    </row>
    <row r="3761" spans="1:11" x14ac:dyDescent="0.35">
      <c r="A3761" t="s">
        <v>4063</v>
      </c>
      <c r="B3761" s="1">
        <v>0</v>
      </c>
      <c r="C3761" t="s">
        <v>3798</v>
      </c>
      <c r="D3761" t="s">
        <v>5518</v>
      </c>
      <c r="E3761" t="s">
        <v>5197</v>
      </c>
      <c r="F3761" t="s">
        <v>5077</v>
      </c>
      <c r="G3761" t="s">
        <v>5174</v>
      </c>
      <c r="H3761" t="s">
        <v>2353</v>
      </c>
      <c r="J3761" t="s">
        <v>4063</v>
      </c>
      <c r="K3761">
        <v>207.4</v>
      </c>
    </row>
    <row r="3762" spans="1:11" x14ac:dyDescent="0.35">
      <c r="A3762" t="s">
        <v>4064</v>
      </c>
      <c r="B3762" s="1">
        <v>0</v>
      </c>
      <c r="C3762" t="s">
        <v>2916</v>
      </c>
      <c r="D3762" t="s">
        <v>5595</v>
      </c>
      <c r="E3762" t="s">
        <v>5428</v>
      </c>
      <c r="F3762" t="s">
        <v>5077</v>
      </c>
      <c r="G3762" t="s">
        <v>5174</v>
      </c>
      <c r="H3762" t="s">
        <v>947</v>
      </c>
      <c r="J3762" t="s">
        <v>4064</v>
      </c>
      <c r="K3762">
        <v>199</v>
      </c>
    </row>
    <row r="3763" spans="1:11" x14ac:dyDescent="0.35">
      <c r="A3763" t="s">
        <v>4065</v>
      </c>
      <c r="B3763" s="1">
        <v>0</v>
      </c>
      <c r="C3763" t="s">
        <v>415</v>
      </c>
      <c r="D3763" t="s">
        <v>5106</v>
      </c>
      <c r="E3763" t="s">
        <v>5524</v>
      </c>
      <c r="F3763" t="s">
        <v>5077</v>
      </c>
      <c r="G3763" t="s">
        <v>5222</v>
      </c>
      <c r="H3763" t="s">
        <v>59</v>
      </c>
      <c r="J3763" t="s">
        <v>4065</v>
      </c>
      <c r="K3763">
        <v>184.7</v>
      </c>
    </row>
    <row r="3764" spans="1:11" x14ac:dyDescent="0.35">
      <c r="A3764" t="s">
        <v>4066</v>
      </c>
      <c r="B3764" s="1">
        <v>0</v>
      </c>
      <c r="C3764" t="s">
        <v>377</v>
      </c>
      <c r="D3764" t="s">
        <v>5441</v>
      </c>
      <c r="E3764" t="s">
        <v>5570</v>
      </c>
      <c r="F3764" t="s">
        <v>5077</v>
      </c>
      <c r="G3764" t="s">
        <v>5207</v>
      </c>
      <c r="H3764" t="s">
        <v>604</v>
      </c>
      <c r="J3764" t="s">
        <v>4066</v>
      </c>
      <c r="K3764">
        <v>174.8</v>
      </c>
    </row>
    <row r="3765" spans="1:11" x14ac:dyDescent="0.35">
      <c r="A3765" t="s">
        <v>4068</v>
      </c>
      <c r="B3765" s="1">
        <v>0</v>
      </c>
      <c r="C3765" t="s">
        <v>5406</v>
      </c>
      <c r="D3765" t="s">
        <v>5088</v>
      </c>
      <c r="E3765" t="s">
        <v>5057</v>
      </c>
      <c r="F3765" t="s">
        <v>5077</v>
      </c>
      <c r="G3765" t="s">
        <v>5172</v>
      </c>
      <c r="H3765" t="s">
        <v>702</v>
      </c>
      <c r="J3765" t="s">
        <v>4068</v>
      </c>
      <c r="K3765">
        <v>175.8</v>
      </c>
    </row>
    <row r="3766" spans="1:11" x14ac:dyDescent="0.35">
      <c r="A3766" t="s">
        <v>4069</v>
      </c>
      <c r="B3766" s="1">
        <v>0</v>
      </c>
      <c r="C3766" t="s">
        <v>1052</v>
      </c>
      <c r="D3766" t="s">
        <v>5471</v>
      </c>
      <c r="E3766" t="s">
        <v>5418</v>
      </c>
      <c r="F3766" t="s">
        <v>5077</v>
      </c>
      <c r="G3766" t="s">
        <v>5046</v>
      </c>
      <c r="H3766" t="s">
        <v>649</v>
      </c>
      <c r="J3766" t="s">
        <v>4069</v>
      </c>
      <c r="K3766">
        <v>190.5</v>
      </c>
    </row>
    <row r="3767" spans="1:11" x14ac:dyDescent="0.35">
      <c r="A3767" t="s">
        <v>4070</v>
      </c>
      <c r="B3767" s="1">
        <v>0</v>
      </c>
      <c r="C3767" t="s">
        <v>2607</v>
      </c>
      <c r="D3767" t="s">
        <v>5462</v>
      </c>
      <c r="E3767" t="s">
        <v>5064</v>
      </c>
      <c r="F3767" t="s">
        <v>5089</v>
      </c>
      <c r="G3767" t="s">
        <v>5058</v>
      </c>
      <c r="H3767" t="s">
        <v>2724</v>
      </c>
      <c r="J3767" t="s">
        <v>4070</v>
      </c>
      <c r="K3767">
        <v>208</v>
      </c>
    </row>
    <row r="3768" spans="1:11" x14ac:dyDescent="0.35">
      <c r="A3768" t="s">
        <v>4071</v>
      </c>
      <c r="B3768" s="1">
        <v>0</v>
      </c>
      <c r="C3768" t="s">
        <v>4081</v>
      </c>
      <c r="D3768" t="s">
        <v>5534</v>
      </c>
      <c r="E3768" t="s">
        <v>5202</v>
      </c>
      <c r="F3768" t="s">
        <v>5089</v>
      </c>
      <c r="G3768" t="s">
        <v>5475</v>
      </c>
      <c r="H3768" t="s">
        <v>2054</v>
      </c>
      <c r="J3768" t="s">
        <v>4071</v>
      </c>
      <c r="K3768">
        <v>219.8</v>
      </c>
    </row>
    <row r="3769" spans="1:11" x14ac:dyDescent="0.35">
      <c r="A3769" t="s">
        <v>4072</v>
      </c>
      <c r="B3769" s="1">
        <v>0</v>
      </c>
      <c r="C3769" t="s">
        <v>3226</v>
      </c>
      <c r="D3769" t="s">
        <v>5595</v>
      </c>
      <c r="E3769" t="s">
        <v>5204</v>
      </c>
      <c r="F3769" t="s">
        <v>5089</v>
      </c>
      <c r="G3769" t="s">
        <v>5183</v>
      </c>
      <c r="H3769" t="s">
        <v>5734</v>
      </c>
      <c r="J3769" t="s">
        <v>4072</v>
      </c>
      <c r="K3769">
        <v>224.8</v>
      </c>
    </row>
    <row r="3770" spans="1:11" x14ac:dyDescent="0.35">
      <c r="A3770" t="s">
        <v>4073</v>
      </c>
      <c r="B3770" s="1">
        <v>0</v>
      </c>
      <c r="C3770" t="s">
        <v>3215</v>
      </c>
      <c r="D3770" t="s">
        <v>5374</v>
      </c>
      <c r="E3770" t="s">
        <v>5323</v>
      </c>
      <c r="F3770" t="s">
        <v>5089</v>
      </c>
      <c r="G3770" t="s">
        <v>5475</v>
      </c>
      <c r="H3770" t="s">
        <v>5664</v>
      </c>
      <c r="J3770" t="s">
        <v>4073</v>
      </c>
      <c r="K3770">
        <v>224.9</v>
      </c>
    </row>
    <row r="3771" spans="1:11" x14ac:dyDescent="0.35">
      <c r="A3771" t="s">
        <v>4074</v>
      </c>
      <c r="B3771" s="1">
        <v>0</v>
      </c>
      <c r="C3771" t="s">
        <v>1478</v>
      </c>
      <c r="D3771" t="s">
        <v>5492</v>
      </c>
      <c r="E3771" t="s">
        <v>5170</v>
      </c>
      <c r="F3771" t="s">
        <v>5089</v>
      </c>
      <c r="G3771" t="s">
        <v>5058</v>
      </c>
      <c r="H3771" t="s">
        <v>3035</v>
      </c>
      <c r="J3771" t="s">
        <v>4074</v>
      </c>
      <c r="K3771">
        <v>215.8</v>
      </c>
    </row>
    <row r="3772" spans="1:11" x14ac:dyDescent="0.35">
      <c r="A3772" t="s">
        <v>4075</v>
      </c>
      <c r="B3772" s="1">
        <v>0</v>
      </c>
      <c r="C3772" t="s">
        <v>476</v>
      </c>
      <c r="D3772" t="s">
        <v>5262</v>
      </c>
      <c r="E3772" t="s">
        <v>5064</v>
      </c>
      <c r="F3772" t="s">
        <v>5089</v>
      </c>
      <c r="G3772" t="s">
        <v>5174</v>
      </c>
      <c r="H3772" t="s">
        <v>5732</v>
      </c>
      <c r="J3772" t="s">
        <v>4075</v>
      </c>
      <c r="K3772">
        <v>200.4</v>
      </c>
    </row>
    <row r="3773" spans="1:11" x14ac:dyDescent="0.35">
      <c r="A3773" t="s">
        <v>4076</v>
      </c>
      <c r="B3773" s="1">
        <v>0</v>
      </c>
      <c r="C3773" t="s">
        <v>1018</v>
      </c>
      <c r="D3773" t="s">
        <v>5157</v>
      </c>
      <c r="E3773" t="s">
        <v>5181</v>
      </c>
      <c r="F3773" t="s">
        <v>5077</v>
      </c>
      <c r="G3773" t="s">
        <v>5172</v>
      </c>
      <c r="H3773" t="s">
        <v>1682</v>
      </c>
      <c r="J3773" t="s">
        <v>4076</v>
      </c>
      <c r="K3773">
        <v>186.3</v>
      </c>
    </row>
    <row r="3774" spans="1:11" x14ac:dyDescent="0.35">
      <c r="A3774" s="2">
        <v>43586</v>
      </c>
      <c r="B3774" s="1">
        <v>0</v>
      </c>
      <c r="C3774" t="s">
        <v>433</v>
      </c>
      <c r="D3774" t="s">
        <v>5141</v>
      </c>
      <c r="E3774" t="s">
        <v>5418</v>
      </c>
      <c r="F3774" t="s">
        <v>5077</v>
      </c>
      <c r="G3774" t="s">
        <v>5222</v>
      </c>
      <c r="H3774" t="s">
        <v>65</v>
      </c>
      <c r="J3774" s="2">
        <v>43586</v>
      </c>
      <c r="K3774">
        <v>184.4</v>
      </c>
    </row>
    <row r="3775" spans="1:11" x14ac:dyDescent="0.35">
      <c r="A3775" s="2">
        <v>43587</v>
      </c>
      <c r="B3775" s="1">
        <v>0</v>
      </c>
      <c r="C3775" t="s">
        <v>5543</v>
      </c>
      <c r="D3775" t="s">
        <v>5137</v>
      </c>
      <c r="E3775" t="s">
        <v>5313</v>
      </c>
      <c r="F3775" t="s">
        <v>5077</v>
      </c>
      <c r="G3775" t="s">
        <v>5224</v>
      </c>
      <c r="H3775" t="s">
        <v>779</v>
      </c>
      <c r="J3775" s="2">
        <v>43587</v>
      </c>
      <c r="K3775">
        <v>195.2</v>
      </c>
    </row>
    <row r="3776" spans="1:11" x14ac:dyDescent="0.35">
      <c r="A3776" s="2">
        <v>43588</v>
      </c>
      <c r="B3776" s="1">
        <v>0</v>
      </c>
      <c r="C3776" t="s">
        <v>475</v>
      </c>
      <c r="D3776" t="s">
        <v>5442</v>
      </c>
      <c r="E3776" t="s">
        <v>5073</v>
      </c>
      <c r="F3776" t="s">
        <v>5077</v>
      </c>
      <c r="G3776" t="s">
        <v>5227</v>
      </c>
      <c r="H3776" t="s">
        <v>1644</v>
      </c>
      <c r="J3776" s="2">
        <v>43588</v>
      </c>
      <c r="K3776">
        <v>199.9</v>
      </c>
    </row>
    <row r="3777" spans="1:11" x14ac:dyDescent="0.35">
      <c r="A3777" s="2">
        <v>43589</v>
      </c>
      <c r="B3777" s="1">
        <v>0</v>
      </c>
      <c r="C3777" t="s">
        <v>1060</v>
      </c>
      <c r="D3777" t="s">
        <v>5522</v>
      </c>
      <c r="E3777" t="s">
        <v>5070</v>
      </c>
      <c r="F3777" t="s">
        <v>5077</v>
      </c>
      <c r="G3777" t="s">
        <v>5224</v>
      </c>
      <c r="H3777" t="s">
        <v>2338</v>
      </c>
      <c r="J3777" s="2">
        <v>43589</v>
      </c>
      <c r="K3777">
        <v>192.5</v>
      </c>
    </row>
    <row r="3778" spans="1:11" x14ac:dyDescent="0.35">
      <c r="A3778" s="2">
        <v>43590</v>
      </c>
      <c r="B3778" s="1">
        <v>0</v>
      </c>
      <c r="C3778" t="s">
        <v>410</v>
      </c>
      <c r="D3778" t="s">
        <v>5085</v>
      </c>
      <c r="E3778" t="s">
        <v>5426</v>
      </c>
      <c r="F3778" t="s">
        <v>5077</v>
      </c>
      <c r="G3778" t="s">
        <v>5309</v>
      </c>
      <c r="H3778" t="s">
        <v>167</v>
      </c>
      <c r="J3778" s="2">
        <v>43590</v>
      </c>
      <c r="K3778">
        <v>177</v>
      </c>
    </row>
    <row r="3779" spans="1:11" x14ac:dyDescent="0.35">
      <c r="A3779" s="2">
        <v>43591</v>
      </c>
      <c r="B3779" s="1">
        <v>0</v>
      </c>
      <c r="C3779" t="s">
        <v>5580</v>
      </c>
      <c r="D3779" t="s">
        <v>5249</v>
      </c>
      <c r="E3779" t="s">
        <v>5623</v>
      </c>
      <c r="F3779" t="s">
        <v>5077</v>
      </c>
      <c r="G3779" t="s">
        <v>5342</v>
      </c>
      <c r="H3779" t="s">
        <v>1755</v>
      </c>
      <c r="J3779" s="2">
        <v>43591</v>
      </c>
      <c r="K3779">
        <v>161.1</v>
      </c>
    </row>
    <row r="3780" spans="1:11" x14ac:dyDescent="0.35">
      <c r="A3780" s="2">
        <v>43592</v>
      </c>
      <c r="B3780" s="1">
        <v>0</v>
      </c>
      <c r="C3780" t="s">
        <v>5496</v>
      </c>
      <c r="D3780" t="s">
        <v>5323</v>
      </c>
      <c r="E3780" t="s">
        <v>5423</v>
      </c>
      <c r="F3780" t="s">
        <v>5077</v>
      </c>
      <c r="G3780" t="s">
        <v>5330</v>
      </c>
      <c r="H3780" t="s">
        <v>878</v>
      </c>
      <c r="J3780" s="2">
        <v>43592</v>
      </c>
      <c r="K3780">
        <v>153.69999999999999</v>
      </c>
    </row>
    <row r="3781" spans="1:11" x14ac:dyDescent="0.35">
      <c r="A3781" s="2">
        <v>43593</v>
      </c>
      <c r="B3781" s="1">
        <v>0</v>
      </c>
      <c r="C3781" t="s">
        <v>5228</v>
      </c>
      <c r="D3781" t="s">
        <v>5223</v>
      </c>
      <c r="E3781" t="s">
        <v>5049</v>
      </c>
      <c r="F3781" t="s">
        <v>5077</v>
      </c>
      <c r="G3781" t="s">
        <v>5342</v>
      </c>
      <c r="H3781" t="s">
        <v>882</v>
      </c>
      <c r="J3781" s="2">
        <v>43593</v>
      </c>
      <c r="K3781">
        <v>156</v>
      </c>
    </row>
    <row r="3782" spans="1:11" x14ac:dyDescent="0.35">
      <c r="A3782" s="2">
        <v>43594</v>
      </c>
      <c r="B3782" s="1">
        <v>0</v>
      </c>
      <c r="C3782" t="s">
        <v>5651</v>
      </c>
      <c r="D3782" t="s">
        <v>5202</v>
      </c>
      <c r="E3782" t="s">
        <v>5416</v>
      </c>
      <c r="F3782" t="s">
        <v>5077</v>
      </c>
      <c r="G3782" t="s">
        <v>5297</v>
      </c>
      <c r="H3782" t="s">
        <v>875</v>
      </c>
      <c r="J3782" s="2">
        <v>43594</v>
      </c>
      <c r="K3782">
        <v>161.4</v>
      </c>
    </row>
    <row r="3783" spans="1:11" x14ac:dyDescent="0.35">
      <c r="A3783" s="2">
        <v>43595</v>
      </c>
      <c r="B3783" s="1">
        <v>0</v>
      </c>
      <c r="C3783" t="s">
        <v>5565</v>
      </c>
      <c r="D3783" t="s">
        <v>5171</v>
      </c>
      <c r="E3783" t="s">
        <v>5049</v>
      </c>
      <c r="F3783" t="s">
        <v>5077</v>
      </c>
      <c r="G3783" t="s">
        <v>5312</v>
      </c>
      <c r="H3783" t="s">
        <v>875</v>
      </c>
      <c r="J3783" s="2">
        <v>43595</v>
      </c>
      <c r="K3783">
        <v>161.4</v>
      </c>
    </row>
    <row r="3784" spans="1:11" x14ac:dyDescent="0.35">
      <c r="A3784" s="2">
        <v>43596</v>
      </c>
      <c r="B3784" s="1">
        <v>0</v>
      </c>
      <c r="C3784" t="s">
        <v>5477</v>
      </c>
      <c r="D3784" t="s">
        <v>5431</v>
      </c>
      <c r="E3784" t="s">
        <v>5423</v>
      </c>
      <c r="F3784" t="s">
        <v>5077</v>
      </c>
      <c r="G3784" t="s">
        <v>5312</v>
      </c>
      <c r="H3784" t="s">
        <v>77</v>
      </c>
      <c r="J3784" s="2">
        <v>43596</v>
      </c>
      <c r="K3784">
        <v>160.4</v>
      </c>
    </row>
    <row r="3785" spans="1:11" x14ac:dyDescent="0.35">
      <c r="A3785" s="2">
        <v>43597</v>
      </c>
      <c r="B3785" s="1">
        <v>0</v>
      </c>
      <c r="C3785" t="s">
        <v>377</v>
      </c>
      <c r="D3785" t="s">
        <v>5255</v>
      </c>
      <c r="E3785" t="s">
        <v>5284</v>
      </c>
      <c r="F3785" t="s">
        <v>5077</v>
      </c>
      <c r="G3785" t="s">
        <v>5294</v>
      </c>
      <c r="H3785" t="s">
        <v>75</v>
      </c>
      <c r="J3785" s="2">
        <v>43597</v>
      </c>
      <c r="K3785">
        <v>167</v>
      </c>
    </row>
    <row r="3786" spans="1:11" x14ac:dyDescent="0.35">
      <c r="A3786" s="2">
        <v>43598</v>
      </c>
      <c r="B3786" s="1">
        <v>0</v>
      </c>
      <c r="C3786" t="s">
        <v>453</v>
      </c>
      <c r="D3786" t="s">
        <v>5063</v>
      </c>
      <c r="E3786" t="s">
        <v>5295</v>
      </c>
      <c r="F3786" t="s">
        <v>5077</v>
      </c>
      <c r="G3786" t="s">
        <v>5291</v>
      </c>
      <c r="H3786" t="s">
        <v>717</v>
      </c>
      <c r="J3786" s="2">
        <v>43598</v>
      </c>
      <c r="K3786">
        <v>181.8</v>
      </c>
    </row>
    <row r="3787" spans="1:11" x14ac:dyDescent="0.35">
      <c r="A3787" s="2">
        <v>43599</v>
      </c>
      <c r="B3787" s="1">
        <v>0</v>
      </c>
      <c r="C3787" t="s">
        <v>1486</v>
      </c>
      <c r="D3787" t="s">
        <v>5456</v>
      </c>
      <c r="E3787" t="s">
        <v>5303</v>
      </c>
      <c r="F3787" t="s">
        <v>5077</v>
      </c>
      <c r="G3787" t="s">
        <v>5224</v>
      </c>
      <c r="H3787" t="s">
        <v>2142</v>
      </c>
      <c r="J3787" s="2">
        <v>43599</v>
      </c>
      <c r="K3787">
        <v>197.3</v>
      </c>
    </row>
    <row r="3788" spans="1:11" x14ac:dyDescent="0.35">
      <c r="A3788" s="2">
        <v>43600</v>
      </c>
      <c r="B3788" s="1">
        <v>0</v>
      </c>
      <c r="C3788" t="s">
        <v>3498</v>
      </c>
      <c r="D3788" t="s">
        <v>5449</v>
      </c>
      <c r="E3788" t="s">
        <v>5422</v>
      </c>
      <c r="F3788" t="s">
        <v>5077</v>
      </c>
      <c r="G3788" t="s">
        <v>5172</v>
      </c>
      <c r="H3788" t="s">
        <v>776</v>
      </c>
      <c r="J3788" s="2">
        <v>43600</v>
      </c>
      <c r="K3788">
        <v>210.8</v>
      </c>
    </row>
    <row r="3789" spans="1:11" x14ac:dyDescent="0.35">
      <c r="A3789" s="2">
        <v>43601</v>
      </c>
      <c r="B3789" s="1">
        <v>0</v>
      </c>
      <c r="C3789" t="s">
        <v>483</v>
      </c>
      <c r="D3789" t="s">
        <v>5211</v>
      </c>
      <c r="E3789" t="s">
        <v>5170</v>
      </c>
      <c r="F3789" t="s">
        <v>5089</v>
      </c>
      <c r="G3789" t="s">
        <v>5054</v>
      </c>
      <c r="H3789" t="s">
        <v>1722</v>
      </c>
      <c r="J3789" s="2">
        <v>43601</v>
      </c>
      <c r="K3789">
        <v>222.3</v>
      </c>
    </row>
    <row r="3790" spans="1:11" x14ac:dyDescent="0.35">
      <c r="A3790" s="2">
        <v>43602</v>
      </c>
      <c r="B3790" s="1">
        <v>0</v>
      </c>
      <c r="C3790" t="s">
        <v>2225</v>
      </c>
      <c r="D3790" t="s">
        <v>5211</v>
      </c>
      <c r="E3790" t="s">
        <v>5056</v>
      </c>
      <c r="F3790" t="s">
        <v>5089</v>
      </c>
      <c r="G3790" t="s">
        <v>5065</v>
      </c>
      <c r="H3790" t="s">
        <v>2841</v>
      </c>
      <c r="J3790" s="2">
        <v>43602</v>
      </c>
      <c r="K3790">
        <v>226.4</v>
      </c>
    </row>
    <row r="3791" spans="1:11" x14ac:dyDescent="0.35">
      <c r="A3791" s="2">
        <v>43603</v>
      </c>
      <c r="B3791" s="1">
        <v>0</v>
      </c>
      <c r="C3791" t="s">
        <v>316</v>
      </c>
      <c r="D3791" t="s">
        <v>5211</v>
      </c>
      <c r="E3791" t="s">
        <v>5056</v>
      </c>
      <c r="F3791" t="s">
        <v>5089</v>
      </c>
      <c r="G3791" t="s">
        <v>5065</v>
      </c>
      <c r="H3791" t="s">
        <v>3656</v>
      </c>
      <c r="J3791" s="2">
        <v>43603</v>
      </c>
      <c r="K3791">
        <v>224.3</v>
      </c>
    </row>
    <row r="3792" spans="1:11" x14ac:dyDescent="0.35">
      <c r="A3792" s="2">
        <v>43604</v>
      </c>
      <c r="B3792" s="1">
        <v>0</v>
      </c>
      <c r="C3792" t="s">
        <v>3804</v>
      </c>
      <c r="D3792" t="s">
        <v>5436</v>
      </c>
      <c r="E3792" t="s">
        <v>5237</v>
      </c>
      <c r="F3792" t="s">
        <v>5089</v>
      </c>
      <c r="G3792" t="s">
        <v>5062</v>
      </c>
      <c r="H3792" t="s">
        <v>232</v>
      </c>
      <c r="J3792" s="2">
        <v>43604</v>
      </c>
      <c r="K3792">
        <v>222.4</v>
      </c>
    </row>
    <row r="3793" spans="1:11" x14ac:dyDescent="0.35">
      <c r="A3793" s="2">
        <v>43605</v>
      </c>
      <c r="B3793" s="1">
        <v>0</v>
      </c>
      <c r="C3793" t="s">
        <v>5638</v>
      </c>
      <c r="D3793" t="s">
        <v>5540</v>
      </c>
      <c r="E3793" t="s">
        <v>5176</v>
      </c>
      <c r="F3793" t="s">
        <v>5089</v>
      </c>
      <c r="G3793" t="s">
        <v>5179</v>
      </c>
      <c r="H3793" t="s">
        <v>944</v>
      </c>
      <c r="J3793" s="2">
        <v>43605</v>
      </c>
      <c r="K3793">
        <v>217.8</v>
      </c>
    </row>
    <row r="3794" spans="1:11" x14ac:dyDescent="0.35">
      <c r="A3794" s="2">
        <v>43606</v>
      </c>
      <c r="B3794" s="1">
        <v>0</v>
      </c>
      <c r="C3794" t="s">
        <v>1871</v>
      </c>
      <c r="D3794" t="s">
        <v>5446</v>
      </c>
      <c r="E3794" t="s">
        <v>5286</v>
      </c>
      <c r="F3794" t="s">
        <v>5089</v>
      </c>
      <c r="G3794" t="s">
        <v>5054</v>
      </c>
      <c r="H3794" t="s">
        <v>229</v>
      </c>
      <c r="J3794" s="2">
        <v>43606</v>
      </c>
      <c r="K3794">
        <v>211.2</v>
      </c>
    </row>
    <row r="3795" spans="1:11" x14ac:dyDescent="0.35">
      <c r="A3795" s="2">
        <v>43607</v>
      </c>
      <c r="B3795" s="1">
        <v>0</v>
      </c>
      <c r="C3795" t="s">
        <v>1480</v>
      </c>
      <c r="D3795" t="s">
        <v>5464</v>
      </c>
      <c r="E3795" t="s">
        <v>5425</v>
      </c>
      <c r="F3795" t="s">
        <v>5077</v>
      </c>
      <c r="G3795" t="s">
        <v>5412</v>
      </c>
      <c r="H3795" t="s">
        <v>4789</v>
      </c>
      <c r="J3795" s="2">
        <v>43607</v>
      </c>
      <c r="K3795">
        <v>208.4</v>
      </c>
    </row>
    <row r="3796" spans="1:11" x14ac:dyDescent="0.35">
      <c r="A3796" s="2">
        <v>43608</v>
      </c>
      <c r="B3796" s="1">
        <v>0</v>
      </c>
      <c r="C3796" t="s">
        <v>4904</v>
      </c>
      <c r="D3796" t="s">
        <v>5090</v>
      </c>
      <c r="E3796" t="s">
        <v>5524</v>
      </c>
      <c r="F3796" t="s">
        <v>5077</v>
      </c>
      <c r="G3796" t="s">
        <v>5065</v>
      </c>
      <c r="H3796" t="s">
        <v>2083</v>
      </c>
      <c r="J3796" s="2">
        <v>43608</v>
      </c>
      <c r="K3796">
        <v>213</v>
      </c>
    </row>
    <row r="3797" spans="1:11" x14ac:dyDescent="0.35">
      <c r="A3797" s="2">
        <v>43609</v>
      </c>
      <c r="B3797" s="1">
        <v>0</v>
      </c>
      <c r="C3797" t="s">
        <v>1560</v>
      </c>
      <c r="D3797" t="s">
        <v>5262</v>
      </c>
      <c r="E3797" t="s">
        <v>5064</v>
      </c>
      <c r="F3797" t="s">
        <v>5077</v>
      </c>
      <c r="G3797" t="s">
        <v>5183</v>
      </c>
      <c r="H3797" t="s">
        <v>3029</v>
      </c>
      <c r="J3797" s="2">
        <v>43609</v>
      </c>
      <c r="K3797">
        <v>220.6</v>
      </c>
    </row>
    <row r="3798" spans="1:11" x14ac:dyDescent="0.35">
      <c r="A3798" s="2">
        <v>43610</v>
      </c>
      <c r="B3798" s="1">
        <v>0</v>
      </c>
      <c r="C3798" t="s">
        <v>4117</v>
      </c>
      <c r="D3798" t="s">
        <v>5438</v>
      </c>
      <c r="E3798" t="s">
        <v>5064</v>
      </c>
      <c r="F3798" t="s">
        <v>5077</v>
      </c>
      <c r="G3798" t="s">
        <v>5058</v>
      </c>
      <c r="H3798" t="s">
        <v>3729</v>
      </c>
      <c r="J3798" s="2">
        <v>43610</v>
      </c>
      <c r="K3798">
        <v>215.1</v>
      </c>
    </row>
    <row r="3799" spans="1:11" x14ac:dyDescent="0.35">
      <c r="A3799" s="2">
        <v>43611</v>
      </c>
      <c r="B3799" s="1">
        <v>0</v>
      </c>
      <c r="C3799" t="s">
        <v>321</v>
      </c>
      <c r="D3799" t="s">
        <v>5508</v>
      </c>
      <c r="E3799" t="s">
        <v>5061</v>
      </c>
      <c r="F3799" t="s">
        <v>5077</v>
      </c>
      <c r="G3799" t="s">
        <v>5230</v>
      </c>
      <c r="H3799" t="s">
        <v>3916</v>
      </c>
      <c r="J3799" s="2">
        <v>43611</v>
      </c>
      <c r="K3799">
        <v>198.8</v>
      </c>
    </row>
    <row r="3800" spans="1:11" x14ac:dyDescent="0.35">
      <c r="A3800" s="2">
        <v>43612</v>
      </c>
      <c r="B3800" s="1">
        <v>0</v>
      </c>
      <c r="C3800" t="s">
        <v>1024</v>
      </c>
      <c r="D3800" t="s">
        <v>5072</v>
      </c>
      <c r="E3800" t="s">
        <v>5052</v>
      </c>
      <c r="F3800" t="s">
        <v>5077</v>
      </c>
      <c r="G3800" t="s">
        <v>5288</v>
      </c>
      <c r="H3800" t="s">
        <v>1284</v>
      </c>
      <c r="J3800" s="2">
        <v>43612</v>
      </c>
      <c r="K3800">
        <v>178.8</v>
      </c>
    </row>
    <row r="3801" spans="1:11" x14ac:dyDescent="0.35">
      <c r="A3801" s="2">
        <v>43613</v>
      </c>
      <c r="B3801" s="1">
        <v>0</v>
      </c>
      <c r="C3801" t="s">
        <v>5282</v>
      </c>
      <c r="D3801" t="s">
        <v>5239</v>
      </c>
      <c r="E3801" t="s">
        <v>5298</v>
      </c>
      <c r="F3801" t="s">
        <v>5077</v>
      </c>
      <c r="G3801" t="s">
        <v>5297</v>
      </c>
      <c r="H3801" t="s">
        <v>72</v>
      </c>
      <c r="J3801" s="2">
        <v>43613</v>
      </c>
      <c r="K3801">
        <v>165.9</v>
      </c>
    </row>
    <row r="3802" spans="1:11" x14ac:dyDescent="0.35">
      <c r="A3802" s="2">
        <v>43614</v>
      </c>
      <c r="B3802" s="1">
        <v>0</v>
      </c>
      <c r="C3802" t="s">
        <v>5651</v>
      </c>
      <c r="D3802" t="s">
        <v>5270</v>
      </c>
      <c r="E3802" t="s">
        <v>5289</v>
      </c>
      <c r="F3802" t="s">
        <v>5077</v>
      </c>
      <c r="G3802" t="s">
        <v>5297</v>
      </c>
      <c r="H3802" t="s">
        <v>164</v>
      </c>
      <c r="J3802" s="2">
        <v>43614</v>
      </c>
      <c r="K3802">
        <v>167.3</v>
      </c>
    </row>
    <row r="3803" spans="1:11" x14ac:dyDescent="0.35">
      <c r="A3803" s="2">
        <v>43615</v>
      </c>
      <c r="B3803" s="1">
        <v>0</v>
      </c>
      <c r="C3803" t="s">
        <v>402</v>
      </c>
      <c r="D3803" t="s">
        <v>5437</v>
      </c>
      <c r="E3803" t="s">
        <v>5061</v>
      </c>
      <c r="F3803" t="s">
        <v>5077</v>
      </c>
      <c r="G3803" t="s">
        <v>5294</v>
      </c>
      <c r="H3803" t="s">
        <v>1345</v>
      </c>
      <c r="J3803" s="2">
        <v>43615</v>
      </c>
      <c r="K3803">
        <v>178.4</v>
      </c>
    </row>
    <row r="3804" spans="1:11" x14ac:dyDescent="0.35">
      <c r="A3804" s="2">
        <v>43616</v>
      </c>
      <c r="B3804" s="1">
        <v>0</v>
      </c>
      <c r="C3804" t="s">
        <v>2910</v>
      </c>
      <c r="D3804" t="s">
        <v>5103</v>
      </c>
      <c r="E3804" t="s">
        <v>5055</v>
      </c>
      <c r="F3804" t="s">
        <v>5077</v>
      </c>
      <c r="G3804" t="s">
        <v>5291</v>
      </c>
      <c r="H3804" t="s">
        <v>652</v>
      </c>
      <c r="J3804" s="2">
        <v>43616</v>
      </c>
      <c r="K3804">
        <v>186.9</v>
      </c>
    </row>
    <row r="3805" spans="1:11" x14ac:dyDescent="0.35">
      <c r="A3805" s="2">
        <v>43617</v>
      </c>
      <c r="B3805" s="1">
        <v>0</v>
      </c>
      <c r="C3805" t="s">
        <v>453</v>
      </c>
      <c r="D3805" t="s">
        <v>5108</v>
      </c>
      <c r="E3805" t="s">
        <v>5073</v>
      </c>
      <c r="F3805" t="s">
        <v>5077</v>
      </c>
      <c r="G3805" t="s">
        <v>5291</v>
      </c>
      <c r="H3805" t="s">
        <v>54</v>
      </c>
      <c r="J3805" s="2">
        <v>43617</v>
      </c>
      <c r="K3805">
        <v>187.7</v>
      </c>
    </row>
    <row r="3806" spans="1:11" x14ac:dyDescent="0.35">
      <c r="A3806" s="2">
        <v>43618</v>
      </c>
      <c r="B3806" s="1">
        <v>0</v>
      </c>
      <c r="C3806" t="s">
        <v>5607</v>
      </c>
      <c r="D3806" t="s">
        <v>5061</v>
      </c>
      <c r="E3806" t="s">
        <v>5316</v>
      </c>
      <c r="F3806" t="s">
        <v>5156</v>
      </c>
      <c r="G3806" t="s">
        <v>5405</v>
      </c>
      <c r="H3806" t="s">
        <v>1133</v>
      </c>
      <c r="J3806" s="2">
        <v>43618</v>
      </c>
      <c r="K3806">
        <v>141.80000000000001</v>
      </c>
    </row>
    <row r="3807" spans="1:11" x14ac:dyDescent="0.35">
      <c r="A3807" s="2">
        <v>43619</v>
      </c>
      <c r="B3807" s="1">
        <v>0</v>
      </c>
      <c r="C3807" t="s">
        <v>5271</v>
      </c>
      <c r="D3807" t="s">
        <v>5546</v>
      </c>
      <c r="E3807" t="s">
        <v>5338</v>
      </c>
      <c r="F3807" t="s">
        <v>5156</v>
      </c>
      <c r="G3807" t="s">
        <v>5404</v>
      </c>
      <c r="H3807" t="s">
        <v>524</v>
      </c>
      <c r="J3807" s="2">
        <v>43619</v>
      </c>
      <c r="K3807">
        <v>134.30000000000001</v>
      </c>
    </row>
    <row r="3808" spans="1:11" x14ac:dyDescent="0.35">
      <c r="A3808" s="2">
        <v>43620</v>
      </c>
      <c r="B3808" s="1">
        <v>0</v>
      </c>
      <c r="C3808" t="s">
        <v>5478</v>
      </c>
      <c r="D3808" t="s">
        <v>5194</v>
      </c>
      <c r="E3808" t="s">
        <v>5355</v>
      </c>
      <c r="F3808" t="s">
        <v>5156</v>
      </c>
      <c r="G3808" t="s">
        <v>5419</v>
      </c>
      <c r="H3808" t="s">
        <v>1863</v>
      </c>
      <c r="J3808" s="2">
        <v>43620</v>
      </c>
      <c r="K3808">
        <v>125.7</v>
      </c>
    </row>
    <row r="3809" spans="1:11" x14ac:dyDescent="0.35">
      <c r="A3809" s="2">
        <v>43621</v>
      </c>
      <c r="B3809" s="1">
        <v>0</v>
      </c>
      <c r="C3809" t="s">
        <v>5190</v>
      </c>
      <c r="D3809" t="s">
        <v>5414</v>
      </c>
      <c r="E3809" t="s">
        <v>5092</v>
      </c>
      <c r="F3809" t="s">
        <v>5156</v>
      </c>
      <c r="G3809" t="s">
        <v>5413</v>
      </c>
      <c r="H3809" t="s">
        <v>1929</v>
      </c>
      <c r="J3809" s="2">
        <v>43621</v>
      </c>
      <c r="K3809">
        <v>115.8</v>
      </c>
    </row>
    <row r="3810" spans="1:11" x14ac:dyDescent="0.35">
      <c r="A3810" s="2">
        <v>43622</v>
      </c>
      <c r="B3810" s="1">
        <v>0</v>
      </c>
      <c r="C3810" t="s">
        <v>5113</v>
      </c>
      <c r="D3810" t="s">
        <v>5341</v>
      </c>
      <c r="E3810" t="s">
        <v>5099</v>
      </c>
      <c r="F3810" t="s">
        <v>5156</v>
      </c>
      <c r="G3810" t="s">
        <v>5396</v>
      </c>
      <c r="H3810" t="s">
        <v>3808</v>
      </c>
      <c r="J3810" s="2">
        <v>43622</v>
      </c>
      <c r="K3810">
        <v>106.3</v>
      </c>
    </row>
    <row r="3811" spans="1:11" x14ac:dyDescent="0.35">
      <c r="A3811" s="2">
        <v>43623</v>
      </c>
      <c r="B3811" s="1">
        <v>0</v>
      </c>
      <c r="C3811" t="s">
        <v>5064</v>
      </c>
      <c r="D3811" t="s">
        <v>5077</v>
      </c>
      <c r="E3811" t="s">
        <v>5065</v>
      </c>
      <c r="F3811" t="s">
        <v>5168</v>
      </c>
      <c r="G3811" t="s">
        <v>5360</v>
      </c>
      <c r="H3811" t="s">
        <v>4642</v>
      </c>
      <c r="J3811" s="2">
        <v>43623</v>
      </c>
      <c r="K3811">
        <v>98.3</v>
      </c>
    </row>
    <row r="3812" spans="1:11" x14ac:dyDescent="0.35">
      <c r="A3812" s="2">
        <v>43624</v>
      </c>
      <c r="B3812" s="1">
        <v>0</v>
      </c>
      <c r="C3812" t="s">
        <v>5049</v>
      </c>
      <c r="D3812" t="s">
        <v>5124</v>
      </c>
      <c r="E3812" t="s">
        <v>5412</v>
      </c>
      <c r="F3812" t="s">
        <v>5168</v>
      </c>
      <c r="G3812" t="s">
        <v>5343</v>
      </c>
      <c r="H3812" t="s">
        <v>462</v>
      </c>
      <c r="J3812" s="2">
        <v>43624</v>
      </c>
      <c r="K3812">
        <v>92.8</v>
      </c>
    </row>
    <row r="3813" spans="1:11" x14ac:dyDescent="0.35">
      <c r="A3813" s="2">
        <v>43625</v>
      </c>
      <c r="B3813" s="1">
        <v>0</v>
      </c>
      <c r="C3813" t="s">
        <v>5194</v>
      </c>
      <c r="D3813" t="s">
        <v>5475</v>
      </c>
      <c r="E3813" t="s">
        <v>5179</v>
      </c>
      <c r="F3813" t="s">
        <v>5168</v>
      </c>
      <c r="G3813" t="s">
        <v>5361</v>
      </c>
      <c r="H3813" t="s">
        <v>323</v>
      </c>
      <c r="J3813" s="2">
        <v>43625</v>
      </c>
      <c r="K3813">
        <v>89.4</v>
      </c>
    </row>
    <row r="3814" spans="1:11" x14ac:dyDescent="0.35">
      <c r="A3814" s="2">
        <v>43626</v>
      </c>
      <c r="B3814" s="1">
        <v>0</v>
      </c>
      <c r="C3814" t="s">
        <v>5149</v>
      </c>
      <c r="D3814" t="s">
        <v>5412</v>
      </c>
      <c r="E3814" t="s">
        <v>5240</v>
      </c>
      <c r="F3814" t="s">
        <v>5168</v>
      </c>
      <c r="G3814" t="s">
        <v>5349</v>
      </c>
      <c r="H3814" t="s">
        <v>984</v>
      </c>
      <c r="J3814" s="2">
        <v>43626</v>
      </c>
      <c r="K3814">
        <v>87.1</v>
      </c>
    </row>
    <row r="3815" spans="1:11" x14ac:dyDescent="0.35">
      <c r="A3815" s="2">
        <v>43627</v>
      </c>
      <c r="B3815" s="1">
        <v>0</v>
      </c>
      <c r="C3815" t="s">
        <v>5347</v>
      </c>
      <c r="D3815" t="s">
        <v>5179</v>
      </c>
      <c r="E3815" t="s">
        <v>5240</v>
      </c>
      <c r="F3815" t="s">
        <v>5168</v>
      </c>
      <c r="G3815" t="s">
        <v>5353</v>
      </c>
      <c r="H3815" t="s">
        <v>442</v>
      </c>
      <c r="J3815" s="2">
        <v>43627</v>
      </c>
      <c r="K3815">
        <v>85.7</v>
      </c>
    </row>
    <row r="3816" spans="1:11" x14ac:dyDescent="0.35">
      <c r="A3816" s="2">
        <v>43628</v>
      </c>
      <c r="B3816" s="1">
        <v>0</v>
      </c>
      <c r="C3816" t="s">
        <v>5166</v>
      </c>
      <c r="D3816" t="s">
        <v>5054</v>
      </c>
      <c r="E3816" t="s">
        <v>5050</v>
      </c>
      <c r="F3816" t="s">
        <v>5168</v>
      </c>
      <c r="G3816" t="s">
        <v>5353</v>
      </c>
      <c r="H3816" t="s">
        <v>479</v>
      </c>
      <c r="J3816" s="2">
        <v>43628</v>
      </c>
      <c r="K3816">
        <v>84.9</v>
      </c>
    </row>
    <row r="3817" spans="1:11" x14ac:dyDescent="0.35">
      <c r="A3817" s="2">
        <v>43629</v>
      </c>
      <c r="B3817" s="1">
        <v>0</v>
      </c>
      <c r="C3817" t="s">
        <v>5341</v>
      </c>
      <c r="D3817" t="s">
        <v>5240</v>
      </c>
      <c r="E3817" t="s">
        <v>5050</v>
      </c>
      <c r="F3817" t="s">
        <v>5168</v>
      </c>
      <c r="G3817" t="s">
        <v>5353</v>
      </c>
      <c r="H3817" t="s">
        <v>1523</v>
      </c>
      <c r="J3817" s="2">
        <v>43629</v>
      </c>
      <c r="K3817">
        <v>84.6</v>
      </c>
    </row>
    <row r="3818" spans="1:11" x14ac:dyDescent="0.35">
      <c r="A3818" s="2">
        <v>43630</v>
      </c>
      <c r="B3818" s="1">
        <v>0</v>
      </c>
      <c r="C3818" t="s">
        <v>5205</v>
      </c>
      <c r="D3818" t="s">
        <v>5054</v>
      </c>
      <c r="E3818" t="s">
        <v>5050</v>
      </c>
      <c r="F3818" t="s">
        <v>5168</v>
      </c>
      <c r="G3818" t="s">
        <v>5353</v>
      </c>
      <c r="H3818" t="s">
        <v>1917</v>
      </c>
      <c r="J3818" s="2">
        <v>43630</v>
      </c>
      <c r="K3818">
        <v>85.2</v>
      </c>
    </row>
    <row r="3819" spans="1:11" x14ac:dyDescent="0.35">
      <c r="A3819" s="2">
        <v>43631</v>
      </c>
      <c r="B3819" s="1">
        <v>0</v>
      </c>
      <c r="C3819" t="s">
        <v>5527</v>
      </c>
      <c r="D3819" t="s">
        <v>5179</v>
      </c>
      <c r="E3819" t="s">
        <v>5050</v>
      </c>
      <c r="F3819" t="s">
        <v>5168</v>
      </c>
      <c r="G3819" t="s">
        <v>5353</v>
      </c>
      <c r="H3819" t="s">
        <v>348</v>
      </c>
      <c r="J3819" s="2">
        <v>43631</v>
      </c>
      <c r="K3819">
        <v>86.6</v>
      </c>
    </row>
    <row r="3820" spans="1:11" x14ac:dyDescent="0.35">
      <c r="A3820" s="2">
        <v>43632</v>
      </c>
      <c r="B3820" s="1">
        <v>0</v>
      </c>
      <c r="C3820" t="s">
        <v>5526</v>
      </c>
      <c r="D3820" t="s">
        <v>5179</v>
      </c>
      <c r="E3820" t="s">
        <v>5050</v>
      </c>
      <c r="F3820" t="s">
        <v>5168</v>
      </c>
      <c r="G3820" t="s">
        <v>5349</v>
      </c>
      <c r="H3820" t="s">
        <v>342</v>
      </c>
      <c r="J3820" s="2">
        <v>43632</v>
      </c>
      <c r="K3820">
        <v>87.8</v>
      </c>
    </row>
    <row r="3821" spans="1:11" x14ac:dyDescent="0.35">
      <c r="A3821" s="2">
        <v>43633</v>
      </c>
      <c r="B3821" s="1">
        <v>0</v>
      </c>
      <c r="C3821" t="s">
        <v>5311</v>
      </c>
      <c r="D3821" t="s">
        <v>5179</v>
      </c>
      <c r="E3821" t="s">
        <v>5050</v>
      </c>
      <c r="F3821" t="s">
        <v>5168</v>
      </c>
      <c r="G3821" t="s">
        <v>5361</v>
      </c>
      <c r="H3821" t="s">
        <v>361</v>
      </c>
      <c r="J3821" s="2">
        <v>43633</v>
      </c>
      <c r="K3821">
        <v>87.9</v>
      </c>
    </row>
    <row r="3822" spans="1:11" x14ac:dyDescent="0.35">
      <c r="A3822" s="2">
        <v>43634</v>
      </c>
      <c r="B3822" s="1">
        <v>0</v>
      </c>
      <c r="C3822" t="s">
        <v>5191</v>
      </c>
      <c r="D3822" t="s">
        <v>5054</v>
      </c>
      <c r="E3822" t="s">
        <v>5050</v>
      </c>
      <c r="F3822" t="s">
        <v>5168</v>
      </c>
      <c r="G3822" t="s">
        <v>5349</v>
      </c>
      <c r="H3822" t="s">
        <v>984</v>
      </c>
      <c r="J3822" s="2">
        <v>43634</v>
      </c>
      <c r="K3822">
        <v>87.1</v>
      </c>
    </row>
    <row r="3823" spans="1:11" x14ac:dyDescent="0.35">
      <c r="A3823" s="2">
        <v>43635</v>
      </c>
      <c r="B3823" s="1">
        <v>0</v>
      </c>
      <c r="C3823" t="s">
        <v>5345</v>
      </c>
      <c r="D3823" t="s">
        <v>5240</v>
      </c>
      <c r="E3823" t="s">
        <v>5046</v>
      </c>
      <c r="F3823" t="s">
        <v>5168</v>
      </c>
      <c r="G3823" t="s">
        <v>5349</v>
      </c>
      <c r="H3823" t="s">
        <v>337</v>
      </c>
      <c r="J3823" s="2">
        <v>43635</v>
      </c>
      <c r="K3823">
        <v>85.8</v>
      </c>
    </row>
    <row r="3824" spans="1:11" x14ac:dyDescent="0.35">
      <c r="A3824" s="2">
        <v>43636</v>
      </c>
      <c r="B3824" s="1">
        <v>0</v>
      </c>
      <c r="C3824" t="s">
        <v>5188</v>
      </c>
      <c r="D3824" t="s">
        <v>5050</v>
      </c>
      <c r="E3824" t="s">
        <v>5046</v>
      </c>
      <c r="F3824" t="s">
        <v>5168</v>
      </c>
      <c r="G3824" t="s">
        <v>5353</v>
      </c>
      <c r="H3824" t="s">
        <v>1522</v>
      </c>
      <c r="J3824" s="2">
        <v>43636</v>
      </c>
      <c r="K3824">
        <v>84.8</v>
      </c>
    </row>
    <row r="3825" spans="1:11" x14ac:dyDescent="0.35">
      <c r="A3825" s="2">
        <v>43637</v>
      </c>
      <c r="B3825" s="1">
        <v>0</v>
      </c>
      <c r="C3825" t="s">
        <v>5501</v>
      </c>
      <c r="D3825" t="s">
        <v>5050</v>
      </c>
      <c r="E3825" t="s">
        <v>5046</v>
      </c>
      <c r="F3825" t="s">
        <v>5168</v>
      </c>
      <c r="G3825" t="s">
        <v>5353</v>
      </c>
      <c r="H3825" t="s">
        <v>1526</v>
      </c>
      <c r="J3825" s="2">
        <v>43637</v>
      </c>
      <c r="K3825">
        <v>84.2</v>
      </c>
    </row>
    <row r="3826" spans="1:11" x14ac:dyDescent="0.35">
      <c r="A3826" s="2">
        <v>43638</v>
      </c>
      <c r="B3826" s="1">
        <v>0</v>
      </c>
      <c r="C3826" t="s">
        <v>5493</v>
      </c>
      <c r="D3826" t="s">
        <v>5046</v>
      </c>
      <c r="E3826" t="s">
        <v>5046</v>
      </c>
      <c r="F3826" t="s">
        <v>5168</v>
      </c>
      <c r="G3826" t="s">
        <v>5354</v>
      </c>
      <c r="H3826" t="s">
        <v>3798</v>
      </c>
      <c r="J3826" s="2">
        <v>43638</v>
      </c>
      <c r="K3826">
        <v>83.8</v>
      </c>
    </row>
    <row r="3827" spans="1:11" x14ac:dyDescent="0.35">
      <c r="A3827" s="2">
        <v>43639</v>
      </c>
      <c r="B3827" s="1">
        <v>0</v>
      </c>
      <c r="C3827" t="s">
        <v>5132</v>
      </c>
      <c r="D3827" t="s">
        <v>5046</v>
      </c>
      <c r="E3827" t="s">
        <v>5046</v>
      </c>
      <c r="F3827" t="s">
        <v>5168</v>
      </c>
      <c r="G3827" t="s">
        <v>5354</v>
      </c>
      <c r="H3827" t="s">
        <v>444</v>
      </c>
      <c r="J3827" s="2">
        <v>43639</v>
      </c>
      <c r="K3827">
        <v>83.5</v>
      </c>
    </row>
    <row r="3828" spans="1:11" x14ac:dyDescent="0.35">
      <c r="A3828" s="2">
        <v>43640</v>
      </c>
      <c r="B3828" s="1">
        <v>0</v>
      </c>
      <c r="C3828" t="s">
        <v>5358</v>
      </c>
      <c r="D3828" t="s">
        <v>5046</v>
      </c>
      <c r="E3828" t="s">
        <v>5046</v>
      </c>
      <c r="F3828" t="s">
        <v>5168</v>
      </c>
      <c r="G3828" t="s">
        <v>5354</v>
      </c>
      <c r="H3828" t="s">
        <v>363</v>
      </c>
      <c r="J3828" s="2">
        <v>43640</v>
      </c>
      <c r="K3828">
        <v>83.3</v>
      </c>
    </row>
    <row r="3829" spans="1:11" x14ac:dyDescent="0.35">
      <c r="A3829" s="2">
        <v>43641</v>
      </c>
      <c r="B3829" s="1">
        <v>0</v>
      </c>
      <c r="C3829" t="s">
        <v>5089</v>
      </c>
      <c r="D3829" t="s">
        <v>5046</v>
      </c>
      <c r="E3829" t="s">
        <v>5046</v>
      </c>
      <c r="F3829" t="s">
        <v>5168</v>
      </c>
      <c r="G3829" t="s">
        <v>5354</v>
      </c>
      <c r="H3829" t="s">
        <v>1528</v>
      </c>
      <c r="J3829" s="2">
        <v>43641</v>
      </c>
      <c r="K3829">
        <v>83.2</v>
      </c>
    </row>
    <row r="3830" spans="1:11" x14ac:dyDescent="0.35">
      <c r="A3830" s="2">
        <v>43642</v>
      </c>
      <c r="B3830" s="1">
        <v>0</v>
      </c>
      <c r="C3830" t="s">
        <v>5077</v>
      </c>
      <c r="D3830" t="s">
        <v>5046</v>
      </c>
      <c r="E3830" t="s">
        <v>5046</v>
      </c>
      <c r="F3830" t="s">
        <v>5168</v>
      </c>
      <c r="G3830" t="s">
        <v>5354</v>
      </c>
      <c r="H3830" t="s">
        <v>352</v>
      </c>
      <c r="J3830" s="2">
        <v>43642</v>
      </c>
      <c r="K3830">
        <v>83.1</v>
      </c>
    </row>
    <row r="3831" spans="1:11" x14ac:dyDescent="0.35">
      <c r="A3831" s="2">
        <v>43643</v>
      </c>
      <c r="B3831" s="1">
        <v>0</v>
      </c>
      <c r="C3831" t="s">
        <v>5356</v>
      </c>
      <c r="D3831" t="s">
        <v>5046</v>
      </c>
      <c r="E3831" t="s">
        <v>5046</v>
      </c>
      <c r="F3831" t="s">
        <v>5168</v>
      </c>
      <c r="G3831" t="s">
        <v>5354</v>
      </c>
      <c r="H3831" t="s">
        <v>3800</v>
      </c>
      <c r="J3831" s="2">
        <v>43643</v>
      </c>
      <c r="K3831">
        <v>83.6</v>
      </c>
    </row>
    <row r="3832" spans="1:11" x14ac:dyDescent="0.35">
      <c r="A3832" s="2">
        <v>43644</v>
      </c>
      <c r="B3832" s="1">
        <v>0</v>
      </c>
      <c r="C3832" t="s">
        <v>5188</v>
      </c>
      <c r="D3832" t="s">
        <v>5046</v>
      </c>
      <c r="E3832" t="s">
        <v>5046</v>
      </c>
      <c r="F3832" t="s">
        <v>5168</v>
      </c>
      <c r="G3832" t="s">
        <v>5354</v>
      </c>
      <c r="H3832" t="s">
        <v>1523</v>
      </c>
      <c r="J3832" s="2">
        <v>43644</v>
      </c>
      <c r="K3832">
        <v>84.6</v>
      </c>
    </row>
    <row r="3833" spans="1:11" x14ac:dyDescent="0.35">
      <c r="A3833" s="2">
        <v>43645</v>
      </c>
      <c r="B3833" s="1">
        <v>0</v>
      </c>
      <c r="C3833" t="s">
        <v>5199</v>
      </c>
      <c r="D3833" t="s">
        <v>5046</v>
      </c>
      <c r="E3833" t="s">
        <v>5046</v>
      </c>
      <c r="F3833" t="s">
        <v>5168</v>
      </c>
      <c r="G3833" t="s">
        <v>5354</v>
      </c>
      <c r="H3833" t="s">
        <v>337</v>
      </c>
      <c r="J3833" s="2">
        <v>43645</v>
      </c>
      <c r="K3833">
        <v>85.8</v>
      </c>
    </row>
    <row r="3834" spans="1:11" x14ac:dyDescent="0.35">
      <c r="A3834" s="2">
        <v>43646</v>
      </c>
      <c r="B3834" s="1">
        <v>0</v>
      </c>
      <c r="C3834" t="s">
        <v>5527</v>
      </c>
      <c r="D3834" t="s">
        <v>5046</v>
      </c>
      <c r="E3834" t="s">
        <v>5046</v>
      </c>
      <c r="F3834" t="s">
        <v>5168</v>
      </c>
      <c r="G3834" t="s">
        <v>5354</v>
      </c>
      <c r="H3834" t="s">
        <v>476</v>
      </c>
      <c r="J3834" s="2">
        <v>43646</v>
      </c>
      <c r="K3834">
        <v>86</v>
      </c>
    </row>
    <row r="3835" spans="1:11" x14ac:dyDescent="0.35">
      <c r="A3835" t="s">
        <v>4084</v>
      </c>
      <c r="B3835" s="1">
        <v>0</v>
      </c>
      <c r="C3835" t="s">
        <v>5345</v>
      </c>
      <c r="D3835" t="s">
        <v>5046</v>
      </c>
      <c r="E3835" t="s">
        <v>5046</v>
      </c>
      <c r="F3835" t="s">
        <v>5168</v>
      </c>
      <c r="G3835" t="s">
        <v>5354</v>
      </c>
      <c r="H3835" t="s">
        <v>326</v>
      </c>
      <c r="J3835" t="s">
        <v>4084</v>
      </c>
      <c r="K3835">
        <v>85.5</v>
      </c>
    </row>
    <row r="3836" spans="1:11" x14ac:dyDescent="0.35">
      <c r="A3836" t="s">
        <v>4085</v>
      </c>
      <c r="B3836" s="1">
        <v>0</v>
      </c>
      <c r="C3836" t="s">
        <v>5294</v>
      </c>
      <c r="D3836" t="s">
        <v>5357</v>
      </c>
      <c r="E3836" t="s">
        <v>5409</v>
      </c>
      <c r="F3836" t="s">
        <v>5364</v>
      </c>
      <c r="G3836" t="s">
        <v>5375</v>
      </c>
      <c r="H3836" t="s">
        <v>5514</v>
      </c>
      <c r="J3836" t="s">
        <v>4085</v>
      </c>
      <c r="K3836">
        <v>61.7</v>
      </c>
    </row>
    <row r="3837" spans="1:11" x14ac:dyDescent="0.35">
      <c r="A3837" t="s">
        <v>4086</v>
      </c>
      <c r="B3837" s="1">
        <v>0</v>
      </c>
      <c r="C3837" t="s">
        <v>5400</v>
      </c>
      <c r="D3837" t="s">
        <v>5357</v>
      </c>
      <c r="E3837" t="s">
        <v>5409</v>
      </c>
      <c r="F3837" t="s">
        <v>5364</v>
      </c>
      <c r="G3837" t="s">
        <v>5375</v>
      </c>
      <c r="H3837" t="s">
        <v>5499</v>
      </c>
      <c r="J3837" t="s">
        <v>4086</v>
      </c>
      <c r="K3837">
        <v>61.1</v>
      </c>
    </row>
    <row r="3838" spans="1:11" x14ac:dyDescent="0.35">
      <c r="A3838" t="s">
        <v>4087</v>
      </c>
      <c r="B3838" s="1">
        <v>0</v>
      </c>
      <c r="C3838" t="s">
        <v>5140</v>
      </c>
      <c r="D3838" t="s">
        <v>5357</v>
      </c>
      <c r="E3838" t="s">
        <v>5409</v>
      </c>
      <c r="F3838" t="s">
        <v>5364</v>
      </c>
      <c r="G3838" t="s">
        <v>5375</v>
      </c>
      <c r="H3838" t="s">
        <v>5231</v>
      </c>
      <c r="J3838" t="s">
        <v>4087</v>
      </c>
      <c r="K3838">
        <v>60.8</v>
      </c>
    </row>
    <row r="3839" spans="1:11" x14ac:dyDescent="0.35">
      <c r="A3839" t="s">
        <v>4088</v>
      </c>
      <c r="B3839" s="1">
        <v>0</v>
      </c>
      <c r="C3839" t="s">
        <v>5153</v>
      </c>
      <c r="D3839" t="s">
        <v>5357</v>
      </c>
      <c r="E3839" t="s">
        <v>5409</v>
      </c>
      <c r="F3839" t="s">
        <v>5364</v>
      </c>
      <c r="G3839" t="s">
        <v>5375</v>
      </c>
      <c r="H3839" t="s">
        <v>5586</v>
      </c>
      <c r="J3839" t="s">
        <v>4088</v>
      </c>
      <c r="K3839">
        <v>60.6</v>
      </c>
    </row>
    <row r="3840" spans="1:11" x14ac:dyDescent="0.35">
      <c r="A3840" t="s">
        <v>4089</v>
      </c>
      <c r="B3840" s="1">
        <v>0</v>
      </c>
      <c r="C3840" t="s">
        <v>5334</v>
      </c>
      <c r="D3840" t="s">
        <v>5357</v>
      </c>
      <c r="E3840" t="s">
        <v>5409</v>
      </c>
      <c r="F3840" t="s">
        <v>5364</v>
      </c>
      <c r="G3840" t="s">
        <v>5375</v>
      </c>
      <c r="H3840" t="s">
        <v>5134</v>
      </c>
      <c r="J3840" t="s">
        <v>4089</v>
      </c>
      <c r="K3840">
        <v>60.5</v>
      </c>
    </row>
    <row r="3841" spans="1:11" x14ac:dyDescent="0.35">
      <c r="A3841" t="s">
        <v>4090</v>
      </c>
      <c r="B3841" s="1">
        <v>0</v>
      </c>
      <c r="C3841" t="s">
        <v>5411</v>
      </c>
      <c r="D3841" t="s">
        <v>5357</v>
      </c>
      <c r="E3841" t="s">
        <v>5409</v>
      </c>
      <c r="F3841" t="s">
        <v>5364</v>
      </c>
      <c r="G3841" t="s">
        <v>5375</v>
      </c>
      <c r="H3841" t="s">
        <v>5609</v>
      </c>
      <c r="J3841" t="s">
        <v>4090</v>
      </c>
      <c r="K3841">
        <v>60.4</v>
      </c>
    </row>
    <row r="3842" spans="1:11" x14ac:dyDescent="0.35">
      <c r="A3842" t="s">
        <v>4091</v>
      </c>
      <c r="B3842" s="1">
        <v>0</v>
      </c>
      <c r="C3842" t="s">
        <v>5337</v>
      </c>
      <c r="D3842" t="s">
        <v>5357</v>
      </c>
      <c r="E3842" t="s">
        <v>5409</v>
      </c>
      <c r="F3842" t="s">
        <v>5364</v>
      </c>
      <c r="G3842" t="s">
        <v>5375</v>
      </c>
      <c r="H3842" t="s">
        <v>5609</v>
      </c>
      <c r="J3842" t="s">
        <v>4091</v>
      </c>
      <c r="K3842">
        <v>60.4</v>
      </c>
    </row>
    <row r="3843" spans="1:11" x14ac:dyDescent="0.35">
      <c r="A3843" t="s">
        <v>4092</v>
      </c>
      <c r="B3843" s="1">
        <v>0</v>
      </c>
      <c r="C3843" t="s">
        <v>5337</v>
      </c>
      <c r="D3843" t="s">
        <v>5357</v>
      </c>
      <c r="E3843" t="s">
        <v>5409</v>
      </c>
      <c r="F3843" t="s">
        <v>5364</v>
      </c>
      <c r="G3843" t="s">
        <v>5375</v>
      </c>
      <c r="H3843" t="s">
        <v>5609</v>
      </c>
      <c r="J3843" t="s">
        <v>4092</v>
      </c>
      <c r="K3843">
        <v>60.4</v>
      </c>
    </row>
    <row r="3844" spans="1:11" x14ac:dyDescent="0.35">
      <c r="A3844" t="s">
        <v>4093</v>
      </c>
      <c r="B3844" s="1">
        <v>0</v>
      </c>
      <c r="C3844" t="s">
        <v>5337</v>
      </c>
      <c r="D3844" t="s">
        <v>5357</v>
      </c>
      <c r="E3844" t="s">
        <v>5409</v>
      </c>
      <c r="F3844" t="s">
        <v>5364</v>
      </c>
      <c r="G3844" t="s">
        <v>5375</v>
      </c>
      <c r="H3844" t="s">
        <v>5609</v>
      </c>
      <c r="J3844" t="s">
        <v>4093</v>
      </c>
      <c r="K3844">
        <v>60.4</v>
      </c>
    </row>
    <row r="3845" spans="1:11" x14ac:dyDescent="0.35">
      <c r="A3845" t="s">
        <v>4094</v>
      </c>
      <c r="B3845" s="1">
        <v>0</v>
      </c>
      <c r="C3845" t="s">
        <v>5337</v>
      </c>
      <c r="D3845" t="s">
        <v>5357</v>
      </c>
      <c r="E3845" t="s">
        <v>5409</v>
      </c>
      <c r="F3845" t="s">
        <v>5364</v>
      </c>
      <c r="G3845" t="s">
        <v>5375</v>
      </c>
      <c r="H3845" t="s">
        <v>5609</v>
      </c>
      <c r="J3845" t="s">
        <v>4094</v>
      </c>
      <c r="K3845">
        <v>60.4</v>
      </c>
    </row>
    <row r="3846" spans="1:11" x14ac:dyDescent="0.35">
      <c r="A3846" t="s">
        <v>4095</v>
      </c>
      <c r="B3846" s="1">
        <v>0</v>
      </c>
      <c r="C3846" t="s">
        <v>5411</v>
      </c>
      <c r="D3846" t="s">
        <v>5357</v>
      </c>
      <c r="E3846" t="s">
        <v>5409</v>
      </c>
      <c r="F3846" t="s">
        <v>5364</v>
      </c>
      <c r="G3846" t="s">
        <v>5372</v>
      </c>
      <c r="H3846" t="s">
        <v>5609</v>
      </c>
      <c r="J3846" t="s">
        <v>4095</v>
      </c>
      <c r="K3846">
        <v>60.4</v>
      </c>
    </row>
    <row r="3847" spans="1:11" x14ac:dyDescent="0.35">
      <c r="A3847" t="s">
        <v>4096</v>
      </c>
      <c r="B3847" s="1">
        <v>0</v>
      </c>
      <c r="C3847" t="s">
        <v>5411</v>
      </c>
      <c r="D3847" t="s">
        <v>5357</v>
      </c>
      <c r="E3847" t="s">
        <v>5409</v>
      </c>
      <c r="F3847" t="s">
        <v>5364</v>
      </c>
      <c r="G3847" t="s">
        <v>5372</v>
      </c>
      <c r="H3847" t="s">
        <v>5609</v>
      </c>
      <c r="J3847" t="s">
        <v>4096</v>
      </c>
      <c r="K3847">
        <v>60.4</v>
      </c>
    </row>
    <row r="3848" spans="1:11" x14ac:dyDescent="0.35">
      <c r="A3848" t="s">
        <v>4097</v>
      </c>
      <c r="B3848" s="1">
        <v>0</v>
      </c>
      <c r="C3848" t="s">
        <v>5411</v>
      </c>
      <c r="D3848" t="s">
        <v>5357</v>
      </c>
      <c r="E3848" t="s">
        <v>5409</v>
      </c>
      <c r="F3848" t="s">
        <v>5364</v>
      </c>
      <c r="G3848" t="s">
        <v>5375</v>
      </c>
      <c r="H3848" t="s">
        <v>5609</v>
      </c>
      <c r="J3848" t="s">
        <v>4097</v>
      </c>
      <c r="K3848">
        <v>60.4</v>
      </c>
    </row>
    <row r="3849" spans="1:11" x14ac:dyDescent="0.35">
      <c r="A3849" t="s">
        <v>4098</v>
      </c>
      <c r="B3849" s="1">
        <v>0</v>
      </c>
      <c r="C3849" t="s">
        <v>5337</v>
      </c>
      <c r="D3849" t="s">
        <v>5357</v>
      </c>
      <c r="E3849" t="s">
        <v>5409</v>
      </c>
      <c r="F3849" t="s">
        <v>5364</v>
      </c>
      <c r="G3849" t="s">
        <v>5375</v>
      </c>
      <c r="H3849" t="s">
        <v>5609</v>
      </c>
      <c r="J3849" t="s">
        <v>4098</v>
      </c>
      <c r="K3849">
        <v>60.4</v>
      </c>
    </row>
    <row r="3850" spans="1:11" x14ac:dyDescent="0.35">
      <c r="A3850" t="s">
        <v>4099</v>
      </c>
      <c r="B3850" s="1">
        <v>0</v>
      </c>
      <c r="C3850" t="s">
        <v>5334</v>
      </c>
      <c r="D3850" t="s">
        <v>5189</v>
      </c>
      <c r="E3850" t="s">
        <v>5409</v>
      </c>
      <c r="F3850" t="s">
        <v>5364</v>
      </c>
      <c r="G3850" t="s">
        <v>5375</v>
      </c>
      <c r="H3850" t="s">
        <v>5586</v>
      </c>
      <c r="J3850" t="s">
        <v>4099</v>
      </c>
      <c r="K3850">
        <v>60.6</v>
      </c>
    </row>
    <row r="3851" spans="1:11" x14ac:dyDescent="0.35">
      <c r="A3851" t="s">
        <v>4100</v>
      </c>
      <c r="B3851" s="1">
        <v>0</v>
      </c>
      <c r="C3851" t="s">
        <v>5397</v>
      </c>
      <c r="D3851" t="s">
        <v>5195</v>
      </c>
      <c r="E3851" t="s">
        <v>5409</v>
      </c>
      <c r="F3851" t="s">
        <v>5364</v>
      </c>
      <c r="G3851" t="s">
        <v>5375</v>
      </c>
      <c r="H3851" t="s">
        <v>5498</v>
      </c>
      <c r="J3851" t="s">
        <v>4100</v>
      </c>
      <c r="K3851">
        <v>61.4</v>
      </c>
    </row>
    <row r="3852" spans="1:11" x14ac:dyDescent="0.35">
      <c r="A3852" t="s">
        <v>4101</v>
      </c>
      <c r="B3852" s="1">
        <v>0</v>
      </c>
      <c r="C3852" t="s">
        <v>5294</v>
      </c>
      <c r="D3852" t="s">
        <v>5180</v>
      </c>
      <c r="E3852" t="s">
        <v>5562</v>
      </c>
      <c r="F3852" t="s">
        <v>5364</v>
      </c>
      <c r="G3852" t="s">
        <v>5375</v>
      </c>
      <c r="H3852" t="s">
        <v>5647</v>
      </c>
      <c r="J3852" t="s">
        <v>4101</v>
      </c>
      <c r="K3852">
        <v>62.3</v>
      </c>
    </row>
    <row r="3853" spans="1:11" x14ac:dyDescent="0.35">
      <c r="A3853" t="s">
        <v>4102</v>
      </c>
      <c r="B3853" s="1">
        <v>0</v>
      </c>
      <c r="C3853" t="s">
        <v>5294</v>
      </c>
      <c r="D3853" t="s">
        <v>5177</v>
      </c>
      <c r="E3853" t="s">
        <v>5562</v>
      </c>
      <c r="F3853" t="s">
        <v>5364</v>
      </c>
      <c r="G3853" t="s">
        <v>5375</v>
      </c>
      <c r="H3853" t="s">
        <v>5472</v>
      </c>
      <c r="J3853" t="s">
        <v>4102</v>
      </c>
      <c r="K3853">
        <v>62.5</v>
      </c>
    </row>
    <row r="3854" spans="1:11" x14ac:dyDescent="0.35">
      <c r="A3854" t="s">
        <v>4103</v>
      </c>
      <c r="B3854" s="1">
        <v>0</v>
      </c>
      <c r="C3854" t="s">
        <v>5297</v>
      </c>
      <c r="D3854" t="s">
        <v>5180</v>
      </c>
      <c r="E3854" t="s">
        <v>5562</v>
      </c>
      <c r="F3854" t="s">
        <v>5364</v>
      </c>
      <c r="G3854" t="s">
        <v>5375</v>
      </c>
      <c r="H3854" t="s">
        <v>5578</v>
      </c>
      <c r="J3854" t="s">
        <v>4103</v>
      </c>
      <c r="K3854">
        <v>62.1</v>
      </c>
    </row>
    <row r="3855" spans="1:11" x14ac:dyDescent="0.35">
      <c r="A3855" t="s">
        <v>4104</v>
      </c>
      <c r="B3855" s="1">
        <v>0</v>
      </c>
      <c r="C3855" t="s">
        <v>5397</v>
      </c>
      <c r="D3855" t="s">
        <v>5184</v>
      </c>
      <c r="E3855" t="s">
        <v>5562</v>
      </c>
      <c r="F3855" t="s">
        <v>5364</v>
      </c>
      <c r="G3855" t="s">
        <v>5375</v>
      </c>
      <c r="H3855" t="s">
        <v>5618</v>
      </c>
      <c r="J3855" t="s">
        <v>4104</v>
      </c>
      <c r="K3855">
        <v>61.5</v>
      </c>
    </row>
    <row r="3856" spans="1:11" x14ac:dyDescent="0.35">
      <c r="A3856" t="s">
        <v>4105</v>
      </c>
      <c r="B3856" s="1">
        <v>0</v>
      </c>
      <c r="C3856" t="s">
        <v>5153</v>
      </c>
      <c r="D3856" t="s">
        <v>5186</v>
      </c>
      <c r="E3856" t="s">
        <v>5409</v>
      </c>
      <c r="F3856" t="s">
        <v>5364</v>
      </c>
      <c r="G3856" t="s">
        <v>5375</v>
      </c>
      <c r="H3856" t="s">
        <v>5629</v>
      </c>
      <c r="J3856" t="s">
        <v>4105</v>
      </c>
      <c r="K3856">
        <v>60.9</v>
      </c>
    </row>
    <row r="3857" spans="1:11" x14ac:dyDescent="0.35">
      <c r="A3857" t="s">
        <v>4106</v>
      </c>
      <c r="B3857" s="1">
        <v>0</v>
      </c>
      <c r="C3857" t="s">
        <v>5411</v>
      </c>
      <c r="D3857" t="s">
        <v>5186</v>
      </c>
      <c r="E3857" t="s">
        <v>5409</v>
      </c>
      <c r="F3857" t="s">
        <v>5364</v>
      </c>
      <c r="G3857" t="s">
        <v>5375</v>
      </c>
      <c r="H3857" t="s">
        <v>5586</v>
      </c>
      <c r="J3857" t="s">
        <v>4106</v>
      </c>
      <c r="K3857">
        <v>60.6</v>
      </c>
    </row>
    <row r="3858" spans="1:11" x14ac:dyDescent="0.35">
      <c r="A3858" t="s">
        <v>4107</v>
      </c>
      <c r="B3858" s="1">
        <v>0</v>
      </c>
      <c r="C3858" t="s">
        <v>5337</v>
      </c>
      <c r="D3858" t="s">
        <v>5189</v>
      </c>
      <c r="E3858" t="s">
        <v>5409</v>
      </c>
      <c r="F3858" t="s">
        <v>5364</v>
      </c>
      <c r="G3858" t="s">
        <v>5375</v>
      </c>
      <c r="H3858" t="s">
        <v>5609</v>
      </c>
      <c r="J3858" t="s">
        <v>4107</v>
      </c>
      <c r="K3858">
        <v>60.4</v>
      </c>
    </row>
    <row r="3859" spans="1:11" x14ac:dyDescent="0.35">
      <c r="A3859" t="s">
        <v>4108</v>
      </c>
      <c r="B3859" s="1">
        <v>0</v>
      </c>
      <c r="C3859" t="s">
        <v>5339</v>
      </c>
      <c r="D3859" t="s">
        <v>5189</v>
      </c>
      <c r="E3859" t="s">
        <v>5409</v>
      </c>
      <c r="F3859" t="s">
        <v>5364</v>
      </c>
      <c r="G3859" t="s">
        <v>5375</v>
      </c>
      <c r="H3859" t="s">
        <v>5130</v>
      </c>
      <c r="J3859" t="s">
        <v>4108</v>
      </c>
      <c r="K3859">
        <v>60.3</v>
      </c>
    </row>
    <row r="3860" spans="1:11" x14ac:dyDescent="0.35">
      <c r="A3860" t="s">
        <v>4109</v>
      </c>
      <c r="B3860" s="1">
        <v>0</v>
      </c>
      <c r="C3860" t="s">
        <v>5156</v>
      </c>
      <c r="D3860" t="s">
        <v>5357</v>
      </c>
      <c r="E3860" t="s">
        <v>5409</v>
      </c>
      <c r="F3860" t="s">
        <v>5364</v>
      </c>
      <c r="G3860" t="s">
        <v>5375</v>
      </c>
      <c r="H3860" t="s">
        <v>5616</v>
      </c>
      <c r="J3860" t="s">
        <v>4109</v>
      </c>
      <c r="K3860">
        <v>60.2</v>
      </c>
    </row>
    <row r="3861" spans="1:11" x14ac:dyDescent="0.35">
      <c r="A3861" t="s">
        <v>4110</v>
      </c>
      <c r="B3861" s="1">
        <v>0</v>
      </c>
      <c r="C3861" t="s">
        <v>5156</v>
      </c>
      <c r="D3861" t="s">
        <v>5357</v>
      </c>
      <c r="E3861" t="s">
        <v>5409</v>
      </c>
      <c r="F3861" t="s">
        <v>5364</v>
      </c>
      <c r="G3861" t="s">
        <v>5375</v>
      </c>
      <c r="H3861" t="s">
        <v>5490</v>
      </c>
      <c r="J3861" t="s">
        <v>4110</v>
      </c>
      <c r="K3861">
        <v>60.1</v>
      </c>
    </row>
    <row r="3862" spans="1:11" x14ac:dyDescent="0.35">
      <c r="A3862" t="s">
        <v>4111</v>
      </c>
      <c r="B3862" s="1">
        <v>0</v>
      </c>
      <c r="C3862" t="s">
        <v>5168</v>
      </c>
      <c r="D3862" t="s">
        <v>5357</v>
      </c>
      <c r="E3862" t="s">
        <v>5409</v>
      </c>
      <c r="F3862" t="s">
        <v>5364</v>
      </c>
      <c r="G3862" t="s">
        <v>5375</v>
      </c>
      <c r="H3862" t="s">
        <v>5490</v>
      </c>
      <c r="J3862" t="s">
        <v>4111</v>
      </c>
      <c r="K3862">
        <v>60.1</v>
      </c>
    </row>
    <row r="3863" spans="1:11" x14ac:dyDescent="0.35">
      <c r="A3863" t="s">
        <v>4112</v>
      </c>
      <c r="B3863" s="1">
        <v>0</v>
      </c>
      <c r="C3863" t="s">
        <v>5156</v>
      </c>
      <c r="D3863" t="s">
        <v>5357</v>
      </c>
      <c r="E3863" t="s">
        <v>5562</v>
      </c>
      <c r="F3863" t="s">
        <v>5364</v>
      </c>
      <c r="G3863" t="s">
        <v>5375</v>
      </c>
      <c r="H3863" t="s">
        <v>5130</v>
      </c>
      <c r="J3863" t="s">
        <v>4112</v>
      </c>
      <c r="K3863">
        <v>60.3</v>
      </c>
    </row>
    <row r="3864" spans="1:11" x14ac:dyDescent="0.35">
      <c r="A3864" t="s">
        <v>4113</v>
      </c>
      <c r="B3864" s="1">
        <v>0</v>
      </c>
      <c r="C3864" t="s">
        <v>5339</v>
      </c>
      <c r="D3864" t="s">
        <v>5357</v>
      </c>
      <c r="E3864" t="s">
        <v>5395</v>
      </c>
      <c r="F3864" t="s">
        <v>5364</v>
      </c>
      <c r="G3864" t="s">
        <v>5372</v>
      </c>
      <c r="H3864" t="s">
        <v>5134</v>
      </c>
      <c r="J3864" t="s">
        <v>4113</v>
      </c>
      <c r="K3864">
        <v>60.5</v>
      </c>
    </row>
    <row r="3865" spans="1:11" x14ac:dyDescent="0.35">
      <c r="A3865" t="s">
        <v>4114</v>
      </c>
      <c r="B3865" s="1">
        <v>0</v>
      </c>
      <c r="C3865" t="s">
        <v>5153</v>
      </c>
      <c r="D3865" t="s">
        <v>5357</v>
      </c>
      <c r="E3865" t="s">
        <v>5395</v>
      </c>
      <c r="F3865" t="s">
        <v>5364</v>
      </c>
      <c r="G3865" t="s">
        <v>5372</v>
      </c>
      <c r="H3865" t="s">
        <v>5455</v>
      </c>
      <c r="J3865" t="s">
        <v>4114</v>
      </c>
      <c r="K3865">
        <v>61</v>
      </c>
    </row>
    <row r="3866" spans="1:11" x14ac:dyDescent="0.35">
      <c r="A3866" s="2">
        <v>43678</v>
      </c>
      <c r="B3866" s="1">
        <v>0</v>
      </c>
      <c r="C3866" t="s">
        <v>5330</v>
      </c>
      <c r="D3866" t="s">
        <v>5357</v>
      </c>
      <c r="E3866" t="s">
        <v>5396</v>
      </c>
      <c r="F3866" t="s">
        <v>5364</v>
      </c>
      <c r="G3866" t="s">
        <v>5371</v>
      </c>
      <c r="H3866" t="s">
        <v>5468</v>
      </c>
      <c r="J3866" s="2">
        <v>43678</v>
      </c>
      <c r="K3866">
        <v>61.6</v>
      </c>
    </row>
    <row r="3867" spans="1:11" x14ac:dyDescent="0.35">
      <c r="A3867" s="2">
        <v>43679</v>
      </c>
      <c r="B3867" s="1">
        <v>0</v>
      </c>
      <c r="C3867" t="s">
        <v>5166</v>
      </c>
      <c r="D3867" t="s">
        <v>5140</v>
      </c>
      <c r="E3867" t="s">
        <v>5180</v>
      </c>
      <c r="F3867" t="s">
        <v>5383</v>
      </c>
      <c r="G3867" t="s">
        <v>5883</v>
      </c>
      <c r="H3867" t="s">
        <v>1029</v>
      </c>
      <c r="J3867" s="2">
        <v>43679</v>
      </c>
      <c r="K3867">
        <v>72.2</v>
      </c>
    </row>
    <row r="3868" spans="1:11" x14ac:dyDescent="0.35">
      <c r="A3868" s="2">
        <v>43680</v>
      </c>
      <c r="B3868" s="1">
        <v>0</v>
      </c>
      <c r="C3868" t="s">
        <v>5599</v>
      </c>
      <c r="D3868" t="s">
        <v>5222</v>
      </c>
      <c r="E3868" t="s">
        <v>5411</v>
      </c>
      <c r="F3868" t="s">
        <v>5383</v>
      </c>
      <c r="G3868" t="s">
        <v>5881</v>
      </c>
      <c r="H3868" t="s">
        <v>362</v>
      </c>
      <c r="J3868" s="2">
        <v>43680</v>
      </c>
      <c r="K3868">
        <v>84.3</v>
      </c>
    </row>
    <row r="3869" spans="1:11" x14ac:dyDescent="0.35">
      <c r="A3869" s="2">
        <v>43681</v>
      </c>
      <c r="B3869" s="1">
        <v>0</v>
      </c>
      <c r="C3869" t="s">
        <v>5125</v>
      </c>
      <c r="D3869" t="s">
        <v>5089</v>
      </c>
      <c r="E3869" t="s">
        <v>5297</v>
      </c>
      <c r="F3869" t="s">
        <v>5383</v>
      </c>
      <c r="G3869" t="s">
        <v>5390</v>
      </c>
      <c r="H3869" t="s">
        <v>470</v>
      </c>
      <c r="J3869" s="2">
        <v>43681</v>
      </c>
      <c r="K3869">
        <v>98.1</v>
      </c>
    </row>
    <row r="3870" spans="1:11" x14ac:dyDescent="0.35">
      <c r="A3870" s="2">
        <v>43682</v>
      </c>
      <c r="B3870" s="1">
        <v>0</v>
      </c>
      <c r="C3870" t="s">
        <v>5508</v>
      </c>
      <c r="D3870" t="s">
        <v>5341</v>
      </c>
      <c r="E3870" t="s">
        <v>5291</v>
      </c>
      <c r="F3870" t="s">
        <v>5379</v>
      </c>
      <c r="G3870" t="s">
        <v>5377</v>
      </c>
      <c r="H3870" t="s">
        <v>4081</v>
      </c>
      <c r="J3870" s="2">
        <v>43682</v>
      </c>
      <c r="K3870">
        <v>101.6</v>
      </c>
    </row>
    <row r="3871" spans="1:11" x14ac:dyDescent="0.35">
      <c r="A3871" s="2">
        <v>43683</v>
      </c>
      <c r="B3871" s="1">
        <v>0</v>
      </c>
      <c r="C3871" t="s">
        <v>5088</v>
      </c>
      <c r="D3871" t="s">
        <v>5501</v>
      </c>
      <c r="E3871" t="s">
        <v>5309</v>
      </c>
      <c r="F3871" t="s">
        <v>5383</v>
      </c>
      <c r="G3871" t="s">
        <v>5377</v>
      </c>
      <c r="H3871" t="s">
        <v>5638</v>
      </c>
      <c r="J3871" s="2">
        <v>43683</v>
      </c>
      <c r="K3871">
        <v>98.4</v>
      </c>
    </row>
    <row r="3872" spans="1:11" x14ac:dyDescent="0.35">
      <c r="A3872" s="2">
        <v>43684</v>
      </c>
      <c r="B3872" s="1">
        <v>0</v>
      </c>
      <c r="C3872" t="s">
        <v>5066</v>
      </c>
      <c r="D3872" t="s">
        <v>5136</v>
      </c>
      <c r="E3872" t="s">
        <v>5297</v>
      </c>
      <c r="F3872" t="s">
        <v>5383</v>
      </c>
      <c r="G3872" t="s">
        <v>5362</v>
      </c>
      <c r="H3872" t="s">
        <v>328</v>
      </c>
      <c r="J3872" s="2">
        <v>43684</v>
      </c>
      <c r="K3872">
        <v>93.8</v>
      </c>
    </row>
    <row r="3873" spans="1:11" x14ac:dyDescent="0.35">
      <c r="A3873" s="2">
        <v>43685</v>
      </c>
      <c r="B3873" s="1">
        <v>0</v>
      </c>
      <c r="C3873" t="s">
        <v>5210</v>
      </c>
      <c r="D3873" t="s">
        <v>5136</v>
      </c>
      <c r="E3873" t="s">
        <v>5315</v>
      </c>
      <c r="F3873" t="s">
        <v>5383</v>
      </c>
      <c r="G3873" t="s">
        <v>5363</v>
      </c>
      <c r="H3873" t="s">
        <v>360</v>
      </c>
      <c r="J3873" s="2">
        <v>43685</v>
      </c>
      <c r="K3873">
        <v>92.7</v>
      </c>
    </row>
    <row r="3874" spans="1:11" x14ac:dyDescent="0.35">
      <c r="A3874" s="2">
        <v>43686</v>
      </c>
      <c r="B3874" s="1">
        <v>0</v>
      </c>
      <c r="C3874" t="s">
        <v>5448</v>
      </c>
      <c r="D3874" t="s">
        <v>5333</v>
      </c>
      <c r="E3874" t="s">
        <v>5312</v>
      </c>
      <c r="F3874" t="s">
        <v>5383</v>
      </c>
      <c r="G3874" t="s">
        <v>5369</v>
      </c>
      <c r="H3874" t="s">
        <v>2883</v>
      </c>
      <c r="J3874" s="2">
        <v>43686</v>
      </c>
      <c r="K3874">
        <v>96.3</v>
      </c>
    </row>
    <row r="3875" spans="1:11" x14ac:dyDescent="0.35">
      <c r="A3875" s="2">
        <v>43687</v>
      </c>
      <c r="B3875" s="1">
        <v>0</v>
      </c>
      <c r="C3875" t="s">
        <v>5111</v>
      </c>
      <c r="D3875" t="s">
        <v>5345</v>
      </c>
      <c r="E3875" t="s">
        <v>5321</v>
      </c>
      <c r="F3875" t="s">
        <v>5379</v>
      </c>
      <c r="G3875" t="s">
        <v>5362</v>
      </c>
      <c r="H3875" t="s">
        <v>3216</v>
      </c>
      <c r="J3875" s="2">
        <v>43687</v>
      </c>
      <c r="K3875">
        <v>102.2</v>
      </c>
    </row>
    <row r="3876" spans="1:11" x14ac:dyDescent="0.35">
      <c r="A3876" s="2">
        <v>43688</v>
      </c>
      <c r="B3876" s="1">
        <v>0</v>
      </c>
      <c r="C3876" t="s">
        <v>5256</v>
      </c>
      <c r="D3876" t="s">
        <v>5526</v>
      </c>
      <c r="E3876" t="s">
        <v>5054</v>
      </c>
      <c r="F3876" t="s">
        <v>5379</v>
      </c>
      <c r="G3876" t="s">
        <v>5377</v>
      </c>
      <c r="H3876" t="s">
        <v>972</v>
      </c>
      <c r="J3876" s="2">
        <v>43688</v>
      </c>
      <c r="K3876">
        <v>107.9</v>
      </c>
    </row>
    <row r="3877" spans="1:11" x14ac:dyDescent="0.35">
      <c r="A3877" s="2">
        <v>43689</v>
      </c>
      <c r="B3877" s="1">
        <v>0</v>
      </c>
      <c r="C3877" t="s">
        <v>5151</v>
      </c>
      <c r="D3877" t="s">
        <v>5547</v>
      </c>
      <c r="E3877" t="s">
        <v>5065</v>
      </c>
      <c r="F3877" t="s">
        <v>5379</v>
      </c>
      <c r="G3877" t="s">
        <v>5377</v>
      </c>
      <c r="H3877" t="s">
        <v>2611</v>
      </c>
      <c r="J3877" s="2">
        <v>43689</v>
      </c>
      <c r="K3877">
        <v>110.1</v>
      </c>
    </row>
    <row r="3878" spans="1:11" x14ac:dyDescent="0.35">
      <c r="A3878" s="2">
        <v>43690</v>
      </c>
      <c r="B3878" s="1">
        <v>0</v>
      </c>
      <c r="C3878" t="s">
        <v>5471</v>
      </c>
      <c r="D3878" t="s">
        <v>5598</v>
      </c>
      <c r="E3878" t="s">
        <v>5065</v>
      </c>
      <c r="F3878" t="s">
        <v>5379</v>
      </c>
      <c r="G3878" t="s">
        <v>5390</v>
      </c>
      <c r="H3878" t="s">
        <v>4133</v>
      </c>
      <c r="J3878" s="2">
        <v>43690</v>
      </c>
      <c r="K3878">
        <v>106</v>
      </c>
    </row>
    <row r="3879" spans="1:11" x14ac:dyDescent="0.35">
      <c r="A3879" s="2">
        <v>43691</v>
      </c>
      <c r="B3879" s="1">
        <v>0</v>
      </c>
      <c r="C3879" t="s">
        <v>5060</v>
      </c>
      <c r="D3879" t="s">
        <v>5316</v>
      </c>
      <c r="E3879" t="s">
        <v>5179</v>
      </c>
      <c r="F3879" t="s">
        <v>5383</v>
      </c>
      <c r="G3879" t="s">
        <v>5363</v>
      </c>
      <c r="H3879" t="s">
        <v>2880</v>
      </c>
      <c r="J3879" s="2">
        <v>43691</v>
      </c>
      <c r="K3879">
        <v>99</v>
      </c>
    </row>
    <row r="3880" spans="1:11" x14ac:dyDescent="0.35">
      <c r="A3880" s="2">
        <v>43692</v>
      </c>
      <c r="B3880" s="1">
        <v>0</v>
      </c>
      <c r="C3880" t="s">
        <v>5599</v>
      </c>
      <c r="D3880" t="s">
        <v>5338</v>
      </c>
      <c r="E3880" t="s">
        <v>5222</v>
      </c>
      <c r="F3880" t="s">
        <v>5383</v>
      </c>
      <c r="G3880" t="s">
        <v>5887</v>
      </c>
      <c r="H3880" t="s">
        <v>1481</v>
      </c>
      <c r="J3880" s="2">
        <v>43692</v>
      </c>
      <c r="K3880">
        <v>91.1</v>
      </c>
    </row>
    <row r="3881" spans="1:11" x14ac:dyDescent="0.35">
      <c r="A3881" s="2">
        <v>43693</v>
      </c>
      <c r="B3881" s="1">
        <v>0</v>
      </c>
      <c r="C3881" t="s">
        <v>5139</v>
      </c>
      <c r="D3881" t="s">
        <v>5132</v>
      </c>
      <c r="E3881" t="s">
        <v>5309</v>
      </c>
      <c r="F3881" t="s">
        <v>5383</v>
      </c>
      <c r="G3881" t="s">
        <v>5880</v>
      </c>
      <c r="H3881" t="s">
        <v>448</v>
      </c>
      <c r="J3881" s="2">
        <v>43693</v>
      </c>
      <c r="K3881">
        <v>83.7</v>
      </c>
    </row>
    <row r="3882" spans="1:11" x14ac:dyDescent="0.35">
      <c r="A3882" s="2">
        <v>43694</v>
      </c>
      <c r="B3882" s="1">
        <v>0</v>
      </c>
      <c r="C3882" t="s">
        <v>5414</v>
      </c>
      <c r="D3882" t="s">
        <v>5183</v>
      </c>
      <c r="E3882" t="s">
        <v>5400</v>
      </c>
      <c r="F3882" t="s">
        <v>5383</v>
      </c>
      <c r="G3882" t="s">
        <v>5883</v>
      </c>
      <c r="H3882" t="s">
        <v>1057</v>
      </c>
      <c r="J3882" s="2">
        <v>43694</v>
      </c>
      <c r="K3882">
        <v>78.099999999999994</v>
      </c>
    </row>
    <row r="3883" spans="1:11" x14ac:dyDescent="0.35">
      <c r="A3883" s="2">
        <v>43695</v>
      </c>
      <c r="B3883" s="1">
        <v>0</v>
      </c>
      <c r="C3883" t="s">
        <v>5132</v>
      </c>
      <c r="D3883" t="s">
        <v>5222</v>
      </c>
      <c r="E3883" t="s">
        <v>5411</v>
      </c>
      <c r="F3883" t="s">
        <v>5383</v>
      </c>
      <c r="G3883" t="s">
        <v>5884</v>
      </c>
      <c r="H3883" t="s">
        <v>380</v>
      </c>
      <c r="J3883" s="2">
        <v>43695</v>
      </c>
      <c r="K3883">
        <v>73.8</v>
      </c>
    </row>
    <row r="3884" spans="1:11" x14ac:dyDescent="0.35">
      <c r="A3884" s="2">
        <v>43696</v>
      </c>
      <c r="B3884" s="1">
        <v>0</v>
      </c>
      <c r="C3884" t="s">
        <v>5078</v>
      </c>
      <c r="D3884" t="s">
        <v>5309</v>
      </c>
      <c r="E3884" t="s">
        <v>5164</v>
      </c>
      <c r="F3884" t="s">
        <v>5383</v>
      </c>
      <c r="G3884" t="s">
        <v>5884</v>
      </c>
      <c r="H3884" t="s">
        <v>1488</v>
      </c>
      <c r="J3884" s="2">
        <v>43696</v>
      </c>
      <c r="K3884">
        <v>71</v>
      </c>
    </row>
    <row r="3885" spans="1:11" x14ac:dyDescent="0.35">
      <c r="A3885" s="2">
        <v>43697</v>
      </c>
      <c r="B3885" s="1">
        <v>0</v>
      </c>
      <c r="C3885" t="s">
        <v>5095</v>
      </c>
      <c r="D3885" t="s">
        <v>5330</v>
      </c>
      <c r="E3885" t="s">
        <v>5177</v>
      </c>
      <c r="F3885" t="s">
        <v>5383</v>
      </c>
      <c r="G3885" t="s">
        <v>5885</v>
      </c>
      <c r="H3885" t="s">
        <v>382</v>
      </c>
      <c r="J3885" s="2">
        <v>43697</v>
      </c>
      <c r="K3885">
        <v>70.400000000000006</v>
      </c>
    </row>
    <row r="3886" spans="1:11" x14ac:dyDescent="0.35">
      <c r="A3886" s="2">
        <v>43698</v>
      </c>
      <c r="B3886" s="1">
        <v>0</v>
      </c>
      <c r="C3886" t="s">
        <v>5166</v>
      </c>
      <c r="D3886" t="s">
        <v>5140</v>
      </c>
      <c r="E3886" t="s">
        <v>5184</v>
      </c>
      <c r="F3886" t="s">
        <v>5383</v>
      </c>
      <c r="G3886" t="s">
        <v>5884</v>
      </c>
      <c r="H3886" t="s">
        <v>1035</v>
      </c>
      <c r="J3886" s="2">
        <v>43698</v>
      </c>
      <c r="K3886">
        <v>71.8</v>
      </c>
    </row>
    <row r="3887" spans="1:11" x14ac:dyDescent="0.35">
      <c r="A3887" s="2">
        <v>43699</v>
      </c>
      <c r="B3887" s="1">
        <v>0</v>
      </c>
      <c r="C3887" t="s">
        <v>5352</v>
      </c>
      <c r="D3887" t="s">
        <v>5334</v>
      </c>
      <c r="E3887" t="s">
        <v>5195</v>
      </c>
      <c r="F3887" t="s">
        <v>5383</v>
      </c>
      <c r="G3887" t="s">
        <v>5879</v>
      </c>
      <c r="H3887" t="s">
        <v>1886</v>
      </c>
      <c r="J3887" s="2">
        <v>43699</v>
      </c>
      <c r="K3887">
        <v>73.3</v>
      </c>
    </row>
    <row r="3888" spans="1:11" x14ac:dyDescent="0.35">
      <c r="A3888" s="2">
        <v>43700</v>
      </c>
      <c r="B3888" s="1">
        <v>0</v>
      </c>
      <c r="C3888" t="s">
        <v>5149</v>
      </c>
      <c r="D3888" t="s">
        <v>5337</v>
      </c>
      <c r="E3888" t="s">
        <v>5186</v>
      </c>
      <c r="F3888" t="s">
        <v>5383</v>
      </c>
      <c r="G3888" t="s">
        <v>5879</v>
      </c>
      <c r="H3888" t="s">
        <v>425</v>
      </c>
      <c r="J3888" s="2">
        <v>43700</v>
      </c>
      <c r="K3888">
        <v>73</v>
      </c>
    </row>
    <row r="3889" spans="1:11" x14ac:dyDescent="0.35">
      <c r="A3889" s="2">
        <v>43701</v>
      </c>
      <c r="B3889" s="1">
        <v>0</v>
      </c>
      <c r="C3889" t="s">
        <v>5205</v>
      </c>
      <c r="D3889" t="s">
        <v>5339</v>
      </c>
      <c r="E3889" t="s">
        <v>5189</v>
      </c>
      <c r="F3889" t="s">
        <v>5383</v>
      </c>
      <c r="G3889" t="s">
        <v>5879</v>
      </c>
      <c r="H3889" t="s">
        <v>2252</v>
      </c>
      <c r="J3889" s="2">
        <v>43701</v>
      </c>
      <c r="K3889">
        <v>71.3</v>
      </c>
    </row>
    <row r="3890" spans="1:11" x14ac:dyDescent="0.35">
      <c r="A3890" s="2">
        <v>43702</v>
      </c>
      <c r="B3890" s="1">
        <v>0</v>
      </c>
      <c r="C3890" t="s">
        <v>5501</v>
      </c>
      <c r="D3890" t="s">
        <v>5337</v>
      </c>
      <c r="E3890" t="s">
        <v>5186</v>
      </c>
      <c r="F3890" t="s">
        <v>5383</v>
      </c>
      <c r="G3890" t="s">
        <v>5879</v>
      </c>
      <c r="H3890" t="s">
        <v>427</v>
      </c>
      <c r="J3890" s="2">
        <v>43702</v>
      </c>
      <c r="K3890">
        <v>70.7</v>
      </c>
    </row>
    <row r="3891" spans="1:11" x14ac:dyDescent="0.35">
      <c r="A3891" s="2">
        <v>43703</v>
      </c>
      <c r="B3891" s="1">
        <v>0</v>
      </c>
      <c r="C3891" t="s">
        <v>5152</v>
      </c>
      <c r="D3891" t="s">
        <v>5153</v>
      </c>
      <c r="E3891" t="s">
        <v>5186</v>
      </c>
      <c r="F3891" t="s">
        <v>5383</v>
      </c>
      <c r="G3891" t="s">
        <v>5879</v>
      </c>
      <c r="H3891" t="s">
        <v>1029</v>
      </c>
      <c r="J3891" s="2">
        <v>43703</v>
      </c>
      <c r="K3891">
        <v>72.2</v>
      </c>
    </row>
    <row r="3892" spans="1:11" x14ac:dyDescent="0.35">
      <c r="A3892" s="2">
        <v>43704</v>
      </c>
      <c r="B3892" s="1">
        <v>0</v>
      </c>
      <c r="C3892" t="s">
        <v>5526</v>
      </c>
      <c r="D3892" t="s">
        <v>5342</v>
      </c>
      <c r="E3892" t="s">
        <v>5177</v>
      </c>
      <c r="F3892" t="s">
        <v>5383</v>
      </c>
      <c r="G3892" t="s">
        <v>5883</v>
      </c>
      <c r="H3892" t="s">
        <v>1015</v>
      </c>
      <c r="J3892" s="2">
        <v>43704</v>
      </c>
      <c r="K3892">
        <v>75.400000000000006</v>
      </c>
    </row>
    <row r="3893" spans="1:11" x14ac:dyDescent="0.35">
      <c r="A3893" s="2">
        <v>43705</v>
      </c>
      <c r="B3893" s="1">
        <v>0</v>
      </c>
      <c r="C3893" t="s">
        <v>5549</v>
      </c>
      <c r="D3893" t="s">
        <v>5207</v>
      </c>
      <c r="E3893" t="s">
        <v>5339</v>
      </c>
      <c r="F3893" t="s">
        <v>5383</v>
      </c>
      <c r="G3893" t="s">
        <v>5886</v>
      </c>
      <c r="H3893" t="s">
        <v>1912</v>
      </c>
      <c r="J3893" s="2">
        <v>43705</v>
      </c>
      <c r="K3893">
        <v>77.3</v>
      </c>
    </row>
    <row r="3894" spans="1:11" x14ac:dyDescent="0.35">
      <c r="A3894" s="2">
        <v>43706</v>
      </c>
      <c r="B3894" s="1">
        <v>0</v>
      </c>
      <c r="C3894" t="s">
        <v>5191</v>
      </c>
      <c r="D3894" t="s">
        <v>5099</v>
      </c>
      <c r="E3894" t="s">
        <v>5397</v>
      </c>
      <c r="F3894" t="s">
        <v>5383</v>
      </c>
      <c r="G3894" t="s">
        <v>5886</v>
      </c>
      <c r="H3894" t="s">
        <v>1521</v>
      </c>
      <c r="J3894" s="2">
        <v>43706</v>
      </c>
      <c r="K3894">
        <v>79.400000000000006</v>
      </c>
    </row>
    <row r="3895" spans="1:11" x14ac:dyDescent="0.35">
      <c r="A3895" s="2">
        <v>43707</v>
      </c>
      <c r="B3895" s="1">
        <v>0</v>
      </c>
      <c r="C3895" t="s">
        <v>5314</v>
      </c>
      <c r="D3895" t="s">
        <v>5333</v>
      </c>
      <c r="E3895" t="s">
        <v>5294</v>
      </c>
      <c r="F3895" t="s">
        <v>5383</v>
      </c>
      <c r="G3895" t="s">
        <v>5880</v>
      </c>
      <c r="H3895" t="s">
        <v>4381</v>
      </c>
      <c r="J3895" s="2">
        <v>43707</v>
      </c>
      <c r="K3895">
        <v>81.8</v>
      </c>
    </row>
    <row r="3896" spans="1:11" x14ac:dyDescent="0.35">
      <c r="A3896" s="2">
        <v>43708</v>
      </c>
      <c r="B3896" s="1">
        <v>0</v>
      </c>
      <c r="C3896" t="s">
        <v>5043</v>
      </c>
      <c r="D3896" t="s">
        <v>5152</v>
      </c>
      <c r="E3896" t="s">
        <v>5224</v>
      </c>
      <c r="F3896" t="s">
        <v>5383</v>
      </c>
      <c r="G3896" t="s">
        <v>5882</v>
      </c>
      <c r="H3896" t="s">
        <v>322</v>
      </c>
      <c r="J3896" s="2">
        <v>43708</v>
      </c>
      <c r="K3896">
        <v>84</v>
      </c>
    </row>
    <row r="3897" spans="1:11" x14ac:dyDescent="0.35">
      <c r="A3897" t="s">
        <v>4119</v>
      </c>
      <c r="B3897" s="1">
        <v>0</v>
      </c>
      <c r="C3897" t="s">
        <v>5311</v>
      </c>
      <c r="D3897" t="s">
        <v>5163</v>
      </c>
      <c r="E3897" t="s">
        <v>5321</v>
      </c>
      <c r="F3897" t="s">
        <v>5383</v>
      </c>
      <c r="G3897" t="s">
        <v>5882</v>
      </c>
      <c r="H3897" t="s">
        <v>1522</v>
      </c>
      <c r="J3897" t="s">
        <v>4119</v>
      </c>
      <c r="K3897">
        <v>84.8</v>
      </c>
    </row>
    <row r="3898" spans="1:11" x14ac:dyDescent="0.35">
      <c r="A3898" t="s">
        <v>4120</v>
      </c>
      <c r="B3898" s="1">
        <v>0</v>
      </c>
      <c r="C3898" t="s">
        <v>5071</v>
      </c>
      <c r="D3898" t="s">
        <v>5194</v>
      </c>
      <c r="E3898" t="s">
        <v>5336</v>
      </c>
      <c r="F3898" t="s">
        <v>5168</v>
      </c>
      <c r="G3898" t="s">
        <v>5359</v>
      </c>
      <c r="H3898" t="s">
        <v>969</v>
      </c>
      <c r="J3898" t="s">
        <v>4120</v>
      </c>
      <c r="K3898">
        <v>110</v>
      </c>
    </row>
    <row r="3899" spans="1:11" x14ac:dyDescent="0.35">
      <c r="A3899" t="s">
        <v>4121</v>
      </c>
      <c r="B3899" s="1">
        <v>0</v>
      </c>
      <c r="C3899" t="s">
        <v>5304</v>
      </c>
      <c r="D3899" t="s">
        <v>5429</v>
      </c>
      <c r="E3899" t="s">
        <v>5414</v>
      </c>
      <c r="F3899" t="s">
        <v>5168</v>
      </c>
      <c r="G3899" t="s">
        <v>5360</v>
      </c>
      <c r="H3899" t="s">
        <v>1101</v>
      </c>
      <c r="J3899" t="s">
        <v>4121</v>
      </c>
      <c r="K3899">
        <v>111.2</v>
      </c>
    </row>
    <row r="3900" spans="1:11" x14ac:dyDescent="0.35">
      <c r="A3900" t="s">
        <v>4122</v>
      </c>
      <c r="B3900" s="1">
        <v>0</v>
      </c>
      <c r="C3900" t="s">
        <v>5456</v>
      </c>
      <c r="D3900" t="s">
        <v>5296</v>
      </c>
      <c r="E3900" t="s">
        <v>5336</v>
      </c>
      <c r="F3900" t="s">
        <v>5168</v>
      </c>
      <c r="G3900" t="s">
        <v>5550</v>
      </c>
      <c r="H3900" t="s">
        <v>4129</v>
      </c>
      <c r="J3900" t="s">
        <v>4122</v>
      </c>
      <c r="K3900">
        <v>117.7</v>
      </c>
    </row>
    <row r="3901" spans="1:11" x14ac:dyDescent="0.35">
      <c r="A3901" t="s">
        <v>4123</v>
      </c>
      <c r="B3901" s="1">
        <v>0</v>
      </c>
      <c r="C3901" t="s">
        <v>5540</v>
      </c>
      <c r="D3901" t="s">
        <v>5044</v>
      </c>
      <c r="E3901" t="s">
        <v>5191</v>
      </c>
      <c r="F3901" t="s">
        <v>5156</v>
      </c>
      <c r="G3901" t="s">
        <v>5562</v>
      </c>
      <c r="H3901" t="s">
        <v>1564</v>
      </c>
      <c r="J3901" t="s">
        <v>4123</v>
      </c>
      <c r="K3901">
        <v>126.1</v>
      </c>
    </row>
    <row r="3902" spans="1:11" x14ac:dyDescent="0.35">
      <c r="A3902" t="s">
        <v>4125</v>
      </c>
      <c r="B3902" s="1">
        <v>0</v>
      </c>
      <c r="C3902" t="s">
        <v>5366</v>
      </c>
      <c r="D3902" t="s">
        <v>5053</v>
      </c>
      <c r="E3902" t="s">
        <v>5043</v>
      </c>
      <c r="F3902" t="s">
        <v>5156</v>
      </c>
      <c r="G3902" t="s">
        <v>5562</v>
      </c>
      <c r="H3902" t="s">
        <v>1084</v>
      </c>
      <c r="J3902" t="s">
        <v>4125</v>
      </c>
      <c r="K3902">
        <v>129.5</v>
      </c>
    </row>
    <row r="3903" spans="1:11" x14ac:dyDescent="0.35">
      <c r="A3903" t="s">
        <v>4126</v>
      </c>
      <c r="B3903" s="1">
        <v>0</v>
      </c>
      <c r="C3903" t="s">
        <v>5532</v>
      </c>
      <c r="D3903" t="s">
        <v>5283</v>
      </c>
      <c r="E3903" t="s">
        <v>5429</v>
      </c>
      <c r="F3903" t="s">
        <v>5156</v>
      </c>
      <c r="G3903" t="s">
        <v>5409</v>
      </c>
      <c r="H3903" t="s">
        <v>122</v>
      </c>
      <c r="J3903" t="s">
        <v>4126</v>
      </c>
      <c r="K3903">
        <v>131.80000000000001</v>
      </c>
    </row>
    <row r="3904" spans="1:11" x14ac:dyDescent="0.35">
      <c r="A3904" t="s">
        <v>4127</v>
      </c>
      <c r="B3904" s="1">
        <v>0</v>
      </c>
      <c r="C3904" t="s">
        <v>5532</v>
      </c>
      <c r="D3904" t="s">
        <v>5328</v>
      </c>
      <c r="E3904" t="s">
        <v>5143</v>
      </c>
      <c r="F3904" t="s">
        <v>5156</v>
      </c>
      <c r="G3904" t="s">
        <v>5360</v>
      </c>
      <c r="H3904" t="s">
        <v>3119</v>
      </c>
      <c r="J3904" t="s">
        <v>4127</v>
      </c>
      <c r="K3904">
        <v>133.4</v>
      </c>
    </row>
    <row r="3905" spans="1:11" x14ac:dyDescent="0.35">
      <c r="A3905" t="s">
        <v>4128</v>
      </c>
      <c r="B3905" s="1">
        <v>0</v>
      </c>
      <c r="C3905" t="s">
        <v>5250</v>
      </c>
      <c r="D3905" t="s">
        <v>5295</v>
      </c>
      <c r="E3905" t="s">
        <v>5429</v>
      </c>
      <c r="F3905" t="s">
        <v>5156</v>
      </c>
      <c r="G3905" t="s">
        <v>5359</v>
      </c>
      <c r="H3905" t="s">
        <v>2639</v>
      </c>
      <c r="J3905" t="s">
        <v>4128</v>
      </c>
      <c r="K3905">
        <v>130.6</v>
      </c>
    </row>
    <row r="3906" spans="1:11" x14ac:dyDescent="0.35">
      <c r="A3906" t="s">
        <v>4130</v>
      </c>
      <c r="B3906" s="1">
        <v>0</v>
      </c>
      <c r="C3906" t="s">
        <v>5531</v>
      </c>
      <c r="D3906" t="s">
        <v>5318</v>
      </c>
      <c r="E3906" t="s">
        <v>5316</v>
      </c>
      <c r="F3906" t="s">
        <v>5156</v>
      </c>
      <c r="G3906" t="s">
        <v>5344</v>
      </c>
      <c r="H3906" t="s">
        <v>502</v>
      </c>
      <c r="J3906" t="s">
        <v>4130</v>
      </c>
      <c r="K3906">
        <v>124.7</v>
      </c>
    </row>
    <row r="3907" spans="1:11" x14ac:dyDescent="0.35">
      <c r="A3907" t="s">
        <v>4131</v>
      </c>
      <c r="B3907" s="1">
        <v>0</v>
      </c>
      <c r="C3907" t="s">
        <v>5471</v>
      </c>
      <c r="D3907" t="s">
        <v>5308</v>
      </c>
      <c r="E3907" t="s">
        <v>5199</v>
      </c>
      <c r="F3907" t="s">
        <v>5156</v>
      </c>
      <c r="G3907" t="s">
        <v>5346</v>
      </c>
      <c r="H3907" t="s">
        <v>4347</v>
      </c>
      <c r="J3907" t="s">
        <v>4131</v>
      </c>
      <c r="K3907">
        <v>116.7</v>
      </c>
    </row>
    <row r="3908" spans="1:11" x14ac:dyDescent="0.35">
      <c r="A3908" t="s">
        <v>4132</v>
      </c>
      <c r="B3908" s="1">
        <v>0</v>
      </c>
      <c r="C3908" t="s">
        <v>5074</v>
      </c>
      <c r="D3908" t="s">
        <v>5147</v>
      </c>
      <c r="E3908" t="s">
        <v>5152</v>
      </c>
      <c r="F3908" t="s">
        <v>5156</v>
      </c>
      <c r="G3908" t="s">
        <v>5346</v>
      </c>
      <c r="H3908" t="s">
        <v>317</v>
      </c>
      <c r="J3908" t="s">
        <v>4132</v>
      </c>
      <c r="K3908">
        <v>112.2</v>
      </c>
    </row>
    <row r="3909" spans="1:11" x14ac:dyDescent="0.35">
      <c r="A3909" t="s">
        <v>4134</v>
      </c>
      <c r="B3909" s="1">
        <v>0</v>
      </c>
      <c r="C3909" t="s">
        <v>5571</v>
      </c>
      <c r="D3909" t="s">
        <v>5311</v>
      </c>
      <c r="E3909" t="s">
        <v>5338</v>
      </c>
      <c r="F3909" t="s">
        <v>5156</v>
      </c>
      <c r="G3909" t="s">
        <v>5344</v>
      </c>
      <c r="H3909" t="s">
        <v>1445</v>
      </c>
      <c r="J3909" t="s">
        <v>4134</v>
      </c>
      <c r="K3909">
        <v>115.3</v>
      </c>
    </row>
    <row r="3910" spans="1:11" x14ac:dyDescent="0.35">
      <c r="A3910" t="s">
        <v>4135</v>
      </c>
      <c r="B3910" s="1">
        <v>0</v>
      </c>
      <c r="C3910" t="s">
        <v>5206</v>
      </c>
      <c r="D3910" t="s">
        <v>5293</v>
      </c>
      <c r="E3910" t="s">
        <v>5414</v>
      </c>
      <c r="F3910" t="s">
        <v>5156</v>
      </c>
      <c r="G3910" t="s">
        <v>5409</v>
      </c>
      <c r="H3910" t="s">
        <v>1078</v>
      </c>
      <c r="J3910" t="s">
        <v>4135</v>
      </c>
      <c r="K3910">
        <v>122.9</v>
      </c>
    </row>
    <row r="3911" spans="1:11" x14ac:dyDescent="0.35">
      <c r="A3911" t="s">
        <v>4136</v>
      </c>
      <c r="B3911" s="1">
        <v>0</v>
      </c>
      <c r="C3911" t="s">
        <v>5248</v>
      </c>
      <c r="D3911" t="s">
        <v>5305</v>
      </c>
      <c r="E3911" t="s">
        <v>5350</v>
      </c>
      <c r="F3911" t="s">
        <v>5156</v>
      </c>
      <c r="G3911" t="s">
        <v>5402</v>
      </c>
      <c r="H3911" t="s">
        <v>2639</v>
      </c>
      <c r="J3911" t="s">
        <v>4136</v>
      </c>
      <c r="K3911">
        <v>130.6</v>
      </c>
    </row>
    <row r="3912" spans="1:11" x14ac:dyDescent="0.35">
      <c r="A3912" t="s">
        <v>4137</v>
      </c>
      <c r="B3912" s="1">
        <v>0</v>
      </c>
      <c r="C3912" t="s">
        <v>5544</v>
      </c>
      <c r="D3912" t="s">
        <v>5052</v>
      </c>
      <c r="E3912" t="s">
        <v>5196</v>
      </c>
      <c r="F3912" t="s">
        <v>5156</v>
      </c>
      <c r="G3912" t="s">
        <v>5405</v>
      </c>
      <c r="H3912" t="s">
        <v>1386</v>
      </c>
      <c r="J3912" t="s">
        <v>4137</v>
      </c>
      <c r="K3912">
        <v>140.19999999999999</v>
      </c>
    </row>
    <row r="3913" spans="1:11" x14ac:dyDescent="0.35">
      <c r="A3913" t="s">
        <v>4138</v>
      </c>
      <c r="B3913" s="1">
        <v>0</v>
      </c>
      <c r="C3913" t="s">
        <v>5515</v>
      </c>
      <c r="D3913" t="s">
        <v>5223</v>
      </c>
      <c r="E3913" t="s">
        <v>5293</v>
      </c>
      <c r="F3913" t="s">
        <v>5156</v>
      </c>
      <c r="G3913" t="s">
        <v>5189</v>
      </c>
      <c r="H3913" t="s">
        <v>859</v>
      </c>
      <c r="J3913" t="s">
        <v>4138</v>
      </c>
      <c r="K3913">
        <v>150.30000000000001</v>
      </c>
    </row>
    <row r="3914" spans="1:11" x14ac:dyDescent="0.35">
      <c r="A3914" t="s">
        <v>4139</v>
      </c>
      <c r="B3914" s="1">
        <v>0</v>
      </c>
      <c r="C3914" t="s">
        <v>5584</v>
      </c>
      <c r="D3914" t="s">
        <v>5175</v>
      </c>
      <c r="E3914" t="s">
        <v>5325</v>
      </c>
      <c r="F3914" t="s">
        <v>5156</v>
      </c>
      <c r="G3914" t="s">
        <v>5189</v>
      </c>
      <c r="H3914" t="s">
        <v>1390</v>
      </c>
      <c r="J3914" t="s">
        <v>4139</v>
      </c>
      <c r="K3914">
        <v>153.1</v>
      </c>
    </row>
    <row r="3915" spans="1:11" x14ac:dyDescent="0.35">
      <c r="A3915" t="s">
        <v>4140</v>
      </c>
      <c r="B3915" s="1">
        <v>0</v>
      </c>
      <c r="C3915" t="s">
        <v>5581</v>
      </c>
      <c r="D3915" t="s">
        <v>5068</v>
      </c>
      <c r="E3915" t="s">
        <v>5325</v>
      </c>
      <c r="F3915" t="s">
        <v>5156</v>
      </c>
      <c r="G3915" t="s">
        <v>5405</v>
      </c>
      <c r="H3915" t="s">
        <v>142</v>
      </c>
      <c r="J3915" t="s">
        <v>4140</v>
      </c>
      <c r="K3915">
        <v>152.5</v>
      </c>
    </row>
    <row r="3916" spans="1:11" x14ac:dyDescent="0.35">
      <c r="A3916" t="s">
        <v>4141</v>
      </c>
      <c r="B3916" s="1">
        <v>0</v>
      </c>
      <c r="C3916" t="s">
        <v>5516</v>
      </c>
      <c r="D3916" t="s">
        <v>5059</v>
      </c>
      <c r="E3916" t="s">
        <v>5325</v>
      </c>
      <c r="F3916" t="s">
        <v>5156</v>
      </c>
      <c r="G3916" t="s">
        <v>5405</v>
      </c>
      <c r="H3916" t="s">
        <v>277</v>
      </c>
      <c r="J3916" t="s">
        <v>4141</v>
      </c>
      <c r="K3916">
        <v>153.9</v>
      </c>
    </row>
    <row r="3917" spans="1:11" x14ac:dyDescent="0.35">
      <c r="A3917" t="s">
        <v>4142</v>
      </c>
      <c r="B3917" s="1">
        <v>0</v>
      </c>
      <c r="C3917" t="s">
        <v>5644</v>
      </c>
      <c r="D3917" t="s">
        <v>5208</v>
      </c>
      <c r="E3917" t="s">
        <v>5287</v>
      </c>
      <c r="F3917" t="s">
        <v>5156</v>
      </c>
      <c r="G3917" t="s">
        <v>5357</v>
      </c>
      <c r="H3917" t="s">
        <v>52</v>
      </c>
      <c r="J3917" t="s">
        <v>4142</v>
      </c>
      <c r="K3917">
        <v>159.19999999999999</v>
      </c>
    </row>
    <row r="3918" spans="1:11" x14ac:dyDescent="0.35">
      <c r="A3918" t="s">
        <v>4143</v>
      </c>
      <c r="B3918" s="1">
        <v>0</v>
      </c>
      <c r="C3918" t="s">
        <v>1500</v>
      </c>
      <c r="D3918" t="s">
        <v>5249</v>
      </c>
      <c r="E3918" t="s">
        <v>5529</v>
      </c>
      <c r="F3918" t="s">
        <v>5156</v>
      </c>
      <c r="G3918" t="s">
        <v>5357</v>
      </c>
      <c r="H3918" t="s">
        <v>875</v>
      </c>
      <c r="J3918" t="s">
        <v>4143</v>
      </c>
      <c r="K3918">
        <v>161.4</v>
      </c>
    </row>
    <row r="3919" spans="1:11" x14ac:dyDescent="0.35">
      <c r="A3919" t="s">
        <v>4144</v>
      </c>
      <c r="B3919" s="1">
        <v>0</v>
      </c>
      <c r="C3919" t="s">
        <v>5480</v>
      </c>
      <c r="D3919" t="s">
        <v>5197</v>
      </c>
      <c r="E3919" t="s">
        <v>5327</v>
      </c>
      <c r="F3919" t="s">
        <v>5156</v>
      </c>
      <c r="G3919" t="s">
        <v>5404</v>
      </c>
      <c r="H3919" t="s">
        <v>106</v>
      </c>
      <c r="J3919" t="s">
        <v>4144</v>
      </c>
      <c r="K3919">
        <v>155.80000000000001</v>
      </c>
    </row>
    <row r="3920" spans="1:11" x14ac:dyDescent="0.35">
      <c r="A3920" t="s">
        <v>4145</v>
      </c>
      <c r="B3920" s="1">
        <v>0</v>
      </c>
      <c r="C3920" t="s">
        <v>5621</v>
      </c>
      <c r="D3920" t="s">
        <v>5175</v>
      </c>
      <c r="E3920" t="s">
        <v>5325</v>
      </c>
      <c r="F3920" t="s">
        <v>5156</v>
      </c>
      <c r="G3920" t="s">
        <v>5413</v>
      </c>
      <c r="H3920" t="s">
        <v>2661</v>
      </c>
      <c r="J3920" t="s">
        <v>4145</v>
      </c>
      <c r="K3920">
        <v>151.1</v>
      </c>
    </row>
    <row r="3921" spans="1:11" x14ac:dyDescent="0.35">
      <c r="A3921" t="s">
        <v>4146</v>
      </c>
      <c r="B3921" s="1">
        <v>0</v>
      </c>
      <c r="C3921" t="s">
        <v>5566</v>
      </c>
      <c r="D3921" t="s">
        <v>5210</v>
      </c>
      <c r="E3921" t="s">
        <v>5287</v>
      </c>
      <c r="F3921" t="s">
        <v>5156</v>
      </c>
      <c r="G3921" t="s">
        <v>5413</v>
      </c>
      <c r="H3921" t="s">
        <v>111</v>
      </c>
      <c r="J3921" t="s">
        <v>4146</v>
      </c>
      <c r="K3921">
        <v>153.5</v>
      </c>
    </row>
    <row r="3922" spans="1:11" x14ac:dyDescent="0.35">
      <c r="A3922" t="s">
        <v>4147</v>
      </c>
      <c r="B3922" s="1">
        <v>0</v>
      </c>
      <c r="C3922" t="s">
        <v>5620</v>
      </c>
      <c r="D3922" t="s">
        <v>5249</v>
      </c>
      <c r="E3922" t="s">
        <v>5044</v>
      </c>
      <c r="F3922" t="s">
        <v>5156</v>
      </c>
      <c r="G3922" t="s">
        <v>5419</v>
      </c>
      <c r="H3922" t="s">
        <v>77</v>
      </c>
      <c r="J3922" t="s">
        <v>4147</v>
      </c>
      <c r="K3922">
        <v>160.4</v>
      </c>
    </row>
    <row r="3923" spans="1:11" x14ac:dyDescent="0.35">
      <c r="A3923" t="s">
        <v>4148</v>
      </c>
      <c r="B3923" s="1">
        <v>0</v>
      </c>
      <c r="C3923" t="s">
        <v>392</v>
      </c>
      <c r="D3923" t="s">
        <v>5306</v>
      </c>
      <c r="E3923" t="s">
        <v>5287</v>
      </c>
      <c r="F3923" t="s">
        <v>5156</v>
      </c>
      <c r="G3923" t="s">
        <v>5189</v>
      </c>
      <c r="H3923" t="s">
        <v>77</v>
      </c>
      <c r="J3923" t="s">
        <v>4148</v>
      </c>
      <c r="K3923">
        <v>160.4</v>
      </c>
    </row>
    <row r="3924" spans="1:11" x14ac:dyDescent="0.35">
      <c r="A3924" t="s">
        <v>4149</v>
      </c>
      <c r="B3924" s="1">
        <v>0</v>
      </c>
      <c r="C3924" t="s">
        <v>405</v>
      </c>
      <c r="D3924" t="s">
        <v>5431</v>
      </c>
      <c r="E3924" t="s">
        <v>5317</v>
      </c>
      <c r="F3924" t="s">
        <v>5156</v>
      </c>
      <c r="G3924" t="s">
        <v>5186</v>
      </c>
      <c r="H3924" t="s">
        <v>556</v>
      </c>
      <c r="J3924" t="s">
        <v>4149</v>
      </c>
      <c r="K3924">
        <v>156.19999999999999</v>
      </c>
    </row>
    <row r="3925" spans="1:11" x14ac:dyDescent="0.35">
      <c r="A3925" t="s">
        <v>4150</v>
      </c>
      <c r="B3925" s="1">
        <v>0</v>
      </c>
      <c r="C3925" t="s">
        <v>5620</v>
      </c>
      <c r="D3925" t="s">
        <v>5597</v>
      </c>
      <c r="E3925" t="s">
        <v>5547</v>
      </c>
      <c r="F3925" t="s">
        <v>5156</v>
      </c>
      <c r="G3925" t="s">
        <v>5189</v>
      </c>
      <c r="H3925" t="s">
        <v>277</v>
      </c>
      <c r="J3925" t="s">
        <v>4150</v>
      </c>
      <c r="K3925">
        <v>153.9</v>
      </c>
    </row>
    <row r="3926" spans="1:11" x14ac:dyDescent="0.35">
      <c r="A3926" t="s">
        <v>4151</v>
      </c>
      <c r="B3926" s="1">
        <v>0</v>
      </c>
      <c r="C3926" t="s">
        <v>1013</v>
      </c>
      <c r="D3926" t="s">
        <v>5286</v>
      </c>
      <c r="E3926" t="s">
        <v>5293</v>
      </c>
      <c r="F3926" t="s">
        <v>5339</v>
      </c>
      <c r="G3926" t="s">
        <v>5357</v>
      </c>
      <c r="H3926" t="s">
        <v>1755</v>
      </c>
      <c r="J3926" t="s">
        <v>4151</v>
      </c>
      <c r="K3926">
        <v>161.1</v>
      </c>
    </row>
    <row r="3927" spans="1:11" x14ac:dyDescent="0.35">
      <c r="A3927" t="s">
        <v>4152</v>
      </c>
      <c r="B3927" s="1">
        <v>0</v>
      </c>
      <c r="C3927" t="s">
        <v>349</v>
      </c>
      <c r="D3927" t="s">
        <v>5121</v>
      </c>
      <c r="E3927" t="s">
        <v>5545</v>
      </c>
      <c r="F3927" t="s">
        <v>5339</v>
      </c>
      <c r="G3927" t="s">
        <v>5189</v>
      </c>
      <c r="H3927" t="s">
        <v>1222</v>
      </c>
      <c r="J3927" t="s">
        <v>4152</v>
      </c>
      <c r="K3927">
        <v>177.3</v>
      </c>
    </row>
    <row r="3928" spans="1:11" x14ac:dyDescent="0.35">
      <c r="A3928" t="s">
        <v>4153</v>
      </c>
      <c r="B3928" s="1">
        <v>0</v>
      </c>
      <c r="C3928" t="s">
        <v>360</v>
      </c>
      <c r="D3928" t="s">
        <v>5370</v>
      </c>
      <c r="E3928" t="s">
        <v>5160</v>
      </c>
      <c r="F3928" t="s">
        <v>5240</v>
      </c>
      <c r="G3928" t="s">
        <v>5330</v>
      </c>
      <c r="H3928" t="s">
        <v>1298</v>
      </c>
      <c r="J3928" t="s">
        <v>4153</v>
      </c>
      <c r="K3928">
        <v>210.7</v>
      </c>
    </row>
    <row r="3929" spans="1:11" x14ac:dyDescent="0.35">
      <c r="A3929" t="s">
        <v>4154</v>
      </c>
      <c r="B3929" s="1">
        <v>0</v>
      </c>
      <c r="C3929" t="s">
        <v>1540</v>
      </c>
      <c r="D3929" t="s">
        <v>5476</v>
      </c>
      <c r="E3929" t="s">
        <v>5120</v>
      </c>
      <c r="F3929" t="s">
        <v>5240</v>
      </c>
      <c r="G3929" t="s">
        <v>5297</v>
      </c>
      <c r="H3929" t="s">
        <v>5665</v>
      </c>
      <c r="J3929" t="s">
        <v>4154</v>
      </c>
      <c r="K3929">
        <v>223.9</v>
      </c>
    </row>
    <row r="3930" spans="1:11" x14ac:dyDescent="0.35">
      <c r="A3930" t="s">
        <v>4156</v>
      </c>
      <c r="B3930" s="1">
        <v>0</v>
      </c>
      <c r="C3930" t="s">
        <v>5648</v>
      </c>
      <c r="D3930" t="s">
        <v>5509</v>
      </c>
      <c r="E3930" t="s">
        <v>5113</v>
      </c>
      <c r="F3930" t="s">
        <v>5240</v>
      </c>
      <c r="G3930" t="s">
        <v>5312</v>
      </c>
      <c r="H3930" t="s">
        <v>628</v>
      </c>
      <c r="J3930" t="s">
        <v>4156</v>
      </c>
      <c r="K3930">
        <v>225.2</v>
      </c>
    </row>
    <row r="3931" spans="1:11" x14ac:dyDescent="0.35">
      <c r="A3931" t="s">
        <v>4157</v>
      </c>
      <c r="B3931" s="1">
        <v>0</v>
      </c>
      <c r="C3931" t="s">
        <v>981</v>
      </c>
      <c r="D3931" t="s">
        <v>5115</v>
      </c>
      <c r="E3931" t="s">
        <v>5257</v>
      </c>
      <c r="F3931" t="s">
        <v>5240</v>
      </c>
      <c r="G3931" t="s">
        <v>5312</v>
      </c>
      <c r="H3931" t="s">
        <v>3882</v>
      </c>
      <c r="J3931" t="s">
        <v>4157</v>
      </c>
      <c r="K3931">
        <v>214.7</v>
      </c>
    </row>
    <row r="3932" spans="1:11" x14ac:dyDescent="0.35">
      <c r="A3932" t="s">
        <v>4158</v>
      </c>
      <c r="B3932" s="1">
        <v>0</v>
      </c>
      <c r="C3932" t="s">
        <v>454</v>
      </c>
      <c r="D3932" t="s">
        <v>5596</v>
      </c>
      <c r="E3932" t="s">
        <v>5059</v>
      </c>
      <c r="F3932" t="s">
        <v>5050</v>
      </c>
      <c r="G3932" t="s">
        <v>5342</v>
      </c>
      <c r="H3932" t="s">
        <v>2358</v>
      </c>
      <c r="J3932" t="s">
        <v>4158</v>
      </c>
      <c r="K3932">
        <v>195.7</v>
      </c>
    </row>
    <row r="3933" spans="1:11" x14ac:dyDescent="0.35">
      <c r="A3933" t="s">
        <v>4159</v>
      </c>
      <c r="B3933" s="1">
        <v>0</v>
      </c>
      <c r="C3933" t="s">
        <v>410</v>
      </c>
      <c r="D3933" t="s">
        <v>5439</v>
      </c>
      <c r="E3933" t="s">
        <v>5310</v>
      </c>
      <c r="F3933" t="s">
        <v>5050</v>
      </c>
      <c r="G3933" t="s">
        <v>5330</v>
      </c>
      <c r="H3933" t="s">
        <v>4035</v>
      </c>
      <c r="J3933" t="s">
        <v>4159</v>
      </c>
      <c r="K3933">
        <v>179.9</v>
      </c>
    </row>
    <row r="3934" spans="1:11" x14ac:dyDescent="0.35">
      <c r="A3934" t="s">
        <v>4160</v>
      </c>
      <c r="B3934" s="1">
        <v>0</v>
      </c>
      <c r="C3934" t="s">
        <v>385</v>
      </c>
      <c r="D3934" t="s">
        <v>5135</v>
      </c>
      <c r="E3934" t="s">
        <v>5313</v>
      </c>
      <c r="F3934" t="s">
        <v>5050</v>
      </c>
      <c r="G3934" t="s">
        <v>5315</v>
      </c>
      <c r="H3934" t="s">
        <v>1973</v>
      </c>
      <c r="J3934" t="s">
        <v>4160</v>
      </c>
      <c r="K3934">
        <v>176.4</v>
      </c>
    </row>
    <row r="3935" spans="1:11" x14ac:dyDescent="0.35">
      <c r="A3935" t="s">
        <v>4161</v>
      </c>
      <c r="B3935" s="1">
        <v>0</v>
      </c>
      <c r="C3935" t="s">
        <v>418</v>
      </c>
      <c r="D3935" t="s">
        <v>5281</v>
      </c>
      <c r="E3935" t="s">
        <v>5313</v>
      </c>
      <c r="F3935" t="s">
        <v>5050</v>
      </c>
      <c r="G3935" t="s">
        <v>5294</v>
      </c>
      <c r="H3935" t="s">
        <v>782</v>
      </c>
      <c r="J3935" t="s">
        <v>4161</v>
      </c>
      <c r="K3935">
        <v>182.1</v>
      </c>
    </row>
    <row r="3936" spans="1:11" x14ac:dyDescent="0.35">
      <c r="A3936" t="s">
        <v>4162</v>
      </c>
      <c r="B3936" s="1">
        <v>0</v>
      </c>
      <c r="C3936" t="s">
        <v>449</v>
      </c>
      <c r="D3936" t="s">
        <v>5254</v>
      </c>
      <c r="E3936" t="s">
        <v>5422</v>
      </c>
      <c r="F3936" t="s">
        <v>5050</v>
      </c>
      <c r="G3936" t="s">
        <v>5291</v>
      </c>
      <c r="H3936" t="s">
        <v>3137</v>
      </c>
      <c r="J3936" t="s">
        <v>4162</v>
      </c>
      <c r="K3936">
        <v>192.3</v>
      </c>
    </row>
    <row r="3937" spans="1:11" x14ac:dyDescent="0.35">
      <c r="A3937" t="s">
        <v>4163</v>
      </c>
      <c r="B3937" s="1">
        <v>0</v>
      </c>
      <c r="C3937" t="s">
        <v>366</v>
      </c>
      <c r="D3937" t="s">
        <v>5492</v>
      </c>
      <c r="E3937" t="s">
        <v>5175</v>
      </c>
      <c r="F3937" t="s">
        <v>5050</v>
      </c>
      <c r="G3937" t="s">
        <v>5226</v>
      </c>
      <c r="H3937" t="s">
        <v>5691</v>
      </c>
      <c r="J3937" t="s">
        <v>4163</v>
      </c>
      <c r="K3937">
        <v>202.2</v>
      </c>
    </row>
    <row r="3938" spans="1:11" x14ac:dyDescent="0.35">
      <c r="A3938" t="s">
        <v>4164</v>
      </c>
      <c r="B3938" s="1">
        <v>0</v>
      </c>
      <c r="C3938" t="s">
        <v>459</v>
      </c>
      <c r="D3938" t="s">
        <v>5530</v>
      </c>
      <c r="E3938" t="s">
        <v>5060</v>
      </c>
      <c r="F3938" t="s">
        <v>5240</v>
      </c>
      <c r="G3938" t="s">
        <v>5227</v>
      </c>
      <c r="H3938" t="s">
        <v>3731</v>
      </c>
      <c r="J3938" t="s">
        <v>4164</v>
      </c>
      <c r="K3938">
        <v>216.3</v>
      </c>
    </row>
    <row r="3939" spans="1:11" x14ac:dyDescent="0.35">
      <c r="A3939" t="s">
        <v>4165</v>
      </c>
      <c r="B3939" s="1">
        <v>0</v>
      </c>
      <c r="C3939" t="s">
        <v>3219</v>
      </c>
      <c r="D3939" t="s">
        <v>5537</v>
      </c>
      <c r="E3939" t="s">
        <v>5213</v>
      </c>
      <c r="F3939" t="s">
        <v>5240</v>
      </c>
      <c r="G3939" t="s">
        <v>5222</v>
      </c>
      <c r="H3939" t="s">
        <v>2827</v>
      </c>
      <c r="J3939" t="s">
        <v>4165</v>
      </c>
      <c r="K3939">
        <v>225.8</v>
      </c>
    </row>
    <row r="3940" spans="1:11" x14ac:dyDescent="0.35">
      <c r="A3940" t="s">
        <v>4166</v>
      </c>
      <c r="B3940" s="1">
        <v>0</v>
      </c>
      <c r="C3940" t="s">
        <v>4115</v>
      </c>
      <c r="D3940" t="s">
        <v>5582</v>
      </c>
      <c r="E3940" t="s">
        <v>5067</v>
      </c>
      <c r="F3940" t="s">
        <v>5240</v>
      </c>
      <c r="G3940" t="s">
        <v>5222</v>
      </c>
      <c r="H3940" t="s">
        <v>628</v>
      </c>
      <c r="J3940" t="s">
        <v>4166</v>
      </c>
      <c r="K3940">
        <v>225.2</v>
      </c>
    </row>
    <row r="3941" spans="1:11" x14ac:dyDescent="0.35">
      <c r="A3941" t="s">
        <v>4167</v>
      </c>
      <c r="B3941" s="1">
        <v>0</v>
      </c>
      <c r="C3941" t="s">
        <v>1536</v>
      </c>
      <c r="D3941" t="s">
        <v>5483</v>
      </c>
      <c r="E3941" t="s">
        <v>5121</v>
      </c>
      <c r="F3941" t="s">
        <v>5050</v>
      </c>
      <c r="G3941" t="s">
        <v>5227</v>
      </c>
      <c r="H3941" t="s">
        <v>5660</v>
      </c>
      <c r="J3941" t="s">
        <v>4167</v>
      </c>
      <c r="K3941">
        <v>217.5</v>
      </c>
    </row>
    <row r="3942" spans="1:11" x14ac:dyDescent="0.35">
      <c r="A3942" t="s">
        <v>4168</v>
      </c>
      <c r="B3942" s="1">
        <v>0</v>
      </c>
      <c r="C3942" t="s">
        <v>355</v>
      </c>
      <c r="D3942" t="s">
        <v>5552</v>
      </c>
      <c r="E3942" t="s">
        <v>5270</v>
      </c>
      <c r="F3942" t="s">
        <v>5050</v>
      </c>
      <c r="G3942" t="s">
        <v>5224</v>
      </c>
      <c r="H3942" t="s">
        <v>2844</v>
      </c>
      <c r="J3942" t="s">
        <v>4168</v>
      </c>
      <c r="K3942">
        <v>214.1</v>
      </c>
    </row>
    <row r="3943" spans="1:11" x14ac:dyDescent="0.35">
      <c r="A3943" t="s">
        <v>4169</v>
      </c>
      <c r="B3943" s="1">
        <v>0</v>
      </c>
      <c r="C3943" t="s">
        <v>2264</v>
      </c>
      <c r="D3943" t="s">
        <v>5481</v>
      </c>
      <c r="E3943" t="s">
        <v>5276</v>
      </c>
      <c r="F3943" t="s">
        <v>5240</v>
      </c>
      <c r="G3943" t="s">
        <v>5291</v>
      </c>
      <c r="H3943" t="s">
        <v>210</v>
      </c>
      <c r="J3943" t="s">
        <v>4169</v>
      </c>
      <c r="K3943">
        <v>217.9</v>
      </c>
    </row>
    <row r="3944" spans="1:11" x14ac:dyDescent="0.35">
      <c r="A3944" t="s">
        <v>4170</v>
      </c>
      <c r="B3944" s="1">
        <v>0</v>
      </c>
      <c r="C3944" t="s">
        <v>2265</v>
      </c>
      <c r="D3944" t="s">
        <v>5541</v>
      </c>
      <c r="E3944" t="s">
        <v>5069</v>
      </c>
      <c r="F3944" t="s">
        <v>5240</v>
      </c>
      <c r="G3944" t="s">
        <v>5309</v>
      </c>
      <c r="H3944" t="s">
        <v>3569</v>
      </c>
      <c r="J3944" t="s">
        <v>4170</v>
      </c>
      <c r="K3944">
        <v>221.9</v>
      </c>
    </row>
    <row r="3945" spans="1:11" x14ac:dyDescent="0.35">
      <c r="A3945" t="s">
        <v>4171</v>
      </c>
      <c r="B3945" s="1">
        <v>0</v>
      </c>
      <c r="C3945" t="s">
        <v>335</v>
      </c>
      <c r="D3945" t="s">
        <v>5573</v>
      </c>
      <c r="E3945" t="s">
        <v>5120</v>
      </c>
      <c r="F3945" t="s">
        <v>5240</v>
      </c>
      <c r="G3945" t="s">
        <v>5294</v>
      </c>
      <c r="H3945" t="s">
        <v>1705</v>
      </c>
      <c r="J3945" t="s">
        <v>4171</v>
      </c>
      <c r="K3945">
        <v>218.9</v>
      </c>
    </row>
    <row r="3946" spans="1:11" x14ac:dyDescent="0.35">
      <c r="A3946" t="s">
        <v>4172</v>
      </c>
      <c r="B3946" s="1">
        <v>0</v>
      </c>
      <c r="C3946" t="s">
        <v>335</v>
      </c>
      <c r="D3946" t="s">
        <v>5494</v>
      </c>
      <c r="E3946" t="s">
        <v>5239</v>
      </c>
      <c r="F3946" t="s">
        <v>5240</v>
      </c>
      <c r="G3946" t="s">
        <v>5294</v>
      </c>
      <c r="H3946" t="s">
        <v>231</v>
      </c>
      <c r="J3946" t="s">
        <v>4172</v>
      </c>
      <c r="K3946">
        <v>215.5</v>
      </c>
    </row>
    <row r="3947" spans="1:11" x14ac:dyDescent="0.35">
      <c r="A3947" t="s">
        <v>4173</v>
      </c>
      <c r="B3947" s="1">
        <v>0</v>
      </c>
      <c r="C3947" t="s">
        <v>2608</v>
      </c>
      <c r="D3947" t="s">
        <v>5485</v>
      </c>
      <c r="E3947" t="s">
        <v>5306</v>
      </c>
      <c r="F3947" t="s">
        <v>5240</v>
      </c>
      <c r="G3947" t="s">
        <v>5309</v>
      </c>
      <c r="H3947" t="s">
        <v>4532</v>
      </c>
      <c r="J3947" t="s">
        <v>4173</v>
      </c>
      <c r="K3947">
        <v>211</v>
      </c>
    </row>
    <row r="3948" spans="1:11" x14ac:dyDescent="0.35">
      <c r="A3948" t="s">
        <v>4174</v>
      </c>
      <c r="B3948" s="1">
        <v>0</v>
      </c>
      <c r="C3948" t="s">
        <v>4904</v>
      </c>
      <c r="D3948" t="s">
        <v>5157</v>
      </c>
      <c r="E3948" t="s">
        <v>5056</v>
      </c>
      <c r="F3948" t="s">
        <v>5240</v>
      </c>
      <c r="G3948" t="s">
        <v>5288</v>
      </c>
      <c r="H3948" t="s">
        <v>3880</v>
      </c>
      <c r="J3948" t="s">
        <v>4174</v>
      </c>
      <c r="K3948">
        <v>209.2</v>
      </c>
    </row>
    <row r="3949" spans="1:11" x14ac:dyDescent="0.35">
      <c r="A3949" t="s">
        <v>4175</v>
      </c>
      <c r="B3949" s="1">
        <v>0</v>
      </c>
      <c r="C3949" t="s">
        <v>491</v>
      </c>
      <c r="D3949" t="s">
        <v>5131</v>
      </c>
      <c r="E3949" t="s">
        <v>5431</v>
      </c>
      <c r="F3949" t="s">
        <v>5240</v>
      </c>
      <c r="G3949" t="s">
        <v>5227</v>
      </c>
      <c r="H3949" t="s">
        <v>2727</v>
      </c>
      <c r="J3949" t="s">
        <v>4175</v>
      </c>
      <c r="K3949">
        <v>211.3</v>
      </c>
    </row>
    <row r="3950" spans="1:11" x14ac:dyDescent="0.35">
      <c r="A3950" t="s">
        <v>4176</v>
      </c>
      <c r="B3950" s="1">
        <v>0</v>
      </c>
      <c r="C3950" t="s">
        <v>3806</v>
      </c>
      <c r="D3950" t="s">
        <v>5437</v>
      </c>
      <c r="E3950" t="s">
        <v>5055</v>
      </c>
      <c r="F3950" t="s">
        <v>5240</v>
      </c>
      <c r="G3950" t="s">
        <v>5172</v>
      </c>
      <c r="H3950" t="s">
        <v>662</v>
      </c>
      <c r="J3950" t="s">
        <v>4176</v>
      </c>
      <c r="K3950">
        <v>211.5</v>
      </c>
    </row>
    <row r="3951" spans="1:11" x14ac:dyDescent="0.35">
      <c r="A3951" t="s">
        <v>4177</v>
      </c>
      <c r="B3951" s="1">
        <v>0</v>
      </c>
      <c r="C3951" t="s">
        <v>1062</v>
      </c>
      <c r="D3951" t="s">
        <v>5145</v>
      </c>
      <c r="E3951" t="s">
        <v>5055</v>
      </c>
      <c r="F3951" t="s">
        <v>5240</v>
      </c>
      <c r="G3951" t="s">
        <v>5207</v>
      </c>
      <c r="H3951" t="s">
        <v>657</v>
      </c>
      <c r="J3951" t="s">
        <v>4177</v>
      </c>
      <c r="K3951">
        <v>208.3</v>
      </c>
    </row>
    <row r="3952" spans="1:11" x14ac:dyDescent="0.35">
      <c r="A3952" t="s">
        <v>4178</v>
      </c>
      <c r="B3952" s="1">
        <v>0</v>
      </c>
      <c r="C3952" t="s">
        <v>2608</v>
      </c>
      <c r="D3952" t="s">
        <v>5571</v>
      </c>
      <c r="E3952" t="s">
        <v>5310</v>
      </c>
      <c r="F3952" t="s">
        <v>5240</v>
      </c>
      <c r="G3952" t="s">
        <v>5224</v>
      </c>
      <c r="H3952" t="s">
        <v>3135</v>
      </c>
      <c r="J3952" t="s">
        <v>4178</v>
      </c>
      <c r="K3952">
        <v>204.5</v>
      </c>
    </row>
    <row r="3953" spans="1:11" x14ac:dyDescent="0.35">
      <c r="A3953" t="s">
        <v>4179</v>
      </c>
      <c r="B3953" s="1">
        <v>0</v>
      </c>
      <c r="C3953" t="s">
        <v>346</v>
      </c>
      <c r="D3953" t="s">
        <v>5245</v>
      </c>
      <c r="E3953" t="s">
        <v>5286</v>
      </c>
      <c r="F3953" t="s">
        <v>5240</v>
      </c>
      <c r="G3953" t="s">
        <v>5312</v>
      </c>
      <c r="H3953" t="s">
        <v>1670</v>
      </c>
      <c r="J3953" t="s">
        <v>4179</v>
      </c>
      <c r="K3953">
        <v>196.1</v>
      </c>
    </row>
    <row r="3954" spans="1:11" x14ac:dyDescent="0.35">
      <c r="A3954" t="s">
        <v>4180</v>
      </c>
      <c r="B3954" s="1">
        <v>0</v>
      </c>
      <c r="C3954" t="s">
        <v>1021</v>
      </c>
      <c r="D3954" t="s">
        <v>5437</v>
      </c>
      <c r="E3954" t="s">
        <v>5425</v>
      </c>
      <c r="F3954" t="s">
        <v>5050</v>
      </c>
      <c r="G3954" t="s">
        <v>5397</v>
      </c>
      <c r="H3954" t="s">
        <v>1597</v>
      </c>
      <c r="J3954" t="s">
        <v>4180</v>
      </c>
      <c r="K3954">
        <v>180.4</v>
      </c>
    </row>
    <row r="3955" spans="1:11" x14ac:dyDescent="0.35">
      <c r="A3955" t="s">
        <v>4181</v>
      </c>
      <c r="B3955" s="1">
        <v>0</v>
      </c>
      <c r="C3955" t="s">
        <v>5516</v>
      </c>
      <c r="D3955" t="s">
        <v>5444</v>
      </c>
      <c r="E3955" t="s">
        <v>5597</v>
      </c>
      <c r="F3955" t="s">
        <v>5050</v>
      </c>
      <c r="G3955" t="s">
        <v>5411</v>
      </c>
      <c r="H3955" t="s">
        <v>1978</v>
      </c>
      <c r="J3955" t="s">
        <v>4181</v>
      </c>
      <c r="K3955">
        <v>167.1</v>
      </c>
    </row>
    <row r="3956" spans="1:11" x14ac:dyDescent="0.35">
      <c r="A3956" t="s">
        <v>4182</v>
      </c>
      <c r="B3956" s="1">
        <v>0</v>
      </c>
      <c r="C3956" t="s">
        <v>5647</v>
      </c>
      <c r="D3956" t="s">
        <v>5253</v>
      </c>
      <c r="E3956" t="s">
        <v>5328</v>
      </c>
      <c r="F3956" t="s">
        <v>5050</v>
      </c>
      <c r="G3956" t="s">
        <v>5339</v>
      </c>
      <c r="H3956" t="s">
        <v>194</v>
      </c>
      <c r="J3956" t="s">
        <v>4182</v>
      </c>
      <c r="K3956">
        <v>166.2</v>
      </c>
    </row>
    <row r="3957" spans="1:11" x14ac:dyDescent="0.35">
      <c r="A3957" t="s">
        <v>4183</v>
      </c>
      <c r="B3957" s="1">
        <v>0</v>
      </c>
      <c r="C3957" t="s">
        <v>394</v>
      </c>
      <c r="D3957" t="s">
        <v>5154</v>
      </c>
      <c r="E3957" t="s">
        <v>5310</v>
      </c>
      <c r="F3957" t="s">
        <v>5050</v>
      </c>
      <c r="G3957" t="s">
        <v>5334</v>
      </c>
      <c r="H3957" t="s">
        <v>824</v>
      </c>
      <c r="J3957" t="s">
        <v>4183</v>
      </c>
      <c r="K3957">
        <v>178.6</v>
      </c>
    </row>
    <row r="3958" spans="1:11" x14ac:dyDescent="0.35">
      <c r="A3958" t="s">
        <v>4184</v>
      </c>
      <c r="B3958" s="1">
        <v>0</v>
      </c>
      <c r="C3958" t="s">
        <v>1053</v>
      </c>
      <c r="D3958" t="s">
        <v>5133</v>
      </c>
      <c r="E3958" t="s">
        <v>5237</v>
      </c>
      <c r="F3958" t="s">
        <v>5050</v>
      </c>
      <c r="G3958" t="s">
        <v>5144</v>
      </c>
      <c r="H3958" t="s">
        <v>654</v>
      </c>
      <c r="J3958" t="s">
        <v>4184</v>
      </c>
      <c r="K3958">
        <v>191.6</v>
      </c>
    </row>
    <row r="3959" spans="1:11" x14ac:dyDescent="0.35">
      <c r="A3959" t="s">
        <v>4185</v>
      </c>
      <c r="B3959" s="1">
        <v>0</v>
      </c>
      <c r="C3959" t="s">
        <v>454</v>
      </c>
      <c r="D3959" t="s">
        <v>5115</v>
      </c>
      <c r="E3959" t="s">
        <v>5434</v>
      </c>
      <c r="F3959" t="s">
        <v>5077</v>
      </c>
      <c r="G3959" t="s">
        <v>5183</v>
      </c>
      <c r="H3959" t="s">
        <v>2348</v>
      </c>
      <c r="J3959" t="s">
        <v>4185</v>
      </c>
      <c r="K3959">
        <v>206.4</v>
      </c>
    </row>
    <row r="3960" spans="1:11" x14ac:dyDescent="0.35">
      <c r="A3960" t="s">
        <v>4186</v>
      </c>
      <c r="B3960" s="1">
        <v>0</v>
      </c>
      <c r="C3960" t="s">
        <v>413</v>
      </c>
      <c r="D3960" t="s">
        <v>5537</v>
      </c>
      <c r="E3960" t="s">
        <v>5165</v>
      </c>
      <c r="F3960" t="s">
        <v>5077</v>
      </c>
      <c r="G3960" t="s">
        <v>5065</v>
      </c>
      <c r="H3960" t="s">
        <v>3754</v>
      </c>
      <c r="J3960" t="s">
        <v>4186</v>
      </c>
      <c r="K3960">
        <v>205.6</v>
      </c>
    </row>
    <row r="3961" spans="1:11" x14ac:dyDescent="0.35">
      <c r="A3961" t="s">
        <v>4187</v>
      </c>
      <c r="B3961" s="1">
        <v>0</v>
      </c>
      <c r="C3961" t="s">
        <v>374</v>
      </c>
      <c r="D3961" t="s">
        <v>5087</v>
      </c>
      <c r="E3961" t="s">
        <v>5270</v>
      </c>
      <c r="F3961" t="s">
        <v>5077</v>
      </c>
      <c r="G3961" t="s">
        <v>5062</v>
      </c>
      <c r="H3961" t="s">
        <v>5696</v>
      </c>
      <c r="J3961" t="s">
        <v>4187</v>
      </c>
      <c r="K3961">
        <v>206.6</v>
      </c>
    </row>
    <row r="3962" spans="1:11" x14ac:dyDescent="0.35">
      <c r="A3962" t="s">
        <v>4188</v>
      </c>
      <c r="B3962" s="1">
        <v>0</v>
      </c>
      <c r="C3962" t="s">
        <v>1048</v>
      </c>
      <c r="D3962" t="s">
        <v>5593</v>
      </c>
      <c r="E3962" t="s">
        <v>5072</v>
      </c>
      <c r="F3962" t="s">
        <v>5077</v>
      </c>
      <c r="G3962" t="s">
        <v>5065</v>
      </c>
      <c r="H3962" t="s">
        <v>1844</v>
      </c>
      <c r="J3962" t="s">
        <v>4188</v>
      </c>
      <c r="K3962">
        <v>215.6</v>
      </c>
    </row>
    <row r="3963" spans="1:11" x14ac:dyDescent="0.35">
      <c r="A3963" t="s">
        <v>4189</v>
      </c>
      <c r="B3963" s="1">
        <v>0</v>
      </c>
      <c r="C3963" t="s">
        <v>361</v>
      </c>
      <c r="D3963" t="s">
        <v>5500</v>
      </c>
      <c r="E3963" t="s">
        <v>5203</v>
      </c>
      <c r="F3963" t="s">
        <v>5089</v>
      </c>
      <c r="G3963" t="s">
        <v>5215</v>
      </c>
      <c r="H3963" t="s">
        <v>2111</v>
      </c>
      <c r="J3963" t="s">
        <v>4189</v>
      </c>
      <c r="K3963">
        <v>229.7</v>
      </c>
    </row>
    <row r="3964" spans="1:11" x14ac:dyDescent="0.35">
      <c r="A3964" t="s">
        <v>4190</v>
      </c>
      <c r="B3964" s="1">
        <v>0</v>
      </c>
      <c r="C3964" t="s">
        <v>2267</v>
      </c>
      <c r="D3964" t="s">
        <v>5515</v>
      </c>
      <c r="E3964" t="s">
        <v>5135</v>
      </c>
      <c r="F3964" t="s">
        <v>5089</v>
      </c>
      <c r="G3964" t="s">
        <v>5124</v>
      </c>
      <c r="H3964" t="s">
        <v>3950</v>
      </c>
      <c r="J3964" t="s">
        <v>4190</v>
      </c>
      <c r="K3964">
        <v>235.9</v>
      </c>
    </row>
    <row r="3965" spans="1:11" x14ac:dyDescent="0.35">
      <c r="A3965" t="s">
        <v>4191</v>
      </c>
      <c r="B3965" s="1">
        <v>0</v>
      </c>
      <c r="C3965" t="s">
        <v>1531</v>
      </c>
      <c r="D3965" t="s">
        <v>5479</v>
      </c>
      <c r="E3965" t="s">
        <v>5150</v>
      </c>
      <c r="F3965" t="s">
        <v>5089</v>
      </c>
      <c r="G3965" t="s">
        <v>5124</v>
      </c>
      <c r="H3965" t="s">
        <v>3042</v>
      </c>
      <c r="J3965" t="s">
        <v>4191</v>
      </c>
      <c r="K3965">
        <v>231.9</v>
      </c>
    </row>
    <row r="3966" spans="1:11" x14ac:dyDescent="0.35">
      <c r="A3966" t="s">
        <v>4192</v>
      </c>
      <c r="B3966" s="1">
        <v>0</v>
      </c>
      <c r="C3966" t="s">
        <v>464</v>
      </c>
      <c r="D3966" t="s">
        <v>5228</v>
      </c>
      <c r="E3966" t="s">
        <v>5072</v>
      </c>
      <c r="F3966" t="s">
        <v>5089</v>
      </c>
      <c r="G3966" t="s">
        <v>5099</v>
      </c>
      <c r="H3966" t="s">
        <v>211</v>
      </c>
      <c r="J3966" t="s">
        <v>4192</v>
      </c>
      <c r="K3966">
        <v>225.3</v>
      </c>
    </row>
    <row r="3967" spans="1:11" x14ac:dyDescent="0.35">
      <c r="A3967" t="s">
        <v>4193</v>
      </c>
      <c r="B3967" s="1">
        <v>0</v>
      </c>
      <c r="C3967" t="s">
        <v>476</v>
      </c>
      <c r="D3967" t="s">
        <v>5259</v>
      </c>
      <c r="E3967" t="s">
        <v>5123</v>
      </c>
      <c r="F3967" t="s">
        <v>5089</v>
      </c>
      <c r="G3967" t="s">
        <v>5124</v>
      </c>
      <c r="H3967" t="s">
        <v>1840</v>
      </c>
      <c r="J3967" t="s">
        <v>4193</v>
      </c>
      <c r="K3967">
        <v>220.5</v>
      </c>
    </row>
    <row r="3968" spans="1:11" x14ac:dyDescent="0.35">
      <c r="A3968" t="s">
        <v>4194</v>
      </c>
      <c r="B3968" s="1">
        <v>0</v>
      </c>
      <c r="C3968" t="s">
        <v>355</v>
      </c>
      <c r="D3968" t="s">
        <v>5459</v>
      </c>
      <c r="E3968" t="s">
        <v>5081</v>
      </c>
      <c r="F3968" t="s">
        <v>5089</v>
      </c>
      <c r="G3968" t="s">
        <v>5082</v>
      </c>
      <c r="H3968" t="s">
        <v>3656</v>
      </c>
      <c r="J3968" t="s">
        <v>4194</v>
      </c>
      <c r="K3968">
        <v>224.3</v>
      </c>
    </row>
    <row r="3969" spans="1:11" x14ac:dyDescent="0.35">
      <c r="A3969" t="s">
        <v>4195</v>
      </c>
      <c r="B3969" s="1">
        <v>0</v>
      </c>
      <c r="C3969" t="s">
        <v>4643</v>
      </c>
      <c r="D3969" t="s">
        <v>5510</v>
      </c>
      <c r="E3969" t="s">
        <v>5096</v>
      </c>
      <c r="F3969" t="s">
        <v>5089</v>
      </c>
      <c r="G3969" t="s">
        <v>5092</v>
      </c>
      <c r="H3969" t="s">
        <v>4484</v>
      </c>
      <c r="J3969" t="s">
        <v>4195</v>
      </c>
      <c r="K3969">
        <v>237.9</v>
      </c>
    </row>
    <row r="3970" spans="1:11" x14ac:dyDescent="0.35">
      <c r="A3970" t="s">
        <v>4196</v>
      </c>
      <c r="B3970" s="1">
        <v>0</v>
      </c>
      <c r="C3970" t="s">
        <v>3226</v>
      </c>
      <c r="D3970" t="s">
        <v>5621</v>
      </c>
      <c r="E3970" t="s">
        <v>5088</v>
      </c>
      <c r="F3970" t="s">
        <v>5089</v>
      </c>
      <c r="G3970" t="s">
        <v>5077</v>
      </c>
      <c r="H3970" t="s">
        <v>5668</v>
      </c>
      <c r="J3970" t="s">
        <v>4196</v>
      </c>
      <c r="K3970">
        <v>247</v>
      </c>
    </row>
    <row r="3971" spans="1:11" x14ac:dyDescent="0.35">
      <c r="A3971" t="s">
        <v>4197</v>
      </c>
      <c r="B3971" s="1">
        <v>0</v>
      </c>
      <c r="C3971" t="s">
        <v>5662</v>
      </c>
      <c r="D3971" t="s">
        <v>5633</v>
      </c>
      <c r="E3971" t="s">
        <v>5441</v>
      </c>
      <c r="F3971" t="s">
        <v>5089</v>
      </c>
      <c r="G3971" t="s">
        <v>5077</v>
      </c>
      <c r="H3971" t="s">
        <v>5693</v>
      </c>
      <c r="J3971" t="s">
        <v>4197</v>
      </c>
      <c r="K3971">
        <v>249</v>
      </c>
    </row>
    <row r="3972" spans="1:11" x14ac:dyDescent="0.35">
      <c r="A3972" t="s">
        <v>4198</v>
      </c>
      <c r="B3972" s="1">
        <v>0</v>
      </c>
      <c r="C3972" t="s">
        <v>5659</v>
      </c>
      <c r="D3972" t="s">
        <v>5584</v>
      </c>
      <c r="E3972" t="s">
        <v>5437</v>
      </c>
      <c r="F3972" t="s">
        <v>5089</v>
      </c>
      <c r="G3972" t="s">
        <v>5077</v>
      </c>
      <c r="H3972" t="s">
        <v>5668</v>
      </c>
      <c r="J3972" t="s">
        <v>4198</v>
      </c>
      <c r="K3972">
        <v>247</v>
      </c>
    </row>
    <row r="3973" spans="1:11" x14ac:dyDescent="0.35">
      <c r="A3973" t="s">
        <v>4200</v>
      </c>
      <c r="B3973" s="1">
        <v>0</v>
      </c>
      <c r="C3973" t="s">
        <v>4118</v>
      </c>
      <c r="D3973" t="s">
        <v>5656</v>
      </c>
      <c r="E3973" t="s">
        <v>5441</v>
      </c>
      <c r="F3973" t="s">
        <v>5089</v>
      </c>
      <c r="G3973" t="s">
        <v>5077</v>
      </c>
      <c r="H3973" t="s">
        <v>2470</v>
      </c>
      <c r="J3973" t="s">
        <v>4200</v>
      </c>
      <c r="K3973">
        <v>244.9</v>
      </c>
    </row>
    <row r="3974" spans="1:11" x14ac:dyDescent="0.35">
      <c r="A3974" t="s">
        <v>4201</v>
      </c>
      <c r="B3974" s="1">
        <v>0</v>
      </c>
      <c r="C3974" t="s">
        <v>308</v>
      </c>
      <c r="D3974" t="s">
        <v>5503</v>
      </c>
      <c r="E3974" t="s">
        <v>5203</v>
      </c>
      <c r="F3974" t="s">
        <v>5358</v>
      </c>
      <c r="G3974" t="s">
        <v>5356</v>
      </c>
      <c r="H3974" t="s">
        <v>3748</v>
      </c>
      <c r="J3974" t="s">
        <v>4201</v>
      </c>
      <c r="K3974">
        <v>254.3</v>
      </c>
    </row>
    <row r="3975" spans="1:11" x14ac:dyDescent="0.35">
      <c r="A3975" t="s">
        <v>4202</v>
      </c>
      <c r="B3975" s="1">
        <v>0</v>
      </c>
      <c r="C3975" t="s">
        <v>1862</v>
      </c>
      <c r="D3975" t="s">
        <v>5628</v>
      </c>
      <c r="E3975" t="s">
        <v>5473</v>
      </c>
      <c r="F3975" t="s">
        <v>5358</v>
      </c>
      <c r="G3975" t="s">
        <v>5333</v>
      </c>
      <c r="H3975" t="s">
        <v>5786</v>
      </c>
      <c r="J3975" t="s">
        <v>4202</v>
      </c>
      <c r="K3975">
        <v>269.89999999999998</v>
      </c>
    </row>
    <row r="3976" spans="1:11" x14ac:dyDescent="0.35">
      <c r="A3976" t="s">
        <v>4203</v>
      </c>
      <c r="B3976" s="1">
        <v>0</v>
      </c>
      <c r="C3976" t="s">
        <v>517</v>
      </c>
      <c r="D3976" t="s">
        <v>5635</v>
      </c>
      <c r="E3976" t="s">
        <v>5200</v>
      </c>
      <c r="F3976" t="s">
        <v>5358</v>
      </c>
      <c r="G3976" t="s">
        <v>5201</v>
      </c>
      <c r="H3976" t="s">
        <v>5835</v>
      </c>
      <c r="J3976" t="s">
        <v>4203</v>
      </c>
      <c r="K3976">
        <v>277.2</v>
      </c>
    </row>
    <row r="3977" spans="1:11" x14ac:dyDescent="0.35">
      <c r="A3977" t="s">
        <v>4204</v>
      </c>
      <c r="B3977" s="1">
        <v>0</v>
      </c>
      <c r="C3977" t="s">
        <v>1449</v>
      </c>
      <c r="D3977" t="s">
        <v>5581</v>
      </c>
      <c r="E3977" t="s">
        <v>5253</v>
      </c>
      <c r="F3977" t="s">
        <v>5358</v>
      </c>
      <c r="G3977" t="s">
        <v>5166</v>
      </c>
      <c r="H3977" t="s">
        <v>5699</v>
      </c>
      <c r="J3977" t="s">
        <v>4204</v>
      </c>
      <c r="K3977">
        <v>269.8</v>
      </c>
    </row>
    <row r="3978" spans="1:11" x14ac:dyDescent="0.35">
      <c r="A3978" t="s">
        <v>4205</v>
      </c>
      <c r="B3978" s="1">
        <v>0</v>
      </c>
      <c r="C3978" t="s">
        <v>5641</v>
      </c>
      <c r="D3978" t="s">
        <v>5128</v>
      </c>
      <c r="E3978" t="s">
        <v>5123</v>
      </c>
      <c r="F3978" t="s">
        <v>5089</v>
      </c>
      <c r="G3978" t="s">
        <v>5493</v>
      </c>
      <c r="H3978" t="s">
        <v>5763</v>
      </c>
      <c r="J3978" t="s">
        <v>4205</v>
      </c>
      <c r="K3978">
        <v>247.8</v>
      </c>
    </row>
    <row r="3979" spans="1:11" x14ac:dyDescent="0.35">
      <c r="A3979" t="s">
        <v>4206</v>
      </c>
      <c r="B3979" s="1">
        <v>0</v>
      </c>
      <c r="C3979" t="s">
        <v>2880</v>
      </c>
      <c r="D3979" t="s">
        <v>5104</v>
      </c>
      <c r="E3979" t="s">
        <v>5236</v>
      </c>
      <c r="F3979" t="s">
        <v>5089</v>
      </c>
      <c r="G3979" t="s">
        <v>5045</v>
      </c>
      <c r="H3979" t="s">
        <v>641</v>
      </c>
      <c r="J3979" t="s">
        <v>4206</v>
      </c>
      <c r="K3979">
        <v>227.7</v>
      </c>
    </row>
    <row r="3980" spans="1:11" x14ac:dyDescent="0.35">
      <c r="A3980" t="s">
        <v>4207</v>
      </c>
      <c r="B3980" s="1">
        <v>0</v>
      </c>
      <c r="C3980" t="s">
        <v>5735</v>
      </c>
      <c r="D3980" t="s">
        <v>5483</v>
      </c>
      <c r="E3980" t="s">
        <v>5160</v>
      </c>
      <c r="F3980" t="s">
        <v>5089</v>
      </c>
      <c r="G3980" t="s">
        <v>5116</v>
      </c>
      <c r="H3980" t="s">
        <v>741</v>
      </c>
      <c r="J3980" t="s">
        <v>4207</v>
      </c>
      <c r="K3980">
        <v>226.1</v>
      </c>
    </row>
    <row r="3981" spans="1:11" x14ac:dyDescent="0.35">
      <c r="A3981" t="s">
        <v>4208</v>
      </c>
      <c r="B3981" s="1">
        <v>0</v>
      </c>
      <c r="C3981" t="s">
        <v>2613</v>
      </c>
      <c r="D3981" t="s">
        <v>5496</v>
      </c>
      <c r="E3981" t="s">
        <v>5192</v>
      </c>
      <c r="F3981" t="s">
        <v>5089</v>
      </c>
      <c r="G3981" t="s">
        <v>5077</v>
      </c>
      <c r="H3981" t="s">
        <v>2086</v>
      </c>
      <c r="J3981" t="s">
        <v>4208</v>
      </c>
      <c r="K3981">
        <v>243.7</v>
      </c>
    </row>
    <row r="3982" spans="1:11" x14ac:dyDescent="0.35">
      <c r="A3982" t="s">
        <v>4211</v>
      </c>
      <c r="B3982" s="1">
        <v>0</v>
      </c>
      <c r="C3982" t="s">
        <v>133</v>
      </c>
      <c r="D3982" t="s">
        <v>5510</v>
      </c>
      <c r="E3982" t="s">
        <v>5105</v>
      </c>
      <c r="F3982" t="s">
        <v>5358</v>
      </c>
      <c r="G3982" t="s">
        <v>5356</v>
      </c>
      <c r="H3982" t="s">
        <v>5806</v>
      </c>
      <c r="J3982" t="s">
        <v>4211</v>
      </c>
      <c r="K3982">
        <v>258</v>
      </c>
    </row>
    <row r="3983" spans="1:11" x14ac:dyDescent="0.35">
      <c r="A3983" t="s">
        <v>4212</v>
      </c>
      <c r="B3983" s="1">
        <v>0</v>
      </c>
      <c r="C3983" t="s">
        <v>1929</v>
      </c>
      <c r="D3983" t="s">
        <v>5535</v>
      </c>
      <c r="E3983" t="s">
        <v>5120</v>
      </c>
      <c r="F3983" t="s">
        <v>5358</v>
      </c>
      <c r="G3983" t="s">
        <v>5132</v>
      </c>
      <c r="H3983" t="s">
        <v>3576</v>
      </c>
      <c r="J3983" t="s">
        <v>4212</v>
      </c>
      <c r="K3983">
        <v>252.5</v>
      </c>
    </row>
    <row r="3984" spans="1:11" x14ac:dyDescent="0.35">
      <c r="A3984" t="s">
        <v>4213</v>
      </c>
      <c r="B3984" s="1">
        <v>0</v>
      </c>
      <c r="C3984" t="s">
        <v>2227</v>
      </c>
      <c r="D3984" t="s">
        <v>5268</v>
      </c>
      <c r="E3984" t="s">
        <v>5257</v>
      </c>
      <c r="F3984" t="s">
        <v>5089</v>
      </c>
      <c r="G3984" t="s">
        <v>5089</v>
      </c>
      <c r="H3984" t="s">
        <v>5719</v>
      </c>
      <c r="J3984" t="s">
        <v>4213</v>
      </c>
      <c r="K3984">
        <v>243.9</v>
      </c>
    </row>
    <row r="3985" spans="1:11" x14ac:dyDescent="0.35">
      <c r="A3985" t="s">
        <v>4214</v>
      </c>
      <c r="B3985" s="1">
        <v>0</v>
      </c>
      <c r="C3985" t="s">
        <v>5654</v>
      </c>
      <c r="D3985" t="s">
        <v>5507</v>
      </c>
      <c r="E3985" t="s">
        <v>5182</v>
      </c>
      <c r="F3985" t="s">
        <v>5089</v>
      </c>
      <c r="G3985" t="s">
        <v>5089</v>
      </c>
      <c r="H3985" t="s">
        <v>2012</v>
      </c>
      <c r="J3985" t="s">
        <v>4214</v>
      </c>
      <c r="K3985">
        <v>239.9</v>
      </c>
    </row>
    <row r="3986" spans="1:11" x14ac:dyDescent="0.35">
      <c r="A3986" t="s">
        <v>4215</v>
      </c>
      <c r="B3986" s="1">
        <v>0</v>
      </c>
      <c r="C3986" t="s">
        <v>3217</v>
      </c>
      <c r="D3986" t="s">
        <v>5607</v>
      </c>
      <c r="E3986" t="s">
        <v>5182</v>
      </c>
      <c r="F3986" t="s">
        <v>5089</v>
      </c>
      <c r="G3986" t="s">
        <v>5077</v>
      </c>
      <c r="H3986" t="s">
        <v>5736</v>
      </c>
      <c r="J3986" t="s">
        <v>4215</v>
      </c>
      <c r="K3986">
        <v>237.2</v>
      </c>
    </row>
    <row r="3987" spans="1:11" x14ac:dyDescent="0.35">
      <c r="A3987" t="s">
        <v>4216</v>
      </c>
      <c r="B3987" s="1">
        <v>0</v>
      </c>
      <c r="C3987" t="s">
        <v>4081</v>
      </c>
      <c r="D3987" t="s">
        <v>5576</v>
      </c>
      <c r="E3987" t="s">
        <v>5257</v>
      </c>
      <c r="F3987" t="s">
        <v>5089</v>
      </c>
      <c r="G3987" t="s">
        <v>5045</v>
      </c>
      <c r="H3987" t="s">
        <v>1311</v>
      </c>
      <c r="J3987" t="s">
        <v>4216</v>
      </c>
      <c r="K3987">
        <v>236.2</v>
      </c>
    </row>
    <row r="3988" spans="1:11" x14ac:dyDescent="0.35">
      <c r="A3988" t="s">
        <v>4217</v>
      </c>
      <c r="B3988" s="1">
        <v>0</v>
      </c>
      <c r="C3988" t="s">
        <v>4644</v>
      </c>
      <c r="D3988" t="s">
        <v>5544</v>
      </c>
      <c r="E3988" t="s">
        <v>5270</v>
      </c>
      <c r="F3988" t="s">
        <v>5089</v>
      </c>
      <c r="G3988" t="s">
        <v>5092</v>
      </c>
      <c r="H3988" t="s">
        <v>2836</v>
      </c>
      <c r="J3988" t="s">
        <v>4217</v>
      </c>
      <c r="K3988">
        <v>234.7</v>
      </c>
    </row>
    <row r="3989" spans="1:11" x14ac:dyDescent="0.35">
      <c r="A3989" t="s">
        <v>4219</v>
      </c>
      <c r="B3989" s="1">
        <v>0</v>
      </c>
      <c r="C3989" t="s">
        <v>5659</v>
      </c>
      <c r="D3989" t="s">
        <v>5087</v>
      </c>
      <c r="E3989" t="s">
        <v>5435</v>
      </c>
      <c r="F3989" t="s">
        <v>5338</v>
      </c>
      <c r="G3989" t="s">
        <v>5493</v>
      </c>
      <c r="H3989" t="s">
        <v>2061</v>
      </c>
      <c r="J3989" t="s">
        <v>4219</v>
      </c>
      <c r="K3989">
        <v>240.7</v>
      </c>
    </row>
    <row r="3990" spans="1:11" x14ac:dyDescent="0.35">
      <c r="A3990" t="s">
        <v>4220</v>
      </c>
      <c r="B3990" s="1">
        <v>0</v>
      </c>
      <c r="C3990" t="s">
        <v>4081</v>
      </c>
      <c r="D3990" t="s">
        <v>5541</v>
      </c>
      <c r="E3990" t="s">
        <v>5213</v>
      </c>
      <c r="F3990" t="s">
        <v>5338</v>
      </c>
      <c r="G3990" t="s">
        <v>5136</v>
      </c>
      <c r="H3990" t="s">
        <v>3950</v>
      </c>
      <c r="J3990" t="s">
        <v>4220</v>
      </c>
      <c r="K3990">
        <v>235.9</v>
      </c>
    </row>
    <row r="3991" spans="1:11" x14ac:dyDescent="0.35">
      <c r="A3991" t="s">
        <v>4221</v>
      </c>
      <c r="B3991" s="1">
        <v>0</v>
      </c>
      <c r="C3991" t="s">
        <v>5659</v>
      </c>
      <c r="D3991" t="s">
        <v>5625</v>
      </c>
      <c r="E3991" t="s">
        <v>5448</v>
      </c>
      <c r="F3991" t="s">
        <v>5338</v>
      </c>
      <c r="G3991" t="s">
        <v>5355</v>
      </c>
      <c r="H3991" t="s">
        <v>2047</v>
      </c>
      <c r="J3991" t="s">
        <v>4221</v>
      </c>
      <c r="K3991">
        <v>234.9</v>
      </c>
    </row>
    <row r="3992" spans="1:11" x14ac:dyDescent="0.35">
      <c r="A3992" t="s">
        <v>4222</v>
      </c>
      <c r="B3992" s="1">
        <v>0</v>
      </c>
      <c r="C3992" t="s">
        <v>3806</v>
      </c>
      <c r="D3992" t="s">
        <v>5115</v>
      </c>
      <c r="E3992" t="s">
        <v>5113</v>
      </c>
      <c r="F3992" t="s">
        <v>5338</v>
      </c>
      <c r="G3992" t="s">
        <v>5501</v>
      </c>
      <c r="H3992" t="s">
        <v>3051</v>
      </c>
      <c r="J3992" t="s">
        <v>4222</v>
      </c>
      <c r="K3992">
        <v>237.1</v>
      </c>
    </row>
    <row r="3993" spans="1:11" x14ac:dyDescent="0.35">
      <c r="A3993" t="s">
        <v>4223</v>
      </c>
      <c r="B3993" s="1">
        <v>0</v>
      </c>
      <c r="C3993" t="s">
        <v>5645</v>
      </c>
      <c r="D3993" t="s">
        <v>5536</v>
      </c>
      <c r="E3993" t="s">
        <v>5453</v>
      </c>
      <c r="F3993" t="s">
        <v>5338</v>
      </c>
      <c r="G3993" t="s">
        <v>5333</v>
      </c>
      <c r="H3993" t="s">
        <v>634</v>
      </c>
      <c r="J3993" t="s">
        <v>4223</v>
      </c>
      <c r="K3993">
        <v>244.4</v>
      </c>
    </row>
    <row r="3994" spans="1:11" x14ac:dyDescent="0.35">
      <c r="A3994" t="s">
        <v>4224</v>
      </c>
      <c r="B3994" s="1">
        <v>0</v>
      </c>
      <c r="C3994" t="s">
        <v>3178</v>
      </c>
      <c r="D3994" t="s">
        <v>5214</v>
      </c>
      <c r="E3994" t="s">
        <v>5441</v>
      </c>
      <c r="F3994" t="s">
        <v>5338</v>
      </c>
      <c r="G3994" t="s">
        <v>5341</v>
      </c>
      <c r="H3994" t="s">
        <v>5683</v>
      </c>
      <c r="J3994" t="s">
        <v>4224</v>
      </c>
      <c r="K3994">
        <v>251</v>
      </c>
    </row>
    <row r="3995" spans="1:11" x14ac:dyDescent="0.35">
      <c r="A3995" t="s">
        <v>4225</v>
      </c>
      <c r="B3995" s="1">
        <v>0</v>
      </c>
      <c r="C3995" t="s">
        <v>1066</v>
      </c>
      <c r="D3995" t="s">
        <v>5629</v>
      </c>
      <c r="E3995" t="s">
        <v>5125</v>
      </c>
      <c r="F3995" t="s">
        <v>5338</v>
      </c>
      <c r="G3995" t="s">
        <v>5341</v>
      </c>
      <c r="H3995" t="s">
        <v>5692</v>
      </c>
      <c r="J3995" t="s">
        <v>4225</v>
      </c>
      <c r="K3995">
        <v>249.9</v>
      </c>
    </row>
    <row r="3996" spans="1:11" x14ac:dyDescent="0.35">
      <c r="A3996" t="s">
        <v>4226</v>
      </c>
      <c r="B3996" s="1">
        <v>0</v>
      </c>
      <c r="C3996" t="s">
        <v>4082</v>
      </c>
      <c r="D3996" t="s">
        <v>5513</v>
      </c>
      <c r="E3996" t="s">
        <v>5118</v>
      </c>
      <c r="F3996" t="s">
        <v>5338</v>
      </c>
      <c r="G3996" t="s">
        <v>5501</v>
      </c>
      <c r="H3996" t="s">
        <v>2018</v>
      </c>
      <c r="J3996" t="s">
        <v>4226</v>
      </c>
      <c r="K3996">
        <v>243.4</v>
      </c>
    </row>
    <row r="3997" spans="1:11" x14ac:dyDescent="0.35">
      <c r="A3997" t="s">
        <v>4229</v>
      </c>
      <c r="B3997" s="1">
        <v>0</v>
      </c>
      <c r="C3997" t="s">
        <v>2269</v>
      </c>
      <c r="D3997" t="s">
        <v>5495</v>
      </c>
      <c r="E3997" t="s">
        <v>5072</v>
      </c>
      <c r="F3997" t="s">
        <v>5338</v>
      </c>
      <c r="G3997" t="s">
        <v>5136</v>
      </c>
      <c r="H3997" t="s">
        <v>5716</v>
      </c>
      <c r="J3997" t="s">
        <v>4229</v>
      </c>
      <c r="K3997">
        <v>234.4</v>
      </c>
    </row>
    <row r="3998" spans="1:11" x14ac:dyDescent="0.35">
      <c r="A3998" t="s">
        <v>4230</v>
      </c>
      <c r="B3998" s="1">
        <v>0</v>
      </c>
      <c r="C3998" t="s">
        <v>1486</v>
      </c>
      <c r="D3998" t="s">
        <v>5138</v>
      </c>
      <c r="E3998" t="s">
        <v>5120</v>
      </c>
      <c r="F3998" t="s">
        <v>5152</v>
      </c>
      <c r="G3998" t="s">
        <v>5077</v>
      </c>
      <c r="H3998" t="s">
        <v>751</v>
      </c>
      <c r="J3998" t="s">
        <v>4230</v>
      </c>
      <c r="K3998">
        <v>218.6</v>
      </c>
    </row>
    <row r="3999" spans="1:11" x14ac:dyDescent="0.35">
      <c r="A3999" t="s">
        <v>4231</v>
      </c>
      <c r="B3999" s="1">
        <v>0</v>
      </c>
      <c r="C3999" t="s">
        <v>453</v>
      </c>
      <c r="D3999" t="s">
        <v>5193</v>
      </c>
      <c r="E3999" t="s">
        <v>5208</v>
      </c>
      <c r="F3999" t="s">
        <v>5152</v>
      </c>
      <c r="G3999" t="s">
        <v>5095</v>
      </c>
      <c r="H3999" t="s">
        <v>1196</v>
      </c>
      <c r="J3999" t="s">
        <v>4231</v>
      </c>
      <c r="K3999">
        <v>201.3</v>
      </c>
    </row>
    <row r="4000" spans="1:11" x14ac:dyDescent="0.35">
      <c r="A4000" t="s">
        <v>4232</v>
      </c>
      <c r="B4000" s="1">
        <v>0</v>
      </c>
      <c r="C4000" t="s">
        <v>5407</v>
      </c>
      <c r="D4000" t="s">
        <v>5256</v>
      </c>
      <c r="E4000" t="s">
        <v>5173</v>
      </c>
      <c r="F4000" t="s">
        <v>5152</v>
      </c>
      <c r="G4000" t="s">
        <v>5078</v>
      </c>
      <c r="H4000" t="s">
        <v>3863</v>
      </c>
      <c r="J4000" t="s">
        <v>4232</v>
      </c>
      <c r="K4000">
        <v>185.6</v>
      </c>
    </row>
    <row r="4001" spans="1:11" x14ac:dyDescent="0.35">
      <c r="A4001" t="s">
        <v>4233</v>
      </c>
      <c r="B4001" s="1">
        <v>0</v>
      </c>
      <c r="C4001" t="s">
        <v>5455</v>
      </c>
      <c r="D4001" t="s">
        <v>5137</v>
      </c>
      <c r="E4001" t="s">
        <v>5056</v>
      </c>
      <c r="F4001" t="s">
        <v>5152</v>
      </c>
      <c r="G4001" t="s">
        <v>5062</v>
      </c>
      <c r="H4001" t="s">
        <v>1614</v>
      </c>
      <c r="J4001" t="s">
        <v>4233</v>
      </c>
      <c r="K4001">
        <v>176</v>
      </c>
    </row>
    <row r="4002" spans="1:11" x14ac:dyDescent="0.35">
      <c r="A4002" t="s">
        <v>4234</v>
      </c>
      <c r="B4002" s="1">
        <v>0</v>
      </c>
      <c r="C4002" t="s">
        <v>5585</v>
      </c>
      <c r="D4002" t="s">
        <v>5522</v>
      </c>
      <c r="E4002" t="s">
        <v>5170</v>
      </c>
      <c r="F4002" t="s">
        <v>5152</v>
      </c>
      <c r="G4002" t="s">
        <v>5065</v>
      </c>
      <c r="H4002" t="s">
        <v>824</v>
      </c>
      <c r="J4002" t="s">
        <v>4234</v>
      </c>
      <c r="K4002">
        <v>178.6</v>
      </c>
    </row>
    <row r="4003" spans="1:11" x14ac:dyDescent="0.35">
      <c r="A4003" t="s">
        <v>4235</v>
      </c>
      <c r="B4003" s="1">
        <v>0</v>
      </c>
      <c r="C4003" t="s">
        <v>371</v>
      </c>
      <c r="D4003" t="s">
        <v>5198</v>
      </c>
      <c r="E4003" t="s">
        <v>5176</v>
      </c>
      <c r="F4003" t="s">
        <v>5152</v>
      </c>
      <c r="G4003" t="s">
        <v>5215</v>
      </c>
      <c r="H4003" t="s">
        <v>607</v>
      </c>
      <c r="J4003" t="s">
        <v>4235</v>
      </c>
      <c r="K4003">
        <v>189.5</v>
      </c>
    </row>
    <row r="4004" spans="1:11" x14ac:dyDescent="0.35">
      <c r="A4004" t="s">
        <v>4236</v>
      </c>
      <c r="B4004" s="1">
        <v>0</v>
      </c>
      <c r="C4004" t="s">
        <v>1883</v>
      </c>
      <c r="D4004" t="s">
        <v>5606</v>
      </c>
      <c r="E4004" t="s">
        <v>5197</v>
      </c>
      <c r="F4004" t="s">
        <v>5152</v>
      </c>
      <c r="G4004" t="s">
        <v>5116</v>
      </c>
      <c r="H4004" t="s">
        <v>689</v>
      </c>
      <c r="J4004" t="s">
        <v>4236</v>
      </c>
      <c r="K4004">
        <v>198.5</v>
      </c>
    </row>
    <row r="4005" spans="1:11" x14ac:dyDescent="0.35">
      <c r="A4005" t="s">
        <v>4237</v>
      </c>
      <c r="B4005" s="1">
        <v>0</v>
      </c>
      <c r="C4005" t="s">
        <v>1048</v>
      </c>
      <c r="D4005" t="s">
        <v>5532</v>
      </c>
      <c r="E4005" t="s">
        <v>5162</v>
      </c>
      <c r="F4005" t="s">
        <v>5152</v>
      </c>
      <c r="G4005" t="s">
        <v>5089</v>
      </c>
      <c r="H4005" t="s">
        <v>4467</v>
      </c>
      <c r="J4005" t="s">
        <v>4237</v>
      </c>
      <c r="K4005">
        <v>206.2</v>
      </c>
    </row>
    <row r="4006" spans="1:11" x14ac:dyDescent="0.35">
      <c r="A4006" t="s">
        <v>4238</v>
      </c>
      <c r="B4006" s="1">
        <v>0</v>
      </c>
      <c r="C4006" t="s">
        <v>346</v>
      </c>
      <c r="D4006" t="s">
        <v>5553</v>
      </c>
      <c r="E4006" t="s">
        <v>5069</v>
      </c>
      <c r="F4006" t="s">
        <v>5338</v>
      </c>
      <c r="G4006" t="s">
        <v>5493</v>
      </c>
      <c r="H4006" t="s">
        <v>1205</v>
      </c>
      <c r="J4006" t="s">
        <v>4238</v>
      </c>
      <c r="K4006">
        <v>220.9</v>
      </c>
    </row>
    <row r="4007" spans="1:11" x14ac:dyDescent="0.35">
      <c r="A4007" t="s">
        <v>4239</v>
      </c>
      <c r="B4007" s="1">
        <v>0</v>
      </c>
      <c r="C4007" t="s">
        <v>1540</v>
      </c>
      <c r="D4007" t="s">
        <v>5273</v>
      </c>
      <c r="E4007" t="s">
        <v>5085</v>
      </c>
      <c r="F4007" t="s">
        <v>5338</v>
      </c>
      <c r="G4007" t="s">
        <v>5341</v>
      </c>
      <c r="H4007" t="s">
        <v>1259</v>
      </c>
      <c r="J4007" t="s">
        <v>4239</v>
      </c>
      <c r="K4007">
        <v>238</v>
      </c>
    </row>
    <row r="4008" spans="1:11" x14ac:dyDescent="0.35">
      <c r="A4008" t="s">
        <v>4240</v>
      </c>
      <c r="B4008" s="1">
        <v>0</v>
      </c>
      <c r="C4008" t="s">
        <v>973</v>
      </c>
      <c r="D4008" t="s">
        <v>5612</v>
      </c>
      <c r="E4008" t="s">
        <v>5433</v>
      </c>
      <c r="F4008" t="s">
        <v>5338</v>
      </c>
      <c r="G4008" t="s">
        <v>5166</v>
      </c>
      <c r="H4008" t="s">
        <v>3648</v>
      </c>
      <c r="J4008" t="s">
        <v>4240</v>
      </c>
      <c r="K4008">
        <v>249.2</v>
      </c>
    </row>
    <row r="4009" spans="1:11" x14ac:dyDescent="0.35">
      <c r="A4009" t="s">
        <v>4241</v>
      </c>
      <c r="B4009" s="1">
        <v>0</v>
      </c>
      <c r="C4009" t="s">
        <v>2563</v>
      </c>
      <c r="D4009" t="s">
        <v>5607</v>
      </c>
      <c r="E4009" t="s">
        <v>5435</v>
      </c>
      <c r="F4009" t="s">
        <v>5338</v>
      </c>
      <c r="G4009" t="s">
        <v>5201</v>
      </c>
      <c r="H4009" t="s">
        <v>5814</v>
      </c>
      <c r="J4009" t="s">
        <v>4241</v>
      </c>
      <c r="K4009">
        <v>251.1</v>
      </c>
    </row>
    <row r="4010" spans="1:11" x14ac:dyDescent="0.35">
      <c r="A4010" t="s">
        <v>4243</v>
      </c>
      <c r="B4010" s="1">
        <v>0</v>
      </c>
      <c r="C4010" t="s">
        <v>2225</v>
      </c>
      <c r="D4010" t="s">
        <v>5602</v>
      </c>
      <c r="E4010" t="s">
        <v>5213</v>
      </c>
      <c r="F4010" t="s">
        <v>5338</v>
      </c>
      <c r="G4010" t="s">
        <v>5166</v>
      </c>
      <c r="H4010" t="s">
        <v>3322</v>
      </c>
      <c r="J4010" t="s">
        <v>4243</v>
      </c>
      <c r="K4010">
        <v>248.6</v>
      </c>
    </row>
    <row r="4011" spans="1:11" x14ac:dyDescent="0.35">
      <c r="A4011" t="s">
        <v>4245</v>
      </c>
      <c r="B4011" s="1">
        <v>0</v>
      </c>
      <c r="C4011" t="s">
        <v>4902</v>
      </c>
      <c r="D4011" t="s">
        <v>5242</v>
      </c>
      <c r="E4011" t="s">
        <v>5257</v>
      </c>
      <c r="F4011" t="s">
        <v>5338</v>
      </c>
      <c r="G4011" t="s">
        <v>5501</v>
      </c>
      <c r="H4011" t="s">
        <v>3935</v>
      </c>
      <c r="J4011" t="s">
        <v>4245</v>
      </c>
      <c r="K4011">
        <v>236.9</v>
      </c>
    </row>
    <row r="4012" spans="1:11" x14ac:dyDescent="0.35">
      <c r="A4012" t="s">
        <v>4246</v>
      </c>
      <c r="B4012" s="1">
        <v>0</v>
      </c>
      <c r="C4012" t="s">
        <v>1537</v>
      </c>
      <c r="D4012" t="s">
        <v>5483</v>
      </c>
      <c r="E4012" t="s">
        <v>5249</v>
      </c>
      <c r="F4012" t="s">
        <v>5338</v>
      </c>
      <c r="G4012" t="s">
        <v>5356</v>
      </c>
      <c r="H4012" t="s">
        <v>730</v>
      </c>
      <c r="J4012" t="s">
        <v>4246</v>
      </c>
      <c r="K4012">
        <v>222.8</v>
      </c>
    </row>
    <row r="4013" spans="1:11" x14ac:dyDescent="0.35">
      <c r="A4013" t="s">
        <v>4247</v>
      </c>
      <c r="B4013" s="1">
        <v>0</v>
      </c>
      <c r="C4013" t="s">
        <v>2604</v>
      </c>
      <c r="D4013" t="s">
        <v>5083</v>
      </c>
      <c r="E4013" t="s">
        <v>5210</v>
      </c>
      <c r="F4013" t="s">
        <v>5152</v>
      </c>
      <c r="G4013" t="s">
        <v>5045</v>
      </c>
      <c r="H4013" t="s">
        <v>5696</v>
      </c>
      <c r="J4013" t="s">
        <v>4247</v>
      </c>
      <c r="K4013">
        <v>206.6</v>
      </c>
    </row>
    <row r="4014" spans="1:11" x14ac:dyDescent="0.35">
      <c r="A4014" t="s">
        <v>4248</v>
      </c>
      <c r="B4014" s="1">
        <v>0</v>
      </c>
      <c r="C4014" t="s">
        <v>394</v>
      </c>
      <c r="D4014" t="s">
        <v>5531</v>
      </c>
      <c r="E4014" t="s">
        <v>5234</v>
      </c>
      <c r="F4014" t="s">
        <v>5152</v>
      </c>
      <c r="G4014" t="s">
        <v>5116</v>
      </c>
      <c r="H4014" t="s">
        <v>649</v>
      </c>
      <c r="J4014" t="s">
        <v>4248</v>
      </c>
      <c r="K4014">
        <v>190.5</v>
      </c>
    </row>
    <row r="4015" spans="1:11" x14ac:dyDescent="0.35">
      <c r="A4015" t="s">
        <v>4249</v>
      </c>
      <c r="B4015" s="1">
        <v>0</v>
      </c>
      <c r="C4015" t="s">
        <v>5479</v>
      </c>
      <c r="D4015" t="s">
        <v>5440</v>
      </c>
      <c r="E4015" t="s">
        <v>5171</v>
      </c>
      <c r="F4015" t="s">
        <v>5152</v>
      </c>
      <c r="G4015" t="s">
        <v>5095</v>
      </c>
      <c r="H4015" t="s">
        <v>894</v>
      </c>
      <c r="J4015" t="s">
        <v>4249</v>
      </c>
      <c r="K4015">
        <v>177.4</v>
      </c>
    </row>
    <row r="4016" spans="1:11" x14ac:dyDescent="0.35">
      <c r="A4016" t="s">
        <v>4250</v>
      </c>
      <c r="B4016" s="1">
        <v>0</v>
      </c>
      <c r="C4016" t="s">
        <v>5134</v>
      </c>
      <c r="D4016" t="s">
        <v>5572</v>
      </c>
      <c r="E4016" t="s">
        <v>5169</v>
      </c>
      <c r="F4016" t="s">
        <v>5152</v>
      </c>
      <c r="G4016" t="s">
        <v>5095</v>
      </c>
      <c r="H4016" t="s">
        <v>1433</v>
      </c>
      <c r="J4016" t="s">
        <v>4250</v>
      </c>
      <c r="K4016">
        <v>175.5</v>
      </c>
    </row>
    <row r="4017" spans="1:11" x14ac:dyDescent="0.35">
      <c r="A4017" t="s">
        <v>4251</v>
      </c>
      <c r="B4017" s="1">
        <v>0</v>
      </c>
      <c r="C4017" t="s">
        <v>5406</v>
      </c>
      <c r="D4017" t="s">
        <v>5198</v>
      </c>
      <c r="E4017" t="s">
        <v>5202</v>
      </c>
      <c r="F4017" t="s">
        <v>5152</v>
      </c>
      <c r="G4017" t="s">
        <v>5110</v>
      </c>
      <c r="H4017" t="s">
        <v>54</v>
      </c>
      <c r="J4017" t="s">
        <v>4251</v>
      </c>
      <c r="K4017">
        <v>187.7</v>
      </c>
    </row>
    <row r="4018" spans="1:11" x14ac:dyDescent="0.35">
      <c r="A4018" t="s">
        <v>4252</v>
      </c>
      <c r="B4018" s="1">
        <v>0</v>
      </c>
      <c r="C4018" t="s">
        <v>444</v>
      </c>
      <c r="D4018" t="s">
        <v>5595</v>
      </c>
      <c r="E4018" t="s">
        <v>5197</v>
      </c>
      <c r="F4018" t="s">
        <v>5338</v>
      </c>
      <c r="G4018" t="s">
        <v>5358</v>
      </c>
      <c r="H4018" t="s">
        <v>726</v>
      </c>
      <c r="J4018" t="s">
        <v>4252</v>
      </c>
      <c r="K4018">
        <v>207.8</v>
      </c>
    </row>
    <row r="4019" spans="1:11" x14ac:dyDescent="0.35">
      <c r="A4019" t="s">
        <v>4253</v>
      </c>
      <c r="B4019" s="1">
        <v>0</v>
      </c>
      <c r="C4019" t="s">
        <v>355</v>
      </c>
      <c r="D4019" t="s">
        <v>5080</v>
      </c>
      <c r="E4019" t="s">
        <v>5178</v>
      </c>
      <c r="F4019" t="s">
        <v>5338</v>
      </c>
      <c r="G4019" t="s">
        <v>5132</v>
      </c>
      <c r="H4019" t="s">
        <v>2039</v>
      </c>
      <c r="J4019" t="s">
        <v>4253</v>
      </c>
      <c r="K4019">
        <v>219.2</v>
      </c>
    </row>
    <row r="4020" spans="1:11" x14ac:dyDescent="0.35">
      <c r="A4020" t="s">
        <v>4254</v>
      </c>
      <c r="B4020" s="1">
        <v>0</v>
      </c>
      <c r="C4020" t="s">
        <v>473</v>
      </c>
      <c r="D4020" t="s">
        <v>5552</v>
      </c>
      <c r="E4020" t="s">
        <v>5306</v>
      </c>
      <c r="F4020" t="s">
        <v>5089</v>
      </c>
      <c r="G4020" t="s">
        <v>5356</v>
      </c>
      <c r="H4020" t="s">
        <v>773</v>
      </c>
      <c r="J4020" t="s">
        <v>4254</v>
      </c>
      <c r="K4020">
        <v>221.4</v>
      </c>
    </row>
    <row r="4021" spans="1:11" x14ac:dyDescent="0.35">
      <c r="A4021" t="s">
        <v>4255</v>
      </c>
      <c r="B4021" s="1">
        <v>0</v>
      </c>
      <c r="C4021" t="s">
        <v>2270</v>
      </c>
      <c r="D4021" t="s">
        <v>5233</v>
      </c>
      <c r="E4021" t="s">
        <v>5208</v>
      </c>
      <c r="F4021" t="s">
        <v>5077</v>
      </c>
      <c r="G4021" t="s">
        <v>5136</v>
      </c>
      <c r="H4021" t="s">
        <v>211</v>
      </c>
      <c r="J4021" t="s">
        <v>4255</v>
      </c>
      <c r="K4021">
        <v>225.3</v>
      </c>
    </row>
    <row r="4022" spans="1:11" x14ac:dyDescent="0.35">
      <c r="A4022" t="s">
        <v>4256</v>
      </c>
      <c r="B4022" s="1">
        <v>0</v>
      </c>
      <c r="C4022" t="s">
        <v>4903</v>
      </c>
      <c r="D4022" t="s">
        <v>5244</v>
      </c>
      <c r="E4022" t="s">
        <v>5257</v>
      </c>
      <c r="F4022" t="s">
        <v>5089</v>
      </c>
      <c r="G4022" t="s">
        <v>5355</v>
      </c>
      <c r="H4022" t="s">
        <v>5037</v>
      </c>
      <c r="J4022" t="s">
        <v>4256</v>
      </c>
      <c r="K4022">
        <v>236.1</v>
      </c>
    </row>
    <row r="4023" spans="1:11" x14ac:dyDescent="0.35">
      <c r="A4023" t="s">
        <v>4258</v>
      </c>
      <c r="B4023" s="1">
        <v>0</v>
      </c>
      <c r="C4023" t="s">
        <v>2279</v>
      </c>
      <c r="D4023" t="s">
        <v>5535</v>
      </c>
      <c r="E4023" t="s">
        <v>5218</v>
      </c>
      <c r="F4023" t="s">
        <v>5089</v>
      </c>
      <c r="G4023" t="s">
        <v>5341</v>
      </c>
      <c r="H4023" t="s">
        <v>5683</v>
      </c>
      <c r="J4023" t="s">
        <v>4258</v>
      </c>
      <c r="K4023">
        <v>251</v>
      </c>
    </row>
    <row r="4024" spans="1:11" x14ac:dyDescent="0.35">
      <c r="A4024" t="s">
        <v>4259</v>
      </c>
      <c r="B4024" s="1">
        <v>0</v>
      </c>
      <c r="C4024" t="s">
        <v>497</v>
      </c>
      <c r="D4024" t="s">
        <v>5616</v>
      </c>
      <c r="E4024" t="s">
        <v>5435</v>
      </c>
      <c r="F4024" t="s">
        <v>5089</v>
      </c>
      <c r="G4024" t="s">
        <v>5340</v>
      </c>
      <c r="H4024" t="s">
        <v>5661</v>
      </c>
      <c r="J4024" t="s">
        <v>4259</v>
      </c>
      <c r="K4024">
        <v>256.60000000000002</v>
      </c>
    </row>
    <row r="4025" spans="1:11" x14ac:dyDescent="0.35">
      <c r="A4025" t="s">
        <v>4260</v>
      </c>
      <c r="B4025" s="1">
        <v>0</v>
      </c>
      <c r="C4025" t="s">
        <v>3235</v>
      </c>
      <c r="D4025" t="s">
        <v>5510</v>
      </c>
      <c r="E4025" t="s">
        <v>5229</v>
      </c>
      <c r="F4025" t="s">
        <v>5089</v>
      </c>
      <c r="G4025" t="s">
        <v>5201</v>
      </c>
      <c r="H4025" t="s">
        <v>5836</v>
      </c>
      <c r="J4025" t="s">
        <v>4260</v>
      </c>
      <c r="K4025">
        <v>257.5</v>
      </c>
    </row>
    <row r="4026" spans="1:11" x14ac:dyDescent="0.35">
      <c r="A4026" t="s">
        <v>4261</v>
      </c>
      <c r="B4026" s="1">
        <v>0</v>
      </c>
      <c r="C4026" t="s">
        <v>1444</v>
      </c>
      <c r="D4026" t="s">
        <v>5589</v>
      </c>
      <c r="E4026" t="s">
        <v>5121</v>
      </c>
      <c r="F4026" t="s">
        <v>5358</v>
      </c>
      <c r="G4026" t="s">
        <v>5201</v>
      </c>
      <c r="H4026" t="s">
        <v>636</v>
      </c>
      <c r="J4026" t="s">
        <v>4261</v>
      </c>
      <c r="K4026">
        <v>253.6</v>
      </c>
    </row>
    <row r="4027" spans="1:11" x14ac:dyDescent="0.35">
      <c r="A4027" t="s">
        <v>4262</v>
      </c>
      <c r="B4027" s="1">
        <v>0</v>
      </c>
      <c r="C4027" t="s">
        <v>3529</v>
      </c>
      <c r="D4027" t="s">
        <v>5128</v>
      </c>
      <c r="E4027" t="s">
        <v>5120</v>
      </c>
      <c r="F4027" t="s">
        <v>5358</v>
      </c>
      <c r="G4027" t="s">
        <v>5201</v>
      </c>
      <c r="H4027" t="s">
        <v>3647</v>
      </c>
      <c r="J4027" t="s">
        <v>4262</v>
      </c>
      <c r="K4027">
        <v>249.1</v>
      </c>
    </row>
    <row r="4028" spans="1:11" x14ac:dyDescent="0.35">
      <c r="A4028" t="s">
        <v>4263</v>
      </c>
      <c r="B4028" s="1">
        <v>0</v>
      </c>
      <c r="C4028" t="s">
        <v>5548</v>
      </c>
      <c r="D4028" t="s">
        <v>5273</v>
      </c>
      <c r="E4028" t="s">
        <v>5081</v>
      </c>
      <c r="F4028" t="s">
        <v>5089</v>
      </c>
      <c r="G4028" t="s">
        <v>5341</v>
      </c>
      <c r="H4028" t="s">
        <v>5666</v>
      </c>
      <c r="J4028" t="s">
        <v>4263</v>
      </c>
      <c r="K4028">
        <v>241.3</v>
      </c>
    </row>
    <row r="4029" spans="1:11" x14ac:dyDescent="0.35">
      <c r="A4029" t="s">
        <v>4264</v>
      </c>
      <c r="B4029" s="1">
        <v>0</v>
      </c>
      <c r="C4029" t="s">
        <v>1539</v>
      </c>
      <c r="D4029" t="s">
        <v>5583</v>
      </c>
      <c r="E4029" t="s">
        <v>5239</v>
      </c>
      <c r="F4029" t="s">
        <v>5089</v>
      </c>
      <c r="G4029" t="s">
        <v>5355</v>
      </c>
      <c r="H4029" t="s">
        <v>2111</v>
      </c>
      <c r="J4029" t="s">
        <v>4264</v>
      </c>
      <c r="K4029">
        <v>229.7</v>
      </c>
    </row>
    <row r="4030" spans="1:11" x14ac:dyDescent="0.35">
      <c r="A4030" t="s">
        <v>4265</v>
      </c>
      <c r="B4030" s="1">
        <v>0</v>
      </c>
      <c r="C4030" t="s">
        <v>364</v>
      </c>
      <c r="D4030" t="s">
        <v>5142</v>
      </c>
      <c r="E4030" t="s">
        <v>5160</v>
      </c>
      <c r="F4030" t="s">
        <v>5089</v>
      </c>
      <c r="G4030" t="s">
        <v>5132</v>
      </c>
      <c r="H4030" t="s">
        <v>1238</v>
      </c>
      <c r="J4030" t="s">
        <v>4265</v>
      </c>
      <c r="K4030">
        <v>216</v>
      </c>
    </row>
    <row r="4031" spans="1:11" x14ac:dyDescent="0.35">
      <c r="A4031" t="s">
        <v>4266</v>
      </c>
      <c r="B4031" s="1">
        <v>0</v>
      </c>
      <c r="C4031" t="s">
        <v>438</v>
      </c>
      <c r="D4031" t="s">
        <v>5211</v>
      </c>
      <c r="E4031" t="s">
        <v>5170</v>
      </c>
      <c r="F4031" t="s">
        <v>5077</v>
      </c>
      <c r="G4031" t="s">
        <v>5045</v>
      </c>
      <c r="H4031" t="s">
        <v>5655</v>
      </c>
      <c r="J4031" t="s">
        <v>4266</v>
      </c>
      <c r="K4031">
        <v>196.6</v>
      </c>
    </row>
    <row r="4032" spans="1:11" x14ac:dyDescent="0.35">
      <c r="A4032" t="s">
        <v>4268</v>
      </c>
      <c r="B4032" s="1">
        <v>0</v>
      </c>
      <c r="C4032" t="s">
        <v>5261</v>
      </c>
      <c r="D4032" t="s">
        <v>5145</v>
      </c>
      <c r="E4032" t="s">
        <v>5061</v>
      </c>
      <c r="F4032" t="s">
        <v>5077</v>
      </c>
      <c r="G4032" t="s">
        <v>5082</v>
      </c>
      <c r="H4032" t="s">
        <v>191</v>
      </c>
      <c r="J4032" t="s">
        <v>4268</v>
      </c>
      <c r="K4032">
        <v>179</v>
      </c>
    </row>
    <row r="4033" spans="1:11" x14ac:dyDescent="0.35">
      <c r="A4033" t="s">
        <v>4269</v>
      </c>
      <c r="B4033" s="1">
        <v>0</v>
      </c>
      <c r="C4033" t="s">
        <v>5470</v>
      </c>
      <c r="D4033" t="s">
        <v>5085</v>
      </c>
      <c r="E4033" t="s">
        <v>5426</v>
      </c>
      <c r="F4033" t="s">
        <v>5077</v>
      </c>
      <c r="G4033" t="s">
        <v>5124</v>
      </c>
      <c r="H4033" t="s">
        <v>955</v>
      </c>
      <c r="J4033" t="s">
        <v>4269</v>
      </c>
      <c r="K4033">
        <v>172.8</v>
      </c>
    </row>
    <row r="4034" spans="1:11" x14ac:dyDescent="0.35">
      <c r="A4034" t="s">
        <v>4270</v>
      </c>
      <c r="B4034" s="1">
        <v>0</v>
      </c>
      <c r="C4034" t="s">
        <v>1003</v>
      </c>
      <c r="D4034" t="s">
        <v>5200</v>
      </c>
      <c r="E4034" t="s">
        <v>5185</v>
      </c>
      <c r="F4034" t="s">
        <v>5077</v>
      </c>
      <c r="G4034" t="s">
        <v>5124</v>
      </c>
      <c r="H4034" t="s">
        <v>1597</v>
      </c>
      <c r="J4034" t="s">
        <v>4270</v>
      </c>
      <c r="K4034">
        <v>180.4</v>
      </c>
    </row>
    <row r="4035" spans="1:11" x14ac:dyDescent="0.35">
      <c r="A4035" t="s">
        <v>4271</v>
      </c>
      <c r="B4035" s="1">
        <v>0</v>
      </c>
      <c r="C4035" t="s">
        <v>1044</v>
      </c>
      <c r="D4035" t="s">
        <v>5462</v>
      </c>
      <c r="E4035" t="s">
        <v>5171</v>
      </c>
      <c r="F4035" t="s">
        <v>5077</v>
      </c>
      <c r="G4035" t="s">
        <v>5092</v>
      </c>
      <c r="H4035" t="s">
        <v>610</v>
      </c>
      <c r="J4035" t="s">
        <v>4271</v>
      </c>
      <c r="K4035">
        <v>195.3</v>
      </c>
    </row>
    <row r="4036" spans="1:11" x14ac:dyDescent="0.35">
      <c r="A4036" t="s">
        <v>4272</v>
      </c>
      <c r="B4036" s="1">
        <v>0</v>
      </c>
      <c r="C4036" t="s">
        <v>362</v>
      </c>
      <c r="D4036" t="s">
        <v>5446</v>
      </c>
      <c r="E4036" t="s">
        <v>5204</v>
      </c>
      <c r="F4036" t="s">
        <v>5077</v>
      </c>
      <c r="G4036" t="s">
        <v>5077</v>
      </c>
      <c r="H4036" t="s">
        <v>1211</v>
      </c>
      <c r="J4036" t="s">
        <v>4272</v>
      </c>
      <c r="K4036">
        <v>203.6</v>
      </c>
    </row>
    <row r="4037" spans="1:11" x14ac:dyDescent="0.35">
      <c r="A4037" t="s">
        <v>4273</v>
      </c>
      <c r="B4037" s="1">
        <v>0</v>
      </c>
      <c r="C4037" t="s">
        <v>1917</v>
      </c>
      <c r="D4037" t="s">
        <v>5539</v>
      </c>
      <c r="E4037" t="s">
        <v>5176</v>
      </c>
      <c r="F4037" t="s">
        <v>5077</v>
      </c>
      <c r="G4037" t="s">
        <v>5089</v>
      </c>
      <c r="H4037" t="s">
        <v>2401</v>
      </c>
      <c r="J4037" t="s">
        <v>4273</v>
      </c>
      <c r="K4037">
        <v>205.8</v>
      </c>
    </row>
    <row r="4038" spans="1:11" x14ac:dyDescent="0.35">
      <c r="A4038" t="s">
        <v>4274</v>
      </c>
      <c r="B4038" s="1">
        <v>0</v>
      </c>
      <c r="C4038" t="s">
        <v>2918</v>
      </c>
      <c r="D4038" t="s">
        <v>5133</v>
      </c>
      <c r="E4038" t="s">
        <v>5056</v>
      </c>
      <c r="F4038" t="s">
        <v>5077</v>
      </c>
      <c r="G4038" t="s">
        <v>5092</v>
      </c>
      <c r="H4038" t="s">
        <v>1331</v>
      </c>
      <c r="J4038" t="s">
        <v>4274</v>
      </c>
      <c r="K4038">
        <v>197.2</v>
      </c>
    </row>
    <row r="4039" spans="1:11" x14ac:dyDescent="0.35">
      <c r="A4039" t="s">
        <v>4275</v>
      </c>
      <c r="B4039" s="1">
        <v>0</v>
      </c>
      <c r="C4039" t="s">
        <v>2232</v>
      </c>
      <c r="D4039" t="s">
        <v>5220</v>
      </c>
      <c r="E4039" t="s">
        <v>5310</v>
      </c>
      <c r="F4039" t="s">
        <v>5077</v>
      </c>
      <c r="G4039" t="s">
        <v>5095</v>
      </c>
      <c r="H4039" t="s">
        <v>607</v>
      </c>
      <c r="J4039" t="s">
        <v>4275</v>
      </c>
      <c r="K4039">
        <v>189.5</v>
      </c>
    </row>
    <row r="4040" spans="1:11" x14ac:dyDescent="0.35">
      <c r="A4040" t="s">
        <v>4276</v>
      </c>
      <c r="B4040" s="1">
        <v>0</v>
      </c>
      <c r="C4040" t="s">
        <v>435</v>
      </c>
      <c r="D4040" t="s">
        <v>5216</v>
      </c>
      <c r="E4040" t="s">
        <v>5223</v>
      </c>
      <c r="F4040" t="s">
        <v>5077</v>
      </c>
      <c r="G4040" t="s">
        <v>5095</v>
      </c>
      <c r="H4040" t="s">
        <v>691</v>
      </c>
      <c r="J4040" t="s">
        <v>4276</v>
      </c>
      <c r="K4040">
        <v>191.4</v>
      </c>
    </row>
    <row r="4041" spans="1:11" x14ac:dyDescent="0.35">
      <c r="A4041" t="s">
        <v>4277</v>
      </c>
      <c r="B4041" s="1">
        <v>0</v>
      </c>
      <c r="C4041" t="s">
        <v>4641</v>
      </c>
      <c r="D4041" t="s">
        <v>5391</v>
      </c>
      <c r="E4041" t="s">
        <v>5234</v>
      </c>
      <c r="F4041" t="s">
        <v>5077</v>
      </c>
      <c r="G4041" t="s">
        <v>5082</v>
      </c>
      <c r="H4041" t="s">
        <v>689</v>
      </c>
      <c r="J4041" t="s">
        <v>4277</v>
      </c>
      <c r="K4041">
        <v>198.5</v>
      </c>
    </row>
    <row r="4042" spans="1:11" x14ac:dyDescent="0.35">
      <c r="A4042" t="s">
        <v>4278</v>
      </c>
      <c r="B4042" s="1">
        <v>0</v>
      </c>
      <c r="C4042" t="s">
        <v>1912</v>
      </c>
      <c r="D4042" t="s">
        <v>5238</v>
      </c>
      <c r="E4042" t="s">
        <v>5176</v>
      </c>
      <c r="F4042" t="s">
        <v>5077</v>
      </c>
      <c r="G4042" t="s">
        <v>5110</v>
      </c>
      <c r="H4042" t="s">
        <v>3375</v>
      </c>
      <c r="J4042" t="s">
        <v>4278</v>
      </c>
      <c r="K4042">
        <v>199.8</v>
      </c>
    </row>
    <row r="4043" spans="1:11" x14ac:dyDescent="0.35">
      <c r="A4043" t="s">
        <v>4279</v>
      </c>
      <c r="B4043" s="1">
        <v>0</v>
      </c>
      <c r="C4043" t="s">
        <v>1011</v>
      </c>
      <c r="D4043" t="s">
        <v>5094</v>
      </c>
      <c r="E4043" t="s">
        <v>5237</v>
      </c>
      <c r="F4043" t="s">
        <v>5077</v>
      </c>
      <c r="G4043" t="s">
        <v>5082</v>
      </c>
      <c r="H4043" t="s">
        <v>3152</v>
      </c>
      <c r="J4043" t="s">
        <v>4279</v>
      </c>
      <c r="K4043">
        <v>192.8</v>
      </c>
    </row>
    <row r="4044" spans="1:11" x14ac:dyDescent="0.35">
      <c r="A4044" t="s">
        <v>4280</v>
      </c>
      <c r="B4044" s="1">
        <v>0</v>
      </c>
      <c r="C4044" t="s">
        <v>5632</v>
      </c>
      <c r="D4044" t="s">
        <v>5485</v>
      </c>
      <c r="E4044" t="s">
        <v>5422</v>
      </c>
      <c r="F4044" t="s">
        <v>5077</v>
      </c>
      <c r="G4044" t="s">
        <v>5099</v>
      </c>
      <c r="H4044" t="s">
        <v>1603</v>
      </c>
      <c r="J4044" t="s">
        <v>4280</v>
      </c>
      <c r="K4044">
        <v>179.4</v>
      </c>
    </row>
    <row r="4045" spans="1:11" x14ac:dyDescent="0.35">
      <c r="A4045" t="s">
        <v>4281</v>
      </c>
      <c r="B4045" s="1">
        <v>0</v>
      </c>
      <c r="C4045" t="s">
        <v>5544</v>
      </c>
      <c r="D4045" t="s">
        <v>5531</v>
      </c>
      <c r="E4045" t="s">
        <v>5431</v>
      </c>
      <c r="F4045" t="s">
        <v>5077</v>
      </c>
      <c r="G4045" t="s">
        <v>5475</v>
      </c>
      <c r="H4045" t="s">
        <v>811</v>
      </c>
      <c r="J4045" t="s">
        <v>4281</v>
      </c>
      <c r="K4045">
        <v>173.6</v>
      </c>
    </row>
    <row r="4046" spans="1:11" x14ac:dyDescent="0.35">
      <c r="A4046" t="s">
        <v>4282</v>
      </c>
      <c r="B4046" s="1">
        <v>0</v>
      </c>
      <c r="C4046" t="s">
        <v>5231</v>
      </c>
      <c r="D4046" t="s">
        <v>5366</v>
      </c>
      <c r="E4046" t="s">
        <v>5167</v>
      </c>
      <c r="F4046" t="s">
        <v>5077</v>
      </c>
      <c r="G4046" t="s">
        <v>5412</v>
      </c>
      <c r="H4046" t="s">
        <v>1987</v>
      </c>
      <c r="J4046" t="s">
        <v>4282</v>
      </c>
      <c r="K4046">
        <v>182.4</v>
      </c>
    </row>
    <row r="4047" spans="1:11" x14ac:dyDescent="0.35">
      <c r="A4047" t="s">
        <v>4283</v>
      </c>
      <c r="B4047" s="1">
        <v>0</v>
      </c>
      <c r="C4047" t="s">
        <v>420</v>
      </c>
      <c r="D4047" t="s">
        <v>5107</v>
      </c>
      <c r="E4047" t="s">
        <v>5102</v>
      </c>
      <c r="F4047" t="s">
        <v>5077</v>
      </c>
      <c r="G4047" t="s">
        <v>5062</v>
      </c>
      <c r="H4047" t="s">
        <v>2142</v>
      </c>
      <c r="J4047" t="s">
        <v>4283</v>
      </c>
      <c r="K4047">
        <v>197.3</v>
      </c>
    </row>
    <row r="4048" spans="1:11" x14ac:dyDescent="0.35">
      <c r="A4048" t="s">
        <v>4284</v>
      </c>
      <c r="B4048" s="1">
        <v>0</v>
      </c>
      <c r="C4048" t="s">
        <v>423</v>
      </c>
      <c r="D4048" t="s">
        <v>5591</v>
      </c>
      <c r="E4048" t="s">
        <v>5243</v>
      </c>
      <c r="F4048" t="s">
        <v>5077</v>
      </c>
      <c r="G4048" t="s">
        <v>5183</v>
      </c>
      <c r="H4048" t="s">
        <v>4199</v>
      </c>
      <c r="J4048" t="s">
        <v>4284</v>
      </c>
      <c r="K4048">
        <v>200.6</v>
      </c>
    </row>
    <row r="4049" spans="1:11" x14ac:dyDescent="0.35">
      <c r="A4049" t="s">
        <v>4285</v>
      </c>
      <c r="B4049" s="1">
        <v>0</v>
      </c>
      <c r="C4049" t="s">
        <v>5631</v>
      </c>
      <c r="D4049" t="s">
        <v>5478</v>
      </c>
      <c r="E4049" t="s">
        <v>5098</v>
      </c>
      <c r="F4049" t="s">
        <v>5077</v>
      </c>
      <c r="G4049" t="s">
        <v>5099</v>
      </c>
      <c r="H4049" t="s">
        <v>2745</v>
      </c>
      <c r="J4049" t="s">
        <v>4285</v>
      </c>
      <c r="K4049">
        <v>193.4</v>
      </c>
    </row>
    <row r="4050" spans="1:11" x14ac:dyDescent="0.35">
      <c r="A4050" t="s">
        <v>4286</v>
      </c>
      <c r="B4050" s="1">
        <v>0</v>
      </c>
      <c r="C4050" t="s">
        <v>5514</v>
      </c>
      <c r="D4050" t="s">
        <v>5206</v>
      </c>
      <c r="E4050" t="s">
        <v>5234</v>
      </c>
      <c r="F4050" t="s">
        <v>5077</v>
      </c>
      <c r="G4050" t="s">
        <v>5124</v>
      </c>
      <c r="H4050" t="s">
        <v>911</v>
      </c>
      <c r="J4050" t="s">
        <v>4286</v>
      </c>
      <c r="K4050">
        <v>180.6</v>
      </c>
    </row>
    <row r="4051" spans="1:11" x14ac:dyDescent="0.35">
      <c r="A4051" t="s">
        <v>4287</v>
      </c>
      <c r="B4051" s="1">
        <v>0</v>
      </c>
      <c r="C4051" t="s">
        <v>5091</v>
      </c>
      <c r="D4051" t="s">
        <v>5435</v>
      </c>
      <c r="E4051" t="s">
        <v>5289</v>
      </c>
      <c r="F4051" t="s">
        <v>5050</v>
      </c>
      <c r="G4051" t="s">
        <v>5195</v>
      </c>
      <c r="H4051" t="s">
        <v>1390</v>
      </c>
      <c r="J4051" t="s">
        <v>4287</v>
      </c>
      <c r="K4051">
        <v>153.1</v>
      </c>
    </row>
    <row r="4052" spans="1:11" x14ac:dyDescent="0.35">
      <c r="A4052" t="s">
        <v>4288</v>
      </c>
      <c r="B4052" s="1">
        <v>0</v>
      </c>
      <c r="C4052" t="s">
        <v>5552</v>
      </c>
      <c r="D4052" t="s">
        <v>5105</v>
      </c>
      <c r="E4052" t="s">
        <v>5320</v>
      </c>
      <c r="F4052" t="s">
        <v>5050</v>
      </c>
      <c r="G4052" t="s">
        <v>5186</v>
      </c>
      <c r="H4052" t="s">
        <v>2783</v>
      </c>
      <c r="J4052" t="s">
        <v>4288</v>
      </c>
      <c r="K4052">
        <v>149.6</v>
      </c>
    </row>
    <row r="4053" spans="1:11" x14ac:dyDescent="0.35">
      <c r="A4053" t="s">
        <v>4289</v>
      </c>
      <c r="B4053" s="1">
        <v>0</v>
      </c>
      <c r="C4053" t="s">
        <v>5115</v>
      </c>
      <c r="D4053" t="s">
        <v>5182</v>
      </c>
      <c r="E4053" t="s">
        <v>5284</v>
      </c>
      <c r="F4053" t="s">
        <v>5050</v>
      </c>
      <c r="G4053" t="s">
        <v>5186</v>
      </c>
      <c r="H4053" t="s">
        <v>2783</v>
      </c>
      <c r="J4053" t="s">
        <v>4289</v>
      </c>
      <c r="K4053">
        <v>149.6</v>
      </c>
    </row>
    <row r="4054" spans="1:11" x14ac:dyDescent="0.35">
      <c r="A4054" t="s">
        <v>4290</v>
      </c>
      <c r="B4054" s="1">
        <v>0</v>
      </c>
      <c r="C4054" t="s">
        <v>5259</v>
      </c>
      <c r="D4054" t="s">
        <v>5270</v>
      </c>
      <c r="E4054" t="s">
        <v>5292</v>
      </c>
      <c r="F4054" t="s">
        <v>5050</v>
      </c>
      <c r="G4054" t="s">
        <v>5184</v>
      </c>
      <c r="H4054" t="s">
        <v>883</v>
      </c>
      <c r="J4054" t="s">
        <v>4290</v>
      </c>
      <c r="K4054">
        <v>155.6</v>
      </c>
    </row>
    <row r="4055" spans="1:11" x14ac:dyDescent="0.35">
      <c r="A4055" t="s">
        <v>4291</v>
      </c>
      <c r="B4055" s="1">
        <v>0</v>
      </c>
      <c r="C4055" t="s">
        <v>5656</v>
      </c>
      <c r="D4055" t="s">
        <v>5063</v>
      </c>
      <c r="E4055" t="s">
        <v>5299</v>
      </c>
      <c r="F4055" t="s">
        <v>5050</v>
      </c>
      <c r="G4055" t="s">
        <v>5177</v>
      </c>
      <c r="H4055" t="s">
        <v>169</v>
      </c>
      <c r="J4055" t="s">
        <v>4291</v>
      </c>
      <c r="K4055">
        <v>162.80000000000001</v>
      </c>
    </row>
    <row r="4056" spans="1:11" x14ac:dyDescent="0.35">
      <c r="A4056" t="s">
        <v>4292</v>
      </c>
      <c r="B4056" s="1">
        <v>0</v>
      </c>
      <c r="C4056" t="s">
        <v>5643</v>
      </c>
      <c r="D4056" t="s">
        <v>5105</v>
      </c>
      <c r="E4056" t="s">
        <v>5415</v>
      </c>
      <c r="F4056" t="s">
        <v>5050</v>
      </c>
      <c r="G4056" t="s">
        <v>5177</v>
      </c>
      <c r="H4056" t="s">
        <v>3379</v>
      </c>
      <c r="J4056" t="s">
        <v>4292</v>
      </c>
      <c r="K4056">
        <v>160.6</v>
      </c>
    </row>
    <row r="4057" spans="1:11" x14ac:dyDescent="0.35">
      <c r="A4057" t="s">
        <v>4293</v>
      </c>
      <c r="B4057" s="1">
        <v>0</v>
      </c>
      <c r="C4057" t="s">
        <v>5474</v>
      </c>
      <c r="D4057" t="s">
        <v>5276</v>
      </c>
      <c r="E4057" t="s">
        <v>5415</v>
      </c>
      <c r="F4057" t="s">
        <v>5050</v>
      </c>
      <c r="G4057" t="s">
        <v>5180</v>
      </c>
      <c r="H4057" t="s">
        <v>815</v>
      </c>
      <c r="J4057" t="s">
        <v>4293</v>
      </c>
      <c r="K4057">
        <v>157.9</v>
      </c>
    </row>
    <row r="4058" spans="1:11" x14ac:dyDescent="0.35">
      <c r="A4058" t="s">
        <v>4294</v>
      </c>
      <c r="B4058" s="1">
        <v>0</v>
      </c>
      <c r="C4058" t="s">
        <v>5520</v>
      </c>
      <c r="D4058" t="s">
        <v>5213</v>
      </c>
      <c r="E4058" t="s">
        <v>5289</v>
      </c>
      <c r="F4058" t="s">
        <v>5050</v>
      </c>
      <c r="G4058" t="s">
        <v>5184</v>
      </c>
      <c r="H4058" t="s">
        <v>286</v>
      </c>
      <c r="J4058" t="s">
        <v>4294</v>
      </c>
      <c r="K4058">
        <v>157.80000000000001</v>
      </c>
    </row>
    <row r="4059" spans="1:11" x14ac:dyDescent="0.35">
      <c r="A4059" t="s">
        <v>4295</v>
      </c>
      <c r="B4059" s="1">
        <v>0</v>
      </c>
      <c r="C4059" t="s">
        <v>5474</v>
      </c>
      <c r="D4059" t="s">
        <v>5453</v>
      </c>
      <c r="E4059" t="s">
        <v>5426</v>
      </c>
      <c r="F4059" t="s">
        <v>5050</v>
      </c>
      <c r="G4059" t="s">
        <v>5195</v>
      </c>
      <c r="H4059" t="s">
        <v>1622</v>
      </c>
      <c r="J4059" t="s">
        <v>4295</v>
      </c>
      <c r="K4059">
        <v>160.69999999999999</v>
      </c>
    </row>
    <row r="4060" spans="1:11" x14ac:dyDescent="0.35">
      <c r="A4060" t="s">
        <v>4296</v>
      </c>
      <c r="B4060" s="1">
        <v>0</v>
      </c>
      <c r="C4060" t="s">
        <v>5580</v>
      </c>
      <c r="D4060" t="s">
        <v>5247</v>
      </c>
      <c r="E4060" t="s">
        <v>5295</v>
      </c>
      <c r="F4060" t="s">
        <v>5050</v>
      </c>
      <c r="G4060" t="s">
        <v>5195</v>
      </c>
      <c r="H4060" t="s">
        <v>169</v>
      </c>
      <c r="J4060" t="s">
        <v>4296</v>
      </c>
      <c r="K4060">
        <v>162.80000000000001</v>
      </c>
    </row>
    <row r="4061" spans="1:11" x14ac:dyDescent="0.35">
      <c r="A4061" t="s">
        <v>4297</v>
      </c>
      <c r="B4061" s="1">
        <v>0</v>
      </c>
      <c r="C4061" t="s">
        <v>5214</v>
      </c>
      <c r="D4061" t="s">
        <v>5253</v>
      </c>
      <c r="E4061" t="s">
        <v>5283</v>
      </c>
      <c r="F4061" t="s">
        <v>5050</v>
      </c>
      <c r="G4061" t="s">
        <v>5195</v>
      </c>
      <c r="H4061" t="s">
        <v>875</v>
      </c>
      <c r="J4061" t="s">
        <v>4297</v>
      </c>
      <c r="K4061">
        <v>161.4</v>
      </c>
    </row>
    <row r="4062" spans="1:11" x14ac:dyDescent="0.35">
      <c r="A4062" t="s">
        <v>4298</v>
      </c>
      <c r="B4062" s="1">
        <v>0</v>
      </c>
      <c r="C4062" t="s">
        <v>5509</v>
      </c>
      <c r="D4062" t="s">
        <v>5096</v>
      </c>
      <c r="E4062" t="s">
        <v>5525</v>
      </c>
      <c r="F4062" t="s">
        <v>5050</v>
      </c>
      <c r="G4062" t="s">
        <v>5186</v>
      </c>
      <c r="H4062" t="s">
        <v>1156</v>
      </c>
      <c r="J4062" t="s">
        <v>4298</v>
      </c>
      <c r="K4062">
        <v>154.4</v>
      </c>
    </row>
    <row r="4063" spans="1:11" x14ac:dyDescent="0.35">
      <c r="A4063" t="s">
        <v>4299</v>
      </c>
      <c r="B4063" s="1">
        <v>0</v>
      </c>
      <c r="C4063" t="s">
        <v>5484</v>
      </c>
      <c r="D4063" t="s">
        <v>5243</v>
      </c>
      <c r="E4063" t="s">
        <v>5284</v>
      </c>
      <c r="F4063" t="s">
        <v>5046</v>
      </c>
      <c r="G4063" t="s">
        <v>5405</v>
      </c>
      <c r="H4063" t="s">
        <v>551</v>
      </c>
      <c r="J4063" t="s">
        <v>4299</v>
      </c>
      <c r="K4063">
        <v>147.5</v>
      </c>
    </row>
    <row r="4064" spans="1:11" x14ac:dyDescent="0.35">
      <c r="A4064" t="s">
        <v>4300</v>
      </c>
      <c r="B4064" s="1">
        <v>0</v>
      </c>
      <c r="C4064" t="s">
        <v>5235</v>
      </c>
      <c r="D4064" t="s">
        <v>5276</v>
      </c>
      <c r="E4064" t="s">
        <v>5623</v>
      </c>
      <c r="F4064" t="s">
        <v>5046</v>
      </c>
      <c r="G4064" t="s">
        <v>5419</v>
      </c>
      <c r="H4064" t="s">
        <v>108</v>
      </c>
      <c r="J4064" t="s">
        <v>4300</v>
      </c>
      <c r="K4064">
        <v>144.9</v>
      </c>
    </row>
    <row r="4065" spans="1:11" x14ac:dyDescent="0.35">
      <c r="A4065" t="s">
        <v>4301</v>
      </c>
      <c r="B4065" s="1">
        <v>0</v>
      </c>
      <c r="C4065" t="s">
        <v>5447</v>
      </c>
      <c r="D4065" t="s">
        <v>5069</v>
      </c>
      <c r="E4065" t="s">
        <v>5292</v>
      </c>
      <c r="F4065" t="s">
        <v>5046</v>
      </c>
      <c r="G4065" t="s">
        <v>5402</v>
      </c>
      <c r="H4065" t="s">
        <v>295</v>
      </c>
      <c r="J4065" t="s">
        <v>4301</v>
      </c>
      <c r="K4065">
        <v>145.6</v>
      </c>
    </row>
    <row r="4066" spans="1:11" x14ac:dyDescent="0.35">
      <c r="A4066" t="s">
        <v>4302</v>
      </c>
      <c r="B4066" s="1">
        <v>0</v>
      </c>
      <c r="C4066" t="s">
        <v>5109</v>
      </c>
      <c r="D4066" t="s">
        <v>5247</v>
      </c>
      <c r="E4066" t="s">
        <v>5057</v>
      </c>
      <c r="F4066" t="s">
        <v>5046</v>
      </c>
      <c r="G4066" t="s">
        <v>5419</v>
      </c>
      <c r="H4066" t="s">
        <v>1156</v>
      </c>
      <c r="J4066" t="s">
        <v>4302</v>
      </c>
      <c r="K4066">
        <v>154.4</v>
      </c>
    </row>
    <row r="4067" spans="1:11" x14ac:dyDescent="0.35">
      <c r="A4067" t="s">
        <v>4303</v>
      </c>
      <c r="B4067" s="1">
        <v>0</v>
      </c>
      <c r="C4067" t="s">
        <v>5228</v>
      </c>
      <c r="D4067" t="s">
        <v>5439</v>
      </c>
      <c r="E4067" t="s">
        <v>5524</v>
      </c>
      <c r="F4067" t="s">
        <v>5050</v>
      </c>
      <c r="G4067" t="s">
        <v>5357</v>
      </c>
      <c r="H4067" t="s">
        <v>161</v>
      </c>
      <c r="J4067" t="s">
        <v>4303</v>
      </c>
      <c r="K4067">
        <v>165.2</v>
      </c>
    </row>
    <row r="4068" spans="1:11" x14ac:dyDescent="0.35">
      <c r="A4068" t="s">
        <v>4304</v>
      </c>
      <c r="B4068" s="1">
        <v>0</v>
      </c>
      <c r="C4068" t="s">
        <v>5566</v>
      </c>
      <c r="D4068" t="s">
        <v>5090</v>
      </c>
      <c r="E4068" t="s">
        <v>5422</v>
      </c>
      <c r="F4068" t="s">
        <v>5050</v>
      </c>
      <c r="G4068" t="s">
        <v>5195</v>
      </c>
      <c r="H4068" t="s">
        <v>899</v>
      </c>
      <c r="J4068" t="s">
        <v>4304</v>
      </c>
      <c r="K4068">
        <v>172.2</v>
      </c>
    </row>
    <row r="4069" spans="1:11" x14ac:dyDescent="0.35">
      <c r="A4069" t="s">
        <v>4305</v>
      </c>
      <c r="B4069" s="1">
        <v>0</v>
      </c>
      <c r="C4069" t="s">
        <v>5585</v>
      </c>
      <c r="D4069" t="s">
        <v>5505</v>
      </c>
      <c r="E4069" t="s">
        <v>5431</v>
      </c>
      <c r="F4069" t="s">
        <v>5050</v>
      </c>
      <c r="G4069" t="s">
        <v>5177</v>
      </c>
      <c r="H4069" t="s">
        <v>61</v>
      </c>
      <c r="J4069" t="s">
        <v>4305</v>
      </c>
      <c r="K4069">
        <v>171.1</v>
      </c>
    </row>
    <row r="4070" spans="1:11" x14ac:dyDescent="0.35">
      <c r="A4070" t="s">
        <v>4306</v>
      </c>
      <c r="B4070" s="1">
        <v>0</v>
      </c>
      <c r="C4070" t="s">
        <v>5490</v>
      </c>
      <c r="D4070" t="s">
        <v>5141</v>
      </c>
      <c r="E4070" t="s">
        <v>5420</v>
      </c>
      <c r="F4070" t="s">
        <v>5050</v>
      </c>
      <c r="G4070" t="s">
        <v>5159</v>
      </c>
      <c r="H4070" t="s">
        <v>827</v>
      </c>
      <c r="J4070" t="s">
        <v>4306</v>
      </c>
      <c r="K4070">
        <v>164.2</v>
      </c>
    </row>
    <row r="4071" spans="1:11" x14ac:dyDescent="0.35">
      <c r="A4071" t="s">
        <v>4307</v>
      </c>
      <c r="B4071" s="1">
        <v>0</v>
      </c>
      <c r="C4071" t="s">
        <v>5541</v>
      </c>
      <c r="D4071" t="s">
        <v>5448</v>
      </c>
      <c r="E4071" t="s">
        <v>5319</v>
      </c>
      <c r="F4071" t="s">
        <v>5050</v>
      </c>
      <c r="G4071" t="s">
        <v>5184</v>
      </c>
      <c r="H4071" t="s">
        <v>157</v>
      </c>
      <c r="J4071" t="s">
        <v>4307</v>
      </c>
      <c r="K4071">
        <v>152.80000000000001</v>
      </c>
    </row>
    <row r="4072" spans="1:11" x14ac:dyDescent="0.35">
      <c r="A4072" t="s">
        <v>4308</v>
      </c>
      <c r="B4072" s="1">
        <v>0</v>
      </c>
      <c r="C4072" t="s">
        <v>5109</v>
      </c>
      <c r="D4072" t="s">
        <v>5304</v>
      </c>
      <c r="E4072" t="s">
        <v>5623</v>
      </c>
      <c r="F4072" t="s">
        <v>5046</v>
      </c>
      <c r="G4072" t="s">
        <v>5184</v>
      </c>
      <c r="H4072" t="s">
        <v>175</v>
      </c>
      <c r="J4072" t="s">
        <v>4308</v>
      </c>
      <c r="K4072">
        <v>150.6</v>
      </c>
    </row>
    <row r="4073" spans="1:11" x14ac:dyDescent="0.35">
      <c r="A4073" t="s">
        <v>4309</v>
      </c>
      <c r="B4073" s="1">
        <v>0</v>
      </c>
      <c r="C4073" t="s">
        <v>5615</v>
      </c>
      <c r="D4073" t="s">
        <v>5437</v>
      </c>
      <c r="E4073" t="s">
        <v>5426</v>
      </c>
      <c r="F4073" t="s">
        <v>5050</v>
      </c>
      <c r="G4073" t="s">
        <v>5348</v>
      </c>
      <c r="H4073" t="s">
        <v>72</v>
      </c>
      <c r="J4073" t="s">
        <v>4309</v>
      </c>
      <c r="K4073">
        <v>165.9</v>
      </c>
    </row>
    <row r="4074" spans="1:11" x14ac:dyDescent="0.35">
      <c r="A4074" t="s">
        <v>4310</v>
      </c>
      <c r="B4074" s="1">
        <v>0</v>
      </c>
      <c r="C4074" t="s">
        <v>2602</v>
      </c>
      <c r="D4074" t="s">
        <v>5534</v>
      </c>
      <c r="E4074" t="s">
        <v>5056</v>
      </c>
      <c r="F4074" t="s">
        <v>5050</v>
      </c>
      <c r="G4074" t="s">
        <v>5153</v>
      </c>
      <c r="H4074" t="s">
        <v>2524</v>
      </c>
      <c r="J4074" t="s">
        <v>4310</v>
      </c>
      <c r="K4074">
        <v>190.9</v>
      </c>
    </row>
    <row r="4075" spans="1:11" x14ac:dyDescent="0.35">
      <c r="A4075" t="s">
        <v>4311</v>
      </c>
      <c r="B4075" s="1">
        <v>0</v>
      </c>
      <c r="C4075" t="s">
        <v>362</v>
      </c>
      <c r="D4075" t="s">
        <v>5101</v>
      </c>
      <c r="E4075" t="s">
        <v>5306</v>
      </c>
      <c r="F4075" t="s">
        <v>5050</v>
      </c>
      <c r="G4075" t="s">
        <v>5144</v>
      </c>
      <c r="H4075" t="s">
        <v>2356</v>
      </c>
      <c r="J4075" t="s">
        <v>4311</v>
      </c>
      <c r="K4075">
        <v>202.5</v>
      </c>
    </row>
    <row r="4076" spans="1:11" x14ac:dyDescent="0.35">
      <c r="A4076" t="s">
        <v>4312</v>
      </c>
      <c r="B4076" s="1">
        <v>0</v>
      </c>
      <c r="C4076" t="s">
        <v>1050</v>
      </c>
      <c r="D4076" t="s">
        <v>5101</v>
      </c>
      <c r="E4076" t="s">
        <v>5210</v>
      </c>
      <c r="F4076" t="s">
        <v>5050</v>
      </c>
      <c r="G4076" t="s">
        <v>5397</v>
      </c>
      <c r="H4076" t="s">
        <v>2144</v>
      </c>
      <c r="J4076" t="s">
        <v>4312</v>
      </c>
      <c r="K4076">
        <v>203.9</v>
      </c>
    </row>
    <row r="4077" spans="1:11" x14ac:dyDescent="0.35">
      <c r="A4077" t="s">
        <v>4313</v>
      </c>
      <c r="B4077" s="1">
        <v>0</v>
      </c>
      <c r="C4077" t="s">
        <v>1528</v>
      </c>
      <c r="D4077" t="s">
        <v>5250</v>
      </c>
      <c r="E4077" t="s">
        <v>5167</v>
      </c>
      <c r="F4077" t="s">
        <v>5050</v>
      </c>
      <c r="G4077" t="s">
        <v>5140</v>
      </c>
      <c r="H4077" t="s">
        <v>3143</v>
      </c>
      <c r="J4077" t="s">
        <v>4313</v>
      </c>
      <c r="K4077">
        <v>199.1</v>
      </c>
    </row>
    <row r="4078" spans="1:11" x14ac:dyDescent="0.35">
      <c r="A4078" t="s">
        <v>4314</v>
      </c>
      <c r="B4078" s="1">
        <v>0</v>
      </c>
      <c r="C4078" t="s">
        <v>456</v>
      </c>
      <c r="D4078" t="s">
        <v>5262</v>
      </c>
      <c r="E4078" t="s">
        <v>5422</v>
      </c>
      <c r="F4078" t="s">
        <v>5050</v>
      </c>
      <c r="G4078" t="s">
        <v>5334</v>
      </c>
      <c r="H4078" t="s">
        <v>2552</v>
      </c>
      <c r="J4078" t="s">
        <v>4314</v>
      </c>
      <c r="K4078">
        <v>190.8</v>
      </c>
    </row>
    <row r="4079" spans="1:11" x14ac:dyDescent="0.35">
      <c r="A4079" s="2">
        <v>43891</v>
      </c>
      <c r="B4079" s="1">
        <v>0</v>
      </c>
      <c r="C4079" t="s">
        <v>1883</v>
      </c>
      <c r="D4079" t="s">
        <v>5137</v>
      </c>
      <c r="E4079" t="s">
        <v>5181</v>
      </c>
      <c r="F4079" t="s">
        <v>5050</v>
      </c>
      <c r="G4079" t="s">
        <v>5339</v>
      </c>
      <c r="H4079" t="s">
        <v>183</v>
      </c>
      <c r="J4079" s="2">
        <v>43891</v>
      </c>
      <c r="K4079">
        <v>181.4</v>
      </c>
    </row>
    <row r="4080" spans="1:11" x14ac:dyDescent="0.35">
      <c r="A4080" s="2">
        <v>43892</v>
      </c>
      <c r="B4080" s="1">
        <v>0</v>
      </c>
      <c r="C4080" t="s">
        <v>1039</v>
      </c>
      <c r="D4080" t="s">
        <v>5572</v>
      </c>
      <c r="E4080" t="s">
        <v>5568</v>
      </c>
      <c r="F4080" t="s">
        <v>5078</v>
      </c>
      <c r="G4080" t="s">
        <v>5174</v>
      </c>
      <c r="H4080" t="s">
        <v>3341</v>
      </c>
      <c r="J4080" s="2">
        <v>43892</v>
      </c>
      <c r="K4080">
        <v>182.3</v>
      </c>
    </row>
    <row r="4081" spans="1:11" x14ac:dyDescent="0.35">
      <c r="A4081" s="2">
        <v>43893</v>
      </c>
      <c r="B4081" s="1">
        <v>0</v>
      </c>
      <c r="C4081" t="s">
        <v>1031</v>
      </c>
      <c r="D4081" t="s">
        <v>5137</v>
      </c>
      <c r="E4081" t="s">
        <v>5284</v>
      </c>
      <c r="F4081" t="s">
        <v>5078</v>
      </c>
      <c r="G4081" t="s">
        <v>5230</v>
      </c>
      <c r="H4081" t="s">
        <v>809</v>
      </c>
      <c r="J4081" s="2">
        <v>43893</v>
      </c>
      <c r="K4081">
        <v>178.2</v>
      </c>
    </row>
    <row r="4082" spans="1:11" x14ac:dyDescent="0.35">
      <c r="A4082" s="2">
        <v>43894</v>
      </c>
      <c r="B4082" s="1">
        <v>0</v>
      </c>
      <c r="C4082" t="s">
        <v>5461</v>
      </c>
      <c r="D4082" t="s">
        <v>5508</v>
      </c>
      <c r="E4082" t="s">
        <v>5053</v>
      </c>
      <c r="F4082" t="s">
        <v>5183</v>
      </c>
      <c r="G4082" t="s">
        <v>5222</v>
      </c>
      <c r="H4082" t="s">
        <v>892</v>
      </c>
      <c r="J4082" s="2">
        <v>43894</v>
      </c>
      <c r="K4082">
        <v>174.2</v>
      </c>
    </row>
    <row r="4083" spans="1:11" x14ac:dyDescent="0.35">
      <c r="A4083" s="2">
        <v>43895</v>
      </c>
      <c r="B4083" s="1">
        <v>0</v>
      </c>
      <c r="C4083" t="s">
        <v>5502</v>
      </c>
      <c r="D4083" t="s">
        <v>5137</v>
      </c>
      <c r="E4083" t="s">
        <v>5284</v>
      </c>
      <c r="F4083" t="s">
        <v>5183</v>
      </c>
      <c r="G4083" t="s">
        <v>5172</v>
      </c>
      <c r="H4083" t="s">
        <v>255</v>
      </c>
      <c r="J4083" s="2">
        <v>43895</v>
      </c>
      <c r="K4083">
        <v>169.7</v>
      </c>
    </row>
    <row r="4084" spans="1:11" x14ac:dyDescent="0.35">
      <c r="A4084" s="2">
        <v>43896</v>
      </c>
      <c r="B4084" s="1">
        <v>0</v>
      </c>
      <c r="C4084" t="s">
        <v>5273</v>
      </c>
      <c r="D4084" t="s">
        <v>5141</v>
      </c>
      <c r="E4084" t="s">
        <v>5623</v>
      </c>
      <c r="F4084" t="s">
        <v>5183</v>
      </c>
      <c r="G4084" t="s">
        <v>5321</v>
      </c>
      <c r="H4084" t="s">
        <v>169</v>
      </c>
      <c r="J4084" s="2">
        <v>43896</v>
      </c>
      <c r="K4084">
        <v>162.80000000000001</v>
      </c>
    </row>
    <row r="4085" spans="1:11" x14ac:dyDescent="0.35">
      <c r="A4085" s="2">
        <v>43897</v>
      </c>
      <c r="B4085" s="1">
        <v>0</v>
      </c>
      <c r="C4085" t="s">
        <v>5483</v>
      </c>
      <c r="D4085" t="s">
        <v>5441</v>
      </c>
      <c r="E4085" t="s">
        <v>5415</v>
      </c>
      <c r="F4085" t="s">
        <v>5183</v>
      </c>
      <c r="G4085" t="s">
        <v>5288</v>
      </c>
      <c r="H4085" t="s">
        <v>590</v>
      </c>
      <c r="J4085" s="2">
        <v>43897</v>
      </c>
      <c r="K4085">
        <v>157.5</v>
      </c>
    </row>
    <row r="4086" spans="1:11" x14ac:dyDescent="0.35">
      <c r="A4086" s="2">
        <v>43898</v>
      </c>
      <c r="B4086" s="1">
        <v>0</v>
      </c>
      <c r="C4086" t="s">
        <v>5271</v>
      </c>
      <c r="D4086" t="s">
        <v>5437</v>
      </c>
      <c r="E4086" t="s">
        <v>5052</v>
      </c>
      <c r="F4086" t="s">
        <v>5078</v>
      </c>
      <c r="G4086" t="s">
        <v>5288</v>
      </c>
      <c r="H4086" t="s">
        <v>1348</v>
      </c>
      <c r="J4086" s="2">
        <v>43898</v>
      </c>
      <c r="K4086">
        <v>161.30000000000001</v>
      </c>
    </row>
    <row r="4087" spans="1:11" x14ac:dyDescent="0.35">
      <c r="A4087" s="2">
        <v>43899</v>
      </c>
      <c r="B4087" s="1">
        <v>0</v>
      </c>
      <c r="C4087" t="s">
        <v>428</v>
      </c>
      <c r="D4087" t="s">
        <v>5440</v>
      </c>
      <c r="E4087" t="s">
        <v>5328</v>
      </c>
      <c r="F4087" t="s">
        <v>5078</v>
      </c>
      <c r="G4087" t="s">
        <v>5227</v>
      </c>
      <c r="H4087" t="s">
        <v>1322</v>
      </c>
      <c r="J4087" s="2">
        <v>43899</v>
      </c>
      <c r="K4087">
        <v>178</v>
      </c>
    </row>
    <row r="4088" spans="1:11" x14ac:dyDescent="0.35">
      <c r="A4088" s="2">
        <v>43900</v>
      </c>
      <c r="B4088" s="1">
        <v>0</v>
      </c>
      <c r="C4088" t="s">
        <v>1916</v>
      </c>
      <c r="D4088" t="s">
        <v>5193</v>
      </c>
      <c r="E4088" t="s">
        <v>5428</v>
      </c>
      <c r="F4088" t="s">
        <v>5078</v>
      </c>
      <c r="G4088" t="s">
        <v>5050</v>
      </c>
      <c r="H4088" t="s">
        <v>4012</v>
      </c>
      <c r="J4088" s="2">
        <v>43900</v>
      </c>
      <c r="K4088">
        <v>201.6</v>
      </c>
    </row>
    <row r="4089" spans="1:11" x14ac:dyDescent="0.35">
      <c r="A4089" s="2">
        <v>43901</v>
      </c>
      <c r="B4089" s="1">
        <v>0</v>
      </c>
      <c r="C4089" t="s">
        <v>986</v>
      </c>
      <c r="D4089" t="s">
        <v>5573</v>
      </c>
      <c r="E4089" t="s">
        <v>5071</v>
      </c>
      <c r="F4089" t="s">
        <v>5215</v>
      </c>
      <c r="G4089" t="s">
        <v>5179</v>
      </c>
      <c r="H4089" t="s">
        <v>4984</v>
      </c>
      <c r="J4089" s="2">
        <v>43901</v>
      </c>
      <c r="K4089">
        <v>216.9</v>
      </c>
    </row>
    <row r="4090" spans="1:11" x14ac:dyDescent="0.35">
      <c r="A4090" s="2">
        <v>43902</v>
      </c>
      <c r="B4090" s="1">
        <v>0</v>
      </c>
      <c r="C4090" t="s">
        <v>1864</v>
      </c>
      <c r="D4090" t="s">
        <v>5497</v>
      </c>
      <c r="E4090" t="s">
        <v>5192</v>
      </c>
      <c r="F4090" t="s">
        <v>5215</v>
      </c>
      <c r="G4090" t="s">
        <v>5412</v>
      </c>
      <c r="H4090" t="s">
        <v>5681</v>
      </c>
      <c r="J4090" s="2">
        <v>43902</v>
      </c>
      <c r="K4090">
        <v>227.4</v>
      </c>
    </row>
    <row r="4091" spans="1:11" x14ac:dyDescent="0.35">
      <c r="A4091" s="2">
        <v>43903</v>
      </c>
      <c r="B4091" s="1">
        <v>0</v>
      </c>
      <c r="C4091" t="s">
        <v>1478</v>
      </c>
      <c r="D4091" t="s">
        <v>5589</v>
      </c>
      <c r="E4091" t="s">
        <v>5304</v>
      </c>
      <c r="F4091" t="s">
        <v>5215</v>
      </c>
      <c r="G4091" t="s">
        <v>5062</v>
      </c>
      <c r="H4091" t="s">
        <v>2026</v>
      </c>
      <c r="J4091" s="2">
        <v>43903</v>
      </c>
      <c r="K4091">
        <v>230.5</v>
      </c>
    </row>
    <row r="4092" spans="1:11" x14ac:dyDescent="0.35">
      <c r="A4092" s="2">
        <v>43904</v>
      </c>
      <c r="B4092" s="1">
        <v>0</v>
      </c>
      <c r="C4092" t="s">
        <v>1871</v>
      </c>
      <c r="D4092" t="s">
        <v>5544</v>
      </c>
      <c r="E4092" t="s">
        <v>5162</v>
      </c>
      <c r="F4092" t="s">
        <v>5215</v>
      </c>
      <c r="G4092" t="s">
        <v>5412</v>
      </c>
      <c r="H4092" t="s">
        <v>5717</v>
      </c>
      <c r="J4092" s="2">
        <v>43904</v>
      </c>
      <c r="K4092">
        <v>224.6</v>
      </c>
    </row>
    <row r="4093" spans="1:11" x14ac:dyDescent="0.35">
      <c r="A4093" s="2">
        <v>43905</v>
      </c>
      <c r="B4093" s="1">
        <v>0</v>
      </c>
      <c r="C4093" t="s">
        <v>1471</v>
      </c>
      <c r="D4093" t="s">
        <v>5630</v>
      </c>
      <c r="E4093" t="s">
        <v>5208</v>
      </c>
      <c r="F4093" t="s">
        <v>5215</v>
      </c>
      <c r="G4093" t="s">
        <v>5058</v>
      </c>
      <c r="H4093" t="s">
        <v>2696</v>
      </c>
      <c r="J4093" s="2">
        <v>43905</v>
      </c>
      <c r="K4093">
        <v>216.4</v>
      </c>
    </row>
    <row r="4094" spans="1:11" x14ac:dyDescent="0.35">
      <c r="A4094" s="2">
        <v>43906</v>
      </c>
      <c r="B4094" s="1">
        <v>0</v>
      </c>
      <c r="C4094" t="s">
        <v>349</v>
      </c>
      <c r="D4094" t="s">
        <v>5476</v>
      </c>
      <c r="E4094" t="s">
        <v>5249</v>
      </c>
      <c r="F4094" t="s">
        <v>5078</v>
      </c>
      <c r="G4094" t="s">
        <v>5054</v>
      </c>
      <c r="H4094" t="s">
        <v>1400</v>
      </c>
      <c r="J4094" s="2">
        <v>43906</v>
      </c>
      <c r="K4094">
        <v>209.8</v>
      </c>
    </row>
    <row r="4095" spans="1:11" x14ac:dyDescent="0.35">
      <c r="A4095" s="2">
        <v>43907</v>
      </c>
      <c r="B4095" s="1">
        <v>0</v>
      </c>
      <c r="C4095" t="s">
        <v>2918</v>
      </c>
      <c r="D4095" t="s">
        <v>5233</v>
      </c>
      <c r="E4095" t="s">
        <v>5165</v>
      </c>
      <c r="F4095" t="s">
        <v>5078</v>
      </c>
      <c r="G4095" t="s">
        <v>5046</v>
      </c>
      <c r="H4095" t="s">
        <v>1685</v>
      </c>
      <c r="J4095" s="2">
        <v>43907</v>
      </c>
      <c r="K4095">
        <v>204.8</v>
      </c>
    </row>
    <row r="4096" spans="1:11" x14ac:dyDescent="0.35">
      <c r="A4096" s="2">
        <v>43908</v>
      </c>
      <c r="B4096" s="1">
        <v>0</v>
      </c>
      <c r="C4096" t="s">
        <v>1913</v>
      </c>
      <c r="D4096" t="s">
        <v>5573</v>
      </c>
      <c r="E4096" t="s">
        <v>5249</v>
      </c>
      <c r="F4096" t="s">
        <v>5078</v>
      </c>
      <c r="G4096" t="s">
        <v>5174</v>
      </c>
      <c r="H4096" t="s">
        <v>3075</v>
      </c>
      <c r="J4096" s="2">
        <v>43908</v>
      </c>
      <c r="K4096">
        <v>202.8</v>
      </c>
    </row>
    <row r="4097" spans="1:11" x14ac:dyDescent="0.35">
      <c r="A4097" s="2">
        <v>43909</v>
      </c>
      <c r="B4097" s="1">
        <v>0</v>
      </c>
      <c r="C4097" t="s">
        <v>412</v>
      </c>
      <c r="D4097" t="s">
        <v>5532</v>
      </c>
      <c r="E4097" t="s">
        <v>5306</v>
      </c>
      <c r="F4097" t="s">
        <v>5078</v>
      </c>
      <c r="G4097" t="s">
        <v>5222</v>
      </c>
      <c r="H4097" t="s">
        <v>2748</v>
      </c>
      <c r="J4097" s="2">
        <v>43909</v>
      </c>
      <c r="K4097">
        <v>194.3</v>
      </c>
    </row>
    <row r="4098" spans="1:11" x14ac:dyDescent="0.35">
      <c r="A4098" s="2">
        <v>43910</v>
      </c>
      <c r="B4098" s="1">
        <v>0</v>
      </c>
      <c r="C4098" t="s">
        <v>5403</v>
      </c>
      <c r="D4098" t="s">
        <v>5133</v>
      </c>
      <c r="E4098" t="s">
        <v>5204</v>
      </c>
      <c r="F4098" t="s">
        <v>5078</v>
      </c>
      <c r="G4098" t="s">
        <v>5207</v>
      </c>
      <c r="H4098" t="s">
        <v>1343</v>
      </c>
      <c r="J4098" s="2">
        <v>43910</v>
      </c>
      <c r="K4098">
        <v>184.5</v>
      </c>
    </row>
    <row r="4099" spans="1:11" x14ac:dyDescent="0.35">
      <c r="A4099" s="2">
        <v>43911</v>
      </c>
      <c r="B4099" s="1">
        <v>0</v>
      </c>
      <c r="C4099" t="s">
        <v>1011</v>
      </c>
      <c r="D4099" t="s">
        <v>5151</v>
      </c>
      <c r="E4099" t="s">
        <v>5170</v>
      </c>
      <c r="F4099" t="s">
        <v>5078</v>
      </c>
      <c r="G4099" t="s">
        <v>5172</v>
      </c>
      <c r="H4099" t="s">
        <v>937</v>
      </c>
      <c r="J4099" s="2">
        <v>43911</v>
      </c>
      <c r="K4099">
        <v>185.2</v>
      </c>
    </row>
    <row r="4100" spans="1:11" x14ac:dyDescent="0.35">
      <c r="A4100" s="2">
        <v>43912</v>
      </c>
      <c r="B4100" s="1">
        <v>0</v>
      </c>
      <c r="C4100" t="s">
        <v>440</v>
      </c>
      <c r="D4100" t="s">
        <v>5252</v>
      </c>
      <c r="E4100" t="s">
        <v>5234</v>
      </c>
      <c r="F4100" t="s">
        <v>5078</v>
      </c>
      <c r="G4100" t="s">
        <v>5046</v>
      </c>
      <c r="H4100" t="s">
        <v>1264</v>
      </c>
      <c r="J4100" s="2">
        <v>43912</v>
      </c>
      <c r="K4100">
        <v>196.5</v>
      </c>
    </row>
    <row r="4101" spans="1:11" x14ac:dyDescent="0.35">
      <c r="A4101" s="2">
        <v>43913</v>
      </c>
      <c r="B4101" s="1">
        <v>0</v>
      </c>
      <c r="C4101" t="s">
        <v>1471</v>
      </c>
      <c r="D4101" t="s">
        <v>5534</v>
      </c>
      <c r="E4101" t="s">
        <v>5176</v>
      </c>
      <c r="F4101" t="s">
        <v>5078</v>
      </c>
      <c r="G4101" t="s">
        <v>5054</v>
      </c>
      <c r="H4101" t="s">
        <v>1833</v>
      </c>
      <c r="J4101" s="2">
        <v>43913</v>
      </c>
      <c r="K4101">
        <v>206</v>
      </c>
    </row>
    <row r="4102" spans="1:11" x14ac:dyDescent="0.35">
      <c r="A4102" s="2">
        <v>43914</v>
      </c>
      <c r="B4102" s="1">
        <v>0</v>
      </c>
      <c r="C4102" t="s">
        <v>1483</v>
      </c>
      <c r="D4102" t="s">
        <v>5206</v>
      </c>
      <c r="E4102" t="s">
        <v>5237</v>
      </c>
      <c r="F4102" t="s">
        <v>5078</v>
      </c>
      <c r="G4102" t="s">
        <v>5179</v>
      </c>
      <c r="H4102" t="s">
        <v>2349</v>
      </c>
      <c r="J4102" s="2">
        <v>43914</v>
      </c>
      <c r="K4102">
        <v>206.5</v>
      </c>
    </row>
    <row r="4103" spans="1:11" x14ac:dyDescent="0.35">
      <c r="A4103" s="2">
        <v>43915</v>
      </c>
      <c r="B4103" s="1">
        <v>0</v>
      </c>
      <c r="C4103" t="s">
        <v>476</v>
      </c>
      <c r="D4103" t="s">
        <v>5606</v>
      </c>
      <c r="E4103" t="s">
        <v>5237</v>
      </c>
      <c r="F4103" t="s">
        <v>5078</v>
      </c>
      <c r="G4103" t="s">
        <v>5240</v>
      </c>
      <c r="H4103" t="s">
        <v>1710</v>
      </c>
      <c r="J4103" s="2">
        <v>43915</v>
      </c>
      <c r="K4103">
        <v>203</v>
      </c>
    </row>
    <row r="4104" spans="1:11" x14ac:dyDescent="0.35">
      <c r="A4104" s="2">
        <v>43916</v>
      </c>
      <c r="B4104" s="1">
        <v>0</v>
      </c>
      <c r="C4104" t="s">
        <v>466</v>
      </c>
      <c r="D4104" t="s">
        <v>5373</v>
      </c>
      <c r="E4104" t="s">
        <v>5076</v>
      </c>
      <c r="F4104" t="s">
        <v>5078</v>
      </c>
      <c r="G4104" t="s">
        <v>5050</v>
      </c>
      <c r="H4104" t="s">
        <v>235</v>
      </c>
      <c r="J4104" s="2">
        <v>43916</v>
      </c>
      <c r="K4104">
        <v>203.7</v>
      </c>
    </row>
    <row r="4105" spans="1:11" x14ac:dyDescent="0.35">
      <c r="A4105" s="2">
        <v>43917</v>
      </c>
      <c r="B4105" s="1">
        <v>0</v>
      </c>
      <c r="C4105" t="s">
        <v>341</v>
      </c>
      <c r="D4105" t="s">
        <v>5258</v>
      </c>
      <c r="E4105" t="s">
        <v>5068</v>
      </c>
      <c r="F4105" t="s">
        <v>5215</v>
      </c>
      <c r="G4105" t="s">
        <v>5046</v>
      </c>
      <c r="H4105" t="s">
        <v>2401</v>
      </c>
      <c r="J4105" s="2">
        <v>43917</v>
      </c>
      <c r="K4105">
        <v>205.8</v>
      </c>
    </row>
    <row r="4106" spans="1:11" x14ac:dyDescent="0.35">
      <c r="A4106" s="2">
        <v>43918</v>
      </c>
      <c r="B4106" s="1">
        <v>0</v>
      </c>
      <c r="C4106" t="s">
        <v>1041</v>
      </c>
      <c r="D4106" t="s">
        <v>5487</v>
      </c>
      <c r="E4106" t="s">
        <v>5176</v>
      </c>
      <c r="F4106" t="s">
        <v>5215</v>
      </c>
      <c r="G4106" t="s">
        <v>5230</v>
      </c>
      <c r="H4106" t="s">
        <v>2340</v>
      </c>
      <c r="J4106" s="2">
        <v>43918</v>
      </c>
      <c r="K4106">
        <v>202.1</v>
      </c>
    </row>
    <row r="4107" spans="1:11" x14ac:dyDescent="0.35">
      <c r="A4107" s="2">
        <v>43919</v>
      </c>
      <c r="B4107" s="1">
        <v>0</v>
      </c>
      <c r="C4107" t="s">
        <v>453</v>
      </c>
      <c r="D4107" t="s">
        <v>5447</v>
      </c>
      <c r="E4107" t="s">
        <v>5310</v>
      </c>
      <c r="F4107" t="s">
        <v>5078</v>
      </c>
      <c r="G4107" t="s">
        <v>5207</v>
      </c>
      <c r="H4107" t="s">
        <v>165</v>
      </c>
      <c r="J4107" s="2">
        <v>43919</v>
      </c>
      <c r="K4107">
        <v>193.6</v>
      </c>
    </row>
    <row r="4108" spans="1:11" x14ac:dyDescent="0.35">
      <c r="A4108" s="2">
        <v>43920</v>
      </c>
      <c r="B4108" s="1">
        <v>0</v>
      </c>
      <c r="C4108" t="s">
        <v>1011</v>
      </c>
      <c r="D4108" t="s">
        <v>5445</v>
      </c>
      <c r="E4108" t="s">
        <v>5597</v>
      </c>
      <c r="F4108" t="s">
        <v>5078</v>
      </c>
      <c r="G4108" t="s">
        <v>5227</v>
      </c>
      <c r="H4108" t="s">
        <v>898</v>
      </c>
      <c r="J4108" s="2">
        <v>43920</v>
      </c>
      <c r="K4108">
        <v>183.6</v>
      </c>
    </row>
    <row r="4109" spans="1:11" x14ac:dyDescent="0.35">
      <c r="A4109" s="2">
        <v>43921</v>
      </c>
      <c r="B4109" s="1">
        <v>0</v>
      </c>
      <c r="C4109" t="s">
        <v>428</v>
      </c>
      <c r="D4109" t="s">
        <v>5439</v>
      </c>
      <c r="E4109" t="s">
        <v>5301</v>
      </c>
      <c r="F4109" t="s">
        <v>5078</v>
      </c>
      <c r="G4109" t="s">
        <v>5227</v>
      </c>
      <c r="H4109" t="s">
        <v>920</v>
      </c>
      <c r="J4109" s="2">
        <v>43921</v>
      </c>
      <c r="K4109">
        <v>176.3</v>
      </c>
    </row>
    <row r="4110" spans="1:11" x14ac:dyDescent="0.35">
      <c r="A4110" t="s">
        <v>4316</v>
      </c>
      <c r="B4110" s="1">
        <v>0</v>
      </c>
      <c r="C4110" t="s">
        <v>5651</v>
      </c>
      <c r="D4110" t="s">
        <v>5150</v>
      </c>
      <c r="E4110" t="s">
        <v>5284</v>
      </c>
      <c r="F4110" t="s">
        <v>5078</v>
      </c>
      <c r="G4110" t="s">
        <v>5207</v>
      </c>
      <c r="H4110" t="s">
        <v>1812</v>
      </c>
      <c r="J4110" t="s">
        <v>4316</v>
      </c>
      <c r="K4110">
        <v>169</v>
      </c>
    </row>
    <row r="4111" spans="1:11" x14ac:dyDescent="0.35">
      <c r="A4111" t="s">
        <v>4317</v>
      </c>
      <c r="B4111" s="1">
        <v>0</v>
      </c>
      <c r="C4111" t="s">
        <v>5465</v>
      </c>
      <c r="D4111" t="s">
        <v>5114</v>
      </c>
      <c r="E4111" t="s">
        <v>5295</v>
      </c>
      <c r="F4111" t="s">
        <v>5077</v>
      </c>
      <c r="G4111" t="s">
        <v>5222</v>
      </c>
      <c r="H4111" t="s">
        <v>1222</v>
      </c>
      <c r="J4111" t="s">
        <v>4317</v>
      </c>
      <c r="K4111">
        <v>177.3</v>
      </c>
    </row>
    <row r="4112" spans="1:11" x14ac:dyDescent="0.35">
      <c r="A4112" t="s">
        <v>4318</v>
      </c>
      <c r="B4112" s="1">
        <v>0</v>
      </c>
      <c r="C4112" t="s">
        <v>1013</v>
      </c>
      <c r="D4112" t="s">
        <v>5245</v>
      </c>
      <c r="E4112" t="s">
        <v>5420</v>
      </c>
      <c r="F4112" t="s">
        <v>5077</v>
      </c>
      <c r="G4112" t="s">
        <v>5174</v>
      </c>
      <c r="H4112" t="s">
        <v>696</v>
      </c>
      <c r="J4112" t="s">
        <v>4318</v>
      </c>
      <c r="K4112">
        <v>184.8</v>
      </c>
    </row>
    <row r="4113" spans="1:11" x14ac:dyDescent="0.35">
      <c r="A4113" t="s">
        <v>4319</v>
      </c>
      <c r="B4113" s="1">
        <v>0</v>
      </c>
      <c r="C4113" t="s">
        <v>1058</v>
      </c>
      <c r="D4113" t="s">
        <v>5090</v>
      </c>
      <c r="E4113" t="s">
        <v>5073</v>
      </c>
      <c r="F4113" t="s">
        <v>5077</v>
      </c>
      <c r="G4113" t="s">
        <v>5050</v>
      </c>
      <c r="H4113" t="s">
        <v>1271</v>
      </c>
      <c r="J4113" t="s">
        <v>4319</v>
      </c>
      <c r="K4113">
        <v>192.4</v>
      </c>
    </row>
    <row r="4114" spans="1:11" x14ac:dyDescent="0.35">
      <c r="A4114" t="s">
        <v>4320</v>
      </c>
      <c r="B4114" s="1">
        <v>0</v>
      </c>
      <c r="C4114" t="s">
        <v>1046</v>
      </c>
      <c r="D4114" t="s">
        <v>5151</v>
      </c>
      <c r="E4114" t="s">
        <v>5171</v>
      </c>
      <c r="F4114" t="s">
        <v>5077</v>
      </c>
      <c r="G4114" t="s">
        <v>5050</v>
      </c>
      <c r="H4114" t="s">
        <v>1333</v>
      </c>
      <c r="J4114" t="s">
        <v>4320</v>
      </c>
      <c r="K4114">
        <v>192.7</v>
      </c>
    </row>
    <row r="4115" spans="1:11" x14ac:dyDescent="0.35">
      <c r="A4115" t="s">
        <v>4321</v>
      </c>
      <c r="B4115" s="1">
        <v>0</v>
      </c>
      <c r="C4115" t="s">
        <v>3494</v>
      </c>
      <c r="D4115" t="s">
        <v>5211</v>
      </c>
      <c r="E4115" t="s">
        <v>5422</v>
      </c>
      <c r="F4115" t="s">
        <v>5077</v>
      </c>
      <c r="G4115" t="s">
        <v>5050</v>
      </c>
      <c r="H4115" t="s">
        <v>4218</v>
      </c>
      <c r="J4115" t="s">
        <v>4321</v>
      </c>
      <c r="K4115">
        <v>192.1</v>
      </c>
    </row>
    <row r="4116" spans="1:11" x14ac:dyDescent="0.35">
      <c r="A4116" t="s">
        <v>4322</v>
      </c>
      <c r="B4116" s="1">
        <v>0</v>
      </c>
      <c r="C4116" t="s">
        <v>3489</v>
      </c>
      <c r="D4116" t="s">
        <v>5606</v>
      </c>
      <c r="E4116" t="s">
        <v>5204</v>
      </c>
      <c r="F4116" t="s">
        <v>5077</v>
      </c>
      <c r="G4116" t="s">
        <v>5046</v>
      </c>
      <c r="H4116" t="s">
        <v>2365</v>
      </c>
      <c r="J4116" t="s">
        <v>4322</v>
      </c>
      <c r="K4116">
        <v>193.8</v>
      </c>
    </row>
    <row r="4117" spans="1:11" x14ac:dyDescent="0.35">
      <c r="A4117" t="s">
        <v>4323</v>
      </c>
      <c r="B4117" s="1">
        <v>0</v>
      </c>
      <c r="C4117" t="s">
        <v>2235</v>
      </c>
      <c r="D4117" t="s">
        <v>5148</v>
      </c>
      <c r="E4117" t="s">
        <v>5237</v>
      </c>
      <c r="F4117" t="s">
        <v>5077</v>
      </c>
      <c r="G4117" t="s">
        <v>5230</v>
      </c>
      <c r="H4117" t="s">
        <v>1190</v>
      </c>
      <c r="J4117" t="s">
        <v>4323</v>
      </c>
      <c r="K4117">
        <v>193.1</v>
      </c>
    </row>
    <row r="4118" spans="1:11" x14ac:dyDescent="0.35">
      <c r="A4118" t="s">
        <v>4324</v>
      </c>
      <c r="B4118" s="1">
        <v>0</v>
      </c>
      <c r="C4118" t="s">
        <v>409</v>
      </c>
      <c r="D4118" t="s">
        <v>5533</v>
      </c>
      <c r="E4118" t="s">
        <v>5175</v>
      </c>
      <c r="F4118" t="s">
        <v>5077</v>
      </c>
      <c r="G4118" t="s">
        <v>5172</v>
      </c>
      <c r="H4118" t="s">
        <v>2694</v>
      </c>
      <c r="J4118" t="s">
        <v>4324</v>
      </c>
      <c r="K4118">
        <v>193.2</v>
      </c>
    </row>
    <row r="4119" spans="1:11" x14ac:dyDescent="0.35">
      <c r="A4119" t="s">
        <v>4325</v>
      </c>
      <c r="B4119" s="1">
        <v>0</v>
      </c>
      <c r="C4119" t="s">
        <v>1015</v>
      </c>
      <c r="D4119" t="s">
        <v>5146</v>
      </c>
      <c r="E4119" t="s">
        <v>5255</v>
      </c>
      <c r="F4119" t="s">
        <v>5077</v>
      </c>
      <c r="G4119" t="s">
        <v>5222</v>
      </c>
      <c r="H4119" t="s">
        <v>1670</v>
      </c>
      <c r="J4119" t="s">
        <v>4325</v>
      </c>
      <c r="K4119">
        <v>196.1</v>
      </c>
    </row>
    <row r="4120" spans="1:11" x14ac:dyDescent="0.35">
      <c r="A4120" t="s">
        <v>4326</v>
      </c>
      <c r="B4120" s="1">
        <v>0</v>
      </c>
      <c r="C4120" t="s">
        <v>2601</v>
      </c>
      <c r="D4120" t="s">
        <v>5101</v>
      </c>
      <c r="E4120" t="s">
        <v>5071</v>
      </c>
      <c r="F4120" t="s">
        <v>5077</v>
      </c>
      <c r="G4120" t="s">
        <v>5174</v>
      </c>
      <c r="H4120" t="s">
        <v>5663</v>
      </c>
      <c r="J4120" t="s">
        <v>4326</v>
      </c>
      <c r="K4120">
        <v>200.1</v>
      </c>
    </row>
    <row r="4121" spans="1:11" x14ac:dyDescent="0.35">
      <c r="A4121" t="s">
        <v>4327</v>
      </c>
      <c r="B4121" s="1">
        <v>0</v>
      </c>
      <c r="C4121" t="s">
        <v>1910</v>
      </c>
      <c r="D4121" t="s">
        <v>5279</v>
      </c>
      <c r="E4121" t="s">
        <v>5160</v>
      </c>
      <c r="F4121" t="s">
        <v>5077</v>
      </c>
      <c r="G4121" t="s">
        <v>5046</v>
      </c>
      <c r="H4121" t="s">
        <v>3176</v>
      </c>
      <c r="J4121" t="s">
        <v>4327</v>
      </c>
      <c r="K4121">
        <v>199.6</v>
      </c>
    </row>
    <row r="4122" spans="1:11" x14ac:dyDescent="0.35">
      <c r="A4122" t="s">
        <v>4328</v>
      </c>
      <c r="B4122" s="1">
        <v>0</v>
      </c>
      <c r="C4122" t="s">
        <v>1056</v>
      </c>
      <c r="D4122" t="s">
        <v>5378</v>
      </c>
      <c r="E4122" t="s">
        <v>5160</v>
      </c>
      <c r="F4122" t="s">
        <v>5077</v>
      </c>
      <c r="G4122" t="s">
        <v>5240</v>
      </c>
      <c r="H4122" t="s">
        <v>1277</v>
      </c>
      <c r="J4122" t="s">
        <v>4328</v>
      </c>
      <c r="K4122">
        <v>200.3</v>
      </c>
    </row>
    <row r="4123" spans="1:11" x14ac:dyDescent="0.35">
      <c r="A4123" t="s">
        <v>4329</v>
      </c>
      <c r="B4123" s="1">
        <v>0</v>
      </c>
      <c r="C4123" t="s">
        <v>1041</v>
      </c>
      <c r="D4123" t="s">
        <v>5384</v>
      </c>
      <c r="E4123" t="s">
        <v>5208</v>
      </c>
      <c r="F4123" t="s">
        <v>5077</v>
      </c>
      <c r="G4123" t="s">
        <v>5179</v>
      </c>
      <c r="H4123" t="s">
        <v>656</v>
      </c>
      <c r="J4123" t="s">
        <v>4329</v>
      </c>
      <c r="K4123">
        <v>207.3</v>
      </c>
    </row>
    <row r="4124" spans="1:11" x14ac:dyDescent="0.35">
      <c r="A4124" t="s">
        <v>4330</v>
      </c>
      <c r="B4124" s="1">
        <v>0</v>
      </c>
      <c r="C4124" t="s">
        <v>1523</v>
      </c>
      <c r="D4124" t="s">
        <v>5278</v>
      </c>
      <c r="E4124" t="s">
        <v>5165</v>
      </c>
      <c r="F4124" t="s">
        <v>5077</v>
      </c>
      <c r="G4124" t="s">
        <v>5058</v>
      </c>
      <c r="H4124" t="s">
        <v>3886</v>
      </c>
      <c r="J4124" t="s">
        <v>4330</v>
      </c>
      <c r="K4124">
        <v>213.1</v>
      </c>
    </row>
    <row r="4125" spans="1:11" x14ac:dyDescent="0.35">
      <c r="A4125" t="s">
        <v>4331</v>
      </c>
      <c r="B4125" s="1">
        <v>0</v>
      </c>
      <c r="C4125" t="s">
        <v>368</v>
      </c>
      <c r="D4125" t="s">
        <v>5591</v>
      </c>
      <c r="E4125" t="s">
        <v>5060</v>
      </c>
      <c r="F4125" t="s">
        <v>5077</v>
      </c>
      <c r="G4125" t="s">
        <v>5054</v>
      </c>
      <c r="H4125" t="s">
        <v>644</v>
      </c>
      <c r="J4125" t="s">
        <v>4331</v>
      </c>
      <c r="K4125">
        <v>211.6</v>
      </c>
    </row>
    <row r="4126" spans="1:11" x14ac:dyDescent="0.35">
      <c r="A4126" t="s">
        <v>4332</v>
      </c>
      <c r="B4126" s="1">
        <v>0</v>
      </c>
      <c r="C4126" t="s">
        <v>3800</v>
      </c>
      <c r="D4126" t="s">
        <v>5459</v>
      </c>
      <c r="E4126" t="s">
        <v>5243</v>
      </c>
      <c r="F4126" t="s">
        <v>5077</v>
      </c>
      <c r="G4126" t="s">
        <v>5050</v>
      </c>
      <c r="H4126" t="s">
        <v>3035</v>
      </c>
      <c r="J4126" t="s">
        <v>4332</v>
      </c>
      <c r="K4126">
        <v>215.8</v>
      </c>
    </row>
    <row r="4127" spans="1:11" x14ac:dyDescent="0.35">
      <c r="A4127" t="s">
        <v>4333</v>
      </c>
      <c r="B4127" s="1">
        <v>0</v>
      </c>
      <c r="C4127" t="s">
        <v>1536</v>
      </c>
      <c r="D4127" t="s">
        <v>5503</v>
      </c>
      <c r="E4127" t="s">
        <v>5093</v>
      </c>
      <c r="F4127" t="s">
        <v>5089</v>
      </c>
      <c r="G4127" t="s">
        <v>5050</v>
      </c>
      <c r="H4127" t="s">
        <v>3978</v>
      </c>
      <c r="J4127" t="s">
        <v>4333</v>
      </c>
      <c r="K4127">
        <v>232.4</v>
      </c>
    </row>
    <row r="4128" spans="1:11" x14ac:dyDescent="0.35">
      <c r="A4128" t="s">
        <v>4334</v>
      </c>
      <c r="B4128" s="1">
        <v>0</v>
      </c>
      <c r="C4128" t="s">
        <v>3801</v>
      </c>
      <c r="D4128" t="s">
        <v>5560</v>
      </c>
      <c r="E4128" t="s">
        <v>5471</v>
      </c>
      <c r="F4128" t="s">
        <v>5089</v>
      </c>
      <c r="G4128" t="s">
        <v>5179</v>
      </c>
      <c r="H4128" t="s">
        <v>4773</v>
      </c>
      <c r="J4128" t="s">
        <v>4334</v>
      </c>
      <c r="K4128">
        <v>251.2</v>
      </c>
    </row>
    <row r="4129" spans="1:11" x14ac:dyDescent="0.35">
      <c r="A4129" t="s">
        <v>4335</v>
      </c>
      <c r="B4129" s="1">
        <v>0</v>
      </c>
      <c r="C4129" t="s">
        <v>317</v>
      </c>
      <c r="D4129" t="s">
        <v>420</v>
      </c>
      <c r="E4129" t="s">
        <v>5571</v>
      </c>
      <c r="F4129" t="s">
        <v>5089</v>
      </c>
      <c r="G4129" t="s">
        <v>5065</v>
      </c>
      <c r="H4129" t="s">
        <v>5709</v>
      </c>
      <c r="J4129" t="s">
        <v>4335</v>
      </c>
      <c r="K4129">
        <v>260.89999999999998</v>
      </c>
    </row>
    <row r="4130" spans="1:11" x14ac:dyDescent="0.35">
      <c r="A4130" t="s">
        <v>4336</v>
      </c>
      <c r="B4130" s="1">
        <v>0</v>
      </c>
      <c r="C4130" t="s">
        <v>2934</v>
      </c>
      <c r="D4130" t="s">
        <v>5516</v>
      </c>
      <c r="E4130" t="s">
        <v>5441</v>
      </c>
      <c r="F4130" t="s">
        <v>5089</v>
      </c>
      <c r="G4130" t="s">
        <v>5078</v>
      </c>
      <c r="H4130" t="s">
        <v>5776</v>
      </c>
      <c r="J4130" t="s">
        <v>4336</v>
      </c>
      <c r="K4130">
        <v>256.7</v>
      </c>
    </row>
    <row r="4131" spans="1:11" x14ac:dyDescent="0.35">
      <c r="A4131" t="s">
        <v>4337</v>
      </c>
      <c r="B4131" s="1">
        <v>0</v>
      </c>
      <c r="C4131" t="s">
        <v>1100</v>
      </c>
      <c r="D4131" t="s">
        <v>5513</v>
      </c>
      <c r="E4131" t="s">
        <v>5096</v>
      </c>
      <c r="F4131" t="s">
        <v>5089</v>
      </c>
      <c r="G4131" t="s">
        <v>5215</v>
      </c>
      <c r="H4131" t="s">
        <v>5763</v>
      </c>
      <c r="J4131" t="s">
        <v>4337</v>
      </c>
      <c r="K4131">
        <v>247.8</v>
      </c>
    </row>
    <row r="4132" spans="1:11" x14ac:dyDescent="0.35">
      <c r="A4132" t="s">
        <v>4338</v>
      </c>
      <c r="B4132" s="1">
        <v>0</v>
      </c>
      <c r="C4132" t="s">
        <v>973</v>
      </c>
      <c r="D4132" t="s">
        <v>5275</v>
      </c>
      <c r="E4132" t="s">
        <v>5243</v>
      </c>
      <c r="F4132" t="s">
        <v>5089</v>
      </c>
      <c r="G4132" t="s">
        <v>5215</v>
      </c>
      <c r="H4132" t="s">
        <v>2061</v>
      </c>
      <c r="J4132" t="s">
        <v>4338</v>
      </c>
      <c r="K4132">
        <v>240.7</v>
      </c>
    </row>
    <row r="4133" spans="1:11" x14ac:dyDescent="0.35">
      <c r="A4133" t="s">
        <v>4339</v>
      </c>
      <c r="B4133" s="1">
        <v>0</v>
      </c>
      <c r="C4133" t="s">
        <v>5648</v>
      </c>
      <c r="D4133" t="s">
        <v>5574</v>
      </c>
      <c r="E4133" t="s">
        <v>5066</v>
      </c>
      <c r="F4133" t="s">
        <v>5089</v>
      </c>
      <c r="G4133" t="s">
        <v>5475</v>
      </c>
      <c r="H4133" t="s">
        <v>2827</v>
      </c>
      <c r="J4133" t="s">
        <v>4339</v>
      </c>
      <c r="K4133">
        <v>225.8</v>
      </c>
    </row>
    <row r="4134" spans="1:11" x14ac:dyDescent="0.35">
      <c r="A4134" t="s">
        <v>4340</v>
      </c>
      <c r="B4134" s="1">
        <v>0</v>
      </c>
      <c r="C4134" t="s">
        <v>448</v>
      </c>
      <c r="D4134" t="s">
        <v>5392</v>
      </c>
      <c r="E4134" t="s">
        <v>5237</v>
      </c>
      <c r="F4134" t="s">
        <v>5077</v>
      </c>
      <c r="G4134" t="s">
        <v>5179</v>
      </c>
      <c r="H4134" t="s">
        <v>2147</v>
      </c>
      <c r="J4134" t="s">
        <v>4340</v>
      </c>
      <c r="K4134">
        <v>205.3</v>
      </c>
    </row>
    <row r="4135" spans="1:11" x14ac:dyDescent="0.35">
      <c r="A4135" t="s">
        <v>4341</v>
      </c>
      <c r="B4135" s="1">
        <v>0</v>
      </c>
      <c r="C4135" t="s">
        <v>1003</v>
      </c>
      <c r="D4135" t="s">
        <v>5445</v>
      </c>
      <c r="E4135" t="s">
        <v>5169</v>
      </c>
      <c r="F4135" t="s">
        <v>5077</v>
      </c>
      <c r="G4135" t="s">
        <v>5174</v>
      </c>
      <c r="H4135" t="s">
        <v>1339</v>
      </c>
      <c r="J4135" t="s">
        <v>4341</v>
      </c>
      <c r="K4135">
        <v>184.1</v>
      </c>
    </row>
    <row r="4136" spans="1:11" x14ac:dyDescent="0.35">
      <c r="A4136" t="s">
        <v>4342</v>
      </c>
      <c r="B4136" s="1">
        <v>0</v>
      </c>
      <c r="C4136" t="s">
        <v>5587</v>
      </c>
      <c r="D4136" t="s">
        <v>5111</v>
      </c>
      <c r="E4136" t="s">
        <v>5181</v>
      </c>
      <c r="F4136" t="s">
        <v>5077</v>
      </c>
      <c r="G4136" t="s">
        <v>5207</v>
      </c>
      <c r="H4136" t="s">
        <v>190</v>
      </c>
      <c r="J4136" t="s">
        <v>4342</v>
      </c>
      <c r="K4136">
        <v>170.9</v>
      </c>
    </row>
    <row r="4137" spans="1:11" x14ac:dyDescent="0.35">
      <c r="A4137" t="s">
        <v>4343</v>
      </c>
      <c r="B4137" s="1">
        <v>0</v>
      </c>
      <c r="C4137" t="s">
        <v>5564</v>
      </c>
      <c r="D4137" t="s">
        <v>5433</v>
      </c>
      <c r="E4137" t="s">
        <v>5185</v>
      </c>
      <c r="F4137" t="s">
        <v>5077</v>
      </c>
      <c r="G4137" t="s">
        <v>5172</v>
      </c>
      <c r="H4137" t="s">
        <v>1168</v>
      </c>
      <c r="J4137" t="s">
        <v>4343</v>
      </c>
      <c r="K4137">
        <v>171.4</v>
      </c>
    </row>
    <row r="4138" spans="1:11" x14ac:dyDescent="0.35">
      <c r="A4138" t="s">
        <v>4344</v>
      </c>
      <c r="B4138" s="1">
        <v>0</v>
      </c>
      <c r="C4138" t="s">
        <v>1011</v>
      </c>
      <c r="D4138" t="s">
        <v>5253</v>
      </c>
      <c r="E4138" t="s">
        <v>5420</v>
      </c>
      <c r="F4138" t="s">
        <v>5077</v>
      </c>
      <c r="G4138" t="s">
        <v>5174</v>
      </c>
      <c r="H4138" t="s">
        <v>253</v>
      </c>
      <c r="J4138" t="s">
        <v>4344</v>
      </c>
      <c r="K4138">
        <v>179.6</v>
      </c>
    </row>
    <row r="4139" spans="1:11" x14ac:dyDescent="0.35">
      <c r="A4139" t="s">
        <v>4345</v>
      </c>
      <c r="B4139" s="1">
        <v>0</v>
      </c>
      <c r="C4139" t="s">
        <v>3489</v>
      </c>
      <c r="D4139" t="s">
        <v>5473</v>
      </c>
      <c r="E4139" t="s">
        <v>5425</v>
      </c>
      <c r="F4139" t="s">
        <v>5077</v>
      </c>
      <c r="G4139" t="s">
        <v>5046</v>
      </c>
      <c r="H4139" t="s">
        <v>2188</v>
      </c>
      <c r="J4139" t="s">
        <v>4345</v>
      </c>
      <c r="K4139">
        <v>186.5</v>
      </c>
    </row>
    <row r="4140" spans="1:11" x14ac:dyDescent="0.35">
      <c r="A4140" s="2">
        <v>43952</v>
      </c>
      <c r="B4140" s="1">
        <v>0</v>
      </c>
      <c r="C4140" t="s">
        <v>1045</v>
      </c>
      <c r="D4140" t="s">
        <v>5440</v>
      </c>
      <c r="E4140" t="s">
        <v>5171</v>
      </c>
      <c r="F4140" t="s">
        <v>5077</v>
      </c>
      <c r="G4140" t="s">
        <v>5050</v>
      </c>
      <c r="H4140" t="s">
        <v>3137</v>
      </c>
      <c r="J4140" s="2">
        <v>43952</v>
      </c>
      <c r="K4140">
        <v>192.3</v>
      </c>
    </row>
    <row r="4141" spans="1:11" x14ac:dyDescent="0.35">
      <c r="A4141" s="2">
        <v>43953</v>
      </c>
      <c r="B4141" s="1">
        <v>0</v>
      </c>
      <c r="C4141" t="s">
        <v>465</v>
      </c>
      <c r="D4141" t="s">
        <v>5538</v>
      </c>
      <c r="E4141" t="s">
        <v>5323</v>
      </c>
      <c r="F4141" t="s">
        <v>5077</v>
      </c>
      <c r="G4141" t="s">
        <v>5321</v>
      </c>
      <c r="H4141" t="s">
        <v>3913</v>
      </c>
      <c r="J4141" s="2">
        <v>43953</v>
      </c>
      <c r="K4141">
        <v>204.2</v>
      </c>
    </row>
    <row r="4142" spans="1:11" x14ac:dyDescent="0.35">
      <c r="A4142" s="2">
        <v>43954</v>
      </c>
      <c r="B4142" s="1">
        <v>0</v>
      </c>
      <c r="C4142" t="s">
        <v>1473</v>
      </c>
      <c r="D4142" t="s">
        <v>5454</v>
      </c>
      <c r="E4142" t="s">
        <v>5255</v>
      </c>
      <c r="F4142" t="s">
        <v>5089</v>
      </c>
      <c r="G4142" t="s">
        <v>5207</v>
      </c>
      <c r="H4142" t="s">
        <v>3729</v>
      </c>
      <c r="J4142" s="2">
        <v>43954</v>
      </c>
      <c r="K4142">
        <v>215.1</v>
      </c>
    </row>
    <row r="4143" spans="1:11" x14ac:dyDescent="0.35">
      <c r="A4143" s="2">
        <v>43955</v>
      </c>
      <c r="B4143" s="1">
        <v>0</v>
      </c>
      <c r="C4143" t="s">
        <v>5648</v>
      </c>
      <c r="D4143" t="s">
        <v>5366</v>
      </c>
      <c r="E4143" t="s">
        <v>5197</v>
      </c>
      <c r="F4143" t="s">
        <v>5089</v>
      </c>
      <c r="G4143" t="s">
        <v>5207</v>
      </c>
      <c r="H4143" t="s">
        <v>2407</v>
      </c>
      <c r="J4143" s="2">
        <v>43955</v>
      </c>
      <c r="K4143">
        <v>218.3</v>
      </c>
    </row>
    <row r="4144" spans="1:11" x14ac:dyDescent="0.35">
      <c r="A4144" s="2">
        <v>43956</v>
      </c>
      <c r="B4144" s="1">
        <v>0</v>
      </c>
      <c r="C4144" t="s">
        <v>357</v>
      </c>
      <c r="D4144" t="s">
        <v>5097</v>
      </c>
      <c r="E4144" t="s">
        <v>5204</v>
      </c>
      <c r="F4144" t="s">
        <v>5089</v>
      </c>
      <c r="G4144" t="s">
        <v>5321</v>
      </c>
      <c r="H4144" t="s">
        <v>1300</v>
      </c>
      <c r="J4144" s="2">
        <v>43956</v>
      </c>
      <c r="K4144">
        <v>208.6</v>
      </c>
    </row>
    <row r="4145" spans="1:11" x14ac:dyDescent="0.35">
      <c r="A4145" s="2">
        <v>43957</v>
      </c>
      <c r="B4145" s="1">
        <v>0</v>
      </c>
      <c r="C4145" t="s">
        <v>1049</v>
      </c>
      <c r="D4145" t="s">
        <v>5462</v>
      </c>
      <c r="E4145" t="s">
        <v>5064</v>
      </c>
      <c r="F4145" t="s">
        <v>5077</v>
      </c>
      <c r="G4145" t="s">
        <v>5226</v>
      </c>
      <c r="H4145" t="s">
        <v>3983</v>
      </c>
      <c r="J4145" s="2">
        <v>43957</v>
      </c>
      <c r="K4145">
        <v>195.5</v>
      </c>
    </row>
    <row r="4146" spans="1:11" x14ac:dyDescent="0.35">
      <c r="A4146" s="2">
        <v>43958</v>
      </c>
      <c r="B4146" s="1">
        <v>0</v>
      </c>
      <c r="C4146" t="s">
        <v>1883</v>
      </c>
      <c r="D4146" t="s">
        <v>5137</v>
      </c>
      <c r="E4146" t="s">
        <v>5181</v>
      </c>
      <c r="F4146" t="s">
        <v>5077</v>
      </c>
      <c r="G4146" t="s">
        <v>5288</v>
      </c>
      <c r="H4146" t="s">
        <v>937</v>
      </c>
      <c r="J4146" s="2">
        <v>43958</v>
      </c>
      <c r="K4146">
        <v>185.2</v>
      </c>
    </row>
    <row r="4147" spans="1:11" x14ac:dyDescent="0.35">
      <c r="A4147" s="2">
        <v>43959</v>
      </c>
      <c r="B4147" s="1">
        <v>0</v>
      </c>
      <c r="C4147" t="s">
        <v>5403</v>
      </c>
      <c r="D4147" t="s">
        <v>5085</v>
      </c>
      <c r="E4147" t="s">
        <v>5426</v>
      </c>
      <c r="F4147" t="s">
        <v>5077</v>
      </c>
      <c r="G4147" t="s">
        <v>5309</v>
      </c>
      <c r="H4147" t="s">
        <v>3682</v>
      </c>
      <c r="J4147" s="2">
        <v>43959</v>
      </c>
      <c r="K4147">
        <v>175.1</v>
      </c>
    </row>
    <row r="4148" spans="1:11" x14ac:dyDescent="0.35">
      <c r="A4148" s="2">
        <v>43960</v>
      </c>
      <c r="B4148" s="1">
        <v>0</v>
      </c>
      <c r="C4148" t="s">
        <v>5467</v>
      </c>
      <c r="D4148" t="s">
        <v>5081</v>
      </c>
      <c r="E4148" t="s">
        <v>5568</v>
      </c>
      <c r="F4148" t="s">
        <v>5077</v>
      </c>
      <c r="G4148" t="s">
        <v>5315</v>
      </c>
      <c r="H4148" t="s">
        <v>872</v>
      </c>
      <c r="J4148" s="2">
        <v>43960</v>
      </c>
      <c r="K4148">
        <v>165.1</v>
      </c>
    </row>
    <row r="4149" spans="1:11" x14ac:dyDescent="0.35">
      <c r="A4149" s="2">
        <v>43961</v>
      </c>
      <c r="B4149" s="1">
        <v>0</v>
      </c>
      <c r="C4149" t="s">
        <v>5590</v>
      </c>
      <c r="D4149" t="s">
        <v>5210</v>
      </c>
      <c r="E4149" t="s">
        <v>5622</v>
      </c>
      <c r="F4149" t="s">
        <v>5077</v>
      </c>
      <c r="G4149" t="s">
        <v>5400</v>
      </c>
      <c r="H4149" t="s">
        <v>786</v>
      </c>
      <c r="J4149" s="2">
        <v>43961</v>
      </c>
      <c r="K4149">
        <v>155.1</v>
      </c>
    </row>
    <row r="4150" spans="1:11" x14ac:dyDescent="0.35">
      <c r="A4150" s="2">
        <v>43962</v>
      </c>
      <c r="B4150" s="1">
        <v>0</v>
      </c>
      <c r="C4150" t="s">
        <v>5389</v>
      </c>
      <c r="D4150" t="s">
        <v>5422</v>
      </c>
      <c r="E4150" t="s">
        <v>5049</v>
      </c>
      <c r="F4150" t="s">
        <v>5045</v>
      </c>
      <c r="G4150" t="s">
        <v>5432</v>
      </c>
      <c r="H4150" t="s">
        <v>1363</v>
      </c>
      <c r="J4150" s="2">
        <v>43962</v>
      </c>
      <c r="K4150">
        <v>146.30000000000001</v>
      </c>
    </row>
    <row r="4151" spans="1:11" x14ac:dyDescent="0.35">
      <c r="A4151" s="2">
        <v>43963</v>
      </c>
      <c r="B4151" s="1">
        <v>0</v>
      </c>
      <c r="C4151" t="s">
        <v>5094</v>
      </c>
      <c r="D4151" t="s">
        <v>5597</v>
      </c>
      <c r="E4151" t="s">
        <v>5324</v>
      </c>
      <c r="F4151" t="s">
        <v>5045</v>
      </c>
      <c r="G4151" t="s">
        <v>5334</v>
      </c>
      <c r="H4151" t="s">
        <v>1417</v>
      </c>
      <c r="J4151" s="2">
        <v>43963</v>
      </c>
      <c r="K4151">
        <v>141.19999999999999</v>
      </c>
    </row>
    <row r="4152" spans="1:11" x14ac:dyDescent="0.35">
      <c r="A4152" s="2">
        <v>43964</v>
      </c>
      <c r="B4152" s="1">
        <v>0</v>
      </c>
      <c r="C4152" t="s">
        <v>5486</v>
      </c>
      <c r="D4152" t="s">
        <v>5283</v>
      </c>
      <c r="E4152" t="s">
        <v>5290</v>
      </c>
      <c r="F4152" t="s">
        <v>5045</v>
      </c>
      <c r="G4152" t="s">
        <v>5153</v>
      </c>
      <c r="H4152" t="s">
        <v>143</v>
      </c>
      <c r="J4152" s="2">
        <v>43964</v>
      </c>
      <c r="K4152">
        <v>142.4</v>
      </c>
    </row>
    <row r="4153" spans="1:11" x14ac:dyDescent="0.35">
      <c r="A4153" s="2">
        <v>43965</v>
      </c>
      <c r="B4153" s="1">
        <v>0</v>
      </c>
      <c r="C4153" t="s">
        <v>5259</v>
      </c>
      <c r="D4153" t="s">
        <v>5057</v>
      </c>
      <c r="E4153" t="s">
        <v>5139</v>
      </c>
      <c r="F4153" t="s">
        <v>5077</v>
      </c>
      <c r="G4153" t="s">
        <v>5144</v>
      </c>
      <c r="H4153" t="s">
        <v>152</v>
      </c>
      <c r="J4153" s="2">
        <v>43965</v>
      </c>
      <c r="K4153">
        <v>149</v>
      </c>
    </row>
    <row r="4154" spans="1:11" x14ac:dyDescent="0.35">
      <c r="A4154" s="2">
        <v>43966</v>
      </c>
      <c r="B4154" s="1">
        <v>0</v>
      </c>
      <c r="C4154" t="s">
        <v>5282</v>
      </c>
      <c r="D4154" t="s">
        <v>5570</v>
      </c>
      <c r="E4154" t="s">
        <v>5293</v>
      </c>
      <c r="F4154" t="s">
        <v>5077</v>
      </c>
      <c r="G4154" t="s">
        <v>5330</v>
      </c>
      <c r="H4154" t="s">
        <v>565</v>
      </c>
      <c r="J4154" s="2">
        <v>43966</v>
      </c>
      <c r="K4154">
        <v>156.1</v>
      </c>
    </row>
    <row r="4155" spans="1:11" x14ac:dyDescent="0.35">
      <c r="A4155" s="2">
        <v>43967</v>
      </c>
      <c r="B4155" s="1">
        <v>0</v>
      </c>
      <c r="C4155" t="s">
        <v>5466</v>
      </c>
      <c r="D4155" t="s">
        <v>5052</v>
      </c>
      <c r="E4155" t="s">
        <v>5296</v>
      </c>
      <c r="F4155" t="s">
        <v>5077</v>
      </c>
      <c r="G4155" t="s">
        <v>5297</v>
      </c>
      <c r="H4155" t="s">
        <v>1748</v>
      </c>
      <c r="J4155" s="2">
        <v>43967</v>
      </c>
      <c r="K4155">
        <v>158</v>
      </c>
    </row>
    <row r="4156" spans="1:11" x14ac:dyDescent="0.35">
      <c r="A4156" s="2">
        <v>43968</v>
      </c>
      <c r="B4156" s="1">
        <v>0</v>
      </c>
      <c r="C4156" t="s">
        <v>5469</v>
      </c>
      <c r="D4156" t="s">
        <v>5319</v>
      </c>
      <c r="E4156" t="s">
        <v>5308</v>
      </c>
      <c r="F4156" t="s">
        <v>5077</v>
      </c>
      <c r="G4156" t="s">
        <v>5312</v>
      </c>
      <c r="H4156" t="s">
        <v>178</v>
      </c>
      <c r="J4156" s="2">
        <v>43968</v>
      </c>
      <c r="K4156">
        <v>155</v>
      </c>
    </row>
    <row r="4157" spans="1:11" x14ac:dyDescent="0.35">
      <c r="A4157" s="2">
        <v>43969</v>
      </c>
      <c r="B4157" s="1">
        <v>0</v>
      </c>
      <c r="C4157" t="s">
        <v>5613</v>
      </c>
      <c r="D4157" t="s">
        <v>5292</v>
      </c>
      <c r="E4157" t="s">
        <v>5421</v>
      </c>
      <c r="F4157" t="s">
        <v>5045</v>
      </c>
      <c r="G4157" t="s">
        <v>5312</v>
      </c>
      <c r="H4157" t="s">
        <v>554</v>
      </c>
      <c r="J4157" s="2">
        <v>43969</v>
      </c>
      <c r="K4157">
        <v>148.30000000000001</v>
      </c>
    </row>
    <row r="4158" spans="1:11" x14ac:dyDescent="0.35">
      <c r="A4158" s="2">
        <v>43970</v>
      </c>
      <c r="B4158" s="1">
        <v>0</v>
      </c>
      <c r="C4158" t="s">
        <v>5119</v>
      </c>
      <c r="D4158" t="s">
        <v>5318</v>
      </c>
      <c r="E4158" t="s">
        <v>5047</v>
      </c>
      <c r="F4158" t="s">
        <v>5045</v>
      </c>
      <c r="G4158" t="s">
        <v>5342</v>
      </c>
      <c r="H4158" t="s">
        <v>1418</v>
      </c>
      <c r="J4158" s="2">
        <v>43970</v>
      </c>
      <c r="K4158">
        <v>141.30000000000001</v>
      </c>
    </row>
    <row r="4159" spans="1:11" x14ac:dyDescent="0.35">
      <c r="A4159" s="2">
        <v>43971</v>
      </c>
      <c r="B4159" s="1">
        <v>0</v>
      </c>
      <c r="C4159" t="s">
        <v>5148</v>
      </c>
      <c r="D4159" t="s">
        <v>5416</v>
      </c>
      <c r="E4159" t="s">
        <v>5547</v>
      </c>
      <c r="F4159" t="s">
        <v>5045</v>
      </c>
      <c r="G4159" t="s">
        <v>5144</v>
      </c>
      <c r="H4159" t="s">
        <v>2180</v>
      </c>
      <c r="J4159" s="2">
        <v>43971</v>
      </c>
      <c r="K4159">
        <v>135.80000000000001</v>
      </c>
    </row>
    <row r="4160" spans="1:11" x14ac:dyDescent="0.35">
      <c r="A4160" s="2">
        <v>43972</v>
      </c>
      <c r="B4160" s="1">
        <v>0</v>
      </c>
      <c r="C4160" t="s">
        <v>5198</v>
      </c>
      <c r="D4160" t="s">
        <v>5423</v>
      </c>
      <c r="E4160" t="s">
        <v>5547</v>
      </c>
      <c r="F4160" t="s">
        <v>5045</v>
      </c>
      <c r="G4160" t="s">
        <v>5153</v>
      </c>
      <c r="H4160" t="s">
        <v>5</v>
      </c>
      <c r="J4160" s="2">
        <v>43972</v>
      </c>
      <c r="K4160">
        <v>131.9</v>
      </c>
    </row>
    <row r="4161" spans="1:11" x14ac:dyDescent="0.35">
      <c r="A4161" s="2">
        <v>43973</v>
      </c>
      <c r="B4161" s="1">
        <v>0</v>
      </c>
      <c r="C4161" t="s">
        <v>5508</v>
      </c>
      <c r="D4161" t="s">
        <v>5416</v>
      </c>
      <c r="E4161" t="s">
        <v>5421</v>
      </c>
      <c r="F4161" t="s">
        <v>5045</v>
      </c>
      <c r="G4161" t="s">
        <v>5411</v>
      </c>
      <c r="H4161" t="s">
        <v>1463</v>
      </c>
      <c r="J4161" s="2">
        <v>43973</v>
      </c>
      <c r="K4161">
        <v>130.19999999999999</v>
      </c>
    </row>
    <row r="4162" spans="1:11" x14ac:dyDescent="0.35">
      <c r="A4162" s="2">
        <v>43974</v>
      </c>
      <c r="B4162" s="1">
        <v>0</v>
      </c>
      <c r="C4162" t="s">
        <v>5187</v>
      </c>
      <c r="D4162" t="s">
        <v>5051</v>
      </c>
      <c r="E4162" t="s">
        <v>5317</v>
      </c>
      <c r="F4162" t="s">
        <v>5045</v>
      </c>
      <c r="G4162" t="s">
        <v>5337</v>
      </c>
      <c r="H4162" t="s">
        <v>1462</v>
      </c>
      <c r="J4162" s="2">
        <v>43974</v>
      </c>
      <c r="K4162">
        <v>130.1</v>
      </c>
    </row>
    <row r="4163" spans="1:11" x14ac:dyDescent="0.35">
      <c r="A4163" s="2">
        <v>43975</v>
      </c>
      <c r="B4163" s="1">
        <v>0</v>
      </c>
      <c r="C4163" t="s">
        <v>5200</v>
      </c>
      <c r="D4163" t="s">
        <v>5292</v>
      </c>
      <c r="E4163" t="s">
        <v>5300</v>
      </c>
      <c r="F4163" t="s">
        <v>5045</v>
      </c>
      <c r="G4163" t="s">
        <v>5339</v>
      </c>
      <c r="H4163" t="s">
        <v>132</v>
      </c>
      <c r="J4163" s="2">
        <v>43975</v>
      </c>
      <c r="K4163">
        <v>130.5</v>
      </c>
    </row>
    <row r="4164" spans="1:11" x14ac:dyDescent="0.35">
      <c r="A4164" s="2">
        <v>43976</v>
      </c>
      <c r="B4164" s="1">
        <v>0</v>
      </c>
      <c r="C4164" t="s">
        <v>5203</v>
      </c>
      <c r="D4164" t="s">
        <v>5320</v>
      </c>
      <c r="E4164" t="s">
        <v>5326</v>
      </c>
      <c r="F4164" t="s">
        <v>5045</v>
      </c>
      <c r="G4164" t="s">
        <v>5339</v>
      </c>
      <c r="H4164" t="s">
        <v>547</v>
      </c>
      <c r="J4164" s="2">
        <v>43976</v>
      </c>
      <c r="K4164">
        <v>130</v>
      </c>
    </row>
    <row r="4165" spans="1:11" x14ac:dyDescent="0.35">
      <c r="A4165" s="2">
        <v>43977</v>
      </c>
      <c r="B4165" s="1">
        <v>0</v>
      </c>
      <c r="C4165" t="s">
        <v>5253</v>
      </c>
      <c r="D4165" t="s">
        <v>5284</v>
      </c>
      <c r="E4165" t="s">
        <v>5139</v>
      </c>
      <c r="F4165" t="s">
        <v>5045</v>
      </c>
      <c r="G4165" t="s">
        <v>5156</v>
      </c>
      <c r="H4165" t="s">
        <v>1110</v>
      </c>
      <c r="J4165" s="2">
        <v>43977</v>
      </c>
      <c r="K4165">
        <v>128.80000000000001</v>
      </c>
    </row>
    <row r="4166" spans="1:11" x14ac:dyDescent="0.35">
      <c r="A4166" s="2">
        <v>43978</v>
      </c>
      <c r="B4166" s="1">
        <v>0</v>
      </c>
      <c r="C4166" t="s">
        <v>5435</v>
      </c>
      <c r="D4166" t="s">
        <v>5318</v>
      </c>
      <c r="E4166" t="s">
        <v>5317</v>
      </c>
      <c r="F4166" t="s">
        <v>5045</v>
      </c>
      <c r="G4166" t="s">
        <v>5156</v>
      </c>
      <c r="H4166" t="s">
        <v>518</v>
      </c>
      <c r="J4166" s="2">
        <v>43978</v>
      </c>
      <c r="K4166">
        <v>127.3</v>
      </c>
    </row>
    <row r="4167" spans="1:11" x14ac:dyDescent="0.35">
      <c r="A4167" s="2">
        <v>43979</v>
      </c>
      <c r="B4167" s="1">
        <v>0</v>
      </c>
      <c r="C4167" t="s">
        <v>5251</v>
      </c>
      <c r="D4167" t="s">
        <v>5416</v>
      </c>
      <c r="E4167" t="s">
        <v>5308</v>
      </c>
      <c r="F4167" t="s">
        <v>5045</v>
      </c>
      <c r="G4167" t="s">
        <v>5156</v>
      </c>
      <c r="H4167" t="s">
        <v>1564</v>
      </c>
      <c r="J4167" s="2">
        <v>43979</v>
      </c>
      <c r="K4167">
        <v>126.1</v>
      </c>
    </row>
    <row r="4168" spans="1:11" x14ac:dyDescent="0.35">
      <c r="A4168" s="2">
        <v>43980</v>
      </c>
      <c r="B4168" s="1">
        <v>0</v>
      </c>
      <c r="C4168" t="s">
        <v>5213</v>
      </c>
      <c r="D4168" t="s">
        <v>5049</v>
      </c>
      <c r="E4168" t="s">
        <v>5421</v>
      </c>
      <c r="F4168" t="s">
        <v>5045</v>
      </c>
      <c r="G4168" t="s">
        <v>5168</v>
      </c>
      <c r="H4168" t="s">
        <v>1451</v>
      </c>
      <c r="J4168" s="2">
        <v>43980</v>
      </c>
      <c r="K4168">
        <v>125.5</v>
      </c>
    </row>
    <row r="4169" spans="1:11" x14ac:dyDescent="0.35">
      <c r="A4169" s="2">
        <v>43981</v>
      </c>
      <c r="B4169" s="1">
        <v>0</v>
      </c>
      <c r="C4169" t="s">
        <v>5113</v>
      </c>
      <c r="D4169" t="s">
        <v>5302</v>
      </c>
      <c r="E4169" t="s">
        <v>5047</v>
      </c>
      <c r="F4169" t="s">
        <v>5045</v>
      </c>
      <c r="G4169" t="s">
        <v>5156</v>
      </c>
      <c r="H4169" t="s">
        <v>540</v>
      </c>
      <c r="J4169" s="2">
        <v>43981</v>
      </c>
      <c r="K4169">
        <v>125.1</v>
      </c>
    </row>
    <row r="4170" spans="1:11" x14ac:dyDescent="0.35">
      <c r="A4170" s="2">
        <v>43982</v>
      </c>
      <c r="B4170" s="1">
        <v>0</v>
      </c>
      <c r="C4170" t="s">
        <v>5085</v>
      </c>
      <c r="D4170" t="s">
        <v>5423</v>
      </c>
      <c r="E4170" t="s">
        <v>5421</v>
      </c>
      <c r="F4170" t="s">
        <v>5045</v>
      </c>
      <c r="G4170" t="s">
        <v>5156</v>
      </c>
      <c r="H4170" t="s">
        <v>541</v>
      </c>
      <c r="J4170" s="2">
        <v>43982</v>
      </c>
      <c r="K4170">
        <v>126.8</v>
      </c>
    </row>
    <row r="4171" spans="1:11" x14ac:dyDescent="0.35">
      <c r="A4171" s="2">
        <v>43983</v>
      </c>
      <c r="B4171" s="1">
        <v>0</v>
      </c>
      <c r="C4171" t="s">
        <v>5458</v>
      </c>
      <c r="D4171" t="s">
        <v>5622</v>
      </c>
      <c r="E4171" t="s">
        <v>5317</v>
      </c>
      <c r="F4171" t="s">
        <v>5045</v>
      </c>
      <c r="G4171" t="s">
        <v>5339</v>
      </c>
      <c r="H4171" t="s">
        <v>1586</v>
      </c>
      <c r="J4171" s="2">
        <v>43983</v>
      </c>
      <c r="K4171">
        <v>131.30000000000001</v>
      </c>
    </row>
    <row r="4172" spans="1:11" x14ac:dyDescent="0.35">
      <c r="A4172" s="2">
        <v>43984</v>
      </c>
      <c r="B4172" s="1">
        <v>0</v>
      </c>
      <c r="C4172" t="s">
        <v>5525</v>
      </c>
      <c r="D4172" t="s">
        <v>5089</v>
      </c>
      <c r="E4172" t="s">
        <v>5183</v>
      </c>
      <c r="F4172" t="s">
        <v>5168</v>
      </c>
      <c r="G4172" t="s">
        <v>5349</v>
      </c>
      <c r="H4172" t="s">
        <v>1473</v>
      </c>
      <c r="J4172" s="2">
        <v>43984</v>
      </c>
      <c r="K4172">
        <v>95.5</v>
      </c>
    </row>
    <row r="4173" spans="1:11" x14ac:dyDescent="0.35">
      <c r="A4173" s="2">
        <v>43985</v>
      </c>
      <c r="B4173" s="1">
        <v>0</v>
      </c>
      <c r="C4173" t="s">
        <v>5057</v>
      </c>
      <c r="D4173" t="s">
        <v>5356</v>
      </c>
      <c r="E4173" t="s">
        <v>5078</v>
      </c>
      <c r="F4173" t="s">
        <v>5168</v>
      </c>
      <c r="G4173" t="s">
        <v>5349</v>
      </c>
      <c r="H4173" t="s">
        <v>4115</v>
      </c>
      <c r="J4173" s="2">
        <v>43985</v>
      </c>
      <c r="K4173">
        <v>96.5</v>
      </c>
    </row>
    <row r="4174" spans="1:11" x14ac:dyDescent="0.35">
      <c r="A4174" s="2">
        <v>43986</v>
      </c>
      <c r="B4174" s="1">
        <v>0</v>
      </c>
      <c r="C4174" t="s">
        <v>5051</v>
      </c>
      <c r="D4174" t="s">
        <v>5089</v>
      </c>
      <c r="E4174" t="s">
        <v>5183</v>
      </c>
      <c r="F4174" t="s">
        <v>5168</v>
      </c>
      <c r="G4174" t="s">
        <v>5349</v>
      </c>
      <c r="H4174" t="s">
        <v>335</v>
      </c>
      <c r="J4174" s="2">
        <v>43986</v>
      </c>
      <c r="K4174">
        <v>94.5</v>
      </c>
    </row>
    <row r="4175" spans="1:11" x14ac:dyDescent="0.35">
      <c r="A4175" s="2">
        <v>43987</v>
      </c>
      <c r="B4175" s="1">
        <v>0</v>
      </c>
      <c r="C4175" t="s">
        <v>5326</v>
      </c>
      <c r="D4175" t="s">
        <v>5116</v>
      </c>
      <c r="E4175" t="s">
        <v>5065</v>
      </c>
      <c r="F4175" t="s">
        <v>5168</v>
      </c>
      <c r="G4175" t="s">
        <v>5353</v>
      </c>
      <c r="H4175" t="s">
        <v>4380</v>
      </c>
      <c r="J4175" s="2">
        <v>43987</v>
      </c>
      <c r="K4175">
        <v>91.7</v>
      </c>
    </row>
    <row r="4176" spans="1:11" x14ac:dyDescent="0.35">
      <c r="A4176" s="2">
        <v>43988</v>
      </c>
      <c r="B4176" s="1">
        <v>0</v>
      </c>
      <c r="C4176" t="s">
        <v>5194</v>
      </c>
      <c r="D4176" t="s">
        <v>5124</v>
      </c>
      <c r="E4176" t="s">
        <v>5412</v>
      </c>
      <c r="F4176" t="s">
        <v>5168</v>
      </c>
      <c r="G4176" t="s">
        <v>5353</v>
      </c>
      <c r="H4176" t="s">
        <v>336</v>
      </c>
      <c r="J4176" s="2">
        <v>43988</v>
      </c>
      <c r="K4176">
        <v>89.9</v>
      </c>
    </row>
    <row r="4177" spans="1:11" x14ac:dyDescent="0.35">
      <c r="A4177" s="2">
        <v>43989</v>
      </c>
      <c r="B4177" s="1">
        <v>0</v>
      </c>
      <c r="C4177" t="s">
        <v>5551</v>
      </c>
      <c r="D4177" t="s">
        <v>5095</v>
      </c>
      <c r="E4177" t="s">
        <v>5412</v>
      </c>
      <c r="F4177" t="s">
        <v>5168</v>
      </c>
      <c r="G4177" t="s">
        <v>5353</v>
      </c>
      <c r="H4177" t="s">
        <v>1470</v>
      </c>
      <c r="J4177" s="2">
        <v>43989</v>
      </c>
      <c r="K4177">
        <v>89.7</v>
      </c>
    </row>
    <row r="4178" spans="1:11" x14ac:dyDescent="0.35">
      <c r="A4178" s="2">
        <v>43990</v>
      </c>
      <c r="B4178" s="1">
        <v>0</v>
      </c>
      <c r="C4178" t="s">
        <v>5196</v>
      </c>
      <c r="D4178" t="s">
        <v>5099</v>
      </c>
      <c r="E4178" t="s">
        <v>5058</v>
      </c>
      <c r="F4178" t="s">
        <v>5168</v>
      </c>
      <c r="G4178" t="s">
        <v>5353</v>
      </c>
      <c r="H4178" t="s">
        <v>323</v>
      </c>
      <c r="J4178" s="2">
        <v>43990</v>
      </c>
      <c r="K4178">
        <v>89.4</v>
      </c>
    </row>
    <row r="4179" spans="1:11" x14ac:dyDescent="0.35">
      <c r="A4179" s="2">
        <v>43991</v>
      </c>
      <c r="B4179" s="1">
        <v>0</v>
      </c>
      <c r="C4179" t="s">
        <v>5429</v>
      </c>
      <c r="D4179" t="s">
        <v>5078</v>
      </c>
      <c r="E4179" t="s">
        <v>5179</v>
      </c>
      <c r="F4179" t="s">
        <v>5168</v>
      </c>
      <c r="G4179" t="s">
        <v>5349</v>
      </c>
      <c r="H4179" t="s">
        <v>1483</v>
      </c>
      <c r="J4179" s="2">
        <v>43991</v>
      </c>
      <c r="K4179">
        <v>89.3</v>
      </c>
    </row>
    <row r="4180" spans="1:11" x14ac:dyDescent="0.35">
      <c r="A4180" s="2">
        <v>43992</v>
      </c>
      <c r="B4180" s="1">
        <v>0</v>
      </c>
      <c r="C4180" t="s">
        <v>5194</v>
      </c>
      <c r="D4180" t="s">
        <v>5065</v>
      </c>
      <c r="E4180" t="s">
        <v>5054</v>
      </c>
      <c r="F4180" t="s">
        <v>5168</v>
      </c>
      <c r="G4180" t="s">
        <v>5349</v>
      </c>
      <c r="H4180" t="s">
        <v>338</v>
      </c>
      <c r="J4180" s="2">
        <v>43992</v>
      </c>
      <c r="K4180">
        <v>89.1</v>
      </c>
    </row>
    <row r="4181" spans="1:11" x14ac:dyDescent="0.35">
      <c r="A4181" s="2">
        <v>43993</v>
      </c>
      <c r="B4181" s="1">
        <v>0</v>
      </c>
      <c r="C4181" t="s">
        <v>5311</v>
      </c>
      <c r="D4181" t="s">
        <v>5058</v>
      </c>
      <c r="E4181" t="s">
        <v>5240</v>
      </c>
      <c r="F4181" t="s">
        <v>5168</v>
      </c>
      <c r="G4181" t="s">
        <v>5349</v>
      </c>
      <c r="H4181" t="s">
        <v>988</v>
      </c>
      <c r="J4181" s="2">
        <v>43993</v>
      </c>
      <c r="K4181">
        <v>88.1</v>
      </c>
    </row>
    <row r="4182" spans="1:11" x14ac:dyDescent="0.35">
      <c r="A4182" s="2">
        <v>43994</v>
      </c>
      <c r="B4182" s="1">
        <v>0</v>
      </c>
      <c r="C4182" t="s">
        <v>5143</v>
      </c>
      <c r="D4182" t="s">
        <v>5179</v>
      </c>
      <c r="E4182" t="s">
        <v>5050</v>
      </c>
      <c r="F4182" t="s">
        <v>5168</v>
      </c>
      <c r="G4182" t="s">
        <v>5349</v>
      </c>
      <c r="H4182" t="s">
        <v>982</v>
      </c>
      <c r="J4182" s="2">
        <v>43994</v>
      </c>
      <c r="K4182">
        <v>88.7</v>
      </c>
    </row>
    <row r="4183" spans="1:11" x14ac:dyDescent="0.35">
      <c r="A4183" s="2">
        <v>43995</v>
      </c>
      <c r="B4183" s="1">
        <v>0</v>
      </c>
      <c r="C4183" t="s">
        <v>5622</v>
      </c>
      <c r="D4183" t="s">
        <v>5179</v>
      </c>
      <c r="E4183" t="s">
        <v>5050</v>
      </c>
      <c r="F4183" t="s">
        <v>5168</v>
      </c>
      <c r="G4183" t="s">
        <v>5346</v>
      </c>
      <c r="H4183" t="s">
        <v>469</v>
      </c>
      <c r="J4183" s="2">
        <v>43995</v>
      </c>
      <c r="K4183">
        <v>92.3</v>
      </c>
    </row>
    <row r="4184" spans="1:11" x14ac:dyDescent="0.35">
      <c r="A4184" s="2">
        <v>43996</v>
      </c>
      <c r="B4184" s="1">
        <v>0</v>
      </c>
      <c r="C4184" t="s">
        <v>5234</v>
      </c>
      <c r="D4184" t="s">
        <v>5058</v>
      </c>
      <c r="E4184" t="s">
        <v>5050</v>
      </c>
      <c r="F4184" t="s">
        <v>5168</v>
      </c>
      <c r="G4184" t="s">
        <v>5359</v>
      </c>
      <c r="H4184" t="s">
        <v>1479</v>
      </c>
      <c r="J4184" s="2">
        <v>43996</v>
      </c>
      <c r="K4184">
        <v>97.5</v>
      </c>
    </row>
    <row r="4185" spans="1:11" x14ac:dyDescent="0.35">
      <c r="A4185" s="2">
        <v>43997</v>
      </c>
      <c r="B4185" s="1">
        <v>0</v>
      </c>
      <c r="C4185" t="s">
        <v>5236</v>
      </c>
      <c r="D4185" t="s">
        <v>5062</v>
      </c>
      <c r="E4185" t="s">
        <v>5050</v>
      </c>
      <c r="F4185" t="s">
        <v>5156</v>
      </c>
      <c r="G4185" t="s">
        <v>5360</v>
      </c>
      <c r="H4185" t="s">
        <v>1474</v>
      </c>
      <c r="J4185" s="2">
        <v>43997</v>
      </c>
      <c r="K4185">
        <v>99.6</v>
      </c>
    </row>
    <row r="4186" spans="1:11" x14ac:dyDescent="0.35">
      <c r="A4186" s="2">
        <v>43998</v>
      </c>
      <c r="B4186" s="1">
        <v>0</v>
      </c>
      <c r="C4186" t="s">
        <v>5176</v>
      </c>
      <c r="D4186" t="s">
        <v>5062</v>
      </c>
      <c r="E4186" t="s">
        <v>5050</v>
      </c>
      <c r="F4186" t="s">
        <v>5168</v>
      </c>
      <c r="G4186" t="s">
        <v>5359</v>
      </c>
      <c r="H4186" t="s">
        <v>1468</v>
      </c>
      <c r="J4186" s="2">
        <v>43998</v>
      </c>
      <c r="K4186">
        <v>97.9</v>
      </c>
    </row>
    <row r="4187" spans="1:11" x14ac:dyDescent="0.35">
      <c r="A4187" s="2">
        <v>43999</v>
      </c>
      <c r="B4187" s="1">
        <v>0</v>
      </c>
      <c r="C4187" t="s">
        <v>5283</v>
      </c>
      <c r="D4187" t="s">
        <v>5412</v>
      </c>
      <c r="E4187" t="s">
        <v>5050</v>
      </c>
      <c r="F4187" t="s">
        <v>5168</v>
      </c>
      <c r="G4187" t="s">
        <v>5343</v>
      </c>
      <c r="H4187" t="s">
        <v>460</v>
      </c>
      <c r="J4187" s="2">
        <v>43999</v>
      </c>
      <c r="K4187">
        <v>94.1</v>
      </c>
    </row>
    <row r="4188" spans="1:11" x14ac:dyDescent="0.35">
      <c r="A4188" s="2">
        <v>44000</v>
      </c>
      <c r="B4188" s="1">
        <v>0</v>
      </c>
      <c r="C4188" t="s">
        <v>5327</v>
      </c>
      <c r="D4188" t="s">
        <v>5179</v>
      </c>
      <c r="E4188" t="s">
        <v>5050</v>
      </c>
      <c r="F4188" t="s">
        <v>5168</v>
      </c>
      <c r="G4188" t="s">
        <v>5361</v>
      </c>
      <c r="H4188" t="s">
        <v>332</v>
      </c>
      <c r="J4188" s="2">
        <v>44000</v>
      </c>
      <c r="K4188">
        <v>90.2</v>
      </c>
    </row>
    <row r="4189" spans="1:11" x14ac:dyDescent="0.35">
      <c r="A4189" s="2">
        <v>44001</v>
      </c>
      <c r="B4189" s="1">
        <v>0</v>
      </c>
      <c r="C4189" t="s">
        <v>5526</v>
      </c>
      <c r="D4189" t="s">
        <v>5054</v>
      </c>
      <c r="E4189" t="s">
        <v>5046</v>
      </c>
      <c r="F4189" t="s">
        <v>5168</v>
      </c>
      <c r="G4189" t="s">
        <v>5349</v>
      </c>
      <c r="H4189" t="s">
        <v>2565</v>
      </c>
      <c r="J4189" s="2">
        <v>44001</v>
      </c>
      <c r="K4189">
        <v>87.6</v>
      </c>
    </row>
    <row r="4190" spans="1:11" x14ac:dyDescent="0.35">
      <c r="A4190" s="2">
        <v>44002</v>
      </c>
      <c r="B4190" s="1">
        <v>0</v>
      </c>
      <c r="C4190" t="s">
        <v>5414</v>
      </c>
      <c r="D4190" t="s">
        <v>5240</v>
      </c>
      <c r="E4190" t="s">
        <v>5046</v>
      </c>
      <c r="F4190" t="s">
        <v>5168</v>
      </c>
      <c r="G4190" t="s">
        <v>5353</v>
      </c>
      <c r="H4190" t="s">
        <v>476</v>
      </c>
      <c r="J4190" s="2">
        <v>44002</v>
      </c>
      <c r="K4190">
        <v>86</v>
      </c>
    </row>
    <row r="4191" spans="1:11" x14ac:dyDescent="0.35">
      <c r="A4191" s="2">
        <v>44003</v>
      </c>
      <c r="B4191" s="1">
        <v>0</v>
      </c>
      <c r="C4191" t="s">
        <v>5205</v>
      </c>
      <c r="D4191" t="s">
        <v>5050</v>
      </c>
      <c r="E4191" t="s">
        <v>5046</v>
      </c>
      <c r="F4191" t="s">
        <v>5168</v>
      </c>
      <c r="G4191" t="s">
        <v>5353</v>
      </c>
      <c r="H4191" t="s">
        <v>330</v>
      </c>
      <c r="J4191" s="2">
        <v>44003</v>
      </c>
      <c r="K4191">
        <v>85</v>
      </c>
    </row>
    <row r="4192" spans="1:11" x14ac:dyDescent="0.35">
      <c r="A4192" s="2">
        <v>44004</v>
      </c>
      <c r="B4192" s="1">
        <v>0</v>
      </c>
      <c r="C4192" t="s">
        <v>5341</v>
      </c>
      <c r="D4192" t="s">
        <v>5050</v>
      </c>
      <c r="E4192" t="s">
        <v>5046</v>
      </c>
      <c r="F4192" t="s">
        <v>5168</v>
      </c>
      <c r="G4192" t="s">
        <v>5353</v>
      </c>
      <c r="H4192" t="s">
        <v>341</v>
      </c>
      <c r="J4192" s="2">
        <v>44004</v>
      </c>
      <c r="K4192">
        <v>84.4</v>
      </c>
    </row>
    <row r="4193" spans="1:11" x14ac:dyDescent="0.35">
      <c r="A4193" s="2">
        <v>44005</v>
      </c>
      <c r="B4193" s="1">
        <v>0</v>
      </c>
      <c r="C4193" t="s">
        <v>5333</v>
      </c>
      <c r="D4193" t="s">
        <v>5050</v>
      </c>
      <c r="E4193" t="s">
        <v>5046</v>
      </c>
      <c r="F4193" t="s">
        <v>5168</v>
      </c>
      <c r="G4193" t="s">
        <v>5353</v>
      </c>
      <c r="H4193" t="s">
        <v>362</v>
      </c>
      <c r="J4193" s="2">
        <v>44005</v>
      </c>
      <c r="K4193">
        <v>84.3</v>
      </c>
    </row>
    <row r="4194" spans="1:11" x14ac:dyDescent="0.35">
      <c r="A4194" s="2">
        <v>44006</v>
      </c>
      <c r="B4194" s="1">
        <v>0</v>
      </c>
      <c r="C4194" t="s">
        <v>5341</v>
      </c>
      <c r="D4194" t="s">
        <v>5046</v>
      </c>
      <c r="E4194" t="s">
        <v>5046</v>
      </c>
      <c r="F4194" t="s">
        <v>5168</v>
      </c>
      <c r="G4194" t="s">
        <v>5349</v>
      </c>
      <c r="H4194" t="s">
        <v>341</v>
      </c>
      <c r="J4194" s="2">
        <v>44006</v>
      </c>
      <c r="K4194">
        <v>84.4</v>
      </c>
    </row>
    <row r="4195" spans="1:11" x14ac:dyDescent="0.35">
      <c r="A4195" s="2">
        <v>44007</v>
      </c>
      <c r="B4195" s="1">
        <v>0</v>
      </c>
      <c r="C4195" t="s">
        <v>5333</v>
      </c>
      <c r="D4195" t="s">
        <v>5046</v>
      </c>
      <c r="E4195" t="s">
        <v>5046</v>
      </c>
      <c r="F4195" t="s">
        <v>5168</v>
      </c>
      <c r="G4195" t="s">
        <v>5349</v>
      </c>
      <c r="H4195" t="s">
        <v>362</v>
      </c>
      <c r="J4195" s="2">
        <v>44007</v>
      </c>
      <c r="K4195">
        <v>84.3</v>
      </c>
    </row>
    <row r="4196" spans="1:11" x14ac:dyDescent="0.35">
      <c r="A4196" s="2">
        <v>44008</v>
      </c>
      <c r="B4196" s="1">
        <v>0</v>
      </c>
      <c r="C4196" t="s">
        <v>5332</v>
      </c>
      <c r="D4196" t="s">
        <v>5046</v>
      </c>
      <c r="E4196" t="s">
        <v>5046</v>
      </c>
      <c r="F4196" t="s">
        <v>5168</v>
      </c>
      <c r="G4196" t="s">
        <v>5349</v>
      </c>
      <c r="H4196" t="s">
        <v>322</v>
      </c>
      <c r="J4196" s="2">
        <v>44008</v>
      </c>
      <c r="K4196">
        <v>84</v>
      </c>
    </row>
    <row r="4197" spans="1:11" x14ac:dyDescent="0.35">
      <c r="A4197" s="2">
        <v>44009</v>
      </c>
      <c r="B4197" s="1">
        <v>0</v>
      </c>
      <c r="C4197" t="s">
        <v>5355</v>
      </c>
      <c r="D4197" t="s">
        <v>5046</v>
      </c>
      <c r="E4197" t="s">
        <v>5046</v>
      </c>
      <c r="F4197" t="s">
        <v>5168</v>
      </c>
      <c r="G4197" t="s">
        <v>5353</v>
      </c>
      <c r="H4197" t="s">
        <v>1916</v>
      </c>
      <c r="J4197" s="2">
        <v>44009</v>
      </c>
      <c r="K4197">
        <v>83.9</v>
      </c>
    </row>
    <row r="4198" spans="1:11" x14ac:dyDescent="0.35">
      <c r="A4198" s="2">
        <v>44010</v>
      </c>
      <c r="B4198" s="1">
        <v>0</v>
      </c>
      <c r="C4198" t="s">
        <v>5205</v>
      </c>
      <c r="D4198" t="s">
        <v>5050</v>
      </c>
      <c r="E4198" t="s">
        <v>5046</v>
      </c>
      <c r="F4198" t="s">
        <v>5168</v>
      </c>
      <c r="G4198" t="s">
        <v>5353</v>
      </c>
      <c r="H4198" t="s">
        <v>479</v>
      </c>
      <c r="J4198" s="2">
        <v>44010</v>
      </c>
      <c r="K4198">
        <v>84.9</v>
      </c>
    </row>
    <row r="4199" spans="1:11" x14ac:dyDescent="0.35">
      <c r="A4199" s="2">
        <v>44011</v>
      </c>
      <c r="B4199" s="1">
        <v>0</v>
      </c>
      <c r="C4199" t="s">
        <v>5329</v>
      </c>
      <c r="D4199" t="s">
        <v>5050</v>
      </c>
      <c r="E4199" t="s">
        <v>5046</v>
      </c>
      <c r="F4199" t="s">
        <v>5168</v>
      </c>
      <c r="G4199" t="s">
        <v>5349</v>
      </c>
      <c r="H4199" t="s">
        <v>1486</v>
      </c>
      <c r="J4199" s="2">
        <v>44011</v>
      </c>
      <c r="K4199">
        <v>87.2</v>
      </c>
    </row>
    <row r="4200" spans="1:11" x14ac:dyDescent="0.35">
      <c r="A4200" s="2">
        <v>44012</v>
      </c>
      <c r="B4200" s="1">
        <v>0</v>
      </c>
      <c r="C4200" t="s">
        <v>5139</v>
      </c>
      <c r="D4200" t="s">
        <v>5054</v>
      </c>
      <c r="E4200" t="s">
        <v>5046</v>
      </c>
      <c r="F4200" t="s">
        <v>5168</v>
      </c>
      <c r="G4200" t="s">
        <v>5346</v>
      </c>
      <c r="H4200" t="s">
        <v>331</v>
      </c>
      <c r="J4200" s="2">
        <v>44012</v>
      </c>
      <c r="K4200">
        <v>89.5</v>
      </c>
    </row>
    <row r="4201" spans="1:11" x14ac:dyDescent="0.35">
      <c r="A4201" t="s">
        <v>4349</v>
      </c>
      <c r="B4201" s="1">
        <v>0</v>
      </c>
      <c r="C4201" t="s">
        <v>5325</v>
      </c>
      <c r="D4201" t="s">
        <v>5054</v>
      </c>
      <c r="E4201" t="s">
        <v>5046</v>
      </c>
      <c r="F4201" t="s">
        <v>5168</v>
      </c>
      <c r="G4201" t="s">
        <v>5343</v>
      </c>
      <c r="H4201" t="s">
        <v>2567</v>
      </c>
      <c r="J4201" t="s">
        <v>4349</v>
      </c>
      <c r="K4201">
        <v>90</v>
      </c>
    </row>
    <row r="4202" spans="1:11" x14ac:dyDescent="0.35">
      <c r="A4202" t="s">
        <v>4350</v>
      </c>
      <c r="B4202" s="1">
        <v>0</v>
      </c>
      <c r="C4202" t="s">
        <v>5356</v>
      </c>
      <c r="D4202" t="s">
        <v>5195</v>
      </c>
      <c r="E4202" t="s">
        <v>5409</v>
      </c>
      <c r="F4202" t="s">
        <v>5364</v>
      </c>
      <c r="G4202" t="s">
        <v>5556</v>
      </c>
      <c r="H4202" t="s">
        <v>5466</v>
      </c>
      <c r="J4202" t="s">
        <v>4350</v>
      </c>
      <c r="K4202">
        <v>66.3</v>
      </c>
    </row>
    <row r="4203" spans="1:11" x14ac:dyDescent="0.35">
      <c r="A4203" t="s">
        <v>4351</v>
      </c>
      <c r="B4203" s="1">
        <v>0</v>
      </c>
      <c r="C4203" t="s">
        <v>5099</v>
      </c>
      <c r="D4203" t="s">
        <v>5186</v>
      </c>
      <c r="E4203" t="s">
        <v>5409</v>
      </c>
      <c r="F4203" t="s">
        <v>5364</v>
      </c>
      <c r="G4203" t="s">
        <v>5557</v>
      </c>
      <c r="H4203" t="s">
        <v>5634</v>
      </c>
      <c r="J4203" t="s">
        <v>4351</v>
      </c>
      <c r="K4203">
        <v>65</v>
      </c>
    </row>
    <row r="4204" spans="1:11" x14ac:dyDescent="0.35">
      <c r="A4204" t="s">
        <v>4352</v>
      </c>
      <c r="B4204" s="1">
        <v>0</v>
      </c>
      <c r="C4204" t="s">
        <v>5050</v>
      </c>
      <c r="D4204" t="s">
        <v>5189</v>
      </c>
      <c r="E4204" t="s">
        <v>5409</v>
      </c>
      <c r="F4204" t="s">
        <v>5364</v>
      </c>
      <c r="G4204" t="s">
        <v>5556</v>
      </c>
      <c r="H4204" t="s">
        <v>5469</v>
      </c>
      <c r="J4204" t="s">
        <v>4352</v>
      </c>
      <c r="K4204">
        <v>63.7</v>
      </c>
    </row>
    <row r="4205" spans="1:11" x14ac:dyDescent="0.35">
      <c r="A4205" t="s">
        <v>4353</v>
      </c>
      <c r="B4205" s="1">
        <v>0</v>
      </c>
      <c r="C4205" t="s">
        <v>5224</v>
      </c>
      <c r="D4205" t="s">
        <v>5189</v>
      </c>
      <c r="E4205" t="s">
        <v>5409</v>
      </c>
      <c r="F4205" t="s">
        <v>5364</v>
      </c>
      <c r="G4205" t="s">
        <v>5368</v>
      </c>
      <c r="H4205" t="s">
        <v>5621</v>
      </c>
      <c r="J4205" t="s">
        <v>4353</v>
      </c>
      <c r="K4205">
        <v>62.7</v>
      </c>
    </row>
    <row r="4206" spans="1:11" x14ac:dyDescent="0.35">
      <c r="A4206" t="s">
        <v>4354</v>
      </c>
      <c r="B4206" s="1">
        <v>0</v>
      </c>
      <c r="C4206" t="s">
        <v>5297</v>
      </c>
      <c r="D4206" t="s">
        <v>5189</v>
      </c>
      <c r="E4206" t="s">
        <v>5409</v>
      </c>
      <c r="F4206" t="s">
        <v>5364</v>
      </c>
      <c r="G4206" t="s">
        <v>5365</v>
      </c>
      <c r="H4206" t="s">
        <v>5587</v>
      </c>
      <c r="J4206" t="s">
        <v>4354</v>
      </c>
      <c r="K4206">
        <v>61.8</v>
      </c>
    </row>
    <row r="4207" spans="1:11" x14ac:dyDescent="0.35">
      <c r="A4207" t="s">
        <v>4355</v>
      </c>
      <c r="B4207" s="1">
        <v>0</v>
      </c>
      <c r="C4207" t="s">
        <v>5144</v>
      </c>
      <c r="D4207" t="s">
        <v>5357</v>
      </c>
      <c r="E4207" t="s">
        <v>5409</v>
      </c>
      <c r="F4207" t="s">
        <v>5364</v>
      </c>
      <c r="G4207" t="s">
        <v>5371</v>
      </c>
      <c r="H4207" t="s">
        <v>5499</v>
      </c>
      <c r="J4207" t="s">
        <v>4355</v>
      </c>
      <c r="K4207">
        <v>61.1</v>
      </c>
    </row>
    <row r="4208" spans="1:11" x14ac:dyDescent="0.35">
      <c r="A4208" t="s">
        <v>4356</v>
      </c>
      <c r="B4208" s="1">
        <v>0</v>
      </c>
      <c r="C4208" t="s">
        <v>5153</v>
      </c>
      <c r="D4208" t="s">
        <v>5357</v>
      </c>
      <c r="E4208" t="s">
        <v>5409</v>
      </c>
      <c r="F4208" t="s">
        <v>5364</v>
      </c>
      <c r="G4208" t="s">
        <v>5372</v>
      </c>
      <c r="H4208" t="s">
        <v>5580</v>
      </c>
      <c r="J4208" t="s">
        <v>4356</v>
      </c>
      <c r="K4208">
        <v>60.7</v>
      </c>
    </row>
    <row r="4209" spans="1:11" x14ac:dyDescent="0.35">
      <c r="A4209" t="s">
        <v>4357</v>
      </c>
      <c r="B4209" s="1">
        <v>0</v>
      </c>
      <c r="C4209" t="s">
        <v>5411</v>
      </c>
      <c r="D4209" t="s">
        <v>5357</v>
      </c>
      <c r="E4209" t="s">
        <v>5409</v>
      </c>
      <c r="F4209" t="s">
        <v>5364</v>
      </c>
      <c r="G4209" t="s">
        <v>5372</v>
      </c>
      <c r="H4209" t="s">
        <v>5134</v>
      </c>
      <c r="J4209" t="s">
        <v>4357</v>
      </c>
      <c r="K4209">
        <v>60.5</v>
      </c>
    </row>
    <row r="4210" spans="1:11" x14ac:dyDescent="0.35">
      <c r="A4210" t="s">
        <v>4358</v>
      </c>
      <c r="B4210" s="1">
        <v>0</v>
      </c>
      <c r="C4210" t="s">
        <v>5337</v>
      </c>
      <c r="D4210" t="s">
        <v>5357</v>
      </c>
      <c r="E4210" t="s">
        <v>5409</v>
      </c>
      <c r="F4210" t="s">
        <v>5364</v>
      </c>
      <c r="G4210" t="s">
        <v>5372</v>
      </c>
      <c r="H4210" t="s">
        <v>5130</v>
      </c>
      <c r="J4210" t="s">
        <v>4358</v>
      </c>
      <c r="K4210">
        <v>60.3</v>
      </c>
    </row>
    <row r="4211" spans="1:11" x14ac:dyDescent="0.35">
      <c r="A4211" t="s">
        <v>4359</v>
      </c>
      <c r="B4211" s="1">
        <v>0</v>
      </c>
      <c r="C4211" t="s">
        <v>5339</v>
      </c>
      <c r="D4211" t="s">
        <v>5357</v>
      </c>
      <c r="E4211" t="s">
        <v>5409</v>
      </c>
      <c r="F4211" t="s">
        <v>5364</v>
      </c>
      <c r="G4211" t="s">
        <v>5375</v>
      </c>
      <c r="H4211" t="s">
        <v>5616</v>
      </c>
      <c r="J4211" t="s">
        <v>4359</v>
      </c>
      <c r="K4211">
        <v>60.2</v>
      </c>
    </row>
    <row r="4212" spans="1:11" x14ac:dyDescent="0.35">
      <c r="A4212" t="s">
        <v>4360</v>
      </c>
      <c r="B4212" s="1">
        <v>0</v>
      </c>
      <c r="C4212" t="s">
        <v>5156</v>
      </c>
      <c r="D4212" t="s">
        <v>5189</v>
      </c>
      <c r="E4212" t="s">
        <v>5409</v>
      </c>
      <c r="F4212" t="s">
        <v>5364</v>
      </c>
      <c r="G4212" t="s">
        <v>5375</v>
      </c>
      <c r="H4212" t="s">
        <v>5616</v>
      </c>
      <c r="J4212" t="s">
        <v>4360</v>
      </c>
      <c r="K4212">
        <v>60.2</v>
      </c>
    </row>
    <row r="4213" spans="1:11" x14ac:dyDescent="0.35">
      <c r="A4213" t="s">
        <v>4361</v>
      </c>
      <c r="B4213" s="1">
        <v>0</v>
      </c>
      <c r="C4213" t="s">
        <v>5339</v>
      </c>
      <c r="D4213" t="s">
        <v>5189</v>
      </c>
      <c r="E4213" t="s">
        <v>5562</v>
      </c>
      <c r="F4213" t="s">
        <v>5364</v>
      </c>
      <c r="G4213" t="s">
        <v>5375</v>
      </c>
      <c r="H4213" t="s">
        <v>5609</v>
      </c>
      <c r="J4213" t="s">
        <v>4361</v>
      </c>
      <c r="K4213">
        <v>60.4</v>
      </c>
    </row>
    <row r="4214" spans="1:11" x14ac:dyDescent="0.35">
      <c r="A4214" t="s">
        <v>4362</v>
      </c>
      <c r="B4214" s="1">
        <v>0</v>
      </c>
      <c r="C4214" t="s">
        <v>5411</v>
      </c>
      <c r="D4214" t="s">
        <v>5180</v>
      </c>
      <c r="E4214" t="s">
        <v>5395</v>
      </c>
      <c r="F4214" t="s">
        <v>5364</v>
      </c>
      <c r="G4214" t="s">
        <v>5375</v>
      </c>
      <c r="H4214" t="s">
        <v>5499</v>
      </c>
      <c r="J4214" t="s">
        <v>4362</v>
      </c>
      <c r="K4214">
        <v>61.1</v>
      </c>
    </row>
    <row r="4215" spans="1:11" x14ac:dyDescent="0.35">
      <c r="A4215" t="s">
        <v>4363</v>
      </c>
      <c r="B4215" s="1">
        <v>0</v>
      </c>
      <c r="C4215" t="s">
        <v>5153</v>
      </c>
      <c r="D4215" t="s">
        <v>5156</v>
      </c>
      <c r="E4215" t="s">
        <v>5402</v>
      </c>
      <c r="F4215" t="s">
        <v>5364</v>
      </c>
      <c r="G4215" t="s">
        <v>5375</v>
      </c>
      <c r="H4215" t="s">
        <v>5647</v>
      </c>
      <c r="J4215" t="s">
        <v>4363</v>
      </c>
      <c r="K4215">
        <v>62.3</v>
      </c>
    </row>
    <row r="4216" spans="1:11" x14ac:dyDescent="0.35">
      <c r="A4216" t="s">
        <v>4364</v>
      </c>
      <c r="B4216" s="1">
        <v>0</v>
      </c>
      <c r="C4216" t="s">
        <v>5432</v>
      </c>
      <c r="D4216" t="s">
        <v>5140</v>
      </c>
      <c r="E4216" t="s">
        <v>5357</v>
      </c>
      <c r="F4216" t="s">
        <v>5364</v>
      </c>
      <c r="G4216" t="s">
        <v>5375</v>
      </c>
      <c r="H4216" t="s">
        <v>5503</v>
      </c>
      <c r="J4216" t="s">
        <v>4364</v>
      </c>
      <c r="K4216">
        <v>63.6</v>
      </c>
    </row>
    <row r="4217" spans="1:11" x14ac:dyDescent="0.35">
      <c r="A4217" t="s">
        <v>4365</v>
      </c>
      <c r="B4217" s="1">
        <v>0</v>
      </c>
      <c r="C4217" t="s">
        <v>5140</v>
      </c>
      <c r="D4217" t="s">
        <v>5397</v>
      </c>
      <c r="E4217" t="s">
        <v>5189</v>
      </c>
      <c r="F4217" t="s">
        <v>5364</v>
      </c>
      <c r="G4217" t="s">
        <v>5375</v>
      </c>
      <c r="H4217" t="s">
        <v>5633</v>
      </c>
      <c r="J4217" t="s">
        <v>4365</v>
      </c>
      <c r="K4217">
        <v>63.9</v>
      </c>
    </row>
    <row r="4218" spans="1:11" x14ac:dyDescent="0.35">
      <c r="A4218" t="s">
        <v>4366</v>
      </c>
      <c r="B4218" s="1">
        <v>0</v>
      </c>
      <c r="C4218" t="s">
        <v>5397</v>
      </c>
      <c r="D4218" t="s">
        <v>5144</v>
      </c>
      <c r="E4218" t="s">
        <v>5357</v>
      </c>
      <c r="F4218" t="s">
        <v>5364</v>
      </c>
      <c r="G4218" t="s">
        <v>5375</v>
      </c>
      <c r="H4218" t="s">
        <v>5633</v>
      </c>
      <c r="J4218" t="s">
        <v>4366</v>
      </c>
      <c r="K4218">
        <v>63.9</v>
      </c>
    </row>
    <row r="4219" spans="1:11" x14ac:dyDescent="0.35">
      <c r="A4219" t="s">
        <v>4367</v>
      </c>
      <c r="B4219" s="1">
        <v>0</v>
      </c>
      <c r="C4219" t="s">
        <v>5315</v>
      </c>
      <c r="D4219" t="s">
        <v>5153</v>
      </c>
      <c r="E4219" t="s">
        <v>5404</v>
      </c>
      <c r="F4219" t="s">
        <v>5364</v>
      </c>
      <c r="G4219" t="s">
        <v>5372</v>
      </c>
      <c r="H4219" t="s">
        <v>5633</v>
      </c>
      <c r="J4219" t="s">
        <v>4367</v>
      </c>
      <c r="K4219">
        <v>63.9</v>
      </c>
    </row>
    <row r="4220" spans="1:11" x14ac:dyDescent="0.35">
      <c r="A4220" t="s">
        <v>4368</v>
      </c>
      <c r="B4220" s="1">
        <v>0</v>
      </c>
      <c r="C4220" t="s">
        <v>5288</v>
      </c>
      <c r="D4220" t="s">
        <v>5337</v>
      </c>
      <c r="E4220" t="s">
        <v>5402</v>
      </c>
      <c r="F4220" t="s">
        <v>5364</v>
      </c>
      <c r="G4220" t="s">
        <v>5372</v>
      </c>
      <c r="H4220" t="s">
        <v>5564</v>
      </c>
      <c r="J4220" t="s">
        <v>4368</v>
      </c>
      <c r="K4220">
        <v>64</v>
      </c>
    </row>
    <row r="4221" spans="1:11" x14ac:dyDescent="0.35">
      <c r="A4221" t="s">
        <v>4369</v>
      </c>
      <c r="B4221" s="1">
        <v>0</v>
      </c>
      <c r="C4221" t="s">
        <v>5224</v>
      </c>
      <c r="D4221" t="s">
        <v>5156</v>
      </c>
      <c r="E4221" t="s">
        <v>5413</v>
      </c>
      <c r="F4221" t="s">
        <v>5364</v>
      </c>
      <c r="G4221" t="s">
        <v>5372</v>
      </c>
      <c r="H4221" t="s">
        <v>5633</v>
      </c>
      <c r="J4221" t="s">
        <v>4369</v>
      </c>
      <c r="K4221">
        <v>63.9</v>
      </c>
    </row>
    <row r="4222" spans="1:11" x14ac:dyDescent="0.35">
      <c r="A4222" t="s">
        <v>4370</v>
      </c>
      <c r="B4222" s="1">
        <v>0</v>
      </c>
      <c r="C4222" t="s">
        <v>5226</v>
      </c>
      <c r="D4222" t="s">
        <v>5164</v>
      </c>
      <c r="E4222" t="s">
        <v>5399</v>
      </c>
      <c r="F4222" t="s">
        <v>5364</v>
      </c>
      <c r="G4222" t="s">
        <v>5375</v>
      </c>
      <c r="H4222" t="s">
        <v>5585</v>
      </c>
      <c r="J4222" t="s">
        <v>4370</v>
      </c>
      <c r="K4222">
        <v>63.5</v>
      </c>
    </row>
    <row r="4223" spans="1:11" x14ac:dyDescent="0.35">
      <c r="A4223" t="s">
        <v>4371</v>
      </c>
      <c r="B4223" s="1">
        <v>0</v>
      </c>
      <c r="C4223" t="s">
        <v>5294</v>
      </c>
      <c r="D4223" t="s">
        <v>5159</v>
      </c>
      <c r="E4223" t="s">
        <v>5395</v>
      </c>
      <c r="F4223" t="s">
        <v>5364</v>
      </c>
      <c r="G4223" t="s">
        <v>5375</v>
      </c>
      <c r="H4223" t="s">
        <v>5621</v>
      </c>
      <c r="J4223" t="s">
        <v>4371</v>
      </c>
      <c r="K4223">
        <v>62.7</v>
      </c>
    </row>
    <row r="4224" spans="1:11" x14ac:dyDescent="0.35">
      <c r="A4224" t="s">
        <v>4372</v>
      </c>
      <c r="B4224" s="1">
        <v>0</v>
      </c>
      <c r="C4224" t="s">
        <v>5330</v>
      </c>
      <c r="D4224" t="s">
        <v>5180</v>
      </c>
      <c r="E4224" t="s">
        <v>5396</v>
      </c>
      <c r="F4224" t="s">
        <v>5364</v>
      </c>
      <c r="G4224" t="s">
        <v>5375</v>
      </c>
      <c r="H4224" t="s">
        <v>5643</v>
      </c>
      <c r="J4224" t="s">
        <v>4372</v>
      </c>
      <c r="K4224">
        <v>62</v>
      </c>
    </row>
    <row r="4225" spans="1:11" x14ac:dyDescent="0.35">
      <c r="A4225" t="s">
        <v>4373</v>
      </c>
      <c r="B4225" s="1">
        <v>0</v>
      </c>
      <c r="C4225" t="s">
        <v>5144</v>
      </c>
      <c r="D4225" t="s">
        <v>5195</v>
      </c>
      <c r="E4225" t="s">
        <v>5562</v>
      </c>
      <c r="F4225" t="s">
        <v>5364</v>
      </c>
      <c r="G4225" t="s">
        <v>5375</v>
      </c>
      <c r="H4225" t="s">
        <v>5498</v>
      </c>
      <c r="J4225" t="s">
        <v>4373</v>
      </c>
      <c r="K4225">
        <v>61.4</v>
      </c>
    </row>
    <row r="4226" spans="1:11" x14ac:dyDescent="0.35">
      <c r="A4226" t="s">
        <v>4374</v>
      </c>
      <c r="B4226" s="1">
        <v>0</v>
      </c>
      <c r="C4226" t="s">
        <v>5432</v>
      </c>
      <c r="D4226" t="s">
        <v>5186</v>
      </c>
      <c r="E4226" t="s">
        <v>5562</v>
      </c>
      <c r="F4226" t="s">
        <v>5364</v>
      </c>
      <c r="G4226" t="s">
        <v>5375</v>
      </c>
      <c r="H4226" t="s">
        <v>5455</v>
      </c>
      <c r="J4226" t="s">
        <v>4374</v>
      </c>
      <c r="K4226">
        <v>61</v>
      </c>
    </row>
    <row r="4227" spans="1:11" x14ac:dyDescent="0.35">
      <c r="A4227" t="s">
        <v>4375</v>
      </c>
      <c r="B4227" s="1">
        <v>0</v>
      </c>
      <c r="C4227" t="s">
        <v>5432</v>
      </c>
      <c r="D4227" t="s">
        <v>5189</v>
      </c>
      <c r="E4227" t="s">
        <v>5562</v>
      </c>
      <c r="F4227" t="s">
        <v>5364</v>
      </c>
      <c r="G4227" t="s">
        <v>5375</v>
      </c>
      <c r="H4227" t="s">
        <v>5629</v>
      </c>
      <c r="J4227" t="s">
        <v>4375</v>
      </c>
      <c r="K4227">
        <v>60.9</v>
      </c>
    </row>
    <row r="4228" spans="1:11" x14ac:dyDescent="0.35">
      <c r="A4228" t="s">
        <v>4376</v>
      </c>
      <c r="B4228" s="1">
        <v>0</v>
      </c>
      <c r="C4228" t="s">
        <v>5432</v>
      </c>
      <c r="D4228" t="s">
        <v>5189</v>
      </c>
      <c r="E4228" t="s">
        <v>5409</v>
      </c>
      <c r="F4228" t="s">
        <v>5364</v>
      </c>
      <c r="G4228" t="s">
        <v>5375</v>
      </c>
      <c r="H4228" t="s">
        <v>5231</v>
      </c>
      <c r="J4228" t="s">
        <v>4376</v>
      </c>
      <c r="K4228">
        <v>60.8</v>
      </c>
    </row>
    <row r="4229" spans="1:11" x14ac:dyDescent="0.35">
      <c r="A4229" t="s">
        <v>4377</v>
      </c>
      <c r="B4229" s="1">
        <v>0</v>
      </c>
      <c r="C4229" t="s">
        <v>5153</v>
      </c>
      <c r="D4229" t="s">
        <v>5189</v>
      </c>
      <c r="E4229" t="s">
        <v>5409</v>
      </c>
      <c r="F4229" t="s">
        <v>5364</v>
      </c>
      <c r="G4229" t="s">
        <v>5375</v>
      </c>
      <c r="H4229" t="s">
        <v>5580</v>
      </c>
      <c r="J4229" t="s">
        <v>4377</v>
      </c>
      <c r="K4229">
        <v>60.7</v>
      </c>
    </row>
    <row r="4230" spans="1:11" x14ac:dyDescent="0.35">
      <c r="A4230" t="s">
        <v>4378</v>
      </c>
      <c r="B4230" s="1">
        <v>0</v>
      </c>
      <c r="C4230" t="s">
        <v>5334</v>
      </c>
      <c r="D4230" t="s">
        <v>5357</v>
      </c>
      <c r="E4230" t="s">
        <v>5409</v>
      </c>
      <c r="F4230" t="s">
        <v>5364</v>
      </c>
      <c r="G4230" t="s">
        <v>5375</v>
      </c>
      <c r="H4230" t="s">
        <v>5134</v>
      </c>
      <c r="J4230" t="s">
        <v>4378</v>
      </c>
      <c r="K4230">
        <v>60.5</v>
      </c>
    </row>
    <row r="4231" spans="1:11" x14ac:dyDescent="0.35">
      <c r="A4231" t="s">
        <v>4379</v>
      </c>
      <c r="B4231" s="1">
        <v>0</v>
      </c>
      <c r="C4231" t="s">
        <v>5411</v>
      </c>
      <c r="D4231" t="s">
        <v>5357</v>
      </c>
      <c r="E4231" t="s">
        <v>5409</v>
      </c>
      <c r="F4231" t="s">
        <v>5364</v>
      </c>
      <c r="G4231" t="s">
        <v>5375</v>
      </c>
      <c r="H4231" t="s">
        <v>5134</v>
      </c>
      <c r="J4231" t="s">
        <v>4379</v>
      </c>
      <c r="K4231">
        <v>60.5</v>
      </c>
    </row>
    <row r="4232" spans="1:11" x14ac:dyDescent="0.35">
      <c r="A4232" s="2">
        <v>44044</v>
      </c>
      <c r="B4232" s="1">
        <v>0</v>
      </c>
      <c r="C4232" t="s">
        <v>5411</v>
      </c>
      <c r="D4232" t="s">
        <v>5357</v>
      </c>
      <c r="E4232" t="s">
        <v>5409</v>
      </c>
      <c r="F4232" t="s">
        <v>5364</v>
      </c>
      <c r="G4232" t="s">
        <v>5375</v>
      </c>
      <c r="H4232" t="s">
        <v>5609</v>
      </c>
      <c r="J4232" s="2">
        <v>44044</v>
      </c>
      <c r="K4232">
        <v>60.4</v>
      </c>
    </row>
    <row r="4233" spans="1:11" x14ac:dyDescent="0.35">
      <c r="A4233" s="2">
        <v>44045</v>
      </c>
      <c r="B4233" s="1">
        <v>0</v>
      </c>
      <c r="C4233" t="s">
        <v>5227</v>
      </c>
      <c r="D4233" t="s">
        <v>5168</v>
      </c>
      <c r="E4233" t="s">
        <v>5357</v>
      </c>
      <c r="F4233" t="s">
        <v>5383</v>
      </c>
      <c r="G4233" t="s">
        <v>5885</v>
      </c>
      <c r="H4233" t="s">
        <v>5608</v>
      </c>
      <c r="J4233" s="2">
        <v>44045</v>
      </c>
      <c r="K4233">
        <v>66.5</v>
      </c>
    </row>
    <row r="4234" spans="1:11" x14ac:dyDescent="0.35">
      <c r="A4234" s="2">
        <v>44046</v>
      </c>
      <c r="B4234" s="1">
        <v>0</v>
      </c>
      <c r="C4234" t="s">
        <v>5045</v>
      </c>
      <c r="D4234" t="s">
        <v>5168</v>
      </c>
      <c r="E4234" t="s">
        <v>5357</v>
      </c>
      <c r="F4234" t="s">
        <v>5383</v>
      </c>
      <c r="G4234" t="s">
        <v>5879</v>
      </c>
      <c r="H4234" t="s">
        <v>5403</v>
      </c>
      <c r="J4234" s="2">
        <v>44046</v>
      </c>
      <c r="K4234">
        <v>69.3</v>
      </c>
    </row>
    <row r="4235" spans="1:11" x14ac:dyDescent="0.35">
      <c r="A4235" s="2">
        <v>44047</v>
      </c>
      <c r="B4235" s="1">
        <v>0</v>
      </c>
      <c r="C4235" t="s">
        <v>5336</v>
      </c>
      <c r="D4235" t="s">
        <v>5168</v>
      </c>
      <c r="E4235" t="s">
        <v>5357</v>
      </c>
      <c r="F4235" t="s">
        <v>5383</v>
      </c>
      <c r="G4235" t="s">
        <v>5883</v>
      </c>
      <c r="H4235" t="s">
        <v>1517</v>
      </c>
      <c r="J4235" s="2">
        <v>44047</v>
      </c>
      <c r="K4235">
        <v>72.3</v>
      </c>
    </row>
    <row r="4236" spans="1:11" x14ac:dyDescent="0.35">
      <c r="A4236" s="2">
        <v>44048</v>
      </c>
      <c r="B4236" s="1">
        <v>0</v>
      </c>
      <c r="C4236" t="s">
        <v>5191</v>
      </c>
      <c r="D4236" t="s">
        <v>5168</v>
      </c>
      <c r="E4236" t="s">
        <v>5357</v>
      </c>
      <c r="F4236" t="s">
        <v>5383</v>
      </c>
      <c r="G4236" t="s">
        <v>5886</v>
      </c>
      <c r="H4236" t="s">
        <v>425</v>
      </c>
      <c r="J4236" s="2">
        <v>44048</v>
      </c>
      <c r="K4236">
        <v>73</v>
      </c>
    </row>
    <row r="4237" spans="1:11" x14ac:dyDescent="0.35">
      <c r="A4237" s="2">
        <v>44049</v>
      </c>
      <c r="B4237" s="1">
        <v>0</v>
      </c>
      <c r="C4237" t="s">
        <v>5199</v>
      </c>
      <c r="D4237" t="s">
        <v>5168</v>
      </c>
      <c r="E4237" t="s">
        <v>5357</v>
      </c>
      <c r="F4237" t="s">
        <v>5383</v>
      </c>
      <c r="G4237" t="s">
        <v>5886</v>
      </c>
      <c r="H4237" t="s">
        <v>2584</v>
      </c>
      <c r="J4237" s="2">
        <v>44049</v>
      </c>
      <c r="K4237">
        <v>72.400000000000006</v>
      </c>
    </row>
    <row r="4238" spans="1:11" x14ac:dyDescent="0.35">
      <c r="A4238" s="2">
        <v>44050</v>
      </c>
      <c r="B4238" s="1">
        <v>0</v>
      </c>
      <c r="C4238" t="s">
        <v>5205</v>
      </c>
      <c r="D4238" t="s">
        <v>5168</v>
      </c>
      <c r="E4238" t="s">
        <v>5357</v>
      </c>
      <c r="F4238" t="s">
        <v>5383</v>
      </c>
      <c r="G4238" t="s">
        <v>5880</v>
      </c>
      <c r="H4238" t="s">
        <v>1011</v>
      </c>
      <c r="J4238" s="2">
        <v>44050</v>
      </c>
      <c r="K4238">
        <v>71.400000000000006</v>
      </c>
    </row>
    <row r="4239" spans="1:11" x14ac:dyDescent="0.35">
      <c r="A4239" s="2">
        <v>44051</v>
      </c>
      <c r="B4239" s="1">
        <v>0</v>
      </c>
      <c r="C4239" t="s">
        <v>5414</v>
      </c>
      <c r="D4239" t="s">
        <v>5153</v>
      </c>
      <c r="E4239" t="s">
        <v>5184</v>
      </c>
      <c r="F4239" t="s">
        <v>5383</v>
      </c>
      <c r="G4239" t="s">
        <v>5882</v>
      </c>
      <c r="H4239" t="s">
        <v>1886</v>
      </c>
      <c r="J4239" s="2">
        <v>44051</v>
      </c>
      <c r="K4239">
        <v>73.3</v>
      </c>
    </row>
    <row r="4240" spans="1:11" x14ac:dyDescent="0.35">
      <c r="A4240" s="2">
        <v>44052</v>
      </c>
      <c r="B4240" s="1">
        <v>0</v>
      </c>
      <c r="C4240" t="s">
        <v>5287</v>
      </c>
      <c r="D4240" t="s">
        <v>5321</v>
      </c>
      <c r="E4240" t="s">
        <v>5339</v>
      </c>
      <c r="F4240" t="s">
        <v>5383</v>
      </c>
      <c r="G4240" t="s">
        <v>5887</v>
      </c>
      <c r="H4240" t="s">
        <v>450</v>
      </c>
      <c r="J4240" s="2">
        <v>44052</v>
      </c>
      <c r="K4240">
        <v>79.900000000000006</v>
      </c>
    </row>
    <row r="4241" spans="1:11" x14ac:dyDescent="0.35">
      <c r="A4241" s="2">
        <v>44053</v>
      </c>
      <c r="B4241" s="1">
        <v>0</v>
      </c>
      <c r="C4241" t="s">
        <v>5524</v>
      </c>
      <c r="D4241" t="s">
        <v>5095</v>
      </c>
      <c r="E4241" t="s">
        <v>5342</v>
      </c>
      <c r="F4241" t="s">
        <v>5383</v>
      </c>
      <c r="G4241" t="s">
        <v>5364</v>
      </c>
      <c r="H4241" t="s">
        <v>475</v>
      </c>
      <c r="J4241" s="2">
        <v>44053</v>
      </c>
      <c r="K4241">
        <v>88</v>
      </c>
    </row>
    <row r="4242" spans="1:11" x14ac:dyDescent="0.35">
      <c r="A4242" s="2">
        <v>44054</v>
      </c>
      <c r="B4242" s="1">
        <v>0</v>
      </c>
      <c r="C4242" t="s">
        <v>5422</v>
      </c>
      <c r="D4242" t="s">
        <v>5332</v>
      </c>
      <c r="E4242" t="s">
        <v>5288</v>
      </c>
      <c r="F4242" t="s">
        <v>5383</v>
      </c>
      <c r="G4242" t="s">
        <v>5364</v>
      </c>
      <c r="H4242" t="s">
        <v>1532</v>
      </c>
      <c r="J4242" s="2">
        <v>44054</v>
      </c>
      <c r="K4242">
        <v>91.3</v>
      </c>
    </row>
    <row r="4243" spans="1:11" x14ac:dyDescent="0.35">
      <c r="A4243" s="2">
        <v>44055</v>
      </c>
      <c r="B4243" s="1">
        <v>0</v>
      </c>
      <c r="C4243" t="s">
        <v>5420</v>
      </c>
      <c r="D4243" t="s">
        <v>5341</v>
      </c>
      <c r="E4243" t="s">
        <v>5224</v>
      </c>
      <c r="F4243" t="s">
        <v>5383</v>
      </c>
      <c r="G4243" t="s">
        <v>5881</v>
      </c>
      <c r="H4243" t="s">
        <v>364</v>
      </c>
      <c r="J4243" s="2">
        <v>44055</v>
      </c>
      <c r="K4243">
        <v>90.1</v>
      </c>
    </row>
    <row r="4244" spans="1:11" x14ac:dyDescent="0.35">
      <c r="A4244" s="2">
        <v>44056</v>
      </c>
      <c r="B4244" s="1">
        <v>0</v>
      </c>
      <c r="C4244" t="s">
        <v>5622</v>
      </c>
      <c r="D4244" t="s">
        <v>5355</v>
      </c>
      <c r="E4244" t="s">
        <v>5291</v>
      </c>
      <c r="F4244" t="s">
        <v>5383</v>
      </c>
      <c r="G4244" t="s">
        <v>5887</v>
      </c>
      <c r="H4244" t="s">
        <v>356</v>
      </c>
      <c r="J4244" s="2">
        <v>44056</v>
      </c>
      <c r="K4244">
        <v>86.8</v>
      </c>
    </row>
    <row r="4245" spans="1:11" x14ac:dyDescent="0.35">
      <c r="A4245" s="2">
        <v>44057</v>
      </c>
      <c r="B4245" s="1">
        <v>0</v>
      </c>
      <c r="C4245" t="s">
        <v>5293</v>
      </c>
      <c r="D4245" t="s">
        <v>5116</v>
      </c>
      <c r="E4245" t="s">
        <v>5342</v>
      </c>
      <c r="F4245" t="s">
        <v>5383</v>
      </c>
      <c r="G4245" t="s">
        <v>5882</v>
      </c>
      <c r="H4245" t="s">
        <v>445</v>
      </c>
      <c r="J4245" s="2">
        <v>44057</v>
      </c>
      <c r="K4245">
        <v>82.5</v>
      </c>
    </row>
    <row r="4246" spans="1:11" x14ac:dyDescent="0.35">
      <c r="A4246" s="2">
        <v>44058</v>
      </c>
      <c r="B4246" s="1">
        <v>0</v>
      </c>
      <c r="C4246" t="s">
        <v>5043</v>
      </c>
      <c r="D4246" t="s">
        <v>5412</v>
      </c>
      <c r="E4246" t="s">
        <v>5432</v>
      </c>
      <c r="F4246" t="s">
        <v>5383</v>
      </c>
      <c r="G4246" t="s">
        <v>5882</v>
      </c>
      <c r="H4246" t="s">
        <v>452</v>
      </c>
      <c r="J4246" s="2">
        <v>44058</v>
      </c>
      <c r="K4246">
        <v>79.099999999999994</v>
      </c>
    </row>
    <row r="4247" spans="1:11" x14ac:dyDescent="0.35">
      <c r="A4247" s="2">
        <v>44059</v>
      </c>
      <c r="B4247" s="1">
        <v>0</v>
      </c>
      <c r="C4247" t="s">
        <v>5338</v>
      </c>
      <c r="D4247" t="s">
        <v>5222</v>
      </c>
      <c r="E4247" t="s">
        <v>5339</v>
      </c>
      <c r="F4247" t="s">
        <v>5383</v>
      </c>
      <c r="G4247" t="s">
        <v>5880</v>
      </c>
      <c r="H4247" t="s">
        <v>1040</v>
      </c>
      <c r="J4247" s="2">
        <v>44059</v>
      </c>
      <c r="K4247">
        <v>75.8</v>
      </c>
    </row>
    <row r="4248" spans="1:11" x14ac:dyDescent="0.35">
      <c r="A4248" s="2">
        <v>44060</v>
      </c>
      <c r="B4248" s="1">
        <v>0</v>
      </c>
      <c r="C4248" t="s">
        <v>5493</v>
      </c>
      <c r="D4248" t="s">
        <v>5291</v>
      </c>
      <c r="E4248" t="s">
        <v>5348</v>
      </c>
      <c r="F4248" t="s">
        <v>5383</v>
      </c>
      <c r="G4248" t="s">
        <v>5886</v>
      </c>
      <c r="H4248" t="s">
        <v>415</v>
      </c>
      <c r="J4248" s="2">
        <v>44060</v>
      </c>
      <c r="K4248">
        <v>72.900000000000006</v>
      </c>
    </row>
    <row r="4249" spans="1:11" x14ac:dyDescent="0.35">
      <c r="A4249" s="2">
        <v>44061</v>
      </c>
      <c r="B4249" s="1">
        <v>0</v>
      </c>
      <c r="C4249" t="s">
        <v>5358</v>
      </c>
      <c r="D4249" t="s">
        <v>5342</v>
      </c>
      <c r="E4249" t="s">
        <v>5180</v>
      </c>
      <c r="F4249" t="s">
        <v>5383</v>
      </c>
      <c r="G4249" t="s">
        <v>5883</v>
      </c>
      <c r="H4249" t="s">
        <v>1033</v>
      </c>
      <c r="J4249" s="2">
        <v>44061</v>
      </c>
      <c r="K4249">
        <v>71.599999999999994</v>
      </c>
    </row>
    <row r="4250" spans="1:11" x14ac:dyDescent="0.35">
      <c r="A4250" s="2">
        <v>44062</v>
      </c>
      <c r="B4250" s="1">
        <v>0</v>
      </c>
      <c r="C4250" t="s">
        <v>5527</v>
      </c>
      <c r="D4250" t="s">
        <v>5315</v>
      </c>
      <c r="E4250" t="s">
        <v>5177</v>
      </c>
      <c r="F4250" t="s">
        <v>5383</v>
      </c>
      <c r="G4250" t="s">
        <v>5886</v>
      </c>
      <c r="H4250" t="s">
        <v>1876</v>
      </c>
      <c r="J4250" s="2">
        <v>44062</v>
      </c>
      <c r="K4250">
        <v>74.5</v>
      </c>
    </row>
    <row r="4251" spans="1:11" x14ac:dyDescent="0.35">
      <c r="A4251" s="2">
        <v>44063</v>
      </c>
      <c r="B4251" s="1">
        <v>0</v>
      </c>
      <c r="C4251" t="s">
        <v>5284</v>
      </c>
      <c r="D4251" t="s">
        <v>5172</v>
      </c>
      <c r="E4251" t="s">
        <v>5339</v>
      </c>
      <c r="F4251" t="s">
        <v>5383</v>
      </c>
      <c r="G4251" t="s">
        <v>5882</v>
      </c>
      <c r="H4251" t="s">
        <v>1042</v>
      </c>
      <c r="J4251" s="2">
        <v>44063</v>
      </c>
      <c r="K4251">
        <v>81.900000000000006</v>
      </c>
    </row>
    <row r="4252" spans="1:11" x14ac:dyDescent="0.35">
      <c r="A4252" s="2">
        <v>44064</v>
      </c>
      <c r="B4252" s="1">
        <v>0</v>
      </c>
      <c r="C4252" t="s">
        <v>5059</v>
      </c>
      <c r="D4252" t="s">
        <v>5082</v>
      </c>
      <c r="E4252" t="s">
        <v>5330</v>
      </c>
      <c r="F4252" t="s">
        <v>5383</v>
      </c>
      <c r="G4252" t="s">
        <v>5364</v>
      </c>
      <c r="H4252" t="s">
        <v>1482</v>
      </c>
      <c r="J4252" s="2">
        <v>44064</v>
      </c>
      <c r="K4252">
        <v>91.2</v>
      </c>
    </row>
    <row r="4253" spans="1:11" x14ac:dyDescent="0.35">
      <c r="A4253" s="2">
        <v>44065</v>
      </c>
      <c r="B4253" s="1">
        <v>0</v>
      </c>
      <c r="C4253" t="s">
        <v>5229</v>
      </c>
      <c r="D4253" t="s">
        <v>5333</v>
      </c>
      <c r="E4253" t="s">
        <v>5288</v>
      </c>
      <c r="F4253" t="s">
        <v>5383</v>
      </c>
      <c r="G4253" t="s">
        <v>5363</v>
      </c>
      <c r="H4253" t="s">
        <v>3218</v>
      </c>
      <c r="J4253" s="2">
        <v>44065</v>
      </c>
      <c r="K4253">
        <v>97.6</v>
      </c>
    </row>
    <row r="4254" spans="1:11" x14ac:dyDescent="0.35">
      <c r="A4254" s="2">
        <v>44066</v>
      </c>
      <c r="B4254" s="1">
        <v>0</v>
      </c>
      <c r="C4254" t="s">
        <v>5125</v>
      </c>
      <c r="D4254" t="s">
        <v>5188</v>
      </c>
      <c r="E4254" t="s">
        <v>5321</v>
      </c>
      <c r="F4254" t="s">
        <v>5383</v>
      </c>
      <c r="G4254" t="s">
        <v>5369</v>
      </c>
      <c r="H4254" t="s">
        <v>1476</v>
      </c>
      <c r="J4254" s="2">
        <v>44066</v>
      </c>
      <c r="K4254">
        <v>99.9</v>
      </c>
    </row>
    <row r="4255" spans="1:11" x14ac:dyDescent="0.35">
      <c r="A4255" s="2">
        <v>44067</v>
      </c>
      <c r="B4255" s="1">
        <v>0</v>
      </c>
      <c r="C4255" t="s">
        <v>5123</v>
      </c>
      <c r="D4255" t="s">
        <v>5355</v>
      </c>
      <c r="E4255" t="s">
        <v>5291</v>
      </c>
      <c r="F4255" t="s">
        <v>5383</v>
      </c>
      <c r="G4255" t="s">
        <v>5363</v>
      </c>
      <c r="H4255" t="s">
        <v>2270</v>
      </c>
      <c r="J4255" s="2">
        <v>44067</v>
      </c>
      <c r="K4255">
        <v>96</v>
      </c>
    </row>
    <row r="4256" spans="1:11" x14ac:dyDescent="0.35">
      <c r="A4256" s="2">
        <v>44068</v>
      </c>
      <c r="B4256" s="1">
        <v>0</v>
      </c>
      <c r="C4256" t="s">
        <v>5323</v>
      </c>
      <c r="D4256" t="s">
        <v>5082</v>
      </c>
      <c r="E4256" t="s">
        <v>5342</v>
      </c>
      <c r="F4256" t="s">
        <v>5383</v>
      </c>
      <c r="G4256" t="s">
        <v>5367</v>
      </c>
      <c r="H4256" t="s">
        <v>332</v>
      </c>
      <c r="J4256" s="2">
        <v>44068</v>
      </c>
      <c r="K4256">
        <v>90.2</v>
      </c>
    </row>
    <row r="4257" spans="1:11" x14ac:dyDescent="0.35">
      <c r="A4257" s="2">
        <v>44069</v>
      </c>
      <c r="B4257" s="1">
        <v>0</v>
      </c>
      <c r="C4257" t="s">
        <v>5064</v>
      </c>
      <c r="D4257" t="s">
        <v>5082</v>
      </c>
      <c r="E4257" t="s">
        <v>5330</v>
      </c>
      <c r="F4257" t="s">
        <v>5383</v>
      </c>
      <c r="G4257" t="s">
        <v>5367</v>
      </c>
      <c r="H4257" t="s">
        <v>1471</v>
      </c>
      <c r="J4257" s="2">
        <v>44069</v>
      </c>
      <c r="K4257">
        <v>88.5</v>
      </c>
    </row>
    <row r="4258" spans="1:11" x14ac:dyDescent="0.35">
      <c r="A4258" s="2">
        <v>44070</v>
      </c>
      <c r="B4258" s="1">
        <v>0</v>
      </c>
      <c r="C4258" t="s">
        <v>5210</v>
      </c>
      <c r="D4258" t="s">
        <v>5166</v>
      </c>
      <c r="E4258" t="s">
        <v>5291</v>
      </c>
      <c r="F4258" t="s">
        <v>5383</v>
      </c>
      <c r="G4258" t="s">
        <v>5369</v>
      </c>
      <c r="H4258" t="s">
        <v>1871</v>
      </c>
      <c r="J4258" s="2">
        <v>44070</v>
      </c>
      <c r="K4258">
        <v>94.2</v>
      </c>
    </row>
    <row r="4259" spans="1:11" x14ac:dyDescent="0.35">
      <c r="A4259" s="2">
        <v>44071</v>
      </c>
      <c r="B4259" s="1">
        <v>0</v>
      </c>
      <c r="C4259" t="s">
        <v>5150</v>
      </c>
      <c r="D4259" t="s">
        <v>5549</v>
      </c>
      <c r="E4259" t="s">
        <v>5050</v>
      </c>
      <c r="F4259" t="s">
        <v>5383</v>
      </c>
      <c r="G4259" t="s">
        <v>5388</v>
      </c>
      <c r="H4259" t="s">
        <v>5658</v>
      </c>
      <c r="J4259" s="2">
        <v>44071</v>
      </c>
      <c r="K4259">
        <v>103.5</v>
      </c>
    </row>
    <row r="4260" spans="1:11" x14ac:dyDescent="0.35">
      <c r="A4260" s="2">
        <v>44072</v>
      </c>
      <c r="B4260" s="1">
        <v>0</v>
      </c>
      <c r="C4260" t="s">
        <v>5111</v>
      </c>
      <c r="D4260" t="s">
        <v>5296</v>
      </c>
      <c r="E4260" t="s">
        <v>5058</v>
      </c>
      <c r="F4260" t="s">
        <v>5379</v>
      </c>
      <c r="G4260" t="s">
        <v>5388</v>
      </c>
      <c r="H4260" t="s">
        <v>307</v>
      </c>
      <c r="J4260" s="2">
        <v>44072</v>
      </c>
      <c r="K4260">
        <v>106.7</v>
      </c>
    </row>
    <row r="4261" spans="1:11" x14ac:dyDescent="0.35">
      <c r="A4261" s="2">
        <v>44073</v>
      </c>
      <c r="B4261" s="1">
        <v>0</v>
      </c>
      <c r="C4261" t="s">
        <v>5135</v>
      </c>
      <c r="D4261" t="s">
        <v>5421</v>
      </c>
      <c r="E4261" t="s">
        <v>5179</v>
      </c>
      <c r="F4261" t="s">
        <v>5379</v>
      </c>
      <c r="G4261" t="s">
        <v>5377</v>
      </c>
      <c r="H4261" t="s">
        <v>5548</v>
      </c>
      <c r="J4261" s="2">
        <v>44073</v>
      </c>
      <c r="K4261">
        <v>105.7</v>
      </c>
    </row>
    <row r="4262" spans="1:11" x14ac:dyDescent="0.35">
      <c r="A4262" s="2">
        <v>44074</v>
      </c>
      <c r="B4262" s="1">
        <v>0</v>
      </c>
      <c r="C4262" t="s">
        <v>5103</v>
      </c>
      <c r="D4262" t="s">
        <v>5047</v>
      </c>
      <c r="E4262" t="s">
        <v>5054</v>
      </c>
      <c r="F4262" t="s">
        <v>5379</v>
      </c>
      <c r="G4262" t="s">
        <v>5390</v>
      </c>
      <c r="H4262" t="s">
        <v>2226</v>
      </c>
      <c r="J4262" s="2">
        <v>44074</v>
      </c>
      <c r="K4262">
        <v>107.6</v>
      </c>
    </row>
    <row r="4263" spans="1:11" x14ac:dyDescent="0.35">
      <c r="A4263" t="s">
        <v>4384</v>
      </c>
      <c r="B4263" s="1">
        <v>0</v>
      </c>
      <c r="C4263" t="s">
        <v>5392</v>
      </c>
      <c r="D4263" t="s">
        <v>5290</v>
      </c>
      <c r="E4263" t="s">
        <v>5065</v>
      </c>
      <c r="F4263" t="s">
        <v>5379</v>
      </c>
      <c r="G4263" t="s">
        <v>5377</v>
      </c>
      <c r="H4263" t="s">
        <v>497</v>
      </c>
      <c r="J4263" t="s">
        <v>4384</v>
      </c>
      <c r="K4263">
        <v>116.3</v>
      </c>
    </row>
    <row r="4264" spans="1:11" x14ac:dyDescent="0.35">
      <c r="A4264" t="s">
        <v>4385</v>
      </c>
      <c r="B4264" s="1">
        <v>0</v>
      </c>
      <c r="C4264" t="s">
        <v>5465</v>
      </c>
      <c r="D4264" t="s">
        <v>5420</v>
      </c>
      <c r="E4264" t="s">
        <v>5296</v>
      </c>
      <c r="F4264" t="s">
        <v>5156</v>
      </c>
      <c r="G4264" t="s">
        <v>5404</v>
      </c>
      <c r="H4264" t="s">
        <v>1144</v>
      </c>
      <c r="J4264" t="s">
        <v>4385</v>
      </c>
      <c r="K4264">
        <v>154.1</v>
      </c>
    </row>
    <row r="4265" spans="1:11" x14ac:dyDescent="0.35">
      <c r="A4265" t="s">
        <v>4386</v>
      </c>
      <c r="B4265" s="1">
        <v>0</v>
      </c>
      <c r="C4265" t="s">
        <v>1035</v>
      </c>
      <c r="D4265" t="s">
        <v>5202</v>
      </c>
      <c r="E4265" t="s">
        <v>5325</v>
      </c>
      <c r="F4265" t="s">
        <v>5156</v>
      </c>
      <c r="G4265" t="s">
        <v>5404</v>
      </c>
      <c r="H4265" t="s">
        <v>176</v>
      </c>
      <c r="J4265" t="s">
        <v>4386</v>
      </c>
      <c r="K4265">
        <v>159.4</v>
      </c>
    </row>
    <row r="4266" spans="1:11" x14ac:dyDescent="0.35">
      <c r="A4266" t="s">
        <v>4387</v>
      </c>
      <c r="B4266" s="1">
        <v>0</v>
      </c>
      <c r="C4266" t="s">
        <v>377</v>
      </c>
      <c r="D4266" t="s">
        <v>5176</v>
      </c>
      <c r="E4266" t="s">
        <v>5327</v>
      </c>
      <c r="F4266" t="s">
        <v>5156</v>
      </c>
      <c r="G4266" t="s">
        <v>5413</v>
      </c>
      <c r="H4266" t="s">
        <v>882</v>
      </c>
      <c r="J4266" t="s">
        <v>4387</v>
      </c>
      <c r="K4266">
        <v>156</v>
      </c>
    </row>
    <row r="4267" spans="1:11" x14ac:dyDescent="0.35">
      <c r="A4267" t="s">
        <v>4388</v>
      </c>
      <c r="B4267" s="1">
        <v>0</v>
      </c>
      <c r="C4267" t="s">
        <v>5232</v>
      </c>
      <c r="D4267" t="s">
        <v>5303</v>
      </c>
      <c r="E4267" t="s">
        <v>5308</v>
      </c>
      <c r="F4267" t="s">
        <v>5156</v>
      </c>
      <c r="G4267" t="s">
        <v>5562</v>
      </c>
      <c r="H4267" t="s">
        <v>103</v>
      </c>
      <c r="J4267" t="s">
        <v>4388</v>
      </c>
      <c r="K4267">
        <v>143.69999999999999</v>
      </c>
    </row>
    <row r="4268" spans="1:11" x14ac:dyDescent="0.35">
      <c r="A4268" t="s">
        <v>4389</v>
      </c>
      <c r="B4268" s="1">
        <v>0</v>
      </c>
      <c r="C4268" t="s">
        <v>5258</v>
      </c>
      <c r="D4268" t="s">
        <v>5292</v>
      </c>
      <c r="E4268" t="s">
        <v>5526</v>
      </c>
      <c r="F4268" t="s">
        <v>5156</v>
      </c>
      <c r="G4268" t="s">
        <v>5360</v>
      </c>
      <c r="H4268" t="s">
        <v>3122</v>
      </c>
      <c r="J4268" t="s">
        <v>4389</v>
      </c>
      <c r="K4268">
        <v>130.80000000000001</v>
      </c>
    </row>
    <row r="4269" spans="1:11" x14ac:dyDescent="0.35">
      <c r="A4269" t="s">
        <v>4390</v>
      </c>
      <c r="B4269" s="1">
        <v>0</v>
      </c>
      <c r="C4269" t="s">
        <v>5454</v>
      </c>
      <c r="D4269" t="s">
        <v>5139</v>
      </c>
      <c r="E4269" t="s">
        <v>5527</v>
      </c>
      <c r="F4269" t="s">
        <v>5156</v>
      </c>
      <c r="G4269" t="s">
        <v>5360</v>
      </c>
      <c r="H4269" t="s">
        <v>4079</v>
      </c>
      <c r="J4269" t="s">
        <v>4390</v>
      </c>
      <c r="K4269">
        <v>124.4</v>
      </c>
    </row>
    <row r="4270" spans="1:11" x14ac:dyDescent="0.35">
      <c r="A4270" t="s">
        <v>4391</v>
      </c>
      <c r="B4270" s="1">
        <v>0</v>
      </c>
      <c r="C4270" t="s">
        <v>5091</v>
      </c>
      <c r="D4270" t="s">
        <v>5311</v>
      </c>
      <c r="E4270" t="s">
        <v>5331</v>
      </c>
      <c r="F4270" t="s">
        <v>5156</v>
      </c>
      <c r="G4270" t="s">
        <v>5562</v>
      </c>
      <c r="H4270" t="s">
        <v>2874</v>
      </c>
      <c r="J4270" t="s">
        <v>4391</v>
      </c>
      <c r="K4270">
        <v>127.6</v>
      </c>
    </row>
    <row r="4271" spans="1:11" x14ac:dyDescent="0.35">
      <c r="A4271" t="s">
        <v>4392</v>
      </c>
      <c r="B4271" s="1">
        <v>0</v>
      </c>
      <c r="C4271" t="s">
        <v>5609</v>
      </c>
      <c r="D4271" t="s">
        <v>5196</v>
      </c>
      <c r="E4271" t="s">
        <v>5163</v>
      </c>
      <c r="F4271" t="s">
        <v>5156</v>
      </c>
      <c r="G4271" t="s">
        <v>5399</v>
      </c>
      <c r="H4271" t="s">
        <v>2180</v>
      </c>
      <c r="J4271" t="s">
        <v>4392</v>
      </c>
      <c r="K4271">
        <v>135.80000000000001</v>
      </c>
    </row>
    <row r="4272" spans="1:11" x14ac:dyDescent="0.35">
      <c r="A4272" t="s">
        <v>4393</v>
      </c>
      <c r="B4272" s="1">
        <v>0</v>
      </c>
      <c r="C4272" t="s">
        <v>5581</v>
      </c>
      <c r="D4272" t="s">
        <v>5598</v>
      </c>
      <c r="E4272" t="s">
        <v>5161</v>
      </c>
      <c r="F4272" t="s">
        <v>5156</v>
      </c>
      <c r="G4272" t="s">
        <v>5419</v>
      </c>
      <c r="H4272" t="s">
        <v>1394</v>
      </c>
      <c r="J4272" t="s">
        <v>4393</v>
      </c>
      <c r="K4272">
        <v>139.4</v>
      </c>
    </row>
    <row r="4273" spans="1:11" x14ac:dyDescent="0.35">
      <c r="A4273" t="s">
        <v>4394</v>
      </c>
      <c r="B4273" s="1">
        <v>0</v>
      </c>
      <c r="C4273" t="s">
        <v>5228</v>
      </c>
      <c r="D4273" t="s">
        <v>5043</v>
      </c>
      <c r="E4273" t="s">
        <v>5163</v>
      </c>
      <c r="F4273" t="s">
        <v>5156</v>
      </c>
      <c r="G4273" t="s">
        <v>5419</v>
      </c>
      <c r="H4273" t="s">
        <v>520</v>
      </c>
      <c r="J4273" t="s">
        <v>4394</v>
      </c>
      <c r="K4273">
        <v>134.80000000000001</v>
      </c>
    </row>
    <row r="4274" spans="1:11" x14ac:dyDescent="0.35">
      <c r="A4274" t="s">
        <v>4395</v>
      </c>
      <c r="B4274" s="1">
        <v>0</v>
      </c>
      <c r="C4274" t="s">
        <v>5107</v>
      </c>
      <c r="D4274" t="s">
        <v>5199</v>
      </c>
      <c r="E4274" t="s">
        <v>5158</v>
      </c>
      <c r="F4274" t="s">
        <v>5156</v>
      </c>
      <c r="G4274" t="s">
        <v>5413</v>
      </c>
      <c r="H4274" t="s">
        <v>114</v>
      </c>
      <c r="J4274" t="s">
        <v>4395</v>
      </c>
      <c r="K4274">
        <v>127.2</v>
      </c>
    </row>
    <row r="4275" spans="1:11" x14ac:dyDescent="0.35">
      <c r="A4275" t="s">
        <v>4396</v>
      </c>
      <c r="B4275" s="1">
        <v>0</v>
      </c>
      <c r="C4275" t="s">
        <v>5142</v>
      </c>
      <c r="D4275" t="s">
        <v>5205</v>
      </c>
      <c r="E4275" t="s">
        <v>5166</v>
      </c>
      <c r="F4275" t="s">
        <v>5156</v>
      </c>
      <c r="G4275" t="s">
        <v>5413</v>
      </c>
      <c r="H4275" t="s">
        <v>4869</v>
      </c>
      <c r="J4275" t="s">
        <v>4396</v>
      </c>
      <c r="K4275">
        <v>122.3</v>
      </c>
    </row>
    <row r="4276" spans="1:11" x14ac:dyDescent="0.35">
      <c r="A4276" t="s">
        <v>4397</v>
      </c>
      <c r="B4276" s="1">
        <v>0</v>
      </c>
      <c r="C4276" t="s">
        <v>5138</v>
      </c>
      <c r="D4276" t="s">
        <v>5152</v>
      </c>
      <c r="E4276" t="s">
        <v>5201</v>
      </c>
      <c r="F4276" t="s">
        <v>5156</v>
      </c>
      <c r="G4276" t="s">
        <v>5413</v>
      </c>
      <c r="H4276" t="s">
        <v>10</v>
      </c>
      <c r="J4276" t="s">
        <v>4397</v>
      </c>
      <c r="K4276">
        <v>124.3</v>
      </c>
    </row>
    <row r="4277" spans="1:11" x14ac:dyDescent="0.35">
      <c r="A4277" t="s">
        <v>4398</v>
      </c>
      <c r="B4277" s="1">
        <v>0</v>
      </c>
      <c r="C4277" t="s">
        <v>5523</v>
      </c>
      <c r="D4277" t="s">
        <v>5429</v>
      </c>
      <c r="E4277" t="s">
        <v>5345</v>
      </c>
      <c r="F4277" t="s">
        <v>5156</v>
      </c>
      <c r="G4277" t="s">
        <v>5413</v>
      </c>
      <c r="H4277" t="s">
        <v>135</v>
      </c>
      <c r="J4277" t="s">
        <v>4398</v>
      </c>
      <c r="K4277">
        <v>132.4</v>
      </c>
    </row>
    <row r="4278" spans="1:11" x14ac:dyDescent="0.35">
      <c r="A4278" t="s">
        <v>4399</v>
      </c>
      <c r="B4278" s="1">
        <v>0</v>
      </c>
      <c r="C4278" t="s">
        <v>5228</v>
      </c>
      <c r="D4278" t="s">
        <v>5318</v>
      </c>
      <c r="E4278" t="s">
        <v>5043</v>
      </c>
      <c r="F4278" t="s">
        <v>5156</v>
      </c>
      <c r="G4278" t="s">
        <v>5399</v>
      </c>
      <c r="H4278" t="s">
        <v>1386</v>
      </c>
      <c r="J4278" t="s">
        <v>4399</v>
      </c>
      <c r="K4278">
        <v>140.19999999999999</v>
      </c>
    </row>
    <row r="4279" spans="1:11" x14ac:dyDescent="0.35">
      <c r="A4279" t="s">
        <v>4400</v>
      </c>
      <c r="B4279" s="1">
        <v>0</v>
      </c>
      <c r="C4279" t="s">
        <v>5490</v>
      </c>
      <c r="D4279" t="s">
        <v>5181</v>
      </c>
      <c r="E4279" t="s">
        <v>5047</v>
      </c>
      <c r="F4279" t="s">
        <v>5156</v>
      </c>
      <c r="G4279" t="s">
        <v>5395</v>
      </c>
      <c r="H4279" t="s">
        <v>857</v>
      </c>
      <c r="J4279" t="s">
        <v>4400</v>
      </c>
      <c r="K4279">
        <v>144.30000000000001</v>
      </c>
    </row>
    <row r="4280" spans="1:11" x14ac:dyDescent="0.35">
      <c r="A4280" t="s">
        <v>4401</v>
      </c>
      <c r="B4280" s="1">
        <v>0</v>
      </c>
      <c r="C4280" t="s">
        <v>5629</v>
      </c>
      <c r="D4280" t="s">
        <v>5286</v>
      </c>
      <c r="E4280" t="s">
        <v>5326</v>
      </c>
      <c r="F4280" t="s">
        <v>5156</v>
      </c>
      <c r="G4280" t="s">
        <v>5395</v>
      </c>
      <c r="H4280" t="s">
        <v>1392</v>
      </c>
      <c r="J4280" t="s">
        <v>4401</v>
      </c>
      <c r="K4280">
        <v>147.69999999999999</v>
      </c>
    </row>
    <row r="4281" spans="1:11" x14ac:dyDescent="0.35">
      <c r="A4281" t="s">
        <v>4402</v>
      </c>
      <c r="B4281" s="1">
        <v>0</v>
      </c>
      <c r="C4281" t="s">
        <v>5632</v>
      </c>
      <c r="D4281" t="s">
        <v>5221</v>
      </c>
      <c r="E4281" t="s">
        <v>5307</v>
      </c>
      <c r="F4281" t="s">
        <v>5156</v>
      </c>
      <c r="G4281" t="s">
        <v>5395</v>
      </c>
      <c r="H4281" t="s">
        <v>171</v>
      </c>
      <c r="J4281" t="s">
        <v>4402</v>
      </c>
      <c r="K4281">
        <v>150.19999999999999</v>
      </c>
    </row>
    <row r="4282" spans="1:11" x14ac:dyDescent="0.35">
      <c r="A4282" t="s">
        <v>4403</v>
      </c>
      <c r="B4282" s="1">
        <v>0</v>
      </c>
      <c r="C4282" t="s">
        <v>5469</v>
      </c>
      <c r="D4282" t="s">
        <v>5175</v>
      </c>
      <c r="E4282" t="s">
        <v>5327</v>
      </c>
      <c r="F4282" t="s">
        <v>5156</v>
      </c>
      <c r="G4282" t="s">
        <v>5399</v>
      </c>
      <c r="H4282" t="s">
        <v>791</v>
      </c>
      <c r="J4282" t="s">
        <v>4403</v>
      </c>
      <c r="K4282">
        <v>152.1</v>
      </c>
    </row>
    <row r="4283" spans="1:11" x14ac:dyDescent="0.35">
      <c r="A4283" t="s">
        <v>4404</v>
      </c>
      <c r="B4283" s="1">
        <v>0</v>
      </c>
      <c r="C4283" t="s">
        <v>5608</v>
      </c>
      <c r="D4283" t="s">
        <v>5173</v>
      </c>
      <c r="E4283" t="s">
        <v>5325</v>
      </c>
      <c r="F4283" t="s">
        <v>5156</v>
      </c>
      <c r="G4283" t="s">
        <v>5413</v>
      </c>
      <c r="H4283" t="s">
        <v>786</v>
      </c>
      <c r="J4283" t="s">
        <v>4404</v>
      </c>
      <c r="K4283">
        <v>155.1</v>
      </c>
    </row>
    <row r="4284" spans="1:11" x14ac:dyDescent="0.35">
      <c r="A4284" t="s">
        <v>4405</v>
      </c>
      <c r="B4284" s="1">
        <v>0</v>
      </c>
      <c r="C4284" t="s">
        <v>392</v>
      </c>
      <c r="D4284" t="s">
        <v>5160</v>
      </c>
      <c r="E4284" t="s">
        <v>5327</v>
      </c>
      <c r="F4284" t="s">
        <v>5156</v>
      </c>
      <c r="G4284" t="s">
        <v>5402</v>
      </c>
      <c r="H4284" t="s">
        <v>2500</v>
      </c>
      <c r="J4284" t="s">
        <v>4405</v>
      </c>
      <c r="K4284">
        <v>159.9</v>
      </c>
    </row>
    <row r="4285" spans="1:11" x14ac:dyDescent="0.35">
      <c r="A4285" t="s">
        <v>4406</v>
      </c>
      <c r="B4285" s="1">
        <v>0</v>
      </c>
      <c r="C4285" t="s">
        <v>1027</v>
      </c>
      <c r="D4285" t="s">
        <v>5060</v>
      </c>
      <c r="E4285" t="s">
        <v>5287</v>
      </c>
      <c r="F4285" t="s">
        <v>5156</v>
      </c>
      <c r="G4285" t="s">
        <v>5402</v>
      </c>
      <c r="H4285" t="s">
        <v>192</v>
      </c>
      <c r="J4285" t="s">
        <v>4406</v>
      </c>
      <c r="K4285">
        <v>163.69999999999999</v>
      </c>
    </row>
    <row r="4286" spans="1:11" x14ac:dyDescent="0.35">
      <c r="A4286" t="s">
        <v>4407</v>
      </c>
      <c r="B4286" s="1">
        <v>0</v>
      </c>
      <c r="C4286" t="s">
        <v>423</v>
      </c>
      <c r="D4286" t="s">
        <v>5208</v>
      </c>
      <c r="E4286" t="s">
        <v>5287</v>
      </c>
      <c r="F4286" t="s">
        <v>5156</v>
      </c>
      <c r="G4286" t="s">
        <v>5402</v>
      </c>
      <c r="H4286" t="s">
        <v>2135</v>
      </c>
      <c r="J4286" t="s">
        <v>4407</v>
      </c>
      <c r="K4286">
        <v>161.19999999999999</v>
      </c>
    </row>
    <row r="4287" spans="1:11" x14ac:dyDescent="0.35">
      <c r="A4287" t="s">
        <v>4408</v>
      </c>
      <c r="B4287" s="1">
        <v>0</v>
      </c>
      <c r="C4287" t="s">
        <v>5560</v>
      </c>
      <c r="D4287" t="s">
        <v>5434</v>
      </c>
      <c r="E4287" t="s">
        <v>5322</v>
      </c>
      <c r="F4287" t="s">
        <v>5156</v>
      </c>
      <c r="G4287" t="s">
        <v>5419</v>
      </c>
      <c r="H4287" t="s">
        <v>197</v>
      </c>
      <c r="J4287" t="s">
        <v>4408</v>
      </c>
      <c r="K4287">
        <v>158.9</v>
      </c>
    </row>
    <row r="4288" spans="1:11" x14ac:dyDescent="0.35">
      <c r="A4288" t="s">
        <v>4409</v>
      </c>
      <c r="B4288" s="1">
        <v>0</v>
      </c>
      <c r="C4288" t="s">
        <v>5480</v>
      </c>
      <c r="D4288" t="s">
        <v>5434</v>
      </c>
      <c r="E4288" t="s">
        <v>5302</v>
      </c>
      <c r="F4288" t="s">
        <v>5156</v>
      </c>
      <c r="G4288" t="s">
        <v>5404</v>
      </c>
      <c r="H4288" t="s">
        <v>590</v>
      </c>
      <c r="J4288" t="s">
        <v>4409</v>
      </c>
      <c r="K4288">
        <v>157.5</v>
      </c>
    </row>
    <row r="4289" spans="1:11" x14ac:dyDescent="0.35">
      <c r="A4289" t="s">
        <v>4410</v>
      </c>
      <c r="B4289" s="1">
        <v>0</v>
      </c>
      <c r="C4289" t="s">
        <v>5608</v>
      </c>
      <c r="D4289" t="s">
        <v>5434</v>
      </c>
      <c r="E4289" t="s">
        <v>5423</v>
      </c>
      <c r="F4289" t="s">
        <v>5156</v>
      </c>
      <c r="G4289" t="s">
        <v>5404</v>
      </c>
      <c r="H4289" t="s">
        <v>286</v>
      </c>
      <c r="J4289" t="s">
        <v>4410</v>
      </c>
      <c r="K4289">
        <v>157.80000000000001</v>
      </c>
    </row>
    <row r="4290" spans="1:11" x14ac:dyDescent="0.35">
      <c r="A4290" t="s">
        <v>4411</v>
      </c>
      <c r="B4290" s="1">
        <v>0</v>
      </c>
      <c r="C4290" t="s">
        <v>5620</v>
      </c>
      <c r="D4290" t="s">
        <v>5192</v>
      </c>
      <c r="E4290" t="s">
        <v>5051</v>
      </c>
      <c r="F4290" t="s">
        <v>5156</v>
      </c>
      <c r="G4290" t="s">
        <v>5404</v>
      </c>
      <c r="H4290" t="s">
        <v>1396</v>
      </c>
      <c r="J4290" t="s">
        <v>4411</v>
      </c>
      <c r="K4290">
        <v>161.69999999999999</v>
      </c>
    </row>
    <row r="4291" spans="1:11" x14ac:dyDescent="0.35">
      <c r="A4291" t="s">
        <v>4412</v>
      </c>
      <c r="B4291" s="1">
        <v>0</v>
      </c>
      <c r="C4291" t="s">
        <v>409</v>
      </c>
      <c r="D4291" t="s">
        <v>5229</v>
      </c>
      <c r="E4291" t="s">
        <v>5319</v>
      </c>
      <c r="F4291" t="s">
        <v>5156</v>
      </c>
      <c r="G4291" t="s">
        <v>5357</v>
      </c>
      <c r="H4291" t="s">
        <v>1606</v>
      </c>
      <c r="J4291" t="s">
        <v>4412</v>
      </c>
      <c r="K4291">
        <v>170.6</v>
      </c>
    </row>
    <row r="4292" spans="1:11" x14ac:dyDescent="0.35">
      <c r="A4292" t="s">
        <v>4413</v>
      </c>
      <c r="B4292" s="1">
        <v>0</v>
      </c>
      <c r="C4292" t="s">
        <v>1056</v>
      </c>
      <c r="D4292" t="s">
        <v>5125</v>
      </c>
      <c r="E4292" t="s">
        <v>5052</v>
      </c>
      <c r="F4292" t="s">
        <v>5156</v>
      </c>
      <c r="G4292" t="s">
        <v>5186</v>
      </c>
      <c r="H4292" t="s">
        <v>256</v>
      </c>
      <c r="J4292" t="s">
        <v>4413</v>
      </c>
      <c r="K4292">
        <v>176.2</v>
      </c>
    </row>
    <row r="4293" spans="1:11" x14ac:dyDescent="0.35">
      <c r="A4293" t="s">
        <v>4414</v>
      </c>
      <c r="B4293" s="1">
        <v>0</v>
      </c>
      <c r="C4293" t="s">
        <v>1052</v>
      </c>
      <c r="D4293" t="s">
        <v>5111</v>
      </c>
      <c r="E4293" t="s">
        <v>5426</v>
      </c>
      <c r="F4293" t="s">
        <v>5156</v>
      </c>
      <c r="G4293" t="s">
        <v>5177</v>
      </c>
      <c r="H4293" t="s">
        <v>2453</v>
      </c>
      <c r="J4293" t="s">
        <v>4414</v>
      </c>
      <c r="K4293">
        <v>181.6</v>
      </c>
    </row>
    <row r="4294" spans="1:11" x14ac:dyDescent="0.35">
      <c r="A4294" t="s">
        <v>4415</v>
      </c>
      <c r="B4294" s="1">
        <v>0</v>
      </c>
      <c r="C4294" t="s">
        <v>352</v>
      </c>
      <c r="D4294" t="s">
        <v>5129</v>
      </c>
      <c r="E4294" t="s">
        <v>5076</v>
      </c>
      <c r="F4294" t="s">
        <v>5050</v>
      </c>
      <c r="G4294" t="s">
        <v>5309</v>
      </c>
      <c r="H4294" t="s">
        <v>1714</v>
      </c>
      <c r="J4294" t="s">
        <v>4415</v>
      </c>
      <c r="K4294">
        <v>197.5</v>
      </c>
    </row>
    <row r="4295" spans="1:11" x14ac:dyDescent="0.35">
      <c r="A4295" t="s">
        <v>4416</v>
      </c>
      <c r="B4295" s="1">
        <v>0</v>
      </c>
      <c r="C4295" t="s">
        <v>1526</v>
      </c>
      <c r="D4295" t="s">
        <v>5133</v>
      </c>
      <c r="E4295" t="s">
        <v>5221</v>
      </c>
      <c r="F4295" t="s">
        <v>5050</v>
      </c>
      <c r="G4295" t="s">
        <v>5291</v>
      </c>
      <c r="H4295" t="s">
        <v>243</v>
      </c>
      <c r="J4295" t="s">
        <v>4416</v>
      </c>
      <c r="K4295">
        <v>198.3</v>
      </c>
    </row>
    <row r="4296" spans="1:11" x14ac:dyDescent="0.35">
      <c r="A4296" t="s">
        <v>4417</v>
      </c>
      <c r="B4296" s="1">
        <v>0</v>
      </c>
      <c r="C4296" t="s">
        <v>363</v>
      </c>
      <c r="D4296" t="s">
        <v>5220</v>
      </c>
      <c r="E4296" t="s">
        <v>5323</v>
      </c>
      <c r="F4296" t="s">
        <v>5050</v>
      </c>
      <c r="G4296" t="s">
        <v>5309</v>
      </c>
      <c r="H4296" t="s">
        <v>5655</v>
      </c>
      <c r="J4296" t="s">
        <v>4417</v>
      </c>
      <c r="K4296">
        <v>196.6</v>
      </c>
    </row>
    <row r="4297" spans="1:11" x14ac:dyDescent="0.35">
      <c r="A4297" t="s">
        <v>4418</v>
      </c>
      <c r="B4297" s="1">
        <v>0</v>
      </c>
      <c r="C4297" t="s">
        <v>2916</v>
      </c>
      <c r="D4297" t="s">
        <v>5443</v>
      </c>
      <c r="E4297" t="s">
        <v>5428</v>
      </c>
      <c r="F4297" t="s">
        <v>5050</v>
      </c>
      <c r="G4297" t="s">
        <v>5297</v>
      </c>
      <c r="H4297" t="s">
        <v>5004</v>
      </c>
      <c r="J4297" t="s">
        <v>4418</v>
      </c>
      <c r="K4297">
        <v>191.9</v>
      </c>
    </row>
    <row r="4298" spans="1:11" x14ac:dyDescent="0.35">
      <c r="A4298" t="s">
        <v>4419</v>
      </c>
      <c r="B4298" s="1">
        <v>0</v>
      </c>
      <c r="C4298" t="s">
        <v>2237</v>
      </c>
      <c r="D4298" t="s">
        <v>5442</v>
      </c>
      <c r="E4298" t="s">
        <v>5223</v>
      </c>
      <c r="F4298" t="s">
        <v>5050</v>
      </c>
      <c r="G4298" t="s">
        <v>5330</v>
      </c>
      <c r="H4298" t="s">
        <v>898</v>
      </c>
      <c r="J4298" t="s">
        <v>4419</v>
      </c>
      <c r="K4298">
        <v>183.6</v>
      </c>
    </row>
    <row r="4299" spans="1:11" x14ac:dyDescent="0.35">
      <c r="A4299" t="s">
        <v>4420</v>
      </c>
      <c r="B4299" s="1">
        <v>0</v>
      </c>
      <c r="C4299" t="s">
        <v>405</v>
      </c>
      <c r="D4299" t="s">
        <v>5571</v>
      </c>
      <c r="E4299" t="s">
        <v>5055</v>
      </c>
      <c r="F4299" t="s">
        <v>5050</v>
      </c>
      <c r="G4299" t="s">
        <v>5397</v>
      </c>
      <c r="H4299" t="s">
        <v>920</v>
      </c>
      <c r="J4299" t="s">
        <v>4420</v>
      </c>
      <c r="K4299">
        <v>176.3</v>
      </c>
    </row>
    <row r="4300" spans="1:11" x14ac:dyDescent="0.35">
      <c r="A4300" t="s">
        <v>4421</v>
      </c>
      <c r="B4300" s="1">
        <v>0</v>
      </c>
      <c r="C4300" t="s">
        <v>5461</v>
      </c>
      <c r="D4300" t="s">
        <v>5106</v>
      </c>
      <c r="E4300" t="s">
        <v>5202</v>
      </c>
      <c r="F4300" t="s">
        <v>5050</v>
      </c>
      <c r="G4300" t="s">
        <v>5144</v>
      </c>
      <c r="H4300" t="s">
        <v>1223</v>
      </c>
      <c r="J4300" t="s">
        <v>4421</v>
      </c>
      <c r="K4300">
        <v>177.1</v>
      </c>
    </row>
    <row r="4301" spans="1:11" x14ac:dyDescent="0.35">
      <c r="A4301" t="s">
        <v>4422</v>
      </c>
      <c r="B4301" s="1">
        <v>0</v>
      </c>
      <c r="C4301" t="s">
        <v>1031</v>
      </c>
      <c r="D4301" t="s">
        <v>5539</v>
      </c>
      <c r="E4301" t="s">
        <v>5197</v>
      </c>
      <c r="F4301" t="s">
        <v>5050</v>
      </c>
      <c r="G4301" t="s">
        <v>5397</v>
      </c>
      <c r="H4301" t="s">
        <v>2327</v>
      </c>
      <c r="J4301" t="s">
        <v>4422</v>
      </c>
      <c r="K4301">
        <v>186.7</v>
      </c>
    </row>
    <row r="4302" spans="1:11" x14ac:dyDescent="0.35">
      <c r="A4302" t="s">
        <v>4423</v>
      </c>
      <c r="B4302" s="1">
        <v>0</v>
      </c>
      <c r="C4302" t="s">
        <v>1910</v>
      </c>
      <c r="D4302" t="s">
        <v>5530</v>
      </c>
      <c r="E4302" t="s">
        <v>5060</v>
      </c>
      <c r="F4302" t="s">
        <v>5050</v>
      </c>
      <c r="G4302" t="s">
        <v>5400</v>
      </c>
      <c r="H4302" t="s">
        <v>3611</v>
      </c>
      <c r="J4302" t="s">
        <v>4423</v>
      </c>
      <c r="K4302">
        <v>197.8</v>
      </c>
    </row>
    <row r="4303" spans="1:11" x14ac:dyDescent="0.35">
      <c r="A4303" t="s">
        <v>4424</v>
      </c>
      <c r="B4303" s="1">
        <v>0</v>
      </c>
      <c r="C4303" t="s">
        <v>1053</v>
      </c>
      <c r="D4303" t="s">
        <v>5389</v>
      </c>
      <c r="E4303" t="s">
        <v>5162</v>
      </c>
      <c r="F4303" t="s">
        <v>5050</v>
      </c>
      <c r="G4303" t="s">
        <v>5330</v>
      </c>
      <c r="H4303" t="s">
        <v>1293</v>
      </c>
      <c r="J4303" t="s">
        <v>4424</v>
      </c>
      <c r="K4303">
        <v>199.2</v>
      </c>
    </row>
    <row r="4304" spans="1:11" x14ac:dyDescent="0.35">
      <c r="A4304" t="s">
        <v>4425</v>
      </c>
      <c r="B4304" s="1">
        <v>0</v>
      </c>
      <c r="C4304" t="s">
        <v>3489</v>
      </c>
      <c r="D4304" t="s">
        <v>5193</v>
      </c>
      <c r="E4304" t="s">
        <v>5068</v>
      </c>
      <c r="F4304" t="s">
        <v>5050</v>
      </c>
      <c r="G4304" t="s">
        <v>5400</v>
      </c>
      <c r="H4304" t="s">
        <v>5004</v>
      </c>
      <c r="J4304" t="s">
        <v>4425</v>
      </c>
      <c r="K4304">
        <v>191.9</v>
      </c>
    </row>
    <row r="4305" spans="1:11" x14ac:dyDescent="0.35">
      <c r="A4305" t="s">
        <v>4426</v>
      </c>
      <c r="B4305" s="1">
        <v>0</v>
      </c>
      <c r="C4305" t="s">
        <v>1913</v>
      </c>
      <c r="D4305" t="s">
        <v>5438</v>
      </c>
      <c r="E4305" t="s">
        <v>5056</v>
      </c>
      <c r="F4305" t="s">
        <v>5050</v>
      </c>
      <c r="G4305" t="s">
        <v>5330</v>
      </c>
      <c r="H4305" t="s">
        <v>680</v>
      </c>
      <c r="J4305" t="s">
        <v>4426</v>
      </c>
      <c r="K4305">
        <v>188.9</v>
      </c>
    </row>
    <row r="4306" spans="1:11" x14ac:dyDescent="0.35">
      <c r="A4306" t="s">
        <v>4427</v>
      </c>
      <c r="B4306" s="1">
        <v>0</v>
      </c>
      <c r="C4306" t="s">
        <v>365</v>
      </c>
      <c r="D4306" t="s">
        <v>5440</v>
      </c>
      <c r="E4306" t="s">
        <v>5223</v>
      </c>
      <c r="F4306" t="s">
        <v>5240</v>
      </c>
      <c r="G4306" t="s">
        <v>5297</v>
      </c>
      <c r="H4306" t="s">
        <v>2337</v>
      </c>
      <c r="J4306" t="s">
        <v>4427</v>
      </c>
      <c r="K4306">
        <v>192.6</v>
      </c>
    </row>
    <row r="4307" spans="1:11" x14ac:dyDescent="0.35">
      <c r="A4307" t="s">
        <v>4428</v>
      </c>
      <c r="B4307" s="1">
        <v>0</v>
      </c>
      <c r="C4307" t="s">
        <v>366</v>
      </c>
      <c r="D4307" t="s">
        <v>5108</v>
      </c>
      <c r="E4307" t="s">
        <v>5286</v>
      </c>
      <c r="F4307" t="s">
        <v>5240</v>
      </c>
      <c r="G4307" t="s">
        <v>5294</v>
      </c>
      <c r="H4307" t="s">
        <v>757</v>
      </c>
      <c r="J4307" t="s">
        <v>4428</v>
      </c>
      <c r="K4307">
        <v>195.6</v>
      </c>
    </row>
    <row r="4308" spans="1:11" x14ac:dyDescent="0.35">
      <c r="A4308" t="s">
        <v>4429</v>
      </c>
      <c r="B4308" s="1">
        <v>0</v>
      </c>
      <c r="C4308" t="s">
        <v>361</v>
      </c>
      <c r="D4308" t="s">
        <v>5505</v>
      </c>
      <c r="E4308" t="s">
        <v>5422</v>
      </c>
      <c r="F4308" t="s">
        <v>5240</v>
      </c>
      <c r="G4308" t="s">
        <v>5294</v>
      </c>
      <c r="H4308" t="s">
        <v>1193</v>
      </c>
      <c r="J4308" t="s">
        <v>4429</v>
      </c>
      <c r="K4308">
        <v>197.9</v>
      </c>
    </row>
    <row r="4309" spans="1:11" x14ac:dyDescent="0.35">
      <c r="A4309" t="s">
        <v>4430</v>
      </c>
      <c r="B4309" s="1">
        <v>0</v>
      </c>
      <c r="C4309" t="s">
        <v>475</v>
      </c>
      <c r="D4309" t="s">
        <v>5462</v>
      </c>
      <c r="E4309" t="s">
        <v>5223</v>
      </c>
      <c r="F4309" t="s">
        <v>5240</v>
      </c>
      <c r="G4309" t="s">
        <v>5312</v>
      </c>
      <c r="H4309" t="s">
        <v>1648</v>
      </c>
      <c r="J4309" t="s">
        <v>4430</v>
      </c>
      <c r="K4309">
        <v>199.4</v>
      </c>
    </row>
    <row r="4310" spans="1:11" x14ac:dyDescent="0.35">
      <c r="A4310" t="s">
        <v>4431</v>
      </c>
      <c r="B4310" s="1">
        <v>0</v>
      </c>
      <c r="C4310" t="s">
        <v>1486</v>
      </c>
      <c r="D4310" t="s">
        <v>5211</v>
      </c>
      <c r="E4310" t="s">
        <v>5170</v>
      </c>
      <c r="F4310" t="s">
        <v>5240</v>
      </c>
      <c r="G4310" t="s">
        <v>5315</v>
      </c>
      <c r="H4310" t="s">
        <v>4050</v>
      </c>
      <c r="J4310" t="s">
        <v>4431</v>
      </c>
      <c r="K4310">
        <v>199.5</v>
      </c>
    </row>
    <row r="4311" spans="1:11" x14ac:dyDescent="0.35">
      <c r="A4311" t="s">
        <v>4432</v>
      </c>
      <c r="B4311" s="1">
        <v>0</v>
      </c>
      <c r="C4311" t="s">
        <v>344</v>
      </c>
      <c r="D4311" t="s">
        <v>5211</v>
      </c>
      <c r="E4311" t="s">
        <v>5056</v>
      </c>
      <c r="F4311" t="s">
        <v>5240</v>
      </c>
      <c r="G4311" t="s">
        <v>5342</v>
      </c>
      <c r="H4311" t="s">
        <v>3176</v>
      </c>
      <c r="J4311" t="s">
        <v>4432</v>
      </c>
      <c r="K4311">
        <v>199.6</v>
      </c>
    </row>
    <row r="4312" spans="1:11" x14ac:dyDescent="0.35">
      <c r="A4312" t="s">
        <v>4433</v>
      </c>
      <c r="B4312" s="1">
        <v>0</v>
      </c>
      <c r="C4312" t="s">
        <v>984</v>
      </c>
      <c r="D4312" t="s">
        <v>5485</v>
      </c>
      <c r="E4312" t="s">
        <v>5175</v>
      </c>
      <c r="F4312" t="s">
        <v>5240</v>
      </c>
      <c r="G4312" t="s">
        <v>5330</v>
      </c>
      <c r="H4312" t="s">
        <v>1199</v>
      </c>
      <c r="J4312" t="s">
        <v>4433</v>
      </c>
      <c r="K4312">
        <v>201</v>
      </c>
    </row>
    <row r="4313" spans="1:11" x14ac:dyDescent="0.35">
      <c r="A4313" t="s">
        <v>4434</v>
      </c>
      <c r="B4313" s="1">
        <v>0</v>
      </c>
      <c r="C4313" t="s">
        <v>1049</v>
      </c>
      <c r="D4313" t="s">
        <v>5216</v>
      </c>
      <c r="E4313" t="s">
        <v>5059</v>
      </c>
      <c r="F4313" t="s">
        <v>5240</v>
      </c>
      <c r="G4313" t="s">
        <v>5140</v>
      </c>
      <c r="H4313" t="s">
        <v>688</v>
      </c>
      <c r="J4313" t="s">
        <v>4434</v>
      </c>
      <c r="K4313">
        <v>197.6</v>
      </c>
    </row>
    <row r="4314" spans="1:11" x14ac:dyDescent="0.35">
      <c r="A4314" t="s">
        <v>4435</v>
      </c>
      <c r="B4314" s="1">
        <v>0</v>
      </c>
      <c r="C4314" t="s">
        <v>438</v>
      </c>
      <c r="D4314" t="s">
        <v>5374</v>
      </c>
      <c r="E4314" t="s">
        <v>5066</v>
      </c>
      <c r="F4314" t="s">
        <v>5240</v>
      </c>
      <c r="G4314" t="s">
        <v>5153</v>
      </c>
      <c r="H4314" t="s">
        <v>778</v>
      </c>
      <c r="J4314" t="s">
        <v>4435</v>
      </c>
      <c r="K4314">
        <v>195.8</v>
      </c>
    </row>
    <row r="4315" spans="1:11" x14ac:dyDescent="0.35">
      <c r="A4315" t="s">
        <v>4436</v>
      </c>
      <c r="B4315" s="1">
        <v>0</v>
      </c>
      <c r="C4315" t="s">
        <v>3211</v>
      </c>
      <c r="D4315" t="s">
        <v>5238</v>
      </c>
      <c r="E4315" t="s">
        <v>5162</v>
      </c>
      <c r="F4315" t="s">
        <v>5050</v>
      </c>
      <c r="G4315" t="s">
        <v>5153</v>
      </c>
      <c r="H4315" t="s">
        <v>1194</v>
      </c>
      <c r="J4315" t="s">
        <v>4436</v>
      </c>
      <c r="K4315">
        <v>198</v>
      </c>
    </row>
    <row r="4316" spans="1:11" x14ac:dyDescent="0.35">
      <c r="A4316" t="s">
        <v>4437</v>
      </c>
      <c r="B4316" s="1">
        <v>0</v>
      </c>
      <c r="C4316" t="s">
        <v>445</v>
      </c>
      <c r="D4316" t="s">
        <v>5575</v>
      </c>
      <c r="E4316" t="s">
        <v>5249</v>
      </c>
      <c r="F4316" t="s">
        <v>5240</v>
      </c>
      <c r="G4316" t="s">
        <v>5140</v>
      </c>
      <c r="H4316" t="s">
        <v>5729</v>
      </c>
      <c r="J4316" t="s">
        <v>4437</v>
      </c>
      <c r="K4316">
        <v>201.5</v>
      </c>
    </row>
    <row r="4317" spans="1:11" x14ac:dyDescent="0.35">
      <c r="A4317" t="s">
        <v>4438</v>
      </c>
      <c r="B4317" s="1">
        <v>0</v>
      </c>
      <c r="C4317" t="s">
        <v>447</v>
      </c>
      <c r="D4317" t="s">
        <v>5193</v>
      </c>
      <c r="E4317" t="s">
        <v>5071</v>
      </c>
      <c r="F4317" t="s">
        <v>5240</v>
      </c>
      <c r="G4317" t="s">
        <v>5144</v>
      </c>
      <c r="H4317" t="s">
        <v>1714</v>
      </c>
      <c r="J4317" t="s">
        <v>4438</v>
      </c>
      <c r="K4317">
        <v>197.5</v>
      </c>
    </row>
    <row r="4318" spans="1:11" x14ac:dyDescent="0.35">
      <c r="A4318" t="s">
        <v>4439</v>
      </c>
      <c r="B4318" s="1">
        <v>0</v>
      </c>
      <c r="C4318" t="s">
        <v>447</v>
      </c>
      <c r="D4318" t="s">
        <v>5264</v>
      </c>
      <c r="E4318" t="s">
        <v>5076</v>
      </c>
      <c r="F4318" t="s">
        <v>5050</v>
      </c>
      <c r="G4318" t="s">
        <v>5330</v>
      </c>
      <c r="H4318" t="s">
        <v>3077</v>
      </c>
      <c r="J4318" t="s">
        <v>4439</v>
      </c>
      <c r="K4318">
        <v>195</v>
      </c>
    </row>
    <row r="4319" spans="1:11" x14ac:dyDescent="0.35">
      <c r="A4319" t="s">
        <v>4440</v>
      </c>
      <c r="B4319" s="1">
        <v>0</v>
      </c>
      <c r="C4319" t="s">
        <v>1527</v>
      </c>
      <c r="D4319" t="s">
        <v>5252</v>
      </c>
      <c r="E4319" t="s">
        <v>5076</v>
      </c>
      <c r="F4319" t="s">
        <v>5050</v>
      </c>
      <c r="G4319" t="s">
        <v>5312</v>
      </c>
      <c r="H4319" t="s">
        <v>214</v>
      </c>
      <c r="J4319" t="s">
        <v>4440</v>
      </c>
      <c r="K4319">
        <v>198.1</v>
      </c>
    </row>
    <row r="4320" spans="1:11" x14ac:dyDescent="0.35">
      <c r="A4320" t="s">
        <v>4441</v>
      </c>
      <c r="B4320" s="1">
        <v>0</v>
      </c>
      <c r="C4320" t="s">
        <v>464</v>
      </c>
      <c r="D4320" t="s">
        <v>5211</v>
      </c>
      <c r="E4320" t="s">
        <v>5176</v>
      </c>
      <c r="F4320" t="s">
        <v>5050</v>
      </c>
      <c r="G4320" t="s">
        <v>5309</v>
      </c>
      <c r="H4320" t="s">
        <v>683</v>
      </c>
      <c r="J4320" t="s">
        <v>4441</v>
      </c>
      <c r="K4320">
        <v>201.1</v>
      </c>
    </row>
    <row r="4321" spans="1:11" x14ac:dyDescent="0.35">
      <c r="A4321" t="s">
        <v>4442</v>
      </c>
      <c r="B4321" s="1">
        <v>0</v>
      </c>
      <c r="C4321" t="s">
        <v>359</v>
      </c>
      <c r="D4321" t="s">
        <v>5519</v>
      </c>
      <c r="E4321" t="s">
        <v>5237</v>
      </c>
      <c r="F4321" t="s">
        <v>5050</v>
      </c>
      <c r="G4321" t="s">
        <v>5226</v>
      </c>
      <c r="H4321" t="s">
        <v>235</v>
      </c>
      <c r="J4321" t="s">
        <v>4442</v>
      </c>
      <c r="K4321">
        <v>203.7</v>
      </c>
    </row>
    <row r="4322" spans="1:11" x14ac:dyDescent="0.35">
      <c r="A4322" t="s">
        <v>4443</v>
      </c>
      <c r="B4322" s="1">
        <v>0</v>
      </c>
      <c r="C4322" t="s">
        <v>332</v>
      </c>
      <c r="D4322" t="s">
        <v>5262</v>
      </c>
      <c r="E4322" t="s">
        <v>5237</v>
      </c>
      <c r="F4322" t="s">
        <v>5050</v>
      </c>
      <c r="G4322" t="s">
        <v>5224</v>
      </c>
      <c r="H4322" t="s">
        <v>5001</v>
      </c>
      <c r="J4322" t="s">
        <v>4443</v>
      </c>
      <c r="K4322">
        <v>203.5</v>
      </c>
    </row>
    <row r="4323" spans="1:11" x14ac:dyDescent="0.35">
      <c r="A4323" t="s">
        <v>4444</v>
      </c>
      <c r="B4323" s="1">
        <v>0</v>
      </c>
      <c r="C4323" t="s">
        <v>1867</v>
      </c>
      <c r="D4323" t="s">
        <v>5519</v>
      </c>
      <c r="E4323" t="s">
        <v>5176</v>
      </c>
      <c r="F4323" t="s">
        <v>5050</v>
      </c>
      <c r="G4323" t="s">
        <v>5224</v>
      </c>
      <c r="H4323" t="s">
        <v>2356</v>
      </c>
      <c r="J4323" t="s">
        <v>4444</v>
      </c>
      <c r="K4323">
        <v>202.5</v>
      </c>
    </row>
    <row r="4324" spans="1:11" x14ac:dyDescent="0.35">
      <c r="A4324" t="s">
        <v>4445</v>
      </c>
      <c r="B4324" s="1">
        <v>0</v>
      </c>
      <c r="C4324" t="s">
        <v>348</v>
      </c>
      <c r="D4324" t="s">
        <v>5519</v>
      </c>
      <c r="E4324" t="s">
        <v>5221</v>
      </c>
      <c r="F4324" t="s">
        <v>5050</v>
      </c>
      <c r="G4324" t="s">
        <v>5226</v>
      </c>
      <c r="H4324" t="s">
        <v>5663</v>
      </c>
      <c r="J4324" t="s">
        <v>4445</v>
      </c>
      <c r="K4324">
        <v>200.1</v>
      </c>
    </row>
    <row r="4325" spans="1:11" x14ac:dyDescent="0.35">
      <c r="A4325" t="s">
        <v>4446</v>
      </c>
      <c r="B4325" s="1">
        <v>0</v>
      </c>
      <c r="C4325" t="s">
        <v>1527</v>
      </c>
      <c r="D4325" t="s">
        <v>5373</v>
      </c>
      <c r="E4325" t="s">
        <v>5167</v>
      </c>
      <c r="F4325" t="s">
        <v>5077</v>
      </c>
      <c r="G4325" t="s">
        <v>5045</v>
      </c>
      <c r="H4325" t="s">
        <v>2348</v>
      </c>
      <c r="J4325" t="s">
        <v>4446</v>
      </c>
      <c r="K4325">
        <v>206.4</v>
      </c>
    </row>
    <row r="4326" spans="1:11" x14ac:dyDescent="0.35">
      <c r="A4326" t="s">
        <v>4447</v>
      </c>
      <c r="B4326" s="1">
        <v>0</v>
      </c>
      <c r="C4326" t="s">
        <v>442</v>
      </c>
      <c r="D4326" t="s">
        <v>5596</v>
      </c>
      <c r="E4326" t="s">
        <v>5234</v>
      </c>
      <c r="F4326" t="s">
        <v>5077</v>
      </c>
      <c r="G4326" t="s">
        <v>5045</v>
      </c>
      <c r="H4326" t="s">
        <v>4467</v>
      </c>
      <c r="J4326" t="s">
        <v>4447</v>
      </c>
      <c r="K4326">
        <v>206.2</v>
      </c>
    </row>
    <row r="4327" spans="1:11" x14ac:dyDescent="0.35">
      <c r="A4327" t="s">
        <v>4448</v>
      </c>
      <c r="B4327" s="1">
        <v>0</v>
      </c>
      <c r="C4327" t="s">
        <v>2605</v>
      </c>
      <c r="D4327" t="s">
        <v>5193</v>
      </c>
      <c r="E4327" t="s">
        <v>5204</v>
      </c>
      <c r="F4327" t="s">
        <v>5089</v>
      </c>
      <c r="G4327" t="s">
        <v>5358</v>
      </c>
      <c r="H4327" t="s">
        <v>3035</v>
      </c>
      <c r="J4327" t="s">
        <v>4448</v>
      </c>
      <c r="K4327">
        <v>215.8</v>
      </c>
    </row>
    <row r="4328" spans="1:11" x14ac:dyDescent="0.35">
      <c r="A4328" t="s">
        <v>4449</v>
      </c>
      <c r="B4328" s="1">
        <v>0</v>
      </c>
      <c r="C4328" t="s">
        <v>973</v>
      </c>
      <c r="D4328" t="s">
        <v>5101</v>
      </c>
      <c r="E4328" t="s">
        <v>5076</v>
      </c>
      <c r="F4328" t="s">
        <v>5089</v>
      </c>
      <c r="G4328" t="s">
        <v>5355</v>
      </c>
      <c r="H4328" t="s">
        <v>3042</v>
      </c>
      <c r="J4328" t="s">
        <v>4449</v>
      </c>
      <c r="K4328">
        <v>231.9</v>
      </c>
    </row>
    <row r="4329" spans="1:11" x14ac:dyDescent="0.35">
      <c r="A4329" t="s">
        <v>4450</v>
      </c>
      <c r="B4329" s="1">
        <v>0</v>
      </c>
      <c r="C4329" t="s">
        <v>1095</v>
      </c>
      <c r="D4329" t="s">
        <v>5476</v>
      </c>
      <c r="E4329" t="s">
        <v>5098</v>
      </c>
      <c r="F4329" t="s">
        <v>5089</v>
      </c>
      <c r="G4329" t="s">
        <v>5201</v>
      </c>
      <c r="H4329" t="s">
        <v>2700</v>
      </c>
      <c r="J4329" t="s">
        <v>4450</v>
      </c>
      <c r="K4329">
        <v>250.4</v>
      </c>
    </row>
    <row r="4330" spans="1:11" x14ac:dyDescent="0.35">
      <c r="A4330" t="s">
        <v>4452</v>
      </c>
      <c r="B4330" s="1">
        <v>0</v>
      </c>
      <c r="C4330" t="s">
        <v>1452</v>
      </c>
      <c r="D4330" t="s">
        <v>5232</v>
      </c>
      <c r="E4330" t="s">
        <v>5123</v>
      </c>
      <c r="F4330" t="s">
        <v>5089</v>
      </c>
      <c r="G4330" t="s">
        <v>5158</v>
      </c>
      <c r="H4330" t="s">
        <v>5803</v>
      </c>
      <c r="J4330" t="s">
        <v>4452</v>
      </c>
      <c r="K4330">
        <v>262.3</v>
      </c>
    </row>
    <row r="4331" spans="1:11" x14ac:dyDescent="0.35">
      <c r="A4331" t="s">
        <v>4453</v>
      </c>
      <c r="B4331" s="1">
        <v>0</v>
      </c>
      <c r="C4331" t="s">
        <v>1458</v>
      </c>
      <c r="D4331" t="s">
        <v>5611</v>
      </c>
      <c r="E4331" t="s">
        <v>5251</v>
      </c>
      <c r="F4331" t="s">
        <v>5089</v>
      </c>
      <c r="G4331" t="s">
        <v>5155</v>
      </c>
      <c r="H4331" t="s">
        <v>5789</v>
      </c>
      <c r="J4331" t="s">
        <v>4453</v>
      </c>
      <c r="K4331">
        <v>258.89999999999998</v>
      </c>
    </row>
    <row r="4332" spans="1:11" x14ac:dyDescent="0.35">
      <c r="A4332" t="s">
        <v>4455</v>
      </c>
      <c r="B4332" s="1">
        <v>0</v>
      </c>
      <c r="C4332" t="s">
        <v>3527</v>
      </c>
      <c r="D4332" t="s">
        <v>5607</v>
      </c>
      <c r="E4332" t="s">
        <v>5096</v>
      </c>
      <c r="F4332" t="s">
        <v>5089</v>
      </c>
      <c r="G4332" t="s">
        <v>5166</v>
      </c>
      <c r="H4332" t="s">
        <v>3648</v>
      </c>
      <c r="J4332" t="s">
        <v>4455</v>
      </c>
      <c r="K4332">
        <v>249.2</v>
      </c>
    </row>
    <row r="4333" spans="1:11" x14ac:dyDescent="0.35">
      <c r="A4333" t="s">
        <v>4456</v>
      </c>
      <c r="B4333" s="1">
        <v>0</v>
      </c>
      <c r="C4333" t="s">
        <v>971</v>
      </c>
      <c r="D4333" t="s">
        <v>5576</v>
      </c>
      <c r="E4333" t="s">
        <v>5096</v>
      </c>
      <c r="F4333" t="s">
        <v>5089</v>
      </c>
      <c r="G4333" t="s">
        <v>5341</v>
      </c>
      <c r="H4333" t="s">
        <v>3048</v>
      </c>
      <c r="J4333" t="s">
        <v>4456</v>
      </c>
      <c r="K4333">
        <v>245.4</v>
      </c>
    </row>
    <row r="4334" spans="1:11" x14ac:dyDescent="0.35">
      <c r="A4334" t="s">
        <v>4457</v>
      </c>
      <c r="B4334" s="1">
        <v>0</v>
      </c>
      <c r="C4334" t="s">
        <v>1066</v>
      </c>
      <c r="D4334" t="s">
        <v>5617</v>
      </c>
      <c r="E4334" t="s">
        <v>5251</v>
      </c>
      <c r="F4334" t="s">
        <v>5089</v>
      </c>
      <c r="G4334" t="s">
        <v>5332</v>
      </c>
      <c r="H4334" t="s">
        <v>4451</v>
      </c>
      <c r="J4334" t="s">
        <v>4457</v>
      </c>
      <c r="K4334">
        <v>242.8</v>
      </c>
    </row>
    <row r="4335" spans="1:11" x14ac:dyDescent="0.35">
      <c r="A4335" t="s">
        <v>4458</v>
      </c>
      <c r="B4335" s="1">
        <v>0</v>
      </c>
      <c r="C4335" t="s">
        <v>1539</v>
      </c>
      <c r="D4335" t="s">
        <v>5590</v>
      </c>
      <c r="E4335" t="s">
        <v>5120</v>
      </c>
      <c r="F4335" t="s">
        <v>5089</v>
      </c>
      <c r="G4335" t="s">
        <v>5356</v>
      </c>
      <c r="H4335" t="s">
        <v>2736</v>
      </c>
      <c r="J4335" t="s">
        <v>4458</v>
      </c>
      <c r="K4335">
        <v>231.8</v>
      </c>
    </row>
    <row r="4336" spans="1:11" x14ac:dyDescent="0.35">
      <c r="A4336" t="s">
        <v>4459</v>
      </c>
      <c r="B4336" s="1">
        <v>0</v>
      </c>
      <c r="C4336" t="s">
        <v>338</v>
      </c>
      <c r="D4336" t="s">
        <v>5582</v>
      </c>
      <c r="E4336" t="s">
        <v>5192</v>
      </c>
      <c r="F4336" t="s">
        <v>5077</v>
      </c>
      <c r="G4336" t="s">
        <v>5077</v>
      </c>
      <c r="H4336" t="s">
        <v>1838</v>
      </c>
      <c r="J4336" t="s">
        <v>4459</v>
      </c>
      <c r="K4336">
        <v>219.9</v>
      </c>
    </row>
    <row r="4337" spans="1:11" x14ac:dyDescent="0.35">
      <c r="A4337" t="s">
        <v>4460</v>
      </c>
      <c r="B4337" s="1">
        <v>0</v>
      </c>
      <c r="C4337" t="s">
        <v>448</v>
      </c>
      <c r="D4337" t="s">
        <v>5591</v>
      </c>
      <c r="E4337" t="s">
        <v>5162</v>
      </c>
      <c r="F4337" t="s">
        <v>5077</v>
      </c>
      <c r="G4337" t="s">
        <v>5082</v>
      </c>
      <c r="H4337" t="s">
        <v>2037</v>
      </c>
      <c r="J4337" t="s">
        <v>4460</v>
      </c>
      <c r="K4337">
        <v>213.4</v>
      </c>
    </row>
    <row r="4338" spans="1:11" x14ac:dyDescent="0.35">
      <c r="A4338" t="s">
        <v>4461</v>
      </c>
      <c r="B4338" s="1">
        <v>0</v>
      </c>
      <c r="C4338" t="s">
        <v>1528</v>
      </c>
      <c r="D4338" t="s">
        <v>5574</v>
      </c>
      <c r="E4338" t="s">
        <v>5098</v>
      </c>
      <c r="F4338" t="s">
        <v>5077</v>
      </c>
      <c r="G4338" t="s">
        <v>5099</v>
      </c>
      <c r="H4338" t="s">
        <v>2009</v>
      </c>
      <c r="J4338" t="s">
        <v>4461</v>
      </c>
      <c r="K4338">
        <v>212.2</v>
      </c>
    </row>
    <row r="4339" spans="1:11" x14ac:dyDescent="0.35">
      <c r="A4339" t="s">
        <v>4462</v>
      </c>
      <c r="B4339" s="1">
        <v>0</v>
      </c>
      <c r="C4339" t="s">
        <v>349</v>
      </c>
      <c r="D4339" t="s">
        <v>5104</v>
      </c>
      <c r="E4339" t="s">
        <v>5434</v>
      </c>
      <c r="F4339" t="s">
        <v>5077</v>
      </c>
      <c r="G4339" t="s">
        <v>5078</v>
      </c>
      <c r="H4339" t="s">
        <v>3175</v>
      </c>
      <c r="J4339" t="s">
        <v>4462</v>
      </c>
      <c r="K4339">
        <v>210.3</v>
      </c>
    </row>
    <row r="4340" spans="1:11" x14ac:dyDescent="0.35">
      <c r="A4340" t="s">
        <v>4463</v>
      </c>
      <c r="B4340" s="1">
        <v>0</v>
      </c>
      <c r="C4340" t="s">
        <v>444</v>
      </c>
      <c r="D4340" t="s">
        <v>5112</v>
      </c>
      <c r="E4340" t="s">
        <v>5160</v>
      </c>
      <c r="F4340" t="s">
        <v>5077</v>
      </c>
      <c r="G4340" t="s">
        <v>5183</v>
      </c>
      <c r="H4340" t="s">
        <v>1303</v>
      </c>
      <c r="J4340" t="s">
        <v>4463</v>
      </c>
      <c r="K4340">
        <v>210.4</v>
      </c>
    </row>
    <row r="4341" spans="1:11" x14ac:dyDescent="0.35">
      <c r="A4341" t="s">
        <v>4464</v>
      </c>
      <c r="B4341" s="1">
        <v>0</v>
      </c>
      <c r="C4341" t="s">
        <v>337</v>
      </c>
      <c r="D4341" t="s">
        <v>5553</v>
      </c>
      <c r="E4341" t="s">
        <v>5066</v>
      </c>
      <c r="F4341" t="s">
        <v>5089</v>
      </c>
      <c r="G4341" t="s">
        <v>5078</v>
      </c>
      <c r="H4341" t="s">
        <v>2346</v>
      </c>
      <c r="J4341" t="s">
        <v>4464</v>
      </c>
      <c r="K4341">
        <v>213.9</v>
      </c>
    </row>
    <row r="4342" spans="1:11" x14ac:dyDescent="0.35">
      <c r="A4342" t="s">
        <v>4465</v>
      </c>
      <c r="B4342" s="1">
        <v>0</v>
      </c>
      <c r="C4342" t="s">
        <v>350</v>
      </c>
      <c r="D4342" t="s">
        <v>5577</v>
      </c>
      <c r="E4342" t="s">
        <v>5434</v>
      </c>
      <c r="F4342" t="s">
        <v>5089</v>
      </c>
      <c r="G4342" t="s">
        <v>5215</v>
      </c>
      <c r="H4342" t="s">
        <v>2346</v>
      </c>
      <c r="J4342" t="s">
        <v>4465</v>
      </c>
      <c r="K4342">
        <v>213.9</v>
      </c>
    </row>
    <row r="4343" spans="1:11" x14ac:dyDescent="0.35">
      <c r="A4343" t="s">
        <v>4466</v>
      </c>
      <c r="B4343" s="1">
        <v>0</v>
      </c>
      <c r="C4343" t="s">
        <v>342</v>
      </c>
      <c r="D4343" t="s">
        <v>5387</v>
      </c>
      <c r="E4343" t="s">
        <v>5210</v>
      </c>
      <c r="F4343" t="s">
        <v>5089</v>
      </c>
      <c r="G4343" t="s">
        <v>5124</v>
      </c>
      <c r="H4343" t="s">
        <v>1694</v>
      </c>
      <c r="J4343" t="s">
        <v>4466</v>
      </c>
      <c r="K4343">
        <v>213.6</v>
      </c>
    </row>
    <row r="4344" spans="1:11" x14ac:dyDescent="0.35">
      <c r="A4344" t="s">
        <v>4468</v>
      </c>
      <c r="B4344" s="1">
        <v>0</v>
      </c>
      <c r="C4344" t="s">
        <v>987</v>
      </c>
      <c r="D4344" t="s">
        <v>5452</v>
      </c>
      <c r="E4344" t="s">
        <v>5210</v>
      </c>
      <c r="F4344" t="s">
        <v>5089</v>
      </c>
      <c r="G4344" t="s">
        <v>5082</v>
      </c>
      <c r="H4344" t="s">
        <v>2425</v>
      </c>
      <c r="J4344" t="s">
        <v>4468</v>
      </c>
      <c r="K4344">
        <v>219.3</v>
      </c>
    </row>
    <row r="4345" spans="1:11" x14ac:dyDescent="0.35">
      <c r="A4345" t="s">
        <v>4469</v>
      </c>
      <c r="B4345" s="1">
        <v>0</v>
      </c>
      <c r="C4345" t="s">
        <v>5601</v>
      </c>
      <c r="D4345" t="s">
        <v>5512</v>
      </c>
      <c r="E4345" t="s">
        <v>5178</v>
      </c>
      <c r="F4345" t="s">
        <v>5089</v>
      </c>
      <c r="G4345" t="s">
        <v>5116</v>
      </c>
      <c r="H4345" t="s">
        <v>2111</v>
      </c>
      <c r="J4345" t="s">
        <v>4469</v>
      </c>
      <c r="K4345">
        <v>229.7</v>
      </c>
    </row>
    <row r="4346" spans="1:11" x14ac:dyDescent="0.35">
      <c r="A4346" t="s">
        <v>4471</v>
      </c>
      <c r="B4346" s="1">
        <v>0</v>
      </c>
      <c r="C4346" t="s">
        <v>492</v>
      </c>
      <c r="D4346" t="s">
        <v>5542</v>
      </c>
      <c r="E4346" t="s">
        <v>5243</v>
      </c>
      <c r="F4346" t="s">
        <v>5089</v>
      </c>
      <c r="G4346" t="s">
        <v>5082</v>
      </c>
      <c r="H4346" t="s">
        <v>205</v>
      </c>
      <c r="J4346" t="s">
        <v>4471</v>
      </c>
      <c r="K4346">
        <v>237.7</v>
      </c>
    </row>
    <row r="4347" spans="1:11" x14ac:dyDescent="0.35">
      <c r="A4347" t="s">
        <v>4472</v>
      </c>
      <c r="B4347" s="1">
        <v>0</v>
      </c>
      <c r="C4347" t="s">
        <v>1098</v>
      </c>
      <c r="D4347" t="s">
        <v>5609</v>
      </c>
      <c r="E4347" t="s">
        <v>5074</v>
      </c>
      <c r="F4347" t="s">
        <v>5089</v>
      </c>
      <c r="G4347" t="s">
        <v>5116</v>
      </c>
      <c r="H4347" t="s">
        <v>5837</v>
      </c>
      <c r="J4347" t="s">
        <v>4472</v>
      </c>
      <c r="K4347">
        <v>250.7</v>
      </c>
    </row>
    <row r="4348" spans="1:11" x14ac:dyDescent="0.35">
      <c r="A4348" t="s">
        <v>4473</v>
      </c>
      <c r="B4348" s="1">
        <v>0</v>
      </c>
      <c r="C4348" t="s">
        <v>509</v>
      </c>
      <c r="D4348" t="s">
        <v>5614</v>
      </c>
      <c r="E4348" t="s">
        <v>5187</v>
      </c>
      <c r="F4348" t="s">
        <v>5358</v>
      </c>
      <c r="G4348" t="s">
        <v>5132</v>
      </c>
      <c r="H4348" t="s">
        <v>3356</v>
      </c>
      <c r="J4348" t="s">
        <v>4473</v>
      </c>
      <c r="K4348">
        <v>272</v>
      </c>
    </row>
    <row r="4349" spans="1:11" x14ac:dyDescent="0.35">
      <c r="A4349" t="s">
        <v>4474</v>
      </c>
      <c r="B4349" s="1">
        <v>0</v>
      </c>
      <c r="C4349" t="s">
        <v>834</v>
      </c>
      <c r="D4349" t="s">
        <v>5261</v>
      </c>
      <c r="E4349" t="s">
        <v>5458</v>
      </c>
      <c r="F4349" t="s">
        <v>5358</v>
      </c>
      <c r="G4349" t="s">
        <v>5340</v>
      </c>
      <c r="H4349" t="s">
        <v>5820</v>
      </c>
      <c r="J4349" t="s">
        <v>4474</v>
      </c>
      <c r="K4349">
        <v>292.39999999999998</v>
      </c>
    </row>
    <row r="4350" spans="1:11" x14ac:dyDescent="0.35">
      <c r="A4350" t="s">
        <v>4475</v>
      </c>
      <c r="B4350" s="1">
        <v>0</v>
      </c>
      <c r="C4350" t="s">
        <v>849</v>
      </c>
      <c r="D4350" t="s">
        <v>5261</v>
      </c>
      <c r="E4350" t="s">
        <v>5508</v>
      </c>
      <c r="F4350" t="s">
        <v>5358</v>
      </c>
      <c r="G4350" t="s">
        <v>5158</v>
      </c>
      <c r="H4350" t="s">
        <v>5782</v>
      </c>
      <c r="J4350" t="s">
        <v>4475</v>
      </c>
      <c r="K4350">
        <v>299.39999999999998</v>
      </c>
    </row>
    <row r="4351" spans="1:11" x14ac:dyDescent="0.35">
      <c r="A4351" t="s">
        <v>4476</v>
      </c>
      <c r="B4351" s="1">
        <v>0</v>
      </c>
      <c r="C4351" t="s">
        <v>294</v>
      </c>
      <c r="D4351" t="s">
        <v>372</v>
      </c>
      <c r="E4351" t="s">
        <v>5571</v>
      </c>
      <c r="F4351" t="s">
        <v>5358</v>
      </c>
      <c r="G4351" t="s">
        <v>5158</v>
      </c>
      <c r="H4351" t="s">
        <v>5838</v>
      </c>
      <c r="J4351" t="s">
        <v>4476</v>
      </c>
      <c r="K4351">
        <v>296.7</v>
      </c>
    </row>
    <row r="4352" spans="1:11" x14ac:dyDescent="0.35">
      <c r="A4352" t="s">
        <v>4477</v>
      </c>
      <c r="B4352" s="1">
        <v>0</v>
      </c>
      <c r="C4352" t="s">
        <v>1129</v>
      </c>
      <c r="D4352" t="s">
        <v>5407</v>
      </c>
      <c r="E4352" t="s">
        <v>5135</v>
      </c>
      <c r="F4352" t="s">
        <v>5358</v>
      </c>
      <c r="G4352" t="s">
        <v>5158</v>
      </c>
      <c r="H4352" t="s">
        <v>5839</v>
      </c>
      <c r="J4352" t="s">
        <v>4477</v>
      </c>
      <c r="K4352">
        <v>292.7</v>
      </c>
    </row>
    <row r="4353" spans="1:11" x14ac:dyDescent="0.35">
      <c r="A4353" t="s">
        <v>4478</v>
      </c>
      <c r="B4353" s="1">
        <v>0</v>
      </c>
      <c r="C4353" t="s">
        <v>1787</v>
      </c>
      <c r="D4353" t="s">
        <v>5584</v>
      </c>
      <c r="E4353" t="s">
        <v>5433</v>
      </c>
      <c r="F4353" t="s">
        <v>5358</v>
      </c>
      <c r="G4353" t="s">
        <v>5205</v>
      </c>
      <c r="H4353" t="s">
        <v>5792</v>
      </c>
      <c r="J4353" t="s">
        <v>4478</v>
      </c>
      <c r="K4353">
        <v>282.7</v>
      </c>
    </row>
    <row r="4354" spans="1:11" x14ac:dyDescent="0.35">
      <c r="A4354" t="s">
        <v>4479</v>
      </c>
      <c r="B4354" s="1">
        <v>0</v>
      </c>
      <c r="C4354" t="s">
        <v>114</v>
      </c>
      <c r="D4354" t="s">
        <v>5231</v>
      </c>
      <c r="E4354" t="s">
        <v>5229</v>
      </c>
      <c r="F4354" t="s">
        <v>5358</v>
      </c>
      <c r="G4354" t="s">
        <v>5201</v>
      </c>
      <c r="H4354" t="s">
        <v>5840</v>
      </c>
      <c r="J4354" t="s">
        <v>4479</v>
      </c>
      <c r="K4354">
        <v>268</v>
      </c>
    </row>
    <row r="4355" spans="1:11" x14ac:dyDescent="0.35">
      <c r="A4355" t="s">
        <v>4481</v>
      </c>
      <c r="B4355" s="1">
        <v>0</v>
      </c>
      <c r="C4355" t="s">
        <v>3232</v>
      </c>
      <c r="D4355" t="s">
        <v>5232</v>
      </c>
      <c r="E4355" t="s">
        <v>5150</v>
      </c>
      <c r="F4355" t="s">
        <v>5338</v>
      </c>
      <c r="G4355" t="s">
        <v>5152</v>
      </c>
      <c r="H4355" t="s">
        <v>5776</v>
      </c>
      <c r="J4355" t="s">
        <v>4481</v>
      </c>
      <c r="K4355">
        <v>256.7</v>
      </c>
    </row>
    <row r="4356" spans="1:11" x14ac:dyDescent="0.35">
      <c r="A4356" t="s">
        <v>4482</v>
      </c>
      <c r="B4356" s="1">
        <v>0</v>
      </c>
      <c r="C4356" t="s">
        <v>4382</v>
      </c>
      <c r="D4356" t="s">
        <v>5217</v>
      </c>
      <c r="E4356" t="s">
        <v>5433</v>
      </c>
      <c r="F4356" t="s">
        <v>5338</v>
      </c>
      <c r="G4356" t="s">
        <v>5166</v>
      </c>
      <c r="H4356" t="s">
        <v>2060</v>
      </c>
      <c r="J4356" t="s">
        <v>4482</v>
      </c>
      <c r="K4356">
        <v>240.8</v>
      </c>
    </row>
    <row r="4357" spans="1:11" x14ac:dyDescent="0.35">
      <c r="A4357" t="s">
        <v>4485</v>
      </c>
      <c r="B4357" s="1">
        <v>0</v>
      </c>
      <c r="C4357" t="s">
        <v>2883</v>
      </c>
      <c r="D4357" t="s">
        <v>5244</v>
      </c>
      <c r="E4357" t="s">
        <v>5453</v>
      </c>
      <c r="F4357" t="s">
        <v>5338</v>
      </c>
      <c r="G4357" t="s">
        <v>5332</v>
      </c>
      <c r="H4357" t="s">
        <v>1663</v>
      </c>
      <c r="J4357" t="s">
        <v>4485</v>
      </c>
      <c r="K4357">
        <v>233.9</v>
      </c>
    </row>
    <row r="4358" spans="1:11" x14ac:dyDescent="0.35">
      <c r="A4358" t="s">
        <v>4486</v>
      </c>
      <c r="B4358" s="1">
        <v>0</v>
      </c>
      <c r="C4358" t="s">
        <v>2881</v>
      </c>
      <c r="D4358" t="s">
        <v>5271</v>
      </c>
      <c r="E4358" t="s">
        <v>5444</v>
      </c>
      <c r="F4358" t="s">
        <v>5338</v>
      </c>
      <c r="G4358" t="s">
        <v>5136</v>
      </c>
      <c r="H4358" t="s">
        <v>1241</v>
      </c>
      <c r="J4358" t="s">
        <v>4486</v>
      </c>
      <c r="K4358">
        <v>236.3</v>
      </c>
    </row>
    <row r="4359" spans="1:11" x14ac:dyDescent="0.35">
      <c r="A4359" t="s">
        <v>4488</v>
      </c>
      <c r="B4359" s="1">
        <v>0</v>
      </c>
      <c r="C4359" t="s">
        <v>4647</v>
      </c>
      <c r="D4359" t="s">
        <v>5591</v>
      </c>
      <c r="E4359" t="s">
        <v>5063</v>
      </c>
      <c r="F4359" t="s">
        <v>5338</v>
      </c>
      <c r="G4359" t="s">
        <v>5355</v>
      </c>
      <c r="H4359" t="s">
        <v>1720</v>
      </c>
      <c r="J4359" t="s">
        <v>4488</v>
      </c>
      <c r="K4359">
        <v>236.7</v>
      </c>
    </row>
    <row r="4360" spans="1:11" x14ac:dyDescent="0.35">
      <c r="A4360" t="s">
        <v>4489</v>
      </c>
      <c r="B4360" s="1">
        <v>0</v>
      </c>
      <c r="C4360" t="s">
        <v>3219</v>
      </c>
      <c r="D4360" t="s">
        <v>5573</v>
      </c>
      <c r="E4360" t="s">
        <v>5448</v>
      </c>
      <c r="F4360" t="s">
        <v>5338</v>
      </c>
      <c r="G4360" t="s">
        <v>5355</v>
      </c>
      <c r="H4360" t="s">
        <v>226</v>
      </c>
      <c r="J4360" t="s">
        <v>4489</v>
      </c>
      <c r="K4360">
        <v>230.8</v>
      </c>
    </row>
    <row r="4361" spans="1:11" x14ac:dyDescent="0.35">
      <c r="A4361" t="s">
        <v>4490</v>
      </c>
      <c r="B4361" s="1">
        <v>0</v>
      </c>
      <c r="C4361" t="s">
        <v>1537</v>
      </c>
      <c r="D4361" t="s">
        <v>5530</v>
      </c>
      <c r="E4361" t="s">
        <v>5270</v>
      </c>
      <c r="F4361" t="s">
        <v>5338</v>
      </c>
      <c r="G4361" t="s">
        <v>5493</v>
      </c>
      <c r="H4361" t="s">
        <v>232</v>
      </c>
      <c r="J4361" t="s">
        <v>4490</v>
      </c>
      <c r="K4361">
        <v>222.4</v>
      </c>
    </row>
    <row r="4362" spans="1:11" x14ac:dyDescent="0.35">
      <c r="A4362" t="s">
        <v>4491</v>
      </c>
      <c r="B4362" s="1">
        <v>0</v>
      </c>
      <c r="C4362" t="s">
        <v>344</v>
      </c>
      <c r="D4362" t="s">
        <v>5393</v>
      </c>
      <c r="E4362" t="s">
        <v>5270</v>
      </c>
      <c r="F4362" t="s">
        <v>5338</v>
      </c>
      <c r="G4362" t="s">
        <v>5136</v>
      </c>
      <c r="H4362" t="s">
        <v>210</v>
      </c>
      <c r="J4362" t="s">
        <v>4491</v>
      </c>
      <c r="K4362">
        <v>217.9</v>
      </c>
    </row>
    <row r="4363" spans="1:11" x14ac:dyDescent="0.35">
      <c r="A4363" t="s">
        <v>4492</v>
      </c>
      <c r="B4363" s="1">
        <v>0</v>
      </c>
      <c r="C4363" t="s">
        <v>5543</v>
      </c>
      <c r="D4363" t="s">
        <v>5138</v>
      </c>
      <c r="E4363" t="s">
        <v>5270</v>
      </c>
      <c r="F4363" t="s">
        <v>5152</v>
      </c>
      <c r="G4363" t="s">
        <v>5132</v>
      </c>
      <c r="H4363" t="s">
        <v>766</v>
      </c>
      <c r="J4363" t="s">
        <v>4492</v>
      </c>
      <c r="K4363">
        <v>216.7</v>
      </c>
    </row>
    <row r="4364" spans="1:11" x14ac:dyDescent="0.35">
      <c r="A4364" t="s">
        <v>4494</v>
      </c>
      <c r="B4364" s="1">
        <v>0</v>
      </c>
      <c r="C4364" t="s">
        <v>350</v>
      </c>
      <c r="D4364" t="s">
        <v>5278</v>
      </c>
      <c r="E4364" t="s">
        <v>5123</v>
      </c>
      <c r="F4364" t="s">
        <v>5338</v>
      </c>
      <c r="G4364" t="s">
        <v>5358</v>
      </c>
      <c r="H4364" t="s">
        <v>2056</v>
      </c>
      <c r="J4364" t="s">
        <v>4494</v>
      </c>
      <c r="K4364">
        <v>220.1</v>
      </c>
    </row>
    <row r="4365" spans="1:11" x14ac:dyDescent="0.35">
      <c r="A4365" t="s">
        <v>4495</v>
      </c>
      <c r="B4365" s="1">
        <v>0</v>
      </c>
      <c r="C4365" t="s">
        <v>1535</v>
      </c>
      <c r="D4365" t="s">
        <v>5271</v>
      </c>
      <c r="E4365" t="s">
        <v>5105</v>
      </c>
      <c r="F4365" t="s">
        <v>5338</v>
      </c>
      <c r="G4365" t="s">
        <v>5089</v>
      </c>
      <c r="H4365" t="s">
        <v>5673</v>
      </c>
      <c r="J4365" t="s">
        <v>4495</v>
      </c>
      <c r="K4365">
        <v>224</v>
      </c>
    </row>
    <row r="4366" spans="1:11" x14ac:dyDescent="0.35">
      <c r="A4366" t="s">
        <v>4496</v>
      </c>
      <c r="B4366" s="1">
        <v>0</v>
      </c>
      <c r="C4366" t="s">
        <v>2264</v>
      </c>
      <c r="D4366" t="s">
        <v>5511</v>
      </c>
      <c r="E4366" t="s">
        <v>5121</v>
      </c>
      <c r="F4366" t="s">
        <v>5338</v>
      </c>
      <c r="G4366" t="s">
        <v>5089</v>
      </c>
      <c r="H4366" t="s">
        <v>2447</v>
      </c>
      <c r="J4366" t="s">
        <v>4496</v>
      </c>
      <c r="K4366">
        <v>229.8</v>
      </c>
    </row>
    <row r="4367" spans="1:11" x14ac:dyDescent="0.35">
      <c r="A4367" t="s">
        <v>4497</v>
      </c>
      <c r="B4367" s="1">
        <v>0</v>
      </c>
      <c r="C4367" t="s">
        <v>461</v>
      </c>
      <c r="D4367" t="s">
        <v>5517</v>
      </c>
      <c r="E4367" t="s">
        <v>5105</v>
      </c>
      <c r="F4367" t="s">
        <v>5338</v>
      </c>
      <c r="G4367" t="s">
        <v>5045</v>
      </c>
      <c r="H4367" t="s">
        <v>2384</v>
      </c>
      <c r="J4367" t="s">
        <v>4497</v>
      </c>
      <c r="K4367">
        <v>227.1</v>
      </c>
    </row>
    <row r="4368" spans="1:11" x14ac:dyDescent="0.35">
      <c r="A4368" t="s">
        <v>4499</v>
      </c>
      <c r="B4368" s="1">
        <v>0</v>
      </c>
      <c r="C4368" t="s">
        <v>365</v>
      </c>
      <c r="D4368" t="s">
        <v>5233</v>
      </c>
      <c r="E4368" t="s">
        <v>5257</v>
      </c>
      <c r="F4368" t="s">
        <v>5152</v>
      </c>
      <c r="G4368" t="s">
        <v>5082</v>
      </c>
      <c r="H4368" t="s">
        <v>2729</v>
      </c>
      <c r="J4368" t="s">
        <v>4499</v>
      </c>
      <c r="K4368">
        <v>214.5</v>
      </c>
    </row>
    <row r="4369" spans="1:11" x14ac:dyDescent="0.35">
      <c r="A4369" t="s">
        <v>4500</v>
      </c>
      <c r="B4369" s="1">
        <v>0</v>
      </c>
      <c r="C4369" t="s">
        <v>2232</v>
      </c>
      <c r="D4369" t="s">
        <v>5393</v>
      </c>
      <c r="E4369" t="s">
        <v>5192</v>
      </c>
      <c r="F4369" t="s">
        <v>5152</v>
      </c>
      <c r="G4369" t="s">
        <v>5124</v>
      </c>
      <c r="H4369" t="s">
        <v>1199</v>
      </c>
      <c r="J4369" t="s">
        <v>4500</v>
      </c>
      <c r="K4369">
        <v>201</v>
      </c>
    </row>
    <row r="4370" spans="1:11" x14ac:dyDescent="0.35">
      <c r="A4370" t="s">
        <v>4501</v>
      </c>
      <c r="B4370" s="1">
        <v>0</v>
      </c>
      <c r="C4370" t="s">
        <v>5406</v>
      </c>
      <c r="D4370" t="s">
        <v>5494</v>
      </c>
      <c r="E4370" t="s">
        <v>5060</v>
      </c>
      <c r="F4370" t="s">
        <v>5152</v>
      </c>
      <c r="G4370" t="s">
        <v>5095</v>
      </c>
      <c r="H4370" t="s">
        <v>240</v>
      </c>
      <c r="J4370" t="s">
        <v>4501</v>
      </c>
      <c r="K4370">
        <v>196.8</v>
      </c>
    </row>
    <row r="4371" spans="1:11" x14ac:dyDescent="0.35">
      <c r="A4371" t="s">
        <v>4502</v>
      </c>
      <c r="B4371" s="1">
        <v>0</v>
      </c>
      <c r="C4371" t="s">
        <v>441</v>
      </c>
      <c r="D4371" t="s">
        <v>5452</v>
      </c>
      <c r="E4371" t="s">
        <v>5182</v>
      </c>
      <c r="F4371" t="s">
        <v>5152</v>
      </c>
      <c r="G4371" t="s">
        <v>5077</v>
      </c>
      <c r="H4371" t="s">
        <v>1300</v>
      </c>
      <c r="J4371" t="s">
        <v>4502</v>
      </c>
      <c r="K4371">
        <v>208.6</v>
      </c>
    </row>
    <row r="4372" spans="1:11" x14ac:dyDescent="0.35">
      <c r="A4372" t="s">
        <v>4503</v>
      </c>
      <c r="B4372" s="1">
        <v>0</v>
      </c>
      <c r="C4372" t="s">
        <v>463</v>
      </c>
      <c r="D4372" t="s">
        <v>5242</v>
      </c>
      <c r="E4372" t="s">
        <v>5067</v>
      </c>
      <c r="F4372" t="s">
        <v>5152</v>
      </c>
      <c r="G4372" t="s">
        <v>5333</v>
      </c>
      <c r="H4372" t="s">
        <v>3653</v>
      </c>
      <c r="J4372" t="s">
        <v>4503</v>
      </c>
      <c r="K4372">
        <v>231.6</v>
      </c>
    </row>
    <row r="4373" spans="1:11" x14ac:dyDescent="0.35">
      <c r="A4373" t="s">
        <v>4504</v>
      </c>
      <c r="B4373" s="1">
        <v>0</v>
      </c>
      <c r="C4373" t="s">
        <v>3179</v>
      </c>
      <c r="D4373" t="s">
        <v>5496</v>
      </c>
      <c r="E4373" t="s">
        <v>5088</v>
      </c>
      <c r="F4373" t="s">
        <v>5338</v>
      </c>
      <c r="G4373" t="s">
        <v>5347</v>
      </c>
      <c r="H4373" t="s">
        <v>5799</v>
      </c>
      <c r="J4373" t="s">
        <v>4504</v>
      </c>
      <c r="K4373">
        <v>247.2</v>
      </c>
    </row>
    <row r="4374" spans="1:11" x14ac:dyDescent="0.35">
      <c r="A4374" t="s">
        <v>4505</v>
      </c>
      <c r="B4374" s="1">
        <v>0</v>
      </c>
      <c r="C4374" t="s">
        <v>2876</v>
      </c>
      <c r="D4374" t="s">
        <v>5521</v>
      </c>
      <c r="E4374" t="s">
        <v>5453</v>
      </c>
      <c r="F4374" t="s">
        <v>5338</v>
      </c>
      <c r="G4374" t="s">
        <v>5338</v>
      </c>
      <c r="H4374" t="s">
        <v>2102</v>
      </c>
      <c r="J4374" t="s">
        <v>4505</v>
      </c>
      <c r="K4374">
        <v>248.9</v>
      </c>
    </row>
    <row r="4375" spans="1:11" x14ac:dyDescent="0.35">
      <c r="A4375" t="s">
        <v>4506</v>
      </c>
      <c r="B4375" s="1">
        <v>0</v>
      </c>
      <c r="C4375" t="s">
        <v>5646</v>
      </c>
      <c r="D4375" t="s">
        <v>5104</v>
      </c>
      <c r="E4375" t="s">
        <v>5096</v>
      </c>
      <c r="F4375" t="s">
        <v>5338</v>
      </c>
      <c r="G4375" t="s">
        <v>5158</v>
      </c>
      <c r="H4375" t="s">
        <v>3651</v>
      </c>
      <c r="J4375" t="s">
        <v>4506</v>
      </c>
      <c r="K4375">
        <v>237.5</v>
      </c>
    </row>
    <row r="4376" spans="1:11" x14ac:dyDescent="0.35">
      <c r="A4376" t="s">
        <v>4507</v>
      </c>
      <c r="B4376" s="1">
        <v>0</v>
      </c>
      <c r="C4376" t="s">
        <v>2883</v>
      </c>
      <c r="D4376" t="s">
        <v>5115</v>
      </c>
      <c r="E4376" t="s">
        <v>5105</v>
      </c>
      <c r="F4376" t="s">
        <v>5338</v>
      </c>
      <c r="G4376" t="s">
        <v>5166</v>
      </c>
      <c r="H4376" t="s">
        <v>3014</v>
      </c>
      <c r="J4376" t="s">
        <v>4507</v>
      </c>
      <c r="K4376">
        <v>229.6</v>
      </c>
    </row>
    <row r="4377" spans="1:11" x14ac:dyDescent="0.35">
      <c r="A4377" t="s">
        <v>4508</v>
      </c>
      <c r="B4377" s="1">
        <v>0</v>
      </c>
      <c r="C4377" t="s">
        <v>473</v>
      </c>
      <c r="D4377" t="s">
        <v>5278</v>
      </c>
      <c r="E4377" t="s">
        <v>5213</v>
      </c>
      <c r="F4377" t="s">
        <v>5338</v>
      </c>
      <c r="G4377" t="s">
        <v>5333</v>
      </c>
      <c r="H4377" t="s">
        <v>2834</v>
      </c>
      <c r="J4377" t="s">
        <v>4508</v>
      </c>
      <c r="K4377">
        <v>230</v>
      </c>
    </row>
    <row r="4378" spans="1:11" x14ac:dyDescent="0.35">
      <c r="A4378" t="s">
        <v>4509</v>
      </c>
      <c r="B4378" s="1">
        <v>0</v>
      </c>
      <c r="C4378" t="s">
        <v>334</v>
      </c>
      <c r="D4378" t="s">
        <v>5491</v>
      </c>
      <c r="E4378" t="s">
        <v>5213</v>
      </c>
      <c r="F4378" t="s">
        <v>5338</v>
      </c>
      <c r="G4378" t="s">
        <v>5355</v>
      </c>
      <c r="H4378" t="s">
        <v>2828</v>
      </c>
      <c r="J4378" t="s">
        <v>4509</v>
      </c>
      <c r="K4378">
        <v>225.6</v>
      </c>
    </row>
    <row r="4379" spans="1:11" x14ac:dyDescent="0.35">
      <c r="A4379" t="s">
        <v>4510</v>
      </c>
      <c r="B4379" s="1">
        <v>0</v>
      </c>
      <c r="C4379" t="s">
        <v>363</v>
      </c>
      <c r="D4379" t="s">
        <v>5138</v>
      </c>
      <c r="E4379" t="s">
        <v>5270</v>
      </c>
      <c r="F4379" t="s">
        <v>5152</v>
      </c>
      <c r="G4379" t="s">
        <v>5136</v>
      </c>
      <c r="H4379" t="s">
        <v>3947</v>
      </c>
      <c r="J4379" t="s">
        <v>4510</v>
      </c>
      <c r="K4379">
        <v>214.9</v>
      </c>
    </row>
    <row r="4380" spans="1:11" x14ac:dyDescent="0.35">
      <c r="A4380" t="s">
        <v>4512</v>
      </c>
      <c r="B4380" s="1">
        <v>0</v>
      </c>
      <c r="C4380" t="s">
        <v>1021</v>
      </c>
      <c r="D4380" t="s">
        <v>5209</v>
      </c>
      <c r="E4380" t="s">
        <v>5060</v>
      </c>
      <c r="F4380" t="s">
        <v>5152</v>
      </c>
      <c r="G4380" t="s">
        <v>5136</v>
      </c>
      <c r="H4380" t="s">
        <v>216</v>
      </c>
      <c r="J4380" t="s">
        <v>4512</v>
      </c>
      <c r="K4380">
        <v>202.3</v>
      </c>
    </row>
    <row r="4381" spans="1:11" x14ac:dyDescent="0.35">
      <c r="A4381" t="s">
        <v>4513</v>
      </c>
      <c r="B4381" s="1">
        <v>0</v>
      </c>
      <c r="C4381" t="s">
        <v>427</v>
      </c>
      <c r="D4381" t="s">
        <v>5094</v>
      </c>
      <c r="E4381" t="s">
        <v>5249</v>
      </c>
      <c r="F4381" t="s">
        <v>5152</v>
      </c>
      <c r="G4381" t="s">
        <v>5136</v>
      </c>
      <c r="H4381" t="s">
        <v>1274</v>
      </c>
      <c r="J4381" t="s">
        <v>4513</v>
      </c>
      <c r="K4381">
        <v>197.4</v>
      </c>
    </row>
    <row r="4382" spans="1:11" x14ac:dyDescent="0.35">
      <c r="A4382" t="s">
        <v>4514</v>
      </c>
      <c r="B4382" s="1">
        <v>0</v>
      </c>
      <c r="C4382" t="s">
        <v>1039</v>
      </c>
      <c r="D4382" t="s">
        <v>5122</v>
      </c>
      <c r="E4382" t="s">
        <v>5113</v>
      </c>
      <c r="F4382" t="s">
        <v>5152</v>
      </c>
      <c r="G4382" t="s">
        <v>5136</v>
      </c>
      <c r="H4382" t="s">
        <v>5715</v>
      </c>
      <c r="J4382" t="s">
        <v>4514</v>
      </c>
      <c r="K4382">
        <v>207.5</v>
      </c>
    </row>
    <row r="4383" spans="1:11" x14ac:dyDescent="0.35">
      <c r="A4383" t="s">
        <v>4515</v>
      </c>
      <c r="B4383" s="1">
        <v>0</v>
      </c>
      <c r="C4383" t="s">
        <v>477</v>
      </c>
      <c r="D4383" t="s">
        <v>5130</v>
      </c>
      <c r="E4383" t="s">
        <v>5111</v>
      </c>
      <c r="F4383" t="s">
        <v>5152</v>
      </c>
      <c r="G4383" t="s">
        <v>5355</v>
      </c>
      <c r="H4383" t="s">
        <v>1250</v>
      </c>
      <c r="J4383" t="s">
        <v>4515</v>
      </c>
      <c r="K4383">
        <v>229.5</v>
      </c>
    </row>
    <row r="4384" spans="1:11" x14ac:dyDescent="0.35">
      <c r="A4384" t="s">
        <v>4516</v>
      </c>
      <c r="B4384" s="1">
        <v>0</v>
      </c>
      <c r="C4384" t="s">
        <v>358</v>
      </c>
      <c r="D4384" t="s">
        <v>5460</v>
      </c>
      <c r="E4384" t="s">
        <v>5450</v>
      </c>
      <c r="F4384" t="s">
        <v>5152</v>
      </c>
      <c r="G4384" t="s">
        <v>5332</v>
      </c>
      <c r="H4384" t="s">
        <v>3047</v>
      </c>
      <c r="J4384" t="s">
        <v>4516</v>
      </c>
      <c r="K4384">
        <v>245.5</v>
      </c>
    </row>
    <row r="4385" spans="1:11" x14ac:dyDescent="0.35">
      <c r="A4385" t="s">
        <v>4517</v>
      </c>
      <c r="B4385" s="1">
        <v>0</v>
      </c>
      <c r="C4385" t="s">
        <v>4082</v>
      </c>
      <c r="D4385" t="s">
        <v>388</v>
      </c>
      <c r="E4385" t="s">
        <v>5462</v>
      </c>
      <c r="F4385" t="s">
        <v>5152</v>
      </c>
      <c r="G4385" t="s">
        <v>5501</v>
      </c>
      <c r="H4385" t="s">
        <v>3573</v>
      </c>
      <c r="J4385" t="s">
        <v>4517</v>
      </c>
      <c r="K4385">
        <v>256</v>
      </c>
    </row>
    <row r="4386" spans="1:11" x14ac:dyDescent="0.35">
      <c r="A4386" t="s">
        <v>4519</v>
      </c>
      <c r="B4386" s="1">
        <v>0</v>
      </c>
      <c r="C4386" t="s">
        <v>975</v>
      </c>
      <c r="D4386" t="s">
        <v>5651</v>
      </c>
      <c r="E4386" t="s">
        <v>5508</v>
      </c>
      <c r="F4386" t="s">
        <v>5089</v>
      </c>
      <c r="G4386" t="s">
        <v>5333</v>
      </c>
      <c r="H4386" t="s">
        <v>5779</v>
      </c>
      <c r="J4386" t="s">
        <v>4519</v>
      </c>
      <c r="K4386">
        <v>254.6</v>
      </c>
    </row>
    <row r="4387" spans="1:11" x14ac:dyDescent="0.35">
      <c r="A4387" t="s">
        <v>4520</v>
      </c>
      <c r="B4387" s="1">
        <v>0</v>
      </c>
      <c r="C4387" t="s">
        <v>977</v>
      </c>
      <c r="D4387" t="s">
        <v>5500</v>
      </c>
      <c r="E4387" t="s">
        <v>5114</v>
      </c>
      <c r="F4387" t="s">
        <v>5089</v>
      </c>
      <c r="G4387" t="s">
        <v>5501</v>
      </c>
      <c r="H4387" t="s">
        <v>5769</v>
      </c>
      <c r="J4387" t="s">
        <v>4520</v>
      </c>
      <c r="K4387">
        <v>251.9</v>
      </c>
    </row>
    <row r="4388" spans="1:11" x14ac:dyDescent="0.35">
      <c r="A4388" t="s">
        <v>4521</v>
      </c>
      <c r="B4388" s="1">
        <v>0</v>
      </c>
      <c r="C4388" t="s">
        <v>1466</v>
      </c>
      <c r="D4388" t="s">
        <v>5268</v>
      </c>
      <c r="E4388" t="s">
        <v>5444</v>
      </c>
      <c r="F4388" t="s">
        <v>5089</v>
      </c>
      <c r="G4388" t="s">
        <v>5493</v>
      </c>
      <c r="H4388" t="s">
        <v>3637</v>
      </c>
      <c r="J4388" t="s">
        <v>4521</v>
      </c>
      <c r="K4388">
        <v>239.2</v>
      </c>
    </row>
    <row r="4389" spans="1:11" x14ac:dyDescent="0.35">
      <c r="A4389" t="s">
        <v>4522</v>
      </c>
      <c r="B4389" s="1">
        <v>0</v>
      </c>
      <c r="C4389" t="s">
        <v>339</v>
      </c>
      <c r="D4389" t="s">
        <v>5491</v>
      </c>
      <c r="E4389" t="s">
        <v>5257</v>
      </c>
      <c r="F4389" t="s">
        <v>5089</v>
      </c>
      <c r="G4389" t="s">
        <v>5136</v>
      </c>
      <c r="H4389" t="s">
        <v>5684</v>
      </c>
      <c r="J4389" t="s">
        <v>4522</v>
      </c>
      <c r="K4389">
        <v>225</v>
      </c>
    </row>
    <row r="4390" spans="1:11" x14ac:dyDescent="0.35">
      <c r="A4390" t="s">
        <v>4523</v>
      </c>
      <c r="B4390" s="1">
        <v>0</v>
      </c>
      <c r="C4390" t="s">
        <v>344</v>
      </c>
      <c r="D4390" t="s">
        <v>5122</v>
      </c>
      <c r="E4390" t="s">
        <v>5249</v>
      </c>
      <c r="F4390" t="s">
        <v>5089</v>
      </c>
      <c r="G4390" t="s">
        <v>5356</v>
      </c>
      <c r="H4390" t="s">
        <v>3731</v>
      </c>
      <c r="J4390" t="s">
        <v>4523</v>
      </c>
      <c r="K4390">
        <v>216.3</v>
      </c>
    </row>
    <row r="4391" spans="1:11" x14ac:dyDescent="0.35">
      <c r="A4391" t="s">
        <v>4524</v>
      </c>
      <c r="B4391" s="1">
        <v>0</v>
      </c>
      <c r="C4391" t="s">
        <v>344</v>
      </c>
      <c r="D4391" t="s">
        <v>5104</v>
      </c>
      <c r="E4391" t="s">
        <v>5249</v>
      </c>
      <c r="F4391" t="s">
        <v>5089</v>
      </c>
      <c r="G4391" t="s">
        <v>5356</v>
      </c>
      <c r="H4391" t="s">
        <v>3878</v>
      </c>
      <c r="J4391" t="s">
        <v>4524</v>
      </c>
      <c r="K4391">
        <v>217</v>
      </c>
    </row>
    <row r="4392" spans="1:11" x14ac:dyDescent="0.35">
      <c r="A4392" t="s">
        <v>4525</v>
      </c>
      <c r="B4392" s="1">
        <v>0</v>
      </c>
      <c r="C4392" t="s">
        <v>328</v>
      </c>
      <c r="D4392" t="s">
        <v>5630</v>
      </c>
      <c r="E4392" t="s">
        <v>5239</v>
      </c>
      <c r="F4392" t="s">
        <v>5089</v>
      </c>
      <c r="G4392" t="s">
        <v>5493</v>
      </c>
      <c r="H4392" t="s">
        <v>2476</v>
      </c>
      <c r="J4392" t="s">
        <v>4525</v>
      </c>
      <c r="K4392">
        <v>225.7</v>
      </c>
    </row>
    <row r="4393" spans="1:11" x14ac:dyDescent="0.35">
      <c r="A4393" t="s">
        <v>4526</v>
      </c>
      <c r="B4393" s="1">
        <v>0</v>
      </c>
      <c r="C4393" t="s">
        <v>4116</v>
      </c>
      <c r="D4393" t="s">
        <v>5630</v>
      </c>
      <c r="E4393" t="s">
        <v>5192</v>
      </c>
      <c r="F4393" t="s">
        <v>5089</v>
      </c>
      <c r="G4393" t="s">
        <v>5333</v>
      </c>
      <c r="H4393" t="s">
        <v>1247</v>
      </c>
      <c r="J4393" t="s">
        <v>4526</v>
      </c>
      <c r="K4393">
        <v>232.7</v>
      </c>
    </row>
    <row r="4394" spans="1:11" x14ac:dyDescent="0.35">
      <c r="A4394" t="s">
        <v>4527</v>
      </c>
      <c r="B4394" s="1">
        <v>0</v>
      </c>
      <c r="C4394" t="s">
        <v>1477</v>
      </c>
      <c r="D4394" t="s">
        <v>5122</v>
      </c>
      <c r="E4394" t="s">
        <v>5236</v>
      </c>
      <c r="F4394" t="s">
        <v>5089</v>
      </c>
      <c r="G4394" t="s">
        <v>5340</v>
      </c>
      <c r="H4394" t="s">
        <v>2029</v>
      </c>
      <c r="J4394" t="s">
        <v>4527</v>
      </c>
      <c r="K4394">
        <v>229.1</v>
      </c>
    </row>
    <row r="4395" spans="1:11" x14ac:dyDescent="0.35">
      <c r="A4395" t="s">
        <v>4528</v>
      </c>
      <c r="B4395" s="1">
        <v>0</v>
      </c>
      <c r="C4395" t="s">
        <v>335</v>
      </c>
      <c r="D4395" t="s">
        <v>5389</v>
      </c>
      <c r="E4395" t="s">
        <v>5197</v>
      </c>
      <c r="F4395" t="s">
        <v>5077</v>
      </c>
      <c r="G4395" t="s">
        <v>5333</v>
      </c>
      <c r="H4395" t="s">
        <v>1205</v>
      </c>
      <c r="J4395" t="s">
        <v>4528</v>
      </c>
      <c r="K4395">
        <v>220.9</v>
      </c>
    </row>
    <row r="4396" spans="1:11" x14ac:dyDescent="0.35">
      <c r="A4396" t="s">
        <v>4529</v>
      </c>
      <c r="B4396" s="1">
        <v>0</v>
      </c>
      <c r="C4396" t="s">
        <v>981</v>
      </c>
      <c r="D4396" t="s">
        <v>5518</v>
      </c>
      <c r="E4396" t="s">
        <v>5197</v>
      </c>
      <c r="F4396" t="s">
        <v>5077</v>
      </c>
      <c r="G4396" t="s">
        <v>5332</v>
      </c>
      <c r="H4396" t="s">
        <v>2380</v>
      </c>
      <c r="J4396" t="s">
        <v>4529</v>
      </c>
      <c r="K4396">
        <v>217.6</v>
      </c>
    </row>
    <row r="4397" spans="1:11" x14ac:dyDescent="0.35">
      <c r="A4397" t="s">
        <v>4530</v>
      </c>
      <c r="B4397" s="1">
        <v>0</v>
      </c>
      <c r="C4397" t="s">
        <v>980</v>
      </c>
      <c r="D4397" t="s">
        <v>5481</v>
      </c>
      <c r="E4397" t="s">
        <v>5071</v>
      </c>
      <c r="F4397" t="s">
        <v>5077</v>
      </c>
      <c r="G4397" t="s">
        <v>5493</v>
      </c>
      <c r="H4397" t="s">
        <v>2407</v>
      </c>
      <c r="J4397" t="s">
        <v>4530</v>
      </c>
      <c r="K4397">
        <v>218.3</v>
      </c>
    </row>
    <row r="4398" spans="1:11" x14ac:dyDescent="0.35">
      <c r="A4398" t="s">
        <v>4531</v>
      </c>
      <c r="B4398" s="1">
        <v>0</v>
      </c>
      <c r="C4398" t="s">
        <v>981</v>
      </c>
      <c r="D4398" t="s">
        <v>5577</v>
      </c>
      <c r="E4398" t="s">
        <v>5098</v>
      </c>
      <c r="F4398" t="s">
        <v>5077</v>
      </c>
      <c r="G4398" t="s">
        <v>5136</v>
      </c>
      <c r="H4398" t="s">
        <v>2095</v>
      </c>
      <c r="J4398" t="s">
        <v>4531</v>
      </c>
      <c r="K4398">
        <v>220.2</v>
      </c>
    </row>
    <row r="4399" spans="1:11" x14ac:dyDescent="0.35">
      <c r="A4399" t="s">
        <v>4533</v>
      </c>
      <c r="B4399" s="1">
        <v>0</v>
      </c>
      <c r="C4399" t="s">
        <v>351</v>
      </c>
      <c r="D4399" t="s">
        <v>5554</v>
      </c>
      <c r="E4399" t="s">
        <v>5208</v>
      </c>
      <c r="F4399" t="s">
        <v>5077</v>
      </c>
      <c r="G4399" t="s">
        <v>5132</v>
      </c>
      <c r="H4399" t="s">
        <v>3729</v>
      </c>
      <c r="J4399" t="s">
        <v>4533</v>
      </c>
      <c r="K4399">
        <v>215.1</v>
      </c>
    </row>
    <row r="4400" spans="1:11" x14ac:dyDescent="0.35">
      <c r="A4400" t="s">
        <v>4534</v>
      </c>
      <c r="B4400" s="1">
        <v>0</v>
      </c>
      <c r="C4400" t="s">
        <v>1046</v>
      </c>
      <c r="D4400" t="s">
        <v>5146</v>
      </c>
      <c r="E4400" t="s">
        <v>5068</v>
      </c>
      <c r="F4400" t="s">
        <v>5077</v>
      </c>
      <c r="G4400" t="s">
        <v>5045</v>
      </c>
      <c r="H4400" t="s">
        <v>1198</v>
      </c>
      <c r="J4400" t="s">
        <v>4534</v>
      </c>
      <c r="K4400">
        <v>200.9</v>
      </c>
    </row>
    <row r="4401" spans="1:11" x14ac:dyDescent="0.35">
      <c r="A4401" t="s">
        <v>4535</v>
      </c>
      <c r="B4401" s="1">
        <v>0</v>
      </c>
      <c r="C4401" t="s">
        <v>5603</v>
      </c>
      <c r="D4401" t="s">
        <v>5079</v>
      </c>
      <c r="E4401" t="s">
        <v>5170</v>
      </c>
      <c r="F4401" t="s">
        <v>5077</v>
      </c>
      <c r="G4401" t="s">
        <v>5095</v>
      </c>
      <c r="H4401" t="s">
        <v>37</v>
      </c>
      <c r="J4401" t="s">
        <v>4535</v>
      </c>
      <c r="K4401">
        <v>184.3</v>
      </c>
    </row>
    <row r="4402" spans="1:11" x14ac:dyDescent="0.35">
      <c r="A4402" t="s">
        <v>4536</v>
      </c>
      <c r="B4402" s="1">
        <v>0</v>
      </c>
      <c r="C4402" t="s">
        <v>5232</v>
      </c>
      <c r="D4402" t="s">
        <v>5157</v>
      </c>
      <c r="E4402" t="s">
        <v>5064</v>
      </c>
      <c r="F4402" t="s">
        <v>5077</v>
      </c>
      <c r="G4402" t="s">
        <v>5078</v>
      </c>
      <c r="H4402" t="s">
        <v>58</v>
      </c>
      <c r="J4402" t="s">
        <v>4536</v>
      </c>
      <c r="K4402">
        <v>171.3</v>
      </c>
    </row>
    <row r="4403" spans="1:11" x14ac:dyDescent="0.35">
      <c r="A4403" t="s">
        <v>4537</v>
      </c>
      <c r="B4403" s="1">
        <v>0</v>
      </c>
      <c r="C4403" t="s">
        <v>5509</v>
      </c>
      <c r="D4403" t="s">
        <v>5125</v>
      </c>
      <c r="E4403" t="s">
        <v>5328</v>
      </c>
      <c r="F4403" t="s">
        <v>5077</v>
      </c>
      <c r="G4403" t="s">
        <v>5065</v>
      </c>
      <c r="H4403" t="s">
        <v>872</v>
      </c>
      <c r="J4403" t="s">
        <v>4537</v>
      </c>
      <c r="K4403">
        <v>165.1</v>
      </c>
    </row>
    <row r="4404" spans="1:11" x14ac:dyDescent="0.35">
      <c r="A4404" t="s">
        <v>4538</v>
      </c>
      <c r="B4404" s="1">
        <v>0</v>
      </c>
      <c r="C4404" t="s">
        <v>5459</v>
      </c>
      <c r="D4404" t="s">
        <v>5251</v>
      </c>
      <c r="E4404" t="s">
        <v>5599</v>
      </c>
      <c r="F4404" t="s">
        <v>5077</v>
      </c>
      <c r="G4404" t="s">
        <v>5062</v>
      </c>
      <c r="H4404" t="s">
        <v>583</v>
      </c>
      <c r="J4404" t="s">
        <v>4538</v>
      </c>
      <c r="K4404">
        <v>164.4</v>
      </c>
    </row>
    <row r="4405" spans="1:11" x14ac:dyDescent="0.35">
      <c r="A4405" t="s">
        <v>4539</v>
      </c>
      <c r="B4405" s="1">
        <v>0</v>
      </c>
      <c r="C4405" t="s">
        <v>5490</v>
      </c>
      <c r="D4405" t="s">
        <v>5239</v>
      </c>
      <c r="E4405" t="s">
        <v>5319</v>
      </c>
      <c r="F4405" t="s">
        <v>5077</v>
      </c>
      <c r="G4405" t="s">
        <v>5475</v>
      </c>
      <c r="H4405" t="s">
        <v>827</v>
      </c>
      <c r="J4405" t="s">
        <v>4539</v>
      </c>
      <c r="K4405">
        <v>164.2</v>
      </c>
    </row>
    <row r="4406" spans="1:11" x14ac:dyDescent="0.35">
      <c r="A4406" t="s">
        <v>4540</v>
      </c>
      <c r="B4406" s="1">
        <v>0</v>
      </c>
      <c r="C4406" t="s">
        <v>5469</v>
      </c>
      <c r="D4406" t="s">
        <v>5236</v>
      </c>
      <c r="E4406" t="s">
        <v>5284</v>
      </c>
      <c r="F4406" t="s">
        <v>5077</v>
      </c>
      <c r="G4406" t="s">
        <v>5099</v>
      </c>
      <c r="H4406" t="s">
        <v>931</v>
      </c>
      <c r="J4406" t="s">
        <v>4540</v>
      </c>
      <c r="K4406">
        <v>166.5</v>
      </c>
    </row>
    <row r="4407" spans="1:11" x14ac:dyDescent="0.35">
      <c r="A4407" t="s">
        <v>4541</v>
      </c>
      <c r="B4407" s="1">
        <v>0</v>
      </c>
      <c r="C4407" t="s">
        <v>5635</v>
      </c>
      <c r="D4407" t="s">
        <v>5178</v>
      </c>
      <c r="E4407" t="s">
        <v>5051</v>
      </c>
      <c r="F4407" t="s">
        <v>5077</v>
      </c>
      <c r="G4407" t="s">
        <v>5082</v>
      </c>
      <c r="H4407" t="s">
        <v>581</v>
      </c>
      <c r="J4407" t="s">
        <v>4541</v>
      </c>
      <c r="K4407">
        <v>168.8</v>
      </c>
    </row>
    <row r="4408" spans="1:11" x14ac:dyDescent="0.35">
      <c r="A4408" t="s">
        <v>4542</v>
      </c>
      <c r="B4408" s="1">
        <v>0</v>
      </c>
      <c r="C4408" t="s">
        <v>1005</v>
      </c>
      <c r="D4408" t="s">
        <v>5121</v>
      </c>
      <c r="E4408" t="s">
        <v>5298</v>
      </c>
      <c r="F4408" t="s">
        <v>5077</v>
      </c>
      <c r="G4408" t="s">
        <v>5092</v>
      </c>
      <c r="H4408" t="s">
        <v>1973</v>
      </c>
      <c r="J4408" t="s">
        <v>4542</v>
      </c>
      <c r="K4408">
        <v>176.4</v>
      </c>
    </row>
    <row r="4409" spans="1:11" x14ac:dyDescent="0.35">
      <c r="A4409" t="s">
        <v>4543</v>
      </c>
      <c r="B4409" s="1">
        <v>0</v>
      </c>
      <c r="C4409" t="s">
        <v>1020</v>
      </c>
      <c r="D4409" t="s">
        <v>5100</v>
      </c>
      <c r="E4409" t="s">
        <v>5295</v>
      </c>
      <c r="F4409" t="s">
        <v>5077</v>
      </c>
      <c r="G4409" t="s">
        <v>5077</v>
      </c>
      <c r="H4409" t="s">
        <v>937</v>
      </c>
      <c r="J4409" t="s">
        <v>4543</v>
      </c>
      <c r="K4409">
        <v>185.2</v>
      </c>
    </row>
    <row r="4410" spans="1:11" x14ac:dyDescent="0.35">
      <c r="A4410" t="s">
        <v>4544</v>
      </c>
      <c r="B4410" s="1">
        <v>0</v>
      </c>
      <c r="C4410" t="s">
        <v>449</v>
      </c>
      <c r="D4410" t="s">
        <v>5439</v>
      </c>
      <c r="E4410" t="s">
        <v>5313</v>
      </c>
      <c r="F4410" t="s">
        <v>5077</v>
      </c>
      <c r="G4410" t="s">
        <v>5358</v>
      </c>
      <c r="H4410" t="s">
        <v>247</v>
      </c>
      <c r="J4410" t="s">
        <v>4544</v>
      </c>
      <c r="K4410">
        <v>194.6</v>
      </c>
    </row>
    <row r="4411" spans="1:11" x14ac:dyDescent="0.35">
      <c r="A4411" t="s">
        <v>4545</v>
      </c>
      <c r="B4411" s="1">
        <v>0</v>
      </c>
      <c r="C4411" t="s">
        <v>1534</v>
      </c>
      <c r="D4411" t="s">
        <v>5254</v>
      </c>
      <c r="E4411" t="s">
        <v>5073</v>
      </c>
      <c r="F4411" t="s">
        <v>5077</v>
      </c>
      <c r="G4411" t="s">
        <v>5356</v>
      </c>
      <c r="H4411" t="s">
        <v>1642</v>
      </c>
      <c r="J4411" t="s">
        <v>4545</v>
      </c>
      <c r="K4411">
        <v>201.4</v>
      </c>
    </row>
    <row r="4412" spans="1:11" x14ac:dyDescent="0.35">
      <c r="A4412" t="s">
        <v>4546</v>
      </c>
      <c r="B4412" s="1">
        <v>0</v>
      </c>
      <c r="C4412" t="s">
        <v>321</v>
      </c>
      <c r="D4412" t="s">
        <v>5539</v>
      </c>
      <c r="E4412" t="s">
        <v>5170</v>
      </c>
      <c r="F4412" t="s">
        <v>5077</v>
      </c>
      <c r="G4412" t="s">
        <v>5493</v>
      </c>
      <c r="H4412" t="s">
        <v>1300</v>
      </c>
      <c r="J4412" t="s">
        <v>4546</v>
      </c>
      <c r="K4412">
        <v>208.6</v>
      </c>
    </row>
    <row r="4413" spans="1:11" x14ac:dyDescent="0.35">
      <c r="A4413" t="s">
        <v>4547</v>
      </c>
      <c r="B4413" s="1">
        <v>0</v>
      </c>
      <c r="C4413" t="s">
        <v>346</v>
      </c>
      <c r="D4413" t="s">
        <v>5238</v>
      </c>
      <c r="E4413" t="s">
        <v>5076</v>
      </c>
      <c r="F4413" t="s">
        <v>5077</v>
      </c>
      <c r="G4413" t="s">
        <v>5356</v>
      </c>
      <c r="H4413" t="s">
        <v>234</v>
      </c>
      <c r="J4413" t="s">
        <v>4547</v>
      </c>
      <c r="K4413">
        <v>210.5</v>
      </c>
    </row>
    <row r="4414" spans="1:11" x14ac:dyDescent="0.35">
      <c r="A4414" t="s">
        <v>4548</v>
      </c>
      <c r="B4414" s="1">
        <v>0</v>
      </c>
      <c r="C4414" t="s">
        <v>1045</v>
      </c>
      <c r="D4414" t="s">
        <v>5238</v>
      </c>
      <c r="E4414" t="s">
        <v>5173</v>
      </c>
      <c r="F4414" t="s">
        <v>5077</v>
      </c>
      <c r="G4414" t="s">
        <v>5077</v>
      </c>
      <c r="H4414" t="s">
        <v>3075</v>
      </c>
      <c r="J4414" t="s">
        <v>4548</v>
      </c>
      <c r="K4414">
        <v>202.8</v>
      </c>
    </row>
    <row r="4415" spans="1:11" x14ac:dyDescent="0.35">
      <c r="A4415" t="s">
        <v>4549</v>
      </c>
      <c r="B4415" s="1">
        <v>0</v>
      </c>
      <c r="C4415" t="s">
        <v>418</v>
      </c>
      <c r="D4415" t="s">
        <v>5373</v>
      </c>
      <c r="E4415" t="s">
        <v>5175</v>
      </c>
      <c r="F4415" t="s">
        <v>5077</v>
      </c>
      <c r="G4415" t="s">
        <v>5092</v>
      </c>
      <c r="H4415" t="s">
        <v>5655</v>
      </c>
      <c r="J4415" t="s">
        <v>4549</v>
      </c>
      <c r="K4415">
        <v>196.6</v>
      </c>
    </row>
    <row r="4416" spans="1:11" x14ac:dyDescent="0.35">
      <c r="A4416" t="s">
        <v>4550</v>
      </c>
      <c r="B4416" s="1">
        <v>0</v>
      </c>
      <c r="C4416" t="s">
        <v>1881</v>
      </c>
      <c r="D4416" t="s">
        <v>5086</v>
      </c>
      <c r="E4416" t="s">
        <v>5076</v>
      </c>
      <c r="F4416" t="s">
        <v>5077</v>
      </c>
      <c r="G4416" t="s">
        <v>5045</v>
      </c>
      <c r="H4416" t="s">
        <v>947</v>
      </c>
      <c r="J4416" t="s">
        <v>4550</v>
      </c>
      <c r="K4416">
        <v>199</v>
      </c>
    </row>
    <row r="4417" spans="1:11" x14ac:dyDescent="0.35">
      <c r="A4417" t="s">
        <v>4551</v>
      </c>
      <c r="B4417" s="1">
        <v>0</v>
      </c>
      <c r="C4417" t="s">
        <v>4641</v>
      </c>
      <c r="D4417" t="s">
        <v>5531</v>
      </c>
      <c r="E4417" t="s">
        <v>5055</v>
      </c>
      <c r="F4417" t="s">
        <v>5050</v>
      </c>
      <c r="G4417" t="s">
        <v>5339</v>
      </c>
      <c r="H4417" t="s">
        <v>709</v>
      </c>
      <c r="J4417" t="s">
        <v>4551</v>
      </c>
      <c r="K4417">
        <v>187.6</v>
      </c>
    </row>
    <row r="4418" spans="1:11" x14ac:dyDescent="0.35">
      <c r="A4418" t="s">
        <v>4552</v>
      </c>
      <c r="B4418" s="1">
        <v>0</v>
      </c>
      <c r="C4418" t="s">
        <v>407</v>
      </c>
      <c r="D4418" t="s">
        <v>5220</v>
      </c>
      <c r="E4418" t="s">
        <v>5303</v>
      </c>
      <c r="F4418" t="s">
        <v>5050</v>
      </c>
      <c r="G4418" t="s">
        <v>5337</v>
      </c>
      <c r="H4418" t="s">
        <v>1682</v>
      </c>
      <c r="J4418" t="s">
        <v>4552</v>
      </c>
      <c r="K4418">
        <v>186.3</v>
      </c>
    </row>
    <row r="4419" spans="1:11" x14ac:dyDescent="0.35">
      <c r="A4419" t="s">
        <v>4553</v>
      </c>
      <c r="B4419" s="1">
        <v>0</v>
      </c>
      <c r="C4419" t="s">
        <v>5406</v>
      </c>
      <c r="D4419" t="s">
        <v>5505</v>
      </c>
      <c r="E4419" t="s">
        <v>5181</v>
      </c>
      <c r="F4419" t="s">
        <v>5050</v>
      </c>
      <c r="G4419" t="s">
        <v>5168</v>
      </c>
      <c r="H4419" t="s">
        <v>1614</v>
      </c>
      <c r="J4419" t="s">
        <v>4553</v>
      </c>
      <c r="K4419">
        <v>176</v>
      </c>
    </row>
    <row r="4420" spans="1:11" x14ac:dyDescent="0.35">
      <c r="A4420" t="s">
        <v>4554</v>
      </c>
      <c r="B4420" s="1">
        <v>0</v>
      </c>
      <c r="C4420" t="s">
        <v>5457</v>
      </c>
      <c r="D4420" t="s">
        <v>5100</v>
      </c>
      <c r="E4420" t="s">
        <v>5057</v>
      </c>
      <c r="F4420" t="s">
        <v>5050</v>
      </c>
      <c r="G4420" t="s">
        <v>5159</v>
      </c>
      <c r="H4420" t="s">
        <v>161</v>
      </c>
      <c r="J4420" t="s">
        <v>4554</v>
      </c>
      <c r="K4420">
        <v>165.2</v>
      </c>
    </row>
    <row r="4421" spans="1:11" x14ac:dyDescent="0.35">
      <c r="A4421" t="s">
        <v>4555</v>
      </c>
      <c r="B4421" s="1">
        <v>0</v>
      </c>
      <c r="C4421" t="s">
        <v>5231</v>
      </c>
      <c r="D4421" t="s">
        <v>5218</v>
      </c>
      <c r="E4421" t="s">
        <v>5568</v>
      </c>
      <c r="F4421" t="s">
        <v>5050</v>
      </c>
      <c r="G4421" t="s">
        <v>5177</v>
      </c>
      <c r="H4421" t="s">
        <v>876</v>
      </c>
      <c r="J4421" t="s">
        <v>4555</v>
      </c>
      <c r="K4421">
        <v>160.9</v>
      </c>
    </row>
    <row r="4422" spans="1:11" x14ac:dyDescent="0.35">
      <c r="A4422" t="s">
        <v>4556</v>
      </c>
      <c r="B4422" s="1">
        <v>0</v>
      </c>
      <c r="C4422" t="s">
        <v>5504</v>
      </c>
      <c r="D4422" t="s">
        <v>5453</v>
      </c>
      <c r="E4422" t="s">
        <v>5570</v>
      </c>
      <c r="F4422" t="s">
        <v>5050</v>
      </c>
      <c r="G4422" t="s">
        <v>5177</v>
      </c>
      <c r="H4422" t="s">
        <v>1389</v>
      </c>
      <c r="J4422" t="s">
        <v>4556</v>
      </c>
      <c r="K4422">
        <v>163.6</v>
      </c>
    </row>
    <row r="4423" spans="1:11" x14ac:dyDescent="0.35">
      <c r="A4423" t="s">
        <v>4557</v>
      </c>
      <c r="B4423" s="1">
        <v>0</v>
      </c>
      <c r="C4423" t="s">
        <v>5616</v>
      </c>
      <c r="D4423" t="s">
        <v>5433</v>
      </c>
      <c r="E4423" t="s">
        <v>5185</v>
      </c>
      <c r="F4423" t="s">
        <v>5050</v>
      </c>
      <c r="G4423" t="s">
        <v>5184</v>
      </c>
      <c r="H4423" t="s">
        <v>594</v>
      </c>
      <c r="J4423" t="s">
        <v>4557</v>
      </c>
      <c r="K4423">
        <v>162.5</v>
      </c>
    </row>
    <row r="4424" spans="1:11" x14ac:dyDescent="0.35">
      <c r="A4424" t="s">
        <v>4558</v>
      </c>
      <c r="B4424" s="1">
        <v>0</v>
      </c>
      <c r="C4424" t="s">
        <v>5277</v>
      </c>
      <c r="D4424" t="s">
        <v>5072</v>
      </c>
      <c r="E4424" t="s">
        <v>5295</v>
      </c>
      <c r="F4424" t="s">
        <v>5050</v>
      </c>
      <c r="G4424" t="s">
        <v>5189</v>
      </c>
      <c r="H4424" t="s">
        <v>106</v>
      </c>
      <c r="J4424" t="s">
        <v>4558</v>
      </c>
      <c r="K4424">
        <v>155.80000000000001</v>
      </c>
    </row>
    <row r="4425" spans="1:11" x14ac:dyDescent="0.35">
      <c r="A4425" t="s">
        <v>4559</v>
      </c>
      <c r="B4425" s="1">
        <v>0</v>
      </c>
      <c r="C4425" t="s">
        <v>5146</v>
      </c>
      <c r="D4425" t="s">
        <v>5102</v>
      </c>
      <c r="E4425" t="s">
        <v>5525</v>
      </c>
      <c r="F4425" t="s">
        <v>5050</v>
      </c>
      <c r="G4425" t="s">
        <v>5404</v>
      </c>
      <c r="H4425" t="s">
        <v>46</v>
      </c>
      <c r="J4425" t="s">
        <v>4559</v>
      </c>
      <c r="K4425">
        <v>145.69999999999999</v>
      </c>
    </row>
    <row r="4426" spans="1:11" x14ac:dyDescent="0.35">
      <c r="A4426" t="s">
        <v>4560</v>
      </c>
      <c r="B4426" s="1">
        <v>0</v>
      </c>
      <c r="C4426" t="s">
        <v>5534</v>
      </c>
      <c r="D4426" t="s">
        <v>5208</v>
      </c>
      <c r="E4426" t="s">
        <v>5053</v>
      </c>
      <c r="F4426" t="s">
        <v>5050</v>
      </c>
      <c r="G4426" t="s">
        <v>5402</v>
      </c>
      <c r="H4426" t="s">
        <v>3839</v>
      </c>
      <c r="J4426" t="s">
        <v>4560</v>
      </c>
      <c r="K4426">
        <v>141.6</v>
      </c>
    </row>
    <row r="4427" spans="1:11" x14ac:dyDescent="0.35">
      <c r="A4427" t="s">
        <v>4561</v>
      </c>
      <c r="B4427" s="1">
        <v>0</v>
      </c>
      <c r="C4427" t="s">
        <v>5117</v>
      </c>
      <c r="D4427" t="s">
        <v>5121</v>
      </c>
      <c r="E4427" t="s">
        <v>5320</v>
      </c>
      <c r="F4427" t="s">
        <v>5050</v>
      </c>
      <c r="G4427" t="s">
        <v>5402</v>
      </c>
      <c r="H4427" t="s">
        <v>291</v>
      </c>
      <c r="J4427" t="s">
        <v>4561</v>
      </c>
      <c r="K4427">
        <v>149.80000000000001</v>
      </c>
    </row>
    <row r="4428" spans="1:11" x14ac:dyDescent="0.35">
      <c r="A4428" t="s">
        <v>4562</v>
      </c>
      <c r="B4428" s="1">
        <v>0</v>
      </c>
      <c r="C4428" t="s">
        <v>5134</v>
      </c>
      <c r="D4428" t="s">
        <v>5572</v>
      </c>
      <c r="E4428" t="s">
        <v>5417</v>
      </c>
      <c r="F4428" t="s">
        <v>5050</v>
      </c>
      <c r="G4428" t="s">
        <v>5405</v>
      </c>
      <c r="H4428" t="s">
        <v>821</v>
      </c>
      <c r="J4428" t="s">
        <v>4562</v>
      </c>
      <c r="K4428">
        <v>164.5</v>
      </c>
    </row>
    <row r="4429" spans="1:11" x14ac:dyDescent="0.35">
      <c r="A4429" t="s">
        <v>4563</v>
      </c>
      <c r="B4429" s="1">
        <v>0</v>
      </c>
      <c r="C4429" t="s">
        <v>5564</v>
      </c>
      <c r="D4429" t="s">
        <v>5450</v>
      </c>
      <c r="E4429" t="s">
        <v>5597</v>
      </c>
      <c r="F4429" t="s">
        <v>5050</v>
      </c>
      <c r="G4429" t="s">
        <v>5186</v>
      </c>
      <c r="H4429" t="s">
        <v>1324</v>
      </c>
      <c r="J4429" t="s">
        <v>4563</v>
      </c>
      <c r="K4429">
        <v>169.9</v>
      </c>
    </row>
    <row r="4430" spans="1:11" x14ac:dyDescent="0.35">
      <c r="A4430" t="s">
        <v>4564</v>
      </c>
      <c r="B4430" s="1">
        <v>0</v>
      </c>
      <c r="C4430" t="s">
        <v>5580</v>
      </c>
      <c r="D4430" t="s">
        <v>5456</v>
      </c>
      <c r="E4430" t="s">
        <v>5295</v>
      </c>
      <c r="F4430" t="s">
        <v>5050</v>
      </c>
      <c r="G4430" t="s">
        <v>5186</v>
      </c>
      <c r="H4430" t="s">
        <v>583</v>
      </c>
      <c r="J4430" t="s">
        <v>4564</v>
      </c>
      <c r="K4430">
        <v>164.4</v>
      </c>
    </row>
    <row r="4431" spans="1:11" x14ac:dyDescent="0.35">
      <c r="A4431" t="s">
        <v>4565</v>
      </c>
      <c r="B4431" s="1">
        <v>0</v>
      </c>
      <c r="C4431" t="s">
        <v>5582</v>
      </c>
      <c r="D4431" t="s">
        <v>5453</v>
      </c>
      <c r="E4431" t="s">
        <v>5299</v>
      </c>
      <c r="F4431" t="s">
        <v>5050</v>
      </c>
      <c r="G4431" t="s">
        <v>5189</v>
      </c>
      <c r="H4431" t="s">
        <v>586</v>
      </c>
      <c r="J4431" t="s">
        <v>4565</v>
      </c>
      <c r="K4431">
        <v>154.80000000000001</v>
      </c>
    </row>
    <row r="4432" spans="1:11" x14ac:dyDescent="0.35">
      <c r="A4432" t="s">
        <v>4566</v>
      </c>
      <c r="B4432" s="1">
        <v>0</v>
      </c>
      <c r="C4432" t="s">
        <v>5476</v>
      </c>
      <c r="D4432" t="s">
        <v>5072</v>
      </c>
      <c r="E4432" t="s">
        <v>5525</v>
      </c>
      <c r="F4432" t="s">
        <v>5050</v>
      </c>
      <c r="G4432" t="s">
        <v>5195</v>
      </c>
      <c r="H4432" t="s">
        <v>170</v>
      </c>
      <c r="J4432" t="s">
        <v>4566</v>
      </c>
      <c r="K4432">
        <v>153.80000000000001</v>
      </c>
    </row>
    <row r="4433" spans="1:11" x14ac:dyDescent="0.35">
      <c r="A4433" t="s">
        <v>4567</v>
      </c>
      <c r="B4433" s="1">
        <v>0</v>
      </c>
      <c r="C4433" t="s">
        <v>5472</v>
      </c>
      <c r="D4433" t="s">
        <v>5508</v>
      </c>
      <c r="E4433" t="s">
        <v>5181</v>
      </c>
      <c r="F4433" t="s">
        <v>5050</v>
      </c>
      <c r="G4433" t="s">
        <v>5159</v>
      </c>
      <c r="H4433" t="s">
        <v>1808</v>
      </c>
      <c r="J4433" t="s">
        <v>4567</v>
      </c>
      <c r="K4433">
        <v>167.8</v>
      </c>
    </row>
    <row r="4434" spans="1:11" x14ac:dyDescent="0.35">
      <c r="A4434" t="s">
        <v>4568</v>
      </c>
      <c r="B4434" s="1">
        <v>0</v>
      </c>
      <c r="C4434" t="s">
        <v>4641</v>
      </c>
      <c r="D4434" t="s">
        <v>5533</v>
      </c>
      <c r="E4434" t="s">
        <v>5237</v>
      </c>
      <c r="F4434" t="s">
        <v>5050</v>
      </c>
      <c r="G4434" t="s">
        <v>5411</v>
      </c>
      <c r="H4434" t="s">
        <v>1187</v>
      </c>
      <c r="J4434" t="s">
        <v>4568</v>
      </c>
      <c r="K4434">
        <v>191.7</v>
      </c>
    </row>
    <row r="4435" spans="1:11" x14ac:dyDescent="0.35">
      <c r="A4435" t="s">
        <v>4569</v>
      </c>
      <c r="B4435" s="1">
        <v>0</v>
      </c>
      <c r="C4435" t="s">
        <v>475</v>
      </c>
      <c r="D4435" t="s">
        <v>5554</v>
      </c>
      <c r="E4435" t="s">
        <v>5236</v>
      </c>
      <c r="F4435" t="s">
        <v>5050</v>
      </c>
      <c r="G4435" t="s">
        <v>5397</v>
      </c>
      <c r="H4435" t="s">
        <v>1654</v>
      </c>
      <c r="J4435" t="s">
        <v>4569</v>
      </c>
      <c r="K4435">
        <v>209.6</v>
      </c>
    </row>
    <row r="4436" spans="1:11" x14ac:dyDescent="0.35">
      <c r="A4436" t="s">
        <v>4570</v>
      </c>
      <c r="B4436" s="1">
        <v>0</v>
      </c>
      <c r="C4436" t="s">
        <v>1866</v>
      </c>
      <c r="D4436" t="s">
        <v>5084</v>
      </c>
      <c r="E4436" t="s">
        <v>5257</v>
      </c>
      <c r="F4436" t="s">
        <v>5050</v>
      </c>
      <c r="G4436" t="s">
        <v>5330</v>
      </c>
      <c r="H4436" t="s">
        <v>2056</v>
      </c>
      <c r="J4436" t="s">
        <v>4570</v>
      </c>
      <c r="K4436">
        <v>220.1</v>
      </c>
    </row>
    <row r="4437" spans="1:11" x14ac:dyDescent="0.35">
      <c r="A4437" t="s">
        <v>4571</v>
      </c>
      <c r="B4437" s="1">
        <v>0</v>
      </c>
      <c r="C4437" t="s">
        <v>1482</v>
      </c>
      <c r="D4437" t="s">
        <v>5134</v>
      </c>
      <c r="E4437" t="s">
        <v>5096</v>
      </c>
      <c r="F4437" t="s">
        <v>5050</v>
      </c>
      <c r="G4437" t="s">
        <v>5144</v>
      </c>
      <c r="H4437" t="s">
        <v>3639</v>
      </c>
      <c r="J4437" t="s">
        <v>4571</v>
      </c>
      <c r="K4437">
        <v>223.5</v>
      </c>
    </row>
    <row r="4438" spans="1:11" x14ac:dyDescent="0.35">
      <c r="A4438" t="s">
        <v>4572</v>
      </c>
      <c r="B4438" s="1">
        <v>0</v>
      </c>
      <c r="C4438" t="s">
        <v>1483</v>
      </c>
      <c r="D4438" t="s">
        <v>5643</v>
      </c>
      <c r="E4438" t="s">
        <v>5218</v>
      </c>
      <c r="F4438" t="s">
        <v>5050</v>
      </c>
      <c r="G4438" t="s">
        <v>5432</v>
      </c>
      <c r="H4438" t="s">
        <v>3038</v>
      </c>
      <c r="J4438" t="s">
        <v>4572</v>
      </c>
      <c r="K4438">
        <v>223.3</v>
      </c>
    </row>
    <row r="4439" spans="1:11" x14ac:dyDescent="0.35">
      <c r="A4439" t="s">
        <v>4573</v>
      </c>
      <c r="B4439" s="1">
        <v>0</v>
      </c>
      <c r="C4439" t="s">
        <v>331</v>
      </c>
      <c r="D4439" t="s">
        <v>5587</v>
      </c>
      <c r="E4439" t="s">
        <v>5229</v>
      </c>
      <c r="F4439" t="s">
        <v>5050</v>
      </c>
      <c r="G4439" t="s">
        <v>5140</v>
      </c>
      <c r="H4439" t="s">
        <v>3639</v>
      </c>
      <c r="J4439" t="s">
        <v>4573</v>
      </c>
      <c r="K4439">
        <v>223.5</v>
      </c>
    </row>
    <row r="4440" spans="1:11" x14ac:dyDescent="0.35">
      <c r="A4440" t="s">
        <v>4574</v>
      </c>
      <c r="B4440" s="1">
        <v>0</v>
      </c>
      <c r="C4440" t="s">
        <v>351</v>
      </c>
      <c r="D4440" t="s">
        <v>5268</v>
      </c>
      <c r="E4440" t="s">
        <v>5123</v>
      </c>
      <c r="F4440" t="s">
        <v>5050</v>
      </c>
      <c r="G4440" t="s">
        <v>5140</v>
      </c>
      <c r="H4440" t="s">
        <v>3012</v>
      </c>
      <c r="J4440" t="s">
        <v>4574</v>
      </c>
      <c r="K4440">
        <v>216.5</v>
      </c>
    </row>
    <row r="4441" spans="1:11" x14ac:dyDescent="0.35">
      <c r="A4441" t="s">
        <v>4575</v>
      </c>
      <c r="B4441" s="1">
        <v>0</v>
      </c>
      <c r="C4441" t="s">
        <v>447</v>
      </c>
      <c r="D4441" t="s">
        <v>5091</v>
      </c>
      <c r="E4441" t="s">
        <v>5434</v>
      </c>
      <c r="F4441" t="s">
        <v>5050</v>
      </c>
      <c r="G4441" t="s">
        <v>5334</v>
      </c>
      <c r="H4441" t="s">
        <v>3075</v>
      </c>
      <c r="J4441" t="s">
        <v>4575</v>
      </c>
      <c r="K4441">
        <v>202.8</v>
      </c>
    </row>
    <row r="4442" spans="1:11" x14ac:dyDescent="0.35">
      <c r="A4442" t="s">
        <v>4576</v>
      </c>
      <c r="B4442" s="1">
        <v>0</v>
      </c>
      <c r="C4442" t="s">
        <v>3489</v>
      </c>
      <c r="D4442" t="s">
        <v>5250</v>
      </c>
      <c r="E4442" t="s">
        <v>5323</v>
      </c>
      <c r="F4442" t="s">
        <v>5050</v>
      </c>
      <c r="G4442" t="s">
        <v>5339</v>
      </c>
      <c r="H4442" t="s">
        <v>2552</v>
      </c>
      <c r="J4442" t="s">
        <v>4576</v>
      </c>
      <c r="K4442">
        <v>190.8</v>
      </c>
    </row>
    <row r="4443" spans="1:11" x14ac:dyDescent="0.35">
      <c r="A4443" t="s">
        <v>4577</v>
      </c>
      <c r="B4443" s="1">
        <v>0</v>
      </c>
      <c r="C4443" t="s">
        <v>430</v>
      </c>
      <c r="D4443" t="s">
        <v>5538</v>
      </c>
      <c r="E4443" t="s">
        <v>5431</v>
      </c>
      <c r="F4443" t="s">
        <v>5050</v>
      </c>
      <c r="G4443" t="s">
        <v>5164</v>
      </c>
      <c r="H4443" t="s">
        <v>782</v>
      </c>
      <c r="J4443" t="s">
        <v>4577</v>
      </c>
      <c r="K4443">
        <v>182.1</v>
      </c>
    </row>
    <row r="4444" spans="1:11" x14ac:dyDescent="0.35">
      <c r="A4444" s="2">
        <v>44256</v>
      </c>
      <c r="B4444" s="1">
        <v>0</v>
      </c>
      <c r="C4444" t="s">
        <v>5480</v>
      </c>
      <c r="D4444" t="s">
        <v>5103</v>
      </c>
      <c r="E4444" t="s">
        <v>5328</v>
      </c>
      <c r="F4444" t="s">
        <v>5050</v>
      </c>
      <c r="G4444" t="s">
        <v>5177</v>
      </c>
      <c r="H4444" t="s">
        <v>599</v>
      </c>
      <c r="J4444" s="2">
        <v>44256</v>
      </c>
      <c r="K4444">
        <v>172.5</v>
      </c>
    </row>
    <row r="4445" spans="1:11" x14ac:dyDescent="0.35">
      <c r="A4445" s="2">
        <v>44257</v>
      </c>
      <c r="B4445" s="1">
        <v>0</v>
      </c>
      <c r="C4445" t="s">
        <v>5650</v>
      </c>
      <c r="D4445" t="s">
        <v>5090</v>
      </c>
      <c r="E4445" t="s">
        <v>5061</v>
      </c>
      <c r="F4445" t="s">
        <v>5078</v>
      </c>
      <c r="G4445" t="s">
        <v>5207</v>
      </c>
      <c r="H4445" t="s">
        <v>4035</v>
      </c>
      <c r="J4445" s="2">
        <v>44257</v>
      </c>
      <c r="K4445">
        <v>179.9</v>
      </c>
    </row>
    <row r="4446" spans="1:11" x14ac:dyDescent="0.35">
      <c r="A4446" s="2">
        <v>44258</v>
      </c>
      <c r="B4446" s="1">
        <v>0</v>
      </c>
      <c r="C4446" t="s">
        <v>452</v>
      </c>
      <c r="D4446" t="s">
        <v>5528</v>
      </c>
      <c r="E4446" t="s">
        <v>5073</v>
      </c>
      <c r="F4446" t="s">
        <v>5078</v>
      </c>
      <c r="G4446" t="s">
        <v>5230</v>
      </c>
      <c r="H4446" t="s">
        <v>2365</v>
      </c>
      <c r="J4446" s="2">
        <v>44258</v>
      </c>
      <c r="K4446">
        <v>193.8</v>
      </c>
    </row>
    <row r="4447" spans="1:11" x14ac:dyDescent="0.35">
      <c r="A4447" s="2">
        <v>44259</v>
      </c>
      <c r="B4447" s="1">
        <v>0</v>
      </c>
      <c r="C4447" t="s">
        <v>2272</v>
      </c>
      <c r="D4447" t="s">
        <v>5487</v>
      </c>
      <c r="E4447" t="s">
        <v>5175</v>
      </c>
      <c r="F4447" t="s">
        <v>5215</v>
      </c>
      <c r="G4447" t="s">
        <v>5054</v>
      </c>
      <c r="H4447" t="s">
        <v>617</v>
      </c>
      <c r="J4447" s="2">
        <v>44259</v>
      </c>
      <c r="K4447">
        <v>217.4</v>
      </c>
    </row>
    <row r="4448" spans="1:11" x14ac:dyDescent="0.35">
      <c r="A4448" s="2">
        <v>44260</v>
      </c>
      <c r="B4448" s="1">
        <v>0</v>
      </c>
      <c r="C4448" t="s">
        <v>3179</v>
      </c>
      <c r="D4448" t="s">
        <v>5112</v>
      </c>
      <c r="E4448" t="s">
        <v>5160</v>
      </c>
      <c r="F4448" t="s">
        <v>5215</v>
      </c>
      <c r="G4448" t="s">
        <v>5475</v>
      </c>
      <c r="H4448" t="s">
        <v>4487</v>
      </c>
      <c r="J4448" s="2">
        <v>44260</v>
      </c>
      <c r="K4448">
        <v>233.3</v>
      </c>
    </row>
    <row r="4449" spans="1:11" x14ac:dyDescent="0.35">
      <c r="A4449" s="2">
        <v>44261</v>
      </c>
      <c r="B4449" s="1">
        <v>0</v>
      </c>
      <c r="C4449" t="s">
        <v>308</v>
      </c>
      <c r="D4449" t="s">
        <v>5476</v>
      </c>
      <c r="E4449" t="s">
        <v>5434</v>
      </c>
      <c r="F4449" t="s">
        <v>5215</v>
      </c>
      <c r="G4449" t="s">
        <v>5215</v>
      </c>
      <c r="H4449" t="s">
        <v>5736</v>
      </c>
      <c r="J4449" s="2">
        <v>44261</v>
      </c>
      <c r="K4449">
        <v>237.2</v>
      </c>
    </row>
    <row r="4450" spans="1:11" x14ac:dyDescent="0.35">
      <c r="A4450" s="2">
        <v>44262</v>
      </c>
      <c r="B4450" s="1">
        <v>0</v>
      </c>
      <c r="C4450" t="s">
        <v>2279</v>
      </c>
      <c r="D4450" t="s">
        <v>5542</v>
      </c>
      <c r="E4450" t="s">
        <v>5249</v>
      </c>
      <c r="F4450" t="s">
        <v>5215</v>
      </c>
      <c r="G4450" t="s">
        <v>5095</v>
      </c>
      <c r="H4450" t="s">
        <v>3645</v>
      </c>
      <c r="J4450" s="2">
        <v>44262</v>
      </c>
      <c r="K4450">
        <v>242.5</v>
      </c>
    </row>
    <row r="4451" spans="1:11" x14ac:dyDescent="0.35">
      <c r="A4451" s="2">
        <v>44263</v>
      </c>
      <c r="B4451" s="1">
        <v>0</v>
      </c>
      <c r="C4451" t="s">
        <v>1460</v>
      </c>
      <c r="D4451" t="s">
        <v>5613</v>
      </c>
      <c r="E4451" t="s">
        <v>5239</v>
      </c>
      <c r="F4451" t="s">
        <v>5215</v>
      </c>
      <c r="G4451" t="s">
        <v>5082</v>
      </c>
      <c r="H4451" t="s">
        <v>5763</v>
      </c>
      <c r="J4451" s="2">
        <v>44263</v>
      </c>
      <c r="K4451">
        <v>247.8</v>
      </c>
    </row>
    <row r="4452" spans="1:11" x14ac:dyDescent="0.35">
      <c r="A4452" s="2">
        <v>44264</v>
      </c>
      <c r="B4452" s="1">
        <v>0</v>
      </c>
      <c r="C4452" t="s">
        <v>3235</v>
      </c>
      <c r="D4452" t="s">
        <v>5612</v>
      </c>
      <c r="E4452" t="s">
        <v>5304</v>
      </c>
      <c r="F4452" t="s">
        <v>5215</v>
      </c>
      <c r="G4452" t="s">
        <v>5110</v>
      </c>
      <c r="H4452" t="s">
        <v>5801</v>
      </c>
      <c r="J4452" s="2">
        <v>44264</v>
      </c>
      <c r="K4452">
        <v>251.8</v>
      </c>
    </row>
    <row r="4453" spans="1:11" x14ac:dyDescent="0.35">
      <c r="A4453" s="2">
        <v>44265</v>
      </c>
      <c r="B4453" s="1">
        <v>0</v>
      </c>
      <c r="C4453" t="s">
        <v>5600</v>
      </c>
      <c r="D4453" t="s">
        <v>5509</v>
      </c>
      <c r="E4453" t="s">
        <v>5160</v>
      </c>
      <c r="F4453" t="s">
        <v>5215</v>
      </c>
      <c r="G4453" t="s">
        <v>5095</v>
      </c>
      <c r="H4453" t="s">
        <v>5694</v>
      </c>
      <c r="J4453" s="2">
        <v>44265</v>
      </c>
      <c r="K4453">
        <v>235.2</v>
      </c>
    </row>
    <row r="4454" spans="1:11" x14ac:dyDescent="0.35">
      <c r="A4454" s="2">
        <v>44266</v>
      </c>
      <c r="B4454" s="1">
        <v>0</v>
      </c>
      <c r="C4454" t="s">
        <v>1483</v>
      </c>
      <c r="D4454" t="s">
        <v>5280</v>
      </c>
      <c r="E4454" t="s">
        <v>5055</v>
      </c>
      <c r="F4454" t="s">
        <v>5215</v>
      </c>
      <c r="G4454" t="s">
        <v>5062</v>
      </c>
      <c r="H4454" t="s">
        <v>5720</v>
      </c>
      <c r="J4454" s="2">
        <v>44266</v>
      </c>
      <c r="K4454">
        <v>207.7</v>
      </c>
    </row>
    <row r="4455" spans="1:11" x14ac:dyDescent="0.35">
      <c r="A4455" s="2">
        <v>44267</v>
      </c>
      <c r="B4455" s="1">
        <v>0</v>
      </c>
      <c r="C4455" t="s">
        <v>1024</v>
      </c>
      <c r="D4455" t="s">
        <v>5108</v>
      </c>
      <c r="E4455" t="s">
        <v>5301</v>
      </c>
      <c r="F4455" t="s">
        <v>5078</v>
      </c>
      <c r="G4455" t="s">
        <v>5046</v>
      </c>
      <c r="H4455" t="s">
        <v>1987</v>
      </c>
      <c r="J4455" s="2">
        <v>44267</v>
      </c>
      <c r="K4455">
        <v>182.4</v>
      </c>
    </row>
    <row r="4456" spans="1:11" x14ac:dyDescent="0.35">
      <c r="A4456" s="2">
        <v>44268</v>
      </c>
      <c r="B4456" s="1">
        <v>0</v>
      </c>
      <c r="C4456" t="s">
        <v>5640</v>
      </c>
      <c r="D4456" t="s">
        <v>5448</v>
      </c>
      <c r="E4456" t="s">
        <v>5545</v>
      </c>
      <c r="F4456" t="s">
        <v>5078</v>
      </c>
      <c r="G4456" t="s">
        <v>5172</v>
      </c>
      <c r="H4456" t="s">
        <v>96</v>
      </c>
      <c r="J4456" s="2">
        <v>44268</v>
      </c>
      <c r="K4456">
        <v>168.6</v>
      </c>
    </row>
    <row r="4457" spans="1:11" x14ac:dyDescent="0.35">
      <c r="A4457" s="2">
        <v>44269</v>
      </c>
      <c r="B4457" s="1">
        <v>0</v>
      </c>
      <c r="C4457" t="s">
        <v>5406</v>
      </c>
      <c r="D4457" t="s">
        <v>5102</v>
      </c>
      <c r="E4457" t="s">
        <v>5546</v>
      </c>
      <c r="F4457" t="s">
        <v>5078</v>
      </c>
      <c r="G4457" t="s">
        <v>5230</v>
      </c>
      <c r="H4457" t="s">
        <v>580</v>
      </c>
      <c r="J4457" s="2">
        <v>44269</v>
      </c>
      <c r="K4457">
        <v>170.2</v>
      </c>
    </row>
    <row r="4458" spans="1:11" x14ac:dyDescent="0.35">
      <c r="A4458" s="2">
        <v>44270</v>
      </c>
      <c r="B4458" s="1">
        <v>0</v>
      </c>
      <c r="C4458" t="s">
        <v>1878</v>
      </c>
      <c r="D4458" t="s">
        <v>5081</v>
      </c>
      <c r="E4458" t="s">
        <v>5545</v>
      </c>
      <c r="F4458" t="s">
        <v>5078</v>
      </c>
      <c r="G4458" t="s">
        <v>5054</v>
      </c>
      <c r="H4458" t="s">
        <v>721</v>
      </c>
      <c r="J4458" s="2">
        <v>44270</v>
      </c>
      <c r="K4458">
        <v>177.5</v>
      </c>
    </row>
    <row r="4459" spans="1:11" x14ac:dyDescent="0.35">
      <c r="A4459" s="2">
        <v>44271</v>
      </c>
      <c r="B4459" s="1">
        <v>0</v>
      </c>
      <c r="C4459" t="s">
        <v>2916</v>
      </c>
      <c r="D4459" t="s">
        <v>5453</v>
      </c>
      <c r="E4459" t="s">
        <v>5623</v>
      </c>
      <c r="F4459" t="s">
        <v>5078</v>
      </c>
      <c r="G4459" t="s">
        <v>5058</v>
      </c>
      <c r="H4459" t="s">
        <v>1599</v>
      </c>
      <c r="J4459" s="2">
        <v>44271</v>
      </c>
      <c r="K4459">
        <v>185.3</v>
      </c>
    </row>
    <row r="4460" spans="1:11" x14ac:dyDescent="0.35">
      <c r="A4460" s="2">
        <v>44272</v>
      </c>
      <c r="B4460" s="1">
        <v>0</v>
      </c>
      <c r="C4460" t="s">
        <v>1916</v>
      </c>
      <c r="D4460" t="s">
        <v>5157</v>
      </c>
      <c r="E4460" t="s">
        <v>5301</v>
      </c>
      <c r="F4460" t="s">
        <v>5078</v>
      </c>
      <c r="G4460" t="s">
        <v>5054</v>
      </c>
      <c r="H4460" t="s">
        <v>1333</v>
      </c>
      <c r="J4460" s="2">
        <v>44272</v>
      </c>
      <c r="K4460">
        <v>192.7</v>
      </c>
    </row>
    <row r="4461" spans="1:11" x14ac:dyDescent="0.35">
      <c r="A4461" s="2">
        <v>44273</v>
      </c>
      <c r="B4461" s="1">
        <v>0</v>
      </c>
      <c r="C4461" t="s">
        <v>984</v>
      </c>
      <c r="D4461" t="s">
        <v>5151</v>
      </c>
      <c r="E4461" t="s">
        <v>5185</v>
      </c>
      <c r="F4461" t="s">
        <v>5078</v>
      </c>
      <c r="G4461" t="s">
        <v>5050</v>
      </c>
      <c r="H4461" t="s">
        <v>3010</v>
      </c>
      <c r="J4461" s="2">
        <v>44273</v>
      </c>
      <c r="K4461">
        <v>199.3</v>
      </c>
    </row>
    <row r="4462" spans="1:11" x14ac:dyDescent="0.35">
      <c r="A4462" s="2">
        <v>44274</v>
      </c>
      <c r="B4462" s="1">
        <v>0</v>
      </c>
      <c r="C4462" t="s">
        <v>1483</v>
      </c>
      <c r="D4462" t="s">
        <v>5133</v>
      </c>
      <c r="E4462" t="s">
        <v>5313</v>
      </c>
      <c r="F4462" t="s">
        <v>5078</v>
      </c>
      <c r="G4462" t="s">
        <v>5050</v>
      </c>
      <c r="H4462" t="s">
        <v>754</v>
      </c>
      <c r="J4462" s="2">
        <v>44274</v>
      </c>
      <c r="K4462">
        <v>203.4</v>
      </c>
    </row>
    <row r="4463" spans="1:11" x14ac:dyDescent="0.35">
      <c r="A4463" s="2">
        <v>44275</v>
      </c>
      <c r="B4463" s="1">
        <v>0</v>
      </c>
      <c r="C4463" t="s">
        <v>980</v>
      </c>
      <c r="D4463" t="s">
        <v>5220</v>
      </c>
      <c r="E4463" t="s">
        <v>5313</v>
      </c>
      <c r="F4463" t="s">
        <v>5215</v>
      </c>
      <c r="G4463" t="s">
        <v>5240</v>
      </c>
      <c r="H4463" t="s">
        <v>2398</v>
      </c>
      <c r="J4463" s="2">
        <v>44275</v>
      </c>
      <c r="K4463">
        <v>204.3</v>
      </c>
    </row>
    <row r="4464" spans="1:11" x14ac:dyDescent="0.35">
      <c r="A4464" s="2">
        <v>44276</v>
      </c>
      <c r="B4464" s="1">
        <v>0</v>
      </c>
      <c r="C4464" t="s">
        <v>2264</v>
      </c>
      <c r="D4464" t="s">
        <v>5133</v>
      </c>
      <c r="E4464" t="s">
        <v>5169</v>
      </c>
      <c r="F4464" t="s">
        <v>5215</v>
      </c>
      <c r="G4464" t="s">
        <v>5062</v>
      </c>
      <c r="H4464" t="s">
        <v>940</v>
      </c>
      <c r="J4464" s="2">
        <v>44276</v>
      </c>
      <c r="K4464">
        <v>208.7</v>
      </c>
    </row>
    <row r="4465" spans="1:11" x14ac:dyDescent="0.35">
      <c r="A4465" s="2">
        <v>44277</v>
      </c>
      <c r="B4465" s="1">
        <v>0</v>
      </c>
      <c r="C4465" t="s">
        <v>2883</v>
      </c>
      <c r="D4465" t="s">
        <v>5596</v>
      </c>
      <c r="E4465" t="s">
        <v>5056</v>
      </c>
      <c r="F4465" t="s">
        <v>5215</v>
      </c>
      <c r="G4465" t="s">
        <v>5078</v>
      </c>
      <c r="H4465" t="s">
        <v>2729</v>
      </c>
      <c r="J4465" s="2">
        <v>44277</v>
      </c>
      <c r="K4465">
        <v>214.5</v>
      </c>
    </row>
    <row r="4466" spans="1:11" x14ac:dyDescent="0.35">
      <c r="A4466" s="2">
        <v>44278</v>
      </c>
      <c r="B4466" s="1">
        <v>0</v>
      </c>
      <c r="C4466" t="s">
        <v>2276</v>
      </c>
      <c r="D4466" t="s">
        <v>5391</v>
      </c>
      <c r="E4466" t="s">
        <v>5175</v>
      </c>
      <c r="F4466" t="s">
        <v>5215</v>
      </c>
      <c r="G4466" t="s">
        <v>5099</v>
      </c>
      <c r="H4466" t="s">
        <v>3605</v>
      </c>
      <c r="J4466" s="2">
        <v>44278</v>
      </c>
      <c r="K4466">
        <v>219.4</v>
      </c>
    </row>
    <row r="4467" spans="1:11" x14ac:dyDescent="0.35">
      <c r="A4467" s="2">
        <v>44279</v>
      </c>
      <c r="B4467" s="1">
        <v>0</v>
      </c>
      <c r="C4467" t="s">
        <v>1865</v>
      </c>
      <c r="D4467" t="s">
        <v>5447</v>
      </c>
      <c r="E4467" t="s">
        <v>5237</v>
      </c>
      <c r="F4467" t="s">
        <v>5215</v>
      </c>
      <c r="G4467" t="s">
        <v>5215</v>
      </c>
      <c r="H4467" t="s">
        <v>2696</v>
      </c>
      <c r="J4467" s="2">
        <v>44279</v>
      </c>
      <c r="K4467">
        <v>216.4</v>
      </c>
    </row>
    <row r="4468" spans="1:11" x14ac:dyDescent="0.35">
      <c r="A4468" s="2">
        <v>44280</v>
      </c>
      <c r="B4468" s="1">
        <v>0</v>
      </c>
      <c r="C4468" t="s">
        <v>1537</v>
      </c>
      <c r="D4468" t="s">
        <v>5220</v>
      </c>
      <c r="E4468" t="s">
        <v>5431</v>
      </c>
      <c r="F4468" t="s">
        <v>5215</v>
      </c>
      <c r="G4468" t="s">
        <v>5065</v>
      </c>
      <c r="H4468" t="s">
        <v>727</v>
      </c>
      <c r="J4468" s="2">
        <v>44280</v>
      </c>
      <c r="K4468">
        <v>206.9</v>
      </c>
    </row>
    <row r="4469" spans="1:11" x14ac:dyDescent="0.35">
      <c r="A4469" s="2">
        <v>44281</v>
      </c>
      <c r="B4469" s="1">
        <v>0</v>
      </c>
      <c r="C4469" t="s">
        <v>1534</v>
      </c>
      <c r="D4469" t="s">
        <v>5103</v>
      </c>
      <c r="E4469" t="s">
        <v>5420</v>
      </c>
      <c r="F4469" t="s">
        <v>5078</v>
      </c>
      <c r="G4469" t="s">
        <v>5179</v>
      </c>
      <c r="H4469" t="s">
        <v>3983</v>
      </c>
      <c r="J4469" s="2">
        <v>44281</v>
      </c>
      <c r="K4469">
        <v>195.5</v>
      </c>
    </row>
    <row r="4470" spans="1:11" x14ac:dyDescent="0.35">
      <c r="A4470" s="2">
        <v>44282</v>
      </c>
      <c r="B4470" s="1">
        <v>0</v>
      </c>
      <c r="C4470" t="s">
        <v>1878</v>
      </c>
      <c r="D4470" t="s">
        <v>5203</v>
      </c>
      <c r="E4470" t="s">
        <v>5570</v>
      </c>
      <c r="F4470" t="s">
        <v>5078</v>
      </c>
      <c r="G4470" t="s">
        <v>5046</v>
      </c>
      <c r="H4470" t="s">
        <v>1216</v>
      </c>
      <c r="J4470" s="2">
        <v>44282</v>
      </c>
      <c r="K4470">
        <v>182.6</v>
      </c>
    </row>
    <row r="4471" spans="1:11" x14ac:dyDescent="0.35">
      <c r="A4471" s="2">
        <v>44283</v>
      </c>
      <c r="B4471" s="1">
        <v>0</v>
      </c>
      <c r="C4471" t="s">
        <v>5261</v>
      </c>
      <c r="D4471" t="s">
        <v>5453</v>
      </c>
      <c r="E4471" t="s">
        <v>5568</v>
      </c>
      <c r="F4471" t="s">
        <v>5078</v>
      </c>
      <c r="G4471" t="s">
        <v>5222</v>
      </c>
      <c r="H4471" t="s">
        <v>2455</v>
      </c>
      <c r="J4471" s="2">
        <v>44283</v>
      </c>
      <c r="K4471">
        <v>173.2</v>
      </c>
    </row>
    <row r="4472" spans="1:11" x14ac:dyDescent="0.35">
      <c r="A4472" s="2">
        <v>44284</v>
      </c>
      <c r="B4472" s="1">
        <v>0</v>
      </c>
      <c r="C4472" t="s">
        <v>5631</v>
      </c>
      <c r="D4472" t="s">
        <v>5145</v>
      </c>
      <c r="E4472" t="s">
        <v>5283</v>
      </c>
      <c r="F4472" t="s">
        <v>5078</v>
      </c>
      <c r="G4472" t="s">
        <v>5172</v>
      </c>
      <c r="H4472" t="s">
        <v>83</v>
      </c>
      <c r="J4472" s="2">
        <v>44284</v>
      </c>
      <c r="K4472">
        <v>174.3</v>
      </c>
    </row>
    <row r="4473" spans="1:11" x14ac:dyDescent="0.35">
      <c r="A4473" s="2">
        <v>44285</v>
      </c>
      <c r="B4473" s="1">
        <v>0</v>
      </c>
      <c r="C4473" t="s">
        <v>2237</v>
      </c>
      <c r="D4473" t="s">
        <v>5464</v>
      </c>
      <c r="E4473" t="s">
        <v>5303</v>
      </c>
      <c r="F4473" t="s">
        <v>5078</v>
      </c>
      <c r="G4473" t="s">
        <v>5230</v>
      </c>
      <c r="H4473" t="s">
        <v>198</v>
      </c>
      <c r="J4473" s="2">
        <v>44285</v>
      </c>
      <c r="K4473">
        <v>187</v>
      </c>
    </row>
    <row r="4474" spans="1:11" x14ac:dyDescent="0.35">
      <c r="A4474" s="2">
        <v>44286</v>
      </c>
      <c r="B4474" s="1">
        <v>0</v>
      </c>
      <c r="C4474" t="s">
        <v>2604</v>
      </c>
      <c r="D4474" t="s">
        <v>5533</v>
      </c>
      <c r="E4474" t="s">
        <v>5056</v>
      </c>
      <c r="F4474" t="s">
        <v>5215</v>
      </c>
      <c r="G4474" t="s">
        <v>5046</v>
      </c>
      <c r="H4474" t="s">
        <v>689</v>
      </c>
      <c r="J4474" s="2">
        <v>44286</v>
      </c>
      <c r="K4474">
        <v>198.5</v>
      </c>
    </row>
    <row r="4475" spans="1:11" x14ac:dyDescent="0.35">
      <c r="A4475" t="s">
        <v>4578</v>
      </c>
      <c r="B4475" s="1">
        <v>0</v>
      </c>
      <c r="C4475" t="s">
        <v>363</v>
      </c>
      <c r="D4475" t="s">
        <v>5486</v>
      </c>
      <c r="E4475" t="s">
        <v>5221</v>
      </c>
      <c r="F4475" t="s">
        <v>5215</v>
      </c>
      <c r="G4475" t="s">
        <v>5050</v>
      </c>
      <c r="H4475" t="s">
        <v>613</v>
      </c>
      <c r="J4475" t="s">
        <v>4578</v>
      </c>
      <c r="K4475">
        <v>205</v>
      </c>
    </row>
    <row r="4476" spans="1:11" x14ac:dyDescent="0.35">
      <c r="A4476" t="s">
        <v>4579</v>
      </c>
      <c r="B4476" s="1">
        <v>0</v>
      </c>
      <c r="C4476" t="s">
        <v>366</v>
      </c>
      <c r="D4476" t="s">
        <v>5491</v>
      </c>
      <c r="E4476" t="s">
        <v>5060</v>
      </c>
      <c r="F4476" t="s">
        <v>5089</v>
      </c>
      <c r="G4476" t="s">
        <v>5046</v>
      </c>
      <c r="H4476" t="s">
        <v>3882</v>
      </c>
      <c r="J4476" t="s">
        <v>4579</v>
      </c>
      <c r="K4476">
        <v>214.7</v>
      </c>
    </row>
    <row r="4477" spans="1:11" x14ac:dyDescent="0.35">
      <c r="A4477" t="s">
        <v>4580</v>
      </c>
      <c r="B4477" s="1">
        <v>0</v>
      </c>
      <c r="C4477" t="s">
        <v>1534</v>
      </c>
      <c r="D4477" t="s">
        <v>5521</v>
      </c>
      <c r="E4477" t="s">
        <v>5239</v>
      </c>
      <c r="F4477" t="s">
        <v>5077</v>
      </c>
      <c r="G4477" t="s">
        <v>5174</v>
      </c>
      <c r="H4477" t="s">
        <v>2343</v>
      </c>
      <c r="J4477" t="s">
        <v>4580</v>
      </c>
      <c r="K4477">
        <v>214.6</v>
      </c>
    </row>
    <row r="4478" spans="1:11" x14ac:dyDescent="0.35">
      <c r="A4478" t="s">
        <v>4581</v>
      </c>
      <c r="B4478" s="1">
        <v>0</v>
      </c>
      <c r="C4478" t="s">
        <v>467</v>
      </c>
      <c r="D4478" t="s">
        <v>5523</v>
      </c>
      <c r="E4478" t="s">
        <v>5182</v>
      </c>
      <c r="F4478" t="s">
        <v>5077</v>
      </c>
      <c r="G4478" t="s">
        <v>5230</v>
      </c>
      <c r="H4478" t="s">
        <v>1694</v>
      </c>
      <c r="J4478" t="s">
        <v>4581</v>
      </c>
      <c r="K4478">
        <v>213.6</v>
      </c>
    </row>
    <row r="4479" spans="1:11" x14ac:dyDescent="0.35">
      <c r="A4479" t="s">
        <v>4582</v>
      </c>
      <c r="B4479" s="1">
        <v>0</v>
      </c>
      <c r="C4479" t="s">
        <v>1916</v>
      </c>
      <c r="D4479" t="s">
        <v>5602</v>
      </c>
      <c r="E4479" t="s">
        <v>5270</v>
      </c>
      <c r="F4479" t="s">
        <v>5077</v>
      </c>
      <c r="G4479" t="s">
        <v>5174</v>
      </c>
      <c r="H4479" t="s">
        <v>2696</v>
      </c>
      <c r="J4479" t="s">
        <v>4582</v>
      </c>
      <c r="K4479">
        <v>216.4</v>
      </c>
    </row>
    <row r="4480" spans="1:11" x14ac:dyDescent="0.35">
      <c r="A4480" t="s">
        <v>4583</v>
      </c>
      <c r="B4480" s="1">
        <v>0</v>
      </c>
      <c r="C4480" t="s">
        <v>336</v>
      </c>
      <c r="D4480" t="s">
        <v>5128</v>
      </c>
      <c r="E4480" t="s">
        <v>5123</v>
      </c>
      <c r="F4480" t="s">
        <v>5089</v>
      </c>
      <c r="G4480" t="s">
        <v>5054</v>
      </c>
      <c r="H4480" t="s">
        <v>3639</v>
      </c>
      <c r="J4480" t="s">
        <v>4583</v>
      </c>
      <c r="K4480">
        <v>223.5</v>
      </c>
    </row>
    <row r="4481" spans="1:11" x14ac:dyDescent="0.35">
      <c r="A4481" t="s">
        <v>4584</v>
      </c>
      <c r="B4481" s="1">
        <v>0</v>
      </c>
      <c r="C4481" t="s">
        <v>2271</v>
      </c>
      <c r="D4481" t="s">
        <v>5495</v>
      </c>
      <c r="E4481" t="s">
        <v>5081</v>
      </c>
      <c r="F4481" t="s">
        <v>5089</v>
      </c>
      <c r="G4481" t="s">
        <v>5065</v>
      </c>
      <c r="H4481" t="s">
        <v>1659</v>
      </c>
      <c r="J4481" t="s">
        <v>4584</v>
      </c>
      <c r="K4481">
        <v>228.4</v>
      </c>
    </row>
    <row r="4482" spans="1:11" x14ac:dyDescent="0.35">
      <c r="A4482" t="s">
        <v>4585</v>
      </c>
      <c r="B4482" s="1">
        <v>0</v>
      </c>
      <c r="C4482" t="s">
        <v>5335</v>
      </c>
      <c r="D4482" t="s">
        <v>5583</v>
      </c>
      <c r="E4482" t="s">
        <v>5165</v>
      </c>
      <c r="F4482" t="s">
        <v>5089</v>
      </c>
      <c r="G4482" t="s">
        <v>5183</v>
      </c>
      <c r="H4482" t="s">
        <v>2029</v>
      </c>
      <c r="J4482" t="s">
        <v>4585</v>
      </c>
      <c r="K4482">
        <v>229.1</v>
      </c>
    </row>
    <row r="4483" spans="1:11" x14ac:dyDescent="0.35">
      <c r="A4483" t="s">
        <v>4586</v>
      </c>
      <c r="B4483" s="1">
        <v>0</v>
      </c>
      <c r="C4483" t="s">
        <v>2880</v>
      </c>
      <c r="D4483" t="s">
        <v>5573</v>
      </c>
      <c r="E4483" t="s">
        <v>5434</v>
      </c>
      <c r="F4483" t="s">
        <v>5089</v>
      </c>
      <c r="G4483" t="s">
        <v>5078</v>
      </c>
      <c r="H4483" t="s">
        <v>4470</v>
      </c>
      <c r="J4483" t="s">
        <v>4586</v>
      </c>
      <c r="K4483">
        <v>225.9</v>
      </c>
    </row>
    <row r="4484" spans="1:11" x14ac:dyDescent="0.35">
      <c r="A4484" t="s">
        <v>4587</v>
      </c>
      <c r="B4484" s="1">
        <v>0</v>
      </c>
      <c r="C4484" t="s">
        <v>1536</v>
      </c>
      <c r="D4484" t="s">
        <v>5238</v>
      </c>
      <c r="E4484" t="s">
        <v>5176</v>
      </c>
      <c r="F4484" t="s">
        <v>5077</v>
      </c>
      <c r="G4484" t="s">
        <v>5062</v>
      </c>
      <c r="H4484" t="s">
        <v>3163</v>
      </c>
      <c r="J4484" t="s">
        <v>4587</v>
      </c>
      <c r="K4484">
        <v>212.9</v>
      </c>
    </row>
    <row r="4485" spans="1:11" x14ac:dyDescent="0.35">
      <c r="A4485" t="s">
        <v>4588</v>
      </c>
      <c r="B4485" s="1">
        <v>0</v>
      </c>
      <c r="C4485" t="s">
        <v>4381</v>
      </c>
      <c r="D4485" t="s">
        <v>5252</v>
      </c>
      <c r="E4485" t="s">
        <v>5431</v>
      </c>
      <c r="F4485" t="s">
        <v>5077</v>
      </c>
      <c r="G4485" t="s">
        <v>5054</v>
      </c>
      <c r="H4485" t="s">
        <v>3611</v>
      </c>
      <c r="J4485" t="s">
        <v>4588</v>
      </c>
      <c r="K4485">
        <v>197.8</v>
      </c>
    </row>
    <row r="4486" spans="1:11" x14ac:dyDescent="0.35">
      <c r="A4486" t="s">
        <v>4589</v>
      </c>
      <c r="B4486" s="1">
        <v>0</v>
      </c>
      <c r="C4486" t="s">
        <v>1874</v>
      </c>
      <c r="D4486" t="s">
        <v>5127</v>
      </c>
      <c r="E4486" t="s">
        <v>5313</v>
      </c>
      <c r="F4486" t="s">
        <v>5077</v>
      </c>
      <c r="G4486" t="s">
        <v>5046</v>
      </c>
      <c r="H4486" t="s">
        <v>1681</v>
      </c>
      <c r="J4486" t="s">
        <v>4589</v>
      </c>
      <c r="K4486">
        <v>186.4</v>
      </c>
    </row>
    <row r="4487" spans="1:11" x14ac:dyDescent="0.35">
      <c r="A4487" t="s">
        <v>4590</v>
      </c>
      <c r="B4487" s="1">
        <v>0</v>
      </c>
      <c r="C4487" t="s">
        <v>423</v>
      </c>
      <c r="D4487" t="s">
        <v>5154</v>
      </c>
      <c r="E4487" t="s">
        <v>5313</v>
      </c>
      <c r="F4487" t="s">
        <v>5077</v>
      </c>
      <c r="G4487" t="s">
        <v>5174</v>
      </c>
      <c r="H4487" t="s">
        <v>1987</v>
      </c>
      <c r="J4487" t="s">
        <v>4590</v>
      </c>
      <c r="K4487">
        <v>182.4</v>
      </c>
    </row>
    <row r="4488" spans="1:11" x14ac:dyDescent="0.35">
      <c r="A4488" t="s">
        <v>4591</v>
      </c>
      <c r="B4488" s="1">
        <v>0</v>
      </c>
      <c r="C4488" t="s">
        <v>423</v>
      </c>
      <c r="D4488" t="s">
        <v>5262</v>
      </c>
      <c r="E4488" t="s">
        <v>5310</v>
      </c>
      <c r="F4488" t="s">
        <v>5077</v>
      </c>
      <c r="G4488" t="s">
        <v>5046</v>
      </c>
      <c r="H4488" t="s">
        <v>3863</v>
      </c>
      <c r="J4488" t="s">
        <v>4591</v>
      </c>
      <c r="K4488">
        <v>185.6</v>
      </c>
    </row>
    <row r="4489" spans="1:11" x14ac:dyDescent="0.35">
      <c r="A4489" t="s">
        <v>4592</v>
      </c>
      <c r="B4489" s="1">
        <v>0</v>
      </c>
      <c r="C4489" t="s">
        <v>1035</v>
      </c>
      <c r="D4489" t="s">
        <v>5193</v>
      </c>
      <c r="E4489" t="s">
        <v>5176</v>
      </c>
      <c r="F4489" t="s">
        <v>5077</v>
      </c>
      <c r="G4489" t="s">
        <v>5240</v>
      </c>
      <c r="H4489" t="s">
        <v>2523</v>
      </c>
      <c r="J4489" t="s">
        <v>4592</v>
      </c>
      <c r="K4489">
        <v>191</v>
      </c>
    </row>
    <row r="4490" spans="1:11" x14ac:dyDescent="0.35">
      <c r="A4490" t="s">
        <v>4593</v>
      </c>
      <c r="B4490" s="1">
        <v>0</v>
      </c>
      <c r="C4490" t="s">
        <v>996</v>
      </c>
      <c r="D4490" t="s">
        <v>5370</v>
      </c>
      <c r="E4490" t="s">
        <v>5167</v>
      </c>
      <c r="F4490" t="s">
        <v>5077</v>
      </c>
      <c r="G4490" t="s">
        <v>5046</v>
      </c>
      <c r="H4490" t="s">
        <v>692</v>
      </c>
      <c r="J4490" t="s">
        <v>4593</v>
      </c>
      <c r="K4490">
        <v>190.6</v>
      </c>
    </row>
    <row r="4491" spans="1:11" x14ac:dyDescent="0.35">
      <c r="A4491" t="s">
        <v>4594</v>
      </c>
      <c r="B4491" s="1">
        <v>0</v>
      </c>
      <c r="C4491" t="s">
        <v>5651</v>
      </c>
      <c r="D4491" t="s">
        <v>5193</v>
      </c>
      <c r="E4491" t="s">
        <v>5204</v>
      </c>
      <c r="F4491" t="s">
        <v>5077</v>
      </c>
      <c r="G4491" t="s">
        <v>5222</v>
      </c>
      <c r="H4491" t="s">
        <v>1228</v>
      </c>
      <c r="J4491" t="s">
        <v>4594</v>
      </c>
      <c r="K4491">
        <v>182.8</v>
      </c>
    </row>
    <row r="4492" spans="1:11" x14ac:dyDescent="0.35">
      <c r="A4492" t="s">
        <v>4595</v>
      </c>
      <c r="B4492" s="1">
        <v>0</v>
      </c>
      <c r="C4492" t="s">
        <v>5607</v>
      </c>
      <c r="D4492" t="s">
        <v>5462</v>
      </c>
      <c r="E4492" t="s">
        <v>5064</v>
      </c>
      <c r="F4492" t="s">
        <v>5077</v>
      </c>
      <c r="G4492" t="s">
        <v>5227</v>
      </c>
      <c r="H4492" t="s">
        <v>925</v>
      </c>
      <c r="J4492" t="s">
        <v>4595</v>
      </c>
      <c r="K4492">
        <v>171.7</v>
      </c>
    </row>
    <row r="4493" spans="1:11" x14ac:dyDescent="0.35">
      <c r="A4493" t="s">
        <v>4596</v>
      </c>
      <c r="B4493" s="1">
        <v>0</v>
      </c>
      <c r="C4493" t="s">
        <v>5554</v>
      </c>
      <c r="D4493" t="s">
        <v>5141</v>
      </c>
      <c r="E4493" t="s">
        <v>5599</v>
      </c>
      <c r="F4493" t="s">
        <v>5077</v>
      </c>
      <c r="G4493" t="s">
        <v>5226</v>
      </c>
      <c r="H4493" t="s">
        <v>77</v>
      </c>
      <c r="J4493" t="s">
        <v>4596</v>
      </c>
      <c r="K4493">
        <v>160.4</v>
      </c>
    </row>
    <row r="4494" spans="1:11" x14ac:dyDescent="0.35">
      <c r="A4494" t="s">
        <v>4597</v>
      </c>
      <c r="B4494" s="1">
        <v>0</v>
      </c>
      <c r="C4494" t="s">
        <v>5575</v>
      </c>
      <c r="D4494" t="s">
        <v>5113</v>
      </c>
      <c r="E4494" t="s">
        <v>5568</v>
      </c>
      <c r="F4494" t="s">
        <v>5045</v>
      </c>
      <c r="G4494" t="s">
        <v>5288</v>
      </c>
      <c r="H4494" t="s">
        <v>111</v>
      </c>
      <c r="J4494" t="s">
        <v>4597</v>
      </c>
      <c r="K4494">
        <v>153.5</v>
      </c>
    </row>
    <row r="4495" spans="1:11" x14ac:dyDescent="0.35">
      <c r="A4495" t="s">
        <v>4598</v>
      </c>
      <c r="B4495" s="1">
        <v>0</v>
      </c>
      <c r="C4495" t="s">
        <v>5138</v>
      </c>
      <c r="D4495" t="s">
        <v>5304</v>
      </c>
      <c r="E4495" t="s">
        <v>5415</v>
      </c>
      <c r="F4495" t="s">
        <v>5045</v>
      </c>
      <c r="G4495" t="s">
        <v>5226</v>
      </c>
      <c r="H4495" t="s">
        <v>1156</v>
      </c>
      <c r="J4495" t="s">
        <v>4598</v>
      </c>
      <c r="K4495">
        <v>154.4</v>
      </c>
    </row>
    <row r="4496" spans="1:11" x14ac:dyDescent="0.35">
      <c r="A4496" t="s">
        <v>4599</v>
      </c>
      <c r="B4496" s="1">
        <v>0</v>
      </c>
      <c r="C4496" t="s">
        <v>5607</v>
      </c>
      <c r="D4496" t="s">
        <v>5257</v>
      </c>
      <c r="E4496" t="s">
        <v>5415</v>
      </c>
      <c r="F4496" t="s">
        <v>5077</v>
      </c>
      <c r="G4496" t="s">
        <v>5227</v>
      </c>
      <c r="H4496" t="s">
        <v>2135</v>
      </c>
      <c r="J4496" t="s">
        <v>4599</v>
      </c>
      <c r="K4496">
        <v>161.19999999999999</v>
      </c>
    </row>
    <row r="4497" spans="1:11" x14ac:dyDescent="0.35">
      <c r="A4497" t="s">
        <v>4600</v>
      </c>
      <c r="B4497" s="1">
        <v>0</v>
      </c>
      <c r="C4497" t="s">
        <v>5460</v>
      </c>
      <c r="D4497" t="s">
        <v>5067</v>
      </c>
      <c r="E4497" t="s">
        <v>5301</v>
      </c>
      <c r="F4497" t="s">
        <v>5077</v>
      </c>
      <c r="G4497" t="s">
        <v>5222</v>
      </c>
      <c r="H4497" t="s">
        <v>2202</v>
      </c>
      <c r="J4497" t="s">
        <v>4600</v>
      </c>
      <c r="K4497">
        <v>170.3</v>
      </c>
    </row>
    <row r="4498" spans="1:11" x14ac:dyDescent="0.35">
      <c r="A4498" t="s">
        <v>4601</v>
      </c>
      <c r="B4498" s="1">
        <v>0</v>
      </c>
      <c r="C4498" t="s">
        <v>386</v>
      </c>
      <c r="D4498" t="s">
        <v>5473</v>
      </c>
      <c r="E4498" t="s">
        <v>5185</v>
      </c>
      <c r="F4498" t="s">
        <v>5077</v>
      </c>
      <c r="G4498" t="s">
        <v>5046</v>
      </c>
      <c r="H4498" t="s">
        <v>3080</v>
      </c>
      <c r="J4498" t="s">
        <v>4601</v>
      </c>
      <c r="K4498">
        <v>182.9</v>
      </c>
    </row>
    <row r="4499" spans="1:11" x14ac:dyDescent="0.35">
      <c r="A4499" t="s">
        <v>4602</v>
      </c>
      <c r="B4499" s="1">
        <v>0</v>
      </c>
      <c r="C4499" t="s">
        <v>1522</v>
      </c>
      <c r="D4499" t="s">
        <v>5211</v>
      </c>
      <c r="E4499" t="s">
        <v>5310</v>
      </c>
      <c r="F4499" t="s">
        <v>5077</v>
      </c>
      <c r="G4499" t="s">
        <v>5179</v>
      </c>
      <c r="H4499" t="s">
        <v>5732</v>
      </c>
      <c r="J4499" t="s">
        <v>4602</v>
      </c>
      <c r="K4499">
        <v>200.4</v>
      </c>
    </row>
    <row r="4500" spans="1:11" x14ac:dyDescent="0.35">
      <c r="A4500" t="s">
        <v>4603</v>
      </c>
      <c r="B4500" s="1">
        <v>0</v>
      </c>
      <c r="C4500" t="s">
        <v>2264</v>
      </c>
      <c r="D4500" t="s">
        <v>5484</v>
      </c>
      <c r="E4500" t="s">
        <v>5059</v>
      </c>
      <c r="F4500" t="s">
        <v>5089</v>
      </c>
      <c r="G4500" t="s">
        <v>5058</v>
      </c>
      <c r="H4500" t="s">
        <v>4984</v>
      </c>
      <c r="J4500" t="s">
        <v>4603</v>
      </c>
      <c r="K4500">
        <v>216.9</v>
      </c>
    </row>
    <row r="4501" spans="1:11" x14ac:dyDescent="0.35">
      <c r="A4501" t="s">
        <v>4604</v>
      </c>
      <c r="B4501" s="1">
        <v>0</v>
      </c>
      <c r="C4501" t="s">
        <v>2272</v>
      </c>
      <c r="D4501" t="s">
        <v>5509</v>
      </c>
      <c r="E4501" t="s">
        <v>5239</v>
      </c>
      <c r="F4501" t="s">
        <v>5089</v>
      </c>
      <c r="G4501" t="s">
        <v>5179</v>
      </c>
      <c r="H4501" t="s">
        <v>5695</v>
      </c>
      <c r="J4501" t="s">
        <v>4604</v>
      </c>
      <c r="K4501">
        <v>226.2</v>
      </c>
    </row>
    <row r="4502" spans="1:11" x14ac:dyDescent="0.35">
      <c r="A4502" t="s">
        <v>4605</v>
      </c>
      <c r="B4502" s="1">
        <v>0</v>
      </c>
      <c r="C4502" t="s">
        <v>1473</v>
      </c>
      <c r="D4502" t="s">
        <v>5629</v>
      </c>
      <c r="E4502" t="s">
        <v>5213</v>
      </c>
      <c r="F4502" t="s">
        <v>5089</v>
      </c>
      <c r="G4502" t="s">
        <v>5240</v>
      </c>
      <c r="H4502" t="s">
        <v>3891</v>
      </c>
      <c r="J4502" t="s">
        <v>4605</v>
      </c>
      <c r="K4502">
        <v>232.5</v>
      </c>
    </row>
    <row r="4503" spans="1:11" x14ac:dyDescent="0.35">
      <c r="A4503" t="s">
        <v>4606</v>
      </c>
      <c r="B4503" s="1">
        <v>0</v>
      </c>
      <c r="C4503" t="s">
        <v>1543</v>
      </c>
      <c r="D4503" t="s">
        <v>5503</v>
      </c>
      <c r="E4503" t="s">
        <v>5067</v>
      </c>
      <c r="F4503" t="s">
        <v>5089</v>
      </c>
      <c r="G4503" t="s">
        <v>5050</v>
      </c>
      <c r="H4503" t="s">
        <v>1720</v>
      </c>
      <c r="J4503" t="s">
        <v>4606</v>
      </c>
      <c r="K4503">
        <v>236.7</v>
      </c>
    </row>
    <row r="4504" spans="1:11" x14ac:dyDescent="0.35">
      <c r="A4504" t="s">
        <v>4607</v>
      </c>
      <c r="B4504" s="1">
        <v>0</v>
      </c>
      <c r="C4504" t="s">
        <v>3178</v>
      </c>
      <c r="D4504" t="s">
        <v>5263</v>
      </c>
      <c r="E4504" t="s">
        <v>5118</v>
      </c>
      <c r="F4504" t="s">
        <v>5089</v>
      </c>
      <c r="G4504" t="s">
        <v>5054</v>
      </c>
      <c r="H4504" t="s">
        <v>5708</v>
      </c>
      <c r="J4504" t="s">
        <v>4607</v>
      </c>
      <c r="K4504">
        <v>253.2</v>
      </c>
    </row>
    <row r="4505" spans="1:11" x14ac:dyDescent="0.35">
      <c r="A4505" s="2">
        <v>44317</v>
      </c>
      <c r="B4505" s="1">
        <v>0</v>
      </c>
      <c r="C4505" t="s">
        <v>2301</v>
      </c>
      <c r="D4505" t="s">
        <v>435</v>
      </c>
      <c r="E4505" t="s">
        <v>5508</v>
      </c>
      <c r="F4505" t="s">
        <v>5358</v>
      </c>
      <c r="G4505" t="s">
        <v>5475</v>
      </c>
      <c r="H4505" s="13" t="s">
        <v>5841</v>
      </c>
      <c r="J4505" s="2">
        <v>44317</v>
      </c>
      <c r="K4505">
        <v>275.39999999999998</v>
      </c>
    </row>
    <row r="4506" spans="1:11" x14ac:dyDescent="0.35">
      <c r="A4506" s="2">
        <v>44318</v>
      </c>
      <c r="B4506" s="1">
        <v>0</v>
      </c>
      <c r="C4506" t="s">
        <v>1858</v>
      </c>
      <c r="D4506" t="s">
        <v>1878</v>
      </c>
      <c r="E4506" t="s">
        <v>5090</v>
      </c>
      <c r="F4506" t="s">
        <v>5358</v>
      </c>
      <c r="G4506" t="s">
        <v>5240</v>
      </c>
      <c r="H4506" s="13" t="s">
        <v>5860</v>
      </c>
      <c r="J4506" s="2">
        <v>44318</v>
      </c>
      <c r="K4506">
        <v>285.8</v>
      </c>
    </row>
    <row r="4507" spans="1:11" x14ac:dyDescent="0.35">
      <c r="A4507" s="2">
        <v>44319</v>
      </c>
      <c r="B4507" s="1">
        <v>0</v>
      </c>
      <c r="C4507" t="s">
        <v>962</v>
      </c>
      <c r="D4507" t="s">
        <v>1879</v>
      </c>
      <c r="E4507" t="s">
        <v>5438</v>
      </c>
      <c r="F4507" t="s">
        <v>5358</v>
      </c>
      <c r="G4507" t="s">
        <v>5240</v>
      </c>
      <c r="H4507" s="13" t="s">
        <v>5861</v>
      </c>
      <c r="J4507" s="2">
        <v>44319</v>
      </c>
      <c r="K4507">
        <v>281.8</v>
      </c>
    </row>
    <row r="4508" spans="1:11" x14ac:dyDescent="0.35">
      <c r="A4508" s="2">
        <v>44320</v>
      </c>
      <c r="B4508" s="1">
        <v>0</v>
      </c>
      <c r="C4508" t="s">
        <v>3461</v>
      </c>
      <c r="D4508" t="s">
        <v>1488</v>
      </c>
      <c r="E4508" t="s">
        <v>5505</v>
      </c>
      <c r="F4508" t="s">
        <v>5089</v>
      </c>
      <c r="G4508" t="s">
        <v>5050</v>
      </c>
      <c r="H4508" s="13" t="s">
        <v>5682</v>
      </c>
      <c r="J4508" s="2">
        <v>44320</v>
      </c>
      <c r="K4508">
        <v>267.60000000000002</v>
      </c>
    </row>
    <row r="4509" spans="1:11" x14ac:dyDescent="0.35">
      <c r="A4509" s="2">
        <v>44321</v>
      </c>
      <c r="B4509" s="1">
        <v>0</v>
      </c>
      <c r="C4509" t="s">
        <v>4609</v>
      </c>
      <c r="D4509" t="s">
        <v>5563</v>
      </c>
      <c r="E4509" t="s">
        <v>5141</v>
      </c>
      <c r="F4509" t="s">
        <v>5089</v>
      </c>
      <c r="G4509" t="s">
        <v>5046</v>
      </c>
      <c r="H4509" s="13" t="s">
        <v>5708</v>
      </c>
      <c r="J4509" s="2">
        <v>44321</v>
      </c>
      <c r="K4509">
        <v>253.2</v>
      </c>
    </row>
    <row r="4510" spans="1:11" x14ac:dyDescent="0.35">
      <c r="A4510" s="2">
        <v>44322</v>
      </c>
      <c r="B4510" s="1">
        <v>0</v>
      </c>
      <c r="C4510" t="s">
        <v>5601</v>
      </c>
      <c r="D4510" t="s">
        <v>5259</v>
      </c>
      <c r="E4510" t="s">
        <v>5113</v>
      </c>
      <c r="F4510" t="s">
        <v>5089</v>
      </c>
      <c r="G4510" t="s">
        <v>5230</v>
      </c>
      <c r="H4510" s="13" t="s">
        <v>5743</v>
      </c>
      <c r="J4510" s="2">
        <v>44322</v>
      </c>
      <c r="K4510">
        <v>234.2</v>
      </c>
    </row>
    <row r="4511" spans="1:11" x14ac:dyDescent="0.35">
      <c r="A4511" s="2">
        <v>44323</v>
      </c>
      <c r="B4511" s="1">
        <v>0</v>
      </c>
      <c r="C4511" t="s">
        <v>339</v>
      </c>
      <c r="D4511" t="s">
        <v>5558</v>
      </c>
      <c r="E4511" t="s">
        <v>5192</v>
      </c>
      <c r="F4511" t="s">
        <v>5089</v>
      </c>
      <c r="G4511" t="s">
        <v>5172</v>
      </c>
      <c r="H4511" s="13" t="s">
        <v>3605</v>
      </c>
      <c r="J4511" s="2">
        <v>44323</v>
      </c>
      <c r="K4511">
        <v>219.4</v>
      </c>
    </row>
    <row r="4512" spans="1:11" x14ac:dyDescent="0.35">
      <c r="A4512" s="2">
        <v>44324</v>
      </c>
      <c r="B4512" s="1">
        <v>0</v>
      </c>
      <c r="C4512" t="s">
        <v>333</v>
      </c>
      <c r="D4512" t="s">
        <v>5389</v>
      </c>
      <c r="E4512" t="s">
        <v>5162</v>
      </c>
      <c r="F4512" t="s">
        <v>5089</v>
      </c>
      <c r="G4512" t="s">
        <v>5224</v>
      </c>
      <c r="H4512" s="13" t="s">
        <v>1399</v>
      </c>
      <c r="J4512" s="2">
        <v>44324</v>
      </c>
      <c r="K4512">
        <v>209.7</v>
      </c>
    </row>
    <row r="4513" spans="1:11" x14ac:dyDescent="0.35">
      <c r="A4513" s="2">
        <v>44325</v>
      </c>
      <c r="B4513" s="1">
        <v>0</v>
      </c>
      <c r="C4513" t="s">
        <v>349</v>
      </c>
      <c r="D4513" t="s">
        <v>5518</v>
      </c>
      <c r="E4513" t="s">
        <v>5162</v>
      </c>
      <c r="F4513" t="s">
        <v>5089</v>
      </c>
      <c r="G4513" t="s">
        <v>5309</v>
      </c>
      <c r="H4513" s="13" t="s">
        <v>5696</v>
      </c>
      <c r="J4513" s="2">
        <v>44325</v>
      </c>
      <c r="K4513">
        <v>206.6</v>
      </c>
    </row>
    <row r="4514" spans="1:11" x14ac:dyDescent="0.35">
      <c r="A4514" s="2">
        <v>44326</v>
      </c>
      <c r="B4514" s="1">
        <v>0</v>
      </c>
      <c r="C4514" t="s">
        <v>1525</v>
      </c>
      <c r="D4514" t="s">
        <v>5248</v>
      </c>
      <c r="E4514" t="s">
        <v>5178</v>
      </c>
      <c r="F4514" t="s">
        <v>5089</v>
      </c>
      <c r="G4514" t="s">
        <v>5294</v>
      </c>
      <c r="H4514" s="13" t="s">
        <v>1685</v>
      </c>
      <c r="J4514" s="2">
        <v>44326</v>
      </c>
      <c r="K4514">
        <v>204.8</v>
      </c>
    </row>
    <row r="4515" spans="1:11" x14ac:dyDescent="0.35">
      <c r="A4515" s="2">
        <v>44327</v>
      </c>
      <c r="B4515" s="1">
        <v>0</v>
      </c>
      <c r="C4515" t="s">
        <v>2601</v>
      </c>
      <c r="D4515" t="s">
        <v>5484</v>
      </c>
      <c r="E4515" t="s">
        <v>5160</v>
      </c>
      <c r="F4515" t="s">
        <v>5089</v>
      </c>
      <c r="G4515" t="s">
        <v>5294</v>
      </c>
      <c r="H4515" t="s">
        <v>86</v>
      </c>
      <c r="J4515" s="2">
        <v>44327</v>
      </c>
      <c r="K4515">
        <v>199.7</v>
      </c>
    </row>
    <row r="4516" spans="1:11" x14ac:dyDescent="0.35">
      <c r="A4516" s="2">
        <v>44328</v>
      </c>
      <c r="B4516" s="1">
        <v>0</v>
      </c>
      <c r="C4516" t="s">
        <v>394</v>
      </c>
      <c r="D4516" t="s">
        <v>5534</v>
      </c>
      <c r="E4516" t="s">
        <v>5428</v>
      </c>
      <c r="F4516" t="s">
        <v>5077</v>
      </c>
      <c r="G4516" t="s">
        <v>5315</v>
      </c>
      <c r="H4516" t="s">
        <v>4267</v>
      </c>
      <c r="J4516" s="2">
        <v>44328</v>
      </c>
      <c r="K4516">
        <v>186.1</v>
      </c>
    </row>
    <row r="4517" spans="1:11" x14ac:dyDescent="0.35">
      <c r="A4517" s="2">
        <v>44329</v>
      </c>
      <c r="B4517" s="1">
        <v>0</v>
      </c>
      <c r="C4517" t="s">
        <v>5455</v>
      </c>
      <c r="D4517" t="s">
        <v>5137</v>
      </c>
      <c r="E4517" t="s">
        <v>5061</v>
      </c>
      <c r="F4517" t="s">
        <v>5077</v>
      </c>
      <c r="G4517" t="s">
        <v>5400</v>
      </c>
      <c r="H4517" t="s">
        <v>805</v>
      </c>
      <c r="J4517" s="2">
        <v>44329</v>
      </c>
      <c r="K4517">
        <v>169.5</v>
      </c>
    </row>
    <row r="4518" spans="1:11" x14ac:dyDescent="0.35">
      <c r="A4518" s="2">
        <v>44330</v>
      </c>
      <c r="B4518" s="1">
        <v>0</v>
      </c>
      <c r="C4518" t="s">
        <v>5122</v>
      </c>
      <c r="D4518" t="s">
        <v>5105</v>
      </c>
      <c r="E4518" t="s">
        <v>5525</v>
      </c>
      <c r="F4518" t="s">
        <v>5077</v>
      </c>
      <c r="G4518" t="s">
        <v>5140</v>
      </c>
      <c r="H4518" t="s">
        <v>178</v>
      </c>
      <c r="J4518" s="2">
        <v>44330</v>
      </c>
      <c r="K4518">
        <v>155</v>
      </c>
    </row>
    <row r="4519" spans="1:11" x14ac:dyDescent="0.35">
      <c r="A4519" s="2">
        <v>44331</v>
      </c>
      <c r="B4519" s="1">
        <v>0</v>
      </c>
      <c r="C4519" t="s">
        <v>5596</v>
      </c>
      <c r="D4519" t="s">
        <v>5221</v>
      </c>
      <c r="E4519" t="s">
        <v>5416</v>
      </c>
      <c r="F4519" t="s">
        <v>5045</v>
      </c>
      <c r="G4519" t="s">
        <v>5334</v>
      </c>
      <c r="H4519" t="s">
        <v>2166</v>
      </c>
      <c r="J4519" s="2">
        <v>44331</v>
      </c>
      <c r="K4519">
        <v>143.80000000000001</v>
      </c>
    </row>
    <row r="4520" spans="1:11" x14ac:dyDescent="0.35">
      <c r="A4520" s="2">
        <v>44332</v>
      </c>
      <c r="B4520" s="1">
        <v>0</v>
      </c>
      <c r="C4520" t="s">
        <v>5090</v>
      </c>
      <c r="D4520" t="s">
        <v>5070</v>
      </c>
      <c r="E4520" t="s">
        <v>5430</v>
      </c>
      <c r="F4520" t="s">
        <v>5045</v>
      </c>
      <c r="G4520" t="s">
        <v>5337</v>
      </c>
      <c r="H4520" t="s">
        <v>829</v>
      </c>
      <c r="J4520" s="2">
        <v>44332</v>
      </c>
      <c r="K4520">
        <v>137.1</v>
      </c>
    </row>
    <row r="4521" spans="1:11" x14ac:dyDescent="0.35">
      <c r="A4521" s="2">
        <v>44333</v>
      </c>
      <c r="B4521" s="1">
        <v>0</v>
      </c>
      <c r="C4521" t="s">
        <v>5508</v>
      </c>
      <c r="D4521" t="s">
        <v>5283</v>
      </c>
      <c r="E4521" t="s">
        <v>5290</v>
      </c>
      <c r="F4521" t="s">
        <v>5045</v>
      </c>
      <c r="G4521" t="s">
        <v>5339</v>
      </c>
      <c r="H4521" t="s">
        <v>1464</v>
      </c>
      <c r="J4521" s="2">
        <v>44333</v>
      </c>
      <c r="K4521">
        <v>133.1</v>
      </c>
    </row>
    <row r="4522" spans="1:11" x14ac:dyDescent="0.35">
      <c r="A4522" s="2">
        <v>44334</v>
      </c>
      <c r="B4522" s="1">
        <v>0</v>
      </c>
      <c r="C4522" t="s">
        <v>5111</v>
      </c>
      <c r="D4522" t="s">
        <v>5415</v>
      </c>
      <c r="E4522" t="s">
        <v>5293</v>
      </c>
      <c r="F4522" t="s">
        <v>5045</v>
      </c>
      <c r="G4522" t="s">
        <v>5339</v>
      </c>
      <c r="H4522" t="s">
        <v>2640</v>
      </c>
      <c r="J4522" s="2">
        <v>44334</v>
      </c>
      <c r="K4522">
        <v>130.69999999999999</v>
      </c>
    </row>
    <row r="4523" spans="1:11" x14ac:dyDescent="0.35">
      <c r="A4523" s="2">
        <v>44335</v>
      </c>
      <c r="B4523" s="1">
        <v>0</v>
      </c>
      <c r="C4523" t="s">
        <v>5203</v>
      </c>
      <c r="D4523" t="s">
        <v>5053</v>
      </c>
      <c r="E4523" t="s">
        <v>5296</v>
      </c>
      <c r="F4523" t="s">
        <v>5045</v>
      </c>
      <c r="G4523" t="s">
        <v>5339</v>
      </c>
      <c r="H4523" t="s">
        <v>1114</v>
      </c>
      <c r="J4523" s="2">
        <v>44335</v>
      </c>
      <c r="K4523">
        <v>129</v>
      </c>
    </row>
    <row r="4524" spans="1:11" x14ac:dyDescent="0.35">
      <c r="A4524" s="2">
        <v>44336</v>
      </c>
      <c r="B4524" s="1">
        <v>0</v>
      </c>
      <c r="C4524" t="s">
        <v>5253</v>
      </c>
      <c r="D4524" t="s">
        <v>5048</v>
      </c>
      <c r="E4524" t="s">
        <v>5421</v>
      </c>
      <c r="F4524" t="s">
        <v>5045</v>
      </c>
      <c r="G4524" t="s">
        <v>5156</v>
      </c>
      <c r="H4524" t="s">
        <v>2874</v>
      </c>
      <c r="J4524" s="2">
        <v>44336</v>
      </c>
      <c r="K4524">
        <v>127.6</v>
      </c>
    </row>
    <row r="4525" spans="1:11" x14ac:dyDescent="0.35">
      <c r="A4525" s="2">
        <v>44337</v>
      </c>
      <c r="B4525" s="1">
        <v>0</v>
      </c>
      <c r="C4525" t="s">
        <v>5074</v>
      </c>
      <c r="D4525" t="s">
        <v>5423</v>
      </c>
      <c r="E4525" t="s">
        <v>5047</v>
      </c>
      <c r="F4525" t="s">
        <v>5045</v>
      </c>
      <c r="G4525" t="s">
        <v>5156</v>
      </c>
      <c r="H4525" t="s">
        <v>25</v>
      </c>
      <c r="J4525" s="2">
        <v>44337</v>
      </c>
      <c r="K4525">
        <v>126.5</v>
      </c>
    </row>
    <row r="4526" spans="1:11" x14ac:dyDescent="0.35">
      <c r="A4526" s="2">
        <v>44338</v>
      </c>
      <c r="B4526" s="1">
        <v>0</v>
      </c>
      <c r="C4526" t="s">
        <v>5072</v>
      </c>
      <c r="D4526" t="s">
        <v>5049</v>
      </c>
      <c r="E4526" t="s">
        <v>5047</v>
      </c>
      <c r="F4526" t="s">
        <v>5045</v>
      </c>
      <c r="G4526" t="s">
        <v>5156</v>
      </c>
      <c r="H4526" t="s">
        <v>1564</v>
      </c>
      <c r="J4526" s="2">
        <v>44338</v>
      </c>
      <c r="K4526">
        <v>126.1</v>
      </c>
    </row>
    <row r="4527" spans="1:11" x14ac:dyDescent="0.35">
      <c r="A4527" s="2">
        <v>44339</v>
      </c>
      <c r="B4527" s="1">
        <v>0</v>
      </c>
      <c r="C4527" t="s">
        <v>5435</v>
      </c>
      <c r="D4527" t="s">
        <v>5416</v>
      </c>
      <c r="E4527" t="s">
        <v>5308</v>
      </c>
      <c r="F4527" t="s">
        <v>5045</v>
      </c>
      <c r="G4527" t="s">
        <v>5156</v>
      </c>
      <c r="H4527" t="s">
        <v>1442</v>
      </c>
      <c r="J4527" s="2">
        <v>44339</v>
      </c>
      <c r="K4527">
        <v>126.6</v>
      </c>
    </row>
    <row r="4528" spans="1:11" x14ac:dyDescent="0.35">
      <c r="A4528" s="2">
        <v>44340</v>
      </c>
      <c r="B4528" s="1">
        <v>0</v>
      </c>
      <c r="C4528" t="s">
        <v>5088</v>
      </c>
      <c r="D4528" t="s">
        <v>5048</v>
      </c>
      <c r="E4528" t="s">
        <v>5317</v>
      </c>
      <c r="F4528" t="s">
        <v>5045</v>
      </c>
      <c r="G4528" t="s">
        <v>5168</v>
      </c>
      <c r="H4528" t="s">
        <v>1107</v>
      </c>
      <c r="J4528" s="2">
        <v>44340</v>
      </c>
      <c r="K4528">
        <v>127.5</v>
      </c>
    </row>
    <row r="4529" spans="1:11" x14ac:dyDescent="0.35">
      <c r="A4529" s="2">
        <v>44341</v>
      </c>
      <c r="B4529" s="1">
        <v>0</v>
      </c>
      <c r="C4529" t="s">
        <v>5085</v>
      </c>
      <c r="D4529" t="s">
        <v>5048</v>
      </c>
      <c r="E4529" t="s">
        <v>5293</v>
      </c>
      <c r="F4529" t="s">
        <v>5045</v>
      </c>
      <c r="G4529" t="s">
        <v>5168</v>
      </c>
      <c r="H4529" t="s">
        <v>1107</v>
      </c>
      <c r="J4529" s="2">
        <v>44341</v>
      </c>
      <c r="K4529">
        <v>127.5</v>
      </c>
    </row>
    <row r="4530" spans="1:11" x14ac:dyDescent="0.35">
      <c r="A4530" s="2">
        <v>44342</v>
      </c>
      <c r="B4530" s="1">
        <v>0</v>
      </c>
      <c r="C4530" t="s">
        <v>5435</v>
      </c>
      <c r="D4530" t="s">
        <v>5546</v>
      </c>
      <c r="E4530" t="s">
        <v>5317</v>
      </c>
      <c r="F4530" t="s">
        <v>5045</v>
      </c>
      <c r="G4530" t="s">
        <v>5168</v>
      </c>
      <c r="H4530" t="s">
        <v>1116</v>
      </c>
      <c r="J4530" s="2">
        <v>44342</v>
      </c>
      <c r="K4530">
        <v>126.9</v>
      </c>
    </row>
    <row r="4531" spans="1:11" x14ac:dyDescent="0.35">
      <c r="A4531" s="2">
        <v>44343</v>
      </c>
      <c r="B4531" s="1">
        <v>0</v>
      </c>
      <c r="C4531" t="s">
        <v>5067</v>
      </c>
      <c r="D4531" t="s">
        <v>5423</v>
      </c>
      <c r="E4531" t="s">
        <v>5308</v>
      </c>
      <c r="F4531" t="s">
        <v>5045</v>
      </c>
      <c r="G4531" t="s">
        <v>5168</v>
      </c>
      <c r="H4531" t="s">
        <v>514</v>
      </c>
      <c r="J4531" s="2">
        <v>44343</v>
      </c>
      <c r="K4531">
        <v>126</v>
      </c>
    </row>
    <row r="4532" spans="1:11" x14ac:dyDescent="0.35">
      <c r="A4532" s="2">
        <v>44344</v>
      </c>
      <c r="B4532" s="1">
        <v>0</v>
      </c>
      <c r="C4532" t="s">
        <v>5213</v>
      </c>
      <c r="D4532" t="s">
        <v>5302</v>
      </c>
      <c r="E4532" t="s">
        <v>5421</v>
      </c>
      <c r="F4532" t="s">
        <v>5045</v>
      </c>
      <c r="G4532" t="s">
        <v>5168</v>
      </c>
      <c r="H4532" t="s">
        <v>272</v>
      </c>
      <c r="J4532" s="2">
        <v>44344</v>
      </c>
      <c r="K4532">
        <v>125.2</v>
      </c>
    </row>
    <row r="4533" spans="1:11" x14ac:dyDescent="0.35">
      <c r="A4533" s="2">
        <v>44345</v>
      </c>
      <c r="B4533" s="1">
        <v>0</v>
      </c>
      <c r="C4533" t="s">
        <v>5069</v>
      </c>
      <c r="D4533" t="s">
        <v>5305</v>
      </c>
      <c r="E4533" t="s">
        <v>5047</v>
      </c>
      <c r="F4533" t="s">
        <v>5045</v>
      </c>
      <c r="G4533" t="s">
        <v>5168</v>
      </c>
      <c r="H4533" t="s">
        <v>1573</v>
      </c>
      <c r="J4533" s="2">
        <v>44345</v>
      </c>
      <c r="K4533">
        <v>124.8</v>
      </c>
    </row>
    <row r="4534" spans="1:11" x14ac:dyDescent="0.35">
      <c r="A4534" s="2">
        <v>44346</v>
      </c>
      <c r="B4534" s="1">
        <v>0</v>
      </c>
      <c r="C4534" t="s">
        <v>5448</v>
      </c>
      <c r="D4534" t="s">
        <v>5424</v>
      </c>
      <c r="E4534" t="s">
        <v>5547</v>
      </c>
      <c r="F4534" t="s">
        <v>5045</v>
      </c>
      <c r="G4534" t="s">
        <v>5168</v>
      </c>
      <c r="H4534" t="s">
        <v>1453</v>
      </c>
      <c r="J4534" s="2">
        <v>44346</v>
      </c>
      <c r="K4534">
        <v>124.6</v>
      </c>
    </row>
    <row r="4535" spans="1:11" x14ac:dyDescent="0.35">
      <c r="A4535" s="2">
        <v>44347</v>
      </c>
      <c r="B4535" s="1">
        <v>0</v>
      </c>
      <c r="C4535" t="s">
        <v>5448</v>
      </c>
      <c r="D4535" t="s">
        <v>5424</v>
      </c>
      <c r="E4535" t="s">
        <v>5547</v>
      </c>
      <c r="F4535" t="s">
        <v>5045</v>
      </c>
      <c r="G4535" t="s">
        <v>5168</v>
      </c>
      <c r="H4535" t="s">
        <v>1452</v>
      </c>
      <c r="J4535" s="2">
        <v>44347</v>
      </c>
      <c r="K4535">
        <v>124.5</v>
      </c>
    </row>
    <row r="4536" spans="1:11" x14ac:dyDescent="0.35">
      <c r="A4536" s="2">
        <v>44348</v>
      </c>
      <c r="B4536" s="1">
        <v>0</v>
      </c>
      <c r="C4536" t="s">
        <v>5448</v>
      </c>
      <c r="D4536" t="s">
        <v>5424</v>
      </c>
      <c r="E4536" t="s">
        <v>5547</v>
      </c>
      <c r="F4536" t="s">
        <v>5045</v>
      </c>
      <c r="G4536" t="s">
        <v>5168</v>
      </c>
      <c r="H4536" t="s">
        <v>4079</v>
      </c>
      <c r="J4536" s="2">
        <v>44348</v>
      </c>
      <c r="K4536">
        <v>124.4</v>
      </c>
    </row>
    <row r="4537" spans="1:11" x14ac:dyDescent="0.35">
      <c r="A4537" s="2">
        <v>44349</v>
      </c>
      <c r="B4537" s="1">
        <v>0</v>
      </c>
      <c r="C4537" t="s">
        <v>5358</v>
      </c>
      <c r="D4537" t="s">
        <v>5046</v>
      </c>
      <c r="E4537" t="s">
        <v>5046</v>
      </c>
      <c r="F4537" t="s">
        <v>5168</v>
      </c>
      <c r="G4537" t="s">
        <v>5354</v>
      </c>
      <c r="H4537" t="s">
        <v>363</v>
      </c>
      <c r="J4537" s="2">
        <v>44349</v>
      </c>
      <c r="K4537">
        <v>83.3</v>
      </c>
    </row>
    <row r="4538" spans="1:11" x14ac:dyDescent="0.35">
      <c r="A4538" s="2">
        <v>44350</v>
      </c>
      <c r="B4538" s="1">
        <v>0</v>
      </c>
      <c r="C4538" t="s">
        <v>5155</v>
      </c>
      <c r="D4538" t="s">
        <v>5240</v>
      </c>
      <c r="E4538" t="s">
        <v>5050</v>
      </c>
      <c r="F4538" t="s">
        <v>5168</v>
      </c>
      <c r="G4538" t="s">
        <v>5354</v>
      </c>
      <c r="H4538" t="s">
        <v>5543</v>
      </c>
      <c r="J4538" s="2">
        <v>44350</v>
      </c>
      <c r="K4538">
        <v>85.1</v>
      </c>
    </row>
    <row r="4539" spans="1:11" x14ac:dyDescent="0.35">
      <c r="A4539" s="2">
        <v>44351</v>
      </c>
      <c r="B4539" s="1">
        <v>0</v>
      </c>
      <c r="C4539" t="s">
        <v>5308</v>
      </c>
      <c r="D4539" t="s">
        <v>5062</v>
      </c>
      <c r="E4539" t="s">
        <v>5240</v>
      </c>
      <c r="F4539" t="s">
        <v>5168</v>
      </c>
      <c r="G4539" t="s">
        <v>5353</v>
      </c>
      <c r="H4539" t="s">
        <v>331</v>
      </c>
      <c r="J4539" s="2">
        <v>44351</v>
      </c>
      <c r="K4539">
        <v>89.5</v>
      </c>
    </row>
    <row r="4540" spans="1:11" x14ac:dyDescent="0.35">
      <c r="A4540" s="2">
        <v>44352</v>
      </c>
      <c r="B4540" s="1">
        <v>0</v>
      </c>
      <c r="C4540" t="s">
        <v>5057</v>
      </c>
      <c r="D4540" t="s">
        <v>5124</v>
      </c>
      <c r="E4540" t="s">
        <v>5179</v>
      </c>
      <c r="F4540" t="s">
        <v>5168</v>
      </c>
      <c r="G4540" t="s">
        <v>5349</v>
      </c>
      <c r="H4540" t="s">
        <v>335</v>
      </c>
      <c r="J4540" s="2">
        <v>44352</v>
      </c>
      <c r="K4540">
        <v>94.5</v>
      </c>
    </row>
    <row r="4541" spans="1:11" x14ac:dyDescent="0.35">
      <c r="A4541" s="2">
        <v>44353</v>
      </c>
      <c r="B4541" s="1">
        <v>0</v>
      </c>
      <c r="C4541" t="s">
        <v>5303</v>
      </c>
      <c r="D4541" t="s">
        <v>5082</v>
      </c>
      <c r="E4541" t="s">
        <v>5058</v>
      </c>
      <c r="F4541" t="s">
        <v>5168</v>
      </c>
      <c r="G4541" t="s">
        <v>5349</v>
      </c>
      <c r="H4541" t="s">
        <v>1543</v>
      </c>
      <c r="J4541" s="2">
        <v>44353</v>
      </c>
      <c r="K4541">
        <v>96.8</v>
      </c>
    </row>
    <row r="4542" spans="1:11" x14ac:dyDescent="0.35">
      <c r="A4542" s="2">
        <v>44354</v>
      </c>
      <c r="B4542" s="1">
        <v>0</v>
      </c>
      <c r="C4542" t="s">
        <v>5431</v>
      </c>
      <c r="D4542" t="s">
        <v>5095</v>
      </c>
      <c r="E4542" t="s">
        <v>5058</v>
      </c>
      <c r="F4542" t="s">
        <v>5168</v>
      </c>
      <c r="G4542" t="s">
        <v>5361</v>
      </c>
      <c r="H4542" t="s">
        <v>1479</v>
      </c>
      <c r="J4542" s="2">
        <v>44354</v>
      </c>
      <c r="K4542">
        <v>97.5</v>
      </c>
    </row>
    <row r="4543" spans="1:11" x14ac:dyDescent="0.35">
      <c r="A4543" s="2">
        <v>44355</v>
      </c>
      <c r="B4543" s="1">
        <v>0</v>
      </c>
      <c r="C4543" t="s">
        <v>5169</v>
      </c>
      <c r="D4543" t="s">
        <v>5215</v>
      </c>
      <c r="E4543" t="s">
        <v>5179</v>
      </c>
      <c r="F4543" t="s">
        <v>5156</v>
      </c>
      <c r="G4543" t="s">
        <v>5346</v>
      </c>
      <c r="H4543" t="s">
        <v>472</v>
      </c>
      <c r="J4543" s="2">
        <v>44355</v>
      </c>
      <c r="K4543">
        <v>96.9</v>
      </c>
    </row>
    <row r="4544" spans="1:11" x14ac:dyDescent="0.35">
      <c r="A4544" s="2">
        <v>44356</v>
      </c>
      <c r="B4544" s="1">
        <v>0</v>
      </c>
      <c r="C4544" t="s">
        <v>5283</v>
      </c>
      <c r="D4544" t="s">
        <v>5065</v>
      </c>
      <c r="E4544" t="s">
        <v>5054</v>
      </c>
      <c r="F4544" t="s">
        <v>5156</v>
      </c>
      <c r="G4544" t="s">
        <v>5346</v>
      </c>
      <c r="H4544" t="s">
        <v>468</v>
      </c>
      <c r="J4544" s="2">
        <v>44356</v>
      </c>
      <c r="K4544">
        <v>94.4</v>
      </c>
    </row>
    <row r="4545" spans="1:11" x14ac:dyDescent="0.35">
      <c r="A4545" s="2">
        <v>44357</v>
      </c>
      <c r="B4545" s="1">
        <v>0</v>
      </c>
      <c r="C4545" t="s">
        <v>5416</v>
      </c>
      <c r="D4545" t="s">
        <v>5412</v>
      </c>
      <c r="E4545" t="s">
        <v>5240</v>
      </c>
      <c r="F4545" t="s">
        <v>5168</v>
      </c>
      <c r="G4545" t="s">
        <v>5346</v>
      </c>
      <c r="H4545" t="s">
        <v>4380</v>
      </c>
      <c r="J4545" s="2">
        <v>44357</v>
      </c>
      <c r="K4545">
        <v>91.7</v>
      </c>
    </row>
    <row r="4546" spans="1:11" x14ac:dyDescent="0.35">
      <c r="A4546" s="2">
        <v>44358</v>
      </c>
      <c r="B4546" s="1">
        <v>0</v>
      </c>
      <c r="C4546" t="s">
        <v>5547</v>
      </c>
      <c r="D4546" t="s">
        <v>5179</v>
      </c>
      <c r="E4546" t="s">
        <v>5050</v>
      </c>
      <c r="F4546" t="s">
        <v>5168</v>
      </c>
      <c r="G4546" t="s">
        <v>5361</v>
      </c>
      <c r="H4546" t="s">
        <v>1535</v>
      </c>
      <c r="J4546" s="2">
        <v>44358</v>
      </c>
      <c r="K4546">
        <v>88.9</v>
      </c>
    </row>
    <row r="4547" spans="1:11" x14ac:dyDescent="0.35">
      <c r="A4547" s="2">
        <v>44359</v>
      </c>
      <c r="B4547" s="1">
        <v>0</v>
      </c>
      <c r="C4547" t="s">
        <v>5352</v>
      </c>
      <c r="D4547" t="s">
        <v>5240</v>
      </c>
      <c r="E4547" t="s">
        <v>5050</v>
      </c>
      <c r="F4547" t="s">
        <v>5168</v>
      </c>
      <c r="G4547" t="s">
        <v>5349</v>
      </c>
      <c r="H4547" t="s">
        <v>983</v>
      </c>
      <c r="J4547" s="2">
        <v>44359</v>
      </c>
      <c r="K4547">
        <v>86.7</v>
      </c>
    </row>
    <row r="4548" spans="1:11" x14ac:dyDescent="0.35">
      <c r="A4548" s="2">
        <v>44360</v>
      </c>
      <c r="B4548" s="1">
        <v>0</v>
      </c>
      <c r="C4548" t="s">
        <v>5152</v>
      </c>
      <c r="D4548" t="s">
        <v>5240</v>
      </c>
      <c r="E4548" t="s">
        <v>5050</v>
      </c>
      <c r="F4548" t="s">
        <v>5168</v>
      </c>
      <c r="G4548" t="s">
        <v>5353</v>
      </c>
      <c r="H4548" t="s">
        <v>477</v>
      </c>
      <c r="J4548" s="2">
        <v>44360</v>
      </c>
      <c r="K4548">
        <v>85.4</v>
      </c>
    </row>
    <row r="4549" spans="1:11" x14ac:dyDescent="0.35">
      <c r="A4549" s="2">
        <v>44361</v>
      </c>
      <c r="B4549" s="1">
        <v>0</v>
      </c>
      <c r="C4549" t="s">
        <v>5166</v>
      </c>
      <c r="D4549" t="s">
        <v>5050</v>
      </c>
      <c r="E4549" t="s">
        <v>5046</v>
      </c>
      <c r="F4549" t="s">
        <v>5168</v>
      </c>
      <c r="G4549" t="s">
        <v>5353</v>
      </c>
      <c r="H4549" t="s">
        <v>1523</v>
      </c>
      <c r="J4549" s="2">
        <v>44361</v>
      </c>
      <c r="K4549">
        <v>84.6</v>
      </c>
    </row>
    <row r="4550" spans="1:11" x14ac:dyDescent="0.35">
      <c r="A4550" s="2">
        <v>44362</v>
      </c>
      <c r="B4550" s="1">
        <v>0</v>
      </c>
      <c r="C4550" t="s">
        <v>5332</v>
      </c>
      <c r="D4550" t="s">
        <v>5050</v>
      </c>
      <c r="E4550" t="s">
        <v>5046</v>
      </c>
      <c r="F4550" t="s">
        <v>5168</v>
      </c>
      <c r="G4550" t="s">
        <v>5354</v>
      </c>
      <c r="H4550" t="s">
        <v>322</v>
      </c>
      <c r="J4550" s="2">
        <v>44362</v>
      </c>
      <c r="K4550">
        <v>84</v>
      </c>
    </row>
    <row r="4551" spans="1:11" x14ac:dyDescent="0.35">
      <c r="A4551" s="2">
        <v>44363</v>
      </c>
      <c r="B4551" s="1">
        <v>0</v>
      </c>
      <c r="C4551" t="s">
        <v>5136</v>
      </c>
      <c r="D4551" t="s">
        <v>5046</v>
      </c>
      <c r="E4551" t="s">
        <v>5046</v>
      </c>
      <c r="F4551" t="s">
        <v>5168</v>
      </c>
      <c r="G4551" t="s">
        <v>5354</v>
      </c>
      <c r="H4551" t="s">
        <v>448</v>
      </c>
      <c r="J4551" s="2">
        <v>44363</v>
      </c>
      <c r="K4551">
        <v>83.7</v>
      </c>
    </row>
    <row r="4552" spans="1:11" x14ac:dyDescent="0.35">
      <c r="A4552" s="2">
        <v>44364</v>
      </c>
      <c r="B4552" s="1">
        <v>0</v>
      </c>
      <c r="C4552" t="s">
        <v>5132</v>
      </c>
      <c r="D4552" t="s">
        <v>5046</v>
      </c>
      <c r="E4552" t="s">
        <v>5046</v>
      </c>
      <c r="F4552" t="s">
        <v>5168</v>
      </c>
      <c r="G4552" t="s">
        <v>5354</v>
      </c>
      <c r="H4552" t="s">
        <v>345</v>
      </c>
      <c r="J4552" s="2">
        <v>44364</v>
      </c>
      <c r="K4552">
        <v>83.4</v>
      </c>
    </row>
    <row r="4553" spans="1:11" x14ac:dyDescent="0.35">
      <c r="A4553" s="2">
        <v>44365</v>
      </c>
      <c r="B4553" s="1">
        <v>0</v>
      </c>
      <c r="C4553" t="s">
        <v>5333</v>
      </c>
      <c r="D4553" t="s">
        <v>5046</v>
      </c>
      <c r="E4553" t="s">
        <v>5046</v>
      </c>
      <c r="F4553" t="s">
        <v>5168</v>
      </c>
      <c r="G4553" t="s">
        <v>5353</v>
      </c>
      <c r="H4553" t="s">
        <v>1526</v>
      </c>
      <c r="J4553" s="2">
        <v>44365</v>
      </c>
      <c r="K4553">
        <v>84.2</v>
      </c>
    </row>
    <row r="4554" spans="1:11" x14ac:dyDescent="0.35">
      <c r="A4554" s="2">
        <v>44366</v>
      </c>
      <c r="B4554" s="1">
        <v>0</v>
      </c>
      <c r="C4554" t="s">
        <v>5336</v>
      </c>
      <c r="D4554" t="s">
        <v>5046</v>
      </c>
      <c r="E4554" t="s">
        <v>5046</v>
      </c>
      <c r="F4554" t="s">
        <v>5168</v>
      </c>
      <c r="G4554" t="s">
        <v>5361</v>
      </c>
      <c r="H4554" t="s">
        <v>457</v>
      </c>
      <c r="J4554" s="2">
        <v>44366</v>
      </c>
      <c r="K4554">
        <v>86.2</v>
      </c>
    </row>
    <row r="4555" spans="1:11" x14ac:dyDescent="0.35">
      <c r="A4555" s="2">
        <v>44367</v>
      </c>
      <c r="B4555" s="1">
        <v>0</v>
      </c>
      <c r="C4555" t="s">
        <v>5427</v>
      </c>
      <c r="D4555" t="s">
        <v>5046</v>
      </c>
      <c r="E4555" t="s">
        <v>5046</v>
      </c>
      <c r="F4555" t="s">
        <v>5168</v>
      </c>
      <c r="G4555" t="s">
        <v>5343</v>
      </c>
      <c r="H4555" t="s">
        <v>1471</v>
      </c>
      <c r="J4555" s="2">
        <v>44367</v>
      </c>
      <c r="K4555">
        <v>88.5</v>
      </c>
    </row>
    <row r="4556" spans="1:11" x14ac:dyDescent="0.35">
      <c r="A4556" s="2">
        <v>44368</v>
      </c>
      <c r="B4556" s="1">
        <v>0</v>
      </c>
      <c r="C4556" t="s">
        <v>5421</v>
      </c>
      <c r="D4556" t="s">
        <v>5046</v>
      </c>
      <c r="E4556" t="s">
        <v>5046</v>
      </c>
      <c r="F4556" t="s">
        <v>5168</v>
      </c>
      <c r="G4556" t="s">
        <v>5344</v>
      </c>
      <c r="H4556" t="s">
        <v>1535</v>
      </c>
      <c r="J4556" s="2">
        <v>44368</v>
      </c>
      <c r="K4556">
        <v>88.9</v>
      </c>
    </row>
    <row r="4557" spans="1:11" x14ac:dyDescent="0.35">
      <c r="A4557" s="2">
        <v>44369</v>
      </c>
      <c r="B4557" s="1">
        <v>0</v>
      </c>
      <c r="C4557" t="s">
        <v>5551</v>
      </c>
      <c r="D4557" t="s">
        <v>5046</v>
      </c>
      <c r="E4557" t="s">
        <v>5046</v>
      </c>
      <c r="F4557" t="s">
        <v>5168</v>
      </c>
      <c r="G4557" t="s">
        <v>5343</v>
      </c>
      <c r="H4557" t="s">
        <v>475</v>
      </c>
      <c r="J4557" s="2">
        <v>44369</v>
      </c>
      <c r="K4557">
        <v>88</v>
      </c>
    </row>
    <row r="4558" spans="1:11" x14ac:dyDescent="0.35">
      <c r="A4558" s="2">
        <v>44370</v>
      </c>
      <c r="B4558" s="1">
        <v>0</v>
      </c>
      <c r="C4558" t="s">
        <v>5149</v>
      </c>
      <c r="D4558" t="s">
        <v>5046</v>
      </c>
      <c r="E4558" t="s">
        <v>5046</v>
      </c>
      <c r="F4558" t="s">
        <v>5168</v>
      </c>
      <c r="G4558" t="s">
        <v>5346</v>
      </c>
      <c r="H4558" t="s">
        <v>367</v>
      </c>
      <c r="J4558" s="2">
        <v>44370</v>
      </c>
      <c r="K4558">
        <v>86.5</v>
      </c>
    </row>
    <row r="4559" spans="1:11" x14ac:dyDescent="0.35">
      <c r="A4559" s="2">
        <v>44371</v>
      </c>
      <c r="B4559" s="1">
        <v>0</v>
      </c>
      <c r="C4559" t="s">
        <v>5158</v>
      </c>
      <c r="D4559" t="s">
        <v>5046</v>
      </c>
      <c r="E4559" t="s">
        <v>5046</v>
      </c>
      <c r="F4559" t="s">
        <v>5168</v>
      </c>
      <c r="G4559" t="s">
        <v>5349</v>
      </c>
      <c r="H4559" t="s">
        <v>5543</v>
      </c>
      <c r="J4559" s="2">
        <v>44371</v>
      </c>
      <c r="K4559">
        <v>85.1</v>
      </c>
    </row>
    <row r="4560" spans="1:11" x14ac:dyDescent="0.35">
      <c r="A4560" s="2">
        <v>44372</v>
      </c>
      <c r="B4560" s="1">
        <v>0</v>
      </c>
      <c r="C4560" t="s">
        <v>5341</v>
      </c>
      <c r="D4560" t="s">
        <v>5046</v>
      </c>
      <c r="E4560" t="s">
        <v>5046</v>
      </c>
      <c r="F4560" t="s">
        <v>5168</v>
      </c>
      <c r="G4560" t="s">
        <v>5349</v>
      </c>
      <c r="H4560" t="s">
        <v>341</v>
      </c>
      <c r="J4560" s="2">
        <v>44372</v>
      </c>
      <c r="K4560">
        <v>84.4</v>
      </c>
    </row>
    <row r="4561" spans="1:11" x14ac:dyDescent="0.35">
      <c r="A4561" s="2">
        <v>44373</v>
      </c>
      <c r="B4561" s="1">
        <v>0</v>
      </c>
      <c r="C4561" t="s">
        <v>5355</v>
      </c>
      <c r="D4561" t="s">
        <v>5046</v>
      </c>
      <c r="E4561" t="s">
        <v>5046</v>
      </c>
      <c r="F4561" t="s">
        <v>5168</v>
      </c>
      <c r="G4561" t="s">
        <v>5353</v>
      </c>
      <c r="H4561" t="s">
        <v>1916</v>
      </c>
      <c r="J4561" s="2">
        <v>44373</v>
      </c>
      <c r="K4561">
        <v>83.9</v>
      </c>
    </row>
    <row r="4562" spans="1:11" x14ac:dyDescent="0.35">
      <c r="A4562" s="2">
        <v>44374</v>
      </c>
      <c r="B4562" s="1">
        <v>0</v>
      </c>
      <c r="C4562" t="s">
        <v>5356</v>
      </c>
      <c r="D4562" t="s">
        <v>5046</v>
      </c>
      <c r="E4562" t="s">
        <v>5046</v>
      </c>
      <c r="F4562" t="s">
        <v>5168</v>
      </c>
      <c r="G4562" t="s">
        <v>5353</v>
      </c>
      <c r="H4562" t="s">
        <v>3800</v>
      </c>
      <c r="J4562" s="2">
        <v>44374</v>
      </c>
      <c r="K4562">
        <v>83.6</v>
      </c>
    </row>
    <row r="4563" spans="1:11" x14ac:dyDescent="0.35">
      <c r="A4563" s="2">
        <v>44375</v>
      </c>
      <c r="B4563" s="1">
        <v>0</v>
      </c>
      <c r="C4563" t="s">
        <v>5358</v>
      </c>
      <c r="D4563" t="s">
        <v>5046</v>
      </c>
      <c r="E4563" t="s">
        <v>5046</v>
      </c>
      <c r="F4563" t="s">
        <v>5168</v>
      </c>
      <c r="G4563" t="s">
        <v>5354</v>
      </c>
      <c r="H4563" t="s">
        <v>345</v>
      </c>
      <c r="J4563" s="2">
        <v>44375</v>
      </c>
      <c r="K4563">
        <v>83.4</v>
      </c>
    </row>
    <row r="4564" spans="1:11" x14ac:dyDescent="0.35">
      <c r="A4564" s="2">
        <v>44376</v>
      </c>
      <c r="B4564" s="1">
        <v>0</v>
      </c>
      <c r="C4564" t="s">
        <v>5358</v>
      </c>
      <c r="D4564" t="s">
        <v>5046</v>
      </c>
      <c r="E4564" t="s">
        <v>5046</v>
      </c>
      <c r="F4564" t="s">
        <v>5168</v>
      </c>
      <c r="G4564" t="s">
        <v>5354</v>
      </c>
      <c r="H4564" t="s">
        <v>363</v>
      </c>
      <c r="J4564" s="2">
        <v>44376</v>
      </c>
      <c r="K4564">
        <v>83.3</v>
      </c>
    </row>
    <row r="4565" spans="1:11" x14ac:dyDescent="0.35">
      <c r="A4565" s="2">
        <v>44377</v>
      </c>
      <c r="B4565" s="1">
        <v>0</v>
      </c>
      <c r="C4565" t="s">
        <v>5358</v>
      </c>
      <c r="D4565" t="s">
        <v>5046</v>
      </c>
      <c r="E4565" t="s">
        <v>5046</v>
      </c>
      <c r="F4565" t="s">
        <v>5168</v>
      </c>
      <c r="G4565" t="s">
        <v>5354</v>
      </c>
      <c r="H4565" t="s">
        <v>345</v>
      </c>
      <c r="J4565" s="2">
        <v>44377</v>
      </c>
      <c r="K4565">
        <v>83.4</v>
      </c>
    </row>
    <row r="4566" spans="1:11" x14ac:dyDescent="0.35">
      <c r="A4566" t="s">
        <v>4610</v>
      </c>
      <c r="B4566" s="1">
        <v>0</v>
      </c>
      <c r="C4566" t="s">
        <v>5132</v>
      </c>
      <c r="D4566" t="s">
        <v>5046</v>
      </c>
      <c r="E4566" t="s">
        <v>5046</v>
      </c>
      <c r="F4566" t="s">
        <v>5168</v>
      </c>
      <c r="G4566" t="s">
        <v>5354</v>
      </c>
      <c r="H4566" t="s">
        <v>444</v>
      </c>
      <c r="J4566" t="s">
        <v>4610</v>
      </c>
      <c r="K4566">
        <v>83.5</v>
      </c>
    </row>
    <row r="4567" spans="1:11" x14ac:dyDescent="0.35">
      <c r="A4567" t="s">
        <v>4611</v>
      </c>
      <c r="B4567" s="1">
        <v>0</v>
      </c>
      <c r="C4567" t="s">
        <v>5411</v>
      </c>
      <c r="D4567" t="s">
        <v>5357</v>
      </c>
      <c r="E4567" t="s">
        <v>5409</v>
      </c>
      <c r="F4567" t="s">
        <v>5364</v>
      </c>
      <c r="G4567" t="s">
        <v>5375</v>
      </c>
      <c r="H4567" t="s">
        <v>5609</v>
      </c>
      <c r="J4567" t="s">
        <v>4611</v>
      </c>
      <c r="K4567">
        <v>60.4</v>
      </c>
    </row>
    <row r="4568" spans="1:11" x14ac:dyDescent="0.35">
      <c r="A4568" t="s">
        <v>4612</v>
      </c>
      <c r="B4568" s="1">
        <v>0</v>
      </c>
      <c r="C4568" t="s">
        <v>5411</v>
      </c>
      <c r="D4568" t="s">
        <v>5357</v>
      </c>
      <c r="E4568" t="s">
        <v>5409</v>
      </c>
      <c r="F4568" t="s">
        <v>5364</v>
      </c>
      <c r="G4568" t="s">
        <v>5375</v>
      </c>
      <c r="H4568" t="s">
        <v>5609</v>
      </c>
      <c r="J4568" t="s">
        <v>4612</v>
      </c>
      <c r="K4568">
        <v>60.4</v>
      </c>
    </row>
    <row r="4569" spans="1:11" x14ac:dyDescent="0.35">
      <c r="A4569" t="s">
        <v>4613</v>
      </c>
      <c r="B4569" s="1">
        <v>0</v>
      </c>
      <c r="C4569" t="s">
        <v>5339</v>
      </c>
      <c r="D4569" t="s">
        <v>5357</v>
      </c>
      <c r="E4569" t="s">
        <v>5409</v>
      </c>
      <c r="F4569" t="s">
        <v>5364</v>
      </c>
      <c r="G4569" t="s">
        <v>5375</v>
      </c>
      <c r="H4569" t="s">
        <v>5616</v>
      </c>
      <c r="J4569" t="s">
        <v>4613</v>
      </c>
      <c r="K4569">
        <v>60.2</v>
      </c>
    </row>
    <row r="4570" spans="1:11" x14ac:dyDescent="0.35">
      <c r="A4570" t="s">
        <v>4614</v>
      </c>
      <c r="B4570" s="1">
        <v>0</v>
      </c>
      <c r="C4570" t="s">
        <v>5339</v>
      </c>
      <c r="D4570" t="s">
        <v>5357</v>
      </c>
      <c r="E4570" t="s">
        <v>5409</v>
      </c>
      <c r="F4570" t="s">
        <v>5364</v>
      </c>
      <c r="G4570" t="s">
        <v>5375</v>
      </c>
      <c r="H4570" t="s">
        <v>5616</v>
      </c>
      <c r="J4570" t="s">
        <v>4614</v>
      </c>
      <c r="K4570">
        <v>60.2</v>
      </c>
    </row>
    <row r="4571" spans="1:11" x14ac:dyDescent="0.35">
      <c r="A4571" t="s">
        <v>4615</v>
      </c>
      <c r="B4571" s="1">
        <v>0</v>
      </c>
      <c r="C4571" t="s">
        <v>5339</v>
      </c>
      <c r="D4571" t="s">
        <v>5357</v>
      </c>
      <c r="E4571" t="s">
        <v>5409</v>
      </c>
      <c r="F4571" t="s">
        <v>5364</v>
      </c>
      <c r="G4571" t="s">
        <v>5375</v>
      </c>
      <c r="H4571" t="s">
        <v>5616</v>
      </c>
      <c r="J4571" t="s">
        <v>4615</v>
      </c>
      <c r="K4571">
        <v>60.2</v>
      </c>
    </row>
    <row r="4572" spans="1:11" x14ac:dyDescent="0.35">
      <c r="A4572" t="s">
        <v>4616</v>
      </c>
      <c r="B4572" s="1">
        <v>0</v>
      </c>
      <c r="C4572" t="s">
        <v>5337</v>
      </c>
      <c r="D4572" t="s">
        <v>5357</v>
      </c>
      <c r="E4572" t="s">
        <v>5409</v>
      </c>
      <c r="F4572" t="s">
        <v>5364</v>
      </c>
      <c r="G4572" t="s">
        <v>5375</v>
      </c>
      <c r="H4572" t="s">
        <v>5130</v>
      </c>
      <c r="J4572" t="s">
        <v>4616</v>
      </c>
      <c r="K4572">
        <v>60.3</v>
      </c>
    </row>
    <row r="4573" spans="1:11" x14ac:dyDescent="0.35">
      <c r="A4573" t="s">
        <v>4617</v>
      </c>
      <c r="B4573" s="1">
        <v>0</v>
      </c>
      <c r="C4573" t="s">
        <v>5411</v>
      </c>
      <c r="D4573" t="s">
        <v>5357</v>
      </c>
      <c r="E4573" t="s">
        <v>5409</v>
      </c>
      <c r="F4573" t="s">
        <v>5364</v>
      </c>
      <c r="G4573" t="s">
        <v>5375</v>
      </c>
      <c r="H4573" t="s">
        <v>5609</v>
      </c>
      <c r="J4573" t="s">
        <v>4617</v>
      </c>
      <c r="K4573">
        <v>60.4</v>
      </c>
    </row>
    <row r="4574" spans="1:11" x14ac:dyDescent="0.35">
      <c r="A4574" t="s">
        <v>4618</v>
      </c>
      <c r="B4574" s="1">
        <v>0</v>
      </c>
      <c r="C4574" t="s">
        <v>5411</v>
      </c>
      <c r="D4574" t="s">
        <v>5357</v>
      </c>
      <c r="E4574" t="s">
        <v>5409</v>
      </c>
      <c r="F4574" t="s">
        <v>5364</v>
      </c>
      <c r="G4574" t="s">
        <v>5375</v>
      </c>
      <c r="H4574" t="s">
        <v>5609</v>
      </c>
      <c r="J4574" t="s">
        <v>4618</v>
      </c>
      <c r="K4574">
        <v>60.4</v>
      </c>
    </row>
    <row r="4575" spans="1:11" x14ac:dyDescent="0.35">
      <c r="A4575" t="s">
        <v>4619</v>
      </c>
      <c r="B4575" s="1">
        <v>0</v>
      </c>
      <c r="C4575" t="s">
        <v>5337</v>
      </c>
      <c r="D4575" t="s">
        <v>5357</v>
      </c>
      <c r="E4575" t="s">
        <v>5409</v>
      </c>
      <c r="F4575" t="s">
        <v>5364</v>
      </c>
      <c r="G4575" t="s">
        <v>5375</v>
      </c>
      <c r="H4575" t="s">
        <v>5130</v>
      </c>
      <c r="J4575" t="s">
        <v>4619</v>
      </c>
      <c r="K4575">
        <v>60.3</v>
      </c>
    </row>
    <row r="4576" spans="1:11" x14ac:dyDescent="0.35">
      <c r="A4576" t="s">
        <v>4620</v>
      </c>
      <c r="B4576" s="1">
        <v>0</v>
      </c>
      <c r="C4576" t="s">
        <v>5339</v>
      </c>
      <c r="D4576" t="s">
        <v>5357</v>
      </c>
      <c r="E4576" t="s">
        <v>5409</v>
      </c>
      <c r="F4576" t="s">
        <v>5364</v>
      </c>
      <c r="G4576" t="s">
        <v>5375</v>
      </c>
      <c r="H4576" t="s">
        <v>5616</v>
      </c>
      <c r="J4576" t="s">
        <v>4620</v>
      </c>
      <c r="K4576">
        <v>60.2</v>
      </c>
    </row>
    <row r="4577" spans="1:11" x14ac:dyDescent="0.35">
      <c r="A4577" t="s">
        <v>4621</v>
      </c>
      <c r="B4577" s="1">
        <v>0</v>
      </c>
      <c r="C4577" t="s">
        <v>5156</v>
      </c>
      <c r="D4577" t="s">
        <v>5357</v>
      </c>
      <c r="E4577" t="s">
        <v>5409</v>
      </c>
      <c r="F4577" t="s">
        <v>5364</v>
      </c>
      <c r="G4577" t="s">
        <v>5375</v>
      </c>
      <c r="H4577" t="s">
        <v>5490</v>
      </c>
      <c r="J4577" t="s">
        <v>4621</v>
      </c>
      <c r="K4577">
        <v>60.1</v>
      </c>
    </row>
    <row r="4578" spans="1:11" x14ac:dyDescent="0.35">
      <c r="A4578" t="s">
        <v>4622</v>
      </c>
      <c r="B4578" s="1">
        <v>0</v>
      </c>
      <c r="C4578" t="s">
        <v>5156</v>
      </c>
      <c r="D4578" t="s">
        <v>5357</v>
      </c>
      <c r="E4578" t="s">
        <v>5409</v>
      </c>
      <c r="F4578" t="s">
        <v>5364</v>
      </c>
      <c r="G4578" t="s">
        <v>5375</v>
      </c>
      <c r="H4578" t="s">
        <v>5490</v>
      </c>
      <c r="J4578" t="s">
        <v>4622</v>
      </c>
      <c r="K4578">
        <v>60.1</v>
      </c>
    </row>
    <row r="4579" spans="1:11" x14ac:dyDescent="0.35">
      <c r="A4579" t="s">
        <v>4623</v>
      </c>
      <c r="B4579" s="1">
        <v>0</v>
      </c>
      <c r="C4579" t="s">
        <v>5156</v>
      </c>
      <c r="D4579" t="s">
        <v>5357</v>
      </c>
      <c r="E4579" t="s">
        <v>5409</v>
      </c>
      <c r="F4579" t="s">
        <v>5364</v>
      </c>
      <c r="G4579" t="s">
        <v>5375</v>
      </c>
      <c r="H4579" t="s">
        <v>5490</v>
      </c>
      <c r="J4579" t="s">
        <v>4623</v>
      </c>
      <c r="K4579">
        <v>60.1</v>
      </c>
    </row>
    <row r="4580" spans="1:11" x14ac:dyDescent="0.35">
      <c r="A4580" t="s">
        <v>4624</v>
      </c>
      <c r="B4580" s="1">
        <v>0</v>
      </c>
      <c r="C4580" t="s">
        <v>5168</v>
      </c>
      <c r="D4580" t="s">
        <v>5357</v>
      </c>
      <c r="E4580" t="s">
        <v>5409</v>
      </c>
      <c r="F4580" t="s">
        <v>5364</v>
      </c>
      <c r="G4580" t="s">
        <v>5375</v>
      </c>
      <c r="H4580" t="s">
        <v>5510</v>
      </c>
      <c r="J4580" t="s">
        <v>4624</v>
      </c>
      <c r="K4580">
        <v>60</v>
      </c>
    </row>
    <row r="4581" spans="1:11" x14ac:dyDescent="0.35">
      <c r="A4581" t="s">
        <v>4625</v>
      </c>
      <c r="B4581" s="1">
        <v>0</v>
      </c>
      <c r="C4581" t="s">
        <v>5168</v>
      </c>
      <c r="D4581" t="s">
        <v>5357</v>
      </c>
      <c r="E4581" t="s">
        <v>5409</v>
      </c>
      <c r="F4581" t="s">
        <v>5364</v>
      </c>
      <c r="G4581" t="s">
        <v>5375</v>
      </c>
      <c r="H4581" t="s">
        <v>5510</v>
      </c>
      <c r="J4581" t="s">
        <v>4625</v>
      </c>
      <c r="K4581">
        <v>60</v>
      </c>
    </row>
    <row r="4582" spans="1:11" x14ac:dyDescent="0.35">
      <c r="A4582" t="s">
        <v>4626</v>
      </c>
      <c r="B4582" s="1">
        <v>0</v>
      </c>
      <c r="C4582" t="s">
        <v>5168</v>
      </c>
      <c r="D4582" t="s">
        <v>5357</v>
      </c>
      <c r="E4582" t="s">
        <v>5409</v>
      </c>
      <c r="F4582" t="s">
        <v>5364</v>
      </c>
      <c r="G4582" t="s">
        <v>5375</v>
      </c>
      <c r="H4582" t="s">
        <v>5510</v>
      </c>
      <c r="J4582" t="s">
        <v>4626</v>
      </c>
      <c r="K4582">
        <v>60</v>
      </c>
    </row>
    <row r="4583" spans="1:11" x14ac:dyDescent="0.35">
      <c r="A4583" t="s">
        <v>4627</v>
      </c>
      <c r="B4583" s="1">
        <v>0</v>
      </c>
      <c r="C4583" t="s">
        <v>5168</v>
      </c>
      <c r="D4583" t="s">
        <v>5357</v>
      </c>
      <c r="E4583" t="s">
        <v>5409</v>
      </c>
      <c r="F4583" t="s">
        <v>5364</v>
      </c>
      <c r="G4583" t="s">
        <v>5375</v>
      </c>
      <c r="H4583" t="s">
        <v>5510</v>
      </c>
      <c r="J4583" t="s">
        <v>4627</v>
      </c>
      <c r="K4583">
        <v>60</v>
      </c>
    </row>
    <row r="4584" spans="1:11" x14ac:dyDescent="0.35">
      <c r="A4584" t="s">
        <v>4628</v>
      </c>
      <c r="B4584" s="1">
        <v>0</v>
      </c>
      <c r="C4584" t="s">
        <v>5168</v>
      </c>
      <c r="D4584" t="s">
        <v>5357</v>
      </c>
      <c r="E4584" t="s">
        <v>5409</v>
      </c>
      <c r="F4584" t="s">
        <v>5364</v>
      </c>
      <c r="G4584" t="s">
        <v>5375</v>
      </c>
      <c r="H4584" t="s">
        <v>5510</v>
      </c>
      <c r="J4584" t="s">
        <v>4628</v>
      </c>
      <c r="K4584">
        <v>60</v>
      </c>
    </row>
    <row r="4585" spans="1:11" x14ac:dyDescent="0.35">
      <c r="A4585" t="s">
        <v>4629</v>
      </c>
      <c r="B4585" s="1">
        <v>0</v>
      </c>
      <c r="C4585" t="s">
        <v>5168</v>
      </c>
      <c r="D4585" t="s">
        <v>5357</v>
      </c>
      <c r="E4585" t="s">
        <v>5409</v>
      </c>
      <c r="F4585" t="s">
        <v>5364</v>
      </c>
      <c r="G4585" t="s">
        <v>5375</v>
      </c>
      <c r="H4585" t="s">
        <v>5510</v>
      </c>
      <c r="J4585" t="s">
        <v>4629</v>
      </c>
      <c r="K4585">
        <v>60</v>
      </c>
    </row>
    <row r="4586" spans="1:11" x14ac:dyDescent="0.35">
      <c r="A4586" t="s">
        <v>4630</v>
      </c>
      <c r="B4586" s="1">
        <v>0</v>
      </c>
      <c r="C4586" t="s">
        <v>5168</v>
      </c>
      <c r="D4586" t="s">
        <v>5357</v>
      </c>
      <c r="E4586" t="s">
        <v>5409</v>
      </c>
      <c r="F4586" t="s">
        <v>5364</v>
      </c>
      <c r="G4586" t="s">
        <v>5375</v>
      </c>
      <c r="H4586" t="s">
        <v>5510</v>
      </c>
      <c r="J4586" t="s">
        <v>4630</v>
      </c>
      <c r="K4586">
        <v>60</v>
      </c>
    </row>
    <row r="4587" spans="1:11" x14ac:dyDescent="0.35">
      <c r="A4587" t="s">
        <v>4631</v>
      </c>
      <c r="B4587" s="1">
        <v>0</v>
      </c>
      <c r="C4587" t="s">
        <v>5168</v>
      </c>
      <c r="D4587" t="s">
        <v>5357</v>
      </c>
      <c r="E4587" t="s">
        <v>5409</v>
      </c>
      <c r="F4587" t="s">
        <v>5364</v>
      </c>
      <c r="G4587" t="s">
        <v>5375</v>
      </c>
      <c r="H4587" t="s">
        <v>5510</v>
      </c>
      <c r="J4587" t="s">
        <v>4631</v>
      </c>
      <c r="K4587">
        <v>60</v>
      </c>
    </row>
    <row r="4588" spans="1:11" x14ac:dyDescent="0.35">
      <c r="A4588" t="s">
        <v>4632</v>
      </c>
      <c r="B4588" s="1">
        <v>0</v>
      </c>
      <c r="C4588" t="s">
        <v>5168</v>
      </c>
      <c r="D4588" t="s">
        <v>5357</v>
      </c>
      <c r="E4588" t="s">
        <v>5409</v>
      </c>
      <c r="F4588" t="s">
        <v>5364</v>
      </c>
      <c r="G4588" t="s">
        <v>5375</v>
      </c>
      <c r="H4588" t="s">
        <v>5510</v>
      </c>
      <c r="J4588" t="s">
        <v>4632</v>
      </c>
      <c r="K4588">
        <v>60</v>
      </c>
    </row>
    <row r="4589" spans="1:11" x14ac:dyDescent="0.35">
      <c r="A4589" t="s">
        <v>4633</v>
      </c>
      <c r="B4589" s="1">
        <v>0</v>
      </c>
      <c r="C4589" t="s">
        <v>5168</v>
      </c>
      <c r="D4589" t="s">
        <v>5357</v>
      </c>
      <c r="E4589" t="s">
        <v>5409</v>
      </c>
      <c r="F4589" t="s">
        <v>5364</v>
      </c>
      <c r="G4589" t="s">
        <v>5375</v>
      </c>
      <c r="H4589" t="s">
        <v>5510</v>
      </c>
      <c r="J4589" t="s">
        <v>4633</v>
      </c>
      <c r="K4589">
        <v>60</v>
      </c>
    </row>
    <row r="4590" spans="1:11" x14ac:dyDescent="0.35">
      <c r="A4590" t="s">
        <v>4634</v>
      </c>
      <c r="B4590" s="1">
        <v>0</v>
      </c>
      <c r="C4590" t="s">
        <v>5168</v>
      </c>
      <c r="D4590" t="s">
        <v>5357</v>
      </c>
      <c r="E4590" t="s">
        <v>5409</v>
      </c>
      <c r="F4590" t="s">
        <v>5364</v>
      </c>
      <c r="G4590" t="s">
        <v>5375</v>
      </c>
      <c r="H4590" t="s">
        <v>5510</v>
      </c>
      <c r="J4590" t="s">
        <v>4634</v>
      </c>
      <c r="K4590">
        <v>60</v>
      </c>
    </row>
    <row r="4591" spans="1:11" x14ac:dyDescent="0.35">
      <c r="A4591" t="s">
        <v>4635</v>
      </c>
      <c r="B4591" s="1">
        <v>0</v>
      </c>
      <c r="C4591" t="s">
        <v>5168</v>
      </c>
      <c r="D4591" t="s">
        <v>5357</v>
      </c>
      <c r="E4591" t="s">
        <v>5409</v>
      </c>
      <c r="F4591" t="s">
        <v>5364</v>
      </c>
      <c r="G4591" t="s">
        <v>5375</v>
      </c>
      <c r="H4591" t="s">
        <v>5510</v>
      </c>
      <c r="J4591" t="s">
        <v>4635</v>
      </c>
      <c r="K4591">
        <v>60</v>
      </c>
    </row>
    <row r="4592" spans="1:11" x14ac:dyDescent="0.35">
      <c r="A4592" t="s">
        <v>4636</v>
      </c>
      <c r="B4592" s="1">
        <v>0</v>
      </c>
      <c r="C4592" t="s">
        <v>5168</v>
      </c>
      <c r="D4592" t="s">
        <v>5357</v>
      </c>
      <c r="E4592" t="s">
        <v>5409</v>
      </c>
      <c r="F4592" t="s">
        <v>5364</v>
      </c>
      <c r="G4592" t="s">
        <v>5375</v>
      </c>
      <c r="H4592" t="s">
        <v>5510</v>
      </c>
      <c r="J4592" t="s">
        <v>4636</v>
      </c>
      <c r="K4592">
        <v>60</v>
      </c>
    </row>
    <row r="4593" spans="1:11" x14ac:dyDescent="0.35">
      <c r="A4593" t="s">
        <v>4637</v>
      </c>
      <c r="B4593" s="1">
        <v>0</v>
      </c>
      <c r="C4593" t="s">
        <v>5168</v>
      </c>
      <c r="D4593" t="s">
        <v>5357</v>
      </c>
      <c r="E4593" t="s">
        <v>5409</v>
      </c>
      <c r="F4593" t="s">
        <v>5364</v>
      </c>
      <c r="G4593" t="s">
        <v>5375</v>
      </c>
      <c r="H4593" t="s">
        <v>5510</v>
      </c>
      <c r="J4593" t="s">
        <v>4637</v>
      </c>
      <c r="K4593">
        <v>60</v>
      </c>
    </row>
    <row r="4594" spans="1:11" x14ac:dyDescent="0.35">
      <c r="A4594" t="s">
        <v>4638</v>
      </c>
      <c r="B4594" s="1">
        <v>0</v>
      </c>
      <c r="C4594" t="s">
        <v>5168</v>
      </c>
      <c r="D4594" t="s">
        <v>5357</v>
      </c>
      <c r="E4594" t="s">
        <v>5409</v>
      </c>
      <c r="F4594" t="s">
        <v>5364</v>
      </c>
      <c r="G4594" t="s">
        <v>5375</v>
      </c>
      <c r="H4594" t="s">
        <v>5510</v>
      </c>
      <c r="J4594" t="s">
        <v>4638</v>
      </c>
      <c r="K4594">
        <v>60</v>
      </c>
    </row>
    <row r="4595" spans="1:11" x14ac:dyDescent="0.35">
      <c r="A4595" t="s">
        <v>4639</v>
      </c>
      <c r="B4595" s="1">
        <v>0</v>
      </c>
      <c r="C4595" t="s">
        <v>5168</v>
      </c>
      <c r="D4595" t="s">
        <v>5357</v>
      </c>
      <c r="E4595" t="s">
        <v>5409</v>
      </c>
      <c r="F4595" t="s">
        <v>5364</v>
      </c>
      <c r="G4595" t="s">
        <v>5375</v>
      </c>
      <c r="H4595" t="s">
        <v>5510</v>
      </c>
      <c r="J4595" t="s">
        <v>4639</v>
      </c>
      <c r="K4595">
        <v>60</v>
      </c>
    </row>
    <row r="4596" spans="1:11" x14ac:dyDescent="0.35">
      <c r="A4596" t="s">
        <v>4640</v>
      </c>
      <c r="B4596" s="1">
        <v>0</v>
      </c>
      <c r="C4596" t="s">
        <v>5168</v>
      </c>
      <c r="D4596" t="s">
        <v>5357</v>
      </c>
      <c r="E4596" t="s">
        <v>5409</v>
      </c>
      <c r="F4596" t="s">
        <v>5364</v>
      </c>
      <c r="G4596" t="s">
        <v>5375</v>
      </c>
      <c r="H4596" t="s">
        <v>5510</v>
      </c>
      <c r="J4596" t="s">
        <v>4640</v>
      </c>
      <c r="K4596">
        <v>60</v>
      </c>
    </row>
    <row r="4597" spans="1:11" x14ac:dyDescent="0.35">
      <c r="A4597" s="2">
        <v>44409</v>
      </c>
      <c r="B4597" s="1">
        <v>0</v>
      </c>
      <c r="C4597" t="s">
        <v>5168</v>
      </c>
      <c r="D4597" t="s">
        <v>5357</v>
      </c>
      <c r="E4597" t="s">
        <v>5409</v>
      </c>
      <c r="F4597" t="s">
        <v>5364</v>
      </c>
      <c r="G4597" t="s">
        <v>5375</v>
      </c>
      <c r="H4597" t="s">
        <v>5510</v>
      </c>
      <c r="J4597" s="2">
        <v>44409</v>
      </c>
      <c r="K4597">
        <v>60</v>
      </c>
    </row>
    <row r="4598" spans="1:11" x14ac:dyDescent="0.35">
      <c r="A4598" s="2">
        <v>44410</v>
      </c>
      <c r="B4598" s="1">
        <v>0</v>
      </c>
      <c r="C4598" t="s">
        <v>5397</v>
      </c>
      <c r="D4598" t="s">
        <v>5168</v>
      </c>
      <c r="E4598" t="s">
        <v>5357</v>
      </c>
      <c r="F4598" t="s">
        <v>5383</v>
      </c>
      <c r="G4598" t="s">
        <v>5888</v>
      </c>
      <c r="H4598" t="s">
        <v>5634</v>
      </c>
      <c r="J4598" s="2">
        <v>44410</v>
      </c>
      <c r="K4598">
        <v>65</v>
      </c>
    </row>
    <row r="4599" spans="1:11" x14ac:dyDescent="0.35">
      <c r="A4599" s="2">
        <v>44411</v>
      </c>
      <c r="B4599" s="1">
        <v>0</v>
      </c>
      <c r="C4599" t="s">
        <v>5397</v>
      </c>
      <c r="D4599" t="s">
        <v>5168</v>
      </c>
      <c r="E4599" t="s">
        <v>5357</v>
      </c>
      <c r="F4599" t="s">
        <v>5383</v>
      </c>
      <c r="G4599" t="s">
        <v>5888</v>
      </c>
      <c r="H4599" t="s">
        <v>5634</v>
      </c>
      <c r="J4599" s="2">
        <v>44411</v>
      </c>
      <c r="K4599">
        <v>65</v>
      </c>
    </row>
    <row r="4600" spans="1:11" x14ac:dyDescent="0.35">
      <c r="A4600" s="2">
        <v>44412</v>
      </c>
      <c r="B4600" s="1">
        <v>0</v>
      </c>
      <c r="C4600" t="s">
        <v>5342</v>
      </c>
      <c r="D4600" t="s">
        <v>5156</v>
      </c>
      <c r="E4600" t="s">
        <v>5357</v>
      </c>
      <c r="F4600" t="s">
        <v>5383</v>
      </c>
      <c r="G4600" t="s">
        <v>5888</v>
      </c>
      <c r="H4600" t="s">
        <v>5565</v>
      </c>
      <c r="J4600" s="2">
        <v>44412</v>
      </c>
      <c r="K4600">
        <v>65.3</v>
      </c>
    </row>
    <row r="4601" spans="1:11" x14ac:dyDescent="0.35">
      <c r="A4601" s="2">
        <v>44413</v>
      </c>
      <c r="B4601" s="1">
        <v>0</v>
      </c>
      <c r="C4601" t="s">
        <v>5291</v>
      </c>
      <c r="D4601" t="s">
        <v>5156</v>
      </c>
      <c r="E4601" t="s">
        <v>5357</v>
      </c>
      <c r="F4601" t="s">
        <v>5383</v>
      </c>
      <c r="G4601" t="s">
        <v>5888</v>
      </c>
      <c r="H4601" t="s">
        <v>5265</v>
      </c>
      <c r="J4601" s="2">
        <v>44413</v>
      </c>
      <c r="K4601">
        <v>65.900000000000006</v>
      </c>
    </row>
    <row r="4602" spans="1:11" x14ac:dyDescent="0.35">
      <c r="A4602" s="2">
        <v>44414</v>
      </c>
      <c r="B4602" s="1">
        <v>0</v>
      </c>
      <c r="C4602" t="s">
        <v>5240</v>
      </c>
      <c r="D4602" t="s">
        <v>5156</v>
      </c>
      <c r="E4602" t="s">
        <v>5357</v>
      </c>
      <c r="F4602" t="s">
        <v>5383</v>
      </c>
      <c r="G4602" t="s">
        <v>5885</v>
      </c>
      <c r="H4602" t="s">
        <v>383</v>
      </c>
      <c r="J4602" s="2">
        <v>44414</v>
      </c>
      <c r="K4602">
        <v>67.3</v>
      </c>
    </row>
    <row r="4603" spans="1:11" x14ac:dyDescent="0.35">
      <c r="A4603" s="2">
        <v>44415</v>
      </c>
      <c r="B4603" s="1">
        <v>0</v>
      </c>
      <c r="C4603" t="s">
        <v>5116</v>
      </c>
      <c r="D4603" t="s">
        <v>5168</v>
      </c>
      <c r="E4603" t="s">
        <v>5357</v>
      </c>
      <c r="F4603" t="s">
        <v>5383</v>
      </c>
      <c r="G4603" t="s">
        <v>5879</v>
      </c>
      <c r="H4603" t="s">
        <v>5463</v>
      </c>
      <c r="J4603" s="2">
        <v>44415</v>
      </c>
      <c r="K4603">
        <v>69</v>
      </c>
    </row>
    <row r="4604" spans="1:11" x14ac:dyDescent="0.35">
      <c r="A4604" s="2">
        <v>44416</v>
      </c>
      <c r="B4604" s="1">
        <v>0</v>
      </c>
      <c r="C4604" t="s">
        <v>5501</v>
      </c>
      <c r="D4604" t="s">
        <v>5168</v>
      </c>
      <c r="E4604" t="s">
        <v>5357</v>
      </c>
      <c r="F4604" t="s">
        <v>5383</v>
      </c>
      <c r="G4604" t="s">
        <v>5886</v>
      </c>
      <c r="H4604" t="s">
        <v>379</v>
      </c>
      <c r="J4604" s="2">
        <v>44416</v>
      </c>
      <c r="K4604">
        <v>70.599999999999994</v>
      </c>
    </row>
    <row r="4605" spans="1:11" x14ac:dyDescent="0.35">
      <c r="A4605" s="2">
        <v>44417</v>
      </c>
      <c r="B4605" s="1">
        <v>0</v>
      </c>
      <c r="C4605" t="s">
        <v>5332</v>
      </c>
      <c r="D4605" t="s">
        <v>5168</v>
      </c>
      <c r="E4605" t="s">
        <v>5357</v>
      </c>
      <c r="F4605" t="s">
        <v>5383</v>
      </c>
      <c r="G4605" t="s">
        <v>5880</v>
      </c>
      <c r="H4605" t="s">
        <v>423</v>
      </c>
      <c r="J4605" s="2">
        <v>44417</v>
      </c>
      <c r="K4605">
        <v>70.5</v>
      </c>
    </row>
    <row r="4606" spans="1:11" x14ac:dyDescent="0.35">
      <c r="A4606" s="2">
        <v>44418</v>
      </c>
      <c r="B4606" s="1">
        <v>0</v>
      </c>
      <c r="C4606" t="s">
        <v>5092</v>
      </c>
      <c r="D4606" t="s">
        <v>5168</v>
      </c>
      <c r="E4606" t="s">
        <v>5357</v>
      </c>
      <c r="F4606" t="s">
        <v>5383</v>
      </c>
      <c r="G4606" t="s">
        <v>5886</v>
      </c>
      <c r="H4606" t="s">
        <v>5267</v>
      </c>
      <c r="J4606" s="2">
        <v>44418</v>
      </c>
      <c r="K4606">
        <v>69.400000000000006</v>
      </c>
    </row>
    <row r="4607" spans="1:11" x14ac:dyDescent="0.35">
      <c r="A4607" s="2">
        <v>44419</v>
      </c>
      <c r="B4607" s="1">
        <v>0</v>
      </c>
      <c r="C4607" t="s">
        <v>5475</v>
      </c>
      <c r="D4607" t="s">
        <v>5168</v>
      </c>
      <c r="E4607" t="s">
        <v>5357</v>
      </c>
      <c r="F4607" t="s">
        <v>5383</v>
      </c>
      <c r="G4607" t="s">
        <v>5883</v>
      </c>
      <c r="H4607" t="s">
        <v>5560</v>
      </c>
      <c r="J4607" s="2">
        <v>44419</v>
      </c>
      <c r="K4607">
        <v>68.400000000000006</v>
      </c>
    </row>
    <row r="4608" spans="1:11" x14ac:dyDescent="0.35">
      <c r="A4608" s="2">
        <v>44420</v>
      </c>
      <c r="B4608" s="1">
        <v>0</v>
      </c>
      <c r="C4608" t="s">
        <v>5136</v>
      </c>
      <c r="D4608" t="s">
        <v>5432</v>
      </c>
      <c r="E4608" t="s">
        <v>5184</v>
      </c>
      <c r="F4608" t="s">
        <v>5383</v>
      </c>
      <c r="G4608" t="s">
        <v>5879</v>
      </c>
      <c r="H4608" t="s">
        <v>1488</v>
      </c>
      <c r="J4608" s="2">
        <v>44420</v>
      </c>
      <c r="K4608">
        <v>71</v>
      </c>
    </row>
    <row r="4609" spans="1:11" x14ac:dyDescent="0.35">
      <c r="A4609" s="2">
        <v>44421</v>
      </c>
      <c r="B4609" s="1">
        <v>0</v>
      </c>
      <c r="C4609" t="s">
        <v>5293</v>
      </c>
      <c r="D4609" t="s">
        <v>5224</v>
      </c>
      <c r="E4609" t="s">
        <v>5337</v>
      </c>
      <c r="F4609" t="s">
        <v>5383</v>
      </c>
      <c r="G4609" t="s">
        <v>5879</v>
      </c>
      <c r="H4609" t="s">
        <v>1053</v>
      </c>
      <c r="J4609" s="2">
        <v>44421</v>
      </c>
      <c r="K4609">
        <v>78.5</v>
      </c>
    </row>
    <row r="4610" spans="1:11" x14ac:dyDescent="0.35">
      <c r="A4610" s="2">
        <v>44422</v>
      </c>
      <c r="B4610" s="1">
        <v>0</v>
      </c>
      <c r="C4610" t="s">
        <v>5420</v>
      </c>
      <c r="D4610" t="s">
        <v>5183</v>
      </c>
      <c r="E4610" t="s">
        <v>5315</v>
      </c>
      <c r="F4610" t="s">
        <v>5383</v>
      </c>
      <c r="G4610" t="s">
        <v>5879</v>
      </c>
      <c r="H4610" t="s">
        <v>348</v>
      </c>
      <c r="J4610" s="2">
        <v>44422</v>
      </c>
      <c r="K4610">
        <v>86.6</v>
      </c>
    </row>
    <row r="4611" spans="1:11" x14ac:dyDescent="0.35">
      <c r="A4611" s="2">
        <v>44423</v>
      </c>
      <c r="B4611" s="1">
        <v>0</v>
      </c>
      <c r="C4611" t="s">
        <v>5303</v>
      </c>
      <c r="D4611" t="s">
        <v>5095</v>
      </c>
      <c r="E4611" t="s">
        <v>5294</v>
      </c>
      <c r="F4611" t="s">
        <v>5383</v>
      </c>
      <c r="G4611" t="s">
        <v>5879</v>
      </c>
      <c r="H4611" t="s">
        <v>475</v>
      </c>
      <c r="J4611" s="2">
        <v>44423</v>
      </c>
      <c r="K4611">
        <v>88</v>
      </c>
    </row>
    <row r="4612" spans="1:11" x14ac:dyDescent="0.35">
      <c r="A4612" s="2">
        <v>44424</v>
      </c>
      <c r="B4612" s="1">
        <v>0</v>
      </c>
      <c r="C4612" t="s">
        <v>5299</v>
      </c>
      <c r="D4612" t="s">
        <v>5183</v>
      </c>
      <c r="E4612" t="s">
        <v>5342</v>
      </c>
      <c r="F4612" t="s">
        <v>5383</v>
      </c>
      <c r="G4612" t="s">
        <v>5879</v>
      </c>
      <c r="H4612" t="s">
        <v>1534</v>
      </c>
      <c r="J4612" s="2">
        <v>44424</v>
      </c>
      <c r="K4612">
        <v>84.7</v>
      </c>
    </row>
    <row r="4613" spans="1:11" x14ac:dyDescent="0.35">
      <c r="A4613" s="2">
        <v>44425</v>
      </c>
      <c r="B4613" s="1">
        <v>0</v>
      </c>
      <c r="C4613" t="s">
        <v>5047</v>
      </c>
      <c r="D4613" t="s">
        <v>5046</v>
      </c>
      <c r="E4613" t="s">
        <v>5432</v>
      </c>
      <c r="F4613" t="s">
        <v>5383</v>
      </c>
      <c r="G4613" t="s">
        <v>5879</v>
      </c>
      <c r="H4613" t="s">
        <v>1044</v>
      </c>
      <c r="J4613" s="2">
        <v>44425</v>
      </c>
      <c r="K4613">
        <v>79.2</v>
      </c>
    </row>
    <row r="4614" spans="1:11" x14ac:dyDescent="0.35">
      <c r="A4614" s="2">
        <v>44426</v>
      </c>
      <c r="B4614" s="1">
        <v>0</v>
      </c>
      <c r="C4614" t="s">
        <v>5149</v>
      </c>
      <c r="D4614" t="s">
        <v>5321</v>
      </c>
      <c r="E4614" t="s">
        <v>5339</v>
      </c>
      <c r="F4614" t="s">
        <v>5383</v>
      </c>
      <c r="G4614" t="s">
        <v>5883</v>
      </c>
      <c r="H4614" t="s">
        <v>2581</v>
      </c>
      <c r="J4614" s="2">
        <v>44426</v>
      </c>
      <c r="K4614">
        <v>76</v>
      </c>
    </row>
    <row r="4615" spans="1:11" x14ac:dyDescent="0.35">
      <c r="A4615" s="2">
        <v>44427</v>
      </c>
      <c r="B4615" s="1">
        <v>0</v>
      </c>
      <c r="C4615" t="s">
        <v>5526</v>
      </c>
      <c r="D4615" t="s">
        <v>5230</v>
      </c>
      <c r="E4615" t="s">
        <v>5337</v>
      </c>
      <c r="F4615" t="s">
        <v>5383</v>
      </c>
      <c r="G4615" t="s">
        <v>5886</v>
      </c>
      <c r="H4615" t="s">
        <v>1914</v>
      </c>
      <c r="J4615" s="2">
        <v>44427</v>
      </c>
      <c r="K4615">
        <v>77.7</v>
      </c>
    </row>
    <row r="4616" spans="1:11" x14ac:dyDescent="0.35">
      <c r="A4616" s="2">
        <v>44428</v>
      </c>
      <c r="B4616" s="1">
        <v>0</v>
      </c>
      <c r="C4616" t="s">
        <v>5424</v>
      </c>
      <c r="D4616" t="s">
        <v>5215</v>
      </c>
      <c r="E4616" t="s">
        <v>5140</v>
      </c>
      <c r="F4616" t="s">
        <v>5383</v>
      </c>
      <c r="G4616" t="s">
        <v>5882</v>
      </c>
      <c r="H4616" t="s">
        <v>1059</v>
      </c>
      <c r="J4616" s="2">
        <v>44428</v>
      </c>
      <c r="K4616">
        <v>82.8</v>
      </c>
    </row>
    <row r="4617" spans="1:11" x14ac:dyDescent="0.35">
      <c r="A4617" s="2">
        <v>44429</v>
      </c>
      <c r="B4617" s="1">
        <v>0</v>
      </c>
      <c r="C4617" t="s">
        <v>5181</v>
      </c>
      <c r="D4617" t="s">
        <v>5493</v>
      </c>
      <c r="E4617" t="s">
        <v>5315</v>
      </c>
      <c r="F4617" t="s">
        <v>5383</v>
      </c>
      <c r="G4617" t="s">
        <v>5881</v>
      </c>
      <c r="H4617" t="s">
        <v>982</v>
      </c>
      <c r="J4617" s="2">
        <v>44429</v>
      </c>
      <c r="K4617">
        <v>88.7</v>
      </c>
    </row>
    <row r="4618" spans="1:11" x14ac:dyDescent="0.35">
      <c r="A4618" s="2">
        <v>44430</v>
      </c>
      <c r="B4618" s="1">
        <v>0</v>
      </c>
      <c r="C4618" t="s">
        <v>5306</v>
      </c>
      <c r="D4618" t="s">
        <v>5158</v>
      </c>
      <c r="E4618" t="s">
        <v>5288</v>
      </c>
      <c r="F4618" t="s">
        <v>5383</v>
      </c>
      <c r="G4618" t="s">
        <v>5367</v>
      </c>
      <c r="H4618" t="s">
        <v>468</v>
      </c>
      <c r="J4618" s="2">
        <v>44430</v>
      </c>
      <c r="K4618">
        <v>94.4</v>
      </c>
    </row>
    <row r="4619" spans="1:11" x14ac:dyDescent="0.35">
      <c r="A4619" s="2">
        <v>44431</v>
      </c>
      <c r="B4619" s="1">
        <v>0</v>
      </c>
      <c r="C4619" t="s">
        <v>5276</v>
      </c>
      <c r="D4619" t="s">
        <v>5163</v>
      </c>
      <c r="E4619" t="s">
        <v>5224</v>
      </c>
      <c r="F4619" t="s">
        <v>5383</v>
      </c>
      <c r="G4619" t="s">
        <v>5369</v>
      </c>
      <c r="H4619" t="s">
        <v>1468</v>
      </c>
      <c r="J4619" s="2">
        <v>44431</v>
      </c>
      <c r="K4619">
        <v>97.9</v>
      </c>
    </row>
    <row r="4620" spans="1:11" x14ac:dyDescent="0.35">
      <c r="A4620" s="2">
        <v>44432</v>
      </c>
      <c r="B4620" s="1">
        <v>0</v>
      </c>
      <c r="C4620" t="s">
        <v>5118</v>
      </c>
      <c r="D4620" t="s">
        <v>5331</v>
      </c>
      <c r="E4620" t="s">
        <v>5224</v>
      </c>
      <c r="F4620" t="s">
        <v>5383</v>
      </c>
      <c r="G4620" t="s">
        <v>5362</v>
      </c>
      <c r="H4620" t="s">
        <v>4643</v>
      </c>
      <c r="J4620" s="2">
        <v>44432</v>
      </c>
      <c r="K4620">
        <v>100.1</v>
      </c>
    </row>
    <row r="4621" spans="1:11" x14ac:dyDescent="0.35">
      <c r="A4621" s="2">
        <v>44433</v>
      </c>
      <c r="B4621" s="1">
        <v>0</v>
      </c>
      <c r="C4621" t="s">
        <v>5157</v>
      </c>
      <c r="D4621" t="s">
        <v>5331</v>
      </c>
      <c r="E4621" t="s">
        <v>5224</v>
      </c>
      <c r="F4621" t="s">
        <v>5379</v>
      </c>
      <c r="G4621" t="s">
        <v>5377</v>
      </c>
      <c r="H4621" t="s">
        <v>315</v>
      </c>
      <c r="J4621" s="2">
        <v>44433</v>
      </c>
      <c r="K4621">
        <v>103.1</v>
      </c>
    </row>
    <row r="4622" spans="1:11" x14ac:dyDescent="0.35">
      <c r="A4622" s="2">
        <v>44434</v>
      </c>
      <c r="B4622" s="1">
        <v>0</v>
      </c>
      <c r="C4622" t="s">
        <v>5440</v>
      </c>
      <c r="D4622" t="s">
        <v>5338</v>
      </c>
      <c r="E4622" t="s">
        <v>5321</v>
      </c>
      <c r="F4622" t="s">
        <v>5379</v>
      </c>
      <c r="G4622" t="s">
        <v>5388</v>
      </c>
      <c r="H4622" t="s">
        <v>3806</v>
      </c>
      <c r="J4622" s="2">
        <v>44434</v>
      </c>
      <c r="K4622">
        <v>103.8</v>
      </c>
    </row>
    <row r="4623" spans="1:11" x14ac:dyDescent="0.35">
      <c r="A4623" s="2">
        <v>44435</v>
      </c>
      <c r="B4623" s="1">
        <v>0</v>
      </c>
      <c r="C4623" t="s">
        <v>5281</v>
      </c>
      <c r="D4623" t="s">
        <v>5338</v>
      </c>
      <c r="E4623" t="s">
        <v>5321</v>
      </c>
      <c r="F4623" t="s">
        <v>5383</v>
      </c>
      <c r="G4623" t="s">
        <v>5376</v>
      </c>
      <c r="H4623" t="s">
        <v>4903</v>
      </c>
      <c r="J4623" s="2">
        <v>44435</v>
      </c>
      <c r="K4623">
        <v>102.8</v>
      </c>
    </row>
    <row r="4624" spans="1:11" x14ac:dyDescent="0.35">
      <c r="A4624" s="2">
        <v>44436</v>
      </c>
      <c r="B4624" s="1">
        <v>0</v>
      </c>
      <c r="C4624" t="s">
        <v>5111</v>
      </c>
      <c r="D4624" t="s">
        <v>5149</v>
      </c>
      <c r="E4624" t="s">
        <v>5172</v>
      </c>
      <c r="F4624" t="s">
        <v>5383</v>
      </c>
      <c r="G4624" t="s">
        <v>5383</v>
      </c>
      <c r="H4624" t="s">
        <v>3805</v>
      </c>
      <c r="J4624" s="2">
        <v>44436</v>
      </c>
      <c r="K4624">
        <v>103.7</v>
      </c>
    </row>
    <row r="4625" spans="1:11" x14ac:dyDescent="0.35">
      <c r="A4625" s="2">
        <v>44437</v>
      </c>
      <c r="B4625" s="1">
        <v>0</v>
      </c>
      <c r="C4625" t="s">
        <v>5473</v>
      </c>
      <c r="D4625" t="s">
        <v>5549</v>
      </c>
      <c r="E4625" t="s">
        <v>5050</v>
      </c>
      <c r="F4625" t="s">
        <v>5383</v>
      </c>
      <c r="G4625" t="s">
        <v>5381</v>
      </c>
      <c r="H4625" t="s">
        <v>3803</v>
      </c>
      <c r="J4625" s="2">
        <v>44437</v>
      </c>
      <c r="K4625">
        <v>105.3</v>
      </c>
    </row>
    <row r="4626" spans="1:11" x14ac:dyDescent="0.35">
      <c r="A4626" s="2">
        <v>44438</v>
      </c>
      <c r="B4626" s="1">
        <v>0</v>
      </c>
      <c r="C4626" t="s">
        <v>5137</v>
      </c>
      <c r="D4626" t="s">
        <v>5429</v>
      </c>
      <c r="E4626" t="s">
        <v>5050</v>
      </c>
      <c r="F4626" t="s">
        <v>5383</v>
      </c>
      <c r="G4626" t="s">
        <v>5381</v>
      </c>
      <c r="H4626" t="s">
        <v>5600</v>
      </c>
      <c r="J4626" s="2">
        <v>44438</v>
      </c>
      <c r="K4626">
        <v>106.5</v>
      </c>
    </row>
    <row r="4627" spans="1:11" x14ac:dyDescent="0.35">
      <c r="A4627" s="2">
        <v>44439</v>
      </c>
      <c r="B4627" s="1">
        <v>0</v>
      </c>
      <c r="C4627" t="s">
        <v>5154</v>
      </c>
      <c r="D4627" t="s">
        <v>5547</v>
      </c>
      <c r="E4627" t="s">
        <v>5240</v>
      </c>
      <c r="F4627" t="s">
        <v>5383</v>
      </c>
      <c r="G4627" t="s">
        <v>5379</v>
      </c>
      <c r="H4627" t="s">
        <v>312</v>
      </c>
      <c r="J4627" s="2">
        <v>44439</v>
      </c>
      <c r="K4627">
        <v>108.2</v>
      </c>
    </row>
    <row r="4628" spans="1:11" x14ac:dyDescent="0.35">
      <c r="A4628" t="s">
        <v>4646</v>
      </c>
      <c r="B4628" s="1">
        <v>0</v>
      </c>
      <c r="C4628" t="s">
        <v>5450</v>
      </c>
      <c r="D4628" t="s">
        <v>5421</v>
      </c>
      <c r="E4628" t="s">
        <v>5240</v>
      </c>
      <c r="F4628" t="s">
        <v>5379</v>
      </c>
      <c r="G4628" t="s">
        <v>5383</v>
      </c>
      <c r="H4628" t="s">
        <v>2227</v>
      </c>
      <c r="J4628" t="s">
        <v>4646</v>
      </c>
      <c r="K4628">
        <v>108.5</v>
      </c>
    </row>
    <row r="4629" spans="1:11" x14ac:dyDescent="0.35">
      <c r="A4629" t="s">
        <v>4648</v>
      </c>
      <c r="B4629" s="1">
        <v>0</v>
      </c>
      <c r="C4629" t="s">
        <v>5518</v>
      </c>
      <c r="D4629" t="s">
        <v>5049</v>
      </c>
      <c r="E4629" t="s">
        <v>5316</v>
      </c>
      <c r="F4629" t="s">
        <v>5156</v>
      </c>
      <c r="G4629" t="s">
        <v>5402</v>
      </c>
      <c r="H4629" t="s">
        <v>129</v>
      </c>
      <c r="J4629" t="s">
        <v>4648</v>
      </c>
      <c r="K4629">
        <v>131.19999999999999</v>
      </c>
    </row>
    <row r="4630" spans="1:11" x14ac:dyDescent="0.35">
      <c r="A4630" t="s">
        <v>4649</v>
      </c>
      <c r="B4630" s="1">
        <v>0</v>
      </c>
      <c r="C4630" t="s">
        <v>5366</v>
      </c>
      <c r="D4630" t="s">
        <v>5322</v>
      </c>
      <c r="E4630" t="s">
        <v>5191</v>
      </c>
      <c r="F4630" t="s">
        <v>5168</v>
      </c>
      <c r="G4630" t="s">
        <v>5395</v>
      </c>
      <c r="H4630" t="s">
        <v>515</v>
      </c>
      <c r="J4630" t="s">
        <v>4649</v>
      </c>
      <c r="K4630">
        <v>127.9</v>
      </c>
    </row>
    <row r="4631" spans="1:11" x14ac:dyDescent="0.35">
      <c r="A4631" t="s">
        <v>4650</v>
      </c>
      <c r="B4631" s="1">
        <v>0</v>
      </c>
      <c r="C4631" t="s">
        <v>5374</v>
      </c>
      <c r="D4631" t="s">
        <v>5322</v>
      </c>
      <c r="E4631" t="s">
        <v>5191</v>
      </c>
      <c r="F4631" t="s">
        <v>5168</v>
      </c>
      <c r="G4631" t="s">
        <v>5396</v>
      </c>
      <c r="H4631" t="s">
        <v>503</v>
      </c>
      <c r="J4631" t="s">
        <v>4650</v>
      </c>
      <c r="K4631">
        <v>126.7</v>
      </c>
    </row>
    <row r="4632" spans="1:11" x14ac:dyDescent="0.35">
      <c r="A4632" t="s">
        <v>4651</v>
      </c>
      <c r="B4632" s="1">
        <v>0</v>
      </c>
      <c r="C4632" t="s">
        <v>5083</v>
      </c>
      <c r="D4632" t="s">
        <v>5305</v>
      </c>
      <c r="E4632" t="s">
        <v>5191</v>
      </c>
      <c r="F4632" t="s">
        <v>5156</v>
      </c>
      <c r="G4632" t="s">
        <v>5396</v>
      </c>
      <c r="H4632" t="s">
        <v>304</v>
      </c>
      <c r="J4632" t="s">
        <v>4651</v>
      </c>
      <c r="K4632">
        <v>128.30000000000001</v>
      </c>
    </row>
    <row r="4633" spans="1:11" x14ac:dyDescent="0.35">
      <c r="A4633" t="s">
        <v>4652</v>
      </c>
      <c r="B4633" s="1">
        <v>0</v>
      </c>
      <c r="C4633" t="s">
        <v>5091</v>
      </c>
      <c r="D4633" t="s">
        <v>5284</v>
      </c>
      <c r="E4633" t="s">
        <v>5147</v>
      </c>
      <c r="F4633" t="s">
        <v>5156</v>
      </c>
      <c r="G4633" t="s">
        <v>5395</v>
      </c>
      <c r="H4633" t="s">
        <v>282</v>
      </c>
      <c r="J4633" t="s">
        <v>4652</v>
      </c>
      <c r="K4633">
        <v>133.5</v>
      </c>
    </row>
    <row r="4634" spans="1:11" x14ac:dyDescent="0.35">
      <c r="A4634" t="s">
        <v>4653</v>
      </c>
      <c r="B4634" s="1">
        <v>0</v>
      </c>
      <c r="C4634" t="s">
        <v>5520</v>
      </c>
      <c r="D4634" t="s">
        <v>5418</v>
      </c>
      <c r="E4634" t="s">
        <v>5598</v>
      </c>
      <c r="F4634" t="s">
        <v>5156</v>
      </c>
      <c r="G4634" t="s">
        <v>5413</v>
      </c>
      <c r="H4634" t="s">
        <v>961</v>
      </c>
      <c r="J4634" t="s">
        <v>4653</v>
      </c>
      <c r="K4634">
        <v>141.9</v>
      </c>
    </row>
    <row r="4635" spans="1:11" x14ac:dyDescent="0.35">
      <c r="A4635" t="s">
        <v>4654</v>
      </c>
      <c r="B4635" s="1">
        <v>0</v>
      </c>
      <c r="C4635" t="s">
        <v>5585</v>
      </c>
      <c r="D4635" t="s">
        <v>5073</v>
      </c>
      <c r="E4635" t="s">
        <v>5047</v>
      </c>
      <c r="F4635" t="s">
        <v>5156</v>
      </c>
      <c r="G4635" t="s">
        <v>5419</v>
      </c>
      <c r="H4635" t="s">
        <v>283</v>
      </c>
      <c r="J4635" t="s">
        <v>4654</v>
      </c>
      <c r="K4635">
        <v>149.30000000000001</v>
      </c>
    </row>
    <row r="4636" spans="1:11" x14ac:dyDescent="0.35">
      <c r="A4636" t="s">
        <v>4655</v>
      </c>
      <c r="B4636" s="1">
        <v>0</v>
      </c>
      <c r="C4636" t="s">
        <v>5465</v>
      </c>
      <c r="D4636" t="s">
        <v>5323</v>
      </c>
      <c r="E4636" t="s">
        <v>5139</v>
      </c>
      <c r="F4636" t="s">
        <v>5156</v>
      </c>
      <c r="G4636" t="s">
        <v>5357</v>
      </c>
      <c r="H4636" t="s">
        <v>1981</v>
      </c>
      <c r="J4636" t="s">
        <v>4655</v>
      </c>
      <c r="K4636">
        <v>156.9</v>
      </c>
    </row>
    <row r="4637" spans="1:11" x14ac:dyDescent="0.35">
      <c r="A4637" t="s">
        <v>4656</v>
      </c>
      <c r="B4637" s="1">
        <v>0</v>
      </c>
      <c r="C4637" t="s">
        <v>5465</v>
      </c>
      <c r="D4637" t="s">
        <v>5204</v>
      </c>
      <c r="E4637" t="s">
        <v>5317</v>
      </c>
      <c r="F4637" t="s">
        <v>5156</v>
      </c>
      <c r="G4637" t="s">
        <v>5189</v>
      </c>
      <c r="H4637" t="s">
        <v>884</v>
      </c>
      <c r="J4637" t="s">
        <v>4656</v>
      </c>
      <c r="K4637">
        <v>156.6</v>
      </c>
    </row>
    <row r="4638" spans="1:11" x14ac:dyDescent="0.35">
      <c r="A4638" t="s">
        <v>4657</v>
      </c>
      <c r="B4638" s="1">
        <v>0</v>
      </c>
      <c r="C4638" t="s">
        <v>5604</v>
      </c>
      <c r="D4638" t="s">
        <v>5169</v>
      </c>
      <c r="E4638" t="s">
        <v>5143</v>
      </c>
      <c r="F4638" t="s">
        <v>5156</v>
      </c>
      <c r="G4638" t="s">
        <v>5357</v>
      </c>
      <c r="H4638" t="s">
        <v>156</v>
      </c>
      <c r="J4638" t="s">
        <v>4657</v>
      </c>
      <c r="K4638">
        <v>151.9</v>
      </c>
    </row>
    <row r="4639" spans="1:11" x14ac:dyDescent="0.35">
      <c r="A4639" t="s">
        <v>4658</v>
      </c>
      <c r="B4639" s="1">
        <v>0</v>
      </c>
      <c r="C4639" t="s">
        <v>5629</v>
      </c>
      <c r="D4639" t="s">
        <v>5568</v>
      </c>
      <c r="E4639" t="s">
        <v>5549</v>
      </c>
      <c r="F4639" t="s">
        <v>5156</v>
      </c>
      <c r="G4639" t="s">
        <v>5405</v>
      </c>
      <c r="H4639" t="s">
        <v>1129</v>
      </c>
      <c r="J4639" t="s">
        <v>4658</v>
      </c>
      <c r="K4639">
        <v>143.4</v>
      </c>
    </row>
    <row r="4640" spans="1:11" x14ac:dyDescent="0.35">
      <c r="A4640" t="s">
        <v>4659</v>
      </c>
      <c r="B4640" s="1">
        <v>0</v>
      </c>
      <c r="C4640" t="s">
        <v>5246</v>
      </c>
      <c r="D4640" t="s">
        <v>5325</v>
      </c>
      <c r="E4640" t="s">
        <v>5149</v>
      </c>
      <c r="F4640" t="s">
        <v>5156</v>
      </c>
      <c r="G4640" t="s">
        <v>5419</v>
      </c>
      <c r="H4640" t="s">
        <v>1464</v>
      </c>
      <c r="J4640" t="s">
        <v>4659</v>
      </c>
      <c r="K4640">
        <v>133.1</v>
      </c>
    </row>
    <row r="4641" spans="1:11" x14ac:dyDescent="0.35">
      <c r="A4641" t="s">
        <v>4660</v>
      </c>
      <c r="B4641" s="1">
        <v>0</v>
      </c>
      <c r="C4641" t="s">
        <v>5373</v>
      </c>
      <c r="D4641" t="s">
        <v>5526</v>
      </c>
      <c r="E4641" t="s">
        <v>5345</v>
      </c>
      <c r="F4641" t="s">
        <v>5156</v>
      </c>
      <c r="G4641" t="s">
        <v>5413</v>
      </c>
      <c r="H4641" t="s">
        <v>506</v>
      </c>
      <c r="J4641" t="s">
        <v>4660</v>
      </c>
      <c r="K4641">
        <v>123.4</v>
      </c>
    </row>
    <row r="4642" spans="1:11" x14ac:dyDescent="0.35">
      <c r="A4642" t="s">
        <v>4662</v>
      </c>
      <c r="B4642" s="1">
        <v>0</v>
      </c>
      <c r="C4642" t="s">
        <v>5436</v>
      </c>
      <c r="D4642" t="s">
        <v>5196</v>
      </c>
      <c r="E4642" t="s">
        <v>5414</v>
      </c>
      <c r="F4642" t="s">
        <v>5156</v>
      </c>
      <c r="G4642" t="s">
        <v>5395</v>
      </c>
      <c r="H4642" t="s">
        <v>2301</v>
      </c>
      <c r="J4642" t="s">
        <v>4662</v>
      </c>
      <c r="K4642">
        <v>121.8</v>
      </c>
    </row>
    <row r="4643" spans="1:11" x14ac:dyDescent="0.35">
      <c r="A4643" t="s">
        <v>4663</v>
      </c>
      <c r="B4643" s="1">
        <v>0</v>
      </c>
      <c r="C4643" t="s">
        <v>5518</v>
      </c>
      <c r="D4643" t="s">
        <v>5049</v>
      </c>
      <c r="E4643" t="s">
        <v>5043</v>
      </c>
      <c r="F4643" t="s">
        <v>5156</v>
      </c>
      <c r="G4643" t="s">
        <v>5395</v>
      </c>
      <c r="H4643" t="s">
        <v>127</v>
      </c>
      <c r="J4643" t="s">
        <v>4663</v>
      </c>
      <c r="K4643">
        <v>131</v>
      </c>
    </row>
    <row r="4644" spans="1:11" x14ac:dyDescent="0.35">
      <c r="A4644" t="s">
        <v>4664</v>
      </c>
      <c r="B4644" s="1">
        <v>0</v>
      </c>
      <c r="C4644" t="s">
        <v>5507</v>
      </c>
      <c r="D4644" t="s">
        <v>5597</v>
      </c>
      <c r="E4644" t="s">
        <v>5547</v>
      </c>
      <c r="F4644" t="s">
        <v>5156</v>
      </c>
      <c r="G4644" t="s">
        <v>5413</v>
      </c>
      <c r="H4644" t="s">
        <v>261</v>
      </c>
      <c r="J4644" t="s">
        <v>4664</v>
      </c>
      <c r="K4644">
        <v>143.1</v>
      </c>
    </row>
    <row r="4645" spans="1:11" x14ac:dyDescent="0.35">
      <c r="A4645" t="s">
        <v>4665</v>
      </c>
      <c r="B4645" s="1">
        <v>0</v>
      </c>
      <c r="C4645" t="s">
        <v>5231</v>
      </c>
      <c r="D4645" t="s">
        <v>5073</v>
      </c>
      <c r="E4645" t="s">
        <v>5296</v>
      </c>
      <c r="F4645" t="s">
        <v>5156</v>
      </c>
      <c r="G4645" t="s">
        <v>5402</v>
      </c>
      <c r="H4645" t="s">
        <v>93</v>
      </c>
      <c r="J4645" t="s">
        <v>4665</v>
      </c>
      <c r="K4645">
        <v>146.9</v>
      </c>
    </row>
    <row r="4646" spans="1:11" x14ac:dyDescent="0.35">
      <c r="A4646" t="s">
        <v>4666</v>
      </c>
      <c r="B4646" s="1">
        <v>0</v>
      </c>
      <c r="C4646" t="s">
        <v>5586</v>
      </c>
      <c r="D4646" t="s">
        <v>5056</v>
      </c>
      <c r="E4646" t="s">
        <v>5326</v>
      </c>
      <c r="F4646" t="s">
        <v>5156</v>
      </c>
      <c r="G4646" t="s">
        <v>5402</v>
      </c>
      <c r="H4646" t="s">
        <v>278</v>
      </c>
      <c r="J4646" t="s">
        <v>4666</v>
      </c>
      <c r="K4646">
        <v>148</v>
      </c>
    </row>
    <row r="4647" spans="1:11" x14ac:dyDescent="0.35">
      <c r="A4647" t="s">
        <v>4667</v>
      </c>
      <c r="B4647" s="1">
        <v>0</v>
      </c>
      <c r="C4647" t="s">
        <v>5626</v>
      </c>
      <c r="D4647" t="s">
        <v>5255</v>
      </c>
      <c r="E4647" t="s">
        <v>5287</v>
      </c>
      <c r="F4647" t="s">
        <v>5156</v>
      </c>
      <c r="G4647" t="s">
        <v>5402</v>
      </c>
      <c r="H4647" t="s">
        <v>5041</v>
      </c>
      <c r="J4647" t="s">
        <v>4667</v>
      </c>
      <c r="K4647">
        <v>148.1</v>
      </c>
    </row>
    <row r="4648" spans="1:11" x14ac:dyDescent="0.35">
      <c r="A4648" t="s">
        <v>4668</v>
      </c>
      <c r="B4648" s="1">
        <v>0</v>
      </c>
      <c r="C4648" t="s">
        <v>5491</v>
      </c>
      <c r="D4648" t="s">
        <v>5068</v>
      </c>
      <c r="E4648" t="s">
        <v>5430</v>
      </c>
      <c r="F4648" t="s">
        <v>5156</v>
      </c>
      <c r="G4648" t="s">
        <v>5413</v>
      </c>
      <c r="H4648" t="s">
        <v>4077</v>
      </c>
      <c r="J4648" t="s">
        <v>4668</v>
      </c>
      <c r="K4648">
        <v>143.9</v>
      </c>
    </row>
    <row r="4649" spans="1:11" x14ac:dyDescent="0.35">
      <c r="A4649" t="s">
        <v>4669</v>
      </c>
      <c r="B4649" s="1">
        <v>0</v>
      </c>
      <c r="C4649" t="s">
        <v>5104</v>
      </c>
      <c r="D4649" t="s">
        <v>5167</v>
      </c>
      <c r="E4649" t="s">
        <v>5430</v>
      </c>
      <c r="F4649" t="s">
        <v>5156</v>
      </c>
      <c r="G4649" t="s">
        <v>5413</v>
      </c>
      <c r="H4649" t="s">
        <v>1806</v>
      </c>
      <c r="J4649" t="s">
        <v>4669</v>
      </c>
      <c r="K4649">
        <v>142.6</v>
      </c>
    </row>
    <row r="4650" spans="1:11" x14ac:dyDescent="0.35">
      <c r="A4650" t="s">
        <v>4670</v>
      </c>
      <c r="B4650" s="1">
        <v>0</v>
      </c>
      <c r="C4650" t="s">
        <v>5611</v>
      </c>
      <c r="D4650" t="s">
        <v>5210</v>
      </c>
      <c r="E4650" t="s">
        <v>5424</v>
      </c>
      <c r="F4650" t="s">
        <v>5156</v>
      </c>
      <c r="G4650" t="s">
        <v>5404</v>
      </c>
      <c r="H4650" t="s">
        <v>1770</v>
      </c>
      <c r="J4650" t="s">
        <v>4670</v>
      </c>
      <c r="K4650">
        <v>150.4</v>
      </c>
    </row>
    <row r="4651" spans="1:11" x14ac:dyDescent="0.35">
      <c r="A4651" t="s">
        <v>4671</v>
      </c>
      <c r="B4651" s="1">
        <v>0</v>
      </c>
      <c r="C4651" t="s">
        <v>1517</v>
      </c>
      <c r="D4651" t="s">
        <v>5060</v>
      </c>
      <c r="E4651" t="s">
        <v>5423</v>
      </c>
      <c r="F4651" t="s">
        <v>5156</v>
      </c>
      <c r="G4651" t="s">
        <v>5186</v>
      </c>
      <c r="H4651" t="s">
        <v>576</v>
      </c>
      <c r="J4651" t="s">
        <v>4671</v>
      </c>
      <c r="K4651">
        <v>164.9</v>
      </c>
    </row>
    <row r="4652" spans="1:11" x14ac:dyDescent="0.35">
      <c r="A4652" t="s">
        <v>4672</v>
      </c>
      <c r="B4652" s="1">
        <v>0</v>
      </c>
      <c r="C4652" t="s">
        <v>446</v>
      </c>
      <c r="D4652" t="s">
        <v>5165</v>
      </c>
      <c r="E4652" t="s">
        <v>5049</v>
      </c>
      <c r="F4652" t="s">
        <v>5156</v>
      </c>
      <c r="G4652" t="s">
        <v>5184</v>
      </c>
      <c r="H4652" t="s">
        <v>182</v>
      </c>
      <c r="J4652" t="s">
        <v>4672</v>
      </c>
      <c r="K4652">
        <v>172.9</v>
      </c>
    </row>
    <row r="4653" spans="1:11" x14ac:dyDescent="0.35">
      <c r="A4653" t="s">
        <v>4673</v>
      </c>
      <c r="B4653" s="1">
        <v>0</v>
      </c>
      <c r="C4653" t="s">
        <v>1910</v>
      </c>
      <c r="D4653" t="s">
        <v>5236</v>
      </c>
      <c r="E4653" t="s">
        <v>5322</v>
      </c>
      <c r="F4653" t="s">
        <v>5156</v>
      </c>
      <c r="G4653" t="s">
        <v>5189</v>
      </c>
      <c r="H4653" t="s">
        <v>1813</v>
      </c>
      <c r="J4653" t="s">
        <v>4673</v>
      </c>
      <c r="K4653">
        <v>168</v>
      </c>
    </row>
    <row r="4654" spans="1:11" x14ac:dyDescent="0.35">
      <c r="A4654" t="s">
        <v>4674</v>
      </c>
      <c r="B4654" s="1">
        <v>0</v>
      </c>
      <c r="C4654" t="s">
        <v>5406</v>
      </c>
      <c r="D4654" t="s">
        <v>5210</v>
      </c>
      <c r="E4654" t="s">
        <v>5307</v>
      </c>
      <c r="F4654" t="s">
        <v>5156</v>
      </c>
      <c r="G4654" t="s">
        <v>5419</v>
      </c>
      <c r="H4654" t="s">
        <v>172</v>
      </c>
      <c r="J4654" t="s">
        <v>4674</v>
      </c>
      <c r="K4654">
        <v>159.30000000000001</v>
      </c>
    </row>
    <row r="4655" spans="1:11" x14ac:dyDescent="0.35">
      <c r="A4655" t="s">
        <v>4675</v>
      </c>
      <c r="B4655" s="1">
        <v>0</v>
      </c>
      <c r="C4655" t="s">
        <v>5408</v>
      </c>
      <c r="D4655" t="s">
        <v>5098</v>
      </c>
      <c r="E4655" t="s">
        <v>5307</v>
      </c>
      <c r="F4655" t="s">
        <v>5156</v>
      </c>
      <c r="G4655" t="s">
        <v>5399</v>
      </c>
      <c r="H4655" t="s">
        <v>196</v>
      </c>
      <c r="J4655" t="s">
        <v>4675</v>
      </c>
      <c r="K4655">
        <v>155.30000000000001</v>
      </c>
    </row>
    <row r="4656" spans="1:11" x14ac:dyDescent="0.35">
      <c r="A4656" t="s">
        <v>4676</v>
      </c>
      <c r="B4656" s="1">
        <v>0</v>
      </c>
      <c r="C4656" t="s">
        <v>5561</v>
      </c>
      <c r="D4656" t="s">
        <v>5304</v>
      </c>
      <c r="E4656" t="s">
        <v>5287</v>
      </c>
      <c r="F4656" t="s">
        <v>5156</v>
      </c>
      <c r="G4656" t="s">
        <v>5399</v>
      </c>
      <c r="H4656" t="s">
        <v>890</v>
      </c>
      <c r="J4656" t="s">
        <v>4676</v>
      </c>
      <c r="K4656">
        <v>157.6</v>
      </c>
    </row>
    <row r="4657" spans="1:11" x14ac:dyDescent="0.35">
      <c r="A4657" t="s">
        <v>4677</v>
      </c>
      <c r="B4657" s="1">
        <v>0</v>
      </c>
      <c r="C4657" t="s">
        <v>5403</v>
      </c>
      <c r="D4657" t="s">
        <v>5165</v>
      </c>
      <c r="E4657" t="s">
        <v>5430</v>
      </c>
      <c r="F4657" t="s">
        <v>5156</v>
      </c>
      <c r="G4657" t="s">
        <v>5402</v>
      </c>
      <c r="H4657" t="s">
        <v>572</v>
      </c>
      <c r="J4657" t="s">
        <v>4677</v>
      </c>
      <c r="K4657">
        <v>160.5</v>
      </c>
    </row>
    <row r="4658" spans="1:11" x14ac:dyDescent="0.35">
      <c r="A4658" t="s">
        <v>4678</v>
      </c>
      <c r="B4658" s="1">
        <v>0</v>
      </c>
      <c r="C4658" t="s">
        <v>409</v>
      </c>
      <c r="D4658" t="s">
        <v>5434</v>
      </c>
      <c r="E4658" t="s">
        <v>5529</v>
      </c>
      <c r="F4658" t="s">
        <v>5156</v>
      </c>
      <c r="G4658" t="s">
        <v>5357</v>
      </c>
      <c r="H4658" t="s">
        <v>576</v>
      </c>
      <c r="J4658" t="s">
        <v>4678</v>
      </c>
      <c r="K4658">
        <v>164.9</v>
      </c>
    </row>
    <row r="4659" spans="1:11" x14ac:dyDescent="0.35">
      <c r="A4659" t="s">
        <v>4679</v>
      </c>
      <c r="B4659" s="1">
        <v>0</v>
      </c>
      <c r="C4659" t="s">
        <v>452</v>
      </c>
      <c r="D4659" t="s">
        <v>5072</v>
      </c>
      <c r="E4659" t="s">
        <v>5061</v>
      </c>
      <c r="F4659" t="s">
        <v>5050</v>
      </c>
      <c r="G4659" t="s">
        <v>5315</v>
      </c>
      <c r="H4659" t="s">
        <v>3080</v>
      </c>
      <c r="J4659" t="s">
        <v>4679</v>
      </c>
      <c r="K4659">
        <v>182.9</v>
      </c>
    </row>
    <row r="4660" spans="1:11" x14ac:dyDescent="0.35">
      <c r="A4660" t="s">
        <v>4680</v>
      </c>
      <c r="B4660" s="1">
        <v>0</v>
      </c>
      <c r="C4660" t="s">
        <v>445</v>
      </c>
      <c r="D4660" t="s">
        <v>5063</v>
      </c>
      <c r="E4660" t="s">
        <v>5061</v>
      </c>
      <c r="F4660" t="s">
        <v>5050</v>
      </c>
      <c r="G4660" t="s">
        <v>5294</v>
      </c>
      <c r="H4660" t="s">
        <v>252</v>
      </c>
      <c r="J4660" t="s">
        <v>4680</v>
      </c>
      <c r="K4660">
        <v>186</v>
      </c>
    </row>
    <row r="4661" spans="1:11" x14ac:dyDescent="0.35">
      <c r="A4661" t="s">
        <v>4681</v>
      </c>
      <c r="B4661" s="1">
        <v>0</v>
      </c>
      <c r="C4661" t="s">
        <v>346</v>
      </c>
      <c r="D4661" t="s">
        <v>5150</v>
      </c>
      <c r="E4661" t="s">
        <v>5070</v>
      </c>
      <c r="F4661" t="s">
        <v>5240</v>
      </c>
      <c r="G4661" t="s">
        <v>5226</v>
      </c>
      <c r="H4661" t="s">
        <v>1189</v>
      </c>
      <c r="J4661" t="s">
        <v>4681</v>
      </c>
      <c r="K4661">
        <v>193</v>
      </c>
    </row>
    <row r="4662" spans="1:11" x14ac:dyDescent="0.35">
      <c r="A4662" t="s">
        <v>4682</v>
      </c>
      <c r="B4662" s="1">
        <v>0</v>
      </c>
      <c r="C4662" t="s">
        <v>1480</v>
      </c>
      <c r="D4662" t="s">
        <v>5090</v>
      </c>
      <c r="E4662" t="s">
        <v>5428</v>
      </c>
      <c r="F4662" t="s">
        <v>5240</v>
      </c>
      <c r="G4662" t="s">
        <v>5227</v>
      </c>
      <c r="H4662" t="s">
        <v>4467</v>
      </c>
      <c r="J4662" t="s">
        <v>4682</v>
      </c>
      <c r="K4662">
        <v>206.2</v>
      </c>
    </row>
    <row r="4663" spans="1:11" x14ac:dyDescent="0.35">
      <c r="A4663" t="s">
        <v>4683</v>
      </c>
      <c r="B4663" s="1">
        <v>0</v>
      </c>
      <c r="C4663" t="s">
        <v>2273</v>
      </c>
      <c r="D4663" t="s">
        <v>5373</v>
      </c>
      <c r="E4663" t="s">
        <v>5210</v>
      </c>
      <c r="F4663" t="s">
        <v>5240</v>
      </c>
      <c r="G4663" t="s">
        <v>5207</v>
      </c>
      <c r="H4663" t="s">
        <v>2380</v>
      </c>
      <c r="J4663" t="s">
        <v>4683</v>
      </c>
      <c r="K4663">
        <v>217.6</v>
      </c>
    </row>
    <row r="4664" spans="1:11" x14ac:dyDescent="0.35">
      <c r="A4664" t="s">
        <v>4684</v>
      </c>
      <c r="B4664" s="1">
        <v>0</v>
      </c>
      <c r="C4664" t="s">
        <v>5627</v>
      </c>
      <c r="D4664" t="s">
        <v>5387</v>
      </c>
      <c r="E4664" t="s">
        <v>5249</v>
      </c>
      <c r="F4664" t="s">
        <v>5240</v>
      </c>
      <c r="G4664" t="s">
        <v>5207</v>
      </c>
      <c r="H4664" t="s">
        <v>3038</v>
      </c>
      <c r="J4664" t="s">
        <v>4684</v>
      </c>
      <c r="K4664">
        <v>223.3</v>
      </c>
    </row>
    <row r="4665" spans="1:11" x14ac:dyDescent="0.35">
      <c r="A4665" t="s">
        <v>4685</v>
      </c>
      <c r="B4665" s="1">
        <v>0</v>
      </c>
      <c r="C4665" t="s">
        <v>357</v>
      </c>
      <c r="D4665" t="s">
        <v>5142</v>
      </c>
      <c r="E4665" t="s">
        <v>5434</v>
      </c>
      <c r="F4665" t="s">
        <v>5240</v>
      </c>
      <c r="G4665" t="s">
        <v>5226</v>
      </c>
      <c r="H4665" t="s">
        <v>3980</v>
      </c>
      <c r="J4665" t="s">
        <v>4685</v>
      </c>
      <c r="K4665">
        <v>211.7</v>
      </c>
    </row>
    <row r="4666" spans="1:11" x14ac:dyDescent="0.35">
      <c r="A4666" t="s">
        <v>4686</v>
      </c>
      <c r="B4666" s="1">
        <v>0</v>
      </c>
      <c r="C4666" t="s">
        <v>1909</v>
      </c>
      <c r="D4666" t="s">
        <v>5225</v>
      </c>
      <c r="E4666" t="s">
        <v>5237</v>
      </c>
      <c r="F4666" t="s">
        <v>5050</v>
      </c>
      <c r="G4666" t="s">
        <v>5297</v>
      </c>
      <c r="H4666" t="s">
        <v>1291</v>
      </c>
      <c r="J4666" t="s">
        <v>4686</v>
      </c>
      <c r="K4666">
        <v>192</v>
      </c>
    </row>
    <row r="4667" spans="1:11" x14ac:dyDescent="0.35">
      <c r="A4667" t="s">
        <v>4687</v>
      </c>
      <c r="B4667" s="1">
        <v>0</v>
      </c>
      <c r="C4667" t="s">
        <v>5636</v>
      </c>
      <c r="D4667" t="s">
        <v>5464</v>
      </c>
      <c r="E4667" t="s">
        <v>5202</v>
      </c>
      <c r="F4667" t="s">
        <v>5050</v>
      </c>
      <c r="G4667" t="s">
        <v>5397</v>
      </c>
      <c r="H4667" t="s">
        <v>912</v>
      </c>
      <c r="J4667" t="s">
        <v>4687</v>
      </c>
      <c r="K4667">
        <v>180.2</v>
      </c>
    </row>
    <row r="4668" spans="1:11" x14ac:dyDescent="0.35">
      <c r="A4668" t="s">
        <v>4688</v>
      </c>
      <c r="B4668" s="1">
        <v>0</v>
      </c>
      <c r="C4668" t="s">
        <v>1883</v>
      </c>
      <c r="D4668" t="s">
        <v>5262</v>
      </c>
      <c r="E4668" t="s">
        <v>5323</v>
      </c>
      <c r="F4668" t="s">
        <v>5050</v>
      </c>
      <c r="G4668" t="s">
        <v>5397</v>
      </c>
      <c r="H4668" t="s">
        <v>694</v>
      </c>
      <c r="J4668" t="s">
        <v>4688</v>
      </c>
      <c r="K4668">
        <v>187.9</v>
      </c>
    </row>
    <row r="4669" spans="1:11" x14ac:dyDescent="0.35">
      <c r="A4669" t="s">
        <v>4689</v>
      </c>
      <c r="B4669" s="1">
        <v>0</v>
      </c>
      <c r="C4669" t="s">
        <v>1061</v>
      </c>
      <c r="D4669" t="s">
        <v>5209</v>
      </c>
      <c r="E4669" t="s">
        <v>5162</v>
      </c>
      <c r="F4669" t="s">
        <v>5240</v>
      </c>
      <c r="G4669" t="s">
        <v>5315</v>
      </c>
      <c r="H4669" t="s">
        <v>2009</v>
      </c>
      <c r="J4669" t="s">
        <v>4689</v>
      </c>
      <c r="K4669">
        <v>212.2</v>
      </c>
    </row>
    <row r="4670" spans="1:11" x14ac:dyDescent="0.35">
      <c r="A4670" t="s">
        <v>4690</v>
      </c>
      <c r="B4670" s="1">
        <v>0</v>
      </c>
      <c r="C4670" t="s">
        <v>489</v>
      </c>
      <c r="D4670" t="s">
        <v>5117</v>
      </c>
      <c r="E4670" t="s">
        <v>5120</v>
      </c>
      <c r="F4670" t="s">
        <v>5240</v>
      </c>
      <c r="G4670" t="s">
        <v>5309</v>
      </c>
      <c r="H4670" t="s">
        <v>5695</v>
      </c>
      <c r="J4670" t="s">
        <v>4690</v>
      </c>
      <c r="K4670">
        <v>226.2</v>
      </c>
    </row>
    <row r="4671" spans="1:11" x14ac:dyDescent="0.35">
      <c r="A4671" t="s">
        <v>4691</v>
      </c>
      <c r="B4671" s="1">
        <v>0</v>
      </c>
      <c r="C4671" t="s">
        <v>1542</v>
      </c>
      <c r="D4671" t="s">
        <v>5575</v>
      </c>
      <c r="E4671" t="s">
        <v>5165</v>
      </c>
      <c r="F4671" t="s">
        <v>5240</v>
      </c>
      <c r="G4671" t="s">
        <v>5294</v>
      </c>
      <c r="H4671" t="s">
        <v>767</v>
      </c>
      <c r="J4671" t="s">
        <v>4691</v>
      </c>
      <c r="K4671">
        <v>217.3</v>
      </c>
    </row>
    <row r="4672" spans="1:11" x14ac:dyDescent="0.35">
      <c r="A4672" t="s">
        <v>4692</v>
      </c>
      <c r="B4672" s="1">
        <v>0</v>
      </c>
      <c r="C4672" t="s">
        <v>984</v>
      </c>
      <c r="D4672" t="s">
        <v>5538</v>
      </c>
      <c r="E4672" t="s">
        <v>5167</v>
      </c>
      <c r="F4672" t="s">
        <v>5240</v>
      </c>
      <c r="G4672" t="s">
        <v>5297</v>
      </c>
      <c r="H4672" t="s">
        <v>1198</v>
      </c>
      <c r="J4672" t="s">
        <v>4692</v>
      </c>
      <c r="K4672">
        <v>200.9</v>
      </c>
    </row>
    <row r="4673" spans="1:11" x14ac:dyDescent="0.35">
      <c r="A4673" t="s">
        <v>4693</v>
      </c>
      <c r="B4673" s="1">
        <v>0</v>
      </c>
      <c r="C4673" t="s">
        <v>1060</v>
      </c>
      <c r="D4673" t="s">
        <v>5137</v>
      </c>
      <c r="E4673" t="s">
        <v>5055</v>
      </c>
      <c r="F4673" t="s">
        <v>5240</v>
      </c>
      <c r="G4673" t="s">
        <v>5297</v>
      </c>
      <c r="H4673" t="s">
        <v>897</v>
      </c>
      <c r="J4673" t="s">
        <v>4693</v>
      </c>
      <c r="K4673">
        <v>190.4</v>
      </c>
    </row>
    <row r="4674" spans="1:11" x14ac:dyDescent="0.35">
      <c r="A4674" t="s">
        <v>4694</v>
      </c>
      <c r="B4674" s="1">
        <v>0</v>
      </c>
      <c r="C4674" t="s">
        <v>448</v>
      </c>
      <c r="D4674" t="s">
        <v>5131</v>
      </c>
      <c r="E4674" t="s">
        <v>5524</v>
      </c>
      <c r="F4674" t="s">
        <v>5240</v>
      </c>
      <c r="G4674" t="s">
        <v>5312</v>
      </c>
      <c r="H4674" t="s">
        <v>2117</v>
      </c>
      <c r="J4674" t="s">
        <v>4694</v>
      </c>
      <c r="K4674">
        <v>189.8</v>
      </c>
    </row>
    <row r="4675" spans="1:11" x14ac:dyDescent="0.35">
      <c r="A4675" t="s">
        <v>4695</v>
      </c>
      <c r="B4675" s="1">
        <v>0</v>
      </c>
      <c r="C4675" t="s">
        <v>1918</v>
      </c>
      <c r="D4675" t="s">
        <v>5111</v>
      </c>
      <c r="E4675" t="s">
        <v>5070</v>
      </c>
      <c r="F4675" t="s">
        <v>5050</v>
      </c>
      <c r="G4675" t="s">
        <v>5294</v>
      </c>
      <c r="H4675" t="s">
        <v>2337</v>
      </c>
      <c r="J4675" t="s">
        <v>4695</v>
      </c>
      <c r="K4675">
        <v>192.6</v>
      </c>
    </row>
    <row r="4676" spans="1:11" x14ac:dyDescent="0.35">
      <c r="A4676" t="s">
        <v>4696</v>
      </c>
      <c r="B4676" s="1">
        <v>0</v>
      </c>
      <c r="C4676" t="s">
        <v>442</v>
      </c>
      <c r="D4676" t="s">
        <v>5440</v>
      </c>
      <c r="E4676" t="s">
        <v>5171</v>
      </c>
      <c r="F4676" t="s">
        <v>5050</v>
      </c>
      <c r="G4676" t="s">
        <v>5312</v>
      </c>
      <c r="H4676" t="s">
        <v>3170</v>
      </c>
      <c r="J4676" t="s">
        <v>4696</v>
      </c>
      <c r="K4676">
        <v>194.9</v>
      </c>
    </row>
    <row r="4677" spans="1:11" x14ac:dyDescent="0.35">
      <c r="A4677" t="s">
        <v>4697</v>
      </c>
      <c r="B4677" s="1">
        <v>0</v>
      </c>
      <c r="C4677" t="s">
        <v>1534</v>
      </c>
      <c r="D4677" t="s">
        <v>5464</v>
      </c>
      <c r="E4677" t="s">
        <v>5323</v>
      </c>
      <c r="F4677" t="s">
        <v>5240</v>
      </c>
      <c r="G4677" t="s">
        <v>5315</v>
      </c>
      <c r="H4677" t="s">
        <v>240</v>
      </c>
      <c r="J4677" t="s">
        <v>4697</v>
      </c>
      <c r="K4677">
        <v>196.8</v>
      </c>
    </row>
    <row r="4678" spans="1:11" x14ac:dyDescent="0.35">
      <c r="A4678" t="s">
        <v>4698</v>
      </c>
      <c r="B4678" s="1">
        <v>0</v>
      </c>
      <c r="C4678" t="s">
        <v>1042</v>
      </c>
      <c r="D4678" t="s">
        <v>5129</v>
      </c>
      <c r="E4678" t="s">
        <v>5173</v>
      </c>
      <c r="F4678" t="s">
        <v>5240</v>
      </c>
      <c r="G4678" t="s">
        <v>5342</v>
      </c>
      <c r="H4678" t="s">
        <v>686</v>
      </c>
      <c r="J4678" t="s">
        <v>4698</v>
      </c>
      <c r="K4678">
        <v>196.2</v>
      </c>
    </row>
    <row r="4679" spans="1:11" x14ac:dyDescent="0.35">
      <c r="A4679" t="s">
        <v>4699</v>
      </c>
      <c r="B4679" s="1">
        <v>0</v>
      </c>
      <c r="C4679" t="s">
        <v>3212</v>
      </c>
      <c r="D4679" t="s">
        <v>5539</v>
      </c>
      <c r="E4679" t="s">
        <v>5306</v>
      </c>
      <c r="F4679" t="s">
        <v>5240</v>
      </c>
      <c r="G4679" t="s">
        <v>5330</v>
      </c>
      <c r="H4679" t="s">
        <v>4835</v>
      </c>
      <c r="J4679" t="s">
        <v>4699</v>
      </c>
      <c r="K4679">
        <v>194.7</v>
      </c>
    </row>
    <row r="4680" spans="1:11" x14ac:dyDescent="0.35">
      <c r="A4680" t="s">
        <v>4700</v>
      </c>
      <c r="B4680" s="1">
        <v>0</v>
      </c>
      <c r="C4680" t="s">
        <v>2237</v>
      </c>
      <c r="D4680" t="s">
        <v>5148</v>
      </c>
      <c r="E4680" t="s">
        <v>5306</v>
      </c>
      <c r="F4680" t="s">
        <v>5240</v>
      </c>
      <c r="G4680" t="s">
        <v>5397</v>
      </c>
      <c r="H4680" t="s">
        <v>2117</v>
      </c>
      <c r="J4680" t="s">
        <v>4700</v>
      </c>
      <c r="K4680">
        <v>189.8</v>
      </c>
    </row>
    <row r="4681" spans="1:11" x14ac:dyDescent="0.35">
      <c r="A4681" t="s">
        <v>4701</v>
      </c>
      <c r="B4681" s="1">
        <v>0</v>
      </c>
      <c r="C4681" t="s">
        <v>5636</v>
      </c>
      <c r="D4681" t="s">
        <v>5252</v>
      </c>
      <c r="E4681" t="s">
        <v>5176</v>
      </c>
      <c r="F4681" t="s">
        <v>5050</v>
      </c>
      <c r="G4681" t="s">
        <v>5432</v>
      </c>
      <c r="H4681" t="s">
        <v>782</v>
      </c>
      <c r="J4681" t="s">
        <v>4701</v>
      </c>
      <c r="K4681">
        <v>182.1</v>
      </c>
    </row>
    <row r="4682" spans="1:11" x14ac:dyDescent="0.35">
      <c r="A4682" t="s">
        <v>4702</v>
      </c>
      <c r="B4682" s="1">
        <v>0</v>
      </c>
      <c r="C4682" t="s">
        <v>379</v>
      </c>
      <c r="D4682" t="s">
        <v>5538</v>
      </c>
      <c r="E4682" t="s">
        <v>5204</v>
      </c>
      <c r="F4682" t="s">
        <v>5050</v>
      </c>
      <c r="G4682" t="s">
        <v>5432</v>
      </c>
      <c r="H4682" t="s">
        <v>1228</v>
      </c>
      <c r="J4682" t="s">
        <v>4702</v>
      </c>
      <c r="K4682">
        <v>182.8</v>
      </c>
    </row>
    <row r="4683" spans="1:11" x14ac:dyDescent="0.35">
      <c r="A4683" t="s">
        <v>4704</v>
      </c>
      <c r="B4683" s="1">
        <v>0</v>
      </c>
      <c r="C4683" t="s">
        <v>452</v>
      </c>
      <c r="D4683" t="s">
        <v>5492</v>
      </c>
      <c r="E4683" t="s">
        <v>5175</v>
      </c>
      <c r="F4683" t="s">
        <v>5240</v>
      </c>
      <c r="G4683" t="s">
        <v>5397</v>
      </c>
      <c r="H4683" t="s">
        <v>2365</v>
      </c>
      <c r="J4683" t="s">
        <v>4704</v>
      </c>
      <c r="K4683">
        <v>193.8</v>
      </c>
    </row>
    <row r="4684" spans="1:11" x14ac:dyDescent="0.35">
      <c r="A4684" t="s">
        <v>4705</v>
      </c>
      <c r="B4684" s="1">
        <v>0</v>
      </c>
      <c r="C4684" t="s">
        <v>1918</v>
      </c>
      <c r="D4684" t="s">
        <v>5097</v>
      </c>
      <c r="E4684" t="s">
        <v>5167</v>
      </c>
      <c r="F4684" t="s">
        <v>5240</v>
      </c>
      <c r="G4684" t="s">
        <v>5330</v>
      </c>
      <c r="H4684" t="s">
        <v>683</v>
      </c>
      <c r="J4684" t="s">
        <v>4705</v>
      </c>
      <c r="K4684">
        <v>201.1</v>
      </c>
    </row>
    <row r="4685" spans="1:11" x14ac:dyDescent="0.35">
      <c r="A4685" t="s">
        <v>4706</v>
      </c>
      <c r="B4685" s="1">
        <v>0</v>
      </c>
      <c r="C4685" t="s">
        <v>342</v>
      </c>
      <c r="D4685" t="s">
        <v>5606</v>
      </c>
      <c r="E4685" t="s">
        <v>5237</v>
      </c>
      <c r="F4685" t="s">
        <v>5240</v>
      </c>
      <c r="G4685" t="s">
        <v>5342</v>
      </c>
      <c r="H4685" t="s">
        <v>237</v>
      </c>
      <c r="J4685" t="s">
        <v>4706</v>
      </c>
      <c r="K4685">
        <v>202</v>
      </c>
    </row>
    <row r="4686" spans="1:11" x14ac:dyDescent="0.35">
      <c r="A4686" t="s">
        <v>4707</v>
      </c>
      <c r="B4686" s="1">
        <v>0</v>
      </c>
      <c r="C4686" t="s">
        <v>1483</v>
      </c>
      <c r="D4686" t="s">
        <v>5528</v>
      </c>
      <c r="E4686" t="s">
        <v>5170</v>
      </c>
      <c r="F4686" t="s">
        <v>5240</v>
      </c>
      <c r="G4686" t="s">
        <v>5342</v>
      </c>
      <c r="H4686" t="s">
        <v>3136</v>
      </c>
      <c r="J4686" t="s">
        <v>4707</v>
      </c>
      <c r="K4686">
        <v>202.6</v>
      </c>
    </row>
    <row r="4687" spans="1:11" x14ac:dyDescent="0.35">
      <c r="A4687" t="s">
        <v>4708</v>
      </c>
      <c r="B4687" s="1">
        <v>0</v>
      </c>
      <c r="C4687" t="s">
        <v>336</v>
      </c>
      <c r="D4687" t="s">
        <v>5446</v>
      </c>
      <c r="E4687" t="s">
        <v>5286</v>
      </c>
      <c r="F4687" t="s">
        <v>5240</v>
      </c>
      <c r="G4687" t="s">
        <v>5315</v>
      </c>
      <c r="H4687" t="s">
        <v>202</v>
      </c>
      <c r="J4687" t="s">
        <v>4708</v>
      </c>
      <c r="K4687">
        <v>202.9</v>
      </c>
    </row>
    <row r="4688" spans="1:11" x14ac:dyDescent="0.35">
      <c r="A4688" t="s">
        <v>4709</v>
      </c>
      <c r="B4688" s="1">
        <v>0</v>
      </c>
      <c r="C4688" t="s">
        <v>365</v>
      </c>
      <c r="D4688" t="s">
        <v>5211</v>
      </c>
      <c r="E4688" t="s">
        <v>5171</v>
      </c>
      <c r="F4688" t="s">
        <v>5240</v>
      </c>
      <c r="G4688" t="s">
        <v>5342</v>
      </c>
      <c r="H4688" t="s">
        <v>2748</v>
      </c>
      <c r="J4688" t="s">
        <v>4709</v>
      </c>
      <c r="K4688">
        <v>194.3</v>
      </c>
    </row>
    <row r="4689" spans="1:11" x14ac:dyDescent="0.35">
      <c r="A4689" t="s">
        <v>4710</v>
      </c>
      <c r="B4689" s="1">
        <v>0</v>
      </c>
      <c r="C4689" t="s">
        <v>1913</v>
      </c>
      <c r="D4689" t="s">
        <v>5190</v>
      </c>
      <c r="E4689" t="s">
        <v>5202</v>
      </c>
      <c r="F4689" t="s">
        <v>5050</v>
      </c>
      <c r="G4689" t="s">
        <v>5330</v>
      </c>
      <c r="H4689" t="s">
        <v>2220</v>
      </c>
      <c r="J4689" t="s">
        <v>4710</v>
      </c>
      <c r="K4689">
        <v>189</v>
      </c>
    </row>
    <row r="4690" spans="1:11" x14ac:dyDescent="0.35">
      <c r="A4690" t="s">
        <v>4711</v>
      </c>
      <c r="B4690" s="1">
        <v>0</v>
      </c>
      <c r="C4690" t="s">
        <v>1054</v>
      </c>
      <c r="D4690" t="s">
        <v>5142</v>
      </c>
      <c r="E4690" t="s">
        <v>5236</v>
      </c>
      <c r="F4690" t="s">
        <v>5077</v>
      </c>
      <c r="G4690" t="s">
        <v>5099</v>
      </c>
      <c r="H4690" t="s">
        <v>1724</v>
      </c>
      <c r="J4690" t="s">
        <v>4711</v>
      </c>
      <c r="K4690">
        <v>203.2</v>
      </c>
    </row>
    <row r="4691" spans="1:11" x14ac:dyDescent="0.35">
      <c r="A4691" t="s">
        <v>4712</v>
      </c>
      <c r="B4691" s="1">
        <v>0</v>
      </c>
      <c r="C4691" t="s">
        <v>449</v>
      </c>
      <c r="D4691" t="s">
        <v>5389</v>
      </c>
      <c r="E4691" t="s">
        <v>5249</v>
      </c>
      <c r="F4691" t="s">
        <v>5077</v>
      </c>
      <c r="G4691" t="s">
        <v>5095</v>
      </c>
      <c r="H4691" t="s">
        <v>1316</v>
      </c>
      <c r="J4691" t="s">
        <v>4712</v>
      </c>
      <c r="K4691">
        <v>206.8</v>
      </c>
    </row>
    <row r="4692" spans="1:11" x14ac:dyDescent="0.35">
      <c r="A4692" t="s">
        <v>4713</v>
      </c>
      <c r="B4692" s="1">
        <v>0</v>
      </c>
      <c r="C4692" t="s">
        <v>1911</v>
      </c>
      <c r="D4692" t="s">
        <v>5086</v>
      </c>
      <c r="E4692" t="s">
        <v>5071</v>
      </c>
      <c r="F4692" t="s">
        <v>5077</v>
      </c>
      <c r="G4692" t="s">
        <v>5124</v>
      </c>
      <c r="H4692" t="s">
        <v>3375</v>
      </c>
      <c r="J4692" t="s">
        <v>4713</v>
      </c>
      <c r="K4692">
        <v>199.8</v>
      </c>
    </row>
    <row r="4693" spans="1:11" x14ac:dyDescent="0.35">
      <c r="A4693" t="s">
        <v>4714</v>
      </c>
      <c r="B4693" s="1">
        <v>0</v>
      </c>
      <c r="C4693" t="s">
        <v>410</v>
      </c>
      <c r="D4693" t="s">
        <v>5220</v>
      </c>
      <c r="E4693" t="s">
        <v>5428</v>
      </c>
      <c r="F4693" t="s">
        <v>5077</v>
      </c>
      <c r="G4693" t="s">
        <v>5099</v>
      </c>
      <c r="H4693" t="s">
        <v>1269</v>
      </c>
      <c r="J4693" t="s">
        <v>4714</v>
      </c>
      <c r="K4693">
        <v>188.8</v>
      </c>
    </row>
    <row r="4694" spans="1:11" x14ac:dyDescent="0.35">
      <c r="A4694" t="s">
        <v>4715</v>
      </c>
      <c r="B4694" s="1">
        <v>0</v>
      </c>
      <c r="C4694" t="s">
        <v>5401</v>
      </c>
      <c r="D4694" t="s">
        <v>5458</v>
      </c>
      <c r="E4694" t="s">
        <v>5524</v>
      </c>
      <c r="F4694" t="s">
        <v>5077</v>
      </c>
      <c r="G4694" t="s">
        <v>5078</v>
      </c>
      <c r="H4694" t="s">
        <v>49</v>
      </c>
      <c r="J4694" t="s">
        <v>4715</v>
      </c>
      <c r="K4694">
        <v>179.3</v>
      </c>
    </row>
    <row r="4695" spans="1:11" x14ac:dyDescent="0.35">
      <c r="A4695" t="s">
        <v>4716</v>
      </c>
      <c r="B4695" s="1">
        <v>0</v>
      </c>
      <c r="C4695" t="s">
        <v>5480</v>
      </c>
      <c r="D4695" t="s">
        <v>5473</v>
      </c>
      <c r="E4695" t="s">
        <v>5417</v>
      </c>
      <c r="F4695" t="s">
        <v>5077</v>
      </c>
      <c r="G4695" t="s">
        <v>5078</v>
      </c>
      <c r="H4695" t="s">
        <v>1286</v>
      </c>
      <c r="J4695" t="s">
        <v>4716</v>
      </c>
      <c r="K4695">
        <v>176.5</v>
      </c>
    </row>
    <row r="4696" spans="1:11" x14ac:dyDescent="0.35">
      <c r="A4696" t="s">
        <v>4717</v>
      </c>
      <c r="B4696" s="1">
        <v>0</v>
      </c>
      <c r="C4696" t="s">
        <v>5398</v>
      </c>
      <c r="D4696" t="s">
        <v>5145</v>
      </c>
      <c r="E4696" t="s">
        <v>5570</v>
      </c>
      <c r="F4696" t="s">
        <v>5077</v>
      </c>
      <c r="G4696" t="s">
        <v>5183</v>
      </c>
      <c r="H4696" t="s">
        <v>90</v>
      </c>
      <c r="J4696" t="s">
        <v>4717</v>
      </c>
      <c r="K4696">
        <v>174.1</v>
      </c>
    </row>
    <row r="4697" spans="1:11" x14ac:dyDescent="0.35">
      <c r="A4697" t="s">
        <v>4718</v>
      </c>
      <c r="B4697" s="1">
        <v>0</v>
      </c>
      <c r="C4697" t="s">
        <v>5479</v>
      </c>
      <c r="D4697" t="s">
        <v>5437</v>
      </c>
      <c r="E4697" t="s">
        <v>5283</v>
      </c>
      <c r="F4697" t="s">
        <v>5077</v>
      </c>
      <c r="G4697" t="s">
        <v>5475</v>
      </c>
      <c r="H4697" t="s">
        <v>1411</v>
      </c>
      <c r="J4697" t="s">
        <v>4718</v>
      </c>
      <c r="K4697">
        <v>170.1</v>
      </c>
    </row>
    <row r="4698" spans="1:11" x14ac:dyDescent="0.35">
      <c r="A4698" t="s">
        <v>4719</v>
      </c>
      <c r="B4698" s="1">
        <v>0</v>
      </c>
      <c r="C4698" t="s">
        <v>5271</v>
      </c>
      <c r="D4698" t="s">
        <v>5085</v>
      </c>
      <c r="E4698" t="s">
        <v>5289</v>
      </c>
      <c r="F4698" t="s">
        <v>5077</v>
      </c>
      <c r="G4698" t="s">
        <v>5062</v>
      </c>
      <c r="H4698" t="s">
        <v>879</v>
      </c>
      <c r="J4698" t="s">
        <v>4719</v>
      </c>
      <c r="K4698">
        <v>162.6</v>
      </c>
    </row>
    <row r="4699" spans="1:11" x14ac:dyDescent="0.35">
      <c r="A4699" t="s">
        <v>4720</v>
      </c>
      <c r="B4699" s="1">
        <v>0</v>
      </c>
      <c r="C4699" t="s">
        <v>5387</v>
      </c>
      <c r="D4699" t="s">
        <v>5118</v>
      </c>
      <c r="E4699" t="s">
        <v>5052</v>
      </c>
      <c r="F4699" t="s">
        <v>5045</v>
      </c>
      <c r="G4699" t="s">
        <v>5054</v>
      </c>
      <c r="H4699" t="s">
        <v>197</v>
      </c>
      <c r="J4699" t="s">
        <v>4720</v>
      </c>
      <c r="K4699">
        <v>158.9</v>
      </c>
    </row>
    <row r="4700" spans="1:11" x14ac:dyDescent="0.35">
      <c r="A4700" t="s">
        <v>4721</v>
      </c>
      <c r="B4700" s="1">
        <v>0</v>
      </c>
      <c r="C4700" t="s">
        <v>5476</v>
      </c>
      <c r="D4700" t="s">
        <v>5154</v>
      </c>
      <c r="E4700" t="s">
        <v>5070</v>
      </c>
      <c r="F4700" t="s">
        <v>5077</v>
      </c>
      <c r="G4700" t="s">
        <v>5240</v>
      </c>
      <c r="H4700" t="s">
        <v>194</v>
      </c>
      <c r="J4700" t="s">
        <v>4721</v>
      </c>
      <c r="K4700">
        <v>166.2</v>
      </c>
    </row>
    <row r="4701" spans="1:11" x14ac:dyDescent="0.35">
      <c r="A4701" t="s">
        <v>4722</v>
      </c>
      <c r="B4701" s="1">
        <v>0</v>
      </c>
      <c r="C4701" t="s">
        <v>5618</v>
      </c>
      <c r="D4701" t="s">
        <v>5146</v>
      </c>
      <c r="E4701" t="s">
        <v>5076</v>
      </c>
      <c r="F4701" t="s">
        <v>5077</v>
      </c>
      <c r="G4701" t="s">
        <v>5240</v>
      </c>
      <c r="H4701" t="s">
        <v>3341</v>
      </c>
      <c r="J4701" t="s">
        <v>4722</v>
      </c>
      <c r="K4701">
        <v>182.3</v>
      </c>
    </row>
    <row r="4702" spans="1:11" x14ac:dyDescent="0.35">
      <c r="A4702" t="s">
        <v>4723</v>
      </c>
      <c r="B4702" s="1">
        <v>0</v>
      </c>
      <c r="C4702" t="s">
        <v>1003</v>
      </c>
      <c r="D4702" t="s">
        <v>5558</v>
      </c>
      <c r="E4702" t="s">
        <v>5236</v>
      </c>
      <c r="F4702" t="s">
        <v>5077</v>
      </c>
      <c r="G4702" t="s">
        <v>5412</v>
      </c>
      <c r="H4702" t="s">
        <v>778</v>
      </c>
      <c r="J4702" t="s">
        <v>4723</v>
      </c>
      <c r="K4702">
        <v>195.8</v>
      </c>
    </row>
    <row r="4703" spans="1:11" x14ac:dyDescent="0.35">
      <c r="A4703" t="s">
        <v>4724</v>
      </c>
      <c r="B4703" s="1">
        <v>0</v>
      </c>
      <c r="C4703" t="s">
        <v>1874</v>
      </c>
      <c r="D4703" t="s">
        <v>5512</v>
      </c>
      <c r="E4703" t="s">
        <v>5098</v>
      </c>
      <c r="F4703" t="s">
        <v>5077</v>
      </c>
      <c r="G4703" t="s">
        <v>5475</v>
      </c>
      <c r="H4703" t="s">
        <v>237</v>
      </c>
      <c r="J4703" t="s">
        <v>4724</v>
      </c>
      <c r="K4703">
        <v>202</v>
      </c>
    </row>
    <row r="4704" spans="1:11" x14ac:dyDescent="0.35">
      <c r="A4704" t="s">
        <v>4725</v>
      </c>
      <c r="B4704" s="1">
        <v>0</v>
      </c>
      <c r="C4704" t="s">
        <v>439</v>
      </c>
      <c r="D4704" t="s">
        <v>5537</v>
      </c>
      <c r="E4704" t="s">
        <v>5098</v>
      </c>
      <c r="F4704" t="s">
        <v>5077</v>
      </c>
      <c r="G4704" t="s">
        <v>5099</v>
      </c>
      <c r="H4704" t="s">
        <v>1302</v>
      </c>
      <c r="J4704" t="s">
        <v>4725</v>
      </c>
      <c r="K4704">
        <v>210.2</v>
      </c>
    </row>
    <row r="4705" spans="1:11" x14ac:dyDescent="0.35">
      <c r="A4705" t="s">
        <v>4726</v>
      </c>
      <c r="B4705" s="1">
        <v>0</v>
      </c>
      <c r="C4705" t="s">
        <v>980</v>
      </c>
      <c r="D4705" t="s">
        <v>5277</v>
      </c>
      <c r="E4705" t="s">
        <v>5236</v>
      </c>
      <c r="F4705" t="s">
        <v>5089</v>
      </c>
      <c r="G4705" t="s">
        <v>5110</v>
      </c>
      <c r="H4705" t="s">
        <v>1206</v>
      </c>
      <c r="J4705" t="s">
        <v>4726</v>
      </c>
      <c r="K4705">
        <v>220.8</v>
      </c>
    </row>
    <row r="4706" spans="1:11" x14ac:dyDescent="0.35">
      <c r="A4706" t="s">
        <v>4727</v>
      </c>
      <c r="B4706" s="1">
        <v>0</v>
      </c>
      <c r="C4706" t="s">
        <v>358</v>
      </c>
      <c r="D4706" t="s">
        <v>5278</v>
      </c>
      <c r="E4706" t="s">
        <v>5197</v>
      </c>
      <c r="F4706" t="s">
        <v>5089</v>
      </c>
      <c r="G4706" t="s">
        <v>5092</v>
      </c>
      <c r="H4706" t="s">
        <v>5025</v>
      </c>
      <c r="J4706" t="s">
        <v>4727</v>
      </c>
      <c r="K4706">
        <v>223.2</v>
      </c>
    </row>
    <row r="4707" spans="1:11" x14ac:dyDescent="0.35">
      <c r="A4707" t="s">
        <v>4728</v>
      </c>
      <c r="B4707" s="1">
        <v>0</v>
      </c>
      <c r="C4707" t="s">
        <v>325</v>
      </c>
      <c r="D4707" t="s">
        <v>5478</v>
      </c>
      <c r="E4707" t="s">
        <v>5234</v>
      </c>
      <c r="F4707" t="s">
        <v>5089</v>
      </c>
      <c r="G4707" t="s">
        <v>5110</v>
      </c>
      <c r="H4707" t="s">
        <v>2345</v>
      </c>
      <c r="J4707" t="s">
        <v>4728</v>
      </c>
      <c r="K4707">
        <v>214</v>
      </c>
    </row>
    <row r="4708" spans="1:11" x14ac:dyDescent="0.35">
      <c r="A4708" t="s">
        <v>4729</v>
      </c>
      <c r="B4708" s="1">
        <v>0</v>
      </c>
      <c r="C4708" t="s">
        <v>1058</v>
      </c>
      <c r="D4708" t="s">
        <v>5097</v>
      </c>
      <c r="E4708" t="s">
        <v>5171</v>
      </c>
      <c r="F4708" t="s">
        <v>5089</v>
      </c>
      <c r="G4708" t="s">
        <v>5124</v>
      </c>
      <c r="H4708" t="s">
        <v>1274</v>
      </c>
      <c r="J4708" t="s">
        <v>4729</v>
      </c>
      <c r="K4708">
        <v>197.4</v>
      </c>
    </row>
    <row r="4709" spans="1:11" x14ac:dyDescent="0.35">
      <c r="A4709" t="s">
        <v>4730</v>
      </c>
      <c r="B4709" s="1">
        <v>0</v>
      </c>
      <c r="C4709" t="s">
        <v>372</v>
      </c>
      <c r="D4709" t="s">
        <v>5256</v>
      </c>
      <c r="E4709" t="s">
        <v>5524</v>
      </c>
      <c r="F4709" t="s">
        <v>5077</v>
      </c>
      <c r="G4709" t="s">
        <v>5475</v>
      </c>
      <c r="H4709" t="s">
        <v>1225</v>
      </c>
      <c r="J4709" t="s">
        <v>4730</v>
      </c>
      <c r="K4709">
        <v>181.9</v>
      </c>
    </row>
    <row r="4710" spans="1:11" x14ac:dyDescent="0.35">
      <c r="A4710" t="s">
        <v>4731</v>
      </c>
      <c r="B4710" s="1">
        <v>0</v>
      </c>
      <c r="C4710" t="s">
        <v>5588</v>
      </c>
      <c r="D4710" t="s">
        <v>5440</v>
      </c>
      <c r="E4710" t="s">
        <v>5185</v>
      </c>
      <c r="F4710" t="s">
        <v>5077</v>
      </c>
      <c r="G4710" t="s">
        <v>5062</v>
      </c>
      <c r="H4710" t="s">
        <v>959</v>
      </c>
      <c r="J4710" t="s">
        <v>4731</v>
      </c>
      <c r="K4710">
        <v>175.2</v>
      </c>
    </row>
    <row r="4711" spans="1:11" x14ac:dyDescent="0.35">
      <c r="A4711" t="s">
        <v>4732</v>
      </c>
      <c r="B4711" s="1">
        <v>0</v>
      </c>
      <c r="C4711" t="s">
        <v>5460</v>
      </c>
      <c r="D4711" t="s">
        <v>5075</v>
      </c>
      <c r="E4711" t="s">
        <v>5181</v>
      </c>
      <c r="F4711" t="s">
        <v>5077</v>
      </c>
      <c r="G4711" t="s">
        <v>5065</v>
      </c>
      <c r="H4711" t="s">
        <v>893</v>
      </c>
      <c r="J4711" t="s">
        <v>4732</v>
      </c>
      <c r="K4711">
        <v>177.8</v>
      </c>
    </row>
    <row r="4712" spans="1:11" x14ac:dyDescent="0.35">
      <c r="A4712" t="s">
        <v>4733</v>
      </c>
      <c r="B4712" s="1">
        <v>0</v>
      </c>
      <c r="C4712" t="s">
        <v>385</v>
      </c>
      <c r="D4712" t="s">
        <v>5079</v>
      </c>
      <c r="E4712" t="s">
        <v>5425</v>
      </c>
      <c r="F4712" t="s">
        <v>5077</v>
      </c>
      <c r="G4712" t="s">
        <v>5183</v>
      </c>
      <c r="H4712" t="s">
        <v>2481</v>
      </c>
      <c r="J4712" t="s">
        <v>4733</v>
      </c>
      <c r="K4712">
        <v>185.9</v>
      </c>
    </row>
    <row r="4713" spans="1:11" x14ac:dyDescent="0.35">
      <c r="A4713" t="s">
        <v>4734</v>
      </c>
      <c r="B4713" s="1">
        <v>0</v>
      </c>
      <c r="C4713" t="s">
        <v>1051</v>
      </c>
      <c r="D4713" t="s">
        <v>5280</v>
      </c>
      <c r="E4713" t="s">
        <v>5221</v>
      </c>
      <c r="F4713" t="s">
        <v>5077</v>
      </c>
      <c r="G4713" t="s">
        <v>5099</v>
      </c>
      <c r="H4713" t="s">
        <v>3075</v>
      </c>
      <c r="J4713" t="s">
        <v>4734</v>
      </c>
      <c r="K4713">
        <v>202.8</v>
      </c>
    </row>
    <row r="4714" spans="1:11" x14ac:dyDescent="0.35">
      <c r="A4714" t="s">
        <v>4735</v>
      </c>
      <c r="B4714" s="1">
        <v>0</v>
      </c>
      <c r="C4714" t="s">
        <v>359</v>
      </c>
      <c r="D4714" t="s">
        <v>5452</v>
      </c>
      <c r="E4714" t="s">
        <v>5162</v>
      </c>
      <c r="F4714" t="s">
        <v>5089</v>
      </c>
      <c r="G4714" t="s">
        <v>5116</v>
      </c>
      <c r="H4714" t="s">
        <v>767</v>
      </c>
      <c r="J4714" t="s">
        <v>4735</v>
      </c>
      <c r="K4714">
        <v>217.3</v>
      </c>
    </row>
    <row r="4715" spans="1:11" x14ac:dyDescent="0.35">
      <c r="A4715" t="s">
        <v>4736</v>
      </c>
      <c r="B4715" s="1">
        <v>0</v>
      </c>
      <c r="C4715" t="s">
        <v>462</v>
      </c>
      <c r="D4715" t="s">
        <v>5117</v>
      </c>
      <c r="E4715" t="s">
        <v>5192</v>
      </c>
      <c r="F4715" t="s">
        <v>5089</v>
      </c>
      <c r="G4715" t="s">
        <v>5110</v>
      </c>
      <c r="H4715" t="s">
        <v>3028</v>
      </c>
      <c r="J4715" t="s">
        <v>4736</v>
      </c>
      <c r="K4715">
        <v>220.7</v>
      </c>
    </row>
    <row r="4716" spans="1:11" x14ac:dyDescent="0.35">
      <c r="A4716" t="s">
        <v>4737</v>
      </c>
      <c r="B4716" s="1">
        <v>0</v>
      </c>
      <c r="C4716" t="s">
        <v>979</v>
      </c>
      <c r="D4716" t="s">
        <v>5489</v>
      </c>
      <c r="E4716" t="s">
        <v>5098</v>
      </c>
      <c r="F4716" t="s">
        <v>5089</v>
      </c>
      <c r="G4716" t="s">
        <v>5116</v>
      </c>
      <c r="H4716" t="s">
        <v>660</v>
      </c>
      <c r="J4716" t="s">
        <v>4737</v>
      </c>
      <c r="K4716">
        <v>216.2</v>
      </c>
    </row>
    <row r="4717" spans="1:11" x14ac:dyDescent="0.35">
      <c r="A4717" t="s">
        <v>4738</v>
      </c>
      <c r="B4717" s="1">
        <v>0</v>
      </c>
      <c r="C4717" t="s">
        <v>1536</v>
      </c>
      <c r="D4717" t="s">
        <v>5370</v>
      </c>
      <c r="E4717" t="s">
        <v>5306</v>
      </c>
      <c r="F4717" t="s">
        <v>5089</v>
      </c>
      <c r="G4717" t="s">
        <v>5116</v>
      </c>
      <c r="H4717" t="s">
        <v>2343</v>
      </c>
      <c r="J4717" t="s">
        <v>4738</v>
      </c>
      <c r="K4717">
        <v>214.6</v>
      </c>
    </row>
    <row r="4718" spans="1:11" x14ac:dyDescent="0.35">
      <c r="A4718" t="s">
        <v>4739</v>
      </c>
      <c r="B4718" s="1">
        <v>0</v>
      </c>
      <c r="C4718" t="s">
        <v>1865</v>
      </c>
      <c r="D4718" t="s">
        <v>5083</v>
      </c>
      <c r="E4718" t="s">
        <v>5071</v>
      </c>
      <c r="F4718" t="s">
        <v>5089</v>
      </c>
      <c r="G4718" t="s">
        <v>5110</v>
      </c>
      <c r="H4718" t="s">
        <v>3028</v>
      </c>
      <c r="J4718" t="s">
        <v>4739</v>
      </c>
      <c r="K4718">
        <v>220.7</v>
      </c>
    </row>
    <row r="4719" spans="1:11" x14ac:dyDescent="0.35">
      <c r="A4719" t="s">
        <v>4740</v>
      </c>
      <c r="B4719" s="1">
        <v>0</v>
      </c>
      <c r="C4719" t="s">
        <v>3224</v>
      </c>
      <c r="D4719" t="s">
        <v>5107</v>
      </c>
      <c r="E4719" t="s">
        <v>5182</v>
      </c>
      <c r="F4719" t="s">
        <v>5089</v>
      </c>
      <c r="G4719" t="s">
        <v>5110</v>
      </c>
      <c r="H4719" t="s">
        <v>1663</v>
      </c>
      <c r="J4719" t="s">
        <v>4740</v>
      </c>
      <c r="K4719">
        <v>233.9</v>
      </c>
    </row>
    <row r="4720" spans="1:11" x14ac:dyDescent="0.35">
      <c r="A4720" t="s">
        <v>4741</v>
      </c>
      <c r="B4720" s="1">
        <v>0</v>
      </c>
      <c r="C4720" t="s">
        <v>316</v>
      </c>
      <c r="D4720" t="s">
        <v>5214</v>
      </c>
      <c r="E4720" t="s">
        <v>5131</v>
      </c>
      <c r="F4720" t="s">
        <v>5338</v>
      </c>
      <c r="G4720" t="s">
        <v>5136</v>
      </c>
      <c r="H4720" t="s">
        <v>2700</v>
      </c>
      <c r="J4720" t="s">
        <v>4741</v>
      </c>
      <c r="K4720">
        <v>250.4</v>
      </c>
    </row>
    <row r="4721" spans="1:11" x14ac:dyDescent="0.35">
      <c r="A4721" t="s">
        <v>4742</v>
      </c>
      <c r="B4721" s="1">
        <v>0</v>
      </c>
      <c r="C4721" t="s">
        <v>4082</v>
      </c>
      <c r="D4721" t="s">
        <v>5500</v>
      </c>
      <c r="E4721" t="s">
        <v>5187</v>
      </c>
      <c r="F4721" t="s">
        <v>5338</v>
      </c>
      <c r="G4721" t="s">
        <v>5358</v>
      </c>
      <c r="H4721" t="s">
        <v>5759</v>
      </c>
      <c r="J4721" t="s">
        <v>4742</v>
      </c>
      <c r="K4721">
        <v>247.6</v>
      </c>
    </row>
    <row r="4722" spans="1:11" x14ac:dyDescent="0.35">
      <c r="A4722" t="s">
        <v>4743</v>
      </c>
      <c r="B4722" s="1">
        <v>0</v>
      </c>
      <c r="C4722" t="s">
        <v>2607</v>
      </c>
      <c r="D4722" t="s">
        <v>5514</v>
      </c>
      <c r="E4722" t="s">
        <v>5200</v>
      </c>
      <c r="F4722" t="s">
        <v>5338</v>
      </c>
      <c r="G4722" t="s">
        <v>5092</v>
      </c>
      <c r="H4722" t="s">
        <v>2698</v>
      </c>
      <c r="J4722" t="s">
        <v>4743</v>
      </c>
      <c r="K4722">
        <v>238.1</v>
      </c>
    </row>
    <row r="4723" spans="1:11" x14ac:dyDescent="0.35">
      <c r="A4723" t="s">
        <v>4744</v>
      </c>
      <c r="B4723" s="1">
        <v>0</v>
      </c>
      <c r="C4723" t="s">
        <v>980</v>
      </c>
      <c r="D4723" t="s">
        <v>5260</v>
      </c>
      <c r="E4723" t="s">
        <v>5433</v>
      </c>
      <c r="F4723" t="s">
        <v>5338</v>
      </c>
      <c r="G4723" t="s">
        <v>5092</v>
      </c>
      <c r="H4723" t="s">
        <v>204</v>
      </c>
      <c r="J4723" t="s">
        <v>4744</v>
      </c>
      <c r="K4723">
        <v>230.3</v>
      </c>
    </row>
    <row r="4724" spans="1:11" x14ac:dyDescent="0.35">
      <c r="A4724" t="s">
        <v>4745</v>
      </c>
      <c r="B4724" s="1">
        <v>0</v>
      </c>
      <c r="C4724" t="s">
        <v>1469</v>
      </c>
      <c r="D4724" t="s">
        <v>5246</v>
      </c>
      <c r="E4724" t="s">
        <v>5096</v>
      </c>
      <c r="F4724" t="s">
        <v>5338</v>
      </c>
      <c r="G4724" t="s">
        <v>5089</v>
      </c>
      <c r="H4724" t="s">
        <v>1250</v>
      </c>
      <c r="J4724" t="s">
        <v>4745</v>
      </c>
      <c r="K4724">
        <v>229.5</v>
      </c>
    </row>
    <row r="4725" spans="1:11" x14ac:dyDescent="0.35">
      <c r="A4725" t="s">
        <v>4746</v>
      </c>
      <c r="B4725" s="1">
        <v>0</v>
      </c>
      <c r="C4725" t="s">
        <v>1542</v>
      </c>
      <c r="D4725" t="s">
        <v>5122</v>
      </c>
      <c r="E4725" t="s">
        <v>5270</v>
      </c>
      <c r="F4725" t="s">
        <v>5338</v>
      </c>
      <c r="G4725" t="s">
        <v>5136</v>
      </c>
      <c r="H4725" t="s">
        <v>2041</v>
      </c>
      <c r="J4725" t="s">
        <v>4746</v>
      </c>
      <c r="K4725">
        <v>229.4</v>
      </c>
    </row>
    <row r="4726" spans="1:11" x14ac:dyDescent="0.35">
      <c r="A4726" t="s">
        <v>4747</v>
      </c>
      <c r="B4726" s="1">
        <v>0</v>
      </c>
      <c r="C4726" t="s">
        <v>1542</v>
      </c>
      <c r="D4726" t="s">
        <v>5248</v>
      </c>
      <c r="E4726" t="s">
        <v>5192</v>
      </c>
      <c r="F4726" t="s">
        <v>5152</v>
      </c>
      <c r="G4726" t="s">
        <v>5493</v>
      </c>
      <c r="H4726" t="s">
        <v>2383</v>
      </c>
      <c r="J4726" t="s">
        <v>4747</v>
      </c>
      <c r="K4726">
        <v>227.2</v>
      </c>
    </row>
    <row r="4727" spans="1:11" x14ac:dyDescent="0.35">
      <c r="A4727" t="s">
        <v>4748</v>
      </c>
      <c r="B4727" s="1">
        <v>0</v>
      </c>
      <c r="C4727" t="s">
        <v>2270</v>
      </c>
      <c r="D4727" t="s">
        <v>5552</v>
      </c>
      <c r="E4727" t="s">
        <v>5060</v>
      </c>
      <c r="F4727" t="s">
        <v>5338</v>
      </c>
      <c r="G4727" t="s">
        <v>5355</v>
      </c>
      <c r="H4727" t="s">
        <v>741</v>
      </c>
      <c r="J4727" t="s">
        <v>4748</v>
      </c>
      <c r="K4727">
        <v>226.1</v>
      </c>
    </row>
    <row r="4728" spans="1:11" x14ac:dyDescent="0.35">
      <c r="A4728" t="s">
        <v>4749</v>
      </c>
      <c r="B4728" s="1">
        <v>0</v>
      </c>
      <c r="C4728" t="s">
        <v>1469</v>
      </c>
      <c r="D4728" t="s">
        <v>5138</v>
      </c>
      <c r="E4728" t="s">
        <v>5192</v>
      </c>
      <c r="F4728" t="s">
        <v>5338</v>
      </c>
      <c r="G4728" t="s">
        <v>5355</v>
      </c>
      <c r="H4728" t="s">
        <v>211</v>
      </c>
      <c r="J4728" t="s">
        <v>4749</v>
      </c>
      <c r="K4728">
        <v>225.3</v>
      </c>
    </row>
    <row r="4729" spans="1:11" x14ac:dyDescent="0.35">
      <c r="A4729" t="s">
        <v>4750</v>
      </c>
      <c r="B4729" s="1">
        <v>0</v>
      </c>
      <c r="C4729" t="s">
        <v>325</v>
      </c>
      <c r="D4729" t="s">
        <v>5487</v>
      </c>
      <c r="E4729" t="s">
        <v>5098</v>
      </c>
      <c r="F4729" t="s">
        <v>5338</v>
      </c>
      <c r="G4729" t="s">
        <v>5355</v>
      </c>
      <c r="H4729" t="s">
        <v>2407</v>
      </c>
      <c r="J4729" t="s">
        <v>4750</v>
      </c>
      <c r="K4729">
        <v>218.3</v>
      </c>
    </row>
    <row r="4730" spans="1:11" x14ac:dyDescent="0.35">
      <c r="A4730" t="s">
        <v>4751</v>
      </c>
      <c r="B4730" s="1">
        <v>0</v>
      </c>
      <c r="C4730" t="s">
        <v>1482</v>
      </c>
      <c r="D4730" t="s">
        <v>5083</v>
      </c>
      <c r="E4730" t="s">
        <v>5208</v>
      </c>
      <c r="F4730" t="s">
        <v>5152</v>
      </c>
      <c r="G4730" t="s">
        <v>5341</v>
      </c>
      <c r="H4730" t="s">
        <v>2425</v>
      </c>
      <c r="J4730" t="s">
        <v>4751</v>
      </c>
      <c r="K4730">
        <v>219.3</v>
      </c>
    </row>
    <row r="4731" spans="1:11" x14ac:dyDescent="0.35">
      <c r="A4731" t="s">
        <v>4752</v>
      </c>
      <c r="B4731" s="1">
        <v>0</v>
      </c>
      <c r="C4731" t="s">
        <v>4117</v>
      </c>
      <c r="D4731" t="s">
        <v>5091</v>
      </c>
      <c r="E4731" t="s">
        <v>5105</v>
      </c>
      <c r="F4731" t="s">
        <v>5338</v>
      </c>
      <c r="G4731" t="s">
        <v>5205</v>
      </c>
      <c r="H4731" t="s">
        <v>5716</v>
      </c>
      <c r="J4731" t="s">
        <v>4752</v>
      </c>
      <c r="K4731">
        <v>234.4</v>
      </c>
    </row>
    <row r="4732" spans="1:11" x14ac:dyDescent="0.35">
      <c r="A4732" t="s">
        <v>4753</v>
      </c>
      <c r="B4732" s="1">
        <v>0</v>
      </c>
      <c r="C4732" t="s">
        <v>966</v>
      </c>
      <c r="D4732" t="s">
        <v>5593</v>
      </c>
      <c r="E4732" t="s">
        <v>5131</v>
      </c>
      <c r="F4732" t="s">
        <v>5338</v>
      </c>
      <c r="G4732" t="s">
        <v>5347</v>
      </c>
      <c r="H4732" t="s">
        <v>2831</v>
      </c>
      <c r="J4732" t="s">
        <v>4753</v>
      </c>
      <c r="K4732">
        <v>255.7</v>
      </c>
    </row>
    <row r="4733" spans="1:11" x14ac:dyDescent="0.35">
      <c r="A4733" t="s">
        <v>4754</v>
      </c>
      <c r="B4733" s="1">
        <v>0</v>
      </c>
      <c r="C4733" t="s">
        <v>1444</v>
      </c>
      <c r="D4733" t="s">
        <v>5639</v>
      </c>
      <c r="E4733" t="s">
        <v>5154</v>
      </c>
      <c r="F4733" t="s">
        <v>5338</v>
      </c>
      <c r="G4733" t="s">
        <v>5158</v>
      </c>
      <c r="H4733" t="s">
        <v>4480</v>
      </c>
      <c r="J4733" t="s">
        <v>4754</v>
      </c>
      <c r="K4733">
        <v>267</v>
      </c>
    </row>
    <row r="4734" spans="1:11" x14ac:dyDescent="0.35">
      <c r="A4734" t="s">
        <v>4756</v>
      </c>
      <c r="B4734" s="1">
        <v>0</v>
      </c>
      <c r="C4734" t="s">
        <v>4609</v>
      </c>
      <c r="D4734" t="s">
        <v>5410</v>
      </c>
      <c r="E4734" t="s">
        <v>5075</v>
      </c>
      <c r="F4734" t="s">
        <v>5338</v>
      </c>
      <c r="G4734" t="s">
        <v>5201</v>
      </c>
      <c r="H4734" t="s">
        <v>5815</v>
      </c>
      <c r="J4734" t="s">
        <v>4756</v>
      </c>
      <c r="K4734">
        <v>262.10000000000002</v>
      </c>
    </row>
    <row r="4735" spans="1:11" x14ac:dyDescent="0.35">
      <c r="A4735" t="s">
        <v>4757</v>
      </c>
      <c r="B4735" s="1">
        <v>0</v>
      </c>
      <c r="C4735" t="s">
        <v>4118</v>
      </c>
      <c r="D4735" t="s">
        <v>5265</v>
      </c>
      <c r="E4735" t="s">
        <v>5449</v>
      </c>
      <c r="F4735" t="s">
        <v>5338</v>
      </c>
      <c r="G4735" t="s">
        <v>5333</v>
      </c>
      <c r="H4735" t="s">
        <v>5779</v>
      </c>
      <c r="J4735" t="s">
        <v>4757</v>
      </c>
      <c r="K4735">
        <v>254.6</v>
      </c>
    </row>
    <row r="4736" spans="1:11" x14ac:dyDescent="0.35">
      <c r="A4736" t="s">
        <v>4758</v>
      </c>
      <c r="B4736" s="1">
        <v>0</v>
      </c>
      <c r="C4736" t="s">
        <v>1864</v>
      </c>
      <c r="D4736" t="s">
        <v>5563</v>
      </c>
      <c r="E4736" t="s">
        <v>5594</v>
      </c>
      <c r="F4736" t="s">
        <v>5152</v>
      </c>
      <c r="G4736" t="s">
        <v>5493</v>
      </c>
      <c r="H4736" t="s">
        <v>4242</v>
      </c>
      <c r="J4736" t="s">
        <v>4758</v>
      </c>
      <c r="K4736">
        <v>248.1</v>
      </c>
    </row>
    <row r="4737" spans="1:11" x14ac:dyDescent="0.35">
      <c r="A4737" t="s">
        <v>4759</v>
      </c>
      <c r="B4737" s="1">
        <v>0</v>
      </c>
      <c r="C4737" t="s">
        <v>460</v>
      </c>
      <c r="D4737" t="s">
        <v>5477</v>
      </c>
      <c r="E4737" t="s">
        <v>5154</v>
      </c>
      <c r="F4737" t="s">
        <v>5152</v>
      </c>
      <c r="G4737" t="s">
        <v>5136</v>
      </c>
      <c r="H4737" t="s">
        <v>2086</v>
      </c>
      <c r="J4737" t="s">
        <v>4759</v>
      </c>
      <c r="K4737">
        <v>243.7</v>
      </c>
    </row>
    <row r="4738" spans="1:11" x14ac:dyDescent="0.35">
      <c r="A4738" t="s">
        <v>4760</v>
      </c>
      <c r="B4738" s="1">
        <v>0</v>
      </c>
      <c r="C4738" t="s">
        <v>2265</v>
      </c>
      <c r="D4738" t="s">
        <v>5656</v>
      </c>
      <c r="E4738" t="s">
        <v>5508</v>
      </c>
      <c r="F4738" t="s">
        <v>5152</v>
      </c>
      <c r="G4738" t="s">
        <v>5493</v>
      </c>
      <c r="H4738" t="s">
        <v>2019</v>
      </c>
      <c r="J4738" t="s">
        <v>4760</v>
      </c>
      <c r="K4738">
        <v>243.3</v>
      </c>
    </row>
    <row r="4739" spans="1:11" x14ac:dyDescent="0.35">
      <c r="A4739" t="s">
        <v>4761</v>
      </c>
      <c r="B4739" s="1">
        <v>0</v>
      </c>
      <c r="C4739" t="s">
        <v>491</v>
      </c>
      <c r="D4739" t="s">
        <v>5656</v>
      </c>
      <c r="E4739" t="s">
        <v>5281</v>
      </c>
      <c r="F4739" t="s">
        <v>5338</v>
      </c>
      <c r="G4739" t="s">
        <v>5333</v>
      </c>
      <c r="H4739" t="s">
        <v>2021</v>
      </c>
      <c r="J4739" t="s">
        <v>4761</v>
      </c>
      <c r="K4739">
        <v>250.9</v>
      </c>
    </row>
    <row r="4740" spans="1:11" x14ac:dyDescent="0.35">
      <c r="A4740" t="s">
        <v>4762</v>
      </c>
      <c r="B4740" s="1">
        <v>0</v>
      </c>
      <c r="C4740" t="s">
        <v>1546</v>
      </c>
      <c r="D4740" t="s">
        <v>5460</v>
      </c>
      <c r="E4740" t="s">
        <v>5458</v>
      </c>
      <c r="F4740" t="s">
        <v>5338</v>
      </c>
      <c r="G4740" t="s">
        <v>5201</v>
      </c>
      <c r="H4740" t="s">
        <v>5744</v>
      </c>
      <c r="J4740" t="s">
        <v>4762</v>
      </c>
      <c r="K4740">
        <v>264.3</v>
      </c>
    </row>
    <row r="4741" spans="1:11" x14ac:dyDescent="0.35">
      <c r="A4741" t="s">
        <v>4764</v>
      </c>
      <c r="B4741" s="1">
        <v>0</v>
      </c>
      <c r="C4741" t="s">
        <v>1450</v>
      </c>
      <c r="D4741" t="s">
        <v>1488</v>
      </c>
      <c r="E4741" t="s">
        <v>5211</v>
      </c>
      <c r="F4741" t="s">
        <v>5338</v>
      </c>
      <c r="G4741" t="s">
        <v>5152</v>
      </c>
      <c r="H4741" t="s">
        <v>5842</v>
      </c>
      <c r="J4741" t="s">
        <v>4764</v>
      </c>
      <c r="K4741">
        <v>287.5</v>
      </c>
    </row>
    <row r="4742" spans="1:11" x14ac:dyDescent="0.35">
      <c r="A4742" t="s">
        <v>4767</v>
      </c>
      <c r="B4742" s="1">
        <v>0</v>
      </c>
      <c r="C4742" t="s">
        <v>855</v>
      </c>
      <c r="D4742" t="s">
        <v>1046</v>
      </c>
      <c r="E4742" t="s">
        <v>5373</v>
      </c>
      <c r="F4742" t="s">
        <v>5331</v>
      </c>
      <c r="G4742" t="s">
        <v>5161</v>
      </c>
      <c r="H4742" t="s">
        <v>5843</v>
      </c>
      <c r="J4742" t="s">
        <v>4767</v>
      </c>
      <c r="K4742">
        <v>306.10000000000002</v>
      </c>
    </row>
    <row r="4743" spans="1:11" x14ac:dyDescent="0.35">
      <c r="A4743" t="s">
        <v>4768</v>
      </c>
      <c r="B4743" s="1">
        <v>0</v>
      </c>
      <c r="C4743" t="s">
        <v>3119</v>
      </c>
      <c r="D4743" t="s">
        <v>1525</v>
      </c>
      <c r="E4743" t="s">
        <v>5101</v>
      </c>
      <c r="F4743" t="s">
        <v>5338</v>
      </c>
      <c r="G4743" t="s">
        <v>5414</v>
      </c>
      <c r="H4743" t="s">
        <v>5844</v>
      </c>
      <c r="J4743" t="s">
        <v>4768</v>
      </c>
      <c r="K4743">
        <v>309.39999999999998</v>
      </c>
    </row>
    <row r="4744" spans="1:11" x14ac:dyDescent="0.35">
      <c r="A4744" t="s">
        <v>4769</v>
      </c>
      <c r="B4744" s="1">
        <v>0</v>
      </c>
      <c r="C4744" t="s">
        <v>544</v>
      </c>
      <c r="D4744" t="s">
        <v>447</v>
      </c>
      <c r="E4744" t="s">
        <v>5494</v>
      </c>
      <c r="F4744" t="s">
        <v>5338</v>
      </c>
      <c r="G4744" t="s">
        <v>5163</v>
      </c>
      <c r="H4744" t="s">
        <v>5845</v>
      </c>
      <c r="J4744" t="s">
        <v>4769</v>
      </c>
      <c r="K4744">
        <v>300.39999999999998</v>
      </c>
    </row>
    <row r="4745" spans="1:11" x14ac:dyDescent="0.35">
      <c r="A4745" t="s">
        <v>4770</v>
      </c>
      <c r="B4745" s="1">
        <v>0</v>
      </c>
      <c r="C4745" t="s">
        <v>4348</v>
      </c>
      <c r="D4745" t="s">
        <v>1051</v>
      </c>
      <c r="E4745" t="s">
        <v>5487</v>
      </c>
      <c r="F4745" t="s">
        <v>5338</v>
      </c>
      <c r="G4745" t="s">
        <v>5347</v>
      </c>
      <c r="H4745" t="s">
        <v>5820</v>
      </c>
      <c r="J4745" t="s">
        <v>4770</v>
      </c>
      <c r="K4745">
        <v>292.39999999999998</v>
      </c>
    </row>
    <row r="4746" spans="1:11" x14ac:dyDescent="0.35">
      <c r="A4746" t="s">
        <v>4771</v>
      </c>
      <c r="B4746" s="1">
        <v>0</v>
      </c>
      <c r="C4746" t="s">
        <v>966</v>
      </c>
      <c r="D4746" t="s">
        <v>1058</v>
      </c>
      <c r="E4746" t="s">
        <v>5209</v>
      </c>
      <c r="F4746" t="s">
        <v>5338</v>
      </c>
      <c r="G4746" t="s">
        <v>5188</v>
      </c>
      <c r="H4746" t="s">
        <v>5846</v>
      </c>
      <c r="J4746" t="s">
        <v>4771</v>
      </c>
      <c r="K4746">
        <v>283.2</v>
      </c>
    </row>
    <row r="4747" spans="1:11" x14ac:dyDescent="0.35">
      <c r="A4747" t="s">
        <v>4772</v>
      </c>
      <c r="B4747" s="1">
        <v>0</v>
      </c>
      <c r="C4747" t="s">
        <v>1553</v>
      </c>
      <c r="D4747" t="s">
        <v>453</v>
      </c>
      <c r="E4747" t="s">
        <v>5374</v>
      </c>
      <c r="F4747" t="s">
        <v>5338</v>
      </c>
      <c r="G4747" t="s">
        <v>5166</v>
      </c>
      <c r="H4747" t="s">
        <v>5847</v>
      </c>
      <c r="J4747" t="s">
        <v>4772</v>
      </c>
      <c r="K4747">
        <v>280.8</v>
      </c>
    </row>
    <row r="4748" spans="1:11" x14ac:dyDescent="0.35">
      <c r="A4748" t="s">
        <v>4774</v>
      </c>
      <c r="B4748" s="1">
        <v>0</v>
      </c>
      <c r="C4748" t="s">
        <v>1446</v>
      </c>
      <c r="D4748" t="s">
        <v>1021</v>
      </c>
      <c r="E4748" t="s">
        <v>5148</v>
      </c>
      <c r="F4748" t="s">
        <v>5338</v>
      </c>
      <c r="G4748" t="s">
        <v>5340</v>
      </c>
      <c r="H4748" t="s">
        <v>5848</v>
      </c>
      <c r="J4748" t="s">
        <v>4774</v>
      </c>
      <c r="K4748">
        <v>278.10000000000002</v>
      </c>
    </row>
    <row r="4749" spans="1:11" x14ac:dyDescent="0.35">
      <c r="A4749" t="s">
        <v>4775</v>
      </c>
      <c r="B4749" s="1">
        <v>0</v>
      </c>
      <c r="C4749" t="s">
        <v>497</v>
      </c>
      <c r="D4749" t="s">
        <v>1874</v>
      </c>
      <c r="E4749" t="s">
        <v>5534</v>
      </c>
      <c r="F4749" t="s">
        <v>5338</v>
      </c>
      <c r="G4749" t="s">
        <v>5201</v>
      </c>
      <c r="H4749" t="s">
        <v>5849</v>
      </c>
      <c r="J4749" t="s">
        <v>4775</v>
      </c>
      <c r="K4749">
        <v>280.7</v>
      </c>
    </row>
    <row r="4750" spans="1:11" x14ac:dyDescent="0.35">
      <c r="A4750" t="s">
        <v>4776</v>
      </c>
      <c r="B4750" s="1">
        <v>0</v>
      </c>
      <c r="C4750" t="s">
        <v>2224</v>
      </c>
      <c r="D4750" t="s">
        <v>404</v>
      </c>
      <c r="E4750" t="s">
        <v>5531</v>
      </c>
      <c r="F4750" t="s">
        <v>5338</v>
      </c>
      <c r="G4750" t="s">
        <v>5205</v>
      </c>
      <c r="H4750" t="s">
        <v>3358</v>
      </c>
      <c r="J4750" t="s">
        <v>4776</v>
      </c>
      <c r="K4750">
        <v>277.60000000000002</v>
      </c>
    </row>
    <row r="4751" spans="1:11" x14ac:dyDescent="0.35">
      <c r="A4751" t="s">
        <v>4777</v>
      </c>
      <c r="B4751" s="1">
        <v>0</v>
      </c>
      <c r="C4751" t="s">
        <v>2279</v>
      </c>
      <c r="D4751" t="s">
        <v>5282</v>
      </c>
      <c r="E4751" t="s">
        <v>5200</v>
      </c>
      <c r="F4751" t="s">
        <v>5089</v>
      </c>
      <c r="G4751" t="s">
        <v>5201</v>
      </c>
      <c r="H4751" t="s">
        <v>5789</v>
      </c>
      <c r="J4751" t="s">
        <v>4777</v>
      </c>
      <c r="K4751">
        <v>258.89999999999998</v>
      </c>
    </row>
    <row r="4752" spans="1:11" x14ac:dyDescent="0.35">
      <c r="A4752" t="s">
        <v>4778</v>
      </c>
      <c r="B4752" s="1">
        <v>0</v>
      </c>
      <c r="C4752" t="s">
        <v>3226</v>
      </c>
      <c r="D4752" t="s">
        <v>5626</v>
      </c>
      <c r="E4752" t="s">
        <v>5063</v>
      </c>
      <c r="F4752" t="s">
        <v>5089</v>
      </c>
      <c r="G4752" t="s">
        <v>5333</v>
      </c>
      <c r="H4752" t="s">
        <v>4451</v>
      </c>
      <c r="J4752" t="s">
        <v>4778</v>
      </c>
      <c r="K4752">
        <v>242.8</v>
      </c>
    </row>
    <row r="4753" spans="1:11" x14ac:dyDescent="0.35">
      <c r="A4753" t="s">
        <v>4779</v>
      </c>
      <c r="B4753" s="1">
        <v>0</v>
      </c>
      <c r="C4753" t="s">
        <v>4382</v>
      </c>
      <c r="D4753" t="s">
        <v>5278</v>
      </c>
      <c r="E4753" t="s">
        <v>5165</v>
      </c>
      <c r="F4753" t="s">
        <v>5089</v>
      </c>
      <c r="G4753" t="s">
        <v>5501</v>
      </c>
      <c r="H4753" t="s">
        <v>1309</v>
      </c>
      <c r="J4753" t="s">
        <v>4779</v>
      </c>
      <c r="K4753">
        <v>232.3</v>
      </c>
    </row>
    <row r="4754" spans="1:11" x14ac:dyDescent="0.35">
      <c r="A4754" t="s">
        <v>4780</v>
      </c>
      <c r="B4754" s="1">
        <v>0</v>
      </c>
      <c r="C4754" t="s">
        <v>471</v>
      </c>
      <c r="D4754" t="s">
        <v>5387</v>
      </c>
      <c r="E4754" t="s">
        <v>5236</v>
      </c>
      <c r="F4754" t="s">
        <v>5089</v>
      </c>
      <c r="G4754" t="s">
        <v>5501</v>
      </c>
      <c r="H4754" t="s">
        <v>2031</v>
      </c>
      <c r="J4754" t="s">
        <v>4780</v>
      </c>
      <c r="K4754">
        <v>228.2</v>
      </c>
    </row>
    <row r="4755" spans="1:11" x14ac:dyDescent="0.35">
      <c r="A4755" t="s">
        <v>4781</v>
      </c>
      <c r="B4755" s="1">
        <v>0</v>
      </c>
      <c r="C4755" t="s">
        <v>1539</v>
      </c>
      <c r="D4755" t="s">
        <v>5486</v>
      </c>
      <c r="E4755" t="s">
        <v>5236</v>
      </c>
      <c r="F4755" t="s">
        <v>5089</v>
      </c>
      <c r="G4755" t="s">
        <v>5332</v>
      </c>
      <c r="H4755" t="s">
        <v>5664</v>
      </c>
      <c r="J4755" t="s">
        <v>4781</v>
      </c>
      <c r="K4755">
        <v>224.9</v>
      </c>
    </row>
    <row r="4756" spans="1:11" x14ac:dyDescent="0.35">
      <c r="A4756" t="s">
        <v>4782</v>
      </c>
      <c r="B4756" s="1">
        <v>0</v>
      </c>
      <c r="C4756" t="s">
        <v>1472</v>
      </c>
      <c r="D4756" t="s">
        <v>5518</v>
      </c>
      <c r="E4756" t="s">
        <v>5162</v>
      </c>
      <c r="F4756" t="s">
        <v>5089</v>
      </c>
      <c r="G4756" t="s">
        <v>5493</v>
      </c>
      <c r="H4756" t="s">
        <v>3037</v>
      </c>
      <c r="J4756" t="s">
        <v>4782</v>
      </c>
      <c r="K4756">
        <v>223.4</v>
      </c>
    </row>
    <row r="4757" spans="1:11" x14ac:dyDescent="0.35">
      <c r="A4757" t="s">
        <v>4783</v>
      </c>
      <c r="B4757" s="1">
        <v>0</v>
      </c>
      <c r="C4757" t="s">
        <v>459</v>
      </c>
      <c r="D4757" t="s">
        <v>5554</v>
      </c>
      <c r="E4757" t="s">
        <v>5102</v>
      </c>
      <c r="F4757" t="s">
        <v>5089</v>
      </c>
      <c r="G4757" t="s">
        <v>5136</v>
      </c>
      <c r="H4757" t="s">
        <v>3038</v>
      </c>
      <c r="J4757" t="s">
        <v>4783</v>
      </c>
      <c r="K4757">
        <v>223.3</v>
      </c>
    </row>
    <row r="4758" spans="1:11" x14ac:dyDescent="0.35">
      <c r="A4758" t="s">
        <v>4784</v>
      </c>
      <c r="B4758" s="1">
        <v>0</v>
      </c>
      <c r="C4758" t="s">
        <v>335</v>
      </c>
      <c r="D4758" t="s">
        <v>5541</v>
      </c>
      <c r="E4758" t="s">
        <v>5182</v>
      </c>
      <c r="F4758" t="s">
        <v>5089</v>
      </c>
      <c r="G4758" t="s">
        <v>5136</v>
      </c>
      <c r="H4758" t="s">
        <v>5737</v>
      </c>
      <c r="J4758" t="s">
        <v>4784</v>
      </c>
      <c r="K4758">
        <v>225.4</v>
      </c>
    </row>
    <row r="4759" spans="1:11" x14ac:dyDescent="0.35">
      <c r="A4759" t="s">
        <v>4785</v>
      </c>
      <c r="B4759" s="1">
        <v>0</v>
      </c>
      <c r="C4759" t="s">
        <v>1469</v>
      </c>
      <c r="D4759" t="s">
        <v>5476</v>
      </c>
      <c r="E4759" t="s">
        <v>5102</v>
      </c>
      <c r="F4759" t="s">
        <v>5089</v>
      </c>
      <c r="G4759" t="s">
        <v>5136</v>
      </c>
      <c r="H4759" t="s">
        <v>628</v>
      </c>
      <c r="J4759" t="s">
        <v>4785</v>
      </c>
      <c r="K4759">
        <v>225.2</v>
      </c>
    </row>
    <row r="4760" spans="1:11" x14ac:dyDescent="0.35">
      <c r="A4760" t="s">
        <v>4786</v>
      </c>
      <c r="B4760" s="1">
        <v>0</v>
      </c>
      <c r="C4760" t="s">
        <v>2267</v>
      </c>
      <c r="D4760" t="s">
        <v>5573</v>
      </c>
      <c r="E4760" t="s">
        <v>5208</v>
      </c>
      <c r="F4760" t="s">
        <v>5089</v>
      </c>
      <c r="G4760" t="s">
        <v>5493</v>
      </c>
      <c r="H4760" t="s">
        <v>3569</v>
      </c>
      <c r="J4760" t="s">
        <v>4786</v>
      </c>
      <c r="K4760">
        <v>221.9</v>
      </c>
    </row>
    <row r="4761" spans="1:11" x14ac:dyDescent="0.35">
      <c r="A4761" t="s">
        <v>4787</v>
      </c>
      <c r="B4761" s="1">
        <v>0</v>
      </c>
      <c r="C4761" t="s">
        <v>1482</v>
      </c>
      <c r="D4761" t="s">
        <v>5392</v>
      </c>
      <c r="E4761" t="s">
        <v>5173</v>
      </c>
      <c r="F4761" t="s">
        <v>5089</v>
      </c>
      <c r="G4761" t="s">
        <v>5493</v>
      </c>
      <c r="H4761" t="s">
        <v>5028</v>
      </c>
      <c r="J4761" t="s">
        <v>4787</v>
      </c>
      <c r="K4761">
        <v>215.7</v>
      </c>
    </row>
    <row r="4762" spans="1:11" x14ac:dyDescent="0.35">
      <c r="A4762" t="s">
        <v>4788</v>
      </c>
      <c r="B4762" s="1">
        <v>0</v>
      </c>
      <c r="C4762" t="s">
        <v>2268</v>
      </c>
      <c r="D4762" t="s">
        <v>5447</v>
      </c>
      <c r="E4762" t="s">
        <v>5237</v>
      </c>
      <c r="F4762" t="s">
        <v>5089</v>
      </c>
      <c r="G4762" t="s">
        <v>5332</v>
      </c>
      <c r="H4762" t="s">
        <v>944</v>
      </c>
      <c r="J4762" t="s">
        <v>4788</v>
      </c>
      <c r="K4762">
        <v>217.8</v>
      </c>
    </row>
    <row r="4763" spans="1:11" x14ac:dyDescent="0.35">
      <c r="A4763" t="s">
        <v>4790</v>
      </c>
      <c r="B4763" s="1">
        <v>0</v>
      </c>
      <c r="C4763" t="s">
        <v>4902</v>
      </c>
      <c r="D4763" t="s">
        <v>5146</v>
      </c>
      <c r="E4763" t="s">
        <v>5175</v>
      </c>
      <c r="F4763" t="s">
        <v>5089</v>
      </c>
      <c r="G4763" t="s">
        <v>5341</v>
      </c>
      <c r="H4763" t="s">
        <v>5730</v>
      </c>
      <c r="J4763" t="s">
        <v>4790</v>
      </c>
      <c r="K4763">
        <v>225.5</v>
      </c>
    </row>
    <row r="4764" spans="1:11" x14ac:dyDescent="0.35">
      <c r="A4764" t="s">
        <v>4791</v>
      </c>
      <c r="B4764" s="1">
        <v>0</v>
      </c>
      <c r="C4764" t="s">
        <v>3224</v>
      </c>
      <c r="D4764" t="s">
        <v>5487</v>
      </c>
      <c r="E4764" t="s">
        <v>5197</v>
      </c>
      <c r="F4764" t="s">
        <v>5089</v>
      </c>
      <c r="G4764" t="s">
        <v>5341</v>
      </c>
      <c r="H4764" t="s">
        <v>2041</v>
      </c>
      <c r="J4764" t="s">
        <v>4791</v>
      </c>
      <c r="K4764">
        <v>229.4</v>
      </c>
    </row>
    <row r="4765" spans="1:11" x14ac:dyDescent="0.35">
      <c r="A4765" t="s">
        <v>4792</v>
      </c>
      <c r="B4765" s="1">
        <v>0</v>
      </c>
      <c r="C4765" t="s">
        <v>3224</v>
      </c>
      <c r="D4765" t="s">
        <v>5625</v>
      </c>
      <c r="E4765" t="s">
        <v>5066</v>
      </c>
      <c r="F4765" t="s">
        <v>5089</v>
      </c>
      <c r="G4765" t="s">
        <v>5340</v>
      </c>
      <c r="H4765" t="s">
        <v>1309</v>
      </c>
      <c r="J4765" t="s">
        <v>4792</v>
      </c>
      <c r="K4765">
        <v>232.3</v>
      </c>
    </row>
    <row r="4766" spans="1:11" x14ac:dyDescent="0.35">
      <c r="A4766" t="s">
        <v>4793</v>
      </c>
      <c r="B4766" s="1">
        <v>0</v>
      </c>
      <c r="C4766" t="s">
        <v>492</v>
      </c>
      <c r="D4766" t="s">
        <v>5591</v>
      </c>
      <c r="E4766" t="s">
        <v>5182</v>
      </c>
      <c r="F4766" t="s">
        <v>5089</v>
      </c>
      <c r="G4766" t="s">
        <v>5166</v>
      </c>
      <c r="H4766" t="s">
        <v>4483</v>
      </c>
      <c r="J4766" t="s">
        <v>4793</v>
      </c>
      <c r="K4766">
        <v>237.8</v>
      </c>
    </row>
    <row r="4767" spans="1:11" x14ac:dyDescent="0.35">
      <c r="A4767" t="s">
        <v>4794</v>
      </c>
      <c r="B4767" s="1">
        <v>0</v>
      </c>
      <c r="C4767" t="s">
        <v>5637</v>
      </c>
      <c r="D4767" t="s">
        <v>5269</v>
      </c>
      <c r="E4767" t="s">
        <v>5120</v>
      </c>
      <c r="F4767" t="s">
        <v>5089</v>
      </c>
      <c r="G4767" t="s">
        <v>5201</v>
      </c>
      <c r="H4767" t="s">
        <v>3899</v>
      </c>
      <c r="J4767" t="s">
        <v>4794</v>
      </c>
      <c r="K4767">
        <v>239.6</v>
      </c>
    </row>
    <row r="4768" spans="1:11" x14ac:dyDescent="0.35">
      <c r="A4768" t="s">
        <v>4796</v>
      </c>
      <c r="B4768" s="1">
        <v>0</v>
      </c>
      <c r="C4768" t="s">
        <v>318</v>
      </c>
      <c r="D4768" t="s">
        <v>5583</v>
      </c>
      <c r="E4768" t="s">
        <v>5081</v>
      </c>
      <c r="F4768" t="s">
        <v>5089</v>
      </c>
      <c r="G4768" t="s">
        <v>5340</v>
      </c>
      <c r="H4768" t="s">
        <v>3950</v>
      </c>
      <c r="J4768" t="s">
        <v>4796</v>
      </c>
      <c r="K4768">
        <v>235.9</v>
      </c>
    </row>
    <row r="4769" spans="1:11" x14ac:dyDescent="0.35">
      <c r="A4769" t="s">
        <v>4797</v>
      </c>
      <c r="B4769" s="1">
        <v>0</v>
      </c>
      <c r="C4769" t="s">
        <v>2606</v>
      </c>
      <c r="D4769" t="s">
        <v>5476</v>
      </c>
      <c r="E4769" t="s">
        <v>5102</v>
      </c>
      <c r="F4769" t="s">
        <v>5089</v>
      </c>
      <c r="G4769" t="s">
        <v>5501</v>
      </c>
      <c r="H4769" t="s">
        <v>5723</v>
      </c>
      <c r="J4769" t="s">
        <v>4797</v>
      </c>
      <c r="K4769">
        <v>227.6</v>
      </c>
    </row>
    <row r="4770" spans="1:11" x14ac:dyDescent="0.35">
      <c r="A4770" t="s">
        <v>4798</v>
      </c>
      <c r="B4770" s="1">
        <v>0</v>
      </c>
      <c r="C4770" t="s">
        <v>334</v>
      </c>
      <c r="D4770" t="s">
        <v>5483</v>
      </c>
      <c r="E4770" t="s">
        <v>5178</v>
      </c>
      <c r="F4770" t="s">
        <v>5089</v>
      </c>
      <c r="G4770" t="s">
        <v>5136</v>
      </c>
      <c r="H4770" t="s">
        <v>2004</v>
      </c>
      <c r="J4770" t="s">
        <v>4798</v>
      </c>
      <c r="K4770">
        <v>219.6</v>
      </c>
    </row>
    <row r="4771" spans="1:11" x14ac:dyDescent="0.35">
      <c r="A4771" t="s">
        <v>4799</v>
      </c>
      <c r="B4771" s="1">
        <v>0</v>
      </c>
      <c r="C4771" t="s">
        <v>359</v>
      </c>
      <c r="D4771" t="s">
        <v>5233</v>
      </c>
      <c r="E4771" t="s">
        <v>5098</v>
      </c>
      <c r="F4771" t="s">
        <v>5077</v>
      </c>
      <c r="G4771" t="s">
        <v>5136</v>
      </c>
      <c r="H4771" t="s">
        <v>2004</v>
      </c>
      <c r="J4771" t="s">
        <v>4799</v>
      </c>
      <c r="K4771">
        <v>219.6</v>
      </c>
    </row>
    <row r="4772" spans="1:11" x14ac:dyDescent="0.35">
      <c r="A4772" t="s">
        <v>4800</v>
      </c>
      <c r="B4772" s="1">
        <v>0</v>
      </c>
      <c r="C4772" t="s">
        <v>985</v>
      </c>
      <c r="D4772" t="s">
        <v>5574</v>
      </c>
      <c r="E4772" t="s">
        <v>5249</v>
      </c>
      <c r="F4772" t="s">
        <v>5077</v>
      </c>
      <c r="G4772" t="s">
        <v>5136</v>
      </c>
      <c r="H4772" t="s">
        <v>5025</v>
      </c>
      <c r="J4772" t="s">
        <v>4800</v>
      </c>
      <c r="K4772">
        <v>223.2</v>
      </c>
    </row>
    <row r="4773" spans="1:11" x14ac:dyDescent="0.35">
      <c r="A4773" t="s">
        <v>4801</v>
      </c>
      <c r="B4773" s="1">
        <v>0</v>
      </c>
      <c r="C4773" t="s">
        <v>461</v>
      </c>
      <c r="D4773" t="s">
        <v>5476</v>
      </c>
      <c r="E4773" t="s">
        <v>5249</v>
      </c>
      <c r="F4773" t="s">
        <v>5077</v>
      </c>
      <c r="G4773" t="s">
        <v>5136</v>
      </c>
      <c r="H4773" t="s">
        <v>232</v>
      </c>
      <c r="J4773" t="s">
        <v>4801</v>
      </c>
      <c r="K4773">
        <v>222.4</v>
      </c>
    </row>
    <row r="4774" spans="1:11" x14ac:dyDescent="0.35">
      <c r="A4774" t="s">
        <v>4802</v>
      </c>
      <c r="B4774" s="1">
        <v>0</v>
      </c>
      <c r="C4774" t="s">
        <v>1537</v>
      </c>
      <c r="D4774" t="s">
        <v>5541</v>
      </c>
      <c r="E4774" t="s">
        <v>5060</v>
      </c>
      <c r="F4774" t="s">
        <v>5077</v>
      </c>
      <c r="G4774" t="s">
        <v>5356</v>
      </c>
      <c r="H4774" t="s">
        <v>5697</v>
      </c>
      <c r="J4774" t="s">
        <v>4802</v>
      </c>
      <c r="K4774">
        <v>221.8</v>
      </c>
    </row>
    <row r="4775" spans="1:11" x14ac:dyDescent="0.35">
      <c r="A4775" t="s">
        <v>4803</v>
      </c>
      <c r="B4775" s="1">
        <v>0</v>
      </c>
      <c r="C4775" t="s">
        <v>1535</v>
      </c>
      <c r="D4775" t="s">
        <v>5577</v>
      </c>
      <c r="E4775" t="s">
        <v>5060</v>
      </c>
      <c r="F4775" t="s">
        <v>5077</v>
      </c>
      <c r="G4775" t="s">
        <v>5358</v>
      </c>
      <c r="H4775" t="s">
        <v>2407</v>
      </c>
      <c r="J4775" t="s">
        <v>4803</v>
      </c>
      <c r="K4775">
        <v>218.3</v>
      </c>
    </row>
    <row r="4776" spans="1:11" x14ac:dyDescent="0.35">
      <c r="A4776" t="s">
        <v>4805</v>
      </c>
      <c r="B4776" s="1">
        <v>0</v>
      </c>
      <c r="C4776" t="s">
        <v>477</v>
      </c>
      <c r="D4776" t="s">
        <v>5478</v>
      </c>
      <c r="E4776" t="s">
        <v>5236</v>
      </c>
      <c r="F4776" t="s">
        <v>5077</v>
      </c>
      <c r="G4776" t="s">
        <v>5077</v>
      </c>
      <c r="H4776" t="s">
        <v>5671</v>
      </c>
      <c r="J4776" t="s">
        <v>4805</v>
      </c>
      <c r="K4776">
        <v>211.8</v>
      </c>
    </row>
    <row r="4777" spans="1:11" x14ac:dyDescent="0.35">
      <c r="A4777" t="s">
        <v>4806</v>
      </c>
      <c r="B4777" s="1">
        <v>0</v>
      </c>
      <c r="C4777" t="s">
        <v>444</v>
      </c>
      <c r="D4777" t="s">
        <v>5391</v>
      </c>
      <c r="E4777" t="s">
        <v>5167</v>
      </c>
      <c r="F4777" t="s">
        <v>5077</v>
      </c>
      <c r="G4777" t="s">
        <v>5092</v>
      </c>
      <c r="H4777" t="s">
        <v>4467</v>
      </c>
      <c r="J4777" t="s">
        <v>4806</v>
      </c>
      <c r="K4777">
        <v>206.2</v>
      </c>
    </row>
    <row r="4778" spans="1:11" x14ac:dyDescent="0.35">
      <c r="A4778" t="s">
        <v>4807</v>
      </c>
      <c r="B4778" s="1">
        <v>0</v>
      </c>
      <c r="C4778" t="s">
        <v>3800</v>
      </c>
      <c r="D4778" t="s">
        <v>5540</v>
      </c>
      <c r="E4778" t="s">
        <v>5234</v>
      </c>
      <c r="F4778" t="s">
        <v>5077</v>
      </c>
      <c r="G4778" t="s">
        <v>5092</v>
      </c>
      <c r="H4778" t="s">
        <v>3913</v>
      </c>
      <c r="J4778" t="s">
        <v>4807</v>
      </c>
      <c r="K4778">
        <v>204.2</v>
      </c>
    </row>
    <row r="4779" spans="1:11" x14ac:dyDescent="0.35">
      <c r="A4779" t="s">
        <v>4808</v>
      </c>
      <c r="B4779" s="1">
        <v>0</v>
      </c>
      <c r="C4779" t="s">
        <v>1526</v>
      </c>
      <c r="D4779" t="s">
        <v>5595</v>
      </c>
      <c r="E4779" t="s">
        <v>5237</v>
      </c>
      <c r="F4779" t="s">
        <v>5077</v>
      </c>
      <c r="G4779" t="s">
        <v>5077</v>
      </c>
      <c r="H4779" t="s">
        <v>213</v>
      </c>
      <c r="J4779" t="s">
        <v>4808</v>
      </c>
      <c r="K4779">
        <v>205.4</v>
      </c>
    </row>
    <row r="4780" spans="1:11" x14ac:dyDescent="0.35">
      <c r="A4780" t="s">
        <v>4809</v>
      </c>
      <c r="B4780" s="1">
        <v>0</v>
      </c>
      <c r="C4780" t="s">
        <v>980</v>
      </c>
      <c r="D4780" t="s">
        <v>5248</v>
      </c>
      <c r="E4780" t="s">
        <v>5066</v>
      </c>
      <c r="F4780" t="s">
        <v>5077</v>
      </c>
      <c r="G4780" t="s">
        <v>5356</v>
      </c>
      <c r="H4780" t="s">
        <v>944</v>
      </c>
      <c r="J4780" t="s">
        <v>4809</v>
      </c>
      <c r="K4780">
        <v>217.8</v>
      </c>
    </row>
    <row r="4781" spans="1:11" x14ac:dyDescent="0.35">
      <c r="A4781" t="s">
        <v>4810</v>
      </c>
      <c r="B4781" s="1">
        <v>0</v>
      </c>
      <c r="C4781" t="s">
        <v>1540</v>
      </c>
      <c r="D4781" t="s">
        <v>5244</v>
      </c>
      <c r="E4781" t="s">
        <v>5105</v>
      </c>
      <c r="F4781" t="s">
        <v>5089</v>
      </c>
      <c r="G4781" t="s">
        <v>5501</v>
      </c>
      <c r="H4781" t="s">
        <v>1309</v>
      </c>
      <c r="J4781" t="s">
        <v>4810</v>
      </c>
      <c r="K4781">
        <v>232.3</v>
      </c>
    </row>
    <row r="4782" spans="1:11" x14ac:dyDescent="0.35">
      <c r="A4782" t="s">
        <v>4811</v>
      </c>
      <c r="B4782" s="1">
        <v>0</v>
      </c>
      <c r="C4782" t="s">
        <v>2272</v>
      </c>
      <c r="D4782" t="s">
        <v>5476</v>
      </c>
      <c r="E4782" t="s">
        <v>5304</v>
      </c>
      <c r="F4782" t="s">
        <v>5240</v>
      </c>
      <c r="G4782" t="s">
        <v>5330</v>
      </c>
      <c r="H4782" t="s">
        <v>3028</v>
      </c>
      <c r="J4782" t="s">
        <v>4811</v>
      </c>
      <c r="K4782">
        <v>220.7</v>
      </c>
    </row>
    <row r="4783" spans="1:11" x14ac:dyDescent="0.35">
      <c r="A4783" t="s">
        <v>4812</v>
      </c>
      <c r="B4783" s="1">
        <v>0</v>
      </c>
      <c r="C4783" t="s">
        <v>474</v>
      </c>
      <c r="D4783" t="s">
        <v>5541</v>
      </c>
      <c r="E4783" t="s">
        <v>5304</v>
      </c>
      <c r="F4783" t="s">
        <v>5240</v>
      </c>
      <c r="G4783" t="s">
        <v>5397</v>
      </c>
      <c r="H4783" t="s">
        <v>766</v>
      </c>
      <c r="J4783" t="s">
        <v>4812</v>
      </c>
      <c r="K4783">
        <v>216.7</v>
      </c>
    </row>
    <row r="4784" spans="1:11" x14ac:dyDescent="0.35">
      <c r="A4784" t="s">
        <v>4813</v>
      </c>
      <c r="B4784" s="1">
        <v>0</v>
      </c>
      <c r="C4784" t="s">
        <v>348</v>
      </c>
      <c r="D4784" t="s">
        <v>5558</v>
      </c>
      <c r="E4784" t="s">
        <v>5192</v>
      </c>
      <c r="F4784" t="s">
        <v>5050</v>
      </c>
      <c r="G4784" t="s">
        <v>5334</v>
      </c>
      <c r="H4784" t="s">
        <v>940</v>
      </c>
      <c r="J4784" t="s">
        <v>4813</v>
      </c>
      <c r="K4784">
        <v>208.7</v>
      </c>
    </row>
    <row r="4785" spans="1:11" x14ac:dyDescent="0.35">
      <c r="A4785" t="s">
        <v>4814</v>
      </c>
      <c r="B4785" s="1">
        <v>0</v>
      </c>
      <c r="C4785" t="s">
        <v>1045</v>
      </c>
      <c r="D4785" t="s">
        <v>5575</v>
      </c>
      <c r="E4785" t="s">
        <v>5434</v>
      </c>
      <c r="F4785" t="s">
        <v>5050</v>
      </c>
      <c r="G4785" t="s">
        <v>5168</v>
      </c>
      <c r="H4785" t="s">
        <v>1331</v>
      </c>
      <c r="J4785" t="s">
        <v>4814</v>
      </c>
      <c r="K4785">
        <v>197.2</v>
      </c>
    </row>
    <row r="4786" spans="1:11" x14ac:dyDescent="0.35">
      <c r="A4786" t="s">
        <v>4815</v>
      </c>
      <c r="B4786" s="1">
        <v>0</v>
      </c>
      <c r="C4786" t="s">
        <v>430</v>
      </c>
      <c r="D4786" t="s">
        <v>5519</v>
      </c>
      <c r="E4786" t="s">
        <v>5428</v>
      </c>
      <c r="F4786" t="s">
        <v>5050</v>
      </c>
      <c r="G4786" t="s">
        <v>5177</v>
      </c>
      <c r="H4786" t="s">
        <v>782</v>
      </c>
      <c r="J4786" t="s">
        <v>4815</v>
      </c>
      <c r="K4786">
        <v>182.1</v>
      </c>
    </row>
    <row r="4787" spans="1:11" x14ac:dyDescent="0.35">
      <c r="A4787" t="s">
        <v>4816</v>
      </c>
      <c r="B4787" s="1">
        <v>0</v>
      </c>
      <c r="C4787" t="s">
        <v>5410</v>
      </c>
      <c r="D4787" t="s">
        <v>5141</v>
      </c>
      <c r="E4787" t="s">
        <v>5420</v>
      </c>
      <c r="F4787" t="s">
        <v>5050</v>
      </c>
      <c r="G4787" t="s">
        <v>5195</v>
      </c>
      <c r="H4787" t="s">
        <v>908</v>
      </c>
      <c r="J4787" t="s">
        <v>4816</v>
      </c>
      <c r="K4787">
        <v>169.6</v>
      </c>
    </row>
    <row r="4788" spans="1:11" x14ac:dyDescent="0.35">
      <c r="A4788" t="s">
        <v>4817</v>
      </c>
      <c r="B4788" s="1">
        <v>0</v>
      </c>
      <c r="C4788" t="s">
        <v>5514</v>
      </c>
      <c r="D4788" t="s">
        <v>5069</v>
      </c>
      <c r="E4788" t="s">
        <v>5299</v>
      </c>
      <c r="F4788" t="s">
        <v>5050</v>
      </c>
      <c r="G4788" t="s">
        <v>5186</v>
      </c>
      <c r="H4788" t="s">
        <v>3379</v>
      </c>
      <c r="J4788" t="s">
        <v>4817</v>
      </c>
      <c r="K4788">
        <v>160.6</v>
      </c>
    </row>
    <row r="4789" spans="1:11" x14ac:dyDescent="0.35">
      <c r="A4789" t="s">
        <v>4818</v>
      </c>
      <c r="B4789" s="1">
        <v>0</v>
      </c>
      <c r="C4789" t="s">
        <v>5576</v>
      </c>
      <c r="D4789" t="s">
        <v>5192</v>
      </c>
      <c r="E4789" t="s">
        <v>5051</v>
      </c>
      <c r="F4789" t="s">
        <v>5050</v>
      </c>
      <c r="G4789" t="s">
        <v>5189</v>
      </c>
      <c r="H4789" t="s">
        <v>1144</v>
      </c>
      <c r="J4789" t="s">
        <v>4818</v>
      </c>
      <c r="K4789">
        <v>154.1</v>
      </c>
    </row>
    <row r="4790" spans="1:11" x14ac:dyDescent="0.35">
      <c r="A4790" t="s">
        <v>4819</v>
      </c>
      <c r="B4790" s="1">
        <v>0</v>
      </c>
      <c r="C4790" t="s">
        <v>5087</v>
      </c>
      <c r="D4790" t="s">
        <v>5192</v>
      </c>
      <c r="E4790" t="s">
        <v>5545</v>
      </c>
      <c r="F4790" t="s">
        <v>5050</v>
      </c>
      <c r="G4790" t="s">
        <v>5195</v>
      </c>
      <c r="H4790" t="s">
        <v>157</v>
      </c>
      <c r="J4790" t="s">
        <v>4819</v>
      </c>
      <c r="K4790">
        <v>152.80000000000001</v>
      </c>
    </row>
    <row r="4791" spans="1:11" x14ac:dyDescent="0.35">
      <c r="A4791" t="s">
        <v>4820</v>
      </c>
      <c r="B4791" s="1">
        <v>0</v>
      </c>
      <c r="C4791" t="s">
        <v>5576</v>
      </c>
      <c r="D4791" t="s">
        <v>5243</v>
      </c>
      <c r="E4791" t="s">
        <v>5622</v>
      </c>
      <c r="F4791" t="s">
        <v>5050</v>
      </c>
      <c r="G4791" t="s">
        <v>5184</v>
      </c>
      <c r="H4791" t="s">
        <v>1631</v>
      </c>
      <c r="J4791" t="s">
        <v>4820</v>
      </c>
      <c r="K4791">
        <v>155.4</v>
      </c>
    </row>
    <row r="4792" spans="1:11" x14ac:dyDescent="0.35">
      <c r="A4792" t="s">
        <v>4821</v>
      </c>
      <c r="B4792" s="1">
        <v>0</v>
      </c>
      <c r="C4792" t="s">
        <v>5500</v>
      </c>
      <c r="D4792" t="s">
        <v>5444</v>
      </c>
      <c r="E4792" t="s">
        <v>5289</v>
      </c>
      <c r="F4792" t="s">
        <v>5050</v>
      </c>
      <c r="G4792" t="s">
        <v>5177</v>
      </c>
      <c r="H4792" t="s">
        <v>184</v>
      </c>
      <c r="J4792" t="s">
        <v>4821</v>
      </c>
      <c r="K4792">
        <v>163</v>
      </c>
    </row>
    <row r="4793" spans="1:11" x14ac:dyDescent="0.35">
      <c r="A4793" t="s">
        <v>4822</v>
      </c>
      <c r="B4793" s="1">
        <v>0</v>
      </c>
      <c r="C4793" t="s">
        <v>388</v>
      </c>
      <c r="D4793" t="s">
        <v>5141</v>
      </c>
      <c r="E4793" t="s">
        <v>5599</v>
      </c>
      <c r="F4793" t="s">
        <v>5050</v>
      </c>
      <c r="G4793" t="s">
        <v>5159</v>
      </c>
      <c r="H4793" t="s">
        <v>1172</v>
      </c>
      <c r="J4793" t="s">
        <v>4822</v>
      </c>
      <c r="K4793">
        <v>170.8</v>
      </c>
    </row>
    <row r="4794" spans="1:11" x14ac:dyDescent="0.35">
      <c r="A4794" t="s">
        <v>4823</v>
      </c>
      <c r="B4794" s="1">
        <v>0</v>
      </c>
      <c r="C4794" t="s">
        <v>392</v>
      </c>
      <c r="D4794" t="s">
        <v>5157</v>
      </c>
      <c r="E4794" t="s">
        <v>5313</v>
      </c>
      <c r="F4794" t="s">
        <v>5050</v>
      </c>
      <c r="G4794" t="s">
        <v>5348</v>
      </c>
      <c r="H4794" t="s">
        <v>719</v>
      </c>
      <c r="J4794" t="s">
        <v>4823</v>
      </c>
      <c r="K4794">
        <v>176.1</v>
      </c>
    </row>
    <row r="4795" spans="1:11" x14ac:dyDescent="0.35">
      <c r="A4795" t="s">
        <v>4824</v>
      </c>
      <c r="B4795" s="1">
        <v>0</v>
      </c>
      <c r="C4795" t="s">
        <v>435</v>
      </c>
      <c r="D4795" t="s">
        <v>5103</v>
      </c>
      <c r="E4795" t="s">
        <v>5070</v>
      </c>
      <c r="F4795" t="s">
        <v>5050</v>
      </c>
      <c r="G4795" t="s">
        <v>5164</v>
      </c>
      <c r="H4795" t="s">
        <v>49</v>
      </c>
      <c r="J4795" t="s">
        <v>4824</v>
      </c>
      <c r="K4795">
        <v>179.3</v>
      </c>
    </row>
    <row r="4796" spans="1:11" x14ac:dyDescent="0.35">
      <c r="A4796" t="s">
        <v>4825</v>
      </c>
      <c r="B4796" s="1">
        <v>0</v>
      </c>
      <c r="C4796" t="s">
        <v>2237</v>
      </c>
      <c r="D4796" t="s">
        <v>5508</v>
      </c>
      <c r="E4796" t="s">
        <v>5328</v>
      </c>
      <c r="F4796" t="s">
        <v>5050</v>
      </c>
      <c r="G4796" t="s">
        <v>5168</v>
      </c>
      <c r="H4796" t="s">
        <v>1288</v>
      </c>
      <c r="J4796" t="s">
        <v>4825</v>
      </c>
      <c r="K4796">
        <v>180.1</v>
      </c>
    </row>
    <row r="4797" spans="1:11" x14ac:dyDescent="0.35">
      <c r="A4797" t="s">
        <v>4826</v>
      </c>
      <c r="B4797" s="1">
        <v>0</v>
      </c>
      <c r="C4797" t="s">
        <v>1040</v>
      </c>
      <c r="D4797" t="s">
        <v>5572</v>
      </c>
      <c r="E4797" t="s">
        <v>5328</v>
      </c>
      <c r="F4797" t="s">
        <v>5050</v>
      </c>
      <c r="G4797" t="s">
        <v>5168</v>
      </c>
      <c r="H4797" t="s">
        <v>700</v>
      </c>
      <c r="J4797" t="s">
        <v>4826</v>
      </c>
      <c r="K4797">
        <v>181.7</v>
      </c>
    </row>
    <row r="4798" spans="1:11" x14ac:dyDescent="0.35">
      <c r="A4798" t="s">
        <v>4827</v>
      </c>
      <c r="B4798" s="1">
        <v>0</v>
      </c>
      <c r="C4798" t="s">
        <v>1039</v>
      </c>
      <c r="D4798" t="s">
        <v>5572</v>
      </c>
      <c r="E4798" t="s">
        <v>5420</v>
      </c>
      <c r="F4798" t="s">
        <v>5050</v>
      </c>
      <c r="G4798" t="s">
        <v>5164</v>
      </c>
      <c r="H4798" t="s">
        <v>4035</v>
      </c>
      <c r="J4798" t="s">
        <v>4827</v>
      </c>
      <c r="K4798">
        <v>179.9</v>
      </c>
    </row>
    <row r="4799" spans="1:11" x14ac:dyDescent="0.35">
      <c r="A4799" t="s">
        <v>4828</v>
      </c>
      <c r="B4799" s="1">
        <v>0</v>
      </c>
      <c r="C4799" t="s">
        <v>1516</v>
      </c>
      <c r="D4799" t="s">
        <v>5108</v>
      </c>
      <c r="E4799" t="s">
        <v>5420</v>
      </c>
      <c r="F4799" t="s">
        <v>5050</v>
      </c>
      <c r="G4799" t="s">
        <v>5159</v>
      </c>
      <c r="H4799" t="s">
        <v>1807</v>
      </c>
      <c r="J4799" t="s">
        <v>4828</v>
      </c>
      <c r="K4799">
        <v>177.9</v>
      </c>
    </row>
    <row r="4800" spans="1:11" x14ac:dyDescent="0.35">
      <c r="A4800" t="s">
        <v>4829</v>
      </c>
      <c r="B4800" s="1">
        <v>0</v>
      </c>
      <c r="C4800" t="s">
        <v>385</v>
      </c>
      <c r="D4800" t="s">
        <v>5241</v>
      </c>
      <c r="E4800" t="s">
        <v>5070</v>
      </c>
      <c r="F4800" t="s">
        <v>5050</v>
      </c>
      <c r="G4800" t="s">
        <v>5159</v>
      </c>
      <c r="H4800" t="s">
        <v>808</v>
      </c>
      <c r="J4800" t="s">
        <v>4829</v>
      </c>
      <c r="K4800">
        <v>177.7</v>
      </c>
    </row>
    <row r="4801" spans="1:11" x14ac:dyDescent="0.35">
      <c r="A4801" t="s">
        <v>4830</v>
      </c>
      <c r="B4801" s="1">
        <v>0</v>
      </c>
      <c r="C4801" t="s">
        <v>5561</v>
      </c>
      <c r="D4801" t="s">
        <v>5254</v>
      </c>
      <c r="E4801" t="s">
        <v>5073</v>
      </c>
      <c r="F4801" t="s">
        <v>5050</v>
      </c>
      <c r="G4801" t="s">
        <v>5177</v>
      </c>
      <c r="H4801" t="s">
        <v>3682</v>
      </c>
      <c r="J4801" t="s">
        <v>4830</v>
      </c>
      <c r="K4801">
        <v>175.1</v>
      </c>
    </row>
    <row r="4802" spans="1:11" x14ac:dyDescent="0.35">
      <c r="A4802" t="s">
        <v>4831</v>
      </c>
      <c r="B4802" s="1">
        <v>0</v>
      </c>
      <c r="C4802" t="s">
        <v>5585</v>
      </c>
      <c r="D4802" t="s">
        <v>5264</v>
      </c>
      <c r="E4802" t="s">
        <v>5428</v>
      </c>
      <c r="F4802" t="s">
        <v>5050</v>
      </c>
      <c r="G4802" t="s">
        <v>5159</v>
      </c>
      <c r="H4802" t="s">
        <v>1817</v>
      </c>
      <c r="J4802" t="s">
        <v>4831</v>
      </c>
      <c r="K4802">
        <v>174.7</v>
      </c>
    </row>
    <row r="4803" spans="1:11" x14ac:dyDescent="0.35">
      <c r="A4803" t="s">
        <v>4832</v>
      </c>
      <c r="B4803" s="1">
        <v>0</v>
      </c>
      <c r="C4803" t="s">
        <v>5466</v>
      </c>
      <c r="D4803" t="s">
        <v>5235</v>
      </c>
      <c r="E4803" t="s">
        <v>5059</v>
      </c>
      <c r="F4803" t="s">
        <v>5050</v>
      </c>
      <c r="G4803" t="s">
        <v>5164</v>
      </c>
      <c r="H4803" t="s">
        <v>1337</v>
      </c>
      <c r="J4803" t="s">
        <v>4832</v>
      </c>
      <c r="K4803">
        <v>181.2</v>
      </c>
    </row>
    <row r="4804" spans="1:11" x14ac:dyDescent="0.35">
      <c r="A4804" t="s">
        <v>4833</v>
      </c>
      <c r="B4804" s="1">
        <v>0</v>
      </c>
      <c r="C4804" t="s">
        <v>453</v>
      </c>
      <c r="D4804" t="s">
        <v>5101</v>
      </c>
      <c r="E4804" t="s">
        <v>5178</v>
      </c>
      <c r="F4804" t="s">
        <v>5050</v>
      </c>
      <c r="G4804" t="s">
        <v>5334</v>
      </c>
      <c r="H4804" t="s">
        <v>2358</v>
      </c>
      <c r="J4804" t="s">
        <v>4833</v>
      </c>
      <c r="K4804">
        <v>195.7</v>
      </c>
    </row>
    <row r="4805" spans="1:11" x14ac:dyDescent="0.35">
      <c r="A4805" t="s">
        <v>4834</v>
      </c>
      <c r="B4805" s="1">
        <v>0</v>
      </c>
      <c r="C4805" t="s">
        <v>344</v>
      </c>
      <c r="D4805" t="s">
        <v>5389</v>
      </c>
      <c r="E4805" t="s">
        <v>5208</v>
      </c>
      <c r="F4805" t="s">
        <v>5050</v>
      </c>
      <c r="G4805" t="s">
        <v>5400</v>
      </c>
      <c r="H4805" t="s">
        <v>726</v>
      </c>
      <c r="J4805" t="s">
        <v>4834</v>
      </c>
      <c r="K4805">
        <v>207.8</v>
      </c>
    </row>
    <row r="4806" spans="1:11" x14ac:dyDescent="0.35">
      <c r="A4806" t="s">
        <v>4836</v>
      </c>
      <c r="B4806" s="1">
        <v>0</v>
      </c>
      <c r="C4806" t="s">
        <v>982</v>
      </c>
      <c r="D4806" t="s">
        <v>5575</v>
      </c>
      <c r="E4806" t="s">
        <v>5068</v>
      </c>
      <c r="F4806" t="s">
        <v>5050</v>
      </c>
      <c r="G4806" t="s">
        <v>5315</v>
      </c>
      <c r="H4806" t="s">
        <v>1316</v>
      </c>
      <c r="J4806" t="s">
        <v>4836</v>
      </c>
      <c r="K4806">
        <v>206.8</v>
      </c>
    </row>
    <row r="4807" spans="1:11" x14ac:dyDescent="0.35">
      <c r="A4807" t="s">
        <v>4837</v>
      </c>
      <c r="B4807" s="1">
        <v>0</v>
      </c>
      <c r="C4807" t="s">
        <v>3799</v>
      </c>
      <c r="D4807" t="s">
        <v>5606</v>
      </c>
      <c r="E4807" t="s">
        <v>5431</v>
      </c>
      <c r="F4807" t="s">
        <v>5050</v>
      </c>
      <c r="G4807" t="s">
        <v>5400</v>
      </c>
      <c r="H4807" t="s">
        <v>3077</v>
      </c>
      <c r="J4807" t="s">
        <v>4837</v>
      </c>
      <c r="K4807">
        <v>195</v>
      </c>
    </row>
    <row r="4808" spans="1:11" x14ac:dyDescent="0.35">
      <c r="A4808" t="s">
        <v>4838</v>
      </c>
      <c r="B4808" s="1">
        <v>0</v>
      </c>
      <c r="C4808" t="s">
        <v>3496</v>
      </c>
      <c r="D4808" t="s">
        <v>5450</v>
      </c>
      <c r="E4808" t="s">
        <v>5418</v>
      </c>
      <c r="F4808" t="s">
        <v>5050</v>
      </c>
      <c r="G4808" t="s">
        <v>5153</v>
      </c>
      <c r="H4808" t="s">
        <v>3341</v>
      </c>
      <c r="J4808" t="s">
        <v>4838</v>
      </c>
      <c r="K4808">
        <v>182.3</v>
      </c>
    </row>
    <row r="4809" spans="1:11" x14ac:dyDescent="0.35">
      <c r="A4809" s="2">
        <v>44621</v>
      </c>
      <c r="B4809" s="1">
        <v>0</v>
      </c>
      <c r="C4809" t="s">
        <v>1020</v>
      </c>
      <c r="D4809" t="s">
        <v>5137</v>
      </c>
      <c r="E4809" t="s">
        <v>5283</v>
      </c>
      <c r="F4809" t="s">
        <v>5050</v>
      </c>
      <c r="G4809" t="s">
        <v>5334</v>
      </c>
      <c r="H4809" t="s">
        <v>707</v>
      </c>
      <c r="J4809" s="2">
        <v>44621</v>
      </c>
      <c r="K4809">
        <v>180</v>
      </c>
    </row>
    <row r="4810" spans="1:11" x14ac:dyDescent="0.35">
      <c r="A4810" s="2">
        <v>44622</v>
      </c>
      <c r="B4810" s="1">
        <v>0</v>
      </c>
      <c r="C4810" t="s">
        <v>1042</v>
      </c>
      <c r="D4810" t="s">
        <v>5438</v>
      </c>
      <c r="E4810" t="s">
        <v>5599</v>
      </c>
      <c r="F4810" t="s">
        <v>5078</v>
      </c>
      <c r="G4810" t="s">
        <v>5412</v>
      </c>
      <c r="H4810" t="s">
        <v>611</v>
      </c>
      <c r="J4810" s="2">
        <v>44622</v>
      </c>
      <c r="K4810">
        <v>194.1</v>
      </c>
    </row>
    <row r="4811" spans="1:11" x14ac:dyDescent="0.35">
      <c r="A4811" s="2">
        <v>44623</v>
      </c>
      <c r="B4811" s="1">
        <v>0</v>
      </c>
      <c r="C4811" t="s">
        <v>350</v>
      </c>
      <c r="D4811" t="s">
        <v>5285</v>
      </c>
      <c r="E4811" t="s">
        <v>5313</v>
      </c>
      <c r="F4811" t="s">
        <v>5078</v>
      </c>
      <c r="G4811" t="s">
        <v>5062</v>
      </c>
      <c r="H4811" t="s">
        <v>4011</v>
      </c>
      <c r="J4811" s="2">
        <v>44623</v>
      </c>
      <c r="K4811">
        <v>201.7</v>
      </c>
    </row>
    <row r="4812" spans="1:11" x14ac:dyDescent="0.35">
      <c r="A4812" s="2">
        <v>44624</v>
      </c>
      <c r="B4812" s="1">
        <v>0</v>
      </c>
      <c r="C4812" t="s">
        <v>1534</v>
      </c>
      <c r="D4812" t="s">
        <v>5534</v>
      </c>
      <c r="E4812" t="s">
        <v>5425</v>
      </c>
      <c r="F4812" t="s">
        <v>5078</v>
      </c>
      <c r="G4812" t="s">
        <v>5058</v>
      </c>
      <c r="H4812" t="s">
        <v>1277</v>
      </c>
      <c r="J4812" s="2">
        <v>44624</v>
      </c>
      <c r="K4812">
        <v>200.3</v>
      </c>
    </row>
    <row r="4813" spans="1:11" x14ac:dyDescent="0.35">
      <c r="A4813" s="2">
        <v>44625</v>
      </c>
      <c r="B4813" s="1">
        <v>0</v>
      </c>
      <c r="C4813" t="s">
        <v>2604</v>
      </c>
      <c r="D4813" t="s">
        <v>5436</v>
      </c>
      <c r="E4813" t="s">
        <v>5524</v>
      </c>
      <c r="F4813" t="s">
        <v>5078</v>
      </c>
      <c r="G4813" t="s">
        <v>5054</v>
      </c>
      <c r="H4813" t="s">
        <v>3984</v>
      </c>
      <c r="J4813" s="2">
        <v>44625</v>
      </c>
      <c r="K4813">
        <v>195.4</v>
      </c>
    </row>
    <row r="4814" spans="1:11" x14ac:dyDescent="0.35">
      <c r="A4814" s="2">
        <v>44626</v>
      </c>
      <c r="B4814" s="1">
        <v>0</v>
      </c>
      <c r="C4814" t="s">
        <v>1910</v>
      </c>
      <c r="D4814" t="s">
        <v>5097</v>
      </c>
      <c r="E4814" t="s">
        <v>5070</v>
      </c>
      <c r="F4814" t="s">
        <v>5078</v>
      </c>
      <c r="G4814" t="s">
        <v>5050</v>
      </c>
      <c r="H4814" t="s">
        <v>1333</v>
      </c>
      <c r="J4814" s="2">
        <v>44626</v>
      </c>
      <c r="K4814">
        <v>192.7</v>
      </c>
    </row>
    <row r="4815" spans="1:11" x14ac:dyDescent="0.35">
      <c r="A4815" s="2">
        <v>44627</v>
      </c>
      <c r="B4815" s="1">
        <v>0</v>
      </c>
      <c r="C4815" t="s">
        <v>395</v>
      </c>
      <c r="D4815" t="s">
        <v>5370</v>
      </c>
      <c r="E4815" t="s">
        <v>5064</v>
      </c>
      <c r="F4815" t="s">
        <v>5078</v>
      </c>
      <c r="G4815" t="s">
        <v>5046</v>
      </c>
      <c r="H4815" t="s">
        <v>2552</v>
      </c>
      <c r="J4815" s="2">
        <v>44627</v>
      </c>
      <c r="K4815">
        <v>190.8</v>
      </c>
    </row>
    <row r="4816" spans="1:11" x14ac:dyDescent="0.35">
      <c r="A4816" s="2">
        <v>44628</v>
      </c>
      <c r="B4816" s="1">
        <v>0</v>
      </c>
      <c r="C4816" t="s">
        <v>423</v>
      </c>
      <c r="D4816" t="s">
        <v>5378</v>
      </c>
      <c r="E4816" t="s">
        <v>5073</v>
      </c>
      <c r="F4816" t="s">
        <v>5078</v>
      </c>
      <c r="G4816" t="s">
        <v>5046</v>
      </c>
      <c r="H4816" t="s">
        <v>1991</v>
      </c>
      <c r="J4816" s="2">
        <v>44628</v>
      </c>
      <c r="K4816">
        <v>189.3</v>
      </c>
    </row>
    <row r="4817" spans="1:11" x14ac:dyDescent="0.35">
      <c r="A4817" s="2">
        <v>44629</v>
      </c>
      <c r="B4817" s="1">
        <v>0</v>
      </c>
      <c r="C4817" t="s">
        <v>405</v>
      </c>
      <c r="D4817" t="s">
        <v>5487</v>
      </c>
      <c r="E4817" t="s">
        <v>5171</v>
      </c>
      <c r="F4817" t="s">
        <v>5078</v>
      </c>
      <c r="G4817" t="s">
        <v>5050</v>
      </c>
      <c r="H4817" t="s">
        <v>1329</v>
      </c>
      <c r="J4817" s="2">
        <v>44629</v>
      </c>
      <c r="K4817">
        <v>188.5</v>
      </c>
    </row>
    <row r="4818" spans="1:11" x14ac:dyDescent="0.35">
      <c r="A4818" s="2">
        <v>44630</v>
      </c>
      <c r="B4818" s="1">
        <v>0</v>
      </c>
      <c r="C4818" t="s">
        <v>382</v>
      </c>
      <c r="D4818" t="s">
        <v>5366</v>
      </c>
      <c r="E4818" t="s">
        <v>5073</v>
      </c>
      <c r="F4818" t="s">
        <v>5078</v>
      </c>
      <c r="G4818" t="s">
        <v>5054</v>
      </c>
      <c r="H4818" t="s">
        <v>2510</v>
      </c>
      <c r="J4818" s="2">
        <v>44630</v>
      </c>
      <c r="K4818">
        <v>188.7</v>
      </c>
    </row>
    <row r="4819" spans="1:11" x14ac:dyDescent="0.35">
      <c r="A4819" s="2">
        <v>44631</v>
      </c>
      <c r="B4819" s="1">
        <v>0</v>
      </c>
      <c r="C4819" t="s">
        <v>433</v>
      </c>
      <c r="D4819" t="s">
        <v>5366</v>
      </c>
      <c r="E4819" t="s">
        <v>5431</v>
      </c>
      <c r="F4819" t="s">
        <v>5078</v>
      </c>
      <c r="G4819" t="s">
        <v>5058</v>
      </c>
      <c r="H4819" t="s">
        <v>199</v>
      </c>
      <c r="J4819" s="2">
        <v>44631</v>
      </c>
      <c r="K4819">
        <v>194.5</v>
      </c>
    </row>
    <row r="4820" spans="1:11" x14ac:dyDescent="0.35">
      <c r="A4820" s="2">
        <v>44632</v>
      </c>
      <c r="B4820" s="1">
        <v>0</v>
      </c>
      <c r="C4820" t="s">
        <v>363</v>
      </c>
      <c r="D4820" t="s">
        <v>5392</v>
      </c>
      <c r="E4820" t="s">
        <v>5428</v>
      </c>
      <c r="F4820" t="s">
        <v>5078</v>
      </c>
      <c r="G4820" t="s">
        <v>5412</v>
      </c>
      <c r="H4820" t="s">
        <v>235</v>
      </c>
      <c r="J4820" s="2">
        <v>44632</v>
      </c>
      <c r="K4820">
        <v>203.7</v>
      </c>
    </row>
    <row r="4821" spans="1:11" x14ac:dyDescent="0.35">
      <c r="A4821" s="2">
        <v>44633</v>
      </c>
      <c r="B4821" s="1">
        <v>0</v>
      </c>
      <c r="C4821" t="s">
        <v>1480</v>
      </c>
      <c r="D4821" t="s">
        <v>5384</v>
      </c>
      <c r="E4821" t="s">
        <v>5210</v>
      </c>
      <c r="F4821" t="s">
        <v>5215</v>
      </c>
      <c r="G4821" t="s">
        <v>5475</v>
      </c>
      <c r="H4821" t="s">
        <v>1702</v>
      </c>
      <c r="J4821" s="2">
        <v>44633</v>
      </c>
      <c r="K4821">
        <v>218.4</v>
      </c>
    </row>
    <row r="4822" spans="1:11" x14ac:dyDescent="0.35">
      <c r="A4822" s="2">
        <v>44634</v>
      </c>
      <c r="B4822" s="1">
        <v>0</v>
      </c>
      <c r="C4822" t="s">
        <v>4082</v>
      </c>
      <c r="D4822" t="s">
        <v>5233</v>
      </c>
      <c r="E4822" t="s">
        <v>5060</v>
      </c>
      <c r="F4822" t="s">
        <v>5215</v>
      </c>
      <c r="G4822" t="s">
        <v>5215</v>
      </c>
      <c r="H4822" t="s">
        <v>642</v>
      </c>
      <c r="J4822" s="2">
        <v>44634</v>
      </c>
      <c r="K4822">
        <v>228.9</v>
      </c>
    </row>
    <row r="4823" spans="1:11" x14ac:dyDescent="0.35">
      <c r="A4823" s="2">
        <v>44635</v>
      </c>
      <c r="B4823" s="1">
        <v>0</v>
      </c>
      <c r="C4823" t="s">
        <v>1540</v>
      </c>
      <c r="D4823" t="s">
        <v>5530</v>
      </c>
      <c r="E4823" t="s">
        <v>5236</v>
      </c>
      <c r="F4823" t="s">
        <v>5215</v>
      </c>
      <c r="G4823" t="s">
        <v>5078</v>
      </c>
      <c r="H4823" t="s">
        <v>942</v>
      </c>
      <c r="J4823" s="2">
        <v>44635</v>
      </c>
      <c r="K4823">
        <v>222.5</v>
      </c>
    </row>
    <row r="4824" spans="1:11" x14ac:dyDescent="0.35">
      <c r="A4824" s="2">
        <v>44636</v>
      </c>
      <c r="B4824" s="1">
        <v>0</v>
      </c>
      <c r="C4824" t="s">
        <v>462</v>
      </c>
      <c r="D4824" t="s">
        <v>5086</v>
      </c>
      <c r="E4824" t="s">
        <v>5167</v>
      </c>
      <c r="F4824" t="s">
        <v>5215</v>
      </c>
      <c r="G4824" t="s">
        <v>5183</v>
      </c>
      <c r="H4824" t="s">
        <v>3032</v>
      </c>
      <c r="J4824" s="2">
        <v>44636</v>
      </c>
      <c r="K4824">
        <v>213.3</v>
      </c>
    </row>
    <row r="4825" spans="1:11" x14ac:dyDescent="0.35">
      <c r="A4825" s="2">
        <v>44637</v>
      </c>
      <c r="B4825" s="1">
        <v>0</v>
      </c>
      <c r="C4825" t="s">
        <v>459</v>
      </c>
      <c r="D4825" t="s">
        <v>5370</v>
      </c>
      <c r="E4825" t="s">
        <v>5221</v>
      </c>
      <c r="F4825" t="s">
        <v>5215</v>
      </c>
      <c r="G4825" t="s">
        <v>5078</v>
      </c>
      <c r="H4825" t="s">
        <v>2343</v>
      </c>
      <c r="J4825" s="2">
        <v>44637</v>
      </c>
      <c r="K4825">
        <v>214.6</v>
      </c>
    </row>
    <row r="4826" spans="1:11" x14ac:dyDescent="0.35">
      <c r="A4826" s="2">
        <v>44638</v>
      </c>
      <c r="B4826" s="1">
        <v>0</v>
      </c>
      <c r="C4826" t="s">
        <v>5627</v>
      </c>
      <c r="D4826" t="s">
        <v>5554</v>
      </c>
      <c r="E4826" t="s">
        <v>5210</v>
      </c>
      <c r="F4826" t="s">
        <v>5215</v>
      </c>
      <c r="G4826" t="s">
        <v>5078</v>
      </c>
      <c r="H4826" t="s">
        <v>5737</v>
      </c>
      <c r="J4826" s="2">
        <v>44638</v>
      </c>
      <c r="K4826">
        <v>225.4</v>
      </c>
    </row>
    <row r="4827" spans="1:11" x14ac:dyDescent="0.35">
      <c r="A4827" s="2">
        <v>44639</v>
      </c>
      <c r="B4827" s="1">
        <v>0</v>
      </c>
      <c r="C4827" t="s">
        <v>4116</v>
      </c>
      <c r="D4827" t="s">
        <v>5104</v>
      </c>
      <c r="E4827" t="s">
        <v>5219</v>
      </c>
      <c r="F4827" t="s">
        <v>5215</v>
      </c>
      <c r="G4827" t="s">
        <v>5475</v>
      </c>
      <c r="H4827" t="s">
        <v>4980</v>
      </c>
      <c r="J4827" s="2">
        <v>44639</v>
      </c>
      <c r="K4827">
        <v>226.7</v>
      </c>
    </row>
    <row r="4828" spans="1:11" x14ac:dyDescent="0.35">
      <c r="A4828" s="2">
        <v>44640</v>
      </c>
      <c r="B4828" s="1">
        <v>0</v>
      </c>
      <c r="C4828" t="s">
        <v>1536</v>
      </c>
      <c r="D4828" t="s">
        <v>5142</v>
      </c>
      <c r="E4828" t="s">
        <v>5175</v>
      </c>
      <c r="F4828" t="s">
        <v>5078</v>
      </c>
      <c r="G4828" t="s">
        <v>5058</v>
      </c>
      <c r="H4828" t="s">
        <v>1203</v>
      </c>
      <c r="J4828" s="2">
        <v>44640</v>
      </c>
      <c r="K4828">
        <v>213.2</v>
      </c>
    </row>
    <row r="4829" spans="1:11" x14ac:dyDescent="0.35">
      <c r="A4829" s="2">
        <v>44641</v>
      </c>
      <c r="B4829" s="1">
        <v>0</v>
      </c>
      <c r="C4829" t="s">
        <v>466</v>
      </c>
      <c r="D4829" t="s">
        <v>5454</v>
      </c>
      <c r="E4829" t="s">
        <v>5223</v>
      </c>
      <c r="F4829" t="s">
        <v>5078</v>
      </c>
      <c r="G4829" t="s">
        <v>5240</v>
      </c>
      <c r="H4829" t="s">
        <v>216</v>
      </c>
      <c r="J4829" s="2">
        <v>44641</v>
      </c>
      <c r="K4829">
        <v>202.3</v>
      </c>
    </row>
    <row r="4830" spans="1:11" x14ac:dyDescent="0.35">
      <c r="A4830" s="2">
        <v>44642</v>
      </c>
      <c r="B4830" s="1">
        <v>0</v>
      </c>
      <c r="C4830" t="s">
        <v>1486</v>
      </c>
      <c r="D4830" t="s">
        <v>5193</v>
      </c>
      <c r="E4830" t="s">
        <v>5223</v>
      </c>
      <c r="F4830" t="s">
        <v>5078</v>
      </c>
      <c r="G4830" t="s">
        <v>5179</v>
      </c>
      <c r="H4830" t="s">
        <v>1685</v>
      </c>
      <c r="J4830" s="2">
        <v>44642</v>
      </c>
      <c r="K4830">
        <v>204.8</v>
      </c>
    </row>
    <row r="4831" spans="1:11" x14ac:dyDescent="0.35">
      <c r="A4831" s="2">
        <v>44643</v>
      </c>
      <c r="B4831" s="1">
        <v>0</v>
      </c>
      <c r="C4831" t="s">
        <v>324</v>
      </c>
      <c r="D4831" t="s">
        <v>5083</v>
      </c>
      <c r="E4831" t="s">
        <v>5323</v>
      </c>
      <c r="F4831" t="s">
        <v>5078</v>
      </c>
      <c r="G4831" t="s">
        <v>5065</v>
      </c>
      <c r="H4831" t="s">
        <v>3873</v>
      </c>
      <c r="J4831" s="2">
        <v>44643</v>
      </c>
      <c r="K4831">
        <v>214.2</v>
      </c>
    </row>
    <row r="4832" spans="1:11" x14ac:dyDescent="0.35">
      <c r="A4832" s="2">
        <v>44644</v>
      </c>
      <c r="B4832" s="1">
        <v>0</v>
      </c>
      <c r="C4832" t="s">
        <v>980</v>
      </c>
      <c r="D4832" t="s">
        <v>5447</v>
      </c>
      <c r="E4832" t="s">
        <v>5223</v>
      </c>
      <c r="F4832" t="s">
        <v>5078</v>
      </c>
      <c r="G4832" t="s">
        <v>5062</v>
      </c>
      <c r="H4832" t="s">
        <v>2478</v>
      </c>
      <c r="J4832" s="2">
        <v>44644</v>
      </c>
      <c r="K4832">
        <v>209</v>
      </c>
    </row>
    <row r="4833" spans="1:11" x14ac:dyDescent="0.35">
      <c r="A4833" s="2">
        <v>44645</v>
      </c>
      <c r="B4833" s="1">
        <v>0</v>
      </c>
      <c r="C4833" t="s">
        <v>456</v>
      </c>
      <c r="D4833" t="s">
        <v>5090</v>
      </c>
      <c r="E4833" t="s">
        <v>5597</v>
      </c>
      <c r="F4833" t="s">
        <v>5078</v>
      </c>
      <c r="G4833" t="s">
        <v>5179</v>
      </c>
      <c r="H4833" t="s">
        <v>1271</v>
      </c>
      <c r="J4833" s="2">
        <v>44645</v>
      </c>
      <c r="K4833">
        <v>192.4</v>
      </c>
    </row>
    <row r="4834" spans="1:11" x14ac:dyDescent="0.35">
      <c r="A4834" s="2">
        <v>44646</v>
      </c>
      <c r="B4834" s="1">
        <v>0</v>
      </c>
      <c r="C4834" t="s">
        <v>5560</v>
      </c>
      <c r="D4834" t="s">
        <v>5074</v>
      </c>
      <c r="E4834" t="s">
        <v>5292</v>
      </c>
      <c r="F4834" t="s">
        <v>5078</v>
      </c>
      <c r="G4834" t="s">
        <v>5050</v>
      </c>
      <c r="H4834" t="s">
        <v>955</v>
      </c>
      <c r="J4834" s="2">
        <v>44646</v>
      </c>
      <c r="K4834">
        <v>172.8</v>
      </c>
    </row>
    <row r="4835" spans="1:11" x14ac:dyDescent="0.35">
      <c r="A4835" s="2">
        <v>44647</v>
      </c>
      <c r="B4835" s="1">
        <v>0</v>
      </c>
      <c r="C4835" t="s">
        <v>5609</v>
      </c>
      <c r="D4835" t="s">
        <v>5160</v>
      </c>
      <c r="E4835" t="s">
        <v>5529</v>
      </c>
      <c r="F4835" t="s">
        <v>5078</v>
      </c>
      <c r="G4835" t="s">
        <v>5230</v>
      </c>
      <c r="H4835" t="s">
        <v>92</v>
      </c>
      <c r="J4835" s="2">
        <v>44647</v>
      </c>
      <c r="K4835">
        <v>158.80000000000001</v>
      </c>
    </row>
    <row r="4836" spans="1:11" x14ac:dyDescent="0.35">
      <c r="A4836" s="2">
        <v>44648</v>
      </c>
      <c r="B4836" s="1">
        <v>0</v>
      </c>
      <c r="C4836" t="s">
        <v>5231</v>
      </c>
      <c r="D4836" t="s">
        <v>5160</v>
      </c>
      <c r="E4836" t="s">
        <v>5287</v>
      </c>
      <c r="F4836" t="s">
        <v>5078</v>
      </c>
      <c r="G4836" t="s">
        <v>5222</v>
      </c>
      <c r="H4836" t="s">
        <v>92</v>
      </c>
      <c r="J4836" s="2">
        <v>44648</v>
      </c>
      <c r="K4836">
        <v>158.80000000000001</v>
      </c>
    </row>
    <row r="4837" spans="1:11" x14ac:dyDescent="0.35">
      <c r="A4837" s="2">
        <v>44649</v>
      </c>
      <c r="B4837" s="1">
        <v>0</v>
      </c>
      <c r="C4837" t="s">
        <v>5403</v>
      </c>
      <c r="D4837" t="s">
        <v>5251</v>
      </c>
      <c r="E4837" t="s">
        <v>5545</v>
      </c>
      <c r="F4837" t="s">
        <v>5078</v>
      </c>
      <c r="G4837" t="s">
        <v>5230</v>
      </c>
      <c r="H4837" t="s">
        <v>31</v>
      </c>
      <c r="J4837" s="2">
        <v>44649</v>
      </c>
      <c r="K4837">
        <v>172.1</v>
      </c>
    </row>
    <row r="4838" spans="1:11" x14ac:dyDescent="0.35">
      <c r="A4838" s="2">
        <v>44650</v>
      </c>
      <c r="B4838" s="1">
        <v>0</v>
      </c>
      <c r="C4838" t="s">
        <v>1060</v>
      </c>
      <c r="D4838" t="s">
        <v>5256</v>
      </c>
      <c r="E4838" t="s">
        <v>5599</v>
      </c>
      <c r="F4838" t="s">
        <v>5078</v>
      </c>
      <c r="G4838" t="s">
        <v>5046</v>
      </c>
      <c r="H4838" t="s">
        <v>165</v>
      </c>
      <c r="J4838" s="2">
        <v>44650</v>
      </c>
      <c r="K4838">
        <v>193.6</v>
      </c>
    </row>
    <row r="4839" spans="1:11" x14ac:dyDescent="0.35">
      <c r="A4839" s="2">
        <v>44651</v>
      </c>
      <c r="B4839" s="1">
        <v>0</v>
      </c>
      <c r="C4839" t="s">
        <v>981</v>
      </c>
      <c r="D4839" t="s">
        <v>5366</v>
      </c>
      <c r="E4839" t="s">
        <v>5056</v>
      </c>
      <c r="F4839" t="s">
        <v>5215</v>
      </c>
      <c r="G4839" t="s">
        <v>5054</v>
      </c>
      <c r="H4839" t="s">
        <v>3175</v>
      </c>
      <c r="J4839" s="2">
        <v>44651</v>
      </c>
      <c r="K4839">
        <v>210.3</v>
      </c>
    </row>
    <row r="4840" spans="1:11" x14ac:dyDescent="0.35">
      <c r="A4840" t="s">
        <v>4839</v>
      </c>
      <c r="B4840" s="1">
        <v>0</v>
      </c>
      <c r="C4840" t="s">
        <v>2566</v>
      </c>
      <c r="D4840" t="s">
        <v>5389</v>
      </c>
      <c r="E4840" t="s">
        <v>5068</v>
      </c>
      <c r="F4840" t="s">
        <v>5215</v>
      </c>
      <c r="G4840" t="s">
        <v>5179</v>
      </c>
      <c r="H4840" t="s">
        <v>5742</v>
      </c>
      <c r="J4840" t="s">
        <v>4839</v>
      </c>
      <c r="K4840">
        <v>214.8</v>
      </c>
    </row>
    <row r="4841" spans="1:11" x14ac:dyDescent="0.35">
      <c r="A4841" t="s">
        <v>4840</v>
      </c>
      <c r="B4841" s="1">
        <v>0</v>
      </c>
      <c r="C4841" t="s">
        <v>1866</v>
      </c>
      <c r="D4841" t="s">
        <v>5115</v>
      </c>
      <c r="E4841" t="s">
        <v>5239</v>
      </c>
      <c r="F4841" t="s">
        <v>5089</v>
      </c>
      <c r="G4841" t="s">
        <v>5058</v>
      </c>
      <c r="H4841" t="s">
        <v>2095</v>
      </c>
      <c r="J4841" t="s">
        <v>4840</v>
      </c>
      <c r="K4841">
        <v>220.2</v>
      </c>
    </row>
    <row r="4842" spans="1:11" x14ac:dyDescent="0.35">
      <c r="A4842" t="s">
        <v>4841</v>
      </c>
      <c r="B4842" s="1">
        <v>0</v>
      </c>
      <c r="C4842" t="s">
        <v>2266</v>
      </c>
      <c r="D4842" t="s">
        <v>5384</v>
      </c>
      <c r="E4842" t="s">
        <v>5060</v>
      </c>
      <c r="F4842" t="s">
        <v>5089</v>
      </c>
      <c r="G4842" t="s">
        <v>5412</v>
      </c>
      <c r="H4842" t="s">
        <v>2005</v>
      </c>
      <c r="J4842" t="s">
        <v>4841</v>
      </c>
      <c r="K4842">
        <v>219.7</v>
      </c>
    </row>
    <row r="4843" spans="1:11" x14ac:dyDescent="0.35">
      <c r="A4843" t="s">
        <v>4842</v>
      </c>
      <c r="B4843" s="1">
        <v>0</v>
      </c>
      <c r="C4843" t="s">
        <v>2271</v>
      </c>
      <c r="D4843" t="s">
        <v>5122</v>
      </c>
      <c r="E4843" t="s">
        <v>5165</v>
      </c>
      <c r="F4843" t="s">
        <v>5089</v>
      </c>
      <c r="G4843" t="s">
        <v>5412</v>
      </c>
      <c r="H4843" t="s">
        <v>3037</v>
      </c>
      <c r="J4843" t="s">
        <v>4842</v>
      </c>
      <c r="K4843">
        <v>223.4</v>
      </c>
    </row>
    <row r="4844" spans="1:11" x14ac:dyDescent="0.35">
      <c r="A4844" t="s">
        <v>4843</v>
      </c>
      <c r="B4844" s="1">
        <v>0</v>
      </c>
      <c r="C4844" t="s">
        <v>339</v>
      </c>
      <c r="D4844" t="s">
        <v>5625</v>
      </c>
      <c r="E4844" t="s">
        <v>5098</v>
      </c>
      <c r="F4844" t="s">
        <v>5089</v>
      </c>
      <c r="G4844" t="s">
        <v>5179</v>
      </c>
      <c r="H4844" t="s">
        <v>2097</v>
      </c>
      <c r="J4844" t="s">
        <v>4843</v>
      </c>
      <c r="K4844">
        <v>219.1</v>
      </c>
    </row>
    <row r="4845" spans="1:11" x14ac:dyDescent="0.35">
      <c r="A4845" t="s">
        <v>4844</v>
      </c>
      <c r="B4845" s="1">
        <v>0</v>
      </c>
      <c r="C4845" t="s">
        <v>1916</v>
      </c>
      <c r="D4845" t="s">
        <v>5532</v>
      </c>
      <c r="E4845" t="s">
        <v>5068</v>
      </c>
      <c r="F4845" t="s">
        <v>5089</v>
      </c>
      <c r="G4845" t="s">
        <v>5046</v>
      </c>
      <c r="H4845" t="s">
        <v>3753</v>
      </c>
      <c r="J4845" t="s">
        <v>4844</v>
      </c>
      <c r="K4845">
        <v>205.5</v>
      </c>
    </row>
    <row r="4846" spans="1:11" x14ac:dyDescent="0.35">
      <c r="A4846" t="s">
        <v>4845</v>
      </c>
      <c r="B4846" s="1">
        <v>0</v>
      </c>
      <c r="C4846" t="s">
        <v>1874</v>
      </c>
      <c r="D4846" t="s">
        <v>5492</v>
      </c>
      <c r="E4846" t="s">
        <v>5428</v>
      </c>
      <c r="F4846" t="s">
        <v>5077</v>
      </c>
      <c r="G4846" t="s">
        <v>5172</v>
      </c>
      <c r="H4846" t="s">
        <v>654</v>
      </c>
      <c r="J4846" t="s">
        <v>4845</v>
      </c>
      <c r="K4846">
        <v>191.6</v>
      </c>
    </row>
    <row r="4847" spans="1:11" x14ac:dyDescent="0.35">
      <c r="A4847" t="s">
        <v>4846</v>
      </c>
      <c r="B4847" s="1">
        <v>0</v>
      </c>
      <c r="C4847" t="s">
        <v>5636</v>
      </c>
      <c r="D4847" t="s">
        <v>5538</v>
      </c>
      <c r="E4847" t="s">
        <v>5286</v>
      </c>
      <c r="F4847" t="s">
        <v>5077</v>
      </c>
      <c r="G4847" t="s">
        <v>5321</v>
      </c>
      <c r="H4847" t="s">
        <v>65</v>
      </c>
      <c r="J4847" t="s">
        <v>4846</v>
      </c>
      <c r="K4847">
        <v>184.4</v>
      </c>
    </row>
    <row r="4848" spans="1:11" x14ac:dyDescent="0.35">
      <c r="A4848" t="s">
        <v>4847</v>
      </c>
      <c r="B4848" s="1">
        <v>0</v>
      </c>
      <c r="C4848" t="s">
        <v>5620</v>
      </c>
      <c r="D4848" t="s">
        <v>5464</v>
      </c>
      <c r="E4848" t="s">
        <v>5286</v>
      </c>
      <c r="F4848" t="s">
        <v>5077</v>
      </c>
      <c r="G4848" t="s">
        <v>5321</v>
      </c>
      <c r="H4848" t="s">
        <v>2751</v>
      </c>
      <c r="J4848" t="s">
        <v>4847</v>
      </c>
      <c r="K4848">
        <v>183.1</v>
      </c>
    </row>
    <row r="4849" spans="1:11" x14ac:dyDescent="0.35">
      <c r="A4849" t="s">
        <v>4848</v>
      </c>
      <c r="B4849" s="1">
        <v>0</v>
      </c>
      <c r="C4849" t="s">
        <v>397</v>
      </c>
      <c r="D4849" t="s">
        <v>5449</v>
      </c>
      <c r="E4849" t="s">
        <v>5223</v>
      </c>
      <c r="F4849" t="s">
        <v>5077</v>
      </c>
      <c r="G4849" t="s">
        <v>5224</v>
      </c>
      <c r="H4849" t="s">
        <v>79</v>
      </c>
      <c r="J4849" t="s">
        <v>4848</v>
      </c>
      <c r="K4849">
        <v>180.3</v>
      </c>
    </row>
    <row r="4850" spans="1:11" x14ac:dyDescent="0.35">
      <c r="A4850" t="s">
        <v>4849</v>
      </c>
      <c r="B4850" s="1">
        <v>0</v>
      </c>
      <c r="C4850" t="s">
        <v>5282</v>
      </c>
      <c r="D4850" t="s">
        <v>5106</v>
      </c>
      <c r="E4850" t="s">
        <v>5170</v>
      </c>
      <c r="F4850" t="s">
        <v>5077</v>
      </c>
      <c r="G4850" t="s">
        <v>5226</v>
      </c>
      <c r="H4850" t="s">
        <v>181</v>
      </c>
      <c r="J4850" t="s">
        <v>4849</v>
      </c>
      <c r="K4850">
        <v>177.2</v>
      </c>
    </row>
    <row r="4851" spans="1:11" x14ac:dyDescent="0.35">
      <c r="A4851" t="s">
        <v>4850</v>
      </c>
      <c r="B4851" s="1">
        <v>0</v>
      </c>
      <c r="C4851" t="s">
        <v>5506</v>
      </c>
      <c r="D4851" t="s">
        <v>5245</v>
      </c>
      <c r="E4851" t="s">
        <v>5056</v>
      </c>
      <c r="F4851" t="s">
        <v>5077</v>
      </c>
      <c r="G4851" t="s">
        <v>5291</v>
      </c>
      <c r="H4851" t="s">
        <v>2222</v>
      </c>
      <c r="J4851" t="s">
        <v>4850</v>
      </c>
      <c r="K4851">
        <v>173</v>
      </c>
    </row>
    <row r="4852" spans="1:11" x14ac:dyDescent="0.35">
      <c r="A4852" t="s">
        <v>4851</v>
      </c>
      <c r="B4852" s="1">
        <v>0</v>
      </c>
      <c r="C4852" t="s">
        <v>5507</v>
      </c>
      <c r="D4852" t="s">
        <v>5203</v>
      </c>
      <c r="E4852" t="s">
        <v>5286</v>
      </c>
      <c r="F4852" t="s">
        <v>5077</v>
      </c>
      <c r="G4852" t="s">
        <v>5309</v>
      </c>
      <c r="H4852" t="s">
        <v>1233</v>
      </c>
      <c r="J4852" t="s">
        <v>4851</v>
      </c>
      <c r="K4852">
        <v>168.1</v>
      </c>
    </row>
    <row r="4853" spans="1:11" x14ac:dyDescent="0.35">
      <c r="A4853" t="s">
        <v>4852</v>
      </c>
      <c r="B4853" s="1">
        <v>0</v>
      </c>
      <c r="C4853" t="s">
        <v>5455</v>
      </c>
      <c r="D4853" t="s">
        <v>5247</v>
      </c>
      <c r="E4853" t="s">
        <v>5171</v>
      </c>
      <c r="F4853" t="s">
        <v>5077</v>
      </c>
      <c r="G4853" t="s">
        <v>5291</v>
      </c>
      <c r="H4853" t="s">
        <v>805</v>
      </c>
      <c r="J4853" t="s">
        <v>4852</v>
      </c>
      <c r="K4853">
        <v>169.5</v>
      </c>
    </row>
    <row r="4854" spans="1:11" x14ac:dyDescent="0.35">
      <c r="A4854" t="s">
        <v>4853</v>
      </c>
      <c r="B4854" s="1">
        <v>0</v>
      </c>
      <c r="C4854" t="s">
        <v>5461</v>
      </c>
      <c r="D4854" t="s">
        <v>5571</v>
      </c>
      <c r="E4854" t="s">
        <v>5171</v>
      </c>
      <c r="F4854" t="s">
        <v>5077</v>
      </c>
      <c r="G4854" t="s">
        <v>5226</v>
      </c>
      <c r="H4854" t="s">
        <v>1807</v>
      </c>
      <c r="J4854" t="s">
        <v>4853</v>
      </c>
      <c r="K4854">
        <v>177.9</v>
      </c>
    </row>
    <row r="4855" spans="1:11" x14ac:dyDescent="0.35">
      <c r="A4855" t="s">
        <v>4854</v>
      </c>
      <c r="B4855" s="1">
        <v>0</v>
      </c>
      <c r="C4855" t="s">
        <v>1021</v>
      </c>
      <c r="D4855" t="s">
        <v>5464</v>
      </c>
      <c r="E4855" t="s">
        <v>5056</v>
      </c>
      <c r="F4855" t="s">
        <v>5077</v>
      </c>
      <c r="G4855" t="s">
        <v>5321</v>
      </c>
      <c r="H4855" t="s">
        <v>607</v>
      </c>
      <c r="J4855" t="s">
        <v>4854</v>
      </c>
      <c r="K4855">
        <v>189.5</v>
      </c>
    </row>
    <row r="4856" spans="1:11" x14ac:dyDescent="0.35">
      <c r="A4856" t="s">
        <v>4855</v>
      </c>
      <c r="B4856" s="1">
        <v>0</v>
      </c>
      <c r="C4856" t="s">
        <v>1016</v>
      </c>
      <c r="D4856" t="s">
        <v>5220</v>
      </c>
      <c r="E4856" t="s">
        <v>5056</v>
      </c>
      <c r="F4856" t="s">
        <v>5077</v>
      </c>
      <c r="G4856" t="s">
        <v>5227</v>
      </c>
      <c r="H4856" t="s">
        <v>649</v>
      </c>
      <c r="J4856" t="s">
        <v>4855</v>
      </c>
      <c r="K4856">
        <v>190.5</v>
      </c>
    </row>
    <row r="4857" spans="1:11" x14ac:dyDescent="0.35">
      <c r="A4857" t="s">
        <v>4856</v>
      </c>
      <c r="B4857" s="1">
        <v>0</v>
      </c>
      <c r="C4857" t="s">
        <v>2237</v>
      </c>
      <c r="D4857" t="s">
        <v>5443</v>
      </c>
      <c r="E4857" t="s">
        <v>5422</v>
      </c>
      <c r="F4857" t="s">
        <v>5077</v>
      </c>
      <c r="G4857" t="s">
        <v>5227</v>
      </c>
      <c r="H4857" t="s">
        <v>1179</v>
      </c>
      <c r="J4857" t="s">
        <v>4856</v>
      </c>
      <c r="K4857">
        <v>188.1</v>
      </c>
    </row>
    <row r="4858" spans="1:11" x14ac:dyDescent="0.35">
      <c r="A4858" t="s">
        <v>4857</v>
      </c>
      <c r="B4858" s="1">
        <v>0</v>
      </c>
      <c r="C4858" t="s">
        <v>4641</v>
      </c>
      <c r="D4858" t="s">
        <v>5108</v>
      </c>
      <c r="E4858" t="s">
        <v>5303</v>
      </c>
      <c r="F4858" t="s">
        <v>5077</v>
      </c>
      <c r="G4858" t="s">
        <v>5222</v>
      </c>
      <c r="H4858" t="s">
        <v>1329</v>
      </c>
      <c r="J4858" t="s">
        <v>4857</v>
      </c>
      <c r="K4858">
        <v>188.5</v>
      </c>
    </row>
    <row r="4859" spans="1:11" x14ac:dyDescent="0.35">
      <c r="A4859" t="s">
        <v>4858</v>
      </c>
      <c r="B4859" s="1">
        <v>0</v>
      </c>
      <c r="C4859" t="s">
        <v>350</v>
      </c>
      <c r="D4859" t="s">
        <v>5103</v>
      </c>
      <c r="E4859" t="s">
        <v>5070</v>
      </c>
      <c r="F4859" t="s">
        <v>5077</v>
      </c>
      <c r="G4859" t="s">
        <v>5240</v>
      </c>
      <c r="H4859" t="s">
        <v>2329</v>
      </c>
      <c r="J4859" t="s">
        <v>4858</v>
      </c>
      <c r="K4859">
        <v>198.4</v>
      </c>
    </row>
    <row r="4860" spans="1:11" x14ac:dyDescent="0.35">
      <c r="A4860" t="s">
        <v>4859</v>
      </c>
      <c r="B4860" s="1">
        <v>0</v>
      </c>
      <c r="C4860" t="s">
        <v>2606</v>
      </c>
      <c r="D4860" t="s">
        <v>5285</v>
      </c>
      <c r="E4860" t="s">
        <v>5422</v>
      </c>
      <c r="F4860" t="s">
        <v>5089</v>
      </c>
      <c r="G4860" t="s">
        <v>5062</v>
      </c>
      <c r="H4860" t="s">
        <v>4493</v>
      </c>
      <c r="J4860" t="s">
        <v>4859</v>
      </c>
      <c r="K4860">
        <v>213.7</v>
      </c>
    </row>
    <row r="4861" spans="1:11" x14ac:dyDescent="0.35">
      <c r="A4861" t="s">
        <v>4860</v>
      </c>
      <c r="B4861" s="1">
        <v>0</v>
      </c>
      <c r="C4861" t="s">
        <v>2275</v>
      </c>
      <c r="D4861" t="s">
        <v>5083</v>
      </c>
      <c r="E4861" t="s">
        <v>5323</v>
      </c>
      <c r="F4861" t="s">
        <v>5089</v>
      </c>
      <c r="G4861" t="s">
        <v>5475</v>
      </c>
      <c r="H4861" t="s">
        <v>3029</v>
      </c>
      <c r="J4861" t="s">
        <v>4860</v>
      </c>
      <c r="K4861">
        <v>220.6</v>
      </c>
    </row>
    <row r="4862" spans="1:11" x14ac:dyDescent="0.35">
      <c r="A4862" t="s">
        <v>4861</v>
      </c>
      <c r="B4862" s="1">
        <v>0</v>
      </c>
      <c r="C4862" t="s">
        <v>335</v>
      </c>
      <c r="D4862" t="s">
        <v>5518</v>
      </c>
      <c r="E4862" t="s">
        <v>5167</v>
      </c>
      <c r="F4862" t="s">
        <v>5089</v>
      </c>
      <c r="G4862" t="s">
        <v>5062</v>
      </c>
      <c r="H4862" t="s">
        <v>1702</v>
      </c>
      <c r="J4862" t="s">
        <v>4861</v>
      </c>
      <c r="K4862">
        <v>218.4</v>
      </c>
    </row>
    <row r="4863" spans="1:11" x14ac:dyDescent="0.35">
      <c r="A4863" t="s">
        <v>4862</v>
      </c>
      <c r="B4863" s="1">
        <v>0</v>
      </c>
      <c r="C4863" t="s">
        <v>1536</v>
      </c>
      <c r="D4863" t="s">
        <v>5574</v>
      </c>
      <c r="E4863" t="s">
        <v>5160</v>
      </c>
      <c r="F4863" t="s">
        <v>5077</v>
      </c>
      <c r="G4863" t="s">
        <v>5058</v>
      </c>
      <c r="H4863" t="s">
        <v>2097</v>
      </c>
      <c r="J4863" t="s">
        <v>4862</v>
      </c>
      <c r="K4863">
        <v>219.1</v>
      </c>
    </row>
    <row r="4864" spans="1:11" x14ac:dyDescent="0.35">
      <c r="A4864" t="s">
        <v>4863</v>
      </c>
      <c r="B4864" s="1">
        <v>0</v>
      </c>
      <c r="C4864" t="s">
        <v>1532</v>
      </c>
      <c r="D4864" t="s">
        <v>5602</v>
      </c>
      <c r="E4864" t="s">
        <v>5102</v>
      </c>
      <c r="F4864" t="s">
        <v>5077</v>
      </c>
      <c r="G4864" t="s">
        <v>5179</v>
      </c>
      <c r="H4864" t="s">
        <v>3639</v>
      </c>
      <c r="J4864" t="s">
        <v>4863</v>
      </c>
      <c r="K4864">
        <v>223.5</v>
      </c>
    </row>
    <row r="4865" spans="1:11" x14ac:dyDescent="0.35">
      <c r="A4865" t="s">
        <v>4864</v>
      </c>
      <c r="B4865" s="1">
        <v>0</v>
      </c>
      <c r="C4865" t="s">
        <v>981</v>
      </c>
      <c r="D4865" t="s">
        <v>5617</v>
      </c>
      <c r="E4865" t="s">
        <v>5243</v>
      </c>
      <c r="F4865" t="s">
        <v>5077</v>
      </c>
      <c r="G4865" t="s">
        <v>5054</v>
      </c>
      <c r="H4865" t="s">
        <v>4498</v>
      </c>
      <c r="J4865" t="s">
        <v>4864</v>
      </c>
      <c r="K4865">
        <v>224.1</v>
      </c>
    </row>
    <row r="4866" spans="1:11" x14ac:dyDescent="0.35">
      <c r="A4866" t="s">
        <v>4865</v>
      </c>
      <c r="B4866" s="1">
        <v>0</v>
      </c>
      <c r="C4866" t="s">
        <v>460</v>
      </c>
      <c r="D4866" t="s">
        <v>5259</v>
      </c>
      <c r="E4866" t="s">
        <v>5276</v>
      </c>
      <c r="F4866" t="s">
        <v>5089</v>
      </c>
      <c r="G4866" t="s">
        <v>5179</v>
      </c>
      <c r="H4866" t="s">
        <v>5681</v>
      </c>
      <c r="J4866" t="s">
        <v>4865</v>
      </c>
      <c r="K4866">
        <v>227.4</v>
      </c>
    </row>
    <row r="4867" spans="1:11" x14ac:dyDescent="0.35">
      <c r="A4867" t="s">
        <v>4866</v>
      </c>
      <c r="B4867" s="1">
        <v>0</v>
      </c>
      <c r="C4867" t="s">
        <v>4904</v>
      </c>
      <c r="D4867" t="s">
        <v>5544</v>
      </c>
      <c r="E4867" t="s">
        <v>5120</v>
      </c>
      <c r="F4867" t="s">
        <v>5089</v>
      </c>
      <c r="G4867" t="s">
        <v>5062</v>
      </c>
      <c r="H4867" t="s">
        <v>1308</v>
      </c>
      <c r="J4867" t="s">
        <v>4866</v>
      </c>
      <c r="K4867">
        <v>232.1</v>
      </c>
    </row>
    <row r="4868" spans="1:11" x14ac:dyDescent="0.35">
      <c r="A4868" t="s">
        <v>4867</v>
      </c>
      <c r="B4868" s="1">
        <v>0</v>
      </c>
      <c r="C4868" t="s">
        <v>5569</v>
      </c>
      <c r="D4868" t="s">
        <v>5511</v>
      </c>
      <c r="E4868" t="s">
        <v>5081</v>
      </c>
      <c r="F4868" t="s">
        <v>5089</v>
      </c>
      <c r="G4868" t="s">
        <v>5065</v>
      </c>
      <c r="H4868" t="s">
        <v>1241</v>
      </c>
      <c r="J4868" t="s">
        <v>4867</v>
      </c>
      <c r="K4868">
        <v>236.3</v>
      </c>
    </row>
    <row r="4869" spans="1:11" x14ac:dyDescent="0.35">
      <c r="A4869" t="s">
        <v>4868</v>
      </c>
      <c r="B4869" s="1">
        <v>0</v>
      </c>
      <c r="C4869" t="s">
        <v>486</v>
      </c>
      <c r="D4869" t="s">
        <v>5459</v>
      </c>
      <c r="E4869" t="s">
        <v>5123</v>
      </c>
      <c r="F4869" t="s">
        <v>5358</v>
      </c>
      <c r="G4869" t="s">
        <v>5475</v>
      </c>
      <c r="H4869" t="s">
        <v>3644</v>
      </c>
      <c r="J4869" t="s">
        <v>4868</v>
      </c>
      <c r="K4869">
        <v>242.7</v>
      </c>
    </row>
    <row r="4870" spans="1:11" x14ac:dyDescent="0.35">
      <c r="A4870" s="2">
        <v>44682</v>
      </c>
      <c r="B4870" s="1">
        <v>0</v>
      </c>
      <c r="C4870" t="s">
        <v>3529</v>
      </c>
      <c r="D4870" t="s">
        <v>5612</v>
      </c>
      <c r="E4870" t="s">
        <v>5063</v>
      </c>
      <c r="F4870" t="s">
        <v>5358</v>
      </c>
      <c r="G4870" t="s">
        <v>5475</v>
      </c>
      <c r="H4870" t="s">
        <v>2829</v>
      </c>
      <c r="J4870" s="2">
        <v>44682</v>
      </c>
      <c r="K4870">
        <v>248.3</v>
      </c>
    </row>
    <row r="4871" spans="1:11" x14ac:dyDescent="0.35">
      <c r="A4871" s="2">
        <v>44683</v>
      </c>
      <c r="B4871" s="1">
        <v>0</v>
      </c>
      <c r="C4871" t="s">
        <v>1548</v>
      </c>
      <c r="D4871" t="s">
        <v>5513</v>
      </c>
      <c r="E4871" t="s">
        <v>5067</v>
      </c>
      <c r="F4871" t="s">
        <v>5358</v>
      </c>
      <c r="G4871" t="s">
        <v>5222</v>
      </c>
      <c r="H4871" t="s">
        <v>5724</v>
      </c>
      <c r="J4871" s="2">
        <v>44683</v>
      </c>
      <c r="K4871">
        <v>249.8</v>
      </c>
    </row>
    <row r="4872" spans="1:11" x14ac:dyDescent="0.35">
      <c r="A4872" s="2">
        <v>44684</v>
      </c>
      <c r="B4872" s="1">
        <v>0</v>
      </c>
      <c r="C4872" t="s">
        <v>3178</v>
      </c>
      <c r="D4872" t="s">
        <v>5613</v>
      </c>
      <c r="E4872" t="s">
        <v>5123</v>
      </c>
      <c r="F4872" t="s">
        <v>5358</v>
      </c>
      <c r="G4872" t="s">
        <v>5207</v>
      </c>
      <c r="H4872" t="s">
        <v>2061</v>
      </c>
      <c r="J4872" s="2">
        <v>44684</v>
      </c>
      <c r="K4872">
        <v>240.7</v>
      </c>
    </row>
    <row r="4873" spans="1:11" x14ac:dyDescent="0.35">
      <c r="A4873" s="2">
        <v>44685</v>
      </c>
      <c r="B4873" s="1">
        <v>0</v>
      </c>
      <c r="C4873" t="s">
        <v>1530</v>
      </c>
      <c r="D4873" t="s">
        <v>5233</v>
      </c>
      <c r="E4873" t="s">
        <v>5066</v>
      </c>
      <c r="F4873" t="s">
        <v>5089</v>
      </c>
      <c r="G4873" t="s">
        <v>5288</v>
      </c>
      <c r="H4873" t="s">
        <v>2095</v>
      </c>
      <c r="J4873" s="2">
        <v>44685</v>
      </c>
      <c r="K4873">
        <v>220.2</v>
      </c>
    </row>
    <row r="4874" spans="1:11" x14ac:dyDescent="0.35">
      <c r="A4874" s="2">
        <v>44686</v>
      </c>
      <c r="B4874" s="1">
        <v>0</v>
      </c>
      <c r="C4874" t="s">
        <v>1048</v>
      </c>
      <c r="D4874" t="s">
        <v>5492</v>
      </c>
      <c r="E4874" t="s">
        <v>5223</v>
      </c>
      <c r="F4874" t="s">
        <v>5089</v>
      </c>
      <c r="G4874" t="s">
        <v>5297</v>
      </c>
      <c r="H4874" t="s">
        <v>3077</v>
      </c>
      <c r="J4874" s="2">
        <v>44686</v>
      </c>
      <c r="K4874">
        <v>195</v>
      </c>
    </row>
    <row r="4875" spans="1:11" x14ac:dyDescent="0.35">
      <c r="A4875" s="2">
        <v>44687</v>
      </c>
      <c r="B4875" s="1">
        <v>0</v>
      </c>
      <c r="C4875" t="s">
        <v>5634</v>
      </c>
      <c r="D4875" t="s">
        <v>5471</v>
      </c>
      <c r="E4875" t="s">
        <v>5417</v>
      </c>
      <c r="F4875" t="s">
        <v>5077</v>
      </c>
      <c r="G4875" t="s">
        <v>5397</v>
      </c>
      <c r="H4875" t="s">
        <v>601</v>
      </c>
      <c r="J4875" s="2">
        <v>44687</v>
      </c>
      <c r="K4875">
        <v>172.3</v>
      </c>
    </row>
    <row r="4876" spans="1:11" x14ac:dyDescent="0.35">
      <c r="A4876" s="2">
        <v>44688</v>
      </c>
      <c r="B4876" s="1">
        <v>0</v>
      </c>
      <c r="C4876" t="s">
        <v>5521</v>
      </c>
      <c r="D4876" t="s">
        <v>5081</v>
      </c>
      <c r="E4876" t="s">
        <v>5623</v>
      </c>
      <c r="F4876" t="s">
        <v>5077</v>
      </c>
      <c r="G4876" t="s">
        <v>5432</v>
      </c>
      <c r="H4876" t="s">
        <v>68</v>
      </c>
      <c r="J4876" s="2">
        <v>44688</v>
      </c>
      <c r="K4876">
        <v>156.80000000000001</v>
      </c>
    </row>
    <row r="4877" spans="1:11" x14ac:dyDescent="0.35">
      <c r="A4877" s="2">
        <v>44689</v>
      </c>
      <c r="B4877" s="1">
        <v>0</v>
      </c>
      <c r="C4877" t="s">
        <v>5091</v>
      </c>
      <c r="D4877" t="s">
        <v>5249</v>
      </c>
      <c r="E4877" t="s">
        <v>5545</v>
      </c>
      <c r="F4877" t="s">
        <v>5077</v>
      </c>
      <c r="G4877" t="s">
        <v>5153</v>
      </c>
      <c r="H4877" t="s">
        <v>299</v>
      </c>
      <c r="J4877" s="2">
        <v>44689</v>
      </c>
      <c r="K4877">
        <v>152</v>
      </c>
    </row>
    <row r="4878" spans="1:11" x14ac:dyDescent="0.35">
      <c r="A4878" s="2">
        <v>44690</v>
      </c>
      <c r="B4878" s="1">
        <v>0</v>
      </c>
      <c r="C4878" t="s">
        <v>5277</v>
      </c>
      <c r="D4878" t="s">
        <v>5113</v>
      </c>
      <c r="E4878" t="s">
        <v>5292</v>
      </c>
      <c r="F4878" t="s">
        <v>5077</v>
      </c>
      <c r="G4878" t="s">
        <v>5432</v>
      </c>
      <c r="H4878" t="s">
        <v>288</v>
      </c>
      <c r="J4878" s="2">
        <v>44690</v>
      </c>
      <c r="K4878">
        <v>157.19999999999999</v>
      </c>
    </row>
    <row r="4879" spans="1:11" x14ac:dyDescent="0.35">
      <c r="A4879" s="2">
        <v>44691</v>
      </c>
      <c r="B4879" s="1">
        <v>0</v>
      </c>
      <c r="C4879" t="s">
        <v>5586</v>
      </c>
      <c r="D4879" t="s">
        <v>5135</v>
      </c>
      <c r="E4879" t="s">
        <v>5570</v>
      </c>
      <c r="F4879" t="s">
        <v>5077</v>
      </c>
      <c r="G4879" t="s">
        <v>5397</v>
      </c>
      <c r="H4879" t="s">
        <v>891</v>
      </c>
      <c r="J4879" s="2">
        <v>44691</v>
      </c>
      <c r="K4879">
        <v>166.9</v>
      </c>
    </row>
    <row r="4880" spans="1:11" x14ac:dyDescent="0.35">
      <c r="A4880" s="2">
        <v>44692</v>
      </c>
      <c r="B4880" s="1">
        <v>0</v>
      </c>
      <c r="C4880" t="s">
        <v>5282</v>
      </c>
      <c r="D4880" t="s">
        <v>5471</v>
      </c>
      <c r="E4880" t="s">
        <v>5295</v>
      </c>
      <c r="F4880" t="s">
        <v>5077</v>
      </c>
      <c r="G4880" t="s">
        <v>5330</v>
      </c>
      <c r="H4880" t="s">
        <v>925</v>
      </c>
      <c r="J4880" s="2">
        <v>44692</v>
      </c>
      <c r="K4880">
        <v>171.7</v>
      </c>
    </row>
    <row r="4881" spans="1:11" x14ac:dyDescent="0.35">
      <c r="A4881" s="2">
        <v>44693</v>
      </c>
      <c r="B4881" s="1">
        <v>0</v>
      </c>
      <c r="C4881" t="s">
        <v>5584</v>
      </c>
      <c r="D4881" t="s">
        <v>5125</v>
      </c>
      <c r="E4881" t="s">
        <v>5052</v>
      </c>
      <c r="F4881" t="s">
        <v>5077</v>
      </c>
      <c r="G4881" t="s">
        <v>5330</v>
      </c>
      <c r="H4881" t="s">
        <v>1324</v>
      </c>
      <c r="J4881" s="2">
        <v>44693</v>
      </c>
      <c r="K4881">
        <v>169.9</v>
      </c>
    </row>
    <row r="4882" spans="1:11" x14ac:dyDescent="0.35">
      <c r="A4882" s="2">
        <v>44694</v>
      </c>
      <c r="B4882" s="1">
        <v>0</v>
      </c>
      <c r="C4882" t="s">
        <v>5616</v>
      </c>
      <c r="D4882" t="s">
        <v>5218</v>
      </c>
      <c r="E4882" t="s">
        <v>5319</v>
      </c>
      <c r="F4882" t="s">
        <v>5077</v>
      </c>
      <c r="G4882" t="s">
        <v>5400</v>
      </c>
      <c r="H4882" t="s">
        <v>177</v>
      </c>
      <c r="J4882" s="2">
        <v>44694</v>
      </c>
      <c r="K4882">
        <v>163.80000000000001</v>
      </c>
    </row>
    <row r="4883" spans="1:11" x14ac:dyDescent="0.35">
      <c r="A4883" s="2">
        <v>44695</v>
      </c>
      <c r="B4883" s="1">
        <v>0</v>
      </c>
      <c r="C4883" t="s">
        <v>5630</v>
      </c>
      <c r="D4883" t="s">
        <v>5120</v>
      </c>
      <c r="E4883" t="s">
        <v>5320</v>
      </c>
      <c r="F4883" t="s">
        <v>5045</v>
      </c>
      <c r="G4883" t="s">
        <v>5397</v>
      </c>
      <c r="H4883" t="s">
        <v>95</v>
      </c>
      <c r="J4883" s="2">
        <v>44695</v>
      </c>
      <c r="K4883">
        <v>156.69999999999999</v>
      </c>
    </row>
    <row r="4884" spans="1:11" x14ac:dyDescent="0.35">
      <c r="A4884" s="2">
        <v>44696</v>
      </c>
      <c r="B4884" s="1">
        <v>0</v>
      </c>
      <c r="C4884" t="s">
        <v>5101</v>
      </c>
      <c r="D4884" t="s">
        <v>5208</v>
      </c>
      <c r="E4884" t="s">
        <v>5053</v>
      </c>
      <c r="F4884" t="s">
        <v>5045</v>
      </c>
      <c r="G4884" t="s">
        <v>5140</v>
      </c>
      <c r="H4884" t="s">
        <v>788</v>
      </c>
      <c r="J4884" s="2">
        <v>44696</v>
      </c>
      <c r="K4884">
        <v>149.19999999999999</v>
      </c>
    </row>
    <row r="4885" spans="1:11" x14ac:dyDescent="0.35">
      <c r="A4885" s="2">
        <v>44697</v>
      </c>
      <c r="B4885" s="1">
        <v>0</v>
      </c>
      <c r="C4885" t="s">
        <v>5485</v>
      </c>
      <c r="D4885" t="s">
        <v>5176</v>
      </c>
      <c r="E4885" t="s">
        <v>5423</v>
      </c>
      <c r="F4885" t="s">
        <v>5045</v>
      </c>
      <c r="G4885" t="s">
        <v>5153</v>
      </c>
      <c r="H4885" t="s">
        <v>143</v>
      </c>
      <c r="J4885" s="2">
        <v>44697</v>
      </c>
      <c r="K4885">
        <v>142.4</v>
      </c>
    </row>
    <row r="4886" spans="1:11" x14ac:dyDescent="0.35">
      <c r="A4886" s="2">
        <v>44698</v>
      </c>
      <c r="B4886" s="1">
        <v>0</v>
      </c>
      <c r="C4886" t="s">
        <v>5505</v>
      </c>
      <c r="D4886" t="s">
        <v>5064</v>
      </c>
      <c r="E4886" t="s">
        <v>5529</v>
      </c>
      <c r="F4886" t="s">
        <v>5045</v>
      </c>
      <c r="G4886" t="s">
        <v>5411</v>
      </c>
      <c r="H4886" t="s">
        <v>837</v>
      </c>
      <c r="J4886" s="2">
        <v>44698</v>
      </c>
      <c r="K4886">
        <v>136.6</v>
      </c>
    </row>
    <row r="4887" spans="1:11" x14ac:dyDescent="0.35">
      <c r="A4887" s="2">
        <v>44699</v>
      </c>
      <c r="B4887" s="1">
        <v>0</v>
      </c>
      <c r="C4887" t="s">
        <v>5200</v>
      </c>
      <c r="D4887" t="s">
        <v>5570</v>
      </c>
      <c r="E4887" t="s">
        <v>5290</v>
      </c>
      <c r="F4887" t="s">
        <v>5045</v>
      </c>
      <c r="G4887" t="s">
        <v>5337</v>
      </c>
      <c r="H4887" t="s">
        <v>1805</v>
      </c>
      <c r="J4887" s="2">
        <v>44699</v>
      </c>
      <c r="K4887">
        <v>132</v>
      </c>
    </row>
    <row r="4888" spans="1:11" x14ac:dyDescent="0.35">
      <c r="A4888" s="2">
        <v>44700</v>
      </c>
      <c r="B4888" s="1">
        <v>0</v>
      </c>
      <c r="C4888" t="s">
        <v>5253</v>
      </c>
      <c r="D4888" t="s">
        <v>5298</v>
      </c>
      <c r="E4888" t="s">
        <v>5293</v>
      </c>
      <c r="F4888" t="s">
        <v>5045</v>
      </c>
      <c r="G4888" t="s">
        <v>5339</v>
      </c>
      <c r="H4888" t="s">
        <v>1113</v>
      </c>
      <c r="J4888" s="2">
        <v>44700</v>
      </c>
      <c r="K4888">
        <v>129.19999999999999</v>
      </c>
    </row>
    <row r="4889" spans="1:11" x14ac:dyDescent="0.35">
      <c r="A4889" s="2">
        <v>44701</v>
      </c>
      <c r="B4889" s="1">
        <v>0</v>
      </c>
      <c r="C4889" t="s">
        <v>5453</v>
      </c>
      <c r="D4889" t="s">
        <v>5622</v>
      </c>
      <c r="E4889" t="s">
        <v>5296</v>
      </c>
      <c r="F4889" t="s">
        <v>5045</v>
      </c>
      <c r="G4889" t="s">
        <v>5156</v>
      </c>
      <c r="H4889" t="s">
        <v>2874</v>
      </c>
      <c r="J4889" s="2">
        <v>44701</v>
      </c>
      <c r="K4889">
        <v>127.6</v>
      </c>
    </row>
    <row r="4890" spans="1:11" x14ac:dyDescent="0.35">
      <c r="A4890" s="2">
        <v>44702</v>
      </c>
      <c r="B4890" s="1">
        <v>0</v>
      </c>
      <c r="C4890" t="s">
        <v>5253</v>
      </c>
      <c r="D4890" t="s">
        <v>5053</v>
      </c>
      <c r="E4890" t="s">
        <v>5293</v>
      </c>
      <c r="F4890" t="s">
        <v>5045</v>
      </c>
      <c r="G4890" t="s">
        <v>5339</v>
      </c>
      <c r="H4890" t="s">
        <v>137</v>
      </c>
      <c r="J4890" s="2">
        <v>44702</v>
      </c>
      <c r="K4890">
        <v>128.4</v>
      </c>
    </row>
    <row r="4891" spans="1:11" x14ac:dyDescent="0.35">
      <c r="A4891" s="2">
        <v>44703</v>
      </c>
      <c r="B4891" s="1">
        <v>0</v>
      </c>
      <c r="C4891" t="s">
        <v>5281</v>
      </c>
      <c r="D4891" t="s">
        <v>5525</v>
      </c>
      <c r="E4891" t="s">
        <v>5430</v>
      </c>
      <c r="F4891" t="s">
        <v>5045</v>
      </c>
      <c r="G4891" t="s">
        <v>5337</v>
      </c>
      <c r="H4891" t="s">
        <v>281</v>
      </c>
      <c r="J4891" s="2">
        <v>44703</v>
      </c>
      <c r="K4891">
        <v>132.30000000000001</v>
      </c>
    </row>
    <row r="4892" spans="1:11" x14ac:dyDescent="0.35">
      <c r="A4892" s="2">
        <v>44704</v>
      </c>
      <c r="B4892" s="1">
        <v>0</v>
      </c>
      <c r="C4892" t="s">
        <v>5264</v>
      </c>
      <c r="D4892" t="s">
        <v>5418</v>
      </c>
      <c r="E4892" t="s">
        <v>5053</v>
      </c>
      <c r="F4892" t="s">
        <v>5045</v>
      </c>
      <c r="G4892" t="s">
        <v>5334</v>
      </c>
      <c r="H4892" t="s">
        <v>1355</v>
      </c>
      <c r="J4892" s="2">
        <v>44704</v>
      </c>
      <c r="K4892">
        <v>139.69999999999999</v>
      </c>
    </row>
    <row r="4893" spans="1:11" x14ac:dyDescent="0.35">
      <c r="A4893" s="2">
        <v>44705</v>
      </c>
      <c r="B4893" s="1">
        <v>0</v>
      </c>
      <c r="C4893" t="s">
        <v>5142</v>
      </c>
      <c r="D4893" t="s">
        <v>5425</v>
      </c>
      <c r="E4893" t="s">
        <v>5319</v>
      </c>
      <c r="F4893" t="s">
        <v>5045</v>
      </c>
      <c r="G4893" t="s">
        <v>5397</v>
      </c>
      <c r="H4893" t="s">
        <v>195</v>
      </c>
      <c r="J4893" s="2">
        <v>44705</v>
      </c>
      <c r="K4893">
        <v>147.19999999999999</v>
      </c>
    </row>
    <row r="4894" spans="1:11" x14ac:dyDescent="0.35">
      <c r="A4894" s="2">
        <v>44706</v>
      </c>
      <c r="B4894" s="1">
        <v>0</v>
      </c>
      <c r="C4894" t="s">
        <v>5244</v>
      </c>
      <c r="D4894" t="s">
        <v>5070</v>
      </c>
      <c r="E4894" t="s">
        <v>5525</v>
      </c>
      <c r="F4894" t="s">
        <v>5045</v>
      </c>
      <c r="G4894" t="s">
        <v>5297</v>
      </c>
      <c r="H4894" t="s">
        <v>142</v>
      </c>
      <c r="J4894" s="2">
        <v>44706</v>
      </c>
      <c r="K4894">
        <v>152.5</v>
      </c>
    </row>
    <row r="4895" spans="1:11" x14ac:dyDescent="0.35">
      <c r="A4895" s="2">
        <v>44707</v>
      </c>
      <c r="B4895" s="1">
        <v>0</v>
      </c>
      <c r="C4895" t="s">
        <v>5273</v>
      </c>
      <c r="D4895" t="s">
        <v>5418</v>
      </c>
      <c r="E4895" t="s">
        <v>5053</v>
      </c>
      <c r="F4895" t="s">
        <v>5045</v>
      </c>
      <c r="G4895" t="s">
        <v>5312</v>
      </c>
      <c r="H4895" t="s">
        <v>4703</v>
      </c>
      <c r="J4895" s="2">
        <v>44707</v>
      </c>
      <c r="K4895">
        <v>152.69999999999999</v>
      </c>
    </row>
    <row r="4896" spans="1:11" x14ac:dyDescent="0.35">
      <c r="A4896" s="2">
        <v>44708</v>
      </c>
      <c r="B4896" s="1">
        <v>0</v>
      </c>
      <c r="C4896" t="s">
        <v>5217</v>
      </c>
      <c r="D4896" t="s">
        <v>5568</v>
      </c>
      <c r="E4896" t="s">
        <v>5305</v>
      </c>
      <c r="F4896" t="s">
        <v>5045</v>
      </c>
      <c r="G4896" t="s">
        <v>5297</v>
      </c>
      <c r="H4896" t="s">
        <v>867</v>
      </c>
      <c r="J4896" s="2">
        <v>44708</v>
      </c>
      <c r="K4896">
        <v>150</v>
      </c>
    </row>
    <row r="4897" spans="1:11" x14ac:dyDescent="0.35">
      <c r="A4897" s="2">
        <v>44709</v>
      </c>
      <c r="B4897" s="1">
        <v>0</v>
      </c>
      <c r="C4897" t="s">
        <v>5269</v>
      </c>
      <c r="D4897" t="s">
        <v>5623</v>
      </c>
      <c r="E4897" t="s">
        <v>5307</v>
      </c>
      <c r="F4897" t="s">
        <v>5045</v>
      </c>
      <c r="G4897" t="s">
        <v>5342</v>
      </c>
      <c r="H4897" t="s">
        <v>293</v>
      </c>
      <c r="J4897" s="2">
        <v>44709</v>
      </c>
      <c r="K4897">
        <v>146.4</v>
      </c>
    </row>
    <row r="4898" spans="1:11" x14ac:dyDescent="0.35">
      <c r="A4898" s="2">
        <v>44710</v>
      </c>
      <c r="B4898" s="1">
        <v>0</v>
      </c>
      <c r="C4898" t="s">
        <v>5482</v>
      </c>
      <c r="D4898" t="s">
        <v>5053</v>
      </c>
      <c r="E4898" t="s">
        <v>5327</v>
      </c>
      <c r="F4898" t="s">
        <v>5045</v>
      </c>
      <c r="G4898" t="s">
        <v>5330</v>
      </c>
      <c r="H4898" t="s">
        <v>108</v>
      </c>
      <c r="J4898" s="2">
        <v>44710</v>
      </c>
      <c r="K4898">
        <v>144.9</v>
      </c>
    </row>
    <row r="4899" spans="1:11" x14ac:dyDescent="0.35">
      <c r="A4899" s="2">
        <v>44711</v>
      </c>
      <c r="B4899" s="1">
        <v>0</v>
      </c>
      <c r="C4899" t="s">
        <v>5577</v>
      </c>
      <c r="D4899" t="s">
        <v>5622</v>
      </c>
      <c r="E4899" t="s">
        <v>5322</v>
      </c>
      <c r="F4899" t="s">
        <v>5045</v>
      </c>
      <c r="G4899" t="s">
        <v>5342</v>
      </c>
      <c r="H4899" t="s">
        <v>881</v>
      </c>
      <c r="J4899" s="2">
        <v>44711</v>
      </c>
      <c r="K4899">
        <v>144.80000000000001</v>
      </c>
    </row>
    <row r="4900" spans="1:11" x14ac:dyDescent="0.35">
      <c r="A4900" s="2">
        <v>44712</v>
      </c>
      <c r="B4900" s="1">
        <v>0</v>
      </c>
      <c r="C4900" t="s">
        <v>5552</v>
      </c>
      <c r="D4900" t="s">
        <v>5623</v>
      </c>
      <c r="E4900" t="s">
        <v>5546</v>
      </c>
      <c r="F4900" t="s">
        <v>5045</v>
      </c>
      <c r="G4900" t="s">
        <v>5297</v>
      </c>
      <c r="H4900" t="s">
        <v>173</v>
      </c>
      <c r="J4900" s="2">
        <v>44712</v>
      </c>
      <c r="K4900">
        <v>144.19999999999999</v>
      </c>
    </row>
    <row r="4901" spans="1:11" x14ac:dyDescent="0.35">
      <c r="A4901" s="2">
        <v>44713</v>
      </c>
      <c r="B4901" s="1">
        <v>0</v>
      </c>
      <c r="C4901" t="s">
        <v>5494</v>
      </c>
      <c r="D4901" t="s">
        <v>5623</v>
      </c>
      <c r="E4901" t="s">
        <v>5545</v>
      </c>
      <c r="F4901" t="s">
        <v>5045</v>
      </c>
      <c r="G4901" t="s">
        <v>5312</v>
      </c>
      <c r="H4901" t="s">
        <v>261</v>
      </c>
      <c r="J4901" s="2">
        <v>44713</v>
      </c>
      <c r="K4901">
        <v>143.1</v>
      </c>
    </row>
    <row r="4902" spans="1:11" x14ac:dyDescent="0.35">
      <c r="A4902" s="2">
        <v>44714</v>
      </c>
      <c r="B4902" s="1">
        <v>0</v>
      </c>
      <c r="C4902" t="s">
        <v>5073</v>
      </c>
      <c r="D4902" t="s">
        <v>5215</v>
      </c>
      <c r="E4902" t="s">
        <v>5356</v>
      </c>
      <c r="F4902" t="s">
        <v>5168</v>
      </c>
      <c r="G4902" t="s">
        <v>5419</v>
      </c>
      <c r="H4902" t="s">
        <v>471</v>
      </c>
      <c r="J4902" s="2">
        <v>44714</v>
      </c>
      <c r="K4902">
        <v>100.2</v>
      </c>
    </row>
    <row r="4903" spans="1:11" x14ac:dyDescent="0.35">
      <c r="A4903" s="2">
        <v>44715</v>
      </c>
      <c r="B4903" s="1">
        <v>0</v>
      </c>
      <c r="C4903" t="s">
        <v>5426</v>
      </c>
      <c r="D4903" t="s">
        <v>5475</v>
      </c>
      <c r="E4903" t="s">
        <v>5110</v>
      </c>
      <c r="F4903" t="s">
        <v>5168</v>
      </c>
      <c r="G4903" t="s">
        <v>5413</v>
      </c>
      <c r="H4903" t="s">
        <v>3498</v>
      </c>
      <c r="J4903" s="2">
        <v>44715</v>
      </c>
      <c r="K4903">
        <v>97.2</v>
      </c>
    </row>
    <row r="4904" spans="1:11" x14ac:dyDescent="0.35">
      <c r="A4904" s="2">
        <v>44716</v>
      </c>
      <c r="B4904" s="1">
        <v>0</v>
      </c>
      <c r="C4904" t="s">
        <v>5048</v>
      </c>
      <c r="D4904" t="s">
        <v>5412</v>
      </c>
      <c r="E4904" t="s">
        <v>5078</v>
      </c>
      <c r="F4904" t="s">
        <v>5168</v>
      </c>
      <c r="G4904" t="s">
        <v>5562</v>
      </c>
      <c r="H4904" t="s">
        <v>324</v>
      </c>
      <c r="J4904" s="2">
        <v>44716</v>
      </c>
      <c r="K4904">
        <v>93.7</v>
      </c>
    </row>
    <row r="4905" spans="1:11" x14ac:dyDescent="0.35">
      <c r="A4905" s="2">
        <v>44717</v>
      </c>
      <c r="B4905" s="1">
        <v>0</v>
      </c>
      <c r="C4905" t="s">
        <v>5296</v>
      </c>
      <c r="D4905" t="s">
        <v>5179</v>
      </c>
      <c r="E4905" t="s">
        <v>5065</v>
      </c>
      <c r="F4905" t="s">
        <v>5168</v>
      </c>
      <c r="G4905" t="s">
        <v>5360</v>
      </c>
      <c r="H4905" t="s">
        <v>334</v>
      </c>
      <c r="J4905" s="2">
        <v>44717</v>
      </c>
      <c r="K4905">
        <v>90.4</v>
      </c>
    </row>
    <row r="4906" spans="1:11" x14ac:dyDescent="0.35">
      <c r="A4906" s="2">
        <v>44718</v>
      </c>
      <c r="B4906" s="1">
        <v>0</v>
      </c>
      <c r="C4906" t="s">
        <v>5351</v>
      </c>
      <c r="D4906" t="s">
        <v>5054</v>
      </c>
      <c r="E4906" t="s">
        <v>5058</v>
      </c>
      <c r="F4906" t="s">
        <v>5168</v>
      </c>
      <c r="G4906" t="s">
        <v>5343</v>
      </c>
      <c r="H4906" t="s">
        <v>342</v>
      </c>
      <c r="J4906" s="2">
        <v>44718</v>
      </c>
      <c r="K4906">
        <v>87.8</v>
      </c>
    </row>
    <row r="4907" spans="1:11" x14ac:dyDescent="0.35">
      <c r="A4907" s="2">
        <v>44719</v>
      </c>
      <c r="B4907" s="1">
        <v>0</v>
      </c>
      <c r="C4907" t="s">
        <v>5331</v>
      </c>
      <c r="D4907" t="s">
        <v>5240</v>
      </c>
      <c r="E4907" t="s">
        <v>5054</v>
      </c>
      <c r="F4907" t="s">
        <v>5168</v>
      </c>
      <c r="G4907" t="s">
        <v>5361</v>
      </c>
      <c r="H4907" t="s">
        <v>333</v>
      </c>
      <c r="J4907" s="2">
        <v>44719</v>
      </c>
      <c r="K4907">
        <v>86.1</v>
      </c>
    </row>
    <row r="4908" spans="1:11" x14ac:dyDescent="0.35">
      <c r="A4908" s="2">
        <v>44720</v>
      </c>
      <c r="B4908" s="1">
        <v>0</v>
      </c>
      <c r="C4908" t="s">
        <v>5188</v>
      </c>
      <c r="D4908" t="s">
        <v>5050</v>
      </c>
      <c r="E4908" t="s">
        <v>5240</v>
      </c>
      <c r="F4908" t="s">
        <v>5168</v>
      </c>
      <c r="G4908" t="s">
        <v>5349</v>
      </c>
      <c r="H4908" t="s">
        <v>5543</v>
      </c>
      <c r="J4908" s="2">
        <v>44720</v>
      </c>
      <c r="K4908">
        <v>85.1</v>
      </c>
    </row>
    <row r="4909" spans="1:11" x14ac:dyDescent="0.35">
      <c r="A4909" s="2">
        <v>44721</v>
      </c>
      <c r="B4909" s="1">
        <v>0</v>
      </c>
      <c r="C4909" t="s">
        <v>5341</v>
      </c>
      <c r="D4909" t="s">
        <v>5050</v>
      </c>
      <c r="E4909" t="s">
        <v>5050</v>
      </c>
      <c r="F4909" t="s">
        <v>5168</v>
      </c>
      <c r="G4909" t="s">
        <v>5353</v>
      </c>
      <c r="H4909" t="s">
        <v>466</v>
      </c>
      <c r="J4909" s="2">
        <v>44721</v>
      </c>
      <c r="K4909">
        <v>84.5</v>
      </c>
    </row>
    <row r="4910" spans="1:11" x14ac:dyDescent="0.35">
      <c r="A4910" s="2">
        <v>44722</v>
      </c>
      <c r="B4910" s="1">
        <v>0</v>
      </c>
      <c r="C4910" t="s">
        <v>5332</v>
      </c>
      <c r="D4910" t="s">
        <v>5046</v>
      </c>
      <c r="E4910" t="s">
        <v>5050</v>
      </c>
      <c r="F4910" t="s">
        <v>5168</v>
      </c>
      <c r="G4910" t="s">
        <v>5353</v>
      </c>
      <c r="H4910" t="s">
        <v>1526</v>
      </c>
      <c r="J4910" s="2">
        <v>44722</v>
      </c>
      <c r="K4910">
        <v>84.2</v>
      </c>
    </row>
    <row r="4911" spans="1:11" x14ac:dyDescent="0.35">
      <c r="A4911" s="2">
        <v>44723</v>
      </c>
      <c r="B4911" s="1">
        <v>0</v>
      </c>
      <c r="C4911" t="s">
        <v>5355</v>
      </c>
      <c r="D4911" t="s">
        <v>5046</v>
      </c>
      <c r="E4911" t="s">
        <v>5050</v>
      </c>
      <c r="F4911" t="s">
        <v>5168</v>
      </c>
      <c r="G4911" t="s">
        <v>5353</v>
      </c>
      <c r="H4911" t="s">
        <v>1916</v>
      </c>
      <c r="J4911" s="2">
        <v>44723</v>
      </c>
      <c r="K4911">
        <v>83.9</v>
      </c>
    </row>
    <row r="4912" spans="1:11" x14ac:dyDescent="0.35">
      <c r="A4912" s="2">
        <v>44724</v>
      </c>
      <c r="B4912" s="1">
        <v>0</v>
      </c>
      <c r="C4912" t="s">
        <v>5136</v>
      </c>
      <c r="D4912" t="s">
        <v>5046</v>
      </c>
      <c r="E4912" t="s">
        <v>5046</v>
      </c>
      <c r="F4912" t="s">
        <v>5168</v>
      </c>
      <c r="G4912" t="s">
        <v>5354</v>
      </c>
      <c r="H4912" t="s">
        <v>448</v>
      </c>
      <c r="J4912" s="2">
        <v>44724</v>
      </c>
      <c r="K4912">
        <v>83.7</v>
      </c>
    </row>
    <row r="4913" spans="1:11" x14ac:dyDescent="0.35">
      <c r="A4913" s="2">
        <v>44725</v>
      </c>
      <c r="B4913" s="1">
        <v>0</v>
      </c>
      <c r="C4913" t="s">
        <v>5132</v>
      </c>
      <c r="D4913" t="s">
        <v>5046</v>
      </c>
      <c r="E4913" t="s">
        <v>5046</v>
      </c>
      <c r="F4913" t="s">
        <v>5168</v>
      </c>
      <c r="G4913" t="s">
        <v>5354</v>
      </c>
      <c r="H4913" t="s">
        <v>345</v>
      </c>
      <c r="J4913" s="2">
        <v>44725</v>
      </c>
      <c r="K4913">
        <v>83.4</v>
      </c>
    </row>
    <row r="4914" spans="1:11" x14ac:dyDescent="0.35">
      <c r="A4914" s="2">
        <v>44726</v>
      </c>
      <c r="B4914" s="1">
        <v>0</v>
      </c>
      <c r="C4914" t="s">
        <v>5358</v>
      </c>
      <c r="D4914" t="s">
        <v>5046</v>
      </c>
      <c r="E4914" t="s">
        <v>5046</v>
      </c>
      <c r="F4914" t="s">
        <v>5168</v>
      </c>
      <c r="G4914" t="s">
        <v>5354</v>
      </c>
      <c r="H4914" t="s">
        <v>363</v>
      </c>
      <c r="J4914" s="2">
        <v>44726</v>
      </c>
      <c r="K4914">
        <v>83.3</v>
      </c>
    </row>
    <row r="4915" spans="1:11" x14ac:dyDescent="0.35">
      <c r="A4915" s="2">
        <v>44727</v>
      </c>
      <c r="B4915" s="1">
        <v>0</v>
      </c>
      <c r="C4915" t="s">
        <v>5332</v>
      </c>
      <c r="D4915" t="s">
        <v>5046</v>
      </c>
      <c r="E4915" t="s">
        <v>5046</v>
      </c>
      <c r="F4915" t="s">
        <v>5168</v>
      </c>
      <c r="G4915" t="s">
        <v>5353</v>
      </c>
      <c r="H4915" t="s">
        <v>322</v>
      </c>
      <c r="J4915" s="2">
        <v>44727</v>
      </c>
      <c r="K4915">
        <v>84</v>
      </c>
    </row>
    <row r="4916" spans="1:11" x14ac:dyDescent="0.35">
      <c r="A4916" s="2">
        <v>44728</v>
      </c>
      <c r="B4916" s="1">
        <v>0</v>
      </c>
      <c r="C4916" t="s">
        <v>5338</v>
      </c>
      <c r="D4916" t="s">
        <v>5046</v>
      </c>
      <c r="E4916" t="s">
        <v>5046</v>
      </c>
      <c r="F4916" t="s">
        <v>5168</v>
      </c>
      <c r="G4916" t="s">
        <v>5349</v>
      </c>
      <c r="H4916" t="s">
        <v>477</v>
      </c>
      <c r="J4916" s="2">
        <v>44728</v>
      </c>
      <c r="K4916">
        <v>85.4</v>
      </c>
    </row>
    <row r="4917" spans="1:11" x14ac:dyDescent="0.35">
      <c r="A4917" s="2">
        <v>44729</v>
      </c>
      <c r="B4917" s="1">
        <v>0</v>
      </c>
      <c r="C4917" t="s">
        <v>5191</v>
      </c>
      <c r="D4917" t="s">
        <v>5046</v>
      </c>
      <c r="E4917" t="s">
        <v>5046</v>
      </c>
      <c r="F4917" t="s">
        <v>5168</v>
      </c>
      <c r="G4917" t="s">
        <v>5346</v>
      </c>
      <c r="H4917" t="s">
        <v>351</v>
      </c>
      <c r="J4917" s="2">
        <v>44729</v>
      </c>
      <c r="K4917">
        <v>87</v>
      </c>
    </row>
    <row r="4918" spans="1:11" x14ac:dyDescent="0.35">
      <c r="A4918" s="2">
        <v>44730</v>
      </c>
      <c r="B4918" s="1">
        <v>0</v>
      </c>
      <c r="C4918" t="s">
        <v>5316</v>
      </c>
      <c r="D4918" t="s">
        <v>5050</v>
      </c>
      <c r="E4918" t="s">
        <v>5046</v>
      </c>
      <c r="F4918" t="s">
        <v>5168</v>
      </c>
      <c r="G4918" t="s">
        <v>5343</v>
      </c>
      <c r="H4918" t="s">
        <v>344</v>
      </c>
      <c r="J4918" s="2">
        <v>44730</v>
      </c>
      <c r="K4918">
        <v>87.3</v>
      </c>
    </row>
    <row r="4919" spans="1:11" x14ac:dyDescent="0.35">
      <c r="A4919" s="2">
        <v>44731</v>
      </c>
      <c r="B4919" s="1">
        <v>0</v>
      </c>
      <c r="C4919" t="s">
        <v>5352</v>
      </c>
      <c r="D4919" t="s">
        <v>5050</v>
      </c>
      <c r="E4919" t="s">
        <v>5050</v>
      </c>
      <c r="F4919" t="s">
        <v>5168</v>
      </c>
      <c r="G4919" t="s">
        <v>5346</v>
      </c>
      <c r="H4919" t="s">
        <v>346</v>
      </c>
      <c r="J4919" s="2">
        <v>44731</v>
      </c>
      <c r="K4919">
        <v>86.9</v>
      </c>
    </row>
    <row r="4920" spans="1:11" x14ac:dyDescent="0.35">
      <c r="A4920" s="2">
        <v>44732</v>
      </c>
      <c r="B4920" s="1">
        <v>0</v>
      </c>
      <c r="C4920" t="s">
        <v>5314</v>
      </c>
      <c r="D4920" t="s">
        <v>5054</v>
      </c>
      <c r="E4920" t="s">
        <v>5050</v>
      </c>
      <c r="F4920" t="s">
        <v>5168</v>
      </c>
      <c r="G4920" t="s">
        <v>5346</v>
      </c>
      <c r="H4920" t="s">
        <v>984</v>
      </c>
      <c r="J4920" s="2">
        <v>44732</v>
      </c>
      <c r="K4920">
        <v>87.1</v>
      </c>
    </row>
    <row r="4921" spans="1:11" x14ac:dyDescent="0.35">
      <c r="A4921" s="2">
        <v>44733</v>
      </c>
      <c r="B4921" s="1">
        <v>0</v>
      </c>
      <c r="C4921" t="s">
        <v>5308</v>
      </c>
      <c r="D4921" t="s">
        <v>5058</v>
      </c>
      <c r="E4921" t="s">
        <v>5050</v>
      </c>
      <c r="F4921" t="s">
        <v>5168</v>
      </c>
      <c r="G4921" t="s">
        <v>5346</v>
      </c>
      <c r="H4921" t="s">
        <v>1483</v>
      </c>
      <c r="J4921" s="2">
        <v>44733</v>
      </c>
      <c r="K4921">
        <v>89.3</v>
      </c>
    </row>
    <row r="4922" spans="1:11" x14ac:dyDescent="0.35">
      <c r="A4922" s="2">
        <v>44734</v>
      </c>
      <c r="B4922" s="1">
        <v>0</v>
      </c>
      <c r="C4922" t="s">
        <v>5622</v>
      </c>
      <c r="D4922" t="s">
        <v>5412</v>
      </c>
      <c r="E4922" t="s">
        <v>5050</v>
      </c>
      <c r="F4922" t="s">
        <v>5168</v>
      </c>
      <c r="G4922" t="s">
        <v>5346</v>
      </c>
      <c r="H4922" t="s">
        <v>354</v>
      </c>
      <c r="J4922" s="2">
        <v>44734</v>
      </c>
      <c r="K4922">
        <v>92.4</v>
      </c>
    </row>
    <row r="4923" spans="1:11" x14ac:dyDescent="0.35">
      <c r="A4923" s="2">
        <v>44735</v>
      </c>
      <c r="B4923" s="1">
        <v>0</v>
      </c>
      <c r="C4923" t="s">
        <v>5301</v>
      </c>
      <c r="D4923" t="s">
        <v>5062</v>
      </c>
      <c r="E4923" t="s">
        <v>5050</v>
      </c>
      <c r="F4923" t="s">
        <v>5168</v>
      </c>
      <c r="G4923" t="s">
        <v>5346</v>
      </c>
      <c r="H4923" t="s">
        <v>2607</v>
      </c>
      <c r="J4923" s="2">
        <v>44735</v>
      </c>
      <c r="K4923">
        <v>93.6</v>
      </c>
    </row>
    <row r="4924" spans="1:11" x14ac:dyDescent="0.35">
      <c r="A4924" s="2">
        <v>44736</v>
      </c>
      <c r="B4924" s="1">
        <v>0</v>
      </c>
      <c r="C4924" t="s">
        <v>5623</v>
      </c>
      <c r="D4924" t="s">
        <v>5412</v>
      </c>
      <c r="E4924" t="s">
        <v>5046</v>
      </c>
      <c r="F4924" t="s">
        <v>5168</v>
      </c>
      <c r="G4924" t="s">
        <v>5361</v>
      </c>
      <c r="H4924" t="s">
        <v>985</v>
      </c>
      <c r="J4924" s="2">
        <v>44736</v>
      </c>
      <c r="K4924">
        <v>92.5</v>
      </c>
    </row>
    <row r="4925" spans="1:11" x14ac:dyDescent="0.35">
      <c r="A4925" s="2">
        <v>44737</v>
      </c>
      <c r="B4925" s="1">
        <v>0</v>
      </c>
      <c r="C4925" t="s">
        <v>5327</v>
      </c>
      <c r="D4925" t="s">
        <v>5179</v>
      </c>
      <c r="E4925" t="s">
        <v>5046</v>
      </c>
      <c r="F4925" t="s">
        <v>5168</v>
      </c>
      <c r="G4925" t="s">
        <v>5361</v>
      </c>
      <c r="H4925" t="s">
        <v>2567</v>
      </c>
      <c r="J4925" s="2">
        <v>44737</v>
      </c>
      <c r="K4925">
        <v>90</v>
      </c>
    </row>
    <row r="4926" spans="1:11" x14ac:dyDescent="0.35">
      <c r="A4926" s="2">
        <v>44738</v>
      </c>
      <c r="B4926" s="1">
        <v>0</v>
      </c>
      <c r="C4926" t="s">
        <v>5549</v>
      </c>
      <c r="D4926" t="s">
        <v>5054</v>
      </c>
      <c r="E4926" t="s">
        <v>5046</v>
      </c>
      <c r="F4926" t="s">
        <v>5168</v>
      </c>
      <c r="G4926" t="s">
        <v>5349</v>
      </c>
      <c r="H4926" t="s">
        <v>464</v>
      </c>
      <c r="J4926" s="2">
        <v>44738</v>
      </c>
      <c r="K4926">
        <v>87.7</v>
      </c>
    </row>
    <row r="4927" spans="1:11" x14ac:dyDescent="0.35">
      <c r="A4927" s="2">
        <v>44739</v>
      </c>
      <c r="B4927" s="1">
        <v>0</v>
      </c>
      <c r="C4927" t="s">
        <v>5336</v>
      </c>
      <c r="D4927" t="s">
        <v>5240</v>
      </c>
      <c r="E4927" t="s">
        <v>5046</v>
      </c>
      <c r="F4927" t="s">
        <v>5168</v>
      </c>
      <c r="G4927" t="s">
        <v>5349</v>
      </c>
      <c r="H4927" t="s">
        <v>366</v>
      </c>
      <c r="J4927" s="2">
        <v>44739</v>
      </c>
      <c r="K4927">
        <v>86.3</v>
      </c>
    </row>
    <row r="4928" spans="1:11" x14ac:dyDescent="0.35">
      <c r="A4928" s="2">
        <v>44740</v>
      </c>
      <c r="B4928" s="1">
        <v>0</v>
      </c>
      <c r="C4928" t="s">
        <v>5331</v>
      </c>
      <c r="D4928" t="s">
        <v>5050</v>
      </c>
      <c r="E4928" t="s">
        <v>5046</v>
      </c>
      <c r="F4928" t="s">
        <v>5168</v>
      </c>
      <c r="G4928" t="s">
        <v>5353</v>
      </c>
      <c r="H4928" t="s">
        <v>326</v>
      </c>
      <c r="J4928" s="2">
        <v>44740</v>
      </c>
      <c r="K4928">
        <v>85.5</v>
      </c>
    </row>
    <row r="4929" spans="1:11" x14ac:dyDescent="0.35">
      <c r="A4929" s="2">
        <v>44741</v>
      </c>
      <c r="B4929" s="1">
        <v>0</v>
      </c>
      <c r="C4929" t="s">
        <v>5155</v>
      </c>
      <c r="D4929" t="s">
        <v>5050</v>
      </c>
      <c r="E4929" t="s">
        <v>5046</v>
      </c>
      <c r="F4929" t="s">
        <v>5168</v>
      </c>
      <c r="G4929" t="s">
        <v>5353</v>
      </c>
      <c r="H4929" t="s">
        <v>330</v>
      </c>
      <c r="J4929" s="2">
        <v>44741</v>
      </c>
      <c r="K4929">
        <v>85</v>
      </c>
    </row>
    <row r="4930" spans="1:11" x14ac:dyDescent="0.35">
      <c r="A4930" s="2">
        <v>44742</v>
      </c>
      <c r="B4930" s="1">
        <v>0</v>
      </c>
      <c r="C4930" t="s">
        <v>5166</v>
      </c>
      <c r="D4930" t="s">
        <v>5046</v>
      </c>
      <c r="E4930" t="s">
        <v>5046</v>
      </c>
      <c r="F4930" t="s">
        <v>5168</v>
      </c>
      <c r="G4930" t="s">
        <v>5353</v>
      </c>
      <c r="H4930" t="s">
        <v>466</v>
      </c>
      <c r="J4930" s="2">
        <v>44742</v>
      </c>
      <c r="K4930">
        <v>84.5</v>
      </c>
    </row>
    <row r="4931" spans="1:11" x14ac:dyDescent="0.35">
      <c r="A4931" t="s">
        <v>4871</v>
      </c>
      <c r="B4931" s="1">
        <v>0</v>
      </c>
      <c r="C4931" t="s">
        <v>5501</v>
      </c>
      <c r="D4931" t="s">
        <v>5046</v>
      </c>
      <c r="E4931" t="s">
        <v>5046</v>
      </c>
      <c r="F4931" t="s">
        <v>5168</v>
      </c>
      <c r="G4931" t="s">
        <v>5353</v>
      </c>
      <c r="H4931" t="s">
        <v>1527</v>
      </c>
      <c r="J4931" t="s">
        <v>4871</v>
      </c>
      <c r="K4931">
        <v>84.1</v>
      </c>
    </row>
    <row r="4932" spans="1:11" x14ac:dyDescent="0.35">
      <c r="A4932" t="s">
        <v>4872</v>
      </c>
      <c r="B4932" s="1">
        <v>0</v>
      </c>
      <c r="C4932" t="s">
        <v>5432</v>
      </c>
      <c r="D4932" t="s">
        <v>5357</v>
      </c>
      <c r="E4932" t="s">
        <v>5409</v>
      </c>
      <c r="F4932" t="s">
        <v>5364</v>
      </c>
      <c r="G4932" t="s">
        <v>5375</v>
      </c>
      <c r="H4932" t="s">
        <v>5580</v>
      </c>
      <c r="J4932" t="s">
        <v>4872</v>
      </c>
      <c r="K4932">
        <v>60.7</v>
      </c>
    </row>
    <row r="4933" spans="1:11" x14ac:dyDescent="0.35">
      <c r="A4933" t="s">
        <v>4873</v>
      </c>
      <c r="B4933" s="1">
        <v>0</v>
      </c>
      <c r="C4933" t="s">
        <v>5411</v>
      </c>
      <c r="D4933" t="s">
        <v>5357</v>
      </c>
      <c r="E4933" t="s">
        <v>5409</v>
      </c>
      <c r="F4933" t="s">
        <v>5364</v>
      </c>
      <c r="G4933" t="s">
        <v>5375</v>
      </c>
      <c r="H4933" t="s">
        <v>5134</v>
      </c>
      <c r="J4933" t="s">
        <v>4873</v>
      </c>
      <c r="K4933">
        <v>60.5</v>
      </c>
    </row>
    <row r="4934" spans="1:11" x14ac:dyDescent="0.35">
      <c r="A4934" t="s">
        <v>4874</v>
      </c>
      <c r="B4934" s="1">
        <v>0</v>
      </c>
      <c r="C4934" t="s">
        <v>5337</v>
      </c>
      <c r="D4934" t="s">
        <v>5357</v>
      </c>
      <c r="E4934" t="s">
        <v>5409</v>
      </c>
      <c r="F4934" t="s">
        <v>5364</v>
      </c>
      <c r="G4934" t="s">
        <v>5375</v>
      </c>
      <c r="H4934" t="s">
        <v>5130</v>
      </c>
      <c r="J4934" t="s">
        <v>4874</v>
      </c>
      <c r="K4934">
        <v>60.3</v>
      </c>
    </row>
    <row r="4935" spans="1:11" x14ac:dyDescent="0.35">
      <c r="A4935" t="s">
        <v>4875</v>
      </c>
      <c r="B4935" s="1">
        <v>0</v>
      </c>
      <c r="C4935" t="s">
        <v>5339</v>
      </c>
      <c r="D4935" t="s">
        <v>5357</v>
      </c>
      <c r="E4935" t="s">
        <v>5409</v>
      </c>
      <c r="F4935" t="s">
        <v>5364</v>
      </c>
      <c r="G4935" t="s">
        <v>5375</v>
      </c>
      <c r="H4935" t="s">
        <v>5616</v>
      </c>
      <c r="J4935" t="s">
        <v>4875</v>
      </c>
      <c r="K4935">
        <v>60.2</v>
      </c>
    </row>
    <row r="4936" spans="1:11" x14ac:dyDescent="0.35">
      <c r="A4936" t="s">
        <v>4876</v>
      </c>
      <c r="B4936" s="1">
        <v>0</v>
      </c>
      <c r="C4936" t="s">
        <v>5156</v>
      </c>
      <c r="D4936" t="s">
        <v>5357</v>
      </c>
      <c r="E4936" t="s">
        <v>5409</v>
      </c>
      <c r="F4936" t="s">
        <v>5364</v>
      </c>
      <c r="G4936" t="s">
        <v>5375</v>
      </c>
      <c r="H4936" t="s">
        <v>5490</v>
      </c>
      <c r="J4936" t="s">
        <v>4876</v>
      </c>
      <c r="K4936">
        <v>60.1</v>
      </c>
    </row>
    <row r="4937" spans="1:11" x14ac:dyDescent="0.35">
      <c r="A4937" t="s">
        <v>4877</v>
      </c>
      <c r="B4937" s="1">
        <v>0</v>
      </c>
      <c r="C4937" t="s">
        <v>5156</v>
      </c>
      <c r="D4937" t="s">
        <v>5357</v>
      </c>
      <c r="E4937" t="s">
        <v>5409</v>
      </c>
      <c r="F4937" t="s">
        <v>5364</v>
      </c>
      <c r="G4937" t="s">
        <v>5375</v>
      </c>
      <c r="H4937" t="s">
        <v>5490</v>
      </c>
      <c r="J4937" t="s">
        <v>4877</v>
      </c>
      <c r="K4937">
        <v>60.1</v>
      </c>
    </row>
    <row r="4938" spans="1:11" x14ac:dyDescent="0.35">
      <c r="A4938" t="s">
        <v>4878</v>
      </c>
      <c r="B4938" s="1">
        <v>0</v>
      </c>
      <c r="C4938" t="s">
        <v>5168</v>
      </c>
      <c r="D4938" t="s">
        <v>5357</v>
      </c>
      <c r="E4938" t="s">
        <v>5409</v>
      </c>
      <c r="F4938" t="s">
        <v>5364</v>
      </c>
      <c r="G4938" t="s">
        <v>5375</v>
      </c>
      <c r="H4938" t="s">
        <v>5510</v>
      </c>
      <c r="J4938" t="s">
        <v>4878</v>
      </c>
      <c r="K4938">
        <v>60</v>
      </c>
    </row>
    <row r="4939" spans="1:11" x14ac:dyDescent="0.35">
      <c r="A4939" t="s">
        <v>4879</v>
      </c>
      <c r="B4939" s="1">
        <v>0</v>
      </c>
      <c r="C4939" t="s">
        <v>5168</v>
      </c>
      <c r="D4939" t="s">
        <v>5357</v>
      </c>
      <c r="E4939" t="s">
        <v>5409</v>
      </c>
      <c r="F4939" t="s">
        <v>5364</v>
      </c>
      <c r="G4939" t="s">
        <v>5375</v>
      </c>
      <c r="H4939" t="s">
        <v>5510</v>
      </c>
      <c r="J4939" t="s">
        <v>4879</v>
      </c>
      <c r="K4939">
        <v>60</v>
      </c>
    </row>
    <row r="4940" spans="1:11" x14ac:dyDescent="0.35">
      <c r="A4940" t="s">
        <v>4880</v>
      </c>
      <c r="B4940" s="1">
        <v>0</v>
      </c>
      <c r="C4940" t="s">
        <v>5168</v>
      </c>
      <c r="D4940" t="s">
        <v>5357</v>
      </c>
      <c r="E4940" t="s">
        <v>5409</v>
      </c>
      <c r="F4940" t="s">
        <v>5364</v>
      </c>
      <c r="G4940" t="s">
        <v>5375</v>
      </c>
      <c r="H4940" t="s">
        <v>5510</v>
      </c>
      <c r="J4940" t="s">
        <v>4880</v>
      </c>
      <c r="K4940">
        <v>60</v>
      </c>
    </row>
    <row r="4941" spans="1:11" x14ac:dyDescent="0.35">
      <c r="A4941" t="s">
        <v>4881</v>
      </c>
      <c r="B4941" s="1">
        <v>0</v>
      </c>
      <c r="C4941" t="s">
        <v>5168</v>
      </c>
      <c r="D4941" t="s">
        <v>5357</v>
      </c>
      <c r="E4941" t="s">
        <v>5409</v>
      </c>
      <c r="F4941" t="s">
        <v>5364</v>
      </c>
      <c r="G4941" t="s">
        <v>5375</v>
      </c>
      <c r="H4941" t="s">
        <v>5510</v>
      </c>
      <c r="J4941" t="s">
        <v>4881</v>
      </c>
      <c r="K4941">
        <v>60</v>
      </c>
    </row>
    <row r="4942" spans="1:11" x14ac:dyDescent="0.35">
      <c r="A4942" t="s">
        <v>4882</v>
      </c>
      <c r="B4942" s="1">
        <v>0</v>
      </c>
      <c r="C4942" t="s">
        <v>5168</v>
      </c>
      <c r="D4942" t="s">
        <v>5357</v>
      </c>
      <c r="E4942" t="s">
        <v>5409</v>
      </c>
      <c r="F4942" t="s">
        <v>5364</v>
      </c>
      <c r="G4942" t="s">
        <v>5375</v>
      </c>
      <c r="H4942" t="s">
        <v>5510</v>
      </c>
      <c r="J4942" t="s">
        <v>4882</v>
      </c>
      <c r="K4942">
        <v>60</v>
      </c>
    </row>
    <row r="4943" spans="1:11" x14ac:dyDescent="0.35">
      <c r="A4943" t="s">
        <v>4883</v>
      </c>
      <c r="B4943" s="1">
        <v>0</v>
      </c>
      <c r="C4943" t="s">
        <v>5168</v>
      </c>
      <c r="D4943" t="s">
        <v>5357</v>
      </c>
      <c r="E4943" t="s">
        <v>5409</v>
      </c>
      <c r="F4943" t="s">
        <v>5364</v>
      </c>
      <c r="G4943" t="s">
        <v>5375</v>
      </c>
      <c r="H4943" t="s">
        <v>5510</v>
      </c>
      <c r="J4943" t="s">
        <v>4883</v>
      </c>
      <c r="K4943">
        <v>60</v>
      </c>
    </row>
    <row r="4944" spans="1:11" x14ac:dyDescent="0.35">
      <c r="A4944" t="s">
        <v>4884</v>
      </c>
      <c r="B4944" s="1">
        <v>0</v>
      </c>
      <c r="C4944" t="s">
        <v>5168</v>
      </c>
      <c r="D4944" t="s">
        <v>5357</v>
      </c>
      <c r="E4944" t="s">
        <v>5409</v>
      </c>
      <c r="F4944" t="s">
        <v>5364</v>
      </c>
      <c r="G4944" t="s">
        <v>5375</v>
      </c>
      <c r="H4944" t="s">
        <v>5510</v>
      </c>
      <c r="J4944" t="s">
        <v>4884</v>
      </c>
      <c r="K4944">
        <v>60</v>
      </c>
    </row>
    <row r="4945" spans="1:11" x14ac:dyDescent="0.35">
      <c r="A4945" t="s">
        <v>4885</v>
      </c>
      <c r="B4945" s="1">
        <v>0</v>
      </c>
      <c r="C4945" t="s">
        <v>5168</v>
      </c>
      <c r="D4945" t="s">
        <v>5357</v>
      </c>
      <c r="E4945" t="s">
        <v>5409</v>
      </c>
      <c r="F4945" t="s">
        <v>5364</v>
      </c>
      <c r="G4945" t="s">
        <v>5375</v>
      </c>
      <c r="H4945" t="s">
        <v>5510</v>
      </c>
      <c r="J4945" t="s">
        <v>4885</v>
      </c>
      <c r="K4945">
        <v>60</v>
      </c>
    </row>
    <row r="4946" spans="1:11" x14ac:dyDescent="0.35">
      <c r="A4946" t="s">
        <v>4886</v>
      </c>
      <c r="B4946" s="1">
        <v>0</v>
      </c>
      <c r="C4946" t="s">
        <v>5168</v>
      </c>
      <c r="D4946" t="s">
        <v>5357</v>
      </c>
      <c r="E4946" t="s">
        <v>5409</v>
      </c>
      <c r="F4946" t="s">
        <v>5364</v>
      </c>
      <c r="G4946" t="s">
        <v>5375</v>
      </c>
      <c r="H4946" t="s">
        <v>5510</v>
      </c>
      <c r="J4946" t="s">
        <v>4886</v>
      </c>
      <c r="K4946">
        <v>60</v>
      </c>
    </row>
    <row r="4947" spans="1:11" x14ac:dyDescent="0.35">
      <c r="A4947" t="s">
        <v>4887</v>
      </c>
      <c r="B4947" s="1">
        <v>0</v>
      </c>
      <c r="C4947" t="s">
        <v>5168</v>
      </c>
      <c r="D4947" t="s">
        <v>5357</v>
      </c>
      <c r="E4947" t="s">
        <v>5409</v>
      </c>
      <c r="F4947" t="s">
        <v>5364</v>
      </c>
      <c r="G4947" t="s">
        <v>5375</v>
      </c>
      <c r="H4947" t="s">
        <v>5510</v>
      </c>
      <c r="J4947" t="s">
        <v>4887</v>
      </c>
      <c r="K4947">
        <v>60</v>
      </c>
    </row>
    <row r="4948" spans="1:11" x14ac:dyDescent="0.35">
      <c r="A4948" t="s">
        <v>4888</v>
      </c>
      <c r="B4948" s="1">
        <v>0</v>
      </c>
      <c r="C4948" t="s">
        <v>5168</v>
      </c>
      <c r="D4948" t="s">
        <v>5357</v>
      </c>
      <c r="E4948" t="s">
        <v>5409</v>
      </c>
      <c r="F4948" t="s">
        <v>5364</v>
      </c>
      <c r="G4948" t="s">
        <v>5375</v>
      </c>
      <c r="H4948" t="s">
        <v>5510</v>
      </c>
      <c r="J4948" t="s">
        <v>4888</v>
      </c>
      <c r="K4948">
        <v>60</v>
      </c>
    </row>
    <row r="4949" spans="1:11" x14ac:dyDescent="0.35">
      <c r="A4949" t="s">
        <v>4889</v>
      </c>
      <c r="B4949" s="1">
        <v>0</v>
      </c>
      <c r="C4949" t="s">
        <v>5168</v>
      </c>
      <c r="D4949" t="s">
        <v>5357</v>
      </c>
      <c r="E4949" t="s">
        <v>5409</v>
      </c>
      <c r="F4949" t="s">
        <v>5364</v>
      </c>
      <c r="G4949" t="s">
        <v>5375</v>
      </c>
      <c r="H4949" t="s">
        <v>5510</v>
      </c>
      <c r="J4949" t="s">
        <v>4889</v>
      </c>
      <c r="K4949">
        <v>60</v>
      </c>
    </row>
    <row r="4950" spans="1:11" x14ac:dyDescent="0.35">
      <c r="A4950" t="s">
        <v>4890</v>
      </c>
      <c r="B4950" s="1">
        <v>0</v>
      </c>
      <c r="C4950" t="s">
        <v>5168</v>
      </c>
      <c r="D4950" t="s">
        <v>5357</v>
      </c>
      <c r="E4950" t="s">
        <v>5409</v>
      </c>
      <c r="F4950" t="s">
        <v>5364</v>
      </c>
      <c r="G4950" t="s">
        <v>5375</v>
      </c>
      <c r="H4950" t="s">
        <v>5510</v>
      </c>
      <c r="J4950" t="s">
        <v>4890</v>
      </c>
      <c r="K4950">
        <v>60</v>
      </c>
    </row>
    <row r="4951" spans="1:11" x14ac:dyDescent="0.35">
      <c r="A4951" t="s">
        <v>4891</v>
      </c>
      <c r="B4951" s="1">
        <v>0</v>
      </c>
      <c r="C4951" t="s">
        <v>5339</v>
      </c>
      <c r="D4951" t="s">
        <v>5357</v>
      </c>
      <c r="E4951" t="s">
        <v>5409</v>
      </c>
      <c r="F4951" t="s">
        <v>5364</v>
      </c>
      <c r="G4951" t="s">
        <v>5375</v>
      </c>
      <c r="H4951" t="s">
        <v>5616</v>
      </c>
      <c r="J4951" t="s">
        <v>4891</v>
      </c>
      <c r="K4951">
        <v>60.2</v>
      </c>
    </row>
    <row r="4952" spans="1:11" x14ac:dyDescent="0.35">
      <c r="A4952" t="s">
        <v>4892</v>
      </c>
      <c r="B4952" s="1">
        <v>0</v>
      </c>
      <c r="C4952" t="s">
        <v>5153</v>
      </c>
      <c r="D4952" t="s">
        <v>5357</v>
      </c>
      <c r="E4952" t="s">
        <v>5409</v>
      </c>
      <c r="F4952" t="s">
        <v>5364</v>
      </c>
      <c r="G4952" t="s">
        <v>5375</v>
      </c>
      <c r="H4952" t="s">
        <v>5586</v>
      </c>
      <c r="J4952" t="s">
        <v>4892</v>
      </c>
      <c r="K4952">
        <v>60.6</v>
      </c>
    </row>
    <row r="4953" spans="1:11" x14ac:dyDescent="0.35">
      <c r="A4953" t="s">
        <v>4893</v>
      </c>
      <c r="B4953" s="1">
        <v>0</v>
      </c>
      <c r="C4953" t="s">
        <v>5397</v>
      </c>
      <c r="D4953" t="s">
        <v>5357</v>
      </c>
      <c r="E4953" t="s">
        <v>5409</v>
      </c>
      <c r="F4953" t="s">
        <v>5364</v>
      </c>
      <c r="G4953" t="s">
        <v>5375</v>
      </c>
      <c r="H4953" t="s">
        <v>5455</v>
      </c>
      <c r="J4953" t="s">
        <v>4893</v>
      </c>
      <c r="K4953">
        <v>61</v>
      </c>
    </row>
    <row r="4954" spans="1:11" x14ac:dyDescent="0.35">
      <c r="A4954" t="s">
        <v>4894</v>
      </c>
      <c r="B4954" s="1">
        <v>0</v>
      </c>
      <c r="C4954" t="s">
        <v>5400</v>
      </c>
      <c r="D4954" t="s">
        <v>5357</v>
      </c>
      <c r="E4954" t="s">
        <v>5409</v>
      </c>
      <c r="F4954" t="s">
        <v>5364</v>
      </c>
      <c r="G4954" t="s">
        <v>5375</v>
      </c>
      <c r="H4954" t="s">
        <v>5499</v>
      </c>
      <c r="J4954" t="s">
        <v>4894</v>
      </c>
      <c r="K4954">
        <v>61.1</v>
      </c>
    </row>
    <row r="4955" spans="1:11" x14ac:dyDescent="0.35">
      <c r="A4955" t="s">
        <v>4895</v>
      </c>
      <c r="B4955" s="1">
        <v>0</v>
      </c>
      <c r="C4955" t="s">
        <v>5397</v>
      </c>
      <c r="D4955" t="s">
        <v>5357</v>
      </c>
      <c r="E4955" t="s">
        <v>5409</v>
      </c>
      <c r="F4955" t="s">
        <v>5364</v>
      </c>
      <c r="G4955" t="s">
        <v>5375</v>
      </c>
      <c r="H4955" t="s">
        <v>5455</v>
      </c>
      <c r="J4955" t="s">
        <v>4895</v>
      </c>
      <c r="K4955">
        <v>61</v>
      </c>
    </row>
    <row r="4956" spans="1:11" x14ac:dyDescent="0.35">
      <c r="A4956" t="s">
        <v>4896</v>
      </c>
      <c r="B4956" s="1">
        <v>0</v>
      </c>
      <c r="C4956" t="s">
        <v>5140</v>
      </c>
      <c r="D4956" t="s">
        <v>5357</v>
      </c>
      <c r="E4956" t="s">
        <v>5409</v>
      </c>
      <c r="F4956" t="s">
        <v>5364</v>
      </c>
      <c r="G4956" t="s">
        <v>5375</v>
      </c>
      <c r="H4956" t="s">
        <v>5231</v>
      </c>
      <c r="J4956" t="s">
        <v>4896</v>
      </c>
      <c r="K4956">
        <v>60.8</v>
      </c>
    </row>
    <row r="4957" spans="1:11" x14ac:dyDescent="0.35">
      <c r="A4957" t="s">
        <v>4897</v>
      </c>
      <c r="B4957" s="1">
        <v>0</v>
      </c>
      <c r="C4957" t="s">
        <v>5153</v>
      </c>
      <c r="D4957" t="s">
        <v>5357</v>
      </c>
      <c r="E4957" t="s">
        <v>5409</v>
      </c>
      <c r="F4957" t="s">
        <v>5364</v>
      </c>
      <c r="G4957" t="s">
        <v>5375</v>
      </c>
      <c r="H4957" t="s">
        <v>5586</v>
      </c>
      <c r="J4957" t="s">
        <v>4897</v>
      </c>
      <c r="K4957">
        <v>60.6</v>
      </c>
    </row>
    <row r="4958" spans="1:11" x14ac:dyDescent="0.35">
      <c r="A4958" t="s">
        <v>4898</v>
      </c>
      <c r="B4958" s="1">
        <v>0</v>
      </c>
      <c r="C4958" t="s">
        <v>5411</v>
      </c>
      <c r="D4958" t="s">
        <v>5357</v>
      </c>
      <c r="E4958" t="s">
        <v>5409</v>
      </c>
      <c r="F4958" t="s">
        <v>5364</v>
      </c>
      <c r="G4958" t="s">
        <v>5375</v>
      </c>
      <c r="H4958" t="s">
        <v>5609</v>
      </c>
      <c r="J4958" t="s">
        <v>4898</v>
      </c>
      <c r="K4958">
        <v>60.4</v>
      </c>
    </row>
    <row r="4959" spans="1:11" x14ac:dyDescent="0.35">
      <c r="A4959" t="s">
        <v>4899</v>
      </c>
      <c r="B4959" s="1">
        <v>0</v>
      </c>
      <c r="C4959" t="s">
        <v>5337</v>
      </c>
      <c r="D4959" t="s">
        <v>5357</v>
      </c>
      <c r="E4959" t="s">
        <v>5409</v>
      </c>
      <c r="F4959" t="s">
        <v>5364</v>
      </c>
      <c r="G4959" t="s">
        <v>5375</v>
      </c>
      <c r="H4959" t="s">
        <v>5130</v>
      </c>
      <c r="J4959" t="s">
        <v>4899</v>
      </c>
      <c r="K4959">
        <v>60.3</v>
      </c>
    </row>
    <row r="4960" spans="1:11" x14ac:dyDescent="0.35">
      <c r="A4960" t="s">
        <v>4900</v>
      </c>
      <c r="B4960" s="1">
        <v>0</v>
      </c>
      <c r="C4960" t="s">
        <v>5337</v>
      </c>
      <c r="D4960" t="s">
        <v>5357</v>
      </c>
      <c r="E4960" t="s">
        <v>5409</v>
      </c>
      <c r="F4960" t="s">
        <v>5364</v>
      </c>
      <c r="G4960" t="s">
        <v>5375</v>
      </c>
      <c r="H4960" t="s">
        <v>5130</v>
      </c>
      <c r="J4960" t="s">
        <v>4900</v>
      </c>
      <c r="K4960">
        <v>60.3</v>
      </c>
    </row>
    <row r="4961" spans="1:11" x14ac:dyDescent="0.35">
      <c r="A4961" t="s">
        <v>4901</v>
      </c>
      <c r="B4961" s="1">
        <v>0</v>
      </c>
      <c r="C4961" t="s">
        <v>5294</v>
      </c>
      <c r="D4961" t="s">
        <v>5184</v>
      </c>
      <c r="E4961" t="s">
        <v>5396</v>
      </c>
      <c r="F4961" t="s">
        <v>5364</v>
      </c>
      <c r="G4961" t="s">
        <v>5372</v>
      </c>
      <c r="H4961" t="s">
        <v>5647</v>
      </c>
      <c r="J4961" t="s">
        <v>4901</v>
      </c>
      <c r="K4961">
        <v>62.3</v>
      </c>
    </row>
    <row r="4962" spans="1:11" x14ac:dyDescent="0.35">
      <c r="A4962" s="2">
        <v>44774</v>
      </c>
      <c r="B4962" s="1">
        <v>0</v>
      </c>
      <c r="C4962" t="s">
        <v>5092</v>
      </c>
      <c r="D4962" t="s">
        <v>5156</v>
      </c>
      <c r="E4962" t="s">
        <v>5413</v>
      </c>
      <c r="F4962" t="s">
        <v>5364</v>
      </c>
      <c r="G4962" t="s">
        <v>5371</v>
      </c>
      <c r="H4962" t="s">
        <v>5401</v>
      </c>
      <c r="J4962" s="2">
        <v>44774</v>
      </c>
      <c r="K4962">
        <v>66.8</v>
      </c>
    </row>
    <row r="4963" spans="1:11" x14ac:dyDescent="0.35">
      <c r="A4963" s="2">
        <v>44775</v>
      </c>
      <c r="B4963" s="1">
        <v>0</v>
      </c>
      <c r="C4963" t="s">
        <v>5549</v>
      </c>
      <c r="D4963" t="s">
        <v>5288</v>
      </c>
      <c r="E4963" t="s">
        <v>5168</v>
      </c>
      <c r="F4963" t="s">
        <v>5383</v>
      </c>
      <c r="G4963" t="s">
        <v>5886</v>
      </c>
      <c r="H4963" t="s">
        <v>3494</v>
      </c>
      <c r="J4963" s="2">
        <v>44775</v>
      </c>
      <c r="K4963">
        <v>76.599999999999994</v>
      </c>
    </row>
    <row r="4964" spans="1:11" x14ac:dyDescent="0.35">
      <c r="A4964" s="2">
        <v>44776</v>
      </c>
      <c r="B4964" s="1">
        <v>0</v>
      </c>
      <c r="C4964" t="s">
        <v>5598</v>
      </c>
      <c r="D4964" t="s">
        <v>5224</v>
      </c>
      <c r="E4964" t="s">
        <v>5339</v>
      </c>
      <c r="F4964" t="s">
        <v>5383</v>
      </c>
      <c r="G4964" t="s">
        <v>5886</v>
      </c>
      <c r="H4964" t="s">
        <v>1914</v>
      </c>
      <c r="J4964" s="2">
        <v>44776</v>
      </c>
      <c r="K4964">
        <v>77.7</v>
      </c>
    </row>
    <row r="4965" spans="1:11" x14ac:dyDescent="0.35">
      <c r="A4965" s="2">
        <v>44777</v>
      </c>
      <c r="B4965" s="1">
        <v>0</v>
      </c>
      <c r="C4965" t="s">
        <v>5314</v>
      </c>
      <c r="D4965" t="s">
        <v>5291</v>
      </c>
      <c r="E4965" t="s">
        <v>5156</v>
      </c>
      <c r="F4965" t="s">
        <v>5383</v>
      </c>
      <c r="G4965" t="s">
        <v>5886</v>
      </c>
      <c r="H4965" t="s">
        <v>1883</v>
      </c>
      <c r="J4965" s="2">
        <v>44777</v>
      </c>
      <c r="K4965">
        <v>75.900000000000006</v>
      </c>
    </row>
    <row r="4966" spans="1:11" x14ac:dyDescent="0.35">
      <c r="A4966" s="2">
        <v>44778</v>
      </c>
      <c r="B4966" s="1">
        <v>0</v>
      </c>
      <c r="C4966" t="s">
        <v>5341</v>
      </c>
      <c r="D4966" t="s">
        <v>5315</v>
      </c>
      <c r="E4966" t="s">
        <v>5164</v>
      </c>
      <c r="F4966" t="s">
        <v>5383</v>
      </c>
      <c r="G4966" t="s">
        <v>5879</v>
      </c>
      <c r="H4966" t="s">
        <v>2241</v>
      </c>
      <c r="J4966" s="2">
        <v>44778</v>
      </c>
      <c r="K4966">
        <v>72.8</v>
      </c>
    </row>
    <row r="4967" spans="1:11" x14ac:dyDescent="0.35">
      <c r="A4967" s="2">
        <v>44779</v>
      </c>
      <c r="B4967" s="1">
        <v>0</v>
      </c>
      <c r="C4967" t="s">
        <v>5099</v>
      </c>
      <c r="D4967" t="s">
        <v>5144</v>
      </c>
      <c r="E4967" t="s">
        <v>5177</v>
      </c>
      <c r="F4967" t="s">
        <v>5383</v>
      </c>
      <c r="G4967" t="s">
        <v>5884</v>
      </c>
      <c r="H4967" t="s">
        <v>1005</v>
      </c>
      <c r="J4967" s="2">
        <v>44779</v>
      </c>
      <c r="K4967">
        <v>70</v>
      </c>
    </row>
    <row r="4968" spans="1:11" x14ac:dyDescent="0.35">
      <c r="A4968" s="2">
        <v>44780</v>
      </c>
      <c r="B4968" s="1">
        <v>0</v>
      </c>
      <c r="C4968" t="s">
        <v>5179</v>
      </c>
      <c r="D4968" t="s">
        <v>5153</v>
      </c>
      <c r="E4968" t="s">
        <v>5184</v>
      </c>
      <c r="F4968" t="s">
        <v>5383</v>
      </c>
      <c r="G4968" t="s">
        <v>5885</v>
      </c>
      <c r="H4968" t="s">
        <v>5560</v>
      </c>
      <c r="J4968" s="2">
        <v>44780</v>
      </c>
      <c r="K4968">
        <v>68.400000000000006</v>
      </c>
    </row>
    <row r="4969" spans="1:11" x14ac:dyDescent="0.35">
      <c r="A4969" s="2">
        <v>44781</v>
      </c>
      <c r="B4969" s="1">
        <v>0</v>
      </c>
      <c r="C4969" t="s">
        <v>5174</v>
      </c>
      <c r="D4969" t="s">
        <v>5411</v>
      </c>
      <c r="E4969" t="s">
        <v>5186</v>
      </c>
      <c r="F4969" t="s">
        <v>5383</v>
      </c>
      <c r="G4969" t="s">
        <v>5885</v>
      </c>
      <c r="H4969" t="s">
        <v>377</v>
      </c>
      <c r="J4969" s="2">
        <v>44781</v>
      </c>
      <c r="K4969">
        <v>67.7</v>
      </c>
    </row>
    <row r="4970" spans="1:11" x14ac:dyDescent="0.35">
      <c r="A4970" s="2">
        <v>44782</v>
      </c>
      <c r="B4970" s="1">
        <v>0</v>
      </c>
      <c r="C4970" t="s">
        <v>5230</v>
      </c>
      <c r="D4970" t="s">
        <v>5337</v>
      </c>
      <c r="E4970" t="s">
        <v>5186</v>
      </c>
      <c r="F4970" t="s">
        <v>5383</v>
      </c>
      <c r="G4970" t="s">
        <v>5885</v>
      </c>
      <c r="H4970" t="s">
        <v>383</v>
      </c>
      <c r="J4970" s="2">
        <v>44782</v>
      </c>
      <c r="K4970">
        <v>67.3</v>
      </c>
    </row>
    <row r="4971" spans="1:11" x14ac:dyDescent="0.35">
      <c r="A4971" s="2">
        <v>44783</v>
      </c>
      <c r="B4971" s="1">
        <v>0</v>
      </c>
      <c r="C4971" t="s">
        <v>5050</v>
      </c>
      <c r="D4971" t="s">
        <v>5339</v>
      </c>
      <c r="E4971" t="s">
        <v>5189</v>
      </c>
      <c r="F4971" t="s">
        <v>5383</v>
      </c>
      <c r="G4971" t="s">
        <v>5885</v>
      </c>
      <c r="H4971" t="s">
        <v>5263</v>
      </c>
      <c r="J4971" s="2">
        <v>44783</v>
      </c>
      <c r="K4971">
        <v>67.400000000000006</v>
      </c>
    </row>
    <row r="4972" spans="1:11" x14ac:dyDescent="0.35">
      <c r="A4972" s="2">
        <v>44784</v>
      </c>
      <c r="B4972" s="1">
        <v>0</v>
      </c>
      <c r="C4972" t="s">
        <v>5183</v>
      </c>
      <c r="D4972" t="s">
        <v>5156</v>
      </c>
      <c r="E4972" t="s">
        <v>5189</v>
      </c>
      <c r="F4972" t="s">
        <v>5383</v>
      </c>
      <c r="G4972" t="s">
        <v>5885</v>
      </c>
      <c r="H4972" t="s">
        <v>5261</v>
      </c>
      <c r="J4972" s="2">
        <v>44784</v>
      </c>
      <c r="K4972">
        <v>68.3</v>
      </c>
    </row>
    <row r="4973" spans="1:11" x14ac:dyDescent="0.35">
      <c r="A4973" s="2">
        <v>44785</v>
      </c>
      <c r="B4973" s="1">
        <v>0</v>
      </c>
      <c r="C4973" t="s">
        <v>5358</v>
      </c>
      <c r="D4973" t="s">
        <v>5156</v>
      </c>
      <c r="E4973" t="s">
        <v>5357</v>
      </c>
      <c r="F4973" t="s">
        <v>5383</v>
      </c>
      <c r="G4973" t="s">
        <v>5885</v>
      </c>
      <c r="H4973" t="s">
        <v>5406</v>
      </c>
      <c r="J4973" s="2">
        <v>44785</v>
      </c>
      <c r="K4973">
        <v>69.5</v>
      </c>
    </row>
    <row r="4974" spans="1:11" x14ac:dyDescent="0.35">
      <c r="A4974" s="2">
        <v>44786</v>
      </c>
      <c r="B4974" s="1">
        <v>0</v>
      </c>
      <c r="C4974" t="s">
        <v>5136</v>
      </c>
      <c r="D4974" t="s">
        <v>5168</v>
      </c>
      <c r="E4974" t="s">
        <v>5189</v>
      </c>
      <c r="F4974" t="s">
        <v>5383</v>
      </c>
      <c r="G4974" t="s">
        <v>5885</v>
      </c>
      <c r="H4974" t="s">
        <v>996</v>
      </c>
      <c r="J4974" s="2">
        <v>44786</v>
      </c>
      <c r="K4974">
        <v>69.8</v>
      </c>
    </row>
    <row r="4975" spans="1:11" x14ac:dyDescent="0.35">
      <c r="A4975" s="2">
        <v>44787</v>
      </c>
      <c r="B4975" s="1">
        <v>0</v>
      </c>
      <c r="C4975" t="s">
        <v>5045</v>
      </c>
      <c r="D4975" t="s">
        <v>5337</v>
      </c>
      <c r="E4975" t="s">
        <v>5195</v>
      </c>
      <c r="F4975" t="s">
        <v>5383</v>
      </c>
      <c r="G4975" t="s">
        <v>5885</v>
      </c>
      <c r="H4975" t="s">
        <v>1003</v>
      </c>
      <c r="J4975" s="2">
        <v>44787</v>
      </c>
      <c r="K4975">
        <v>69.599999999999994</v>
      </c>
    </row>
    <row r="4976" spans="1:11" x14ac:dyDescent="0.35">
      <c r="A4976" s="2">
        <v>44788</v>
      </c>
      <c r="B4976" s="1">
        <v>0</v>
      </c>
      <c r="C4976" t="s">
        <v>5215</v>
      </c>
      <c r="D4976" t="s">
        <v>5432</v>
      </c>
      <c r="E4976" t="s">
        <v>5177</v>
      </c>
      <c r="F4976" t="s">
        <v>5383</v>
      </c>
      <c r="G4976" t="s">
        <v>5885</v>
      </c>
      <c r="H4976" t="s">
        <v>993</v>
      </c>
      <c r="J4976" s="2">
        <v>44788</v>
      </c>
      <c r="K4976">
        <v>69.7</v>
      </c>
    </row>
    <row r="4977" spans="1:11" x14ac:dyDescent="0.35">
      <c r="A4977" s="2">
        <v>44789</v>
      </c>
      <c r="B4977" s="1">
        <v>0</v>
      </c>
      <c r="C4977" t="s">
        <v>5078</v>
      </c>
      <c r="D4977" t="s">
        <v>5315</v>
      </c>
      <c r="E4977" t="s">
        <v>5168</v>
      </c>
      <c r="F4977" t="s">
        <v>5383</v>
      </c>
      <c r="G4977" t="s">
        <v>5884</v>
      </c>
      <c r="H4977" t="s">
        <v>427</v>
      </c>
      <c r="J4977" s="2">
        <v>44789</v>
      </c>
      <c r="K4977">
        <v>70.7</v>
      </c>
    </row>
    <row r="4978" spans="1:11" x14ac:dyDescent="0.35">
      <c r="A4978" s="2">
        <v>44790</v>
      </c>
      <c r="B4978" s="1">
        <v>0</v>
      </c>
      <c r="C4978" t="s">
        <v>5355</v>
      </c>
      <c r="D4978" t="s">
        <v>5312</v>
      </c>
      <c r="E4978" t="s">
        <v>5156</v>
      </c>
      <c r="F4978" t="s">
        <v>5383</v>
      </c>
      <c r="G4978" t="s">
        <v>5886</v>
      </c>
      <c r="H4978" t="s">
        <v>399</v>
      </c>
      <c r="J4978" s="2">
        <v>44790</v>
      </c>
      <c r="K4978">
        <v>73.099999999999994</v>
      </c>
    </row>
    <row r="4979" spans="1:11" x14ac:dyDescent="0.35">
      <c r="A4979" s="2">
        <v>44791</v>
      </c>
      <c r="B4979" s="1">
        <v>0</v>
      </c>
      <c r="C4979" t="s">
        <v>5351</v>
      </c>
      <c r="D4979" t="s">
        <v>5294</v>
      </c>
      <c r="E4979" t="s">
        <v>5168</v>
      </c>
      <c r="F4979" t="s">
        <v>5383</v>
      </c>
      <c r="G4979" t="s">
        <v>5887</v>
      </c>
      <c r="H4979" t="s">
        <v>1018</v>
      </c>
      <c r="J4979" s="2">
        <v>44791</v>
      </c>
      <c r="K4979">
        <v>76.099999999999994</v>
      </c>
    </row>
    <row r="4980" spans="1:11" x14ac:dyDescent="0.35">
      <c r="A4980" s="2">
        <v>44792</v>
      </c>
      <c r="B4980" s="1">
        <v>0</v>
      </c>
      <c r="C4980" t="s">
        <v>5317</v>
      </c>
      <c r="D4980" t="s">
        <v>5294</v>
      </c>
      <c r="E4980" t="s">
        <v>5164</v>
      </c>
      <c r="F4980" t="s">
        <v>5383</v>
      </c>
      <c r="G4980" t="s">
        <v>5364</v>
      </c>
      <c r="H4980" t="s">
        <v>1057</v>
      </c>
      <c r="J4980" s="2">
        <v>44792</v>
      </c>
      <c r="K4980">
        <v>78.099999999999994</v>
      </c>
    </row>
    <row r="4981" spans="1:11" x14ac:dyDescent="0.35">
      <c r="A4981" s="2">
        <v>44793</v>
      </c>
      <c r="B4981" s="1">
        <v>0</v>
      </c>
      <c r="C4981" t="s">
        <v>5302</v>
      </c>
      <c r="D4981" t="s">
        <v>5291</v>
      </c>
      <c r="E4981" t="s">
        <v>5168</v>
      </c>
      <c r="F4981" t="s">
        <v>5383</v>
      </c>
      <c r="G4981" t="s">
        <v>5364</v>
      </c>
      <c r="H4981" t="s">
        <v>1043</v>
      </c>
      <c r="J4981" s="2">
        <v>44793</v>
      </c>
      <c r="K4981">
        <v>80.2</v>
      </c>
    </row>
    <row r="4982" spans="1:11" x14ac:dyDescent="0.35">
      <c r="A4982" s="2">
        <v>44794</v>
      </c>
      <c r="B4982" s="1">
        <v>0</v>
      </c>
      <c r="C4982" t="s">
        <v>5286</v>
      </c>
      <c r="D4982" t="s">
        <v>5054</v>
      </c>
      <c r="E4982" t="s">
        <v>5432</v>
      </c>
      <c r="F4982" t="s">
        <v>5383</v>
      </c>
      <c r="G4982" t="s">
        <v>5363</v>
      </c>
      <c r="H4982" t="s">
        <v>464</v>
      </c>
      <c r="J4982" s="2">
        <v>44794</v>
      </c>
      <c r="K4982">
        <v>87.7</v>
      </c>
    </row>
    <row r="4983" spans="1:11" x14ac:dyDescent="0.35">
      <c r="A4983" s="2">
        <v>44795</v>
      </c>
      <c r="B4983" s="1">
        <v>0</v>
      </c>
      <c r="C4983" t="s">
        <v>5439</v>
      </c>
      <c r="D4983" t="s">
        <v>5355</v>
      </c>
      <c r="E4983" t="s">
        <v>5288</v>
      </c>
      <c r="F4983" t="s">
        <v>5379</v>
      </c>
      <c r="G4983" t="s">
        <v>5388</v>
      </c>
      <c r="H4983" t="s">
        <v>3217</v>
      </c>
      <c r="J4983" s="2">
        <v>44795</v>
      </c>
      <c r="K4983">
        <v>102</v>
      </c>
    </row>
    <row r="4984" spans="1:11" x14ac:dyDescent="0.35">
      <c r="A4984" s="2">
        <v>44796</v>
      </c>
      <c r="B4984" s="1">
        <v>0</v>
      </c>
      <c r="C4984" t="s">
        <v>5393</v>
      </c>
      <c r="D4984" t="s">
        <v>5199</v>
      </c>
      <c r="E4984" t="s">
        <v>5046</v>
      </c>
      <c r="F4984" t="s">
        <v>5379</v>
      </c>
      <c r="G4984" t="s">
        <v>5381</v>
      </c>
      <c r="H4984" t="s">
        <v>965</v>
      </c>
      <c r="J4984" s="2">
        <v>44796</v>
      </c>
      <c r="K4984">
        <v>114.2</v>
      </c>
    </row>
    <row r="4985" spans="1:11" x14ac:dyDescent="0.35">
      <c r="A4985" s="2">
        <v>44797</v>
      </c>
      <c r="B4985" s="1">
        <v>0</v>
      </c>
      <c r="C4985" t="s">
        <v>5553</v>
      </c>
      <c r="D4985" t="s">
        <v>5149</v>
      </c>
      <c r="E4985" t="s">
        <v>5046</v>
      </c>
      <c r="F4985" t="s">
        <v>5379</v>
      </c>
      <c r="G4985" t="s">
        <v>5385</v>
      </c>
      <c r="H4985" t="s">
        <v>14</v>
      </c>
      <c r="J4985" s="2">
        <v>44797</v>
      </c>
      <c r="K4985">
        <v>117.3</v>
      </c>
    </row>
    <row r="4986" spans="1:11" x14ac:dyDescent="0.35">
      <c r="A4986" s="2">
        <v>44798</v>
      </c>
      <c r="B4986" s="1">
        <v>0</v>
      </c>
      <c r="C4986" t="s">
        <v>5250</v>
      </c>
      <c r="D4986" t="s">
        <v>5155</v>
      </c>
      <c r="E4986" t="s">
        <v>5321</v>
      </c>
      <c r="F4986" t="s">
        <v>5379</v>
      </c>
      <c r="G4986" t="s">
        <v>5380</v>
      </c>
      <c r="H4986" t="s">
        <v>2876</v>
      </c>
      <c r="J4986" s="2">
        <v>44798</v>
      </c>
      <c r="K4986">
        <v>109.8</v>
      </c>
    </row>
    <row r="4987" spans="1:11" x14ac:dyDescent="0.35">
      <c r="A4987" s="2">
        <v>44799</v>
      </c>
      <c r="B4987" s="1">
        <v>0</v>
      </c>
      <c r="C4987" t="s">
        <v>5100</v>
      </c>
      <c r="D4987" t="s">
        <v>5132</v>
      </c>
      <c r="E4987" t="s">
        <v>5312</v>
      </c>
      <c r="F4987" t="s">
        <v>5379</v>
      </c>
      <c r="G4987" t="s">
        <v>5376</v>
      </c>
      <c r="H4987" t="s">
        <v>2882</v>
      </c>
      <c r="J4987" s="2">
        <v>44799</v>
      </c>
      <c r="K4987">
        <v>98.8</v>
      </c>
    </row>
    <row r="4988" spans="1:11" x14ac:dyDescent="0.35">
      <c r="A4988" s="2">
        <v>44800</v>
      </c>
      <c r="B4988" s="1">
        <v>0</v>
      </c>
      <c r="C4988" t="s">
        <v>5428</v>
      </c>
      <c r="D4988" t="s">
        <v>5092</v>
      </c>
      <c r="E4988" t="s">
        <v>5342</v>
      </c>
      <c r="F4988" t="s">
        <v>5383</v>
      </c>
      <c r="G4988" t="s">
        <v>5362</v>
      </c>
      <c r="H4988" t="s">
        <v>980</v>
      </c>
      <c r="J4988" s="2">
        <v>44800</v>
      </c>
      <c r="K4988">
        <v>90.6</v>
      </c>
    </row>
    <row r="4989" spans="1:11" x14ac:dyDescent="0.35">
      <c r="A4989" s="2">
        <v>44801</v>
      </c>
      <c r="B4989" s="1">
        <v>0</v>
      </c>
      <c r="C4989" t="s">
        <v>5295</v>
      </c>
      <c r="D4989" t="s">
        <v>5136</v>
      </c>
      <c r="E4989" t="s">
        <v>5312</v>
      </c>
      <c r="F4989" t="s">
        <v>5383</v>
      </c>
      <c r="G4989" t="s">
        <v>5367</v>
      </c>
      <c r="H4989" t="s">
        <v>1471</v>
      </c>
      <c r="J4989" s="2">
        <v>44801</v>
      </c>
      <c r="K4989">
        <v>88.5</v>
      </c>
    </row>
    <row r="4990" spans="1:11" x14ac:dyDescent="0.35">
      <c r="A4990" s="2">
        <v>44802</v>
      </c>
      <c r="B4990" s="1">
        <v>0</v>
      </c>
      <c r="C4990" t="s">
        <v>5219</v>
      </c>
      <c r="D4990" t="s">
        <v>5152</v>
      </c>
      <c r="E4990" t="s">
        <v>5224</v>
      </c>
      <c r="F4990" t="s">
        <v>5383</v>
      </c>
      <c r="G4990" t="s">
        <v>5369</v>
      </c>
      <c r="H4990" t="s">
        <v>1473</v>
      </c>
      <c r="J4990" s="2">
        <v>44802</v>
      </c>
      <c r="K4990">
        <v>95.5</v>
      </c>
    </row>
    <row r="4991" spans="1:11" x14ac:dyDescent="0.35">
      <c r="A4991" s="2">
        <v>44803</v>
      </c>
      <c r="B4991" s="1">
        <v>0</v>
      </c>
      <c r="C4991" t="s">
        <v>5133</v>
      </c>
      <c r="D4991" t="s">
        <v>5196</v>
      </c>
      <c r="E4991" t="s">
        <v>5050</v>
      </c>
      <c r="F4991" t="s">
        <v>5379</v>
      </c>
      <c r="G4991" t="s">
        <v>5386</v>
      </c>
      <c r="H4991" t="s">
        <v>2611</v>
      </c>
      <c r="J4991" s="2">
        <v>44803</v>
      </c>
      <c r="K4991">
        <v>110.1</v>
      </c>
    </row>
    <row r="4992" spans="1:11" x14ac:dyDescent="0.35">
      <c r="A4992" s="2">
        <v>44804</v>
      </c>
      <c r="B4992" s="1">
        <v>0</v>
      </c>
      <c r="C4992" t="s">
        <v>5582</v>
      </c>
      <c r="D4992" t="s">
        <v>5290</v>
      </c>
      <c r="E4992" t="s">
        <v>5065</v>
      </c>
      <c r="F4992" t="s">
        <v>5379</v>
      </c>
      <c r="G4992" t="s">
        <v>5385</v>
      </c>
      <c r="H4992" t="s">
        <v>1861</v>
      </c>
      <c r="J4992" s="2">
        <v>44804</v>
      </c>
      <c r="K4992">
        <v>122.1</v>
      </c>
    </row>
    <row r="4993" spans="1:11" x14ac:dyDescent="0.35">
      <c r="A4993" t="s">
        <v>4906</v>
      </c>
      <c r="B4993" s="1">
        <v>0</v>
      </c>
      <c r="C4993" t="s">
        <v>5496</v>
      </c>
      <c r="D4993" t="s">
        <v>5307</v>
      </c>
      <c r="E4993" t="s">
        <v>5475</v>
      </c>
      <c r="F4993" t="s">
        <v>5379</v>
      </c>
      <c r="G4993" t="s">
        <v>5382</v>
      </c>
      <c r="H4993" t="s">
        <v>1573</v>
      </c>
      <c r="J4993" t="s">
        <v>4906</v>
      </c>
      <c r="K4993">
        <v>124.8</v>
      </c>
    </row>
    <row r="4994" spans="1:11" x14ac:dyDescent="0.35">
      <c r="A4994" t="s">
        <v>4907</v>
      </c>
      <c r="B4994" s="1">
        <v>0</v>
      </c>
      <c r="C4994" t="s">
        <v>372</v>
      </c>
      <c r="D4994" t="s">
        <v>5283</v>
      </c>
      <c r="E4994" t="s">
        <v>5143</v>
      </c>
      <c r="F4994" t="s">
        <v>5156</v>
      </c>
      <c r="G4994" t="s">
        <v>5180</v>
      </c>
      <c r="H4994" t="s">
        <v>145</v>
      </c>
      <c r="J4994" t="s">
        <v>4907</v>
      </c>
      <c r="K4994">
        <v>152.19999999999999</v>
      </c>
    </row>
    <row r="4995" spans="1:11" x14ac:dyDescent="0.35">
      <c r="A4995" t="s">
        <v>4908</v>
      </c>
      <c r="B4995" s="1">
        <v>0</v>
      </c>
      <c r="C4995" t="s">
        <v>5488</v>
      </c>
      <c r="D4995" t="s">
        <v>5295</v>
      </c>
      <c r="E4995" t="s">
        <v>5047</v>
      </c>
      <c r="F4995" t="s">
        <v>5156</v>
      </c>
      <c r="G4995" t="s">
        <v>5184</v>
      </c>
      <c r="H4995" t="s">
        <v>289</v>
      </c>
      <c r="J4995" t="s">
        <v>4908</v>
      </c>
      <c r="K4995">
        <v>151.69999999999999</v>
      </c>
    </row>
    <row r="4996" spans="1:11" x14ac:dyDescent="0.35">
      <c r="A4996" t="s">
        <v>4909</v>
      </c>
      <c r="B4996" s="1">
        <v>0</v>
      </c>
      <c r="C4996" t="s">
        <v>5502</v>
      </c>
      <c r="D4996" t="s">
        <v>5292</v>
      </c>
      <c r="E4996" t="s">
        <v>5429</v>
      </c>
      <c r="F4996" t="s">
        <v>5156</v>
      </c>
      <c r="G4996" t="s">
        <v>5189</v>
      </c>
      <c r="H4996" t="s">
        <v>295</v>
      </c>
      <c r="J4996" t="s">
        <v>4909</v>
      </c>
      <c r="K4996">
        <v>145.6</v>
      </c>
    </row>
    <row r="4997" spans="1:11" x14ac:dyDescent="0.35">
      <c r="A4997" t="s">
        <v>4910</v>
      </c>
      <c r="B4997" s="1">
        <v>0</v>
      </c>
      <c r="C4997" t="s">
        <v>5507</v>
      </c>
      <c r="D4997" t="s">
        <v>5044</v>
      </c>
      <c r="E4997" t="s">
        <v>5147</v>
      </c>
      <c r="F4997" t="s">
        <v>5156</v>
      </c>
      <c r="G4997" t="s">
        <v>5357</v>
      </c>
      <c r="H4997" t="s">
        <v>5657</v>
      </c>
      <c r="J4997" t="s">
        <v>4910</v>
      </c>
      <c r="K4997">
        <v>138.80000000000001</v>
      </c>
    </row>
    <row r="4998" spans="1:11" x14ac:dyDescent="0.35">
      <c r="A4998" t="s">
        <v>4911</v>
      </c>
      <c r="B4998" s="1">
        <v>0</v>
      </c>
      <c r="C4998" t="s">
        <v>5573</v>
      </c>
      <c r="D4998" t="s">
        <v>5139</v>
      </c>
      <c r="E4998" t="s">
        <v>5314</v>
      </c>
      <c r="F4998" t="s">
        <v>5156</v>
      </c>
      <c r="G4998" t="s">
        <v>5419</v>
      </c>
      <c r="H4998" t="s">
        <v>3122</v>
      </c>
      <c r="J4998" t="s">
        <v>4911</v>
      </c>
      <c r="K4998">
        <v>130.80000000000001</v>
      </c>
    </row>
    <row r="4999" spans="1:11" x14ac:dyDescent="0.35">
      <c r="A4999" t="s">
        <v>4912</v>
      </c>
      <c r="B4999" s="1">
        <v>0</v>
      </c>
      <c r="C4999" t="s">
        <v>5146</v>
      </c>
      <c r="D4999" t="s">
        <v>5293</v>
      </c>
      <c r="E4999" t="s">
        <v>5350</v>
      </c>
      <c r="F4999" t="s">
        <v>5156</v>
      </c>
      <c r="G4999" t="s">
        <v>5399</v>
      </c>
      <c r="H4999" t="s">
        <v>1082</v>
      </c>
      <c r="J4999" t="s">
        <v>4912</v>
      </c>
      <c r="K4999">
        <v>126.3</v>
      </c>
    </row>
    <row r="5000" spans="1:11" x14ac:dyDescent="0.35">
      <c r="A5000" t="s">
        <v>4913</v>
      </c>
      <c r="B5000" s="1">
        <v>0</v>
      </c>
      <c r="C5000" t="s">
        <v>5487</v>
      </c>
      <c r="D5000" t="s">
        <v>5424</v>
      </c>
      <c r="E5000" t="s">
        <v>5316</v>
      </c>
      <c r="F5000" t="s">
        <v>5156</v>
      </c>
      <c r="G5000" t="s">
        <v>5395</v>
      </c>
      <c r="H5000" t="s">
        <v>3556</v>
      </c>
      <c r="J5000" t="s">
        <v>4913</v>
      </c>
      <c r="K5000">
        <v>129.4</v>
      </c>
    </row>
    <row r="5001" spans="1:11" x14ac:dyDescent="0.35">
      <c r="A5001" t="s">
        <v>4914</v>
      </c>
      <c r="B5001" s="1">
        <v>0</v>
      </c>
      <c r="C5001" t="s">
        <v>5537</v>
      </c>
      <c r="D5001" t="s">
        <v>5292</v>
      </c>
      <c r="E5001" t="s">
        <v>5311</v>
      </c>
      <c r="F5001" t="s">
        <v>5156</v>
      </c>
      <c r="G5001" t="s">
        <v>5395</v>
      </c>
      <c r="H5001" t="s">
        <v>2180</v>
      </c>
      <c r="J5001" t="s">
        <v>4914</v>
      </c>
      <c r="K5001">
        <v>135.80000000000001</v>
      </c>
    </row>
    <row r="5002" spans="1:11" x14ac:dyDescent="0.35">
      <c r="A5002" t="s">
        <v>4915</v>
      </c>
      <c r="B5002" s="1">
        <v>0</v>
      </c>
      <c r="C5002" t="s">
        <v>5275</v>
      </c>
      <c r="D5002" t="s">
        <v>5319</v>
      </c>
      <c r="E5002" t="s">
        <v>5551</v>
      </c>
      <c r="F5002" t="s">
        <v>5156</v>
      </c>
      <c r="G5002" t="s">
        <v>5399</v>
      </c>
      <c r="H5002" t="s">
        <v>16</v>
      </c>
      <c r="J5002" t="s">
        <v>4915</v>
      </c>
      <c r="K5002">
        <v>139.6</v>
      </c>
    </row>
    <row r="5003" spans="1:11" x14ac:dyDescent="0.35">
      <c r="A5003" t="s">
        <v>4916</v>
      </c>
      <c r="B5003" s="1">
        <v>0</v>
      </c>
      <c r="C5003" t="s">
        <v>5513</v>
      </c>
      <c r="D5003" t="s">
        <v>5292</v>
      </c>
      <c r="E5003" t="s">
        <v>5311</v>
      </c>
      <c r="F5003" t="s">
        <v>5156</v>
      </c>
      <c r="G5003" t="s">
        <v>5402</v>
      </c>
      <c r="H5003" t="s">
        <v>1417</v>
      </c>
      <c r="J5003" t="s">
        <v>4916</v>
      </c>
      <c r="K5003">
        <v>141.19999999999999</v>
      </c>
    </row>
    <row r="5004" spans="1:11" x14ac:dyDescent="0.35">
      <c r="A5004" t="s">
        <v>4917</v>
      </c>
      <c r="B5004" s="1">
        <v>0</v>
      </c>
      <c r="C5004" t="s">
        <v>5474</v>
      </c>
      <c r="D5004" t="s">
        <v>5048</v>
      </c>
      <c r="E5004" t="s">
        <v>5043</v>
      </c>
      <c r="F5004" t="s">
        <v>5156</v>
      </c>
      <c r="G5004" t="s">
        <v>5419</v>
      </c>
      <c r="H5004" t="s">
        <v>29</v>
      </c>
      <c r="J5004" t="s">
        <v>4917</v>
      </c>
      <c r="K5004">
        <v>140.1</v>
      </c>
    </row>
    <row r="5005" spans="1:11" x14ac:dyDescent="0.35">
      <c r="A5005" t="s">
        <v>4918</v>
      </c>
      <c r="B5005" s="1">
        <v>0</v>
      </c>
      <c r="C5005" t="s">
        <v>5126</v>
      </c>
      <c r="D5005" t="s">
        <v>5327</v>
      </c>
      <c r="E5005" t="s">
        <v>5351</v>
      </c>
      <c r="F5005" t="s">
        <v>5156</v>
      </c>
      <c r="G5005" t="s">
        <v>5413</v>
      </c>
      <c r="H5005" t="s">
        <v>536</v>
      </c>
      <c r="J5005" t="s">
        <v>4918</v>
      </c>
      <c r="K5005">
        <v>134</v>
      </c>
    </row>
    <row r="5006" spans="1:11" x14ac:dyDescent="0.35">
      <c r="A5006" t="s">
        <v>4919</v>
      </c>
      <c r="B5006" s="1">
        <v>0</v>
      </c>
      <c r="C5006" t="s">
        <v>5553</v>
      </c>
      <c r="D5006" t="s">
        <v>5326</v>
      </c>
      <c r="E5006" t="s">
        <v>5316</v>
      </c>
      <c r="F5006" t="s">
        <v>5156</v>
      </c>
      <c r="G5006" t="s">
        <v>5399</v>
      </c>
      <c r="H5006" t="s">
        <v>122</v>
      </c>
      <c r="J5006" t="s">
        <v>4919</v>
      </c>
      <c r="K5006">
        <v>131.80000000000001</v>
      </c>
    </row>
    <row r="5007" spans="1:11" x14ac:dyDescent="0.35">
      <c r="A5007" t="s">
        <v>4920</v>
      </c>
      <c r="B5007" s="1">
        <v>0</v>
      </c>
      <c r="C5007" t="s">
        <v>5459</v>
      </c>
      <c r="D5007" t="s">
        <v>5302</v>
      </c>
      <c r="E5007" t="s">
        <v>5526</v>
      </c>
      <c r="F5007" t="s">
        <v>5156</v>
      </c>
      <c r="G5007" t="s">
        <v>5413</v>
      </c>
      <c r="H5007" t="s">
        <v>838</v>
      </c>
      <c r="J5007" t="s">
        <v>4920</v>
      </c>
      <c r="K5007">
        <v>137.30000000000001</v>
      </c>
    </row>
    <row r="5008" spans="1:11" x14ac:dyDescent="0.35">
      <c r="A5008" t="s">
        <v>4921</v>
      </c>
      <c r="B5008" s="1">
        <v>0</v>
      </c>
      <c r="C5008" t="s">
        <v>5651</v>
      </c>
      <c r="D5008" t="s">
        <v>5057</v>
      </c>
      <c r="E5008" t="s">
        <v>5598</v>
      </c>
      <c r="F5008" t="s">
        <v>5156</v>
      </c>
      <c r="G5008" t="s">
        <v>5404</v>
      </c>
      <c r="H5008" t="s">
        <v>160</v>
      </c>
      <c r="J5008" t="s">
        <v>4921</v>
      </c>
      <c r="K5008">
        <v>147.80000000000001</v>
      </c>
    </row>
    <row r="5009" spans="1:11" x14ac:dyDescent="0.35">
      <c r="A5009" t="s">
        <v>4922</v>
      </c>
      <c r="B5009" s="1">
        <v>0</v>
      </c>
      <c r="C5009" t="s">
        <v>5636</v>
      </c>
      <c r="D5009" t="s">
        <v>5425</v>
      </c>
      <c r="E5009" t="s">
        <v>5547</v>
      </c>
      <c r="F5009" t="s">
        <v>5156</v>
      </c>
      <c r="G5009" t="s">
        <v>5189</v>
      </c>
      <c r="H5009" t="s">
        <v>17</v>
      </c>
      <c r="J5009" t="s">
        <v>4922</v>
      </c>
      <c r="K5009">
        <v>154.9</v>
      </c>
    </row>
    <row r="5010" spans="1:11" x14ac:dyDescent="0.35">
      <c r="A5010" t="s">
        <v>4923</v>
      </c>
      <c r="B5010" s="1">
        <v>0</v>
      </c>
      <c r="C5010" t="s">
        <v>390</v>
      </c>
      <c r="D5010" t="s">
        <v>5167</v>
      </c>
      <c r="E5010" t="s">
        <v>5300</v>
      </c>
      <c r="F5010" t="s">
        <v>5156</v>
      </c>
      <c r="G5010" t="s">
        <v>5195</v>
      </c>
      <c r="H5010" t="s">
        <v>158</v>
      </c>
      <c r="J5010" t="s">
        <v>4923</v>
      </c>
      <c r="K5010">
        <v>162.4</v>
      </c>
    </row>
    <row r="5011" spans="1:11" x14ac:dyDescent="0.35">
      <c r="A5011" t="s">
        <v>4924</v>
      </c>
      <c r="B5011" s="1">
        <v>0</v>
      </c>
      <c r="C5011" t="s">
        <v>3488</v>
      </c>
      <c r="D5011" t="s">
        <v>5120</v>
      </c>
      <c r="E5011" t="s">
        <v>5424</v>
      </c>
      <c r="F5011" t="s">
        <v>5156</v>
      </c>
      <c r="G5011" t="s">
        <v>5180</v>
      </c>
      <c r="H5011" t="s">
        <v>67</v>
      </c>
      <c r="J5011" t="s">
        <v>4924</v>
      </c>
      <c r="K5011">
        <v>170</v>
      </c>
    </row>
    <row r="5012" spans="1:11" x14ac:dyDescent="0.35">
      <c r="A5012" t="s">
        <v>4925</v>
      </c>
      <c r="B5012" s="1">
        <v>0</v>
      </c>
      <c r="C5012" t="s">
        <v>1910</v>
      </c>
      <c r="D5012" t="s">
        <v>5069</v>
      </c>
      <c r="E5012" t="s">
        <v>5302</v>
      </c>
      <c r="F5012" t="s">
        <v>5156</v>
      </c>
      <c r="G5012" t="s">
        <v>5180</v>
      </c>
      <c r="H5012" t="s">
        <v>64</v>
      </c>
      <c r="J5012" t="s">
        <v>4925</v>
      </c>
      <c r="K5012">
        <v>171.2</v>
      </c>
    </row>
    <row r="5013" spans="1:11" x14ac:dyDescent="0.35">
      <c r="A5013" t="s">
        <v>4926</v>
      </c>
      <c r="B5013" s="1">
        <v>0</v>
      </c>
      <c r="C5013" t="s">
        <v>1909</v>
      </c>
      <c r="D5013" t="s">
        <v>5120</v>
      </c>
      <c r="E5013" t="s">
        <v>5424</v>
      </c>
      <c r="F5013" t="s">
        <v>5156</v>
      </c>
      <c r="G5013" t="s">
        <v>5184</v>
      </c>
      <c r="H5013" t="s">
        <v>1172</v>
      </c>
      <c r="J5013" t="s">
        <v>4926</v>
      </c>
      <c r="K5013">
        <v>170.8</v>
      </c>
    </row>
    <row r="5014" spans="1:11" x14ac:dyDescent="0.35">
      <c r="A5014" t="s">
        <v>4927</v>
      </c>
      <c r="B5014" s="1">
        <v>0</v>
      </c>
      <c r="C5014" t="s">
        <v>1915</v>
      </c>
      <c r="D5014" t="s">
        <v>5121</v>
      </c>
      <c r="E5014" t="s">
        <v>5049</v>
      </c>
      <c r="F5014" t="s">
        <v>5156</v>
      </c>
      <c r="G5014" t="s">
        <v>5180</v>
      </c>
      <c r="H5014" t="s">
        <v>4155</v>
      </c>
      <c r="J5014" t="s">
        <v>4927</v>
      </c>
      <c r="K5014">
        <v>174.5</v>
      </c>
    </row>
    <row r="5015" spans="1:11" x14ac:dyDescent="0.35">
      <c r="A5015" t="s">
        <v>4928</v>
      </c>
      <c r="B5015" s="1">
        <v>0</v>
      </c>
      <c r="C5015" t="s">
        <v>3799</v>
      </c>
      <c r="D5015" t="s">
        <v>5085</v>
      </c>
      <c r="E5015" t="s">
        <v>5622</v>
      </c>
      <c r="F5015" t="s">
        <v>5156</v>
      </c>
      <c r="G5015" t="s">
        <v>5180</v>
      </c>
      <c r="H5015" t="s">
        <v>5040</v>
      </c>
      <c r="J5015" t="s">
        <v>4928</v>
      </c>
      <c r="K5015">
        <v>178.9</v>
      </c>
    </row>
    <row r="5016" spans="1:11" x14ac:dyDescent="0.35">
      <c r="A5016" t="s">
        <v>4929</v>
      </c>
      <c r="B5016" s="1">
        <v>0</v>
      </c>
      <c r="C5016" t="s">
        <v>447</v>
      </c>
      <c r="D5016" t="s">
        <v>5203</v>
      </c>
      <c r="E5016" t="s">
        <v>5525</v>
      </c>
      <c r="F5016" t="s">
        <v>5156</v>
      </c>
      <c r="G5016" t="s">
        <v>5184</v>
      </c>
      <c r="H5016" t="s">
        <v>707</v>
      </c>
      <c r="J5016" t="s">
        <v>4929</v>
      </c>
      <c r="K5016">
        <v>180</v>
      </c>
    </row>
    <row r="5017" spans="1:11" x14ac:dyDescent="0.35">
      <c r="A5017" t="s">
        <v>4930</v>
      </c>
      <c r="B5017" s="1">
        <v>0</v>
      </c>
      <c r="C5017" t="s">
        <v>2917</v>
      </c>
      <c r="D5017" t="s">
        <v>5125</v>
      </c>
      <c r="E5017" t="s">
        <v>5525</v>
      </c>
      <c r="F5017" t="s">
        <v>5156</v>
      </c>
      <c r="G5017" t="s">
        <v>5195</v>
      </c>
      <c r="H5017" t="s">
        <v>1286</v>
      </c>
      <c r="J5017" t="s">
        <v>4930</v>
      </c>
      <c r="K5017">
        <v>176.5</v>
      </c>
    </row>
    <row r="5018" spans="1:11" x14ac:dyDescent="0.35">
      <c r="A5018" t="s">
        <v>4931</v>
      </c>
      <c r="B5018" s="1">
        <v>0</v>
      </c>
      <c r="C5018" t="s">
        <v>1874</v>
      </c>
      <c r="D5018" t="s">
        <v>5444</v>
      </c>
      <c r="E5018" t="s">
        <v>5623</v>
      </c>
      <c r="F5018" t="s">
        <v>5156</v>
      </c>
      <c r="G5018" t="s">
        <v>5186</v>
      </c>
      <c r="H5018" t="s">
        <v>35</v>
      </c>
      <c r="J5018" t="s">
        <v>4931</v>
      </c>
      <c r="K5018">
        <v>170.4</v>
      </c>
    </row>
    <row r="5019" spans="1:11" x14ac:dyDescent="0.35">
      <c r="A5019" t="s">
        <v>4932</v>
      </c>
      <c r="B5019" s="1">
        <v>0</v>
      </c>
      <c r="C5019" t="s">
        <v>5603</v>
      </c>
      <c r="D5019" t="s">
        <v>5098</v>
      </c>
      <c r="E5019" t="s">
        <v>5044</v>
      </c>
      <c r="F5019" t="s">
        <v>5156</v>
      </c>
      <c r="G5019" t="s">
        <v>5357</v>
      </c>
      <c r="H5019" t="s">
        <v>592</v>
      </c>
      <c r="J5019" t="s">
        <v>4932</v>
      </c>
      <c r="K5019">
        <v>158.19999999999999</v>
      </c>
    </row>
    <row r="5020" spans="1:11" x14ac:dyDescent="0.35">
      <c r="A5020" t="s">
        <v>4933</v>
      </c>
      <c r="B5020" s="1">
        <v>0</v>
      </c>
      <c r="C5020" t="s">
        <v>5618</v>
      </c>
      <c r="D5020" t="s">
        <v>5310</v>
      </c>
      <c r="E5020" t="s">
        <v>5139</v>
      </c>
      <c r="F5020" t="s">
        <v>5156</v>
      </c>
      <c r="G5020" t="s">
        <v>5404</v>
      </c>
      <c r="H5020" t="s">
        <v>279</v>
      </c>
      <c r="J5020" t="s">
        <v>4933</v>
      </c>
      <c r="K5020">
        <v>148.4</v>
      </c>
    </row>
    <row r="5021" spans="1:11" x14ac:dyDescent="0.35">
      <c r="A5021" t="s">
        <v>4934</v>
      </c>
      <c r="B5021" s="1">
        <v>0</v>
      </c>
      <c r="C5021" t="s">
        <v>5231</v>
      </c>
      <c r="D5021" t="s">
        <v>5524</v>
      </c>
      <c r="E5021" t="s">
        <v>5308</v>
      </c>
      <c r="F5021" t="s">
        <v>5156</v>
      </c>
      <c r="G5021" t="s">
        <v>5404</v>
      </c>
      <c r="H5021" t="s">
        <v>1414</v>
      </c>
      <c r="J5021" t="s">
        <v>4934</v>
      </c>
      <c r="K5021">
        <v>146.1</v>
      </c>
    </row>
    <row r="5022" spans="1:11" x14ac:dyDescent="0.35">
      <c r="A5022" t="s">
        <v>4935</v>
      </c>
      <c r="B5022" s="1">
        <v>0</v>
      </c>
      <c r="C5022" t="s">
        <v>5634</v>
      </c>
      <c r="D5022" t="s">
        <v>5064</v>
      </c>
      <c r="E5022" t="s">
        <v>5293</v>
      </c>
      <c r="F5022" t="s">
        <v>5156</v>
      </c>
      <c r="G5022" t="s">
        <v>5405</v>
      </c>
      <c r="H5022" t="s">
        <v>1814</v>
      </c>
      <c r="J5022" t="s">
        <v>4935</v>
      </c>
      <c r="K5022">
        <v>151.30000000000001</v>
      </c>
    </row>
    <row r="5023" spans="1:11" x14ac:dyDescent="0.35">
      <c r="A5023" t="s">
        <v>4936</v>
      </c>
      <c r="B5023" s="1">
        <v>0</v>
      </c>
      <c r="C5023" t="s">
        <v>377</v>
      </c>
      <c r="D5023" t="s">
        <v>5202</v>
      </c>
      <c r="E5023" t="s">
        <v>5290</v>
      </c>
      <c r="F5023" t="s">
        <v>5156</v>
      </c>
      <c r="G5023" t="s">
        <v>5357</v>
      </c>
      <c r="H5023" t="s">
        <v>883</v>
      </c>
      <c r="J5023" t="s">
        <v>4936</v>
      </c>
      <c r="K5023">
        <v>155.6</v>
      </c>
    </row>
    <row r="5024" spans="1:11" x14ac:dyDescent="0.35">
      <c r="A5024" t="s">
        <v>4937</v>
      </c>
      <c r="B5024" s="1">
        <v>0</v>
      </c>
      <c r="C5024" t="s">
        <v>993</v>
      </c>
      <c r="D5024" t="s">
        <v>5063</v>
      </c>
      <c r="E5024" t="s">
        <v>5295</v>
      </c>
      <c r="F5024" t="s">
        <v>5050</v>
      </c>
      <c r="G5024" t="s">
        <v>5397</v>
      </c>
      <c r="H5024" t="s">
        <v>2151</v>
      </c>
      <c r="J5024" t="s">
        <v>4937</v>
      </c>
      <c r="K5024">
        <v>171.8</v>
      </c>
    </row>
    <row r="5025" spans="1:11" x14ac:dyDescent="0.35">
      <c r="A5025" t="s">
        <v>4938</v>
      </c>
      <c r="B5025" s="1">
        <v>0</v>
      </c>
      <c r="C5025" t="s">
        <v>437</v>
      </c>
      <c r="D5025" t="s">
        <v>5113</v>
      </c>
      <c r="E5025" t="s">
        <v>5057</v>
      </c>
      <c r="F5025" t="s">
        <v>5050</v>
      </c>
      <c r="G5025" t="s">
        <v>5397</v>
      </c>
      <c r="H5025" t="s">
        <v>1438</v>
      </c>
      <c r="J5025" t="s">
        <v>4938</v>
      </c>
      <c r="K5025">
        <v>169.8</v>
      </c>
    </row>
    <row r="5026" spans="1:11" x14ac:dyDescent="0.35">
      <c r="A5026" t="s">
        <v>4939</v>
      </c>
      <c r="B5026" s="1">
        <v>0</v>
      </c>
      <c r="C5026" t="s">
        <v>5608</v>
      </c>
      <c r="D5026" t="s">
        <v>5272</v>
      </c>
      <c r="E5026" t="s">
        <v>5415</v>
      </c>
      <c r="F5026" t="s">
        <v>5050</v>
      </c>
      <c r="G5026" t="s">
        <v>5144</v>
      </c>
      <c r="H5026" t="s">
        <v>1388</v>
      </c>
      <c r="J5026" t="s">
        <v>4939</v>
      </c>
      <c r="K5026">
        <v>165.5</v>
      </c>
    </row>
    <row r="5027" spans="1:11" x14ac:dyDescent="0.35">
      <c r="A5027" t="s">
        <v>4940</v>
      </c>
      <c r="B5027" s="1">
        <v>0</v>
      </c>
      <c r="C5027" t="s">
        <v>5621</v>
      </c>
      <c r="D5027" t="s">
        <v>5160</v>
      </c>
      <c r="E5027" t="s">
        <v>5053</v>
      </c>
      <c r="F5027" t="s">
        <v>5046</v>
      </c>
      <c r="G5027" t="s">
        <v>5153</v>
      </c>
      <c r="H5027" t="s">
        <v>176</v>
      </c>
      <c r="J5027" t="s">
        <v>4940</v>
      </c>
      <c r="K5027">
        <v>159.4</v>
      </c>
    </row>
    <row r="5028" spans="1:11" x14ac:dyDescent="0.35">
      <c r="A5028" t="s">
        <v>4941</v>
      </c>
      <c r="B5028" s="1">
        <v>0</v>
      </c>
      <c r="C5028" t="s">
        <v>5506</v>
      </c>
      <c r="D5028" t="s">
        <v>5162</v>
      </c>
      <c r="E5028" t="s">
        <v>5415</v>
      </c>
      <c r="F5028" t="s">
        <v>5050</v>
      </c>
      <c r="G5028" t="s">
        <v>5334</v>
      </c>
      <c r="H5028" t="s">
        <v>56</v>
      </c>
      <c r="J5028" t="s">
        <v>4941</v>
      </c>
      <c r="K5028">
        <v>159</v>
      </c>
    </row>
    <row r="5029" spans="1:11" x14ac:dyDescent="0.35">
      <c r="A5029" t="s">
        <v>4942</v>
      </c>
      <c r="B5029" s="1">
        <v>0</v>
      </c>
      <c r="C5029" t="s">
        <v>5468</v>
      </c>
      <c r="D5029" t="s">
        <v>5118</v>
      </c>
      <c r="E5029" t="s">
        <v>5420</v>
      </c>
      <c r="F5029" t="s">
        <v>5050</v>
      </c>
      <c r="G5029" t="s">
        <v>5411</v>
      </c>
      <c r="H5029" t="s">
        <v>161</v>
      </c>
      <c r="J5029" t="s">
        <v>4942</v>
      </c>
      <c r="K5029">
        <v>165.2</v>
      </c>
    </row>
    <row r="5030" spans="1:11" x14ac:dyDescent="0.35">
      <c r="A5030" t="s">
        <v>4943</v>
      </c>
      <c r="B5030" s="1">
        <v>0</v>
      </c>
      <c r="C5030" t="s">
        <v>5502</v>
      </c>
      <c r="D5030" t="s">
        <v>5198</v>
      </c>
      <c r="E5030" t="s">
        <v>5221</v>
      </c>
      <c r="F5030" t="s">
        <v>5050</v>
      </c>
      <c r="G5030" t="s">
        <v>5334</v>
      </c>
      <c r="H5030" t="s">
        <v>90</v>
      </c>
      <c r="J5030" t="s">
        <v>4943</v>
      </c>
      <c r="K5030">
        <v>174.1</v>
      </c>
    </row>
    <row r="5031" spans="1:11" x14ac:dyDescent="0.35">
      <c r="A5031" t="s">
        <v>4944</v>
      </c>
      <c r="B5031" s="1">
        <v>0</v>
      </c>
      <c r="C5031" t="s">
        <v>5488</v>
      </c>
      <c r="D5031" t="s">
        <v>5446</v>
      </c>
      <c r="E5031" t="s">
        <v>5066</v>
      </c>
      <c r="F5031" t="s">
        <v>5050</v>
      </c>
      <c r="G5031" t="s">
        <v>5432</v>
      </c>
      <c r="H5031" t="s">
        <v>782</v>
      </c>
      <c r="J5031" t="s">
        <v>4944</v>
      </c>
      <c r="K5031">
        <v>182.1</v>
      </c>
    </row>
    <row r="5032" spans="1:11" x14ac:dyDescent="0.35">
      <c r="A5032" t="s">
        <v>4945</v>
      </c>
      <c r="B5032" s="1">
        <v>0</v>
      </c>
      <c r="C5032" t="s">
        <v>1031</v>
      </c>
      <c r="D5032" t="s">
        <v>5531</v>
      </c>
      <c r="E5032" t="s">
        <v>5066</v>
      </c>
      <c r="F5032" t="s">
        <v>5050</v>
      </c>
      <c r="G5032" t="s">
        <v>5397</v>
      </c>
      <c r="H5032" t="s">
        <v>4267</v>
      </c>
      <c r="J5032" t="s">
        <v>4945</v>
      </c>
      <c r="K5032">
        <v>186.1</v>
      </c>
    </row>
    <row r="5033" spans="1:11" x14ac:dyDescent="0.35">
      <c r="A5033" t="s">
        <v>4946</v>
      </c>
      <c r="B5033" s="1">
        <v>0</v>
      </c>
      <c r="C5033" t="s">
        <v>1035</v>
      </c>
      <c r="D5033" t="s">
        <v>5108</v>
      </c>
      <c r="E5033" t="s">
        <v>5175</v>
      </c>
      <c r="F5033" t="s">
        <v>5050</v>
      </c>
      <c r="G5033" t="s">
        <v>5144</v>
      </c>
      <c r="H5033" t="s">
        <v>781</v>
      </c>
      <c r="J5033" t="s">
        <v>4946</v>
      </c>
      <c r="K5033">
        <v>181.5</v>
      </c>
    </row>
    <row r="5034" spans="1:11" x14ac:dyDescent="0.35">
      <c r="A5034" t="s">
        <v>4947</v>
      </c>
      <c r="B5034" s="1">
        <v>0</v>
      </c>
      <c r="C5034" t="s">
        <v>5267</v>
      </c>
      <c r="D5034" t="s">
        <v>5074</v>
      </c>
      <c r="E5034" t="s">
        <v>5073</v>
      </c>
      <c r="F5034" t="s">
        <v>5050</v>
      </c>
      <c r="G5034" t="s">
        <v>5432</v>
      </c>
      <c r="H5034" t="s">
        <v>922</v>
      </c>
      <c r="J5034" t="s">
        <v>4947</v>
      </c>
      <c r="K5034">
        <v>173.7</v>
      </c>
    </row>
    <row r="5035" spans="1:11" x14ac:dyDescent="0.35">
      <c r="A5035" t="s">
        <v>4948</v>
      </c>
      <c r="B5035" s="1">
        <v>0</v>
      </c>
      <c r="C5035" t="s">
        <v>5643</v>
      </c>
      <c r="D5035" t="s">
        <v>5102</v>
      </c>
      <c r="E5035" t="s">
        <v>5418</v>
      </c>
      <c r="F5035" t="s">
        <v>5050</v>
      </c>
      <c r="G5035" t="s">
        <v>5337</v>
      </c>
      <c r="H5035" t="s">
        <v>559</v>
      </c>
      <c r="J5035" t="s">
        <v>4948</v>
      </c>
      <c r="K5035">
        <v>161.9</v>
      </c>
    </row>
    <row r="5036" spans="1:11" x14ac:dyDescent="0.35">
      <c r="A5036" t="s">
        <v>4949</v>
      </c>
      <c r="B5036" s="1">
        <v>0</v>
      </c>
      <c r="C5036" t="s">
        <v>5278</v>
      </c>
      <c r="D5036" t="s">
        <v>5060</v>
      </c>
      <c r="E5036" t="s">
        <v>5570</v>
      </c>
      <c r="F5036" t="s">
        <v>5050</v>
      </c>
      <c r="G5036" t="s">
        <v>5164</v>
      </c>
      <c r="H5036" t="s">
        <v>157</v>
      </c>
      <c r="J5036" t="s">
        <v>4949</v>
      </c>
      <c r="K5036">
        <v>152.80000000000001</v>
      </c>
    </row>
    <row r="5037" spans="1:11" x14ac:dyDescent="0.35">
      <c r="A5037" t="s">
        <v>4950</v>
      </c>
      <c r="B5037" s="1">
        <v>0</v>
      </c>
      <c r="C5037" t="s">
        <v>5104</v>
      </c>
      <c r="D5037" t="s">
        <v>5067</v>
      </c>
      <c r="E5037" t="s">
        <v>5061</v>
      </c>
      <c r="F5037" t="s">
        <v>5050</v>
      </c>
      <c r="G5037" t="s">
        <v>5164</v>
      </c>
      <c r="H5037" t="s">
        <v>1631</v>
      </c>
      <c r="J5037" t="s">
        <v>4950</v>
      </c>
      <c r="K5037">
        <v>155.4</v>
      </c>
    </row>
    <row r="5038" spans="1:11" x14ac:dyDescent="0.35">
      <c r="A5038" t="s">
        <v>4951</v>
      </c>
      <c r="B5038" s="1">
        <v>0</v>
      </c>
      <c r="C5038" t="s">
        <v>5564</v>
      </c>
      <c r="D5038" t="s">
        <v>5103</v>
      </c>
      <c r="E5038" t="s">
        <v>5286</v>
      </c>
      <c r="F5038" t="s">
        <v>5050</v>
      </c>
      <c r="G5038" t="s">
        <v>5411</v>
      </c>
      <c r="H5038" t="s">
        <v>601</v>
      </c>
      <c r="J5038" t="s">
        <v>4951</v>
      </c>
      <c r="K5038">
        <v>172.3</v>
      </c>
    </row>
    <row r="5039" spans="1:11" x14ac:dyDescent="0.35">
      <c r="A5039" t="s">
        <v>4952</v>
      </c>
      <c r="B5039" s="1">
        <v>0</v>
      </c>
      <c r="C5039" t="s">
        <v>454</v>
      </c>
      <c r="D5039" t="s">
        <v>5151</v>
      </c>
      <c r="E5039" t="s">
        <v>5170</v>
      </c>
      <c r="F5039" t="s">
        <v>5050</v>
      </c>
      <c r="G5039" t="s">
        <v>5342</v>
      </c>
      <c r="H5039" t="s">
        <v>691</v>
      </c>
      <c r="J5039" t="s">
        <v>4952</v>
      </c>
      <c r="K5039">
        <v>191.4</v>
      </c>
    </row>
    <row r="5040" spans="1:11" x14ac:dyDescent="0.35">
      <c r="A5040" t="s">
        <v>4953</v>
      </c>
      <c r="B5040" s="1">
        <v>0</v>
      </c>
      <c r="C5040" t="s">
        <v>1486</v>
      </c>
      <c r="D5040" t="s">
        <v>5211</v>
      </c>
      <c r="E5040" t="s">
        <v>5422</v>
      </c>
      <c r="F5040" t="s">
        <v>5240</v>
      </c>
      <c r="G5040" t="s">
        <v>5309</v>
      </c>
      <c r="H5040" t="s">
        <v>1648</v>
      </c>
      <c r="J5040" t="s">
        <v>4953</v>
      </c>
      <c r="K5040">
        <v>199.4</v>
      </c>
    </row>
    <row r="5041" spans="1:11" x14ac:dyDescent="0.35">
      <c r="A5041" t="s">
        <v>4954</v>
      </c>
      <c r="B5041" s="1">
        <v>0</v>
      </c>
      <c r="C5041" t="s">
        <v>988</v>
      </c>
      <c r="D5041" t="s">
        <v>5438</v>
      </c>
      <c r="E5041" t="s">
        <v>5303</v>
      </c>
      <c r="F5041" t="s">
        <v>5240</v>
      </c>
      <c r="G5041" t="s">
        <v>5309</v>
      </c>
      <c r="H5041" t="s">
        <v>3916</v>
      </c>
      <c r="J5041" t="s">
        <v>4954</v>
      </c>
      <c r="K5041">
        <v>198.8</v>
      </c>
    </row>
    <row r="5042" spans="1:11" x14ac:dyDescent="0.35">
      <c r="A5042" t="s">
        <v>4955</v>
      </c>
      <c r="B5042" s="1">
        <v>0</v>
      </c>
      <c r="C5042" t="s">
        <v>1537</v>
      </c>
      <c r="D5042" t="s">
        <v>5464</v>
      </c>
      <c r="E5042" t="s">
        <v>5064</v>
      </c>
      <c r="F5042" t="s">
        <v>5240</v>
      </c>
      <c r="G5042" t="s">
        <v>5309</v>
      </c>
      <c r="H5042" t="s">
        <v>3136</v>
      </c>
      <c r="J5042" t="s">
        <v>4955</v>
      </c>
      <c r="K5042">
        <v>202.6</v>
      </c>
    </row>
    <row r="5043" spans="1:11" x14ac:dyDescent="0.35">
      <c r="A5043" t="s">
        <v>4956</v>
      </c>
      <c r="B5043" s="1">
        <v>0</v>
      </c>
      <c r="C5043" t="s">
        <v>1468</v>
      </c>
      <c r="D5043" t="s">
        <v>5225</v>
      </c>
      <c r="E5043" t="s">
        <v>5323</v>
      </c>
      <c r="F5043" t="s">
        <v>5240</v>
      </c>
      <c r="G5043" t="s">
        <v>5291</v>
      </c>
      <c r="H5043" t="s">
        <v>3163</v>
      </c>
      <c r="J5043" t="s">
        <v>4956</v>
      </c>
      <c r="K5043">
        <v>212.9</v>
      </c>
    </row>
    <row r="5044" spans="1:11" x14ac:dyDescent="0.35">
      <c r="A5044" t="s">
        <v>4957</v>
      </c>
      <c r="B5044" s="1">
        <v>0</v>
      </c>
      <c r="C5044" t="s">
        <v>1475</v>
      </c>
      <c r="D5044" t="s">
        <v>5280</v>
      </c>
      <c r="E5044" t="s">
        <v>5306</v>
      </c>
      <c r="F5044" t="s">
        <v>5240</v>
      </c>
      <c r="G5044" t="s">
        <v>5288</v>
      </c>
      <c r="H5044" t="s">
        <v>5266</v>
      </c>
      <c r="J5044" t="s">
        <v>4957</v>
      </c>
      <c r="K5044">
        <v>218</v>
      </c>
    </row>
    <row r="5045" spans="1:11" x14ac:dyDescent="0.35">
      <c r="A5045" t="s">
        <v>4958</v>
      </c>
      <c r="B5045" s="1">
        <v>0</v>
      </c>
      <c r="C5045" t="s">
        <v>1865</v>
      </c>
      <c r="D5045" t="s">
        <v>5370</v>
      </c>
      <c r="E5045" t="s">
        <v>5219</v>
      </c>
      <c r="F5045" t="s">
        <v>5240</v>
      </c>
      <c r="G5045" t="s">
        <v>5291</v>
      </c>
      <c r="H5045" t="s">
        <v>231</v>
      </c>
      <c r="J5045" t="s">
        <v>4958</v>
      </c>
      <c r="K5045">
        <v>215.5</v>
      </c>
    </row>
    <row r="5046" spans="1:11" x14ac:dyDescent="0.35">
      <c r="A5046" t="s">
        <v>4959</v>
      </c>
      <c r="B5046" s="1">
        <v>0</v>
      </c>
      <c r="C5046" t="s">
        <v>364</v>
      </c>
      <c r="D5046" t="s">
        <v>5606</v>
      </c>
      <c r="E5046" t="s">
        <v>5173</v>
      </c>
      <c r="F5046" t="s">
        <v>5240</v>
      </c>
      <c r="G5046" t="s">
        <v>5291</v>
      </c>
      <c r="H5046" t="s">
        <v>3754</v>
      </c>
      <c r="J5046" t="s">
        <v>4959</v>
      </c>
      <c r="K5046">
        <v>205.6</v>
      </c>
    </row>
    <row r="5047" spans="1:11" x14ac:dyDescent="0.35">
      <c r="A5047" t="s">
        <v>4960</v>
      </c>
      <c r="B5047" s="1">
        <v>0</v>
      </c>
      <c r="C5047" t="s">
        <v>443</v>
      </c>
      <c r="D5047" t="s">
        <v>5108</v>
      </c>
      <c r="E5047" t="s">
        <v>5055</v>
      </c>
      <c r="F5047" t="s">
        <v>5050</v>
      </c>
      <c r="G5047" t="s">
        <v>5294</v>
      </c>
      <c r="H5047" t="s">
        <v>649</v>
      </c>
      <c r="J5047" t="s">
        <v>4960</v>
      </c>
      <c r="K5047">
        <v>190.5</v>
      </c>
    </row>
    <row r="5048" spans="1:11" x14ac:dyDescent="0.35">
      <c r="A5048" t="s">
        <v>4961</v>
      </c>
      <c r="B5048" s="1">
        <v>0</v>
      </c>
      <c r="C5048" t="s">
        <v>1048</v>
      </c>
      <c r="D5048" t="s">
        <v>5433</v>
      </c>
      <c r="E5048" t="s">
        <v>5597</v>
      </c>
      <c r="F5048" t="s">
        <v>5050</v>
      </c>
      <c r="G5048" t="s">
        <v>5309</v>
      </c>
      <c r="H5048" t="s">
        <v>1335</v>
      </c>
      <c r="J5048" t="s">
        <v>4961</v>
      </c>
      <c r="K5048">
        <v>183.8</v>
      </c>
    </row>
    <row r="5049" spans="1:11" x14ac:dyDescent="0.35">
      <c r="A5049" t="s">
        <v>4962</v>
      </c>
      <c r="B5049" s="1">
        <v>0</v>
      </c>
      <c r="C5049" t="s">
        <v>1533</v>
      </c>
      <c r="D5049" t="s">
        <v>5433</v>
      </c>
      <c r="E5049" t="s">
        <v>5597</v>
      </c>
      <c r="F5049" t="s">
        <v>5050</v>
      </c>
      <c r="G5049" t="s">
        <v>5226</v>
      </c>
      <c r="H5049" t="s">
        <v>198</v>
      </c>
      <c r="J5049" t="s">
        <v>4962</v>
      </c>
      <c r="K5049">
        <v>187</v>
      </c>
    </row>
    <row r="5050" spans="1:11" x14ac:dyDescent="0.35">
      <c r="A5050" t="s">
        <v>4963</v>
      </c>
      <c r="B5050" s="1">
        <v>0</v>
      </c>
      <c r="C5050" t="s">
        <v>477</v>
      </c>
      <c r="D5050" t="s">
        <v>5114</v>
      </c>
      <c r="E5050" t="s">
        <v>5425</v>
      </c>
      <c r="F5050" t="s">
        <v>5050</v>
      </c>
      <c r="G5050" t="s">
        <v>5207</v>
      </c>
      <c r="H5050" t="s">
        <v>1189</v>
      </c>
      <c r="J5050" t="s">
        <v>4963</v>
      </c>
      <c r="K5050">
        <v>193</v>
      </c>
    </row>
    <row r="5051" spans="1:11" x14ac:dyDescent="0.35">
      <c r="A5051" t="s">
        <v>4964</v>
      </c>
      <c r="B5051" s="1">
        <v>0</v>
      </c>
      <c r="C5051" t="s">
        <v>466</v>
      </c>
      <c r="D5051" t="s">
        <v>5522</v>
      </c>
      <c r="E5051" t="s">
        <v>5055</v>
      </c>
      <c r="F5051" t="s">
        <v>5050</v>
      </c>
      <c r="G5051" t="s">
        <v>5207</v>
      </c>
      <c r="H5051" t="s">
        <v>1820</v>
      </c>
      <c r="J5051" t="s">
        <v>4964</v>
      </c>
      <c r="K5051">
        <v>193.7</v>
      </c>
    </row>
    <row r="5052" spans="1:11" x14ac:dyDescent="0.35">
      <c r="A5052" t="s">
        <v>4965</v>
      </c>
      <c r="B5052" s="1">
        <v>0</v>
      </c>
      <c r="C5052" t="s">
        <v>467</v>
      </c>
      <c r="D5052" t="s">
        <v>5241</v>
      </c>
      <c r="E5052" t="s">
        <v>5202</v>
      </c>
      <c r="F5052" t="s">
        <v>5050</v>
      </c>
      <c r="G5052" t="s">
        <v>5321</v>
      </c>
      <c r="H5052" t="s">
        <v>1280</v>
      </c>
      <c r="J5052" t="s">
        <v>4965</v>
      </c>
      <c r="K5052">
        <v>193.5</v>
      </c>
    </row>
    <row r="5053" spans="1:11" x14ac:dyDescent="0.35">
      <c r="A5053" t="s">
        <v>4966</v>
      </c>
      <c r="B5053" s="1">
        <v>0</v>
      </c>
      <c r="C5053" t="s">
        <v>443</v>
      </c>
      <c r="D5053" t="s">
        <v>5531</v>
      </c>
      <c r="E5053" t="s">
        <v>5176</v>
      </c>
      <c r="F5053" t="s">
        <v>5050</v>
      </c>
      <c r="G5053" t="s">
        <v>5226</v>
      </c>
      <c r="H5053" t="s">
        <v>2358</v>
      </c>
      <c r="J5053" t="s">
        <v>4966</v>
      </c>
      <c r="K5053">
        <v>195.7</v>
      </c>
    </row>
    <row r="5054" spans="1:11" x14ac:dyDescent="0.35">
      <c r="A5054" t="s">
        <v>4967</v>
      </c>
      <c r="B5054" s="1">
        <v>0</v>
      </c>
      <c r="C5054" t="s">
        <v>1052</v>
      </c>
      <c r="D5054" t="s">
        <v>5148</v>
      </c>
      <c r="E5054" t="s">
        <v>5173</v>
      </c>
      <c r="F5054" t="s">
        <v>5050</v>
      </c>
      <c r="G5054" t="s">
        <v>5288</v>
      </c>
      <c r="H5054" t="s">
        <v>685</v>
      </c>
      <c r="J5054" t="s">
        <v>4967</v>
      </c>
      <c r="K5054">
        <v>197.1</v>
      </c>
    </row>
    <row r="5055" spans="1:11" x14ac:dyDescent="0.35">
      <c r="A5055" t="s">
        <v>4968</v>
      </c>
      <c r="B5055" s="1">
        <v>0</v>
      </c>
      <c r="C5055" t="s">
        <v>1916</v>
      </c>
      <c r="D5055" t="s">
        <v>5574</v>
      </c>
      <c r="E5055" t="s">
        <v>5178</v>
      </c>
      <c r="F5055" t="s">
        <v>5077</v>
      </c>
      <c r="G5055" t="s">
        <v>5077</v>
      </c>
      <c r="H5055" t="s">
        <v>4518</v>
      </c>
      <c r="J5055" t="s">
        <v>4968</v>
      </c>
      <c r="K5055">
        <v>213.8</v>
      </c>
    </row>
    <row r="5056" spans="1:11" x14ac:dyDescent="0.35">
      <c r="A5056" t="s">
        <v>4969</v>
      </c>
      <c r="B5056" s="1">
        <v>0</v>
      </c>
      <c r="C5056" t="s">
        <v>350</v>
      </c>
      <c r="D5056" t="s">
        <v>5497</v>
      </c>
      <c r="E5056" t="s">
        <v>5257</v>
      </c>
      <c r="F5056" t="s">
        <v>5077</v>
      </c>
      <c r="G5056" t="s">
        <v>5077</v>
      </c>
      <c r="H5056" t="s">
        <v>1841</v>
      </c>
      <c r="J5056" t="s">
        <v>4969</v>
      </c>
      <c r="K5056">
        <v>220.4</v>
      </c>
    </row>
    <row r="5057" spans="1:11" x14ac:dyDescent="0.35">
      <c r="A5057" t="s">
        <v>4970</v>
      </c>
      <c r="B5057" s="1">
        <v>0</v>
      </c>
      <c r="C5057" t="s">
        <v>479</v>
      </c>
      <c r="D5057" t="s">
        <v>5128</v>
      </c>
      <c r="E5057" t="s">
        <v>5120</v>
      </c>
      <c r="F5057" t="s">
        <v>5089</v>
      </c>
      <c r="G5057" t="s">
        <v>5092</v>
      </c>
      <c r="H5057" t="s">
        <v>1838</v>
      </c>
      <c r="J5057" t="s">
        <v>4970</v>
      </c>
      <c r="K5057">
        <v>219.9</v>
      </c>
    </row>
    <row r="5058" spans="1:11" x14ac:dyDescent="0.35">
      <c r="A5058" t="s">
        <v>4971</v>
      </c>
      <c r="B5058" s="1">
        <v>0</v>
      </c>
      <c r="C5058" t="s">
        <v>439</v>
      </c>
      <c r="D5058" t="s">
        <v>5459</v>
      </c>
      <c r="E5058" t="s">
        <v>5270</v>
      </c>
      <c r="F5058" t="s">
        <v>5089</v>
      </c>
      <c r="G5058" t="s">
        <v>5082</v>
      </c>
      <c r="H5058" t="s">
        <v>3729</v>
      </c>
      <c r="J5058" t="s">
        <v>4971</v>
      </c>
      <c r="K5058">
        <v>215.1</v>
      </c>
    </row>
    <row r="5059" spans="1:11" x14ac:dyDescent="0.35">
      <c r="A5059" t="s">
        <v>4972</v>
      </c>
      <c r="B5059" s="1">
        <v>0</v>
      </c>
      <c r="C5059" t="s">
        <v>1042</v>
      </c>
      <c r="D5059" t="s">
        <v>5509</v>
      </c>
      <c r="E5059" t="s">
        <v>5182</v>
      </c>
      <c r="F5059" t="s">
        <v>5089</v>
      </c>
      <c r="G5059" t="s">
        <v>5095</v>
      </c>
      <c r="H5059" t="s">
        <v>2037</v>
      </c>
      <c r="J5059" t="s">
        <v>4972</v>
      </c>
      <c r="K5059">
        <v>213.4</v>
      </c>
    </row>
    <row r="5060" spans="1:11" x14ac:dyDescent="0.35">
      <c r="A5060" t="s">
        <v>4973</v>
      </c>
      <c r="B5060" s="1">
        <v>0</v>
      </c>
      <c r="C5060" t="s">
        <v>984</v>
      </c>
      <c r="D5060" t="s">
        <v>5512</v>
      </c>
      <c r="E5060" t="s">
        <v>5239</v>
      </c>
      <c r="F5060" t="s">
        <v>5089</v>
      </c>
      <c r="G5060" t="s">
        <v>5116</v>
      </c>
      <c r="H5060" t="s">
        <v>1652</v>
      </c>
      <c r="J5060" t="s">
        <v>4973</v>
      </c>
      <c r="K5060">
        <v>216.6</v>
      </c>
    </row>
    <row r="5061" spans="1:11" x14ac:dyDescent="0.35">
      <c r="A5061" t="s">
        <v>4974</v>
      </c>
      <c r="B5061" s="1">
        <v>0</v>
      </c>
      <c r="C5061" t="s">
        <v>474</v>
      </c>
      <c r="D5061" t="s">
        <v>5558</v>
      </c>
      <c r="E5061" t="s">
        <v>5165</v>
      </c>
      <c r="F5061" t="s">
        <v>5089</v>
      </c>
      <c r="G5061" t="s">
        <v>5092</v>
      </c>
      <c r="H5061" t="s">
        <v>3730</v>
      </c>
      <c r="J5061" t="s">
        <v>4974</v>
      </c>
      <c r="K5061">
        <v>221.1</v>
      </c>
    </row>
    <row r="5062" spans="1:11" x14ac:dyDescent="0.35">
      <c r="A5062" t="s">
        <v>4975</v>
      </c>
      <c r="B5062" s="1">
        <v>0</v>
      </c>
      <c r="C5062" t="s">
        <v>3217</v>
      </c>
      <c r="D5062" t="s">
        <v>5553</v>
      </c>
      <c r="E5062" t="s">
        <v>5272</v>
      </c>
      <c r="F5062" t="s">
        <v>5089</v>
      </c>
      <c r="G5062" t="s">
        <v>5077</v>
      </c>
      <c r="H5062" t="s">
        <v>1309</v>
      </c>
      <c r="J5062" t="s">
        <v>4975</v>
      </c>
      <c r="K5062">
        <v>232.3</v>
      </c>
    </row>
    <row r="5063" spans="1:11" x14ac:dyDescent="0.35">
      <c r="A5063" t="s">
        <v>4976</v>
      </c>
      <c r="B5063" s="1">
        <v>0</v>
      </c>
      <c r="C5063" t="s">
        <v>270</v>
      </c>
      <c r="D5063" t="s">
        <v>5212</v>
      </c>
      <c r="E5063" t="s">
        <v>5069</v>
      </c>
      <c r="F5063" t="s">
        <v>5358</v>
      </c>
      <c r="G5063" t="s">
        <v>5356</v>
      </c>
      <c r="H5063" t="s">
        <v>2102</v>
      </c>
      <c r="J5063" t="s">
        <v>4976</v>
      </c>
      <c r="K5063">
        <v>248.9</v>
      </c>
    </row>
    <row r="5064" spans="1:11" x14ac:dyDescent="0.35">
      <c r="A5064" t="s">
        <v>4977</v>
      </c>
      <c r="B5064" s="1">
        <v>0</v>
      </c>
      <c r="C5064" t="s">
        <v>1078</v>
      </c>
      <c r="D5064" t="s">
        <v>5268</v>
      </c>
      <c r="E5064" t="s">
        <v>5096</v>
      </c>
      <c r="F5064" t="s">
        <v>5358</v>
      </c>
      <c r="G5064" t="s">
        <v>5355</v>
      </c>
      <c r="H5064" t="s">
        <v>5798</v>
      </c>
      <c r="J5064" t="s">
        <v>4977</v>
      </c>
      <c r="K5064">
        <v>260.39999999999998</v>
      </c>
    </row>
    <row r="5065" spans="1:11" x14ac:dyDescent="0.35">
      <c r="A5065" t="s">
        <v>4978</v>
      </c>
      <c r="B5065" s="1">
        <v>0</v>
      </c>
      <c r="C5065" t="s">
        <v>962</v>
      </c>
      <c r="D5065" t="s">
        <v>5130</v>
      </c>
      <c r="E5065" t="s">
        <v>5213</v>
      </c>
      <c r="F5065" t="s">
        <v>5358</v>
      </c>
      <c r="G5065" t="s">
        <v>5501</v>
      </c>
      <c r="H5065" t="s">
        <v>5850</v>
      </c>
      <c r="J5065" t="s">
        <v>4978</v>
      </c>
      <c r="K5065">
        <v>263</v>
      </c>
    </row>
    <row r="5066" spans="1:11" x14ac:dyDescent="0.35">
      <c r="A5066" t="s">
        <v>4979</v>
      </c>
      <c r="B5066" s="1">
        <v>0</v>
      </c>
      <c r="C5066" t="s">
        <v>1445</v>
      </c>
      <c r="D5066" t="s">
        <v>5586</v>
      </c>
      <c r="E5066" t="s">
        <v>5448</v>
      </c>
      <c r="F5066" t="s">
        <v>5358</v>
      </c>
      <c r="G5066" t="s">
        <v>5355</v>
      </c>
      <c r="H5066" t="s">
        <v>5712</v>
      </c>
      <c r="J5066" t="s">
        <v>4979</v>
      </c>
      <c r="K5066">
        <v>254.1</v>
      </c>
    </row>
    <row r="5067" spans="1:11" x14ac:dyDescent="0.35">
      <c r="A5067" t="s">
        <v>4981</v>
      </c>
      <c r="B5067" s="1">
        <v>0</v>
      </c>
      <c r="C5067" t="s">
        <v>5659</v>
      </c>
      <c r="D5067" t="s">
        <v>5612</v>
      </c>
      <c r="E5067" t="s">
        <v>5182</v>
      </c>
      <c r="F5067" t="s">
        <v>5089</v>
      </c>
      <c r="G5067" t="s">
        <v>5358</v>
      </c>
      <c r="H5067" t="s">
        <v>5764</v>
      </c>
      <c r="J5067" t="s">
        <v>4981</v>
      </c>
      <c r="K5067">
        <v>238.5</v>
      </c>
    </row>
    <row r="5068" spans="1:11" x14ac:dyDescent="0.35">
      <c r="A5068" t="s">
        <v>4982</v>
      </c>
      <c r="B5068" s="1">
        <v>0</v>
      </c>
      <c r="C5068" t="s">
        <v>1530</v>
      </c>
      <c r="D5068" t="s">
        <v>5520</v>
      </c>
      <c r="E5068" t="s">
        <v>5102</v>
      </c>
      <c r="F5068" t="s">
        <v>5089</v>
      </c>
      <c r="G5068" t="s">
        <v>5045</v>
      </c>
      <c r="H5068" t="s">
        <v>2029</v>
      </c>
      <c r="J5068" t="s">
        <v>4982</v>
      </c>
      <c r="K5068">
        <v>229.1</v>
      </c>
    </row>
    <row r="5069" spans="1:11" x14ac:dyDescent="0.35">
      <c r="A5069" t="s">
        <v>4983</v>
      </c>
      <c r="B5069" s="1">
        <v>0</v>
      </c>
      <c r="C5069" t="s">
        <v>474</v>
      </c>
      <c r="D5069" t="s">
        <v>5511</v>
      </c>
      <c r="E5069" t="s">
        <v>5060</v>
      </c>
      <c r="F5069" t="s">
        <v>5089</v>
      </c>
      <c r="G5069" t="s">
        <v>5045</v>
      </c>
      <c r="H5069" t="s">
        <v>5684</v>
      </c>
      <c r="J5069" t="s">
        <v>4983</v>
      </c>
      <c r="K5069">
        <v>225</v>
      </c>
    </row>
    <row r="5070" spans="1:11" x14ac:dyDescent="0.35">
      <c r="A5070" t="s">
        <v>4985</v>
      </c>
      <c r="B5070" s="1">
        <v>0</v>
      </c>
      <c r="C5070" t="s">
        <v>1538</v>
      </c>
      <c r="D5070" t="s">
        <v>5271</v>
      </c>
      <c r="E5070" t="s">
        <v>5162</v>
      </c>
      <c r="F5070" t="s">
        <v>5089</v>
      </c>
      <c r="G5070" t="s">
        <v>5358</v>
      </c>
      <c r="H5070" t="s">
        <v>4980</v>
      </c>
      <c r="J5070" t="s">
        <v>4985</v>
      </c>
      <c r="K5070">
        <v>226.7</v>
      </c>
    </row>
    <row r="5071" spans="1:11" x14ac:dyDescent="0.35">
      <c r="A5071" t="s">
        <v>4986</v>
      </c>
      <c r="B5071" s="1">
        <v>0</v>
      </c>
      <c r="C5071" t="s">
        <v>2605</v>
      </c>
      <c r="D5071" t="s">
        <v>5583</v>
      </c>
      <c r="E5071" t="s">
        <v>5178</v>
      </c>
      <c r="F5071" t="s">
        <v>5089</v>
      </c>
      <c r="G5071" t="s">
        <v>5358</v>
      </c>
      <c r="H5071" t="s">
        <v>2476</v>
      </c>
      <c r="J5071" t="s">
        <v>4986</v>
      </c>
      <c r="K5071">
        <v>225.7</v>
      </c>
    </row>
    <row r="5072" spans="1:11" x14ac:dyDescent="0.35">
      <c r="A5072" t="s">
        <v>4987</v>
      </c>
      <c r="B5072" s="1">
        <v>0</v>
      </c>
      <c r="C5072" t="s">
        <v>325</v>
      </c>
      <c r="D5072" t="s">
        <v>5112</v>
      </c>
      <c r="E5072" t="s">
        <v>5219</v>
      </c>
      <c r="F5072" t="s">
        <v>5089</v>
      </c>
      <c r="G5072" t="s">
        <v>5045</v>
      </c>
      <c r="H5072" t="s">
        <v>5266</v>
      </c>
      <c r="J5072" t="s">
        <v>4987</v>
      </c>
      <c r="K5072">
        <v>218</v>
      </c>
    </row>
    <row r="5073" spans="1:11" x14ac:dyDescent="0.35">
      <c r="A5073" t="s">
        <v>4988</v>
      </c>
      <c r="B5073" s="1">
        <v>0</v>
      </c>
      <c r="C5073" t="s">
        <v>455</v>
      </c>
      <c r="D5073" t="s">
        <v>5530</v>
      </c>
      <c r="E5073" t="s">
        <v>5173</v>
      </c>
      <c r="F5073" t="s">
        <v>5089</v>
      </c>
      <c r="G5073" t="s">
        <v>5082</v>
      </c>
      <c r="H5073" t="s">
        <v>1316</v>
      </c>
      <c r="J5073" t="s">
        <v>4988</v>
      </c>
      <c r="K5073">
        <v>206.8</v>
      </c>
    </row>
    <row r="5074" spans="1:11" x14ac:dyDescent="0.35">
      <c r="A5074" t="s">
        <v>4989</v>
      </c>
      <c r="B5074" s="1">
        <v>0</v>
      </c>
      <c r="C5074" t="s">
        <v>1020</v>
      </c>
      <c r="D5074" t="s">
        <v>5250</v>
      </c>
      <c r="E5074" t="s">
        <v>5170</v>
      </c>
      <c r="F5074" t="s">
        <v>5089</v>
      </c>
      <c r="G5074" t="s">
        <v>5215</v>
      </c>
      <c r="H5074" t="s">
        <v>610</v>
      </c>
      <c r="J5074" t="s">
        <v>4989</v>
      </c>
      <c r="K5074">
        <v>195.3</v>
      </c>
    </row>
    <row r="5075" spans="1:11" x14ac:dyDescent="0.35">
      <c r="A5075" t="s">
        <v>4990</v>
      </c>
      <c r="B5075" s="1">
        <v>0</v>
      </c>
      <c r="C5075" t="s">
        <v>1879</v>
      </c>
      <c r="D5075" t="s">
        <v>5216</v>
      </c>
      <c r="E5075" t="s">
        <v>5055</v>
      </c>
      <c r="F5075" t="s">
        <v>5077</v>
      </c>
      <c r="G5075" t="s">
        <v>5183</v>
      </c>
      <c r="H5075" t="s">
        <v>1189</v>
      </c>
      <c r="J5075" t="s">
        <v>4990</v>
      </c>
      <c r="K5075">
        <v>193</v>
      </c>
    </row>
    <row r="5076" spans="1:11" x14ac:dyDescent="0.35">
      <c r="A5076" t="s">
        <v>4991</v>
      </c>
      <c r="B5076" s="1">
        <v>0</v>
      </c>
      <c r="C5076" t="s">
        <v>1054</v>
      </c>
      <c r="D5076" t="s">
        <v>5534</v>
      </c>
      <c r="E5076" t="s">
        <v>5169</v>
      </c>
      <c r="F5076" t="s">
        <v>5089</v>
      </c>
      <c r="G5076" t="s">
        <v>5475</v>
      </c>
      <c r="H5076" t="s">
        <v>3983</v>
      </c>
      <c r="J5076" t="s">
        <v>4991</v>
      </c>
      <c r="K5076">
        <v>195.5</v>
      </c>
    </row>
    <row r="5077" spans="1:11" x14ac:dyDescent="0.35">
      <c r="A5077" t="s">
        <v>4992</v>
      </c>
      <c r="B5077" s="1">
        <v>0</v>
      </c>
      <c r="C5077" t="s">
        <v>380</v>
      </c>
      <c r="D5077" t="s">
        <v>5254</v>
      </c>
      <c r="E5077" t="s">
        <v>5597</v>
      </c>
      <c r="F5077" t="s">
        <v>5077</v>
      </c>
      <c r="G5077" t="s">
        <v>5062</v>
      </c>
      <c r="H5077" t="s">
        <v>709</v>
      </c>
      <c r="J5077" t="s">
        <v>4992</v>
      </c>
      <c r="K5077">
        <v>187.6</v>
      </c>
    </row>
    <row r="5078" spans="1:11" x14ac:dyDescent="0.35">
      <c r="A5078" t="s">
        <v>4993</v>
      </c>
      <c r="B5078" s="1">
        <v>0</v>
      </c>
      <c r="C5078" t="s">
        <v>5403</v>
      </c>
      <c r="D5078" t="s">
        <v>5245</v>
      </c>
      <c r="E5078" t="s">
        <v>5426</v>
      </c>
      <c r="F5078" t="s">
        <v>5077</v>
      </c>
      <c r="G5078" t="s">
        <v>5412</v>
      </c>
      <c r="H5078" t="s">
        <v>707</v>
      </c>
      <c r="J5078" t="s">
        <v>4993</v>
      </c>
      <c r="K5078">
        <v>180</v>
      </c>
    </row>
    <row r="5079" spans="1:11" x14ac:dyDescent="0.35">
      <c r="A5079" t="s">
        <v>4994</v>
      </c>
      <c r="B5079" s="1">
        <v>0</v>
      </c>
      <c r="C5079" t="s">
        <v>2232</v>
      </c>
      <c r="D5079" t="s">
        <v>5458</v>
      </c>
      <c r="E5079" t="s">
        <v>5599</v>
      </c>
      <c r="F5079" t="s">
        <v>5077</v>
      </c>
      <c r="G5079" t="s">
        <v>5475</v>
      </c>
      <c r="H5079" t="s">
        <v>1339</v>
      </c>
      <c r="J5079" t="s">
        <v>4994</v>
      </c>
      <c r="K5079">
        <v>184.1</v>
      </c>
    </row>
    <row r="5080" spans="1:11" x14ac:dyDescent="0.35">
      <c r="A5080" t="s">
        <v>4995</v>
      </c>
      <c r="B5080" s="1">
        <v>0</v>
      </c>
      <c r="C5080" t="s">
        <v>1917</v>
      </c>
      <c r="D5080" t="s">
        <v>5485</v>
      </c>
      <c r="E5080" t="s">
        <v>5431</v>
      </c>
      <c r="F5080" t="s">
        <v>5077</v>
      </c>
      <c r="G5080" t="s">
        <v>5095</v>
      </c>
      <c r="H5080" t="s">
        <v>3075</v>
      </c>
      <c r="J5080" t="s">
        <v>4995</v>
      </c>
      <c r="K5080">
        <v>202.8</v>
      </c>
    </row>
    <row r="5081" spans="1:11" x14ac:dyDescent="0.35">
      <c r="A5081" t="s">
        <v>4996</v>
      </c>
      <c r="B5081" s="1">
        <v>0</v>
      </c>
      <c r="C5081" t="s">
        <v>1478</v>
      </c>
      <c r="D5081" t="s">
        <v>5248</v>
      </c>
      <c r="E5081" t="s">
        <v>5210</v>
      </c>
      <c r="F5081" t="s">
        <v>5089</v>
      </c>
      <c r="G5081" t="s">
        <v>5045</v>
      </c>
      <c r="H5081" t="s">
        <v>3037</v>
      </c>
      <c r="J5081" t="s">
        <v>4996</v>
      </c>
      <c r="K5081">
        <v>223.4</v>
      </c>
    </row>
    <row r="5082" spans="1:11" x14ac:dyDescent="0.35">
      <c r="A5082" t="s">
        <v>4997</v>
      </c>
      <c r="B5082" s="1">
        <v>0</v>
      </c>
      <c r="C5082" t="s">
        <v>3213</v>
      </c>
      <c r="D5082" t="s">
        <v>5521</v>
      </c>
      <c r="E5082" t="s">
        <v>5243</v>
      </c>
      <c r="F5082" t="s">
        <v>5089</v>
      </c>
      <c r="G5082" t="s">
        <v>5077</v>
      </c>
      <c r="H5082" t="s">
        <v>736</v>
      </c>
      <c r="J5082" t="s">
        <v>4997</v>
      </c>
      <c r="K5082">
        <v>235.8</v>
      </c>
    </row>
    <row r="5083" spans="1:11" x14ac:dyDescent="0.35">
      <c r="A5083" t="s">
        <v>4998</v>
      </c>
      <c r="B5083" s="1">
        <v>0</v>
      </c>
      <c r="C5083" t="s">
        <v>307</v>
      </c>
      <c r="D5083" t="s">
        <v>5611</v>
      </c>
      <c r="E5083" t="s">
        <v>5072</v>
      </c>
      <c r="F5083" t="s">
        <v>5089</v>
      </c>
      <c r="G5083" t="s">
        <v>5045</v>
      </c>
      <c r="H5083" t="s">
        <v>2473</v>
      </c>
      <c r="J5083" t="s">
        <v>4998</v>
      </c>
      <c r="K5083">
        <v>245.2</v>
      </c>
    </row>
    <row r="5084" spans="1:11" x14ac:dyDescent="0.35">
      <c r="A5084" t="s">
        <v>4999</v>
      </c>
      <c r="B5084" s="1">
        <v>0</v>
      </c>
      <c r="C5084" t="s">
        <v>4609</v>
      </c>
      <c r="D5084" t="s">
        <v>5656</v>
      </c>
      <c r="E5084" t="s">
        <v>5125</v>
      </c>
      <c r="F5084" t="s">
        <v>5089</v>
      </c>
      <c r="G5084" t="s">
        <v>5045</v>
      </c>
      <c r="H5084" t="s">
        <v>4608</v>
      </c>
      <c r="J5084" t="s">
        <v>4999</v>
      </c>
      <c r="K5084">
        <v>252.3</v>
      </c>
    </row>
    <row r="5085" spans="1:11" x14ac:dyDescent="0.35">
      <c r="A5085" t="s">
        <v>5000</v>
      </c>
      <c r="B5085" s="1">
        <v>0</v>
      </c>
      <c r="C5085" t="s">
        <v>1098</v>
      </c>
      <c r="D5085" t="s">
        <v>5516</v>
      </c>
      <c r="E5085" t="s">
        <v>5458</v>
      </c>
      <c r="F5085" t="s">
        <v>5338</v>
      </c>
      <c r="G5085" t="s">
        <v>5501</v>
      </c>
      <c r="H5085" t="s">
        <v>5851</v>
      </c>
      <c r="J5085" t="s">
        <v>5000</v>
      </c>
      <c r="K5085">
        <v>261.39999999999998</v>
      </c>
    </row>
    <row r="5086" spans="1:11" x14ac:dyDescent="0.35">
      <c r="A5086" t="s">
        <v>5002</v>
      </c>
      <c r="B5086" s="1">
        <v>0</v>
      </c>
      <c r="C5086" t="s">
        <v>3215</v>
      </c>
      <c r="D5086" t="s">
        <v>5472</v>
      </c>
      <c r="E5086" t="s">
        <v>5572</v>
      </c>
      <c r="F5086" t="s">
        <v>5338</v>
      </c>
      <c r="G5086" t="s">
        <v>5332</v>
      </c>
      <c r="H5086" t="s">
        <v>5801</v>
      </c>
      <c r="J5086" t="s">
        <v>5002</v>
      </c>
      <c r="K5086">
        <v>251.8</v>
      </c>
    </row>
    <row r="5087" spans="1:11" x14ac:dyDescent="0.35">
      <c r="A5087" t="s">
        <v>5003</v>
      </c>
      <c r="B5087" s="1">
        <v>0</v>
      </c>
      <c r="C5087" t="s">
        <v>2268</v>
      </c>
      <c r="D5087" t="s">
        <v>5214</v>
      </c>
      <c r="E5087" t="s">
        <v>5135</v>
      </c>
      <c r="F5087" t="s">
        <v>5338</v>
      </c>
      <c r="G5087" t="s">
        <v>5355</v>
      </c>
      <c r="H5087" t="s">
        <v>3045</v>
      </c>
      <c r="J5087" t="s">
        <v>5003</v>
      </c>
      <c r="K5087">
        <v>238.6</v>
      </c>
    </row>
    <row r="5088" spans="1:11" x14ac:dyDescent="0.35">
      <c r="A5088" t="s">
        <v>5005</v>
      </c>
      <c r="B5088" s="1">
        <v>0</v>
      </c>
      <c r="C5088" t="s">
        <v>1866</v>
      </c>
      <c r="D5088" t="s">
        <v>5507</v>
      </c>
      <c r="E5088" t="s">
        <v>5150</v>
      </c>
      <c r="F5088" t="s">
        <v>5338</v>
      </c>
      <c r="G5088" t="s">
        <v>5332</v>
      </c>
      <c r="H5088" t="s">
        <v>3939</v>
      </c>
      <c r="J5088" t="s">
        <v>5005</v>
      </c>
      <c r="K5088">
        <v>234.3</v>
      </c>
    </row>
    <row r="5089" spans="1:11" x14ac:dyDescent="0.35">
      <c r="A5089" t="s">
        <v>5006</v>
      </c>
      <c r="B5089" s="1">
        <v>0</v>
      </c>
      <c r="C5089" t="s">
        <v>1869</v>
      </c>
      <c r="D5089" t="s">
        <v>5507</v>
      </c>
      <c r="E5089" t="s">
        <v>5085</v>
      </c>
      <c r="F5089" t="s">
        <v>5338</v>
      </c>
      <c r="G5089" t="s">
        <v>5332</v>
      </c>
      <c r="H5089" t="s">
        <v>5037</v>
      </c>
      <c r="J5089" t="s">
        <v>5006</v>
      </c>
      <c r="K5089">
        <v>236.1</v>
      </c>
    </row>
    <row r="5090" spans="1:11" x14ac:dyDescent="0.35">
      <c r="A5090" t="s">
        <v>5007</v>
      </c>
      <c r="B5090" s="1">
        <v>0</v>
      </c>
      <c r="C5090" t="s">
        <v>460</v>
      </c>
      <c r="D5090" t="s">
        <v>5259</v>
      </c>
      <c r="E5090" t="s">
        <v>5218</v>
      </c>
      <c r="F5090" t="s">
        <v>5338</v>
      </c>
      <c r="G5090" t="s">
        <v>5493</v>
      </c>
      <c r="H5090" t="s">
        <v>624</v>
      </c>
      <c r="J5090" t="s">
        <v>5007</v>
      </c>
      <c r="K5090">
        <v>232.9</v>
      </c>
    </row>
    <row r="5091" spans="1:11" x14ac:dyDescent="0.35">
      <c r="A5091" t="s">
        <v>5008</v>
      </c>
      <c r="B5091" s="1">
        <v>0</v>
      </c>
      <c r="C5091" t="s">
        <v>462</v>
      </c>
      <c r="D5091" t="s">
        <v>5217</v>
      </c>
      <c r="E5091" t="s">
        <v>5251</v>
      </c>
      <c r="F5091" t="s">
        <v>5338</v>
      </c>
      <c r="G5091" t="s">
        <v>5136</v>
      </c>
      <c r="H5091" t="s">
        <v>2026</v>
      </c>
      <c r="J5091" t="s">
        <v>5008</v>
      </c>
      <c r="K5091">
        <v>230.5</v>
      </c>
    </row>
    <row r="5092" spans="1:11" x14ac:dyDescent="0.35">
      <c r="A5092" t="s">
        <v>5009</v>
      </c>
      <c r="B5092" s="1">
        <v>0</v>
      </c>
      <c r="C5092" t="s">
        <v>463</v>
      </c>
      <c r="D5092" t="s">
        <v>5612</v>
      </c>
      <c r="E5092" t="s">
        <v>5433</v>
      </c>
      <c r="F5092" t="s">
        <v>5338</v>
      </c>
      <c r="G5092" t="s">
        <v>5493</v>
      </c>
      <c r="H5092" t="s">
        <v>5037</v>
      </c>
      <c r="J5092" t="s">
        <v>5009</v>
      </c>
      <c r="K5092">
        <v>236.1</v>
      </c>
    </row>
    <row r="5093" spans="1:11" x14ac:dyDescent="0.35">
      <c r="A5093" t="s">
        <v>5011</v>
      </c>
      <c r="B5093" s="1">
        <v>0</v>
      </c>
      <c r="C5093" t="s">
        <v>1539</v>
      </c>
      <c r="D5093" t="s">
        <v>5656</v>
      </c>
      <c r="E5093" t="s">
        <v>5137</v>
      </c>
      <c r="F5093" t="s">
        <v>5338</v>
      </c>
      <c r="G5093" t="s">
        <v>5355</v>
      </c>
      <c r="H5093" t="s">
        <v>3048</v>
      </c>
      <c r="J5093" t="s">
        <v>5011</v>
      </c>
      <c r="K5093">
        <v>245.4</v>
      </c>
    </row>
    <row r="5094" spans="1:11" x14ac:dyDescent="0.35">
      <c r="A5094" t="s">
        <v>5012</v>
      </c>
      <c r="B5094" s="1">
        <v>0</v>
      </c>
      <c r="C5094" t="s">
        <v>4115</v>
      </c>
      <c r="D5094" t="s">
        <v>5639</v>
      </c>
      <c r="E5094" t="s">
        <v>5442</v>
      </c>
      <c r="F5094" t="s">
        <v>5338</v>
      </c>
      <c r="G5094" t="s">
        <v>5493</v>
      </c>
      <c r="H5094" t="s">
        <v>3600</v>
      </c>
      <c r="J5094" t="s">
        <v>5012</v>
      </c>
      <c r="K5094">
        <v>246.8</v>
      </c>
    </row>
    <row r="5095" spans="1:11" x14ac:dyDescent="0.35">
      <c r="A5095" t="s">
        <v>5013</v>
      </c>
      <c r="B5095" s="1">
        <v>0</v>
      </c>
      <c r="C5095" t="s">
        <v>2606</v>
      </c>
      <c r="D5095" t="s">
        <v>5408</v>
      </c>
      <c r="E5095" t="s">
        <v>5075</v>
      </c>
      <c r="F5095" t="s">
        <v>5338</v>
      </c>
      <c r="G5095" t="s">
        <v>5493</v>
      </c>
      <c r="H5095" t="s">
        <v>5759</v>
      </c>
      <c r="J5095" t="s">
        <v>5013</v>
      </c>
      <c r="K5095">
        <v>247.6</v>
      </c>
    </row>
    <row r="5096" spans="1:11" x14ac:dyDescent="0.35">
      <c r="A5096" t="s">
        <v>5014</v>
      </c>
      <c r="B5096" s="1">
        <v>0</v>
      </c>
      <c r="C5096" t="s">
        <v>4081</v>
      </c>
      <c r="D5096" t="s">
        <v>5561</v>
      </c>
      <c r="E5096" t="s">
        <v>5464</v>
      </c>
      <c r="F5096" t="s">
        <v>5338</v>
      </c>
      <c r="G5096" t="s">
        <v>5332</v>
      </c>
      <c r="H5096" t="s">
        <v>4041</v>
      </c>
      <c r="J5096" t="s">
        <v>5014</v>
      </c>
      <c r="K5096">
        <v>255.3</v>
      </c>
    </row>
    <row r="5097" spans="1:11" x14ac:dyDescent="0.35">
      <c r="A5097" t="s">
        <v>5015</v>
      </c>
      <c r="B5097" s="1">
        <v>0</v>
      </c>
      <c r="C5097" t="s">
        <v>2613</v>
      </c>
      <c r="D5097" t="s">
        <v>5263</v>
      </c>
      <c r="E5097" t="s">
        <v>5211</v>
      </c>
      <c r="F5097" t="s">
        <v>5338</v>
      </c>
      <c r="G5097" t="s">
        <v>5340</v>
      </c>
      <c r="H5097" t="s">
        <v>5852</v>
      </c>
      <c r="J5097" t="s">
        <v>5015</v>
      </c>
      <c r="K5097">
        <v>266.8</v>
      </c>
    </row>
    <row r="5098" spans="1:11" x14ac:dyDescent="0.35">
      <c r="A5098" t="s">
        <v>5018</v>
      </c>
      <c r="B5098" s="1">
        <v>0</v>
      </c>
      <c r="C5098" t="s">
        <v>1072</v>
      </c>
      <c r="D5098" t="s">
        <v>428</v>
      </c>
      <c r="E5098" t="s">
        <v>5190</v>
      </c>
      <c r="F5098" t="s">
        <v>5338</v>
      </c>
      <c r="G5098" t="s">
        <v>5188</v>
      </c>
      <c r="H5098" t="s">
        <v>5853</v>
      </c>
      <c r="J5098" t="s">
        <v>5018</v>
      </c>
      <c r="K5098">
        <v>274.39999999999998</v>
      </c>
    </row>
    <row r="5099" spans="1:11" x14ac:dyDescent="0.35">
      <c r="A5099" t="s">
        <v>5019</v>
      </c>
      <c r="B5099" s="1">
        <v>0</v>
      </c>
      <c r="C5099" t="s">
        <v>2288</v>
      </c>
      <c r="D5099" t="s">
        <v>5592</v>
      </c>
      <c r="E5099" t="s">
        <v>5505</v>
      </c>
      <c r="F5099" t="s">
        <v>5338</v>
      </c>
      <c r="G5099" t="s">
        <v>5205</v>
      </c>
      <c r="H5099" t="s">
        <v>5775</v>
      </c>
      <c r="J5099" t="s">
        <v>5019</v>
      </c>
      <c r="K5099">
        <v>268.39999999999998</v>
      </c>
    </row>
    <row r="5100" spans="1:11" x14ac:dyDescent="0.35">
      <c r="A5100" t="s">
        <v>5020</v>
      </c>
      <c r="B5100" s="1">
        <v>0</v>
      </c>
      <c r="C5100" t="s">
        <v>3214</v>
      </c>
      <c r="D5100" t="s">
        <v>5499</v>
      </c>
      <c r="E5100" t="s">
        <v>5135</v>
      </c>
      <c r="F5100" t="s">
        <v>5338</v>
      </c>
      <c r="G5100" t="s">
        <v>5166</v>
      </c>
      <c r="H5100" t="s">
        <v>2374</v>
      </c>
      <c r="J5100" t="s">
        <v>5020</v>
      </c>
      <c r="K5100">
        <v>250.5</v>
      </c>
    </row>
    <row r="5101" spans="1:11" x14ac:dyDescent="0.35">
      <c r="A5101" t="s">
        <v>5022</v>
      </c>
      <c r="B5101" s="1">
        <v>0</v>
      </c>
      <c r="C5101" t="s">
        <v>1864</v>
      </c>
      <c r="D5101" t="s">
        <v>5260</v>
      </c>
      <c r="E5101" t="s">
        <v>5093</v>
      </c>
      <c r="F5101" t="s">
        <v>5338</v>
      </c>
      <c r="G5101" t="s">
        <v>5333</v>
      </c>
      <c r="H5101" t="s">
        <v>5736</v>
      </c>
      <c r="J5101" t="s">
        <v>5022</v>
      </c>
      <c r="K5101">
        <v>237.2</v>
      </c>
    </row>
    <row r="5102" spans="1:11" x14ac:dyDescent="0.35">
      <c r="A5102" t="s">
        <v>5023</v>
      </c>
      <c r="B5102" s="1">
        <v>0</v>
      </c>
      <c r="C5102" t="s">
        <v>461</v>
      </c>
      <c r="D5102" t="s">
        <v>5617</v>
      </c>
      <c r="E5102" t="s">
        <v>5118</v>
      </c>
      <c r="F5102" t="s">
        <v>5152</v>
      </c>
      <c r="G5102" t="s">
        <v>5355</v>
      </c>
      <c r="H5102" t="s">
        <v>1308</v>
      </c>
      <c r="J5102" t="s">
        <v>5023</v>
      </c>
      <c r="K5102">
        <v>232.1</v>
      </c>
    </row>
    <row r="5103" spans="1:11" x14ac:dyDescent="0.35">
      <c r="A5103" t="s">
        <v>5024</v>
      </c>
      <c r="B5103" s="1">
        <v>0</v>
      </c>
      <c r="C5103" t="s">
        <v>346</v>
      </c>
      <c r="D5103" t="s">
        <v>5602</v>
      </c>
      <c r="E5103" t="s">
        <v>5433</v>
      </c>
      <c r="F5103" t="s">
        <v>5152</v>
      </c>
      <c r="G5103" t="s">
        <v>5356</v>
      </c>
      <c r="H5103" t="s">
        <v>2840</v>
      </c>
      <c r="J5103" t="s">
        <v>5024</v>
      </c>
      <c r="K5103">
        <v>226.5</v>
      </c>
    </row>
    <row r="5104" spans="1:11" x14ac:dyDescent="0.35">
      <c r="A5104" t="s">
        <v>5026</v>
      </c>
      <c r="B5104" s="1">
        <v>0</v>
      </c>
      <c r="C5104" t="s">
        <v>1059</v>
      </c>
      <c r="D5104" t="s">
        <v>5497</v>
      </c>
      <c r="E5104" t="s">
        <v>5253</v>
      </c>
      <c r="F5104" t="s">
        <v>5152</v>
      </c>
      <c r="G5104" t="s">
        <v>5089</v>
      </c>
      <c r="H5104" t="s">
        <v>5697</v>
      </c>
      <c r="J5104" t="s">
        <v>5026</v>
      </c>
      <c r="K5104">
        <v>221.8</v>
      </c>
    </row>
    <row r="5105" spans="1:11" x14ac:dyDescent="0.35">
      <c r="A5105" t="s">
        <v>5027</v>
      </c>
      <c r="B5105" s="1">
        <v>0</v>
      </c>
      <c r="C5105" t="s">
        <v>1525</v>
      </c>
      <c r="D5105" t="s">
        <v>5212</v>
      </c>
      <c r="E5105" t="s">
        <v>5093</v>
      </c>
      <c r="F5105" t="s">
        <v>5152</v>
      </c>
      <c r="G5105" t="s">
        <v>5045</v>
      </c>
      <c r="H5105" t="s">
        <v>616</v>
      </c>
      <c r="J5105" t="s">
        <v>5027</v>
      </c>
      <c r="K5105">
        <v>218.7</v>
      </c>
    </row>
    <row r="5106" spans="1:11" x14ac:dyDescent="0.35">
      <c r="A5106" t="s">
        <v>5029</v>
      </c>
      <c r="B5106" s="1">
        <v>0</v>
      </c>
      <c r="C5106" t="s">
        <v>1528</v>
      </c>
      <c r="D5106" t="s">
        <v>5242</v>
      </c>
      <c r="E5106" t="s">
        <v>5072</v>
      </c>
      <c r="F5106" t="s">
        <v>5338</v>
      </c>
      <c r="G5106" t="s">
        <v>5077</v>
      </c>
      <c r="H5106" t="s">
        <v>1704</v>
      </c>
      <c r="J5106" t="s">
        <v>5029</v>
      </c>
      <c r="K5106">
        <v>219</v>
      </c>
    </row>
    <row r="5107" spans="1:11" x14ac:dyDescent="0.35">
      <c r="A5107" t="s">
        <v>5030</v>
      </c>
      <c r="B5107" s="1">
        <v>0</v>
      </c>
      <c r="C5107" t="s">
        <v>445</v>
      </c>
      <c r="D5107" t="s">
        <v>5554</v>
      </c>
      <c r="E5107" t="s">
        <v>5123</v>
      </c>
      <c r="F5107" t="s">
        <v>5338</v>
      </c>
      <c r="G5107" t="s">
        <v>5089</v>
      </c>
      <c r="H5107" t="s">
        <v>2405</v>
      </c>
      <c r="J5107" t="s">
        <v>5030</v>
      </c>
      <c r="K5107">
        <v>214.3</v>
      </c>
    </row>
    <row r="5108" spans="1:11" x14ac:dyDescent="0.35">
      <c r="A5108" t="s">
        <v>5031</v>
      </c>
      <c r="B5108" s="1">
        <v>0</v>
      </c>
      <c r="C5108" t="s">
        <v>3211</v>
      </c>
      <c r="D5108" t="s">
        <v>5532</v>
      </c>
      <c r="E5108" t="s">
        <v>5192</v>
      </c>
      <c r="F5108" t="s">
        <v>5152</v>
      </c>
      <c r="G5108" t="s">
        <v>5089</v>
      </c>
      <c r="H5108" t="s">
        <v>656</v>
      </c>
      <c r="J5108" t="s">
        <v>5031</v>
      </c>
      <c r="K5108">
        <v>207.3</v>
      </c>
    </row>
    <row r="5109" spans="1:11" x14ac:dyDescent="0.35">
      <c r="A5109" t="s">
        <v>5032</v>
      </c>
      <c r="B5109" s="1">
        <v>0</v>
      </c>
      <c r="C5109" t="s">
        <v>4641</v>
      </c>
      <c r="D5109" t="s">
        <v>5447</v>
      </c>
      <c r="E5109" t="s">
        <v>5208</v>
      </c>
      <c r="F5109" t="s">
        <v>5152</v>
      </c>
      <c r="G5109" t="s">
        <v>5358</v>
      </c>
      <c r="H5109" t="s">
        <v>5812</v>
      </c>
      <c r="J5109" t="s">
        <v>5032</v>
      </c>
      <c r="K5109">
        <v>202.7</v>
      </c>
    </row>
    <row r="5110" spans="1:11" x14ac:dyDescent="0.35">
      <c r="A5110" t="s">
        <v>5033</v>
      </c>
      <c r="B5110" s="1">
        <v>0</v>
      </c>
      <c r="C5110" t="s">
        <v>413</v>
      </c>
      <c r="D5110" t="s">
        <v>5097</v>
      </c>
      <c r="E5110" t="s">
        <v>5071</v>
      </c>
      <c r="F5110" t="s">
        <v>5152</v>
      </c>
      <c r="G5110" t="s">
        <v>5358</v>
      </c>
      <c r="H5110" t="s">
        <v>1198</v>
      </c>
      <c r="J5110" t="s">
        <v>5033</v>
      </c>
      <c r="K5110">
        <v>200.9</v>
      </c>
    </row>
    <row r="5111" spans="1:11" x14ac:dyDescent="0.35">
      <c r="A5111" t="s">
        <v>5034</v>
      </c>
      <c r="B5111" s="1">
        <v>0</v>
      </c>
      <c r="C5111" t="s">
        <v>1911</v>
      </c>
      <c r="D5111" t="s">
        <v>5374</v>
      </c>
      <c r="E5111" t="s">
        <v>5071</v>
      </c>
      <c r="F5111" t="s">
        <v>5152</v>
      </c>
      <c r="G5111" t="s">
        <v>5132</v>
      </c>
      <c r="H5111" t="s">
        <v>216</v>
      </c>
      <c r="J5111" t="s">
        <v>5034</v>
      </c>
      <c r="K5111">
        <v>202.3</v>
      </c>
    </row>
    <row r="5112" spans="1:11" x14ac:dyDescent="0.35">
      <c r="A5112" t="s">
        <v>5035</v>
      </c>
      <c r="B5112" s="1">
        <v>0</v>
      </c>
      <c r="C5112" t="s">
        <v>330</v>
      </c>
      <c r="D5112" t="s">
        <v>5481</v>
      </c>
      <c r="E5112" t="s">
        <v>5239</v>
      </c>
      <c r="F5112" t="s">
        <v>5338</v>
      </c>
      <c r="G5112" t="s">
        <v>5355</v>
      </c>
      <c r="H5112" t="s">
        <v>660</v>
      </c>
      <c r="J5112" t="s">
        <v>5035</v>
      </c>
      <c r="K5112">
        <v>216.2</v>
      </c>
    </row>
    <row r="5113" spans="1:11" x14ac:dyDescent="0.35">
      <c r="A5113" t="s">
        <v>5036</v>
      </c>
      <c r="B5113" s="1">
        <v>0</v>
      </c>
      <c r="C5113" t="s">
        <v>3219</v>
      </c>
      <c r="D5113" t="s">
        <v>5619</v>
      </c>
      <c r="E5113" t="s">
        <v>5074</v>
      </c>
      <c r="F5113" t="s">
        <v>5338</v>
      </c>
      <c r="G5113" t="s">
        <v>5166</v>
      </c>
      <c r="H5113" t="s">
        <v>3637</v>
      </c>
      <c r="J5113" t="s">
        <v>5036</v>
      </c>
      <c r="K5113">
        <v>239.2</v>
      </c>
    </row>
    <row r="5114" spans="1:11" x14ac:dyDescent="0.35">
      <c r="A5114" t="s">
        <v>5038</v>
      </c>
      <c r="B5114" s="1">
        <v>0</v>
      </c>
      <c r="C5114" t="s">
        <v>2226</v>
      </c>
      <c r="D5114" t="s">
        <v>5628</v>
      </c>
      <c r="E5114" t="s">
        <v>5245</v>
      </c>
      <c r="F5114" t="s">
        <v>5338</v>
      </c>
      <c r="G5114" t="s">
        <v>5205</v>
      </c>
      <c r="H5114" t="s">
        <v>2830</v>
      </c>
      <c r="J5114" t="s">
        <v>5038</v>
      </c>
      <c r="K5114">
        <v>259</v>
      </c>
    </row>
    <row r="5115" spans="1:11" x14ac:dyDescent="0.35">
      <c r="B5115" s="1"/>
    </row>
    <row r="5116" spans="1:11" x14ac:dyDescent="0.35">
      <c r="B5116" s="1"/>
      <c r="H5116">
        <f>MIN(H2:H5114)</f>
        <v>0</v>
      </c>
      <c r="K5116">
        <v>0</v>
      </c>
    </row>
    <row r="5117" spans="1:11" x14ac:dyDescent="0.35">
      <c r="B5117" s="1"/>
    </row>
    <row r="5118" spans="1:11" x14ac:dyDescent="0.35">
      <c r="B5118" s="1"/>
    </row>
    <row r="5119" spans="1:11" x14ac:dyDescent="0.35">
      <c r="B5119" s="1"/>
    </row>
    <row r="5120" spans="1:11" x14ac:dyDescent="0.35">
      <c r="B5120" s="1"/>
    </row>
    <row r="5121" spans="2:2" x14ac:dyDescent="0.35">
      <c r="B5121" s="1"/>
    </row>
    <row r="5122" spans="2:2" x14ac:dyDescent="0.35">
      <c r="B5122" s="1"/>
    </row>
    <row r="5123" spans="2:2" x14ac:dyDescent="0.35">
      <c r="B5123" s="1"/>
    </row>
    <row r="5124" spans="2:2" x14ac:dyDescent="0.35">
      <c r="B5124" s="1"/>
    </row>
    <row r="5125" spans="2:2" x14ac:dyDescent="0.35">
      <c r="B5125" s="1"/>
    </row>
    <row r="5126" spans="2:2" x14ac:dyDescent="0.35">
      <c r="B5126" s="1"/>
    </row>
    <row r="5127" spans="2:2" x14ac:dyDescent="0.35">
      <c r="B5127" s="1"/>
    </row>
    <row r="5128" spans="2:2" x14ac:dyDescent="0.35">
      <c r="B5128" s="1"/>
    </row>
    <row r="5129" spans="2:2" x14ac:dyDescent="0.35">
      <c r="B5129" s="1"/>
    </row>
    <row r="5130" spans="2:2" x14ac:dyDescent="0.35">
      <c r="B5130" s="1"/>
    </row>
    <row r="5131" spans="2:2" x14ac:dyDescent="0.35">
      <c r="B5131" s="1"/>
    </row>
    <row r="5132" spans="2:2" x14ac:dyDescent="0.35">
      <c r="B5132" s="1"/>
    </row>
    <row r="5133" spans="2:2" x14ac:dyDescent="0.35">
      <c r="B5133" s="1"/>
    </row>
    <row r="5134" spans="2:2" x14ac:dyDescent="0.35">
      <c r="B5134" s="1"/>
    </row>
    <row r="5135" spans="2:2" x14ac:dyDescent="0.35">
      <c r="B5135" s="1"/>
    </row>
    <row r="5136" spans="2:2" x14ac:dyDescent="0.35">
      <c r="B5136" s="1"/>
    </row>
    <row r="5137" spans="2:2" x14ac:dyDescent="0.35">
      <c r="B5137" s="1"/>
    </row>
    <row r="5138" spans="2:2" x14ac:dyDescent="0.35">
      <c r="B5138" s="1"/>
    </row>
    <row r="5139" spans="2:2" x14ac:dyDescent="0.35">
      <c r="B5139" s="1"/>
    </row>
    <row r="5140" spans="2:2" x14ac:dyDescent="0.35">
      <c r="B5140" s="1"/>
    </row>
    <row r="5141" spans="2:2" x14ac:dyDescent="0.35">
      <c r="B5141" s="1"/>
    </row>
    <row r="5142" spans="2:2" x14ac:dyDescent="0.35">
      <c r="B5142" s="1"/>
    </row>
    <row r="5143" spans="2:2" x14ac:dyDescent="0.35">
      <c r="B5143" s="1"/>
    </row>
    <row r="5144" spans="2:2" x14ac:dyDescent="0.35">
      <c r="B5144" s="1"/>
    </row>
    <row r="5145" spans="2:2" x14ac:dyDescent="0.35">
      <c r="B5145" s="1"/>
    </row>
    <row r="5146" spans="2:2" x14ac:dyDescent="0.35">
      <c r="B5146" s="1"/>
    </row>
    <row r="5147" spans="2:2" x14ac:dyDescent="0.35">
      <c r="B5147" s="1"/>
    </row>
    <row r="5148" spans="2:2" x14ac:dyDescent="0.35">
      <c r="B5148" s="1"/>
    </row>
    <row r="5149" spans="2:2" x14ac:dyDescent="0.35">
      <c r="B5149" s="1"/>
    </row>
    <row r="5150" spans="2:2" x14ac:dyDescent="0.35">
      <c r="B5150" s="1"/>
    </row>
    <row r="5151" spans="2:2" x14ac:dyDescent="0.35">
      <c r="B5151" s="1"/>
    </row>
    <row r="5152" spans="2:2" x14ac:dyDescent="0.35">
      <c r="B5152" s="1"/>
    </row>
    <row r="5153" spans="2:2" x14ac:dyDescent="0.35">
      <c r="B5153" s="1"/>
    </row>
    <row r="5154" spans="2:2" x14ac:dyDescent="0.35">
      <c r="B5154" s="1"/>
    </row>
    <row r="5155" spans="2:2" x14ac:dyDescent="0.35">
      <c r="B5155" s="1"/>
    </row>
    <row r="5156" spans="2:2" x14ac:dyDescent="0.35">
      <c r="B5156" s="1"/>
    </row>
    <row r="5157" spans="2:2" x14ac:dyDescent="0.35">
      <c r="B5157" s="1"/>
    </row>
    <row r="5158" spans="2:2" x14ac:dyDescent="0.35">
      <c r="B5158" s="1"/>
    </row>
    <row r="5159" spans="2:2" x14ac:dyDescent="0.35">
      <c r="B5159" s="1"/>
    </row>
    <row r="5160" spans="2:2" x14ac:dyDescent="0.35">
      <c r="B5160" s="1"/>
    </row>
    <row r="5161" spans="2:2" x14ac:dyDescent="0.35">
      <c r="B5161" s="1"/>
    </row>
    <row r="5162" spans="2:2" x14ac:dyDescent="0.35">
      <c r="B5162" s="1"/>
    </row>
    <row r="5163" spans="2:2" x14ac:dyDescent="0.35">
      <c r="B5163" s="1"/>
    </row>
    <row r="5164" spans="2:2" x14ac:dyDescent="0.35">
      <c r="B5164" s="1"/>
    </row>
    <row r="5165" spans="2:2" x14ac:dyDescent="0.35">
      <c r="B5165" s="1"/>
    </row>
    <row r="5166" spans="2:2" x14ac:dyDescent="0.35">
      <c r="B5166" s="1"/>
    </row>
    <row r="5167" spans="2:2" x14ac:dyDescent="0.35">
      <c r="B5167" s="1"/>
    </row>
    <row r="5168" spans="2:2" x14ac:dyDescent="0.35">
      <c r="B5168" s="1"/>
    </row>
    <row r="5169" spans="1:10" x14ac:dyDescent="0.35">
      <c r="B5169" s="1"/>
    </row>
    <row r="5170" spans="1:10" x14ac:dyDescent="0.35">
      <c r="B5170" s="1"/>
    </row>
    <row r="5171" spans="1:10" x14ac:dyDescent="0.35">
      <c r="B5171" s="1"/>
    </row>
    <row r="5172" spans="1:10" x14ac:dyDescent="0.35">
      <c r="B5172" s="1"/>
    </row>
    <row r="5173" spans="1:10" x14ac:dyDescent="0.35">
      <c r="B5173" s="1"/>
    </row>
    <row r="5174" spans="1:10" x14ac:dyDescent="0.35">
      <c r="A5174" s="2"/>
      <c r="B5174" s="1"/>
      <c r="J5174" s="2"/>
    </row>
    <row r="5175" spans="1:10" x14ac:dyDescent="0.35">
      <c r="A5175" s="2"/>
      <c r="B5175" s="1"/>
      <c r="J5175" s="2"/>
    </row>
    <row r="5176" spans="1:10" x14ac:dyDescent="0.35">
      <c r="A5176" s="2"/>
      <c r="B5176" s="1"/>
      <c r="J5176" s="2"/>
    </row>
    <row r="5177" spans="1:10" x14ac:dyDescent="0.35">
      <c r="A5177" s="2"/>
      <c r="B5177" s="1"/>
      <c r="J5177" s="2"/>
    </row>
    <row r="5178" spans="1:10" x14ac:dyDescent="0.35">
      <c r="A5178" s="2"/>
      <c r="B5178" s="1"/>
      <c r="J5178" s="2"/>
    </row>
    <row r="5179" spans="1:10" x14ac:dyDescent="0.35">
      <c r="A5179" s="2"/>
      <c r="B5179" s="1"/>
      <c r="J5179" s="2"/>
    </row>
    <row r="5180" spans="1:10" x14ac:dyDescent="0.35">
      <c r="A5180" s="2"/>
      <c r="B5180" s="1"/>
      <c r="J5180" s="2"/>
    </row>
    <row r="5181" spans="1:10" x14ac:dyDescent="0.35">
      <c r="A5181" s="2"/>
      <c r="B5181" s="1"/>
      <c r="J5181" s="2"/>
    </row>
    <row r="5182" spans="1:10" x14ac:dyDescent="0.35">
      <c r="A5182" s="2"/>
      <c r="B5182" s="1"/>
      <c r="J5182" s="2"/>
    </row>
    <row r="5183" spans="1:10" x14ac:dyDescent="0.35">
      <c r="A5183" s="2"/>
      <c r="B5183" s="1"/>
      <c r="J5183" s="2"/>
    </row>
    <row r="5184" spans="1:10" x14ac:dyDescent="0.35">
      <c r="A5184" s="2"/>
      <c r="B5184" s="1"/>
      <c r="J5184" s="2"/>
    </row>
    <row r="5185" spans="1:10" x14ac:dyDescent="0.35">
      <c r="A5185" s="2"/>
      <c r="B5185" s="1"/>
      <c r="J5185" s="2"/>
    </row>
    <row r="5186" spans="1:10" x14ac:dyDescent="0.35">
      <c r="A5186" s="2"/>
      <c r="B5186" s="1"/>
      <c r="J5186" s="2"/>
    </row>
    <row r="5187" spans="1:10" x14ac:dyDescent="0.35">
      <c r="A5187" s="2"/>
      <c r="B5187" s="1"/>
      <c r="J5187" s="2"/>
    </row>
    <row r="5188" spans="1:10" x14ac:dyDescent="0.35">
      <c r="A5188" s="2"/>
      <c r="B5188" s="1"/>
      <c r="J5188" s="2"/>
    </row>
    <row r="5189" spans="1:10" x14ac:dyDescent="0.35">
      <c r="A5189" s="2"/>
      <c r="B5189" s="1"/>
      <c r="J5189" s="2"/>
    </row>
    <row r="5190" spans="1:10" x14ac:dyDescent="0.35">
      <c r="A5190" s="2"/>
      <c r="B5190" s="1"/>
      <c r="J5190" s="2"/>
    </row>
    <row r="5191" spans="1:10" x14ac:dyDescent="0.35">
      <c r="A5191" s="2"/>
      <c r="B5191" s="1"/>
      <c r="J5191" s="2"/>
    </row>
    <row r="5192" spans="1:10" x14ac:dyDescent="0.35">
      <c r="A5192" s="2"/>
      <c r="B5192" s="1"/>
      <c r="J5192" s="2"/>
    </row>
    <row r="5193" spans="1:10" x14ac:dyDescent="0.35">
      <c r="A5193" s="2"/>
      <c r="B5193" s="1"/>
      <c r="J5193" s="2"/>
    </row>
    <row r="5194" spans="1:10" x14ac:dyDescent="0.35">
      <c r="A5194" s="2"/>
      <c r="B5194" s="1"/>
      <c r="J5194" s="2"/>
    </row>
  </sheetData>
  <autoFilter ref="H1:H5194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W5192"/>
  <sheetViews>
    <sheetView workbookViewId="0">
      <selection activeCell="I8" sqref="I8"/>
    </sheetView>
  </sheetViews>
  <sheetFormatPr baseColWidth="10" defaultRowHeight="14.5" x14ac:dyDescent="0.35"/>
  <cols>
    <col min="1" max="1" width="4" customWidth="1"/>
    <col min="2" max="2" width="28.26953125" style="9" bestFit="1" customWidth="1"/>
    <col min="3" max="3" width="7.54296875" style="12" bestFit="1" customWidth="1"/>
    <col min="4" max="4" width="11.81640625" bestFit="1" customWidth="1"/>
    <col min="5" max="5" width="3.81640625" customWidth="1"/>
    <col min="6" max="6" width="19.54296875" bestFit="1" customWidth="1"/>
    <col min="7" max="7" width="6.6328125" bestFit="1" customWidth="1"/>
    <col min="8" max="8" width="4.90625" bestFit="1" customWidth="1"/>
    <col min="9" max="9" width="11.1796875" bestFit="1" customWidth="1"/>
    <col min="10" max="10" width="9.453125" bestFit="1" customWidth="1"/>
    <col min="11" max="11" width="4.90625" bestFit="1" customWidth="1"/>
    <col min="12" max="12" width="14.54296875" bestFit="1" customWidth="1"/>
    <col min="13" max="13" width="6.1796875" bestFit="1" customWidth="1"/>
    <col min="14" max="14" width="11" bestFit="1" customWidth="1"/>
    <col min="15" max="15" width="18.81640625" bestFit="1" customWidth="1"/>
    <col min="16" max="16" width="10.08984375" customWidth="1"/>
    <col min="17" max="17" width="10.26953125" customWidth="1"/>
    <col min="18" max="18" width="6.26953125" customWidth="1"/>
    <col min="19" max="19" width="7.453125" customWidth="1"/>
  </cols>
  <sheetData>
    <row r="1" spans="2:23" x14ac:dyDescent="0.35">
      <c r="B1" s="9" t="s">
        <v>5914</v>
      </c>
      <c r="C1" s="12" t="s">
        <v>5913</v>
      </c>
      <c r="G1" t="s">
        <v>5889</v>
      </c>
      <c r="H1" t="s">
        <v>5890</v>
      </c>
      <c r="I1" t="s">
        <v>5915</v>
      </c>
      <c r="J1" t="s">
        <v>5912</v>
      </c>
      <c r="K1" t="s">
        <v>5890</v>
      </c>
      <c r="L1" t="s">
        <v>5910</v>
      </c>
      <c r="M1" t="s">
        <v>5893</v>
      </c>
      <c r="N1" t="s">
        <v>5916</v>
      </c>
      <c r="O1" t="s">
        <v>5917</v>
      </c>
      <c r="P1" t="s">
        <v>5908</v>
      </c>
      <c r="Q1" t="s">
        <v>5911</v>
      </c>
      <c r="V1" t="s">
        <v>5893</v>
      </c>
      <c r="W1" t="s">
        <v>5909</v>
      </c>
    </row>
    <row r="2" spans="2:23" x14ac:dyDescent="0.35">
      <c r="B2" s="9">
        <v>39814</v>
      </c>
      <c r="C2" s="12">
        <v>172</v>
      </c>
      <c r="D2">
        <f>AVERAGE(C2:C32)</f>
        <v>97.616129032258044</v>
      </c>
      <c r="F2" s="8">
        <v>39814</v>
      </c>
      <c r="G2">
        <v>31</v>
      </c>
      <c r="H2">
        <v>31</v>
      </c>
      <c r="I2">
        <v>31</v>
      </c>
      <c r="J2" s="8">
        <v>39814</v>
      </c>
      <c r="K2">
        <v>31</v>
      </c>
      <c r="L2">
        <f>SUM(K2:K13)</f>
        <v>272</v>
      </c>
      <c r="M2">
        <v>2009</v>
      </c>
      <c r="N2">
        <f>SUM(K2:K13)</f>
        <v>272</v>
      </c>
      <c r="O2">
        <f>N2+P2</f>
        <v>346</v>
      </c>
      <c r="P2">
        <f>SUM(I7:I9)</f>
        <v>74</v>
      </c>
      <c r="Q2" t="s">
        <v>5907</v>
      </c>
      <c r="S2" t="s">
        <v>5906</v>
      </c>
      <c r="V2">
        <v>2009</v>
      </c>
      <c r="W2">
        <v>292</v>
      </c>
    </row>
    <row r="3" spans="2:23" x14ac:dyDescent="0.35">
      <c r="B3" s="9">
        <v>39815</v>
      </c>
      <c r="C3" s="12">
        <v>156.1</v>
      </c>
      <c r="D3" t="s">
        <v>5877</v>
      </c>
      <c r="F3" s="8">
        <v>39845</v>
      </c>
      <c r="G3">
        <v>28</v>
      </c>
      <c r="H3">
        <v>28</v>
      </c>
      <c r="I3">
        <v>28</v>
      </c>
      <c r="J3" s="8">
        <v>39845</v>
      </c>
      <c r="K3">
        <v>28</v>
      </c>
      <c r="M3">
        <v>2010</v>
      </c>
      <c r="N3">
        <f>SUM(K14:K25)</f>
        <v>273</v>
      </c>
      <c r="O3">
        <f t="shared" ref="O3:O15" si="0">N3+P3</f>
        <v>349</v>
      </c>
      <c r="P3">
        <f>SUM(I19:I21)</f>
        <v>76</v>
      </c>
      <c r="Q3" t="s">
        <v>5905</v>
      </c>
      <c r="R3">
        <f>AVERAGE(K2,K14,K26,K38,K50,K74,K86,K98,K110,K122,K134,K146,K158)</f>
        <v>31</v>
      </c>
      <c r="S3">
        <f>ROUNDDOWN(R3,0)</f>
        <v>31</v>
      </c>
      <c r="V3">
        <v>2010</v>
      </c>
      <c r="W3">
        <v>288</v>
      </c>
    </row>
    <row r="4" spans="2:23" x14ac:dyDescent="0.35">
      <c r="B4" s="9">
        <v>39816</v>
      </c>
      <c r="C4" s="12">
        <v>128.5</v>
      </c>
      <c r="D4" t="s">
        <v>5877</v>
      </c>
      <c r="F4" s="8">
        <v>39873</v>
      </c>
      <c r="G4">
        <v>31</v>
      </c>
      <c r="H4">
        <v>31</v>
      </c>
      <c r="I4">
        <v>31</v>
      </c>
      <c r="J4" s="8">
        <v>39873</v>
      </c>
      <c r="K4">
        <v>31</v>
      </c>
      <c r="M4">
        <v>2011</v>
      </c>
      <c r="N4">
        <f>SUM(K26:K37)</f>
        <v>273</v>
      </c>
      <c r="O4">
        <f t="shared" si="0"/>
        <v>343</v>
      </c>
      <c r="P4">
        <f>SUM(I31:I33)</f>
        <v>70</v>
      </c>
      <c r="Q4" t="s">
        <v>5904</v>
      </c>
      <c r="R4">
        <f>AVERAGE(K3,K15,K27,K39,K51,K75,K87,K99,K111,K123,K135,K147,K159)</f>
        <v>28.23076923076923</v>
      </c>
      <c r="S4">
        <f t="shared" ref="S4:S14" si="1">ROUNDDOWN(R4,0)</f>
        <v>28</v>
      </c>
      <c r="V4">
        <v>2011</v>
      </c>
      <c r="W4">
        <v>300</v>
      </c>
    </row>
    <row r="5" spans="2:23" x14ac:dyDescent="0.35">
      <c r="B5" s="9">
        <v>39817</v>
      </c>
      <c r="C5" s="12">
        <v>107.8</v>
      </c>
      <c r="D5" t="s">
        <v>5877</v>
      </c>
      <c r="F5" s="8">
        <v>39904</v>
      </c>
      <c r="G5">
        <v>30</v>
      </c>
      <c r="H5">
        <v>30</v>
      </c>
      <c r="I5">
        <v>30</v>
      </c>
      <c r="J5" s="8">
        <v>39904</v>
      </c>
      <c r="K5">
        <v>30</v>
      </c>
      <c r="M5">
        <v>2012</v>
      </c>
      <c r="N5">
        <f>SUM(K38:K49)</f>
        <v>274</v>
      </c>
      <c r="O5">
        <f t="shared" si="0"/>
        <v>345</v>
      </c>
      <c r="P5">
        <f>SUM(I43:I45)</f>
        <v>71</v>
      </c>
      <c r="Q5" t="s">
        <v>5903</v>
      </c>
      <c r="R5">
        <f>AVERAGE(K4,K16,K28,K40,K52,K76,K88,K100,K112,K124,K136,K148,K160)</f>
        <v>31</v>
      </c>
      <c r="S5">
        <f t="shared" si="1"/>
        <v>31</v>
      </c>
      <c r="V5">
        <v>2012</v>
      </c>
      <c r="W5">
        <v>285</v>
      </c>
    </row>
    <row r="6" spans="2:23" x14ac:dyDescent="0.35">
      <c r="B6" s="9">
        <v>39818</v>
      </c>
      <c r="C6" s="12">
        <v>92.8</v>
      </c>
      <c r="D6" t="s">
        <v>5877</v>
      </c>
      <c r="F6" s="8">
        <v>39934</v>
      </c>
      <c r="G6">
        <v>31</v>
      </c>
      <c r="H6">
        <v>31</v>
      </c>
      <c r="I6">
        <v>31</v>
      </c>
      <c r="J6" s="8">
        <v>39934</v>
      </c>
      <c r="K6">
        <v>31</v>
      </c>
      <c r="M6">
        <v>2013</v>
      </c>
      <c r="N6">
        <f>SUM(K50:K61)</f>
        <v>273</v>
      </c>
      <c r="O6">
        <f t="shared" si="0"/>
        <v>351</v>
      </c>
      <c r="P6">
        <f>SUM(I55:I57)</f>
        <v>78</v>
      </c>
      <c r="Q6" t="s">
        <v>5902</v>
      </c>
      <c r="R6">
        <f>AVERAGE(K5,K17,K29,K41,K53,K77,K89,K101,K113,K125,K137,K149,K161)</f>
        <v>30</v>
      </c>
      <c r="S6">
        <f t="shared" si="1"/>
        <v>30</v>
      </c>
      <c r="V6">
        <v>2013</v>
      </c>
      <c r="W6">
        <v>287</v>
      </c>
    </row>
    <row r="7" spans="2:23" x14ac:dyDescent="0.35">
      <c r="B7" s="9">
        <v>39819</v>
      </c>
      <c r="C7" s="12">
        <v>82.1</v>
      </c>
      <c r="D7" t="s">
        <v>5877</v>
      </c>
      <c r="F7" s="8">
        <v>39965</v>
      </c>
      <c r="G7" s="11">
        <v>30</v>
      </c>
      <c r="H7" s="11">
        <v>13</v>
      </c>
      <c r="I7" s="11">
        <v>30</v>
      </c>
      <c r="J7" s="8">
        <v>39965</v>
      </c>
      <c r="K7" s="11">
        <v>0</v>
      </c>
      <c r="M7">
        <v>2014</v>
      </c>
      <c r="N7">
        <f>SUM(K62:K73)</f>
        <v>273</v>
      </c>
      <c r="O7">
        <f t="shared" si="0"/>
        <v>343</v>
      </c>
      <c r="P7">
        <f>SUM(I67:I69)</f>
        <v>70</v>
      </c>
      <c r="Q7" t="s">
        <v>5901</v>
      </c>
      <c r="R7">
        <f>AVERAGE(K6,K18,K30,K42,K54,K78,K90,K102,K114,K126,K138,K150,K162)</f>
        <v>31</v>
      </c>
      <c r="S7">
        <f t="shared" si="1"/>
        <v>31</v>
      </c>
      <c r="V7">
        <v>2014</v>
      </c>
      <c r="W7">
        <v>306</v>
      </c>
    </row>
    <row r="8" spans="2:23" x14ac:dyDescent="0.35">
      <c r="B8" s="9">
        <v>39820</v>
      </c>
      <c r="C8" s="12">
        <v>74.400000000000006</v>
      </c>
      <c r="D8" t="s">
        <v>5877</v>
      </c>
      <c r="F8" s="8">
        <v>39995</v>
      </c>
      <c r="G8" s="11">
        <v>1</v>
      </c>
      <c r="H8" s="11">
        <v>0</v>
      </c>
      <c r="I8" s="11">
        <v>13</v>
      </c>
      <c r="J8" s="8">
        <v>39995</v>
      </c>
      <c r="K8" s="11">
        <v>0</v>
      </c>
      <c r="M8">
        <v>2015</v>
      </c>
      <c r="N8">
        <f>SUM(K74:K85)</f>
        <v>273</v>
      </c>
      <c r="O8">
        <f t="shared" si="0"/>
        <v>347</v>
      </c>
      <c r="P8">
        <f>SUM(I79:I81)</f>
        <v>74</v>
      </c>
      <c r="Q8" t="s">
        <v>5900</v>
      </c>
      <c r="R8">
        <f>AVERAGE(I7,I19,I31,I43,I55,I79,I91,I103,I115,I127,I139,I151,I163)</f>
        <v>30</v>
      </c>
      <c r="S8">
        <f t="shared" si="1"/>
        <v>30</v>
      </c>
      <c r="V8">
        <v>2015</v>
      </c>
      <c r="W8">
        <v>288</v>
      </c>
    </row>
    <row r="9" spans="2:23" x14ac:dyDescent="0.35">
      <c r="B9" s="9">
        <v>39821</v>
      </c>
      <c r="C9" s="12">
        <v>66.7</v>
      </c>
      <c r="D9" t="s">
        <v>5877</v>
      </c>
      <c r="F9" s="8">
        <v>40026</v>
      </c>
      <c r="G9" s="11">
        <v>26</v>
      </c>
      <c r="H9" s="11">
        <v>7</v>
      </c>
      <c r="I9" s="11">
        <v>31</v>
      </c>
      <c r="J9" s="8">
        <v>40026</v>
      </c>
      <c r="K9" s="11">
        <v>0</v>
      </c>
      <c r="M9">
        <v>2016</v>
      </c>
      <c r="N9">
        <f>SUM(K86:K97)</f>
        <v>273</v>
      </c>
      <c r="O9">
        <f t="shared" si="0"/>
        <v>344</v>
      </c>
      <c r="P9">
        <f>SUM(I91:I93)</f>
        <v>71</v>
      </c>
      <c r="Q9" t="s">
        <v>5899</v>
      </c>
      <c r="R9">
        <f>AVERAGE(I8,I20,I32,I44,I56,I80,I92,I104,I116,I128,I140,I152,I164)</f>
        <v>10.846153846153847</v>
      </c>
      <c r="S9">
        <f t="shared" si="1"/>
        <v>10</v>
      </c>
      <c r="V9">
        <v>2016</v>
      </c>
      <c r="W9">
        <v>292</v>
      </c>
    </row>
    <row r="10" spans="2:23" x14ac:dyDescent="0.35">
      <c r="B10" s="9">
        <v>39822</v>
      </c>
      <c r="C10" s="12">
        <v>59.1</v>
      </c>
      <c r="D10" t="s">
        <v>5877</v>
      </c>
      <c r="F10" s="8">
        <v>40057</v>
      </c>
      <c r="G10">
        <v>30</v>
      </c>
      <c r="H10">
        <v>29</v>
      </c>
      <c r="I10">
        <v>30</v>
      </c>
      <c r="J10" s="8">
        <v>40057</v>
      </c>
      <c r="K10">
        <v>29</v>
      </c>
      <c r="M10">
        <v>2017</v>
      </c>
      <c r="N10">
        <f>SUM(K98:K109)</f>
        <v>272</v>
      </c>
      <c r="O10">
        <f t="shared" si="0"/>
        <v>355</v>
      </c>
      <c r="P10">
        <f>SUM(I103:I105)</f>
        <v>83</v>
      </c>
      <c r="Q10" t="s">
        <v>5898</v>
      </c>
      <c r="R10">
        <f>AVERAGE(I9,I21,I33,I45,I57,I81,I93,I105,I117,I129,I141,I153,I165)</f>
        <v>30.692307692307693</v>
      </c>
      <c r="S10">
        <f t="shared" si="1"/>
        <v>30</v>
      </c>
      <c r="V10">
        <v>2017</v>
      </c>
      <c r="W10">
        <v>279</v>
      </c>
    </row>
    <row r="11" spans="2:23" x14ac:dyDescent="0.35">
      <c r="B11" s="9">
        <v>39823</v>
      </c>
      <c r="C11" s="12">
        <v>64.3</v>
      </c>
      <c r="D11" t="s">
        <v>5877</v>
      </c>
      <c r="F11" s="8">
        <v>40087</v>
      </c>
      <c r="G11">
        <v>31</v>
      </c>
      <c r="H11">
        <v>31</v>
      </c>
      <c r="I11">
        <v>31</v>
      </c>
      <c r="J11" s="8">
        <v>40087</v>
      </c>
      <c r="K11">
        <v>31</v>
      </c>
      <c r="M11">
        <v>2018</v>
      </c>
      <c r="N11">
        <f>SUM(K110:K121)</f>
        <v>273</v>
      </c>
      <c r="O11">
        <f t="shared" si="0"/>
        <v>344</v>
      </c>
      <c r="P11">
        <f>SUM(I115:I117)</f>
        <v>71</v>
      </c>
      <c r="Q11" t="s">
        <v>5897</v>
      </c>
      <c r="R11">
        <f>AVERAGE(K10,K22,K34,K46,K58,K82,K94,K106,K118,K130,K142,K154,K166)</f>
        <v>29.692307692307693</v>
      </c>
      <c r="S11">
        <f t="shared" si="1"/>
        <v>29</v>
      </c>
      <c r="V11">
        <v>2018</v>
      </c>
      <c r="W11">
        <v>287</v>
      </c>
    </row>
    <row r="12" spans="2:23" x14ac:dyDescent="0.35">
      <c r="B12" s="9">
        <v>39824</v>
      </c>
      <c r="C12" s="12">
        <v>86.5</v>
      </c>
      <c r="D12" t="s">
        <v>5877</v>
      </c>
      <c r="F12" s="8">
        <v>40118</v>
      </c>
      <c r="G12">
        <v>30</v>
      </c>
      <c r="H12">
        <v>30</v>
      </c>
      <c r="I12">
        <v>30</v>
      </c>
      <c r="J12" s="8">
        <v>40118</v>
      </c>
      <c r="K12">
        <v>30</v>
      </c>
      <c r="M12">
        <v>2019</v>
      </c>
      <c r="N12">
        <f>SUM(K122:K133)</f>
        <v>272</v>
      </c>
      <c r="O12">
        <f t="shared" si="0"/>
        <v>336</v>
      </c>
      <c r="P12">
        <f>SUM(I127:I129)</f>
        <v>64</v>
      </c>
      <c r="Q12" t="s">
        <v>5896</v>
      </c>
      <c r="R12">
        <f>AVERAGE(K11,K23,K35,K47,K59,K83,K95,K107,K119,K131,K143,K155,K167)</f>
        <v>31</v>
      </c>
      <c r="S12">
        <f t="shared" si="1"/>
        <v>31</v>
      </c>
      <c r="V12">
        <v>2019</v>
      </c>
      <c r="W12">
        <v>292</v>
      </c>
    </row>
    <row r="13" spans="2:23" x14ac:dyDescent="0.35">
      <c r="B13" s="9">
        <v>39825</v>
      </c>
      <c r="C13" s="12">
        <v>123.6</v>
      </c>
      <c r="D13" t="s">
        <v>5877</v>
      </c>
      <c r="F13" s="8">
        <v>40148</v>
      </c>
      <c r="G13">
        <v>31</v>
      </c>
      <c r="H13">
        <v>31</v>
      </c>
      <c r="I13">
        <v>31</v>
      </c>
      <c r="J13" s="8">
        <v>40148</v>
      </c>
      <c r="K13">
        <v>31</v>
      </c>
      <c r="M13">
        <v>2020</v>
      </c>
      <c r="N13">
        <f>SUM(K134:K145)</f>
        <v>274</v>
      </c>
      <c r="O13">
        <f t="shared" si="0"/>
        <v>348</v>
      </c>
      <c r="P13">
        <f>SUM(I139:I141)</f>
        <v>74</v>
      </c>
      <c r="Q13" t="s">
        <v>5895</v>
      </c>
      <c r="R13">
        <f>AVERAGE(K12,K24,K36,K48,K60,K84,K96,K108,K120,K132,K144,K156,K168)</f>
        <v>30</v>
      </c>
      <c r="S13">
        <f t="shared" si="1"/>
        <v>30</v>
      </c>
      <c r="V13">
        <v>2020</v>
      </c>
      <c r="W13">
        <v>297</v>
      </c>
    </row>
    <row r="14" spans="2:23" x14ac:dyDescent="0.35">
      <c r="B14" s="9">
        <v>39826</v>
      </c>
      <c r="C14" s="12">
        <v>113</v>
      </c>
      <c r="D14" t="s">
        <v>5877</v>
      </c>
      <c r="F14" s="8">
        <v>40179</v>
      </c>
      <c r="G14">
        <v>31</v>
      </c>
      <c r="H14">
        <v>31</v>
      </c>
      <c r="I14">
        <v>31</v>
      </c>
      <c r="J14" s="8">
        <v>40179</v>
      </c>
      <c r="K14">
        <v>31</v>
      </c>
      <c r="L14">
        <f>SUM(K14:K25)</f>
        <v>273</v>
      </c>
      <c r="M14">
        <v>2021</v>
      </c>
      <c r="N14">
        <f>SUM(K146:K157)</f>
        <v>273</v>
      </c>
      <c r="O14">
        <f t="shared" si="0"/>
        <v>334</v>
      </c>
      <c r="P14">
        <f>SUM(I151:I153)</f>
        <v>61</v>
      </c>
      <c r="Q14" t="s">
        <v>5894</v>
      </c>
      <c r="R14">
        <f>AVERAGE(K13,K25,K37,K49,K61,K85,K97,K109,K121,K133,K145,K157,K169)</f>
        <v>31</v>
      </c>
      <c r="S14">
        <f t="shared" si="1"/>
        <v>31</v>
      </c>
      <c r="V14">
        <v>2021</v>
      </c>
      <c r="W14">
        <v>290</v>
      </c>
    </row>
    <row r="15" spans="2:23" x14ac:dyDescent="0.35">
      <c r="B15" s="9">
        <v>39827</v>
      </c>
      <c r="C15" s="12">
        <v>82.2</v>
      </c>
      <c r="D15" t="s">
        <v>5877</v>
      </c>
      <c r="F15" s="8">
        <v>40210</v>
      </c>
      <c r="G15">
        <v>28</v>
      </c>
      <c r="H15">
        <v>28</v>
      </c>
      <c r="I15">
        <v>28</v>
      </c>
      <c r="J15" s="8">
        <v>40210</v>
      </c>
      <c r="K15">
        <v>28</v>
      </c>
      <c r="M15">
        <v>2022</v>
      </c>
      <c r="N15">
        <f>SUM(K158:K169)</f>
        <v>273</v>
      </c>
      <c r="O15">
        <f t="shared" si="0"/>
        <v>336</v>
      </c>
      <c r="P15">
        <f>SUM(I163:I165)</f>
        <v>63</v>
      </c>
      <c r="V15">
        <v>2022</v>
      </c>
      <c r="W15">
        <v>290</v>
      </c>
    </row>
    <row r="16" spans="2:23" x14ac:dyDescent="0.35">
      <c r="B16" s="9">
        <v>39828</v>
      </c>
      <c r="C16" s="12">
        <v>63.8</v>
      </c>
      <c r="D16" t="s">
        <v>5877</v>
      </c>
      <c r="F16" s="8">
        <v>40238</v>
      </c>
      <c r="G16">
        <v>31</v>
      </c>
      <c r="H16">
        <v>31</v>
      </c>
      <c r="I16">
        <v>31</v>
      </c>
      <c r="J16" s="8">
        <v>40238</v>
      </c>
      <c r="K16">
        <v>31</v>
      </c>
    </row>
    <row r="17" spans="2:16" x14ac:dyDescent="0.35">
      <c r="B17" s="9">
        <v>39829</v>
      </c>
      <c r="C17" s="12">
        <v>60.9</v>
      </c>
      <c r="D17" t="s">
        <v>5877</v>
      </c>
      <c r="F17" s="8">
        <v>40269</v>
      </c>
      <c r="G17">
        <v>30</v>
      </c>
      <c r="H17">
        <v>30</v>
      </c>
      <c r="I17">
        <v>30</v>
      </c>
      <c r="J17" s="8">
        <v>40269</v>
      </c>
      <c r="K17">
        <v>30</v>
      </c>
      <c r="M17" t="s">
        <v>5893</v>
      </c>
      <c r="N17" t="s">
        <v>5892</v>
      </c>
      <c r="O17" t="s">
        <v>5918</v>
      </c>
      <c r="P17" t="s">
        <v>5919</v>
      </c>
    </row>
    <row r="18" spans="2:16" x14ac:dyDescent="0.35">
      <c r="B18" s="9">
        <v>39830</v>
      </c>
      <c r="C18" s="12">
        <v>78.5</v>
      </c>
      <c r="D18" t="s">
        <v>5877</v>
      </c>
      <c r="F18" s="8">
        <v>40299</v>
      </c>
      <c r="G18">
        <v>31</v>
      </c>
      <c r="H18">
        <v>31</v>
      </c>
      <c r="I18">
        <v>31</v>
      </c>
      <c r="J18" s="8">
        <v>40299</v>
      </c>
      <c r="K18">
        <v>31</v>
      </c>
      <c r="M18">
        <v>2009</v>
      </c>
      <c r="N18">
        <v>240</v>
      </c>
      <c r="O18">
        <v>272</v>
      </c>
      <c r="P18">
        <v>74</v>
      </c>
    </row>
    <row r="19" spans="2:16" x14ac:dyDescent="0.35">
      <c r="B19" s="9">
        <v>39831</v>
      </c>
      <c r="C19" s="12">
        <v>122.2</v>
      </c>
      <c r="D19" t="s">
        <v>5877</v>
      </c>
      <c r="F19" s="8">
        <v>40330</v>
      </c>
      <c r="G19" s="11">
        <v>30</v>
      </c>
      <c r="H19" s="11">
        <v>13</v>
      </c>
      <c r="I19" s="11">
        <v>30</v>
      </c>
      <c r="J19" s="8">
        <v>40330</v>
      </c>
      <c r="K19">
        <v>0</v>
      </c>
      <c r="M19">
        <v>2010</v>
      </c>
      <c r="N19">
        <v>238</v>
      </c>
      <c r="O19">
        <v>273</v>
      </c>
      <c r="P19">
        <v>76</v>
      </c>
    </row>
    <row r="20" spans="2:16" x14ac:dyDescent="0.35">
      <c r="B20" s="9">
        <v>39832</v>
      </c>
      <c r="C20" s="12">
        <v>102.6</v>
      </c>
      <c r="D20" t="s">
        <v>5877</v>
      </c>
      <c r="F20" s="8">
        <v>40360</v>
      </c>
      <c r="G20" s="11">
        <v>1</v>
      </c>
      <c r="H20" s="11">
        <v>0</v>
      </c>
      <c r="I20" s="11">
        <v>15</v>
      </c>
      <c r="J20" s="8">
        <v>40360</v>
      </c>
      <c r="K20">
        <v>0</v>
      </c>
      <c r="M20">
        <v>2011</v>
      </c>
      <c r="N20">
        <v>258</v>
      </c>
      <c r="O20">
        <v>273</v>
      </c>
      <c r="P20">
        <v>70</v>
      </c>
    </row>
    <row r="21" spans="2:16" x14ac:dyDescent="0.35">
      <c r="B21" s="9">
        <v>39833</v>
      </c>
      <c r="C21" s="12">
        <v>96.9</v>
      </c>
      <c r="D21" t="s">
        <v>5877</v>
      </c>
      <c r="F21" s="8">
        <v>40391</v>
      </c>
      <c r="G21" s="11">
        <v>21</v>
      </c>
      <c r="H21" s="11">
        <v>2</v>
      </c>
      <c r="I21" s="11">
        <v>31</v>
      </c>
      <c r="J21" s="8">
        <v>40391</v>
      </c>
      <c r="K21">
        <v>0</v>
      </c>
      <c r="M21">
        <v>2012</v>
      </c>
      <c r="N21">
        <v>263</v>
      </c>
      <c r="O21">
        <v>274</v>
      </c>
      <c r="P21">
        <v>71</v>
      </c>
    </row>
    <row r="22" spans="2:16" x14ac:dyDescent="0.35">
      <c r="B22" s="9">
        <v>39834</v>
      </c>
      <c r="C22" s="12">
        <v>89.7</v>
      </c>
      <c r="D22" t="s">
        <v>5877</v>
      </c>
      <c r="F22" s="8">
        <v>40422</v>
      </c>
      <c r="G22">
        <v>30</v>
      </c>
      <c r="H22">
        <v>30</v>
      </c>
      <c r="I22">
        <v>30</v>
      </c>
      <c r="J22" s="8">
        <v>40422</v>
      </c>
      <c r="K22">
        <v>30</v>
      </c>
      <c r="M22">
        <v>2013</v>
      </c>
      <c r="N22">
        <v>251</v>
      </c>
      <c r="O22">
        <v>273</v>
      </c>
      <c r="P22">
        <v>78</v>
      </c>
    </row>
    <row r="23" spans="2:16" x14ac:dyDescent="0.35">
      <c r="B23" s="9">
        <v>39835</v>
      </c>
      <c r="C23" s="12">
        <v>94.8</v>
      </c>
      <c r="D23" t="s">
        <v>5877</v>
      </c>
      <c r="F23" s="8">
        <v>40452</v>
      </c>
      <c r="G23">
        <v>31</v>
      </c>
      <c r="H23">
        <v>31</v>
      </c>
      <c r="I23">
        <v>31</v>
      </c>
      <c r="J23" s="8">
        <v>40452</v>
      </c>
      <c r="K23">
        <v>31</v>
      </c>
      <c r="M23">
        <v>2014</v>
      </c>
      <c r="N23">
        <v>263</v>
      </c>
      <c r="O23">
        <v>273</v>
      </c>
      <c r="P23">
        <v>70</v>
      </c>
    </row>
    <row r="24" spans="2:16" x14ac:dyDescent="0.35">
      <c r="B24" s="9">
        <v>39836</v>
      </c>
      <c r="C24" s="12">
        <v>99.9</v>
      </c>
      <c r="D24" t="s">
        <v>5877</v>
      </c>
      <c r="F24" s="8">
        <v>40483</v>
      </c>
      <c r="G24">
        <v>30</v>
      </c>
      <c r="H24">
        <v>30</v>
      </c>
      <c r="I24">
        <v>30</v>
      </c>
      <c r="J24" s="8">
        <v>40483</v>
      </c>
      <c r="K24">
        <v>30</v>
      </c>
      <c r="M24">
        <v>2015</v>
      </c>
      <c r="N24">
        <v>242</v>
      </c>
      <c r="O24">
        <v>273</v>
      </c>
      <c r="P24">
        <v>74</v>
      </c>
    </row>
    <row r="25" spans="2:16" x14ac:dyDescent="0.35">
      <c r="B25" s="9">
        <v>39837</v>
      </c>
      <c r="C25" s="12">
        <v>92.4</v>
      </c>
      <c r="D25" t="s">
        <v>5877</v>
      </c>
      <c r="F25" s="8">
        <v>40513</v>
      </c>
      <c r="G25">
        <v>31</v>
      </c>
      <c r="H25">
        <v>31</v>
      </c>
      <c r="I25">
        <v>31</v>
      </c>
      <c r="J25" s="8">
        <v>40513</v>
      </c>
      <c r="K25">
        <v>31</v>
      </c>
      <c r="M25">
        <v>2016</v>
      </c>
      <c r="N25">
        <v>241</v>
      </c>
      <c r="O25">
        <v>273</v>
      </c>
      <c r="P25">
        <v>71</v>
      </c>
    </row>
    <row r="26" spans="2:16" x14ac:dyDescent="0.35">
      <c r="B26" s="9">
        <v>39838</v>
      </c>
      <c r="C26" s="12">
        <v>96.2</v>
      </c>
      <c r="D26" t="s">
        <v>5877</v>
      </c>
      <c r="F26" s="8">
        <v>40544</v>
      </c>
      <c r="G26">
        <v>31</v>
      </c>
      <c r="H26">
        <v>31</v>
      </c>
      <c r="I26">
        <v>31</v>
      </c>
      <c r="J26" s="8">
        <v>40544</v>
      </c>
      <c r="K26">
        <v>31</v>
      </c>
      <c r="L26">
        <f>SUM(K26:K37)</f>
        <v>273</v>
      </c>
      <c r="M26">
        <v>2017</v>
      </c>
      <c r="N26">
        <v>240</v>
      </c>
      <c r="O26">
        <v>272</v>
      </c>
      <c r="P26">
        <v>83</v>
      </c>
    </row>
    <row r="27" spans="2:16" x14ac:dyDescent="0.35">
      <c r="B27" s="9">
        <v>39839</v>
      </c>
      <c r="C27" s="12">
        <v>76.7</v>
      </c>
      <c r="D27" t="s">
        <v>5877</v>
      </c>
      <c r="F27" s="8">
        <v>40575</v>
      </c>
      <c r="G27">
        <v>28</v>
      </c>
      <c r="H27">
        <v>28</v>
      </c>
      <c r="I27">
        <v>28</v>
      </c>
      <c r="J27" s="8">
        <v>40575</v>
      </c>
      <c r="K27">
        <v>28</v>
      </c>
      <c r="M27">
        <v>2018</v>
      </c>
      <c r="N27">
        <v>265</v>
      </c>
      <c r="O27">
        <v>273</v>
      </c>
      <c r="P27">
        <v>71</v>
      </c>
    </row>
    <row r="28" spans="2:16" x14ac:dyDescent="0.35">
      <c r="B28" s="9">
        <v>39840</v>
      </c>
      <c r="C28" s="12">
        <v>66.099999999999994</v>
      </c>
      <c r="D28" t="s">
        <v>5877</v>
      </c>
      <c r="F28" s="8">
        <v>40603</v>
      </c>
      <c r="G28">
        <v>31</v>
      </c>
      <c r="H28">
        <v>31</v>
      </c>
      <c r="I28">
        <v>31</v>
      </c>
      <c r="J28" s="8">
        <v>40603</v>
      </c>
      <c r="K28">
        <v>31</v>
      </c>
      <c r="M28">
        <v>2019</v>
      </c>
      <c r="N28">
        <v>265</v>
      </c>
      <c r="O28">
        <v>272</v>
      </c>
      <c r="P28">
        <v>64</v>
      </c>
    </row>
    <row r="29" spans="2:16" x14ac:dyDescent="0.35">
      <c r="B29" s="9">
        <v>39841</v>
      </c>
      <c r="C29" s="12">
        <v>103.1</v>
      </c>
      <c r="D29" t="s">
        <v>5877</v>
      </c>
      <c r="F29" s="8">
        <v>40634</v>
      </c>
      <c r="G29">
        <v>30</v>
      </c>
      <c r="H29">
        <v>30</v>
      </c>
      <c r="I29">
        <v>30</v>
      </c>
      <c r="J29" s="8">
        <v>40634</v>
      </c>
      <c r="K29">
        <v>30</v>
      </c>
      <c r="M29">
        <v>2020</v>
      </c>
      <c r="N29">
        <v>251</v>
      </c>
      <c r="O29">
        <v>274</v>
      </c>
      <c r="P29">
        <v>74</v>
      </c>
    </row>
    <row r="30" spans="2:16" x14ac:dyDescent="0.35">
      <c r="B30" s="9">
        <v>39842</v>
      </c>
      <c r="C30" s="12">
        <v>98.2</v>
      </c>
      <c r="D30" t="s">
        <v>5877</v>
      </c>
      <c r="F30" s="8">
        <v>40664</v>
      </c>
      <c r="G30">
        <v>31</v>
      </c>
      <c r="H30">
        <v>31</v>
      </c>
      <c r="I30">
        <v>31</v>
      </c>
      <c r="J30" s="8">
        <v>40664</v>
      </c>
      <c r="K30">
        <v>31</v>
      </c>
      <c r="M30">
        <v>2021</v>
      </c>
      <c r="N30">
        <v>246</v>
      </c>
      <c r="O30">
        <v>273</v>
      </c>
      <c r="P30">
        <v>61</v>
      </c>
    </row>
    <row r="31" spans="2:16" x14ac:dyDescent="0.35">
      <c r="B31" s="9">
        <v>39843</v>
      </c>
      <c r="C31" s="12">
        <v>149.19999999999999</v>
      </c>
      <c r="D31" t="s">
        <v>5877</v>
      </c>
      <c r="F31" s="8">
        <v>40695</v>
      </c>
      <c r="G31" s="11">
        <v>30</v>
      </c>
      <c r="H31" s="11">
        <v>16</v>
      </c>
      <c r="I31" s="11">
        <v>30</v>
      </c>
      <c r="J31" s="8">
        <v>40695</v>
      </c>
      <c r="K31" s="11">
        <v>0</v>
      </c>
      <c r="M31">
        <v>2022</v>
      </c>
      <c r="N31">
        <v>247</v>
      </c>
      <c r="O31">
        <v>273</v>
      </c>
      <c r="P31">
        <v>63</v>
      </c>
    </row>
    <row r="32" spans="2:16" x14ac:dyDescent="0.35">
      <c r="B32" s="9">
        <v>39844</v>
      </c>
      <c r="C32" s="12">
        <v>125.8</v>
      </c>
      <c r="D32" t="s">
        <v>5877</v>
      </c>
      <c r="F32" s="8">
        <v>40725</v>
      </c>
      <c r="G32" s="11">
        <v>3</v>
      </c>
      <c r="H32" s="11">
        <v>0</v>
      </c>
      <c r="I32" s="11">
        <v>9</v>
      </c>
      <c r="J32" s="8">
        <v>40725</v>
      </c>
      <c r="K32" s="11">
        <v>0</v>
      </c>
    </row>
    <row r="33" spans="2:12" x14ac:dyDescent="0.35">
      <c r="B33" s="9">
        <v>39845</v>
      </c>
      <c r="C33" s="12">
        <v>104.5</v>
      </c>
      <c r="D33">
        <f>AVERAGE(C33:C60)</f>
        <v>98.642857142857153</v>
      </c>
      <c r="F33" s="8">
        <v>40756</v>
      </c>
      <c r="G33" s="11">
        <v>28</v>
      </c>
      <c r="H33" s="11">
        <v>11</v>
      </c>
      <c r="I33" s="11">
        <v>31</v>
      </c>
      <c r="J33" s="8">
        <v>40756</v>
      </c>
      <c r="K33" s="11">
        <v>0</v>
      </c>
    </row>
    <row r="34" spans="2:12" x14ac:dyDescent="0.35">
      <c r="B34" s="9">
        <v>39846</v>
      </c>
      <c r="C34" s="12">
        <v>108.9</v>
      </c>
      <c r="D34" t="s">
        <v>5877</v>
      </c>
      <c r="F34" s="8">
        <v>40787</v>
      </c>
      <c r="G34">
        <v>30</v>
      </c>
      <c r="H34">
        <v>30</v>
      </c>
      <c r="I34">
        <v>30</v>
      </c>
      <c r="J34" s="8">
        <v>40787</v>
      </c>
      <c r="K34">
        <v>30</v>
      </c>
    </row>
    <row r="35" spans="2:12" x14ac:dyDescent="0.35">
      <c r="B35" s="9">
        <v>39847</v>
      </c>
      <c r="C35" s="12">
        <v>92.7</v>
      </c>
      <c r="D35" t="s">
        <v>5877</v>
      </c>
      <c r="F35" s="8">
        <v>40817</v>
      </c>
      <c r="G35">
        <v>31</v>
      </c>
      <c r="H35">
        <v>31</v>
      </c>
      <c r="I35">
        <v>31</v>
      </c>
      <c r="J35" s="8">
        <v>40817</v>
      </c>
      <c r="K35">
        <v>31</v>
      </c>
    </row>
    <row r="36" spans="2:12" x14ac:dyDescent="0.35">
      <c r="B36" s="9">
        <v>39848</v>
      </c>
      <c r="C36" s="12">
        <v>107.8</v>
      </c>
      <c r="D36" t="s">
        <v>5877</v>
      </c>
      <c r="F36" s="8">
        <v>40848</v>
      </c>
      <c r="G36">
        <v>30</v>
      </c>
      <c r="H36">
        <v>30</v>
      </c>
      <c r="I36">
        <v>30</v>
      </c>
      <c r="J36" s="8">
        <v>40848</v>
      </c>
      <c r="K36">
        <v>30</v>
      </c>
    </row>
    <row r="37" spans="2:12" x14ac:dyDescent="0.35">
      <c r="B37" s="9">
        <v>39849</v>
      </c>
      <c r="C37" s="12">
        <v>104.5</v>
      </c>
      <c r="D37" t="s">
        <v>5877</v>
      </c>
      <c r="F37" s="8">
        <v>40878</v>
      </c>
      <c r="G37">
        <v>31</v>
      </c>
      <c r="H37">
        <v>31</v>
      </c>
      <c r="I37">
        <v>31</v>
      </c>
      <c r="J37" s="8">
        <v>40878</v>
      </c>
      <c r="K37">
        <v>31</v>
      </c>
    </row>
    <row r="38" spans="2:12" x14ac:dyDescent="0.35">
      <c r="B38" s="9">
        <v>39850</v>
      </c>
      <c r="C38" s="12">
        <v>88.4</v>
      </c>
      <c r="D38" t="s">
        <v>5877</v>
      </c>
      <c r="F38" s="8">
        <v>40909</v>
      </c>
      <c r="G38">
        <v>31</v>
      </c>
      <c r="H38">
        <v>31</v>
      </c>
      <c r="I38">
        <v>31</v>
      </c>
      <c r="J38" s="8">
        <v>40909</v>
      </c>
      <c r="K38">
        <v>31</v>
      </c>
      <c r="L38">
        <f>SUM(K38:K49)</f>
        <v>274</v>
      </c>
    </row>
    <row r="39" spans="2:12" x14ac:dyDescent="0.35">
      <c r="B39" s="9">
        <v>39851</v>
      </c>
      <c r="C39" s="12">
        <v>74</v>
      </c>
      <c r="D39" t="s">
        <v>5877</v>
      </c>
      <c r="F39" s="8">
        <v>40940</v>
      </c>
      <c r="G39">
        <v>29</v>
      </c>
      <c r="H39">
        <v>29</v>
      </c>
      <c r="I39">
        <v>29</v>
      </c>
      <c r="J39" s="8">
        <v>40940</v>
      </c>
      <c r="K39">
        <v>29</v>
      </c>
    </row>
    <row r="40" spans="2:12" x14ac:dyDescent="0.35">
      <c r="B40" s="9">
        <v>39852</v>
      </c>
      <c r="C40" s="12">
        <v>96</v>
      </c>
      <c r="D40" t="s">
        <v>5877</v>
      </c>
      <c r="F40" s="8">
        <v>40969</v>
      </c>
      <c r="G40">
        <v>31</v>
      </c>
      <c r="H40">
        <v>31</v>
      </c>
      <c r="I40">
        <v>31</v>
      </c>
      <c r="J40" s="8">
        <v>40969</v>
      </c>
      <c r="K40">
        <v>31</v>
      </c>
    </row>
    <row r="41" spans="2:12" x14ac:dyDescent="0.35">
      <c r="B41" s="9">
        <v>39853</v>
      </c>
      <c r="C41" s="12">
        <v>100.5</v>
      </c>
      <c r="D41" t="s">
        <v>5877</v>
      </c>
      <c r="F41" s="8">
        <v>41000</v>
      </c>
      <c r="G41">
        <v>30</v>
      </c>
      <c r="H41">
        <v>30</v>
      </c>
      <c r="I41">
        <v>30</v>
      </c>
      <c r="J41" s="8">
        <v>41000</v>
      </c>
      <c r="K41">
        <v>30</v>
      </c>
    </row>
    <row r="42" spans="2:12" x14ac:dyDescent="0.35">
      <c r="B42" s="9">
        <v>39854</v>
      </c>
      <c r="C42" s="12">
        <v>119.6</v>
      </c>
      <c r="D42" t="s">
        <v>5877</v>
      </c>
      <c r="F42" s="8">
        <v>41030</v>
      </c>
      <c r="G42">
        <v>31</v>
      </c>
      <c r="H42">
        <v>31</v>
      </c>
      <c r="I42">
        <v>31</v>
      </c>
      <c r="J42" s="8">
        <v>41030</v>
      </c>
      <c r="K42">
        <v>31</v>
      </c>
    </row>
    <row r="43" spans="2:12" x14ac:dyDescent="0.35">
      <c r="B43" s="9">
        <v>39855</v>
      </c>
      <c r="C43" s="12">
        <v>92.1</v>
      </c>
      <c r="D43" t="s">
        <v>5877</v>
      </c>
      <c r="F43" s="8">
        <v>41061</v>
      </c>
      <c r="G43" s="11">
        <v>30</v>
      </c>
      <c r="H43" s="11">
        <v>7</v>
      </c>
      <c r="I43" s="11">
        <v>30</v>
      </c>
      <c r="J43" s="8">
        <v>41061</v>
      </c>
      <c r="K43" s="11">
        <v>0</v>
      </c>
    </row>
    <row r="44" spans="2:12" x14ac:dyDescent="0.35">
      <c r="B44" s="9">
        <v>39856</v>
      </c>
      <c r="C44" s="12">
        <v>73</v>
      </c>
      <c r="D44" t="s">
        <v>5877</v>
      </c>
      <c r="F44" s="8">
        <v>41091</v>
      </c>
      <c r="G44" s="11">
        <v>5</v>
      </c>
      <c r="H44" s="11">
        <v>1</v>
      </c>
      <c r="I44" s="11">
        <v>11</v>
      </c>
      <c r="J44" s="8">
        <v>41091</v>
      </c>
      <c r="K44" s="11">
        <v>0</v>
      </c>
    </row>
    <row r="45" spans="2:12" x14ac:dyDescent="0.35">
      <c r="B45" s="9">
        <v>39857</v>
      </c>
      <c r="C45" s="12">
        <v>64.7</v>
      </c>
      <c r="D45" t="s">
        <v>5877</v>
      </c>
      <c r="F45" s="8">
        <v>41122</v>
      </c>
      <c r="G45" s="11">
        <v>21</v>
      </c>
      <c r="H45" s="11">
        <v>3</v>
      </c>
      <c r="I45" s="11">
        <v>30</v>
      </c>
      <c r="J45" s="8">
        <v>41122</v>
      </c>
      <c r="K45" s="11">
        <v>0</v>
      </c>
    </row>
    <row r="46" spans="2:12" x14ac:dyDescent="0.35">
      <c r="B46" s="9">
        <v>39858</v>
      </c>
      <c r="C46" s="12">
        <v>101.4</v>
      </c>
      <c r="D46" t="s">
        <v>5877</v>
      </c>
      <c r="F46" s="8">
        <v>41153</v>
      </c>
      <c r="G46">
        <v>30</v>
      </c>
      <c r="H46">
        <v>30</v>
      </c>
      <c r="I46">
        <v>30</v>
      </c>
      <c r="J46" s="8">
        <v>41153</v>
      </c>
      <c r="K46">
        <v>30</v>
      </c>
    </row>
    <row r="47" spans="2:12" x14ac:dyDescent="0.35">
      <c r="B47" s="9">
        <v>39859</v>
      </c>
      <c r="C47" s="12">
        <v>113.4</v>
      </c>
      <c r="D47" t="s">
        <v>5877</v>
      </c>
      <c r="F47" s="8">
        <v>41183</v>
      </c>
      <c r="G47">
        <v>31</v>
      </c>
      <c r="H47">
        <v>31</v>
      </c>
      <c r="I47">
        <v>31</v>
      </c>
      <c r="J47" s="8">
        <v>41183</v>
      </c>
      <c r="K47">
        <v>31</v>
      </c>
    </row>
    <row r="48" spans="2:12" x14ac:dyDescent="0.35">
      <c r="B48" s="9">
        <v>39860</v>
      </c>
      <c r="C48" s="12">
        <v>94.7</v>
      </c>
      <c r="D48" t="s">
        <v>5877</v>
      </c>
      <c r="F48" s="8">
        <v>41214</v>
      </c>
      <c r="G48">
        <v>30</v>
      </c>
      <c r="H48">
        <v>30</v>
      </c>
      <c r="I48">
        <v>30</v>
      </c>
      <c r="J48" s="8">
        <v>41214</v>
      </c>
      <c r="K48">
        <v>30</v>
      </c>
    </row>
    <row r="49" spans="2:11" x14ac:dyDescent="0.35">
      <c r="B49" s="9">
        <v>39861</v>
      </c>
      <c r="C49" s="12">
        <v>77.8</v>
      </c>
      <c r="D49" t="s">
        <v>5877</v>
      </c>
      <c r="F49" s="8">
        <v>41244</v>
      </c>
      <c r="G49">
        <v>31</v>
      </c>
      <c r="H49">
        <v>31</v>
      </c>
      <c r="I49">
        <v>31</v>
      </c>
      <c r="J49" s="8">
        <v>41244</v>
      </c>
      <c r="K49">
        <v>31</v>
      </c>
    </row>
    <row r="50" spans="2:11" x14ac:dyDescent="0.35">
      <c r="B50" s="9">
        <v>39862</v>
      </c>
      <c r="C50" s="12">
        <v>106.4</v>
      </c>
      <c r="D50" t="s">
        <v>5877</v>
      </c>
      <c r="F50" s="8">
        <v>41275</v>
      </c>
      <c r="G50">
        <v>31</v>
      </c>
      <c r="H50">
        <v>31</v>
      </c>
      <c r="I50">
        <v>31</v>
      </c>
      <c r="J50" s="8">
        <v>41275</v>
      </c>
      <c r="K50">
        <v>31</v>
      </c>
    </row>
    <row r="51" spans="2:11" x14ac:dyDescent="0.35">
      <c r="B51" s="9">
        <v>39863</v>
      </c>
      <c r="C51" s="12">
        <v>87.8</v>
      </c>
      <c r="D51" t="s">
        <v>5877</v>
      </c>
      <c r="F51" s="8">
        <v>41306</v>
      </c>
      <c r="G51">
        <v>28</v>
      </c>
      <c r="H51">
        <v>28</v>
      </c>
      <c r="I51">
        <v>28</v>
      </c>
      <c r="J51" s="8">
        <v>41306</v>
      </c>
      <c r="K51">
        <v>28</v>
      </c>
    </row>
    <row r="52" spans="2:11" x14ac:dyDescent="0.35">
      <c r="B52" s="9">
        <v>39864</v>
      </c>
      <c r="C52" s="12">
        <v>74.2</v>
      </c>
      <c r="D52" t="s">
        <v>5877</v>
      </c>
      <c r="F52" s="8">
        <v>41334</v>
      </c>
      <c r="G52">
        <v>31</v>
      </c>
      <c r="H52">
        <v>31</v>
      </c>
      <c r="I52">
        <v>31</v>
      </c>
      <c r="J52" s="8">
        <v>41334</v>
      </c>
      <c r="K52">
        <v>31</v>
      </c>
    </row>
    <row r="53" spans="2:11" x14ac:dyDescent="0.35">
      <c r="B53" s="9">
        <v>39865</v>
      </c>
      <c r="C53" s="12">
        <v>104.6</v>
      </c>
      <c r="D53" t="s">
        <v>5877</v>
      </c>
      <c r="F53" s="8">
        <v>41365</v>
      </c>
      <c r="G53">
        <v>30</v>
      </c>
      <c r="H53">
        <v>30</v>
      </c>
      <c r="I53">
        <v>30</v>
      </c>
      <c r="J53" s="8">
        <v>41365</v>
      </c>
      <c r="K53">
        <v>30</v>
      </c>
    </row>
    <row r="54" spans="2:11" x14ac:dyDescent="0.35">
      <c r="B54" s="9">
        <v>39866</v>
      </c>
      <c r="C54" s="12">
        <v>118.3</v>
      </c>
      <c r="D54" t="s">
        <v>5877</v>
      </c>
      <c r="F54" s="8">
        <v>41395</v>
      </c>
      <c r="G54">
        <v>31</v>
      </c>
      <c r="H54">
        <v>31</v>
      </c>
      <c r="I54">
        <v>31</v>
      </c>
      <c r="J54" s="8">
        <v>41395</v>
      </c>
      <c r="K54">
        <v>31</v>
      </c>
    </row>
    <row r="55" spans="2:11" x14ac:dyDescent="0.35">
      <c r="B55" s="9">
        <v>39867</v>
      </c>
      <c r="C55" s="12">
        <v>125.9</v>
      </c>
      <c r="D55" t="s">
        <v>5877</v>
      </c>
      <c r="F55" s="8">
        <v>41426</v>
      </c>
      <c r="G55" s="11">
        <v>30</v>
      </c>
      <c r="H55" s="11">
        <v>4</v>
      </c>
      <c r="I55" s="11">
        <v>30</v>
      </c>
      <c r="J55" s="8">
        <v>41426</v>
      </c>
      <c r="K55" s="11">
        <v>0</v>
      </c>
    </row>
    <row r="56" spans="2:11" x14ac:dyDescent="0.35">
      <c r="B56" s="9">
        <v>39868</v>
      </c>
      <c r="C56" s="12">
        <v>137.6</v>
      </c>
      <c r="D56" t="s">
        <v>5877</v>
      </c>
      <c r="F56" s="8">
        <v>41456</v>
      </c>
      <c r="G56" s="11">
        <v>1</v>
      </c>
      <c r="H56" s="11">
        <v>0</v>
      </c>
      <c r="I56" s="11">
        <v>17</v>
      </c>
      <c r="J56" s="8">
        <v>41456</v>
      </c>
      <c r="K56" s="11">
        <v>0</v>
      </c>
    </row>
    <row r="57" spans="2:11" x14ac:dyDescent="0.35">
      <c r="B57" s="9">
        <v>39869</v>
      </c>
      <c r="C57" s="12">
        <v>101.4</v>
      </c>
      <c r="D57" t="s">
        <v>5877</v>
      </c>
      <c r="F57" s="8">
        <v>41487</v>
      </c>
      <c r="G57" s="11">
        <v>24</v>
      </c>
      <c r="H57" s="11">
        <v>10</v>
      </c>
      <c r="I57" s="11">
        <v>31</v>
      </c>
      <c r="J57" s="8">
        <v>41487</v>
      </c>
      <c r="K57" s="11">
        <v>0</v>
      </c>
    </row>
    <row r="58" spans="2:11" x14ac:dyDescent="0.35">
      <c r="B58" s="9">
        <v>39870</v>
      </c>
      <c r="C58" s="12">
        <v>79.900000000000006</v>
      </c>
      <c r="D58" t="s">
        <v>5877</v>
      </c>
      <c r="F58" s="8">
        <v>41518</v>
      </c>
      <c r="G58">
        <v>30</v>
      </c>
      <c r="H58">
        <v>30</v>
      </c>
      <c r="I58">
        <v>30</v>
      </c>
      <c r="J58" s="8">
        <v>41518</v>
      </c>
      <c r="K58">
        <v>30</v>
      </c>
    </row>
    <row r="59" spans="2:11" x14ac:dyDescent="0.35">
      <c r="B59" s="9">
        <v>39871</v>
      </c>
      <c r="C59" s="12">
        <v>94.1</v>
      </c>
      <c r="D59" t="s">
        <v>5877</v>
      </c>
      <c r="F59" s="8">
        <v>41548</v>
      </c>
      <c r="G59">
        <v>31</v>
      </c>
      <c r="H59">
        <v>31</v>
      </c>
      <c r="I59">
        <v>31</v>
      </c>
      <c r="J59" s="8">
        <v>41548</v>
      </c>
      <c r="K59">
        <v>31</v>
      </c>
    </row>
    <row r="60" spans="2:11" x14ac:dyDescent="0.35">
      <c r="B60" s="9">
        <v>39872</v>
      </c>
      <c r="C60" s="12">
        <v>117.8</v>
      </c>
      <c r="D60" t="s">
        <v>5877</v>
      </c>
      <c r="F60" s="8">
        <v>41579</v>
      </c>
      <c r="G60">
        <v>30</v>
      </c>
      <c r="H60">
        <v>30</v>
      </c>
      <c r="I60">
        <v>30</v>
      </c>
      <c r="J60" s="8">
        <v>41579</v>
      </c>
      <c r="K60">
        <v>30</v>
      </c>
    </row>
    <row r="61" spans="2:11" x14ac:dyDescent="0.35">
      <c r="B61" s="9">
        <v>39873</v>
      </c>
      <c r="C61" s="12">
        <v>108.8</v>
      </c>
      <c r="D61" t="s">
        <v>5877</v>
      </c>
      <c r="F61" s="8">
        <v>41609</v>
      </c>
      <c r="G61">
        <v>31</v>
      </c>
      <c r="H61">
        <v>31</v>
      </c>
      <c r="I61">
        <v>31</v>
      </c>
      <c r="J61" s="8">
        <v>41609</v>
      </c>
      <c r="K61">
        <v>31</v>
      </c>
    </row>
    <row r="62" spans="2:11" x14ac:dyDescent="0.35">
      <c r="B62" s="9">
        <v>39874</v>
      </c>
      <c r="C62" s="12">
        <v>87.9</v>
      </c>
      <c r="D62" t="s">
        <v>5877</v>
      </c>
      <c r="F62" s="8">
        <v>41640</v>
      </c>
      <c r="G62">
        <v>31</v>
      </c>
      <c r="H62">
        <v>31</v>
      </c>
      <c r="I62">
        <v>31</v>
      </c>
      <c r="J62" s="8">
        <v>41640</v>
      </c>
      <c r="K62">
        <v>31</v>
      </c>
    </row>
    <row r="63" spans="2:11" x14ac:dyDescent="0.35">
      <c r="B63" s="9">
        <v>39875</v>
      </c>
      <c r="C63" s="12">
        <v>119.5</v>
      </c>
      <c r="D63" t="s">
        <v>5877</v>
      </c>
      <c r="F63" s="8">
        <v>41671</v>
      </c>
      <c r="G63">
        <v>28</v>
      </c>
      <c r="H63">
        <v>28</v>
      </c>
      <c r="I63">
        <v>28</v>
      </c>
      <c r="J63" s="8">
        <v>41671</v>
      </c>
      <c r="K63">
        <v>28</v>
      </c>
    </row>
    <row r="64" spans="2:11" x14ac:dyDescent="0.35">
      <c r="B64" s="9">
        <v>39876</v>
      </c>
      <c r="C64" s="12">
        <v>116.1</v>
      </c>
      <c r="D64" t="s">
        <v>5877</v>
      </c>
      <c r="F64" s="8">
        <v>41699</v>
      </c>
      <c r="G64">
        <v>31</v>
      </c>
      <c r="H64">
        <v>31</v>
      </c>
      <c r="I64">
        <v>31</v>
      </c>
      <c r="J64" s="8">
        <v>41699</v>
      </c>
      <c r="K64">
        <v>31</v>
      </c>
    </row>
    <row r="65" spans="2:11" x14ac:dyDescent="0.35">
      <c r="B65" s="9">
        <v>39877</v>
      </c>
      <c r="C65" s="12">
        <v>173.9</v>
      </c>
      <c r="D65" t="s">
        <v>5877</v>
      </c>
      <c r="F65" s="8">
        <v>41730</v>
      </c>
      <c r="G65">
        <v>30</v>
      </c>
      <c r="H65">
        <v>30</v>
      </c>
      <c r="I65">
        <v>30</v>
      </c>
      <c r="J65" s="8">
        <v>41730</v>
      </c>
      <c r="K65">
        <v>30</v>
      </c>
    </row>
    <row r="66" spans="2:11" x14ac:dyDescent="0.35">
      <c r="B66" s="9">
        <v>39878</v>
      </c>
      <c r="C66" s="12">
        <v>175.7</v>
      </c>
      <c r="D66" t="s">
        <v>5877</v>
      </c>
      <c r="F66" s="8">
        <v>41760</v>
      </c>
      <c r="G66">
        <v>31</v>
      </c>
      <c r="H66">
        <v>31</v>
      </c>
      <c r="I66">
        <v>31</v>
      </c>
      <c r="J66" s="8">
        <v>41760</v>
      </c>
      <c r="K66">
        <v>31</v>
      </c>
    </row>
    <row r="67" spans="2:11" x14ac:dyDescent="0.35">
      <c r="B67" s="9">
        <v>39879</v>
      </c>
      <c r="C67" s="12">
        <v>163.5</v>
      </c>
      <c r="D67" t="s">
        <v>5877</v>
      </c>
      <c r="F67" s="8">
        <v>41791</v>
      </c>
      <c r="G67" s="11">
        <v>30</v>
      </c>
      <c r="H67" s="11">
        <v>13</v>
      </c>
      <c r="I67" s="11">
        <v>30</v>
      </c>
      <c r="J67" s="8">
        <v>41791</v>
      </c>
      <c r="K67" s="11">
        <v>0</v>
      </c>
    </row>
    <row r="68" spans="2:11" x14ac:dyDescent="0.35">
      <c r="B68" s="9">
        <v>39880</v>
      </c>
      <c r="C68" s="12">
        <v>145.9</v>
      </c>
      <c r="D68" t="s">
        <v>5877</v>
      </c>
      <c r="F68" s="8">
        <v>41821</v>
      </c>
      <c r="G68" s="11">
        <v>4</v>
      </c>
      <c r="H68" s="11">
        <v>0</v>
      </c>
      <c r="I68" s="11">
        <v>10</v>
      </c>
      <c r="J68" s="8">
        <v>41821</v>
      </c>
      <c r="K68" s="11">
        <v>0</v>
      </c>
    </row>
    <row r="69" spans="2:11" x14ac:dyDescent="0.35">
      <c r="B69" s="9">
        <v>39881</v>
      </c>
      <c r="C69" s="12">
        <v>104.9</v>
      </c>
      <c r="D69" t="s">
        <v>5877</v>
      </c>
      <c r="F69" s="8">
        <v>41852</v>
      </c>
      <c r="G69" s="11">
        <v>26</v>
      </c>
      <c r="H69" s="11">
        <v>20</v>
      </c>
      <c r="I69" s="11">
        <v>30</v>
      </c>
      <c r="J69" s="8">
        <v>41852</v>
      </c>
      <c r="K69" s="11">
        <v>0</v>
      </c>
    </row>
    <row r="70" spans="2:11" x14ac:dyDescent="0.35">
      <c r="B70" s="9">
        <v>39882</v>
      </c>
      <c r="C70" s="12">
        <v>81.599999999999994</v>
      </c>
      <c r="D70" t="s">
        <v>5877</v>
      </c>
      <c r="F70" s="8">
        <v>41883</v>
      </c>
      <c r="G70">
        <v>30</v>
      </c>
      <c r="H70">
        <v>30</v>
      </c>
      <c r="I70">
        <v>30</v>
      </c>
      <c r="J70" s="8">
        <v>41883</v>
      </c>
      <c r="K70">
        <v>30</v>
      </c>
    </row>
    <row r="71" spans="2:11" x14ac:dyDescent="0.35">
      <c r="B71" s="9">
        <v>39883</v>
      </c>
      <c r="C71" s="12">
        <v>69.099999999999994</v>
      </c>
      <c r="D71" t="s">
        <v>5877</v>
      </c>
      <c r="F71" s="8">
        <v>41913</v>
      </c>
      <c r="G71">
        <v>31</v>
      </c>
      <c r="H71">
        <v>31</v>
      </c>
      <c r="I71">
        <v>31</v>
      </c>
      <c r="J71" s="8">
        <v>41913</v>
      </c>
      <c r="K71">
        <v>31</v>
      </c>
    </row>
    <row r="72" spans="2:11" x14ac:dyDescent="0.35">
      <c r="B72" s="9">
        <v>39884</v>
      </c>
      <c r="C72" s="12">
        <v>92</v>
      </c>
      <c r="D72" t="s">
        <v>5877</v>
      </c>
      <c r="F72" s="8">
        <v>41944</v>
      </c>
      <c r="G72">
        <v>30</v>
      </c>
      <c r="H72">
        <v>30</v>
      </c>
      <c r="I72">
        <v>30</v>
      </c>
      <c r="J72" s="8">
        <v>41944</v>
      </c>
      <c r="K72">
        <v>30</v>
      </c>
    </row>
    <row r="73" spans="2:11" x14ac:dyDescent="0.35">
      <c r="B73" s="9">
        <v>39885</v>
      </c>
      <c r="C73" s="12">
        <v>124.8</v>
      </c>
      <c r="D73" t="s">
        <v>5877</v>
      </c>
      <c r="F73" s="8">
        <v>41974</v>
      </c>
      <c r="G73">
        <v>31</v>
      </c>
      <c r="H73">
        <v>31</v>
      </c>
      <c r="I73">
        <v>31</v>
      </c>
      <c r="J73" s="8">
        <v>41974</v>
      </c>
      <c r="K73">
        <v>31</v>
      </c>
    </row>
    <row r="74" spans="2:11" x14ac:dyDescent="0.35">
      <c r="B74" s="9">
        <v>39886</v>
      </c>
      <c r="C74" s="12">
        <v>184.5</v>
      </c>
      <c r="D74" t="s">
        <v>5877</v>
      </c>
      <c r="F74" s="8">
        <v>42005</v>
      </c>
      <c r="G74">
        <v>31</v>
      </c>
      <c r="H74">
        <v>31</v>
      </c>
      <c r="I74">
        <v>31</v>
      </c>
      <c r="J74" s="8">
        <v>42005</v>
      </c>
      <c r="K74">
        <v>31</v>
      </c>
    </row>
    <row r="75" spans="2:11" x14ac:dyDescent="0.35">
      <c r="B75" s="9">
        <v>39887</v>
      </c>
      <c r="C75" s="12">
        <v>148.5</v>
      </c>
      <c r="D75" t="s">
        <v>5877</v>
      </c>
      <c r="F75" s="8">
        <v>42036</v>
      </c>
      <c r="G75">
        <v>28</v>
      </c>
      <c r="H75">
        <v>28</v>
      </c>
      <c r="I75">
        <v>28</v>
      </c>
      <c r="J75" s="8">
        <v>42036</v>
      </c>
      <c r="K75">
        <v>28</v>
      </c>
    </row>
    <row r="76" spans="2:11" x14ac:dyDescent="0.35">
      <c r="B76" s="9">
        <v>39888</v>
      </c>
      <c r="C76" s="12">
        <v>130</v>
      </c>
      <c r="D76" t="s">
        <v>5877</v>
      </c>
      <c r="F76" s="8">
        <v>42064</v>
      </c>
      <c r="G76">
        <v>31</v>
      </c>
      <c r="H76">
        <v>31</v>
      </c>
      <c r="I76">
        <v>31</v>
      </c>
      <c r="J76" s="8">
        <v>42064</v>
      </c>
      <c r="K76">
        <v>31</v>
      </c>
    </row>
    <row r="77" spans="2:11" x14ac:dyDescent="0.35">
      <c r="B77" s="9">
        <v>39889</v>
      </c>
      <c r="C77" s="12">
        <v>114.8</v>
      </c>
      <c r="D77" t="s">
        <v>5877</v>
      </c>
      <c r="F77" s="8">
        <v>42095</v>
      </c>
      <c r="G77">
        <v>30</v>
      </c>
      <c r="H77">
        <v>30</v>
      </c>
      <c r="I77">
        <v>30</v>
      </c>
      <c r="J77" s="8">
        <v>42095</v>
      </c>
      <c r="K77">
        <v>30</v>
      </c>
    </row>
    <row r="78" spans="2:11" x14ac:dyDescent="0.35">
      <c r="B78" s="9">
        <v>39890</v>
      </c>
      <c r="C78" s="12">
        <v>91.8</v>
      </c>
      <c r="D78" t="s">
        <v>5877</v>
      </c>
      <c r="F78" s="8">
        <v>42125</v>
      </c>
      <c r="G78">
        <v>31</v>
      </c>
      <c r="H78">
        <v>31</v>
      </c>
      <c r="I78">
        <v>31</v>
      </c>
      <c r="J78" s="8">
        <v>42125</v>
      </c>
      <c r="K78">
        <v>31</v>
      </c>
    </row>
    <row r="79" spans="2:11" x14ac:dyDescent="0.35">
      <c r="B79" s="9">
        <v>39891</v>
      </c>
      <c r="C79" s="12">
        <v>81.900000000000006</v>
      </c>
      <c r="D79" t="s">
        <v>5877</v>
      </c>
      <c r="F79" s="8">
        <v>42156</v>
      </c>
      <c r="G79" s="11">
        <v>30</v>
      </c>
      <c r="H79" s="11">
        <v>11</v>
      </c>
      <c r="I79" s="11">
        <v>30</v>
      </c>
      <c r="J79" s="8">
        <v>42156</v>
      </c>
      <c r="K79" s="11">
        <v>0</v>
      </c>
    </row>
    <row r="80" spans="2:11" x14ac:dyDescent="0.35">
      <c r="B80" s="9">
        <v>39892</v>
      </c>
      <c r="C80" s="12">
        <v>101.9</v>
      </c>
      <c r="D80" t="s">
        <v>5877</v>
      </c>
      <c r="F80" s="8">
        <v>42186</v>
      </c>
      <c r="G80" s="11">
        <v>5</v>
      </c>
      <c r="H80" s="11">
        <v>0</v>
      </c>
      <c r="I80" s="11">
        <v>13</v>
      </c>
      <c r="J80" s="8">
        <v>42186</v>
      </c>
      <c r="K80" s="11">
        <v>0</v>
      </c>
    </row>
    <row r="81" spans="2:11" x14ac:dyDescent="0.35">
      <c r="B81" s="9">
        <v>39893</v>
      </c>
      <c r="C81" s="12">
        <v>178</v>
      </c>
      <c r="D81" t="s">
        <v>5877</v>
      </c>
      <c r="F81" s="8">
        <v>42217</v>
      </c>
      <c r="G81" s="11">
        <v>23</v>
      </c>
      <c r="H81" s="11">
        <v>4</v>
      </c>
      <c r="I81" s="11">
        <v>31</v>
      </c>
      <c r="J81" s="8">
        <v>42217</v>
      </c>
      <c r="K81" s="11">
        <v>0</v>
      </c>
    </row>
    <row r="82" spans="2:11" x14ac:dyDescent="0.35">
      <c r="B82" s="9">
        <v>39894</v>
      </c>
      <c r="C82" s="12">
        <v>158</v>
      </c>
      <c r="D82" t="s">
        <v>5877</v>
      </c>
      <c r="F82" s="8">
        <v>42248</v>
      </c>
      <c r="G82">
        <v>30</v>
      </c>
      <c r="H82">
        <v>30</v>
      </c>
      <c r="I82">
        <v>30</v>
      </c>
      <c r="J82" s="8">
        <v>42248</v>
      </c>
      <c r="K82">
        <v>30</v>
      </c>
    </row>
    <row r="83" spans="2:11" x14ac:dyDescent="0.35">
      <c r="B83" s="9">
        <v>39895</v>
      </c>
      <c r="C83" s="12">
        <v>144.30000000000001</v>
      </c>
      <c r="D83" t="s">
        <v>5877</v>
      </c>
      <c r="F83" s="8">
        <v>42278</v>
      </c>
      <c r="G83">
        <v>31</v>
      </c>
      <c r="H83">
        <v>31</v>
      </c>
      <c r="I83">
        <v>31</v>
      </c>
      <c r="J83" s="8">
        <v>42278</v>
      </c>
      <c r="K83">
        <v>31</v>
      </c>
    </row>
    <row r="84" spans="2:11" x14ac:dyDescent="0.35">
      <c r="B84" s="9">
        <v>39896</v>
      </c>
      <c r="C84" s="12">
        <v>155.69999999999999</v>
      </c>
      <c r="D84" t="s">
        <v>5877</v>
      </c>
      <c r="F84" s="8">
        <v>42309</v>
      </c>
      <c r="G84">
        <v>30</v>
      </c>
      <c r="H84">
        <v>30</v>
      </c>
      <c r="I84">
        <v>30</v>
      </c>
      <c r="J84" s="8">
        <v>42309</v>
      </c>
      <c r="K84">
        <v>30</v>
      </c>
    </row>
    <row r="85" spans="2:11" x14ac:dyDescent="0.35">
      <c r="B85" s="9">
        <v>39897</v>
      </c>
      <c r="C85" s="12">
        <v>114.1</v>
      </c>
      <c r="D85" t="s">
        <v>5877</v>
      </c>
      <c r="F85" s="8">
        <v>42339</v>
      </c>
      <c r="G85">
        <v>31</v>
      </c>
      <c r="H85">
        <v>31</v>
      </c>
      <c r="I85">
        <v>31</v>
      </c>
      <c r="J85" s="8">
        <v>42339</v>
      </c>
      <c r="K85">
        <v>31</v>
      </c>
    </row>
    <row r="86" spans="2:11" x14ac:dyDescent="0.35">
      <c r="B86" s="9">
        <v>39898</v>
      </c>
      <c r="C86" s="12">
        <v>98.1</v>
      </c>
      <c r="D86" t="s">
        <v>5877</v>
      </c>
      <c r="F86" s="8">
        <v>42370</v>
      </c>
      <c r="G86">
        <v>31</v>
      </c>
      <c r="H86">
        <v>31</v>
      </c>
      <c r="I86">
        <v>31</v>
      </c>
      <c r="J86" s="8">
        <v>42370</v>
      </c>
      <c r="K86">
        <v>31</v>
      </c>
    </row>
    <row r="87" spans="2:11" x14ac:dyDescent="0.35">
      <c r="B87" s="9">
        <v>39899</v>
      </c>
      <c r="C87" s="12">
        <v>118.7</v>
      </c>
      <c r="D87" t="s">
        <v>5877</v>
      </c>
      <c r="F87" s="8">
        <v>42401</v>
      </c>
      <c r="G87">
        <v>29</v>
      </c>
      <c r="H87">
        <v>29</v>
      </c>
      <c r="I87">
        <v>29</v>
      </c>
      <c r="J87" s="8">
        <v>42401</v>
      </c>
      <c r="K87">
        <v>29</v>
      </c>
    </row>
    <row r="88" spans="2:11" x14ac:dyDescent="0.35">
      <c r="B88" s="9">
        <v>39900</v>
      </c>
      <c r="C88" s="12">
        <v>98.6</v>
      </c>
      <c r="D88" t="s">
        <v>5877</v>
      </c>
      <c r="F88" s="8">
        <v>42430</v>
      </c>
      <c r="G88">
        <v>31</v>
      </c>
      <c r="H88">
        <v>31</v>
      </c>
      <c r="I88">
        <v>31</v>
      </c>
      <c r="J88" s="8">
        <v>42430</v>
      </c>
      <c r="K88">
        <v>31</v>
      </c>
    </row>
    <row r="89" spans="2:11" x14ac:dyDescent="0.35">
      <c r="B89" s="9">
        <v>39901</v>
      </c>
      <c r="C89" s="12">
        <v>127.8</v>
      </c>
      <c r="D89" t="s">
        <v>5877</v>
      </c>
      <c r="F89" s="8">
        <v>42461</v>
      </c>
      <c r="G89">
        <v>30</v>
      </c>
      <c r="H89">
        <v>30</v>
      </c>
      <c r="I89">
        <v>30</v>
      </c>
      <c r="J89" s="8">
        <v>42461</v>
      </c>
      <c r="K89">
        <v>30</v>
      </c>
    </row>
    <row r="90" spans="2:11" x14ac:dyDescent="0.35">
      <c r="B90" s="9">
        <v>39902</v>
      </c>
      <c r="C90" s="12">
        <v>174.4</v>
      </c>
      <c r="D90" t="s">
        <v>5877</v>
      </c>
      <c r="F90" s="8">
        <v>42491</v>
      </c>
      <c r="G90">
        <v>31</v>
      </c>
      <c r="H90">
        <v>31</v>
      </c>
      <c r="I90">
        <v>31</v>
      </c>
      <c r="J90" s="8">
        <v>42491</v>
      </c>
      <c r="K90">
        <v>31</v>
      </c>
    </row>
    <row r="91" spans="2:11" x14ac:dyDescent="0.35">
      <c r="B91" s="9">
        <v>39903</v>
      </c>
      <c r="C91" s="12">
        <v>249.7</v>
      </c>
      <c r="D91" t="s">
        <v>5877</v>
      </c>
      <c r="F91" s="8">
        <v>42522</v>
      </c>
      <c r="G91" s="11">
        <v>30</v>
      </c>
      <c r="H91" s="11">
        <v>4</v>
      </c>
      <c r="I91" s="11">
        <v>30</v>
      </c>
      <c r="J91" s="8">
        <v>42522</v>
      </c>
      <c r="K91" s="11">
        <v>0</v>
      </c>
    </row>
    <row r="92" spans="2:11" x14ac:dyDescent="0.35">
      <c r="B92" s="9">
        <v>39904</v>
      </c>
      <c r="C92" s="12">
        <v>245.2</v>
      </c>
      <c r="D92" t="s">
        <v>5877</v>
      </c>
      <c r="F92" s="8">
        <v>42552</v>
      </c>
      <c r="G92" s="11">
        <v>5</v>
      </c>
      <c r="H92" s="11">
        <v>0</v>
      </c>
      <c r="I92" s="11">
        <v>10</v>
      </c>
      <c r="J92" s="8">
        <v>42552</v>
      </c>
      <c r="K92" s="11">
        <v>0</v>
      </c>
    </row>
    <row r="93" spans="2:11" x14ac:dyDescent="0.35">
      <c r="B93" s="9">
        <v>39905</v>
      </c>
      <c r="C93" s="12">
        <v>208.6</v>
      </c>
      <c r="D93" t="s">
        <v>5877</v>
      </c>
      <c r="F93" s="8">
        <v>42583</v>
      </c>
      <c r="G93" s="11">
        <v>24</v>
      </c>
      <c r="H93" s="11">
        <v>15</v>
      </c>
      <c r="I93" s="11">
        <v>31</v>
      </c>
      <c r="J93" s="8">
        <v>42583</v>
      </c>
      <c r="K93" s="11">
        <v>0</v>
      </c>
    </row>
    <row r="94" spans="2:11" x14ac:dyDescent="0.35">
      <c r="B94" s="9">
        <v>39906</v>
      </c>
      <c r="C94" s="12">
        <v>150.30000000000001</v>
      </c>
      <c r="D94" t="s">
        <v>5877</v>
      </c>
      <c r="F94" s="8">
        <v>42614</v>
      </c>
      <c r="G94">
        <v>30</v>
      </c>
      <c r="H94">
        <v>29</v>
      </c>
      <c r="I94">
        <v>30</v>
      </c>
      <c r="J94" s="8">
        <v>42614</v>
      </c>
      <c r="K94">
        <v>29</v>
      </c>
    </row>
    <row r="95" spans="2:11" x14ac:dyDescent="0.35">
      <c r="B95" s="9">
        <v>39907</v>
      </c>
      <c r="C95" s="12">
        <v>114.5</v>
      </c>
      <c r="D95" t="s">
        <v>5877</v>
      </c>
      <c r="F95" s="8">
        <v>42644</v>
      </c>
      <c r="G95">
        <v>31</v>
      </c>
      <c r="H95">
        <v>31</v>
      </c>
      <c r="I95">
        <v>31</v>
      </c>
      <c r="J95" s="8">
        <v>42644</v>
      </c>
      <c r="K95">
        <v>31</v>
      </c>
    </row>
    <row r="96" spans="2:11" x14ac:dyDescent="0.35">
      <c r="B96" s="9">
        <v>39908</v>
      </c>
      <c r="C96" s="12">
        <v>130.5</v>
      </c>
      <c r="D96" t="s">
        <v>5877</v>
      </c>
      <c r="F96" s="8">
        <v>42675</v>
      </c>
      <c r="G96">
        <v>30</v>
      </c>
      <c r="H96">
        <v>30</v>
      </c>
      <c r="I96">
        <v>30</v>
      </c>
      <c r="J96" s="8">
        <v>42675</v>
      </c>
      <c r="K96">
        <v>30</v>
      </c>
    </row>
    <row r="97" spans="2:11" x14ac:dyDescent="0.35">
      <c r="B97" s="9">
        <v>39909</v>
      </c>
      <c r="C97" s="12">
        <v>129.80000000000001</v>
      </c>
      <c r="D97" t="s">
        <v>5877</v>
      </c>
      <c r="F97" s="8">
        <v>42705</v>
      </c>
      <c r="G97">
        <v>31</v>
      </c>
      <c r="H97">
        <v>31</v>
      </c>
      <c r="I97">
        <v>31</v>
      </c>
      <c r="J97" s="8">
        <v>42705</v>
      </c>
      <c r="K97">
        <v>31</v>
      </c>
    </row>
    <row r="98" spans="2:11" x14ac:dyDescent="0.35">
      <c r="B98" s="9">
        <v>39910</v>
      </c>
      <c r="C98" s="12">
        <v>147.6</v>
      </c>
      <c r="D98" t="s">
        <v>5877</v>
      </c>
      <c r="F98" s="8">
        <v>42736</v>
      </c>
      <c r="G98">
        <v>31</v>
      </c>
      <c r="H98">
        <v>31</v>
      </c>
      <c r="I98">
        <v>31</v>
      </c>
      <c r="J98" s="8">
        <v>42736</v>
      </c>
      <c r="K98">
        <v>31</v>
      </c>
    </row>
    <row r="99" spans="2:11" x14ac:dyDescent="0.35">
      <c r="B99" s="9">
        <v>39911</v>
      </c>
      <c r="C99" s="12">
        <v>185.7</v>
      </c>
      <c r="D99" t="s">
        <v>5877</v>
      </c>
      <c r="F99" s="8">
        <v>42767</v>
      </c>
      <c r="G99">
        <v>28</v>
      </c>
      <c r="H99">
        <v>28</v>
      </c>
      <c r="I99">
        <v>28</v>
      </c>
      <c r="J99" s="8">
        <v>42767</v>
      </c>
      <c r="K99">
        <v>28</v>
      </c>
    </row>
    <row r="100" spans="2:11" x14ac:dyDescent="0.35">
      <c r="B100" s="9">
        <v>39912</v>
      </c>
      <c r="C100" s="12">
        <v>147</v>
      </c>
      <c r="D100" t="s">
        <v>5877</v>
      </c>
      <c r="F100" s="8">
        <v>42795</v>
      </c>
      <c r="G100">
        <v>31</v>
      </c>
      <c r="H100">
        <v>31</v>
      </c>
      <c r="I100">
        <v>31</v>
      </c>
      <c r="J100" s="8">
        <v>42795</v>
      </c>
      <c r="K100">
        <v>31</v>
      </c>
    </row>
    <row r="101" spans="2:11" x14ac:dyDescent="0.35">
      <c r="B101" s="9">
        <v>39913</v>
      </c>
      <c r="C101" s="12">
        <v>118</v>
      </c>
      <c r="D101" t="s">
        <v>5877</v>
      </c>
      <c r="F101" s="8">
        <v>42826</v>
      </c>
      <c r="G101">
        <v>30</v>
      </c>
      <c r="H101">
        <v>30</v>
      </c>
      <c r="I101">
        <v>30</v>
      </c>
      <c r="J101" s="8">
        <v>42826</v>
      </c>
      <c r="K101">
        <v>30</v>
      </c>
    </row>
    <row r="102" spans="2:11" x14ac:dyDescent="0.35">
      <c r="B102" s="9">
        <v>39914</v>
      </c>
      <c r="C102" s="12">
        <v>130.1</v>
      </c>
      <c r="D102" t="s">
        <v>5877</v>
      </c>
      <c r="F102" s="8">
        <v>42856</v>
      </c>
      <c r="G102">
        <v>31</v>
      </c>
      <c r="H102">
        <v>31</v>
      </c>
      <c r="I102">
        <v>31</v>
      </c>
      <c r="J102" s="8">
        <v>42856</v>
      </c>
      <c r="K102">
        <v>31</v>
      </c>
    </row>
    <row r="103" spans="2:11" x14ac:dyDescent="0.35">
      <c r="B103" s="9">
        <v>39915</v>
      </c>
      <c r="C103" s="12">
        <v>139.4</v>
      </c>
      <c r="D103" t="s">
        <v>5877</v>
      </c>
      <c r="F103" s="8">
        <v>42887</v>
      </c>
      <c r="G103" s="11">
        <v>30</v>
      </c>
      <c r="H103" s="11">
        <v>1</v>
      </c>
      <c r="I103" s="11">
        <v>30</v>
      </c>
      <c r="J103" s="8">
        <v>42887</v>
      </c>
      <c r="K103" s="11">
        <v>0</v>
      </c>
    </row>
    <row r="104" spans="2:11" x14ac:dyDescent="0.35">
      <c r="B104" s="9">
        <v>39916</v>
      </c>
      <c r="C104" s="12">
        <v>111.9</v>
      </c>
      <c r="D104" t="s">
        <v>5877</v>
      </c>
      <c r="F104" s="8">
        <v>42917</v>
      </c>
      <c r="G104" s="11">
        <v>5</v>
      </c>
      <c r="H104" s="11">
        <v>0</v>
      </c>
      <c r="I104" s="11">
        <v>22</v>
      </c>
      <c r="J104" s="8">
        <v>42917</v>
      </c>
      <c r="K104" s="11">
        <v>0</v>
      </c>
    </row>
    <row r="105" spans="2:11" x14ac:dyDescent="0.35">
      <c r="B105" s="9">
        <v>39917</v>
      </c>
      <c r="C105" s="12">
        <v>94.1</v>
      </c>
      <c r="D105" t="s">
        <v>5877</v>
      </c>
      <c r="F105" s="8">
        <v>42948</v>
      </c>
      <c r="G105" s="11">
        <v>29</v>
      </c>
      <c r="H105" s="11">
        <v>6</v>
      </c>
      <c r="I105" s="11">
        <v>31</v>
      </c>
      <c r="J105" s="8">
        <v>42948</v>
      </c>
      <c r="K105" s="11">
        <v>0</v>
      </c>
    </row>
    <row r="106" spans="2:11" x14ac:dyDescent="0.35">
      <c r="B106" s="9">
        <v>39918</v>
      </c>
      <c r="C106" s="12">
        <v>112.3</v>
      </c>
      <c r="D106" t="s">
        <v>5877</v>
      </c>
      <c r="F106" s="8">
        <v>42979</v>
      </c>
      <c r="G106">
        <v>30</v>
      </c>
      <c r="H106">
        <v>29</v>
      </c>
      <c r="I106">
        <v>30</v>
      </c>
      <c r="J106" s="8">
        <v>42979</v>
      </c>
      <c r="K106">
        <v>29</v>
      </c>
    </row>
    <row r="107" spans="2:11" x14ac:dyDescent="0.35">
      <c r="B107" s="9">
        <v>39919</v>
      </c>
      <c r="C107" s="12">
        <v>147.5</v>
      </c>
      <c r="D107" t="s">
        <v>5877</v>
      </c>
      <c r="F107" s="8">
        <v>43009</v>
      </c>
      <c r="G107">
        <v>31</v>
      </c>
      <c r="H107">
        <v>31</v>
      </c>
      <c r="I107">
        <v>31</v>
      </c>
      <c r="J107" s="8">
        <v>43009</v>
      </c>
      <c r="K107">
        <v>31</v>
      </c>
    </row>
    <row r="108" spans="2:11" x14ac:dyDescent="0.35">
      <c r="B108" s="9">
        <v>39920</v>
      </c>
      <c r="C108" s="12">
        <v>121.5</v>
      </c>
      <c r="D108" t="s">
        <v>5877</v>
      </c>
      <c r="F108" s="8">
        <v>43040</v>
      </c>
      <c r="G108">
        <v>30</v>
      </c>
      <c r="H108">
        <v>30</v>
      </c>
      <c r="I108">
        <v>30</v>
      </c>
      <c r="J108" s="8">
        <v>43040</v>
      </c>
      <c r="K108">
        <v>30</v>
      </c>
    </row>
    <row r="109" spans="2:11" x14ac:dyDescent="0.35">
      <c r="B109" s="9">
        <v>39921</v>
      </c>
      <c r="C109" s="12">
        <v>114.5</v>
      </c>
      <c r="D109" t="s">
        <v>5877</v>
      </c>
      <c r="F109" s="8">
        <v>43070</v>
      </c>
      <c r="G109">
        <v>31</v>
      </c>
      <c r="H109">
        <v>31</v>
      </c>
      <c r="I109">
        <v>31</v>
      </c>
      <c r="J109" s="8">
        <v>43070</v>
      </c>
      <c r="K109">
        <v>31</v>
      </c>
    </row>
    <row r="110" spans="2:11" x14ac:dyDescent="0.35">
      <c r="B110" s="9">
        <v>39922</v>
      </c>
      <c r="C110" s="12">
        <v>93</v>
      </c>
      <c r="D110" t="s">
        <v>5877</v>
      </c>
      <c r="F110" s="8">
        <v>43101</v>
      </c>
      <c r="G110">
        <v>31</v>
      </c>
      <c r="H110">
        <v>31</v>
      </c>
      <c r="I110">
        <v>31</v>
      </c>
      <c r="J110" s="8">
        <v>43101</v>
      </c>
      <c r="K110">
        <v>31</v>
      </c>
    </row>
    <row r="111" spans="2:11" x14ac:dyDescent="0.35">
      <c r="B111" s="9">
        <v>39923</v>
      </c>
      <c r="C111" s="12">
        <v>78.900000000000006</v>
      </c>
      <c r="D111" t="s">
        <v>5877</v>
      </c>
      <c r="F111" s="8">
        <v>43132</v>
      </c>
      <c r="G111">
        <v>28</v>
      </c>
      <c r="H111">
        <v>28</v>
      </c>
      <c r="I111">
        <v>28</v>
      </c>
      <c r="J111" s="8">
        <v>43132</v>
      </c>
      <c r="K111">
        <v>28</v>
      </c>
    </row>
    <row r="112" spans="2:11" x14ac:dyDescent="0.35">
      <c r="B112" s="9">
        <v>39924</v>
      </c>
      <c r="C112" s="12">
        <v>69.5</v>
      </c>
      <c r="D112" t="s">
        <v>5877</v>
      </c>
      <c r="F112" s="8">
        <v>43160</v>
      </c>
      <c r="G112">
        <v>31</v>
      </c>
      <c r="H112">
        <v>31</v>
      </c>
      <c r="I112">
        <v>31</v>
      </c>
      <c r="J112" s="8">
        <v>43160</v>
      </c>
      <c r="K112">
        <v>31</v>
      </c>
    </row>
    <row r="113" spans="2:11" x14ac:dyDescent="0.35">
      <c r="B113" s="9">
        <v>39925</v>
      </c>
      <c r="C113" s="12">
        <v>65.599999999999994</v>
      </c>
      <c r="D113" t="s">
        <v>5877</v>
      </c>
      <c r="F113" s="8">
        <v>43191</v>
      </c>
      <c r="G113">
        <v>30</v>
      </c>
      <c r="H113">
        <v>30</v>
      </c>
      <c r="I113">
        <v>30</v>
      </c>
      <c r="J113" s="8">
        <v>43191</v>
      </c>
      <c r="K113">
        <v>30</v>
      </c>
    </row>
    <row r="114" spans="2:11" x14ac:dyDescent="0.35">
      <c r="B114" s="9">
        <v>39926</v>
      </c>
      <c r="C114" s="12">
        <v>59.8</v>
      </c>
      <c r="D114" t="s">
        <v>5877</v>
      </c>
      <c r="F114" s="8">
        <v>43221</v>
      </c>
      <c r="G114">
        <v>31</v>
      </c>
      <c r="H114">
        <v>31</v>
      </c>
      <c r="I114">
        <v>31</v>
      </c>
      <c r="J114" s="8">
        <v>43221</v>
      </c>
      <c r="K114">
        <v>31</v>
      </c>
    </row>
    <row r="115" spans="2:11" x14ac:dyDescent="0.35">
      <c r="B115" s="9">
        <v>39927</v>
      </c>
      <c r="C115" s="12">
        <v>54.1</v>
      </c>
      <c r="D115" t="s">
        <v>5877</v>
      </c>
      <c r="F115" s="8">
        <v>43252</v>
      </c>
      <c r="G115" s="11">
        <v>30</v>
      </c>
      <c r="H115" s="11">
        <v>4</v>
      </c>
      <c r="I115" s="11">
        <v>30</v>
      </c>
      <c r="J115" s="8">
        <v>43252</v>
      </c>
      <c r="K115" s="11">
        <v>0</v>
      </c>
    </row>
    <row r="116" spans="2:11" x14ac:dyDescent="0.35">
      <c r="B116" s="9">
        <v>39928</v>
      </c>
      <c r="C116" s="12">
        <v>48.8</v>
      </c>
      <c r="D116" t="s">
        <v>5877</v>
      </c>
      <c r="F116" s="8">
        <v>43282</v>
      </c>
      <c r="G116" s="11">
        <v>3</v>
      </c>
      <c r="H116" s="11">
        <v>1</v>
      </c>
      <c r="I116" s="11">
        <v>10</v>
      </c>
      <c r="J116" s="8">
        <v>43282</v>
      </c>
      <c r="K116" s="11">
        <v>0</v>
      </c>
    </row>
    <row r="117" spans="2:11" x14ac:dyDescent="0.35">
      <c r="B117" s="9">
        <v>39929</v>
      </c>
      <c r="C117" s="12">
        <v>45.2</v>
      </c>
      <c r="D117" t="s">
        <v>5877</v>
      </c>
      <c r="F117" s="8">
        <v>43313</v>
      </c>
      <c r="G117" s="11">
        <v>24</v>
      </c>
      <c r="H117" s="11">
        <v>9</v>
      </c>
      <c r="I117" s="11">
        <v>31</v>
      </c>
      <c r="J117" s="8">
        <v>43313</v>
      </c>
      <c r="K117" s="11">
        <v>0</v>
      </c>
    </row>
    <row r="118" spans="2:11" x14ac:dyDescent="0.35">
      <c r="B118" s="9">
        <v>39930</v>
      </c>
      <c r="C118" s="12">
        <v>45.3</v>
      </c>
      <c r="D118" t="s">
        <v>5877</v>
      </c>
      <c r="F118" s="8">
        <v>43344</v>
      </c>
      <c r="G118">
        <v>30</v>
      </c>
      <c r="H118">
        <v>30</v>
      </c>
      <c r="I118">
        <v>30</v>
      </c>
      <c r="J118" s="8">
        <v>43344</v>
      </c>
      <c r="K118">
        <v>30</v>
      </c>
    </row>
    <row r="119" spans="2:11" x14ac:dyDescent="0.35">
      <c r="B119" s="9">
        <v>39931</v>
      </c>
      <c r="C119" s="12">
        <v>82.2</v>
      </c>
      <c r="D119" t="s">
        <v>5877</v>
      </c>
      <c r="F119" s="8">
        <v>43374</v>
      </c>
      <c r="G119">
        <v>31</v>
      </c>
      <c r="H119">
        <v>31</v>
      </c>
      <c r="I119">
        <v>31</v>
      </c>
      <c r="J119" s="8">
        <v>43374</v>
      </c>
      <c r="K119">
        <v>31</v>
      </c>
    </row>
    <row r="120" spans="2:11" x14ac:dyDescent="0.35">
      <c r="B120" s="9">
        <v>39932</v>
      </c>
      <c r="C120" s="12">
        <v>86</v>
      </c>
      <c r="D120" t="s">
        <v>5877</v>
      </c>
      <c r="F120" s="8">
        <v>43405</v>
      </c>
      <c r="G120">
        <v>30</v>
      </c>
      <c r="H120">
        <v>30</v>
      </c>
      <c r="I120">
        <v>30</v>
      </c>
      <c r="J120" s="8">
        <v>43405</v>
      </c>
      <c r="K120">
        <v>30</v>
      </c>
    </row>
    <row r="121" spans="2:11" x14ac:dyDescent="0.35">
      <c r="B121" s="9">
        <v>39933</v>
      </c>
      <c r="C121" s="12">
        <v>109.2</v>
      </c>
      <c r="D121" t="s">
        <v>5877</v>
      </c>
      <c r="F121" s="8">
        <v>43435</v>
      </c>
      <c r="G121">
        <v>31</v>
      </c>
      <c r="H121">
        <v>31</v>
      </c>
      <c r="I121">
        <v>31</v>
      </c>
      <c r="J121" s="8">
        <v>43435</v>
      </c>
      <c r="K121">
        <v>31</v>
      </c>
    </row>
    <row r="122" spans="2:11" x14ac:dyDescent="0.35">
      <c r="B122" s="9">
        <v>39934</v>
      </c>
      <c r="C122" s="12">
        <v>135.30000000000001</v>
      </c>
      <c r="D122" t="s">
        <v>5877</v>
      </c>
      <c r="F122" s="8">
        <v>43466</v>
      </c>
      <c r="G122">
        <v>31</v>
      </c>
      <c r="H122">
        <v>31</v>
      </c>
      <c r="I122">
        <v>31</v>
      </c>
      <c r="J122" s="8">
        <v>43466</v>
      </c>
      <c r="K122">
        <v>31</v>
      </c>
    </row>
    <row r="123" spans="2:11" x14ac:dyDescent="0.35">
      <c r="B123" s="9">
        <v>39935</v>
      </c>
      <c r="C123" s="12">
        <v>100.1</v>
      </c>
      <c r="D123" t="s">
        <v>5877</v>
      </c>
      <c r="F123" s="8">
        <v>43497</v>
      </c>
      <c r="G123">
        <v>28</v>
      </c>
      <c r="H123">
        <v>28</v>
      </c>
      <c r="I123">
        <v>28</v>
      </c>
      <c r="J123" s="8">
        <v>43497</v>
      </c>
      <c r="K123">
        <v>28</v>
      </c>
    </row>
    <row r="124" spans="2:11" x14ac:dyDescent="0.35">
      <c r="B124" s="9">
        <v>39936</v>
      </c>
      <c r="C124" s="12">
        <v>81.400000000000006</v>
      </c>
      <c r="D124" t="s">
        <v>5877</v>
      </c>
      <c r="F124" s="8">
        <v>43525</v>
      </c>
      <c r="G124">
        <v>31</v>
      </c>
      <c r="H124">
        <v>31</v>
      </c>
      <c r="I124">
        <v>31</v>
      </c>
      <c r="J124" s="8">
        <v>43525</v>
      </c>
      <c r="K124">
        <v>31</v>
      </c>
    </row>
    <row r="125" spans="2:11" x14ac:dyDescent="0.35">
      <c r="B125" s="9">
        <v>39937</v>
      </c>
      <c r="C125" s="12">
        <v>91</v>
      </c>
      <c r="D125" t="s">
        <v>5877</v>
      </c>
      <c r="F125" s="8">
        <v>43556</v>
      </c>
      <c r="G125">
        <v>30</v>
      </c>
      <c r="H125">
        <v>30</v>
      </c>
      <c r="I125">
        <v>30</v>
      </c>
      <c r="J125" s="8">
        <v>43556</v>
      </c>
      <c r="K125">
        <v>30</v>
      </c>
    </row>
    <row r="126" spans="2:11" x14ac:dyDescent="0.35">
      <c r="B126" s="9">
        <v>39938</v>
      </c>
      <c r="C126" s="12">
        <v>76.7</v>
      </c>
      <c r="D126" t="s">
        <v>5877</v>
      </c>
      <c r="F126" s="8">
        <v>43586</v>
      </c>
      <c r="G126">
        <v>31</v>
      </c>
      <c r="H126">
        <v>31</v>
      </c>
      <c r="I126">
        <v>31</v>
      </c>
      <c r="J126" s="8">
        <v>43586</v>
      </c>
      <c r="K126">
        <v>31</v>
      </c>
    </row>
    <row r="127" spans="2:11" x14ac:dyDescent="0.35">
      <c r="B127" s="9">
        <v>39939</v>
      </c>
      <c r="C127" s="12">
        <v>67.400000000000006</v>
      </c>
      <c r="D127" t="s">
        <v>5877</v>
      </c>
      <c r="F127" s="8">
        <v>43617</v>
      </c>
      <c r="G127" s="11">
        <v>30</v>
      </c>
      <c r="H127" s="11">
        <v>8</v>
      </c>
      <c r="I127" s="11">
        <v>30</v>
      </c>
      <c r="J127" s="8">
        <v>43617</v>
      </c>
      <c r="K127" s="11">
        <v>0</v>
      </c>
    </row>
    <row r="128" spans="2:11" x14ac:dyDescent="0.35">
      <c r="B128" s="9">
        <v>39940</v>
      </c>
      <c r="C128" s="12">
        <v>99.2</v>
      </c>
      <c r="D128" t="s">
        <v>5877</v>
      </c>
      <c r="F128" s="8">
        <v>43647</v>
      </c>
      <c r="G128" s="11">
        <v>1</v>
      </c>
      <c r="H128" s="11">
        <v>0</v>
      </c>
      <c r="I128" s="11">
        <v>4</v>
      </c>
      <c r="J128" s="8">
        <v>43647</v>
      </c>
      <c r="K128" s="11">
        <v>0</v>
      </c>
    </row>
    <row r="129" spans="2:11" x14ac:dyDescent="0.35">
      <c r="B129" s="9">
        <v>39941</v>
      </c>
      <c r="C129" s="12">
        <v>147.1</v>
      </c>
      <c r="D129" t="s">
        <v>5877</v>
      </c>
      <c r="F129" s="8">
        <v>43678</v>
      </c>
      <c r="G129" s="11">
        <v>27</v>
      </c>
      <c r="H129" s="11">
        <v>12</v>
      </c>
      <c r="I129" s="11">
        <v>30</v>
      </c>
      <c r="J129" s="8">
        <v>43678</v>
      </c>
      <c r="K129" s="11">
        <v>0</v>
      </c>
    </row>
    <row r="130" spans="2:11" x14ac:dyDescent="0.35">
      <c r="B130" s="9">
        <v>39942</v>
      </c>
      <c r="C130" s="12">
        <v>139.1</v>
      </c>
      <c r="D130" t="s">
        <v>5877</v>
      </c>
      <c r="F130" s="8">
        <v>43709</v>
      </c>
      <c r="G130">
        <v>30</v>
      </c>
      <c r="H130">
        <v>29</v>
      </c>
      <c r="I130">
        <v>30</v>
      </c>
      <c r="J130" s="8">
        <v>43709</v>
      </c>
      <c r="K130">
        <v>29</v>
      </c>
    </row>
    <row r="131" spans="2:11" x14ac:dyDescent="0.35">
      <c r="B131" s="9">
        <v>39943</v>
      </c>
      <c r="C131" s="12">
        <v>108.1</v>
      </c>
      <c r="D131" t="s">
        <v>5877</v>
      </c>
      <c r="F131" s="8">
        <v>43739</v>
      </c>
      <c r="G131">
        <v>31</v>
      </c>
      <c r="H131">
        <v>31</v>
      </c>
      <c r="I131">
        <v>31</v>
      </c>
      <c r="J131" s="8">
        <v>43739</v>
      </c>
      <c r="K131">
        <v>31</v>
      </c>
    </row>
    <row r="132" spans="2:11" x14ac:dyDescent="0.35">
      <c r="B132" s="9">
        <v>39944</v>
      </c>
      <c r="C132" s="12">
        <v>120.3</v>
      </c>
      <c r="D132" t="s">
        <v>5877</v>
      </c>
      <c r="F132" s="8">
        <v>43770</v>
      </c>
      <c r="G132">
        <v>30</v>
      </c>
      <c r="H132">
        <v>30</v>
      </c>
      <c r="I132">
        <v>30</v>
      </c>
      <c r="J132" s="8">
        <v>43770</v>
      </c>
      <c r="K132">
        <v>30</v>
      </c>
    </row>
    <row r="133" spans="2:11" x14ac:dyDescent="0.35">
      <c r="B133" s="9">
        <v>39945</v>
      </c>
      <c r="C133" s="12">
        <v>103.4</v>
      </c>
      <c r="D133" t="s">
        <v>5877</v>
      </c>
      <c r="F133" s="8">
        <v>43800</v>
      </c>
      <c r="G133">
        <v>31</v>
      </c>
      <c r="H133">
        <v>31</v>
      </c>
      <c r="I133">
        <v>31</v>
      </c>
      <c r="J133" s="8">
        <v>43800</v>
      </c>
      <c r="K133">
        <v>31</v>
      </c>
    </row>
    <row r="134" spans="2:11" x14ac:dyDescent="0.35">
      <c r="B134" s="9">
        <v>39946</v>
      </c>
      <c r="C134" s="12">
        <v>91.4</v>
      </c>
      <c r="D134" t="s">
        <v>5877</v>
      </c>
      <c r="F134" s="8">
        <v>43831</v>
      </c>
      <c r="G134">
        <v>31</v>
      </c>
      <c r="H134">
        <v>31</v>
      </c>
      <c r="I134">
        <v>31</v>
      </c>
      <c r="J134" s="8">
        <v>43831</v>
      </c>
      <c r="K134">
        <v>31</v>
      </c>
    </row>
    <row r="135" spans="2:11" x14ac:dyDescent="0.35">
      <c r="B135" s="9">
        <v>39947</v>
      </c>
      <c r="C135" s="12">
        <v>85.1</v>
      </c>
      <c r="D135" t="s">
        <v>5877</v>
      </c>
      <c r="F135" s="8">
        <v>43862</v>
      </c>
      <c r="G135">
        <v>29</v>
      </c>
      <c r="H135">
        <v>29</v>
      </c>
      <c r="I135">
        <v>29</v>
      </c>
      <c r="J135" s="8">
        <v>43862</v>
      </c>
      <c r="K135">
        <v>29</v>
      </c>
    </row>
    <row r="136" spans="2:11" x14ac:dyDescent="0.35">
      <c r="B136" s="9">
        <v>39948</v>
      </c>
      <c r="C136" s="12">
        <v>130.69999999999999</v>
      </c>
      <c r="D136" t="s">
        <v>5877</v>
      </c>
      <c r="F136" s="8">
        <v>43891</v>
      </c>
      <c r="G136">
        <v>31</v>
      </c>
      <c r="H136">
        <v>31</v>
      </c>
      <c r="I136">
        <v>31</v>
      </c>
      <c r="J136" s="8">
        <v>43891</v>
      </c>
      <c r="K136">
        <v>31</v>
      </c>
    </row>
    <row r="137" spans="2:11" x14ac:dyDescent="0.35">
      <c r="B137" s="9">
        <v>39949</v>
      </c>
      <c r="C137" s="12">
        <v>107.1</v>
      </c>
      <c r="D137" t="s">
        <v>5877</v>
      </c>
      <c r="F137" s="8">
        <v>43922</v>
      </c>
      <c r="G137">
        <v>30</v>
      </c>
      <c r="H137">
        <v>30</v>
      </c>
      <c r="I137">
        <v>30</v>
      </c>
      <c r="J137" s="8">
        <v>43922</v>
      </c>
      <c r="K137">
        <v>30</v>
      </c>
    </row>
    <row r="138" spans="2:11" x14ac:dyDescent="0.35">
      <c r="B138" s="9">
        <v>39950</v>
      </c>
      <c r="C138" s="12">
        <v>124.3</v>
      </c>
      <c r="D138" t="s">
        <v>5877</v>
      </c>
      <c r="F138" s="8">
        <v>43952</v>
      </c>
      <c r="G138">
        <v>31</v>
      </c>
      <c r="H138">
        <v>31</v>
      </c>
      <c r="I138">
        <v>31</v>
      </c>
      <c r="J138" s="8">
        <v>43952</v>
      </c>
      <c r="K138">
        <v>31</v>
      </c>
    </row>
    <row r="139" spans="2:11" x14ac:dyDescent="0.35">
      <c r="B139" s="9">
        <v>39951</v>
      </c>
      <c r="C139" s="12">
        <v>116</v>
      </c>
      <c r="D139" t="s">
        <v>5877</v>
      </c>
      <c r="F139" s="8">
        <v>43983</v>
      </c>
      <c r="G139" s="11">
        <v>30</v>
      </c>
      <c r="H139" s="11">
        <v>11</v>
      </c>
      <c r="I139" s="11">
        <v>30</v>
      </c>
      <c r="J139" s="8">
        <v>43983</v>
      </c>
      <c r="K139" s="11">
        <v>0</v>
      </c>
    </row>
    <row r="140" spans="2:11" x14ac:dyDescent="0.35">
      <c r="B140" s="9">
        <v>39952</v>
      </c>
      <c r="C140" s="12">
        <v>93.2</v>
      </c>
      <c r="D140" t="s">
        <v>5877</v>
      </c>
      <c r="F140" s="8">
        <v>44013</v>
      </c>
      <c r="G140" s="11">
        <v>1</v>
      </c>
      <c r="H140" s="11">
        <v>0</v>
      </c>
      <c r="I140" s="11">
        <v>14</v>
      </c>
      <c r="J140" s="8">
        <v>44013</v>
      </c>
      <c r="K140" s="11">
        <v>0</v>
      </c>
    </row>
    <row r="141" spans="2:11" x14ac:dyDescent="0.35">
      <c r="B141" s="9">
        <v>39953</v>
      </c>
      <c r="C141" s="12">
        <v>78.3</v>
      </c>
      <c r="D141" t="s">
        <v>5877</v>
      </c>
      <c r="F141" s="8">
        <v>44044</v>
      </c>
      <c r="G141" s="11">
        <v>28</v>
      </c>
      <c r="H141" s="11">
        <v>12</v>
      </c>
      <c r="I141" s="11">
        <v>30</v>
      </c>
      <c r="J141" s="8">
        <v>44044</v>
      </c>
      <c r="K141" s="11">
        <v>0</v>
      </c>
    </row>
    <row r="142" spans="2:11" x14ac:dyDescent="0.35">
      <c r="B142" s="9">
        <v>39954</v>
      </c>
      <c r="C142" s="12">
        <v>67.7</v>
      </c>
      <c r="D142" t="s">
        <v>5877</v>
      </c>
      <c r="F142" s="8">
        <v>44075</v>
      </c>
      <c r="G142">
        <v>30</v>
      </c>
      <c r="H142">
        <v>30</v>
      </c>
      <c r="I142">
        <v>30</v>
      </c>
      <c r="J142" s="8">
        <v>44075</v>
      </c>
      <c r="K142">
        <v>30</v>
      </c>
    </row>
    <row r="143" spans="2:11" x14ac:dyDescent="0.35">
      <c r="B143" s="9">
        <v>39955</v>
      </c>
      <c r="C143" s="12">
        <v>59.4</v>
      </c>
      <c r="D143" t="s">
        <v>5877</v>
      </c>
      <c r="F143" s="8">
        <v>44105</v>
      </c>
      <c r="G143">
        <v>31</v>
      </c>
      <c r="H143">
        <v>31</v>
      </c>
      <c r="I143">
        <v>31</v>
      </c>
      <c r="J143" s="8">
        <v>44105</v>
      </c>
      <c r="K143">
        <v>31</v>
      </c>
    </row>
    <row r="144" spans="2:11" x14ac:dyDescent="0.35">
      <c r="B144" s="9">
        <v>39956</v>
      </c>
      <c r="C144" s="12">
        <v>52.6</v>
      </c>
      <c r="D144" t="s">
        <v>5877</v>
      </c>
      <c r="F144" s="8">
        <v>44136</v>
      </c>
      <c r="G144">
        <v>30</v>
      </c>
      <c r="H144">
        <v>30</v>
      </c>
      <c r="I144">
        <v>30</v>
      </c>
      <c r="J144" s="8">
        <v>44136</v>
      </c>
      <c r="K144">
        <v>30</v>
      </c>
    </row>
    <row r="145" spans="2:11" x14ac:dyDescent="0.35">
      <c r="B145" s="9">
        <v>39957</v>
      </c>
      <c r="C145" s="12">
        <v>46.9</v>
      </c>
      <c r="D145" t="s">
        <v>5877</v>
      </c>
      <c r="F145" s="8">
        <v>44166</v>
      </c>
      <c r="G145">
        <v>31</v>
      </c>
      <c r="H145">
        <v>31</v>
      </c>
      <c r="I145">
        <v>31</v>
      </c>
      <c r="J145" s="8">
        <v>44166</v>
      </c>
      <c r="K145">
        <v>31</v>
      </c>
    </row>
    <row r="146" spans="2:11" x14ac:dyDescent="0.35">
      <c r="B146" s="9">
        <v>39958</v>
      </c>
      <c r="C146" s="12">
        <v>41.9</v>
      </c>
      <c r="D146" t="s">
        <v>5877</v>
      </c>
      <c r="F146" s="8">
        <v>44197</v>
      </c>
      <c r="G146">
        <v>31</v>
      </c>
      <c r="H146">
        <v>31</v>
      </c>
      <c r="I146">
        <v>31</v>
      </c>
      <c r="J146" s="8">
        <v>44197</v>
      </c>
      <c r="K146">
        <v>31</v>
      </c>
    </row>
    <row r="147" spans="2:11" x14ac:dyDescent="0.35">
      <c r="B147" s="9">
        <v>39959</v>
      </c>
      <c r="C147" s="12">
        <v>37.6</v>
      </c>
      <c r="D147" t="s">
        <v>5877</v>
      </c>
      <c r="F147" s="8">
        <v>44228</v>
      </c>
      <c r="G147">
        <v>28</v>
      </c>
      <c r="H147">
        <v>28</v>
      </c>
      <c r="I147">
        <v>28</v>
      </c>
      <c r="J147" s="8">
        <v>44228</v>
      </c>
      <c r="K147">
        <v>28</v>
      </c>
    </row>
    <row r="148" spans="2:11" x14ac:dyDescent="0.35">
      <c r="B148" s="9">
        <v>39960</v>
      </c>
      <c r="C148" s="12">
        <v>33.700000000000003</v>
      </c>
      <c r="D148" t="s">
        <v>5877</v>
      </c>
      <c r="F148" s="8">
        <v>44256</v>
      </c>
      <c r="G148">
        <v>31</v>
      </c>
      <c r="H148">
        <v>31</v>
      </c>
      <c r="I148">
        <v>31</v>
      </c>
      <c r="J148" s="8">
        <v>44256</v>
      </c>
      <c r="K148">
        <v>31</v>
      </c>
    </row>
    <row r="149" spans="2:11" x14ac:dyDescent="0.35">
      <c r="B149" s="9">
        <v>39961</v>
      </c>
      <c r="C149" s="12">
        <v>30.2</v>
      </c>
      <c r="D149" t="s">
        <v>5877</v>
      </c>
      <c r="F149" s="8">
        <v>44287</v>
      </c>
      <c r="G149">
        <v>30</v>
      </c>
      <c r="H149">
        <v>30</v>
      </c>
      <c r="I149">
        <v>30</v>
      </c>
      <c r="J149" s="8">
        <v>44287</v>
      </c>
      <c r="K149">
        <v>30</v>
      </c>
    </row>
    <row r="150" spans="2:11" x14ac:dyDescent="0.35">
      <c r="B150" s="9">
        <v>39962</v>
      </c>
      <c r="C150" s="12">
        <v>27.1</v>
      </c>
      <c r="D150" t="s">
        <v>5877</v>
      </c>
      <c r="F150" s="8">
        <v>44317</v>
      </c>
      <c r="G150">
        <v>31</v>
      </c>
      <c r="H150">
        <v>31</v>
      </c>
      <c r="I150">
        <v>31</v>
      </c>
      <c r="J150" s="8">
        <v>44317</v>
      </c>
      <c r="K150">
        <v>31</v>
      </c>
    </row>
    <row r="151" spans="2:11" x14ac:dyDescent="0.35">
      <c r="B151" s="9">
        <v>39963</v>
      </c>
      <c r="C151" s="12">
        <v>24.4</v>
      </c>
      <c r="D151" t="s">
        <v>5877</v>
      </c>
      <c r="F151" s="8">
        <v>44348</v>
      </c>
      <c r="G151" s="11">
        <v>30</v>
      </c>
      <c r="H151" s="11">
        <v>7</v>
      </c>
      <c r="I151" s="11">
        <v>30</v>
      </c>
      <c r="J151" s="8">
        <v>44348</v>
      </c>
      <c r="K151" s="11">
        <v>0</v>
      </c>
    </row>
    <row r="152" spans="2:11" x14ac:dyDescent="0.35">
      <c r="B152" s="9">
        <v>39964</v>
      </c>
      <c r="C152" s="12">
        <v>22.4</v>
      </c>
      <c r="D152" t="s">
        <v>5877</v>
      </c>
      <c r="F152" s="8">
        <v>44378</v>
      </c>
      <c r="G152" s="11">
        <v>1</v>
      </c>
      <c r="H152" s="11">
        <v>0</v>
      </c>
      <c r="I152" s="11">
        <v>1</v>
      </c>
      <c r="J152" s="8">
        <v>44378</v>
      </c>
      <c r="K152" s="11">
        <v>0</v>
      </c>
    </row>
    <row r="153" spans="2:11" x14ac:dyDescent="0.35">
      <c r="B153" s="9">
        <v>39965</v>
      </c>
      <c r="C153" s="12">
        <v>26.4</v>
      </c>
      <c r="D153" t="s">
        <v>5877</v>
      </c>
      <c r="F153" s="8">
        <v>44409</v>
      </c>
      <c r="G153" s="11">
        <v>19</v>
      </c>
      <c r="H153" s="11">
        <v>10</v>
      </c>
      <c r="I153" s="11">
        <v>30</v>
      </c>
      <c r="J153" s="8">
        <v>44409</v>
      </c>
      <c r="K153" s="11">
        <v>0</v>
      </c>
    </row>
    <row r="154" spans="2:11" x14ac:dyDescent="0.35">
      <c r="B154" s="9">
        <v>39966</v>
      </c>
      <c r="C154" s="12">
        <v>32.700000000000003</v>
      </c>
      <c r="D154" t="s">
        <v>5877</v>
      </c>
      <c r="F154" s="8">
        <v>44440</v>
      </c>
      <c r="G154">
        <v>30</v>
      </c>
      <c r="H154">
        <v>30</v>
      </c>
      <c r="I154">
        <v>30</v>
      </c>
      <c r="J154" s="8">
        <v>44440</v>
      </c>
      <c r="K154">
        <v>30</v>
      </c>
    </row>
    <row r="155" spans="2:11" x14ac:dyDescent="0.35">
      <c r="B155" s="9">
        <v>39967</v>
      </c>
      <c r="C155" s="12">
        <v>30.1</v>
      </c>
      <c r="D155" t="s">
        <v>5877</v>
      </c>
      <c r="F155" s="8">
        <v>44470</v>
      </c>
      <c r="G155">
        <v>31</v>
      </c>
      <c r="H155">
        <v>31</v>
      </c>
      <c r="I155">
        <v>31</v>
      </c>
      <c r="J155" s="8">
        <v>44470</v>
      </c>
      <c r="K155">
        <v>31</v>
      </c>
    </row>
    <row r="156" spans="2:11" x14ac:dyDescent="0.35">
      <c r="B156" s="9">
        <v>39968</v>
      </c>
      <c r="C156" s="12">
        <v>24.9</v>
      </c>
      <c r="D156" t="s">
        <v>5877</v>
      </c>
      <c r="F156" s="8">
        <v>44501</v>
      </c>
      <c r="G156">
        <v>30</v>
      </c>
      <c r="H156">
        <v>30</v>
      </c>
      <c r="I156">
        <v>30</v>
      </c>
      <c r="J156" s="8">
        <v>44501</v>
      </c>
      <c r="K156">
        <v>30</v>
      </c>
    </row>
    <row r="157" spans="2:11" x14ac:dyDescent="0.35">
      <c r="B157" s="9">
        <v>39969</v>
      </c>
      <c r="C157" s="12">
        <v>18.899999999999999</v>
      </c>
      <c r="D157" t="s">
        <v>5877</v>
      </c>
      <c r="F157" s="8">
        <v>44531</v>
      </c>
      <c r="G157">
        <v>31</v>
      </c>
      <c r="H157">
        <v>31</v>
      </c>
      <c r="I157">
        <v>31</v>
      </c>
      <c r="J157" s="8">
        <v>44531</v>
      </c>
      <c r="K157">
        <v>31</v>
      </c>
    </row>
    <row r="158" spans="2:11" x14ac:dyDescent="0.35">
      <c r="B158" s="9">
        <v>39970</v>
      </c>
      <c r="C158" s="12">
        <v>15</v>
      </c>
      <c r="D158" t="s">
        <v>5877</v>
      </c>
      <c r="F158" s="8">
        <v>44562</v>
      </c>
      <c r="G158">
        <v>31</v>
      </c>
      <c r="H158">
        <v>31</v>
      </c>
      <c r="I158">
        <v>31</v>
      </c>
      <c r="J158" s="8">
        <v>44562</v>
      </c>
      <c r="K158">
        <v>31</v>
      </c>
    </row>
    <row r="159" spans="2:11" x14ac:dyDescent="0.35">
      <c r="B159" s="9">
        <v>39971</v>
      </c>
      <c r="C159" s="12">
        <v>27.8</v>
      </c>
      <c r="D159" t="s">
        <v>5877</v>
      </c>
      <c r="F159" s="8">
        <v>44593</v>
      </c>
      <c r="G159">
        <v>28</v>
      </c>
      <c r="H159">
        <v>28</v>
      </c>
      <c r="I159">
        <v>28</v>
      </c>
      <c r="J159" s="8">
        <v>44593</v>
      </c>
      <c r="K159">
        <v>28</v>
      </c>
    </row>
    <row r="160" spans="2:11" x14ac:dyDescent="0.35">
      <c r="B160" s="9">
        <v>39972</v>
      </c>
      <c r="C160" s="12">
        <v>28.6</v>
      </c>
      <c r="D160" t="s">
        <v>5877</v>
      </c>
      <c r="F160" s="8">
        <v>44621</v>
      </c>
      <c r="G160">
        <v>31</v>
      </c>
      <c r="H160">
        <v>31</v>
      </c>
      <c r="I160">
        <v>31</v>
      </c>
      <c r="J160" s="8">
        <v>44621</v>
      </c>
      <c r="K160">
        <v>31</v>
      </c>
    </row>
    <row r="161" spans="2:11" x14ac:dyDescent="0.35">
      <c r="B161" s="9">
        <v>39973</v>
      </c>
      <c r="C161" s="12">
        <v>20.5</v>
      </c>
      <c r="D161" t="s">
        <v>5877</v>
      </c>
      <c r="F161" s="8">
        <v>44652</v>
      </c>
      <c r="G161">
        <v>30</v>
      </c>
      <c r="H161">
        <v>30</v>
      </c>
      <c r="I161">
        <v>30</v>
      </c>
      <c r="J161" s="8">
        <v>44652</v>
      </c>
      <c r="K161">
        <v>30</v>
      </c>
    </row>
    <row r="162" spans="2:11" x14ac:dyDescent="0.35">
      <c r="B162" s="9">
        <v>39974</v>
      </c>
      <c r="C162" s="12">
        <v>15.2</v>
      </c>
      <c r="D162" t="s">
        <v>5877</v>
      </c>
      <c r="F162" s="8">
        <v>44682</v>
      </c>
      <c r="G162">
        <v>31</v>
      </c>
      <c r="H162">
        <v>31</v>
      </c>
      <c r="I162">
        <v>31</v>
      </c>
      <c r="J162" s="8">
        <v>44682</v>
      </c>
      <c r="K162">
        <v>31</v>
      </c>
    </row>
    <row r="163" spans="2:11" x14ac:dyDescent="0.35">
      <c r="B163" s="9">
        <v>39975</v>
      </c>
      <c r="C163" s="12">
        <v>16</v>
      </c>
      <c r="D163" t="s">
        <v>5877</v>
      </c>
      <c r="F163" s="8">
        <v>44713</v>
      </c>
      <c r="G163" s="11">
        <v>30</v>
      </c>
      <c r="H163" s="11">
        <v>8</v>
      </c>
      <c r="I163" s="11">
        <v>30</v>
      </c>
      <c r="J163" s="8">
        <v>44713</v>
      </c>
      <c r="K163" s="11">
        <v>0</v>
      </c>
    </row>
    <row r="164" spans="2:11" x14ac:dyDescent="0.35">
      <c r="B164" s="9">
        <v>39976</v>
      </c>
      <c r="C164" s="12">
        <v>12.8</v>
      </c>
      <c r="D164" t="s">
        <v>5877</v>
      </c>
      <c r="F164" s="8">
        <v>44743</v>
      </c>
      <c r="G164" s="11">
        <v>1</v>
      </c>
      <c r="H164" s="11">
        <v>0</v>
      </c>
      <c r="I164" s="11">
        <v>2</v>
      </c>
      <c r="J164" s="8">
        <v>44743</v>
      </c>
      <c r="K164" s="11">
        <v>0</v>
      </c>
    </row>
    <row r="165" spans="2:11" x14ac:dyDescent="0.35">
      <c r="B165" s="9">
        <v>39977</v>
      </c>
      <c r="C165" s="12">
        <v>10.7</v>
      </c>
      <c r="D165" t="s">
        <v>5877</v>
      </c>
      <c r="F165" s="8">
        <v>44774</v>
      </c>
      <c r="G165" s="11">
        <v>19</v>
      </c>
      <c r="H165" s="11">
        <v>9</v>
      </c>
      <c r="I165" s="11">
        <v>31</v>
      </c>
      <c r="J165" s="8">
        <v>44774</v>
      </c>
      <c r="K165" s="11">
        <v>0</v>
      </c>
    </row>
    <row r="166" spans="2:11" x14ac:dyDescent="0.35">
      <c r="B166" s="9">
        <v>39978</v>
      </c>
      <c r="C166" s="12">
        <v>9.1999999999999993</v>
      </c>
      <c r="D166" t="s">
        <v>5877</v>
      </c>
      <c r="F166" s="8">
        <v>44805</v>
      </c>
      <c r="G166">
        <v>30</v>
      </c>
      <c r="H166">
        <v>30</v>
      </c>
      <c r="I166">
        <v>30</v>
      </c>
      <c r="J166" s="8">
        <v>44805</v>
      </c>
      <c r="K166">
        <v>30</v>
      </c>
    </row>
    <row r="167" spans="2:11" x14ac:dyDescent="0.35">
      <c r="B167" s="9">
        <v>39979</v>
      </c>
      <c r="C167" s="12">
        <v>8.1</v>
      </c>
      <c r="D167" t="s">
        <v>5877</v>
      </c>
      <c r="F167" s="8">
        <v>44835</v>
      </c>
      <c r="G167">
        <v>31</v>
      </c>
      <c r="H167">
        <v>31</v>
      </c>
      <c r="I167">
        <v>31</v>
      </c>
      <c r="J167" s="8">
        <v>44835</v>
      </c>
      <c r="K167">
        <v>31</v>
      </c>
    </row>
    <row r="168" spans="2:11" x14ac:dyDescent="0.35">
      <c r="B168" s="9">
        <v>39980</v>
      </c>
      <c r="C168" s="12">
        <v>7.2</v>
      </c>
      <c r="D168" t="s">
        <v>5877</v>
      </c>
      <c r="F168" s="8">
        <v>44866</v>
      </c>
      <c r="G168">
        <v>30</v>
      </c>
      <c r="H168">
        <v>30</v>
      </c>
      <c r="I168">
        <v>30</v>
      </c>
      <c r="J168" s="8">
        <v>44866</v>
      </c>
      <c r="K168">
        <v>30</v>
      </c>
    </row>
    <row r="169" spans="2:11" x14ac:dyDescent="0.35">
      <c r="B169" s="9">
        <v>39981</v>
      </c>
      <c r="C169" s="12">
        <v>6.4</v>
      </c>
      <c r="D169" t="s">
        <v>5877</v>
      </c>
      <c r="F169" s="8">
        <v>44896</v>
      </c>
      <c r="G169">
        <v>31</v>
      </c>
      <c r="H169">
        <v>31</v>
      </c>
      <c r="I169">
        <v>31</v>
      </c>
      <c r="J169" s="8">
        <v>44896</v>
      </c>
      <c r="K169">
        <v>31</v>
      </c>
    </row>
    <row r="170" spans="2:11" x14ac:dyDescent="0.35">
      <c r="B170" s="9">
        <v>39982</v>
      </c>
      <c r="C170" s="12">
        <v>6.8</v>
      </c>
      <c r="D170" t="s">
        <v>5877</v>
      </c>
    </row>
    <row r="171" spans="2:11" x14ac:dyDescent="0.35">
      <c r="B171" s="9">
        <v>39983</v>
      </c>
      <c r="C171" s="12">
        <v>25.9</v>
      </c>
      <c r="D171" t="s">
        <v>5877</v>
      </c>
    </row>
    <row r="172" spans="2:11" x14ac:dyDescent="0.35">
      <c r="B172" s="9">
        <v>39984</v>
      </c>
      <c r="C172" s="12">
        <v>20.2</v>
      </c>
      <c r="D172" t="s">
        <v>5877</v>
      </c>
    </row>
    <row r="173" spans="2:11" x14ac:dyDescent="0.35">
      <c r="B173" s="9">
        <v>39985</v>
      </c>
      <c r="C173" s="12">
        <v>14.7</v>
      </c>
      <c r="D173" t="s">
        <v>5877</v>
      </c>
    </row>
    <row r="174" spans="2:11" x14ac:dyDescent="0.35">
      <c r="B174" s="9">
        <v>39986</v>
      </c>
      <c r="C174" s="12">
        <v>11.6</v>
      </c>
      <c r="D174" t="s">
        <v>5877</v>
      </c>
    </row>
    <row r="175" spans="2:11" x14ac:dyDescent="0.35">
      <c r="B175" s="9">
        <v>39987</v>
      </c>
      <c r="C175" s="12">
        <v>9.6</v>
      </c>
      <c r="D175" t="s">
        <v>5877</v>
      </c>
    </row>
    <row r="176" spans="2:11" x14ac:dyDescent="0.35">
      <c r="B176" s="9">
        <v>39988</v>
      </c>
      <c r="C176" s="12">
        <v>8.3000000000000007</v>
      </c>
      <c r="D176" t="s">
        <v>5877</v>
      </c>
    </row>
    <row r="177" spans="2:4" x14ac:dyDescent="0.35">
      <c r="B177" s="9">
        <v>39989</v>
      </c>
      <c r="C177" s="12">
        <v>7.4</v>
      </c>
      <c r="D177" t="s">
        <v>5877</v>
      </c>
    </row>
    <row r="178" spans="2:4" x14ac:dyDescent="0.35">
      <c r="B178" s="9">
        <v>39990</v>
      </c>
      <c r="C178" s="12">
        <v>6.5</v>
      </c>
      <c r="D178" t="s">
        <v>5877</v>
      </c>
    </row>
    <row r="179" spans="2:4" x14ac:dyDescent="0.35">
      <c r="B179" s="9">
        <v>39991</v>
      </c>
      <c r="C179" s="12">
        <v>5.9</v>
      </c>
      <c r="D179" t="s">
        <v>5877</v>
      </c>
    </row>
    <row r="180" spans="2:4" x14ac:dyDescent="0.35">
      <c r="B180" s="9">
        <v>39992</v>
      </c>
      <c r="C180" s="12">
        <v>5.2</v>
      </c>
      <c r="D180" t="s">
        <v>5877</v>
      </c>
    </row>
    <row r="181" spans="2:4" x14ac:dyDescent="0.35">
      <c r="B181" s="9">
        <v>39993</v>
      </c>
      <c r="C181" s="12">
        <v>4.8</v>
      </c>
      <c r="D181" t="s">
        <v>5877</v>
      </c>
    </row>
    <row r="182" spans="2:4" x14ac:dyDescent="0.35">
      <c r="B182" s="9">
        <v>39994</v>
      </c>
      <c r="C182" s="12">
        <v>5.2</v>
      </c>
      <c r="D182" t="s">
        <v>5877</v>
      </c>
    </row>
    <row r="183" spans="2:4" x14ac:dyDescent="0.35">
      <c r="B183" s="9">
        <v>39995</v>
      </c>
      <c r="C183" s="12">
        <v>8.1</v>
      </c>
      <c r="D183" t="s">
        <v>5877</v>
      </c>
    </row>
    <row r="184" spans="2:4" x14ac:dyDescent="0.35">
      <c r="B184" s="9">
        <v>39996</v>
      </c>
      <c r="C184" s="12">
        <v>6.6</v>
      </c>
      <c r="D184" t="s">
        <v>5877</v>
      </c>
    </row>
    <row r="185" spans="2:4" x14ac:dyDescent="0.35">
      <c r="B185" s="9">
        <v>39997</v>
      </c>
      <c r="C185" s="12">
        <v>5.0999999999999996</v>
      </c>
      <c r="D185" t="s">
        <v>5877</v>
      </c>
    </row>
    <row r="186" spans="2:4" x14ac:dyDescent="0.35">
      <c r="B186" s="9">
        <v>39998</v>
      </c>
      <c r="C186" s="12">
        <v>4.0999999999999996</v>
      </c>
      <c r="D186" t="s">
        <v>5877</v>
      </c>
    </row>
    <row r="187" spans="2:4" x14ac:dyDescent="0.35">
      <c r="B187" s="9">
        <v>39999</v>
      </c>
      <c r="C187" s="12">
        <v>3.4</v>
      </c>
      <c r="D187" t="s">
        <v>5877</v>
      </c>
    </row>
    <row r="188" spans="2:4" x14ac:dyDescent="0.35">
      <c r="B188" s="9">
        <v>40000</v>
      </c>
      <c r="C188" s="12">
        <v>3</v>
      </c>
      <c r="D188" t="s">
        <v>5877</v>
      </c>
    </row>
    <row r="189" spans="2:4" x14ac:dyDescent="0.35">
      <c r="B189" s="9">
        <v>40001</v>
      </c>
      <c r="C189" s="12">
        <v>3.3</v>
      </c>
      <c r="D189" t="s">
        <v>5877</v>
      </c>
    </row>
    <row r="190" spans="2:4" x14ac:dyDescent="0.35">
      <c r="B190" s="9">
        <v>40002</v>
      </c>
      <c r="C190" s="12">
        <v>2.8</v>
      </c>
      <c r="D190" t="s">
        <v>5877</v>
      </c>
    </row>
    <row r="191" spans="2:4" x14ac:dyDescent="0.35">
      <c r="B191" s="9">
        <v>40003</v>
      </c>
      <c r="C191" s="12">
        <v>2.2999999999999998</v>
      </c>
      <c r="D191" t="s">
        <v>5877</v>
      </c>
    </row>
    <row r="192" spans="2:4" x14ac:dyDescent="0.35">
      <c r="B192" s="9">
        <v>40004</v>
      </c>
      <c r="C192" s="12">
        <v>2</v>
      </c>
      <c r="D192" t="s">
        <v>5877</v>
      </c>
    </row>
    <row r="193" spans="2:4" x14ac:dyDescent="0.35">
      <c r="B193" s="9">
        <v>40005</v>
      </c>
      <c r="C193" s="12">
        <v>1.7</v>
      </c>
      <c r="D193" t="s">
        <v>5877</v>
      </c>
    </row>
    <row r="194" spans="2:4" x14ac:dyDescent="0.35">
      <c r="B194" s="9">
        <v>40006</v>
      </c>
      <c r="C194" s="12">
        <v>1.5</v>
      </c>
      <c r="D194" t="s">
        <v>5877</v>
      </c>
    </row>
    <row r="195" spans="2:4" x14ac:dyDescent="0.35">
      <c r="B195" s="9">
        <v>40007</v>
      </c>
      <c r="C195" s="12">
        <v>1.5</v>
      </c>
      <c r="D195" t="s">
        <v>5877</v>
      </c>
    </row>
    <row r="196" spans="2:4" x14ac:dyDescent="0.35">
      <c r="B196" s="9">
        <v>40008</v>
      </c>
      <c r="C196" s="12">
        <v>4</v>
      </c>
      <c r="D196" t="s">
        <v>5877</v>
      </c>
    </row>
    <row r="197" spans="2:4" x14ac:dyDescent="0.35">
      <c r="B197" s="9">
        <v>40009</v>
      </c>
      <c r="C197" s="12">
        <v>3.6</v>
      </c>
      <c r="D197" t="s">
        <v>5877</v>
      </c>
    </row>
    <row r="198" spans="2:4" x14ac:dyDescent="0.35">
      <c r="B198" s="9">
        <v>40010</v>
      </c>
      <c r="C198" s="12">
        <v>10</v>
      </c>
      <c r="D198" t="s">
        <v>5877</v>
      </c>
    </row>
    <row r="199" spans="2:4" x14ac:dyDescent="0.35">
      <c r="B199" s="9">
        <v>40011</v>
      </c>
      <c r="C199" s="12">
        <v>11.7</v>
      </c>
      <c r="D199" t="s">
        <v>5877</v>
      </c>
    </row>
    <row r="200" spans="2:4" x14ac:dyDescent="0.35">
      <c r="B200" s="9">
        <v>40012</v>
      </c>
      <c r="C200" s="12">
        <v>8.5</v>
      </c>
      <c r="D200" t="s">
        <v>5877</v>
      </c>
    </row>
    <row r="201" spans="2:4" x14ac:dyDescent="0.35">
      <c r="B201" s="9">
        <v>40013</v>
      </c>
      <c r="C201" s="12">
        <v>6.6</v>
      </c>
      <c r="D201" t="s">
        <v>5877</v>
      </c>
    </row>
    <row r="202" spans="2:4" x14ac:dyDescent="0.35">
      <c r="B202" s="9">
        <v>40014</v>
      </c>
      <c r="C202" s="12">
        <v>5.4</v>
      </c>
      <c r="D202" t="s">
        <v>5877</v>
      </c>
    </row>
    <row r="203" spans="2:4" x14ac:dyDescent="0.35">
      <c r="B203" s="9">
        <v>40015</v>
      </c>
      <c r="C203" s="12">
        <v>4.5999999999999996</v>
      </c>
      <c r="D203" t="s">
        <v>5877</v>
      </c>
    </row>
    <row r="204" spans="2:4" x14ac:dyDescent="0.35">
      <c r="B204" s="9">
        <v>40016</v>
      </c>
      <c r="C204" s="12">
        <v>4</v>
      </c>
      <c r="D204" t="s">
        <v>5877</v>
      </c>
    </row>
    <row r="205" spans="2:4" x14ac:dyDescent="0.35">
      <c r="B205" s="9">
        <v>40017</v>
      </c>
      <c r="C205" s="12">
        <v>3.5</v>
      </c>
      <c r="D205" t="s">
        <v>5877</v>
      </c>
    </row>
    <row r="206" spans="2:4" x14ac:dyDescent="0.35">
      <c r="B206" s="9">
        <v>40018</v>
      </c>
      <c r="C206" s="12">
        <v>3.1</v>
      </c>
      <c r="D206" t="s">
        <v>5877</v>
      </c>
    </row>
    <row r="207" spans="2:4" x14ac:dyDescent="0.35">
      <c r="B207" s="9">
        <v>40019</v>
      </c>
      <c r="C207" s="12">
        <v>2.8</v>
      </c>
      <c r="D207" t="s">
        <v>5877</v>
      </c>
    </row>
    <row r="208" spans="2:4" x14ac:dyDescent="0.35">
      <c r="B208" s="9">
        <v>40020</v>
      </c>
      <c r="C208" s="12">
        <v>3</v>
      </c>
      <c r="D208" t="s">
        <v>5877</v>
      </c>
    </row>
    <row r="209" spans="2:4" x14ac:dyDescent="0.35">
      <c r="B209" s="9">
        <v>40021</v>
      </c>
      <c r="C209" s="12">
        <v>20.5</v>
      </c>
      <c r="D209" t="s">
        <v>5877</v>
      </c>
    </row>
    <row r="210" spans="2:4" x14ac:dyDescent="0.35">
      <c r="B210" s="9">
        <v>40022</v>
      </c>
      <c r="C210" s="12">
        <v>15.6</v>
      </c>
      <c r="D210" t="s">
        <v>5877</v>
      </c>
    </row>
    <row r="211" spans="2:4" x14ac:dyDescent="0.35">
      <c r="B211" s="9">
        <v>40023</v>
      </c>
      <c r="C211" s="12">
        <v>11.2</v>
      </c>
      <c r="D211" t="s">
        <v>5877</v>
      </c>
    </row>
    <row r="212" spans="2:4" x14ac:dyDescent="0.35">
      <c r="B212" s="9">
        <v>40024</v>
      </c>
      <c r="C212" s="12">
        <v>8.6999999999999993</v>
      </c>
      <c r="D212" t="s">
        <v>5877</v>
      </c>
    </row>
    <row r="213" spans="2:4" x14ac:dyDescent="0.35">
      <c r="B213" s="9">
        <v>40025</v>
      </c>
      <c r="C213" s="12">
        <v>7</v>
      </c>
      <c r="D213" t="s">
        <v>5877</v>
      </c>
    </row>
    <row r="214" spans="2:4" x14ac:dyDescent="0.35">
      <c r="B214" s="9">
        <v>40026</v>
      </c>
      <c r="C214" s="12">
        <v>5.9</v>
      </c>
      <c r="D214" t="s">
        <v>5877</v>
      </c>
    </row>
    <row r="215" spans="2:4" x14ac:dyDescent="0.35">
      <c r="B215" s="9">
        <v>40027</v>
      </c>
      <c r="C215" s="12">
        <v>6.3</v>
      </c>
      <c r="D215" t="s">
        <v>5877</v>
      </c>
    </row>
    <row r="216" spans="2:4" x14ac:dyDescent="0.35">
      <c r="B216" s="9">
        <v>40028</v>
      </c>
      <c r="C216" s="12">
        <v>39.299999999999997</v>
      </c>
      <c r="D216" t="s">
        <v>5877</v>
      </c>
    </row>
    <row r="217" spans="2:4" x14ac:dyDescent="0.35">
      <c r="B217" s="9">
        <v>40029</v>
      </c>
      <c r="C217" s="12">
        <v>30.1</v>
      </c>
      <c r="D217" t="s">
        <v>5877</v>
      </c>
    </row>
    <row r="218" spans="2:4" x14ac:dyDescent="0.35">
      <c r="B218" s="9">
        <v>40030</v>
      </c>
      <c r="C218" s="12">
        <v>21.8</v>
      </c>
      <c r="D218" t="s">
        <v>5877</v>
      </c>
    </row>
    <row r="219" spans="2:4" x14ac:dyDescent="0.35">
      <c r="B219" s="9">
        <v>40031</v>
      </c>
      <c r="C219" s="12">
        <v>22</v>
      </c>
      <c r="D219" t="s">
        <v>5877</v>
      </c>
    </row>
    <row r="220" spans="2:4" x14ac:dyDescent="0.35">
      <c r="B220" s="9">
        <v>40032</v>
      </c>
      <c r="C220" s="12">
        <v>17.899999999999999</v>
      </c>
      <c r="D220" t="s">
        <v>5877</v>
      </c>
    </row>
    <row r="221" spans="2:4" x14ac:dyDescent="0.35">
      <c r="B221" s="9">
        <v>40033</v>
      </c>
      <c r="C221" s="12">
        <v>16.100000000000001</v>
      </c>
      <c r="D221" t="s">
        <v>5877</v>
      </c>
    </row>
    <row r="222" spans="2:4" x14ac:dyDescent="0.35">
      <c r="B222" s="9">
        <v>40034</v>
      </c>
      <c r="C222" s="12">
        <v>13.7</v>
      </c>
      <c r="D222" t="s">
        <v>5877</v>
      </c>
    </row>
    <row r="223" spans="2:4" x14ac:dyDescent="0.35">
      <c r="B223" s="9">
        <v>40035</v>
      </c>
      <c r="C223" s="12">
        <v>11.9</v>
      </c>
      <c r="D223" t="s">
        <v>5877</v>
      </c>
    </row>
    <row r="224" spans="2:4" x14ac:dyDescent="0.35">
      <c r="B224" s="9">
        <v>40036</v>
      </c>
      <c r="C224" s="12">
        <v>10.5</v>
      </c>
      <c r="D224" t="s">
        <v>5877</v>
      </c>
    </row>
    <row r="225" spans="2:4" x14ac:dyDescent="0.35">
      <c r="B225" s="9">
        <v>40037</v>
      </c>
      <c r="C225" s="12">
        <v>11.5</v>
      </c>
      <c r="D225" t="s">
        <v>5877</v>
      </c>
    </row>
    <row r="226" spans="2:4" x14ac:dyDescent="0.35">
      <c r="B226" s="9">
        <v>40038</v>
      </c>
      <c r="C226" s="12">
        <v>41.6</v>
      </c>
      <c r="D226" t="s">
        <v>5877</v>
      </c>
    </row>
    <row r="227" spans="2:4" x14ac:dyDescent="0.35">
      <c r="B227" s="9">
        <v>40039</v>
      </c>
      <c r="C227" s="12">
        <v>35.200000000000003</v>
      </c>
      <c r="D227" t="s">
        <v>5877</v>
      </c>
    </row>
    <row r="228" spans="2:4" x14ac:dyDescent="0.35">
      <c r="B228" s="9">
        <v>40040</v>
      </c>
      <c r="C228" s="12">
        <v>29</v>
      </c>
      <c r="D228" t="s">
        <v>5877</v>
      </c>
    </row>
    <row r="229" spans="2:4" x14ac:dyDescent="0.35">
      <c r="B229" s="9">
        <v>40041</v>
      </c>
      <c r="C229" s="12">
        <v>61.3</v>
      </c>
      <c r="D229" t="s">
        <v>5877</v>
      </c>
    </row>
    <row r="230" spans="2:4" x14ac:dyDescent="0.35">
      <c r="B230" s="9">
        <v>40042</v>
      </c>
      <c r="C230" s="12">
        <v>48.7</v>
      </c>
      <c r="D230" t="s">
        <v>5877</v>
      </c>
    </row>
    <row r="231" spans="2:4" x14ac:dyDescent="0.35">
      <c r="B231" s="9">
        <v>40043</v>
      </c>
      <c r="C231" s="12">
        <v>36.299999999999997</v>
      </c>
      <c r="D231" t="s">
        <v>5877</v>
      </c>
    </row>
    <row r="232" spans="2:4" x14ac:dyDescent="0.35">
      <c r="B232" s="9">
        <v>40044</v>
      </c>
      <c r="C232" s="12">
        <v>29</v>
      </c>
      <c r="D232" t="s">
        <v>5877</v>
      </c>
    </row>
    <row r="233" spans="2:4" x14ac:dyDescent="0.35">
      <c r="B233" s="9">
        <v>40045</v>
      </c>
      <c r="C233" s="12">
        <v>24.2</v>
      </c>
      <c r="D233" t="s">
        <v>5877</v>
      </c>
    </row>
    <row r="234" spans="2:4" x14ac:dyDescent="0.35">
      <c r="B234" s="9">
        <v>40046</v>
      </c>
      <c r="C234" s="12">
        <v>23.3</v>
      </c>
      <c r="D234" t="s">
        <v>5877</v>
      </c>
    </row>
    <row r="235" spans="2:4" x14ac:dyDescent="0.35">
      <c r="B235" s="9">
        <v>40047</v>
      </c>
      <c r="C235" s="12">
        <v>57.8</v>
      </c>
      <c r="D235" t="s">
        <v>5877</v>
      </c>
    </row>
    <row r="236" spans="2:4" x14ac:dyDescent="0.35">
      <c r="B236" s="9">
        <v>40048</v>
      </c>
      <c r="C236" s="12">
        <v>72.900000000000006</v>
      </c>
      <c r="D236" t="s">
        <v>5877</v>
      </c>
    </row>
    <row r="237" spans="2:4" x14ac:dyDescent="0.35">
      <c r="B237" s="9">
        <v>40049</v>
      </c>
      <c r="C237" s="12">
        <v>53.4</v>
      </c>
      <c r="D237" t="s">
        <v>5877</v>
      </c>
    </row>
    <row r="238" spans="2:4" x14ac:dyDescent="0.35">
      <c r="B238" s="9">
        <v>40050</v>
      </c>
      <c r="C238" s="12">
        <v>39.299999999999997</v>
      </c>
      <c r="D238" t="s">
        <v>5877</v>
      </c>
    </row>
    <row r="239" spans="2:4" x14ac:dyDescent="0.35">
      <c r="B239" s="9">
        <v>40051</v>
      </c>
      <c r="C239" s="12">
        <v>31.3</v>
      </c>
      <c r="D239" t="s">
        <v>5877</v>
      </c>
    </row>
    <row r="240" spans="2:4" x14ac:dyDescent="0.35">
      <c r="B240" s="9">
        <v>40052</v>
      </c>
      <c r="C240" s="12">
        <v>26.8</v>
      </c>
      <c r="D240" t="s">
        <v>5877</v>
      </c>
    </row>
    <row r="241" spans="2:4" x14ac:dyDescent="0.35">
      <c r="B241" s="9">
        <v>40053</v>
      </c>
      <c r="C241" s="12">
        <v>27.8</v>
      </c>
      <c r="D241" t="s">
        <v>5877</v>
      </c>
    </row>
    <row r="242" spans="2:4" x14ac:dyDescent="0.35">
      <c r="B242" s="9">
        <v>40054</v>
      </c>
      <c r="C242" s="12">
        <v>25.3</v>
      </c>
      <c r="D242" t="s">
        <v>5877</v>
      </c>
    </row>
    <row r="243" spans="2:4" x14ac:dyDescent="0.35">
      <c r="B243" s="9">
        <v>40055</v>
      </c>
      <c r="C243" s="12">
        <v>30</v>
      </c>
      <c r="D243" t="s">
        <v>5877</v>
      </c>
    </row>
    <row r="244" spans="2:4" x14ac:dyDescent="0.35">
      <c r="B244" s="9">
        <v>40056</v>
      </c>
      <c r="C244" s="12">
        <v>39.299999999999997</v>
      </c>
      <c r="D244" t="s">
        <v>5877</v>
      </c>
    </row>
    <row r="245" spans="2:4" x14ac:dyDescent="0.35">
      <c r="B245" s="9">
        <v>40057</v>
      </c>
      <c r="C245" s="12">
        <v>62</v>
      </c>
      <c r="D245" t="s">
        <v>5877</v>
      </c>
    </row>
    <row r="246" spans="2:4" x14ac:dyDescent="0.35">
      <c r="B246" s="9">
        <v>40058</v>
      </c>
      <c r="C246" s="12">
        <v>52.8</v>
      </c>
      <c r="D246" t="s">
        <v>5877</v>
      </c>
    </row>
    <row r="247" spans="2:4" x14ac:dyDescent="0.35">
      <c r="B247" s="9">
        <v>40059</v>
      </c>
      <c r="C247" s="12">
        <v>38.4</v>
      </c>
      <c r="D247" t="s">
        <v>5877</v>
      </c>
    </row>
    <row r="248" spans="2:4" x14ac:dyDescent="0.35">
      <c r="B248" s="9">
        <v>40060</v>
      </c>
      <c r="C248" s="12">
        <v>30.8</v>
      </c>
      <c r="D248" t="s">
        <v>5877</v>
      </c>
    </row>
    <row r="249" spans="2:4" x14ac:dyDescent="0.35">
      <c r="B249" s="9">
        <v>40061</v>
      </c>
      <c r="C249" s="12">
        <v>28.2</v>
      </c>
      <c r="D249" t="s">
        <v>5877</v>
      </c>
    </row>
    <row r="250" spans="2:4" x14ac:dyDescent="0.35">
      <c r="B250" s="9">
        <v>40062</v>
      </c>
      <c r="C250" s="12">
        <v>55.6</v>
      </c>
      <c r="D250" t="s">
        <v>5877</v>
      </c>
    </row>
    <row r="251" spans="2:4" x14ac:dyDescent="0.35">
      <c r="B251" s="9">
        <v>40063</v>
      </c>
      <c r="C251" s="12">
        <v>85</v>
      </c>
      <c r="D251" t="s">
        <v>5877</v>
      </c>
    </row>
    <row r="252" spans="2:4" x14ac:dyDescent="0.35">
      <c r="B252" s="9">
        <v>40064</v>
      </c>
      <c r="C252" s="12">
        <v>66.400000000000006</v>
      </c>
      <c r="D252" t="s">
        <v>5877</v>
      </c>
    </row>
    <row r="253" spans="2:4" x14ac:dyDescent="0.35">
      <c r="B253" s="9">
        <v>40065</v>
      </c>
      <c r="C253" s="12">
        <v>85.7</v>
      </c>
      <c r="D253" t="s">
        <v>5877</v>
      </c>
    </row>
    <row r="254" spans="2:4" x14ac:dyDescent="0.35">
      <c r="B254" s="9">
        <v>40066</v>
      </c>
      <c r="C254" s="12">
        <v>66.599999999999994</v>
      </c>
      <c r="D254" t="s">
        <v>5877</v>
      </c>
    </row>
    <row r="255" spans="2:4" x14ac:dyDescent="0.35">
      <c r="B255" s="9">
        <v>40067</v>
      </c>
      <c r="C255" s="12">
        <v>53.1</v>
      </c>
      <c r="D255" t="s">
        <v>5877</v>
      </c>
    </row>
    <row r="256" spans="2:4" x14ac:dyDescent="0.35">
      <c r="B256" s="9">
        <v>40068</v>
      </c>
      <c r="C256" s="12">
        <v>96.3</v>
      </c>
      <c r="D256" t="s">
        <v>5877</v>
      </c>
    </row>
    <row r="257" spans="2:4" x14ac:dyDescent="0.35">
      <c r="B257" s="9">
        <v>40069</v>
      </c>
      <c r="C257" s="12">
        <v>80.8</v>
      </c>
      <c r="D257" t="s">
        <v>5877</v>
      </c>
    </row>
    <row r="258" spans="2:4" x14ac:dyDescent="0.35">
      <c r="B258" s="9">
        <v>40070</v>
      </c>
      <c r="C258" s="12">
        <v>100</v>
      </c>
      <c r="D258" t="s">
        <v>5877</v>
      </c>
    </row>
    <row r="259" spans="2:4" x14ac:dyDescent="0.35">
      <c r="B259" s="9">
        <v>40071</v>
      </c>
      <c r="C259" s="12">
        <v>105.2</v>
      </c>
      <c r="D259" t="s">
        <v>5877</v>
      </c>
    </row>
    <row r="260" spans="2:4" x14ac:dyDescent="0.35">
      <c r="B260" s="9">
        <v>40072</v>
      </c>
      <c r="C260" s="12">
        <v>87.7</v>
      </c>
      <c r="D260" t="s">
        <v>5877</v>
      </c>
    </row>
    <row r="261" spans="2:4" x14ac:dyDescent="0.35">
      <c r="B261" s="9">
        <v>40073</v>
      </c>
      <c r="C261" s="12">
        <v>92.4</v>
      </c>
      <c r="D261" t="s">
        <v>5877</v>
      </c>
    </row>
    <row r="262" spans="2:4" x14ac:dyDescent="0.35">
      <c r="B262" s="9">
        <v>40074</v>
      </c>
      <c r="C262" s="12">
        <v>112.3</v>
      </c>
      <c r="D262" t="s">
        <v>5877</v>
      </c>
    </row>
    <row r="263" spans="2:4" x14ac:dyDescent="0.35">
      <c r="B263" s="9">
        <v>40075</v>
      </c>
      <c r="C263" s="12">
        <v>85.5</v>
      </c>
      <c r="D263" t="s">
        <v>5877</v>
      </c>
    </row>
    <row r="264" spans="2:4" x14ac:dyDescent="0.35">
      <c r="B264" s="9">
        <v>40076</v>
      </c>
      <c r="C264" s="12">
        <v>101.2</v>
      </c>
      <c r="D264" t="s">
        <v>5877</v>
      </c>
    </row>
    <row r="265" spans="2:4" x14ac:dyDescent="0.35">
      <c r="B265" s="9">
        <v>40077</v>
      </c>
      <c r="C265" s="12">
        <v>110.3</v>
      </c>
      <c r="D265" t="s">
        <v>5877</v>
      </c>
    </row>
    <row r="266" spans="2:4" x14ac:dyDescent="0.35">
      <c r="B266" s="9">
        <v>40078</v>
      </c>
      <c r="C266" s="12">
        <v>83.2</v>
      </c>
      <c r="D266" t="s">
        <v>5877</v>
      </c>
    </row>
    <row r="267" spans="2:4" x14ac:dyDescent="0.35">
      <c r="B267" s="9">
        <v>40079</v>
      </c>
      <c r="C267" s="12">
        <v>90.2</v>
      </c>
      <c r="D267" t="s">
        <v>5877</v>
      </c>
    </row>
    <row r="268" spans="2:4" x14ac:dyDescent="0.35">
      <c r="B268" s="9">
        <v>40080</v>
      </c>
      <c r="C268" s="12">
        <v>69.5</v>
      </c>
      <c r="D268" t="s">
        <v>5877</v>
      </c>
    </row>
    <row r="269" spans="2:4" x14ac:dyDescent="0.35">
      <c r="B269" s="9">
        <v>40081</v>
      </c>
      <c r="C269" s="12">
        <v>58</v>
      </c>
      <c r="D269" t="s">
        <v>5877</v>
      </c>
    </row>
    <row r="270" spans="2:4" x14ac:dyDescent="0.35">
      <c r="B270" s="9">
        <v>40082</v>
      </c>
      <c r="C270" s="12">
        <v>85.8</v>
      </c>
      <c r="D270" t="s">
        <v>5877</v>
      </c>
    </row>
    <row r="271" spans="2:4" x14ac:dyDescent="0.35">
      <c r="B271" s="9">
        <v>40083</v>
      </c>
      <c r="C271" s="12">
        <v>116.1</v>
      </c>
      <c r="D271" t="s">
        <v>5877</v>
      </c>
    </row>
    <row r="272" spans="2:4" x14ac:dyDescent="0.35">
      <c r="B272" s="9">
        <v>40084</v>
      </c>
      <c r="C272" s="12">
        <v>90.9</v>
      </c>
      <c r="D272" t="s">
        <v>5877</v>
      </c>
    </row>
    <row r="273" spans="2:4" x14ac:dyDescent="0.35">
      <c r="B273" s="9">
        <v>40085</v>
      </c>
      <c r="C273" s="12">
        <v>106</v>
      </c>
      <c r="D273" t="s">
        <v>5877</v>
      </c>
    </row>
    <row r="274" spans="2:4" x14ac:dyDescent="0.35">
      <c r="B274" s="9">
        <v>40086</v>
      </c>
      <c r="C274" s="12">
        <v>131.69999999999999</v>
      </c>
      <c r="D274" t="s">
        <v>5877</v>
      </c>
    </row>
    <row r="275" spans="2:4" x14ac:dyDescent="0.35">
      <c r="B275" s="9">
        <v>40087</v>
      </c>
      <c r="C275" s="12">
        <v>104</v>
      </c>
      <c r="D275" t="s">
        <v>5877</v>
      </c>
    </row>
    <row r="276" spans="2:4" x14ac:dyDescent="0.35">
      <c r="B276" s="9">
        <v>40088</v>
      </c>
      <c r="C276" s="12">
        <v>79.099999999999994</v>
      </c>
      <c r="D276" t="s">
        <v>5877</v>
      </c>
    </row>
    <row r="277" spans="2:4" x14ac:dyDescent="0.35">
      <c r="B277" s="9">
        <v>40089</v>
      </c>
      <c r="C277" s="12">
        <v>96.4</v>
      </c>
      <c r="D277" t="s">
        <v>5877</v>
      </c>
    </row>
    <row r="278" spans="2:4" x14ac:dyDescent="0.35">
      <c r="B278" s="9">
        <v>40090</v>
      </c>
      <c r="C278" s="12">
        <v>116.4</v>
      </c>
      <c r="D278" t="s">
        <v>5877</v>
      </c>
    </row>
    <row r="279" spans="2:4" x14ac:dyDescent="0.35">
      <c r="B279" s="9">
        <v>40091</v>
      </c>
      <c r="C279" s="12">
        <v>94.3</v>
      </c>
      <c r="D279" t="s">
        <v>5877</v>
      </c>
    </row>
    <row r="280" spans="2:4" x14ac:dyDescent="0.35">
      <c r="B280" s="9">
        <v>40092</v>
      </c>
      <c r="C280" s="12">
        <v>149.30000000000001</v>
      </c>
      <c r="D280" t="s">
        <v>5877</v>
      </c>
    </row>
    <row r="281" spans="2:4" x14ac:dyDescent="0.35">
      <c r="B281" s="9">
        <v>40093</v>
      </c>
      <c r="C281" s="12">
        <v>112.3</v>
      </c>
      <c r="D281" t="s">
        <v>5877</v>
      </c>
    </row>
    <row r="282" spans="2:4" x14ac:dyDescent="0.35">
      <c r="B282" s="9">
        <v>40094</v>
      </c>
      <c r="C282" s="12">
        <v>98.8</v>
      </c>
      <c r="D282" t="s">
        <v>5877</v>
      </c>
    </row>
    <row r="283" spans="2:4" x14ac:dyDescent="0.35">
      <c r="B283" s="9">
        <v>40095</v>
      </c>
      <c r="C283" s="12">
        <v>127.8</v>
      </c>
      <c r="D283" t="s">
        <v>5877</v>
      </c>
    </row>
    <row r="284" spans="2:4" x14ac:dyDescent="0.35">
      <c r="B284" s="9">
        <v>40096</v>
      </c>
      <c r="C284" s="12">
        <v>114.4</v>
      </c>
      <c r="D284" t="s">
        <v>5877</v>
      </c>
    </row>
    <row r="285" spans="2:4" x14ac:dyDescent="0.35">
      <c r="B285" s="9">
        <v>40097</v>
      </c>
      <c r="C285" s="12">
        <v>93</v>
      </c>
      <c r="D285" t="s">
        <v>5877</v>
      </c>
    </row>
    <row r="286" spans="2:4" x14ac:dyDescent="0.35">
      <c r="B286" s="9">
        <v>40098</v>
      </c>
      <c r="C286" s="12">
        <v>107</v>
      </c>
      <c r="D286" t="s">
        <v>5877</v>
      </c>
    </row>
    <row r="287" spans="2:4" x14ac:dyDescent="0.35">
      <c r="B287" s="9">
        <v>40099</v>
      </c>
      <c r="C287" s="12">
        <v>135</v>
      </c>
      <c r="D287" t="s">
        <v>5877</v>
      </c>
    </row>
    <row r="288" spans="2:4" x14ac:dyDescent="0.35">
      <c r="B288" s="9">
        <v>40100</v>
      </c>
      <c r="C288" s="12">
        <v>108.2</v>
      </c>
      <c r="D288" t="s">
        <v>5877</v>
      </c>
    </row>
    <row r="289" spans="2:4" x14ac:dyDescent="0.35">
      <c r="B289" s="9">
        <v>40101</v>
      </c>
      <c r="C289" s="12">
        <v>98.7</v>
      </c>
      <c r="D289" t="s">
        <v>5877</v>
      </c>
    </row>
    <row r="290" spans="2:4" x14ac:dyDescent="0.35">
      <c r="B290" s="9">
        <v>40102</v>
      </c>
      <c r="C290" s="12">
        <v>82</v>
      </c>
      <c r="D290" t="s">
        <v>5877</v>
      </c>
    </row>
    <row r="291" spans="2:4" x14ac:dyDescent="0.35">
      <c r="B291" s="9">
        <v>40103</v>
      </c>
      <c r="C291" s="12">
        <v>106.3</v>
      </c>
      <c r="D291" t="s">
        <v>5877</v>
      </c>
    </row>
    <row r="292" spans="2:4" x14ac:dyDescent="0.35">
      <c r="B292" s="9">
        <v>40104</v>
      </c>
      <c r="C292" s="12">
        <v>160.80000000000001</v>
      </c>
      <c r="D292" t="s">
        <v>5877</v>
      </c>
    </row>
    <row r="293" spans="2:4" x14ac:dyDescent="0.35">
      <c r="B293" s="9">
        <v>40105</v>
      </c>
      <c r="C293" s="12">
        <v>146.19999999999999</v>
      </c>
      <c r="D293" t="s">
        <v>5877</v>
      </c>
    </row>
    <row r="294" spans="2:4" x14ac:dyDescent="0.35">
      <c r="B294" s="9">
        <v>40106</v>
      </c>
      <c r="C294" s="12">
        <v>108.7</v>
      </c>
      <c r="D294" t="s">
        <v>5877</v>
      </c>
    </row>
    <row r="295" spans="2:4" x14ac:dyDescent="0.35">
      <c r="B295" s="9">
        <v>40107</v>
      </c>
      <c r="C295" s="12">
        <v>103.1</v>
      </c>
      <c r="D295" t="s">
        <v>5877</v>
      </c>
    </row>
    <row r="296" spans="2:4" x14ac:dyDescent="0.35">
      <c r="B296" s="9">
        <v>40108</v>
      </c>
      <c r="C296" s="12">
        <v>85.7</v>
      </c>
      <c r="D296" t="s">
        <v>5877</v>
      </c>
    </row>
    <row r="297" spans="2:4" x14ac:dyDescent="0.35">
      <c r="B297" s="9">
        <v>40109</v>
      </c>
      <c r="C297" s="12">
        <v>93.2</v>
      </c>
      <c r="D297" t="s">
        <v>5877</v>
      </c>
    </row>
    <row r="298" spans="2:4" x14ac:dyDescent="0.35">
      <c r="B298" s="9">
        <v>40110</v>
      </c>
      <c r="C298" s="12">
        <v>119.9</v>
      </c>
      <c r="D298" t="s">
        <v>5877</v>
      </c>
    </row>
    <row r="299" spans="2:4" x14ac:dyDescent="0.35">
      <c r="B299" s="9">
        <v>40111</v>
      </c>
      <c r="C299" s="12">
        <v>122.7</v>
      </c>
      <c r="D299" t="s">
        <v>5877</v>
      </c>
    </row>
    <row r="300" spans="2:4" x14ac:dyDescent="0.35">
      <c r="B300" s="9">
        <v>40112</v>
      </c>
      <c r="C300" s="12">
        <v>95.3</v>
      </c>
      <c r="D300" t="s">
        <v>5877</v>
      </c>
    </row>
    <row r="301" spans="2:4" x14ac:dyDescent="0.35">
      <c r="B301" s="9">
        <v>40113</v>
      </c>
      <c r="C301" s="12">
        <v>144.5</v>
      </c>
      <c r="D301" t="s">
        <v>5877</v>
      </c>
    </row>
    <row r="302" spans="2:4" x14ac:dyDescent="0.35">
      <c r="B302" s="9">
        <v>40114</v>
      </c>
      <c r="C302" s="12">
        <v>140.4</v>
      </c>
      <c r="D302" t="s">
        <v>5877</v>
      </c>
    </row>
    <row r="303" spans="2:4" x14ac:dyDescent="0.35">
      <c r="B303" s="9">
        <v>40115</v>
      </c>
      <c r="C303" s="12">
        <v>106.6</v>
      </c>
      <c r="D303" t="s">
        <v>5877</v>
      </c>
    </row>
    <row r="304" spans="2:4" x14ac:dyDescent="0.35">
      <c r="B304" s="9">
        <v>40116</v>
      </c>
      <c r="C304" s="12">
        <v>136.1</v>
      </c>
      <c r="D304" t="s">
        <v>5877</v>
      </c>
    </row>
    <row r="305" spans="2:4" x14ac:dyDescent="0.35">
      <c r="B305" s="9">
        <v>40117</v>
      </c>
      <c r="C305" s="12">
        <v>129.80000000000001</v>
      </c>
      <c r="D305" t="s">
        <v>5877</v>
      </c>
    </row>
    <row r="306" spans="2:4" x14ac:dyDescent="0.35">
      <c r="B306" s="9">
        <v>40118</v>
      </c>
      <c r="C306" s="12">
        <v>133.5</v>
      </c>
      <c r="D306" t="s">
        <v>5877</v>
      </c>
    </row>
    <row r="307" spans="2:4" x14ac:dyDescent="0.35">
      <c r="B307" s="9">
        <v>40119</v>
      </c>
      <c r="C307" s="12">
        <v>149.30000000000001</v>
      </c>
      <c r="D307" t="s">
        <v>5877</v>
      </c>
    </row>
    <row r="308" spans="2:4" x14ac:dyDescent="0.35">
      <c r="B308" s="9">
        <v>40120</v>
      </c>
      <c r="C308" s="12">
        <v>127.7</v>
      </c>
      <c r="D308" t="s">
        <v>5877</v>
      </c>
    </row>
    <row r="309" spans="2:4" x14ac:dyDescent="0.35">
      <c r="B309" s="9">
        <v>40121</v>
      </c>
      <c r="C309" s="12">
        <v>158.19999999999999</v>
      </c>
      <c r="D309" t="s">
        <v>5877</v>
      </c>
    </row>
    <row r="310" spans="2:4" x14ac:dyDescent="0.35">
      <c r="B310" s="9">
        <v>40122</v>
      </c>
      <c r="C310" s="12">
        <v>139.6</v>
      </c>
      <c r="D310" t="s">
        <v>5877</v>
      </c>
    </row>
    <row r="311" spans="2:4" x14ac:dyDescent="0.35">
      <c r="B311" s="9">
        <v>40123</v>
      </c>
      <c r="C311" s="12">
        <v>135.80000000000001</v>
      </c>
      <c r="D311" t="s">
        <v>5877</v>
      </c>
    </row>
    <row r="312" spans="2:4" x14ac:dyDescent="0.35">
      <c r="B312" s="9">
        <v>40124</v>
      </c>
      <c r="C312" s="12">
        <v>136.4</v>
      </c>
      <c r="D312" t="s">
        <v>5877</v>
      </c>
    </row>
    <row r="313" spans="2:4" x14ac:dyDescent="0.35">
      <c r="B313" s="9">
        <v>40125</v>
      </c>
      <c r="C313" s="12">
        <v>113</v>
      </c>
      <c r="D313" t="s">
        <v>5877</v>
      </c>
    </row>
    <row r="314" spans="2:4" x14ac:dyDescent="0.35">
      <c r="B314" s="9">
        <v>40126</v>
      </c>
      <c r="C314" s="12">
        <v>87.9</v>
      </c>
      <c r="D314" t="s">
        <v>5877</v>
      </c>
    </row>
    <row r="315" spans="2:4" x14ac:dyDescent="0.35">
      <c r="B315" s="9">
        <v>40127</v>
      </c>
      <c r="C315" s="12">
        <v>163.4</v>
      </c>
      <c r="D315" t="s">
        <v>5877</v>
      </c>
    </row>
    <row r="316" spans="2:4" x14ac:dyDescent="0.35">
      <c r="B316" s="9">
        <v>40128</v>
      </c>
      <c r="C316" s="12">
        <v>194.6</v>
      </c>
      <c r="D316" t="s">
        <v>5877</v>
      </c>
    </row>
    <row r="317" spans="2:4" x14ac:dyDescent="0.35">
      <c r="B317" s="9">
        <v>40129</v>
      </c>
      <c r="C317" s="12">
        <v>157.1</v>
      </c>
      <c r="D317" t="s">
        <v>5877</v>
      </c>
    </row>
    <row r="318" spans="2:4" x14ac:dyDescent="0.35">
      <c r="B318" s="9">
        <v>40130</v>
      </c>
      <c r="C318" s="12">
        <v>112.3</v>
      </c>
      <c r="D318" t="s">
        <v>5877</v>
      </c>
    </row>
    <row r="319" spans="2:4" x14ac:dyDescent="0.35">
      <c r="B319" s="9">
        <v>40131</v>
      </c>
      <c r="C319" s="12">
        <v>88.8</v>
      </c>
      <c r="D319" t="s">
        <v>5877</v>
      </c>
    </row>
    <row r="320" spans="2:4" x14ac:dyDescent="0.35">
      <c r="B320" s="9">
        <v>40132</v>
      </c>
      <c r="C320" s="12">
        <v>114.3</v>
      </c>
      <c r="D320" t="s">
        <v>5877</v>
      </c>
    </row>
    <row r="321" spans="2:4" x14ac:dyDescent="0.35">
      <c r="B321" s="9">
        <v>40133</v>
      </c>
      <c r="C321" s="12">
        <v>95.1</v>
      </c>
      <c r="D321" t="s">
        <v>5877</v>
      </c>
    </row>
    <row r="322" spans="2:4" x14ac:dyDescent="0.35">
      <c r="B322" s="9">
        <v>40134</v>
      </c>
      <c r="C322" s="12">
        <v>83.9</v>
      </c>
      <c r="D322" t="s">
        <v>5877</v>
      </c>
    </row>
    <row r="323" spans="2:4" x14ac:dyDescent="0.35">
      <c r="B323" s="9">
        <v>40135</v>
      </c>
      <c r="C323" s="12">
        <v>76.8</v>
      </c>
      <c r="D323" t="s">
        <v>5877</v>
      </c>
    </row>
    <row r="324" spans="2:4" x14ac:dyDescent="0.35">
      <c r="B324" s="9">
        <v>40136</v>
      </c>
      <c r="C324" s="12">
        <v>135.69999999999999</v>
      </c>
      <c r="D324" t="s">
        <v>5877</v>
      </c>
    </row>
    <row r="325" spans="2:4" x14ac:dyDescent="0.35">
      <c r="B325" s="9">
        <v>40137</v>
      </c>
      <c r="C325" s="12">
        <v>171</v>
      </c>
      <c r="D325" t="s">
        <v>5877</v>
      </c>
    </row>
    <row r="326" spans="2:4" x14ac:dyDescent="0.35">
      <c r="B326" s="9">
        <v>40138</v>
      </c>
      <c r="C326" s="12">
        <v>124.8</v>
      </c>
      <c r="D326" t="s">
        <v>5877</v>
      </c>
    </row>
    <row r="327" spans="2:4" x14ac:dyDescent="0.35">
      <c r="B327" s="9">
        <v>40139</v>
      </c>
      <c r="C327" s="12">
        <v>121.9</v>
      </c>
      <c r="D327" t="s">
        <v>5877</v>
      </c>
    </row>
    <row r="328" spans="2:4" x14ac:dyDescent="0.35">
      <c r="B328" s="9">
        <v>40140</v>
      </c>
      <c r="C328" s="12">
        <v>94.9</v>
      </c>
      <c r="D328" t="s">
        <v>5877</v>
      </c>
    </row>
    <row r="329" spans="2:4" x14ac:dyDescent="0.35">
      <c r="B329" s="9">
        <v>40141</v>
      </c>
      <c r="C329" s="12">
        <v>76.8</v>
      </c>
      <c r="D329" t="s">
        <v>5877</v>
      </c>
    </row>
    <row r="330" spans="2:4" x14ac:dyDescent="0.35">
      <c r="B330" s="9">
        <v>40142</v>
      </c>
      <c r="C330" s="12">
        <v>79</v>
      </c>
      <c r="D330" t="s">
        <v>5877</v>
      </c>
    </row>
    <row r="331" spans="2:4" x14ac:dyDescent="0.35">
      <c r="B331" s="9">
        <v>40143</v>
      </c>
      <c r="C331" s="12">
        <v>138.9</v>
      </c>
      <c r="D331" t="s">
        <v>5877</v>
      </c>
    </row>
    <row r="332" spans="2:4" x14ac:dyDescent="0.35">
      <c r="B332" s="9">
        <v>40144</v>
      </c>
      <c r="C332" s="12">
        <v>150.30000000000001</v>
      </c>
      <c r="D332" t="s">
        <v>5877</v>
      </c>
    </row>
    <row r="333" spans="2:4" x14ac:dyDescent="0.35">
      <c r="B333" s="9">
        <v>40145</v>
      </c>
      <c r="C333" s="12">
        <v>115.4</v>
      </c>
      <c r="D333" t="s">
        <v>5877</v>
      </c>
    </row>
    <row r="334" spans="2:4" x14ac:dyDescent="0.35">
      <c r="B334" s="9">
        <v>40146</v>
      </c>
      <c r="C334" s="12">
        <v>168.3</v>
      </c>
      <c r="D334" t="s">
        <v>5877</v>
      </c>
    </row>
    <row r="335" spans="2:4" x14ac:dyDescent="0.35">
      <c r="B335" s="9">
        <v>40147</v>
      </c>
      <c r="C335" s="12">
        <v>126.2</v>
      </c>
      <c r="D335" t="s">
        <v>5877</v>
      </c>
    </row>
    <row r="336" spans="2:4" x14ac:dyDescent="0.35">
      <c r="B336" s="9">
        <v>40148</v>
      </c>
      <c r="C336" s="12">
        <v>111.8</v>
      </c>
      <c r="D336" t="s">
        <v>5877</v>
      </c>
    </row>
    <row r="337" spans="2:4" x14ac:dyDescent="0.35">
      <c r="B337" s="9">
        <v>40149</v>
      </c>
      <c r="C337" s="12">
        <v>120.3</v>
      </c>
      <c r="D337" t="s">
        <v>5877</v>
      </c>
    </row>
    <row r="338" spans="2:4" x14ac:dyDescent="0.35">
      <c r="B338" s="9">
        <v>40150</v>
      </c>
      <c r="C338" s="12">
        <v>131.19999999999999</v>
      </c>
      <c r="D338" t="s">
        <v>5877</v>
      </c>
    </row>
    <row r="339" spans="2:4" x14ac:dyDescent="0.35">
      <c r="B339" s="9">
        <v>40151</v>
      </c>
      <c r="C339" s="12">
        <v>115.3</v>
      </c>
      <c r="D339" t="s">
        <v>5877</v>
      </c>
    </row>
    <row r="340" spans="2:4" x14ac:dyDescent="0.35">
      <c r="B340" s="9">
        <v>40152</v>
      </c>
      <c r="C340" s="12">
        <v>119.7</v>
      </c>
      <c r="D340" t="s">
        <v>5877</v>
      </c>
    </row>
    <row r="341" spans="2:4" x14ac:dyDescent="0.35">
      <c r="B341" s="9">
        <v>40153</v>
      </c>
      <c r="C341" s="12">
        <v>93.1</v>
      </c>
      <c r="D341" t="s">
        <v>5877</v>
      </c>
    </row>
    <row r="342" spans="2:4" x14ac:dyDescent="0.35">
      <c r="B342" s="9">
        <v>40154</v>
      </c>
      <c r="C342" s="12">
        <v>98.6</v>
      </c>
      <c r="D342" t="s">
        <v>5877</v>
      </c>
    </row>
    <row r="343" spans="2:4" x14ac:dyDescent="0.35">
      <c r="B343" s="9">
        <v>40155</v>
      </c>
      <c r="C343" s="12">
        <v>143.6</v>
      </c>
      <c r="D343" t="s">
        <v>5877</v>
      </c>
    </row>
    <row r="344" spans="2:4" x14ac:dyDescent="0.35">
      <c r="B344" s="9">
        <v>40156</v>
      </c>
      <c r="C344" s="12">
        <v>143.6</v>
      </c>
      <c r="D344" t="s">
        <v>5877</v>
      </c>
    </row>
    <row r="345" spans="2:4" x14ac:dyDescent="0.35">
      <c r="B345" s="9">
        <v>40157</v>
      </c>
      <c r="C345" s="12">
        <v>170.1</v>
      </c>
      <c r="D345" t="s">
        <v>5877</v>
      </c>
    </row>
    <row r="346" spans="2:4" x14ac:dyDescent="0.35">
      <c r="B346" s="9">
        <v>40158</v>
      </c>
      <c r="C346" s="12">
        <v>144</v>
      </c>
      <c r="D346" t="s">
        <v>5877</v>
      </c>
    </row>
    <row r="347" spans="2:4" x14ac:dyDescent="0.35">
      <c r="B347" s="9">
        <v>40159</v>
      </c>
      <c r="C347" s="12">
        <v>121.7</v>
      </c>
      <c r="D347" t="s">
        <v>5877</v>
      </c>
    </row>
    <row r="348" spans="2:4" x14ac:dyDescent="0.35">
      <c r="B348" s="9">
        <v>40160</v>
      </c>
      <c r="C348" s="12">
        <v>96</v>
      </c>
      <c r="D348" t="s">
        <v>5877</v>
      </c>
    </row>
    <row r="349" spans="2:4" x14ac:dyDescent="0.35">
      <c r="B349" s="9">
        <v>40161</v>
      </c>
      <c r="C349" s="12">
        <v>94.1</v>
      </c>
      <c r="D349" t="s">
        <v>5877</v>
      </c>
    </row>
    <row r="350" spans="2:4" x14ac:dyDescent="0.35">
      <c r="B350" s="9">
        <v>40162</v>
      </c>
      <c r="C350" s="12">
        <v>101.8</v>
      </c>
      <c r="D350" t="s">
        <v>5877</v>
      </c>
    </row>
    <row r="351" spans="2:4" x14ac:dyDescent="0.35">
      <c r="B351" s="9">
        <v>40163</v>
      </c>
      <c r="C351" s="12">
        <v>171</v>
      </c>
      <c r="D351" t="s">
        <v>5877</v>
      </c>
    </row>
    <row r="352" spans="2:4" x14ac:dyDescent="0.35">
      <c r="B352" s="9">
        <v>40164</v>
      </c>
      <c r="C352" s="12">
        <v>148.80000000000001</v>
      </c>
      <c r="D352" t="s">
        <v>5877</v>
      </c>
    </row>
    <row r="353" spans="2:4" x14ac:dyDescent="0.35">
      <c r="B353" s="9">
        <v>40165</v>
      </c>
      <c r="C353" s="12">
        <v>142.5</v>
      </c>
      <c r="D353" t="s">
        <v>5877</v>
      </c>
    </row>
    <row r="354" spans="2:4" x14ac:dyDescent="0.35">
      <c r="B354" s="9">
        <v>40166</v>
      </c>
      <c r="C354" s="12">
        <v>165.7</v>
      </c>
      <c r="D354" t="s">
        <v>5877</v>
      </c>
    </row>
    <row r="355" spans="2:4" x14ac:dyDescent="0.35">
      <c r="B355" s="9">
        <v>40167</v>
      </c>
      <c r="C355" s="12">
        <v>124.8</v>
      </c>
      <c r="D355" t="s">
        <v>5877</v>
      </c>
    </row>
    <row r="356" spans="2:4" x14ac:dyDescent="0.35">
      <c r="B356" s="9">
        <v>40168</v>
      </c>
      <c r="C356" s="12">
        <v>98.5</v>
      </c>
      <c r="D356" t="s">
        <v>5877</v>
      </c>
    </row>
    <row r="357" spans="2:4" x14ac:dyDescent="0.35">
      <c r="B357" s="9">
        <v>40169</v>
      </c>
      <c r="C357" s="12">
        <v>157.5</v>
      </c>
      <c r="D357" t="s">
        <v>5877</v>
      </c>
    </row>
    <row r="358" spans="2:4" x14ac:dyDescent="0.35">
      <c r="B358" s="9">
        <v>40170</v>
      </c>
      <c r="C358" s="12">
        <v>137.69999999999999</v>
      </c>
      <c r="D358" t="s">
        <v>5877</v>
      </c>
    </row>
    <row r="359" spans="2:4" x14ac:dyDescent="0.35">
      <c r="B359" s="9">
        <v>40171</v>
      </c>
      <c r="C359" s="12">
        <v>141.4</v>
      </c>
      <c r="D359" t="s">
        <v>5877</v>
      </c>
    </row>
    <row r="360" spans="2:4" x14ac:dyDescent="0.35">
      <c r="B360" s="9">
        <v>40172</v>
      </c>
      <c r="C360" s="12">
        <v>138.5</v>
      </c>
      <c r="D360" t="s">
        <v>5877</v>
      </c>
    </row>
    <row r="361" spans="2:4" x14ac:dyDescent="0.35">
      <c r="B361" s="9">
        <v>40173</v>
      </c>
      <c r="C361" s="12">
        <v>103.1</v>
      </c>
      <c r="D361" t="s">
        <v>5877</v>
      </c>
    </row>
    <row r="362" spans="2:4" x14ac:dyDescent="0.35">
      <c r="B362" s="9">
        <v>40174</v>
      </c>
      <c r="C362" s="12">
        <v>111.7</v>
      </c>
      <c r="D362" t="s">
        <v>5877</v>
      </c>
    </row>
    <row r="363" spans="2:4" x14ac:dyDescent="0.35">
      <c r="B363" s="9">
        <v>40175</v>
      </c>
      <c r="C363" s="12">
        <v>134.30000000000001</v>
      </c>
      <c r="D363" t="s">
        <v>5877</v>
      </c>
    </row>
    <row r="364" spans="2:4" x14ac:dyDescent="0.35">
      <c r="B364" s="9">
        <v>40176</v>
      </c>
      <c r="C364" s="12">
        <v>133.19999999999999</v>
      </c>
      <c r="D364" t="s">
        <v>5877</v>
      </c>
    </row>
    <row r="365" spans="2:4" x14ac:dyDescent="0.35">
      <c r="B365" s="9">
        <v>40177</v>
      </c>
      <c r="C365" s="12">
        <v>105.7</v>
      </c>
      <c r="D365" t="s">
        <v>5877</v>
      </c>
    </row>
    <row r="366" spans="2:4" x14ac:dyDescent="0.35">
      <c r="B366" s="9">
        <v>40178</v>
      </c>
      <c r="C366" s="12">
        <v>150.19999999999999</v>
      </c>
      <c r="D366" t="s">
        <v>5877</v>
      </c>
    </row>
    <row r="367" spans="2:4" x14ac:dyDescent="0.35">
      <c r="B367" s="9">
        <v>40179</v>
      </c>
      <c r="C367" s="12">
        <v>182.9</v>
      </c>
      <c r="D367" t="s">
        <v>5877</v>
      </c>
    </row>
    <row r="368" spans="2:4" x14ac:dyDescent="0.35">
      <c r="B368" s="9">
        <v>40180</v>
      </c>
      <c r="C368" s="12">
        <v>151.30000000000001</v>
      </c>
      <c r="D368" t="s">
        <v>5877</v>
      </c>
    </row>
    <row r="369" spans="2:4" x14ac:dyDescent="0.35">
      <c r="B369" s="9">
        <v>40181</v>
      </c>
      <c r="C369" s="12">
        <v>123.4</v>
      </c>
      <c r="D369" t="s">
        <v>5877</v>
      </c>
    </row>
    <row r="370" spans="2:4" x14ac:dyDescent="0.35">
      <c r="B370" s="9">
        <v>40182</v>
      </c>
      <c r="C370" s="12">
        <v>122.6</v>
      </c>
      <c r="D370" t="s">
        <v>5877</v>
      </c>
    </row>
    <row r="371" spans="2:4" x14ac:dyDescent="0.35">
      <c r="B371" s="9">
        <v>40183</v>
      </c>
      <c r="C371" s="12">
        <v>101.9</v>
      </c>
      <c r="D371" t="s">
        <v>5877</v>
      </c>
    </row>
    <row r="372" spans="2:4" x14ac:dyDescent="0.35">
      <c r="B372" s="9">
        <v>40184</v>
      </c>
      <c r="C372" s="12">
        <v>89.2</v>
      </c>
      <c r="D372" t="s">
        <v>5877</v>
      </c>
    </row>
    <row r="373" spans="2:4" x14ac:dyDescent="0.35">
      <c r="B373" s="9">
        <v>40185</v>
      </c>
      <c r="C373" s="12">
        <v>77.599999999999994</v>
      </c>
      <c r="D373" t="s">
        <v>5877</v>
      </c>
    </row>
    <row r="374" spans="2:4" x14ac:dyDescent="0.35">
      <c r="B374" s="9">
        <v>40186</v>
      </c>
      <c r="C374" s="12">
        <v>67.8</v>
      </c>
      <c r="D374" t="s">
        <v>5877</v>
      </c>
    </row>
    <row r="375" spans="2:4" x14ac:dyDescent="0.35">
      <c r="B375" s="9">
        <v>40187</v>
      </c>
      <c r="C375" s="12">
        <v>80.400000000000006</v>
      </c>
      <c r="D375" t="s">
        <v>5877</v>
      </c>
    </row>
    <row r="376" spans="2:4" x14ac:dyDescent="0.35">
      <c r="B376" s="9">
        <v>40188</v>
      </c>
      <c r="C376" s="12">
        <v>77.400000000000006</v>
      </c>
      <c r="D376" t="s">
        <v>5877</v>
      </c>
    </row>
    <row r="377" spans="2:4" x14ac:dyDescent="0.35">
      <c r="B377" s="9">
        <v>40189</v>
      </c>
      <c r="C377" s="12">
        <v>133</v>
      </c>
      <c r="D377" t="s">
        <v>5877</v>
      </c>
    </row>
    <row r="378" spans="2:4" x14ac:dyDescent="0.35">
      <c r="B378" s="9">
        <v>40190</v>
      </c>
      <c r="C378" s="12">
        <v>122.9</v>
      </c>
      <c r="D378" t="s">
        <v>5877</v>
      </c>
    </row>
    <row r="379" spans="2:4" x14ac:dyDescent="0.35">
      <c r="B379" s="9">
        <v>40191</v>
      </c>
      <c r="C379" s="12">
        <v>117.2</v>
      </c>
      <c r="D379" t="s">
        <v>5877</v>
      </c>
    </row>
    <row r="380" spans="2:4" x14ac:dyDescent="0.35">
      <c r="B380" s="9">
        <v>40192</v>
      </c>
      <c r="C380" s="12">
        <v>142.69999999999999</v>
      </c>
      <c r="D380" t="s">
        <v>5877</v>
      </c>
    </row>
    <row r="381" spans="2:4" x14ac:dyDescent="0.35">
      <c r="B381" s="9">
        <v>40193</v>
      </c>
      <c r="C381" s="12">
        <v>116.5</v>
      </c>
      <c r="D381" t="s">
        <v>5877</v>
      </c>
    </row>
    <row r="382" spans="2:4" x14ac:dyDescent="0.35">
      <c r="B382" s="9">
        <v>40194</v>
      </c>
      <c r="C382" s="12">
        <v>86.9</v>
      </c>
      <c r="D382" t="s">
        <v>5877</v>
      </c>
    </row>
    <row r="383" spans="2:4" x14ac:dyDescent="0.35">
      <c r="B383" s="9">
        <v>40195</v>
      </c>
      <c r="C383" s="12">
        <v>72.7</v>
      </c>
      <c r="D383" t="s">
        <v>5877</v>
      </c>
    </row>
    <row r="384" spans="2:4" x14ac:dyDescent="0.35">
      <c r="B384" s="9">
        <v>40196</v>
      </c>
      <c r="C384" s="12">
        <v>102.1</v>
      </c>
      <c r="D384" t="s">
        <v>5877</v>
      </c>
    </row>
    <row r="385" spans="2:4" x14ac:dyDescent="0.35">
      <c r="B385" s="9">
        <v>40197</v>
      </c>
      <c r="C385" s="12">
        <v>109.9</v>
      </c>
      <c r="D385" t="s">
        <v>5877</v>
      </c>
    </row>
    <row r="386" spans="2:4" x14ac:dyDescent="0.35">
      <c r="B386" s="9">
        <v>40198</v>
      </c>
      <c r="C386" s="12">
        <v>95.4</v>
      </c>
      <c r="D386" t="s">
        <v>5877</v>
      </c>
    </row>
    <row r="387" spans="2:4" x14ac:dyDescent="0.35">
      <c r="B387" s="9">
        <v>40199</v>
      </c>
      <c r="C387" s="12">
        <v>96.1</v>
      </c>
      <c r="D387" t="s">
        <v>5877</v>
      </c>
    </row>
    <row r="388" spans="2:4" x14ac:dyDescent="0.35">
      <c r="B388" s="9">
        <v>40200</v>
      </c>
      <c r="C388" s="12">
        <v>77.8</v>
      </c>
      <c r="D388" t="s">
        <v>5877</v>
      </c>
    </row>
    <row r="389" spans="2:4" x14ac:dyDescent="0.35">
      <c r="B389" s="9">
        <v>40201</v>
      </c>
      <c r="C389" s="12">
        <v>74.5</v>
      </c>
      <c r="D389" t="s">
        <v>5877</v>
      </c>
    </row>
    <row r="390" spans="2:4" x14ac:dyDescent="0.35">
      <c r="B390" s="9">
        <v>40202</v>
      </c>
      <c r="C390" s="12">
        <v>65.3</v>
      </c>
      <c r="D390" t="s">
        <v>5877</v>
      </c>
    </row>
    <row r="391" spans="2:4" x14ac:dyDescent="0.35">
      <c r="B391" s="9">
        <v>40203</v>
      </c>
      <c r="C391" s="12">
        <v>94.4</v>
      </c>
      <c r="D391" t="s">
        <v>5877</v>
      </c>
    </row>
    <row r="392" spans="2:4" x14ac:dyDescent="0.35">
      <c r="B392" s="9">
        <v>40204</v>
      </c>
      <c r="C392" s="12">
        <v>104.4</v>
      </c>
      <c r="D392" t="s">
        <v>5877</v>
      </c>
    </row>
    <row r="393" spans="2:4" x14ac:dyDescent="0.35">
      <c r="B393" s="9">
        <v>40205</v>
      </c>
      <c r="C393" s="12">
        <v>117</v>
      </c>
      <c r="D393" t="s">
        <v>5877</v>
      </c>
    </row>
    <row r="394" spans="2:4" x14ac:dyDescent="0.35">
      <c r="B394" s="9">
        <v>40206</v>
      </c>
      <c r="C394" s="12">
        <v>129.9</v>
      </c>
      <c r="D394" t="s">
        <v>5877</v>
      </c>
    </row>
    <row r="395" spans="2:4" x14ac:dyDescent="0.35">
      <c r="B395" s="9">
        <v>40207</v>
      </c>
      <c r="C395" s="12">
        <v>154.4</v>
      </c>
      <c r="D395" t="s">
        <v>5877</v>
      </c>
    </row>
    <row r="396" spans="2:4" x14ac:dyDescent="0.35">
      <c r="B396" s="9">
        <v>40208</v>
      </c>
      <c r="C396" s="12">
        <v>133.5</v>
      </c>
      <c r="D396" t="s">
        <v>5877</v>
      </c>
    </row>
    <row r="397" spans="2:4" x14ac:dyDescent="0.35">
      <c r="B397" s="9">
        <v>40209</v>
      </c>
      <c r="C397" s="12">
        <v>98.5</v>
      </c>
      <c r="D397" t="s">
        <v>5877</v>
      </c>
    </row>
    <row r="398" spans="2:4" x14ac:dyDescent="0.35">
      <c r="B398" s="9">
        <v>40210</v>
      </c>
      <c r="C398" s="12">
        <v>79.8</v>
      </c>
      <c r="D398" t="s">
        <v>5877</v>
      </c>
    </row>
    <row r="399" spans="2:4" x14ac:dyDescent="0.35">
      <c r="B399" s="9">
        <v>40211</v>
      </c>
      <c r="C399" s="12">
        <v>72.900000000000006</v>
      </c>
      <c r="D399" t="s">
        <v>5877</v>
      </c>
    </row>
    <row r="400" spans="2:4" x14ac:dyDescent="0.35">
      <c r="B400" s="9">
        <v>40212</v>
      </c>
      <c r="C400" s="12">
        <v>133</v>
      </c>
      <c r="D400" t="s">
        <v>5877</v>
      </c>
    </row>
    <row r="401" spans="2:4" x14ac:dyDescent="0.35">
      <c r="B401" s="9">
        <v>40213</v>
      </c>
      <c r="C401" s="12">
        <v>121</v>
      </c>
      <c r="D401" t="s">
        <v>5877</v>
      </c>
    </row>
    <row r="402" spans="2:4" x14ac:dyDescent="0.35">
      <c r="B402" s="9">
        <v>40214</v>
      </c>
      <c r="C402" s="12">
        <v>92.7</v>
      </c>
      <c r="D402" t="s">
        <v>5877</v>
      </c>
    </row>
    <row r="403" spans="2:4" x14ac:dyDescent="0.35">
      <c r="B403" s="9">
        <v>40215</v>
      </c>
      <c r="C403" s="12">
        <v>77.7</v>
      </c>
      <c r="D403" t="s">
        <v>5877</v>
      </c>
    </row>
    <row r="404" spans="2:4" x14ac:dyDescent="0.35">
      <c r="B404" s="9">
        <v>40216</v>
      </c>
      <c r="C404" s="12">
        <v>88.7</v>
      </c>
      <c r="D404" t="s">
        <v>5877</v>
      </c>
    </row>
    <row r="405" spans="2:4" x14ac:dyDescent="0.35">
      <c r="B405" s="9">
        <v>40217</v>
      </c>
      <c r="C405" s="12">
        <v>86.8</v>
      </c>
      <c r="D405" t="s">
        <v>5877</v>
      </c>
    </row>
    <row r="406" spans="2:4" x14ac:dyDescent="0.35">
      <c r="B406" s="9">
        <v>40218</v>
      </c>
      <c r="C406" s="12">
        <v>81.2</v>
      </c>
      <c r="D406" t="s">
        <v>5877</v>
      </c>
    </row>
    <row r="407" spans="2:4" x14ac:dyDescent="0.35">
      <c r="B407" s="9">
        <v>40219</v>
      </c>
      <c r="C407" s="12">
        <v>139.9</v>
      </c>
      <c r="D407" t="s">
        <v>5877</v>
      </c>
    </row>
    <row r="408" spans="2:4" x14ac:dyDescent="0.35">
      <c r="B408" s="9">
        <v>40220</v>
      </c>
      <c r="C408" s="12">
        <v>134.4</v>
      </c>
      <c r="D408" t="s">
        <v>5877</v>
      </c>
    </row>
    <row r="409" spans="2:4" x14ac:dyDescent="0.35">
      <c r="B409" s="9">
        <v>40221</v>
      </c>
      <c r="C409" s="12">
        <v>100.9</v>
      </c>
      <c r="D409" t="s">
        <v>5877</v>
      </c>
    </row>
    <row r="410" spans="2:4" x14ac:dyDescent="0.35">
      <c r="B410" s="9">
        <v>40222</v>
      </c>
      <c r="C410" s="12">
        <v>81.900000000000006</v>
      </c>
      <c r="D410" t="s">
        <v>5877</v>
      </c>
    </row>
    <row r="411" spans="2:4" x14ac:dyDescent="0.35">
      <c r="B411" s="9">
        <v>40223</v>
      </c>
      <c r="C411" s="12">
        <v>86.6</v>
      </c>
      <c r="D411" t="s">
        <v>5877</v>
      </c>
    </row>
    <row r="412" spans="2:4" x14ac:dyDescent="0.35">
      <c r="B412" s="9">
        <v>40224</v>
      </c>
      <c r="C412" s="12">
        <v>133.69999999999999</v>
      </c>
      <c r="D412" t="s">
        <v>5877</v>
      </c>
    </row>
    <row r="413" spans="2:4" x14ac:dyDescent="0.35">
      <c r="B413" s="9">
        <v>40225</v>
      </c>
      <c r="C413" s="12">
        <v>178.6</v>
      </c>
      <c r="D413" t="s">
        <v>5877</v>
      </c>
    </row>
    <row r="414" spans="2:4" x14ac:dyDescent="0.35">
      <c r="B414" s="9">
        <v>40226</v>
      </c>
      <c r="C414" s="12">
        <v>133.19999999999999</v>
      </c>
      <c r="D414" t="s">
        <v>5877</v>
      </c>
    </row>
    <row r="415" spans="2:4" x14ac:dyDescent="0.35">
      <c r="B415" s="9">
        <v>40227</v>
      </c>
      <c r="C415" s="12">
        <v>98.6</v>
      </c>
      <c r="D415" t="s">
        <v>5877</v>
      </c>
    </row>
    <row r="416" spans="2:4" x14ac:dyDescent="0.35">
      <c r="B416" s="9">
        <v>40228</v>
      </c>
      <c r="C416" s="12">
        <v>82.5</v>
      </c>
      <c r="D416" t="s">
        <v>5877</v>
      </c>
    </row>
    <row r="417" spans="2:4" x14ac:dyDescent="0.35">
      <c r="B417" s="9">
        <v>40229</v>
      </c>
      <c r="C417" s="12">
        <v>128.5</v>
      </c>
      <c r="D417" t="s">
        <v>5877</v>
      </c>
    </row>
    <row r="418" spans="2:4" x14ac:dyDescent="0.35">
      <c r="B418" s="9">
        <v>40230</v>
      </c>
      <c r="C418" s="12">
        <v>161.19999999999999</v>
      </c>
      <c r="D418" t="s">
        <v>5877</v>
      </c>
    </row>
    <row r="419" spans="2:4" x14ac:dyDescent="0.35">
      <c r="B419" s="9">
        <v>40231</v>
      </c>
      <c r="C419" s="12">
        <v>159.69999999999999</v>
      </c>
      <c r="D419" t="s">
        <v>5877</v>
      </c>
    </row>
    <row r="420" spans="2:4" x14ac:dyDescent="0.35">
      <c r="B420" s="9">
        <v>40232</v>
      </c>
      <c r="C420" s="12">
        <v>130.69999999999999</v>
      </c>
      <c r="D420" t="s">
        <v>5877</v>
      </c>
    </row>
    <row r="421" spans="2:4" x14ac:dyDescent="0.35">
      <c r="B421" s="9">
        <v>40233</v>
      </c>
      <c r="C421" s="12">
        <v>155.30000000000001</v>
      </c>
      <c r="D421" t="s">
        <v>5877</v>
      </c>
    </row>
    <row r="422" spans="2:4" x14ac:dyDescent="0.35">
      <c r="B422" s="9">
        <v>40234</v>
      </c>
      <c r="C422" s="12">
        <v>182.1</v>
      </c>
      <c r="D422" t="s">
        <v>5877</v>
      </c>
    </row>
    <row r="423" spans="2:4" x14ac:dyDescent="0.35">
      <c r="B423" s="9">
        <v>40235</v>
      </c>
      <c r="C423" s="12">
        <v>133.69999999999999</v>
      </c>
      <c r="D423" t="s">
        <v>5877</v>
      </c>
    </row>
    <row r="424" spans="2:4" x14ac:dyDescent="0.35">
      <c r="B424" s="9">
        <v>40236</v>
      </c>
      <c r="C424" s="12">
        <v>100.5</v>
      </c>
      <c r="D424" t="s">
        <v>5877</v>
      </c>
    </row>
    <row r="425" spans="2:4" x14ac:dyDescent="0.35">
      <c r="B425" s="9">
        <v>40237</v>
      </c>
      <c r="C425" s="12">
        <v>113.4</v>
      </c>
      <c r="D425" t="s">
        <v>5877</v>
      </c>
    </row>
    <row r="426" spans="2:4" x14ac:dyDescent="0.35">
      <c r="B426" s="9">
        <v>40238</v>
      </c>
      <c r="C426" s="12">
        <v>99.3</v>
      </c>
      <c r="D426" t="s">
        <v>5877</v>
      </c>
    </row>
    <row r="427" spans="2:4" x14ac:dyDescent="0.35">
      <c r="B427" s="9">
        <v>40239</v>
      </c>
      <c r="C427" s="12">
        <v>167.3</v>
      </c>
      <c r="D427" t="s">
        <v>5877</v>
      </c>
    </row>
    <row r="428" spans="2:4" x14ac:dyDescent="0.35">
      <c r="B428" s="9">
        <v>40240</v>
      </c>
      <c r="C428" s="12">
        <v>129.80000000000001</v>
      </c>
      <c r="D428" t="s">
        <v>5877</v>
      </c>
    </row>
    <row r="429" spans="2:4" x14ac:dyDescent="0.35">
      <c r="B429" s="9">
        <v>40241</v>
      </c>
      <c r="C429" s="12">
        <v>96.9</v>
      </c>
      <c r="D429" t="s">
        <v>5877</v>
      </c>
    </row>
    <row r="430" spans="2:4" x14ac:dyDescent="0.35">
      <c r="B430" s="9">
        <v>40242</v>
      </c>
      <c r="C430" s="12">
        <v>79.099999999999994</v>
      </c>
      <c r="D430" t="s">
        <v>5877</v>
      </c>
    </row>
    <row r="431" spans="2:4" x14ac:dyDescent="0.35">
      <c r="B431" s="9">
        <v>40243</v>
      </c>
      <c r="C431" s="12">
        <v>103.2</v>
      </c>
      <c r="D431" t="s">
        <v>5877</v>
      </c>
    </row>
    <row r="432" spans="2:4" x14ac:dyDescent="0.35">
      <c r="B432" s="9">
        <v>40244</v>
      </c>
      <c r="C432" s="12">
        <v>156.80000000000001</v>
      </c>
      <c r="D432" t="s">
        <v>5877</v>
      </c>
    </row>
    <row r="433" spans="2:4" x14ac:dyDescent="0.35">
      <c r="B433" s="9">
        <v>40245</v>
      </c>
      <c r="C433" s="12">
        <v>134.69999999999999</v>
      </c>
      <c r="D433" t="s">
        <v>5877</v>
      </c>
    </row>
    <row r="434" spans="2:4" x14ac:dyDescent="0.35">
      <c r="B434" s="9">
        <v>40246</v>
      </c>
      <c r="C434" s="12">
        <v>121.8</v>
      </c>
      <c r="D434" t="s">
        <v>5877</v>
      </c>
    </row>
    <row r="435" spans="2:4" x14ac:dyDescent="0.35">
      <c r="B435" s="9">
        <v>40247</v>
      </c>
      <c r="C435" s="12">
        <v>138.5</v>
      </c>
      <c r="D435" t="s">
        <v>5877</v>
      </c>
    </row>
    <row r="436" spans="2:4" x14ac:dyDescent="0.35">
      <c r="B436" s="9">
        <v>40248</v>
      </c>
      <c r="C436" s="12">
        <v>112.6</v>
      </c>
      <c r="D436" t="s">
        <v>5877</v>
      </c>
    </row>
    <row r="437" spans="2:4" x14ac:dyDescent="0.35">
      <c r="B437" s="9">
        <v>40249</v>
      </c>
      <c r="C437" s="12">
        <v>89.7</v>
      </c>
      <c r="D437" t="s">
        <v>5877</v>
      </c>
    </row>
    <row r="438" spans="2:4" x14ac:dyDescent="0.35">
      <c r="B438" s="9">
        <v>40250</v>
      </c>
      <c r="C438" s="12">
        <v>106.9</v>
      </c>
      <c r="D438" t="s">
        <v>5877</v>
      </c>
    </row>
    <row r="439" spans="2:4" x14ac:dyDescent="0.35">
      <c r="B439" s="9">
        <v>40251</v>
      </c>
      <c r="C439" s="12">
        <v>111</v>
      </c>
      <c r="D439" t="s">
        <v>5877</v>
      </c>
    </row>
    <row r="440" spans="2:4" x14ac:dyDescent="0.35">
      <c r="B440" s="9">
        <v>40252</v>
      </c>
      <c r="C440" s="12">
        <v>171.4</v>
      </c>
      <c r="D440" t="s">
        <v>5877</v>
      </c>
    </row>
    <row r="441" spans="2:4" x14ac:dyDescent="0.35">
      <c r="B441" s="9">
        <v>40253</v>
      </c>
      <c r="C441" s="12">
        <v>129.4</v>
      </c>
      <c r="D441" t="s">
        <v>5877</v>
      </c>
    </row>
    <row r="442" spans="2:4" x14ac:dyDescent="0.35">
      <c r="B442" s="9">
        <v>40254</v>
      </c>
      <c r="C442" s="12">
        <v>105.8</v>
      </c>
      <c r="D442" t="s">
        <v>5877</v>
      </c>
    </row>
    <row r="443" spans="2:4" x14ac:dyDescent="0.35">
      <c r="B443" s="9">
        <v>40255</v>
      </c>
      <c r="C443" s="12">
        <v>91.5</v>
      </c>
      <c r="D443" t="s">
        <v>5877</v>
      </c>
    </row>
    <row r="444" spans="2:4" x14ac:dyDescent="0.35">
      <c r="B444" s="9">
        <v>40256</v>
      </c>
      <c r="C444" s="12">
        <v>153.6</v>
      </c>
      <c r="D444" t="s">
        <v>5877</v>
      </c>
    </row>
    <row r="445" spans="2:4" x14ac:dyDescent="0.35">
      <c r="B445" s="9">
        <v>40257</v>
      </c>
      <c r="C445" s="12">
        <v>139.80000000000001</v>
      </c>
      <c r="D445" t="s">
        <v>5877</v>
      </c>
    </row>
    <row r="446" spans="2:4" x14ac:dyDescent="0.35">
      <c r="B446" s="9">
        <v>40258</v>
      </c>
      <c r="C446" s="12">
        <v>109.9</v>
      </c>
      <c r="D446" t="s">
        <v>5877</v>
      </c>
    </row>
    <row r="447" spans="2:4" x14ac:dyDescent="0.35">
      <c r="B447" s="9">
        <v>40259</v>
      </c>
      <c r="C447" s="12">
        <v>105.4</v>
      </c>
      <c r="D447" t="s">
        <v>5877</v>
      </c>
    </row>
    <row r="448" spans="2:4" x14ac:dyDescent="0.35">
      <c r="B448" s="9">
        <v>40260</v>
      </c>
      <c r="C448" s="12">
        <v>152.19999999999999</v>
      </c>
      <c r="D448" t="s">
        <v>5877</v>
      </c>
    </row>
    <row r="449" spans="2:4" x14ac:dyDescent="0.35">
      <c r="B449" s="9">
        <v>40261</v>
      </c>
      <c r="C449" s="12">
        <v>163.30000000000001</v>
      </c>
      <c r="D449" t="s">
        <v>5877</v>
      </c>
    </row>
    <row r="450" spans="2:4" x14ac:dyDescent="0.35">
      <c r="B450" s="9">
        <v>40262</v>
      </c>
      <c r="C450" s="12">
        <v>157.1</v>
      </c>
      <c r="D450" t="s">
        <v>5877</v>
      </c>
    </row>
    <row r="451" spans="2:4" x14ac:dyDescent="0.35">
      <c r="B451" s="9">
        <v>40263</v>
      </c>
      <c r="C451" s="12">
        <v>131.1</v>
      </c>
      <c r="D451" t="s">
        <v>5877</v>
      </c>
    </row>
    <row r="452" spans="2:4" x14ac:dyDescent="0.35">
      <c r="B452" s="9">
        <v>40264</v>
      </c>
      <c r="C452" s="12">
        <v>122.8</v>
      </c>
      <c r="D452" t="s">
        <v>5877</v>
      </c>
    </row>
    <row r="453" spans="2:4" x14ac:dyDescent="0.35">
      <c r="B453" s="9">
        <v>40265</v>
      </c>
      <c r="C453" s="12">
        <v>236</v>
      </c>
      <c r="D453" t="s">
        <v>5877</v>
      </c>
    </row>
    <row r="454" spans="2:4" x14ac:dyDescent="0.35">
      <c r="B454" s="9">
        <v>40266</v>
      </c>
      <c r="C454" s="12">
        <v>169.3</v>
      </c>
      <c r="D454" t="s">
        <v>5877</v>
      </c>
    </row>
    <row r="455" spans="2:4" x14ac:dyDescent="0.35">
      <c r="B455" s="9">
        <v>40267</v>
      </c>
      <c r="C455" s="12">
        <v>122.8</v>
      </c>
      <c r="D455" t="s">
        <v>5877</v>
      </c>
    </row>
    <row r="456" spans="2:4" x14ac:dyDescent="0.35">
      <c r="B456" s="9">
        <v>40268</v>
      </c>
      <c r="C456" s="12">
        <v>101.7</v>
      </c>
      <c r="D456" t="s">
        <v>5877</v>
      </c>
    </row>
    <row r="457" spans="2:4" x14ac:dyDescent="0.35">
      <c r="B457" s="9">
        <v>40269</v>
      </c>
      <c r="C457" s="12">
        <v>148.9</v>
      </c>
      <c r="D457" t="s">
        <v>5877</v>
      </c>
    </row>
    <row r="458" spans="2:4" x14ac:dyDescent="0.35">
      <c r="B458" s="9">
        <v>40270</v>
      </c>
      <c r="C458" s="12">
        <v>129.1</v>
      </c>
      <c r="D458" t="s">
        <v>5877</v>
      </c>
    </row>
    <row r="459" spans="2:4" x14ac:dyDescent="0.35">
      <c r="B459" s="9">
        <v>40271</v>
      </c>
      <c r="C459" s="12">
        <v>105.4</v>
      </c>
      <c r="D459" t="s">
        <v>5877</v>
      </c>
    </row>
    <row r="460" spans="2:4" x14ac:dyDescent="0.35">
      <c r="B460" s="9">
        <v>40272</v>
      </c>
      <c r="C460" s="12">
        <v>124.5</v>
      </c>
      <c r="D460" t="s">
        <v>5877</v>
      </c>
    </row>
    <row r="461" spans="2:4" x14ac:dyDescent="0.35">
      <c r="B461" s="9">
        <v>40273</v>
      </c>
      <c r="C461" s="12">
        <v>165.3</v>
      </c>
      <c r="D461" t="s">
        <v>5877</v>
      </c>
    </row>
    <row r="462" spans="2:4" x14ac:dyDescent="0.35">
      <c r="B462" s="9">
        <v>40274</v>
      </c>
      <c r="C462" s="12">
        <v>179.5</v>
      </c>
      <c r="D462" t="s">
        <v>5877</v>
      </c>
    </row>
    <row r="463" spans="2:4" x14ac:dyDescent="0.35">
      <c r="B463" s="9">
        <v>40275</v>
      </c>
      <c r="C463" s="12">
        <v>149</v>
      </c>
      <c r="D463" t="s">
        <v>5877</v>
      </c>
    </row>
    <row r="464" spans="2:4" x14ac:dyDescent="0.35">
      <c r="B464" s="9">
        <v>40276</v>
      </c>
      <c r="C464" s="12">
        <v>151.69999999999999</v>
      </c>
      <c r="D464" t="s">
        <v>5877</v>
      </c>
    </row>
    <row r="465" spans="2:4" x14ac:dyDescent="0.35">
      <c r="B465" s="9">
        <v>40277</v>
      </c>
      <c r="C465" s="12">
        <v>141.30000000000001</v>
      </c>
      <c r="D465" t="s">
        <v>5877</v>
      </c>
    </row>
    <row r="466" spans="2:4" x14ac:dyDescent="0.35">
      <c r="B466" s="9">
        <v>40278</v>
      </c>
      <c r="C466" s="12">
        <v>116.4</v>
      </c>
      <c r="D466" t="s">
        <v>5877</v>
      </c>
    </row>
    <row r="467" spans="2:4" x14ac:dyDescent="0.35">
      <c r="B467" s="9">
        <v>40279</v>
      </c>
      <c r="C467" s="12">
        <v>138.5</v>
      </c>
      <c r="D467" t="s">
        <v>5877</v>
      </c>
    </row>
    <row r="468" spans="2:4" x14ac:dyDescent="0.35">
      <c r="B468" s="9">
        <v>40280</v>
      </c>
      <c r="C468" s="12">
        <v>164.1</v>
      </c>
      <c r="D468" t="s">
        <v>5877</v>
      </c>
    </row>
    <row r="469" spans="2:4" x14ac:dyDescent="0.35">
      <c r="B469" s="9">
        <v>40281</v>
      </c>
      <c r="C469" s="12">
        <v>138.5</v>
      </c>
      <c r="D469" t="s">
        <v>5877</v>
      </c>
    </row>
    <row r="470" spans="2:4" x14ac:dyDescent="0.35">
      <c r="B470" s="9">
        <v>40282</v>
      </c>
      <c r="C470" s="12">
        <v>122.2</v>
      </c>
      <c r="D470" t="s">
        <v>5877</v>
      </c>
    </row>
    <row r="471" spans="2:4" x14ac:dyDescent="0.35">
      <c r="B471" s="9">
        <v>40283</v>
      </c>
      <c r="C471" s="12">
        <v>155.19999999999999</v>
      </c>
      <c r="D471" t="s">
        <v>5877</v>
      </c>
    </row>
    <row r="472" spans="2:4" x14ac:dyDescent="0.35">
      <c r="B472" s="9">
        <v>40284</v>
      </c>
      <c r="C472" s="12">
        <v>131.4</v>
      </c>
      <c r="D472" t="s">
        <v>5877</v>
      </c>
    </row>
    <row r="473" spans="2:4" x14ac:dyDescent="0.35">
      <c r="B473" s="9">
        <v>40285</v>
      </c>
      <c r="C473" s="12">
        <v>116.8</v>
      </c>
      <c r="D473" t="s">
        <v>5877</v>
      </c>
    </row>
    <row r="474" spans="2:4" x14ac:dyDescent="0.35">
      <c r="B474" s="9">
        <v>40286</v>
      </c>
      <c r="C474" s="12">
        <v>101.5</v>
      </c>
      <c r="D474" t="s">
        <v>5877</v>
      </c>
    </row>
    <row r="475" spans="2:4" x14ac:dyDescent="0.35">
      <c r="B475" s="9">
        <v>40287</v>
      </c>
      <c r="C475" s="12">
        <v>131.9</v>
      </c>
      <c r="D475" t="s">
        <v>5877</v>
      </c>
    </row>
    <row r="476" spans="2:4" x14ac:dyDescent="0.35">
      <c r="B476" s="9">
        <v>40288</v>
      </c>
      <c r="C476" s="12">
        <v>107.4</v>
      </c>
      <c r="D476" t="s">
        <v>5877</v>
      </c>
    </row>
    <row r="477" spans="2:4" x14ac:dyDescent="0.35">
      <c r="B477" s="9">
        <v>40289</v>
      </c>
      <c r="C477" s="12">
        <v>95.3</v>
      </c>
      <c r="D477" t="s">
        <v>5877</v>
      </c>
    </row>
    <row r="478" spans="2:4" x14ac:dyDescent="0.35">
      <c r="B478" s="9">
        <v>40290</v>
      </c>
      <c r="C478" s="12">
        <v>162.4</v>
      </c>
      <c r="D478" t="s">
        <v>5877</v>
      </c>
    </row>
    <row r="479" spans="2:4" x14ac:dyDescent="0.35">
      <c r="B479" s="9">
        <v>40291</v>
      </c>
      <c r="C479" s="12">
        <v>200.8</v>
      </c>
      <c r="D479" t="s">
        <v>5877</v>
      </c>
    </row>
    <row r="480" spans="2:4" x14ac:dyDescent="0.35">
      <c r="B480" s="9">
        <v>40292</v>
      </c>
      <c r="C480" s="12">
        <v>160.69999999999999</v>
      </c>
      <c r="D480" t="s">
        <v>5877</v>
      </c>
    </row>
    <row r="481" spans="2:4" x14ac:dyDescent="0.35">
      <c r="B481" s="9">
        <v>40293</v>
      </c>
      <c r="C481" s="12">
        <v>119.1</v>
      </c>
      <c r="D481" t="s">
        <v>5877</v>
      </c>
    </row>
    <row r="482" spans="2:4" x14ac:dyDescent="0.35">
      <c r="B482" s="9">
        <v>40294</v>
      </c>
      <c r="C482" s="12">
        <v>109.1</v>
      </c>
      <c r="D482" t="s">
        <v>5877</v>
      </c>
    </row>
    <row r="483" spans="2:4" x14ac:dyDescent="0.35">
      <c r="B483" s="9">
        <v>40295</v>
      </c>
      <c r="C483" s="12">
        <v>90.5</v>
      </c>
      <c r="D483" t="s">
        <v>5877</v>
      </c>
    </row>
    <row r="484" spans="2:4" x14ac:dyDescent="0.35">
      <c r="B484" s="9">
        <v>40296</v>
      </c>
      <c r="C484" s="12">
        <v>77.7</v>
      </c>
      <c r="D484" t="s">
        <v>5877</v>
      </c>
    </row>
    <row r="485" spans="2:4" x14ac:dyDescent="0.35">
      <c r="B485" s="9">
        <v>40297</v>
      </c>
      <c r="C485" s="12">
        <v>68</v>
      </c>
      <c r="D485" t="s">
        <v>5877</v>
      </c>
    </row>
    <row r="486" spans="2:4" x14ac:dyDescent="0.35">
      <c r="B486" s="9">
        <v>40298</v>
      </c>
      <c r="C486" s="12">
        <v>64</v>
      </c>
      <c r="D486" t="s">
        <v>5877</v>
      </c>
    </row>
    <row r="487" spans="2:4" x14ac:dyDescent="0.35">
      <c r="B487" s="9">
        <v>40299</v>
      </c>
      <c r="C487" s="12">
        <v>112.9</v>
      </c>
      <c r="D487" t="s">
        <v>5877</v>
      </c>
    </row>
    <row r="488" spans="2:4" x14ac:dyDescent="0.35">
      <c r="B488" s="9">
        <v>40300</v>
      </c>
      <c r="C488" s="12">
        <v>106</v>
      </c>
      <c r="D488" t="s">
        <v>5877</v>
      </c>
    </row>
    <row r="489" spans="2:4" x14ac:dyDescent="0.35">
      <c r="B489" s="9">
        <v>40301</v>
      </c>
      <c r="C489" s="12">
        <v>174.9</v>
      </c>
      <c r="D489" t="s">
        <v>5877</v>
      </c>
    </row>
    <row r="490" spans="2:4" x14ac:dyDescent="0.35">
      <c r="B490" s="9">
        <v>40302</v>
      </c>
      <c r="C490" s="12">
        <v>180.8</v>
      </c>
      <c r="D490" t="s">
        <v>5877</v>
      </c>
    </row>
    <row r="491" spans="2:4" x14ac:dyDescent="0.35">
      <c r="B491" s="9">
        <v>40303</v>
      </c>
      <c r="C491" s="12">
        <v>144.4</v>
      </c>
      <c r="D491" t="s">
        <v>5877</v>
      </c>
    </row>
    <row r="492" spans="2:4" x14ac:dyDescent="0.35">
      <c r="B492" s="9">
        <v>40304</v>
      </c>
      <c r="C492" s="12">
        <v>214.1</v>
      </c>
      <c r="D492" t="s">
        <v>5877</v>
      </c>
    </row>
    <row r="493" spans="2:4" x14ac:dyDescent="0.35">
      <c r="B493" s="9">
        <v>40305</v>
      </c>
      <c r="C493" s="12">
        <v>178.7</v>
      </c>
      <c r="D493" t="s">
        <v>5877</v>
      </c>
    </row>
    <row r="494" spans="2:4" x14ac:dyDescent="0.35">
      <c r="B494" s="9">
        <v>40306</v>
      </c>
      <c r="C494" s="12">
        <v>134.19999999999999</v>
      </c>
      <c r="D494" t="s">
        <v>5877</v>
      </c>
    </row>
    <row r="495" spans="2:4" x14ac:dyDescent="0.35">
      <c r="B495" s="9">
        <v>40307</v>
      </c>
      <c r="C495" s="12">
        <v>121.1</v>
      </c>
      <c r="D495" t="s">
        <v>5877</v>
      </c>
    </row>
    <row r="496" spans="2:4" x14ac:dyDescent="0.35">
      <c r="B496" s="9">
        <v>40308</v>
      </c>
      <c r="C496" s="12">
        <v>115.7</v>
      </c>
      <c r="D496" t="s">
        <v>5877</v>
      </c>
    </row>
    <row r="497" spans="2:4" x14ac:dyDescent="0.35">
      <c r="B497" s="9">
        <v>40309</v>
      </c>
      <c r="C497" s="12">
        <v>93</v>
      </c>
      <c r="D497" t="s">
        <v>5877</v>
      </c>
    </row>
    <row r="498" spans="2:4" x14ac:dyDescent="0.35">
      <c r="B498" s="9">
        <v>40310</v>
      </c>
      <c r="C498" s="12">
        <v>77.8</v>
      </c>
      <c r="D498" t="s">
        <v>5877</v>
      </c>
    </row>
    <row r="499" spans="2:4" x14ac:dyDescent="0.35">
      <c r="B499" s="9">
        <v>40311</v>
      </c>
      <c r="C499" s="12">
        <v>67.099999999999994</v>
      </c>
      <c r="D499" t="s">
        <v>5877</v>
      </c>
    </row>
    <row r="500" spans="2:4" x14ac:dyDescent="0.35">
      <c r="B500" s="9">
        <v>40312</v>
      </c>
      <c r="C500" s="12">
        <v>58.7</v>
      </c>
      <c r="D500" t="s">
        <v>5877</v>
      </c>
    </row>
    <row r="501" spans="2:4" x14ac:dyDescent="0.35">
      <c r="B501" s="9">
        <v>40313</v>
      </c>
      <c r="C501" s="12">
        <v>51.9</v>
      </c>
      <c r="D501" t="s">
        <v>5877</v>
      </c>
    </row>
    <row r="502" spans="2:4" x14ac:dyDescent="0.35">
      <c r="B502" s="9">
        <v>40314</v>
      </c>
      <c r="C502" s="12">
        <v>46.3</v>
      </c>
      <c r="D502" t="s">
        <v>5877</v>
      </c>
    </row>
    <row r="503" spans="2:4" x14ac:dyDescent="0.35">
      <c r="B503" s="9">
        <v>40315</v>
      </c>
      <c r="C503" s="12">
        <v>42.3</v>
      </c>
      <c r="D503" t="s">
        <v>5877</v>
      </c>
    </row>
    <row r="504" spans="2:4" x14ac:dyDescent="0.35">
      <c r="B504" s="9">
        <v>40316</v>
      </c>
      <c r="C504" s="12">
        <v>37.799999999999997</v>
      </c>
      <c r="D504" t="s">
        <v>5877</v>
      </c>
    </row>
    <row r="505" spans="2:4" x14ac:dyDescent="0.35">
      <c r="B505" s="9">
        <v>40317</v>
      </c>
      <c r="C505" s="12">
        <v>33.700000000000003</v>
      </c>
      <c r="D505" t="s">
        <v>5877</v>
      </c>
    </row>
    <row r="506" spans="2:4" x14ac:dyDescent="0.35">
      <c r="B506" s="9">
        <v>40318</v>
      </c>
      <c r="C506" s="12">
        <v>30.2</v>
      </c>
      <c r="D506" t="s">
        <v>5877</v>
      </c>
    </row>
    <row r="507" spans="2:4" x14ac:dyDescent="0.35">
      <c r="B507" s="9">
        <v>40319</v>
      </c>
      <c r="C507" s="12">
        <v>27</v>
      </c>
      <c r="D507" t="s">
        <v>5877</v>
      </c>
    </row>
    <row r="508" spans="2:4" x14ac:dyDescent="0.35">
      <c r="B508" s="9">
        <v>40320</v>
      </c>
      <c r="C508" s="12">
        <v>24.3</v>
      </c>
      <c r="D508" t="s">
        <v>5877</v>
      </c>
    </row>
    <row r="509" spans="2:4" x14ac:dyDescent="0.35">
      <c r="B509" s="9">
        <v>40321</v>
      </c>
      <c r="C509" s="12">
        <v>21.8</v>
      </c>
      <c r="D509" t="s">
        <v>5877</v>
      </c>
    </row>
    <row r="510" spans="2:4" x14ac:dyDescent="0.35">
      <c r="B510" s="9">
        <v>40322</v>
      </c>
      <c r="C510" s="12">
        <v>19.600000000000001</v>
      </c>
      <c r="D510" t="s">
        <v>5877</v>
      </c>
    </row>
    <row r="511" spans="2:4" x14ac:dyDescent="0.35">
      <c r="B511" s="9">
        <v>40323</v>
      </c>
      <c r="C511" s="12">
        <v>17.600000000000001</v>
      </c>
      <c r="D511" t="s">
        <v>5877</v>
      </c>
    </row>
    <row r="512" spans="2:4" x14ac:dyDescent="0.35">
      <c r="B512" s="9">
        <v>40324</v>
      </c>
      <c r="C512" s="12">
        <v>15.8</v>
      </c>
      <c r="D512" t="s">
        <v>5877</v>
      </c>
    </row>
    <row r="513" spans="2:4" x14ac:dyDescent="0.35">
      <c r="B513" s="9">
        <v>40325</v>
      </c>
      <c r="C513" s="12">
        <v>14.2</v>
      </c>
      <c r="D513" t="s">
        <v>5877</v>
      </c>
    </row>
    <row r="514" spans="2:4" x14ac:dyDescent="0.35">
      <c r="B514" s="9">
        <v>40326</v>
      </c>
      <c r="C514" s="12">
        <v>12.8</v>
      </c>
      <c r="D514" t="s">
        <v>5877</v>
      </c>
    </row>
    <row r="515" spans="2:4" x14ac:dyDescent="0.35">
      <c r="B515" s="9">
        <v>40327</v>
      </c>
      <c r="C515" s="12">
        <v>11.6</v>
      </c>
      <c r="D515" t="s">
        <v>5877</v>
      </c>
    </row>
    <row r="516" spans="2:4" x14ac:dyDescent="0.35">
      <c r="B516" s="9">
        <v>40328</v>
      </c>
      <c r="C516" s="12">
        <v>10.9</v>
      </c>
      <c r="D516" t="s">
        <v>5877</v>
      </c>
    </row>
    <row r="517" spans="2:4" x14ac:dyDescent="0.35">
      <c r="B517" s="9">
        <v>40329</v>
      </c>
      <c r="C517" s="12">
        <v>14.1</v>
      </c>
      <c r="D517" t="s">
        <v>5877</v>
      </c>
    </row>
    <row r="518" spans="2:4" x14ac:dyDescent="0.35">
      <c r="B518" s="9">
        <v>40330</v>
      </c>
      <c r="C518" s="12">
        <v>15.5</v>
      </c>
      <c r="D518" t="s">
        <v>5877</v>
      </c>
    </row>
    <row r="519" spans="2:4" x14ac:dyDescent="0.35">
      <c r="B519" s="9">
        <v>40331</v>
      </c>
      <c r="C519" s="12">
        <v>32</v>
      </c>
      <c r="D519" t="s">
        <v>5877</v>
      </c>
    </row>
    <row r="520" spans="2:4" x14ac:dyDescent="0.35">
      <c r="B520" s="9">
        <v>40332</v>
      </c>
      <c r="C520" s="12">
        <v>24.4</v>
      </c>
      <c r="D520" t="s">
        <v>5877</v>
      </c>
    </row>
    <row r="521" spans="2:4" x14ac:dyDescent="0.35">
      <c r="B521" s="9">
        <v>40333</v>
      </c>
      <c r="C521" s="12">
        <v>17.600000000000001</v>
      </c>
      <c r="D521" t="s">
        <v>5877</v>
      </c>
    </row>
    <row r="522" spans="2:4" x14ac:dyDescent="0.35">
      <c r="B522" s="9">
        <v>40334</v>
      </c>
      <c r="C522" s="12">
        <v>14.1</v>
      </c>
      <c r="D522" t="s">
        <v>5877</v>
      </c>
    </row>
    <row r="523" spans="2:4" x14ac:dyDescent="0.35">
      <c r="B523" s="9">
        <v>40335</v>
      </c>
      <c r="C523" s="12">
        <v>11.6</v>
      </c>
      <c r="D523" t="s">
        <v>5877</v>
      </c>
    </row>
    <row r="524" spans="2:4" x14ac:dyDescent="0.35">
      <c r="B524" s="9">
        <v>40336</v>
      </c>
      <c r="C524" s="12">
        <v>10</v>
      </c>
      <c r="D524" t="s">
        <v>5877</v>
      </c>
    </row>
    <row r="525" spans="2:4" x14ac:dyDescent="0.35">
      <c r="B525" s="9">
        <v>40337</v>
      </c>
      <c r="C525" s="12">
        <v>10.4</v>
      </c>
      <c r="D525" t="s">
        <v>5877</v>
      </c>
    </row>
    <row r="526" spans="2:4" x14ac:dyDescent="0.35">
      <c r="B526" s="9">
        <v>40338</v>
      </c>
      <c r="C526" s="12">
        <v>9.4</v>
      </c>
      <c r="D526" t="s">
        <v>5877</v>
      </c>
    </row>
    <row r="527" spans="2:4" x14ac:dyDescent="0.35">
      <c r="B527" s="9">
        <v>40339</v>
      </c>
      <c r="C527" s="12">
        <v>8.3000000000000007</v>
      </c>
      <c r="D527" t="s">
        <v>5877</v>
      </c>
    </row>
    <row r="528" spans="2:4" x14ac:dyDescent="0.35">
      <c r="B528" s="9">
        <v>40340</v>
      </c>
      <c r="C528" s="12">
        <v>8.4</v>
      </c>
      <c r="D528" t="s">
        <v>5877</v>
      </c>
    </row>
    <row r="529" spans="2:4" x14ac:dyDescent="0.35">
      <c r="B529" s="9">
        <v>40341</v>
      </c>
      <c r="C529" s="12">
        <v>35.4</v>
      </c>
      <c r="D529" t="s">
        <v>5877</v>
      </c>
    </row>
    <row r="530" spans="2:4" x14ac:dyDescent="0.35">
      <c r="B530" s="9">
        <v>40342</v>
      </c>
      <c r="C530" s="12">
        <v>37.1</v>
      </c>
      <c r="D530" t="s">
        <v>5877</v>
      </c>
    </row>
    <row r="531" spans="2:4" x14ac:dyDescent="0.35">
      <c r="B531" s="9">
        <v>40343</v>
      </c>
      <c r="C531" s="12">
        <v>25.4</v>
      </c>
      <c r="D531" t="s">
        <v>5877</v>
      </c>
    </row>
    <row r="532" spans="2:4" x14ac:dyDescent="0.35">
      <c r="B532" s="9">
        <v>40344</v>
      </c>
      <c r="C532" s="12">
        <v>19.100000000000001</v>
      </c>
      <c r="D532" t="s">
        <v>5877</v>
      </c>
    </row>
    <row r="533" spans="2:4" x14ac:dyDescent="0.35">
      <c r="B533" s="9">
        <v>40345</v>
      </c>
      <c r="C533" s="12">
        <v>15.1</v>
      </c>
      <c r="D533" t="s">
        <v>5877</v>
      </c>
    </row>
    <row r="534" spans="2:4" x14ac:dyDescent="0.35">
      <c r="B534" s="9">
        <v>40346</v>
      </c>
      <c r="C534" s="12">
        <v>12.5</v>
      </c>
      <c r="D534" t="s">
        <v>5877</v>
      </c>
    </row>
    <row r="535" spans="2:4" x14ac:dyDescent="0.35">
      <c r="B535" s="9">
        <v>40347</v>
      </c>
      <c r="C535" s="12">
        <v>10.7</v>
      </c>
      <c r="D535" t="s">
        <v>5877</v>
      </c>
    </row>
    <row r="536" spans="2:4" x14ac:dyDescent="0.35">
      <c r="B536" s="9">
        <v>40348</v>
      </c>
      <c r="C536" s="12">
        <v>9.4</v>
      </c>
      <c r="D536" t="s">
        <v>5877</v>
      </c>
    </row>
    <row r="537" spans="2:4" x14ac:dyDescent="0.35">
      <c r="B537" s="9">
        <v>40349</v>
      </c>
      <c r="C537" s="12">
        <v>8.3000000000000007</v>
      </c>
      <c r="D537" t="s">
        <v>5877</v>
      </c>
    </row>
    <row r="538" spans="2:4" x14ac:dyDescent="0.35">
      <c r="B538" s="9">
        <v>40350</v>
      </c>
      <c r="C538" s="12">
        <v>7.4</v>
      </c>
      <c r="D538" t="s">
        <v>5877</v>
      </c>
    </row>
    <row r="539" spans="2:4" x14ac:dyDescent="0.35">
      <c r="B539" s="9">
        <v>40351</v>
      </c>
      <c r="C539" s="12">
        <v>6.6</v>
      </c>
      <c r="D539" t="s">
        <v>5877</v>
      </c>
    </row>
    <row r="540" spans="2:4" x14ac:dyDescent="0.35">
      <c r="B540" s="9">
        <v>40352</v>
      </c>
      <c r="C540" s="12">
        <v>5.9</v>
      </c>
      <c r="D540" t="s">
        <v>5877</v>
      </c>
    </row>
    <row r="541" spans="2:4" x14ac:dyDescent="0.35">
      <c r="B541" s="9">
        <v>40353</v>
      </c>
      <c r="C541" s="12">
        <v>5.5</v>
      </c>
      <c r="D541" t="s">
        <v>5877</v>
      </c>
    </row>
    <row r="542" spans="2:4" x14ac:dyDescent="0.35">
      <c r="B542" s="9">
        <v>40354</v>
      </c>
      <c r="C542" s="12">
        <v>5</v>
      </c>
      <c r="D542" t="s">
        <v>5877</v>
      </c>
    </row>
    <row r="543" spans="2:4" x14ac:dyDescent="0.35">
      <c r="B543" s="9">
        <v>40355</v>
      </c>
      <c r="C543" s="12">
        <v>6.3</v>
      </c>
      <c r="D543" t="s">
        <v>5877</v>
      </c>
    </row>
    <row r="544" spans="2:4" x14ac:dyDescent="0.35">
      <c r="B544" s="9">
        <v>40356</v>
      </c>
      <c r="C544" s="12">
        <v>5.3</v>
      </c>
      <c r="D544" t="s">
        <v>5877</v>
      </c>
    </row>
    <row r="545" spans="2:4" x14ac:dyDescent="0.35">
      <c r="B545" s="9">
        <v>40357</v>
      </c>
      <c r="C545" s="12">
        <v>4.3</v>
      </c>
      <c r="D545" t="s">
        <v>5877</v>
      </c>
    </row>
    <row r="546" spans="2:4" x14ac:dyDescent="0.35">
      <c r="B546" s="9">
        <v>40358</v>
      </c>
      <c r="C546" s="12">
        <v>3.8</v>
      </c>
      <c r="D546" t="s">
        <v>5877</v>
      </c>
    </row>
    <row r="547" spans="2:4" x14ac:dyDescent="0.35">
      <c r="B547" s="9">
        <v>40359</v>
      </c>
      <c r="C547" s="12">
        <v>3.2</v>
      </c>
      <c r="D547" t="s">
        <v>5877</v>
      </c>
    </row>
    <row r="548" spans="2:4" x14ac:dyDescent="0.35">
      <c r="B548" s="9">
        <v>40360</v>
      </c>
      <c r="C548" s="12">
        <v>2.7</v>
      </c>
      <c r="D548" t="s">
        <v>5877</v>
      </c>
    </row>
    <row r="549" spans="2:4" x14ac:dyDescent="0.35">
      <c r="B549" s="9">
        <v>40361</v>
      </c>
      <c r="C549" s="12">
        <v>2.4</v>
      </c>
      <c r="D549" t="s">
        <v>5877</v>
      </c>
    </row>
    <row r="550" spans="2:4" x14ac:dyDescent="0.35">
      <c r="B550" s="9">
        <v>40362</v>
      </c>
      <c r="C550" s="12">
        <v>2.1</v>
      </c>
      <c r="D550" t="s">
        <v>5877</v>
      </c>
    </row>
    <row r="551" spans="2:4" x14ac:dyDescent="0.35">
      <c r="B551" s="9">
        <v>40363</v>
      </c>
      <c r="C551" s="12">
        <v>2.1</v>
      </c>
      <c r="D551" t="s">
        <v>5877</v>
      </c>
    </row>
    <row r="552" spans="2:4" x14ac:dyDescent="0.35">
      <c r="B552" s="9">
        <v>40364</v>
      </c>
      <c r="C552" s="12">
        <v>2.2999999999999998</v>
      </c>
      <c r="D552" t="s">
        <v>5877</v>
      </c>
    </row>
    <row r="553" spans="2:4" x14ac:dyDescent="0.35">
      <c r="B553" s="9">
        <v>40365</v>
      </c>
      <c r="C553" s="12">
        <v>2.2000000000000002</v>
      </c>
      <c r="D553" t="s">
        <v>5877</v>
      </c>
    </row>
    <row r="554" spans="2:4" x14ac:dyDescent="0.35">
      <c r="B554" s="9">
        <v>40366</v>
      </c>
      <c r="C554" s="12">
        <v>1.8</v>
      </c>
      <c r="D554" t="s">
        <v>5877</v>
      </c>
    </row>
    <row r="555" spans="2:4" x14ac:dyDescent="0.35">
      <c r="B555" s="9">
        <v>40367</v>
      </c>
      <c r="C555" s="12">
        <v>1.5</v>
      </c>
      <c r="D555" t="s">
        <v>5877</v>
      </c>
    </row>
    <row r="556" spans="2:4" x14ac:dyDescent="0.35">
      <c r="B556" s="9">
        <v>40368</v>
      </c>
      <c r="C556" s="12">
        <v>1.3</v>
      </c>
      <c r="D556" t="s">
        <v>5877</v>
      </c>
    </row>
    <row r="557" spans="2:4" x14ac:dyDescent="0.35">
      <c r="B557" s="9">
        <v>40369</v>
      </c>
      <c r="C557" s="12">
        <v>1.2</v>
      </c>
      <c r="D557" t="s">
        <v>5877</v>
      </c>
    </row>
    <row r="558" spans="2:4" x14ac:dyDescent="0.35">
      <c r="B558" s="9">
        <v>40370</v>
      </c>
      <c r="C558" s="12">
        <v>1</v>
      </c>
      <c r="D558" t="s">
        <v>5877</v>
      </c>
    </row>
    <row r="559" spans="2:4" x14ac:dyDescent="0.35">
      <c r="B559" s="9">
        <v>40371</v>
      </c>
      <c r="C559" s="12">
        <v>0.9</v>
      </c>
      <c r="D559" t="s">
        <v>5877</v>
      </c>
    </row>
    <row r="560" spans="2:4" x14ac:dyDescent="0.35">
      <c r="B560" s="9">
        <v>40372</v>
      </c>
      <c r="C560" s="12">
        <v>0.8</v>
      </c>
      <c r="D560" t="s">
        <v>5877</v>
      </c>
    </row>
    <row r="561" spans="2:4" x14ac:dyDescent="0.35">
      <c r="B561" s="9">
        <v>40373</v>
      </c>
      <c r="C561" s="12">
        <v>0.8</v>
      </c>
      <c r="D561" t="s">
        <v>5877</v>
      </c>
    </row>
    <row r="562" spans="2:4" x14ac:dyDescent="0.35">
      <c r="B562" s="9">
        <v>40374</v>
      </c>
      <c r="C562" s="12">
        <v>0.9</v>
      </c>
      <c r="D562" t="s">
        <v>5877</v>
      </c>
    </row>
    <row r="563" spans="2:4" x14ac:dyDescent="0.35">
      <c r="B563" s="9">
        <v>40375</v>
      </c>
      <c r="C563" s="12">
        <v>1.2</v>
      </c>
      <c r="D563" t="s">
        <v>5877</v>
      </c>
    </row>
    <row r="564" spans="2:4" x14ac:dyDescent="0.35">
      <c r="B564" s="9">
        <v>40376</v>
      </c>
      <c r="C564" s="12">
        <v>4.5</v>
      </c>
      <c r="D564" t="s">
        <v>5877</v>
      </c>
    </row>
    <row r="565" spans="2:4" x14ac:dyDescent="0.35">
      <c r="B565" s="9">
        <v>40377</v>
      </c>
      <c r="C565" s="12">
        <v>14.6</v>
      </c>
      <c r="D565" t="s">
        <v>5877</v>
      </c>
    </row>
    <row r="566" spans="2:4" x14ac:dyDescent="0.35">
      <c r="B566" s="9">
        <v>40378</v>
      </c>
      <c r="C566" s="12">
        <v>15</v>
      </c>
      <c r="D566" t="s">
        <v>5877</v>
      </c>
    </row>
    <row r="567" spans="2:4" x14ac:dyDescent="0.35">
      <c r="B567" s="9">
        <v>40379</v>
      </c>
      <c r="C567" s="12">
        <v>10.8</v>
      </c>
      <c r="D567" t="s">
        <v>5877</v>
      </c>
    </row>
    <row r="568" spans="2:4" x14ac:dyDescent="0.35">
      <c r="B568" s="9">
        <v>40380</v>
      </c>
      <c r="C568" s="12">
        <v>8.6</v>
      </c>
      <c r="D568" t="s">
        <v>5877</v>
      </c>
    </row>
    <row r="569" spans="2:4" x14ac:dyDescent="0.35">
      <c r="B569" s="9">
        <v>40381</v>
      </c>
      <c r="C569" s="12">
        <v>12.3</v>
      </c>
      <c r="D569" t="s">
        <v>5877</v>
      </c>
    </row>
    <row r="570" spans="2:4" x14ac:dyDescent="0.35">
      <c r="B570" s="9">
        <v>40382</v>
      </c>
      <c r="C570" s="12">
        <v>13.9</v>
      </c>
      <c r="D570" t="s">
        <v>5877</v>
      </c>
    </row>
    <row r="571" spans="2:4" x14ac:dyDescent="0.35">
      <c r="B571" s="9">
        <v>40383</v>
      </c>
      <c r="C571" s="12">
        <v>10.7</v>
      </c>
      <c r="D571" t="s">
        <v>5877</v>
      </c>
    </row>
    <row r="572" spans="2:4" x14ac:dyDescent="0.35">
      <c r="B572" s="9">
        <v>40384</v>
      </c>
      <c r="C572" s="12">
        <v>8.3000000000000007</v>
      </c>
      <c r="D572" t="s">
        <v>5877</v>
      </c>
    </row>
    <row r="573" spans="2:4" x14ac:dyDescent="0.35">
      <c r="B573" s="9">
        <v>40385</v>
      </c>
      <c r="C573" s="12">
        <v>6.8</v>
      </c>
      <c r="D573" t="s">
        <v>5877</v>
      </c>
    </row>
    <row r="574" spans="2:4" x14ac:dyDescent="0.35">
      <c r="B574" s="9">
        <v>40386</v>
      </c>
      <c r="C574" s="12">
        <v>5.8</v>
      </c>
      <c r="D574" t="s">
        <v>5877</v>
      </c>
    </row>
    <row r="575" spans="2:4" x14ac:dyDescent="0.35">
      <c r="B575" s="9">
        <v>40387</v>
      </c>
      <c r="C575" s="12">
        <v>5.5</v>
      </c>
      <c r="D575" t="s">
        <v>5877</v>
      </c>
    </row>
    <row r="576" spans="2:4" x14ac:dyDescent="0.35">
      <c r="B576" s="9">
        <v>40388</v>
      </c>
      <c r="C576" s="12">
        <v>13.1</v>
      </c>
      <c r="D576" t="s">
        <v>5877</v>
      </c>
    </row>
    <row r="577" spans="2:4" x14ac:dyDescent="0.35">
      <c r="B577" s="9">
        <v>40389</v>
      </c>
      <c r="C577" s="12">
        <v>14.5</v>
      </c>
      <c r="D577" t="s">
        <v>5877</v>
      </c>
    </row>
    <row r="578" spans="2:4" x14ac:dyDescent="0.35">
      <c r="B578" s="9">
        <v>40390</v>
      </c>
      <c r="C578" s="12">
        <v>13.3</v>
      </c>
      <c r="D578" t="s">
        <v>5877</v>
      </c>
    </row>
    <row r="579" spans="2:4" x14ac:dyDescent="0.35">
      <c r="B579" s="9">
        <v>40391</v>
      </c>
      <c r="C579" s="12">
        <v>19.8</v>
      </c>
      <c r="D579" t="s">
        <v>5877</v>
      </c>
    </row>
    <row r="580" spans="2:4" x14ac:dyDescent="0.35">
      <c r="B580" s="9">
        <v>40392</v>
      </c>
      <c r="C580" s="12">
        <v>15.1</v>
      </c>
      <c r="D580" t="s">
        <v>5877</v>
      </c>
    </row>
    <row r="581" spans="2:4" x14ac:dyDescent="0.35">
      <c r="B581" s="9">
        <v>40393</v>
      </c>
      <c r="C581" s="12">
        <v>11.3</v>
      </c>
      <c r="D581" t="s">
        <v>5877</v>
      </c>
    </row>
    <row r="582" spans="2:4" x14ac:dyDescent="0.35">
      <c r="B582" s="9">
        <v>40394</v>
      </c>
      <c r="C582" s="12">
        <v>9</v>
      </c>
      <c r="D582" t="s">
        <v>5877</v>
      </c>
    </row>
    <row r="583" spans="2:4" x14ac:dyDescent="0.35">
      <c r="B583" s="9">
        <v>40395</v>
      </c>
      <c r="C583" s="12">
        <v>7.5</v>
      </c>
      <c r="D583" t="s">
        <v>5877</v>
      </c>
    </row>
    <row r="584" spans="2:4" x14ac:dyDescent="0.35">
      <c r="B584" s="9">
        <v>40396</v>
      </c>
      <c r="C584" s="12">
        <v>6.4</v>
      </c>
      <c r="D584" t="s">
        <v>5877</v>
      </c>
    </row>
    <row r="585" spans="2:4" x14ac:dyDescent="0.35">
      <c r="B585" s="9">
        <v>40397</v>
      </c>
      <c r="C585" s="12">
        <v>6.5</v>
      </c>
      <c r="D585" t="s">
        <v>5877</v>
      </c>
    </row>
    <row r="586" spans="2:4" x14ac:dyDescent="0.35">
      <c r="B586" s="9">
        <v>40398</v>
      </c>
      <c r="C586" s="12">
        <v>7.3</v>
      </c>
      <c r="D586" t="s">
        <v>5877</v>
      </c>
    </row>
    <row r="587" spans="2:4" x14ac:dyDescent="0.35">
      <c r="B587" s="9">
        <v>40399</v>
      </c>
      <c r="C587" s="12">
        <v>45.2</v>
      </c>
      <c r="D587" t="s">
        <v>5877</v>
      </c>
    </row>
    <row r="588" spans="2:4" x14ac:dyDescent="0.35">
      <c r="B588" s="9">
        <v>40400</v>
      </c>
      <c r="C588" s="12">
        <v>36.200000000000003</v>
      </c>
      <c r="D588" t="s">
        <v>5877</v>
      </c>
    </row>
    <row r="589" spans="2:4" x14ac:dyDescent="0.35">
      <c r="B589" s="9">
        <v>40401</v>
      </c>
      <c r="C589" s="12">
        <v>28.3</v>
      </c>
      <c r="D589" t="s">
        <v>5877</v>
      </c>
    </row>
    <row r="590" spans="2:4" x14ac:dyDescent="0.35">
      <c r="B590" s="9">
        <v>40402</v>
      </c>
      <c r="C590" s="12">
        <v>42.3</v>
      </c>
      <c r="D590" t="s">
        <v>5877</v>
      </c>
    </row>
    <row r="591" spans="2:4" x14ac:dyDescent="0.35">
      <c r="B591" s="9">
        <v>40403</v>
      </c>
      <c r="C591" s="12">
        <v>32.1</v>
      </c>
      <c r="D591" t="s">
        <v>5877</v>
      </c>
    </row>
    <row r="592" spans="2:4" x14ac:dyDescent="0.35">
      <c r="B592" s="9">
        <v>40404</v>
      </c>
      <c r="C592" s="12">
        <v>24.7</v>
      </c>
      <c r="D592" t="s">
        <v>5877</v>
      </c>
    </row>
    <row r="593" spans="2:4" x14ac:dyDescent="0.35">
      <c r="B593" s="9">
        <v>40405</v>
      </c>
      <c r="C593" s="12">
        <v>20.100000000000001</v>
      </c>
      <c r="D593" t="s">
        <v>5877</v>
      </c>
    </row>
    <row r="594" spans="2:4" x14ac:dyDescent="0.35">
      <c r="B594" s="9">
        <v>40406</v>
      </c>
      <c r="C594" s="12">
        <v>16.899999999999999</v>
      </c>
      <c r="D594" t="s">
        <v>5877</v>
      </c>
    </row>
    <row r="595" spans="2:4" x14ac:dyDescent="0.35">
      <c r="B595" s="9">
        <v>40407</v>
      </c>
      <c r="C595" s="12">
        <v>14.6</v>
      </c>
      <c r="D595" t="s">
        <v>5877</v>
      </c>
    </row>
    <row r="596" spans="2:4" x14ac:dyDescent="0.35">
      <c r="B596" s="9">
        <v>40408</v>
      </c>
      <c r="C596" s="12">
        <v>12.8</v>
      </c>
      <c r="D596" t="s">
        <v>5877</v>
      </c>
    </row>
    <row r="597" spans="2:4" x14ac:dyDescent="0.35">
      <c r="B597" s="9">
        <v>40409</v>
      </c>
      <c r="C597" s="12">
        <v>11.4</v>
      </c>
      <c r="D597" t="s">
        <v>5877</v>
      </c>
    </row>
    <row r="598" spans="2:4" x14ac:dyDescent="0.35">
      <c r="B598" s="9">
        <v>40410</v>
      </c>
      <c r="C598" s="12">
        <v>10.199999999999999</v>
      </c>
      <c r="D598" t="s">
        <v>5877</v>
      </c>
    </row>
    <row r="599" spans="2:4" x14ac:dyDescent="0.35">
      <c r="B599" s="9">
        <v>40411</v>
      </c>
      <c r="C599" s="12">
        <v>9.6</v>
      </c>
      <c r="D599" t="s">
        <v>5877</v>
      </c>
    </row>
    <row r="600" spans="2:4" x14ac:dyDescent="0.35">
      <c r="B600" s="9">
        <v>40412</v>
      </c>
      <c r="C600" s="12">
        <v>16.7</v>
      </c>
      <c r="D600" t="s">
        <v>5877</v>
      </c>
    </row>
    <row r="601" spans="2:4" x14ac:dyDescent="0.35">
      <c r="B601" s="9">
        <v>40413</v>
      </c>
      <c r="C601" s="12">
        <v>21.4</v>
      </c>
      <c r="D601" t="s">
        <v>5877</v>
      </c>
    </row>
    <row r="602" spans="2:4" x14ac:dyDescent="0.35">
      <c r="B602" s="9">
        <v>40414</v>
      </c>
      <c r="C602" s="12">
        <v>17.899999999999999</v>
      </c>
      <c r="D602" t="s">
        <v>5877</v>
      </c>
    </row>
    <row r="603" spans="2:4" x14ac:dyDescent="0.35">
      <c r="B603" s="9">
        <v>40415</v>
      </c>
      <c r="C603" s="12">
        <v>15.2</v>
      </c>
      <c r="D603" t="s">
        <v>5877</v>
      </c>
    </row>
    <row r="604" spans="2:4" x14ac:dyDescent="0.35">
      <c r="B604" s="9">
        <v>40416</v>
      </c>
      <c r="C604" s="12">
        <v>15.9</v>
      </c>
      <c r="D604" t="s">
        <v>5877</v>
      </c>
    </row>
    <row r="605" spans="2:4" x14ac:dyDescent="0.35">
      <c r="B605" s="9">
        <v>40417</v>
      </c>
      <c r="C605" s="12">
        <v>13.6</v>
      </c>
      <c r="D605" t="s">
        <v>5877</v>
      </c>
    </row>
    <row r="606" spans="2:4" x14ac:dyDescent="0.35">
      <c r="B606" s="9">
        <v>40418</v>
      </c>
      <c r="C606" s="12">
        <v>14.4</v>
      </c>
      <c r="D606" t="s">
        <v>5877</v>
      </c>
    </row>
    <row r="607" spans="2:4" x14ac:dyDescent="0.35">
      <c r="B607" s="9">
        <v>40419</v>
      </c>
      <c r="C607" s="12">
        <v>55</v>
      </c>
      <c r="D607" t="s">
        <v>5877</v>
      </c>
    </row>
    <row r="608" spans="2:4" x14ac:dyDescent="0.35">
      <c r="B608" s="9">
        <v>40420</v>
      </c>
      <c r="C608" s="12">
        <v>53.4</v>
      </c>
      <c r="D608" t="s">
        <v>5877</v>
      </c>
    </row>
    <row r="609" spans="2:4" x14ac:dyDescent="0.35">
      <c r="B609" s="9">
        <v>40421</v>
      </c>
      <c r="C609" s="12">
        <v>67.8</v>
      </c>
      <c r="D609" t="s">
        <v>5877</v>
      </c>
    </row>
    <row r="610" spans="2:4" x14ac:dyDescent="0.35">
      <c r="B610" s="9">
        <v>40422</v>
      </c>
      <c r="C610" s="12">
        <v>66.099999999999994</v>
      </c>
      <c r="D610" t="s">
        <v>5877</v>
      </c>
    </row>
    <row r="611" spans="2:4" x14ac:dyDescent="0.35">
      <c r="B611" s="9">
        <v>40423</v>
      </c>
      <c r="C611" s="12">
        <v>48.9</v>
      </c>
      <c r="D611" t="s">
        <v>5877</v>
      </c>
    </row>
    <row r="612" spans="2:4" x14ac:dyDescent="0.35">
      <c r="B612" s="9">
        <v>40424</v>
      </c>
      <c r="C612" s="12">
        <v>39.5</v>
      </c>
      <c r="D612" t="s">
        <v>5877</v>
      </c>
    </row>
    <row r="613" spans="2:4" x14ac:dyDescent="0.35">
      <c r="B613" s="9">
        <v>40425</v>
      </c>
      <c r="C613" s="12">
        <v>48.5</v>
      </c>
      <c r="D613" t="s">
        <v>5877</v>
      </c>
    </row>
    <row r="614" spans="2:4" x14ac:dyDescent="0.35">
      <c r="B614" s="9">
        <v>40426</v>
      </c>
      <c r="C614" s="12">
        <v>47</v>
      </c>
      <c r="D614" t="s">
        <v>5877</v>
      </c>
    </row>
    <row r="615" spans="2:4" x14ac:dyDescent="0.35">
      <c r="B615" s="9">
        <v>40427</v>
      </c>
      <c r="C615" s="12">
        <v>89</v>
      </c>
      <c r="D615" t="s">
        <v>5877</v>
      </c>
    </row>
    <row r="616" spans="2:4" x14ac:dyDescent="0.35">
      <c r="B616" s="9">
        <v>40428</v>
      </c>
      <c r="C616" s="12">
        <v>83.9</v>
      </c>
      <c r="D616" t="s">
        <v>5877</v>
      </c>
    </row>
    <row r="617" spans="2:4" x14ac:dyDescent="0.35">
      <c r="B617" s="9">
        <v>40429</v>
      </c>
      <c r="C617" s="12">
        <v>67.2</v>
      </c>
      <c r="D617" t="s">
        <v>5877</v>
      </c>
    </row>
    <row r="618" spans="2:4" x14ac:dyDescent="0.35">
      <c r="B618" s="9">
        <v>40430</v>
      </c>
      <c r="C618" s="12">
        <v>100.3</v>
      </c>
      <c r="D618" t="s">
        <v>5877</v>
      </c>
    </row>
    <row r="619" spans="2:4" x14ac:dyDescent="0.35">
      <c r="B619" s="9">
        <v>40431</v>
      </c>
      <c r="C619" s="12">
        <v>83.1</v>
      </c>
      <c r="D619" t="s">
        <v>5877</v>
      </c>
    </row>
    <row r="620" spans="2:4" x14ac:dyDescent="0.35">
      <c r="B620" s="9">
        <v>40432</v>
      </c>
      <c r="C620" s="12">
        <v>66.099999999999994</v>
      </c>
      <c r="D620" t="s">
        <v>5877</v>
      </c>
    </row>
    <row r="621" spans="2:4" x14ac:dyDescent="0.35">
      <c r="B621" s="9">
        <v>40433</v>
      </c>
      <c r="C621" s="12">
        <v>129.80000000000001</v>
      </c>
      <c r="D621" t="s">
        <v>5877</v>
      </c>
    </row>
    <row r="622" spans="2:4" x14ac:dyDescent="0.35">
      <c r="B622" s="9">
        <v>40434</v>
      </c>
      <c r="C622" s="12">
        <v>118.5</v>
      </c>
      <c r="D622" t="s">
        <v>5877</v>
      </c>
    </row>
    <row r="623" spans="2:4" x14ac:dyDescent="0.35">
      <c r="B623" s="9">
        <v>40435</v>
      </c>
      <c r="C623" s="12">
        <v>85.3</v>
      </c>
      <c r="D623" t="s">
        <v>5877</v>
      </c>
    </row>
    <row r="624" spans="2:4" x14ac:dyDescent="0.35">
      <c r="B624" s="9">
        <v>40436</v>
      </c>
      <c r="C624" s="12">
        <v>66.599999999999994</v>
      </c>
      <c r="D624" t="s">
        <v>5877</v>
      </c>
    </row>
    <row r="625" spans="2:4" x14ac:dyDescent="0.35">
      <c r="B625" s="9">
        <v>40437</v>
      </c>
      <c r="C625" s="12">
        <v>55.5</v>
      </c>
      <c r="D625" t="s">
        <v>5877</v>
      </c>
    </row>
    <row r="626" spans="2:4" x14ac:dyDescent="0.35">
      <c r="B626" s="9">
        <v>40438</v>
      </c>
      <c r="C626" s="12">
        <v>49.5</v>
      </c>
      <c r="D626" t="s">
        <v>5877</v>
      </c>
    </row>
    <row r="627" spans="2:4" x14ac:dyDescent="0.35">
      <c r="B627" s="9">
        <v>40439</v>
      </c>
      <c r="C627" s="12">
        <v>62.8</v>
      </c>
      <c r="D627" t="s">
        <v>5877</v>
      </c>
    </row>
    <row r="628" spans="2:4" x14ac:dyDescent="0.35">
      <c r="B628" s="9">
        <v>40440</v>
      </c>
      <c r="C628" s="12">
        <v>104.2</v>
      </c>
      <c r="D628" t="s">
        <v>5877</v>
      </c>
    </row>
    <row r="629" spans="2:4" x14ac:dyDescent="0.35">
      <c r="B629" s="9">
        <v>40441</v>
      </c>
      <c r="C629" s="12">
        <v>103</v>
      </c>
      <c r="D629" t="s">
        <v>5877</v>
      </c>
    </row>
    <row r="630" spans="2:4" x14ac:dyDescent="0.35">
      <c r="B630" s="9">
        <v>40442</v>
      </c>
      <c r="C630" s="12">
        <v>86.7</v>
      </c>
      <c r="D630" t="s">
        <v>5877</v>
      </c>
    </row>
    <row r="631" spans="2:4" x14ac:dyDescent="0.35">
      <c r="B631" s="9">
        <v>40443</v>
      </c>
      <c r="C631" s="12">
        <v>104.5</v>
      </c>
      <c r="D631" t="s">
        <v>5877</v>
      </c>
    </row>
    <row r="632" spans="2:4" x14ac:dyDescent="0.35">
      <c r="B632" s="9">
        <v>40444</v>
      </c>
      <c r="C632" s="12">
        <v>86.9</v>
      </c>
      <c r="D632" t="s">
        <v>5877</v>
      </c>
    </row>
    <row r="633" spans="2:4" x14ac:dyDescent="0.35">
      <c r="B633" s="9">
        <v>40445</v>
      </c>
      <c r="C633" s="12">
        <v>108.1</v>
      </c>
      <c r="D633" t="s">
        <v>5877</v>
      </c>
    </row>
    <row r="634" spans="2:4" x14ac:dyDescent="0.35">
      <c r="B634" s="9">
        <v>40446</v>
      </c>
      <c r="C634" s="12">
        <v>90.1</v>
      </c>
      <c r="D634" t="s">
        <v>5877</v>
      </c>
    </row>
    <row r="635" spans="2:4" x14ac:dyDescent="0.35">
      <c r="B635" s="9">
        <v>40447</v>
      </c>
      <c r="C635" s="12">
        <v>84.7</v>
      </c>
      <c r="D635" t="s">
        <v>5877</v>
      </c>
    </row>
    <row r="636" spans="2:4" x14ac:dyDescent="0.35">
      <c r="B636" s="9">
        <v>40448</v>
      </c>
      <c r="C636" s="12">
        <v>67</v>
      </c>
      <c r="D636" t="s">
        <v>5877</v>
      </c>
    </row>
    <row r="637" spans="2:4" x14ac:dyDescent="0.35">
      <c r="B637" s="9">
        <v>40449</v>
      </c>
      <c r="C637" s="12">
        <v>59.6</v>
      </c>
      <c r="D637" t="s">
        <v>5877</v>
      </c>
    </row>
    <row r="638" spans="2:4" x14ac:dyDescent="0.35">
      <c r="B638" s="9">
        <v>40450</v>
      </c>
      <c r="C638" s="12">
        <v>105</v>
      </c>
      <c r="D638" t="s">
        <v>5877</v>
      </c>
    </row>
    <row r="639" spans="2:4" x14ac:dyDescent="0.35">
      <c r="B639" s="9">
        <v>40451</v>
      </c>
      <c r="C639" s="12">
        <v>136.19999999999999</v>
      </c>
      <c r="D639" t="s">
        <v>5877</v>
      </c>
    </row>
    <row r="640" spans="2:4" x14ac:dyDescent="0.35">
      <c r="B640" s="9">
        <v>40452</v>
      </c>
      <c r="C640" s="12">
        <v>108.2</v>
      </c>
      <c r="D640" t="s">
        <v>5877</v>
      </c>
    </row>
    <row r="641" spans="2:4" x14ac:dyDescent="0.35">
      <c r="B641" s="9">
        <v>40453</v>
      </c>
      <c r="C641" s="12">
        <v>88.1</v>
      </c>
      <c r="D641" t="s">
        <v>5877</v>
      </c>
    </row>
    <row r="642" spans="2:4" x14ac:dyDescent="0.35">
      <c r="B642" s="9">
        <v>40454</v>
      </c>
      <c r="C642" s="12">
        <v>69.3</v>
      </c>
      <c r="D642" t="s">
        <v>5877</v>
      </c>
    </row>
    <row r="643" spans="2:4" x14ac:dyDescent="0.35">
      <c r="B643" s="9">
        <v>40455</v>
      </c>
      <c r="C643" s="12">
        <v>65.400000000000006</v>
      </c>
      <c r="D643" t="s">
        <v>5877</v>
      </c>
    </row>
    <row r="644" spans="2:4" x14ac:dyDescent="0.35">
      <c r="B644" s="9">
        <v>40456</v>
      </c>
      <c r="C644" s="12">
        <v>179.1</v>
      </c>
      <c r="D644" t="s">
        <v>5877</v>
      </c>
    </row>
    <row r="645" spans="2:4" x14ac:dyDescent="0.35">
      <c r="B645" s="9">
        <v>40457</v>
      </c>
      <c r="C645" s="12">
        <v>145.80000000000001</v>
      </c>
      <c r="D645" t="s">
        <v>5877</v>
      </c>
    </row>
    <row r="646" spans="2:4" x14ac:dyDescent="0.35">
      <c r="B646" s="9">
        <v>40458</v>
      </c>
      <c r="C646" s="12">
        <v>112.5</v>
      </c>
      <c r="D646" t="s">
        <v>5877</v>
      </c>
    </row>
    <row r="647" spans="2:4" x14ac:dyDescent="0.35">
      <c r="B647" s="9">
        <v>40459</v>
      </c>
      <c r="C647" s="12">
        <v>154.9</v>
      </c>
      <c r="D647" t="s">
        <v>5877</v>
      </c>
    </row>
    <row r="648" spans="2:4" x14ac:dyDescent="0.35">
      <c r="B648" s="9">
        <v>40460</v>
      </c>
      <c r="C648" s="12">
        <v>124.2</v>
      </c>
      <c r="D648" t="s">
        <v>5877</v>
      </c>
    </row>
    <row r="649" spans="2:4" x14ac:dyDescent="0.35">
      <c r="B649" s="9">
        <v>40461</v>
      </c>
      <c r="C649" s="12">
        <v>162.6</v>
      </c>
      <c r="D649" t="s">
        <v>5877</v>
      </c>
    </row>
    <row r="650" spans="2:4" x14ac:dyDescent="0.35">
      <c r="B650" s="9">
        <v>40462</v>
      </c>
      <c r="C650" s="12">
        <v>149.6</v>
      </c>
      <c r="D650" t="s">
        <v>5877</v>
      </c>
    </row>
    <row r="651" spans="2:4" x14ac:dyDescent="0.35">
      <c r="B651" s="9">
        <v>40463</v>
      </c>
      <c r="C651" s="12">
        <v>112.1</v>
      </c>
      <c r="D651" t="s">
        <v>5877</v>
      </c>
    </row>
    <row r="652" spans="2:4" x14ac:dyDescent="0.35">
      <c r="B652" s="9">
        <v>40464</v>
      </c>
      <c r="C652" s="12">
        <v>98.6</v>
      </c>
      <c r="D652" t="s">
        <v>5877</v>
      </c>
    </row>
    <row r="653" spans="2:4" x14ac:dyDescent="0.35">
      <c r="B653" s="9">
        <v>40465</v>
      </c>
      <c r="C653" s="12">
        <v>135.80000000000001</v>
      </c>
      <c r="D653" t="s">
        <v>5877</v>
      </c>
    </row>
    <row r="654" spans="2:4" x14ac:dyDescent="0.35">
      <c r="B654" s="9">
        <v>40466</v>
      </c>
      <c r="C654" s="12">
        <v>148.19999999999999</v>
      </c>
      <c r="D654" t="s">
        <v>5877</v>
      </c>
    </row>
    <row r="655" spans="2:4" x14ac:dyDescent="0.35">
      <c r="B655" s="9">
        <v>40467</v>
      </c>
      <c r="C655" s="12">
        <v>134.1</v>
      </c>
      <c r="D655" t="s">
        <v>5877</v>
      </c>
    </row>
    <row r="656" spans="2:4" x14ac:dyDescent="0.35">
      <c r="B656" s="9">
        <v>40468</v>
      </c>
      <c r="C656" s="12">
        <v>108.4</v>
      </c>
      <c r="D656" t="s">
        <v>5877</v>
      </c>
    </row>
    <row r="657" spans="2:4" x14ac:dyDescent="0.35">
      <c r="B657" s="9">
        <v>40469</v>
      </c>
      <c r="C657" s="12">
        <v>133.1</v>
      </c>
      <c r="D657" t="s">
        <v>5877</v>
      </c>
    </row>
    <row r="658" spans="2:4" x14ac:dyDescent="0.35">
      <c r="B658" s="9">
        <v>40470</v>
      </c>
      <c r="C658" s="12">
        <v>105.4</v>
      </c>
      <c r="D658" t="s">
        <v>5877</v>
      </c>
    </row>
    <row r="659" spans="2:4" x14ac:dyDescent="0.35">
      <c r="B659" s="9">
        <v>40471</v>
      </c>
      <c r="C659" s="12">
        <v>143</v>
      </c>
      <c r="D659" t="s">
        <v>5877</v>
      </c>
    </row>
    <row r="660" spans="2:4" x14ac:dyDescent="0.35">
      <c r="B660" s="9">
        <v>40472</v>
      </c>
      <c r="C660" s="12">
        <v>119</v>
      </c>
      <c r="D660" t="s">
        <v>5877</v>
      </c>
    </row>
    <row r="661" spans="2:4" x14ac:dyDescent="0.35">
      <c r="B661" s="9">
        <v>40473</v>
      </c>
      <c r="C661" s="12">
        <v>96.7</v>
      </c>
      <c r="D661" t="s">
        <v>5877</v>
      </c>
    </row>
    <row r="662" spans="2:4" x14ac:dyDescent="0.35">
      <c r="B662" s="9">
        <v>40474</v>
      </c>
      <c r="C662" s="12">
        <v>120.6</v>
      </c>
      <c r="D662" t="s">
        <v>5877</v>
      </c>
    </row>
    <row r="663" spans="2:4" x14ac:dyDescent="0.35">
      <c r="B663" s="9">
        <v>40475</v>
      </c>
      <c r="C663" s="12">
        <v>124</v>
      </c>
      <c r="D663" t="s">
        <v>5877</v>
      </c>
    </row>
    <row r="664" spans="2:4" x14ac:dyDescent="0.35">
      <c r="B664" s="9">
        <v>40476</v>
      </c>
      <c r="C664" s="12">
        <v>136.30000000000001</v>
      </c>
      <c r="D664" t="s">
        <v>5877</v>
      </c>
    </row>
    <row r="665" spans="2:4" x14ac:dyDescent="0.35">
      <c r="B665" s="9">
        <v>40477</v>
      </c>
      <c r="C665" s="12">
        <v>117.4</v>
      </c>
      <c r="D665" t="s">
        <v>5877</v>
      </c>
    </row>
    <row r="666" spans="2:4" x14ac:dyDescent="0.35">
      <c r="B666" s="9">
        <v>40478</v>
      </c>
      <c r="C666" s="12">
        <v>99.3</v>
      </c>
      <c r="D666" t="s">
        <v>5877</v>
      </c>
    </row>
    <row r="667" spans="2:4" x14ac:dyDescent="0.35">
      <c r="B667" s="9">
        <v>40479</v>
      </c>
      <c r="C667" s="12">
        <v>141.6</v>
      </c>
      <c r="D667" t="s">
        <v>5877</v>
      </c>
    </row>
    <row r="668" spans="2:4" x14ac:dyDescent="0.35">
      <c r="B668" s="9">
        <v>40480</v>
      </c>
      <c r="C668" s="12">
        <v>158</v>
      </c>
      <c r="D668" t="s">
        <v>5877</v>
      </c>
    </row>
    <row r="669" spans="2:4" x14ac:dyDescent="0.35">
      <c r="B669" s="9">
        <v>40481</v>
      </c>
      <c r="C669" s="12">
        <v>124.6</v>
      </c>
      <c r="D669" t="s">
        <v>5877</v>
      </c>
    </row>
    <row r="670" spans="2:4" x14ac:dyDescent="0.35">
      <c r="B670" s="9">
        <v>40482</v>
      </c>
      <c r="C670" s="12">
        <v>108.2</v>
      </c>
      <c r="D670" t="s">
        <v>5877</v>
      </c>
    </row>
    <row r="671" spans="2:4" x14ac:dyDescent="0.35">
      <c r="B671" s="9">
        <v>40483</v>
      </c>
      <c r="C671" s="12">
        <v>155.19999999999999</v>
      </c>
      <c r="D671" t="s">
        <v>5877</v>
      </c>
    </row>
    <row r="672" spans="2:4" x14ac:dyDescent="0.35">
      <c r="B672" s="9">
        <v>40484</v>
      </c>
      <c r="C672" s="12">
        <v>122.6</v>
      </c>
      <c r="D672" t="s">
        <v>5877</v>
      </c>
    </row>
    <row r="673" spans="2:4" x14ac:dyDescent="0.35">
      <c r="B673" s="9">
        <v>40485</v>
      </c>
      <c r="C673" s="12">
        <v>101.6</v>
      </c>
      <c r="D673" t="s">
        <v>5877</v>
      </c>
    </row>
    <row r="674" spans="2:4" x14ac:dyDescent="0.35">
      <c r="B674" s="9">
        <v>40486</v>
      </c>
      <c r="C674" s="12">
        <v>154.30000000000001</v>
      </c>
      <c r="D674" t="s">
        <v>5877</v>
      </c>
    </row>
    <row r="675" spans="2:4" x14ac:dyDescent="0.35">
      <c r="B675" s="9">
        <v>40487</v>
      </c>
      <c r="C675" s="12">
        <v>131</v>
      </c>
      <c r="D675" t="s">
        <v>5877</v>
      </c>
    </row>
    <row r="676" spans="2:4" x14ac:dyDescent="0.35">
      <c r="B676" s="9">
        <v>40488</v>
      </c>
      <c r="C676" s="12">
        <v>132.19999999999999</v>
      </c>
      <c r="D676" t="s">
        <v>5877</v>
      </c>
    </row>
    <row r="677" spans="2:4" x14ac:dyDescent="0.35">
      <c r="B677" s="9">
        <v>40489</v>
      </c>
      <c r="C677" s="12">
        <v>145</v>
      </c>
      <c r="D677" t="s">
        <v>5877</v>
      </c>
    </row>
    <row r="678" spans="2:4" x14ac:dyDescent="0.35">
      <c r="B678" s="9">
        <v>40490</v>
      </c>
      <c r="C678" s="12">
        <v>237.3</v>
      </c>
      <c r="D678" t="s">
        <v>5877</v>
      </c>
    </row>
    <row r="679" spans="2:4" x14ac:dyDescent="0.35">
      <c r="B679" s="9">
        <v>40491</v>
      </c>
      <c r="C679" s="12">
        <v>193.9</v>
      </c>
      <c r="D679" t="s">
        <v>5877</v>
      </c>
    </row>
    <row r="680" spans="2:4" x14ac:dyDescent="0.35">
      <c r="B680" s="9">
        <v>40492</v>
      </c>
      <c r="C680" s="12">
        <v>144.1</v>
      </c>
      <c r="D680" t="s">
        <v>5877</v>
      </c>
    </row>
    <row r="681" spans="2:4" x14ac:dyDescent="0.35">
      <c r="B681" s="9">
        <v>40493</v>
      </c>
      <c r="C681" s="12">
        <v>123.5</v>
      </c>
      <c r="D681" t="s">
        <v>5877</v>
      </c>
    </row>
    <row r="682" spans="2:4" x14ac:dyDescent="0.35">
      <c r="B682" s="9">
        <v>40494</v>
      </c>
      <c r="C682" s="12">
        <v>155.19999999999999</v>
      </c>
      <c r="D682" t="s">
        <v>5877</v>
      </c>
    </row>
    <row r="683" spans="2:4" x14ac:dyDescent="0.35">
      <c r="B683" s="9">
        <v>40495</v>
      </c>
      <c r="C683" s="12">
        <v>188.9</v>
      </c>
      <c r="D683" t="s">
        <v>5877</v>
      </c>
    </row>
    <row r="684" spans="2:4" x14ac:dyDescent="0.35">
      <c r="B684" s="9">
        <v>40496</v>
      </c>
      <c r="C684" s="12">
        <v>140.9</v>
      </c>
      <c r="D684" t="s">
        <v>5877</v>
      </c>
    </row>
    <row r="685" spans="2:4" x14ac:dyDescent="0.35">
      <c r="B685" s="9">
        <v>40497</v>
      </c>
      <c r="C685" s="12">
        <v>140.9</v>
      </c>
      <c r="D685" t="s">
        <v>5877</v>
      </c>
    </row>
    <row r="686" spans="2:4" x14ac:dyDescent="0.35">
      <c r="B686" s="9">
        <v>40498</v>
      </c>
      <c r="C686" s="12">
        <v>133.69999999999999</v>
      </c>
      <c r="D686" t="s">
        <v>5877</v>
      </c>
    </row>
    <row r="687" spans="2:4" x14ac:dyDescent="0.35">
      <c r="B687" s="9">
        <v>40499</v>
      </c>
      <c r="C687" s="12">
        <v>118.9</v>
      </c>
      <c r="D687" t="s">
        <v>5877</v>
      </c>
    </row>
    <row r="688" spans="2:4" x14ac:dyDescent="0.35">
      <c r="B688" s="9">
        <v>40500</v>
      </c>
      <c r="C688" s="12">
        <v>107.8</v>
      </c>
      <c r="D688" t="s">
        <v>5877</v>
      </c>
    </row>
    <row r="689" spans="2:4" x14ac:dyDescent="0.35">
      <c r="B689" s="9">
        <v>40501</v>
      </c>
      <c r="C689" s="12">
        <v>182.6</v>
      </c>
      <c r="D689" t="s">
        <v>5877</v>
      </c>
    </row>
    <row r="690" spans="2:4" x14ac:dyDescent="0.35">
      <c r="B690" s="9">
        <v>40502</v>
      </c>
      <c r="C690" s="12">
        <v>140.30000000000001</v>
      </c>
      <c r="D690" t="s">
        <v>5877</v>
      </c>
    </row>
    <row r="691" spans="2:4" x14ac:dyDescent="0.35">
      <c r="B691" s="9">
        <v>40503</v>
      </c>
      <c r="C691" s="12">
        <v>115.9</v>
      </c>
      <c r="D691" t="s">
        <v>5877</v>
      </c>
    </row>
    <row r="692" spans="2:4" x14ac:dyDescent="0.35">
      <c r="B692" s="9">
        <v>40504</v>
      </c>
      <c r="C692" s="12">
        <v>106.2</v>
      </c>
      <c r="D692" t="s">
        <v>5877</v>
      </c>
    </row>
    <row r="693" spans="2:4" x14ac:dyDescent="0.35">
      <c r="B693" s="9">
        <v>40505</v>
      </c>
      <c r="C693" s="12">
        <v>133.19999999999999</v>
      </c>
      <c r="D693" t="s">
        <v>5877</v>
      </c>
    </row>
    <row r="694" spans="2:4" x14ac:dyDescent="0.35">
      <c r="B694" s="9">
        <v>40506</v>
      </c>
      <c r="C694" s="12">
        <v>109.8</v>
      </c>
      <c r="D694" t="s">
        <v>5877</v>
      </c>
    </row>
    <row r="695" spans="2:4" x14ac:dyDescent="0.35">
      <c r="B695" s="9">
        <v>40507</v>
      </c>
      <c r="C695" s="12">
        <v>125.8</v>
      </c>
      <c r="D695" t="s">
        <v>5877</v>
      </c>
    </row>
    <row r="696" spans="2:4" x14ac:dyDescent="0.35">
      <c r="B696" s="9">
        <v>40508</v>
      </c>
      <c r="C696" s="12">
        <v>130.9</v>
      </c>
      <c r="D696" t="s">
        <v>5877</v>
      </c>
    </row>
    <row r="697" spans="2:4" x14ac:dyDescent="0.35">
      <c r="B697" s="9">
        <v>40509</v>
      </c>
      <c r="C697" s="12">
        <v>121</v>
      </c>
      <c r="D697" t="s">
        <v>5877</v>
      </c>
    </row>
    <row r="698" spans="2:4" x14ac:dyDescent="0.35">
      <c r="B698" s="9">
        <v>40510</v>
      </c>
      <c r="C698" s="12">
        <v>151.1</v>
      </c>
      <c r="D698" t="s">
        <v>5877</v>
      </c>
    </row>
    <row r="699" spans="2:4" x14ac:dyDescent="0.35">
      <c r="B699" s="9">
        <v>40511</v>
      </c>
      <c r="C699" s="12">
        <v>162.30000000000001</v>
      </c>
      <c r="D699" t="s">
        <v>5877</v>
      </c>
    </row>
    <row r="700" spans="2:4" x14ac:dyDescent="0.35">
      <c r="B700" s="9">
        <v>40512</v>
      </c>
      <c r="C700" s="12">
        <v>141.9</v>
      </c>
      <c r="D700" t="s">
        <v>5877</v>
      </c>
    </row>
    <row r="701" spans="2:4" x14ac:dyDescent="0.35">
      <c r="B701" s="9">
        <v>40513</v>
      </c>
      <c r="C701" s="12">
        <v>115.3</v>
      </c>
      <c r="D701" t="s">
        <v>5877</v>
      </c>
    </row>
    <row r="702" spans="2:4" x14ac:dyDescent="0.35">
      <c r="B702" s="9">
        <v>40514</v>
      </c>
      <c r="C702" s="12">
        <v>103</v>
      </c>
      <c r="D702" t="s">
        <v>5877</v>
      </c>
    </row>
    <row r="703" spans="2:4" x14ac:dyDescent="0.35">
      <c r="B703" s="9">
        <v>40515</v>
      </c>
      <c r="C703" s="12">
        <v>104</v>
      </c>
      <c r="D703" t="s">
        <v>5877</v>
      </c>
    </row>
    <row r="704" spans="2:4" x14ac:dyDescent="0.35">
      <c r="B704" s="9">
        <v>40516</v>
      </c>
      <c r="C704" s="12">
        <v>94.5</v>
      </c>
      <c r="D704" t="s">
        <v>5877</v>
      </c>
    </row>
    <row r="705" spans="2:4" x14ac:dyDescent="0.35">
      <c r="B705" s="9">
        <v>40517</v>
      </c>
      <c r="C705" s="12">
        <v>130</v>
      </c>
      <c r="D705" t="s">
        <v>5877</v>
      </c>
    </row>
    <row r="706" spans="2:4" x14ac:dyDescent="0.35">
      <c r="B706" s="9">
        <v>40518</v>
      </c>
      <c r="C706" s="12">
        <v>169.3</v>
      </c>
      <c r="D706" t="s">
        <v>5877</v>
      </c>
    </row>
    <row r="707" spans="2:4" x14ac:dyDescent="0.35">
      <c r="B707" s="9">
        <v>40519</v>
      </c>
      <c r="C707" s="12">
        <v>213</v>
      </c>
      <c r="D707" t="s">
        <v>5877</v>
      </c>
    </row>
    <row r="708" spans="2:4" x14ac:dyDescent="0.35">
      <c r="B708" s="9">
        <v>40520</v>
      </c>
      <c r="C708" s="12">
        <v>164.1</v>
      </c>
      <c r="D708" t="s">
        <v>5877</v>
      </c>
    </row>
    <row r="709" spans="2:4" x14ac:dyDescent="0.35">
      <c r="B709" s="9">
        <v>40521</v>
      </c>
      <c r="C709" s="12">
        <v>138.4</v>
      </c>
      <c r="D709" t="s">
        <v>5877</v>
      </c>
    </row>
    <row r="710" spans="2:4" x14ac:dyDescent="0.35">
      <c r="B710" s="9">
        <v>40522</v>
      </c>
      <c r="C710" s="12">
        <v>113.3</v>
      </c>
      <c r="D710" t="s">
        <v>5877</v>
      </c>
    </row>
    <row r="711" spans="2:4" x14ac:dyDescent="0.35">
      <c r="B711" s="9">
        <v>40523</v>
      </c>
      <c r="C711" s="12">
        <v>133.19999999999999</v>
      </c>
      <c r="D711" t="s">
        <v>5877</v>
      </c>
    </row>
    <row r="712" spans="2:4" x14ac:dyDescent="0.35">
      <c r="B712" s="9">
        <v>40524</v>
      </c>
      <c r="C712" s="12">
        <v>150.6</v>
      </c>
      <c r="D712" t="s">
        <v>5877</v>
      </c>
    </row>
    <row r="713" spans="2:4" x14ac:dyDescent="0.35">
      <c r="B713" s="9">
        <v>40525</v>
      </c>
      <c r="C713" s="12">
        <v>130.9</v>
      </c>
      <c r="D713" t="s">
        <v>5877</v>
      </c>
    </row>
    <row r="714" spans="2:4" x14ac:dyDescent="0.35">
      <c r="B714" s="9">
        <v>40526</v>
      </c>
      <c r="C714" s="12">
        <v>160.6</v>
      </c>
      <c r="D714" t="s">
        <v>5877</v>
      </c>
    </row>
    <row r="715" spans="2:4" x14ac:dyDescent="0.35">
      <c r="B715" s="9">
        <v>40527</v>
      </c>
      <c r="C715" s="12">
        <v>161.6</v>
      </c>
      <c r="D715" t="s">
        <v>5877</v>
      </c>
    </row>
    <row r="716" spans="2:4" x14ac:dyDescent="0.35">
      <c r="B716" s="9">
        <v>40528</v>
      </c>
      <c r="C716" s="12">
        <v>145.5</v>
      </c>
      <c r="D716" t="s">
        <v>5877</v>
      </c>
    </row>
    <row r="717" spans="2:4" x14ac:dyDescent="0.35">
      <c r="B717" s="9">
        <v>40529</v>
      </c>
      <c r="C717" s="12">
        <v>111.3</v>
      </c>
      <c r="D717" t="s">
        <v>5877</v>
      </c>
    </row>
    <row r="718" spans="2:4" x14ac:dyDescent="0.35">
      <c r="B718" s="9">
        <v>40530</v>
      </c>
      <c r="C718" s="12">
        <v>92.6</v>
      </c>
      <c r="D718" t="s">
        <v>5877</v>
      </c>
    </row>
    <row r="719" spans="2:4" x14ac:dyDescent="0.35">
      <c r="B719" s="9">
        <v>40531</v>
      </c>
      <c r="C719" s="12">
        <v>104.1</v>
      </c>
      <c r="D719" t="s">
        <v>5877</v>
      </c>
    </row>
    <row r="720" spans="2:4" x14ac:dyDescent="0.35">
      <c r="B720" s="9">
        <v>40532</v>
      </c>
      <c r="C720" s="12">
        <v>167.6</v>
      </c>
      <c r="D720" t="s">
        <v>5877</v>
      </c>
    </row>
    <row r="721" spans="2:4" x14ac:dyDescent="0.35">
      <c r="B721" s="9">
        <v>40533</v>
      </c>
      <c r="C721" s="12">
        <v>175.3</v>
      </c>
      <c r="D721" t="s">
        <v>5877</v>
      </c>
    </row>
    <row r="722" spans="2:4" x14ac:dyDescent="0.35">
      <c r="B722" s="9">
        <v>40534</v>
      </c>
      <c r="C722" s="12">
        <v>141.5</v>
      </c>
      <c r="D722" t="s">
        <v>5877</v>
      </c>
    </row>
    <row r="723" spans="2:4" x14ac:dyDescent="0.35">
      <c r="B723" s="9">
        <v>40535</v>
      </c>
      <c r="C723" s="12">
        <v>215.5</v>
      </c>
      <c r="D723" t="s">
        <v>5877</v>
      </c>
    </row>
    <row r="724" spans="2:4" x14ac:dyDescent="0.35">
      <c r="B724" s="9">
        <v>40536</v>
      </c>
      <c r="C724" s="12">
        <v>160.4</v>
      </c>
      <c r="D724" t="s">
        <v>5877</v>
      </c>
    </row>
    <row r="725" spans="2:4" x14ac:dyDescent="0.35">
      <c r="B725" s="9">
        <v>40537</v>
      </c>
      <c r="C725" s="12">
        <v>121.5</v>
      </c>
      <c r="D725" t="s">
        <v>5877</v>
      </c>
    </row>
    <row r="726" spans="2:4" x14ac:dyDescent="0.35">
      <c r="B726" s="9">
        <v>40538</v>
      </c>
      <c r="C726" s="12">
        <v>121.9</v>
      </c>
      <c r="D726" t="s">
        <v>5877</v>
      </c>
    </row>
    <row r="727" spans="2:4" x14ac:dyDescent="0.35">
      <c r="B727" s="9">
        <v>40539</v>
      </c>
      <c r="C727" s="12">
        <v>135.1</v>
      </c>
      <c r="D727" t="s">
        <v>5877</v>
      </c>
    </row>
    <row r="728" spans="2:4" x14ac:dyDescent="0.35">
      <c r="B728" s="9">
        <v>40540</v>
      </c>
      <c r="C728" s="12">
        <v>152.6</v>
      </c>
      <c r="D728" t="s">
        <v>5877</v>
      </c>
    </row>
    <row r="729" spans="2:4" x14ac:dyDescent="0.35">
      <c r="B729" s="9">
        <v>40541</v>
      </c>
      <c r="C729" s="12">
        <v>159</v>
      </c>
      <c r="D729" t="s">
        <v>5877</v>
      </c>
    </row>
    <row r="730" spans="2:4" x14ac:dyDescent="0.35">
      <c r="B730" s="9">
        <v>40542</v>
      </c>
      <c r="C730" s="12">
        <v>159.9</v>
      </c>
      <c r="D730" t="s">
        <v>5877</v>
      </c>
    </row>
    <row r="731" spans="2:4" x14ac:dyDescent="0.35">
      <c r="B731" s="9">
        <v>40543</v>
      </c>
      <c r="C731" s="12">
        <v>144.19999999999999</v>
      </c>
      <c r="D731" t="s">
        <v>5877</v>
      </c>
    </row>
    <row r="732" spans="2:4" x14ac:dyDescent="0.35">
      <c r="B732" s="9">
        <v>40544</v>
      </c>
      <c r="C732" s="12">
        <v>179.5</v>
      </c>
      <c r="D732" t="s">
        <v>5877</v>
      </c>
    </row>
    <row r="733" spans="2:4" x14ac:dyDescent="0.35">
      <c r="B733" s="9">
        <v>40545</v>
      </c>
      <c r="C733" s="12">
        <v>138.5</v>
      </c>
      <c r="D733" t="s">
        <v>5877</v>
      </c>
    </row>
    <row r="734" spans="2:4" x14ac:dyDescent="0.35">
      <c r="B734" s="9">
        <v>40546</v>
      </c>
      <c r="C734" s="12">
        <v>162.6</v>
      </c>
      <c r="D734" t="s">
        <v>5877</v>
      </c>
    </row>
    <row r="735" spans="2:4" x14ac:dyDescent="0.35">
      <c r="B735" s="9">
        <v>40547</v>
      </c>
      <c r="C735" s="12">
        <v>133.1</v>
      </c>
      <c r="D735" t="s">
        <v>5877</v>
      </c>
    </row>
    <row r="736" spans="2:4" x14ac:dyDescent="0.35">
      <c r="B736" s="9">
        <v>40548</v>
      </c>
      <c r="C736" s="12">
        <v>110.8</v>
      </c>
      <c r="D736" t="s">
        <v>5877</v>
      </c>
    </row>
    <row r="737" spans="2:4" x14ac:dyDescent="0.35">
      <c r="B737" s="9">
        <v>40549</v>
      </c>
      <c r="C737" s="12">
        <v>131.9</v>
      </c>
      <c r="D737" t="s">
        <v>5877</v>
      </c>
    </row>
    <row r="738" spans="2:4" x14ac:dyDescent="0.35">
      <c r="B738" s="9">
        <v>40550</v>
      </c>
      <c r="C738" s="12">
        <v>164.8</v>
      </c>
      <c r="D738" t="s">
        <v>5877</v>
      </c>
    </row>
    <row r="739" spans="2:4" x14ac:dyDescent="0.35">
      <c r="B739" s="9">
        <v>40551</v>
      </c>
      <c r="C739" s="12">
        <v>163.1</v>
      </c>
      <c r="D739" t="s">
        <v>5877</v>
      </c>
    </row>
    <row r="740" spans="2:4" x14ac:dyDescent="0.35">
      <c r="B740" s="9">
        <v>40552</v>
      </c>
      <c r="C740" s="12">
        <v>144.6</v>
      </c>
      <c r="D740" t="s">
        <v>5877</v>
      </c>
    </row>
    <row r="741" spans="2:4" x14ac:dyDescent="0.35">
      <c r="B741" s="9">
        <v>40553</v>
      </c>
      <c r="C741" s="12">
        <v>111.6</v>
      </c>
      <c r="D741" t="s">
        <v>5877</v>
      </c>
    </row>
    <row r="742" spans="2:4" x14ac:dyDescent="0.35">
      <c r="B742" s="9">
        <v>40554</v>
      </c>
      <c r="C742" s="12">
        <v>95.5</v>
      </c>
      <c r="D742" t="s">
        <v>5877</v>
      </c>
    </row>
    <row r="743" spans="2:4" x14ac:dyDescent="0.35">
      <c r="B743" s="9">
        <v>40555</v>
      </c>
      <c r="C743" s="12">
        <v>133.6</v>
      </c>
      <c r="D743" t="s">
        <v>5877</v>
      </c>
    </row>
    <row r="744" spans="2:4" x14ac:dyDescent="0.35">
      <c r="B744" s="9">
        <v>40556</v>
      </c>
      <c r="C744" s="12">
        <v>142.6</v>
      </c>
      <c r="D744" t="s">
        <v>5877</v>
      </c>
    </row>
    <row r="745" spans="2:4" x14ac:dyDescent="0.35">
      <c r="B745" s="9">
        <v>40557</v>
      </c>
      <c r="C745" s="12">
        <v>142.5</v>
      </c>
      <c r="D745" t="s">
        <v>5877</v>
      </c>
    </row>
    <row r="746" spans="2:4" x14ac:dyDescent="0.35">
      <c r="B746" s="9">
        <v>40558</v>
      </c>
      <c r="C746" s="12">
        <v>126.3</v>
      </c>
      <c r="D746" t="s">
        <v>5877</v>
      </c>
    </row>
    <row r="747" spans="2:4" x14ac:dyDescent="0.35">
      <c r="B747" s="9">
        <v>40559</v>
      </c>
      <c r="C747" s="12">
        <v>101.8</v>
      </c>
      <c r="D747" t="s">
        <v>5877</v>
      </c>
    </row>
    <row r="748" spans="2:4" x14ac:dyDescent="0.35">
      <c r="B748" s="9">
        <v>40560</v>
      </c>
      <c r="C748" s="12">
        <v>90.2</v>
      </c>
      <c r="D748" t="s">
        <v>5877</v>
      </c>
    </row>
    <row r="749" spans="2:4" x14ac:dyDescent="0.35">
      <c r="B749" s="9">
        <v>40561</v>
      </c>
      <c r="C749" s="12">
        <v>117.7</v>
      </c>
      <c r="D749" t="s">
        <v>5877</v>
      </c>
    </row>
    <row r="750" spans="2:4" x14ac:dyDescent="0.35">
      <c r="B750" s="9">
        <v>40562</v>
      </c>
      <c r="C750" s="12">
        <v>175</v>
      </c>
      <c r="D750" t="s">
        <v>5877</v>
      </c>
    </row>
    <row r="751" spans="2:4" x14ac:dyDescent="0.35">
      <c r="B751" s="9">
        <v>40563</v>
      </c>
      <c r="C751" s="12">
        <v>181.6</v>
      </c>
      <c r="D751" t="s">
        <v>5877</v>
      </c>
    </row>
    <row r="752" spans="2:4" x14ac:dyDescent="0.35">
      <c r="B752" s="9">
        <v>40564</v>
      </c>
      <c r="C752" s="12">
        <v>137.19999999999999</v>
      </c>
      <c r="D752" t="s">
        <v>5877</v>
      </c>
    </row>
    <row r="753" spans="2:4" x14ac:dyDescent="0.35">
      <c r="B753" s="9">
        <v>40565</v>
      </c>
      <c r="C753" s="12">
        <v>108.2</v>
      </c>
      <c r="D753" t="s">
        <v>5877</v>
      </c>
    </row>
    <row r="754" spans="2:4" x14ac:dyDescent="0.35">
      <c r="B754" s="9">
        <v>40566</v>
      </c>
      <c r="C754" s="12">
        <v>135.1</v>
      </c>
      <c r="D754" t="s">
        <v>5877</v>
      </c>
    </row>
    <row r="755" spans="2:4" x14ac:dyDescent="0.35">
      <c r="B755" s="9">
        <v>40567</v>
      </c>
      <c r="C755" s="12">
        <v>173.6</v>
      </c>
      <c r="D755" t="s">
        <v>5877</v>
      </c>
    </row>
    <row r="756" spans="2:4" x14ac:dyDescent="0.35">
      <c r="B756" s="9">
        <v>40568</v>
      </c>
      <c r="C756" s="12">
        <v>197.9</v>
      </c>
      <c r="D756" t="s">
        <v>5877</v>
      </c>
    </row>
    <row r="757" spans="2:4" x14ac:dyDescent="0.35">
      <c r="B757" s="9">
        <v>40569</v>
      </c>
      <c r="C757" s="12">
        <v>147.80000000000001</v>
      </c>
      <c r="D757" t="s">
        <v>5877</v>
      </c>
    </row>
    <row r="758" spans="2:4" x14ac:dyDescent="0.35">
      <c r="B758" s="9">
        <v>40570</v>
      </c>
      <c r="C758" s="12">
        <v>150.69999999999999</v>
      </c>
      <c r="D758" t="s">
        <v>5877</v>
      </c>
    </row>
    <row r="759" spans="2:4" x14ac:dyDescent="0.35">
      <c r="B759" s="9">
        <v>40571</v>
      </c>
      <c r="C759" s="12">
        <v>126</v>
      </c>
      <c r="D759" t="s">
        <v>5877</v>
      </c>
    </row>
    <row r="760" spans="2:4" x14ac:dyDescent="0.35">
      <c r="B760" s="9">
        <v>40572</v>
      </c>
      <c r="C760" s="12">
        <v>102.4</v>
      </c>
      <c r="D760" t="s">
        <v>5877</v>
      </c>
    </row>
    <row r="761" spans="2:4" x14ac:dyDescent="0.35">
      <c r="B761" s="9">
        <v>40573</v>
      </c>
      <c r="C761" s="12">
        <v>99.1</v>
      </c>
      <c r="D761" t="s">
        <v>5877</v>
      </c>
    </row>
    <row r="762" spans="2:4" x14ac:dyDescent="0.35">
      <c r="B762" s="9">
        <v>40574</v>
      </c>
      <c r="C762" s="12">
        <v>198.6</v>
      </c>
      <c r="D762" t="s">
        <v>5877</v>
      </c>
    </row>
    <row r="763" spans="2:4" x14ac:dyDescent="0.35">
      <c r="B763" s="9">
        <v>40575</v>
      </c>
      <c r="C763" s="12">
        <v>161.6</v>
      </c>
      <c r="D763" t="s">
        <v>5877</v>
      </c>
    </row>
    <row r="764" spans="2:4" x14ac:dyDescent="0.35">
      <c r="B764" s="9">
        <v>40576</v>
      </c>
      <c r="C764" s="12">
        <v>122.7</v>
      </c>
      <c r="D764" t="s">
        <v>5877</v>
      </c>
    </row>
    <row r="765" spans="2:4" x14ac:dyDescent="0.35">
      <c r="B765" s="9">
        <v>40577</v>
      </c>
      <c r="C765" s="12">
        <v>101.5</v>
      </c>
      <c r="D765" t="s">
        <v>5877</v>
      </c>
    </row>
    <row r="766" spans="2:4" x14ac:dyDescent="0.35">
      <c r="B766" s="9">
        <v>40578</v>
      </c>
      <c r="C766" s="12">
        <v>124.4</v>
      </c>
      <c r="D766" t="s">
        <v>5877</v>
      </c>
    </row>
    <row r="767" spans="2:4" x14ac:dyDescent="0.35">
      <c r="B767" s="9">
        <v>40579</v>
      </c>
      <c r="C767" s="12">
        <v>118.9</v>
      </c>
      <c r="D767" t="s">
        <v>5877</v>
      </c>
    </row>
    <row r="768" spans="2:4" x14ac:dyDescent="0.35">
      <c r="B768" s="9">
        <v>40580</v>
      </c>
      <c r="C768" s="12">
        <v>128.6</v>
      </c>
      <c r="D768" t="s">
        <v>5877</v>
      </c>
    </row>
    <row r="769" spans="2:4" x14ac:dyDescent="0.35">
      <c r="B769" s="9">
        <v>40581</v>
      </c>
      <c r="C769" s="12">
        <v>125.1</v>
      </c>
      <c r="D769" t="s">
        <v>5877</v>
      </c>
    </row>
    <row r="770" spans="2:4" x14ac:dyDescent="0.35">
      <c r="B770" s="9">
        <v>40582</v>
      </c>
      <c r="C770" s="12">
        <v>143.1</v>
      </c>
      <c r="D770" t="s">
        <v>5877</v>
      </c>
    </row>
    <row r="771" spans="2:4" x14ac:dyDescent="0.35">
      <c r="B771" s="9">
        <v>40583</v>
      </c>
      <c r="C771" s="12">
        <v>141.4</v>
      </c>
      <c r="D771" t="s">
        <v>5877</v>
      </c>
    </row>
    <row r="772" spans="2:4" x14ac:dyDescent="0.35">
      <c r="B772" s="9">
        <v>40584</v>
      </c>
      <c r="C772" s="12">
        <v>114.5</v>
      </c>
      <c r="D772" t="s">
        <v>5877</v>
      </c>
    </row>
    <row r="773" spans="2:4" x14ac:dyDescent="0.35">
      <c r="B773" s="9">
        <v>40585</v>
      </c>
      <c r="C773" s="12">
        <v>133.30000000000001</v>
      </c>
      <c r="D773" t="s">
        <v>5877</v>
      </c>
    </row>
    <row r="774" spans="2:4" x14ac:dyDescent="0.35">
      <c r="B774" s="9">
        <v>40586</v>
      </c>
      <c r="C774" s="12">
        <v>161.5</v>
      </c>
      <c r="D774" t="s">
        <v>5877</v>
      </c>
    </row>
    <row r="775" spans="2:4" x14ac:dyDescent="0.35">
      <c r="B775" s="9">
        <v>40587</v>
      </c>
      <c r="C775" s="12">
        <v>134.5</v>
      </c>
      <c r="D775" t="s">
        <v>5877</v>
      </c>
    </row>
    <row r="776" spans="2:4" x14ac:dyDescent="0.35">
      <c r="B776" s="9">
        <v>40588</v>
      </c>
      <c r="C776" s="12">
        <v>108.4</v>
      </c>
      <c r="D776" t="s">
        <v>5877</v>
      </c>
    </row>
    <row r="777" spans="2:4" x14ac:dyDescent="0.35">
      <c r="B777" s="9">
        <v>40589</v>
      </c>
      <c r="C777" s="12">
        <v>111.6</v>
      </c>
      <c r="D777" t="s">
        <v>5877</v>
      </c>
    </row>
    <row r="778" spans="2:4" x14ac:dyDescent="0.35">
      <c r="B778" s="9">
        <v>40590</v>
      </c>
      <c r="C778" s="12">
        <v>105</v>
      </c>
      <c r="D778" t="s">
        <v>5877</v>
      </c>
    </row>
    <row r="779" spans="2:4" x14ac:dyDescent="0.35">
      <c r="B779" s="9">
        <v>40591</v>
      </c>
      <c r="C779" s="12">
        <v>108.1</v>
      </c>
      <c r="D779" t="s">
        <v>5877</v>
      </c>
    </row>
    <row r="780" spans="2:4" x14ac:dyDescent="0.35">
      <c r="B780" s="9">
        <v>40592</v>
      </c>
      <c r="C780" s="12">
        <v>101</v>
      </c>
      <c r="D780" t="s">
        <v>5877</v>
      </c>
    </row>
    <row r="781" spans="2:4" x14ac:dyDescent="0.35">
      <c r="B781" s="9">
        <v>40593</v>
      </c>
      <c r="C781" s="12">
        <v>162.4</v>
      </c>
      <c r="D781" t="s">
        <v>5877</v>
      </c>
    </row>
    <row r="782" spans="2:4" x14ac:dyDescent="0.35">
      <c r="B782" s="9">
        <v>40594</v>
      </c>
      <c r="C782" s="12">
        <v>131.80000000000001</v>
      </c>
      <c r="D782" t="s">
        <v>5877</v>
      </c>
    </row>
    <row r="783" spans="2:4" x14ac:dyDescent="0.35">
      <c r="B783" s="9">
        <v>40595</v>
      </c>
      <c r="C783" s="12">
        <v>145.30000000000001</v>
      </c>
      <c r="D783" t="s">
        <v>5877</v>
      </c>
    </row>
    <row r="784" spans="2:4" x14ac:dyDescent="0.35">
      <c r="B784" s="9">
        <v>40596</v>
      </c>
      <c r="C784" s="12">
        <v>121.3</v>
      </c>
      <c r="D784" t="s">
        <v>5877</v>
      </c>
    </row>
    <row r="785" spans="2:4" x14ac:dyDescent="0.35">
      <c r="B785" s="9">
        <v>40597</v>
      </c>
      <c r="C785" s="12">
        <v>100</v>
      </c>
      <c r="D785" t="s">
        <v>5877</v>
      </c>
    </row>
    <row r="786" spans="2:4" x14ac:dyDescent="0.35">
      <c r="B786" s="9">
        <v>40598</v>
      </c>
      <c r="C786" s="12">
        <v>90.4</v>
      </c>
      <c r="D786" t="s">
        <v>5877</v>
      </c>
    </row>
    <row r="787" spans="2:4" x14ac:dyDescent="0.35">
      <c r="B787" s="9">
        <v>40599</v>
      </c>
      <c r="C787" s="12">
        <v>121.8</v>
      </c>
      <c r="D787" t="s">
        <v>5877</v>
      </c>
    </row>
    <row r="788" spans="2:4" x14ac:dyDescent="0.35">
      <c r="B788" s="9">
        <v>40600</v>
      </c>
      <c r="C788" s="12">
        <v>132.69999999999999</v>
      </c>
      <c r="D788" t="s">
        <v>5877</v>
      </c>
    </row>
    <row r="789" spans="2:4" x14ac:dyDescent="0.35">
      <c r="B789" s="9">
        <v>40601</v>
      </c>
      <c r="C789" s="12">
        <v>108</v>
      </c>
      <c r="D789" t="s">
        <v>5877</v>
      </c>
    </row>
    <row r="790" spans="2:4" x14ac:dyDescent="0.35">
      <c r="B790" s="9">
        <v>40602</v>
      </c>
      <c r="C790" s="12">
        <v>100</v>
      </c>
      <c r="D790" t="s">
        <v>5877</v>
      </c>
    </row>
    <row r="791" spans="2:4" x14ac:dyDescent="0.35">
      <c r="B791" s="9">
        <v>40603</v>
      </c>
      <c r="C791" s="12">
        <v>116.2</v>
      </c>
      <c r="D791" t="s">
        <v>5877</v>
      </c>
    </row>
    <row r="792" spans="2:4" x14ac:dyDescent="0.35">
      <c r="B792" s="9">
        <v>40604</v>
      </c>
      <c r="C792" s="12">
        <v>113</v>
      </c>
      <c r="D792" t="s">
        <v>5877</v>
      </c>
    </row>
    <row r="793" spans="2:4" x14ac:dyDescent="0.35">
      <c r="B793" s="9">
        <v>40605</v>
      </c>
      <c r="C793" s="12">
        <v>123.4</v>
      </c>
      <c r="D793" t="s">
        <v>5877</v>
      </c>
    </row>
    <row r="794" spans="2:4" x14ac:dyDescent="0.35">
      <c r="B794" s="9">
        <v>40606</v>
      </c>
      <c r="C794" s="12">
        <v>188.5</v>
      </c>
      <c r="D794" t="s">
        <v>5877</v>
      </c>
    </row>
    <row r="795" spans="2:4" x14ac:dyDescent="0.35">
      <c r="B795" s="9">
        <v>40607</v>
      </c>
      <c r="C795" s="12">
        <v>163.30000000000001</v>
      </c>
      <c r="D795" t="s">
        <v>5877</v>
      </c>
    </row>
    <row r="796" spans="2:4" x14ac:dyDescent="0.35">
      <c r="B796" s="9">
        <v>40608</v>
      </c>
      <c r="C796" s="12">
        <v>123.4</v>
      </c>
      <c r="D796" t="s">
        <v>5877</v>
      </c>
    </row>
    <row r="797" spans="2:4" x14ac:dyDescent="0.35">
      <c r="B797" s="9">
        <v>40609</v>
      </c>
      <c r="C797" s="12">
        <v>105</v>
      </c>
      <c r="D797" t="s">
        <v>5877</v>
      </c>
    </row>
    <row r="798" spans="2:4" x14ac:dyDescent="0.35">
      <c r="B798" s="9">
        <v>40610</v>
      </c>
      <c r="C798" s="12">
        <v>116.5</v>
      </c>
      <c r="D798" t="s">
        <v>5877</v>
      </c>
    </row>
    <row r="799" spans="2:4" x14ac:dyDescent="0.35">
      <c r="B799" s="9">
        <v>40611</v>
      </c>
      <c r="C799" s="12">
        <v>178.7</v>
      </c>
      <c r="D799" t="s">
        <v>5877</v>
      </c>
    </row>
    <row r="800" spans="2:4" x14ac:dyDescent="0.35">
      <c r="B800" s="9">
        <v>40612</v>
      </c>
      <c r="C800" s="12">
        <v>172.5</v>
      </c>
      <c r="D800" t="s">
        <v>5877</v>
      </c>
    </row>
    <row r="801" spans="2:4" x14ac:dyDescent="0.35">
      <c r="B801" s="9">
        <v>40613</v>
      </c>
      <c r="C801" s="12">
        <v>136.30000000000001</v>
      </c>
      <c r="D801" t="s">
        <v>5877</v>
      </c>
    </row>
    <row r="802" spans="2:4" x14ac:dyDescent="0.35">
      <c r="B802" s="9">
        <v>40614</v>
      </c>
      <c r="C802" s="12">
        <v>110.3</v>
      </c>
      <c r="D802" t="s">
        <v>5877</v>
      </c>
    </row>
    <row r="803" spans="2:4" x14ac:dyDescent="0.35">
      <c r="B803" s="9">
        <v>40615</v>
      </c>
      <c r="C803" s="12">
        <v>113.4</v>
      </c>
      <c r="D803" t="s">
        <v>5877</v>
      </c>
    </row>
    <row r="804" spans="2:4" x14ac:dyDescent="0.35">
      <c r="B804" s="9">
        <v>40616</v>
      </c>
      <c r="C804" s="12">
        <v>102</v>
      </c>
      <c r="D804" t="s">
        <v>5877</v>
      </c>
    </row>
    <row r="805" spans="2:4" x14ac:dyDescent="0.35">
      <c r="B805" s="9">
        <v>40617</v>
      </c>
      <c r="C805" s="12">
        <v>144.5</v>
      </c>
      <c r="D805" t="s">
        <v>5877</v>
      </c>
    </row>
    <row r="806" spans="2:4" x14ac:dyDescent="0.35">
      <c r="B806" s="9">
        <v>40618</v>
      </c>
      <c r="C806" s="12">
        <v>118.6</v>
      </c>
      <c r="D806" t="s">
        <v>5877</v>
      </c>
    </row>
    <row r="807" spans="2:4" x14ac:dyDescent="0.35">
      <c r="B807" s="9">
        <v>40619</v>
      </c>
      <c r="C807" s="12">
        <v>100.1</v>
      </c>
      <c r="D807" t="s">
        <v>5877</v>
      </c>
    </row>
    <row r="808" spans="2:4" x14ac:dyDescent="0.35">
      <c r="B808" s="9">
        <v>40620</v>
      </c>
      <c r="C808" s="12">
        <v>114.7</v>
      </c>
      <c r="D808" t="s">
        <v>5877</v>
      </c>
    </row>
    <row r="809" spans="2:4" x14ac:dyDescent="0.35">
      <c r="B809" s="9">
        <v>40621</v>
      </c>
      <c r="C809" s="12">
        <v>112.2</v>
      </c>
      <c r="D809" t="s">
        <v>5877</v>
      </c>
    </row>
    <row r="810" spans="2:4" x14ac:dyDescent="0.35">
      <c r="B810" s="9">
        <v>40622</v>
      </c>
      <c r="C810" s="12">
        <v>119.5</v>
      </c>
      <c r="D810" t="s">
        <v>5877</v>
      </c>
    </row>
    <row r="811" spans="2:4" x14ac:dyDescent="0.35">
      <c r="B811" s="9">
        <v>40623</v>
      </c>
      <c r="C811" s="12">
        <v>110.6</v>
      </c>
      <c r="D811" t="s">
        <v>5877</v>
      </c>
    </row>
    <row r="812" spans="2:4" x14ac:dyDescent="0.35">
      <c r="B812" s="9">
        <v>40624</v>
      </c>
      <c r="C812" s="12">
        <v>95</v>
      </c>
      <c r="D812" t="s">
        <v>5877</v>
      </c>
    </row>
    <row r="813" spans="2:4" x14ac:dyDescent="0.35">
      <c r="B813" s="9">
        <v>40625</v>
      </c>
      <c r="C813" s="12">
        <v>84.1</v>
      </c>
      <c r="D813" t="s">
        <v>5877</v>
      </c>
    </row>
    <row r="814" spans="2:4" x14ac:dyDescent="0.35">
      <c r="B814" s="9">
        <v>40626</v>
      </c>
      <c r="C814" s="12">
        <v>84.7</v>
      </c>
      <c r="D814" t="s">
        <v>5877</v>
      </c>
    </row>
    <row r="815" spans="2:4" x14ac:dyDescent="0.35">
      <c r="B815" s="9">
        <v>40627</v>
      </c>
      <c r="C815" s="12">
        <v>95.8</v>
      </c>
      <c r="D815" t="s">
        <v>5877</v>
      </c>
    </row>
    <row r="816" spans="2:4" x14ac:dyDescent="0.35">
      <c r="B816" s="9">
        <v>40628</v>
      </c>
      <c r="C816" s="12">
        <v>130.5</v>
      </c>
      <c r="D816" t="s">
        <v>5877</v>
      </c>
    </row>
    <row r="817" spans="2:4" x14ac:dyDescent="0.35">
      <c r="B817" s="9">
        <v>40629</v>
      </c>
      <c r="C817" s="12">
        <v>120.7</v>
      </c>
      <c r="D817" t="s">
        <v>5877</v>
      </c>
    </row>
    <row r="818" spans="2:4" x14ac:dyDescent="0.35">
      <c r="B818" s="9">
        <v>40630</v>
      </c>
      <c r="C818" s="12">
        <v>126</v>
      </c>
      <c r="D818" t="s">
        <v>5877</v>
      </c>
    </row>
    <row r="819" spans="2:4" x14ac:dyDescent="0.35">
      <c r="B819" s="9">
        <v>40631</v>
      </c>
      <c r="C819" s="12">
        <v>105</v>
      </c>
      <c r="D819" t="s">
        <v>5877</v>
      </c>
    </row>
    <row r="820" spans="2:4" x14ac:dyDescent="0.35">
      <c r="B820" s="9">
        <v>40632</v>
      </c>
      <c r="C820" s="12">
        <v>138.1</v>
      </c>
      <c r="D820" t="s">
        <v>5877</v>
      </c>
    </row>
    <row r="821" spans="2:4" x14ac:dyDescent="0.35">
      <c r="B821" s="9">
        <v>40633</v>
      </c>
      <c r="C821" s="12">
        <v>200.2</v>
      </c>
      <c r="D821" t="s">
        <v>5877</v>
      </c>
    </row>
    <row r="822" spans="2:4" x14ac:dyDescent="0.35">
      <c r="B822" s="9">
        <v>40634</v>
      </c>
      <c r="C822" s="12">
        <v>156.1</v>
      </c>
      <c r="D822" t="s">
        <v>5877</v>
      </c>
    </row>
    <row r="823" spans="2:4" x14ac:dyDescent="0.35">
      <c r="B823" s="9">
        <v>40635</v>
      </c>
      <c r="C823" s="12">
        <v>121.3</v>
      </c>
      <c r="D823" t="s">
        <v>5877</v>
      </c>
    </row>
    <row r="824" spans="2:4" x14ac:dyDescent="0.35">
      <c r="B824" s="9">
        <v>40636</v>
      </c>
      <c r="C824" s="12">
        <v>152.1</v>
      </c>
      <c r="D824" t="s">
        <v>5877</v>
      </c>
    </row>
    <row r="825" spans="2:4" x14ac:dyDescent="0.35">
      <c r="B825" s="9">
        <v>40637</v>
      </c>
      <c r="C825" s="12">
        <v>128.9</v>
      </c>
      <c r="D825" t="s">
        <v>5877</v>
      </c>
    </row>
    <row r="826" spans="2:4" x14ac:dyDescent="0.35">
      <c r="B826" s="9">
        <v>40638</v>
      </c>
      <c r="C826" s="12">
        <v>136.1</v>
      </c>
      <c r="D826" t="s">
        <v>5877</v>
      </c>
    </row>
    <row r="827" spans="2:4" x14ac:dyDescent="0.35">
      <c r="B827" s="9">
        <v>40639</v>
      </c>
      <c r="C827" s="12">
        <v>154.5</v>
      </c>
      <c r="D827" t="s">
        <v>5877</v>
      </c>
    </row>
    <row r="828" spans="2:4" x14ac:dyDescent="0.35">
      <c r="B828" s="9">
        <v>40640</v>
      </c>
      <c r="C828" s="12">
        <v>173.2</v>
      </c>
      <c r="D828" t="s">
        <v>5877</v>
      </c>
    </row>
    <row r="829" spans="2:4" x14ac:dyDescent="0.35">
      <c r="B829" s="9">
        <v>40641</v>
      </c>
      <c r="C829" s="12">
        <v>155</v>
      </c>
      <c r="D829" t="s">
        <v>5877</v>
      </c>
    </row>
    <row r="830" spans="2:4" x14ac:dyDescent="0.35">
      <c r="B830" s="9">
        <v>40642</v>
      </c>
      <c r="C830" s="12">
        <v>136.9</v>
      </c>
      <c r="D830" t="s">
        <v>5877</v>
      </c>
    </row>
    <row r="831" spans="2:4" x14ac:dyDescent="0.35">
      <c r="B831" s="9">
        <v>40643</v>
      </c>
      <c r="C831" s="12">
        <v>107.6</v>
      </c>
      <c r="D831" t="s">
        <v>5877</v>
      </c>
    </row>
    <row r="832" spans="2:4" x14ac:dyDescent="0.35">
      <c r="B832" s="9">
        <v>40644</v>
      </c>
      <c r="C832" s="12">
        <v>89.6</v>
      </c>
      <c r="D832" t="s">
        <v>5877</v>
      </c>
    </row>
    <row r="833" spans="2:4" x14ac:dyDescent="0.35">
      <c r="B833" s="9">
        <v>40645</v>
      </c>
      <c r="C833" s="12">
        <v>87.3</v>
      </c>
      <c r="D833" t="s">
        <v>5877</v>
      </c>
    </row>
    <row r="834" spans="2:4" x14ac:dyDescent="0.35">
      <c r="B834" s="9">
        <v>40646</v>
      </c>
      <c r="C834" s="12">
        <v>100.8</v>
      </c>
      <c r="D834" t="s">
        <v>5877</v>
      </c>
    </row>
    <row r="835" spans="2:4" x14ac:dyDescent="0.35">
      <c r="B835" s="9">
        <v>40647</v>
      </c>
      <c r="C835" s="12">
        <v>137.69999999999999</v>
      </c>
      <c r="D835" t="s">
        <v>5877</v>
      </c>
    </row>
    <row r="836" spans="2:4" x14ac:dyDescent="0.35">
      <c r="B836" s="9">
        <v>40648</v>
      </c>
      <c r="C836" s="12">
        <v>133.19999999999999</v>
      </c>
      <c r="D836" t="s">
        <v>5877</v>
      </c>
    </row>
    <row r="837" spans="2:4" x14ac:dyDescent="0.35">
      <c r="B837" s="9">
        <v>40649</v>
      </c>
      <c r="C837" s="12">
        <v>191.6</v>
      </c>
      <c r="D837" t="s">
        <v>5877</v>
      </c>
    </row>
    <row r="838" spans="2:4" x14ac:dyDescent="0.35">
      <c r="B838" s="9">
        <v>40650</v>
      </c>
      <c r="C838" s="12">
        <v>188.8</v>
      </c>
      <c r="D838" t="s">
        <v>5877</v>
      </c>
    </row>
    <row r="839" spans="2:4" x14ac:dyDescent="0.35">
      <c r="B839" s="9">
        <v>40651</v>
      </c>
      <c r="C839" s="12">
        <v>173.5</v>
      </c>
      <c r="D839" t="s">
        <v>5877</v>
      </c>
    </row>
    <row r="840" spans="2:4" x14ac:dyDescent="0.35">
      <c r="B840" s="9">
        <v>40652</v>
      </c>
      <c r="C840" s="12">
        <v>127.3</v>
      </c>
      <c r="D840" t="s">
        <v>5877</v>
      </c>
    </row>
    <row r="841" spans="2:4" x14ac:dyDescent="0.35">
      <c r="B841" s="9">
        <v>40653</v>
      </c>
      <c r="C841" s="12">
        <v>101.9</v>
      </c>
      <c r="D841" t="s">
        <v>5877</v>
      </c>
    </row>
    <row r="842" spans="2:4" x14ac:dyDescent="0.35">
      <c r="B842" s="9">
        <v>40654</v>
      </c>
      <c r="C842" s="12">
        <v>108.6</v>
      </c>
      <c r="D842" t="s">
        <v>5877</v>
      </c>
    </row>
    <row r="843" spans="2:4" x14ac:dyDescent="0.35">
      <c r="B843" s="9">
        <v>40655</v>
      </c>
      <c r="C843" s="12">
        <v>152.4</v>
      </c>
      <c r="D843" t="s">
        <v>5877</v>
      </c>
    </row>
    <row r="844" spans="2:4" x14ac:dyDescent="0.35">
      <c r="B844" s="9">
        <v>40656</v>
      </c>
      <c r="C844" s="12">
        <v>151.30000000000001</v>
      </c>
      <c r="D844" t="s">
        <v>5877</v>
      </c>
    </row>
    <row r="845" spans="2:4" x14ac:dyDescent="0.35">
      <c r="B845" s="9">
        <v>40657</v>
      </c>
      <c r="C845" s="12">
        <v>175.1</v>
      </c>
      <c r="D845" t="s">
        <v>5877</v>
      </c>
    </row>
    <row r="846" spans="2:4" x14ac:dyDescent="0.35">
      <c r="B846" s="9">
        <v>40658</v>
      </c>
      <c r="C846" s="12">
        <v>152.1</v>
      </c>
      <c r="D846" t="s">
        <v>5877</v>
      </c>
    </row>
    <row r="847" spans="2:4" x14ac:dyDescent="0.35">
      <c r="B847" s="9">
        <v>40659</v>
      </c>
      <c r="C847" s="12">
        <v>153.69999999999999</v>
      </c>
      <c r="D847" t="s">
        <v>5877</v>
      </c>
    </row>
    <row r="848" spans="2:4" x14ac:dyDescent="0.35">
      <c r="B848" s="9">
        <v>40660</v>
      </c>
      <c r="C848" s="12">
        <v>120.3</v>
      </c>
      <c r="D848" t="s">
        <v>5877</v>
      </c>
    </row>
    <row r="849" spans="2:4" x14ac:dyDescent="0.35">
      <c r="B849" s="9">
        <v>40661</v>
      </c>
      <c r="C849" s="12">
        <v>104.3</v>
      </c>
      <c r="D849" t="s">
        <v>5877</v>
      </c>
    </row>
    <row r="850" spans="2:4" x14ac:dyDescent="0.35">
      <c r="B850" s="9">
        <v>40662</v>
      </c>
      <c r="C850" s="12">
        <v>191</v>
      </c>
      <c r="D850" t="s">
        <v>5877</v>
      </c>
    </row>
    <row r="851" spans="2:4" x14ac:dyDescent="0.35">
      <c r="B851" s="9">
        <v>40663</v>
      </c>
      <c r="C851" s="12">
        <v>178.6</v>
      </c>
      <c r="D851" t="s">
        <v>5877</v>
      </c>
    </row>
    <row r="852" spans="2:4" x14ac:dyDescent="0.35">
      <c r="B852" s="9">
        <v>40664</v>
      </c>
      <c r="C852" s="12">
        <v>135</v>
      </c>
      <c r="D852" t="s">
        <v>5877</v>
      </c>
    </row>
    <row r="853" spans="2:4" x14ac:dyDescent="0.35">
      <c r="B853" s="9">
        <v>40665</v>
      </c>
      <c r="C853" s="12">
        <v>156.80000000000001</v>
      </c>
      <c r="D853" t="s">
        <v>5877</v>
      </c>
    </row>
    <row r="854" spans="2:4" x14ac:dyDescent="0.35">
      <c r="B854" s="9">
        <v>40666</v>
      </c>
      <c r="C854" s="12">
        <v>160</v>
      </c>
      <c r="D854" t="s">
        <v>5877</v>
      </c>
    </row>
    <row r="855" spans="2:4" x14ac:dyDescent="0.35">
      <c r="B855" s="9">
        <v>40667</v>
      </c>
      <c r="C855" s="12">
        <v>127.7</v>
      </c>
      <c r="D855" t="s">
        <v>5877</v>
      </c>
    </row>
    <row r="856" spans="2:4" x14ac:dyDescent="0.35">
      <c r="B856" s="9">
        <v>40668</v>
      </c>
      <c r="C856" s="12">
        <v>100.9</v>
      </c>
      <c r="D856" t="s">
        <v>5877</v>
      </c>
    </row>
    <row r="857" spans="2:4" x14ac:dyDescent="0.35">
      <c r="B857" s="9">
        <v>40669</v>
      </c>
      <c r="C857" s="12">
        <v>83.8</v>
      </c>
      <c r="D857" t="s">
        <v>5877</v>
      </c>
    </row>
    <row r="858" spans="2:4" x14ac:dyDescent="0.35">
      <c r="B858" s="9">
        <v>40670</v>
      </c>
      <c r="C858" s="12">
        <v>71.900000000000006</v>
      </c>
      <c r="D858" t="s">
        <v>5877</v>
      </c>
    </row>
    <row r="859" spans="2:4" x14ac:dyDescent="0.35">
      <c r="B859" s="9">
        <v>40671</v>
      </c>
      <c r="C859" s="12">
        <v>62.9</v>
      </c>
      <c r="D859" t="s">
        <v>5877</v>
      </c>
    </row>
    <row r="860" spans="2:4" x14ac:dyDescent="0.35">
      <c r="B860" s="9">
        <v>40672</v>
      </c>
      <c r="C860" s="12">
        <v>55.7</v>
      </c>
      <c r="D860" t="s">
        <v>5877</v>
      </c>
    </row>
    <row r="861" spans="2:4" x14ac:dyDescent="0.35">
      <c r="B861" s="9">
        <v>40673</v>
      </c>
      <c r="C861" s="12">
        <v>49.8</v>
      </c>
      <c r="D861" t="s">
        <v>5877</v>
      </c>
    </row>
    <row r="862" spans="2:4" x14ac:dyDescent="0.35">
      <c r="B862" s="9">
        <v>40674</v>
      </c>
      <c r="C862" s="12">
        <v>48.6</v>
      </c>
      <c r="D862" t="s">
        <v>5877</v>
      </c>
    </row>
    <row r="863" spans="2:4" x14ac:dyDescent="0.35">
      <c r="B863" s="9">
        <v>40675</v>
      </c>
      <c r="C863" s="12">
        <v>113</v>
      </c>
      <c r="D863" t="s">
        <v>5877</v>
      </c>
    </row>
    <row r="864" spans="2:4" x14ac:dyDescent="0.35">
      <c r="B864" s="9">
        <v>40676</v>
      </c>
      <c r="C864" s="12">
        <v>96.8</v>
      </c>
      <c r="D864" t="s">
        <v>5877</v>
      </c>
    </row>
    <row r="865" spans="2:4" x14ac:dyDescent="0.35">
      <c r="B865" s="9">
        <v>40677</v>
      </c>
      <c r="C865" s="12">
        <v>71.7</v>
      </c>
      <c r="D865" t="s">
        <v>5877</v>
      </c>
    </row>
    <row r="866" spans="2:4" x14ac:dyDescent="0.35">
      <c r="B866" s="9">
        <v>40678</v>
      </c>
      <c r="C866" s="12">
        <v>58.8</v>
      </c>
      <c r="D866" t="s">
        <v>5877</v>
      </c>
    </row>
    <row r="867" spans="2:4" x14ac:dyDescent="0.35">
      <c r="B867" s="9">
        <v>40679</v>
      </c>
      <c r="C867" s="12">
        <v>67.5</v>
      </c>
      <c r="D867" t="s">
        <v>5877</v>
      </c>
    </row>
    <row r="868" spans="2:4" x14ac:dyDescent="0.35">
      <c r="B868" s="9">
        <v>40680</v>
      </c>
      <c r="C868" s="12">
        <v>109.1</v>
      </c>
      <c r="D868" t="s">
        <v>5877</v>
      </c>
    </row>
    <row r="869" spans="2:4" x14ac:dyDescent="0.35">
      <c r="B869" s="9">
        <v>40681</v>
      </c>
      <c r="C869" s="12">
        <v>124.6</v>
      </c>
      <c r="D869" t="s">
        <v>5877</v>
      </c>
    </row>
    <row r="870" spans="2:4" x14ac:dyDescent="0.35">
      <c r="B870" s="9">
        <v>40682</v>
      </c>
      <c r="C870" s="12">
        <v>105.3</v>
      </c>
      <c r="D870" t="s">
        <v>5877</v>
      </c>
    </row>
    <row r="871" spans="2:4" x14ac:dyDescent="0.35">
      <c r="B871" s="9">
        <v>40683</v>
      </c>
      <c r="C871" s="12">
        <v>90.1</v>
      </c>
      <c r="D871" t="s">
        <v>5877</v>
      </c>
    </row>
    <row r="872" spans="2:4" x14ac:dyDescent="0.35">
      <c r="B872" s="9">
        <v>40684</v>
      </c>
      <c r="C872" s="12">
        <v>70.599999999999994</v>
      </c>
      <c r="D872" t="s">
        <v>5877</v>
      </c>
    </row>
    <row r="873" spans="2:4" x14ac:dyDescent="0.35">
      <c r="B873" s="9">
        <v>40685</v>
      </c>
      <c r="C873" s="12">
        <v>58.3</v>
      </c>
      <c r="D873" t="s">
        <v>5877</v>
      </c>
    </row>
    <row r="874" spans="2:4" x14ac:dyDescent="0.35">
      <c r="B874" s="9">
        <v>40686</v>
      </c>
      <c r="C874" s="12">
        <v>49.9</v>
      </c>
      <c r="D874" t="s">
        <v>5877</v>
      </c>
    </row>
    <row r="875" spans="2:4" x14ac:dyDescent="0.35">
      <c r="B875" s="9">
        <v>40687</v>
      </c>
      <c r="C875" s="12">
        <v>43.6</v>
      </c>
      <c r="D875" t="s">
        <v>5877</v>
      </c>
    </row>
    <row r="876" spans="2:4" x14ac:dyDescent="0.35">
      <c r="B876" s="9">
        <v>40688</v>
      </c>
      <c r="C876" s="12">
        <v>38.700000000000003</v>
      </c>
      <c r="D876" t="s">
        <v>5877</v>
      </c>
    </row>
    <row r="877" spans="2:4" x14ac:dyDescent="0.35">
      <c r="B877" s="9">
        <v>40689</v>
      </c>
      <c r="C877" s="12">
        <v>38.1</v>
      </c>
      <c r="D877" t="s">
        <v>5877</v>
      </c>
    </row>
    <row r="878" spans="2:4" x14ac:dyDescent="0.35">
      <c r="B878" s="9">
        <v>40690</v>
      </c>
      <c r="C878" s="12">
        <v>107.2</v>
      </c>
      <c r="D878" t="s">
        <v>5877</v>
      </c>
    </row>
    <row r="879" spans="2:4" x14ac:dyDescent="0.35">
      <c r="B879" s="9">
        <v>40691</v>
      </c>
      <c r="C879" s="12">
        <v>92.9</v>
      </c>
      <c r="D879" t="s">
        <v>5877</v>
      </c>
    </row>
    <row r="880" spans="2:4" x14ac:dyDescent="0.35">
      <c r="B880" s="9">
        <v>40692</v>
      </c>
      <c r="C880" s="12">
        <v>75.599999999999994</v>
      </c>
      <c r="D880" t="s">
        <v>5877</v>
      </c>
    </row>
    <row r="881" spans="2:4" x14ac:dyDescent="0.35">
      <c r="B881" s="9">
        <v>40693</v>
      </c>
      <c r="C881" s="12">
        <v>80</v>
      </c>
      <c r="D881" t="s">
        <v>5877</v>
      </c>
    </row>
    <row r="882" spans="2:4" x14ac:dyDescent="0.35">
      <c r="B882" s="9">
        <v>40694</v>
      </c>
      <c r="C882" s="12">
        <v>64.900000000000006</v>
      </c>
      <c r="D882" t="s">
        <v>5877</v>
      </c>
    </row>
    <row r="883" spans="2:4" x14ac:dyDescent="0.35">
      <c r="B883" s="9">
        <v>40695</v>
      </c>
      <c r="C883" s="12">
        <v>53.9</v>
      </c>
      <c r="D883" t="s">
        <v>5877</v>
      </c>
    </row>
    <row r="884" spans="2:4" x14ac:dyDescent="0.35">
      <c r="B884" s="9">
        <v>40696</v>
      </c>
      <c r="C884" s="12">
        <v>55.5</v>
      </c>
      <c r="D884" t="s">
        <v>5877</v>
      </c>
    </row>
    <row r="885" spans="2:4" x14ac:dyDescent="0.35">
      <c r="B885" s="9">
        <v>40697</v>
      </c>
      <c r="C885" s="12">
        <v>49.4</v>
      </c>
      <c r="D885" t="s">
        <v>5877</v>
      </c>
    </row>
    <row r="886" spans="2:4" x14ac:dyDescent="0.35">
      <c r="B886" s="9">
        <v>40698</v>
      </c>
      <c r="C886" s="12">
        <v>44.1</v>
      </c>
      <c r="D886" t="s">
        <v>5877</v>
      </c>
    </row>
    <row r="887" spans="2:4" x14ac:dyDescent="0.35">
      <c r="B887" s="9">
        <v>40699</v>
      </c>
      <c r="C887" s="12">
        <v>39.4</v>
      </c>
      <c r="D887" t="s">
        <v>5877</v>
      </c>
    </row>
    <row r="888" spans="2:4" x14ac:dyDescent="0.35">
      <c r="B888" s="9">
        <v>40700</v>
      </c>
      <c r="C888" s="12">
        <v>35.299999999999997</v>
      </c>
      <c r="D888" t="s">
        <v>5877</v>
      </c>
    </row>
    <row r="889" spans="2:4" x14ac:dyDescent="0.35">
      <c r="B889" s="9">
        <v>40701</v>
      </c>
      <c r="C889" s="12">
        <v>31.6</v>
      </c>
      <c r="D889" t="s">
        <v>5877</v>
      </c>
    </row>
    <row r="890" spans="2:4" x14ac:dyDescent="0.35">
      <c r="B890" s="9">
        <v>40702</v>
      </c>
      <c r="C890" s="12">
        <v>28.4</v>
      </c>
      <c r="D890" t="s">
        <v>5877</v>
      </c>
    </row>
    <row r="891" spans="2:4" x14ac:dyDescent="0.35">
      <c r="B891" s="9">
        <v>40703</v>
      </c>
      <c r="C891" s="12">
        <v>26.6</v>
      </c>
      <c r="D891" t="s">
        <v>5877</v>
      </c>
    </row>
    <row r="892" spans="2:4" x14ac:dyDescent="0.35">
      <c r="B892" s="9">
        <v>40704</v>
      </c>
      <c r="C892" s="12">
        <v>49.4</v>
      </c>
      <c r="D892" t="s">
        <v>5877</v>
      </c>
    </row>
    <row r="893" spans="2:4" x14ac:dyDescent="0.35">
      <c r="B893" s="9">
        <v>40705</v>
      </c>
      <c r="C893" s="12">
        <v>78.400000000000006</v>
      </c>
      <c r="D893" t="s">
        <v>5877</v>
      </c>
    </row>
    <row r="894" spans="2:4" x14ac:dyDescent="0.35">
      <c r="B894" s="9">
        <v>40706</v>
      </c>
      <c r="C894" s="12">
        <v>63.2</v>
      </c>
      <c r="D894" t="s">
        <v>5877</v>
      </c>
    </row>
    <row r="895" spans="2:4" x14ac:dyDescent="0.35">
      <c r="B895" s="9">
        <v>40707</v>
      </c>
      <c r="C895" s="12">
        <v>44.6</v>
      </c>
      <c r="D895" t="s">
        <v>5877</v>
      </c>
    </row>
    <row r="896" spans="2:4" x14ac:dyDescent="0.35">
      <c r="B896" s="9">
        <v>40708</v>
      </c>
      <c r="C896" s="12">
        <v>34.1</v>
      </c>
      <c r="D896" t="s">
        <v>5877</v>
      </c>
    </row>
    <row r="897" spans="2:4" x14ac:dyDescent="0.35">
      <c r="B897" s="9">
        <v>40709</v>
      </c>
      <c r="C897" s="12">
        <v>27.8</v>
      </c>
      <c r="D897" t="s">
        <v>5877</v>
      </c>
    </row>
    <row r="898" spans="2:4" x14ac:dyDescent="0.35">
      <c r="B898" s="9">
        <v>40710</v>
      </c>
      <c r="C898" s="12">
        <v>23.8</v>
      </c>
      <c r="D898" t="s">
        <v>5877</v>
      </c>
    </row>
    <row r="899" spans="2:4" x14ac:dyDescent="0.35">
      <c r="B899" s="9">
        <v>40711</v>
      </c>
      <c r="C899" s="12">
        <v>20.7</v>
      </c>
      <c r="D899" t="s">
        <v>5877</v>
      </c>
    </row>
    <row r="900" spans="2:4" x14ac:dyDescent="0.35">
      <c r="B900" s="9">
        <v>40712</v>
      </c>
      <c r="C900" s="12">
        <v>18.3</v>
      </c>
      <c r="D900" t="s">
        <v>5877</v>
      </c>
    </row>
    <row r="901" spans="2:4" x14ac:dyDescent="0.35">
      <c r="B901" s="9">
        <v>40713</v>
      </c>
      <c r="C901" s="12">
        <v>16.3</v>
      </c>
      <c r="D901" t="s">
        <v>5877</v>
      </c>
    </row>
    <row r="902" spans="2:4" x14ac:dyDescent="0.35">
      <c r="B902" s="9">
        <v>40714</v>
      </c>
      <c r="C902" s="12">
        <v>14.5</v>
      </c>
      <c r="D902" t="s">
        <v>5877</v>
      </c>
    </row>
    <row r="903" spans="2:4" x14ac:dyDescent="0.35">
      <c r="B903" s="9">
        <v>40715</v>
      </c>
      <c r="C903" s="12">
        <v>13</v>
      </c>
      <c r="D903" t="s">
        <v>5877</v>
      </c>
    </row>
    <row r="904" spans="2:4" x14ac:dyDescent="0.35">
      <c r="B904" s="9">
        <v>40716</v>
      </c>
      <c r="C904" s="12">
        <v>11.7</v>
      </c>
      <c r="D904" t="s">
        <v>5877</v>
      </c>
    </row>
    <row r="905" spans="2:4" x14ac:dyDescent="0.35">
      <c r="B905" s="9">
        <v>40717</v>
      </c>
      <c r="C905" s="12">
        <v>11.5</v>
      </c>
      <c r="D905" t="s">
        <v>5877</v>
      </c>
    </row>
    <row r="906" spans="2:4" x14ac:dyDescent="0.35">
      <c r="B906" s="9">
        <v>40718</v>
      </c>
      <c r="C906" s="12">
        <v>12.6</v>
      </c>
      <c r="D906" t="s">
        <v>5877</v>
      </c>
    </row>
    <row r="907" spans="2:4" x14ac:dyDescent="0.35">
      <c r="B907" s="9">
        <v>40719</v>
      </c>
      <c r="C907" s="12">
        <v>12.3</v>
      </c>
      <c r="D907" t="s">
        <v>5877</v>
      </c>
    </row>
    <row r="908" spans="2:4" x14ac:dyDescent="0.35">
      <c r="B908" s="9">
        <v>40720</v>
      </c>
      <c r="C908" s="12">
        <v>22.3</v>
      </c>
      <c r="D908" t="s">
        <v>5877</v>
      </c>
    </row>
    <row r="909" spans="2:4" x14ac:dyDescent="0.35">
      <c r="B909" s="9">
        <v>40721</v>
      </c>
      <c r="C909" s="12">
        <v>17.399999999999999</v>
      </c>
      <c r="D909" t="s">
        <v>5877</v>
      </c>
    </row>
    <row r="910" spans="2:4" x14ac:dyDescent="0.35">
      <c r="B910" s="9">
        <v>40722</v>
      </c>
      <c r="C910" s="12">
        <v>12.5</v>
      </c>
      <c r="D910" t="s">
        <v>5877</v>
      </c>
    </row>
    <row r="911" spans="2:4" x14ac:dyDescent="0.35">
      <c r="B911" s="9">
        <v>40723</v>
      </c>
      <c r="C911" s="12">
        <v>9.6999999999999993</v>
      </c>
      <c r="D911" t="s">
        <v>5877</v>
      </c>
    </row>
    <row r="912" spans="2:4" x14ac:dyDescent="0.35">
      <c r="B912" s="9">
        <v>40724</v>
      </c>
      <c r="C912" s="12">
        <v>8</v>
      </c>
      <c r="D912" t="s">
        <v>5877</v>
      </c>
    </row>
    <row r="913" spans="2:4" x14ac:dyDescent="0.35">
      <c r="B913" s="9">
        <v>40725</v>
      </c>
      <c r="C913" s="12">
        <v>6.8</v>
      </c>
      <c r="D913" t="s">
        <v>5877</v>
      </c>
    </row>
    <row r="914" spans="2:4" x14ac:dyDescent="0.35">
      <c r="B914" s="9">
        <v>40726</v>
      </c>
      <c r="C914" s="12">
        <v>5.9</v>
      </c>
      <c r="D914" t="s">
        <v>5877</v>
      </c>
    </row>
    <row r="915" spans="2:4" x14ac:dyDescent="0.35">
      <c r="B915" s="9">
        <v>40727</v>
      </c>
      <c r="C915" s="12">
        <v>5.4</v>
      </c>
      <c r="D915" t="s">
        <v>5877</v>
      </c>
    </row>
    <row r="916" spans="2:4" x14ac:dyDescent="0.35">
      <c r="B916" s="9">
        <v>40728</v>
      </c>
      <c r="C916" s="12">
        <v>10.4</v>
      </c>
      <c r="D916" t="s">
        <v>5877</v>
      </c>
    </row>
    <row r="917" spans="2:4" x14ac:dyDescent="0.35">
      <c r="B917" s="9">
        <v>40729</v>
      </c>
      <c r="C917" s="12">
        <v>8.4</v>
      </c>
      <c r="D917" t="s">
        <v>5877</v>
      </c>
    </row>
    <row r="918" spans="2:4" x14ac:dyDescent="0.35">
      <c r="B918" s="9">
        <v>40730</v>
      </c>
      <c r="C918" s="12">
        <v>6.2</v>
      </c>
      <c r="D918" t="s">
        <v>5877</v>
      </c>
    </row>
    <row r="919" spans="2:4" x14ac:dyDescent="0.35">
      <c r="B919" s="9">
        <v>40731</v>
      </c>
      <c r="C919" s="12">
        <v>4.8</v>
      </c>
      <c r="D919" t="s">
        <v>5877</v>
      </c>
    </row>
    <row r="920" spans="2:4" x14ac:dyDescent="0.35">
      <c r="B920" s="9">
        <v>40732</v>
      </c>
      <c r="C920" s="12">
        <v>3.9</v>
      </c>
      <c r="D920" t="s">
        <v>5877</v>
      </c>
    </row>
    <row r="921" spans="2:4" x14ac:dyDescent="0.35">
      <c r="B921" s="9">
        <v>40733</v>
      </c>
      <c r="C921" s="12">
        <v>3.3</v>
      </c>
      <c r="D921" t="s">
        <v>5877</v>
      </c>
    </row>
    <row r="922" spans="2:4" x14ac:dyDescent="0.35">
      <c r="B922" s="9">
        <v>40734</v>
      </c>
      <c r="C922" s="12">
        <v>2.8</v>
      </c>
      <c r="D922" t="s">
        <v>5877</v>
      </c>
    </row>
    <row r="923" spans="2:4" x14ac:dyDescent="0.35">
      <c r="B923" s="9">
        <v>40735</v>
      </c>
      <c r="C923" s="12">
        <v>2.5</v>
      </c>
      <c r="D923" t="s">
        <v>5877</v>
      </c>
    </row>
    <row r="924" spans="2:4" x14ac:dyDescent="0.35">
      <c r="B924" s="9">
        <v>40736</v>
      </c>
      <c r="C924" s="12">
        <v>2.2000000000000002</v>
      </c>
      <c r="D924" t="s">
        <v>5877</v>
      </c>
    </row>
    <row r="925" spans="2:4" x14ac:dyDescent="0.35">
      <c r="B925" s="9">
        <v>40737</v>
      </c>
      <c r="C925" s="12">
        <v>2</v>
      </c>
      <c r="D925" t="s">
        <v>5877</v>
      </c>
    </row>
    <row r="926" spans="2:4" x14ac:dyDescent="0.35">
      <c r="B926" s="9">
        <v>40738</v>
      </c>
      <c r="C926" s="12">
        <v>1.8</v>
      </c>
      <c r="D926" t="s">
        <v>5877</v>
      </c>
    </row>
    <row r="927" spans="2:4" x14ac:dyDescent="0.35">
      <c r="B927" s="9">
        <v>40739</v>
      </c>
      <c r="C927" s="12">
        <v>1.6</v>
      </c>
      <c r="D927" t="s">
        <v>5877</v>
      </c>
    </row>
    <row r="928" spans="2:4" x14ac:dyDescent="0.35">
      <c r="B928" s="9">
        <v>40740</v>
      </c>
      <c r="C928" s="12">
        <v>1.4</v>
      </c>
      <c r="D928" t="s">
        <v>5877</v>
      </c>
    </row>
    <row r="929" spans="2:4" x14ac:dyDescent="0.35">
      <c r="B929" s="9">
        <v>40741</v>
      </c>
      <c r="C929" s="12">
        <v>1.3</v>
      </c>
      <c r="D929" t="s">
        <v>5877</v>
      </c>
    </row>
    <row r="930" spans="2:4" x14ac:dyDescent="0.35">
      <c r="B930" s="9">
        <v>40742</v>
      </c>
      <c r="C930" s="12">
        <v>1.1000000000000001</v>
      </c>
      <c r="D930" t="s">
        <v>5877</v>
      </c>
    </row>
    <row r="931" spans="2:4" x14ac:dyDescent="0.35">
      <c r="B931" s="9">
        <v>40743</v>
      </c>
      <c r="C931" s="12">
        <v>1</v>
      </c>
      <c r="D931" t="s">
        <v>5877</v>
      </c>
    </row>
    <row r="932" spans="2:4" x14ac:dyDescent="0.35">
      <c r="B932" s="9">
        <v>40744</v>
      </c>
      <c r="C932" s="12">
        <v>1.1000000000000001</v>
      </c>
      <c r="D932" t="s">
        <v>5877</v>
      </c>
    </row>
    <row r="933" spans="2:4" x14ac:dyDescent="0.35">
      <c r="B933" s="9">
        <v>40745</v>
      </c>
      <c r="C933" s="12">
        <v>1.1000000000000001</v>
      </c>
      <c r="D933" t="s">
        <v>5877</v>
      </c>
    </row>
    <row r="934" spans="2:4" x14ac:dyDescent="0.35">
      <c r="B934" s="9">
        <v>40746</v>
      </c>
      <c r="C934" s="12">
        <v>4</v>
      </c>
      <c r="D934" t="s">
        <v>5877</v>
      </c>
    </row>
    <row r="935" spans="2:4" x14ac:dyDescent="0.35">
      <c r="B935" s="9">
        <v>40747</v>
      </c>
      <c r="C935" s="12">
        <v>3.1</v>
      </c>
      <c r="D935" t="s">
        <v>5877</v>
      </c>
    </row>
    <row r="936" spans="2:4" x14ac:dyDescent="0.35">
      <c r="B936" s="9">
        <v>40748</v>
      </c>
      <c r="C936" s="12">
        <v>2.2999999999999998</v>
      </c>
      <c r="D936" t="s">
        <v>5877</v>
      </c>
    </row>
    <row r="937" spans="2:4" x14ac:dyDescent="0.35">
      <c r="B937" s="9">
        <v>40749</v>
      </c>
      <c r="C937" s="12">
        <v>3</v>
      </c>
      <c r="D937" t="s">
        <v>5877</v>
      </c>
    </row>
    <row r="938" spans="2:4" x14ac:dyDescent="0.35">
      <c r="B938" s="9">
        <v>40750</v>
      </c>
      <c r="C938" s="12">
        <v>2.5</v>
      </c>
      <c r="D938" t="s">
        <v>5877</v>
      </c>
    </row>
    <row r="939" spans="2:4" x14ac:dyDescent="0.35">
      <c r="B939" s="9">
        <v>40751</v>
      </c>
      <c r="C939" s="12">
        <v>2.2000000000000002</v>
      </c>
      <c r="D939" t="s">
        <v>5877</v>
      </c>
    </row>
    <row r="940" spans="2:4" x14ac:dyDescent="0.35">
      <c r="B940" s="9">
        <v>40752</v>
      </c>
      <c r="C940" s="12">
        <v>10.7</v>
      </c>
      <c r="D940" t="s">
        <v>5877</v>
      </c>
    </row>
    <row r="941" spans="2:4" x14ac:dyDescent="0.35">
      <c r="B941" s="9">
        <v>40753</v>
      </c>
      <c r="C941" s="12">
        <v>32.299999999999997</v>
      </c>
      <c r="D941" t="s">
        <v>5877</v>
      </c>
    </row>
    <row r="942" spans="2:4" x14ac:dyDescent="0.35">
      <c r="B942" s="9">
        <v>40754</v>
      </c>
      <c r="C942" s="12">
        <v>24.4</v>
      </c>
      <c r="D942" t="s">
        <v>5877</v>
      </c>
    </row>
    <row r="943" spans="2:4" x14ac:dyDescent="0.35">
      <c r="B943" s="9">
        <v>40755</v>
      </c>
      <c r="C943" s="12">
        <v>21.5</v>
      </c>
      <c r="D943" t="s">
        <v>5877</v>
      </c>
    </row>
    <row r="944" spans="2:4" x14ac:dyDescent="0.35">
      <c r="B944" s="9">
        <v>40756</v>
      </c>
      <c r="C944" s="12">
        <v>17.600000000000001</v>
      </c>
      <c r="D944" t="s">
        <v>5877</v>
      </c>
    </row>
    <row r="945" spans="2:4" x14ac:dyDescent="0.35">
      <c r="B945" s="9">
        <v>40757</v>
      </c>
      <c r="C945" s="12">
        <v>15</v>
      </c>
      <c r="D945" t="s">
        <v>5877</v>
      </c>
    </row>
    <row r="946" spans="2:4" x14ac:dyDescent="0.35">
      <c r="B946" s="9">
        <v>40758</v>
      </c>
      <c r="C946" s="12">
        <v>13.1</v>
      </c>
      <c r="D946" t="s">
        <v>5877</v>
      </c>
    </row>
    <row r="947" spans="2:4" x14ac:dyDescent="0.35">
      <c r="B947" s="9">
        <v>40759</v>
      </c>
      <c r="C947" s="12">
        <v>11.6</v>
      </c>
      <c r="D947" t="s">
        <v>5877</v>
      </c>
    </row>
    <row r="948" spans="2:4" x14ac:dyDescent="0.35">
      <c r="B948" s="9">
        <v>40760</v>
      </c>
      <c r="C948" s="12">
        <v>11.3</v>
      </c>
      <c r="D948" t="s">
        <v>5877</v>
      </c>
    </row>
    <row r="949" spans="2:4" x14ac:dyDescent="0.35">
      <c r="B949" s="9">
        <v>40761</v>
      </c>
      <c r="C949" s="12">
        <v>17.7</v>
      </c>
      <c r="D949" t="s">
        <v>5877</v>
      </c>
    </row>
    <row r="950" spans="2:4" x14ac:dyDescent="0.35">
      <c r="B950" s="9">
        <v>40762</v>
      </c>
      <c r="C950" s="12">
        <v>20.7</v>
      </c>
      <c r="D950" t="s">
        <v>5877</v>
      </c>
    </row>
    <row r="951" spans="2:4" x14ac:dyDescent="0.35">
      <c r="B951" s="9">
        <v>40763</v>
      </c>
      <c r="C951" s="12">
        <v>53.7</v>
      </c>
      <c r="D951" t="s">
        <v>5877</v>
      </c>
    </row>
    <row r="952" spans="2:4" x14ac:dyDescent="0.35">
      <c r="B952" s="9">
        <v>40764</v>
      </c>
      <c r="C952" s="12">
        <v>43</v>
      </c>
      <c r="D952" t="s">
        <v>5877</v>
      </c>
    </row>
    <row r="953" spans="2:4" x14ac:dyDescent="0.35">
      <c r="B953" s="9">
        <v>40765</v>
      </c>
      <c r="C953" s="12">
        <v>32.799999999999997</v>
      </c>
      <c r="D953" t="s">
        <v>5877</v>
      </c>
    </row>
    <row r="954" spans="2:4" x14ac:dyDescent="0.35">
      <c r="B954" s="9">
        <v>40766</v>
      </c>
      <c r="C954" s="12">
        <v>31.3</v>
      </c>
      <c r="D954" t="s">
        <v>5877</v>
      </c>
    </row>
    <row r="955" spans="2:4" x14ac:dyDescent="0.35">
      <c r="B955" s="9">
        <v>40767</v>
      </c>
      <c r="C955" s="12">
        <v>26.5</v>
      </c>
      <c r="D955" t="s">
        <v>5877</v>
      </c>
    </row>
    <row r="956" spans="2:4" x14ac:dyDescent="0.35">
      <c r="B956" s="9">
        <v>40768</v>
      </c>
      <c r="C956" s="12">
        <v>23.8</v>
      </c>
      <c r="D956" t="s">
        <v>5877</v>
      </c>
    </row>
    <row r="957" spans="2:4" x14ac:dyDescent="0.35">
      <c r="B957" s="9">
        <v>40769</v>
      </c>
      <c r="C957" s="12">
        <v>21.4</v>
      </c>
      <c r="D957" t="s">
        <v>5877</v>
      </c>
    </row>
    <row r="958" spans="2:4" x14ac:dyDescent="0.35">
      <c r="B958" s="9">
        <v>40770</v>
      </c>
      <c r="C958" s="12">
        <v>20</v>
      </c>
      <c r="D958" t="s">
        <v>5877</v>
      </c>
    </row>
    <row r="959" spans="2:4" x14ac:dyDescent="0.35">
      <c r="B959" s="9">
        <v>40771</v>
      </c>
      <c r="C959" s="12">
        <v>39.799999999999997</v>
      </c>
      <c r="D959" t="s">
        <v>5877</v>
      </c>
    </row>
    <row r="960" spans="2:4" x14ac:dyDescent="0.35">
      <c r="B960" s="9">
        <v>40772</v>
      </c>
      <c r="C960" s="12">
        <v>80</v>
      </c>
      <c r="D960" t="s">
        <v>5877</v>
      </c>
    </row>
    <row r="961" spans="2:4" x14ac:dyDescent="0.35">
      <c r="B961" s="9">
        <v>40773</v>
      </c>
      <c r="C961" s="12">
        <v>61.1</v>
      </c>
      <c r="D961" t="s">
        <v>5877</v>
      </c>
    </row>
    <row r="962" spans="2:4" x14ac:dyDescent="0.35">
      <c r="B962" s="9">
        <v>40774</v>
      </c>
      <c r="C962" s="12">
        <v>44.7</v>
      </c>
      <c r="D962" t="s">
        <v>5877</v>
      </c>
    </row>
    <row r="963" spans="2:4" x14ac:dyDescent="0.35">
      <c r="B963" s="9">
        <v>40775</v>
      </c>
      <c r="C963" s="12">
        <v>35.200000000000003</v>
      </c>
      <c r="D963" t="s">
        <v>5877</v>
      </c>
    </row>
    <row r="964" spans="2:4" x14ac:dyDescent="0.35">
      <c r="B964" s="9">
        <v>40776</v>
      </c>
      <c r="C964" s="12">
        <v>28.9</v>
      </c>
      <c r="D964" t="s">
        <v>5877</v>
      </c>
    </row>
    <row r="965" spans="2:4" x14ac:dyDescent="0.35">
      <c r="B965" s="9">
        <v>40777</v>
      </c>
      <c r="C965" s="12">
        <v>24.8</v>
      </c>
      <c r="D965" t="s">
        <v>5877</v>
      </c>
    </row>
    <row r="966" spans="2:4" x14ac:dyDescent="0.35">
      <c r="B966" s="9">
        <v>40778</v>
      </c>
      <c r="C966" s="12">
        <v>22.1</v>
      </c>
      <c r="D966" t="s">
        <v>5877</v>
      </c>
    </row>
    <row r="967" spans="2:4" x14ac:dyDescent="0.35">
      <c r="B967" s="9">
        <v>40779</v>
      </c>
      <c r="C967" s="12">
        <v>28</v>
      </c>
      <c r="D967" t="s">
        <v>5877</v>
      </c>
    </row>
    <row r="968" spans="2:4" x14ac:dyDescent="0.35">
      <c r="B968" s="9">
        <v>40780</v>
      </c>
      <c r="C968" s="12">
        <v>52.9</v>
      </c>
      <c r="D968" t="s">
        <v>5877</v>
      </c>
    </row>
    <row r="969" spans="2:4" x14ac:dyDescent="0.35">
      <c r="B969" s="9">
        <v>40781</v>
      </c>
      <c r="C969" s="12">
        <v>56.6</v>
      </c>
      <c r="D969" t="s">
        <v>5877</v>
      </c>
    </row>
    <row r="970" spans="2:4" x14ac:dyDescent="0.35">
      <c r="B970" s="9">
        <v>40782</v>
      </c>
      <c r="C970" s="12">
        <v>40.799999999999997</v>
      </c>
      <c r="D970" t="s">
        <v>5877</v>
      </c>
    </row>
    <row r="971" spans="2:4" x14ac:dyDescent="0.35">
      <c r="B971" s="9">
        <v>40783</v>
      </c>
      <c r="C971" s="12">
        <v>32.6</v>
      </c>
      <c r="D971" t="s">
        <v>5877</v>
      </c>
    </row>
    <row r="972" spans="2:4" x14ac:dyDescent="0.35">
      <c r="B972" s="9">
        <v>40784</v>
      </c>
      <c r="C972" s="12">
        <v>76.3</v>
      </c>
      <c r="D972" t="s">
        <v>5877</v>
      </c>
    </row>
    <row r="973" spans="2:4" x14ac:dyDescent="0.35">
      <c r="B973" s="9">
        <v>40785</v>
      </c>
      <c r="C973" s="12">
        <v>61.6</v>
      </c>
      <c r="D973" t="s">
        <v>5877</v>
      </c>
    </row>
    <row r="974" spans="2:4" x14ac:dyDescent="0.35">
      <c r="B974" s="9">
        <v>40786</v>
      </c>
      <c r="C974" s="12">
        <v>45.3</v>
      </c>
      <c r="D974" t="s">
        <v>5877</v>
      </c>
    </row>
    <row r="975" spans="2:4" x14ac:dyDescent="0.35">
      <c r="B975" s="9">
        <v>40787</v>
      </c>
      <c r="C975" s="12">
        <v>46.7</v>
      </c>
      <c r="D975" t="s">
        <v>5877</v>
      </c>
    </row>
    <row r="976" spans="2:4" x14ac:dyDescent="0.35">
      <c r="B976" s="9">
        <v>40788</v>
      </c>
      <c r="C976" s="12">
        <v>70.900000000000006</v>
      </c>
      <c r="D976" t="s">
        <v>5877</v>
      </c>
    </row>
    <row r="977" spans="2:4" x14ac:dyDescent="0.35">
      <c r="B977" s="9">
        <v>40789</v>
      </c>
      <c r="C977" s="12">
        <v>57.3</v>
      </c>
      <c r="D977" t="s">
        <v>5877</v>
      </c>
    </row>
    <row r="978" spans="2:4" x14ac:dyDescent="0.35">
      <c r="B978" s="9">
        <v>40790</v>
      </c>
      <c r="C978" s="12">
        <v>58.4</v>
      </c>
      <c r="D978" t="s">
        <v>5877</v>
      </c>
    </row>
    <row r="979" spans="2:4" x14ac:dyDescent="0.35">
      <c r="B979" s="9">
        <v>40791</v>
      </c>
      <c r="C979" s="12">
        <v>54.7</v>
      </c>
      <c r="D979" t="s">
        <v>5877</v>
      </c>
    </row>
    <row r="980" spans="2:4" x14ac:dyDescent="0.35">
      <c r="B980" s="9">
        <v>40792</v>
      </c>
      <c r="C980" s="12">
        <v>53.2</v>
      </c>
      <c r="D980" t="s">
        <v>5877</v>
      </c>
    </row>
    <row r="981" spans="2:4" x14ac:dyDescent="0.35">
      <c r="B981" s="9">
        <v>40793</v>
      </c>
      <c r="C981" s="12">
        <v>42</v>
      </c>
      <c r="D981" t="s">
        <v>5877</v>
      </c>
    </row>
    <row r="982" spans="2:4" x14ac:dyDescent="0.35">
      <c r="B982" s="9">
        <v>40794</v>
      </c>
      <c r="C982" s="12">
        <v>38.700000000000003</v>
      </c>
      <c r="D982" t="s">
        <v>5877</v>
      </c>
    </row>
    <row r="983" spans="2:4" x14ac:dyDescent="0.35">
      <c r="B983" s="9">
        <v>40795</v>
      </c>
      <c r="C983" s="12">
        <v>36.200000000000003</v>
      </c>
      <c r="D983" t="s">
        <v>5877</v>
      </c>
    </row>
    <row r="984" spans="2:4" x14ac:dyDescent="0.35">
      <c r="B984" s="9">
        <v>40796</v>
      </c>
      <c r="C984" s="12">
        <v>34.5</v>
      </c>
      <c r="D984" t="s">
        <v>5877</v>
      </c>
    </row>
    <row r="985" spans="2:4" x14ac:dyDescent="0.35">
      <c r="B985" s="9">
        <v>40797</v>
      </c>
      <c r="C985" s="12">
        <v>38</v>
      </c>
      <c r="D985" t="s">
        <v>5877</v>
      </c>
    </row>
    <row r="986" spans="2:4" x14ac:dyDescent="0.35">
      <c r="B986" s="9">
        <v>40798</v>
      </c>
      <c r="C986" s="12">
        <v>72.599999999999994</v>
      </c>
      <c r="D986" t="s">
        <v>5877</v>
      </c>
    </row>
    <row r="987" spans="2:4" x14ac:dyDescent="0.35">
      <c r="B987" s="9">
        <v>40799</v>
      </c>
      <c r="C987" s="12">
        <v>109.5</v>
      </c>
      <c r="D987" t="s">
        <v>5877</v>
      </c>
    </row>
    <row r="988" spans="2:4" x14ac:dyDescent="0.35">
      <c r="B988" s="9">
        <v>40800</v>
      </c>
      <c r="C988" s="12">
        <v>82.1</v>
      </c>
      <c r="D988" t="s">
        <v>5877</v>
      </c>
    </row>
    <row r="989" spans="2:4" x14ac:dyDescent="0.35">
      <c r="B989" s="9">
        <v>40801</v>
      </c>
      <c r="C989" s="12">
        <v>69</v>
      </c>
      <c r="D989" t="s">
        <v>5877</v>
      </c>
    </row>
    <row r="990" spans="2:4" x14ac:dyDescent="0.35">
      <c r="B990" s="9">
        <v>40802</v>
      </c>
      <c r="C990" s="12">
        <v>83.1</v>
      </c>
      <c r="D990" t="s">
        <v>5877</v>
      </c>
    </row>
    <row r="991" spans="2:4" x14ac:dyDescent="0.35">
      <c r="B991" s="9">
        <v>40803</v>
      </c>
      <c r="C991" s="12">
        <v>63.6</v>
      </c>
      <c r="D991" t="s">
        <v>5877</v>
      </c>
    </row>
    <row r="992" spans="2:4" x14ac:dyDescent="0.35">
      <c r="B992" s="9">
        <v>40804</v>
      </c>
      <c r="C992" s="12">
        <v>65.400000000000006</v>
      </c>
      <c r="D992" t="s">
        <v>5877</v>
      </c>
    </row>
    <row r="993" spans="2:4" x14ac:dyDescent="0.35">
      <c r="B993" s="9">
        <v>40805</v>
      </c>
      <c r="C993" s="12">
        <v>72.900000000000006</v>
      </c>
      <c r="D993" t="s">
        <v>5877</v>
      </c>
    </row>
    <row r="994" spans="2:4" x14ac:dyDescent="0.35">
      <c r="B994" s="9">
        <v>40806</v>
      </c>
      <c r="C994" s="12">
        <v>72.8</v>
      </c>
      <c r="D994" t="s">
        <v>5877</v>
      </c>
    </row>
    <row r="995" spans="2:4" x14ac:dyDescent="0.35">
      <c r="B995" s="9">
        <v>40807</v>
      </c>
      <c r="C995" s="12">
        <v>119.8</v>
      </c>
      <c r="D995" t="s">
        <v>5877</v>
      </c>
    </row>
    <row r="996" spans="2:4" x14ac:dyDescent="0.35">
      <c r="B996" s="9">
        <v>40808</v>
      </c>
      <c r="C996" s="12">
        <v>101.7</v>
      </c>
      <c r="D996" t="s">
        <v>5877</v>
      </c>
    </row>
    <row r="997" spans="2:4" x14ac:dyDescent="0.35">
      <c r="B997" s="9">
        <v>40809</v>
      </c>
      <c r="C997" s="12">
        <v>84.7</v>
      </c>
      <c r="D997" t="s">
        <v>5877</v>
      </c>
    </row>
    <row r="998" spans="2:4" x14ac:dyDescent="0.35">
      <c r="B998" s="9">
        <v>40810</v>
      </c>
      <c r="C998" s="12">
        <v>66.900000000000006</v>
      </c>
      <c r="D998" t="s">
        <v>5877</v>
      </c>
    </row>
    <row r="999" spans="2:4" x14ac:dyDescent="0.35">
      <c r="B999" s="9">
        <v>40811</v>
      </c>
      <c r="C999" s="12">
        <v>115.4</v>
      </c>
      <c r="D999" t="s">
        <v>5877</v>
      </c>
    </row>
    <row r="1000" spans="2:4" x14ac:dyDescent="0.35">
      <c r="B1000" s="9">
        <v>40812</v>
      </c>
      <c r="C1000" s="12">
        <v>110.6</v>
      </c>
      <c r="D1000" t="s">
        <v>5877</v>
      </c>
    </row>
    <row r="1001" spans="2:4" x14ac:dyDescent="0.35">
      <c r="B1001" s="9">
        <v>40813</v>
      </c>
      <c r="C1001" s="12">
        <v>85.4</v>
      </c>
      <c r="D1001" t="s">
        <v>5877</v>
      </c>
    </row>
    <row r="1002" spans="2:4" x14ac:dyDescent="0.35">
      <c r="B1002" s="9">
        <v>40814</v>
      </c>
      <c r="C1002" s="12">
        <v>97.4</v>
      </c>
      <c r="D1002" t="s">
        <v>5877</v>
      </c>
    </row>
    <row r="1003" spans="2:4" x14ac:dyDescent="0.35">
      <c r="B1003" s="9">
        <v>40815</v>
      </c>
      <c r="C1003" s="12">
        <v>96.7</v>
      </c>
      <c r="D1003" t="s">
        <v>5877</v>
      </c>
    </row>
    <row r="1004" spans="2:4" x14ac:dyDescent="0.35">
      <c r="B1004" s="9">
        <v>40816</v>
      </c>
      <c r="C1004" s="12">
        <v>80.099999999999994</v>
      </c>
      <c r="D1004" t="s">
        <v>5877</v>
      </c>
    </row>
    <row r="1005" spans="2:4" x14ac:dyDescent="0.35">
      <c r="B1005" s="9">
        <v>40817</v>
      </c>
      <c r="C1005" s="12">
        <v>97.1</v>
      </c>
      <c r="D1005" t="s">
        <v>5877</v>
      </c>
    </row>
    <row r="1006" spans="2:4" x14ac:dyDescent="0.35">
      <c r="B1006" s="9">
        <v>40818</v>
      </c>
      <c r="C1006" s="12">
        <v>108.1</v>
      </c>
      <c r="D1006" t="s">
        <v>5877</v>
      </c>
    </row>
    <row r="1007" spans="2:4" x14ac:dyDescent="0.35">
      <c r="B1007" s="9">
        <v>40819</v>
      </c>
      <c r="C1007" s="12">
        <v>120.5</v>
      </c>
      <c r="D1007" t="s">
        <v>5877</v>
      </c>
    </row>
    <row r="1008" spans="2:4" x14ac:dyDescent="0.35">
      <c r="B1008" s="9">
        <v>40820</v>
      </c>
      <c r="C1008" s="12">
        <v>108.6</v>
      </c>
      <c r="D1008" t="s">
        <v>5877</v>
      </c>
    </row>
    <row r="1009" spans="2:4" x14ac:dyDescent="0.35">
      <c r="B1009" s="9">
        <v>40821</v>
      </c>
      <c r="C1009" s="12">
        <v>104.2</v>
      </c>
      <c r="D1009" t="s">
        <v>5877</v>
      </c>
    </row>
    <row r="1010" spans="2:4" x14ac:dyDescent="0.35">
      <c r="B1010" s="9">
        <v>40822</v>
      </c>
      <c r="C1010" s="12">
        <v>133.30000000000001</v>
      </c>
      <c r="D1010" t="s">
        <v>5877</v>
      </c>
    </row>
    <row r="1011" spans="2:4" x14ac:dyDescent="0.35">
      <c r="B1011" s="9">
        <v>40823</v>
      </c>
      <c r="C1011" s="12">
        <v>171.4</v>
      </c>
      <c r="D1011" t="s">
        <v>5877</v>
      </c>
    </row>
    <row r="1012" spans="2:4" x14ac:dyDescent="0.35">
      <c r="B1012" s="9">
        <v>40824</v>
      </c>
      <c r="C1012" s="12">
        <v>176.5</v>
      </c>
      <c r="D1012" t="s">
        <v>5877</v>
      </c>
    </row>
    <row r="1013" spans="2:4" x14ac:dyDescent="0.35">
      <c r="B1013" s="9">
        <v>40825</v>
      </c>
      <c r="C1013" s="12">
        <v>167.5</v>
      </c>
      <c r="D1013" t="s">
        <v>5877</v>
      </c>
    </row>
    <row r="1014" spans="2:4" x14ac:dyDescent="0.35">
      <c r="B1014" s="9">
        <v>40826</v>
      </c>
      <c r="C1014" s="12">
        <v>162.19999999999999</v>
      </c>
      <c r="D1014" t="s">
        <v>5877</v>
      </c>
    </row>
    <row r="1015" spans="2:4" x14ac:dyDescent="0.35">
      <c r="B1015" s="9">
        <v>40827</v>
      </c>
      <c r="C1015" s="12">
        <v>126.1</v>
      </c>
      <c r="D1015" t="s">
        <v>5877</v>
      </c>
    </row>
    <row r="1016" spans="2:4" x14ac:dyDescent="0.35">
      <c r="B1016" s="9">
        <v>40828</v>
      </c>
      <c r="C1016" s="12">
        <v>101.1</v>
      </c>
      <c r="D1016" t="s">
        <v>5877</v>
      </c>
    </row>
    <row r="1017" spans="2:4" x14ac:dyDescent="0.35">
      <c r="B1017" s="9">
        <v>40829</v>
      </c>
      <c r="C1017" s="12">
        <v>144.5</v>
      </c>
      <c r="D1017" t="s">
        <v>5877</v>
      </c>
    </row>
    <row r="1018" spans="2:4" x14ac:dyDescent="0.35">
      <c r="B1018" s="9">
        <v>40830</v>
      </c>
      <c r="C1018" s="12">
        <v>147.6</v>
      </c>
      <c r="D1018" t="s">
        <v>5877</v>
      </c>
    </row>
    <row r="1019" spans="2:4" x14ac:dyDescent="0.35">
      <c r="B1019" s="9">
        <v>40831</v>
      </c>
      <c r="C1019" s="12">
        <v>105.4</v>
      </c>
      <c r="D1019" t="s">
        <v>5877</v>
      </c>
    </row>
    <row r="1020" spans="2:4" x14ac:dyDescent="0.35">
      <c r="B1020" s="9">
        <v>40832</v>
      </c>
      <c r="C1020" s="12">
        <v>97.4</v>
      </c>
      <c r="D1020" t="s">
        <v>5877</v>
      </c>
    </row>
    <row r="1021" spans="2:4" x14ac:dyDescent="0.35">
      <c r="B1021" s="9">
        <v>40833</v>
      </c>
      <c r="C1021" s="12">
        <v>151.5</v>
      </c>
      <c r="D1021" t="s">
        <v>5877</v>
      </c>
    </row>
    <row r="1022" spans="2:4" x14ac:dyDescent="0.35">
      <c r="B1022" s="9">
        <v>40834</v>
      </c>
      <c r="C1022" s="12">
        <v>160</v>
      </c>
      <c r="D1022" t="s">
        <v>5877</v>
      </c>
    </row>
    <row r="1023" spans="2:4" x14ac:dyDescent="0.35">
      <c r="B1023" s="9">
        <v>40835</v>
      </c>
      <c r="C1023" s="12">
        <v>125.9</v>
      </c>
      <c r="D1023" t="s">
        <v>5877</v>
      </c>
    </row>
    <row r="1024" spans="2:4" x14ac:dyDescent="0.35">
      <c r="B1024" s="9">
        <v>40836</v>
      </c>
      <c r="C1024" s="12">
        <v>91.9</v>
      </c>
      <c r="D1024" t="s">
        <v>5877</v>
      </c>
    </row>
    <row r="1025" spans="2:4" x14ac:dyDescent="0.35">
      <c r="B1025" s="9">
        <v>40837</v>
      </c>
      <c r="C1025" s="12">
        <v>77.900000000000006</v>
      </c>
      <c r="D1025" t="s">
        <v>5877</v>
      </c>
    </row>
    <row r="1026" spans="2:4" x14ac:dyDescent="0.35">
      <c r="B1026" s="9">
        <v>40838</v>
      </c>
      <c r="C1026" s="12">
        <v>124.7</v>
      </c>
      <c r="D1026" t="s">
        <v>5877</v>
      </c>
    </row>
    <row r="1027" spans="2:4" x14ac:dyDescent="0.35">
      <c r="B1027" s="9">
        <v>40839</v>
      </c>
      <c r="C1027" s="12">
        <v>173.3</v>
      </c>
      <c r="D1027" t="s">
        <v>5877</v>
      </c>
    </row>
    <row r="1028" spans="2:4" x14ac:dyDescent="0.35">
      <c r="B1028" s="9">
        <v>40840</v>
      </c>
      <c r="C1028" s="12">
        <v>128.9</v>
      </c>
      <c r="D1028" t="s">
        <v>5877</v>
      </c>
    </row>
    <row r="1029" spans="2:4" x14ac:dyDescent="0.35">
      <c r="B1029" s="9">
        <v>40841</v>
      </c>
      <c r="C1029" s="12">
        <v>97</v>
      </c>
      <c r="D1029" t="s">
        <v>5877</v>
      </c>
    </row>
    <row r="1030" spans="2:4" x14ac:dyDescent="0.35">
      <c r="B1030" s="9">
        <v>40842</v>
      </c>
      <c r="C1030" s="12">
        <v>115.6</v>
      </c>
      <c r="D1030" t="s">
        <v>5877</v>
      </c>
    </row>
    <row r="1031" spans="2:4" x14ac:dyDescent="0.35">
      <c r="B1031" s="9">
        <v>40843</v>
      </c>
      <c r="C1031" s="12">
        <v>132.9</v>
      </c>
      <c r="D1031" t="s">
        <v>5877</v>
      </c>
    </row>
    <row r="1032" spans="2:4" x14ac:dyDescent="0.35">
      <c r="B1032" s="9">
        <v>40844</v>
      </c>
      <c r="C1032" s="12">
        <v>122.5</v>
      </c>
      <c r="D1032" t="s">
        <v>5877</v>
      </c>
    </row>
    <row r="1033" spans="2:4" x14ac:dyDescent="0.35">
      <c r="B1033" s="9">
        <v>40845</v>
      </c>
      <c r="C1033" s="12">
        <v>134.69999999999999</v>
      </c>
      <c r="D1033" t="s">
        <v>5877</v>
      </c>
    </row>
    <row r="1034" spans="2:4" x14ac:dyDescent="0.35">
      <c r="B1034" s="9">
        <v>40846</v>
      </c>
      <c r="C1034" s="12">
        <v>124.6</v>
      </c>
      <c r="D1034" t="s">
        <v>5877</v>
      </c>
    </row>
    <row r="1035" spans="2:4" x14ac:dyDescent="0.35">
      <c r="B1035" s="9">
        <v>40847</v>
      </c>
      <c r="C1035" s="12">
        <v>93.2</v>
      </c>
      <c r="D1035" t="s">
        <v>5877</v>
      </c>
    </row>
    <row r="1036" spans="2:4" x14ac:dyDescent="0.35">
      <c r="B1036" s="9">
        <v>40848</v>
      </c>
      <c r="C1036" s="12">
        <v>112.7</v>
      </c>
      <c r="D1036" t="s">
        <v>5877</v>
      </c>
    </row>
    <row r="1037" spans="2:4" x14ac:dyDescent="0.35">
      <c r="B1037" s="9">
        <v>40849</v>
      </c>
      <c r="C1037" s="12">
        <v>119</v>
      </c>
      <c r="D1037" t="s">
        <v>5877</v>
      </c>
    </row>
    <row r="1038" spans="2:4" x14ac:dyDescent="0.35">
      <c r="B1038" s="9">
        <v>40850</v>
      </c>
      <c r="C1038" s="12">
        <v>94.7</v>
      </c>
      <c r="D1038" t="s">
        <v>5877</v>
      </c>
    </row>
    <row r="1039" spans="2:4" x14ac:dyDescent="0.35">
      <c r="B1039" s="9">
        <v>40851</v>
      </c>
      <c r="C1039" s="12">
        <v>138.4</v>
      </c>
      <c r="D1039" t="s">
        <v>5877</v>
      </c>
    </row>
    <row r="1040" spans="2:4" x14ac:dyDescent="0.35">
      <c r="B1040" s="9">
        <v>40852</v>
      </c>
      <c r="C1040" s="12">
        <v>107.7</v>
      </c>
      <c r="D1040" t="s">
        <v>5877</v>
      </c>
    </row>
    <row r="1041" spans="2:4" x14ac:dyDescent="0.35">
      <c r="B1041" s="9">
        <v>40853</v>
      </c>
      <c r="C1041" s="12">
        <v>88.9</v>
      </c>
      <c r="D1041" t="s">
        <v>5877</v>
      </c>
    </row>
    <row r="1042" spans="2:4" x14ac:dyDescent="0.35">
      <c r="B1042" s="9">
        <v>40854</v>
      </c>
      <c r="C1042" s="12">
        <v>135.6</v>
      </c>
      <c r="D1042" t="s">
        <v>5877</v>
      </c>
    </row>
    <row r="1043" spans="2:4" x14ac:dyDescent="0.35">
      <c r="B1043" s="9">
        <v>40855</v>
      </c>
      <c r="C1043" s="12">
        <v>157.30000000000001</v>
      </c>
      <c r="D1043" t="s">
        <v>5877</v>
      </c>
    </row>
    <row r="1044" spans="2:4" x14ac:dyDescent="0.35">
      <c r="B1044" s="9">
        <v>40856</v>
      </c>
      <c r="C1044" s="12">
        <v>186.6</v>
      </c>
      <c r="D1044" t="s">
        <v>5877</v>
      </c>
    </row>
    <row r="1045" spans="2:4" x14ac:dyDescent="0.35">
      <c r="B1045" s="9">
        <v>40857</v>
      </c>
      <c r="C1045" s="12">
        <v>177</v>
      </c>
      <c r="D1045" t="s">
        <v>5877</v>
      </c>
    </row>
    <row r="1046" spans="2:4" x14ac:dyDescent="0.35">
      <c r="B1046" s="9">
        <v>40858</v>
      </c>
      <c r="C1046" s="12">
        <v>131</v>
      </c>
      <c r="D1046" t="s">
        <v>5877</v>
      </c>
    </row>
    <row r="1047" spans="2:4" x14ac:dyDescent="0.35">
      <c r="B1047" s="9">
        <v>40859</v>
      </c>
      <c r="C1047" s="12">
        <v>103.8</v>
      </c>
      <c r="D1047" t="s">
        <v>5877</v>
      </c>
    </row>
    <row r="1048" spans="2:4" x14ac:dyDescent="0.35">
      <c r="B1048" s="9">
        <v>40860</v>
      </c>
      <c r="C1048" s="12">
        <v>134.80000000000001</v>
      </c>
      <c r="D1048" t="s">
        <v>5877</v>
      </c>
    </row>
    <row r="1049" spans="2:4" x14ac:dyDescent="0.35">
      <c r="B1049" s="9">
        <v>40861</v>
      </c>
      <c r="C1049" s="12">
        <v>134.30000000000001</v>
      </c>
      <c r="D1049" t="s">
        <v>5877</v>
      </c>
    </row>
    <row r="1050" spans="2:4" x14ac:dyDescent="0.35">
      <c r="B1050" s="9">
        <v>40862</v>
      </c>
      <c r="C1050" s="12">
        <v>125.1</v>
      </c>
      <c r="D1050" t="s">
        <v>5877</v>
      </c>
    </row>
    <row r="1051" spans="2:4" x14ac:dyDescent="0.35">
      <c r="B1051" s="9">
        <v>40863</v>
      </c>
      <c r="C1051" s="12">
        <v>106.3</v>
      </c>
      <c r="D1051" t="s">
        <v>5877</v>
      </c>
    </row>
    <row r="1052" spans="2:4" x14ac:dyDescent="0.35">
      <c r="B1052" s="9">
        <v>40864</v>
      </c>
      <c r="C1052" s="12">
        <v>85.6</v>
      </c>
      <c r="D1052" t="s">
        <v>5877</v>
      </c>
    </row>
    <row r="1053" spans="2:4" x14ac:dyDescent="0.35">
      <c r="B1053" s="9">
        <v>40865</v>
      </c>
      <c r="C1053" s="12">
        <v>136.5</v>
      </c>
      <c r="D1053" t="s">
        <v>5877</v>
      </c>
    </row>
    <row r="1054" spans="2:4" x14ac:dyDescent="0.35">
      <c r="B1054" s="9">
        <v>40866</v>
      </c>
      <c r="C1054" s="12">
        <v>156.80000000000001</v>
      </c>
      <c r="D1054" t="s">
        <v>5877</v>
      </c>
    </row>
    <row r="1055" spans="2:4" x14ac:dyDescent="0.35">
      <c r="B1055" s="9">
        <v>40867</v>
      </c>
      <c r="C1055" s="12">
        <v>140</v>
      </c>
      <c r="D1055" t="s">
        <v>5877</v>
      </c>
    </row>
    <row r="1056" spans="2:4" x14ac:dyDescent="0.35">
      <c r="B1056" s="9">
        <v>40868</v>
      </c>
      <c r="C1056" s="12">
        <v>165</v>
      </c>
      <c r="D1056" t="s">
        <v>5877</v>
      </c>
    </row>
    <row r="1057" spans="2:4" x14ac:dyDescent="0.35">
      <c r="B1057" s="9">
        <v>40869</v>
      </c>
      <c r="C1057" s="12">
        <v>122.7</v>
      </c>
      <c r="D1057" t="s">
        <v>5877</v>
      </c>
    </row>
    <row r="1058" spans="2:4" x14ac:dyDescent="0.35">
      <c r="B1058" s="9">
        <v>40870</v>
      </c>
      <c r="C1058" s="12">
        <v>120.2</v>
      </c>
      <c r="D1058" t="s">
        <v>5877</v>
      </c>
    </row>
    <row r="1059" spans="2:4" x14ac:dyDescent="0.35">
      <c r="B1059" s="9">
        <v>40871</v>
      </c>
      <c r="C1059" s="12">
        <v>141.6</v>
      </c>
      <c r="D1059" t="s">
        <v>5877</v>
      </c>
    </row>
    <row r="1060" spans="2:4" x14ac:dyDescent="0.35">
      <c r="B1060" s="9">
        <v>40872</v>
      </c>
      <c r="C1060" s="12">
        <v>125.9</v>
      </c>
      <c r="D1060" t="s">
        <v>5877</v>
      </c>
    </row>
    <row r="1061" spans="2:4" x14ac:dyDescent="0.35">
      <c r="B1061" s="9">
        <v>40873</v>
      </c>
      <c r="C1061" s="12">
        <v>97</v>
      </c>
      <c r="D1061" t="s">
        <v>5877</v>
      </c>
    </row>
    <row r="1062" spans="2:4" x14ac:dyDescent="0.35">
      <c r="B1062" s="9">
        <v>40874</v>
      </c>
      <c r="C1062" s="12">
        <v>128.1</v>
      </c>
      <c r="D1062" t="s">
        <v>5877</v>
      </c>
    </row>
    <row r="1063" spans="2:4" x14ac:dyDescent="0.35">
      <c r="B1063" s="9">
        <v>40875</v>
      </c>
      <c r="C1063" s="12">
        <v>145.69999999999999</v>
      </c>
      <c r="D1063" t="s">
        <v>5877</v>
      </c>
    </row>
    <row r="1064" spans="2:4" x14ac:dyDescent="0.35">
      <c r="B1064" s="9">
        <v>40876</v>
      </c>
      <c r="C1064" s="12">
        <v>184.4</v>
      </c>
      <c r="D1064" t="s">
        <v>5877</v>
      </c>
    </row>
    <row r="1065" spans="2:4" x14ac:dyDescent="0.35">
      <c r="B1065" s="9">
        <v>40877</v>
      </c>
      <c r="C1065" s="12">
        <v>200.8</v>
      </c>
      <c r="D1065" t="s">
        <v>5877</v>
      </c>
    </row>
    <row r="1066" spans="2:4" x14ac:dyDescent="0.35">
      <c r="B1066" s="9">
        <v>40878</v>
      </c>
      <c r="C1066" s="12">
        <v>140.30000000000001</v>
      </c>
      <c r="D1066" t="s">
        <v>5877</v>
      </c>
    </row>
    <row r="1067" spans="2:4" x14ac:dyDescent="0.35">
      <c r="B1067" s="9">
        <v>40879</v>
      </c>
      <c r="C1067" s="12">
        <v>107.2</v>
      </c>
      <c r="D1067" t="s">
        <v>5877</v>
      </c>
    </row>
    <row r="1068" spans="2:4" x14ac:dyDescent="0.35">
      <c r="B1068" s="9">
        <v>40880</v>
      </c>
      <c r="C1068" s="12">
        <v>93.9</v>
      </c>
      <c r="D1068" t="s">
        <v>5877</v>
      </c>
    </row>
    <row r="1069" spans="2:4" x14ac:dyDescent="0.35">
      <c r="B1069" s="9">
        <v>40881</v>
      </c>
      <c r="C1069" s="12">
        <v>132.19999999999999</v>
      </c>
      <c r="D1069" t="s">
        <v>5877</v>
      </c>
    </row>
    <row r="1070" spans="2:4" x14ac:dyDescent="0.35">
      <c r="B1070" s="9">
        <v>40882</v>
      </c>
      <c r="C1070" s="12">
        <v>133.80000000000001</v>
      </c>
      <c r="D1070" t="s">
        <v>5877</v>
      </c>
    </row>
    <row r="1071" spans="2:4" x14ac:dyDescent="0.35">
      <c r="B1071" s="9">
        <v>40883</v>
      </c>
      <c r="C1071" s="12">
        <v>150.6</v>
      </c>
      <c r="D1071" t="s">
        <v>5877</v>
      </c>
    </row>
    <row r="1072" spans="2:4" x14ac:dyDescent="0.35">
      <c r="B1072" s="9">
        <v>40884</v>
      </c>
      <c r="C1072" s="12">
        <v>140.69999999999999</v>
      </c>
      <c r="D1072" t="s">
        <v>5877</v>
      </c>
    </row>
    <row r="1073" spans="2:4" x14ac:dyDescent="0.35">
      <c r="B1073" s="9">
        <v>40885</v>
      </c>
      <c r="C1073" s="12">
        <v>123.6</v>
      </c>
      <c r="D1073" t="s">
        <v>5877</v>
      </c>
    </row>
    <row r="1074" spans="2:4" x14ac:dyDescent="0.35">
      <c r="B1074" s="9">
        <v>40886</v>
      </c>
      <c r="C1074" s="12">
        <v>104.3</v>
      </c>
      <c r="D1074" t="s">
        <v>5877</v>
      </c>
    </row>
    <row r="1075" spans="2:4" x14ac:dyDescent="0.35">
      <c r="B1075" s="9">
        <v>40887</v>
      </c>
      <c r="C1075" s="12">
        <v>115.8</v>
      </c>
      <c r="D1075" t="s">
        <v>5877</v>
      </c>
    </row>
    <row r="1076" spans="2:4" x14ac:dyDescent="0.35">
      <c r="B1076" s="9">
        <v>40888</v>
      </c>
      <c r="C1076" s="12">
        <v>93.7</v>
      </c>
      <c r="D1076" t="s">
        <v>5877</v>
      </c>
    </row>
    <row r="1077" spans="2:4" x14ac:dyDescent="0.35">
      <c r="B1077" s="9">
        <v>40889</v>
      </c>
      <c r="C1077" s="12">
        <v>89.6</v>
      </c>
      <c r="D1077" t="s">
        <v>5877</v>
      </c>
    </row>
    <row r="1078" spans="2:4" x14ac:dyDescent="0.35">
      <c r="B1078" s="9">
        <v>40890</v>
      </c>
      <c r="C1078" s="12">
        <v>102.1</v>
      </c>
      <c r="D1078" t="s">
        <v>5877</v>
      </c>
    </row>
    <row r="1079" spans="2:4" x14ac:dyDescent="0.35">
      <c r="B1079" s="9">
        <v>40891</v>
      </c>
      <c r="C1079" s="12">
        <v>123</v>
      </c>
      <c r="D1079" t="s">
        <v>5877</v>
      </c>
    </row>
    <row r="1080" spans="2:4" x14ac:dyDescent="0.35">
      <c r="B1080" s="9">
        <v>40892</v>
      </c>
      <c r="C1080" s="12">
        <v>119.8</v>
      </c>
      <c r="D1080" t="s">
        <v>5877</v>
      </c>
    </row>
    <row r="1081" spans="2:4" x14ac:dyDescent="0.35">
      <c r="B1081" s="9">
        <v>40893</v>
      </c>
      <c r="C1081" s="12">
        <v>105.3</v>
      </c>
      <c r="D1081" t="s">
        <v>5877</v>
      </c>
    </row>
    <row r="1082" spans="2:4" x14ac:dyDescent="0.35">
      <c r="B1082" s="9">
        <v>40894</v>
      </c>
      <c r="C1082" s="12">
        <v>91.3</v>
      </c>
      <c r="D1082" t="s">
        <v>5877</v>
      </c>
    </row>
    <row r="1083" spans="2:4" x14ac:dyDescent="0.35">
      <c r="B1083" s="9">
        <v>40895</v>
      </c>
      <c r="C1083" s="12">
        <v>91.4</v>
      </c>
      <c r="D1083" t="s">
        <v>5877</v>
      </c>
    </row>
    <row r="1084" spans="2:4" x14ac:dyDescent="0.35">
      <c r="B1084" s="9">
        <v>40896</v>
      </c>
      <c r="C1084" s="12">
        <v>80.400000000000006</v>
      </c>
      <c r="D1084" t="s">
        <v>5877</v>
      </c>
    </row>
    <row r="1085" spans="2:4" x14ac:dyDescent="0.35">
      <c r="B1085" s="9">
        <v>40897</v>
      </c>
      <c r="C1085" s="12">
        <v>130.69999999999999</v>
      </c>
      <c r="D1085" t="s">
        <v>5877</v>
      </c>
    </row>
    <row r="1086" spans="2:4" x14ac:dyDescent="0.35">
      <c r="B1086" s="9">
        <v>40898</v>
      </c>
      <c r="C1086" s="12">
        <v>123.4</v>
      </c>
      <c r="D1086" t="s">
        <v>5877</v>
      </c>
    </row>
    <row r="1087" spans="2:4" x14ac:dyDescent="0.35">
      <c r="B1087" s="9">
        <v>40899</v>
      </c>
      <c r="C1087" s="12">
        <v>143</v>
      </c>
      <c r="D1087" t="s">
        <v>5877</v>
      </c>
    </row>
    <row r="1088" spans="2:4" x14ac:dyDescent="0.35">
      <c r="B1088" s="9">
        <v>40900</v>
      </c>
      <c r="C1088" s="12">
        <v>172.6</v>
      </c>
      <c r="D1088" t="s">
        <v>5877</v>
      </c>
    </row>
    <row r="1089" spans="2:4" x14ac:dyDescent="0.35">
      <c r="B1089" s="9">
        <v>40901</v>
      </c>
      <c r="C1089" s="12">
        <v>125.8</v>
      </c>
      <c r="D1089" t="s">
        <v>5877</v>
      </c>
    </row>
    <row r="1090" spans="2:4" x14ac:dyDescent="0.35">
      <c r="B1090" s="9">
        <v>40902</v>
      </c>
      <c r="C1090" s="12">
        <v>93.2</v>
      </c>
      <c r="D1090" t="s">
        <v>5877</v>
      </c>
    </row>
    <row r="1091" spans="2:4" x14ac:dyDescent="0.35">
      <c r="B1091" s="9">
        <v>40903</v>
      </c>
      <c r="C1091" s="12">
        <v>77.400000000000006</v>
      </c>
      <c r="D1091" t="s">
        <v>5877</v>
      </c>
    </row>
    <row r="1092" spans="2:4" x14ac:dyDescent="0.35">
      <c r="B1092" s="9">
        <v>40904</v>
      </c>
      <c r="C1092" s="12">
        <v>126.9</v>
      </c>
      <c r="D1092" t="s">
        <v>5877</v>
      </c>
    </row>
    <row r="1093" spans="2:4" x14ac:dyDescent="0.35">
      <c r="B1093" s="9">
        <v>40905</v>
      </c>
      <c r="C1093" s="12">
        <v>165.9</v>
      </c>
      <c r="D1093" t="s">
        <v>5877</v>
      </c>
    </row>
    <row r="1094" spans="2:4" x14ac:dyDescent="0.35">
      <c r="B1094" s="9">
        <v>40906</v>
      </c>
      <c r="C1094" s="12">
        <v>169.5</v>
      </c>
      <c r="D1094" t="s">
        <v>5877</v>
      </c>
    </row>
    <row r="1095" spans="2:4" x14ac:dyDescent="0.35">
      <c r="B1095" s="9">
        <v>40907</v>
      </c>
      <c r="C1095" s="12">
        <v>147.30000000000001</v>
      </c>
      <c r="D1095" t="s">
        <v>5877</v>
      </c>
    </row>
    <row r="1096" spans="2:4" x14ac:dyDescent="0.35">
      <c r="B1096" s="9">
        <v>40908</v>
      </c>
      <c r="C1096" s="12">
        <v>105.3</v>
      </c>
      <c r="D1096" t="s">
        <v>5877</v>
      </c>
    </row>
    <row r="1097" spans="2:4" x14ac:dyDescent="0.35">
      <c r="B1097" s="9">
        <v>40909</v>
      </c>
      <c r="C1097" s="12">
        <v>82.1</v>
      </c>
      <c r="D1097" t="s">
        <v>5877</v>
      </c>
    </row>
    <row r="1098" spans="2:4" x14ac:dyDescent="0.35">
      <c r="B1098" s="9">
        <v>40910</v>
      </c>
      <c r="C1098" s="12">
        <v>79.3</v>
      </c>
      <c r="D1098" t="s">
        <v>5877</v>
      </c>
    </row>
    <row r="1099" spans="2:4" x14ac:dyDescent="0.35">
      <c r="B1099" s="9">
        <v>40911</v>
      </c>
      <c r="C1099" s="12">
        <v>92</v>
      </c>
      <c r="D1099" t="s">
        <v>5877</v>
      </c>
    </row>
    <row r="1100" spans="2:4" x14ac:dyDescent="0.35">
      <c r="B1100" s="9">
        <v>40912</v>
      </c>
      <c r="C1100" s="12">
        <v>81.5</v>
      </c>
      <c r="D1100" t="s">
        <v>5877</v>
      </c>
    </row>
    <row r="1101" spans="2:4" x14ac:dyDescent="0.35">
      <c r="B1101" s="9">
        <v>40913</v>
      </c>
      <c r="C1101" s="12">
        <v>73.400000000000006</v>
      </c>
      <c r="D1101" t="s">
        <v>5877</v>
      </c>
    </row>
    <row r="1102" spans="2:4" x14ac:dyDescent="0.35">
      <c r="B1102" s="9">
        <v>40914</v>
      </c>
      <c r="C1102" s="12">
        <v>107.6</v>
      </c>
      <c r="D1102" t="s">
        <v>5877</v>
      </c>
    </row>
    <row r="1103" spans="2:4" x14ac:dyDescent="0.35">
      <c r="B1103" s="9">
        <v>40915</v>
      </c>
      <c r="C1103" s="12">
        <v>155.80000000000001</v>
      </c>
      <c r="D1103" t="s">
        <v>5877</v>
      </c>
    </row>
    <row r="1104" spans="2:4" x14ac:dyDescent="0.35">
      <c r="B1104" s="9">
        <v>40916</v>
      </c>
      <c r="C1104" s="12">
        <v>124.4</v>
      </c>
      <c r="D1104" t="s">
        <v>5877</v>
      </c>
    </row>
    <row r="1105" spans="2:4" x14ac:dyDescent="0.35">
      <c r="B1105" s="9">
        <v>40917</v>
      </c>
      <c r="C1105" s="12">
        <v>111.7</v>
      </c>
      <c r="D1105" t="s">
        <v>5877</v>
      </c>
    </row>
    <row r="1106" spans="2:4" x14ac:dyDescent="0.35">
      <c r="B1106" s="9">
        <v>40918</v>
      </c>
      <c r="C1106" s="12">
        <v>91.2</v>
      </c>
      <c r="D1106" t="s">
        <v>5877</v>
      </c>
    </row>
    <row r="1107" spans="2:4" x14ac:dyDescent="0.35">
      <c r="B1107" s="9">
        <v>40919</v>
      </c>
      <c r="C1107" s="12">
        <v>120.5</v>
      </c>
      <c r="D1107" t="s">
        <v>5877</v>
      </c>
    </row>
    <row r="1108" spans="2:4" x14ac:dyDescent="0.35">
      <c r="B1108" s="9">
        <v>40920</v>
      </c>
      <c r="C1108" s="12">
        <v>130.4</v>
      </c>
      <c r="D1108" t="s">
        <v>5877</v>
      </c>
    </row>
    <row r="1109" spans="2:4" x14ac:dyDescent="0.35">
      <c r="B1109" s="9">
        <v>40921</v>
      </c>
      <c r="C1109" s="12">
        <v>104.2</v>
      </c>
      <c r="D1109" t="s">
        <v>5877</v>
      </c>
    </row>
    <row r="1110" spans="2:4" x14ac:dyDescent="0.35">
      <c r="B1110" s="9">
        <v>40922</v>
      </c>
      <c r="C1110" s="12">
        <v>82.9</v>
      </c>
      <c r="D1110" t="s">
        <v>5877</v>
      </c>
    </row>
    <row r="1111" spans="2:4" x14ac:dyDescent="0.35">
      <c r="B1111" s="9">
        <v>40923</v>
      </c>
      <c r="C1111" s="12">
        <v>110.9</v>
      </c>
      <c r="D1111" t="s">
        <v>5877</v>
      </c>
    </row>
    <row r="1112" spans="2:4" x14ac:dyDescent="0.35">
      <c r="B1112" s="9">
        <v>40924</v>
      </c>
      <c r="C1112" s="12">
        <v>104.2</v>
      </c>
      <c r="D1112" t="s">
        <v>5877</v>
      </c>
    </row>
    <row r="1113" spans="2:4" x14ac:dyDescent="0.35">
      <c r="B1113" s="9">
        <v>40925</v>
      </c>
      <c r="C1113" s="12">
        <v>95.7</v>
      </c>
      <c r="D1113" t="s">
        <v>5877</v>
      </c>
    </row>
    <row r="1114" spans="2:4" x14ac:dyDescent="0.35">
      <c r="B1114" s="9">
        <v>40926</v>
      </c>
      <c r="C1114" s="12">
        <v>150.6</v>
      </c>
      <c r="D1114" t="s">
        <v>5877</v>
      </c>
    </row>
    <row r="1115" spans="2:4" x14ac:dyDescent="0.35">
      <c r="B1115" s="9">
        <v>40927</v>
      </c>
      <c r="C1115" s="12">
        <v>138</v>
      </c>
      <c r="D1115" t="s">
        <v>5877</v>
      </c>
    </row>
    <row r="1116" spans="2:4" x14ac:dyDescent="0.35">
      <c r="B1116" s="9">
        <v>40928</v>
      </c>
      <c r="C1116" s="12">
        <v>99.9</v>
      </c>
      <c r="D1116" t="s">
        <v>5877</v>
      </c>
    </row>
    <row r="1117" spans="2:4" x14ac:dyDescent="0.35">
      <c r="B1117" s="9">
        <v>40929</v>
      </c>
      <c r="C1117" s="12">
        <v>80.599999999999994</v>
      </c>
      <c r="D1117" t="s">
        <v>5877</v>
      </c>
    </row>
    <row r="1118" spans="2:4" x14ac:dyDescent="0.35">
      <c r="B1118" s="9">
        <v>40930</v>
      </c>
      <c r="C1118" s="12">
        <v>101</v>
      </c>
      <c r="D1118" t="s">
        <v>5877</v>
      </c>
    </row>
    <row r="1119" spans="2:4" x14ac:dyDescent="0.35">
      <c r="B1119" s="9">
        <v>40931</v>
      </c>
      <c r="C1119" s="12">
        <v>144.4</v>
      </c>
      <c r="D1119" t="s">
        <v>5877</v>
      </c>
    </row>
    <row r="1120" spans="2:4" x14ac:dyDescent="0.35">
      <c r="B1120" s="9">
        <v>40932</v>
      </c>
      <c r="C1120" s="12">
        <v>134</v>
      </c>
      <c r="D1120" t="s">
        <v>5877</v>
      </c>
    </row>
    <row r="1121" spans="2:4" x14ac:dyDescent="0.35">
      <c r="B1121" s="9">
        <v>40933</v>
      </c>
      <c r="C1121" s="12">
        <v>111.3</v>
      </c>
      <c r="D1121" t="s">
        <v>5877</v>
      </c>
    </row>
    <row r="1122" spans="2:4" x14ac:dyDescent="0.35">
      <c r="B1122" s="9">
        <v>40934</v>
      </c>
      <c r="C1122" s="12">
        <v>129.69999999999999</v>
      </c>
      <c r="D1122" t="s">
        <v>5877</v>
      </c>
    </row>
    <row r="1123" spans="2:4" x14ac:dyDescent="0.35">
      <c r="B1123" s="9">
        <v>40935</v>
      </c>
      <c r="C1123" s="12">
        <v>108.4</v>
      </c>
      <c r="D1123" t="s">
        <v>5877</v>
      </c>
    </row>
    <row r="1124" spans="2:4" x14ac:dyDescent="0.35">
      <c r="B1124" s="9">
        <v>40936</v>
      </c>
      <c r="C1124" s="12">
        <v>134.1</v>
      </c>
      <c r="D1124" t="s">
        <v>5877</v>
      </c>
    </row>
    <row r="1125" spans="2:4" x14ac:dyDescent="0.35">
      <c r="B1125" s="9">
        <v>40937</v>
      </c>
      <c r="C1125" s="12">
        <v>106.7</v>
      </c>
      <c r="D1125" t="s">
        <v>5877</v>
      </c>
    </row>
    <row r="1126" spans="2:4" x14ac:dyDescent="0.35">
      <c r="B1126" s="9">
        <v>40938</v>
      </c>
      <c r="C1126" s="12">
        <v>141</v>
      </c>
      <c r="D1126" t="s">
        <v>5877</v>
      </c>
    </row>
    <row r="1127" spans="2:4" x14ac:dyDescent="0.35">
      <c r="B1127" s="9">
        <v>40939</v>
      </c>
      <c r="C1127" s="12">
        <v>122.5</v>
      </c>
      <c r="D1127" t="s">
        <v>5877</v>
      </c>
    </row>
    <row r="1128" spans="2:4" x14ac:dyDescent="0.35">
      <c r="B1128" s="9">
        <v>40940</v>
      </c>
      <c r="C1128" s="12">
        <v>124.6</v>
      </c>
      <c r="D1128" t="s">
        <v>5877</v>
      </c>
    </row>
    <row r="1129" spans="2:4" x14ac:dyDescent="0.35">
      <c r="B1129" s="9">
        <v>40941</v>
      </c>
      <c r="C1129" s="12">
        <v>94.6</v>
      </c>
      <c r="D1129" t="s">
        <v>5877</v>
      </c>
    </row>
    <row r="1130" spans="2:4" x14ac:dyDescent="0.35">
      <c r="B1130" s="9">
        <v>40942</v>
      </c>
      <c r="C1130" s="12">
        <v>78.8</v>
      </c>
      <c r="D1130" t="s">
        <v>5877</v>
      </c>
    </row>
    <row r="1131" spans="2:4" x14ac:dyDescent="0.35">
      <c r="B1131" s="9">
        <v>40943</v>
      </c>
      <c r="C1131" s="12">
        <v>108.1</v>
      </c>
      <c r="D1131" t="s">
        <v>5877</v>
      </c>
    </row>
    <row r="1132" spans="2:4" x14ac:dyDescent="0.35">
      <c r="B1132" s="9">
        <v>40944</v>
      </c>
      <c r="C1132" s="12">
        <v>104.6</v>
      </c>
      <c r="D1132" t="s">
        <v>5877</v>
      </c>
    </row>
    <row r="1133" spans="2:4" x14ac:dyDescent="0.35">
      <c r="B1133" s="9">
        <v>40945</v>
      </c>
      <c r="C1133" s="12">
        <v>122.7</v>
      </c>
      <c r="D1133" t="s">
        <v>5877</v>
      </c>
    </row>
    <row r="1134" spans="2:4" x14ac:dyDescent="0.35">
      <c r="B1134" s="9">
        <v>40946</v>
      </c>
      <c r="C1134" s="12">
        <v>102.7</v>
      </c>
      <c r="D1134" t="s">
        <v>5877</v>
      </c>
    </row>
    <row r="1135" spans="2:4" x14ac:dyDescent="0.35">
      <c r="B1135" s="9">
        <v>40947</v>
      </c>
      <c r="C1135" s="12">
        <v>143.80000000000001</v>
      </c>
      <c r="D1135" t="s">
        <v>5877</v>
      </c>
    </row>
    <row r="1136" spans="2:4" x14ac:dyDescent="0.35">
      <c r="B1136" s="9">
        <v>40948</v>
      </c>
      <c r="C1136" s="12">
        <v>143.9</v>
      </c>
      <c r="D1136" t="s">
        <v>5877</v>
      </c>
    </row>
    <row r="1137" spans="2:4" x14ac:dyDescent="0.35">
      <c r="B1137" s="9">
        <v>40949</v>
      </c>
      <c r="C1137" s="12">
        <v>124</v>
      </c>
      <c r="D1137" t="s">
        <v>5877</v>
      </c>
    </row>
    <row r="1138" spans="2:4" x14ac:dyDescent="0.35">
      <c r="B1138" s="9">
        <v>40950</v>
      </c>
      <c r="C1138" s="12">
        <v>109.5</v>
      </c>
      <c r="D1138" t="s">
        <v>5877</v>
      </c>
    </row>
    <row r="1139" spans="2:4" x14ac:dyDescent="0.35">
      <c r="B1139" s="9">
        <v>40951</v>
      </c>
      <c r="C1139" s="12">
        <v>86.1</v>
      </c>
      <c r="D1139" t="s">
        <v>5877</v>
      </c>
    </row>
    <row r="1140" spans="2:4" x14ac:dyDescent="0.35">
      <c r="B1140" s="9">
        <v>40952</v>
      </c>
      <c r="C1140" s="12">
        <v>76.2</v>
      </c>
      <c r="D1140" t="s">
        <v>5877</v>
      </c>
    </row>
    <row r="1141" spans="2:4" x14ac:dyDescent="0.35">
      <c r="B1141" s="9">
        <v>40953</v>
      </c>
      <c r="C1141" s="12">
        <v>135.6</v>
      </c>
      <c r="D1141" t="s">
        <v>5877</v>
      </c>
    </row>
    <row r="1142" spans="2:4" x14ac:dyDescent="0.35">
      <c r="B1142" s="9">
        <v>40954</v>
      </c>
      <c r="C1142" s="12">
        <v>112.5</v>
      </c>
      <c r="D1142" t="s">
        <v>5877</v>
      </c>
    </row>
    <row r="1143" spans="2:4" x14ac:dyDescent="0.35">
      <c r="B1143" s="9">
        <v>40955</v>
      </c>
      <c r="C1143" s="12">
        <v>114.2</v>
      </c>
      <c r="D1143" t="s">
        <v>5877</v>
      </c>
    </row>
    <row r="1144" spans="2:4" x14ac:dyDescent="0.35">
      <c r="B1144" s="9">
        <v>40956</v>
      </c>
      <c r="C1144" s="12">
        <v>105.9</v>
      </c>
      <c r="D1144" t="s">
        <v>5877</v>
      </c>
    </row>
    <row r="1145" spans="2:4" x14ac:dyDescent="0.35">
      <c r="B1145" s="9">
        <v>40957</v>
      </c>
      <c r="C1145" s="12">
        <v>103.5</v>
      </c>
      <c r="D1145" t="s">
        <v>5877</v>
      </c>
    </row>
    <row r="1146" spans="2:4" x14ac:dyDescent="0.35">
      <c r="B1146" s="9">
        <v>40958</v>
      </c>
      <c r="C1146" s="12">
        <v>175.8</v>
      </c>
      <c r="D1146" t="s">
        <v>5877</v>
      </c>
    </row>
    <row r="1147" spans="2:4" x14ac:dyDescent="0.35">
      <c r="B1147" s="9">
        <v>40959</v>
      </c>
      <c r="C1147" s="12">
        <v>167.3</v>
      </c>
      <c r="D1147" t="s">
        <v>5877</v>
      </c>
    </row>
    <row r="1148" spans="2:4" x14ac:dyDescent="0.35">
      <c r="B1148" s="9">
        <v>40960</v>
      </c>
      <c r="C1148" s="12">
        <v>142.9</v>
      </c>
      <c r="D1148" t="s">
        <v>5877</v>
      </c>
    </row>
    <row r="1149" spans="2:4" x14ac:dyDescent="0.35">
      <c r="B1149" s="9">
        <v>40961</v>
      </c>
      <c r="C1149" s="12">
        <v>126.9</v>
      </c>
      <c r="D1149" t="s">
        <v>5877</v>
      </c>
    </row>
    <row r="1150" spans="2:4" x14ac:dyDescent="0.35">
      <c r="B1150" s="9">
        <v>40962</v>
      </c>
      <c r="C1150" s="12">
        <v>122</v>
      </c>
      <c r="D1150" t="s">
        <v>5877</v>
      </c>
    </row>
    <row r="1151" spans="2:4" x14ac:dyDescent="0.35">
      <c r="B1151" s="9">
        <v>40963</v>
      </c>
      <c r="C1151" s="12">
        <v>129.5</v>
      </c>
      <c r="D1151" t="s">
        <v>5877</v>
      </c>
    </row>
    <row r="1152" spans="2:4" x14ac:dyDescent="0.35">
      <c r="B1152" s="9">
        <v>40964</v>
      </c>
      <c r="C1152" s="12">
        <v>101.9</v>
      </c>
      <c r="D1152" t="s">
        <v>5877</v>
      </c>
    </row>
    <row r="1153" spans="2:4" x14ac:dyDescent="0.35">
      <c r="B1153" s="9">
        <v>40965</v>
      </c>
      <c r="C1153" s="12">
        <v>83</v>
      </c>
      <c r="D1153" t="s">
        <v>5877</v>
      </c>
    </row>
    <row r="1154" spans="2:4" x14ac:dyDescent="0.35">
      <c r="B1154" s="9">
        <v>40966</v>
      </c>
      <c r="C1154" s="12">
        <v>89.2</v>
      </c>
      <c r="D1154" t="s">
        <v>5877</v>
      </c>
    </row>
    <row r="1155" spans="2:4" x14ac:dyDescent="0.35">
      <c r="B1155" s="9">
        <v>40967</v>
      </c>
      <c r="C1155" s="12">
        <v>80.7</v>
      </c>
      <c r="D1155" t="s">
        <v>5877</v>
      </c>
    </row>
    <row r="1156" spans="2:4" x14ac:dyDescent="0.35">
      <c r="B1156" s="9">
        <v>40968</v>
      </c>
      <c r="C1156" s="12">
        <v>101.3</v>
      </c>
      <c r="D1156" t="s">
        <v>5877</v>
      </c>
    </row>
    <row r="1157" spans="2:4" x14ac:dyDescent="0.35">
      <c r="B1157" s="9">
        <v>40969</v>
      </c>
      <c r="C1157" s="12">
        <v>90.2</v>
      </c>
      <c r="D1157" t="s">
        <v>5877</v>
      </c>
    </row>
    <row r="1158" spans="2:4" x14ac:dyDescent="0.35">
      <c r="B1158" s="9">
        <v>40970</v>
      </c>
      <c r="C1158" s="12">
        <v>84.8</v>
      </c>
      <c r="D1158" t="s">
        <v>5877</v>
      </c>
    </row>
    <row r="1159" spans="2:4" x14ac:dyDescent="0.35">
      <c r="B1159" s="9">
        <v>40971</v>
      </c>
      <c r="C1159" s="12">
        <v>75.3</v>
      </c>
      <c r="D1159" t="s">
        <v>5877</v>
      </c>
    </row>
    <row r="1160" spans="2:4" x14ac:dyDescent="0.35">
      <c r="B1160" s="9">
        <v>40972</v>
      </c>
      <c r="C1160" s="12">
        <v>66.400000000000006</v>
      </c>
      <c r="D1160" t="s">
        <v>5877</v>
      </c>
    </row>
    <row r="1161" spans="2:4" x14ac:dyDescent="0.35">
      <c r="B1161" s="9">
        <v>40973</v>
      </c>
      <c r="C1161" s="12">
        <v>70.7</v>
      </c>
      <c r="D1161" t="s">
        <v>5877</v>
      </c>
    </row>
    <row r="1162" spans="2:4" x14ac:dyDescent="0.35">
      <c r="B1162" s="9">
        <v>40974</v>
      </c>
      <c r="C1162" s="12">
        <v>170.1</v>
      </c>
      <c r="D1162" t="s">
        <v>5877</v>
      </c>
    </row>
    <row r="1163" spans="2:4" x14ac:dyDescent="0.35">
      <c r="B1163" s="9">
        <v>40975</v>
      </c>
      <c r="C1163" s="12">
        <v>142.80000000000001</v>
      </c>
      <c r="D1163" t="s">
        <v>5877</v>
      </c>
    </row>
    <row r="1164" spans="2:4" x14ac:dyDescent="0.35">
      <c r="B1164" s="9">
        <v>40976</v>
      </c>
      <c r="C1164" s="12">
        <v>168</v>
      </c>
      <c r="D1164" t="s">
        <v>5877</v>
      </c>
    </row>
    <row r="1165" spans="2:4" x14ac:dyDescent="0.35">
      <c r="B1165" s="9">
        <v>40977</v>
      </c>
      <c r="C1165" s="12">
        <v>177.2</v>
      </c>
      <c r="D1165" t="s">
        <v>5877</v>
      </c>
    </row>
    <row r="1166" spans="2:4" x14ac:dyDescent="0.35">
      <c r="B1166" s="9">
        <v>40978</v>
      </c>
      <c r="C1166" s="12">
        <v>129.19999999999999</v>
      </c>
      <c r="D1166" t="s">
        <v>5877</v>
      </c>
    </row>
    <row r="1167" spans="2:4" x14ac:dyDescent="0.35">
      <c r="B1167" s="9">
        <v>40979</v>
      </c>
      <c r="C1167" s="12">
        <v>98.4</v>
      </c>
      <c r="D1167" t="s">
        <v>5877</v>
      </c>
    </row>
    <row r="1168" spans="2:4" x14ac:dyDescent="0.35">
      <c r="B1168" s="9">
        <v>40980</v>
      </c>
      <c r="C1168" s="12">
        <v>108.7</v>
      </c>
      <c r="D1168" t="s">
        <v>5877</v>
      </c>
    </row>
    <row r="1169" spans="2:4" x14ac:dyDescent="0.35">
      <c r="B1169" s="9">
        <v>40981</v>
      </c>
      <c r="C1169" s="12">
        <v>128.6</v>
      </c>
      <c r="D1169" t="s">
        <v>5877</v>
      </c>
    </row>
    <row r="1170" spans="2:4" x14ac:dyDescent="0.35">
      <c r="B1170" s="9">
        <v>40982</v>
      </c>
      <c r="C1170" s="12">
        <v>107</v>
      </c>
      <c r="D1170" t="s">
        <v>5877</v>
      </c>
    </row>
    <row r="1171" spans="2:4" x14ac:dyDescent="0.35">
      <c r="B1171" s="9">
        <v>40983</v>
      </c>
      <c r="C1171" s="12">
        <v>87</v>
      </c>
      <c r="D1171" t="s">
        <v>5877</v>
      </c>
    </row>
    <row r="1172" spans="2:4" x14ac:dyDescent="0.35">
      <c r="B1172" s="9">
        <v>40984</v>
      </c>
      <c r="C1172" s="12">
        <v>81.5</v>
      </c>
      <c r="D1172" t="s">
        <v>5877</v>
      </c>
    </row>
    <row r="1173" spans="2:4" x14ac:dyDescent="0.35">
      <c r="B1173" s="9">
        <v>40985</v>
      </c>
      <c r="C1173" s="12">
        <v>75.099999999999994</v>
      </c>
      <c r="D1173" t="s">
        <v>5877</v>
      </c>
    </row>
    <row r="1174" spans="2:4" x14ac:dyDescent="0.35">
      <c r="B1174" s="9">
        <v>40986</v>
      </c>
      <c r="C1174" s="12">
        <v>112.2</v>
      </c>
      <c r="D1174" t="s">
        <v>5877</v>
      </c>
    </row>
    <row r="1175" spans="2:4" x14ac:dyDescent="0.35">
      <c r="B1175" s="9">
        <v>40987</v>
      </c>
      <c r="C1175" s="12">
        <v>157.30000000000001</v>
      </c>
      <c r="D1175" t="s">
        <v>5877</v>
      </c>
    </row>
    <row r="1176" spans="2:4" x14ac:dyDescent="0.35">
      <c r="B1176" s="9">
        <v>40988</v>
      </c>
      <c r="C1176" s="12">
        <v>135.69999999999999</v>
      </c>
      <c r="D1176" t="s">
        <v>5877</v>
      </c>
    </row>
    <row r="1177" spans="2:4" x14ac:dyDescent="0.35">
      <c r="B1177" s="9">
        <v>40989</v>
      </c>
      <c r="C1177" s="12">
        <v>135.1</v>
      </c>
      <c r="D1177" t="s">
        <v>5877</v>
      </c>
    </row>
    <row r="1178" spans="2:4" x14ac:dyDescent="0.35">
      <c r="B1178" s="9">
        <v>40990</v>
      </c>
      <c r="C1178" s="12">
        <v>133.1</v>
      </c>
      <c r="D1178" t="s">
        <v>5877</v>
      </c>
    </row>
    <row r="1179" spans="2:4" x14ac:dyDescent="0.35">
      <c r="B1179" s="9">
        <v>40991</v>
      </c>
      <c r="C1179" s="12">
        <v>157.69999999999999</v>
      </c>
      <c r="D1179" t="s">
        <v>5877</v>
      </c>
    </row>
    <row r="1180" spans="2:4" x14ac:dyDescent="0.35">
      <c r="B1180" s="9">
        <v>40992</v>
      </c>
      <c r="C1180" s="12">
        <v>158.4</v>
      </c>
      <c r="D1180" t="s">
        <v>5877</v>
      </c>
    </row>
    <row r="1181" spans="2:4" x14ac:dyDescent="0.35">
      <c r="B1181" s="9">
        <v>40993</v>
      </c>
      <c r="C1181" s="12">
        <v>117.1</v>
      </c>
      <c r="D1181" t="s">
        <v>5877</v>
      </c>
    </row>
    <row r="1182" spans="2:4" x14ac:dyDescent="0.35">
      <c r="B1182" s="9">
        <v>40994</v>
      </c>
      <c r="C1182" s="12">
        <v>91.2</v>
      </c>
      <c r="D1182" t="s">
        <v>5877</v>
      </c>
    </row>
    <row r="1183" spans="2:4" x14ac:dyDescent="0.35">
      <c r="B1183" s="9">
        <v>40995</v>
      </c>
      <c r="C1183" s="12">
        <v>78.599999999999994</v>
      </c>
      <c r="D1183" t="s">
        <v>5877</v>
      </c>
    </row>
    <row r="1184" spans="2:4" x14ac:dyDescent="0.35">
      <c r="B1184" s="9">
        <v>40996</v>
      </c>
      <c r="C1184" s="12">
        <v>110.1</v>
      </c>
      <c r="D1184" t="s">
        <v>5877</v>
      </c>
    </row>
    <row r="1185" spans="2:4" x14ac:dyDescent="0.35">
      <c r="B1185" s="9">
        <v>40997</v>
      </c>
      <c r="C1185" s="12">
        <v>141.30000000000001</v>
      </c>
      <c r="D1185" t="s">
        <v>5877</v>
      </c>
    </row>
    <row r="1186" spans="2:4" x14ac:dyDescent="0.35">
      <c r="B1186" s="9">
        <v>40998</v>
      </c>
      <c r="C1186" s="12">
        <v>119.1</v>
      </c>
      <c r="D1186" t="s">
        <v>5877</v>
      </c>
    </row>
    <row r="1187" spans="2:4" x14ac:dyDescent="0.35">
      <c r="B1187" s="9">
        <v>40999</v>
      </c>
      <c r="C1187" s="12">
        <v>184.9</v>
      </c>
      <c r="D1187" t="s">
        <v>5877</v>
      </c>
    </row>
    <row r="1188" spans="2:4" x14ac:dyDescent="0.35">
      <c r="B1188" s="9">
        <v>41000</v>
      </c>
      <c r="C1188" s="12">
        <v>172.7</v>
      </c>
      <c r="D1188" t="s">
        <v>5877</v>
      </c>
    </row>
    <row r="1189" spans="2:4" x14ac:dyDescent="0.35">
      <c r="B1189" s="9">
        <v>41001</v>
      </c>
      <c r="C1189" s="12">
        <v>129.30000000000001</v>
      </c>
      <c r="D1189" t="s">
        <v>5877</v>
      </c>
    </row>
    <row r="1190" spans="2:4" x14ac:dyDescent="0.35">
      <c r="B1190" s="9">
        <v>41002</v>
      </c>
      <c r="C1190" s="12">
        <v>138.19999999999999</v>
      </c>
      <c r="D1190" t="s">
        <v>5877</v>
      </c>
    </row>
    <row r="1191" spans="2:4" x14ac:dyDescent="0.35">
      <c r="B1191" s="9">
        <v>41003</v>
      </c>
      <c r="C1191" s="12">
        <v>180.9</v>
      </c>
      <c r="D1191" t="s">
        <v>5877</v>
      </c>
    </row>
    <row r="1192" spans="2:4" x14ac:dyDescent="0.35">
      <c r="B1192" s="9">
        <v>41004</v>
      </c>
      <c r="C1192" s="12">
        <v>134.1</v>
      </c>
      <c r="D1192" t="s">
        <v>5877</v>
      </c>
    </row>
    <row r="1193" spans="2:4" x14ac:dyDescent="0.35">
      <c r="B1193" s="9">
        <v>41005</v>
      </c>
      <c r="C1193" s="12">
        <v>141.80000000000001</v>
      </c>
      <c r="D1193" t="s">
        <v>5877</v>
      </c>
    </row>
    <row r="1194" spans="2:4" x14ac:dyDescent="0.35">
      <c r="B1194" s="9">
        <v>41006</v>
      </c>
      <c r="C1194" s="12">
        <v>142.19999999999999</v>
      </c>
      <c r="D1194" t="s">
        <v>5877</v>
      </c>
    </row>
    <row r="1195" spans="2:4" x14ac:dyDescent="0.35">
      <c r="B1195" s="9">
        <v>41007</v>
      </c>
      <c r="C1195" s="12">
        <v>112.6</v>
      </c>
      <c r="D1195" t="s">
        <v>5877</v>
      </c>
    </row>
    <row r="1196" spans="2:4" x14ac:dyDescent="0.35">
      <c r="B1196" s="9">
        <v>41008</v>
      </c>
      <c r="C1196" s="12">
        <v>110.9</v>
      </c>
      <c r="D1196" t="s">
        <v>5877</v>
      </c>
    </row>
    <row r="1197" spans="2:4" x14ac:dyDescent="0.35">
      <c r="B1197" s="9">
        <v>41009</v>
      </c>
      <c r="C1197" s="12">
        <v>91.8</v>
      </c>
      <c r="D1197" t="s">
        <v>5877</v>
      </c>
    </row>
    <row r="1198" spans="2:4" x14ac:dyDescent="0.35">
      <c r="B1198" s="9">
        <v>41010</v>
      </c>
      <c r="C1198" s="12">
        <v>91.8</v>
      </c>
      <c r="D1198" t="s">
        <v>5877</v>
      </c>
    </row>
    <row r="1199" spans="2:4" x14ac:dyDescent="0.35">
      <c r="B1199" s="9">
        <v>41011</v>
      </c>
      <c r="C1199" s="12">
        <v>192.3</v>
      </c>
      <c r="D1199" t="s">
        <v>5877</v>
      </c>
    </row>
    <row r="1200" spans="2:4" x14ac:dyDescent="0.35">
      <c r="B1200" s="9">
        <v>41012</v>
      </c>
      <c r="C1200" s="12">
        <v>166.2</v>
      </c>
      <c r="D1200" t="s">
        <v>5877</v>
      </c>
    </row>
    <row r="1201" spans="2:4" x14ac:dyDescent="0.35">
      <c r="B1201" s="9">
        <v>41013</v>
      </c>
      <c r="C1201" s="12">
        <v>168</v>
      </c>
      <c r="D1201" t="s">
        <v>5877</v>
      </c>
    </row>
    <row r="1202" spans="2:4" x14ac:dyDescent="0.35">
      <c r="B1202" s="9">
        <v>41014</v>
      </c>
      <c r="C1202" s="12">
        <v>157.30000000000001</v>
      </c>
      <c r="D1202" t="s">
        <v>5877</v>
      </c>
    </row>
    <row r="1203" spans="2:4" x14ac:dyDescent="0.35">
      <c r="B1203" s="9">
        <v>41015</v>
      </c>
      <c r="C1203" s="12">
        <v>147.6</v>
      </c>
      <c r="D1203" t="s">
        <v>5877</v>
      </c>
    </row>
    <row r="1204" spans="2:4" x14ac:dyDescent="0.35">
      <c r="B1204" s="9">
        <v>41016</v>
      </c>
      <c r="C1204" s="12">
        <v>166.2</v>
      </c>
      <c r="D1204" t="s">
        <v>5877</v>
      </c>
    </row>
    <row r="1205" spans="2:4" x14ac:dyDescent="0.35">
      <c r="B1205" s="9">
        <v>41017</v>
      </c>
      <c r="C1205" s="12">
        <v>133.1</v>
      </c>
      <c r="D1205" t="s">
        <v>5877</v>
      </c>
    </row>
    <row r="1206" spans="2:4" x14ac:dyDescent="0.35">
      <c r="B1206" s="9">
        <v>41018</v>
      </c>
      <c r="C1206" s="12">
        <v>143.1</v>
      </c>
      <c r="D1206" t="s">
        <v>5877</v>
      </c>
    </row>
    <row r="1207" spans="2:4" x14ac:dyDescent="0.35">
      <c r="B1207" s="9">
        <v>41019</v>
      </c>
      <c r="C1207" s="12">
        <v>157.1</v>
      </c>
      <c r="D1207" t="s">
        <v>5877</v>
      </c>
    </row>
    <row r="1208" spans="2:4" x14ac:dyDescent="0.35">
      <c r="B1208" s="9">
        <v>41020</v>
      </c>
      <c r="C1208" s="12">
        <v>115.8</v>
      </c>
      <c r="D1208" t="s">
        <v>5877</v>
      </c>
    </row>
    <row r="1209" spans="2:4" x14ac:dyDescent="0.35">
      <c r="B1209" s="9">
        <v>41021</v>
      </c>
      <c r="C1209" s="12">
        <v>93.8</v>
      </c>
      <c r="D1209" t="s">
        <v>5877</v>
      </c>
    </row>
    <row r="1210" spans="2:4" x14ac:dyDescent="0.35">
      <c r="B1210" s="9">
        <v>41022</v>
      </c>
      <c r="C1210" s="12">
        <v>103</v>
      </c>
      <c r="D1210" t="s">
        <v>5877</v>
      </c>
    </row>
    <row r="1211" spans="2:4" x14ac:dyDescent="0.35">
      <c r="B1211" s="9">
        <v>41023</v>
      </c>
      <c r="C1211" s="12">
        <v>105.3</v>
      </c>
      <c r="D1211" t="s">
        <v>5877</v>
      </c>
    </row>
    <row r="1212" spans="2:4" x14ac:dyDescent="0.35">
      <c r="B1212" s="9">
        <v>41024</v>
      </c>
      <c r="C1212" s="12">
        <v>108.8</v>
      </c>
      <c r="D1212" t="s">
        <v>5877</v>
      </c>
    </row>
    <row r="1213" spans="2:4" x14ac:dyDescent="0.35">
      <c r="B1213" s="9">
        <v>41025</v>
      </c>
      <c r="C1213" s="12">
        <v>90.4</v>
      </c>
      <c r="D1213" t="s">
        <v>5877</v>
      </c>
    </row>
    <row r="1214" spans="2:4" x14ac:dyDescent="0.35">
      <c r="B1214" s="9">
        <v>41026</v>
      </c>
      <c r="C1214" s="12">
        <v>77.7</v>
      </c>
      <c r="D1214" t="s">
        <v>5877</v>
      </c>
    </row>
    <row r="1215" spans="2:4" x14ac:dyDescent="0.35">
      <c r="B1215" s="9">
        <v>41027</v>
      </c>
      <c r="C1215" s="12">
        <v>68.099999999999994</v>
      </c>
      <c r="D1215" t="s">
        <v>5877</v>
      </c>
    </row>
    <row r="1216" spans="2:4" x14ac:dyDescent="0.35">
      <c r="B1216" s="9">
        <v>41028</v>
      </c>
      <c r="C1216" s="12">
        <v>61</v>
      </c>
      <c r="D1216" t="s">
        <v>5877</v>
      </c>
    </row>
    <row r="1217" spans="2:4" x14ac:dyDescent="0.35">
      <c r="B1217" s="9">
        <v>41029</v>
      </c>
      <c r="C1217" s="12">
        <v>76.2</v>
      </c>
      <c r="D1217" t="s">
        <v>5877</v>
      </c>
    </row>
    <row r="1218" spans="2:4" x14ac:dyDescent="0.35">
      <c r="B1218" s="9">
        <v>41030</v>
      </c>
      <c r="C1218" s="12">
        <v>98.3</v>
      </c>
      <c r="D1218" t="s">
        <v>5877</v>
      </c>
    </row>
    <row r="1219" spans="2:4" x14ac:dyDescent="0.35">
      <c r="B1219" s="9">
        <v>41031</v>
      </c>
      <c r="C1219" s="12">
        <v>92.6</v>
      </c>
      <c r="D1219" t="s">
        <v>5877</v>
      </c>
    </row>
    <row r="1220" spans="2:4" x14ac:dyDescent="0.35">
      <c r="B1220" s="9">
        <v>41032</v>
      </c>
      <c r="C1220" s="12">
        <v>101.3</v>
      </c>
      <c r="D1220" t="s">
        <v>5877</v>
      </c>
    </row>
    <row r="1221" spans="2:4" x14ac:dyDescent="0.35">
      <c r="B1221" s="9">
        <v>41033</v>
      </c>
      <c r="C1221" s="12">
        <v>120.5</v>
      </c>
      <c r="D1221" t="s">
        <v>5877</v>
      </c>
    </row>
    <row r="1222" spans="2:4" x14ac:dyDescent="0.35">
      <c r="B1222" s="9">
        <v>41034</v>
      </c>
      <c r="C1222" s="12">
        <v>128.4</v>
      </c>
      <c r="D1222" t="s">
        <v>5877</v>
      </c>
    </row>
    <row r="1223" spans="2:4" x14ac:dyDescent="0.35">
      <c r="B1223" s="9">
        <v>41035</v>
      </c>
      <c r="C1223" s="12">
        <v>113.9</v>
      </c>
      <c r="D1223" t="s">
        <v>5877</v>
      </c>
    </row>
    <row r="1224" spans="2:4" x14ac:dyDescent="0.35">
      <c r="B1224" s="9">
        <v>41036</v>
      </c>
      <c r="C1224" s="12">
        <v>166.6</v>
      </c>
      <c r="D1224" t="s">
        <v>5877</v>
      </c>
    </row>
    <row r="1225" spans="2:4" x14ac:dyDescent="0.35">
      <c r="B1225" s="9">
        <v>41037</v>
      </c>
      <c r="C1225" s="12">
        <v>161.9</v>
      </c>
      <c r="D1225" t="s">
        <v>5877</v>
      </c>
    </row>
    <row r="1226" spans="2:4" x14ac:dyDescent="0.35">
      <c r="B1226" s="9">
        <v>41038</v>
      </c>
      <c r="C1226" s="12">
        <v>115.5</v>
      </c>
      <c r="D1226" t="s">
        <v>5877</v>
      </c>
    </row>
    <row r="1227" spans="2:4" x14ac:dyDescent="0.35">
      <c r="B1227" s="9">
        <v>41039</v>
      </c>
      <c r="C1227" s="12">
        <v>88.3</v>
      </c>
      <c r="D1227" t="s">
        <v>5877</v>
      </c>
    </row>
    <row r="1228" spans="2:4" x14ac:dyDescent="0.35">
      <c r="B1228" s="9">
        <v>41040</v>
      </c>
      <c r="C1228" s="12">
        <v>72.099999999999994</v>
      </c>
      <c r="D1228" t="s">
        <v>5877</v>
      </c>
    </row>
    <row r="1229" spans="2:4" x14ac:dyDescent="0.35">
      <c r="B1229" s="9">
        <v>41041</v>
      </c>
      <c r="C1229" s="12">
        <v>65.5</v>
      </c>
      <c r="D1229" t="s">
        <v>5877</v>
      </c>
    </row>
    <row r="1230" spans="2:4" x14ac:dyDescent="0.35">
      <c r="B1230" s="9">
        <v>41042</v>
      </c>
      <c r="C1230" s="12">
        <v>90.5</v>
      </c>
      <c r="D1230" t="s">
        <v>5877</v>
      </c>
    </row>
    <row r="1231" spans="2:4" x14ac:dyDescent="0.35">
      <c r="B1231" s="9">
        <v>41043</v>
      </c>
      <c r="C1231" s="12">
        <v>79.400000000000006</v>
      </c>
      <c r="D1231" t="s">
        <v>5877</v>
      </c>
    </row>
    <row r="1232" spans="2:4" x14ac:dyDescent="0.35">
      <c r="B1232" s="9">
        <v>41044</v>
      </c>
      <c r="C1232" s="12">
        <v>84.5</v>
      </c>
      <c r="D1232" t="s">
        <v>5877</v>
      </c>
    </row>
    <row r="1233" spans="2:4" x14ac:dyDescent="0.35">
      <c r="B1233" s="9">
        <v>41045</v>
      </c>
      <c r="C1233" s="12">
        <v>102.8</v>
      </c>
      <c r="D1233" t="s">
        <v>5877</v>
      </c>
    </row>
    <row r="1234" spans="2:4" x14ac:dyDescent="0.35">
      <c r="B1234" s="9">
        <v>41046</v>
      </c>
      <c r="C1234" s="12">
        <v>93.3</v>
      </c>
      <c r="D1234" t="s">
        <v>5877</v>
      </c>
    </row>
    <row r="1235" spans="2:4" x14ac:dyDescent="0.35">
      <c r="B1235" s="9">
        <v>41047</v>
      </c>
      <c r="C1235" s="12">
        <v>76.900000000000006</v>
      </c>
      <c r="D1235" t="s">
        <v>5877</v>
      </c>
    </row>
    <row r="1236" spans="2:4" x14ac:dyDescent="0.35">
      <c r="B1236" s="9">
        <v>41048</v>
      </c>
      <c r="C1236" s="12">
        <v>93</v>
      </c>
      <c r="D1236" t="s">
        <v>5877</v>
      </c>
    </row>
    <row r="1237" spans="2:4" x14ac:dyDescent="0.35">
      <c r="B1237" s="9">
        <v>41049</v>
      </c>
      <c r="C1237" s="12">
        <v>96.2</v>
      </c>
      <c r="D1237" t="s">
        <v>5877</v>
      </c>
    </row>
    <row r="1238" spans="2:4" x14ac:dyDescent="0.35">
      <c r="B1238" s="9">
        <v>41050</v>
      </c>
      <c r="C1238" s="12">
        <v>77.599999999999994</v>
      </c>
      <c r="D1238" t="s">
        <v>5877</v>
      </c>
    </row>
    <row r="1239" spans="2:4" x14ac:dyDescent="0.35">
      <c r="B1239" s="9">
        <v>41051</v>
      </c>
      <c r="C1239" s="12">
        <v>65.400000000000006</v>
      </c>
      <c r="D1239" t="s">
        <v>5877</v>
      </c>
    </row>
    <row r="1240" spans="2:4" x14ac:dyDescent="0.35">
      <c r="B1240" s="9">
        <v>41052</v>
      </c>
      <c r="C1240" s="12">
        <v>58.1</v>
      </c>
      <c r="D1240" t="s">
        <v>5877</v>
      </c>
    </row>
    <row r="1241" spans="2:4" x14ac:dyDescent="0.35">
      <c r="B1241" s="9">
        <v>41053</v>
      </c>
      <c r="C1241" s="12">
        <v>74</v>
      </c>
      <c r="D1241" t="s">
        <v>5877</v>
      </c>
    </row>
    <row r="1242" spans="2:4" x14ac:dyDescent="0.35">
      <c r="B1242" s="9">
        <v>41054</v>
      </c>
      <c r="C1242" s="12">
        <v>85.2</v>
      </c>
      <c r="D1242" t="s">
        <v>5877</v>
      </c>
    </row>
    <row r="1243" spans="2:4" x14ac:dyDescent="0.35">
      <c r="B1243" s="9">
        <v>41055</v>
      </c>
      <c r="C1243" s="12">
        <v>73.5</v>
      </c>
      <c r="D1243" t="s">
        <v>5877</v>
      </c>
    </row>
    <row r="1244" spans="2:4" x14ac:dyDescent="0.35">
      <c r="B1244" s="9">
        <v>41056</v>
      </c>
      <c r="C1244" s="12">
        <v>63.9</v>
      </c>
      <c r="D1244" t="s">
        <v>5877</v>
      </c>
    </row>
    <row r="1245" spans="2:4" x14ac:dyDescent="0.35">
      <c r="B1245" s="9">
        <v>41057</v>
      </c>
      <c r="C1245" s="12">
        <v>78.400000000000006</v>
      </c>
      <c r="D1245" t="s">
        <v>5877</v>
      </c>
    </row>
    <row r="1246" spans="2:4" x14ac:dyDescent="0.35">
      <c r="B1246" s="9">
        <v>41058</v>
      </c>
      <c r="C1246" s="12">
        <v>85.1</v>
      </c>
      <c r="D1246" t="s">
        <v>5877</v>
      </c>
    </row>
    <row r="1247" spans="2:4" x14ac:dyDescent="0.35">
      <c r="B1247" s="9">
        <v>41059</v>
      </c>
      <c r="C1247" s="12">
        <v>80.7</v>
      </c>
      <c r="D1247" t="s">
        <v>5877</v>
      </c>
    </row>
    <row r="1248" spans="2:4" x14ac:dyDescent="0.35">
      <c r="B1248" s="9">
        <v>41060</v>
      </c>
      <c r="C1248" s="12">
        <v>66.7</v>
      </c>
      <c r="D1248" t="s">
        <v>5877</v>
      </c>
    </row>
    <row r="1249" spans="2:4" x14ac:dyDescent="0.35">
      <c r="B1249" s="9">
        <v>41061</v>
      </c>
      <c r="C1249" s="12">
        <v>56.9</v>
      </c>
      <c r="D1249" t="s">
        <v>5877</v>
      </c>
    </row>
    <row r="1250" spans="2:4" x14ac:dyDescent="0.35">
      <c r="B1250" s="9">
        <v>41062</v>
      </c>
      <c r="C1250" s="12">
        <v>49.7</v>
      </c>
      <c r="D1250" t="s">
        <v>5877</v>
      </c>
    </row>
    <row r="1251" spans="2:4" x14ac:dyDescent="0.35">
      <c r="B1251" s="9">
        <v>41063</v>
      </c>
      <c r="C1251" s="12">
        <v>44</v>
      </c>
      <c r="D1251" t="s">
        <v>5877</v>
      </c>
    </row>
    <row r="1252" spans="2:4" x14ac:dyDescent="0.35">
      <c r="B1252" s="9">
        <v>41064</v>
      </c>
      <c r="C1252" s="12">
        <v>39.299999999999997</v>
      </c>
      <c r="D1252" t="s">
        <v>5877</v>
      </c>
    </row>
    <row r="1253" spans="2:4" x14ac:dyDescent="0.35">
      <c r="B1253" s="9">
        <v>41065</v>
      </c>
      <c r="C1253" s="12">
        <v>35.799999999999997</v>
      </c>
      <c r="D1253" t="s">
        <v>5877</v>
      </c>
    </row>
    <row r="1254" spans="2:4" x14ac:dyDescent="0.35">
      <c r="B1254" s="9">
        <v>41066</v>
      </c>
      <c r="C1254" s="12">
        <v>32.200000000000003</v>
      </c>
      <c r="D1254" t="s">
        <v>5877</v>
      </c>
    </row>
    <row r="1255" spans="2:4" x14ac:dyDescent="0.35">
      <c r="B1255" s="9">
        <v>41067</v>
      </c>
      <c r="C1255" s="12">
        <v>28.8</v>
      </c>
      <c r="D1255" t="s">
        <v>5877</v>
      </c>
    </row>
    <row r="1256" spans="2:4" x14ac:dyDescent="0.35">
      <c r="B1256" s="9">
        <v>41068</v>
      </c>
      <c r="C1256" s="12">
        <v>25.8</v>
      </c>
      <c r="D1256" t="s">
        <v>5877</v>
      </c>
    </row>
    <row r="1257" spans="2:4" x14ac:dyDescent="0.35">
      <c r="B1257" s="9">
        <v>41069</v>
      </c>
      <c r="C1257" s="12">
        <v>23.2</v>
      </c>
      <c r="D1257" t="s">
        <v>5877</v>
      </c>
    </row>
    <row r="1258" spans="2:4" x14ac:dyDescent="0.35">
      <c r="B1258" s="9">
        <v>41070</v>
      </c>
      <c r="C1258" s="12">
        <v>20.9</v>
      </c>
      <c r="D1258" t="s">
        <v>5877</v>
      </c>
    </row>
    <row r="1259" spans="2:4" x14ac:dyDescent="0.35">
      <c r="B1259" s="9">
        <v>41071</v>
      </c>
      <c r="C1259" s="12">
        <v>18.8</v>
      </c>
      <c r="D1259" t="s">
        <v>5877</v>
      </c>
    </row>
    <row r="1260" spans="2:4" x14ac:dyDescent="0.35">
      <c r="B1260" s="9">
        <v>41072</v>
      </c>
      <c r="C1260" s="12">
        <v>17.100000000000001</v>
      </c>
      <c r="D1260" t="s">
        <v>5877</v>
      </c>
    </row>
    <row r="1261" spans="2:4" x14ac:dyDescent="0.35">
      <c r="B1261" s="9">
        <v>41073</v>
      </c>
      <c r="C1261" s="12">
        <v>15.3</v>
      </c>
      <c r="D1261" t="s">
        <v>5877</v>
      </c>
    </row>
    <row r="1262" spans="2:4" x14ac:dyDescent="0.35">
      <c r="B1262" s="9">
        <v>41074</v>
      </c>
      <c r="C1262" s="12">
        <v>13.8</v>
      </c>
      <c r="D1262" t="s">
        <v>5877</v>
      </c>
    </row>
    <row r="1263" spans="2:4" x14ac:dyDescent="0.35">
      <c r="B1263" s="9">
        <v>41075</v>
      </c>
      <c r="C1263" s="12">
        <v>12.6</v>
      </c>
      <c r="D1263" t="s">
        <v>5877</v>
      </c>
    </row>
    <row r="1264" spans="2:4" x14ac:dyDescent="0.35">
      <c r="B1264" s="9">
        <v>41076</v>
      </c>
      <c r="C1264" s="12">
        <v>11.3</v>
      </c>
      <c r="D1264" t="s">
        <v>5877</v>
      </c>
    </row>
    <row r="1265" spans="2:4" x14ac:dyDescent="0.35">
      <c r="B1265" s="9">
        <v>41077</v>
      </c>
      <c r="C1265" s="12">
        <v>10.1</v>
      </c>
      <c r="D1265" t="s">
        <v>5877</v>
      </c>
    </row>
    <row r="1266" spans="2:4" x14ac:dyDescent="0.35">
      <c r="B1266" s="9">
        <v>41078</v>
      </c>
      <c r="C1266" s="12">
        <v>9.1</v>
      </c>
      <c r="D1266" t="s">
        <v>5877</v>
      </c>
    </row>
    <row r="1267" spans="2:4" x14ac:dyDescent="0.35">
      <c r="B1267" s="9">
        <v>41079</v>
      </c>
      <c r="C1267" s="12">
        <v>8.5</v>
      </c>
      <c r="D1267" t="s">
        <v>5877</v>
      </c>
    </row>
    <row r="1268" spans="2:4" x14ac:dyDescent="0.35">
      <c r="B1268" s="9">
        <v>41080</v>
      </c>
      <c r="C1268" s="12">
        <v>8.3000000000000007</v>
      </c>
      <c r="D1268" t="s">
        <v>5877</v>
      </c>
    </row>
    <row r="1269" spans="2:4" x14ac:dyDescent="0.35">
      <c r="B1269" s="9">
        <v>41081</v>
      </c>
      <c r="C1269" s="12">
        <v>7.3</v>
      </c>
      <c r="D1269" t="s">
        <v>5877</v>
      </c>
    </row>
    <row r="1270" spans="2:4" x14ac:dyDescent="0.35">
      <c r="B1270" s="9">
        <v>41082</v>
      </c>
      <c r="C1270" s="12">
        <v>6.3</v>
      </c>
      <c r="D1270" t="s">
        <v>5877</v>
      </c>
    </row>
    <row r="1271" spans="2:4" x14ac:dyDescent="0.35">
      <c r="B1271" s="9">
        <v>41083</v>
      </c>
      <c r="C1271" s="12">
        <v>5.6</v>
      </c>
      <c r="D1271" t="s">
        <v>5877</v>
      </c>
    </row>
    <row r="1272" spans="2:4" x14ac:dyDescent="0.35">
      <c r="B1272" s="9">
        <v>41084</v>
      </c>
      <c r="C1272" s="12">
        <v>5.9</v>
      </c>
      <c r="D1272" t="s">
        <v>5877</v>
      </c>
    </row>
    <row r="1273" spans="2:4" x14ac:dyDescent="0.35">
      <c r="B1273" s="9">
        <v>41085</v>
      </c>
      <c r="C1273" s="12">
        <v>5.2</v>
      </c>
      <c r="D1273" t="s">
        <v>5877</v>
      </c>
    </row>
    <row r="1274" spans="2:4" x14ac:dyDescent="0.35">
      <c r="B1274" s="9">
        <v>41086</v>
      </c>
      <c r="C1274" s="12">
        <v>5.3</v>
      </c>
      <c r="D1274" t="s">
        <v>5877</v>
      </c>
    </row>
    <row r="1275" spans="2:4" x14ac:dyDescent="0.35">
      <c r="B1275" s="9">
        <v>41087</v>
      </c>
      <c r="C1275" s="12">
        <v>5.7</v>
      </c>
      <c r="D1275" t="s">
        <v>5877</v>
      </c>
    </row>
    <row r="1276" spans="2:4" x14ac:dyDescent="0.35">
      <c r="B1276" s="9">
        <v>41088</v>
      </c>
      <c r="C1276" s="12">
        <v>43.5</v>
      </c>
      <c r="D1276" t="s">
        <v>5877</v>
      </c>
    </row>
    <row r="1277" spans="2:4" x14ac:dyDescent="0.35">
      <c r="B1277" s="9">
        <v>41089</v>
      </c>
      <c r="C1277" s="12">
        <v>41.5</v>
      </c>
      <c r="D1277" t="s">
        <v>5877</v>
      </c>
    </row>
    <row r="1278" spans="2:4" x14ac:dyDescent="0.35">
      <c r="B1278" s="9">
        <v>41090</v>
      </c>
      <c r="C1278" s="12">
        <v>28.3</v>
      </c>
      <c r="D1278" t="s">
        <v>5877</v>
      </c>
    </row>
    <row r="1279" spans="2:4" x14ac:dyDescent="0.35">
      <c r="B1279" s="9">
        <v>41091</v>
      </c>
      <c r="C1279" s="12">
        <v>21.2</v>
      </c>
      <c r="D1279" t="s">
        <v>5877</v>
      </c>
    </row>
    <row r="1280" spans="2:4" x14ac:dyDescent="0.35">
      <c r="B1280" s="9">
        <v>41092</v>
      </c>
      <c r="C1280" s="12">
        <v>17</v>
      </c>
      <c r="D1280" t="s">
        <v>5877</v>
      </c>
    </row>
    <row r="1281" spans="2:4" x14ac:dyDescent="0.35">
      <c r="B1281" s="9">
        <v>41093</v>
      </c>
      <c r="C1281" s="12">
        <v>14.9</v>
      </c>
      <c r="D1281" t="s">
        <v>5877</v>
      </c>
    </row>
    <row r="1282" spans="2:4" x14ac:dyDescent="0.35">
      <c r="B1282" s="9">
        <v>41094</v>
      </c>
      <c r="C1282" s="12">
        <v>25.9</v>
      </c>
      <c r="D1282" t="s">
        <v>5877</v>
      </c>
    </row>
    <row r="1283" spans="2:4" x14ac:dyDescent="0.35">
      <c r="B1283" s="9">
        <v>41095</v>
      </c>
      <c r="C1283" s="12">
        <v>35</v>
      </c>
      <c r="D1283" t="s">
        <v>5877</v>
      </c>
    </row>
    <row r="1284" spans="2:4" x14ac:dyDescent="0.35">
      <c r="B1284" s="9">
        <v>41096</v>
      </c>
      <c r="C1284" s="12">
        <v>26.2</v>
      </c>
      <c r="D1284" t="s">
        <v>5877</v>
      </c>
    </row>
    <row r="1285" spans="2:4" x14ac:dyDescent="0.35">
      <c r="B1285" s="9">
        <v>41097</v>
      </c>
      <c r="C1285" s="12">
        <v>18.2</v>
      </c>
      <c r="D1285" t="s">
        <v>5877</v>
      </c>
    </row>
    <row r="1286" spans="2:4" x14ac:dyDescent="0.35">
      <c r="B1286" s="9">
        <v>41098</v>
      </c>
      <c r="C1286" s="12">
        <v>13.6</v>
      </c>
      <c r="D1286" t="s">
        <v>5877</v>
      </c>
    </row>
    <row r="1287" spans="2:4" x14ac:dyDescent="0.35">
      <c r="B1287" s="9">
        <v>41099</v>
      </c>
      <c r="C1287" s="12">
        <v>10.8</v>
      </c>
      <c r="D1287" t="s">
        <v>5877</v>
      </c>
    </row>
    <row r="1288" spans="2:4" x14ac:dyDescent="0.35">
      <c r="B1288" s="9">
        <v>41100</v>
      </c>
      <c r="C1288" s="12">
        <v>9</v>
      </c>
      <c r="D1288" t="s">
        <v>5877</v>
      </c>
    </row>
    <row r="1289" spans="2:4" x14ac:dyDescent="0.35">
      <c r="B1289" s="9">
        <v>41101</v>
      </c>
      <c r="C1289" s="12">
        <v>7.7</v>
      </c>
      <c r="D1289" t="s">
        <v>5877</v>
      </c>
    </row>
    <row r="1290" spans="2:4" x14ac:dyDescent="0.35">
      <c r="B1290" s="9">
        <v>41102</v>
      </c>
      <c r="C1290" s="12">
        <v>6.8</v>
      </c>
      <c r="D1290" t="s">
        <v>5877</v>
      </c>
    </row>
    <row r="1291" spans="2:4" x14ac:dyDescent="0.35">
      <c r="B1291" s="9">
        <v>41103</v>
      </c>
      <c r="C1291" s="12">
        <v>6</v>
      </c>
      <c r="D1291" t="s">
        <v>5877</v>
      </c>
    </row>
    <row r="1292" spans="2:4" x14ac:dyDescent="0.35">
      <c r="B1292" s="9">
        <v>41104</v>
      </c>
      <c r="C1292" s="12">
        <v>5.7</v>
      </c>
      <c r="D1292" t="s">
        <v>5877</v>
      </c>
    </row>
    <row r="1293" spans="2:4" x14ac:dyDescent="0.35">
      <c r="B1293" s="9">
        <v>41105</v>
      </c>
      <c r="C1293" s="12">
        <v>7.4</v>
      </c>
      <c r="D1293" t="s">
        <v>5877</v>
      </c>
    </row>
    <row r="1294" spans="2:4" x14ac:dyDescent="0.35">
      <c r="B1294" s="9">
        <v>41106</v>
      </c>
      <c r="C1294" s="12">
        <v>6.7</v>
      </c>
      <c r="D1294" t="s">
        <v>5877</v>
      </c>
    </row>
    <row r="1295" spans="2:4" x14ac:dyDescent="0.35">
      <c r="B1295" s="9">
        <v>41107</v>
      </c>
      <c r="C1295" s="12">
        <v>6</v>
      </c>
      <c r="D1295" t="s">
        <v>5877</v>
      </c>
    </row>
    <row r="1296" spans="2:4" x14ac:dyDescent="0.35">
      <c r="B1296" s="9">
        <v>41108</v>
      </c>
      <c r="C1296" s="12">
        <v>5.3</v>
      </c>
      <c r="D1296" t="s">
        <v>5877</v>
      </c>
    </row>
    <row r="1297" spans="2:4" x14ac:dyDescent="0.35">
      <c r="B1297" s="9">
        <v>41109</v>
      </c>
      <c r="C1297" s="12">
        <v>4.5999999999999996</v>
      </c>
      <c r="D1297" t="s">
        <v>5877</v>
      </c>
    </row>
    <row r="1298" spans="2:4" x14ac:dyDescent="0.35">
      <c r="B1298" s="9">
        <v>41110</v>
      </c>
      <c r="C1298" s="12">
        <v>4.0999999999999996</v>
      </c>
      <c r="D1298" t="s">
        <v>5877</v>
      </c>
    </row>
    <row r="1299" spans="2:4" x14ac:dyDescent="0.35">
      <c r="B1299" s="9">
        <v>41111</v>
      </c>
      <c r="C1299" s="12">
        <v>3.6</v>
      </c>
      <c r="D1299" t="s">
        <v>5877</v>
      </c>
    </row>
    <row r="1300" spans="2:4" x14ac:dyDescent="0.35">
      <c r="B1300" s="9">
        <v>41112</v>
      </c>
      <c r="C1300" s="12">
        <v>3.3</v>
      </c>
      <c r="D1300" t="s">
        <v>5877</v>
      </c>
    </row>
    <row r="1301" spans="2:4" x14ac:dyDescent="0.35">
      <c r="B1301" s="9">
        <v>41113</v>
      </c>
      <c r="C1301" s="12">
        <v>2.9</v>
      </c>
      <c r="D1301" t="s">
        <v>5877</v>
      </c>
    </row>
    <row r="1302" spans="2:4" x14ac:dyDescent="0.35">
      <c r="B1302" s="9">
        <v>41114</v>
      </c>
      <c r="C1302" s="12">
        <v>2.7</v>
      </c>
      <c r="D1302" t="s">
        <v>5877</v>
      </c>
    </row>
    <row r="1303" spans="2:4" x14ac:dyDescent="0.35">
      <c r="B1303" s="9">
        <v>41115</v>
      </c>
      <c r="C1303" s="12">
        <v>3.1</v>
      </c>
      <c r="D1303" t="s">
        <v>5877</v>
      </c>
    </row>
    <row r="1304" spans="2:4" x14ac:dyDescent="0.35">
      <c r="B1304" s="9">
        <v>41116</v>
      </c>
      <c r="C1304" s="12">
        <v>2.7</v>
      </c>
      <c r="D1304" t="s">
        <v>5877</v>
      </c>
    </row>
    <row r="1305" spans="2:4" x14ac:dyDescent="0.35">
      <c r="B1305" s="9">
        <v>41117</v>
      </c>
      <c r="C1305" s="12">
        <v>2.2999999999999998</v>
      </c>
      <c r="D1305" t="s">
        <v>5877</v>
      </c>
    </row>
    <row r="1306" spans="2:4" x14ac:dyDescent="0.35">
      <c r="B1306" s="9">
        <v>41118</v>
      </c>
      <c r="C1306" s="12">
        <v>3.5</v>
      </c>
      <c r="D1306" t="s">
        <v>5877</v>
      </c>
    </row>
    <row r="1307" spans="2:4" x14ac:dyDescent="0.35">
      <c r="B1307" s="9">
        <v>41119</v>
      </c>
      <c r="C1307" s="12">
        <v>2.9</v>
      </c>
      <c r="D1307" t="s">
        <v>5877</v>
      </c>
    </row>
    <row r="1308" spans="2:4" x14ac:dyDescent="0.35">
      <c r="B1308" s="9">
        <v>41120</v>
      </c>
      <c r="C1308" s="12">
        <v>2.8</v>
      </c>
      <c r="D1308" t="s">
        <v>5877</v>
      </c>
    </row>
    <row r="1309" spans="2:4" x14ac:dyDescent="0.35">
      <c r="B1309" s="9">
        <v>41121</v>
      </c>
      <c r="C1309" s="12">
        <v>2.1</v>
      </c>
      <c r="D1309" t="s">
        <v>5877</v>
      </c>
    </row>
    <row r="1310" spans="2:4" x14ac:dyDescent="0.35">
      <c r="B1310" s="9">
        <v>41122</v>
      </c>
      <c r="C1310" s="12">
        <v>1.6</v>
      </c>
      <c r="D1310" t="s">
        <v>5877</v>
      </c>
    </row>
    <row r="1311" spans="2:4" x14ac:dyDescent="0.35">
      <c r="B1311" s="9">
        <v>41123</v>
      </c>
      <c r="C1311" s="12">
        <v>1.4</v>
      </c>
      <c r="D1311" t="s">
        <v>5877</v>
      </c>
    </row>
    <row r="1312" spans="2:4" x14ac:dyDescent="0.35">
      <c r="B1312" s="9">
        <v>41124</v>
      </c>
      <c r="C1312" s="12">
        <v>1.1000000000000001</v>
      </c>
      <c r="D1312" t="s">
        <v>5877</v>
      </c>
    </row>
    <row r="1313" spans="2:4" x14ac:dyDescent="0.35">
      <c r="B1313" s="9">
        <v>41125</v>
      </c>
      <c r="C1313" s="12">
        <v>1</v>
      </c>
      <c r="D1313" t="s">
        <v>5877</v>
      </c>
    </row>
    <row r="1314" spans="2:4" x14ac:dyDescent="0.35">
      <c r="B1314" s="9">
        <v>41126</v>
      </c>
      <c r="C1314" s="12">
        <v>1.6</v>
      </c>
      <c r="D1314" t="s">
        <v>5877</v>
      </c>
    </row>
    <row r="1315" spans="2:4" x14ac:dyDescent="0.35">
      <c r="B1315" s="9">
        <v>41127</v>
      </c>
      <c r="C1315" s="12">
        <v>2</v>
      </c>
      <c r="D1315" t="s">
        <v>5877</v>
      </c>
    </row>
    <row r="1316" spans="2:4" x14ac:dyDescent="0.35">
      <c r="B1316" s="9">
        <v>41128</v>
      </c>
      <c r="C1316" s="12">
        <v>1.5</v>
      </c>
      <c r="D1316" t="s">
        <v>5877</v>
      </c>
    </row>
    <row r="1317" spans="2:4" x14ac:dyDescent="0.35">
      <c r="B1317" s="9">
        <v>41129</v>
      </c>
      <c r="C1317" s="12">
        <v>1.1000000000000001</v>
      </c>
      <c r="D1317" t="s">
        <v>5877</v>
      </c>
    </row>
    <row r="1318" spans="2:4" x14ac:dyDescent="0.35">
      <c r="B1318" s="9">
        <v>41130</v>
      </c>
      <c r="C1318" s="12">
        <v>2.4</v>
      </c>
      <c r="D1318" t="s">
        <v>5877</v>
      </c>
    </row>
    <row r="1319" spans="2:4" x14ac:dyDescent="0.35">
      <c r="B1319" s="9">
        <v>41131</v>
      </c>
      <c r="C1319" s="12">
        <v>21.5</v>
      </c>
      <c r="D1319" t="s">
        <v>5877</v>
      </c>
    </row>
    <row r="1320" spans="2:4" x14ac:dyDescent="0.35">
      <c r="B1320" s="9">
        <v>41132</v>
      </c>
      <c r="C1320" s="12">
        <v>17.399999999999999</v>
      </c>
      <c r="D1320" t="s">
        <v>5877</v>
      </c>
    </row>
    <row r="1321" spans="2:4" x14ac:dyDescent="0.35">
      <c r="B1321" s="9">
        <v>41133</v>
      </c>
      <c r="C1321" s="12">
        <v>20.2</v>
      </c>
      <c r="D1321" t="s">
        <v>5877</v>
      </c>
    </row>
    <row r="1322" spans="2:4" x14ac:dyDescent="0.35">
      <c r="B1322" s="9">
        <v>41134</v>
      </c>
      <c r="C1322" s="12">
        <v>20.9</v>
      </c>
      <c r="D1322" t="s">
        <v>5877</v>
      </c>
    </row>
    <row r="1323" spans="2:4" x14ac:dyDescent="0.35">
      <c r="B1323" s="9">
        <v>41135</v>
      </c>
      <c r="C1323" s="12">
        <v>26.3</v>
      </c>
      <c r="D1323" t="s">
        <v>5877</v>
      </c>
    </row>
    <row r="1324" spans="2:4" x14ac:dyDescent="0.35">
      <c r="B1324" s="9">
        <v>41136</v>
      </c>
      <c r="C1324" s="12">
        <v>24.7</v>
      </c>
      <c r="D1324" t="s">
        <v>5877</v>
      </c>
    </row>
    <row r="1325" spans="2:4" x14ac:dyDescent="0.35">
      <c r="B1325" s="9">
        <v>41137</v>
      </c>
      <c r="C1325" s="12">
        <v>18</v>
      </c>
      <c r="D1325" t="s">
        <v>5877</v>
      </c>
    </row>
    <row r="1326" spans="2:4" x14ac:dyDescent="0.35">
      <c r="B1326" s="9">
        <v>41138</v>
      </c>
      <c r="C1326" s="12">
        <v>16.399999999999999</v>
      </c>
      <c r="D1326" t="s">
        <v>5877</v>
      </c>
    </row>
    <row r="1327" spans="2:4" x14ac:dyDescent="0.35">
      <c r="B1327" s="9">
        <v>41139</v>
      </c>
      <c r="C1327" s="12">
        <v>15</v>
      </c>
      <c r="D1327" t="s">
        <v>5877</v>
      </c>
    </row>
    <row r="1328" spans="2:4" x14ac:dyDescent="0.35">
      <c r="B1328" s="9">
        <v>41140</v>
      </c>
      <c r="C1328" s="12">
        <v>42.8</v>
      </c>
      <c r="D1328" t="s">
        <v>5877</v>
      </c>
    </row>
    <row r="1329" spans="2:4" x14ac:dyDescent="0.35">
      <c r="B1329" s="9">
        <v>41141</v>
      </c>
      <c r="C1329" s="12">
        <v>35.9</v>
      </c>
      <c r="D1329" t="s">
        <v>5877</v>
      </c>
    </row>
    <row r="1330" spans="2:4" x14ac:dyDescent="0.35">
      <c r="B1330" s="9">
        <v>41142</v>
      </c>
      <c r="C1330" s="12">
        <v>28.4</v>
      </c>
      <c r="D1330" t="s">
        <v>5877</v>
      </c>
    </row>
    <row r="1331" spans="2:4" x14ac:dyDescent="0.35">
      <c r="B1331" s="9">
        <v>41143</v>
      </c>
      <c r="C1331" s="12">
        <v>26.4</v>
      </c>
      <c r="D1331" t="s">
        <v>5877</v>
      </c>
    </row>
    <row r="1332" spans="2:4" x14ac:dyDescent="0.35">
      <c r="B1332" s="9">
        <v>41144</v>
      </c>
      <c r="C1332" s="12">
        <v>25.8</v>
      </c>
      <c r="D1332" t="s">
        <v>5877</v>
      </c>
    </row>
    <row r="1333" spans="2:4" x14ac:dyDescent="0.35">
      <c r="B1333" s="9">
        <v>41145</v>
      </c>
      <c r="C1333" s="12">
        <v>24.2</v>
      </c>
      <c r="D1333" t="s">
        <v>5877</v>
      </c>
    </row>
    <row r="1334" spans="2:4" x14ac:dyDescent="0.35">
      <c r="B1334" s="9">
        <v>41146</v>
      </c>
      <c r="C1334" s="12">
        <v>20.399999999999999</v>
      </c>
      <c r="D1334" t="s">
        <v>5877</v>
      </c>
    </row>
    <row r="1335" spans="2:4" x14ac:dyDescent="0.35">
      <c r="B1335" s="9">
        <v>41147</v>
      </c>
      <c r="C1335" s="12">
        <v>18.600000000000001</v>
      </c>
      <c r="D1335" t="s">
        <v>5877</v>
      </c>
    </row>
    <row r="1336" spans="2:4" x14ac:dyDescent="0.35">
      <c r="B1336" s="9">
        <v>41148</v>
      </c>
      <c r="C1336" s="12">
        <v>29</v>
      </c>
      <c r="D1336" t="s">
        <v>5877</v>
      </c>
    </row>
    <row r="1337" spans="2:4" x14ac:dyDescent="0.35">
      <c r="B1337" s="9">
        <v>41149</v>
      </c>
      <c r="C1337" s="12">
        <v>29.4</v>
      </c>
      <c r="D1337" t="s">
        <v>5877</v>
      </c>
    </row>
    <row r="1338" spans="2:4" x14ac:dyDescent="0.35">
      <c r="B1338" s="9">
        <v>41150</v>
      </c>
      <c r="C1338" s="12">
        <v>63</v>
      </c>
      <c r="D1338" t="s">
        <v>5877</v>
      </c>
    </row>
    <row r="1339" spans="2:4" x14ac:dyDescent="0.35">
      <c r="B1339" s="9">
        <v>41151</v>
      </c>
      <c r="C1339" s="12">
        <v>118.8</v>
      </c>
      <c r="D1339" t="s">
        <v>5877</v>
      </c>
    </row>
    <row r="1340" spans="2:4" x14ac:dyDescent="0.35">
      <c r="B1340" s="9">
        <v>41152</v>
      </c>
      <c r="C1340" s="12">
        <v>89.6</v>
      </c>
      <c r="D1340" t="s">
        <v>5877</v>
      </c>
    </row>
    <row r="1341" spans="2:4" x14ac:dyDescent="0.35">
      <c r="B1341" s="9">
        <v>41153</v>
      </c>
      <c r="C1341" s="12">
        <v>72.7</v>
      </c>
      <c r="D1341" t="s">
        <v>5877</v>
      </c>
    </row>
    <row r="1342" spans="2:4" x14ac:dyDescent="0.35">
      <c r="B1342" s="9">
        <v>41154</v>
      </c>
      <c r="C1342" s="12">
        <v>86.4</v>
      </c>
      <c r="D1342" t="s">
        <v>5877</v>
      </c>
    </row>
    <row r="1343" spans="2:4" x14ac:dyDescent="0.35">
      <c r="B1343" s="9">
        <v>41155</v>
      </c>
      <c r="C1343" s="12">
        <v>65</v>
      </c>
      <c r="D1343" t="s">
        <v>5877</v>
      </c>
    </row>
    <row r="1344" spans="2:4" x14ac:dyDescent="0.35">
      <c r="B1344" s="9">
        <v>41156</v>
      </c>
      <c r="C1344" s="12">
        <v>52.9</v>
      </c>
      <c r="D1344" t="s">
        <v>5877</v>
      </c>
    </row>
    <row r="1345" spans="2:4" x14ac:dyDescent="0.35">
      <c r="B1345" s="9">
        <v>41157</v>
      </c>
      <c r="C1345" s="12">
        <v>52.5</v>
      </c>
      <c r="D1345" t="s">
        <v>5877</v>
      </c>
    </row>
    <row r="1346" spans="2:4" x14ac:dyDescent="0.35">
      <c r="B1346" s="9">
        <v>41158</v>
      </c>
      <c r="C1346" s="12">
        <v>76.400000000000006</v>
      </c>
      <c r="D1346" t="s">
        <v>5877</v>
      </c>
    </row>
    <row r="1347" spans="2:4" x14ac:dyDescent="0.35">
      <c r="B1347" s="9">
        <v>41159</v>
      </c>
      <c r="C1347" s="12">
        <v>66.3</v>
      </c>
      <c r="D1347" t="s">
        <v>5877</v>
      </c>
    </row>
    <row r="1348" spans="2:4" x14ac:dyDescent="0.35">
      <c r="B1348" s="9">
        <v>41160</v>
      </c>
      <c r="C1348" s="12">
        <v>68.900000000000006</v>
      </c>
      <c r="D1348" t="s">
        <v>5877</v>
      </c>
    </row>
    <row r="1349" spans="2:4" x14ac:dyDescent="0.35">
      <c r="B1349" s="9">
        <v>41161</v>
      </c>
      <c r="C1349" s="12">
        <v>107.7</v>
      </c>
      <c r="D1349" t="s">
        <v>5877</v>
      </c>
    </row>
    <row r="1350" spans="2:4" x14ac:dyDescent="0.35">
      <c r="B1350" s="9">
        <v>41162</v>
      </c>
      <c r="C1350" s="12">
        <v>92</v>
      </c>
      <c r="D1350" t="s">
        <v>5877</v>
      </c>
    </row>
    <row r="1351" spans="2:4" x14ac:dyDescent="0.35">
      <c r="B1351" s="9">
        <v>41163</v>
      </c>
      <c r="C1351" s="12">
        <v>72.2</v>
      </c>
      <c r="D1351" t="s">
        <v>5877</v>
      </c>
    </row>
    <row r="1352" spans="2:4" x14ac:dyDescent="0.35">
      <c r="B1352" s="9">
        <v>41164</v>
      </c>
      <c r="C1352" s="12">
        <v>92.1</v>
      </c>
      <c r="D1352" t="s">
        <v>5877</v>
      </c>
    </row>
    <row r="1353" spans="2:4" x14ac:dyDescent="0.35">
      <c r="B1353" s="9">
        <v>41165</v>
      </c>
      <c r="C1353" s="12">
        <v>73.900000000000006</v>
      </c>
      <c r="D1353" t="s">
        <v>5877</v>
      </c>
    </row>
    <row r="1354" spans="2:4" x14ac:dyDescent="0.35">
      <c r="B1354" s="9">
        <v>41166</v>
      </c>
      <c r="C1354" s="12">
        <v>70.2</v>
      </c>
      <c r="D1354" t="s">
        <v>5877</v>
      </c>
    </row>
    <row r="1355" spans="2:4" x14ac:dyDescent="0.35">
      <c r="B1355" s="9">
        <v>41167</v>
      </c>
      <c r="C1355" s="12">
        <v>92.6</v>
      </c>
      <c r="D1355" t="s">
        <v>5877</v>
      </c>
    </row>
    <row r="1356" spans="2:4" x14ac:dyDescent="0.35">
      <c r="B1356" s="9">
        <v>41168</v>
      </c>
      <c r="C1356" s="12">
        <v>95.3</v>
      </c>
      <c r="D1356" t="s">
        <v>5877</v>
      </c>
    </row>
    <row r="1357" spans="2:4" x14ac:dyDescent="0.35">
      <c r="B1357" s="9">
        <v>41169</v>
      </c>
      <c r="C1357" s="12">
        <v>92.5</v>
      </c>
      <c r="D1357" t="s">
        <v>5877</v>
      </c>
    </row>
    <row r="1358" spans="2:4" x14ac:dyDescent="0.35">
      <c r="B1358" s="9">
        <v>41170</v>
      </c>
      <c r="C1358" s="12">
        <v>106.5</v>
      </c>
      <c r="D1358" t="s">
        <v>5877</v>
      </c>
    </row>
    <row r="1359" spans="2:4" x14ac:dyDescent="0.35">
      <c r="B1359" s="9">
        <v>41171</v>
      </c>
      <c r="C1359" s="12">
        <v>98.3</v>
      </c>
      <c r="D1359" t="s">
        <v>5877</v>
      </c>
    </row>
    <row r="1360" spans="2:4" x14ac:dyDescent="0.35">
      <c r="B1360" s="9">
        <v>41172</v>
      </c>
      <c r="C1360" s="12">
        <v>77.900000000000006</v>
      </c>
      <c r="D1360" t="s">
        <v>5877</v>
      </c>
    </row>
    <row r="1361" spans="2:4" x14ac:dyDescent="0.35">
      <c r="B1361" s="9">
        <v>41173</v>
      </c>
      <c r="C1361" s="12">
        <v>88.5</v>
      </c>
      <c r="D1361" t="s">
        <v>5877</v>
      </c>
    </row>
    <row r="1362" spans="2:4" x14ac:dyDescent="0.35">
      <c r="B1362" s="9">
        <v>41174</v>
      </c>
      <c r="C1362" s="12">
        <v>119.9</v>
      </c>
      <c r="D1362" t="s">
        <v>5877</v>
      </c>
    </row>
    <row r="1363" spans="2:4" x14ac:dyDescent="0.35">
      <c r="B1363" s="9">
        <v>41175</v>
      </c>
      <c r="C1363" s="12">
        <v>114.7</v>
      </c>
      <c r="D1363" t="s">
        <v>5877</v>
      </c>
    </row>
    <row r="1364" spans="2:4" x14ac:dyDescent="0.35">
      <c r="B1364" s="9">
        <v>41176</v>
      </c>
      <c r="C1364" s="12">
        <v>84.4</v>
      </c>
      <c r="D1364" t="s">
        <v>5877</v>
      </c>
    </row>
    <row r="1365" spans="2:4" x14ac:dyDescent="0.35">
      <c r="B1365" s="9">
        <v>41177</v>
      </c>
      <c r="C1365" s="12">
        <v>69.400000000000006</v>
      </c>
      <c r="D1365" t="s">
        <v>5877</v>
      </c>
    </row>
    <row r="1366" spans="2:4" x14ac:dyDescent="0.35">
      <c r="B1366" s="9">
        <v>41178</v>
      </c>
      <c r="C1366" s="12">
        <v>100</v>
      </c>
      <c r="D1366" t="s">
        <v>5877</v>
      </c>
    </row>
    <row r="1367" spans="2:4" x14ac:dyDescent="0.35">
      <c r="B1367" s="9">
        <v>41179</v>
      </c>
      <c r="C1367" s="12">
        <v>103.5</v>
      </c>
      <c r="D1367" t="s">
        <v>5877</v>
      </c>
    </row>
    <row r="1368" spans="2:4" x14ac:dyDescent="0.35">
      <c r="B1368" s="9">
        <v>41180</v>
      </c>
      <c r="C1368" s="12">
        <v>98.4</v>
      </c>
      <c r="D1368" t="s">
        <v>5877</v>
      </c>
    </row>
    <row r="1369" spans="2:4" x14ac:dyDescent="0.35">
      <c r="B1369" s="9">
        <v>41181</v>
      </c>
      <c r="C1369" s="12">
        <v>107.6</v>
      </c>
      <c r="D1369" t="s">
        <v>5877</v>
      </c>
    </row>
    <row r="1370" spans="2:4" x14ac:dyDescent="0.35">
      <c r="B1370" s="9">
        <v>41182</v>
      </c>
      <c r="C1370" s="12">
        <v>86.2</v>
      </c>
      <c r="D1370" t="s">
        <v>5877</v>
      </c>
    </row>
    <row r="1371" spans="2:4" x14ac:dyDescent="0.35">
      <c r="B1371" s="9">
        <v>41183</v>
      </c>
      <c r="C1371" s="12">
        <v>126</v>
      </c>
      <c r="D1371" t="s">
        <v>5877</v>
      </c>
    </row>
    <row r="1372" spans="2:4" x14ac:dyDescent="0.35">
      <c r="B1372" s="9">
        <v>41184</v>
      </c>
      <c r="C1372" s="12">
        <v>146.9</v>
      </c>
      <c r="D1372" t="s">
        <v>5877</v>
      </c>
    </row>
    <row r="1373" spans="2:4" x14ac:dyDescent="0.35">
      <c r="B1373" s="9">
        <v>41185</v>
      </c>
      <c r="C1373" s="12">
        <v>108</v>
      </c>
      <c r="D1373" t="s">
        <v>5877</v>
      </c>
    </row>
    <row r="1374" spans="2:4" x14ac:dyDescent="0.35">
      <c r="B1374" s="9">
        <v>41186</v>
      </c>
      <c r="C1374" s="12">
        <v>90.7</v>
      </c>
      <c r="D1374" t="s">
        <v>5877</v>
      </c>
    </row>
    <row r="1375" spans="2:4" x14ac:dyDescent="0.35">
      <c r="B1375" s="9">
        <v>41187</v>
      </c>
      <c r="C1375" s="12">
        <v>107.3</v>
      </c>
      <c r="D1375" t="s">
        <v>5877</v>
      </c>
    </row>
    <row r="1376" spans="2:4" x14ac:dyDescent="0.35">
      <c r="B1376" s="9">
        <v>41188</v>
      </c>
      <c r="C1376" s="12">
        <v>122.6</v>
      </c>
      <c r="D1376" t="s">
        <v>5877</v>
      </c>
    </row>
    <row r="1377" spans="2:4" x14ac:dyDescent="0.35">
      <c r="B1377" s="9">
        <v>41189</v>
      </c>
      <c r="C1377" s="12">
        <v>115.3</v>
      </c>
      <c r="D1377" t="s">
        <v>5877</v>
      </c>
    </row>
    <row r="1378" spans="2:4" x14ac:dyDescent="0.35">
      <c r="B1378" s="9">
        <v>41190</v>
      </c>
      <c r="C1378" s="12">
        <v>163.1</v>
      </c>
      <c r="D1378" t="s">
        <v>5877</v>
      </c>
    </row>
    <row r="1379" spans="2:4" x14ac:dyDescent="0.35">
      <c r="B1379" s="9">
        <v>41191</v>
      </c>
      <c r="C1379" s="12">
        <v>202.9</v>
      </c>
      <c r="D1379" t="s">
        <v>5877</v>
      </c>
    </row>
    <row r="1380" spans="2:4" x14ac:dyDescent="0.35">
      <c r="B1380" s="9">
        <v>41192</v>
      </c>
      <c r="C1380" s="12">
        <v>146.9</v>
      </c>
      <c r="D1380" t="s">
        <v>5877</v>
      </c>
    </row>
    <row r="1381" spans="2:4" x14ac:dyDescent="0.35">
      <c r="B1381" s="9">
        <v>41193</v>
      </c>
      <c r="C1381" s="12">
        <v>147.80000000000001</v>
      </c>
      <c r="D1381" t="s">
        <v>5877</v>
      </c>
    </row>
    <row r="1382" spans="2:4" x14ac:dyDescent="0.35">
      <c r="B1382" s="9">
        <v>41194</v>
      </c>
      <c r="C1382" s="12">
        <v>134.19999999999999</v>
      </c>
      <c r="D1382" t="s">
        <v>5877</v>
      </c>
    </row>
    <row r="1383" spans="2:4" x14ac:dyDescent="0.35">
      <c r="B1383" s="9">
        <v>41195</v>
      </c>
      <c r="C1383" s="12">
        <v>112</v>
      </c>
      <c r="D1383" t="s">
        <v>5877</v>
      </c>
    </row>
    <row r="1384" spans="2:4" x14ac:dyDescent="0.35">
      <c r="B1384" s="9">
        <v>41196</v>
      </c>
      <c r="C1384" s="12">
        <v>158.30000000000001</v>
      </c>
      <c r="D1384" t="s">
        <v>5877</v>
      </c>
    </row>
    <row r="1385" spans="2:4" x14ac:dyDescent="0.35">
      <c r="B1385" s="9">
        <v>41197</v>
      </c>
      <c r="C1385" s="12">
        <v>117.9</v>
      </c>
      <c r="D1385" t="s">
        <v>5877</v>
      </c>
    </row>
    <row r="1386" spans="2:4" x14ac:dyDescent="0.35">
      <c r="B1386" s="9">
        <v>41198</v>
      </c>
      <c r="C1386" s="12">
        <v>94.2</v>
      </c>
      <c r="D1386" t="s">
        <v>5877</v>
      </c>
    </row>
    <row r="1387" spans="2:4" x14ac:dyDescent="0.35">
      <c r="B1387" s="9">
        <v>41199</v>
      </c>
      <c r="C1387" s="12">
        <v>89.9</v>
      </c>
      <c r="D1387" t="s">
        <v>5877</v>
      </c>
    </row>
    <row r="1388" spans="2:4" x14ac:dyDescent="0.35">
      <c r="B1388" s="9">
        <v>41200</v>
      </c>
      <c r="C1388" s="12">
        <v>133.4</v>
      </c>
      <c r="D1388" t="s">
        <v>5877</v>
      </c>
    </row>
    <row r="1389" spans="2:4" x14ac:dyDescent="0.35">
      <c r="B1389" s="9">
        <v>41201</v>
      </c>
      <c r="C1389" s="12">
        <v>158.9</v>
      </c>
      <c r="D1389" t="s">
        <v>5877</v>
      </c>
    </row>
    <row r="1390" spans="2:4" x14ac:dyDescent="0.35">
      <c r="B1390" s="9">
        <v>41202</v>
      </c>
      <c r="C1390" s="12">
        <v>172.3</v>
      </c>
      <c r="D1390" t="s">
        <v>5877</v>
      </c>
    </row>
    <row r="1391" spans="2:4" x14ac:dyDescent="0.35">
      <c r="B1391" s="9">
        <v>41203</v>
      </c>
      <c r="C1391" s="12">
        <v>161.19999999999999</v>
      </c>
      <c r="D1391" t="s">
        <v>5877</v>
      </c>
    </row>
    <row r="1392" spans="2:4" x14ac:dyDescent="0.35">
      <c r="B1392" s="9">
        <v>41204</v>
      </c>
      <c r="C1392" s="12">
        <v>180.5</v>
      </c>
      <c r="D1392" t="s">
        <v>5877</v>
      </c>
    </row>
    <row r="1393" spans="2:4" x14ac:dyDescent="0.35">
      <c r="B1393" s="9">
        <v>41205</v>
      </c>
      <c r="C1393" s="12">
        <v>164.8</v>
      </c>
      <c r="D1393" t="s">
        <v>5877</v>
      </c>
    </row>
    <row r="1394" spans="2:4" x14ac:dyDescent="0.35">
      <c r="B1394" s="9">
        <v>41206</v>
      </c>
      <c r="C1394" s="12">
        <v>122.8</v>
      </c>
      <c r="D1394" t="s">
        <v>5877</v>
      </c>
    </row>
    <row r="1395" spans="2:4" x14ac:dyDescent="0.35">
      <c r="B1395" s="9">
        <v>41207</v>
      </c>
      <c r="C1395" s="12">
        <v>109.1</v>
      </c>
      <c r="D1395" t="s">
        <v>5877</v>
      </c>
    </row>
    <row r="1396" spans="2:4" x14ac:dyDescent="0.35">
      <c r="B1396" s="9">
        <v>41208</v>
      </c>
      <c r="C1396" s="12">
        <v>169.5</v>
      </c>
      <c r="D1396" t="s">
        <v>5877</v>
      </c>
    </row>
    <row r="1397" spans="2:4" x14ac:dyDescent="0.35">
      <c r="B1397" s="9">
        <v>41209</v>
      </c>
      <c r="C1397" s="12">
        <v>153.5</v>
      </c>
      <c r="D1397" t="s">
        <v>5877</v>
      </c>
    </row>
    <row r="1398" spans="2:4" x14ac:dyDescent="0.35">
      <c r="B1398" s="9">
        <v>41210</v>
      </c>
      <c r="C1398" s="12">
        <v>114.6</v>
      </c>
      <c r="D1398" t="s">
        <v>5877</v>
      </c>
    </row>
    <row r="1399" spans="2:4" x14ac:dyDescent="0.35">
      <c r="B1399" s="9">
        <v>41211</v>
      </c>
      <c r="C1399" s="12">
        <v>156.5</v>
      </c>
      <c r="D1399" t="s">
        <v>5877</v>
      </c>
    </row>
    <row r="1400" spans="2:4" x14ac:dyDescent="0.35">
      <c r="B1400" s="9">
        <v>41212</v>
      </c>
      <c r="C1400" s="12">
        <v>152.19999999999999</v>
      </c>
      <c r="D1400" t="s">
        <v>5877</v>
      </c>
    </row>
    <row r="1401" spans="2:4" x14ac:dyDescent="0.35">
      <c r="B1401" s="9">
        <v>41213</v>
      </c>
      <c r="C1401" s="12">
        <v>154.4</v>
      </c>
      <c r="D1401" t="s">
        <v>5877</v>
      </c>
    </row>
    <row r="1402" spans="2:4" x14ac:dyDescent="0.35">
      <c r="B1402" s="9">
        <v>41214</v>
      </c>
      <c r="C1402" s="12">
        <v>126.8</v>
      </c>
      <c r="D1402" t="s">
        <v>5877</v>
      </c>
    </row>
    <row r="1403" spans="2:4" x14ac:dyDescent="0.35">
      <c r="B1403" s="9">
        <v>41215</v>
      </c>
      <c r="C1403" s="12">
        <v>97</v>
      </c>
      <c r="D1403" t="s">
        <v>5877</v>
      </c>
    </row>
    <row r="1404" spans="2:4" x14ac:dyDescent="0.35">
      <c r="B1404" s="9">
        <v>41216</v>
      </c>
      <c r="C1404" s="12">
        <v>91.4</v>
      </c>
      <c r="D1404" t="s">
        <v>5877</v>
      </c>
    </row>
    <row r="1405" spans="2:4" x14ac:dyDescent="0.35">
      <c r="B1405" s="9">
        <v>41217</v>
      </c>
      <c r="C1405" s="12">
        <v>181.2</v>
      </c>
      <c r="D1405" t="s">
        <v>5877</v>
      </c>
    </row>
    <row r="1406" spans="2:4" x14ac:dyDescent="0.35">
      <c r="B1406" s="9">
        <v>41218</v>
      </c>
      <c r="C1406" s="12">
        <v>181.5</v>
      </c>
      <c r="D1406" t="s">
        <v>5877</v>
      </c>
    </row>
    <row r="1407" spans="2:4" x14ac:dyDescent="0.35">
      <c r="B1407" s="9">
        <v>41219</v>
      </c>
      <c r="C1407" s="12">
        <v>156.30000000000001</v>
      </c>
      <c r="D1407" t="s">
        <v>5877</v>
      </c>
    </row>
    <row r="1408" spans="2:4" x14ac:dyDescent="0.35">
      <c r="B1408" s="9">
        <v>41220</v>
      </c>
      <c r="C1408" s="12">
        <v>129.30000000000001</v>
      </c>
      <c r="D1408" t="s">
        <v>5877</v>
      </c>
    </row>
    <row r="1409" spans="2:4" x14ac:dyDescent="0.35">
      <c r="B1409" s="9">
        <v>41221</v>
      </c>
      <c r="C1409" s="12">
        <v>126.3</v>
      </c>
      <c r="D1409" t="s">
        <v>5877</v>
      </c>
    </row>
    <row r="1410" spans="2:4" x14ac:dyDescent="0.35">
      <c r="B1410" s="9">
        <v>41222</v>
      </c>
      <c r="C1410" s="12">
        <v>143.4</v>
      </c>
      <c r="D1410" t="s">
        <v>5877</v>
      </c>
    </row>
    <row r="1411" spans="2:4" x14ac:dyDescent="0.35">
      <c r="B1411" s="9">
        <v>41223</v>
      </c>
      <c r="C1411" s="12">
        <v>190.9</v>
      </c>
      <c r="D1411" t="s">
        <v>5877</v>
      </c>
    </row>
    <row r="1412" spans="2:4" x14ac:dyDescent="0.35">
      <c r="B1412" s="9">
        <v>41224</v>
      </c>
      <c r="C1412" s="12">
        <v>143.1</v>
      </c>
      <c r="D1412" t="s">
        <v>5877</v>
      </c>
    </row>
    <row r="1413" spans="2:4" x14ac:dyDescent="0.35">
      <c r="B1413" s="9">
        <v>41225</v>
      </c>
      <c r="C1413" s="12">
        <v>148.80000000000001</v>
      </c>
      <c r="D1413" t="s">
        <v>5877</v>
      </c>
    </row>
    <row r="1414" spans="2:4" x14ac:dyDescent="0.35">
      <c r="B1414" s="9">
        <v>41226</v>
      </c>
      <c r="C1414" s="12">
        <v>114.7</v>
      </c>
      <c r="D1414" t="s">
        <v>5877</v>
      </c>
    </row>
    <row r="1415" spans="2:4" x14ac:dyDescent="0.35">
      <c r="B1415" s="9">
        <v>41227</v>
      </c>
      <c r="C1415" s="12">
        <v>148.6</v>
      </c>
      <c r="D1415" t="s">
        <v>5877</v>
      </c>
    </row>
    <row r="1416" spans="2:4" x14ac:dyDescent="0.35">
      <c r="B1416" s="9">
        <v>41228</v>
      </c>
      <c r="C1416" s="12">
        <v>126.9</v>
      </c>
      <c r="D1416" t="s">
        <v>5877</v>
      </c>
    </row>
    <row r="1417" spans="2:4" x14ac:dyDescent="0.35">
      <c r="B1417" s="9">
        <v>41229</v>
      </c>
      <c r="C1417" s="12">
        <v>136</v>
      </c>
      <c r="D1417" t="s">
        <v>5877</v>
      </c>
    </row>
    <row r="1418" spans="2:4" x14ac:dyDescent="0.35">
      <c r="B1418" s="9">
        <v>41230</v>
      </c>
      <c r="C1418" s="12">
        <v>113.8</v>
      </c>
      <c r="D1418" t="s">
        <v>5877</v>
      </c>
    </row>
    <row r="1419" spans="2:4" x14ac:dyDescent="0.35">
      <c r="B1419" s="9">
        <v>41231</v>
      </c>
      <c r="C1419" s="12">
        <v>96.3</v>
      </c>
      <c r="D1419" t="s">
        <v>5877</v>
      </c>
    </row>
    <row r="1420" spans="2:4" x14ac:dyDescent="0.35">
      <c r="B1420" s="9">
        <v>41232</v>
      </c>
      <c r="C1420" s="12">
        <v>116.2</v>
      </c>
      <c r="D1420" t="s">
        <v>5877</v>
      </c>
    </row>
    <row r="1421" spans="2:4" x14ac:dyDescent="0.35">
      <c r="B1421" s="9">
        <v>41233</v>
      </c>
      <c r="C1421" s="12">
        <v>146.80000000000001</v>
      </c>
      <c r="D1421" t="s">
        <v>5877</v>
      </c>
    </row>
    <row r="1422" spans="2:4" x14ac:dyDescent="0.35">
      <c r="B1422" s="9">
        <v>41234</v>
      </c>
      <c r="C1422" s="12">
        <v>142.9</v>
      </c>
      <c r="D1422" t="s">
        <v>5877</v>
      </c>
    </row>
    <row r="1423" spans="2:4" x14ac:dyDescent="0.35">
      <c r="B1423" s="9">
        <v>41235</v>
      </c>
      <c r="C1423" s="12">
        <v>152.30000000000001</v>
      </c>
      <c r="D1423" t="s">
        <v>5877</v>
      </c>
    </row>
    <row r="1424" spans="2:4" x14ac:dyDescent="0.35">
      <c r="B1424" s="9">
        <v>41236</v>
      </c>
      <c r="C1424" s="12">
        <v>140.80000000000001</v>
      </c>
      <c r="D1424" t="s">
        <v>5877</v>
      </c>
    </row>
    <row r="1425" spans="2:4" x14ac:dyDescent="0.35">
      <c r="B1425" s="9">
        <v>41237</v>
      </c>
      <c r="C1425" s="12">
        <v>108.3</v>
      </c>
      <c r="D1425" t="s">
        <v>5877</v>
      </c>
    </row>
    <row r="1426" spans="2:4" x14ac:dyDescent="0.35">
      <c r="B1426" s="9">
        <v>41238</v>
      </c>
      <c r="C1426" s="12">
        <v>113.6</v>
      </c>
      <c r="D1426" t="s">
        <v>5877</v>
      </c>
    </row>
    <row r="1427" spans="2:4" x14ac:dyDescent="0.35">
      <c r="B1427" s="9">
        <v>41239</v>
      </c>
      <c r="C1427" s="12">
        <v>91.2</v>
      </c>
      <c r="D1427" t="s">
        <v>5877</v>
      </c>
    </row>
    <row r="1428" spans="2:4" x14ac:dyDescent="0.35">
      <c r="B1428" s="9">
        <v>41240</v>
      </c>
      <c r="C1428" s="12">
        <v>108.1</v>
      </c>
      <c r="D1428" t="s">
        <v>5877</v>
      </c>
    </row>
    <row r="1429" spans="2:4" x14ac:dyDescent="0.35">
      <c r="B1429" s="9">
        <v>41241</v>
      </c>
      <c r="C1429" s="12">
        <v>145.30000000000001</v>
      </c>
      <c r="D1429" t="s">
        <v>5877</v>
      </c>
    </row>
    <row r="1430" spans="2:4" x14ac:dyDescent="0.35">
      <c r="B1430" s="9">
        <v>41242</v>
      </c>
      <c r="C1430" s="12">
        <v>139.9</v>
      </c>
      <c r="D1430" t="s">
        <v>5877</v>
      </c>
    </row>
    <row r="1431" spans="2:4" x14ac:dyDescent="0.35">
      <c r="B1431" s="9">
        <v>41243</v>
      </c>
      <c r="C1431" s="12">
        <v>138.5</v>
      </c>
      <c r="D1431" t="s">
        <v>5877</v>
      </c>
    </row>
    <row r="1432" spans="2:4" x14ac:dyDescent="0.35">
      <c r="B1432" s="9">
        <v>41244</v>
      </c>
      <c r="C1432" s="12">
        <v>110.9</v>
      </c>
      <c r="D1432" t="s">
        <v>5877</v>
      </c>
    </row>
    <row r="1433" spans="2:4" x14ac:dyDescent="0.35">
      <c r="B1433" s="9">
        <v>41245</v>
      </c>
      <c r="C1433" s="12">
        <v>138.19999999999999</v>
      </c>
      <c r="D1433" t="s">
        <v>5877</v>
      </c>
    </row>
    <row r="1434" spans="2:4" x14ac:dyDescent="0.35">
      <c r="B1434" s="9">
        <v>41246</v>
      </c>
      <c r="C1434" s="12">
        <v>175.1</v>
      </c>
      <c r="D1434" t="s">
        <v>5877</v>
      </c>
    </row>
    <row r="1435" spans="2:4" x14ac:dyDescent="0.35">
      <c r="B1435" s="9">
        <v>41247</v>
      </c>
      <c r="C1435" s="12">
        <v>172.9</v>
      </c>
      <c r="D1435" t="s">
        <v>5877</v>
      </c>
    </row>
    <row r="1436" spans="2:4" x14ac:dyDescent="0.35">
      <c r="B1436" s="9">
        <v>41248</v>
      </c>
      <c r="C1436" s="12">
        <v>194.8</v>
      </c>
      <c r="D1436" t="s">
        <v>5877</v>
      </c>
    </row>
    <row r="1437" spans="2:4" x14ac:dyDescent="0.35">
      <c r="B1437" s="9">
        <v>41249</v>
      </c>
      <c r="C1437" s="12">
        <v>155.4</v>
      </c>
      <c r="D1437" t="s">
        <v>5877</v>
      </c>
    </row>
    <row r="1438" spans="2:4" x14ac:dyDescent="0.35">
      <c r="B1438" s="9">
        <v>41250</v>
      </c>
      <c r="C1438" s="12">
        <v>117.9</v>
      </c>
      <c r="D1438" t="s">
        <v>5877</v>
      </c>
    </row>
    <row r="1439" spans="2:4" x14ac:dyDescent="0.35">
      <c r="B1439" s="9">
        <v>41251</v>
      </c>
      <c r="C1439" s="12">
        <v>123.9</v>
      </c>
      <c r="D1439" t="s">
        <v>5877</v>
      </c>
    </row>
    <row r="1440" spans="2:4" x14ac:dyDescent="0.35">
      <c r="B1440" s="9">
        <v>41252</v>
      </c>
      <c r="C1440" s="12">
        <v>109.8</v>
      </c>
      <c r="D1440" t="s">
        <v>5877</v>
      </c>
    </row>
    <row r="1441" spans="2:4" x14ac:dyDescent="0.35">
      <c r="B1441" s="9">
        <v>41253</v>
      </c>
      <c r="C1441" s="12">
        <v>137.80000000000001</v>
      </c>
      <c r="D1441" t="s">
        <v>5877</v>
      </c>
    </row>
    <row r="1442" spans="2:4" x14ac:dyDescent="0.35">
      <c r="B1442" s="9">
        <v>41254</v>
      </c>
      <c r="C1442" s="12">
        <v>106.9</v>
      </c>
      <c r="D1442" t="s">
        <v>5877</v>
      </c>
    </row>
    <row r="1443" spans="2:4" x14ac:dyDescent="0.35">
      <c r="B1443" s="9">
        <v>41255</v>
      </c>
      <c r="C1443" s="12">
        <v>87.4</v>
      </c>
      <c r="D1443" t="s">
        <v>5877</v>
      </c>
    </row>
    <row r="1444" spans="2:4" x14ac:dyDescent="0.35">
      <c r="B1444" s="9">
        <v>41256</v>
      </c>
      <c r="C1444" s="12">
        <v>87.7</v>
      </c>
      <c r="D1444" t="s">
        <v>5877</v>
      </c>
    </row>
    <row r="1445" spans="2:4" x14ac:dyDescent="0.35">
      <c r="B1445" s="9">
        <v>41257</v>
      </c>
      <c r="C1445" s="12">
        <v>92.6</v>
      </c>
      <c r="D1445" t="s">
        <v>5877</v>
      </c>
    </row>
    <row r="1446" spans="2:4" x14ac:dyDescent="0.35">
      <c r="B1446" s="9">
        <v>41258</v>
      </c>
      <c r="C1446" s="12">
        <v>149.6</v>
      </c>
      <c r="D1446" t="s">
        <v>5877</v>
      </c>
    </row>
    <row r="1447" spans="2:4" x14ac:dyDescent="0.35">
      <c r="B1447" s="9">
        <v>41259</v>
      </c>
      <c r="C1447" s="12">
        <v>123.6</v>
      </c>
      <c r="D1447" t="s">
        <v>5877</v>
      </c>
    </row>
    <row r="1448" spans="2:4" x14ac:dyDescent="0.35">
      <c r="B1448" s="9">
        <v>41260</v>
      </c>
      <c r="C1448" s="12">
        <v>96.7</v>
      </c>
      <c r="D1448" t="s">
        <v>5877</v>
      </c>
    </row>
    <row r="1449" spans="2:4" x14ac:dyDescent="0.35">
      <c r="B1449" s="9">
        <v>41261</v>
      </c>
      <c r="C1449" s="12">
        <v>111.2</v>
      </c>
      <c r="D1449" t="s">
        <v>5877</v>
      </c>
    </row>
    <row r="1450" spans="2:4" x14ac:dyDescent="0.35">
      <c r="B1450" s="9">
        <v>41262</v>
      </c>
      <c r="C1450" s="12">
        <v>164</v>
      </c>
      <c r="D1450" t="s">
        <v>5877</v>
      </c>
    </row>
    <row r="1451" spans="2:4" x14ac:dyDescent="0.35">
      <c r="B1451" s="9">
        <v>41263</v>
      </c>
      <c r="C1451" s="12">
        <v>201.9</v>
      </c>
      <c r="D1451" t="s">
        <v>5877</v>
      </c>
    </row>
    <row r="1452" spans="2:4" x14ac:dyDescent="0.35">
      <c r="B1452" s="9">
        <v>41264</v>
      </c>
      <c r="C1452" s="12">
        <v>198.6</v>
      </c>
      <c r="D1452" t="s">
        <v>5877</v>
      </c>
    </row>
    <row r="1453" spans="2:4" x14ac:dyDescent="0.35">
      <c r="B1453" s="9">
        <v>41265</v>
      </c>
      <c r="C1453" s="12">
        <v>142.80000000000001</v>
      </c>
      <c r="D1453" t="s">
        <v>5877</v>
      </c>
    </row>
    <row r="1454" spans="2:4" x14ac:dyDescent="0.35">
      <c r="B1454" s="9">
        <v>41266</v>
      </c>
      <c r="C1454" s="12">
        <v>109.6</v>
      </c>
      <c r="D1454" t="s">
        <v>5877</v>
      </c>
    </row>
    <row r="1455" spans="2:4" x14ac:dyDescent="0.35">
      <c r="B1455" s="9">
        <v>41267</v>
      </c>
      <c r="C1455" s="12">
        <v>105.5</v>
      </c>
      <c r="D1455" t="s">
        <v>5877</v>
      </c>
    </row>
    <row r="1456" spans="2:4" x14ac:dyDescent="0.35">
      <c r="B1456" s="9">
        <v>41268</v>
      </c>
      <c r="C1456" s="12">
        <v>141.30000000000001</v>
      </c>
      <c r="D1456" t="s">
        <v>5877</v>
      </c>
    </row>
    <row r="1457" spans="2:4" x14ac:dyDescent="0.35">
      <c r="B1457" s="9">
        <v>41269</v>
      </c>
      <c r="C1457" s="12">
        <v>111.2</v>
      </c>
      <c r="D1457" t="s">
        <v>5877</v>
      </c>
    </row>
    <row r="1458" spans="2:4" x14ac:dyDescent="0.35">
      <c r="B1458" s="9">
        <v>41270</v>
      </c>
      <c r="C1458" s="12">
        <v>130.69999999999999</v>
      </c>
      <c r="D1458" t="s">
        <v>5877</v>
      </c>
    </row>
    <row r="1459" spans="2:4" x14ac:dyDescent="0.35">
      <c r="B1459" s="9">
        <v>41271</v>
      </c>
      <c r="C1459" s="12">
        <v>142</v>
      </c>
      <c r="D1459" t="s">
        <v>5877</v>
      </c>
    </row>
    <row r="1460" spans="2:4" x14ac:dyDescent="0.35">
      <c r="B1460" s="9">
        <v>41272</v>
      </c>
      <c r="C1460" s="12">
        <v>154.30000000000001</v>
      </c>
      <c r="D1460" t="s">
        <v>5877</v>
      </c>
    </row>
    <row r="1461" spans="2:4" x14ac:dyDescent="0.35">
      <c r="B1461" s="9">
        <v>41273</v>
      </c>
      <c r="C1461" s="12">
        <v>174.9</v>
      </c>
      <c r="D1461" t="s">
        <v>5877</v>
      </c>
    </row>
    <row r="1462" spans="2:4" x14ac:dyDescent="0.35">
      <c r="B1462" s="9">
        <v>41274</v>
      </c>
      <c r="C1462" s="12">
        <v>182.6</v>
      </c>
      <c r="D1462" t="s">
        <v>5877</v>
      </c>
    </row>
    <row r="1463" spans="2:4" x14ac:dyDescent="0.35">
      <c r="B1463" s="9">
        <v>41275</v>
      </c>
      <c r="C1463" s="12">
        <v>143.6</v>
      </c>
      <c r="D1463" t="s">
        <v>5877</v>
      </c>
    </row>
    <row r="1464" spans="2:4" x14ac:dyDescent="0.35">
      <c r="B1464" s="9">
        <v>41276</v>
      </c>
      <c r="C1464" s="12">
        <v>146.6</v>
      </c>
      <c r="D1464" t="s">
        <v>5877</v>
      </c>
    </row>
    <row r="1465" spans="2:4" x14ac:dyDescent="0.35">
      <c r="B1465" s="9">
        <v>41277</v>
      </c>
      <c r="C1465" s="12">
        <v>114.5</v>
      </c>
      <c r="D1465" t="s">
        <v>5877</v>
      </c>
    </row>
    <row r="1466" spans="2:4" x14ac:dyDescent="0.35">
      <c r="B1466" s="9">
        <v>41278</v>
      </c>
      <c r="C1466" s="12">
        <v>143.1</v>
      </c>
      <c r="D1466" t="s">
        <v>5877</v>
      </c>
    </row>
    <row r="1467" spans="2:4" x14ac:dyDescent="0.35">
      <c r="B1467" s="9">
        <v>41279</v>
      </c>
      <c r="C1467" s="12">
        <v>128.4</v>
      </c>
      <c r="D1467" t="s">
        <v>5877</v>
      </c>
    </row>
    <row r="1468" spans="2:4" x14ac:dyDescent="0.35">
      <c r="B1468" s="9">
        <v>41280</v>
      </c>
      <c r="C1468" s="12">
        <v>99.3</v>
      </c>
      <c r="D1468" t="s">
        <v>5877</v>
      </c>
    </row>
    <row r="1469" spans="2:4" x14ac:dyDescent="0.35">
      <c r="B1469" s="9">
        <v>41281</v>
      </c>
      <c r="C1469" s="12">
        <v>81.8</v>
      </c>
      <c r="D1469" t="s">
        <v>5877</v>
      </c>
    </row>
    <row r="1470" spans="2:4" x14ac:dyDescent="0.35">
      <c r="B1470" s="9">
        <v>41282</v>
      </c>
      <c r="C1470" s="12">
        <v>85.9</v>
      </c>
      <c r="D1470" t="s">
        <v>5877</v>
      </c>
    </row>
    <row r="1471" spans="2:4" x14ac:dyDescent="0.35">
      <c r="B1471" s="9">
        <v>41283</v>
      </c>
      <c r="C1471" s="12">
        <v>87.3</v>
      </c>
      <c r="D1471" t="s">
        <v>5877</v>
      </c>
    </row>
    <row r="1472" spans="2:4" x14ac:dyDescent="0.35">
      <c r="B1472" s="9">
        <v>41284</v>
      </c>
      <c r="C1472" s="12">
        <v>125</v>
      </c>
      <c r="D1472" t="s">
        <v>5877</v>
      </c>
    </row>
    <row r="1473" spans="2:4" x14ac:dyDescent="0.35">
      <c r="B1473" s="9">
        <v>41285</v>
      </c>
      <c r="C1473" s="12">
        <v>124.5</v>
      </c>
      <c r="D1473" t="s">
        <v>5877</v>
      </c>
    </row>
    <row r="1474" spans="2:4" x14ac:dyDescent="0.35">
      <c r="B1474" s="9">
        <v>41286</v>
      </c>
      <c r="C1474" s="12">
        <v>120.4</v>
      </c>
      <c r="D1474" t="s">
        <v>5877</v>
      </c>
    </row>
    <row r="1475" spans="2:4" x14ac:dyDescent="0.35">
      <c r="B1475" s="9">
        <v>41287</v>
      </c>
      <c r="C1475" s="12">
        <v>104.1</v>
      </c>
      <c r="D1475" t="s">
        <v>5877</v>
      </c>
    </row>
    <row r="1476" spans="2:4" x14ac:dyDescent="0.35">
      <c r="B1476" s="9">
        <v>41288</v>
      </c>
      <c r="C1476" s="12">
        <v>95.3</v>
      </c>
      <c r="D1476" t="s">
        <v>5877</v>
      </c>
    </row>
    <row r="1477" spans="2:4" x14ac:dyDescent="0.35">
      <c r="B1477" s="9">
        <v>41289</v>
      </c>
      <c r="C1477" s="12">
        <v>131.9</v>
      </c>
      <c r="D1477" t="s">
        <v>5877</v>
      </c>
    </row>
    <row r="1478" spans="2:4" x14ac:dyDescent="0.35">
      <c r="B1478" s="9">
        <v>41290</v>
      </c>
      <c r="C1478" s="12">
        <v>101.9</v>
      </c>
      <c r="D1478" t="s">
        <v>5877</v>
      </c>
    </row>
    <row r="1479" spans="2:4" x14ac:dyDescent="0.35">
      <c r="B1479" s="9">
        <v>41291</v>
      </c>
      <c r="C1479" s="12">
        <v>100</v>
      </c>
      <c r="D1479" t="s">
        <v>5877</v>
      </c>
    </row>
    <row r="1480" spans="2:4" x14ac:dyDescent="0.35">
      <c r="B1480" s="9">
        <v>41292</v>
      </c>
      <c r="C1480" s="12">
        <v>87.6</v>
      </c>
      <c r="D1480" t="s">
        <v>5877</v>
      </c>
    </row>
    <row r="1481" spans="2:4" x14ac:dyDescent="0.35">
      <c r="B1481" s="9">
        <v>41293</v>
      </c>
      <c r="C1481" s="12">
        <v>107.1</v>
      </c>
      <c r="D1481" t="s">
        <v>5877</v>
      </c>
    </row>
    <row r="1482" spans="2:4" x14ac:dyDescent="0.35">
      <c r="B1482" s="9">
        <v>41294</v>
      </c>
      <c r="C1482" s="12">
        <v>126.5</v>
      </c>
      <c r="D1482" t="s">
        <v>5877</v>
      </c>
    </row>
    <row r="1483" spans="2:4" x14ac:dyDescent="0.35">
      <c r="B1483" s="9">
        <v>41295</v>
      </c>
      <c r="C1483" s="12">
        <v>120.3</v>
      </c>
      <c r="D1483" t="s">
        <v>5877</v>
      </c>
    </row>
    <row r="1484" spans="2:4" x14ac:dyDescent="0.35">
      <c r="B1484" s="9">
        <v>41296</v>
      </c>
      <c r="C1484" s="12">
        <v>93.2</v>
      </c>
      <c r="D1484" t="s">
        <v>5877</v>
      </c>
    </row>
    <row r="1485" spans="2:4" x14ac:dyDescent="0.35">
      <c r="B1485" s="9">
        <v>41297</v>
      </c>
      <c r="C1485" s="12">
        <v>109.9</v>
      </c>
      <c r="D1485" t="s">
        <v>5877</v>
      </c>
    </row>
    <row r="1486" spans="2:4" x14ac:dyDescent="0.35">
      <c r="B1486" s="9">
        <v>41298</v>
      </c>
      <c r="C1486" s="12">
        <v>140.80000000000001</v>
      </c>
      <c r="D1486" t="s">
        <v>5877</v>
      </c>
    </row>
    <row r="1487" spans="2:4" x14ac:dyDescent="0.35">
      <c r="B1487" s="9">
        <v>41299</v>
      </c>
      <c r="C1487" s="12">
        <v>115.5</v>
      </c>
      <c r="D1487" t="s">
        <v>5877</v>
      </c>
    </row>
    <row r="1488" spans="2:4" x14ac:dyDescent="0.35">
      <c r="B1488" s="9">
        <v>41300</v>
      </c>
      <c r="C1488" s="12">
        <v>121.1</v>
      </c>
      <c r="D1488" t="s">
        <v>5877</v>
      </c>
    </row>
    <row r="1489" spans="2:4" x14ac:dyDescent="0.35">
      <c r="B1489" s="9">
        <v>41301</v>
      </c>
      <c r="C1489" s="12">
        <v>133</v>
      </c>
      <c r="D1489" t="s">
        <v>5877</v>
      </c>
    </row>
    <row r="1490" spans="2:4" x14ac:dyDescent="0.35">
      <c r="B1490" s="9">
        <v>41302</v>
      </c>
      <c r="C1490" s="12">
        <v>108.2</v>
      </c>
      <c r="D1490" t="s">
        <v>5877</v>
      </c>
    </row>
    <row r="1491" spans="2:4" x14ac:dyDescent="0.35">
      <c r="B1491" s="9">
        <v>41303</v>
      </c>
      <c r="C1491" s="12">
        <v>147.5</v>
      </c>
      <c r="D1491" t="s">
        <v>5877</v>
      </c>
    </row>
    <row r="1492" spans="2:4" x14ac:dyDescent="0.35">
      <c r="B1492" s="9">
        <v>41304</v>
      </c>
      <c r="C1492" s="12">
        <v>112.4</v>
      </c>
      <c r="D1492" t="s">
        <v>5877</v>
      </c>
    </row>
    <row r="1493" spans="2:4" x14ac:dyDescent="0.35">
      <c r="B1493" s="9">
        <v>41305</v>
      </c>
      <c r="C1493" s="12">
        <v>111.1</v>
      </c>
      <c r="D1493" t="s">
        <v>5877</v>
      </c>
    </row>
    <row r="1494" spans="2:4" x14ac:dyDescent="0.35">
      <c r="B1494" s="9">
        <v>41306</v>
      </c>
      <c r="C1494" s="12">
        <v>102.8</v>
      </c>
      <c r="D1494" t="s">
        <v>5877</v>
      </c>
    </row>
    <row r="1495" spans="2:4" x14ac:dyDescent="0.35">
      <c r="B1495" s="9">
        <v>41307</v>
      </c>
      <c r="C1495" s="12">
        <v>85.2</v>
      </c>
      <c r="D1495" t="s">
        <v>5877</v>
      </c>
    </row>
    <row r="1496" spans="2:4" x14ac:dyDescent="0.35">
      <c r="B1496" s="9">
        <v>41308</v>
      </c>
      <c r="C1496" s="12">
        <v>73.8</v>
      </c>
      <c r="D1496" t="s">
        <v>5877</v>
      </c>
    </row>
    <row r="1497" spans="2:4" x14ac:dyDescent="0.35">
      <c r="B1497" s="9">
        <v>41309</v>
      </c>
      <c r="C1497" s="12">
        <v>85.9</v>
      </c>
      <c r="D1497" t="s">
        <v>5877</v>
      </c>
    </row>
    <row r="1498" spans="2:4" x14ac:dyDescent="0.35">
      <c r="B1498" s="9">
        <v>41310</v>
      </c>
      <c r="C1498" s="12">
        <v>74.3</v>
      </c>
      <c r="D1498" t="s">
        <v>5877</v>
      </c>
    </row>
    <row r="1499" spans="2:4" x14ac:dyDescent="0.35">
      <c r="B1499" s="9">
        <v>41311</v>
      </c>
      <c r="C1499" s="12">
        <v>65.099999999999994</v>
      </c>
      <c r="D1499" t="s">
        <v>5877</v>
      </c>
    </row>
    <row r="1500" spans="2:4" x14ac:dyDescent="0.35">
      <c r="B1500" s="9">
        <v>41312</v>
      </c>
      <c r="C1500" s="12">
        <v>73.599999999999994</v>
      </c>
      <c r="D1500" t="s">
        <v>5877</v>
      </c>
    </row>
    <row r="1501" spans="2:4" x14ac:dyDescent="0.35">
      <c r="B1501" s="9">
        <v>41313</v>
      </c>
      <c r="C1501" s="12">
        <v>107.3</v>
      </c>
      <c r="D1501" t="s">
        <v>5877</v>
      </c>
    </row>
    <row r="1502" spans="2:4" x14ac:dyDescent="0.35">
      <c r="B1502" s="9">
        <v>41314</v>
      </c>
      <c r="C1502" s="12">
        <v>106.7</v>
      </c>
      <c r="D1502" t="s">
        <v>5877</v>
      </c>
    </row>
    <row r="1503" spans="2:4" x14ac:dyDescent="0.35">
      <c r="B1503" s="9">
        <v>41315</v>
      </c>
      <c r="C1503" s="12">
        <v>86.3</v>
      </c>
      <c r="D1503" t="s">
        <v>5877</v>
      </c>
    </row>
    <row r="1504" spans="2:4" x14ac:dyDescent="0.35">
      <c r="B1504" s="9">
        <v>41316</v>
      </c>
      <c r="C1504" s="12">
        <v>102.4</v>
      </c>
      <c r="D1504" t="s">
        <v>5877</v>
      </c>
    </row>
    <row r="1505" spans="2:4" x14ac:dyDescent="0.35">
      <c r="B1505" s="9">
        <v>41317</v>
      </c>
      <c r="C1505" s="12">
        <v>124</v>
      </c>
      <c r="D1505" t="s">
        <v>5877</v>
      </c>
    </row>
    <row r="1506" spans="2:4" x14ac:dyDescent="0.35">
      <c r="B1506" s="9">
        <v>41318</v>
      </c>
      <c r="C1506" s="12">
        <v>104.6</v>
      </c>
      <c r="D1506" t="s">
        <v>5877</v>
      </c>
    </row>
    <row r="1507" spans="2:4" x14ac:dyDescent="0.35">
      <c r="B1507" s="9">
        <v>41319</v>
      </c>
      <c r="C1507" s="12">
        <v>127.6</v>
      </c>
      <c r="D1507" t="s">
        <v>5877</v>
      </c>
    </row>
    <row r="1508" spans="2:4" x14ac:dyDescent="0.35">
      <c r="B1508" s="9">
        <v>41320</v>
      </c>
      <c r="C1508" s="12">
        <v>122.5</v>
      </c>
      <c r="D1508" t="s">
        <v>5877</v>
      </c>
    </row>
    <row r="1509" spans="2:4" x14ac:dyDescent="0.35">
      <c r="B1509" s="9">
        <v>41321</v>
      </c>
      <c r="C1509" s="12">
        <v>111.7</v>
      </c>
      <c r="D1509" t="s">
        <v>5877</v>
      </c>
    </row>
    <row r="1510" spans="2:4" x14ac:dyDescent="0.35">
      <c r="B1510" s="9">
        <v>41322</v>
      </c>
      <c r="C1510" s="12">
        <v>93.2</v>
      </c>
      <c r="D1510" t="s">
        <v>5877</v>
      </c>
    </row>
    <row r="1511" spans="2:4" x14ac:dyDescent="0.35">
      <c r="B1511" s="9">
        <v>41323</v>
      </c>
      <c r="C1511" s="12">
        <v>103.1</v>
      </c>
      <c r="D1511" t="s">
        <v>5877</v>
      </c>
    </row>
    <row r="1512" spans="2:4" x14ac:dyDescent="0.35">
      <c r="B1512" s="9">
        <v>41324</v>
      </c>
      <c r="C1512" s="12">
        <v>104.1</v>
      </c>
      <c r="D1512" t="s">
        <v>5877</v>
      </c>
    </row>
    <row r="1513" spans="2:4" x14ac:dyDescent="0.35">
      <c r="B1513" s="9">
        <v>41325</v>
      </c>
      <c r="C1513" s="12">
        <v>133.9</v>
      </c>
      <c r="D1513" t="s">
        <v>5877</v>
      </c>
    </row>
    <row r="1514" spans="2:4" x14ac:dyDescent="0.35">
      <c r="B1514" s="9">
        <v>41326</v>
      </c>
      <c r="C1514" s="12">
        <v>101.9</v>
      </c>
      <c r="D1514" t="s">
        <v>5877</v>
      </c>
    </row>
    <row r="1515" spans="2:4" x14ac:dyDescent="0.35">
      <c r="B1515" s="9">
        <v>41327</v>
      </c>
      <c r="C1515" s="12">
        <v>85.1</v>
      </c>
      <c r="D1515" t="s">
        <v>5877</v>
      </c>
    </row>
    <row r="1516" spans="2:4" x14ac:dyDescent="0.35">
      <c r="B1516" s="9">
        <v>41328</v>
      </c>
      <c r="C1516" s="12">
        <v>105.5</v>
      </c>
      <c r="D1516" t="s">
        <v>5877</v>
      </c>
    </row>
    <row r="1517" spans="2:4" x14ac:dyDescent="0.35">
      <c r="B1517" s="9">
        <v>41329</v>
      </c>
      <c r="C1517" s="12">
        <v>90.5</v>
      </c>
      <c r="D1517" t="s">
        <v>5877</v>
      </c>
    </row>
    <row r="1518" spans="2:4" x14ac:dyDescent="0.35">
      <c r="B1518" s="9">
        <v>41330</v>
      </c>
      <c r="C1518" s="12">
        <v>81.099999999999994</v>
      </c>
      <c r="D1518" t="s">
        <v>5877</v>
      </c>
    </row>
    <row r="1519" spans="2:4" x14ac:dyDescent="0.35">
      <c r="B1519" s="9">
        <v>41331</v>
      </c>
      <c r="C1519" s="12">
        <v>147.69999999999999</v>
      </c>
      <c r="D1519" t="s">
        <v>5877</v>
      </c>
    </row>
    <row r="1520" spans="2:4" x14ac:dyDescent="0.35">
      <c r="B1520" s="9">
        <v>41332</v>
      </c>
      <c r="C1520" s="12">
        <v>165.5</v>
      </c>
      <c r="D1520" t="s">
        <v>5877</v>
      </c>
    </row>
    <row r="1521" spans="2:4" x14ac:dyDescent="0.35">
      <c r="B1521" s="9">
        <v>41333</v>
      </c>
      <c r="C1521" s="12">
        <v>122.1</v>
      </c>
      <c r="D1521" t="s">
        <v>5877</v>
      </c>
    </row>
    <row r="1522" spans="2:4" x14ac:dyDescent="0.35">
      <c r="B1522" s="9">
        <v>41334</v>
      </c>
      <c r="C1522" s="12">
        <v>93.8</v>
      </c>
      <c r="D1522" t="s">
        <v>5877</v>
      </c>
    </row>
    <row r="1523" spans="2:4" x14ac:dyDescent="0.35">
      <c r="B1523" s="9">
        <v>41335</v>
      </c>
      <c r="C1523" s="12">
        <v>80</v>
      </c>
      <c r="D1523" t="s">
        <v>5877</v>
      </c>
    </row>
    <row r="1524" spans="2:4" x14ac:dyDescent="0.35">
      <c r="B1524" s="9">
        <v>41336</v>
      </c>
      <c r="C1524" s="12">
        <v>140.30000000000001</v>
      </c>
      <c r="D1524" t="s">
        <v>5877</v>
      </c>
    </row>
    <row r="1525" spans="2:4" x14ac:dyDescent="0.35">
      <c r="B1525" s="9">
        <v>41337</v>
      </c>
      <c r="C1525" s="12">
        <v>170.4</v>
      </c>
      <c r="D1525" t="s">
        <v>5877</v>
      </c>
    </row>
    <row r="1526" spans="2:4" x14ac:dyDescent="0.35">
      <c r="B1526" s="9">
        <v>41338</v>
      </c>
      <c r="C1526" s="12">
        <v>135.9</v>
      </c>
      <c r="D1526" t="s">
        <v>5877</v>
      </c>
    </row>
    <row r="1527" spans="2:4" x14ac:dyDescent="0.35">
      <c r="B1527" s="9">
        <v>41339</v>
      </c>
      <c r="C1527" s="12">
        <v>157.5</v>
      </c>
      <c r="D1527" t="s">
        <v>5877</v>
      </c>
    </row>
    <row r="1528" spans="2:4" x14ac:dyDescent="0.35">
      <c r="B1528" s="9">
        <v>41340</v>
      </c>
      <c r="C1528" s="12">
        <v>122.7</v>
      </c>
      <c r="D1528" t="s">
        <v>5877</v>
      </c>
    </row>
    <row r="1529" spans="2:4" x14ac:dyDescent="0.35">
      <c r="B1529" s="9">
        <v>41341</v>
      </c>
      <c r="C1529" s="12">
        <v>147.9</v>
      </c>
      <c r="D1529" t="s">
        <v>5877</v>
      </c>
    </row>
    <row r="1530" spans="2:4" x14ac:dyDescent="0.35">
      <c r="B1530" s="9">
        <v>41342</v>
      </c>
      <c r="C1530" s="12">
        <v>116.3</v>
      </c>
      <c r="D1530" t="s">
        <v>5877</v>
      </c>
    </row>
    <row r="1531" spans="2:4" x14ac:dyDescent="0.35">
      <c r="B1531" s="9">
        <v>41343</v>
      </c>
      <c r="C1531" s="12">
        <v>114.6</v>
      </c>
      <c r="D1531" t="s">
        <v>5877</v>
      </c>
    </row>
    <row r="1532" spans="2:4" x14ac:dyDescent="0.35">
      <c r="B1532" s="9">
        <v>41344</v>
      </c>
      <c r="C1532" s="12">
        <v>120.1</v>
      </c>
      <c r="D1532" t="s">
        <v>5877</v>
      </c>
    </row>
    <row r="1533" spans="2:4" x14ac:dyDescent="0.35">
      <c r="B1533" s="9">
        <v>41345</v>
      </c>
      <c r="C1533" s="12">
        <v>133.69999999999999</v>
      </c>
      <c r="D1533" t="s">
        <v>5877</v>
      </c>
    </row>
    <row r="1534" spans="2:4" x14ac:dyDescent="0.35">
      <c r="B1534" s="9">
        <v>41346</v>
      </c>
      <c r="C1534" s="12">
        <v>125.3</v>
      </c>
      <c r="D1534" t="s">
        <v>5877</v>
      </c>
    </row>
    <row r="1535" spans="2:4" x14ac:dyDescent="0.35">
      <c r="B1535" s="9">
        <v>41347</v>
      </c>
      <c r="C1535" s="12">
        <v>104</v>
      </c>
      <c r="D1535" t="s">
        <v>5877</v>
      </c>
    </row>
    <row r="1536" spans="2:4" x14ac:dyDescent="0.35">
      <c r="B1536" s="9">
        <v>41348</v>
      </c>
      <c r="C1536" s="12">
        <v>89.1</v>
      </c>
      <c r="D1536" t="s">
        <v>5877</v>
      </c>
    </row>
    <row r="1537" spans="2:4" x14ac:dyDescent="0.35">
      <c r="B1537" s="9">
        <v>41349</v>
      </c>
      <c r="C1537" s="12">
        <v>132.5</v>
      </c>
      <c r="D1537" t="s">
        <v>5877</v>
      </c>
    </row>
    <row r="1538" spans="2:4" x14ac:dyDescent="0.35">
      <c r="B1538" s="9">
        <v>41350</v>
      </c>
      <c r="C1538" s="12">
        <v>165.9</v>
      </c>
      <c r="D1538" t="s">
        <v>5877</v>
      </c>
    </row>
    <row r="1539" spans="2:4" x14ac:dyDescent="0.35">
      <c r="B1539" s="9">
        <v>41351</v>
      </c>
      <c r="C1539" s="12">
        <v>140.4</v>
      </c>
      <c r="D1539" t="s">
        <v>5877</v>
      </c>
    </row>
    <row r="1540" spans="2:4" x14ac:dyDescent="0.35">
      <c r="B1540" s="9">
        <v>41352</v>
      </c>
      <c r="C1540" s="12">
        <v>148.5</v>
      </c>
      <c r="D1540" t="s">
        <v>5877</v>
      </c>
    </row>
    <row r="1541" spans="2:4" x14ac:dyDescent="0.35">
      <c r="B1541" s="9">
        <v>41353</v>
      </c>
      <c r="C1541" s="12">
        <v>113.1</v>
      </c>
      <c r="D1541" t="s">
        <v>5877</v>
      </c>
    </row>
    <row r="1542" spans="2:4" x14ac:dyDescent="0.35">
      <c r="B1542" s="9">
        <v>41354</v>
      </c>
      <c r="C1542" s="12">
        <v>109.1</v>
      </c>
      <c r="D1542" t="s">
        <v>5877</v>
      </c>
    </row>
    <row r="1543" spans="2:4" x14ac:dyDescent="0.35">
      <c r="B1543" s="9">
        <v>41355</v>
      </c>
      <c r="C1543" s="12">
        <v>102</v>
      </c>
      <c r="D1543" t="s">
        <v>5877</v>
      </c>
    </row>
    <row r="1544" spans="2:4" x14ac:dyDescent="0.35">
      <c r="B1544" s="9">
        <v>41356</v>
      </c>
      <c r="C1544" s="12">
        <v>107.7</v>
      </c>
      <c r="D1544" t="s">
        <v>5877</v>
      </c>
    </row>
    <row r="1545" spans="2:4" x14ac:dyDescent="0.35">
      <c r="B1545" s="9">
        <v>41357</v>
      </c>
      <c r="C1545" s="12">
        <v>141</v>
      </c>
      <c r="D1545" t="s">
        <v>5877</v>
      </c>
    </row>
    <row r="1546" spans="2:4" x14ac:dyDescent="0.35">
      <c r="B1546" s="9">
        <v>41358</v>
      </c>
      <c r="C1546" s="12">
        <v>110.2</v>
      </c>
      <c r="D1546" t="s">
        <v>5877</v>
      </c>
    </row>
    <row r="1547" spans="2:4" x14ac:dyDescent="0.35">
      <c r="B1547" s="9">
        <v>41359</v>
      </c>
      <c r="C1547" s="12">
        <v>96.4</v>
      </c>
      <c r="D1547" t="s">
        <v>5877</v>
      </c>
    </row>
    <row r="1548" spans="2:4" x14ac:dyDescent="0.35">
      <c r="B1548" s="9">
        <v>41360</v>
      </c>
      <c r="C1548" s="12">
        <v>186.2</v>
      </c>
      <c r="D1548" t="s">
        <v>5877</v>
      </c>
    </row>
    <row r="1549" spans="2:4" x14ac:dyDescent="0.35">
      <c r="B1549" s="9">
        <v>41361</v>
      </c>
      <c r="C1549" s="12">
        <v>219.7</v>
      </c>
      <c r="D1549" t="s">
        <v>5877</v>
      </c>
    </row>
    <row r="1550" spans="2:4" x14ac:dyDescent="0.35">
      <c r="B1550" s="9">
        <v>41362</v>
      </c>
      <c r="C1550" s="12">
        <v>169.6</v>
      </c>
      <c r="D1550" t="s">
        <v>5877</v>
      </c>
    </row>
    <row r="1551" spans="2:4" x14ac:dyDescent="0.35">
      <c r="B1551" s="9">
        <v>41363</v>
      </c>
      <c r="C1551" s="12">
        <v>171.6</v>
      </c>
      <c r="D1551" t="s">
        <v>5877</v>
      </c>
    </row>
    <row r="1552" spans="2:4" x14ac:dyDescent="0.35">
      <c r="B1552" s="9">
        <v>41364</v>
      </c>
      <c r="C1552" s="12">
        <v>178.1</v>
      </c>
      <c r="D1552" t="s">
        <v>5877</v>
      </c>
    </row>
    <row r="1553" spans="2:4" x14ac:dyDescent="0.35">
      <c r="B1553" s="9">
        <v>41365</v>
      </c>
      <c r="C1553" s="12">
        <v>177.7</v>
      </c>
      <c r="D1553" t="s">
        <v>5877</v>
      </c>
    </row>
    <row r="1554" spans="2:4" x14ac:dyDescent="0.35">
      <c r="B1554" s="9">
        <v>41366</v>
      </c>
      <c r="C1554" s="12">
        <v>127.6</v>
      </c>
      <c r="D1554" t="s">
        <v>5877</v>
      </c>
    </row>
    <row r="1555" spans="2:4" x14ac:dyDescent="0.35">
      <c r="B1555" s="9">
        <v>41367</v>
      </c>
      <c r="C1555" s="12">
        <v>99.4</v>
      </c>
      <c r="D1555" t="s">
        <v>5877</v>
      </c>
    </row>
    <row r="1556" spans="2:4" x14ac:dyDescent="0.35">
      <c r="B1556" s="9">
        <v>41368</v>
      </c>
      <c r="C1556" s="12">
        <v>96.4</v>
      </c>
      <c r="D1556" t="s">
        <v>5877</v>
      </c>
    </row>
    <row r="1557" spans="2:4" x14ac:dyDescent="0.35">
      <c r="B1557" s="9">
        <v>41369</v>
      </c>
      <c r="C1557" s="12">
        <v>93.8</v>
      </c>
      <c r="D1557" t="s">
        <v>5877</v>
      </c>
    </row>
    <row r="1558" spans="2:4" x14ac:dyDescent="0.35">
      <c r="B1558" s="9">
        <v>41370</v>
      </c>
      <c r="C1558" s="12">
        <v>153.4</v>
      </c>
      <c r="D1558" t="s">
        <v>5877</v>
      </c>
    </row>
    <row r="1559" spans="2:4" x14ac:dyDescent="0.35">
      <c r="B1559" s="9">
        <v>41371</v>
      </c>
      <c r="C1559" s="12">
        <v>125.8</v>
      </c>
      <c r="D1559" t="s">
        <v>5877</v>
      </c>
    </row>
    <row r="1560" spans="2:4" x14ac:dyDescent="0.35">
      <c r="B1560" s="9">
        <v>41372</v>
      </c>
      <c r="C1560" s="12">
        <v>97.1</v>
      </c>
      <c r="D1560" t="s">
        <v>5877</v>
      </c>
    </row>
    <row r="1561" spans="2:4" x14ac:dyDescent="0.35">
      <c r="B1561" s="9">
        <v>41373</v>
      </c>
      <c r="C1561" s="12">
        <v>85.1</v>
      </c>
      <c r="D1561" t="s">
        <v>5877</v>
      </c>
    </row>
    <row r="1562" spans="2:4" x14ac:dyDescent="0.35">
      <c r="B1562" s="9">
        <v>41374</v>
      </c>
      <c r="C1562" s="12">
        <v>116</v>
      </c>
      <c r="D1562" t="s">
        <v>5877</v>
      </c>
    </row>
    <row r="1563" spans="2:4" x14ac:dyDescent="0.35">
      <c r="B1563" s="9">
        <v>41375</v>
      </c>
      <c r="C1563" s="12">
        <v>134.69999999999999</v>
      </c>
      <c r="D1563" t="s">
        <v>5877</v>
      </c>
    </row>
    <row r="1564" spans="2:4" x14ac:dyDescent="0.35">
      <c r="B1564" s="9">
        <v>41376</v>
      </c>
      <c r="C1564" s="12">
        <v>154.9</v>
      </c>
      <c r="D1564" t="s">
        <v>5877</v>
      </c>
    </row>
    <row r="1565" spans="2:4" x14ac:dyDescent="0.35">
      <c r="B1565" s="9">
        <v>41377</v>
      </c>
      <c r="C1565" s="12">
        <v>159.80000000000001</v>
      </c>
      <c r="D1565" t="s">
        <v>5877</v>
      </c>
    </row>
    <row r="1566" spans="2:4" x14ac:dyDescent="0.35">
      <c r="B1566" s="9">
        <v>41378</v>
      </c>
      <c r="C1566" s="12">
        <v>115.8</v>
      </c>
      <c r="D1566" t="s">
        <v>5877</v>
      </c>
    </row>
    <row r="1567" spans="2:4" x14ac:dyDescent="0.35">
      <c r="B1567" s="9">
        <v>41379</v>
      </c>
      <c r="C1567" s="12">
        <v>90.5</v>
      </c>
      <c r="D1567" t="s">
        <v>5877</v>
      </c>
    </row>
    <row r="1568" spans="2:4" x14ac:dyDescent="0.35">
      <c r="B1568" s="9">
        <v>41380</v>
      </c>
      <c r="C1568" s="12">
        <v>86.5</v>
      </c>
      <c r="D1568" t="s">
        <v>5877</v>
      </c>
    </row>
    <row r="1569" spans="2:4" x14ac:dyDescent="0.35">
      <c r="B1569" s="9">
        <v>41381</v>
      </c>
      <c r="C1569" s="12">
        <v>127.7</v>
      </c>
      <c r="D1569" t="s">
        <v>5877</v>
      </c>
    </row>
    <row r="1570" spans="2:4" x14ac:dyDescent="0.35">
      <c r="B1570" s="9">
        <v>41382</v>
      </c>
      <c r="C1570" s="12">
        <v>110.1</v>
      </c>
      <c r="D1570" t="s">
        <v>5877</v>
      </c>
    </row>
    <row r="1571" spans="2:4" x14ac:dyDescent="0.35">
      <c r="B1571" s="9">
        <v>41383</v>
      </c>
      <c r="C1571" s="12">
        <v>98.6</v>
      </c>
      <c r="D1571" t="s">
        <v>5877</v>
      </c>
    </row>
    <row r="1572" spans="2:4" x14ac:dyDescent="0.35">
      <c r="B1572" s="9">
        <v>41384</v>
      </c>
      <c r="C1572" s="12">
        <v>88.7</v>
      </c>
      <c r="D1572" t="s">
        <v>5877</v>
      </c>
    </row>
    <row r="1573" spans="2:4" x14ac:dyDescent="0.35">
      <c r="B1573" s="9">
        <v>41385</v>
      </c>
      <c r="C1573" s="12">
        <v>145.69999999999999</v>
      </c>
      <c r="D1573" t="s">
        <v>5877</v>
      </c>
    </row>
    <row r="1574" spans="2:4" x14ac:dyDescent="0.35">
      <c r="B1574" s="9">
        <v>41386</v>
      </c>
      <c r="C1574" s="12">
        <v>127.8</v>
      </c>
      <c r="D1574" t="s">
        <v>5877</v>
      </c>
    </row>
    <row r="1575" spans="2:4" x14ac:dyDescent="0.35">
      <c r="B1575" s="9">
        <v>41387</v>
      </c>
      <c r="C1575" s="12">
        <v>119</v>
      </c>
      <c r="D1575" t="s">
        <v>5877</v>
      </c>
    </row>
    <row r="1576" spans="2:4" x14ac:dyDescent="0.35">
      <c r="B1576" s="9">
        <v>41388</v>
      </c>
      <c r="C1576" s="12">
        <v>132.19999999999999</v>
      </c>
      <c r="D1576" t="s">
        <v>5877</v>
      </c>
    </row>
    <row r="1577" spans="2:4" x14ac:dyDescent="0.35">
      <c r="B1577" s="9">
        <v>41389</v>
      </c>
      <c r="C1577" s="12">
        <v>132.5</v>
      </c>
      <c r="D1577" t="s">
        <v>5877</v>
      </c>
    </row>
    <row r="1578" spans="2:4" x14ac:dyDescent="0.35">
      <c r="B1578" s="9">
        <v>41390</v>
      </c>
      <c r="C1578" s="12">
        <v>165.2</v>
      </c>
      <c r="D1578" t="s">
        <v>5877</v>
      </c>
    </row>
    <row r="1579" spans="2:4" x14ac:dyDescent="0.35">
      <c r="B1579" s="9">
        <v>41391</v>
      </c>
      <c r="C1579" s="12">
        <v>160.69999999999999</v>
      </c>
      <c r="D1579" t="s">
        <v>5877</v>
      </c>
    </row>
    <row r="1580" spans="2:4" x14ac:dyDescent="0.35">
      <c r="B1580" s="9">
        <v>41392</v>
      </c>
      <c r="C1580" s="12">
        <v>113.9</v>
      </c>
      <c r="D1580" t="s">
        <v>5877</v>
      </c>
    </row>
    <row r="1581" spans="2:4" x14ac:dyDescent="0.35">
      <c r="B1581" s="9">
        <v>41393</v>
      </c>
      <c r="C1581" s="12">
        <v>87.8</v>
      </c>
      <c r="D1581" t="s">
        <v>5877</v>
      </c>
    </row>
    <row r="1582" spans="2:4" x14ac:dyDescent="0.35">
      <c r="B1582" s="9">
        <v>41394</v>
      </c>
      <c r="C1582" s="12">
        <v>78.3</v>
      </c>
      <c r="D1582" t="s">
        <v>5877</v>
      </c>
    </row>
    <row r="1583" spans="2:4" x14ac:dyDescent="0.35">
      <c r="B1583" s="9">
        <v>41395</v>
      </c>
      <c r="C1583" s="12">
        <v>151.69999999999999</v>
      </c>
      <c r="D1583" t="s">
        <v>5877</v>
      </c>
    </row>
    <row r="1584" spans="2:4" x14ac:dyDescent="0.35">
      <c r="B1584" s="9">
        <v>41396</v>
      </c>
      <c r="C1584" s="12">
        <v>125.5</v>
      </c>
      <c r="D1584" t="s">
        <v>5877</v>
      </c>
    </row>
    <row r="1585" spans="2:4" x14ac:dyDescent="0.35">
      <c r="B1585" s="9">
        <v>41397</v>
      </c>
      <c r="C1585" s="12">
        <v>98.1</v>
      </c>
      <c r="D1585" t="s">
        <v>5877</v>
      </c>
    </row>
    <row r="1586" spans="2:4" x14ac:dyDescent="0.35">
      <c r="B1586" s="9">
        <v>41398</v>
      </c>
      <c r="C1586" s="12">
        <v>81</v>
      </c>
      <c r="D1586" t="s">
        <v>5877</v>
      </c>
    </row>
    <row r="1587" spans="2:4" x14ac:dyDescent="0.35">
      <c r="B1587" s="9">
        <v>41399</v>
      </c>
      <c r="C1587" s="12">
        <v>70.7</v>
      </c>
      <c r="D1587" t="s">
        <v>5877</v>
      </c>
    </row>
    <row r="1588" spans="2:4" x14ac:dyDescent="0.35">
      <c r="B1588" s="9">
        <v>41400</v>
      </c>
      <c r="C1588" s="12">
        <v>110.7</v>
      </c>
      <c r="D1588" t="s">
        <v>5877</v>
      </c>
    </row>
    <row r="1589" spans="2:4" x14ac:dyDescent="0.35">
      <c r="B1589" s="9">
        <v>41401</v>
      </c>
      <c r="C1589" s="12">
        <v>176.3</v>
      </c>
      <c r="D1589" t="s">
        <v>5877</v>
      </c>
    </row>
    <row r="1590" spans="2:4" x14ac:dyDescent="0.35">
      <c r="B1590" s="9">
        <v>41402</v>
      </c>
      <c r="C1590" s="12">
        <v>166.3</v>
      </c>
      <c r="D1590" t="s">
        <v>5877</v>
      </c>
    </row>
    <row r="1591" spans="2:4" x14ac:dyDescent="0.35">
      <c r="B1591" s="9">
        <v>41403</v>
      </c>
      <c r="C1591" s="12">
        <v>118</v>
      </c>
      <c r="D1591" t="s">
        <v>5877</v>
      </c>
    </row>
    <row r="1592" spans="2:4" x14ac:dyDescent="0.35">
      <c r="B1592" s="9">
        <v>41404</v>
      </c>
      <c r="C1592" s="12">
        <v>93</v>
      </c>
      <c r="D1592" t="s">
        <v>5877</v>
      </c>
    </row>
    <row r="1593" spans="2:4" x14ac:dyDescent="0.35">
      <c r="B1593" s="9">
        <v>41405</v>
      </c>
      <c r="C1593" s="12">
        <v>122.5</v>
      </c>
      <c r="D1593" t="s">
        <v>5877</v>
      </c>
    </row>
    <row r="1594" spans="2:4" x14ac:dyDescent="0.35">
      <c r="B1594" s="9">
        <v>41406</v>
      </c>
      <c r="C1594" s="12">
        <v>103.3</v>
      </c>
      <c r="D1594" t="s">
        <v>5877</v>
      </c>
    </row>
    <row r="1595" spans="2:4" x14ac:dyDescent="0.35">
      <c r="B1595" s="9">
        <v>41407</v>
      </c>
      <c r="C1595" s="12">
        <v>106.9</v>
      </c>
      <c r="D1595" t="s">
        <v>5877</v>
      </c>
    </row>
    <row r="1596" spans="2:4" x14ac:dyDescent="0.35">
      <c r="B1596" s="9">
        <v>41408</v>
      </c>
      <c r="C1596" s="12">
        <v>101.5</v>
      </c>
      <c r="D1596" t="s">
        <v>5877</v>
      </c>
    </row>
    <row r="1597" spans="2:4" x14ac:dyDescent="0.35">
      <c r="B1597" s="9">
        <v>41409</v>
      </c>
      <c r="C1597" s="12">
        <v>82.2</v>
      </c>
      <c r="D1597" t="s">
        <v>5877</v>
      </c>
    </row>
    <row r="1598" spans="2:4" x14ac:dyDescent="0.35">
      <c r="B1598" s="9">
        <v>41410</v>
      </c>
      <c r="C1598" s="12">
        <v>69.2</v>
      </c>
      <c r="D1598" t="s">
        <v>5877</v>
      </c>
    </row>
    <row r="1599" spans="2:4" x14ac:dyDescent="0.35">
      <c r="B1599" s="9">
        <v>41411</v>
      </c>
      <c r="C1599" s="12">
        <v>59.9</v>
      </c>
      <c r="D1599" t="s">
        <v>5877</v>
      </c>
    </row>
    <row r="1600" spans="2:4" x14ac:dyDescent="0.35">
      <c r="B1600" s="9">
        <v>41412</v>
      </c>
      <c r="C1600" s="12">
        <v>52.7</v>
      </c>
      <c r="D1600" t="s">
        <v>5877</v>
      </c>
    </row>
    <row r="1601" spans="2:4" x14ac:dyDescent="0.35">
      <c r="B1601" s="9">
        <v>41413</v>
      </c>
      <c r="C1601" s="12">
        <v>46.9</v>
      </c>
      <c r="D1601" t="s">
        <v>5877</v>
      </c>
    </row>
    <row r="1602" spans="2:4" x14ac:dyDescent="0.35">
      <c r="B1602" s="9">
        <v>41414</v>
      </c>
      <c r="C1602" s="12">
        <v>41.9</v>
      </c>
      <c r="D1602" t="s">
        <v>5877</v>
      </c>
    </row>
    <row r="1603" spans="2:4" x14ac:dyDescent="0.35">
      <c r="B1603" s="9">
        <v>41415</v>
      </c>
      <c r="C1603" s="12">
        <v>37.5</v>
      </c>
      <c r="D1603" t="s">
        <v>5877</v>
      </c>
    </row>
    <row r="1604" spans="2:4" x14ac:dyDescent="0.35">
      <c r="B1604" s="9">
        <v>41416</v>
      </c>
      <c r="C1604" s="12">
        <v>33.700000000000003</v>
      </c>
      <c r="D1604" t="s">
        <v>5877</v>
      </c>
    </row>
    <row r="1605" spans="2:4" x14ac:dyDescent="0.35">
      <c r="B1605" s="9">
        <v>41417</v>
      </c>
      <c r="C1605" s="12">
        <v>30.2</v>
      </c>
      <c r="D1605" t="s">
        <v>5877</v>
      </c>
    </row>
    <row r="1606" spans="2:4" x14ac:dyDescent="0.35">
      <c r="B1606" s="9">
        <v>41418</v>
      </c>
      <c r="C1606" s="12">
        <v>27.2</v>
      </c>
      <c r="D1606" t="s">
        <v>5877</v>
      </c>
    </row>
    <row r="1607" spans="2:4" x14ac:dyDescent="0.35">
      <c r="B1607" s="9">
        <v>41419</v>
      </c>
      <c r="C1607" s="12">
        <v>24.5</v>
      </c>
      <c r="D1607" t="s">
        <v>5877</v>
      </c>
    </row>
    <row r="1608" spans="2:4" x14ac:dyDescent="0.35">
      <c r="B1608" s="9">
        <v>41420</v>
      </c>
      <c r="C1608" s="12">
        <v>24.1</v>
      </c>
      <c r="D1608" t="s">
        <v>5877</v>
      </c>
    </row>
    <row r="1609" spans="2:4" x14ac:dyDescent="0.35">
      <c r="B1609" s="9">
        <v>41421</v>
      </c>
      <c r="C1609" s="12">
        <v>21.5</v>
      </c>
      <c r="D1609" t="s">
        <v>5877</v>
      </c>
    </row>
    <row r="1610" spans="2:4" x14ac:dyDescent="0.35">
      <c r="B1610" s="9">
        <v>41422</v>
      </c>
      <c r="C1610" s="12">
        <v>22.3</v>
      </c>
      <c r="D1610" t="s">
        <v>5877</v>
      </c>
    </row>
    <row r="1611" spans="2:4" x14ac:dyDescent="0.35">
      <c r="B1611" s="9">
        <v>41423</v>
      </c>
      <c r="C1611" s="12">
        <v>20.399999999999999</v>
      </c>
      <c r="D1611" t="s">
        <v>5877</v>
      </c>
    </row>
    <row r="1612" spans="2:4" x14ac:dyDescent="0.35">
      <c r="B1612" s="9">
        <v>41424</v>
      </c>
      <c r="C1612" s="12">
        <v>20.8</v>
      </c>
      <c r="D1612" t="s">
        <v>5877</v>
      </c>
    </row>
    <row r="1613" spans="2:4" x14ac:dyDescent="0.35">
      <c r="B1613" s="9">
        <v>41425</v>
      </c>
      <c r="C1613" s="12">
        <v>17.3</v>
      </c>
      <c r="D1613" t="s">
        <v>5877</v>
      </c>
    </row>
    <row r="1614" spans="2:4" x14ac:dyDescent="0.35">
      <c r="B1614" s="9">
        <v>41426</v>
      </c>
      <c r="C1614" s="12">
        <v>14.1</v>
      </c>
      <c r="D1614" t="s">
        <v>5877</v>
      </c>
    </row>
    <row r="1615" spans="2:4" x14ac:dyDescent="0.35">
      <c r="B1615" s="9">
        <v>41427</v>
      </c>
      <c r="C1615" s="12">
        <v>12.1</v>
      </c>
      <c r="D1615" t="s">
        <v>5877</v>
      </c>
    </row>
    <row r="1616" spans="2:4" x14ac:dyDescent="0.35">
      <c r="B1616" s="9">
        <v>41428</v>
      </c>
      <c r="C1616" s="12">
        <v>10.4</v>
      </c>
      <c r="D1616" t="s">
        <v>5877</v>
      </c>
    </row>
    <row r="1617" spans="2:4" x14ac:dyDescent="0.35">
      <c r="B1617" s="9">
        <v>41429</v>
      </c>
      <c r="C1617" s="12">
        <v>9</v>
      </c>
      <c r="D1617" t="s">
        <v>5877</v>
      </c>
    </row>
    <row r="1618" spans="2:4" x14ac:dyDescent="0.35">
      <c r="B1618" s="9">
        <v>41430</v>
      </c>
      <c r="C1618" s="12">
        <v>8.3000000000000007</v>
      </c>
      <c r="D1618" t="s">
        <v>5877</v>
      </c>
    </row>
    <row r="1619" spans="2:4" x14ac:dyDescent="0.35">
      <c r="B1619" s="9">
        <v>41431</v>
      </c>
      <c r="C1619" s="12">
        <v>10.1</v>
      </c>
      <c r="D1619" t="s">
        <v>5877</v>
      </c>
    </row>
    <row r="1620" spans="2:4" x14ac:dyDescent="0.35">
      <c r="B1620" s="9">
        <v>41432</v>
      </c>
      <c r="C1620" s="12">
        <v>8.8000000000000007</v>
      </c>
      <c r="D1620" t="s">
        <v>5877</v>
      </c>
    </row>
    <row r="1621" spans="2:4" x14ac:dyDescent="0.35">
      <c r="B1621" s="9">
        <v>41433</v>
      </c>
      <c r="C1621" s="12">
        <v>7.1</v>
      </c>
      <c r="D1621" t="s">
        <v>5877</v>
      </c>
    </row>
    <row r="1622" spans="2:4" x14ac:dyDescent="0.35">
      <c r="B1622" s="9">
        <v>41434</v>
      </c>
      <c r="C1622" s="12">
        <v>6.2</v>
      </c>
      <c r="D1622" t="s">
        <v>5877</v>
      </c>
    </row>
    <row r="1623" spans="2:4" x14ac:dyDescent="0.35">
      <c r="B1623" s="9">
        <v>41435</v>
      </c>
      <c r="C1623" s="12">
        <v>6.1</v>
      </c>
      <c r="D1623" t="s">
        <v>5877</v>
      </c>
    </row>
    <row r="1624" spans="2:4" x14ac:dyDescent="0.35">
      <c r="B1624" s="9">
        <v>41436</v>
      </c>
      <c r="C1624" s="12">
        <v>5.3</v>
      </c>
      <c r="D1624" t="s">
        <v>5877</v>
      </c>
    </row>
    <row r="1625" spans="2:4" x14ac:dyDescent="0.35">
      <c r="B1625" s="9">
        <v>41437</v>
      </c>
      <c r="C1625" s="12">
        <v>4.7</v>
      </c>
      <c r="D1625" t="s">
        <v>5877</v>
      </c>
    </row>
    <row r="1626" spans="2:4" x14ac:dyDescent="0.35">
      <c r="B1626" s="9">
        <v>41438</v>
      </c>
      <c r="C1626" s="12">
        <v>4.2</v>
      </c>
      <c r="D1626" t="s">
        <v>5877</v>
      </c>
    </row>
    <row r="1627" spans="2:4" x14ac:dyDescent="0.35">
      <c r="B1627" s="9">
        <v>41439</v>
      </c>
      <c r="C1627" s="12">
        <v>3.8</v>
      </c>
      <c r="D1627" t="s">
        <v>5877</v>
      </c>
    </row>
    <row r="1628" spans="2:4" x14ac:dyDescent="0.35">
      <c r="B1628" s="9">
        <v>41440</v>
      </c>
      <c r="C1628" s="12">
        <v>3.6</v>
      </c>
      <c r="D1628" t="s">
        <v>5877</v>
      </c>
    </row>
    <row r="1629" spans="2:4" x14ac:dyDescent="0.35">
      <c r="B1629" s="9">
        <v>41441</v>
      </c>
      <c r="C1629" s="12">
        <v>8.1999999999999993</v>
      </c>
      <c r="D1629" t="s">
        <v>5877</v>
      </c>
    </row>
    <row r="1630" spans="2:4" x14ac:dyDescent="0.35">
      <c r="B1630" s="9">
        <v>41442</v>
      </c>
      <c r="C1630" s="12">
        <v>7.1</v>
      </c>
      <c r="D1630" t="s">
        <v>5877</v>
      </c>
    </row>
    <row r="1631" spans="2:4" x14ac:dyDescent="0.35">
      <c r="B1631" s="9">
        <v>41443</v>
      </c>
      <c r="C1631" s="12">
        <v>5.0999999999999996</v>
      </c>
      <c r="D1631" t="s">
        <v>5877</v>
      </c>
    </row>
    <row r="1632" spans="2:4" x14ac:dyDescent="0.35">
      <c r="B1632" s="9">
        <v>41444</v>
      </c>
      <c r="C1632" s="12">
        <v>4.9000000000000004</v>
      </c>
      <c r="D1632" t="s">
        <v>5877</v>
      </c>
    </row>
    <row r="1633" spans="2:4" x14ac:dyDescent="0.35">
      <c r="B1633" s="9">
        <v>41445</v>
      </c>
      <c r="C1633" s="12">
        <v>3.9</v>
      </c>
      <c r="D1633" t="s">
        <v>5877</v>
      </c>
    </row>
    <row r="1634" spans="2:4" x14ac:dyDescent="0.35">
      <c r="B1634" s="9">
        <v>41446</v>
      </c>
      <c r="C1634" s="12">
        <v>3.2</v>
      </c>
      <c r="D1634" t="s">
        <v>5877</v>
      </c>
    </row>
    <row r="1635" spans="2:4" x14ac:dyDescent="0.35">
      <c r="B1635" s="9">
        <v>41447</v>
      </c>
      <c r="C1635" s="12">
        <v>2.7</v>
      </c>
      <c r="D1635" t="s">
        <v>5877</v>
      </c>
    </row>
    <row r="1636" spans="2:4" x14ac:dyDescent="0.35">
      <c r="B1636" s="9">
        <v>41448</v>
      </c>
      <c r="C1636" s="12">
        <v>2.8</v>
      </c>
      <c r="D1636" t="s">
        <v>5877</v>
      </c>
    </row>
    <row r="1637" spans="2:4" x14ac:dyDescent="0.35">
      <c r="B1637" s="9">
        <v>41449</v>
      </c>
      <c r="C1637" s="12">
        <v>21.6</v>
      </c>
      <c r="D1637" t="s">
        <v>5877</v>
      </c>
    </row>
    <row r="1638" spans="2:4" x14ac:dyDescent="0.35">
      <c r="B1638" s="9">
        <v>41450</v>
      </c>
      <c r="C1638" s="12">
        <v>16.5</v>
      </c>
      <c r="D1638" t="s">
        <v>5877</v>
      </c>
    </row>
    <row r="1639" spans="2:4" x14ac:dyDescent="0.35">
      <c r="B1639" s="9">
        <v>41451</v>
      </c>
      <c r="C1639" s="12">
        <v>11.8</v>
      </c>
      <c r="D1639" t="s">
        <v>5877</v>
      </c>
    </row>
    <row r="1640" spans="2:4" x14ac:dyDescent="0.35">
      <c r="B1640" s="9">
        <v>41452</v>
      </c>
      <c r="C1640" s="12">
        <v>9.1</v>
      </c>
      <c r="D1640" t="s">
        <v>5877</v>
      </c>
    </row>
    <row r="1641" spans="2:4" x14ac:dyDescent="0.35">
      <c r="B1641" s="9">
        <v>41453</v>
      </c>
      <c r="C1641" s="12">
        <v>7.4</v>
      </c>
      <c r="D1641" t="s">
        <v>5877</v>
      </c>
    </row>
    <row r="1642" spans="2:4" x14ac:dyDescent="0.35">
      <c r="B1642" s="9">
        <v>41454</v>
      </c>
      <c r="C1642" s="12">
        <v>6.3</v>
      </c>
      <c r="D1642" t="s">
        <v>5877</v>
      </c>
    </row>
    <row r="1643" spans="2:4" x14ac:dyDescent="0.35">
      <c r="B1643" s="9">
        <v>41455</v>
      </c>
      <c r="C1643" s="12">
        <v>6</v>
      </c>
      <c r="D1643" t="s">
        <v>5877</v>
      </c>
    </row>
    <row r="1644" spans="2:4" x14ac:dyDescent="0.35">
      <c r="B1644" s="9">
        <v>41456</v>
      </c>
      <c r="C1644" s="12">
        <v>5.3</v>
      </c>
      <c r="D1644" t="s">
        <v>5877</v>
      </c>
    </row>
    <row r="1645" spans="2:4" x14ac:dyDescent="0.35">
      <c r="B1645" s="9">
        <v>41457</v>
      </c>
      <c r="C1645" s="12">
        <v>4.7</v>
      </c>
      <c r="D1645" t="s">
        <v>5877</v>
      </c>
    </row>
    <row r="1646" spans="2:4" x14ac:dyDescent="0.35">
      <c r="B1646" s="9">
        <v>41458</v>
      </c>
      <c r="C1646" s="12">
        <v>5.0999999999999996</v>
      </c>
      <c r="D1646" t="s">
        <v>5877</v>
      </c>
    </row>
    <row r="1647" spans="2:4" x14ac:dyDescent="0.35">
      <c r="B1647" s="9">
        <v>41459</v>
      </c>
      <c r="C1647" s="12">
        <v>16.399999999999999</v>
      </c>
      <c r="D1647" t="s">
        <v>5877</v>
      </c>
    </row>
    <row r="1648" spans="2:4" x14ac:dyDescent="0.35">
      <c r="B1648" s="9">
        <v>41460</v>
      </c>
      <c r="C1648" s="12">
        <v>14.2</v>
      </c>
      <c r="D1648" t="s">
        <v>5877</v>
      </c>
    </row>
    <row r="1649" spans="2:4" x14ac:dyDescent="0.35">
      <c r="B1649" s="9">
        <v>41461</v>
      </c>
      <c r="C1649" s="12">
        <v>12.2</v>
      </c>
      <c r="D1649" t="s">
        <v>5877</v>
      </c>
    </row>
    <row r="1650" spans="2:4" x14ac:dyDescent="0.35">
      <c r="B1650" s="9">
        <v>41462</v>
      </c>
      <c r="C1650" s="12">
        <v>11.9</v>
      </c>
      <c r="D1650" t="s">
        <v>5877</v>
      </c>
    </row>
    <row r="1651" spans="2:4" x14ac:dyDescent="0.35">
      <c r="B1651" s="9">
        <v>41463</v>
      </c>
      <c r="C1651" s="12">
        <v>12.4</v>
      </c>
      <c r="D1651" t="s">
        <v>5877</v>
      </c>
    </row>
    <row r="1652" spans="2:4" x14ac:dyDescent="0.35">
      <c r="B1652" s="9">
        <v>41464</v>
      </c>
      <c r="C1652" s="12">
        <v>12.7</v>
      </c>
      <c r="D1652" t="s">
        <v>5877</v>
      </c>
    </row>
    <row r="1653" spans="2:4" x14ac:dyDescent="0.35">
      <c r="B1653" s="9">
        <v>41465</v>
      </c>
      <c r="C1653" s="12">
        <v>11.4</v>
      </c>
      <c r="D1653" t="s">
        <v>5877</v>
      </c>
    </row>
    <row r="1654" spans="2:4" x14ac:dyDescent="0.35">
      <c r="B1654" s="9">
        <v>41466</v>
      </c>
      <c r="C1654" s="12">
        <v>10.3</v>
      </c>
      <c r="D1654" t="s">
        <v>5877</v>
      </c>
    </row>
    <row r="1655" spans="2:4" x14ac:dyDescent="0.35">
      <c r="B1655" s="9">
        <v>41467</v>
      </c>
      <c r="C1655" s="12">
        <v>9.3000000000000007</v>
      </c>
      <c r="D1655" t="s">
        <v>5877</v>
      </c>
    </row>
    <row r="1656" spans="2:4" x14ac:dyDescent="0.35">
      <c r="B1656" s="9">
        <v>41468</v>
      </c>
      <c r="C1656" s="12">
        <v>8.3000000000000007</v>
      </c>
      <c r="D1656" t="s">
        <v>5877</v>
      </c>
    </row>
    <row r="1657" spans="2:4" x14ac:dyDescent="0.35">
      <c r="B1657" s="9">
        <v>41469</v>
      </c>
      <c r="C1657" s="12">
        <v>7.5</v>
      </c>
      <c r="D1657" t="s">
        <v>5877</v>
      </c>
    </row>
    <row r="1658" spans="2:4" x14ac:dyDescent="0.35">
      <c r="B1658" s="9">
        <v>41470</v>
      </c>
      <c r="C1658" s="12">
        <v>6.7</v>
      </c>
      <c r="D1658" t="s">
        <v>5877</v>
      </c>
    </row>
    <row r="1659" spans="2:4" x14ac:dyDescent="0.35">
      <c r="B1659" s="9">
        <v>41471</v>
      </c>
      <c r="C1659" s="12">
        <v>6.2</v>
      </c>
      <c r="D1659" t="s">
        <v>5877</v>
      </c>
    </row>
    <row r="1660" spans="2:4" x14ac:dyDescent="0.35">
      <c r="B1660" s="9">
        <v>41472</v>
      </c>
      <c r="C1660" s="12">
        <v>7</v>
      </c>
      <c r="D1660" t="s">
        <v>5877</v>
      </c>
    </row>
    <row r="1661" spans="2:4" x14ac:dyDescent="0.35">
      <c r="B1661" s="9">
        <v>41473</v>
      </c>
      <c r="C1661" s="12">
        <v>6.3</v>
      </c>
      <c r="D1661" t="s">
        <v>5877</v>
      </c>
    </row>
    <row r="1662" spans="2:4" x14ac:dyDescent="0.35">
      <c r="B1662" s="9">
        <v>41474</v>
      </c>
      <c r="C1662" s="12">
        <v>6</v>
      </c>
      <c r="D1662" t="s">
        <v>5877</v>
      </c>
    </row>
    <row r="1663" spans="2:4" x14ac:dyDescent="0.35">
      <c r="B1663" s="9">
        <v>41475</v>
      </c>
      <c r="C1663" s="12">
        <v>13.1</v>
      </c>
      <c r="D1663" t="s">
        <v>5877</v>
      </c>
    </row>
    <row r="1664" spans="2:4" x14ac:dyDescent="0.35">
      <c r="B1664" s="9">
        <v>41476</v>
      </c>
      <c r="C1664" s="12">
        <v>10.3</v>
      </c>
      <c r="D1664" t="s">
        <v>5877</v>
      </c>
    </row>
    <row r="1665" spans="2:4" x14ac:dyDescent="0.35">
      <c r="B1665" s="9">
        <v>41477</v>
      </c>
      <c r="C1665" s="12">
        <v>7.4</v>
      </c>
      <c r="D1665" t="s">
        <v>5877</v>
      </c>
    </row>
    <row r="1666" spans="2:4" x14ac:dyDescent="0.35">
      <c r="B1666" s="9">
        <v>41478</v>
      </c>
      <c r="C1666" s="12">
        <v>5.7</v>
      </c>
      <c r="D1666" t="s">
        <v>5877</v>
      </c>
    </row>
    <row r="1667" spans="2:4" x14ac:dyDescent="0.35">
      <c r="B1667" s="9">
        <v>41479</v>
      </c>
      <c r="C1667" s="12">
        <v>4.5999999999999996</v>
      </c>
      <c r="D1667" t="s">
        <v>5877</v>
      </c>
    </row>
    <row r="1668" spans="2:4" x14ac:dyDescent="0.35">
      <c r="B1668" s="9">
        <v>41480</v>
      </c>
      <c r="C1668" s="12">
        <v>3.9</v>
      </c>
      <c r="D1668" t="s">
        <v>5877</v>
      </c>
    </row>
    <row r="1669" spans="2:4" x14ac:dyDescent="0.35">
      <c r="B1669" s="9">
        <v>41481</v>
      </c>
      <c r="C1669" s="12">
        <v>3.3</v>
      </c>
      <c r="D1669" t="s">
        <v>5877</v>
      </c>
    </row>
    <row r="1670" spans="2:4" x14ac:dyDescent="0.35">
      <c r="B1670" s="9">
        <v>41482</v>
      </c>
      <c r="C1670" s="12">
        <v>2.9</v>
      </c>
      <c r="D1670" t="s">
        <v>5877</v>
      </c>
    </row>
    <row r="1671" spans="2:4" x14ac:dyDescent="0.35">
      <c r="B1671" s="9">
        <v>41483</v>
      </c>
      <c r="C1671" s="12">
        <v>2.6</v>
      </c>
      <c r="D1671" t="s">
        <v>5877</v>
      </c>
    </row>
    <row r="1672" spans="2:4" x14ac:dyDescent="0.35">
      <c r="B1672" s="9">
        <v>41484</v>
      </c>
      <c r="C1672" s="12">
        <v>2.7</v>
      </c>
      <c r="D1672" t="s">
        <v>5877</v>
      </c>
    </row>
    <row r="1673" spans="2:4" x14ac:dyDescent="0.35">
      <c r="B1673" s="9">
        <v>41485</v>
      </c>
      <c r="C1673" s="12">
        <v>11.2</v>
      </c>
      <c r="D1673" t="s">
        <v>5877</v>
      </c>
    </row>
    <row r="1674" spans="2:4" x14ac:dyDescent="0.35">
      <c r="B1674" s="9">
        <v>41486</v>
      </c>
      <c r="C1674" s="12">
        <v>17.7</v>
      </c>
      <c r="D1674" t="s">
        <v>5877</v>
      </c>
    </row>
    <row r="1675" spans="2:4" x14ac:dyDescent="0.35">
      <c r="B1675" s="9">
        <v>41487</v>
      </c>
      <c r="C1675" s="12">
        <v>12.7</v>
      </c>
      <c r="D1675" t="s">
        <v>5877</v>
      </c>
    </row>
    <row r="1676" spans="2:4" x14ac:dyDescent="0.35">
      <c r="B1676" s="9">
        <v>41488</v>
      </c>
      <c r="C1676" s="12">
        <v>8.6999999999999993</v>
      </c>
      <c r="D1676" t="s">
        <v>5877</v>
      </c>
    </row>
    <row r="1677" spans="2:4" x14ac:dyDescent="0.35">
      <c r="B1677" s="9">
        <v>41489</v>
      </c>
      <c r="C1677" s="12">
        <v>6.5</v>
      </c>
      <c r="D1677" t="s">
        <v>5877</v>
      </c>
    </row>
    <row r="1678" spans="2:4" x14ac:dyDescent="0.35">
      <c r="B1678" s="9">
        <v>41490</v>
      </c>
      <c r="C1678" s="12">
        <v>5.0999999999999996</v>
      </c>
      <c r="D1678" t="s">
        <v>5877</v>
      </c>
    </row>
    <row r="1679" spans="2:4" x14ac:dyDescent="0.35">
      <c r="B1679" s="9">
        <v>41491</v>
      </c>
      <c r="C1679" s="12">
        <v>4.3</v>
      </c>
      <c r="D1679" t="s">
        <v>5877</v>
      </c>
    </row>
    <row r="1680" spans="2:4" x14ac:dyDescent="0.35">
      <c r="B1680" s="9">
        <v>41492</v>
      </c>
      <c r="C1680" s="12">
        <v>3.7</v>
      </c>
      <c r="D1680" t="s">
        <v>5877</v>
      </c>
    </row>
    <row r="1681" spans="2:4" x14ac:dyDescent="0.35">
      <c r="B1681" s="9">
        <v>41493</v>
      </c>
      <c r="C1681" s="12">
        <v>3.3</v>
      </c>
      <c r="D1681" t="s">
        <v>5877</v>
      </c>
    </row>
    <row r="1682" spans="2:4" x14ac:dyDescent="0.35">
      <c r="B1682" s="9">
        <v>41494</v>
      </c>
      <c r="C1682" s="12">
        <v>3.2</v>
      </c>
      <c r="D1682" t="s">
        <v>5877</v>
      </c>
    </row>
    <row r="1683" spans="2:4" x14ac:dyDescent="0.35">
      <c r="B1683" s="9">
        <v>41495</v>
      </c>
      <c r="C1683" s="12">
        <v>8.1</v>
      </c>
      <c r="D1683" t="s">
        <v>5877</v>
      </c>
    </row>
    <row r="1684" spans="2:4" x14ac:dyDescent="0.35">
      <c r="B1684" s="9">
        <v>41496</v>
      </c>
      <c r="C1684" s="12">
        <v>43</v>
      </c>
      <c r="D1684" t="s">
        <v>5877</v>
      </c>
    </row>
    <row r="1685" spans="2:4" x14ac:dyDescent="0.35">
      <c r="B1685" s="9">
        <v>41497</v>
      </c>
      <c r="C1685" s="12">
        <v>43.1</v>
      </c>
      <c r="D1685" t="s">
        <v>5877</v>
      </c>
    </row>
    <row r="1686" spans="2:4" x14ac:dyDescent="0.35">
      <c r="B1686" s="9">
        <v>41498</v>
      </c>
      <c r="C1686" s="12">
        <v>49.6</v>
      </c>
      <c r="D1686" t="s">
        <v>5877</v>
      </c>
    </row>
    <row r="1687" spans="2:4" x14ac:dyDescent="0.35">
      <c r="B1687" s="9">
        <v>41499</v>
      </c>
      <c r="C1687" s="12">
        <v>34.700000000000003</v>
      </c>
      <c r="D1687" t="s">
        <v>5877</v>
      </c>
    </row>
    <row r="1688" spans="2:4" x14ac:dyDescent="0.35">
      <c r="B1688" s="9">
        <v>41500</v>
      </c>
      <c r="C1688" s="12">
        <v>26.2</v>
      </c>
      <c r="D1688" t="s">
        <v>5877</v>
      </c>
    </row>
    <row r="1689" spans="2:4" x14ac:dyDescent="0.35">
      <c r="B1689" s="9">
        <v>41501</v>
      </c>
      <c r="C1689" s="12">
        <v>21.2</v>
      </c>
      <c r="D1689" t="s">
        <v>5877</v>
      </c>
    </row>
    <row r="1690" spans="2:4" x14ac:dyDescent="0.35">
      <c r="B1690" s="9">
        <v>41502</v>
      </c>
      <c r="C1690" s="12">
        <v>17.8</v>
      </c>
      <c r="D1690" t="s">
        <v>5877</v>
      </c>
    </row>
    <row r="1691" spans="2:4" x14ac:dyDescent="0.35">
      <c r="B1691" s="9">
        <v>41503</v>
      </c>
      <c r="C1691" s="12">
        <v>15.5</v>
      </c>
      <c r="D1691" t="s">
        <v>5877</v>
      </c>
    </row>
    <row r="1692" spans="2:4" x14ac:dyDescent="0.35">
      <c r="B1692" s="9">
        <v>41504</v>
      </c>
      <c r="C1692" s="12">
        <v>14.5</v>
      </c>
      <c r="D1692" t="s">
        <v>5877</v>
      </c>
    </row>
    <row r="1693" spans="2:4" x14ac:dyDescent="0.35">
      <c r="B1693" s="9">
        <v>41505</v>
      </c>
      <c r="C1693" s="12">
        <v>28.8</v>
      </c>
      <c r="D1693" t="s">
        <v>5877</v>
      </c>
    </row>
    <row r="1694" spans="2:4" x14ac:dyDescent="0.35">
      <c r="B1694" s="9">
        <v>41506</v>
      </c>
      <c r="C1694" s="12">
        <v>68.099999999999994</v>
      </c>
      <c r="D1694" t="s">
        <v>5877</v>
      </c>
    </row>
    <row r="1695" spans="2:4" x14ac:dyDescent="0.35">
      <c r="B1695" s="9">
        <v>41507</v>
      </c>
      <c r="C1695" s="12">
        <v>54</v>
      </c>
      <c r="D1695" t="s">
        <v>5877</v>
      </c>
    </row>
    <row r="1696" spans="2:4" x14ac:dyDescent="0.35">
      <c r="B1696" s="9">
        <v>41508</v>
      </c>
      <c r="C1696" s="12">
        <v>41.5</v>
      </c>
      <c r="D1696" t="s">
        <v>5877</v>
      </c>
    </row>
    <row r="1697" spans="2:4" x14ac:dyDescent="0.35">
      <c r="B1697" s="9">
        <v>41509</v>
      </c>
      <c r="C1697" s="12">
        <v>45.6</v>
      </c>
      <c r="D1697" t="s">
        <v>5877</v>
      </c>
    </row>
    <row r="1698" spans="2:4" x14ac:dyDescent="0.35">
      <c r="B1698" s="9">
        <v>41510</v>
      </c>
      <c r="C1698" s="12">
        <v>71</v>
      </c>
      <c r="D1698" t="s">
        <v>5877</v>
      </c>
    </row>
    <row r="1699" spans="2:4" x14ac:dyDescent="0.35">
      <c r="B1699" s="9">
        <v>41511</v>
      </c>
      <c r="C1699" s="12">
        <v>65</v>
      </c>
      <c r="D1699" t="s">
        <v>5877</v>
      </c>
    </row>
    <row r="1700" spans="2:4" x14ac:dyDescent="0.35">
      <c r="B1700" s="9">
        <v>41512</v>
      </c>
      <c r="C1700" s="12">
        <v>48.3</v>
      </c>
      <c r="D1700" t="s">
        <v>5877</v>
      </c>
    </row>
    <row r="1701" spans="2:4" x14ac:dyDescent="0.35">
      <c r="B1701" s="9">
        <v>41513</v>
      </c>
      <c r="C1701" s="12">
        <v>38.4</v>
      </c>
      <c r="D1701" t="s">
        <v>5877</v>
      </c>
    </row>
    <row r="1702" spans="2:4" x14ac:dyDescent="0.35">
      <c r="B1702" s="9">
        <v>41514</v>
      </c>
      <c r="C1702" s="12">
        <v>32.200000000000003</v>
      </c>
      <c r="D1702" t="s">
        <v>5877</v>
      </c>
    </row>
    <row r="1703" spans="2:4" x14ac:dyDescent="0.35">
      <c r="B1703" s="9">
        <v>41515</v>
      </c>
      <c r="C1703" s="12">
        <v>28.1</v>
      </c>
      <c r="D1703" t="s">
        <v>5877</v>
      </c>
    </row>
    <row r="1704" spans="2:4" x14ac:dyDescent="0.35">
      <c r="B1704" s="9">
        <v>41516</v>
      </c>
      <c r="C1704" s="12">
        <v>29.2</v>
      </c>
      <c r="D1704" t="s">
        <v>5877</v>
      </c>
    </row>
    <row r="1705" spans="2:4" x14ac:dyDescent="0.35">
      <c r="B1705" s="9">
        <v>41517</v>
      </c>
      <c r="C1705" s="12">
        <v>29.4</v>
      </c>
      <c r="D1705" t="s">
        <v>5877</v>
      </c>
    </row>
    <row r="1706" spans="2:4" x14ac:dyDescent="0.35">
      <c r="B1706" s="9">
        <v>41518</v>
      </c>
      <c r="C1706" s="12">
        <v>89.8</v>
      </c>
      <c r="D1706" t="s">
        <v>5877</v>
      </c>
    </row>
    <row r="1707" spans="2:4" x14ac:dyDescent="0.35">
      <c r="B1707" s="9">
        <v>41519</v>
      </c>
      <c r="C1707" s="12">
        <v>88.1</v>
      </c>
      <c r="D1707" t="s">
        <v>5877</v>
      </c>
    </row>
    <row r="1708" spans="2:4" x14ac:dyDescent="0.35">
      <c r="B1708" s="9">
        <v>41520</v>
      </c>
      <c r="C1708" s="12">
        <v>66.5</v>
      </c>
      <c r="D1708" t="s">
        <v>5877</v>
      </c>
    </row>
    <row r="1709" spans="2:4" x14ac:dyDescent="0.35">
      <c r="B1709" s="9">
        <v>41521</v>
      </c>
      <c r="C1709" s="12">
        <v>117</v>
      </c>
      <c r="D1709" t="s">
        <v>5877</v>
      </c>
    </row>
    <row r="1710" spans="2:4" x14ac:dyDescent="0.35">
      <c r="B1710" s="9">
        <v>41522</v>
      </c>
      <c r="C1710" s="12">
        <v>88.4</v>
      </c>
      <c r="D1710" t="s">
        <v>5877</v>
      </c>
    </row>
    <row r="1711" spans="2:4" x14ac:dyDescent="0.35">
      <c r="B1711" s="9">
        <v>41523</v>
      </c>
      <c r="C1711" s="12">
        <v>65.5</v>
      </c>
      <c r="D1711" t="s">
        <v>5877</v>
      </c>
    </row>
    <row r="1712" spans="2:4" x14ac:dyDescent="0.35">
      <c r="B1712" s="9">
        <v>41524</v>
      </c>
      <c r="C1712" s="12">
        <v>53.2</v>
      </c>
      <c r="D1712" t="s">
        <v>5877</v>
      </c>
    </row>
    <row r="1713" spans="2:4" x14ac:dyDescent="0.35">
      <c r="B1713" s="9">
        <v>41525</v>
      </c>
      <c r="C1713" s="12">
        <v>80.400000000000006</v>
      </c>
      <c r="D1713" t="s">
        <v>5877</v>
      </c>
    </row>
    <row r="1714" spans="2:4" x14ac:dyDescent="0.35">
      <c r="B1714" s="9">
        <v>41526</v>
      </c>
      <c r="C1714" s="12">
        <v>70.2</v>
      </c>
      <c r="D1714" t="s">
        <v>5877</v>
      </c>
    </row>
    <row r="1715" spans="2:4" x14ac:dyDescent="0.35">
      <c r="B1715" s="9">
        <v>41527</v>
      </c>
      <c r="C1715" s="12">
        <v>57.6</v>
      </c>
      <c r="D1715" t="s">
        <v>5877</v>
      </c>
    </row>
    <row r="1716" spans="2:4" x14ac:dyDescent="0.35">
      <c r="B1716" s="9">
        <v>41528</v>
      </c>
      <c r="C1716" s="12">
        <v>96.8</v>
      </c>
      <c r="D1716" t="s">
        <v>5877</v>
      </c>
    </row>
    <row r="1717" spans="2:4" x14ac:dyDescent="0.35">
      <c r="B1717" s="9">
        <v>41529</v>
      </c>
      <c r="C1717" s="12">
        <v>87.1</v>
      </c>
      <c r="D1717" t="s">
        <v>5877</v>
      </c>
    </row>
    <row r="1718" spans="2:4" x14ac:dyDescent="0.35">
      <c r="B1718" s="9">
        <v>41530</v>
      </c>
      <c r="C1718" s="12">
        <v>66.3</v>
      </c>
      <c r="D1718" t="s">
        <v>5877</v>
      </c>
    </row>
    <row r="1719" spans="2:4" x14ac:dyDescent="0.35">
      <c r="B1719" s="9">
        <v>41531</v>
      </c>
      <c r="C1719" s="12">
        <v>62</v>
      </c>
      <c r="D1719" t="s">
        <v>5877</v>
      </c>
    </row>
    <row r="1720" spans="2:4" x14ac:dyDescent="0.35">
      <c r="B1720" s="9">
        <v>41532</v>
      </c>
      <c r="C1720" s="12">
        <v>84.4</v>
      </c>
      <c r="D1720" t="s">
        <v>5877</v>
      </c>
    </row>
    <row r="1721" spans="2:4" x14ac:dyDescent="0.35">
      <c r="B1721" s="9">
        <v>41533</v>
      </c>
      <c r="C1721" s="12">
        <v>71.900000000000006</v>
      </c>
      <c r="D1721" t="s">
        <v>5877</v>
      </c>
    </row>
    <row r="1722" spans="2:4" x14ac:dyDescent="0.35">
      <c r="B1722" s="9">
        <v>41534</v>
      </c>
      <c r="C1722" s="12">
        <v>71.400000000000006</v>
      </c>
      <c r="D1722" t="s">
        <v>5877</v>
      </c>
    </row>
    <row r="1723" spans="2:4" x14ac:dyDescent="0.35">
      <c r="B1723" s="9">
        <v>41535</v>
      </c>
      <c r="C1723" s="12">
        <v>116.4</v>
      </c>
      <c r="D1723" t="s">
        <v>5877</v>
      </c>
    </row>
    <row r="1724" spans="2:4" x14ac:dyDescent="0.35">
      <c r="B1724" s="9">
        <v>41536</v>
      </c>
      <c r="C1724" s="12">
        <v>93.6</v>
      </c>
      <c r="D1724" t="s">
        <v>5877</v>
      </c>
    </row>
    <row r="1725" spans="2:4" x14ac:dyDescent="0.35">
      <c r="B1725" s="9">
        <v>41537</v>
      </c>
      <c r="C1725" s="12">
        <v>83.1</v>
      </c>
      <c r="D1725" t="s">
        <v>5877</v>
      </c>
    </row>
    <row r="1726" spans="2:4" x14ac:dyDescent="0.35">
      <c r="B1726" s="9">
        <v>41538</v>
      </c>
      <c r="C1726" s="12">
        <v>95.3</v>
      </c>
      <c r="D1726" t="s">
        <v>5877</v>
      </c>
    </row>
    <row r="1727" spans="2:4" x14ac:dyDescent="0.35">
      <c r="B1727" s="9">
        <v>41539</v>
      </c>
      <c r="C1727" s="12">
        <v>103.9</v>
      </c>
      <c r="D1727" t="s">
        <v>5877</v>
      </c>
    </row>
    <row r="1728" spans="2:4" x14ac:dyDescent="0.35">
      <c r="B1728" s="9">
        <v>41540</v>
      </c>
      <c r="C1728" s="12">
        <v>96.7</v>
      </c>
      <c r="D1728" t="s">
        <v>5877</v>
      </c>
    </row>
    <row r="1729" spans="2:4" x14ac:dyDescent="0.35">
      <c r="B1729" s="9">
        <v>41541</v>
      </c>
      <c r="C1729" s="12">
        <v>75.900000000000006</v>
      </c>
      <c r="D1729" t="s">
        <v>5877</v>
      </c>
    </row>
    <row r="1730" spans="2:4" x14ac:dyDescent="0.35">
      <c r="B1730" s="9">
        <v>41542</v>
      </c>
      <c r="C1730" s="12">
        <v>76.400000000000006</v>
      </c>
      <c r="D1730" t="s">
        <v>5877</v>
      </c>
    </row>
    <row r="1731" spans="2:4" x14ac:dyDescent="0.35">
      <c r="B1731" s="9">
        <v>41543</v>
      </c>
      <c r="C1731" s="12">
        <v>103.3</v>
      </c>
      <c r="D1731" t="s">
        <v>5877</v>
      </c>
    </row>
    <row r="1732" spans="2:4" x14ac:dyDescent="0.35">
      <c r="B1732" s="9">
        <v>41544</v>
      </c>
      <c r="C1732" s="12">
        <v>81.599999999999994</v>
      </c>
      <c r="D1732" t="s">
        <v>5877</v>
      </c>
    </row>
    <row r="1733" spans="2:4" x14ac:dyDescent="0.35">
      <c r="B1733" s="9">
        <v>41545</v>
      </c>
      <c r="C1733" s="12">
        <v>99.7</v>
      </c>
      <c r="D1733" t="s">
        <v>5877</v>
      </c>
    </row>
    <row r="1734" spans="2:4" x14ac:dyDescent="0.35">
      <c r="B1734" s="9">
        <v>41546</v>
      </c>
      <c r="C1734" s="12">
        <v>129.69999999999999</v>
      </c>
      <c r="D1734" t="s">
        <v>5877</v>
      </c>
    </row>
    <row r="1735" spans="2:4" x14ac:dyDescent="0.35">
      <c r="B1735" s="9">
        <v>41547</v>
      </c>
      <c r="C1735" s="12">
        <v>103.7</v>
      </c>
      <c r="D1735" t="s">
        <v>5877</v>
      </c>
    </row>
    <row r="1736" spans="2:4" x14ac:dyDescent="0.35">
      <c r="B1736" s="9">
        <v>41548</v>
      </c>
      <c r="C1736" s="12">
        <v>79.599999999999994</v>
      </c>
      <c r="D1736" t="s">
        <v>5877</v>
      </c>
    </row>
    <row r="1737" spans="2:4" x14ac:dyDescent="0.35">
      <c r="B1737" s="9">
        <v>41549</v>
      </c>
      <c r="C1737" s="12">
        <v>81.099999999999994</v>
      </c>
      <c r="D1737" t="s">
        <v>5877</v>
      </c>
    </row>
    <row r="1738" spans="2:4" x14ac:dyDescent="0.35">
      <c r="B1738" s="9">
        <v>41550</v>
      </c>
      <c r="C1738" s="12">
        <v>110.1</v>
      </c>
      <c r="D1738" t="s">
        <v>5877</v>
      </c>
    </row>
    <row r="1739" spans="2:4" x14ac:dyDescent="0.35">
      <c r="B1739" s="9">
        <v>41551</v>
      </c>
      <c r="C1739" s="12">
        <v>111.2</v>
      </c>
      <c r="D1739" t="s">
        <v>5877</v>
      </c>
    </row>
    <row r="1740" spans="2:4" x14ac:dyDescent="0.35">
      <c r="B1740" s="9">
        <v>41552</v>
      </c>
      <c r="C1740" s="12">
        <v>92.8</v>
      </c>
      <c r="D1740" t="s">
        <v>5877</v>
      </c>
    </row>
    <row r="1741" spans="2:4" x14ac:dyDescent="0.35">
      <c r="B1741" s="9">
        <v>41553</v>
      </c>
      <c r="C1741" s="12">
        <v>127.9</v>
      </c>
      <c r="D1741" t="s">
        <v>5877</v>
      </c>
    </row>
    <row r="1742" spans="2:4" x14ac:dyDescent="0.35">
      <c r="B1742" s="9">
        <v>41554</v>
      </c>
      <c r="C1742" s="12">
        <v>147.9</v>
      </c>
      <c r="D1742" t="s">
        <v>5877</v>
      </c>
    </row>
    <row r="1743" spans="2:4" x14ac:dyDescent="0.35">
      <c r="B1743" s="9">
        <v>41555</v>
      </c>
      <c r="C1743" s="12">
        <v>151.6</v>
      </c>
      <c r="D1743" t="s">
        <v>5877</v>
      </c>
    </row>
    <row r="1744" spans="2:4" x14ac:dyDescent="0.35">
      <c r="B1744" s="9">
        <v>41556</v>
      </c>
      <c r="C1744" s="12">
        <v>163</v>
      </c>
      <c r="D1744" t="s">
        <v>5877</v>
      </c>
    </row>
    <row r="1745" spans="2:4" x14ac:dyDescent="0.35">
      <c r="B1745" s="9">
        <v>41557</v>
      </c>
      <c r="C1745" s="12">
        <v>154.1</v>
      </c>
      <c r="D1745" t="s">
        <v>5877</v>
      </c>
    </row>
    <row r="1746" spans="2:4" x14ac:dyDescent="0.35">
      <c r="B1746" s="9">
        <v>41558</v>
      </c>
      <c r="C1746" s="12">
        <v>144.4</v>
      </c>
      <c r="D1746" t="s">
        <v>5877</v>
      </c>
    </row>
    <row r="1747" spans="2:4" x14ac:dyDescent="0.35">
      <c r="B1747" s="9">
        <v>41559</v>
      </c>
      <c r="C1747" s="12">
        <v>173.6</v>
      </c>
      <c r="D1747" t="s">
        <v>5877</v>
      </c>
    </row>
    <row r="1748" spans="2:4" x14ac:dyDescent="0.35">
      <c r="B1748" s="9">
        <v>41560</v>
      </c>
      <c r="C1748" s="12">
        <v>137.5</v>
      </c>
      <c r="D1748" t="s">
        <v>5877</v>
      </c>
    </row>
    <row r="1749" spans="2:4" x14ac:dyDescent="0.35">
      <c r="B1749" s="9">
        <v>41561</v>
      </c>
      <c r="C1749" s="12">
        <v>98.9</v>
      </c>
      <c r="D1749" t="s">
        <v>5877</v>
      </c>
    </row>
    <row r="1750" spans="2:4" x14ac:dyDescent="0.35">
      <c r="B1750" s="9">
        <v>41562</v>
      </c>
      <c r="C1750" s="12">
        <v>120</v>
      </c>
      <c r="D1750" t="s">
        <v>5877</v>
      </c>
    </row>
    <row r="1751" spans="2:4" x14ac:dyDescent="0.35">
      <c r="B1751" s="9">
        <v>41563</v>
      </c>
      <c r="C1751" s="12">
        <v>97.1</v>
      </c>
      <c r="D1751" t="s">
        <v>5877</v>
      </c>
    </row>
    <row r="1752" spans="2:4" x14ac:dyDescent="0.35">
      <c r="B1752" s="9">
        <v>41564</v>
      </c>
      <c r="C1752" s="12">
        <v>99.2</v>
      </c>
      <c r="D1752" t="s">
        <v>5877</v>
      </c>
    </row>
    <row r="1753" spans="2:4" x14ac:dyDescent="0.35">
      <c r="B1753" s="9">
        <v>41565</v>
      </c>
      <c r="C1753" s="12">
        <v>138.9</v>
      </c>
      <c r="D1753" t="s">
        <v>5877</v>
      </c>
    </row>
    <row r="1754" spans="2:4" x14ac:dyDescent="0.35">
      <c r="B1754" s="9">
        <v>41566</v>
      </c>
      <c r="C1754" s="12">
        <v>133.1</v>
      </c>
      <c r="D1754" t="s">
        <v>5877</v>
      </c>
    </row>
    <row r="1755" spans="2:4" x14ac:dyDescent="0.35">
      <c r="B1755" s="9">
        <v>41567</v>
      </c>
      <c r="C1755" s="12">
        <v>130.30000000000001</v>
      </c>
      <c r="D1755" t="s">
        <v>5877</v>
      </c>
    </row>
    <row r="1756" spans="2:4" x14ac:dyDescent="0.35">
      <c r="B1756" s="9">
        <v>41568</v>
      </c>
      <c r="C1756" s="12">
        <v>138.69999999999999</v>
      </c>
      <c r="D1756" t="s">
        <v>5877</v>
      </c>
    </row>
    <row r="1757" spans="2:4" x14ac:dyDescent="0.35">
      <c r="B1757" s="9">
        <v>41569</v>
      </c>
      <c r="C1757" s="12">
        <v>127.8</v>
      </c>
      <c r="D1757" t="s">
        <v>5877</v>
      </c>
    </row>
    <row r="1758" spans="2:4" x14ac:dyDescent="0.35">
      <c r="B1758" s="9">
        <v>41570</v>
      </c>
      <c r="C1758" s="12">
        <v>92.8</v>
      </c>
      <c r="D1758" t="s">
        <v>5877</v>
      </c>
    </row>
    <row r="1759" spans="2:4" x14ac:dyDescent="0.35">
      <c r="B1759" s="9">
        <v>41571</v>
      </c>
      <c r="C1759" s="12">
        <v>99.1</v>
      </c>
      <c r="D1759" t="s">
        <v>5877</v>
      </c>
    </row>
    <row r="1760" spans="2:4" x14ac:dyDescent="0.35">
      <c r="B1760" s="9">
        <v>41572</v>
      </c>
      <c r="C1760" s="12">
        <v>148</v>
      </c>
      <c r="D1760" t="s">
        <v>5877</v>
      </c>
    </row>
    <row r="1761" spans="2:4" x14ac:dyDescent="0.35">
      <c r="B1761" s="9">
        <v>41573</v>
      </c>
      <c r="C1761" s="12">
        <v>118</v>
      </c>
      <c r="D1761" t="s">
        <v>5877</v>
      </c>
    </row>
    <row r="1762" spans="2:4" x14ac:dyDescent="0.35">
      <c r="B1762" s="9">
        <v>41574</v>
      </c>
      <c r="C1762" s="12">
        <v>95.2</v>
      </c>
      <c r="D1762" t="s">
        <v>5877</v>
      </c>
    </row>
    <row r="1763" spans="2:4" x14ac:dyDescent="0.35">
      <c r="B1763" s="9">
        <v>41575</v>
      </c>
      <c r="C1763" s="12">
        <v>85.7</v>
      </c>
      <c r="D1763" t="s">
        <v>5877</v>
      </c>
    </row>
    <row r="1764" spans="2:4" x14ac:dyDescent="0.35">
      <c r="B1764" s="9">
        <v>41576</v>
      </c>
      <c r="C1764" s="12">
        <v>110.6</v>
      </c>
      <c r="D1764" t="s">
        <v>5877</v>
      </c>
    </row>
    <row r="1765" spans="2:4" x14ac:dyDescent="0.35">
      <c r="B1765" s="9">
        <v>41577</v>
      </c>
      <c r="C1765" s="12">
        <v>140</v>
      </c>
      <c r="D1765" t="s">
        <v>5877</v>
      </c>
    </row>
    <row r="1766" spans="2:4" x14ac:dyDescent="0.35">
      <c r="B1766" s="9">
        <v>41578</v>
      </c>
      <c r="C1766" s="12">
        <v>106</v>
      </c>
      <c r="D1766" t="s">
        <v>5877</v>
      </c>
    </row>
    <row r="1767" spans="2:4" x14ac:dyDescent="0.35">
      <c r="B1767" s="9">
        <v>41579</v>
      </c>
      <c r="C1767" s="12">
        <v>81.5</v>
      </c>
      <c r="D1767" t="s">
        <v>5877</v>
      </c>
    </row>
    <row r="1768" spans="2:4" x14ac:dyDescent="0.35">
      <c r="B1768" s="9">
        <v>41580</v>
      </c>
      <c r="C1768" s="12">
        <v>70.900000000000006</v>
      </c>
      <c r="D1768" t="s">
        <v>5877</v>
      </c>
    </row>
    <row r="1769" spans="2:4" x14ac:dyDescent="0.35">
      <c r="B1769" s="9">
        <v>41581</v>
      </c>
      <c r="C1769" s="12">
        <v>131.30000000000001</v>
      </c>
      <c r="D1769" t="s">
        <v>5877</v>
      </c>
    </row>
    <row r="1770" spans="2:4" x14ac:dyDescent="0.35">
      <c r="B1770" s="9">
        <v>41582</v>
      </c>
      <c r="C1770" s="12">
        <v>171.1</v>
      </c>
      <c r="D1770" t="s">
        <v>5877</v>
      </c>
    </row>
    <row r="1771" spans="2:4" x14ac:dyDescent="0.35">
      <c r="B1771" s="9">
        <v>41583</v>
      </c>
      <c r="C1771" s="12">
        <v>159.69999999999999</v>
      </c>
      <c r="D1771" t="s">
        <v>5877</v>
      </c>
    </row>
    <row r="1772" spans="2:4" x14ac:dyDescent="0.35">
      <c r="B1772" s="9">
        <v>41584</v>
      </c>
      <c r="C1772" s="12">
        <v>181.6</v>
      </c>
      <c r="D1772" t="s">
        <v>5877</v>
      </c>
    </row>
    <row r="1773" spans="2:4" x14ac:dyDescent="0.35">
      <c r="B1773" s="9">
        <v>41585</v>
      </c>
      <c r="C1773" s="12">
        <v>148</v>
      </c>
      <c r="D1773" t="s">
        <v>5877</v>
      </c>
    </row>
    <row r="1774" spans="2:4" x14ac:dyDescent="0.35">
      <c r="B1774" s="9">
        <v>41586</v>
      </c>
      <c r="C1774" s="12">
        <v>104.7</v>
      </c>
      <c r="D1774" t="s">
        <v>5877</v>
      </c>
    </row>
    <row r="1775" spans="2:4" x14ac:dyDescent="0.35">
      <c r="B1775" s="9">
        <v>41587</v>
      </c>
      <c r="C1775" s="12">
        <v>121.7</v>
      </c>
      <c r="D1775" t="s">
        <v>5877</v>
      </c>
    </row>
    <row r="1776" spans="2:4" x14ac:dyDescent="0.35">
      <c r="B1776" s="9">
        <v>41588</v>
      </c>
      <c r="C1776" s="12">
        <v>118.4</v>
      </c>
      <c r="D1776" t="s">
        <v>5877</v>
      </c>
    </row>
    <row r="1777" spans="2:4" x14ac:dyDescent="0.35">
      <c r="B1777" s="9">
        <v>41589</v>
      </c>
      <c r="C1777" s="12">
        <v>126.9</v>
      </c>
      <c r="D1777" t="s">
        <v>5877</v>
      </c>
    </row>
    <row r="1778" spans="2:4" x14ac:dyDescent="0.35">
      <c r="B1778" s="9">
        <v>41590</v>
      </c>
      <c r="C1778" s="12">
        <v>161.6</v>
      </c>
      <c r="D1778" t="s">
        <v>5877</v>
      </c>
    </row>
    <row r="1779" spans="2:4" x14ac:dyDescent="0.35">
      <c r="B1779" s="9">
        <v>41591</v>
      </c>
      <c r="C1779" s="12">
        <v>145.5</v>
      </c>
      <c r="D1779" t="s">
        <v>5877</v>
      </c>
    </row>
    <row r="1780" spans="2:4" x14ac:dyDescent="0.35">
      <c r="B1780" s="9">
        <v>41592</v>
      </c>
      <c r="C1780" s="12">
        <v>160.1</v>
      </c>
      <c r="D1780" t="s">
        <v>5877</v>
      </c>
    </row>
    <row r="1781" spans="2:4" x14ac:dyDescent="0.35">
      <c r="B1781" s="9">
        <v>41593</v>
      </c>
      <c r="C1781" s="12">
        <v>194.7</v>
      </c>
      <c r="D1781" t="s">
        <v>5877</v>
      </c>
    </row>
    <row r="1782" spans="2:4" x14ac:dyDescent="0.35">
      <c r="B1782" s="9">
        <v>41594</v>
      </c>
      <c r="C1782" s="12">
        <v>153.80000000000001</v>
      </c>
      <c r="D1782" t="s">
        <v>5877</v>
      </c>
    </row>
    <row r="1783" spans="2:4" x14ac:dyDescent="0.35">
      <c r="B1783" s="9">
        <v>41595</v>
      </c>
      <c r="C1783" s="12">
        <v>120.4</v>
      </c>
      <c r="D1783" t="s">
        <v>5877</v>
      </c>
    </row>
    <row r="1784" spans="2:4" x14ac:dyDescent="0.35">
      <c r="B1784" s="9">
        <v>41596</v>
      </c>
      <c r="C1784" s="12">
        <v>103</v>
      </c>
      <c r="D1784" t="s">
        <v>5877</v>
      </c>
    </row>
    <row r="1785" spans="2:4" x14ac:dyDescent="0.35">
      <c r="B1785" s="9">
        <v>41597</v>
      </c>
      <c r="C1785" s="12">
        <v>119.3</v>
      </c>
      <c r="D1785" t="s">
        <v>5877</v>
      </c>
    </row>
    <row r="1786" spans="2:4" x14ac:dyDescent="0.35">
      <c r="B1786" s="9">
        <v>41598</v>
      </c>
      <c r="C1786" s="12">
        <v>123.7</v>
      </c>
      <c r="D1786" t="s">
        <v>5877</v>
      </c>
    </row>
    <row r="1787" spans="2:4" x14ac:dyDescent="0.35">
      <c r="B1787" s="9">
        <v>41599</v>
      </c>
      <c r="C1787" s="12">
        <v>92.8</v>
      </c>
      <c r="D1787" t="s">
        <v>5877</v>
      </c>
    </row>
    <row r="1788" spans="2:4" x14ac:dyDescent="0.35">
      <c r="B1788" s="9">
        <v>41600</v>
      </c>
      <c r="C1788" s="12">
        <v>88.9</v>
      </c>
      <c r="D1788" t="s">
        <v>5877</v>
      </c>
    </row>
    <row r="1789" spans="2:4" x14ac:dyDescent="0.35">
      <c r="B1789" s="9">
        <v>41601</v>
      </c>
      <c r="C1789" s="12">
        <v>120.1</v>
      </c>
      <c r="D1789" t="s">
        <v>5877</v>
      </c>
    </row>
    <row r="1790" spans="2:4" x14ac:dyDescent="0.35">
      <c r="B1790" s="9">
        <v>41602</v>
      </c>
      <c r="C1790" s="12">
        <v>129.6</v>
      </c>
      <c r="D1790" t="s">
        <v>5877</v>
      </c>
    </row>
    <row r="1791" spans="2:4" x14ac:dyDescent="0.35">
      <c r="B1791" s="9">
        <v>41603</v>
      </c>
      <c r="C1791" s="12">
        <v>102.8</v>
      </c>
      <c r="D1791" t="s">
        <v>5877</v>
      </c>
    </row>
    <row r="1792" spans="2:4" x14ac:dyDescent="0.35">
      <c r="B1792" s="9">
        <v>41604</v>
      </c>
      <c r="C1792" s="12">
        <v>138</v>
      </c>
      <c r="D1792" t="s">
        <v>5877</v>
      </c>
    </row>
    <row r="1793" spans="2:4" x14ac:dyDescent="0.35">
      <c r="B1793" s="9">
        <v>41605</v>
      </c>
      <c r="C1793" s="12">
        <v>127.2</v>
      </c>
      <c r="D1793" t="s">
        <v>5877</v>
      </c>
    </row>
    <row r="1794" spans="2:4" x14ac:dyDescent="0.35">
      <c r="B1794" s="9">
        <v>41606</v>
      </c>
      <c r="C1794" s="12">
        <v>114.7</v>
      </c>
      <c r="D1794" t="s">
        <v>5877</v>
      </c>
    </row>
    <row r="1795" spans="2:4" x14ac:dyDescent="0.35">
      <c r="B1795" s="9">
        <v>41607</v>
      </c>
      <c r="C1795" s="12">
        <v>92.6</v>
      </c>
      <c r="D1795" t="s">
        <v>5877</v>
      </c>
    </row>
    <row r="1796" spans="2:4" x14ac:dyDescent="0.35">
      <c r="B1796" s="9">
        <v>41608</v>
      </c>
      <c r="C1796" s="12">
        <v>129.5</v>
      </c>
      <c r="D1796" t="s">
        <v>5877</v>
      </c>
    </row>
    <row r="1797" spans="2:4" x14ac:dyDescent="0.35">
      <c r="B1797" s="9">
        <v>41609</v>
      </c>
      <c r="C1797" s="12">
        <v>133.1</v>
      </c>
      <c r="D1797" t="s">
        <v>5877</v>
      </c>
    </row>
    <row r="1798" spans="2:4" x14ac:dyDescent="0.35">
      <c r="B1798" s="9">
        <v>41610</v>
      </c>
      <c r="C1798" s="12">
        <v>104.1</v>
      </c>
      <c r="D1798" t="s">
        <v>5877</v>
      </c>
    </row>
    <row r="1799" spans="2:4" x14ac:dyDescent="0.35">
      <c r="B1799" s="9">
        <v>41611</v>
      </c>
      <c r="C1799" s="12">
        <v>164.7</v>
      </c>
      <c r="D1799" t="s">
        <v>5877</v>
      </c>
    </row>
    <row r="1800" spans="2:4" x14ac:dyDescent="0.35">
      <c r="B1800" s="9">
        <v>41612</v>
      </c>
      <c r="C1800" s="12">
        <v>145.69999999999999</v>
      </c>
      <c r="D1800" t="s">
        <v>5877</v>
      </c>
    </row>
    <row r="1801" spans="2:4" x14ac:dyDescent="0.35">
      <c r="B1801" s="9">
        <v>41613</v>
      </c>
      <c r="C1801" s="12">
        <v>107.4</v>
      </c>
      <c r="D1801" t="s">
        <v>5877</v>
      </c>
    </row>
    <row r="1802" spans="2:4" x14ac:dyDescent="0.35">
      <c r="B1802" s="9">
        <v>41614</v>
      </c>
      <c r="C1802" s="12">
        <v>118.6</v>
      </c>
      <c r="D1802" t="s">
        <v>5877</v>
      </c>
    </row>
    <row r="1803" spans="2:4" x14ac:dyDescent="0.35">
      <c r="B1803" s="9">
        <v>41615</v>
      </c>
      <c r="C1803" s="12">
        <v>128</v>
      </c>
      <c r="D1803" t="s">
        <v>5877</v>
      </c>
    </row>
    <row r="1804" spans="2:4" x14ac:dyDescent="0.35">
      <c r="B1804" s="9">
        <v>41616</v>
      </c>
      <c r="C1804" s="12">
        <v>97.2</v>
      </c>
      <c r="D1804" t="s">
        <v>5877</v>
      </c>
    </row>
    <row r="1805" spans="2:4" x14ac:dyDescent="0.35">
      <c r="B1805" s="9">
        <v>41617</v>
      </c>
      <c r="C1805" s="12">
        <v>86.2</v>
      </c>
      <c r="D1805" t="s">
        <v>5877</v>
      </c>
    </row>
    <row r="1806" spans="2:4" x14ac:dyDescent="0.35">
      <c r="B1806" s="9">
        <v>41618</v>
      </c>
      <c r="C1806" s="12">
        <v>142.1</v>
      </c>
      <c r="D1806" t="s">
        <v>5877</v>
      </c>
    </row>
    <row r="1807" spans="2:4" x14ac:dyDescent="0.35">
      <c r="B1807" s="9">
        <v>41619</v>
      </c>
      <c r="C1807" s="12">
        <v>143.19999999999999</v>
      </c>
      <c r="D1807" t="s">
        <v>5877</v>
      </c>
    </row>
    <row r="1808" spans="2:4" x14ac:dyDescent="0.35">
      <c r="B1808" s="9">
        <v>41620</v>
      </c>
      <c r="C1808" s="12">
        <v>153.4</v>
      </c>
      <c r="D1808" t="s">
        <v>5877</v>
      </c>
    </row>
    <row r="1809" spans="2:4" x14ac:dyDescent="0.35">
      <c r="B1809" s="9">
        <v>41621</v>
      </c>
      <c r="C1809" s="12">
        <v>127.9</v>
      </c>
      <c r="D1809" t="s">
        <v>5877</v>
      </c>
    </row>
    <row r="1810" spans="2:4" x14ac:dyDescent="0.35">
      <c r="B1810" s="9">
        <v>41622</v>
      </c>
      <c r="C1810" s="12">
        <v>96.3</v>
      </c>
      <c r="D1810" t="s">
        <v>5877</v>
      </c>
    </row>
    <row r="1811" spans="2:4" x14ac:dyDescent="0.35">
      <c r="B1811" s="9">
        <v>41623</v>
      </c>
      <c r="C1811" s="12">
        <v>95</v>
      </c>
      <c r="D1811" t="s">
        <v>5877</v>
      </c>
    </row>
    <row r="1812" spans="2:4" x14ac:dyDescent="0.35">
      <c r="B1812" s="9">
        <v>41624</v>
      </c>
      <c r="C1812" s="12">
        <v>89.3</v>
      </c>
      <c r="D1812" t="s">
        <v>5877</v>
      </c>
    </row>
    <row r="1813" spans="2:4" x14ac:dyDescent="0.35">
      <c r="B1813" s="9">
        <v>41625</v>
      </c>
      <c r="C1813" s="12">
        <v>79.900000000000006</v>
      </c>
      <c r="D1813" t="s">
        <v>5877</v>
      </c>
    </row>
    <row r="1814" spans="2:4" x14ac:dyDescent="0.35">
      <c r="B1814" s="9">
        <v>41626</v>
      </c>
      <c r="C1814" s="12">
        <v>68.400000000000006</v>
      </c>
      <c r="D1814" t="s">
        <v>5877</v>
      </c>
    </row>
    <row r="1815" spans="2:4" x14ac:dyDescent="0.35">
      <c r="B1815" s="9">
        <v>41627</v>
      </c>
      <c r="C1815" s="12">
        <v>63.2</v>
      </c>
      <c r="D1815" t="s">
        <v>5877</v>
      </c>
    </row>
    <row r="1816" spans="2:4" x14ac:dyDescent="0.35">
      <c r="B1816" s="9">
        <v>41628</v>
      </c>
      <c r="C1816" s="12">
        <v>123.8</v>
      </c>
      <c r="D1816" t="s">
        <v>5877</v>
      </c>
    </row>
    <row r="1817" spans="2:4" x14ac:dyDescent="0.35">
      <c r="B1817" s="9">
        <v>41629</v>
      </c>
      <c r="C1817" s="12">
        <v>145.80000000000001</v>
      </c>
      <c r="D1817" t="s">
        <v>5877</v>
      </c>
    </row>
    <row r="1818" spans="2:4" x14ac:dyDescent="0.35">
      <c r="B1818" s="9">
        <v>41630</v>
      </c>
      <c r="C1818" s="12">
        <v>118</v>
      </c>
      <c r="D1818" t="s">
        <v>5877</v>
      </c>
    </row>
    <row r="1819" spans="2:4" x14ac:dyDescent="0.35">
      <c r="B1819" s="9">
        <v>41631</v>
      </c>
      <c r="C1819" s="12">
        <v>127.8</v>
      </c>
      <c r="D1819" t="s">
        <v>5877</v>
      </c>
    </row>
    <row r="1820" spans="2:4" x14ac:dyDescent="0.35">
      <c r="B1820" s="9">
        <v>41632</v>
      </c>
      <c r="C1820" s="12">
        <v>100</v>
      </c>
      <c r="D1820" t="s">
        <v>5877</v>
      </c>
    </row>
    <row r="1821" spans="2:4" x14ac:dyDescent="0.35">
      <c r="B1821" s="9">
        <v>41633</v>
      </c>
      <c r="C1821" s="12">
        <v>150.6</v>
      </c>
      <c r="D1821" t="s">
        <v>5877</v>
      </c>
    </row>
    <row r="1822" spans="2:4" x14ac:dyDescent="0.35">
      <c r="B1822" s="9">
        <v>41634</v>
      </c>
      <c r="C1822" s="12">
        <v>153.19999999999999</v>
      </c>
      <c r="D1822" t="s">
        <v>5877</v>
      </c>
    </row>
    <row r="1823" spans="2:4" x14ac:dyDescent="0.35">
      <c r="B1823" s="9">
        <v>41635</v>
      </c>
      <c r="C1823" s="12">
        <v>156.6</v>
      </c>
      <c r="D1823" t="s">
        <v>5877</v>
      </c>
    </row>
    <row r="1824" spans="2:4" x14ac:dyDescent="0.35">
      <c r="B1824" s="9">
        <v>41636</v>
      </c>
      <c r="C1824" s="12">
        <v>193.1</v>
      </c>
      <c r="D1824" t="s">
        <v>5877</v>
      </c>
    </row>
    <row r="1825" spans="2:4" x14ac:dyDescent="0.35">
      <c r="B1825" s="9">
        <v>41637</v>
      </c>
      <c r="C1825" s="12">
        <v>231.9</v>
      </c>
      <c r="D1825" t="s">
        <v>5877</v>
      </c>
    </row>
    <row r="1826" spans="2:4" x14ac:dyDescent="0.35">
      <c r="B1826" s="9">
        <v>41638</v>
      </c>
      <c r="C1826" s="12">
        <v>180.3</v>
      </c>
      <c r="D1826" t="s">
        <v>5877</v>
      </c>
    </row>
    <row r="1827" spans="2:4" x14ac:dyDescent="0.35">
      <c r="B1827" s="9">
        <v>41639</v>
      </c>
      <c r="C1827" s="12">
        <v>177</v>
      </c>
      <c r="D1827" t="s">
        <v>5877</v>
      </c>
    </row>
    <row r="1828" spans="2:4" x14ac:dyDescent="0.35">
      <c r="B1828" s="9">
        <v>41640</v>
      </c>
      <c r="C1828" s="12">
        <v>175.1</v>
      </c>
      <c r="D1828" t="s">
        <v>5877</v>
      </c>
    </row>
    <row r="1829" spans="2:4" x14ac:dyDescent="0.35">
      <c r="B1829" s="9">
        <v>41641</v>
      </c>
      <c r="C1829" s="12">
        <v>128.30000000000001</v>
      </c>
      <c r="D1829" t="s">
        <v>5877</v>
      </c>
    </row>
    <row r="1830" spans="2:4" x14ac:dyDescent="0.35">
      <c r="B1830" s="9">
        <v>41642</v>
      </c>
      <c r="C1830" s="12">
        <v>98</v>
      </c>
      <c r="D1830" t="s">
        <v>5877</v>
      </c>
    </row>
    <row r="1831" spans="2:4" x14ac:dyDescent="0.35">
      <c r="B1831" s="9">
        <v>41643</v>
      </c>
      <c r="C1831" s="12">
        <v>121.2</v>
      </c>
      <c r="D1831" t="s">
        <v>5877</v>
      </c>
    </row>
    <row r="1832" spans="2:4" x14ac:dyDescent="0.35">
      <c r="B1832" s="9">
        <v>41644</v>
      </c>
      <c r="C1832" s="12">
        <v>180.9</v>
      </c>
      <c r="D1832" t="s">
        <v>5877</v>
      </c>
    </row>
    <row r="1833" spans="2:4" x14ac:dyDescent="0.35">
      <c r="B1833" s="9">
        <v>41645</v>
      </c>
      <c r="C1833" s="12">
        <v>142.1</v>
      </c>
      <c r="D1833" t="s">
        <v>5877</v>
      </c>
    </row>
    <row r="1834" spans="2:4" x14ac:dyDescent="0.35">
      <c r="B1834" s="9">
        <v>41646</v>
      </c>
      <c r="C1834" s="12">
        <v>126.9</v>
      </c>
      <c r="D1834" t="s">
        <v>5877</v>
      </c>
    </row>
    <row r="1835" spans="2:4" x14ac:dyDescent="0.35">
      <c r="B1835" s="9">
        <v>41647</v>
      </c>
      <c r="C1835" s="12">
        <v>129.19999999999999</v>
      </c>
      <c r="D1835" t="s">
        <v>5877</v>
      </c>
    </row>
    <row r="1836" spans="2:4" x14ac:dyDescent="0.35">
      <c r="B1836" s="9">
        <v>41648</v>
      </c>
      <c r="C1836" s="12">
        <v>113.4</v>
      </c>
      <c r="D1836" t="s">
        <v>5877</v>
      </c>
    </row>
    <row r="1837" spans="2:4" x14ac:dyDescent="0.35">
      <c r="B1837" s="9">
        <v>41649</v>
      </c>
      <c r="C1837" s="12">
        <v>97.6</v>
      </c>
      <c r="D1837" t="s">
        <v>5877</v>
      </c>
    </row>
    <row r="1838" spans="2:4" x14ac:dyDescent="0.35">
      <c r="B1838" s="9">
        <v>41650</v>
      </c>
      <c r="C1838" s="12">
        <v>130</v>
      </c>
      <c r="D1838" t="s">
        <v>5877</v>
      </c>
    </row>
    <row r="1839" spans="2:4" x14ac:dyDescent="0.35">
      <c r="B1839" s="9">
        <v>41651</v>
      </c>
      <c r="C1839" s="12">
        <v>128.9</v>
      </c>
      <c r="D1839" t="s">
        <v>5877</v>
      </c>
    </row>
    <row r="1840" spans="2:4" x14ac:dyDescent="0.35">
      <c r="B1840" s="9">
        <v>41652</v>
      </c>
      <c r="C1840" s="12">
        <v>110</v>
      </c>
      <c r="D1840" t="s">
        <v>5877</v>
      </c>
    </row>
    <row r="1841" spans="2:4" x14ac:dyDescent="0.35">
      <c r="B1841" s="9">
        <v>41653</v>
      </c>
      <c r="C1841" s="12">
        <v>156.5</v>
      </c>
      <c r="D1841" t="s">
        <v>5877</v>
      </c>
    </row>
    <row r="1842" spans="2:4" x14ac:dyDescent="0.35">
      <c r="B1842" s="9">
        <v>41654</v>
      </c>
      <c r="C1842" s="12">
        <v>212.5</v>
      </c>
      <c r="D1842" t="s">
        <v>5877</v>
      </c>
    </row>
    <row r="1843" spans="2:4" x14ac:dyDescent="0.35">
      <c r="B1843" s="9">
        <v>41655</v>
      </c>
      <c r="C1843" s="12">
        <v>155.4</v>
      </c>
      <c r="D1843" t="s">
        <v>5877</v>
      </c>
    </row>
    <row r="1844" spans="2:4" x14ac:dyDescent="0.35">
      <c r="B1844" s="9">
        <v>41656</v>
      </c>
      <c r="C1844" s="12">
        <v>142.69999999999999</v>
      </c>
      <c r="D1844" t="s">
        <v>5877</v>
      </c>
    </row>
    <row r="1845" spans="2:4" x14ac:dyDescent="0.35">
      <c r="B1845" s="9">
        <v>41657</v>
      </c>
      <c r="C1845" s="12">
        <v>146.6</v>
      </c>
      <c r="D1845" t="s">
        <v>5877</v>
      </c>
    </row>
    <row r="1846" spans="2:4" x14ac:dyDescent="0.35">
      <c r="B1846" s="9">
        <v>41658</v>
      </c>
      <c r="C1846" s="12">
        <v>111.9</v>
      </c>
      <c r="D1846" t="s">
        <v>5877</v>
      </c>
    </row>
    <row r="1847" spans="2:4" x14ac:dyDescent="0.35">
      <c r="B1847" s="9">
        <v>41659</v>
      </c>
      <c r="C1847" s="12">
        <v>103.6</v>
      </c>
      <c r="D1847" t="s">
        <v>5877</v>
      </c>
    </row>
    <row r="1848" spans="2:4" x14ac:dyDescent="0.35">
      <c r="B1848" s="9">
        <v>41660</v>
      </c>
      <c r="C1848" s="12">
        <v>124.8</v>
      </c>
      <c r="D1848" t="s">
        <v>5877</v>
      </c>
    </row>
    <row r="1849" spans="2:4" x14ac:dyDescent="0.35">
      <c r="B1849" s="9">
        <v>41661</v>
      </c>
      <c r="C1849" s="12">
        <v>107.7</v>
      </c>
      <c r="D1849" t="s">
        <v>5877</v>
      </c>
    </row>
    <row r="1850" spans="2:4" x14ac:dyDescent="0.35">
      <c r="B1850" s="9">
        <v>41662</v>
      </c>
      <c r="C1850" s="12">
        <v>113</v>
      </c>
      <c r="D1850" t="s">
        <v>5877</v>
      </c>
    </row>
    <row r="1851" spans="2:4" x14ac:dyDescent="0.35">
      <c r="B1851" s="9">
        <v>41663</v>
      </c>
      <c r="C1851" s="12">
        <v>114.8</v>
      </c>
      <c r="D1851" t="s">
        <v>5877</v>
      </c>
    </row>
    <row r="1852" spans="2:4" x14ac:dyDescent="0.35">
      <c r="B1852" s="9">
        <v>41664</v>
      </c>
      <c r="C1852" s="12">
        <v>100.8</v>
      </c>
      <c r="D1852" t="s">
        <v>5877</v>
      </c>
    </row>
    <row r="1853" spans="2:4" x14ac:dyDescent="0.35">
      <c r="B1853" s="9">
        <v>41665</v>
      </c>
      <c r="C1853" s="12">
        <v>92.4</v>
      </c>
      <c r="D1853" t="s">
        <v>5877</v>
      </c>
    </row>
    <row r="1854" spans="2:4" x14ac:dyDescent="0.35">
      <c r="B1854" s="9">
        <v>41666</v>
      </c>
      <c r="C1854" s="12">
        <v>80.7</v>
      </c>
      <c r="D1854" t="s">
        <v>5877</v>
      </c>
    </row>
    <row r="1855" spans="2:4" x14ac:dyDescent="0.35">
      <c r="B1855" s="9">
        <v>41667</v>
      </c>
      <c r="C1855" s="12">
        <v>89.6</v>
      </c>
      <c r="D1855" t="s">
        <v>5877</v>
      </c>
    </row>
    <row r="1856" spans="2:4" x14ac:dyDescent="0.35">
      <c r="B1856" s="9">
        <v>41668</v>
      </c>
      <c r="C1856" s="12">
        <v>89.6</v>
      </c>
      <c r="D1856" t="s">
        <v>5877</v>
      </c>
    </row>
    <row r="1857" spans="2:4" x14ac:dyDescent="0.35">
      <c r="B1857" s="9">
        <v>41669</v>
      </c>
      <c r="C1857" s="12">
        <v>97.7</v>
      </c>
      <c r="D1857" t="s">
        <v>5877</v>
      </c>
    </row>
    <row r="1858" spans="2:4" x14ac:dyDescent="0.35">
      <c r="B1858" s="9">
        <v>41670</v>
      </c>
      <c r="C1858" s="12">
        <v>165</v>
      </c>
      <c r="D1858" t="s">
        <v>5877</v>
      </c>
    </row>
    <row r="1859" spans="2:4" x14ac:dyDescent="0.35">
      <c r="B1859" s="9">
        <v>41671</v>
      </c>
      <c r="C1859" s="12">
        <v>146.6</v>
      </c>
      <c r="D1859" t="s">
        <v>5877</v>
      </c>
    </row>
    <row r="1860" spans="2:4" x14ac:dyDescent="0.35">
      <c r="B1860" s="9">
        <v>41672</v>
      </c>
      <c r="C1860" s="12">
        <v>126.7</v>
      </c>
      <c r="D1860" t="s">
        <v>5877</v>
      </c>
    </row>
    <row r="1861" spans="2:4" x14ac:dyDescent="0.35">
      <c r="B1861" s="9">
        <v>41673</v>
      </c>
      <c r="C1861" s="12">
        <v>140.6</v>
      </c>
      <c r="D1861" t="s">
        <v>5877</v>
      </c>
    </row>
    <row r="1862" spans="2:4" x14ac:dyDescent="0.35">
      <c r="B1862" s="9">
        <v>41674</v>
      </c>
      <c r="C1862" s="12">
        <v>111.9</v>
      </c>
      <c r="D1862" t="s">
        <v>5877</v>
      </c>
    </row>
    <row r="1863" spans="2:4" x14ac:dyDescent="0.35">
      <c r="B1863" s="9">
        <v>41675</v>
      </c>
      <c r="C1863" s="12">
        <v>107.6</v>
      </c>
      <c r="D1863" t="s">
        <v>5877</v>
      </c>
    </row>
    <row r="1864" spans="2:4" x14ac:dyDescent="0.35">
      <c r="B1864" s="9">
        <v>41676</v>
      </c>
      <c r="C1864" s="12">
        <v>95.9</v>
      </c>
      <c r="D1864" t="s">
        <v>5877</v>
      </c>
    </row>
    <row r="1865" spans="2:4" x14ac:dyDescent="0.35">
      <c r="B1865" s="9">
        <v>41677</v>
      </c>
      <c r="C1865" s="12">
        <v>94.4</v>
      </c>
      <c r="D1865" t="s">
        <v>5877</v>
      </c>
    </row>
    <row r="1866" spans="2:4" x14ac:dyDescent="0.35">
      <c r="B1866" s="9">
        <v>41678</v>
      </c>
      <c r="C1866" s="12">
        <v>84</v>
      </c>
      <c r="D1866" t="s">
        <v>5877</v>
      </c>
    </row>
    <row r="1867" spans="2:4" x14ac:dyDescent="0.35">
      <c r="B1867" s="9">
        <v>41679</v>
      </c>
      <c r="C1867" s="12">
        <v>77.599999999999994</v>
      </c>
      <c r="D1867" t="s">
        <v>5877</v>
      </c>
    </row>
    <row r="1868" spans="2:4" x14ac:dyDescent="0.35">
      <c r="B1868" s="9">
        <v>41680</v>
      </c>
      <c r="C1868" s="12">
        <v>92</v>
      </c>
      <c r="D1868" t="s">
        <v>5877</v>
      </c>
    </row>
    <row r="1869" spans="2:4" x14ac:dyDescent="0.35">
      <c r="B1869" s="9">
        <v>41681</v>
      </c>
      <c r="C1869" s="12">
        <v>91.5</v>
      </c>
      <c r="D1869" t="s">
        <v>5877</v>
      </c>
    </row>
    <row r="1870" spans="2:4" x14ac:dyDescent="0.35">
      <c r="B1870" s="9">
        <v>41682</v>
      </c>
      <c r="C1870" s="12">
        <v>112.9</v>
      </c>
      <c r="D1870" t="s">
        <v>5877</v>
      </c>
    </row>
    <row r="1871" spans="2:4" x14ac:dyDescent="0.35">
      <c r="B1871" s="9">
        <v>41683</v>
      </c>
      <c r="C1871" s="12">
        <v>119.7</v>
      </c>
      <c r="D1871" t="s">
        <v>5877</v>
      </c>
    </row>
    <row r="1872" spans="2:4" x14ac:dyDescent="0.35">
      <c r="B1872" s="9">
        <v>41684</v>
      </c>
      <c r="C1872" s="12">
        <v>109</v>
      </c>
      <c r="D1872" t="s">
        <v>5877</v>
      </c>
    </row>
    <row r="1873" spans="2:4" x14ac:dyDescent="0.35">
      <c r="B1873" s="9">
        <v>41685</v>
      </c>
      <c r="C1873" s="12">
        <v>104.9</v>
      </c>
      <c r="D1873" t="s">
        <v>5877</v>
      </c>
    </row>
    <row r="1874" spans="2:4" x14ac:dyDescent="0.35">
      <c r="B1874" s="9">
        <v>41686</v>
      </c>
      <c r="C1874" s="12">
        <v>148</v>
      </c>
      <c r="D1874" t="s">
        <v>5877</v>
      </c>
    </row>
    <row r="1875" spans="2:4" x14ac:dyDescent="0.35">
      <c r="B1875" s="9">
        <v>41687</v>
      </c>
      <c r="C1875" s="12">
        <v>115.7</v>
      </c>
      <c r="D1875" t="s">
        <v>5877</v>
      </c>
    </row>
    <row r="1876" spans="2:4" x14ac:dyDescent="0.35">
      <c r="B1876" s="9">
        <v>41688</v>
      </c>
      <c r="C1876" s="12">
        <v>100.3</v>
      </c>
      <c r="D1876" t="s">
        <v>5877</v>
      </c>
    </row>
    <row r="1877" spans="2:4" x14ac:dyDescent="0.35">
      <c r="B1877" s="9">
        <v>41689</v>
      </c>
      <c r="C1877" s="12">
        <v>87.6</v>
      </c>
      <c r="D1877" t="s">
        <v>5877</v>
      </c>
    </row>
    <row r="1878" spans="2:4" x14ac:dyDescent="0.35">
      <c r="B1878" s="9">
        <v>41690</v>
      </c>
      <c r="C1878" s="12">
        <v>135.6</v>
      </c>
      <c r="D1878" t="s">
        <v>5877</v>
      </c>
    </row>
    <row r="1879" spans="2:4" x14ac:dyDescent="0.35">
      <c r="B1879" s="9">
        <v>41691</v>
      </c>
      <c r="C1879" s="12">
        <v>161.19999999999999</v>
      </c>
      <c r="D1879" t="s">
        <v>5877</v>
      </c>
    </row>
    <row r="1880" spans="2:4" x14ac:dyDescent="0.35">
      <c r="B1880" s="9">
        <v>41692</v>
      </c>
      <c r="C1880" s="12">
        <v>156.69999999999999</v>
      </c>
      <c r="D1880" t="s">
        <v>5877</v>
      </c>
    </row>
    <row r="1881" spans="2:4" x14ac:dyDescent="0.35">
      <c r="B1881" s="9">
        <v>41693</v>
      </c>
      <c r="C1881" s="12">
        <v>168.9</v>
      </c>
      <c r="D1881" t="s">
        <v>5877</v>
      </c>
    </row>
    <row r="1882" spans="2:4" x14ac:dyDescent="0.35">
      <c r="B1882" s="9">
        <v>41694</v>
      </c>
      <c r="C1882" s="12">
        <v>129.6</v>
      </c>
      <c r="D1882" t="s">
        <v>5877</v>
      </c>
    </row>
    <row r="1883" spans="2:4" x14ac:dyDescent="0.35">
      <c r="B1883" s="9">
        <v>41695</v>
      </c>
      <c r="C1883" s="12">
        <v>155</v>
      </c>
      <c r="D1883" t="s">
        <v>5877</v>
      </c>
    </row>
    <row r="1884" spans="2:4" x14ac:dyDescent="0.35">
      <c r="B1884" s="9">
        <v>41696</v>
      </c>
      <c r="C1884" s="12">
        <v>117</v>
      </c>
      <c r="D1884" t="s">
        <v>5877</v>
      </c>
    </row>
    <row r="1885" spans="2:4" x14ac:dyDescent="0.35">
      <c r="B1885" s="9">
        <v>41697</v>
      </c>
      <c r="C1885" s="12">
        <v>101.7</v>
      </c>
      <c r="D1885" t="s">
        <v>5877</v>
      </c>
    </row>
    <row r="1886" spans="2:4" x14ac:dyDescent="0.35">
      <c r="B1886" s="9">
        <v>41698</v>
      </c>
      <c r="C1886" s="12">
        <v>104.8</v>
      </c>
      <c r="D1886" t="s">
        <v>5877</v>
      </c>
    </row>
    <row r="1887" spans="2:4" x14ac:dyDescent="0.35">
      <c r="B1887" s="9">
        <v>41699</v>
      </c>
      <c r="C1887" s="12">
        <v>86.4</v>
      </c>
      <c r="D1887" t="s">
        <v>5877</v>
      </c>
    </row>
    <row r="1888" spans="2:4" x14ac:dyDescent="0.35">
      <c r="B1888" s="9">
        <v>41700</v>
      </c>
      <c r="C1888" s="12">
        <v>77.599999999999994</v>
      </c>
      <c r="D1888" t="s">
        <v>5877</v>
      </c>
    </row>
    <row r="1889" spans="2:4" x14ac:dyDescent="0.35">
      <c r="B1889" s="9">
        <v>41701</v>
      </c>
      <c r="C1889" s="12">
        <v>141.1</v>
      </c>
      <c r="D1889" t="s">
        <v>5877</v>
      </c>
    </row>
    <row r="1890" spans="2:4" x14ac:dyDescent="0.35">
      <c r="B1890" s="9">
        <v>41702</v>
      </c>
      <c r="C1890" s="12">
        <v>142.1</v>
      </c>
      <c r="D1890" t="s">
        <v>5877</v>
      </c>
    </row>
    <row r="1891" spans="2:4" x14ac:dyDescent="0.35">
      <c r="B1891" s="9">
        <v>41703</v>
      </c>
      <c r="C1891" s="12">
        <v>129.4</v>
      </c>
      <c r="D1891" t="s">
        <v>5877</v>
      </c>
    </row>
    <row r="1892" spans="2:4" x14ac:dyDescent="0.35">
      <c r="B1892" s="9">
        <v>41704</v>
      </c>
      <c r="C1892" s="12">
        <v>148.69999999999999</v>
      </c>
      <c r="D1892" t="s">
        <v>5877</v>
      </c>
    </row>
    <row r="1893" spans="2:4" x14ac:dyDescent="0.35">
      <c r="B1893" s="9">
        <v>41705</v>
      </c>
      <c r="C1893" s="12">
        <v>130.19999999999999</v>
      </c>
      <c r="D1893" t="s">
        <v>5877</v>
      </c>
    </row>
    <row r="1894" spans="2:4" x14ac:dyDescent="0.35">
      <c r="B1894" s="9">
        <v>41706</v>
      </c>
      <c r="C1894" s="12">
        <v>104.9</v>
      </c>
      <c r="D1894" t="s">
        <v>5877</v>
      </c>
    </row>
    <row r="1895" spans="2:4" x14ac:dyDescent="0.35">
      <c r="B1895" s="9">
        <v>41707</v>
      </c>
      <c r="C1895" s="12">
        <v>100.1</v>
      </c>
      <c r="D1895" t="s">
        <v>5877</v>
      </c>
    </row>
    <row r="1896" spans="2:4" x14ac:dyDescent="0.35">
      <c r="B1896" s="9">
        <v>41708</v>
      </c>
      <c r="C1896" s="12">
        <v>173.2</v>
      </c>
      <c r="D1896" t="s">
        <v>5877</v>
      </c>
    </row>
    <row r="1897" spans="2:4" x14ac:dyDescent="0.35">
      <c r="B1897" s="9">
        <v>41709</v>
      </c>
      <c r="C1897" s="12">
        <v>245.3</v>
      </c>
      <c r="D1897" t="s">
        <v>5877</v>
      </c>
    </row>
    <row r="1898" spans="2:4" x14ac:dyDescent="0.35">
      <c r="B1898" s="9">
        <v>41710</v>
      </c>
      <c r="C1898" s="12">
        <v>224.6</v>
      </c>
      <c r="D1898" t="s">
        <v>5877</v>
      </c>
    </row>
    <row r="1899" spans="2:4" x14ac:dyDescent="0.35">
      <c r="B1899" s="9">
        <v>41711</v>
      </c>
      <c r="C1899" s="12">
        <v>192.7</v>
      </c>
      <c r="D1899" t="s">
        <v>5877</v>
      </c>
    </row>
    <row r="1900" spans="2:4" x14ac:dyDescent="0.35">
      <c r="B1900" s="9">
        <v>41712</v>
      </c>
      <c r="C1900" s="12">
        <v>160.6</v>
      </c>
      <c r="D1900" t="s">
        <v>5877</v>
      </c>
    </row>
    <row r="1901" spans="2:4" x14ac:dyDescent="0.35">
      <c r="B1901" s="9">
        <v>41713</v>
      </c>
      <c r="C1901" s="12">
        <v>128.5</v>
      </c>
      <c r="D1901" t="s">
        <v>5877</v>
      </c>
    </row>
    <row r="1902" spans="2:4" x14ac:dyDescent="0.35">
      <c r="B1902" s="9">
        <v>41714</v>
      </c>
      <c r="C1902" s="12">
        <v>118.7</v>
      </c>
      <c r="D1902" t="s">
        <v>5877</v>
      </c>
    </row>
    <row r="1903" spans="2:4" x14ac:dyDescent="0.35">
      <c r="B1903" s="9">
        <v>41715</v>
      </c>
      <c r="C1903" s="12">
        <v>100.6</v>
      </c>
      <c r="D1903" t="s">
        <v>5877</v>
      </c>
    </row>
    <row r="1904" spans="2:4" x14ac:dyDescent="0.35">
      <c r="B1904" s="9">
        <v>41716</v>
      </c>
      <c r="C1904" s="12">
        <v>95</v>
      </c>
      <c r="D1904" t="s">
        <v>5877</v>
      </c>
    </row>
    <row r="1905" spans="2:4" x14ac:dyDescent="0.35">
      <c r="B1905" s="9">
        <v>41717</v>
      </c>
      <c r="C1905" s="12">
        <v>148.80000000000001</v>
      </c>
      <c r="D1905" t="s">
        <v>5877</v>
      </c>
    </row>
    <row r="1906" spans="2:4" x14ac:dyDescent="0.35">
      <c r="B1906" s="9">
        <v>41718</v>
      </c>
      <c r="C1906" s="12">
        <v>177.5</v>
      </c>
      <c r="D1906" t="s">
        <v>5877</v>
      </c>
    </row>
    <row r="1907" spans="2:4" x14ac:dyDescent="0.35">
      <c r="B1907" s="9">
        <v>41719</v>
      </c>
      <c r="C1907" s="12">
        <v>135.19999999999999</v>
      </c>
      <c r="D1907" t="s">
        <v>5877</v>
      </c>
    </row>
    <row r="1908" spans="2:4" x14ac:dyDescent="0.35">
      <c r="B1908" s="9">
        <v>41720</v>
      </c>
      <c r="C1908" s="12">
        <v>113.5</v>
      </c>
      <c r="D1908" t="s">
        <v>5877</v>
      </c>
    </row>
    <row r="1909" spans="2:4" x14ac:dyDescent="0.35">
      <c r="B1909" s="9">
        <v>41721</v>
      </c>
      <c r="C1909" s="12">
        <v>130.6</v>
      </c>
      <c r="D1909" t="s">
        <v>5877</v>
      </c>
    </row>
    <row r="1910" spans="2:4" x14ac:dyDescent="0.35">
      <c r="B1910" s="9">
        <v>41722</v>
      </c>
      <c r="C1910" s="12">
        <v>143.4</v>
      </c>
      <c r="D1910" t="s">
        <v>5877</v>
      </c>
    </row>
    <row r="1911" spans="2:4" x14ac:dyDescent="0.35">
      <c r="B1911" s="9">
        <v>41723</v>
      </c>
      <c r="C1911" s="12">
        <v>130.9</v>
      </c>
      <c r="D1911" t="s">
        <v>5877</v>
      </c>
    </row>
    <row r="1912" spans="2:4" x14ac:dyDescent="0.35">
      <c r="B1912" s="9">
        <v>41724</v>
      </c>
      <c r="C1912" s="12">
        <v>125.9</v>
      </c>
      <c r="D1912" t="s">
        <v>5877</v>
      </c>
    </row>
    <row r="1913" spans="2:4" x14ac:dyDescent="0.35">
      <c r="B1913" s="9">
        <v>41725</v>
      </c>
      <c r="C1913" s="12">
        <v>159.19999999999999</v>
      </c>
      <c r="D1913" t="s">
        <v>5877</v>
      </c>
    </row>
    <row r="1914" spans="2:4" x14ac:dyDescent="0.35">
      <c r="B1914" s="9">
        <v>41726</v>
      </c>
      <c r="C1914" s="12">
        <v>153.19999999999999</v>
      </c>
      <c r="D1914" t="s">
        <v>5877</v>
      </c>
    </row>
    <row r="1915" spans="2:4" x14ac:dyDescent="0.35">
      <c r="B1915" s="9">
        <v>41727</v>
      </c>
      <c r="C1915" s="12">
        <v>123.4</v>
      </c>
      <c r="D1915" t="s">
        <v>5877</v>
      </c>
    </row>
    <row r="1916" spans="2:4" x14ac:dyDescent="0.35">
      <c r="B1916" s="9">
        <v>41728</v>
      </c>
      <c r="C1916" s="12">
        <v>174.7</v>
      </c>
      <c r="D1916" t="s">
        <v>5877</v>
      </c>
    </row>
    <row r="1917" spans="2:4" x14ac:dyDescent="0.35">
      <c r="B1917" s="9">
        <v>41729</v>
      </c>
      <c r="C1917" s="12">
        <v>146</v>
      </c>
      <c r="D1917" t="s">
        <v>5877</v>
      </c>
    </row>
    <row r="1918" spans="2:4" x14ac:dyDescent="0.35">
      <c r="B1918" s="9">
        <v>41730</v>
      </c>
      <c r="C1918" s="12">
        <v>114.6</v>
      </c>
      <c r="D1918" t="s">
        <v>5877</v>
      </c>
    </row>
    <row r="1919" spans="2:4" x14ac:dyDescent="0.35">
      <c r="B1919" s="9">
        <v>41731</v>
      </c>
      <c r="C1919" s="12">
        <v>114.6</v>
      </c>
      <c r="D1919" t="s">
        <v>5877</v>
      </c>
    </row>
    <row r="1920" spans="2:4" x14ac:dyDescent="0.35">
      <c r="B1920" s="9">
        <v>41732</v>
      </c>
      <c r="C1920" s="12">
        <v>116.1</v>
      </c>
      <c r="D1920" t="s">
        <v>5877</v>
      </c>
    </row>
    <row r="1921" spans="2:4" x14ac:dyDescent="0.35">
      <c r="B1921" s="9">
        <v>41733</v>
      </c>
      <c r="C1921" s="12">
        <v>131.9</v>
      </c>
      <c r="D1921" t="s">
        <v>5877</v>
      </c>
    </row>
    <row r="1922" spans="2:4" x14ac:dyDescent="0.35">
      <c r="B1922" s="9">
        <v>41734</v>
      </c>
      <c r="C1922" s="12">
        <v>131.4</v>
      </c>
      <c r="D1922" t="s">
        <v>5877</v>
      </c>
    </row>
    <row r="1923" spans="2:4" x14ac:dyDescent="0.35">
      <c r="B1923" s="9">
        <v>41735</v>
      </c>
      <c r="C1923" s="12">
        <v>118.6</v>
      </c>
      <c r="D1923" t="s">
        <v>5877</v>
      </c>
    </row>
    <row r="1924" spans="2:4" x14ac:dyDescent="0.35">
      <c r="B1924" s="9">
        <v>41736</v>
      </c>
      <c r="C1924" s="12">
        <v>125.8</v>
      </c>
      <c r="D1924" t="s">
        <v>5877</v>
      </c>
    </row>
    <row r="1925" spans="2:4" x14ac:dyDescent="0.35">
      <c r="B1925" s="9">
        <v>41737</v>
      </c>
      <c r="C1925" s="12">
        <v>134</v>
      </c>
      <c r="D1925" t="s">
        <v>5877</v>
      </c>
    </row>
    <row r="1926" spans="2:4" x14ac:dyDescent="0.35">
      <c r="B1926" s="9">
        <v>41738</v>
      </c>
      <c r="C1926" s="12">
        <v>113.4</v>
      </c>
      <c r="D1926" t="s">
        <v>5877</v>
      </c>
    </row>
    <row r="1927" spans="2:4" x14ac:dyDescent="0.35">
      <c r="B1927" s="9">
        <v>41739</v>
      </c>
      <c r="C1927" s="12">
        <v>116.3</v>
      </c>
      <c r="D1927" t="s">
        <v>5877</v>
      </c>
    </row>
    <row r="1928" spans="2:4" x14ac:dyDescent="0.35">
      <c r="B1928" s="9">
        <v>41740</v>
      </c>
      <c r="C1928" s="12">
        <v>105.4</v>
      </c>
      <c r="D1928" t="s">
        <v>5877</v>
      </c>
    </row>
    <row r="1929" spans="2:4" x14ac:dyDescent="0.35">
      <c r="B1929" s="9">
        <v>41741</v>
      </c>
      <c r="C1929" s="12">
        <v>139.6</v>
      </c>
      <c r="D1929" t="s">
        <v>5877</v>
      </c>
    </row>
    <row r="1930" spans="2:4" x14ac:dyDescent="0.35">
      <c r="B1930" s="9">
        <v>41742</v>
      </c>
      <c r="C1930" s="12">
        <v>126</v>
      </c>
      <c r="D1930" t="s">
        <v>5877</v>
      </c>
    </row>
    <row r="1931" spans="2:4" x14ac:dyDescent="0.35">
      <c r="B1931" s="9">
        <v>41743</v>
      </c>
      <c r="C1931" s="12">
        <v>126.1</v>
      </c>
      <c r="D1931" t="s">
        <v>5877</v>
      </c>
    </row>
    <row r="1932" spans="2:4" x14ac:dyDescent="0.35">
      <c r="B1932" s="9">
        <v>41744</v>
      </c>
      <c r="C1932" s="12">
        <v>110.3</v>
      </c>
      <c r="D1932" t="s">
        <v>5877</v>
      </c>
    </row>
    <row r="1933" spans="2:4" x14ac:dyDescent="0.35">
      <c r="B1933" s="9">
        <v>41745</v>
      </c>
      <c r="C1933" s="12">
        <v>126.8</v>
      </c>
      <c r="D1933" t="s">
        <v>5877</v>
      </c>
    </row>
    <row r="1934" spans="2:4" x14ac:dyDescent="0.35">
      <c r="B1934" s="9">
        <v>41746</v>
      </c>
      <c r="C1934" s="12">
        <v>151</v>
      </c>
      <c r="D1934" t="s">
        <v>5877</v>
      </c>
    </row>
    <row r="1935" spans="2:4" x14ac:dyDescent="0.35">
      <c r="B1935" s="9">
        <v>41747</v>
      </c>
      <c r="C1935" s="12">
        <v>120.4</v>
      </c>
      <c r="D1935" t="s">
        <v>5877</v>
      </c>
    </row>
    <row r="1936" spans="2:4" x14ac:dyDescent="0.35">
      <c r="B1936" s="9">
        <v>41748</v>
      </c>
      <c r="C1936" s="12">
        <v>111.6</v>
      </c>
      <c r="D1936" t="s">
        <v>5877</v>
      </c>
    </row>
    <row r="1937" spans="2:4" x14ac:dyDescent="0.35">
      <c r="B1937" s="9">
        <v>41749</v>
      </c>
      <c r="C1937" s="12">
        <v>99.2</v>
      </c>
      <c r="D1937" t="s">
        <v>5877</v>
      </c>
    </row>
    <row r="1938" spans="2:4" x14ac:dyDescent="0.35">
      <c r="B1938" s="9">
        <v>41750</v>
      </c>
      <c r="C1938" s="12">
        <v>90.4</v>
      </c>
      <c r="D1938" t="s">
        <v>5877</v>
      </c>
    </row>
    <row r="1939" spans="2:4" x14ac:dyDescent="0.35">
      <c r="B1939" s="9">
        <v>41751</v>
      </c>
      <c r="C1939" s="12">
        <v>114.2</v>
      </c>
      <c r="D1939" t="s">
        <v>5877</v>
      </c>
    </row>
    <row r="1940" spans="2:4" x14ac:dyDescent="0.35">
      <c r="B1940" s="9">
        <v>41752</v>
      </c>
      <c r="C1940" s="12">
        <v>100.2</v>
      </c>
      <c r="D1940" t="s">
        <v>5877</v>
      </c>
    </row>
    <row r="1941" spans="2:4" x14ac:dyDescent="0.35">
      <c r="B1941" s="9">
        <v>41753</v>
      </c>
      <c r="C1941" s="12">
        <v>124</v>
      </c>
      <c r="D1941" t="s">
        <v>5877</v>
      </c>
    </row>
    <row r="1942" spans="2:4" x14ac:dyDescent="0.35">
      <c r="B1942" s="9">
        <v>41754</v>
      </c>
      <c r="C1942" s="12">
        <v>148.5</v>
      </c>
      <c r="D1942" t="s">
        <v>5877</v>
      </c>
    </row>
    <row r="1943" spans="2:4" x14ac:dyDescent="0.35">
      <c r="B1943" s="9">
        <v>41755</v>
      </c>
      <c r="C1943" s="12">
        <v>164.9</v>
      </c>
      <c r="D1943" t="s">
        <v>5877</v>
      </c>
    </row>
    <row r="1944" spans="2:4" x14ac:dyDescent="0.35">
      <c r="B1944" s="9">
        <v>41756</v>
      </c>
      <c r="C1944" s="12">
        <v>156.80000000000001</v>
      </c>
      <c r="D1944" t="s">
        <v>5877</v>
      </c>
    </row>
    <row r="1945" spans="2:4" x14ac:dyDescent="0.35">
      <c r="B1945" s="9">
        <v>41757</v>
      </c>
      <c r="C1945" s="12">
        <v>119.2</v>
      </c>
      <c r="D1945" t="s">
        <v>5877</v>
      </c>
    </row>
    <row r="1946" spans="2:4" x14ac:dyDescent="0.35">
      <c r="B1946" s="9">
        <v>41758</v>
      </c>
      <c r="C1946" s="12">
        <v>97.8</v>
      </c>
      <c r="D1946" t="s">
        <v>5877</v>
      </c>
    </row>
    <row r="1947" spans="2:4" x14ac:dyDescent="0.35">
      <c r="B1947" s="9">
        <v>41759</v>
      </c>
      <c r="C1947" s="12">
        <v>91.4</v>
      </c>
      <c r="D1947" t="s">
        <v>5877</v>
      </c>
    </row>
    <row r="1948" spans="2:4" x14ac:dyDescent="0.35">
      <c r="B1948" s="9">
        <v>41760</v>
      </c>
      <c r="C1948" s="12">
        <v>83.7</v>
      </c>
      <c r="D1948" t="s">
        <v>5877</v>
      </c>
    </row>
    <row r="1949" spans="2:4" x14ac:dyDescent="0.35">
      <c r="B1949" s="9">
        <v>41761</v>
      </c>
      <c r="C1949" s="12">
        <v>110.3</v>
      </c>
      <c r="D1949" t="s">
        <v>5877</v>
      </c>
    </row>
    <row r="1950" spans="2:4" x14ac:dyDescent="0.35">
      <c r="B1950" s="9">
        <v>41762</v>
      </c>
      <c r="C1950" s="12">
        <v>100.9</v>
      </c>
      <c r="D1950" t="s">
        <v>5877</v>
      </c>
    </row>
    <row r="1951" spans="2:4" x14ac:dyDescent="0.35">
      <c r="B1951" s="9">
        <v>41763</v>
      </c>
      <c r="C1951" s="12">
        <v>88.6</v>
      </c>
      <c r="D1951" t="s">
        <v>5877</v>
      </c>
    </row>
    <row r="1952" spans="2:4" x14ac:dyDescent="0.35">
      <c r="B1952" s="9">
        <v>41764</v>
      </c>
      <c r="C1952" s="12">
        <v>78.400000000000006</v>
      </c>
      <c r="D1952" t="s">
        <v>5877</v>
      </c>
    </row>
    <row r="1953" spans="2:4" x14ac:dyDescent="0.35">
      <c r="B1953" s="9">
        <v>41765</v>
      </c>
      <c r="C1953" s="12">
        <v>69.900000000000006</v>
      </c>
      <c r="D1953" t="s">
        <v>5877</v>
      </c>
    </row>
    <row r="1954" spans="2:4" x14ac:dyDescent="0.35">
      <c r="B1954" s="9">
        <v>41766</v>
      </c>
      <c r="C1954" s="12">
        <v>68.900000000000006</v>
      </c>
      <c r="D1954" t="s">
        <v>5877</v>
      </c>
    </row>
    <row r="1955" spans="2:4" x14ac:dyDescent="0.35">
      <c r="B1955" s="9">
        <v>41767</v>
      </c>
      <c r="C1955" s="12">
        <v>65.400000000000006</v>
      </c>
      <c r="D1955" t="s">
        <v>5877</v>
      </c>
    </row>
    <row r="1956" spans="2:4" x14ac:dyDescent="0.35">
      <c r="B1956" s="9">
        <v>41768</v>
      </c>
      <c r="C1956" s="12">
        <v>96</v>
      </c>
      <c r="D1956" t="s">
        <v>5877</v>
      </c>
    </row>
    <row r="1957" spans="2:4" x14ac:dyDescent="0.35">
      <c r="B1957" s="9">
        <v>41769</v>
      </c>
      <c r="C1957" s="12">
        <v>93.4</v>
      </c>
      <c r="D1957" t="s">
        <v>5877</v>
      </c>
    </row>
    <row r="1958" spans="2:4" x14ac:dyDescent="0.35">
      <c r="B1958" s="9">
        <v>41770</v>
      </c>
      <c r="C1958" s="12">
        <v>83</v>
      </c>
      <c r="D1958" t="s">
        <v>5877</v>
      </c>
    </row>
    <row r="1959" spans="2:4" x14ac:dyDescent="0.35">
      <c r="B1959" s="9">
        <v>41771</v>
      </c>
      <c r="C1959" s="12">
        <v>114.1</v>
      </c>
      <c r="D1959" t="s">
        <v>5877</v>
      </c>
    </row>
    <row r="1960" spans="2:4" x14ac:dyDescent="0.35">
      <c r="B1960" s="9">
        <v>41772</v>
      </c>
      <c r="C1960" s="12">
        <v>169</v>
      </c>
      <c r="D1960" t="s">
        <v>5877</v>
      </c>
    </row>
    <row r="1961" spans="2:4" x14ac:dyDescent="0.35">
      <c r="B1961" s="9">
        <v>41773</v>
      </c>
      <c r="C1961" s="12">
        <v>138.69999999999999</v>
      </c>
      <c r="D1961" t="s">
        <v>5877</v>
      </c>
    </row>
    <row r="1962" spans="2:4" x14ac:dyDescent="0.35">
      <c r="B1962" s="9">
        <v>41774</v>
      </c>
      <c r="C1962" s="12">
        <v>106.9</v>
      </c>
      <c r="D1962" t="s">
        <v>5877</v>
      </c>
    </row>
    <row r="1963" spans="2:4" x14ac:dyDescent="0.35">
      <c r="B1963" s="9">
        <v>41775</v>
      </c>
      <c r="C1963" s="12">
        <v>88.9</v>
      </c>
      <c r="D1963" t="s">
        <v>5877</v>
      </c>
    </row>
    <row r="1964" spans="2:4" x14ac:dyDescent="0.35">
      <c r="B1964" s="9">
        <v>41776</v>
      </c>
      <c r="C1964" s="12">
        <v>112.6</v>
      </c>
      <c r="D1964" t="s">
        <v>5877</v>
      </c>
    </row>
    <row r="1965" spans="2:4" x14ac:dyDescent="0.35">
      <c r="B1965" s="9">
        <v>41777</v>
      </c>
      <c r="C1965" s="12">
        <v>107.5</v>
      </c>
      <c r="D1965" t="s">
        <v>5877</v>
      </c>
    </row>
    <row r="1966" spans="2:4" x14ac:dyDescent="0.35">
      <c r="B1966" s="9">
        <v>41778</v>
      </c>
      <c r="C1966" s="12">
        <v>98.7</v>
      </c>
      <c r="D1966" t="s">
        <v>5877</v>
      </c>
    </row>
    <row r="1967" spans="2:4" x14ac:dyDescent="0.35">
      <c r="B1967" s="9">
        <v>41779</v>
      </c>
      <c r="C1967" s="12">
        <v>84.1</v>
      </c>
      <c r="D1967" t="s">
        <v>5877</v>
      </c>
    </row>
    <row r="1968" spans="2:4" x14ac:dyDescent="0.35">
      <c r="B1968" s="9">
        <v>41780</v>
      </c>
      <c r="C1968" s="12">
        <v>73.099999999999994</v>
      </c>
      <c r="D1968" t="s">
        <v>5877</v>
      </c>
    </row>
    <row r="1969" spans="2:4" x14ac:dyDescent="0.35">
      <c r="B1969" s="9">
        <v>41781</v>
      </c>
      <c r="C1969" s="12">
        <v>64.900000000000006</v>
      </c>
      <c r="D1969" t="s">
        <v>5877</v>
      </c>
    </row>
    <row r="1970" spans="2:4" x14ac:dyDescent="0.35">
      <c r="B1970" s="9">
        <v>41782</v>
      </c>
      <c r="C1970" s="12">
        <v>59.4</v>
      </c>
      <c r="D1970" t="s">
        <v>5877</v>
      </c>
    </row>
    <row r="1971" spans="2:4" x14ac:dyDescent="0.35">
      <c r="B1971" s="9">
        <v>41783</v>
      </c>
      <c r="C1971" s="12">
        <v>53.6</v>
      </c>
      <c r="D1971" t="s">
        <v>5877</v>
      </c>
    </row>
    <row r="1972" spans="2:4" x14ac:dyDescent="0.35">
      <c r="B1972" s="9">
        <v>41784</v>
      </c>
      <c r="C1972" s="12">
        <v>51.9</v>
      </c>
      <c r="D1972" t="s">
        <v>5877</v>
      </c>
    </row>
    <row r="1973" spans="2:4" x14ac:dyDescent="0.35">
      <c r="B1973" s="9">
        <v>41785</v>
      </c>
      <c r="C1973" s="12">
        <v>48.1</v>
      </c>
      <c r="D1973" t="s">
        <v>5877</v>
      </c>
    </row>
    <row r="1974" spans="2:4" x14ac:dyDescent="0.35">
      <c r="B1974" s="9">
        <v>41786</v>
      </c>
      <c r="C1974" s="12">
        <v>44</v>
      </c>
      <c r="D1974" t="s">
        <v>5877</v>
      </c>
    </row>
    <row r="1975" spans="2:4" x14ac:dyDescent="0.35">
      <c r="B1975" s="9">
        <v>41787</v>
      </c>
      <c r="C1975" s="12">
        <v>40</v>
      </c>
      <c r="D1975" t="s">
        <v>5877</v>
      </c>
    </row>
    <row r="1976" spans="2:4" x14ac:dyDescent="0.35">
      <c r="B1976" s="9">
        <v>41788</v>
      </c>
      <c r="C1976" s="12">
        <v>36.200000000000003</v>
      </c>
      <c r="D1976" t="s">
        <v>5877</v>
      </c>
    </row>
    <row r="1977" spans="2:4" x14ac:dyDescent="0.35">
      <c r="B1977" s="9">
        <v>41789</v>
      </c>
      <c r="C1977" s="12">
        <v>44.5</v>
      </c>
      <c r="D1977" t="s">
        <v>5877</v>
      </c>
    </row>
    <row r="1978" spans="2:4" x14ac:dyDescent="0.35">
      <c r="B1978" s="9">
        <v>41790</v>
      </c>
      <c r="C1978" s="12">
        <v>59.8</v>
      </c>
      <c r="D1978" t="s">
        <v>5877</v>
      </c>
    </row>
    <row r="1979" spans="2:4" x14ac:dyDescent="0.35">
      <c r="B1979" s="9">
        <v>41791</v>
      </c>
      <c r="C1979" s="12">
        <v>57.3</v>
      </c>
      <c r="D1979" t="s">
        <v>5877</v>
      </c>
    </row>
    <row r="1980" spans="2:4" x14ac:dyDescent="0.35">
      <c r="B1980" s="9">
        <v>41792</v>
      </c>
      <c r="C1980" s="12">
        <v>52.4</v>
      </c>
      <c r="D1980" t="s">
        <v>5877</v>
      </c>
    </row>
    <row r="1981" spans="2:4" x14ac:dyDescent="0.35">
      <c r="B1981" s="9">
        <v>41793</v>
      </c>
      <c r="C1981" s="12">
        <v>47.5</v>
      </c>
      <c r="D1981" t="s">
        <v>5877</v>
      </c>
    </row>
    <row r="1982" spans="2:4" x14ac:dyDescent="0.35">
      <c r="B1982" s="9">
        <v>41794</v>
      </c>
      <c r="C1982" s="12">
        <v>43.2</v>
      </c>
      <c r="D1982" t="s">
        <v>5877</v>
      </c>
    </row>
    <row r="1983" spans="2:4" x14ac:dyDescent="0.35">
      <c r="B1983" s="9">
        <v>41795</v>
      </c>
      <c r="C1983" s="12">
        <v>42.2</v>
      </c>
      <c r="D1983" t="s">
        <v>5877</v>
      </c>
    </row>
    <row r="1984" spans="2:4" x14ac:dyDescent="0.35">
      <c r="B1984" s="9">
        <v>41796</v>
      </c>
      <c r="C1984" s="12">
        <v>43.7</v>
      </c>
      <c r="D1984" t="s">
        <v>5877</v>
      </c>
    </row>
    <row r="1985" spans="2:4" x14ac:dyDescent="0.35">
      <c r="B1985" s="9">
        <v>41797</v>
      </c>
      <c r="C1985" s="12">
        <v>38.200000000000003</v>
      </c>
      <c r="D1985" t="s">
        <v>5877</v>
      </c>
    </row>
    <row r="1986" spans="2:4" x14ac:dyDescent="0.35">
      <c r="B1986" s="9">
        <v>41798</v>
      </c>
      <c r="C1986" s="12">
        <v>32.5</v>
      </c>
      <c r="D1986" t="s">
        <v>5877</v>
      </c>
    </row>
    <row r="1987" spans="2:4" x14ac:dyDescent="0.35">
      <c r="B1987" s="9">
        <v>41799</v>
      </c>
      <c r="C1987" s="12">
        <v>28.1</v>
      </c>
      <c r="D1987" t="s">
        <v>5877</v>
      </c>
    </row>
    <row r="1988" spans="2:4" x14ac:dyDescent="0.35">
      <c r="B1988" s="9">
        <v>41800</v>
      </c>
      <c r="C1988" s="12">
        <v>24.8</v>
      </c>
      <c r="D1988" t="s">
        <v>5877</v>
      </c>
    </row>
    <row r="1989" spans="2:4" x14ac:dyDescent="0.35">
      <c r="B1989" s="9">
        <v>41801</v>
      </c>
      <c r="C1989" s="12">
        <v>22.1</v>
      </c>
      <c r="D1989" t="s">
        <v>5877</v>
      </c>
    </row>
    <row r="1990" spans="2:4" x14ac:dyDescent="0.35">
      <c r="B1990" s="9">
        <v>41802</v>
      </c>
      <c r="C1990" s="12">
        <v>19.7</v>
      </c>
      <c r="D1990" t="s">
        <v>5877</v>
      </c>
    </row>
    <row r="1991" spans="2:4" x14ac:dyDescent="0.35">
      <c r="B1991" s="9">
        <v>41803</v>
      </c>
      <c r="C1991" s="12">
        <v>17.7</v>
      </c>
      <c r="D1991" t="s">
        <v>5877</v>
      </c>
    </row>
    <row r="1992" spans="2:4" x14ac:dyDescent="0.35">
      <c r="B1992" s="9">
        <v>41804</v>
      </c>
      <c r="C1992" s="12">
        <v>15.9</v>
      </c>
      <c r="D1992" t="s">
        <v>5877</v>
      </c>
    </row>
    <row r="1993" spans="2:4" x14ac:dyDescent="0.35">
      <c r="B1993" s="9">
        <v>41805</v>
      </c>
      <c r="C1993" s="12">
        <v>14.3</v>
      </c>
      <c r="D1993" t="s">
        <v>5877</v>
      </c>
    </row>
    <row r="1994" spans="2:4" x14ac:dyDescent="0.35">
      <c r="B1994" s="9">
        <v>41806</v>
      </c>
      <c r="C1994" s="12">
        <v>12.9</v>
      </c>
      <c r="D1994" t="s">
        <v>5877</v>
      </c>
    </row>
    <row r="1995" spans="2:4" x14ac:dyDescent="0.35">
      <c r="B1995" s="9">
        <v>41807</v>
      </c>
      <c r="C1995" s="12">
        <v>11.8</v>
      </c>
      <c r="D1995" t="s">
        <v>5877</v>
      </c>
    </row>
    <row r="1996" spans="2:4" x14ac:dyDescent="0.35">
      <c r="B1996" s="9">
        <v>41808</v>
      </c>
      <c r="C1996" s="12">
        <v>16</v>
      </c>
      <c r="D1996" t="s">
        <v>5877</v>
      </c>
    </row>
    <row r="1997" spans="2:4" x14ac:dyDescent="0.35">
      <c r="B1997" s="9">
        <v>41809</v>
      </c>
      <c r="C1997" s="12">
        <v>45.7</v>
      </c>
      <c r="D1997" t="s">
        <v>5877</v>
      </c>
    </row>
    <row r="1998" spans="2:4" x14ac:dyDescent="0.35">
      <c r="B1998" s="9">
        <v>41810</v>
      </c>
      <c r="C1998" s="12">
        <v>38.700000000000003</v>
      </c>
      <c r="D1998" t="s">
        <v>5877</v>
      </c>
    </row>
    <row r="1999" spans="2:4" x14ac:dyDescent="0.35">
      <c r="B1999" s="9">
        <v>41811</v>
      </c>
      <c r="C1999" s="12">
        <v>26.7</v>
      </c>
      <c r="D1999" t="s">
        <v>5877</v>
      </c>
    </row>
    <row r="2000" spans="2:4" x14ac:dyDescent="0.35">
      <c r="B2000" s="9">
        <v>41812</v>
      </c>
      <c r="C2000" s="12">
        <v>20</v>
      </c>
      <c r="D2000" t="s">
        <v>5877</v>
      </c>
    </row>
    <row r="2001" spans="2:4" x14ac:dyDescent="0.35">
      <c r="B2001" s="9">
        <v>41813</v>
      </c>
      <c r="C2001" s="12">
        <v>16</v>
      </c>
      <c r="D2001" t="s">
        <v>5877</v>
      </c>
    </row>
    <row r="2002" spans="2:4" x14ac:dyDescent="0.35">
      <c r="B2002" s="9">
        <v>41814</v>
      </c>
      <c r="C2002" s="12">
        <v>13.3</v>
      </c>
      <c r="D2002" t="s">
        <v>5877</v>
      </c>
    </row>
    <row r="2003" spans="2:4" x14ac:dyDescent="0.35">
      <c r="B2003" s="9">
        <v>41815</v>
      </c>
      <c r="C2003" s="12">
        <v>11.5</v>
      </c>
      <c r="D2003" t="s">
        <v>5877</v>
      </c>
    </row>
    <row r="2004" spans="2:4" x14ac:dyDescent="0.35">
      <c r="B2004" s="9">
        <v>41816</v>
      </c>
      <c r="C2004" s="12">
        <v>10.1</v>
      </c>
      <c r="D2004" t="s">
        <v>5877</v>
      </c>
    </row>
    <row r="2005" spans="2:4" x14ac:dyDescent="0.35">
      <c r="B2005" s="9">
        <v>41817</v>
      </c>
      <c r="C2005" s="12">
        <v>8.9</v>
      </c>
      <c r="D2005" t="s">
        <v>5877</v>
      </c>
    </row>
    <row r="2006" spans="2:4" x14ac:dyDescent="0.35">
      <c r="B2006" s="9">
        <v>41818</v>
      </c>
      <c r="C2006" s="12">
        <v>9.8000000000000007</v>
      </c>
      <c r="D2006" t="s">
        <v>5877</v>
      </c>
    </row>
    <row r="2007" spans="2:4" x14ac:dyDescent="0.35">
      <c r="B2007" s="9">
        <v>41819</v>
      </c>
      <c r="C2007" s="12">
        <v>9</v>
      </c>
      <c r="D2007" t="s">
        <v>5877</v>
      </c>
    </row>
    <row r="2008" spans="2:4" x14ac:dyDescent="0.35">
      <c r="B2008" s="9">
        <v>41820</v>
      </c>
      <c r="C2008" s="12">
        <v>7.5</v>
      </c>
      <c r="D2008" t="s">
        <v>5877</v>
      </c>
    </row>
    <row r="2009" spans="2:4" x14ac:dyDescent="0.35">
      <c r="B2009" s="9">
        <v>41821</v>
      </c>
      <c r="C2009" s="12">
        <v>6.3</v>
      </c>
      <c r="D2009" t="s">
        <v>5877</v>
      </c>
    </row>
    <row r="2010" spans="2:4" x14ac:dyDescent="0.35">
      <c r="B2010" s="9">
        <v>41822</v>
      </c>
      <c r="C2010" s="12">
        <v>5.9</v>
      </c>
      <c r="D2010" t="s">
        <v>5877</v>
      </c>
    </row>
    <row r="2011" spans="2:4" x14ac:dyDescent="0.35">
      <c r="B2011" s="9">
        <v>41823</v>
      </c>
      <c r="C2011" s="12">
        <v>5.0999999999999996</v>
      </c>
      <c r="D2011" t="s">
        <v>5877</v>
      </c>
    </row>
    <row r="2012" spans="2:4" x14ac:dyDescent="0.35">
      <c r="B2012" s="9">
        <v>41824</v>
      </c>
      <c r="C2012" s="12">
        <v>4.4000000000000004</v>
      </c>
      <c r="D2012" t="s">
        <v>5877</v>
      </c>
    </row>
    <row r="2013" spans="2:4" x14ac:dyDescent="0.35">
      <c r="B2013" s="9">
        <v>41825</v>
      </c>
      <c r="C2013" s="12">
        <v>3.9</v>
      </c>
      <c r="D2013" t="s">
        <v>5877</v>
      </c>
    </row>
    <row r="2014" spans="2:4" x14ac:dyDescent="0.35">
      <c r="B2014" s="9">
        <v>41826</v>
      </c>
      <c r="C2014" s="12">
        <v>4.0999999999999996</v>
      </c>
      <c r="D2014" t="s">
        <v>5877</v>
      </c>
    </row>
    <row r="2015" spans="2:4" x14ac:dyDescent="0.35">
      <c r="B2015" s="9">
        <v>41827</v>
      </c>
      <c r="C2015" s="12">
        <v>3.6</v>
      </c>
      <c r="D2015" t="s">
        <v>5877</v>
      </c>
    </row>
    <row r="2016" spans="2:4" x14ac:dyDescent="0.35">
      <c r="B2016" s="9">
        <v>41828</v>
      </c>
      <c r="C2016" s="12">
        <v>3.1</v>
      </c>
      <c r="D2016" t="s">
        <v>5877</v>
      </c>
    </row>
    <row r="2017" spans="2:4" x14ac:dyDescent="0.35">
      <c r="B2017" s="9">
        <v>41829</v>
      </c>
      <c r="C2017" s="12">
        <v>4.5999999999999996</v>
      </c>
      <c r="D2017" t="s">
        <v>5877</v>
      </c>
    </row>
    <row r="2018" spans="2:4" x14ac:dyDescent="0.35">
      <c r="B2018" s="9">
        <v>41830</v>
      </c>
      <c r="C2018" s="12">
        <v>29.8</v>
      </c>
      <c r="D2018" t="s">
        <v>5877</v>
      </c>
    </row>
    <row r="2019" spans="2:4" x14ac:dyDescent="0.35">
      <c r="B2019" s="9">
        <v>41831</v>
      </c>
      <c r="C2019" s="12">
        <v>23.7</v>
      </c>
      <c r="D2019" t="s">
        <v>5877</v>
      </c>
    </row>
    <row r="2020" spans="2:4" x14ac:dyDescent="0.35">
      <c r="B2020" s="9">
        <v>41832</v>
      </c>
      <c r="C2020" s="12">
        <v>17.899999999999999</v>
      </c>
      <c r="D2020" t="s">
        <v>5877</v>
      </c>
    </row>
    <row r="2021" spans="2:4" x14ac:dyDescent="0.35">
      <c r="B2021" s="9">
        <v>41833</v>
      </c>
      <c r="C2021" s="12">
        <v>14.4</v>
      </c>
      <c r="D2021" t="s">
        <v>5877</v>
      </c>
    </row>
    <row r="2022" spans="2:4" x14ac:dyDescent="0.35">
      <c r="B2022" s="9">
        <v>41834</v>
      </c>
      <c r="C2022" s="12">
        <v>11.9</v>
      </c>
      <c r="D2022" t="s">
        <v>5877</v>
      </c>
    </row>
    <row r="2023" spans="2:4" x14ac:dyDescent="0.35">
      <c r="B2023" s="9">
        <v>41835</v>
      </c>
      <c r="C2023" s="12">
        <v>10.199999999999999</v>
      </c>
      <c r="D2023" t="s">
        <v>5877</v>
      </c>
    </row>
    <row r="2024" spans="2:4" x14ac:dyDescent="0.35">
      <c r="B2024" s="9">
        <v>41836</v>
      </c>
      <c r="C2024" s="12">
        <v>8.9</v>
      </c>
      <c r="D2024" t="s">
        <v>5877</v>
      </c>
    </row>
    <row r="2025" spans="2:4" x14ac:dyDescent="0.35">
      <c r="B2025" s="9">
        <v>41837</v>
      </c>
      <c r="C2025" s="12">
        <v>7.9</v>
      </c>
      <c r="D2025" t="s">
        <v>5877</v>
      </c>
    </row>
    <row r="2026" spans="2:4" x14ac:dyDescent="0.35">
      <c r="B2026" s="9">
        <v>41838</v>
      </c>
      <c r="C2026" s="12">
        <v>7</v>
      </c>
      <c r="D2026" t="s">
        <v>5877</v>
      </c>
    </row>
    <row r="2027" spans="2:4" x14ac:dyDescent="0.35">
      <c r="B2027" s="9">
        <v>41839</v>
      </c>
      <c r="C2027" s="12">
        <v>6.3</v>
      </c>
      <c r="D2027" t="s">
        <v>5877</v>
      </c>
    </row>
    <row r="2028" spans="2:4" x14ac:dyDescent="0.35">
      <c r="B2028" s="9">
        <v>41840</v>
      </c>
      <c r="C2028" s="12">
        <v>5.6</v>
      </c>
      <c r="D2028" t="s">
        <v>5877</v>
      </c>
    </row>
    <row r="2029" spans="2:4" x14ac:dyDescent="0.35">
      <c r="B2029" s="9">
        <v>41841</v>
      </c>
      <c r="C2029" s="12">
        <v>5.0999999999999996</v>
      </c>
      <c r="D2029" t="s">
        <v>5877</v>
      </c>
    </row>
    <row r="2030" spans="2:4" x14ac:dyDescent="0.35">
      <c r="B2030" s="9">
        <v>41842</v>
      </c>
      <c r="C2030" s="12">
        <v>4.9000000000000004</v>
      </c>
      <c r="D2030" t="s">
        <v>5877</v>
      </c>
    </row>
    <row r="2031" spans="2:4" x14ac:dyDescent="0.35">
      <c r="B2031" s="9">
        <v>41843</v>
      </c>
      <c r="C2031" s="12">
        <v>4.3</v>
      </c>
      <c r="D2031" t="s">
        <v>5877</v>
      </c>
    </row>
    <row r="2032" spans="2:4" x14ac:dyDescent="0.35">
      <c r="B2032" s="9">
        <v>41844</v>
      </c>
      <c r="C2032" s="12">
        <v>3.8</v>
      </c>
      <c r="D2032" t="s">
        <v>5877</v>
      </c>
    </row>
    <row r="2033" spans="2:4" x14ac:dyDescent="0.35">
      <c r="B2033" s="9">
        <v>41845</v>
      </c>
      <c r="C2033" s="12">
        <v>3.4</v>
      </c>
      <c r="D2033" t="s">
        <v>5877</v>
      </c>
    </row>
    <row r="2034" spans="2:4" x14ac:dyDescent="0.35">
      <c r="B2034" s="9">
        <v>41846</v>
      </c>
      <c r="C2034" s="12">
        <v>3</v>
      </c>
      <c r="D2034" t="s">
        <v>5877</v>
      </c>
    </row>
    <row r="2035" spans="2:4" x14ac:dyDescent="0.35">
      <c r="B2035" s="9">
        <v>41847</v>
      </c>
      <c r="C2035" s="12">
        <v>2.9</v>
      </c>
      <c r="D2035" t="s">
        <v>5877</v>
      </c>
    </row>
    <row r="2036" spans="2:4" x14ac:dyDescent="0.35">
      <c r="B2036" s="9">
        <v>41848</v>
      </c>
      <c r="C2036" s="12">
        <v>4.3</v>
      </c>
      <c r="D2036" t="s">
        <v>5877</v>
      </c>
    </row>
    <row r="2037" spans="2:4" x14ac:dyDescent="0.35">
      <c r="B2037" s="9">
        <v>41849</v>
      </c>
      <c r="C2037" s="12">
        <v>3.9</v>
      </c>
      <c r="D2037" t="s">
        <v>5877</v>
      </c>
    </row>
    <row r="2038" spans="2:4" x14ac:dyDescent="0.35">
      <c r="B2038" s="9">
        <v>41850</v>
      </c>
      <c r="C2038" s="12">
        <v>4.5</v>
      </c>
      <c r="D2038" t="s">
        <v>5877</v>
      </c>
    </row>
    <row r="2039" spans="2:4" x14ac:dyDescent="0.35">
      <c r="B2039" s="9">
        <v>41851</v>
      </c>
      <c r="C2039" s="12">
        <v>5.0999999999999996</v>
      </c>
      <c r="D2039" t="s">
        <v>5877</v>
      </c>
    </row>
    <row r="2040" spans="2:4" x14ac:dyDescent="0.35">
      <c r="B2040" s="9">
        <v>41852</v>
      </c>
      <c r="C2040" s="12">
        <v>4.0999999999999996</v>
      </c>
      <c r="D2040" t="s">
        <v>5877</v>
      </c>
    </row>
    <row r="2041" spans="2:4" x14ac:dyDescent="0.35">
      <c r="B2041" s="9">
        <v>41853</v>
      </c>
      <c r="C2041" s="12">
        <v>5.6</v>
      </c>
      <c r="D2041" t="s">
        <v>5877</v>
      </c>
    </row>
    <row r="2042" spans="2:4" x14ac:dyDescent="0.35">
      <c r="B2042" s="9">
        <v>41854</v>
      </c>
      <c r="C2042" s="12">
        <v>4.3</v>
      </c>
      <c r="D2042" t="s">
        <v>5877</v>
      </c>
    </row>
    <row r="2043" spans="2:4" x14ac:dyDescent="0.35">
      <c r="B2043" s="9">
        <v>41855</v>
      </c>
      <c r="C2043" s="12">
        <v>4.2</v>
      </c>
      <c r="D2043" t="s">
        <v>5877</v>
      </c>
    </row>
    <row r="2044" spans="2:4" x14ac:dyDescent="0.35">
      <c r="B2044" s="9">
        <v>41856</v>
      </c>
      <c r="C2044" s="12">
        <v>16</v>
      </c>
      <c r="D2044" t="s">
        <v>5877</v>
      </c>
    </row>
    <row r="2045" spans="2:4" x14ac:dyDescent="0.35">
      <c r="B2045" s="9">
        <v>41857</v>
      </c>
      <c r="C2045" s="12">
        <v>13.5</v>
      </c>
      <c r="D2045" t="s">
        <v>5877</v>
      </c>
    </row>
    <row r="2046" spans="2:4" x14ac:dyDescent="0.35">
      <c r="B2046" s="9">
        <v>41858</v>
      </c>
      <c r="C2046" s="12">
        <v>10.4</v>
      </c>
      <c r="D2046" t="s">
        <v>5877</v>
      </c>
    </row>
    <row r="2047" spans="2:4" x14ac:dyDescent="0.35">
      <c r="B2047" s="9">
        <v>41859</v>
      </c>
      <c r="C2047" s="12">
        <v>27.8</v>
      </c>
      <c r="D2047" t="s">
        <v>5877</v>
      </c>
    </row>
    <row r="2048" spans="2:4" x14ac:dyDescent="0.35">
      <c r="B2048" s="9">
        <v>41860</v>
      </c>
      <c r="C2048" s="12">
        <v>32.4</v>
      </c>
      <c r="D2048" t="s">
        <v>5877</v>
      </c>
    </row>
    <row r="2049" spans="2:4" x14ac:dyDescent="0.35">
      <c r="B2049" s="9">
        <v>41861</v>
      </c>
      <c r="C2049" s="12">
        <v>28.7</v>
      </c>
      <c r="D2049" t="s">
        <v>5877</v>
      </c>
    </row>
    <row r="2050" spans="2:4" x14ac:dyDescent="0.35">
      <c r="B2050" s="9">
        <v>41862</v>
      </c>
      <c r="C2050" s="12">
        <v>28.3</v>
      </c>
      <c r="D2050" t="s">
        <v>5877</v>
      </c>
    </row>
    <row r="2051" spans="2:4" x14ac:dyDescent="0.35">
      <c r="B2051" s="9">
        <v>41863</v>
      </c>
      <c r="C2051" s="12">
        <v>55.4</v>
      </c>
      <c r="D2051" t="s">
        <v>5877</v>
      </c>
    </row>
    <row r="2052" spans="2:4" x14ac:dyDescent="0.35">
      <c r="B2052" s="9">
        <v>41864</v>
      </c>
      <c r="C2052" s="12">
        <v>43.2</v>
      </c>
      <c r="D2052" t="s">
        <v>5877</v>
      </c>
    </row>
    <row r="2053" spans="2:4" x14ac:dyDescent="0.35">
      <c r="B2053" s="9">
        <v>41865</v>
      </c>
      <c r="C2053" s="12">
        <v>32.9</v>
      </c>
      <c r="D2053" t="s">
        <v>5877</v>
      </c>
    </row>
    <row r="2054" spans="2:4" x14ac:dyDescent="0.35">
      <c r="B2054" s="9">
        <v>41866</v>
      </c>
      <c r="C2054" s="12">
        <v>47.2</v>
      </c>
      <c r="D2054" t="s">
        <v>5877</v>
      </c>
    </row>
    <row r="2055" spans="2:4" x14ac:dyDescent="0.35">
      <c r="B2055" s="9">
        <v>41867</v>
      </c>
      <c r="C2055" s="12">
        <v>36.9</v>
      </c>
      <c r="D2055" t="s">
        <v>5877</v>
      </c>
    </row>
    <row r="2056" spans="2:4" x14ac:dyDescent="0.35">
      <c r="B2056" s="9">
        <v>41868</v>
      </c>
      <c r="C2056" s="12">
        <v>38.6</v>
      </c>
      <c r="D2056" t="s">
        <v>5877</v>
      </c>
    </row>
    <row r="2057" spans="2:4" x14ac:dyDescent="0.35">
      <c r="B2057" s="9">
        <v>41869</v>
      </c>
      <c r="C2057" s="12">
        <v>57.8</v>
      </c>
      <c r="D2057" t="s">
        <v>5877</v>
      </c>
    </row>
    <row r="2058" spans="2:4" x14ac:dyDescent="0.35">
      <c r="B2058" s="9">
        <v>41870</v>
      </c>
      <c r="C2058" s="12">
        <v>44.5</v>
      </c>
      <c r="D2058" t="s">
        <v>5877</v>
      </c>
    </row>
    <row r="2059" spans="2:4" x14ac:dyDescent="0.35">
      <c r="B2059" s="9">
        <v>41871</v>
      </c>
      <c r="C2059" s="12">
        <v>35.299999999999997</v>
      </c>
      <c r="D2059" t="s">
        <v>5877</v>
      </c>
    </row>
    <row r="2060" spans="2:4" x14ac:dyDescent="0.35">
      <c r="B2060" s="9">
        <v>41872</v>
      </c>
      <c r="C2060" s="12">
        <v>32.1</v>
      </c>
      <c r="D2060" t="s">
        <v>5877</v>
      </c>
    </row>
    <row r="2061" spans="2:4" x14ac:dyDescent="0.35">
      <c r="B2061" s="9">
        <v>41873</v>
      </c>
      <c r="C2061" s="12">
        <v>40.5</v>
      </c>
      <c r="D2061" t="s">
        <v>5877</v>
      </c>
    </row>
    <row r="2062" spans="2:4" x14ac:dyDescent="0.35">
      <c r="B2062" s="9">
        <v>41874</v>
      </c>
      <c r="C2062" s="12">
        <v>33.1</v>
      </c>
      <c r="D2062" t="s">
        <v>5877</v>
      </c>
    </row>
    <row r="2063" spans="2:4" x14ac:dyDescent="0.35">
      <c r="B2063" s="9">
        <v>41875</v>
      </c>
      <c r="C2063" s="12">
        <v>50.1</v>
      </c>
      <c r="D2063" t="s">
        <v>5877</v>
      </c>
    </row>
    <row r="2064" spans="2:4" x14ac:dyDescent="0.35">
      <c r="B2064" s="9">
        <v>41876</v>
      </c>
      <c r="C2064" s="12">
        <v>39.200000000000003</v>
      </c>
      <c r="D2064" t="s">
        <v>5877</v>
      </c>
    </row>
    <row r="2065" spans="2:4" x14ac:dyDescent="0.35">
      <c r="B2065" s="9">
        <v>41877</v>
      </c>
      <c r="C2065" s="12">
        <v>32.1</v>
      </c>
      <c r="D2065" t="s">
        <v>5877</v>
      </c>
    </row>
    <row r="2066" spans="2:4" x14ac:dyDescent="0.35">
      <c r="B2066" s="9">
        <v>41878</v>
      </c>
      <c r="C2066" s="12">
        <v>39</v>
      </c>
      <c r="D2066" t="s">
        <v>5877</v>
      </c>
    </row>
    <row r="2067" spans="2:4" x14ac:dyDescent="0.35">
      <c r="B2067" s="9">
        <v>41879</v>
      </c>
      <c r="C2067" s="12">
        <v>75.3</v>
      </c>
      <c r="D2067" t="s">
        <v>5877</v>
      </c>
    </row>
    <row r="2068" spans="2:4" x14ac:dyDescent="0.35">
      <c r="B2068" s="9">
        <v>41880</v>
      </c>
      <c r="C2068" s="12">
        <v>105.6</v>
      </c>
      <c r="D2068" t="s">
        <v>5877</v>
      </c>
    </row>
    <row r="2069" spans="2:4" x14ac:dyDescent="0.35">
      <c r="B2069" s="9">
        <v>41881</v>
      </c>
      <c r="C2069" s="12">
        <v>78</v>
      </c>
      <c r="D2069" t="s">
        <v>5877</v>
      </c>
    </row>
    <row r="2070" spans="2:4" x14ac:dyDescent="0.35">
      <c r="B2070" s="9">
        <v>41882</v>
      </c>
      <c r="C2070" s="12">
        <v>66.5</v>
      </c>
      <c r="D2070" t="s">
        <v>5877</v>
      </c>
    </row>
    <row r="2071" spans="2:4" x14ac:dyDescent="0.35">
      <c r="B2071" s="9">
        <v>41883</v>
      </c>
      <c r="C2071" s="12">
        <v>96.8</v>
      </c>
      <c r="D2071" t="s">
        <v>5877</v>
      </c>
    </row>
    <row r="2072" spans="2:4" x14ac:dyDescent="0.35">
      <c r="B2072" s="9">
        <v>41884</v>
      </c>
      <c r="C2072" s="12">
        <v>83.7</v>
      </c>
      <c r="D2072" t="s">
        <v>5877</v>
      </c>
    </row>
    <row r="2073" spans="2:4" x14ac:dyDescent="0.35">
      <c r="B2073" s="9">
        <v>41885</v>
      </c>
      <c r="C2073" s="12">
        <v>63.2</v>
      </c>
      <c r="D2073" t="s">
        <v>5877</v>
      </c>
    </row>
    <row r="2074" spans="2:4" x14ac:dyDescent="0.35">
      <c r="B2074" s="9">
        <v>41886</v>
      </c>
      <c r="C2074" s="12">
        <v>78.3</v>
      </c>
      <c r="D2074" t="s">
        <v>5877</v>
      </c>
    </row>
    <row r="2075" spans="2:4" x14ac:dyDescent="0.35">
      <c r="B2075" s="9">
        <v>41887</v>
      </c>
      <c r="C2075" s="12">
        <v>100.3</v>
      </c>
      <c r="D2075" t="s">
        <v>5877</v>
      </c>
    </row>
    <row r="2076" spans="2:4" x14ac:dyDescent="0.35">
      <c r="B2076" s="9">
        <v>41888</v>
      </c>
      <c r="C2076" s="12">
        <v>82.8</v>
      </c>
      <c r="D2076" t="s">
        <v>5877</v>
      </c>
    </row>
    <row r="2077" spans="2:4" x14ac:dyDescent="0.35">
      <c r="B2077" s="9">
        <v>41889</v>
      </c>
      <c r="C2077" s="12">
        <v>61.5</v>
      </c>
      <c r="D2077" t="s">
        <v>5877</v>
      </c>
    </row>
    <row r="2078" spans="2:4" x14ac:dyDescent="0.35">
      <c r="B2078" s="9">
        <v>41890</v>
      </c>
      <c r="C2078" s="12">
        <v>72.8</v>
      </c>
      <c r="D2078" t="s">
        <v>5877</v>
      </c>
    </row>
    <row r="2079" spans="2:4" x14ac:dyDescent="0.35">
      <c r="B2079" s="9">
        <v>41891</v>
      </c>
      <c r="C2079" s="12">
        <v>76.599999999999994</v>
      </c>
      <c r="D2079" t="s">
        <v>5877</v>
      </c>
    </row>
    <row r="2080" spans="2:4" x14ac:dyDescent="0.35">
      <c r="B2080" s="9">
        <v>41892</v>
      </c>
      <c r="C2080" s="12">
        <v>76.8</v>
      </c>
      <c r="D2080" t="s">
        <v>5877</v>
      </c>
    </row>
    <row r="2081" spans="2:4" x14ac:dyDescent="0.35">
      <c r="B2081" s="9">
        <v>41893</v>
      </c>
      <c r="C2081" s="12">
        <v>107.3</v>
      </c>
      <c r="D2081" t="s">
        <v>5877</v>
      </c>
    </row>
    <row r="2082" spans="2:4" x14ac:dyDescent="0.35">
      <c r="B2082" s="9">
        <v>41894</v>
      </c>
      <c r="C2082" s="12">
        <v>79.2</v>
      </c>
      <c r="D2082" t="s">
        <v>5877</v>
      </c>
    </row>
    <row r="2083" spans="2:4" x14ac:dyDescent="0.35">
      <c r="B2083" s="9">
        <v>41895</v>
      </c>
      <c r="C2083" s="12">
        <v>61</v>
      </c>
      <c r="D2083" t="s">
        <v>5877</v>
      </c>
    </row>
    <row r="2084" spans="2:4" x14ac:dyDescent="0.35">
      <c r="B2084" s="9">
        <v>41896</v>
      </c>
      <c r="C2084" s="12">
        <v>75.900000000000006</v>
      </c>
      <c r="D2084" t="s">
        <v>5877</v>
      </c>
    </row>
    <row r="2085" spans="2:4" x14ac:dyDescent="0.35">
      <c r="B2085" s="9">
        <v>41897</v>
      </c>
      <c r="C2085" s="12">
        <v>90.3</v>
      </c>
      <c r="D2085" t="s">
        <v>5877</v>
      </c>
    </row>
    <row r="2086" spans="2:4" x14ac:dyDescent="0.35">
      <c r="B2086" s="9">
        <v>41898</v>
      </c>
      <c r="C2086" s="12">
        <v>115.9</v>
      </c>
      <c r="D2086" t="s">
        <v>5877</v>
      </c>
    </row>
    <row r="2087" spans="2:4" x14ac:dyDescent="0.35">
      <c r="B2087" s="9">
        <v>41899</v>
      </c>
      <c r="C2087" s="12">
        <v>104.8</v>
      </c>
      <c r="D2087" t="s">
        <v>5877</v>
      </c>
    </row>
    <row r="2088" spans="2:4" x14ac:dyDescent="0.35">
      <c r="B2088" s="9">
        <v>41900</v>
      </c>
      <c r="C2088" s="12">
        <v>108.5</v>
      </c>
      <c r="D2088" t="s">
        <v>5877</v>
      </c>
    </row>
    <row r="2089" spans="2:4" x14ac:dyDescent="0.35">
      <c r="B2089" s="9">
        <v>41901</v>
      </c>
      <c r="C2089" s="12">
        <v>114.4</v>
      </c>
      <c r="D2089" t="s">
        <v>5877</v>
      </c>
    </row>
    <row r="2090" spans="2:4" x14ac:dyDescent="0.35">
      <c r="B2090" s="9">
        <v>41902</v>
      </c>
      <c r="C2090" s="12">
        <v>80.7</v>
      </c>
      <c r="D2090" t="s">
        <v>5877</v>
      </c>
    </row>
    <row r="2091" spans="2:4" x14ac:dyDescent="0.35">
      <c r="B2091" s="9">
        <v>41903</v>
      </c>
      <c r="C2091" s="12">
        <v>72</v>
      </c>
      <c r="D2091" t="s">
        <v>5877</v>
      </c>
    </row>
    <row r="2092" spans="2:4" x14ac:dyDescent="0.35">
      <c r="B2092" s="9">
        <v>41904</v>
      </c>
      <c r="C2092" s="12">
        <v>119.9</v>
      </c>
      <c r="D2092" t="s">
        <v>5877</v>
      </c>
    </row>
    <row r="2093" spans="2:4" x14ac:dyDescent="0.35">
      <c r="B2093" s="9">
        <v>41905</v>
      </c>
      <c r="C2093" s="12">
        <v>90.8</v>
      </c>
      <c r="D2093" t="s">
        <v>5877</v>
      </c>
    </row>
    <row r="2094" spans="2:4" x14ac:dyDescent="0.35">
      <c r="B2094" s="9">
        <v>41906</v>
      </c>
      <c r="C2094" s="12">
        <v>68.8</v>
      </c>
      <c r="D2094" t="s">
        <v>5877</v>
      </c>
    </row>
    <row r="2095" spans="2:4" x14ac:dyDescent="0.35">
      <c r="B2095" s="9">
        <v>41907</v>
      </c>
      <c r="C2095" s="12">
        <v>73.599999999999994</v>
      </c>
      <c r="D2095" t="s">
        <v>5877</v>
      </c>
    </row>
    <row r="2096" spans="2:4" x14ac:dyDescent="0.35">
      <c r="B2096" s="9">
        <v>41908</v>
      </c>
      <c r="C2096" s="12">
        <v>75.900000000000006</v>
      </c>
      <c r="D2096" t="s">
        <v>5877</v>
      </c>
    </row>
    <row r="2097" spans="2:6" x14ac:dyDescent="0.35">
      <c r="B2097" s="9">
        <v>41909</v>
      </c>
      <c r="C2097" s="12">
        <v>113</v>
      </c>
      <c r="D2097" t="s">
        <v>5877</v>
      </c>
      <c r="F2097" t="s">
        <v>5855</v>
      </c>
    </row>
    <row r="2098" spans="2:6" x14ac:dyDescent="0.35">
      <c r="B2098" s="9">
        <v>41910</v>
      </c>
      <c r="C2098" s="12">
        <v>103.2</v>
      </c>
      <c r="D2098" t="s">
        <v>5877</v>
      </c>
      <c r="F2098" s="4" t="s">
        <v>5862</v>
      </c>
    </row>
    <row r="2099" spans="2:6" x14ac:dyDescent="0.35">
      <c r="B2099" s="9">
        <v>41911</v>
      </c>
      <c r="C2099" s="12">
        <v>77.8</v>
      </c>
      <c r="D2099" t="s">
        <v>5877</v>
      </c>
      <c r="F2099" s="4" t="s">
        <v>5863</v>
      </c>
    </row>
    <row r="2100" spans="2:6" x14ac:dyDescent="0.35">
      <c r="B2100" s="9">
        <v>41912</v>
      </c>
      <c r="C2100" s="12">
        <v>81.900000000000006</v>
      </c>
      <c r="D2100" t="s">
        <v>5877</v>
      </c>
      <c r="F2100" s="4" t="s">
        <v>5864</v>
      </c>
    </row>
    <row r="2101" spans="2:6" x14ac:dyDescent="0.35">
      <c r="B2101" s="9">
        <v>41913</v>
      </c>
      <c r="C2101" s="12">
        <v>84.8</v>
      </c>
      <c r="D2101" t="s">
        <v>5877</v>
      </c>
      <c r="F2101" s="4" t="s">
        <v>5865</v>
      </c>
    </row>
    <row r="2102" spans="2:6" x14ac:dyDescent="0.35">
      <c r="B2102" s="9">
        <v>41914</v>
      </c>
      <c r="C2102" s="12">
        <v>68.599999999999994</v>
      </c>
      <c r="D2102" t="s">
        <v>5877</v>
      </c>
      <c r="F2102" s="4" t="s">
        <v>5866</v>
      </c>
    </row>
    <row r="2103" spans="2:6" x14ac:dyDescent="0.35">
      <c r="B2103" s="9">
        <v>41915</v>
      </c>
      <c r="C2103" s="12">
        <v>68.3</v>
      </c>
      <c r="D2103" t="s">
        <v>5877</v>
      </c>
      <c r="F2103" s="4" t="s">
        <v>5867</v>
      </c>
    </row>
    <row r="2104" spans="2:6" x14ac:dyDescent="0.35">
      <c r="B2104" s="9">
        <v>41916</v>
      </c>
      <c r="C2104" s="12">
        <v>106.1</v>
      </c>
      <c r="D2104" t="s">
        <v>5877</v>
      </c>
      <c r="F2104" s="4" t="s">
        <v>5868</v>
      </c>
    </row>
    <row r="2105" spans="2:6" x14ac:dyDescent="0.35">
      <c r="B2105" s="9">
        <v>41917</v>
      </c>
      <c r="C2105" s="12">
        <v>87.5</v>
      </c>
      <c r="D2105" t="s">
        <v>5877</v>
      </c>
      <c r="F2105" s="4" t="s">
        <v>5869</v>
      </c>
    </row>
    <row r="2106" spans="2:6" x14ac:dyDescent="0.35">
      <c r="B2106" s="9">
        <v>41918</v>
      </c>
      <c r="C2106" s="12">
        <v>108.2</v>
      </c>
      <c r="D2106" t="s">
        <v>5877</v>
      </c>
      <c r="F2106" s="4" t="s">
        <v>5870</v>
      </c>
    </row>
    <row r="2107" spans="2:6" x14ac:dyDescent="0.35">
      <c r="B2107" s="9">
        <v>41919</v>
      </c>
      <c r="C2107" s="12">
        <v>96.4</v>
      </c>
      <c r="D2107" t="s">
        <v>5877</v>
      </c>
      <c r="F2107" s="4" t="s">
        <v>5871</v>
      </c>
    </row>
    <row r="2108" spans="2:6" x14ac:dyDescent="0.35">
      <c r="B2108" s="9">
        <v>41920</v>
      </c>
      <c r="C2108" s="12">
        <v>85.6</v>
      </c>
      <c r="D2108" t="s">
        <v>5877</v>
      </c>
      <c r="F2108" s="4" t="s">
        <v>5872</v>
      </c>
    </row>
    <row r="2109" spans="2:6" x14ac:dyDescent="0.35">
      <c r="B2109" s="9">
        <v>41921</v>
      </c>
      <c r="C2109" s="12">
        <v>84.7</v>
      </c>
      <c r="D2109" t="s">
        <v>5877</v>
      </c>
      <c r="F2109" s="4" t="s">
        <v>5873</v>
      </c>
    </row>
    <row r="2110" spans="2:6" x14ac:dyDescent="0.35">
      <c r="B2110" s="9">
        <v>41922</v>
      </c>
      <c r="C2110" s="12">
        <v>152.6</v>
      </c>
      <c r="D2110" t="s">
        <v>5877</v>
      </c>
      <c r="F2110" s="4" t="s">
        <v>5874</v>
      </c>
    </row>
    <row r="2111" spans="2:6" x14ac:dyDescent="0.35">
      <c r="B2111" s="9">
        <v>41923</v>
      </c>
      <c r="C2111" s="12">
        <v>115.9</v>
      </c>
      <c r="D2111" t="s">
        <v>5877</v>
      </c>
      <c r="F2111" s="4" t="s">
        <v>5875</v>
      </c>
    </row>
    <row r="2112" spans="2:6" x14ac:dyDescent="0.35">
      <c r="B2112" s="9">
        <v>41924</v>
      </c>
      <c r="C2112" s="12">
        <v>98</v>
      </c>
      <c r="D2112" t="s">
        <v>5877</v>
      </c>
      <c r="F2112" s="4" t="s">
        <v>5876</v>
      </c>
    </row>
    <row r="2113" spans="2:6" x14ac:dyDescent="0.35">
      <c r="B2113" s="9">
        <v>41925</v>
      </c>
      <c r="C2113" s="12">
        <v>93</v>
      </c>
      <c r="D2113" t="s">
        <v>5877</v>
      </c>
      <c r="F2113" s="4" t="s">
        <v>5856</v>
      </c>
    </row>
    <row r="2114" spans="2:6" x14ac:dyDescent="0.35">
      <c r="B2114" s="9">
        <v>41926</v>
      </c>
      <c r="C2114" s="12">
        <v>82.5</v>
      </c>
      <c r="D2114" t="s">
        <v>5877</v>
      </c>
    </row>
    <row r="2115" spans="2:6" x14ac:dyDescent="0.35">
      <c r="B2115" s="9">
        <v>41927</v>
      </c>
      <c r="C2115" s="12">
        <v>109.8</v>
      </c>
      <c r="D2115" t="s">
        <v>5877</v>
      </c>
    </row>
    <row r="2116" spans="2:6" x14ac:dyDescent="0.35">
      <c r="B2116" s="9">
        <v>41928</v>
      </c>
      <c r="C2116" s="12">
        <v>148.5</v>
      </c>
      <c r="D2116" t="s">
        <v>5877</v>
      </c>
    </row>
    <row r="2117" spans="2:6" x14ac:dyDescent="0.35">
      <c r="B2117" s="9">
        <v>41929</v>
      </c>
      <c r="C2117" s="12">
        <v>139.1</v>
      </c>
      <c r="D2117" t="s">
        <v>5877</v>
      </c>
    </row>
    <row r="2118" spans="2:6" x14ac:dyDescent="0.35">
      <c r="B2118" s="9">
        <v>41930</v>
      </c>
      <c r="C2118" s="12">
        <v>158</v>
      </c>
      <c r="D2118" t="s">
        <v>5877</v>
      </c>
    </row>
    <row r="2119" spans="2:6" x14ac:dyDescent="0.35">
      <c r="B2119" s="9">
        <v>41931</v>
      </c>
      <c r="C2119" s="12">
        <v>184.4</v>
      </c>
      <c r="D2119" t="s">
        <v>5877</v>
      </c>
    </row>
    <row r="2120" spans="2:6" x14ac:dyDescent="0.35">
      <c r="B2120" s="9">
        <v>41932</v>
      </c>
      <c r="C2120" s="12">
        <v>158.69999999999999</v>
      </c>
      <c r="D2120" t="s">
        <v>5877</v>
      </c>
    </row>
    <row r="2121" spans="2:6" x14ac:dyDescent="0.35">
      <c r="B2121" s="9">
        <v>41933</v>
      </c>
      <c r="C2121" s="12">
        <v>166.5</v>
      </c>
      <c r="D2121" t="s">
        <v>5877</v>
      </c>
    </row>
    <row r="2122" spans="2:6" x14ac:dyDescent="0.35">
      <c r="B2122" s="9">
        <v>41934</v>
      </c>
      <c r="C2122" s="12">
        <v>157.4</v>
      </c>
      <c r="D2122" t="s">
        <v>5877</v>
      </c>
    </row>
    <row r="2123" spans="2:6" x14ac:dyDescent="0.35">
      <c r="B2123" s="9">
        <v>41935</v>
      </c>
      <c r="C2123" s="12">
        <v>114.6</v>
      </c>
      <c r="D2123" t="s">
        <v>5877</v>
      </c>
    </row>
    <row r="2124" spans="2:6" x14ac:dyDescent="0.35">
      <c r="B2124" s="9">
        <v>41936</v>
      </c>
      <c r="C2124" s="12">
        <v>102.3</v>
      </c>
      <c r="D2124" t="s">
        <v>5877</v>
      </c>
    </row>
    <row r="2125" spans="2:6" x14ac:dyDescent="0.35">
      <c r="B2125" s="9">
        <v>41937</v>
      </c>
      <c r="C2125" s="12">
        <v>89.5</v>
      </c>
      <c r="D2125" t="s">
        <v>5877</v>
      </c>
    </row>
    <row r="2126" spans="2:6" x14ac:dyDescent="0.35">
      <c r="B2126" s="9">
        <v>41938</v>
      </c>
      <c r="C2126" s="12">
        <v>84.9</v>
      </c>
      <c r="D2126" t="s">
        <v>5877</v>
      </c>
    </row>
    <row r="2127" spans="2:6" x14ac:dyDescent="0.35">
      <c r="B2127" s="9">
        <v>41939</v>
      </c>
      <c r="C2127" s="12">
        <v>86.2</v>
      </c>
      <c r="D2127" t="s">
        <v>5877</v>
      </c>
    </row>
    <row r="2128" spans="2:6" x14ac:dyDescent="0.35">
      <c r="B2128" s="9">
        <v>41940</v>
      </c>
      <c r="C2128" s="12">
        <v>129</v>
      </c>
      <c r="D2128" t="s">
        <v>5877</v>
      </c>
    </row>
    <row r="2129" spans="2:4" x14ac:dyDescent="0.35">
      <c r="B2129" s="9">
        <v>41941</v>
      </c>
      <c r="C2129" s="12">
        <v>127.4</v>
      </c>
      <c r="D2129" t="s">
        <v>5877</v>
      </c>
    </row>
    <row r="2130" spans="2:4" x14ac:dyDescent="0.35">
      <c r="B2130" s="9">
        <v>41942</v>
      </c>
      <c r="C2130" s="12">
        <v>109.6</v>
      </c>
      <c r="D2130" t="s">
        <v>5877</v>
      </c>
    </row>
    <row r="2131" spans="2:4" x14ac:dyDescent="0.35">
      <c r="B2131" s="9">
        <v>41943</v>
      </c>
      <c r="C2131" s="12">
        <v>117.8</v>
      </c>
      <c r="D2131" t="s">
        <v>5877</v>
      </c>
    </row>
    <row r="2132" spans="2:4" x14ac:dyDescent="0.35">
      <c r="B2132" s="9">
        <v>41944</v>
      </c>
      <c r="C2132" s="12">
        <v>136.80000000000001</v>
      </c>
      <c r="D2132" t="s">
        <v>5877</v>
      </c>
    </row>
    <row r="2133" spans="2:4" x14ac:dyDescent="0.35">
      <c r="B2133" s="9">
        <v>41945</v>
      </c>
      <c r="C2133" s="12">
        <v>120.5</v>
      </c>
      <c r="D2133" t="s">
        <v>5877</v>
      </c>
    </row>
    <row r="2134" spans="2:4" x14ac:dyDescent="0.35">
      <c r="B2134" s="9">
        <v>41946</v>
      </c>
      <c r="C2134" s="12">
        <v>88</v>
      </c>
      <c r="D2134" t="s">
        <v>5877</v>
      </c>
    </row>
    <row r="2135" spans="2:4" x14ac:dyDescent="0.35">
      <c r="B2135" s="9">
        <v>41947</v>
      </c>
      <c r="C2135" s="12">
        <v>70.3</v>
      </c>
      <c r="D2135" t="s">
        <v>5877</v>
      </c>
    </row>
    <row r="2136" spans="2:4" x14ac:dyDescent="0.35">
      <c r="B2136" s="9">
        <v>41948</v>
      </c>
      <c r="C2136" s="12">
        <v>69.8</v>
      </c>
      <c r="D2136" t="s">
        <v>5877</v>
      </c>
    </row>
    <row r="2137" spans="2:4" x14ac:dyDescent="0.35">
      <c r="B2137" s="9">
        <v>41949</v>
      </c>
      <c r="C2137" s="12">
        <v>104.1</v>
      </c>
      <c r="D2137" t="s">
        <v>5877</v>
      </c>
    </row>
    <row r="2138" spans="2:4" x14ac:dyDescent="0.35">
      <c r="B2138" s="9">
        <v>41950</v>
      </c>
      <c r="C2138" s="12">
        <v>102.3</v>
      </c>
      <c r="D2138" t="s">
        <v>5877</v>
      </c>
    </row>
    <row r="2139" spans="2:4" x14ac:dyDescent="0.35">
      <c r="B2139" s="9">
        <v>41951</v>
      </c>
      <c r="C2139" s="12">
        <v>95</v>
      </c>
      <c r="D2139" t="s">
        <v>5877</v>
      </c>
    </row>
    <row r="2140" spans="2:4" x14ac:dyDescent="0.35">
      <c r="B2140" s="9">
        <v>41952</v>
      </c>
      <c r="C2140" s="12">
        <v>78.8</v>
      </c>
      <c r="D2140" t="s">
        <v>5877</v>
      </c>
    </row>
    <row r="2141" spans="2:4" x14ac:dyDescent="0.35">
      <c r="B2141" s="9">
        <v>41953</v>
      </c>
      <c r="C2141" s="12">
        <v>73.5</v>
      </c>
      <c r="D2141" t="s">
        <v>5877</v>
      </c>
    </row>
    <row r="2142" spans="2:4" x14ac:dyDescent="0.35">
      <c r="B2142" s="9">
        <v>41954</v>
      </c>
      <c r="C2142" s="12">
        <v>143.6</v>
      </c>
      <c r="D2142" t="s">
        <v>5877</v>
      </c>
    </row>
    <row r="2143" spans="2:4" x14ac:dyDescent="0.35">
      <c r="B2143" s="9">
        <v>41955</v>
      </c>
      <c r="C2143" s="12">
        <v>188.1</v>
      </c>
      <c r="D2143" t="s">
        <v>5877</v>
      </c>
    </row>
    <row r="2144" spans="2:4" x14ac:dyDescent="0.35">
      <c r="B2144" s="9">
        <v>41956</v>
      </c>
      <c r="C2144" s="12">
        <v>171.1</v>
      </c>
      <c r="D2144" t="s">
        <v>5877</v>
      </c>
    </row>
    <row r="2145" spans="2:4" x14ac:dyDescent="0.35">
      <c r="B2145" s="9">
        <v>41957</v>
      </c>
      <c r="C2145" s="12">
        <v>158.1</v>
      </c>
      <c r="D2145" t="s">
        <v>5877</v>
      </c>
    </row>
    <row r="2146" spans="2:4" x14ac:dyDescent="0.35">
      <c r="B2146" s="9">
        <v>41958</v>
      </c>
      <c r="C2146" s="12">
        <v>167</v>
      </c>
      <c r="D2146" t="s">
        <v>5877</v>
      </c>
    </row>
    <row r="2147" spans="2:4" x14ac:dyDescent="0.35">
      <c r="B2147" s="9">
        <v>41959</v>
      </c>
      <c r="C2147" s="12">
        <v>117.8</v>
      </c>
      <c r="D2147" t="s">
        <v>5877</v>
      </c>
    </row>
    <row r="2148" spans="2:4" x14ac:dyDescent="0.35">
      <c r="B2148" s="9">
        <v>41960</v>
      </c>
      <c r="C2148" s="12">
        <v>88</v>
      </c>
      <c r="D2148" t="s">
        <v>5877</v>
      </c>
    </row>
    <row r="2149" spans="2:4" x14ac:dyDescent="0.35">
      <c r="B2149" s="9">
        <v>41961</v>
      </c>
      <c r="C2149" s="12">
        <v>84.3</v>
      </c>
      <c r="D2149" t="s">
        <v>5877</v>
      </c>
    </row>
    <row r="2150" spans="2:4" x14ac:dyDescent="0.35">
      <c r="B2150" s="9">
        <v>41962</v>
      </c>
      <c r="C2150" s="12">
        <v>189.7</v>
      </c>
      <c r="D2150" t="s">
        <v>5877</v>
      </c>
    </row>
    <row r="2151" spans="2:4" x14ac:dyDescent="0.35">
      <c r="B2151" s="9">
        <v>41963</v>
      </c>
      <c r="C2151" s="12">
        <v>172</v>
      </c>
      <c r="D2151" t="s">
        <v>5877</v>
      </c>
    </row>
    <row r="2152" spans="2:4" x14ac:dyDescent="0.35">
      <c r="B2152" s="9">
        <v>41964</v>
      </c>
      <c r="C2152" s="12">
        <v>122.4</v>
      </c>
      <c r="D2152" t="s">
        <v>5877</v>
      </c>
    </row>
    <row r="2153" spans="2:4" x14ac:dyDescent="0.35">
      <c r="B2153" s="9">
        <v>41965</v>
      </c>
      <c r="C2153" s="12">
        <v>110.2</v>
      </c>
      <c r="D2153" t="s">
        <v>5877</v>
      </c>
    </row>
    <row r="2154" spans="2:4" x14ac:dyDescent="0.35">
      <c r="B2154" s="9">
        <v>41966</v>
      </c>
      <c r="C2154" s="12">
        <v>93.4</v>
      </c>
      <c r="D2154" t="s">
        <v>5877</v>
      </c>
    </row>
    <row r="2155" spans="2:4" x14ac:dyDescent="0.35">
      <c r="B2155" s="9">
        <v>41967</v>
      </c>
      <c r="C2155" s="12">
        <v>101.6</v>
      </c>
      <c r="D2155" t="s">
        <v>5877</v>
      </c>
    </row>
    <row r="2156" spans="2:4" x14ac:dyDescent="0.35">
      <c r="B2156" s="9">
        <v>41968</v>
      </c>
      <c r="C2156" s="12">
        <v>116</v>
      </c>
      <c r="D2156" t="s">
        <v>5877</v>
      </c>
    </row>
    <row r="2157" spans="2:4" x14ac:dyDescent="0.35">
      <c r="B2157" s="9">
        <v>41969</v>
      </c>
      <c r="C2157" s="12">
        <v>98.3</v>
      </c>
      <c r="D2157" t="s">
        <v>5877</v>
      </c>
    </row>
    <row r="2158" spans="2:4" x14ac:dyDescent="0.35">
      <c r="B2158" s="9">
        <v>41970</v>
      </c>
      <c r="C2158" s="12">
        <v>156.30000000000001</v>
      </c>
      <c r="D2158" t="s">
        <v>5877</v>
      </c>
    </row>
    <row r="2159" spans="2:4" x14ac:dyDescent="0.35">
      <c r="B2159" s="9">
        <v>41971</v>
      </c>
      <c r="C2159" s="12">
        <v>128.69999999999999</v>
      </c>
      <c r="D2159" t="s">
        <v>5877</v>
      </c>
    </row>
    <row r="2160" spans="2:4" x14ac:dyDescent="0.35">
      <c r="B2160" s="9">
        <v>41972</v>
      </c>
      <c r="C2160" s="12">
        <v>126.4</v>
      </c>
      <c r="D2160" t="s">
        <v>5877</v>
      </c>
    </row>
    <row r="2161" spans="2:4" x14ac:dyDescent="0.35">
      <c r="B2161" s="9">
        <v>41973</v>
      </c>
      <c r="C2161" s="12">
        <v>143.30000000000001</v>
      </c>
      <c r="D2161" t="s">
        <v>5877</v>
      </c>
    </row>
    <row r="2162" spans="2:4" x14ac:dyDescent="0.35">
      <c r="B2162" s="9">
        <v>41974</v>
      </c>
      <c r="C2162" s="12">
        <v>137.30000000000001</v>
      </c>
      <c r="D2162" t="s">
        <v>5877</v>
      </c>
    </row>
    <row r="2163" spans="2:4" x14ac:dyDescent="0.35">
      <c r="B2163" s="9">
        <v>41975</v>
      </c>
      <c r="C2163" s="12">
        <v>150.6</v>
      </c>
      <c r="D2163" t="s">
        <v>5877</v>
      </c>
    </row>
    <row r="2164" spans="2:4" x14ac:dyDescent="0.35">
      <c r="B2164" s="9">
        <v>41976</v>
      </c>
      <c r="C2164" s="12">
        <v>124.6</v>
      </c>
      <c r="D2164" t="s">
        <v>5877</v>
      </c>
    </row>
    <row r="2165" spans="2:4" x14ac:dyDescent="0.35">
      <c r="B2165" s="9">
        <v>41977</v>
      </c>
      <c r="C2165" s="12">
        <v>120.9</v>
      </c>
      <c r="D2165" t="s">
        <v>5877</v>
      </c>
    </row>
    <row r="2166" spans="2:4" x14ac:dyDescent="0.35">
      <c r="B2166" s="9">
        <v>41978</v>
      </c>
      <c r="C2166" s="12">
        <v>102.8</v>
      </c>
      <c r="D2166" t="s">
        <v>5877</v>
      </c>
    </row>
    <row r="2167" spans="2:4" x14ac:dyDescent="0.35">
      <c r="B2167" s="9">
        <v>41979</v>
      </c>
      <c r="C2167" s="12">
        <v>151.6</v>
      </c>
      <c r="D2167" t="s">
        <v>5877</v>
      </c>
    </row>
    <row r="2168" spans="2:4" x14ac:dyDescent="0.35">
      <c r="B2168" s="9">
        <v>41980</v>
      </c>
      <c r="C2168" s="12">
        <v>180</v>
      </c>
      <c r="D2168" t="s">
        <v>5877</v>
      </c>
    </row>
    <row r="2169" spans="2:4" x14ac:dyDescent="0.35">
      <c r="B2169" s="9">
        <v>41981</v>
      </c>
      <c r="C2169" s="12">
        <v>131.1</v>
      </c>
      <c r="D2169" t="s">
        <v>5877</v>
      </c>
    </row>
    <row r="2170" spans="2:4" x14ac:dyDescent="0.35">
      <c r="B2170" s="9">
        <v>41982</v>
      </c>
      <c r="C2170" s="12">
        <v>117.3</v>
      </c>
      <c r="D2170" t="s">
        <v>5877</v>
      </c>
    </row>
    <row r="2171" spans="2:4" x14ac:dyDescent="0.35">
      <c r="B2171" s="9">
        <v>41983</v>
      </c>
      <c r="C2171" s="12">
        <v>108.5</v>
      </c>
      <c r="D2171" t="s">
        <v>5877</v>
      </c>
    </row>
    <row r="2172" spans="2:4" x14ac:dyDescent="0.35">
      <c r="B2172" s="9">
        <v>41984</v>
      </c>
      <c r="C2172" s="12">
        <v>141.19999999999999</v>
      </c>
      <c r="D2172" t="s">
        <v>5877</v>
      </c>
    </row>
    <row r="2173" spans="2:4" x14ac:dyDescent="0.35">
      <c r="B2173" s="9">
        <v>41985</v>
      </c>
      <c r="C2173" s="12">
        <v>113.8</v>
      </c>
      <c r="D2173" t="s">
        <v>5877</v>
      </c>
    </row>
    <row r="2174" spans="2:4" x14ac:dyDescent="0.35">
      <c r="B2174" s="9">
        <v>41986</v>
      </c>
      <c r="C2174" s="12">
        <v>138.19999999999999</v>
      </c>
      <c r="D2174" t="s">
        <v>5877</v>
      </c>
    </row>
    <row r="2175" spans="2:4" x14ac:dyDescent="0.35">
      <c r="B2175" s="9">
        <v>41987</v>
      </c>
      <c r="C2175" s="12">
        <v>111.2</v>
      </c>
      <c r="D2175" t="s">
        <v>5877</v>
      </c>
    </row>
    <row r="2176" spans="2:4" x14ac:dyDescent="0.35">
      <c r="B2176" s="9">
        <v>41988</v>
      </c>
      <c r="C2176" s="12">
        <v>163.1</v>
      </c>
      <c r="D2176" t="s">
        <v>5877</v>
      </c>
    </row>
    <row r="2177" spans="2:4" x14ac:dyDescent="0.35">
      <c r="B2177" s="9">
        <v>41989</v>
      </c>
      <c r="C2177" s="12">
        <v>135.80000000000001</v>
      </c>
      <c r="D2177" t="s">
        <v>5877</v>
      </c>
    </row>
    <row r="2178" spans="2:4" x14ac:dyDescent="0.35">
      <c r="B2178" s="9">
        <v>41990</v>
      </c>
      <c r="C2178" s="12">
        <v>178.6</v>
      </c>
      <c r="D2178" t="s">
        <v>5877</v>
      </c>
    </row>
    <row r="2179" spans="2:4" x14ac:dyDescent="0.35">
      <c r="B2179" s="9">
        <v>41991</v>
      </c>
      <c r="C2179" s="12">
        <v>147.80000000000001</v>
      </c>
      <c r="D2179" t="s">
        <v>5877</v>
      </c>
    </row>
    <row r="2180" spans="2:4" x14ac:dyDescent="0.35">
      <c r="B2180" s="9">
        <v>41992</v>
      </c>
      <c r="C2180" s="12">
        <v>140.1</v>
      </c>
      <c r="D2180" t="s">
        <v>5877</v>
      </c>
    </row>
    <row r="2181" spans="2:4" x14ac:dyDescent="0.35">
      <c r="B2181" s="9">
        <v>41993</v>
      </c>
      <c r="C2181" s="12">
        <v>108.8</v>
      </c>
      <c r="D2181" t="s">
        <v>5877</v>
      </c>
    </row>
    <row r="2182" spans="2:4" x14ac:dyDescent="0.35">
      <c r="B2182" s="9">
        <v>41994</v>
      </c>
      <c r="C2182" s="12">
        <v>121.9</v>
      </c>
      <c r="D2182" t="s">
        <v>5877</v>
      </c>
    </row>
    <row r="2183" spans="2:4" x14ac:dyDescent="0.35">
      <c r="B2183" s="9">
        <v>41995</v>
      </c>
      <c r="C2183" s="12">
        <v>101.2</v>
      </c>
      <c r="D2183" t="s">
        <v>5877</v>
      </c>
    </row>
    <row r="2184" spans="2:4" x14ac:dyDescent="0.35">
      <c r="B2184" s="9">
        <v>41996</v>
      </c>
      <c r="C2184" s="12">
        <v>136.30000000000001</v>
      </c>
      <c r="D2184" t="s">
        <v>5877</v>
      </c>
    </row>
    <row r="2185" spans="2:4" x14ac:dyDescent="0.35">
      <c r="B2185" s="9">
        <v>41997</v>
      </c>
      <c r="C2185" s="12">
        <v>110.3</v>
      </c>
      <c r="D2185" t="s">
        <v>5877</v>
      </c>
    </row>
    <row r="2186" spans="2:4" x14ac:dyDescent="0.35">
      <c r="B2186" s="9">
        <v>41998</v>
      </c>
      <c r="C2186" s="12">
        <v>123.6</v>
      </c>
      <c r="D2186" t="s">
        <v>5877</v>
      </c>
    </row>
    <row r="2187" spans="2:4" x14ac:dyDescent="0.35">
      <c r="B2187" s="9">
        <v>41999</v>
      </c>
      <c r="C2187" s="12">
        <v>123.7</v>
      </c>
      <c r="D2187" t="s">
        <v>5877</v>
      </c>
    </row>
    <row r="2188" spans="2:4" x14ac:dyDescent="0.35">
      <c r="B2188" s="9">
        <v>42000</v>
      </c>
      <c r="C2188" s="12">
        <v>99.8</v>
      </c>
      <c r="D2188" t="s">
        <v>5877</v>
      </c>
    </row>
    <row r="2189" spans="2:4" x14ac:dyDescent="0.35">
      <c r="B2189" s="9">
        <v>42001</v>
      </c>
      <c r="C2189" s="12">
        <v>98.7</v>
      </c>
      <c r="D2189" t="s">
        <v>5877</v>
      </c>
    </row>
    <row r="2190" spans="2:4" x14ac:dyDescent="0.35">
      <c r="B2190" s="9">
        <v>42002</v>
      </c>
      <c r="C2190" s="12">
        <v>89.2</v>
      </c>
      <c r="D2190" t="s">
        <v>5877</v>
      </c>
    </row>
    <row r="2191" spans="2:4" x14ac:dyDescent="0.35">
      <c r="B2191" s="9">
        <v>42003</v>
      </c>
      <c r="C2191" s="12">
        <v>164.9</v>
      </c>
      <c r="D2191" t="s">
        <v>5877</v>
      </c>
    </row>
    <row r="2192" spans="2:4" x14ac:dyDescent="0.35">
      <c r="B2192" s="9">
        <v>42004</v>
      </c>
      <c r="C2192" s="12">
        <v>139.1</v>
      </c>
      <c r="D2192" t="s">
        <v>5877</v>
      </c>
    </row>
    <row r="2193" spans="2:4" x14ac:dyDescent="0.35">
      <c r="B2193" s="9">
        <v>42005</v>
      </c>
      <c r="C2193" s="12">
        <v>106.1</v>
      </c>
      <c r="D2193" t="s">
        <v>5877</v>
      </c>
    </row>
    <row r="2194" spans="2:4" x14ac:dyDescent="0.35">
      <c r="B2194" s="9">
        <v>42006</v>
      </c>
      <c r="C2194" s="12">
        <v>97.8</v>
      </c>
      <c r="D2194" t="s">
        <v>5877</v>
      </c>
    </row>
    <row r="2195" spans="2:4" x14ac:dyDescent="0.35">
      <c r="B2195" s="9">
        <v>42007</v>
      </c>
      <c r="C2195" s="12">
        <v>101</v>
      </c>
      <c r="D2195" t="s">
        <v>5877</v>
      </c>
    </row>
    <row r="2196" spans="2:4" x14ac:dyDescent="0.35">
      <c r="B2196" s="9">
        <v>42008</v>
      </c>
      <c r="C2196" s="12">
        <v>87.8</v>
      </c>
      <c r="D2196" t="s">
        <v>5877</v>
      </c>
    </row>
    <row r="2197" spans="2:4" x14ac:dyDescent="0.35">
      <c r="B2197" s="9">
        <v>42009</v>
      </c>
      <c r="C2197" s="12">
        <v>83.9</v>
      </c>
      <c r="D2197" t="s">
        <v>5877</v>
      </c>
    </row>
    <row r="2198" spans="2:4" x14ac:dyDescent="0.35">
      <c r="B2198" s="9">
        <v>42010</v>
      </c>
      <c r="C2198" s="12">
        <v>107.3</v>
      </c>
      <c r="D2198" t="s">
        <v>5877</v>
      </c>
    </row>
    <row r="2199" spans="2:4" x14ac:dyDescent="0.35">
      <c r="B2199" s="9">
        <v>42011</v>
      </c>
      <c r="C2199" s="12">
        <v>102.2</v>
      </c>
      <c r="D2199" t="s">
        <v>5877</v>
      </c>
    </row>
    <row r="2200" spans="2:4" x14ac:dyDescent="0.35">
      <c r="B2200" s="9">
        <v>42012</v>
      </c>
      <c r="C2200" s="12">
        <v>132.9</v>
      </c>
      <c r="D2200" t="s">
        <v>5877</v>
      </c>
    </row>
    <row r="2201" spans="2:4" x14ac:dyDescent="0.35">
      <c r="B2201" s="9">
        <v>42013</v>
      </c>
      <c r="C2201" s="12">
        <v>122.9</v>
      </c>
      <c r="D2201" t="s">
        <v>5877</v>
      </c>
    </row>
    <row r="2202" spans="2:4" x14ac:dyDescent="0.35">
      <c r="B2202" s="9">
        <v>42014</v>
      </c>
      <c r="C2202" s="12">
        <v>98.4</v>
      </c>
      <c r="D2202" t="s">
        <v>5877</v>
      </c>
    </row>
    <row r="2203" spans="2:4" x14ac:dyDescent="0.35">
      <c r="B2203" s="9">
        <v>42015</v>
      </c>
      <c r="C2203" s="12">
        <v>80.5</v>
      </c>
      <c r="D2203" t="s">
        <v>5877</v>
      </c>
    </row>
    <row r="2204" spans="2:4" x14ac:dyDescent="0.35">
      <c r="B2204" s="9">
        <v>42016</v>
      </c>
      <c r="C2204" s="12">
        <v>68.599999999999994</v>
      </c>
      <c r="D2204" t="s">
        <v>5877</v>
      </c>
    </row>
    <row r="2205" spans="2:4" x14ac:dyDescent="0.35">
      <c r="B2205" s="9">
        <v>42017</v>
      </c>
      <c r="C2205" s="12">
        <v>59.9</v>
      </c>
      <c r="D2205" t="s">
        <v>5877</v>
      </c>
    </row>
    <row r="2206" spans="2:4" x14ac:dyDescent="0.35">
      <c r="B2206" s="9">
        <v>42018</v>
      </c>
      <c r="C2206" s="12">
        <v>54.7</v>
      </c>
      <c r="D2206" t="s">
        <v>5877</v>
      </c>
    </row>
    <row r="2207" spans="2:4" x14ac:dyDescent="0.35">
      <c r="B2207" s="9">
        <v>42019</v>
      </c>
      <c r="C2207" s="12">
        <v>72</v>
      </c>
      <c r="D2207" t="s">
        <v>5877</v>
      </c>
    </row>
    <row r="2208" spans="2:4" x14ac:dyDescent="0.35">
      <c r="B2208" s="9">
        <v>42020</v>
      </c>
      <c r="C2208" s="12">
        <v>82.2</v>
      </c>
      <c r="D2208" t="s">
        <v>5877</v>
      </c>
    </row>
    <row r="2209" spans="2:4" x14ac:dyDescent="0.35">
      <c r="B2209" s="9">
        <v>42021</v>
      </c>
      <c r="C2209" s="12">
        <v>85.7</v>
      </c>
      <c r="D2209" t="s">
        <v>5877</v>
      </c>
    </row>
    <row r="2210" spans="2:4" x14ac:dyDescent="0.35">
      <c r="B2210" s="9">
        <v>42022</v>
      </c>
      <c r="C2210" s="12">
        <v>82.3</v>
      </c>
      <c r="D2210" t="s">
        <v>5877</v>
      </c>
    </row>
    <row r="2211" spans="2:4" x14ac:dyDescent="0.35">
      <c r="B2211" s="9">
        <v>42023</v>
      </c>
      <c r="C2211" s="12">
        <v>87.1</v>
      </c>
      <c r="D2211" t="s">
        <v>5877</v>
      </c>
    </row>
    <row r="2212" spans="2:4" x14ac:dyDescent="0.35">
      <c r="B2212" s="9">
        <v>42024</v>
      </c>
      <c r="C2212" s="12">
        <v>74.5</v>
      </c>
      <c r="D2212" t="s">
        <v>5877</v>
      </c>
    </row>
    <row r="2213" spans="2:4" x14ac:dyDescent="0.35">
      <c r="B2213" s="9">
        <v>42025</v>
      </c>
      <c r="C2213" s="12">
        <v>79</v>
      </c>
      <c r="D2213" t="s">
        <v>5877</v>
      </c>
    </row>
    <row r="2214" spans="2:4" x14ac:dyDescent="0.35">
      <c r="B2214" s="9">
        <v>42026</v>
      </c>
      <c r="C2214" s="12">
        <v>64.8</v>
      </c>
      <c r="D2214" t="s">
        <v>5877</v>
      </c>
    </row>
    <row r="2215" spans="2:4" x14ac:dyDescent="0.35">
      <c r="B2215" s="9">
        <v>42027</v>
      </c>
      <c r="C2215" s="12">
        <v>60.4</v>
      </c>
      <c r="D2215" t="s">
        <v>5877</v>
      </c>
    </row>
    <row r="2216" spans="2:4" x14ac:dyDescent="0.35">
      <c r="B2216" s="9">
        <v>42028</v>
      </c>
      <c r="C2216" s="12">
        <v>69.8</v>
      </c>
      <c r="D2216" t="s">
        <v>5877</v>
      </c>
    </row>
    <row r="2217" spans="2:4" x14ac:dyDescent="0.35">
      <c r="B2217" s="9">
        <v>42029</v>
      </c>
      <c r="C2217" s="12">
        <v>123.9</v>
      </c>
      <c r="D2217" t="s">
        <v>5877</v>
      </c>
    </row>
    <row r="2218" spans="2:4" x14ac:dyDescent="0.35">
      <c r="B2218" s="9">
        <v>42030</v>
      </c>
      <c r="C2218" s="12">
        <v>117</v>
      </c>
      <c r="D2218" t="s">
        <v>5877</v>
      </c>
    </row>
    <row r="2219" spans="2:4" x14ac:dyDescent="0.35">
      <c r="B2219" s="9">
        <v>42031</v>
      </c>
      <c r="C2219" s="12">
        <v>139.1</v>
      </c>
      <c r="D2219" t="s">
        <v>5877</v>
      </c>
    </row>
    <row r="2220" spans="2:4" x14ac:dyDescent="0.35">
      <c r="B2220" s="9">
        <v>42032</v>
      </c>
      <c r="C2220" s="12">
        <v>156.19999999999999</v>
      </c>
      <c r="D2220" t="s">
        <v>5877</v>
      </c>
    </row>
    <row r="2221" spans="2:4" x14ac:dyDescent="0.35">
      <c r="B2221" s="9">
        <v>42033</v>
      </c>
      <c r="C2221" s="12">
        <v>113.9</v>
      </c>
      <c r="D2221" t="s">
        <v>5877</v>
      </c>
    </row>
    <row r="2222" spans="2:4" x14ac:dyDescent="0.35">
      <c r="B2222" s="9">
        <v>42034</v>
      </c>
      <c r="C2222" s="12">
        <v>134.5</v>
      </c>
      <c r="D2222" t="s">
        <v>5877</v>
      </c>
    </row>
    <row r="2223" spans="2:4" x14ac:dyDescent="0.35">
      <c r="B2223" s="9">
        <v>42035</v>
      </c>
      <c r="C2223" s="12">
        <v>120.9</v>
      </c>
      <c r="D2223" t="s">
        <v>5877</v>
      </c>
    </row>
    <row r="2224" spans="2:4" x14ac:dyDescent="0.35">
      <c r="B2224" s="9">
        <v>42036</v>
      </c>
      <c r="C2224" s="12">
        <v>93.3</v>
      </c>
      <c r="D2224" t="s">
        <v>5877</v>
      </c>
    </row>
    <row r="2225" spans="2:4" x14ac:dyDescent="0.35">
      <c r="B2225" s="9">
        <v>42037</v>
      </c>
      <c r="C2225" s="12">
        <v>98.9</v>
      </c>
      <c r="D2225" t="s">
        <v>5877</v>
      </c>
    </row>
    <row r="2226" spans="2:4" x14ac:dyDescent="0.35">
      <c r="B2226" s="9">
        <v>42038</v>
      </c>
      <c r="C2226" s="12">
        <v>78.599999999999994</v>
      </c>
      <c r="D2226" t="s">
        <v>5877</v>
      </c>
    </row>
    <row r="2227" spans="2:4" x14ac:dyDescent="0.35">
      <c r="B2227" s="9">
        <v>42039</v>
      </c>
      <c r="C2227" s="12">
        <v>71.3</v>
      </c>
      <c r="D2227" t="s">
        <v>5877</v>
      </c>
    </row>
    <row r="2228" spans="2:4" x14ac:dyDescent="0.35">
      <c r="B2228" s="9">
        <v>42040</v>
      </c>
      <c r="C2228" s="12">
        <v>89.5</v>
      </c>
      <c r="D2228" t="s">
        <v>5877</v>
      </c>
    </row>
    <row r="2229" spans="2:4" x14ac:dyDescent="0.35">
      <c r="B2229" s="9">
        <v>42041</v>
      </c>
      <c r="C2229" s="12">
        <v>89.8</v>
      </c>
      <c r="D2229" t="s">
        <v>5877</v>
      </c>
    </row>
    <row r="2230" spans="2:4" x14ac:dyDescent="0.35">
      <c r="B2230" s="9">
        <v>42042</v>
      </c>
      <c r="C2230" s="12">
        <v>109.3</v>
      </c>
      <c r="D2230" t="s">
        <v>5877</v>
      </c>
    </row>
    <row r="2231" spans="2:4" x14ac:dyDescent="0.35">
      <c r="B2231" s="9">
        <v>42043</v>
      </c>
      <c r="C2231" s="12">
        <v>115.6</v>
      </c>
      <c r="D2231" t="s">
        <v>5877</v>
      </c>
    </row>
    <row r="2232" spans="2:4" x14ac:dyDescent="0.35">
      <c r="B2232" s="9">
        <v>42044</v>
      </c>
      <c r="C2232" s="12">
        <v>109.8</v>
      </c>
      <c r="D2232" t="s">
        <v>5877</v>
      </c>
    </row>
    <row r="2233" spans="2:4" x14ac:dyDescent="0.35">
      <c r="B2233" s="9">
        <v>42045</v>
      </c>
      <c r="C2233" s="12">
        <v>81.8</v>
      </c>
      <c r="D2233" t="s">
        <v>5877</v>
      </c>
    </row>
    <row r="2234" spans="2:4" x14ac:dyDescent="0.35">
      <c r="B2234" s="9">
        <v>42046</v>
      </c>
      <c r="C2234" s="12">
        <v>78.8</v>
      </c>
      <c r="D2234" t="s">
        <v>5877</v>
      </c>
    </row>
    <row r="2235" spans="2:4" x14ac:dyDescent="0.35">
      <c r="B2235" s="9">
        <v>42047</v>
      </c>
      <c r="C2235" s="12">
        <v>69.3</v>
      </c>
      <c r="D2235" t="s">
        <v>5877</v>
      </c>
    </row>
    <row r="2236" spans="2:4" x14ac:dyDescent="0.35">
      <c r="B2236" s="9">
        <v>42048</v>
      </c>
      <c r="C2236" s="12">
        <v>59.6</v>
      </c>
      <c r="D2236" t="s">
        <v>5877</v>
      </c>
    </row>
    <row r="2237" spans="2:4" x14ac:dyDescent="0.35">
      <c r="B2237" s="9">
        <v>42049</v>
      </c>
      <c r="C2237" s="12">
        <v>112.8</v>
      </c>
      <c r="D2237" t="s">
        <v>5877</v>
      </c>
    </row>
    <row r="2238" spans="2:4" x14ac:dyDescent="0.35">
      <c r="B2238" s="9">
        <v>42050</v>
      </c>
      <c r="C2238" s="12">
        <v>105.8</v>
      </c>
      <c r="D2238" t="s">
        <v>5877</v>
      </c>
    </row>
    <row r="2239" spans="2:4" x14ac:dyDescent="0.35">
      <c r="B2239" s="9">
        <v>42051</v>
      </c>
      <c r="C2239" s="12">
        <v>76.900000000000006</v>
      </c>
      <c r="D2239" t="s">
        <v>5877</v>
      </c>
    </row>
    <row r="2240" spans="2:4" x14ac:dyDescent="0.35">
      <c r="B2240" s="9">
        <v>42052</v>
      </c>
      <c r="C2240" s="12">
        <v>63.5</v>
      </c>
      <c r="D2240" t="s">
        <v>5877</v>
      </c>
    </row>
    <row r="2241" spans="2:4" x14ac:dyDescent="0.35">
      <c r="B2241" s="9">
        <v>42053</v>
      </c>
      <c r="C2241" s="12">
        <v>88.5</v>
      </c>
      <c r="D2241" t="s">
        <v>5877</v>
      </c>
    </row>
    <row r="2242" spans="2:4" x14ac:dyDescent="0.35">
      <c r="B2242" s="9">
        <v>42054</v>
      </c>
      <c r="C2242" s="12">
        <v>74.099999999999994</v>
      </c>
      <c r="D2242" t="s">
        <v>5877</v>
      </c>
    </row>
    <row r="2243" spans="2:4" x14ac:dyDescent="0.35">
      <c r="B2243" s="9">
        <v>42055</v>
      </c>
      <c r="C2243" s="12">
        <v>79.099999999999994</v>
      </c>
      <c r="D2243" t="s">
        <v>5877</v>
      </c>
    </row>
    <row r="2244" spans="2:4" x14ac:dyDescent="0.35">
      <c r="B2244" s="9">
        <v>42056</v>
      </c>
      <c r="C2244" s="12">
        <v>122.5</v>
      </c>
      <c r="D2244" t="s">
        <v>5877</v>
      </c>
    </row>
    <row r="2245" spans="2:4" x14ac:dyDescent="0.35">
      <c r="B2245" s="9">
        <v>42057</v>
      </c>
      <c r="C2245" s="12">
        <v>140.1</v>
      </c>
      <c r="D2245" t="s">
        <v>5877</v>
      </c>
    </row>
    <row r="2246" spans="2:4" x14ac:dyDescent="0.35">
      <c r="B2246" s="9">
        <v>42058</v>
      </c>
      <c r="C2246" s="12">
        <v>118.1</v>
      </c>
      <c r="D2246" t="s">
        <v>5877</v>
      </c>
    </row>
    <row r="2247" spans="2:4" x14ac:dyDescent="0.35">
      <c r="B2247" s="9">
        <v>42059</v>
      </c>
      <c r="C2247" s="12">
        <v>136</v>
      </c>
      <c r="D2247" t="s">
        <v>5877</v>
      </c>
    </row>
    <row r="2248" spans="2:4" x14ac:dyDescent="0.35">
      <c r="B2248" s="9">
        <v>42060</v>
      </c>
      <c r="C2248" s="12">
        <v>133.4</v>
      </c>
      <c r="D2248" t="s">
        <v>5877</v>
      </c>
    </row>
    <row r="2249" spans="2:4" x14ac:dyDescent="0.35">
      <c r="B2249" s="9">
        <v>42061</v>
      </c>
      <c r="C2249" s="12">
        <v>95.1</v>
      </c>
      <c r="D2249" t="s">
        <v>5877</v>
      </c>
    </row>
    <row r="2250" spans="2:4" x14ac:dyDescent="0.35">
      <c r="B2250" s="9">
        <v>42062</v>
      </c>
      <c r="C2250" s="12">
        <v>76.7</v>
      </c>
      <c r="D2250" t="s">
        <v>5877</v>
      </c>
    </row>
    <row r="2251" spans="2:4" x14ac:dyDescent="0.35">
      <c r="B2251" s="9">
        <v>42063</v>
      </c>
      <c r="C2251" s="12">
        <v>102.4</v>
      </c>
      <c r="D2251" t="s">
        <v>5877</v>
      </c>
    </row>
    <row r="2252" spans="2:4" x14ac:dyDescent="0.35">
      <c r="B2252" s="9">
        <v>42064</v>
      </c>
      <c r="C2252" s="12">
        <v>102.3</v>
      </c>
      <c r="D2252" t="s">
        <v>5877</v>
      </c>
    </row>
    <row r="2253" spans="2:4" x14ac:dyDescent="0.35">
      <c r="B2253" s="9">
        <v>42065</v>
      </c>
      <c r="C2253" s="12">
        <v>106</v>
      </c>
      <c r="D2253" t="s">
        <v>5877</v>
      </c>
    </row>
    <row r="2254" spans="2:4" x14ac:dyDescent="0.35">
      <c r="B2254" s="9">
        <v>42066</v>
      </c>
      <c r="C2254" s="12">
        <v>133.9</v>
      </c>
      <c r="D2254" t="s">
        <v>5877</v>
      </c>
    </row>
    <row r="2255" spans="2:4" x14ac:dyDescent="0.35">
      <c r="B2255" s="9">
        <v>42067</v>
      </c>
      <c r="C2255" s="12">
        <v>110.9</v>
      </c>
      <c r="D2255" t="s">
        <v>5877</v>
      </c>
    </row>
    <row r="2256" spans="2:4" x14ac:dyDescent="0.35">
      <c r="B2256" s="9">
        <v>42068</v>
      </c>
      <c r="C2256" s="12">
        <v>158</v>
      </c>
      <c r="D2256" t="s">
        <v>5877</v>
      </c>
    </row>
    <row r="2257" spans="2:4" x14ac:dyDescent="0.35">
      <c r="B2257" s="9">
        <v>42069</v>
      </c>
      <c r="C2257" s="12">
        <v>128.69999999999999</v>
      </c>
      <c r="D2257" t="s">
        <v>5877</v>
      </c>
    </row>
    <row r="2258" spans="2:4" x14ac:dyDescent="0.35">
      <c r="B2258" s="9">
        <v>42070</v>
      </c>
      <c r="C2258" s="12">
        <v>140.1</v>
      </c>
      <c r="D2258" t="s">
        <v>5877</v>
      </c>
    </row>
    <row r="2259" spans="2:4" x14ac:dyDescent="0.35">
      <c r="B2259" s="9">
        <v>42071</v>
      </c>
      <c r="C2259" s="12">
        <v>149.9</v>
      </c>
      <c r="D2259" t="s">
        <v>5877</v>
      </c>
    </row>
    <row r="2260" spans="2:4" x14ac:dyDescent="0.35">
      <c r="B2260" s="9">
        <v>42072</v>
      </c>
      <c r="C2260" s="12">
        <v>134.19999999999999</v>
      </c>
      <c r="D2260" t="s">
        <v>5877</v>
      </c>
    </row>
    <row r="2261" spans="2:4" x14ac:dyDescent="0.35">
      <c r="B2261" s="9">
        <v>42073</v>
      </c>
      <c r="C2261" s="12">
        <v>181.3</v>
      </c>
      <c r="D2261" t="s">
        <v>5877</v>
      </c>
    </row>
    <row r="2262" spans="2:4" x14ac:dyDescent="0.35">
      <c r="B2262" s="9">
        <v>42074</v>
      </c>
      <c r="C2262" s="12">
        <v>185.5</v>
      </c>
      <c r="D2262" t="s">
        <v>5877</v>
      </c>
    </row>
    <row r="2263" spans="2:4" x14ac:dyDescent="0.35">
      <c r="B2263" s="9">
        <v>42075</v>
      </c>
      <c r="C2263" s="12">
        <v>125.5</v>
      </c>
      <c r="D2263" t="s">
        <v>5877</v>
      </c>
    </row>
    <row r="2264" spans="2:4" x14ac:dyDescent="0.35">
      <c r="B2264" s="9">
        <v>42076</v>
      </c>
      <c r="C2264" s="12">
        <v>92.6</v>
      </c>
      <c r="D2264" t="s">
        <v>5877</v>
      </c>
    </row>
    <row r="2265" spans="2:4" x14ac:dyDescent="0.35">
      <c r="B2265" s="9">
        <v>42077</v>
      </c>
      <c r="C2265" s="12">
        <v>87.9</v>
      </c>
      <c r="D2265" t="s">
        <v>5877</v>
      </c>
    </row>
    <row r="2266" spans="2:4" x14ac:dyDescent="0.35">
      <c r="B2266" s="9">
        <v>42078</v>
      </c>
      <c r="C2266" s="12">
        <v>141.9</v>
      </c>
      <c r="D2266" t="s">
        <v>5877</v>
      </c>
    </row>
    <row r="2267" spans="2:4" x14ac:dyDescent="0.35">
      <c r="B2267" s="9">
        <v>42079</v>
      </c>
      <c r="C2267" s="12">
        <v>114.3</v>
      </c>
      <c r="D2267" t="s">
        <v>5877</v>
      </c>
    </row>
    <row r="2268" spans="2:4" x14ac:dyDescent="0.35">
      <c r="B2268" s="9">
        <v>42080</v>
      </c>
      <c r="C2268" s="12">
        <v>87.4</v>
      </c>
      <c r="D2268" t="s">
        <v>5877</v>
      </c>
    </row>
    <row r="2269" spans="2:4" x14ac:dyDescent="0.35">
      <c r="B2269" s="9">
        <v>42081</v>
      </c>
      <c r="C2269" s="12">
        <v>77.8</v>
      </c>
      <c r="D2269" t="s">
        <v>5877</v>
      </c>
    </row>
    <row r="2270" spans="2:4" x14ac:dyDescent="0.35">
      <c r="B2270" s="9">
        <v>42082</v>
      </c>
      <c r="C2270" s="12">
        <v>158</v>
      </c>
      <c r="D2270" t="s">
        <v>5877</v>
      </c>
    </row>
    <row r="2271" spans="2:4" x14ac:dyDescent="0.35">
      <c r="B2271" s="9">
        <v>42083</v>
      </c>
      <c r="C2271" s="12">
        <v>194</v>
      </c>
      <c r="D2271" t="s">
        <v>5877</v>
      </c>
    </row>
    <row r="2272" spans="2:4" x14ac:dyDescent="0.35">
      <c r="B2272" s="9">
        <v>42084</v>
      </c>
      <c r="C2272" s="12">
        <v>196.1</v>
      </c>
      <c r="D2272" t="s">
        <v>5877</v>
      </c>
    </row>
    <row r="2273" spans="2:4" x14ac:dyDescent="0.35">
      <c r="B2273" s="9">
        <v>42085</v>
      </c>
      <c r="C2273" s="12">
        <v>205.1</v>
      </c>
      <c r="D2273" t="s">
        <v>5877</v>
      </c>
    </row>
    <row r="2274" spans="2:4" x14ac:dyDescent="0.35">
      <c r="B2274" s="9">
        <v>42086</v>
      </c>
      <c r="C2274" s="12">
        <v>194.6</v>
      </c>
      <c r="D2274" t="s">
        <v>5877</v>
      </c>
    </row>
    <row r="2275" spans="2:4" x14ac:dyDescent="0.35">
      <c r="B2275" s="9">
        <v>42087</v>
      </c>
      <c r="C2275" s="12">
        <v>194</v>
      </c>
      <c r="D2275" t="s">
        <v>5877</v>
      </c>
    </row>
    <row r="2276" spans="2:4" x14ac:dyDescent="0.35">
      <c r="B2276" s="9">
        <v>42088</v>
      </c>
      <c r="C2276" s="12">
        <v>154.5</v>
      </c>
      <c r="D2276" t="s">
        <v>5877</v>
      </c>
    </row>
    <row r="2277" spans="2:4" x14ac:dyDescent="0.35">
      <c r="B2277" s="9">
        <v>42089</v>
      </c>
      <c r="C2277" s="12">
        <v>111.9</v>
      </c>
      <c r="D2277" t="s">
        <v>5877</v>
      </c>
    </row>
    <row r="2278" spans="2:4" x14ac:dyDescent="0.35">
      <c r="B2278" s="9">
        <v>42090</v>
      </c>
      <c r="C2278" s="12">
        <v>147.19999999999999</v>
      </c>
      <c r="D2278" t="s">
        <v>5877</v>
      </c>
    </row>
    <row r="2279" spans="2:4" x14ac:dyDescent="0.35">
      <c r="B2279" s="9">
        <v>42091</v>
      </c>
      <c r="C2279" s="12">
        <v>173</v>
      </c>
      <c r="D2279" t="s">
        <v>5877</v>
      </c>
    </row>
    <row r="2280" spans="2:4" x14ac:dyDescent="0.35">
      <c r="B2280" s="9">
        <v>42092</v>
      </c>
      <c r="C2280" s="12">
        <v>199.3</v>
      </c>
      <c r="D2280" t="s">
        <v>5877</v>
      </c>
    </row>
    <row r="2281" spans="2:4" x14ac:dyDescent="0.35">
      <c r="B2281" s="9">
        <v>42093</v>
      </c>
      <c r="C2281" s="12">
        <v>150.80000000000001</v>
      </c>
      <c r="D2281" t="s">
        <v>5877</v>
      </c>
    </row>
    <row r="2282" spans="2:4" x14ac:dyDescent="0.35">
      <c r="B2282" s="9">
        <v>42094</v>
      </c>
      <c r="C2282" s="12">
        <v>131.4</v>
      </c>
      <c r="D2282" t="s">
        <v>5877</v>
      </c>
    </row>
    <row r="2283" spans="2:4" x14ac:dyDescent="0.35">
      <c r="B2283" s="9">
        <v>42095</v>
      </c>
      <c r="C2283" s="12">
        <v>106.1</v>
      </c>
      <c r="D2283" t="s">
        <v>5877</v>
      </c>
    </row>
    <row r="2284" spans="2:4" x14ac:dyDescent="0.35">
      <c r="B2284" s="9">
        <v>42096</v>
      </c>
      <c r="C2284" s="12">
        <v>119.4</v>
      </c>
      <c r="D2284" t="s">
        <v>5877</v>
      </c>
    </row>
    <row r="2285" spans="2:4" x14ac:dyDescent="0.35">
      <c r="B2285" s="9">
        <v>42097</v>
      </c>
      <c r="C2285" s="12">
        <v>121.9</v>
      </c>
      <c r="D2285" t="s">
        <v>5877</v>
      </c>
    </row>
    <row r="2286" spans="2:4" x14ac:dyDescent="0.35">
      <c r="B2286" s="9">
        <v>42098</v>
      </c>
      <c r="C2286" s="12">
        <v>110.4</v>
      </c>
      <c r="D2286" t="s">
        <v>5877</v>
      </c>
    </row>
    <row r="2287" spans="2:4" x14ac:dyDescent="0.35">
      <c r="B2287" s="9">
        <v>42099</v>
      </c>
      <c r="C2287" s="12">
        <v>124.2</v>
      </c>
      <c r="D2287" t="s">
        <v>5877</v>
      </c>
    </row>
    <row r="2288" spans="2:4" x14ac:dyDescent="0.35">
      <c r="B2288" s="9">
        <v>42100</v>
      </c>
      <c r="C2288" s="12">
        <v>95.1</v>
      </c>
      <c r="D2288" t="s">
        <v>5877</v>
      </c>
    </row>
    <row r="2289" spans="2:4" x14ac:dyDescent="0.35">
      <c r="B2289" s="9">
        <v>42101</v>
      </c>
      <c r="C2289" s="12">
        <v>81.900000000000006</v>
      </c>
      <c r="D2289" t="s">
        <v>5877</v>
      </c>
    </row>
    <row r="2290" spans="2:4" x14ac:dyDescent="0.35">
      <c r="B2290" s="9">
        <v>42102</v>
      </c>
      <c r="C2290" s="12">
        <v>120.6</v>
      </c>
      <c r="D2290" t="s">
        <v>5877</v>
      </c>
    </row>
    <row r="2291" spans="2:4" x14ac:dyDescent="0.35">
      <c r="B2291" s="9">
        <v>42103</v>
      </c>
      <c r="C2291" s="12">
        <v>100.7</v>
      </c>
      <c r="D2291" t="s">
        <v>5877</v>
      </c>
    </row>
    <row r="2292" spans="2:4" x14ac:dyDescent="0.35">
      <c r="B2292" s="9">
        <v>42104</v>
      </c>
      <c r="C2292" s="12">
        <v>127.2</v>
      </c>
      <c r="D2292" t="s">
        <v>5877</v>
      </c>
    </row>
    <row r="2293" spans="2:4" x14ac:dyDescent="0.35">
      <c r="B2293" s="9">
        <v>42105</v>
      </c>
      <c r="C2293" s="12">
        <v>140.4</v>
      </c>
      <c r="D2293" t="s">
        <v>5877</v>
      </c>
    </row>
    <row r="2294" spans="2:4" x14ac:dyDescent="0.35">
      <c r="B2294" s="9">
        <v>42106</v>
      </c>
      <c r="C2294" s="12">
        <v>107.2</v>
      </c>
      <c r="D2294" t="s">
        <v>5877</v>
      </c>
    </row>
    <row r="2295" spans="2:4" x14ac:dyDescent="0.35">
      <c r="B2295" s="9">
        <v>42107</v>
      </c>
      <c r="C2295" s="12">
        <v>142.4</v>
      </c>
      <c r="D2295" t="s">
        <v>5877</v>
      </c>
    </row>
    <row r="2296" spans="2:4" x14ac:dyDescent="0.35">
      <c r="B2296" s="9">
        <v>42108</v>
      </c>
      <c r="C2296" s="12">
        <v>112.7</v>
      </c>
      <c r="D2296" t="s">
        <v>5877</v>
      </c>
    </row>
    <row r="2297" spans="2:4" x14ac:dyDescent="0.35">
      <c r="B2297" s="9">
        <v>42109</v>
      </c>
      <c r="C2297" s="12">
        <v>125.6</v>
      </c>
      <c r="D2297" t="s">
        <v>5877</v>
      </c>
    </row>
    <row r="2298" spans="2:4" x14ac:dyDescent="0.35">
      <c r="B2298" s="9">
        <v>42110</v>
      </c>
      <c r="C2298" s="12">
        <v>113.2</v>
      </c>
      <c r="D2298" t="s">
        <v>5877</v>
      </c>
    </row>
    <row r="2299" spans="2:4" x14ac:dyDescent="0.35">
      <c r="B2299" s="9">
        <v>42111</v>
      </c>
      <c r="C2299" s="12">
        <v>121.3</v>
      </c>
      <c r="D2299" t="s">
        <v>5877</v>
      </c>
    </row>
    <row r="2300" spans="2:4" x14ac:dyDescent="0.35">
      <c r="B2300" s="9">
        <v>42112</v>
      </c>
      <c r="C2300" s="12">
        <v>152.30000000000001</v>
      </c>
      <c r="D2300" t="s">
        <v>5877</v>
      </c>
    </row>
    <row r="2301" spans="2:4" x14ac:dyDescent="0.35">
      <c r="B2301" s="9">
        <v>42113</v>
      </c>
      <c r="C2301" s="12">
        <v>111.5</v>
      </c>
      <c r="D2301" t="s">
        <v>5877</v>
      </c>
    </row>
    <row r="2302" spans="2:4" x14ac:dyDescent="0.35">
      <c r="B2302" s="9">
        <v>42114</v>
      </c>
      <c r="C2302" s="12">
        <v>89.8</v>
      </c>
      <c r="D2302" t="s">
        <v>5877</v>
      </c>
    </row>
    <row r="2303" spans="2:4" x14ac:dyDescent="0.35">
      <c r="B2303" s="9">
        <v>42115</v>
      </c>
      <c r="C2303" s="12">
        <v>118.5</v>
      </c>
      <c r="D2303" t="s">
        <v>5877</v>
      </c>
    </row>
    <row r="2304" spans="2:4" x14ac:dyDescent="0.35">
      <c r="B2304" s="9">
        <v>42116</v>
      </c>
      <c r="C2304" s="12">
        <v>98.8</v>
      </c>
      <c r="D2304" t="s">
        <v>5877</v>
      </c>
    </row>
    <row r="2305" spans="2:4" x14ac:dyDescent="0.35">
      <c r="B2305" s="9">
        <v>42117</v>
      </c>
      <c r="C2305" s="12">
        <v>84.5</v>
      </c>
      <c r="D2305" t="s">
        <v>5877</v>
      </c>
    </row>
    <row r="2306" spans="2:4" x14ac:dyDescent="0.35">
      <c r="B2306" s="9">
        <v>42118</v>
      </c>
      <c r="C2306" s="12">
        <v>101</v>
      </c>
      <c r="D2306" t="s">
        <v>5877</v>
      </c>
    </row>
    <row r="2307" spans="2:4" x14ac:dyDescent="0.35">
      <c r="B2307" s="9">
        <v>42119</v>
      </c>
      <c r="C2307" s="12">
        <v>109.8</v>
      </c>
      <c r="D2307" t="s">
        <v>5877</v>
      </c>
    </row>
    <row r="2308" spans="2:4" x14ac:dyDescent="0.35">
      <c r="B2308" s="9">
        <v>42120</v>
      </c>
      <c r="C2308" s="12">
        <v>159.69999999999999</v>
      </c>
      <c r="D2308" t="s">
        <v>5877</v>
      </c>
    </row>
    <row r="2309" spans="2:4" x14ac:dyDescent="0.35">
      <c r="B2309" s="9">
        <v>42121</v>
      </c>
      <c r="C2309" s="12">
        <v>162.4</v>
      </c>
      <c r="D2309" t="s">
        <v>5877</v>
      </c>
    </row>
    <row r="2310" spans="2:4" x14ac:dyDescent="0.35">
      <c r="B2310" s="9">
        <v>42122</v>
      </c>
      <c r="C2310" s="12">
        <v>127.6</v>
      </c>
      <c r="D2310" t="s">
        <v>5877</v>
      </c>
    </row>
    <row r="2311" spans="2:4" x14ac:dyDescent="0.35">
      <c r="B2311" s="9">
        <v>42123</v>
      </c>
      <c r="C2311" s="12">
        <v>97.5</v>
      </c>
      <c r="D2311" t="s">
        <v>5877</v>
      </c>
    </row>
    <row r="2312" spans="2:4" x14ac:dyDescent="0.35">
      <c r="B2312" s="9">
        <v>42124</v>
      </c>
      <c r="C2312" s="12">
        <v>122.1</v>
      </c>
      <c r="D2312" t="s">
        <v>5877</v>
      </c>
    </row>
    <row r="2313" spans="2:4" x14ac:dyDescent="0.35">
      <c r="B2313" s="9">
        <v>42125</v>
      </c>
      <c r="C2313" s="12">
        <v>134.30000000000001</v>
      </c>
      <c r="D2313" t="s">
        <v>5877</v>
      </c>
    </row>
    <row r="2314" spans="2:4" x14ac:dyDescent="0.35">
      <c r="B2314" s="9">
        <v>42126</v>
      </c>
      <c r="C2314" s="12">
        <v>107.7</v>
      </c>
      <c r="D2314" t="s">
        <v>5877</v>
      </c>
    </row>
    <row r="2315" spans="2:4" x14ac:dyDescent="0.35">
      <c r="B2315" s="9">
        <v>42127</v>
      </c>
      <c r="C2315" s="12">
        <v>85.4</v>
      </c>
      <c r="D2315" t="s">
        <v>5877</v>
      </c>
    </row>
    <row r="2316" spans="2:4" x14ac:dyDescent="0.35">
      <c r="B2316" s="9">
        <v>42128</v>
      </c>
      <c r="C2316" s="12">
        <v>72.3</v>
      </c>
      <c r="D2316" t="s">
        <v>5877</v>
      </c>
    </row>
    <row r="2317" spans="2:4" x14ac:dyDescent="0.35">
      <c r="B2317" s="9">
        <v>42129</v>
      </c>
      <c r="C2317" s="12">
        <v>89.3</v>
      </c>
      <c r="D2317" t="s">
        <v>5877</v>
      </c>
    </row>
    <row r="2318" spans="2:4" x14ac:dyDescent="0.35">
      <c r="B2318" s="9">
        <v>42130</v>
      </c>
      <c r="C2318" s="12">
        <v>75.7</v>
      </c>
      <c r="D2318" t="s">
        <v>5877</v>
      </c>
    </row>
    <row r="2319" spans="2:4" x14ac:dyDescent="0.35">
      <c r="B2319" s="9">
        <v>42131</v>
      </c>
      <c r="C2319" s="12">
        <v>99.8</v>
      </c>
      <c r="D2319" t="s">
        <v>5877</v>
      </c>
    </row>
    <row r="2320" spans="2:4" x14ac:dyDescent="0.35">
      <c r="B2320" s="9">
        <v>42132</v>
      </c>
      <c r="C2320" s="12">
        <v>167.6</v>
      </c>
      <c r="D2320" t="s">
        <v>5877</v>
      </c>
    </row>
    <row r="2321" spans="2:4" x14ac:dyDescent="0.35">
      <c r="B2321" s="9">
        <v>42133</v>
      </c>
      <c r="C2321" s="12">
        <v>151.69999999999999</v>
      </c>
      <c r="D2321" t="s">
        <v>5877</v>
      </c>
    </row>
    <row r="2322" spans="2:4" x14ac:dyDescent="0.35">
      <c r="B2322" s="9">
        <v>42134</v>
      </c>
      <c r="C2322" s="12">
        <v>122.3</v>
      </c>
      <c r="D2322" t="s">
        <v>5877</v>
      </c>
    </row>
    <row r="2323" spans="2:4" x14ac:dyDescent="0.35">
      <c r="B2323" s="9">
        <v>42135</v>
      </c>
      <c r="C2323" s="12">
        <v>93.8</v>
      </c>
      <c r="D2323" t="s">
        <v>5877</v>
      </c>
    </row>
    <row r="2324" spans="2:4" x14ac:dyDescent="0.35">
      <c r="B2324" s="9">
        <v>42136</v>
      </c>
      <c r="C2324" s="12">
        <v>107.9</v>
      </c>
      <c r="D2324" t="s">
        <v>5877</v>
      </c>
    </row>
    <row r="2325" spans="2:4" x14ac:dyDescent="0.35">
      <c r="B2325" s="9">
        <v>42137</v>
      </c>
      <c r="C2325" s="12">
        <v>92.9</v>
      </c>
      <c r="D2325" t="s">
        <v>5877</v>
      </c>
    </row>
    <row r="2326" spans="2:4" x14ac:dyDescent="0.35">
      <c r="B2326" s="9">
        <v>42138</v>
      </c>
      <c r="C2326" s="12">
        <v>112.4</v>
      </c>
      <c r="D2326" t="s">
        <v>5877</v>
      </c>
    </row>
    <row r="2327" spans="2:4" x14ac:dyDescent="0.35">
      <c r="B2327" s="9">
        <v>42139</v>
      </c>
      <c r="C2327" s="12">
        <v>127.9</v>
      </c>
      <c r="D2327" t="s">
        <v>5877</v>
      </c>
    </row>
    <row r="2328" spans="2:4" x14ac:dyDescent="0.35">
      <c r="B2328" s="9">
        <v>42140</v>
      </c>
      <c r="C2328" s="12">
        <v>133.4</v>
      </c>
      <c r="D2328" t="s">
        <v>5877</v>
      </c>
    </row>
    <row r="2329" spans="2:4" x14ac:dyDescent="0.35">
      <c r="B2329" s="9">
        <v>42141</v>
      </c>
      <c r="C2329" s="12">
        <v>132.30000000000001</v>
      </c>
      <c r="D2329" t="s">
        <v>5877</v>
      </c>
    </row>
    <row r="2330" spans="2:4" x14ac:dyDescent="0.35">
      <c r="B2330" s="9">
        <v>42142</v>
      </c>
      <c r="C2330" s="12">
        <v>155.5</v>
      </c>
      <c r="D2330" t="s">
        <v>5877</v>
      </c>
    </row>
    <row r="2331" spans="2:4" x14ac:dyDescent="0.35">
      <c r="B2331" s="9">
        <v>42143</v>
      </c>
      <c r="C2331" s="12">
        <v>121.6</v>
      </c>
      <c r="D2331" t="s">
        <v>5877</v>
      </c>
    </row>
    <row r="2332" spans="2:4" x14ac:dyDescent="0.35">
      <c r="B2332" s="9">
        <v>42144</v>
      </c>
      <c r="C2332" s="12">
        <v>86.7</v>
      </c>
      <c r="D2332" t="s">
        <v>5877</v>
      </c>
    </row>
    <row r="2333" spans="2:4" x14ac:dyDescent="0.35">
      <c r="B2333" s="9">
        <v>42145</v>
      </c>
      <c r="C2333" s="12">
        <v>66.8</v>
      </c>
      <c r="D2333" t="s">
        <v>5877</v>
      </c>
    </row>
    <row r="2334" spans="2:4" x14ac:dyDescent="0.35">
      <c r="B2334" s="9">
        <v>42146</v>
      </c>
      <c r="C2334" s="12">
        <v>54.5</v>
      </c>
      <c r="D2334" t="s">
        <v>5877</v>
      </c>
    </row>
    <row r="2335" spans="2:4" x14ac:dyDescent="0.35">
      <c r="B2335" s="9">
        <v>42147</v>
      </c>
      <c r="C2335" s="12">
        <v>46.3</v>
      </c>
      <c r="D2335" t="s">
        <v>5877</v>
      </c>
    </row>
    <row r="2336" spans="2:4" x14ac:dyDescent="0.35">
      <c r="B2336" s="9">
        <v>42148</v>
      </c>
      <c r="C2336" s="12">
        <v>40.200000000000003</v>
      </c>
      <c r="D2336" t="s">
        <v>5877</v>
      </c>
    </row>
    <row r="2337" spans="2:4" x14ac:dyDescent="0.35">
      <c r="B2337" s="9">
        <v>42149</v>
      </c>
      <c r="C2337" s="12">
        <v>35.5</v>
      </c>
      <c r="D2337" t="s">
        <v>5877</v>
      </c>
    </row>
    <row r="2338" spans="2:4" x14ac:dyDescent="0.35">
      <c r="B2338" s="9">
        <v>42150</v>
      </c>
      <c r="C2338" s="12">
        <v>31.5</v>
      </c>
      <c r="D2338" t="s">
        <v>5877</v>
      </c>
    </row>
    <row r="2339" spans="2:4" x14ac:dyDescent="0.35">
      <c r="B2339" s="9">
        <v>42151</v>
      </c>
      <c r="C2339" s="12">
        <v>29.4</v>
      </c>
      <c r="D2339" t="s">
        <v>5877</v>
      </c>
    </row>
    <row r="2340" spans="2:4" x14ac:dyDescent="0.35">
      <c r="B2340" s="9">
        <v>42152</v>
      </c>
      <c r="C2340" s="12">
        <v>32.200000000000003</v>
      </c>
      <c r="D2340" t="s">
        <v>5877</v>
      </c>
    </row>
    <row r="2341" spans="2:4" x14ac:dyDescent="0.35">
      <c r="B2341" s="9">
        <v>42153</v>
      </c>
      <c r="C2341" s="12">
        <v>27.9</v>
      </c>
      <c r="D2341" t="s">
        <v>5877</v>
      </c>
    </row>
    <row r="2342" spans="2:4" x14ac:dyDescent="0.35">
      <c r="B2342" s="9">
        <v>42154</v>
      </c>
      <c r="C2342" s="12">
        <v>24.3</v>
      </c>
      <c r="D2342" t="s">
        <v>5877</v>
      </c>
    </row>
    <row r="2343" spans="2:4" x14ac:dyDescent="0.35">
      <c r="B2343" s="9">
        <v>42155</v>
      </c>
      <c r="C2343" s="12">
        <v>20.6</v>
      </c>
      <c r="D2343" t="s">
        <v>5877</v>
      </c>
    </row>
    <row r="2344" spans="2:4" x14ac:dyDescent="0.35">
      <c r="B2344" s="9">
        <v>42156</v>
      </c>
      <c r="C2344" s="12">
        <v>17.7</v>
      </c>
      <c r="D2344" t="s">
        <v>5877</v>
      </c>
    </row>
    <row r="2345" spans="2:4" x14ac:dyDescent="0.35">
      <c r="B2345" s="9">
        <v>42157</v>
      </c>
      <c r="C2345" s="12">
        <v>15.7</v>
      </c>
      <c r="D2345" t="s">
        <v>5877</v>
      </c>
    </row>
    <row r="2346" spans="2:4" x14ac:dyDescent="0.35">
      <c r="B2346" s="9">
        <v>42158</v>
      </c>
      <c r="C2346" s="12">
        <v>19.100000000000001</v>
      </c>
      <c r="D2346" t="s">
        <v>5877</v>
      </c>
    </row>
    <row r="2347" spans="2:4" x14ac:dyDescent="0.35">
      <c r="B2347" s="9">
        <v>42159</v>
      </c>
      <c r="C2347" s="12">
        <v>19.600000000000001</v>
      </c>
      <c r="D2347" t="s">
        <v>5877</v>
      </c>
    </row>
    <row r="2348" spans="2:4" x14ac:dyDescent="0.35">
      <c r="B2348" s="9">
        <v>42160</v>
      </c>
      <c r="C2348" s="12">
        <v>43.9</v>
      </c>
      <c r="D2348" t="s">
        <v>5877</v>
      </c>
    </row>
    <row r="2349" spans="2:4" x14ac:dyDescent="0.35">
      <c r="B2349" s="9">
        <v>42161</v>
      </c>
      <c r="C2349" s="12">
        <v>50.4</v>
      </c>
      <c r="D2349" t="s">
        <v>5877</v>
      </c>
    </row>
    <row r="2350" spans="2:4" x14ac:dyDescent="0.35">
      <c r="B2350" s="9">
        <v>42162</v>
      </c>
      <c r="C2350" s="12">
        <v>37.299999999999997</v>
      </c>
      <c r="D2350" t="s">
        <v>5877</v>
      </c>
    </row>
    <row r="2351" spans="2:4" x14ac:dyDescent="0.35">
      <c r="B2351" s="9">
        <v>42163</v>
      </c>
      <c r="C2351" s="12">
        <v>29.1</v>
      </c>
      <c r="D2351" t="s">
        <v>5877</v>
      </c>
    </row>
    <row r="2352" spans="2:4" x14ac:dyDescent="0.35">
      <c r="B2352" s="9">
        <v>42164</v>
      </c>
      <c r="C2352" s="12">
        <v>41.1</v>
      </c>
      <c r="D2352" t="s">
        <v>5877</v>
      </c>
    </row>
    <row r="2353" spans="2:4" x14ac:dyDescent="0.35">
      <c r="B2353" s="9">
        <v>42165</v>
      </c>
      <c r="C2353" s="12">
        <v>42.4</v>
      </c>
      <c r="D2353" t="s">
        <v>5877</v>
      </c>
    </row>
    <row r="2354" spans="2:4" x14ac:dyDescent="0.35">
      <c r="B2354" s="9">
        <v>42166</v>
      </c>
      <c r="C2354" s="12">
        <v>31.7</v>
      </c>
      <c r="D2354" t="s">
        <v>5877</v>
      </c>
    </row>
    <row r="2355" spans="2:4" x14ac:dyDescent="0.35">
      <c r="B2355" s="9">
        <v>42167</v>
      </c>
      <c r="C2355" s="12">
        <v>24.7</v>
      </c>
      <c r="D2355" t="s">
        <v>5877</v>
      </c>
    </row>
    <row r="2356" spans="2:4" x14ac:dyDescent="0.35">
      <c r="B2356" s="9">
        <v>42168</v>
      </c>
      <c r="C2356" s="12">
        <v>20.399999999999999</v>
      </c>
      <c r="D2356" t="s">
        <v>5877</v>
      </c>
    </row>
    <row r="2357" spans="2:4" x14ac:dyDescent="0.35">
      <c r="B2357" s="9">
        <v>42169</v>
      </c>
      <c r="C2357" s="12">
        <v>17.399999999999999</v>
      </c>
      <c r="D2357" t="s">
        <v>5877</v>
      </c>
    </row>
    <row r="2358" spans="2:4" x14ac:dyDescent="0.35">
      <c r="B2358" s="9">
        <v>42170</v>
      </c>
      <c r="C2358" s="12">
        <v>15.2</v>
      </c>
      <c r="D2358" t="s">
        <v>5877</v>
      </c>
    </row>
    <row r="2359" spans="2:4" x14ac:dyDescent="0.35">
      <c r="B2359" s="9">
        <v>42171</v>
      </c>
      <c r="C2359" s="12">
        <v>13.4</v>
      </c>
      <c r="D2359" t="s">
        <v>5877</v>
      </c>
    </row>
    <row r="2360" spans="2:4" x14ac:dyDescent="0.35">
      <c r="B2360" s="9">
        <v>42172</v>
      </c>
      <c r="C2360" s="12">
        <v>12.5</v>
      </c>
      <c r="D2360" t="s">
        <v>5877</v>
      </c>
    </row>
    <row r="2361" spans="2:4" x14ac:dyDescent="0.35">
      <c r="B2361" s="9">
        <v>42173</v>
      </c>
      <c r="C2361" s="12">
        <v>11.1</v>
      </c>
      <c r="D2361" t="s">
        <v>5877</v>
      </c>
    </row>
    <row r="2362" spans="2:4" x14ac:dyDescent="0.35">
      <c r="B2362" s="9">
        <v>42174</v>
      </c>
      <c r="C2362" s="12">
        <v>9.8000000000000007</v>
      </c>
      <c r="D2362" t="s">
        <v>5877</v>
      </c>
    </row>
    <row r="2363" spans="2:4" x14ac:dyDescent="0.35">
      <c r="B2363" s="9">
        <v>42175</v>
      </c>
      <c r="C2363" s="12">
        <v>8.6999999999999993</v>
      </c>
      <c r="D2363" t="s">
        <v>5877</v>
      </c>
    </row>
    <row r="2364" spans="2:4" x14ac:dyDescent="0.35">
      <c r="B2364" s="9">
        <v>42176</v>
      </c>
      <c r="C2364" s="12">
        <v>7.8</v>
      </c>
      <c r="D2364" t="s">
        <v>5877</v>
      </c>
    </row>
    <row r="2365" spans="2:4" x14ac:dyDescent="0.35">
      <c r="B2365" s="9">
        <v>42177</v>
      </c>
      <c r="C2365" s="12">
        <v>6.9</v>
      </c>
      <c r="D2365" t="s">
        <v>5877</v>
      </c>
    </row>
    <row r="2366" spans="2:4" x14ac:dyDescent="0.35">
      <c r="B2366" s="9">
        <v>42178</v>
      </c>
      <c r="C2366" s="12">
        <v>6.2</v>
      </c>
      <c r="D2366" t="s">
        <v>5877</v>
      </c>
    </row>
    <row r="2367" spans="2:4" x14ac:dyDescent="0.35">
      <c r="B2367" s="9">
        <v>42179</v>
      </c>
      <c r="C2367" s="12">
        <v>5.6</v>
      </c>
      <c r="D2367" t="s">
        <v>5877</v>
      </c>
    </row>
    <row r="2368" spans="2:4" x14ac:dyDescent="0.35">
      <c r="B2368" s="9">
        <v>42180</v>
      </c>
      <c r="C2368" s="12">
        <v>5</v>
      </c>
      <c r="D2368" t="s">
        <v>5877</v>
      </c>
    </row>
    <row r="2369" spans="2:4" x14ac:dyDescent="0.35">
      <c r="B2369" s="9">
        <v>42181</v>
      </c>
      <c r="C2369" s="12">
        <v>4.5999999999999996</v>
      </c>
      <c r="D2369" t="s">
        <v>5877</v>
      </c>
    </row>
    <row r="2370" spans="2:4" x14ac:dyDescent="0.35">
      <c r="B2370" s="9">
        <v>42182</v>
      </c>
      <c r="C2370" s="12">
        <v>5.4</v>
      </c>
      <c r="D2370" t="s">
        <v>5877</v>
      </c>
    </row>
    <row r="2371" spans="2:4" x14ac:dyDescent="0.35">
      <c r="B2371" s="9">
        <v>42183</v>
      </c>
      <c r="C2371" s="12">
        <v>4.5999999999999996</v>
      </c>
      <c r="D2371" t="s">
        <v>5877</v>
      </c>
    </row>
    <row r="2372" spans="2:4" x14ac:dyDescent="0.35">
      <c r="B2372" s="9">
        <v>42184</v>
      </c>
      <c r="C2372" s="12">
        <v>3.8</v>
      </c>
      <c r="D2372" t="s">
        <v>5877</v>
      </c>
    </row>
    <row r="2373" spans="2:4" x14ac:dyDescent="0.35">
      <c r="B2373" s="9">
        <v>42185</v>
      </c>
      <c r="C2373" s="12">
        <v>3.3</v>
      </c>
      <c r="D2373" t="s">
        <v>5877</v>
      </c>
    </row>
    <row r="2374" spans="2:4" x14ac:dyDescent="0.35">
      <c r="B2374" s="9">
        <v>42186</v>
      </c>
      <c r="C2374" s="12">
        <v>2.8</v>
      </c>
      <c r="D2374" t="s">
        <v>5877</v>
      </c>
    </row>
    <row r="2375" spans="2:4" x14ac:dyDescent="0.35">
      <c r="B2375" s="9">
        <v>42187</v>
      </c>
      <c r="C2375" s="12">
        <v>2.5</v>
      </c>
      <c r="D2375" t="s">
        <v>5877</v>
      </c>
    </row>
    <row r="2376" spans="2:4" x14ac:dyDescent="0.35">
      <c r="B2376" s="9">
        <v>42188</v>
      </c>
      <c r="C2376" s="12">
        <v>2.2000000000000002</v>
      </c>
      <c r="D2376" t="s">
        <v>5877</v>
      </c>
    </row>
    <row r="2377" spans="2:4" x14ac:dyDescent="0.35">
      <c r="B2377" s="9">
        <v>42189</v>
      </c>
      <c r="C2377" s="12">
        <v>2</v>
      </c>
      <c r="D2377" t="s">
        <v>5877</v>
      </c>
    </row>
    <row r="2378" spans="2:4" x14ac:dyDescent="0.35">
      <c r="B2378" s="9">
        <v>42190</v>
      </c>
      <c r="C2378" s="12">
        <v>1.8</v>
      </c>
      <c r="D2378" t="s">
        <v>5877</v>
      </c>
    </row>
    <row r="2379" spans="2:4" x14ac:dyDescent="0.35">
      <c r="B2379" s="9">
        <v>42191</v>
      </c>
      <c r="C2379" s="12">
        <v>1.6</v>
      </c>
      <c r="D2379" t="s">
        <v>5877</v>
      </c>
    </row>
    <row r="2380" spans="2:4" x14ac:dyDescent="0.35">
      <c r="B2380" s="9">
        <v>42192</v>
      </c>
      <c r="C2380" s="12">
        <v>1.4</v>
      </c>
      <c r="D2380" t="s">
        <v>5877</v>
      </c>
    </row>
    <row r="2381" spans="2:4" x14ac:dyDescent="0.35">
      <c r="B2381" s="9">
        <v>42193</v>
      </c>
      <c r="C2381" s="12">
        <v>1.3</v>
      </c>
      <c r="D2381" t="s">
        <v>5877</v>
      </c>
    </row>
    <row r="2382" spans="2:4" x14ac:dyDescent="0.35">
      <c r="B2382" s="9">
        <v>42194</v>
      </c>
      <c r="C2382" s="12">
        <v>1.2</v>
      </c>
      <c r="D2382" t="s">
        <v>5877</v>
      </c>
    </row>
    <row r="2383" spans="2:4" x14ac:dyDescent="0.35">
      <c r="B2383" s="9">
        <v>42195</v>
      </c>
      <c r="C2383" s="12">
        <v>1</v>
      </c>
      <c r="D2383" t="s">
        <v>5877</v>
      </c>
    </row>
    <row r="2384" spans="2:4" x14ac:dyDescent="0.35">
      <c r="B2384" s="9">
        <v>42196</v>
      </c>
      <c r="C2384" s="12">
        <v>0.9</v>
      </c>
      <c r="D2384" t="s">
        <v>5877</v>
      </c>
    </row>
    <row r="2385" spans="2:4" x14ac:dyDescent="0.35">
      <c r="B2385" s="9">
        <v>42197</v>
      </c>
      <c r="C2385" s="12">
        <v>0.8</v>
      </c>
      <c r="D2385" t="s">
        <v>5877</v>
      </c>
    </row>
    <row r="2386" spans="2:4" x14ac:dyDescent="0.35">
      <c r="B2386" s="9">
        <v>42198</v>
      </c>
      <c r="C2386" s="12">
        <v>0.8</v>
      </c>
      <c r="D2386" t="s">
        <v>5877</v>
      </c>
    </row>
    <row r="2387" spans="2:4" x14ac:dyDescent="0.35">
      <c r="B2387" s="9">
        <v>42199</v>
      </c>
      <c r="C2387" s="12">
        <v>0.7</v>
      </c>
      <c r="D2387" t="s">
        <v>5877</v>
      </c>
    </row>
    <row r="2388" spans="2:4" x14ac:dyDescent="0.35">
      <c r="B2388" s="9">
        <v>42200</v>
      </c>
      <c r="C2388" s="12">
        <v>0.6</v>
      </c>
      <c r="D2388" t="s">
        <v>5877</v>
      </c>
    </row>
    <row r="2389" spans="2:4" x14ac:dyDescent="0.35">
      <c r="B2389" s="9">
        <v>42201</v>
      </c>
      <c r="C2389" s="12">
        <v>0.5</v>
      </c>
      <c r="D2389" t="s">
        <v>5877</v>
      </c>
    </row>
    <row r="2390" spans="2:4" x14ac:dyDescent="0.35">
      <c r="B2390" s="9">
        <v>42202</v>
      </c>
      <c r="C2390" s="12">
        <v>0.6</v>
      </c>
      <c r="D2390" t="s">
        <v>5877</v>
      </c>
    </row>
    <row r="2391" spans="2:4" x14ac:dyDescent="0.35">
      <c r="B2391" s="9">
        <v>42203</v>
      </c>
      <c r="C2391" s="12">
        <v>1.5</v>
      </c>
      <c r="D2391" t="s">
        <v>5877</v>
      </c>
    </row>
    <row r="2392" spans="2:4" x14ac:dyDescent="0.35">
      <c r="B2392" s="9">
        <v>42204</v>
      </c>
      <c r="C2392" s="12">
        <v>3.8</v>
      </c>
      <c r="D2392" t="s">
        <v>5877</v>
      </c>
    </row>
    <row r="2393" spans="2:4" x14ac:dyDescent="0.35">
      <c r="B2393" s="9">
        <v>42205</v>
      </c>
      <c r="C2393" s="12">
        <v>6.5</v>
      </c>
      <c r="D2393" t="s">
        <v>5877</v>
      </c>
    </row>
    <row r="2394" spans="2:4" x14ac:dyDescent="0.35">
      <c r="B2394" s="9">
        <v>42206</v>
      </c>
      <c r="C2394" s="12">
        <v>4.8</v>
      </c>
      <c r="D2394" t="s">
        <v>5877</v>
      </c>
    </row>
    <row r="2395" spans="2:4" x14ac:dyDescent="0.35">
      <c r="B2395" s="9">
        <v>42207</v>
      </c>
      <c r="C2395" s="12">
        <v>3.8</v>
      </c>
      <c r="D2395" t="s">
        <v>5877</v>
      </c>
    </row>
    <row r="2396" spans="2:4" x14ac:dyDescent="0.35">
      <c r="B2396" s="9">
        <v>42208</v>
      </c>
      <c r="C2396" s="12">
        <v>5.8</v>
      </c>
      <c r="D2396" t="s">
        <v>5877</v>
      </c>
    </row>
    <row r="2397" spans="2:4" x14ac:dyDescent="0.35">
      <c r="B2397" s="9">
        <v>42209</v>
      </c>
      <c r="C2397" s="12">
        <v>5</v>
      </c>
      <c r="D2397" t="s">
        <v>5877</v>
      </c>
    </row>
    <row r="2398" spans="2:4" x14ac:dyDescent="0.35">
      <c r="B2398" s="9">
        <v>42210</v>
      </c>
      <c r="C2398" s="12">
        <v>5.6</v>
      </c>
      <c r="D2398" t="s">
        <v>5877</v>
      </c>
    </row>
    <row r="2399" spans="2:4" x14ac:dyDescent="0.35">
      <c r="B2399" s="9">
        <v>42211</v>
      </c>
      <c r="C2399" s="12">
        <v>28.6</v>
      </c>
      <c r="D2399" t="s">
        <v>5877</v>
      </c>
    </row>
    <row r="2400" spans="2:4" x14ac:dyDescent="0.35">
      <c r="B2400" s="9">
        <v>42212</v>
      </c>
      <c r="C2400" s="12">
        <v>32.5</v>
      </c>
      <c r="D2400" t="s">
        <v>5877</v>
      </c>
    </row>
    <row r="2401" spans="2:4" x14ac:dyDescent="0.35">
      <c r="B2401" s="9">
        <v>42213</v>
      </c>
      <c r="C2401" s="12">
        <v>24.3</v>
      </c>
      <c r="D2401" t="s">
        <v>5877</v>
      </c>
    </row>
    <row r="2402" spans="2:4" x14ac:dyDescent="0.35">
      <c r="B2402" s="9">
        <v>42214</v>
      </c>
      <c r="C2402" s="12">
        <v>18</v>
      </c>
      <c r="D2402" t="s">
        <v>5877</v>
      </c>
    </row>
    <row r="2403" spans="2:4" x14ac:dyDescent="0.35">
      <c r="B2403" s="9">
        <v>42215</v>
      </c>
      <c r="C2403" s="12">
        <v>14.7</v>
      </c>
      <c r="D2403" t="s">
        <v>5877</v>
      </c>
    </row>
    <row r="2404" spans="2:4" x14ac:dyDescent="0.35">
      <c r="B2404" s="9">
        <v>42216</v>
      </c>
      <c r="C2404" s="12">
        <v>12.6</v>
      </c>
      <c r="D2404" t="s">
        <v>5877</v>
      </c>
    </row>
    <row r="2405" spans="2:4" x14ac:dyDescent="0.35">
      <c r="B2405" s="9">
        <v>42217</v>
      </c>
      <c r="C2405" s="12">
        <v>11.7</v>
      </c>
      <c r="D2405" t="s">
        <v>5877</v>
      </c>
    </row>
    <row r="2406" spans="2:4" x14ac:dyDescent="0.35">
      <c r="B2406" s="9">
        <v>42218</v>
      </c>
      <c r="C2406" s="12">
        <v>21.4</v>
      </c>
      <c r="D2406" t="s">
        <v>5877</v>
      </c>
    </row>
    <row r="2407" spans="2:4" x14ac:dyDescent="0.35">
      <c r="B2407" s="9">
        <v>42219</v>
      </c>
      <c r="C2407" s="12">
        <v>40.700000000000003</v>
      </c>
      <c r="D2407" t="s">
        <v>5877</v>
      </c>
    </row>
    <row r="2408" spans="2:4" x14ac:dyDescent="0.35">
      <c r="B2408" s="9">
        <v>42220</v>
      </c>
      <c r="C2408" s="12">
        <v>33.5</v>
      </c>
      <c r="D2408" t="s">
        <v>5877</v>
      </c>
    </row>
    <row r="2409" spans="2:4" x14ac:dyDescent="0.35">
      <c r="B2409" s="9">
        <v>42221</v>
      </c>
      <c r="C2409" s="12">
        <v>25.1</v>
      </c>
      <c r="D2409" t="s">
        <v>5877</v>
      </c>
    </row>
    <row r="2410" spans="2:4" x14ac:dyDescent="0.35">
      <c r="B2410" s="9">
        <v>42222</v>
      </c>
      <c r="C2410" s="12">
        <v>20.2</v>
      </c>
      <c r="D2410" t="s">
        <v>5877</v>
      </c>
    </row>
    <row r="2411" spans="2:4" x14ac:dyDescent="0.35">
      <c r="B2411" s="9">
        <v>42223</v>
      </c>
      <c r="C2411" s="12">
        <v>17</v>
      </c>
      <c r="D2411" t="s">
        <v>5877</v>
      </c>
    </row>
    <row r="2412" spans="2:4" x14ac:dyDescent="0.35">
      <c r="B2412" s="9">
        <v>42224</v>
      </c>
      <c r="C2412" s="12">
        <v>14.7</v>
      </c>
      <c r="D2412" t="s">
        <v>5877</v>
      </c>
    </row>
    <row r="2413" spans="2:4" x14ac:dyDescent="0.35">
      <c r="B2413" s="9">
        <v>42225</v>
      </c>
      <c r="C2413" s="12">
        <v>13</v>
      </c>
      <c r="D2413" t="s">
        <v>5877</v>
      </c>
    </row>
    <row r="2414" spans="2:4" x14ac:dyDescent="0.35">
      <c r="B2414" s="9">
        <v>42226</v>
      </c>
      <c r="C2414" s="12">
        <v>11.6</v>
      </c>
      <c r="D2414" t="s">
        <v>5877</v>
      </c>
    </row>
    <row r="2415" spans="2:4" x14ac:dyDescent="0.35">
      <c r="B2415" s="9">
        <v>42227</v>
      </c>
      <c r="C2415" s="12">
        <v>13</v>
      </c>
      <c r="D2415" t="s">
        <v>5877</v>
      </c>
    </row>
    <row r="2416" spans="2:4" x14ac:dyDescent="0.35">
      <c r="B2416" s="9">
        <v>42228</v>
      </c>
      <c r="C2416" s="12">
        <v>12.5</v>
      </c>
      <c r="D2416" t="s">
        <v>5877</v>
      </c>
    </row>
    <row r="2417" spans="2:4" x14ac:dyDescent="0.35">
      <c r="B2417" s="9">
        <v>42229</v>
      </c>
      <c r="C2417" s="12">
        <v>11.6</v>
      </c>
      <c r="D2417" t="s">
        <v>5877</v>
      </c>
    </row>
    <row r="2418" spans="2:4" x14ac:dyDescent="0.35">
      <c r="B2418" s="9">
        <v>42230</v>
      </c>
      <c r="C2418" s="12">
        <v>10.6</v>
      </c>
      <c r="D2418" t="s">
        <v>5877</v>
      </c>
    </row>
    <row r="2419" spans="2:4" x14ac:dyDescent="0.35">
      <c r="B2419" s="9">
        <v>42231</v>
      </c>
      <c r="C2419" s="12">
        <v>11</v>
      </c>
      <c r="D2419" t="s">
        <v>5877</v>
      </c>
    </row>
    <row r="2420" spans="2:4" x14ac:dyDescent="0.35">
      <c r="B2420" s="9">
        <v>42232</v>
      </c>
      <c r="C2420" s="12">
        <v>40.1</v>
      </c>
      <c r="D2420" t="s">
        <v>5877</v>
      </c>
    </row>
    <row r="2421" spans="2:4" x14ac:dyDescent="0.35">
      <c r="B2421" s="9">
        <v>42233</v>
      </c>
      <c r="C2421" s="12">
        <v>32.799999999999997</v>
      </c>
      <c r="D2421" t="s">
        <v>5877</v>
      </c>
    </row>
    <row r="2422" spans="2:4" x14ac:dyDescent="0.35">
      <c r="B2422" s="9">
        <v>42234</v>
      </c>
      <c r="C2422" s="12">
        <v>23.6</v>
      </c>
      <c r="D2422" t="s">
        <v>5877</v>
      </c>
    </row>
    <row r="2423" spans="2:4" x14ac:dyDescent="0.35">
      <c r="B2423" s="9">
        <v>42235</v>
      </c>
      <c r="C2423" s="12">
        <v>18.399999999999999</v>
      </c>
      <c r="D2423" t="s">
        <v>5877</v>
      </c>
    </row>
    <row r="2424" spans="2:4" x14ac:dyDescent="0.35">
      <c r="B2424" s="9">
        <v>42236</v>
      </c>
      <c r="C2424" s="12">
        <v>15.3</v>
      </c>
      <c r="D2424" t="s">
        <v>5877</v>
      </c>
    </row>
    <row r="2425" spans="2:4" x14ac:dyDescent="0.35">
      <c r="B2425" s="9">
        <v>42237</v>
      </c>
      <c r="C2425" s="12">
        <v>15.5</v>
      </c>
      <c r="D2425" t="s">
        <v>5877</v>
      </c>
    </row>
    <row r="2426" spans="2:4" x14ac:dyDescent="0.35">
      <c r="B2426" s="9">
        <v>42238</v>
      </c>
      <c r="C2426" s="12">
        <v>33</v>
      </c>
      <c r="D2426" t="s">
        <v>5877</v>
      </c>
    </row>
    <row r="2427" spans="2:4" x14ac:dyDescent="0.35">
      <c r="B2427" s="9">
        <v>42239</v>
      </c>
      <c r="C2427" s="12">
        <v>39.9</v>
      </c>
      <c r="D2427" t="s">
        <v>5877</v>
      </c>
    </row>
    <row r="2428" spans="2:4" x14ac:dyDescent="0.35">
      <c r="B2428" s="9">
        <v>42240</v>
      </c>
      <c r="C2428" s="12">
        <v>50.9</v>
      </c>
      <c r="D2428" t="s">
        <v>5877</v>
      </c>
    </row>
    <row r="2429" spans="2:4" x14ac:dyDescent="0.35">
      <c r="B2429" s="9">
        <v>42241</v>
      </c>
      <c r="C2429" s="12">
        <v>36.700000000000003</v>
      </c>
      <c r="D2429" t="s">
        <v>5877</v>
      </c>
    </row>
    <row r="2430" spans="2:4" x14ac:dyDescent="0.35">
      <c r="B2430" s="9">
        <v>42242</v>
      </c>
      <c r="C2430" s="12">
        <v>26.8</v>
      </c>
      <c r="D2430" t="s">
        <v>5877</v>
      </c>
    </row>
    <row r="2431" spans="2:4" x14ac:dyDescent="0.35">
      <c r="B2431" s="9">
        <v>42243</v>
      </c>
      <c r="C2431" s="12">
        <v>21.2</v>
      </c>
      <c r="D2431" t="s">
        <v>5877</v>
      </c>
    </row>
    <row r="2432" spans="2:4" x14ac:dyDescent="0.35">
      <c r="B2432" s="9">
        <v>42244</v>
      </c>
      <c r="C2432" s="12">
        <v>19.600000000000001</v>
      </c>
      <c r="D2432" t="s">
        <v>5877</v>
      </c>
    </row>
    <row r="2433" spans="2:4" x14ac:dyDescent="0.35">
      <c r="B2433" s="9">
        <v>42245</v>
      </c>
      <c r="C2433" s="12">
        <v>57.7</v>
      </c>
      <c r="D2433" t="s">
        <v>5877</v>
      </c>
    </row>
    <row r="2434" spans="2:4" x14ac:dyDescent="0.35">
      <c r="B2434" s="9">
        <v>42246</v>
      </c>
      <c r="C2434" s="12">
        <v>47.7</v>
      </c>
      <c r="D2434" t="s">
        <v>5877</v>
      </c>
    </row>
    <row r="2435" spans="2:4" x14ac:dyDescent="0.35">
      <c r="B2435" s="9">
        <v>42247</v>
      </c>
      <c r="C2435" s="12">
        <v>43.1</v>
      </c>
      <c r="D2435" t="s">
        <v>5877</v>
      </c>
    </row>
    <row r="2436" spans="2:4" x14ac:dyDescent="0.35">
      <c r="B2436" s="9">
        <v>42248</v>
      </c>
      <c r="C2436" s="12">
        <v>63.2</v>
      </c>
      <c r="D2436" t="s">
        <v>5877</v>
      </c>
    </row>
    <row r="2437" spans="2:4" x14ac:dyDescent="0.35">
      <c r="B2437" s="9">
        <v>42249</v>
      </c>
      <c r="C2437" s="12">
        <v>59.3</v>
      </c>
      <c r="D2437" t="s">
        <v>5877</v>
      </c>
    </row>
    <row r="2438" spans="2:4" x14ac:dyDescent="0.35">
      <c r="B2438" s="9">
        <v>42250</v>
      </c>
      <c r="C2438" s="12">
        <v>47.2</v>
      </c>
      <c r="D2438" t="s">
        <v>5877</v>
      </c>
    </row>
    <row r="2439" spans="2:4" x14ac:dyDescent="0.35">
      <c r="B2439" s="9">
        <v>42251</v>
      </c>
      <c r="C2439" s="12">
        <v>84.1</v>
      </c>
      <c r="D2439" t="s">
        <v>5877</v>
      </c>
    </row>
    <row r="2440" spans="2:4" x14ac:dyDescent="0.35">
      <c r="B2440" s="9">
        <v>42252</v>
      </c>
      <c r="C2440" s="12">
        <v>66.099999999999994</v>
      </c>
      <c r="D2440" t="s">
        <v>5877</v>
      </c>
    </row>
    <row r="2441" spans="2:4" x14ac:dyDescent="0.35">
      <c r="B2441" s="9">
        <v>42253</v>
      </c>
      <c r="C2441" s="12">
        <v>52.8</v>
      </c>
      <c r="D2441" t="s">
        <v>5877</v>
      </c>
    </row>
    <row r="2442" spans="2:4" x14ac:dyDescent="0.35">
      <c r="B2442" s="9">
        <v>42254</v>
      </c>
      <c r="C2442" s="12">
        <v>85.4</v>
      </c>
      <c r="D2442" t="s">
        <v>5877</v>
      </c>
    </row>
    <row r="2443" spans="2:4" x14ac:dyDescent="0.35">
      <c r="B2443" s="9">
        <v>42255</v>
      </c>
      <c r="C2443" s="12">
        <v>71.3</v>
      </c>
      <c r="D2443" t="s">
        <v>5877</v>
      </c>
    </row>
    <row r="2444" spans="2:4" x14ac:dyDescent="0.35">
      <c r="B2444" s="9">
        <v>42256</v>
      </c>
      <c r="C2444" s="12">
        <v>65.900000000000006</v>
      </c>
      <c r="D2444" t="s">
        <v>5877</v>
      </c>
    </row>
    <row r="2445" spans="2:4" x14ac:dyDescent="0.35">
      <c r="B2445" s="9">
        <v>42257</v>
      </c>
      <c r="C2445" s="12">
        <v>53.1</v>
      </c>
      <c r="D2445" t="s">
        <v>5877</v>
      </c>
    </row>
    <row r="2446" spans="2:4" x14ac:dyDescent="0.35">
      <c r="B2446" s="9">
        <v>42258</v>
      </c>
      <c r="C2446" s="12">
        <v>82.7</v>
      </c>
      <c r="D2446" t="s">
        <v>5877</v>
      </c>
    </row>
    <row r="2447" spans="2:4" x14ac:dyDescent="0.35">
      <c r="B2447" s="9">
        <v>42259</v>
      </c>
      <c r="C2447" s="12">
        <v>75.7</v>
      </c>
      <c r="D2447" t="s">
        <v>5877</v>
      </c>
    </row>
    <row r="2448" spans="2:4" x14ac:dyDescent="0.35">
      <c r="B2448" s="9">
        <v>42260</v>
      </c>
      <c r="C2448" s="12">
        <v>61.3</v>
      </c>
      <c r="D2448" t="s">
        <v>5877</v>
      </c>
    </row>
    <row r="2449" spans="2:4" x14ac:dyDescent="0.35">
      <c r="B2449" s="9">
        <v>42261</v>
      </c>
      <c r="C2449" s="12">
        <v>48.5</v>
      </c>
      <c r="D2449" t="s">
        <v>5877</v>
      </c>
    </row>
    <row r="2450" spans="2:4" x14ac:dyDescent="0.35">
      <c r="B2450" s="9">
        <v>42262</v>
      </c>
      <c r="C2450" s="12">
        <v>40.299999999999997</v>
      </c>
      <c r="D2450" t="s">
        <v>5877</v>
      </c>
    </row>
    <row r="2451" spans="2:4" x14ac:dyDescent="0.35">
      <c r="B2451" s="9">
        <v>42263</v>
      </c>
      <c r="C2451" s="12">
        <v>36.6</v>
      </c>
      <c r="D2451" t="s">
        <v>5877</v>
      </c>
    </row>
    <row r="2452" spans="2:4" x14ac:dyDescent="0.35">
      <c r="B2452" s="9">
        <v>42264</v>
      </c>
      <c r="C2452" s="12">
        <v>85.1</v>
      </c>
      <c r="D2452" t="s">
        <v>5877</v>
      </c>
    </row>
    <row r="2453" spans="2:4" x14ac:dyDescent="0.35">
      <c r="B2453" s="9">
        <v>42265</v>
      </c>
      <c r="C2453" s="12">
        <v>71.8</v>
      </c>
      <c r="D2453" t="s">
        <v>5877</v>
      </c>
    </row>
    <row r="2454" spans="2:4" x14ac:dyDescent="0.35">
      <c r="B2454" s="9">
        <v>42266</v>
      </c>
      <c r="C2454" s="12">
        <v>62.9</v>
      </c>
      <c r="D2454" t="s">
        <v>5877</v>
      </c>
    </row>
    <row r="2455" spans="2:4" x14ac:dyDescent="0.35">
      <c r="B2455" s="9">
        <v>42267</v>
      </c>
      <c r="C2455" s="12">
        <v>83.8</v>
      </c>
      <c r="D2455" t="s">
        <v>5877</v>
      </c>
    </row>
    <row r="2456" spans="2:4" x14ac:dyDescent="0.35">
      <c r="B2456" s="9">
        <v>42268</v>
      </c>
      <c r="C2456" s="12">
        <v>66.8</v>
      </c>
      <c r="D2456" t="s">
        <v>5877</v>
      </c>
    </row>
    <row r="2457" spans="2:4" x14ac:dyDescent="0.35">
      <c r="B2457" s="9">
        <v>42269</v>
      </c>
      <c r="C2457" s="12">
        <v>53.3</v>
      </c>
      <c r="D2457" t="s">
        <v>5877</v>
      </c>
    </row>
    <row r="2458" spans="2:4" x14ac:dyDescent="0.35">
      <c r="B2458" s="9">
        <v>42270</v>
      </c>
      <c r="C2458" s="12">
        <v>59.5</v>
      </c>
      <c r="D2458" t="s">
        <v>5877</v>
      </c>
    </row>
    <row r="2459" spans="2:4" x14ac:dyDescent="0.35">
      <c r="B2459" s="9">
        <v>42271</v>
      </c>
      <c r="C2459" s="12">
        <v>92.7</v>
      </c>
      <c r="D2459" t="s">
        <v>5877</v>
      </c>
    </row>
    <row r="2460" spans="2:4" x14ac:dyDescent="0.35">
      <c r="B2460" s="9">
        <v>42272</v>
      </c>
      <c r="C2460" s="12">
        <v>123.7</v>
      </c>
      <c r="D2460" t="s">
        <v>5877</v>
      </c>
    </row>
    <row r="2461" spans="2:4" x14ac:dyDescent="0.35">
      <c r="B2461" s="9">
        <v>42273</v>
      </c>
      <c r="C2461" s="12">
        <v>92.4</v>
      </c>
      <c r="D2461" t="s">
        <v>5877</v>
      </c>
    </row>
    <row r="2462" spans="2:4" x14ac:dyDescent="0.35">
      <c r="B2462" s="9">
        <v>42274</v>
      </c>
      <c r="C2462" s="12">
        <v>103</v>
      </c>
      <c r="D2462" t="s">
        <v>5877</v>
      </c>
    </row>
    <row r="2463" spans="2:4" x14ac:dyDescent="0.35">
      <c r="B2463" s="9">
        <v>42275</v>
      </c>
      <c r="C2463" s="12">
        <v>102.5</v>
      </c>
      <c r="D2463" t="s">
        <v>5877</v>
      </c>
    </row>
    <row r="2464" spans="2:4" x14ac:dyDescent="0.35">
      <c r="B2464" s="9">
        <v>42276</v>
      </c>
      <c r="C2464" s="12">
        <v>76</v>
      </c>
      <c r="D2464" t="s">
        <v>5877</v>
      </c>
    </row>
    <row r="2465" spans="2:4" x14ac:dyDescent="0.35">
      <c r="B2465" s="9">
        <v>42277</v>
      </c>
      <c r="C2465" s="12">
        <v>96.4</v>
      </c>
      <c r="D2465" t="s">
        <v>5877</v>
      </c>
    </row>
    <row r="2466" spans="2:4" x14ac:dyDescent="0.35">
      <c r="B2466" s="9">
        <v>42278</v>
      </c>
      <c r="C2466" s="12">
        <v>135.4</v>
      </c>
      <c r="D2466" t="s">
        <v>5877</v>
      </c>
    </row>
    <row r="2467" spans="2:4" x14ac:dyDescent="0.35">
      <c r="B2467" s="9">
        <v>42279</v>
      </c>
      <c r="C2467" s="12">
        <v>103.9</v>
      </c>
      <c r="D2467" t="s">
        <v>5877</v>
      </c>
    </row>
    <row r="2468" spans="2:4" x14ac:dyDescent="0.35">
      <c r="B2468" s="9">
        <v>42280</v>
      </c>
      <c r="C2468" s="12">
        <v>132.30000000000001</v>
      </c>
      <c r="D2468" t="s">
        <v>5877</v>
      </c>
    </row>
    <row r="2469" spans="2:4" x14ac:dyDescent="0.35">
      <c r="B2469" s="9">
        <v>42281</v>
      </c>
      <c r="C2469" s="12">
        <v>100.4</v>
      </c>
      <c r="D2469" t="s">
        <v>5877</v>
      </c>
    </row>
    <row r="2470" spans="2:4" x14ac:dyDescent="0.35">
      <c r="B2470" s="9">
        <v>42282</v>
      </c>
      <c r="C2470" s="12">
        <v>131.5</v>
      </c>
      <c r="D2470" t="s">
        <v>5877</v>
      </c>
    </row>
    <row r="2471" spans="2:4" x14ac:dyDescent="0.35">
      <c r="B2471" s="9">
        <v>42283</v>
      </c>
      <c r="C2471" s="12">
        <v>124.9</v>
      </c>
      <c r="D2471" t="s">
        <v>5877</v>
      </c>
    </row>
    <row r="2472" spans="2:4" x14ac:dyDescent="0.35">
      <c r="B2472" s="9">
        <v>42284</v>
      </c>
      <c r="C2472" s="12">
        <v>153.5</v>
      </c>
      <c r="D2472" t="s">
        <v>5877</v>
      </c>
    </row>
    <row r="2473" spans="2:4" x14ac:dyDescent="0.35">
      <c r="B2473" s="9">
        <v>42285</v>
      </c>
      <c r="C2473" s="12">
        <v>133.30000000000001</v>
      </c>
      <c r="D2473" t="s">
        <v>5877</v>
      </c>
    </row>
    <row r="2474" spans="2:4" x14ac:dyDescent="0.35">
      <c r="B2474" s="9">
        <v>42286</v>
      </c>
      <c r="C2474" s="12">
        <v>107</v>
      </c>
      <c r="D2474" t="s">
        <v>5877</v>
      </c>
    </row>
    <row r="2475" spans="2:4" x14ac:dyDescent="0.35">
      <c r="B2475" s="9">
        <v>42287</v>
      </c>
      <c r="C2475" s="12">
        <v>145.6</v>
      </c>
      <c r="D2475" t="s">
        <v>5877</v>
      </c>
    </row>
    <row r="2476" spans="2:4" x14ac:dyDescent="0.35">
      <c r="B2476" s="9">
        <v>42288</v>
      </c>
      <c r="C2476" s="12">
        <v>125.1</v>
      </c>
      <c r="D2476" t="s">
        <v>5877</v>
      </c>
    </row>
    <row r="2477" spans="2:4" x14ac:dyDescent="0.35">
      <c r="B2477" s="9">
        <v>42289</v>
      </c>
      <c r="C2477" s="12">
        <v>93</v>
      </c>
      <c r="D2477" t="s">
        <v>5877</v>
      </c>
    </row>
    <row r="2478" spans="2:4" x14ac:dyDescent="0.35">
      <c r="B2478" s="9">
        <v>42290</v>
      </c>
      <c r="C2478" s="12">
        <v>88.2</v>
      </c>
      <c r="D2478" t="s">
        <v>5877</v>
      </c>
    </row>
    <row r="2479" spans="2:4" x14ac:dyDescent="0.35">
      <c r="B2479" s="9">
        <v>42291</v>
      </c>
      <c r="C2479" s="12">
        <v>138.9</v>
      </c>
      <c r="D2479" t="s">
        <v>5877</v>
      </c>
    </row>
    <row r="2480" spans="2:4" x14ac:dyDescent="0.35">
      <c r="B2480" s="9">
        <v>42292</v>
      </c>
      <c r="C2480" s="12">
        <v>139.9</v>
      </c>
      <c r="D2480" t="s">
        <v>5877</v>
      </c>
    </row>
    <row r="2481" spans="2:4" x14ac:dyDescent="0.35">
      <c r="B2481" s="9">
        <v>42293</v>
      </c>
      <c r="C2481" s="12">
        <v>100.7</v>
      </c>
      <c r="D2481" t="s">
        <v>5877</v>
      </c>
    </row>
    <row r="2482" spans="2:4" x14ac:dyDescent="0.35">
      <c r="B2482" s="9">
        <v>42294</v>
      </c>
      <c r="C2482" s="12">
        <v>79.2</v>
      </c>
      <c r="D2482" t="s">
        <v>5877</v>
      </c>
    </row>
    <row r="2483" spans="2:4" x14ac:dyDescent="0.35">
      <c r="B2483" s="9">
        <v>42295</v>
      </c>
      <c r="C2483" s="12">
        <v>97.7</v>
      </c>
      <c r="D2483" t="s">
        <v>5877</v>
      </c>
    </row>
    <row r="2484" spans="2:4" x14ac:dyDescent="0.35">
      <c r="B2484" s="9">
        <v>42296</v>
      </c>
      <c r="C2484" s="12">
        <v>100.7</v>
      </c>
      <c r="D2484" t="s">
        <v>5877</v>
      </c>
    </row>
    <row r="2485" spans="2:4" x14ac:dyDescent="0.35">
      <c r="B2485" s="9">
        <v>42297</v>
      </c>
      <c r="C2485" s="12">
        <v>124.1</v>
      </c>
      <c r="D2485" t="s">
        <v>5877</v>
      </c>
    </row>
    <row r="2486" spans="2:4" x14ac:dyDescent="0.35">
      <c r="B2486" s="9">
        <v>42298</v>
      </c>
      <c r="C2486" s="12">
        <v>136.4</v>
      </c>
      <c r="D2486" t="s">
        <v>5877</v>
      </c>
    </row>
    <row r="2487" spans="2:4" x14ac:dyDescent="0.35">
      <c r="B2487" s="9">
        <v>42299</v>
      </c>
      <c r="C2487" s="12">
        <v>134.19999999999999</v>
      </c>
      <c r="D2487" t="s">
        <v>5877</v>
      </c>
    </row>
    <row r="2488" spans="2:4" x14ac:dyDescent="0.35">
      <c r="B2488" s="9">
        <v>42300</v>
      </c>
      <c r="C2488" s="12">
        <v>117.1</v>
      </c>
      <c r="D2488" t="s">
        <v>5877</v>
      </c>
    </row>
    <row r="2489" spans="2:4" x14ac:dyDescent="0.35">
      <c r="B2489" s="9">
        <v>42301</v>
      </c>
      <c r="C2489" s="12">
        <v>127.4</v>
      </c>
      <c r="D2489" t="s">
        <v>5877</v>
      </c>
    </row>
    <row r="2490" spans="2:4" x14ac:dyDescent="0.35">
      <c r="B2490" s="9">
        <v>42302</v>
      </c>
      <c r="C2490" s="12">
        <v>97.5</v>
      </c>
      <c r="D2490" t="s">
        <v>5877</v>
      </c>
    </row>
    <row r="2491" spans="2:4" x14ac:dyDescent="0.35">
      <c r="B2491" s="9">
        <v>42303</v>
      </c>
      <c r="C2491" s="12">
        <v>102.8</v>
      </c>
      <c r="D2491" t="s">
        <v>5877</v>
      </c>
    </row>
    <row r="2492" spans="2:4" x14ac:dyDescent="0.35">
      <c r="B2492" s="9">
        <v>42304</v>
      </c>
      <c r="C2492" s="12">
        <v>136.30000000000001</v>
      </c>
      <c r="D2492" t="s">
        <v>5877</v>
      </c>
    </row>
    <row r="2493" spans="2:4" x14ac:dyDescent="0.35">
      <c r="B2493" s="9">
        <v>42305</v>
      </c>
      <c r="C2493" s="12">
        <v>110.3</v>
      </c>
      <c r="D2493" t="s">
        <v>5877</v>
      </c>
    </row>
    <row r="2494" spans="2:4" x14ac:dyDescent="0.35">
      <c r="B2494" s="9">
        <v>42306</v>
      </c>
      <c r="C2494" s="12">
        <v>93.4</v>
      </c>
      <c r="D2494" t="s">
        <v>5877</v>
      </c>
    </row>
    <row r="2495" spans="2:4" x14ac:dyDescent="0.35">
      <c r="B2495" s="9">
        <v>42307</v>
      </c>
      <c r="C2495" s="12">
        <v>116.6</v>
      </c>
      <c r="D2495" t="s">
        <v>5877</v>
      </c>
    </row>
    <row r="2496" spans="2:4" x14ac:dyDescent="0.35">
      <c r="B2496" s="9">
        <v>42308</v>
      </c>
      <c r="C2496" s="12">
        <v>134.69999999999999</v>
      </c>
      <c r="D2496" t="s">
        <v>5877</v>
      </c>
    </row>
    <row r="2497" spans="2:4" x14ac:dyDescent="0.35">
      <c r="B2497" s="9">
        <v>42309</v>
      </c>
      <c r="C2497" s="12">
        <v>104</v>
      </c>
      <c r="D2497" t="s">
        <v>5877</v>
      </c>
    </row>
    <row r="2498" spans="2:4" x14ac:dyDescent="0.35">
      <c r="B2498" s="9">
        <v>42310</v>
      </c>
      <c r="C2498" s="12">
        <v>84.7</v>
      </c>
      <c r="D2498" t="s">
        <v>5877</v>
      </c>
    </row>
    <row r="2499" spans="2:4" x14ac:dyDescent="0.35">
      <c r="B2499" s="9">
        <v>42311</v>
      </c>
      <c r="C2499" s="12">
        <v>74.900000000000006</v>
      </c>
      <c r="D2499" t="s">
        <v>5877</v>
      </c>
    </row>
    <row r="2500" spans="2:4" x14ac:dyDescent="0.35">
      <c r="B2500" s="9">
        <v>42312</v>
      </c>
      <c r="C2500" s="12">
        <v>101.9</v>
      </c>
      <c r="D2500" t="s">
        <v>5877</v>
      </c>
    </row>
    <row r="2501" spans="2:4" x14ac:dyDescent="0.35">
      <c r="B2501" s="9">
        <v>42313</v>
      </c>
      <c r="C2501" s="12">
        <v>92.7</v>
      </c>
      <c r="D2501" t="s">
        <v>5877</v>
      </c>
    </row>
    <row r="2502" spans="2:4" x14ac:dyDescent="0.35">
      <c r="B2502" s="9">
        <v>42314</v>
      </c>
      <c r="C2502" s="12">
        <v>120.1</v>
      </c>
      <c r="D2502" t="s">
        <v>5877</v>
      </c>
    </row>
    <row r="2503" spans="2:4" x14ac:dyDescent="0.35">
      <c r="B2503" s="9">
        <v>42315</v>
      </c>
      <c r="C2503" s="12">
        <v>100.3</v>
      </c>
      <c r="D2503" t="s">
        <v>5877</v>
      </c>
    </row>
    <row r="2504" spans="2:4" x14ac:dyDescent="0.35">
      <c r="B2504" s="9">
        <v>42316</v>
      </c>
      <c r="C2504" s="12">
        <v>131.1</v>
      </c>
      <c r="D2504" t="s">
        <v>5877</v>
      </c>
    </row>
    <row r="2505" spans="2:4" x14ac:dyDescent="0.35">
      <c r="B2505" s="9">
        <v>42317</v>
      </c>
      <c r="C2505" s="12">
        <v>100.1</v>
      </c>
      <c r="D2505" t="s">
        <v>5877</v>
      </c>
    </row>
    <row r="2506" spans="2:4" x14ac:dyDescent="0.35">
      <c r="B2506" s="9">
        <v>42318</v>
      </c>
      <c r="C2506" s="12">
        <v>84.2</v>
      </c>
      <c r="D2506" t="s">
        <v>5877</v>
      </c>
    </row>
    <row r="2507" spans="2:4" x14ac:dyDescent="0.35">
      <c r="B2507" s="9">
        <v>42319</v>
      </c>
      <c r="C2507" s="12">
        <v>114.6</v>
      </c>
      <c r="D2507" t="s">
        <v>5877</v>
      </c>
    </row>
    <row r="2508" spans="2:4" x14ac:dyDescent="0.35">
      <c r="B2508" s="9">
        <v>42320</v>
      </c>
      <c r="C2508" s="12">
        <v>88.1</v>
      </c>
      <c r="D2508" t="s">
        <v>5877</v>
      </c>
    </row>
    <row r="2509" spans="2:4" x14ac:dyDescent="0.35">
      <c r="B2509" s="9">
        <v>42321</v>
      </c>
      <c r="C2509" s="12">
        <v>74.8</v>
      </c>
      <c r="D2509" t="s">
        <v>5877</v>
      </c>
    </row>
    <row r="2510" spans="2:4" x14ac:dyDescent="0.35">
      <c r="B2510" s="9">
        <v>42322</v>
      </c>
      <c r="C2510" s="12">
        <v>80.099999999999994</v>
      </c>
      <c r="D2510" t="s">
        <v>5877</v>
      </c>
    </row>
    <row r="2511" spans="2:4" x14ac:dyDescent="0.35">
      <c r="B2511" s="9">
        <v>42323</v>
      </c>
      <c r="C2511" s="12">
        <v>78.900000000000006</v>
      </c>
      <c r="D2511" t="s">
        <v>5877</v>
      </c>
    </row>
    <row r="2512" spans="2:4" x14ac:dyDescent="0.35">
      <c r="B2512" s="9">
        <v>42324</v>
      </c>
      <c r="C2512" s="12">
        <v>161.30000000000001</v>
      </c>
      <c r="D2512" t="s">
        <v>5877</v>
      </c>
    </row>
    <row r="2513" spans="2:4" x14ac:dyDescent="0.35">
      <c r="B2513" s="9">
        <v>42325</v>
      </c>
      <c r="C2513" s="12">
        <v>126.3</v>
      </c>
      <c r="D2513" t="s">
        <v>5877</v>
      </c>
    </row>
    <row r="2514" spans="2:4" x14ac:dyDescent="0.35">
      <c r="B2514" s="9">
        <v>42326</v>
      </c>
      <c r="C2514" s="12">
        <v>97.8</v>
      </c>
      <c r="D2514" t="s">
        <v>5877</v>
      </c>
    </row>
    <row r="2515" spans="2:4" x14ac:dyDescent="0.35">
      <c r="B2515" s="9">
        <v>42327</v>
      </c>
      <c r="C2515" s="12">
        <v>121.1</v>
      </c>
      <c r="D2515" t="s">
        <v>5877</v>
      </c>
    </row>
    <row r="2516" spans="2:4" x14ac:dyDescent="0.35">
      <c r="B2516" s="9">
        <v>42328</v>
      </c>
      <c r="C2516" s="12">
        <v>161.6</v>
      </c>
      <c r="D2516" t="s">
        <v>5877</v>
      </c>
    </row>
    <row r="2517" spans="2:4" x14ac:dyDescent="0.35">
      <c r="B2517" s="9">
        <v>42329</v>
      </c>
      <c r="C2517" s="12">
        <v>128.5</v>
      </c>
      <c r="D2517" t="s">
        <v>5877</v>
      </c>
    </row>
    <row r="2518" spans="2:4" x14ac:dyDescent="0.35">
      <c r="B2518" s="9">
        <v>42330</v>
      </c>
      <c r="C2518" s="12">
        <v>105.9</v>
      </c>
      <c r="D2518" t="s">
        <v>5877</v>
      </c>
    </row>
    <row r="2519" spans="2:4" x14ac:dyDescent="0.35">
      <c r="B2519" s="9">
        <v>42331</v>
      </c>
      <c r="C2519" s="12">
        <v>97.4</v>
      </c>
      <c r="D2519" t="s">
        <v>5877</v>
      </c>
    </row>
    <row r="2520" spans="2:4" x14ac:dyDescent="0.35">
      <c r="B2520" s="9">
        <v>42332</v>
      </c>
      <c r="C2520" s="12">
        <v>92.1</v>
      </c>
      <c r="D2520" t="s">
        <v>5877</v>
      </c>
    </row>
    <row r="2521" spans="2:4" x14ac:dyDescent="0.35">
      <c r="B2521" s="9">
        <v>42333</v>
      </c>
      <c r="C2521" s="12">
        <v>101.8</v>
      </c>
      <c r="D2521" t="s">
        <v>5877</v>
      </c>
    </row>
    <row r="2522" spans="2:4" x14ac:dyDescent="0.35">
      <c r="B2522" s="9">
        <v>42334</v>
      </c>
      <c r="C2522" s="12">
        <v>178.1</v>
      </c>
      <c r="D2522" t="s">
        <v>5877</v>
      </c>
    </row>
    <row r="2523" spans="2:4" x14ac:dyDescent="0.35">
      <c r="B2523" s="9">
        <v>42335</v>
      </c>
      <c r="C2523" s="12">
        <v>166.7</v>
      </c>
      <c r="D2523" t="s">
        <v>5877</v>
      </c>
    </row>
    <row r="2524" spans="2:4" x14ac:dyDescent="0.35">
      <c r="B2524" s="9">
        <v>42336</v>
      </c>
      <c r="C2524" s="12">
        <v>158.80000000000001</v>
      </c>
      <c r="D2524" t="s">
        <v>5877</v>
      </c>
    </row>
    <row r="2525" spans="2:4" x14ac:dyDescent="0.35">
      <c r="B2525" s="9">
        <v>42337</v>
      </c>
      <c r="C2525" s="12">
        <v>169.1</v>
      </c>
      <c r="D2525" t="s">
        <v>5877</v>
      </c>
    </row>
    <row r="2526" spans="2:4" x14ac:dyDescent="0.35">
      <c r="B2526" s="9">
        <v>42338</v>
      </c>
      <c r="C2526" s="12">
        <v>122</v>
      </c>
      <c r="D2526" t="s">
        <v>5877</v>
      </c>
    </row>
    <row r="2527" spans="2:4" x14ac:dyDescent="0.35">
      <c r="B2527" s="9">
        <v>42339</v>
      </c>
      <c r="C2527" s="12">
        <v>127.6</v>
      </c>
      <c r="D2527" t="s">
        <v>5877</v>
      </c>
    </row>
    <row r="2528" spans="2:4" x14ac:dyDescent="0.35">
      <c r="B2528" s="9">
        <v>42340</v>
      </c>
      <c r="C2528" s="12">
        <v>105</v>
      </c>
      <c r="D2528" t="s">
        <v>5877</v>
      </c>
    </row>
    <row r="2529" spans="2:4" x14ac:dyDescent="0.35">
      <c r="B2529" s="9">
        <v>42341</v>
      </c>
      <c r="C2529" s="12">
        <v>142.9</v>
      </c>
      <c r="D2529" t="s">
        <v>5877</v>
      </c>
    </row>
    <row r="2530" spans="2:4" x14ac:dyDescent="0.35">
      <c r="B2530" s="9">
        <v>42342</v>
      </c>
      <c r="C2530" s="12">
        <v>120.1</v>
      </c>
      <c r="D2530" t="s">
        <v>5877</v>
      </c>
    </row>
    <row r="2531" spans="2:4" x14ac:dyDescent="0.35">
      <c r="B2531" s="9">
        <v>42343</v>
      </c>
      <c r="C2531" s="12">
        <v>112.3</v>
      </c>
      <c r="D2531" t="s">
        <v>5877</v>
      </c>
    </row>
    <row r="2532" spans="2:4" x14ac:dyDescent="0.35">
      <c r="B2532" s="9">
        <v>42344</v>
      </c>
      <c r="C2532" s="12">
        <v>115.5</v>
      </c>
      <c r="D2532" t="s">
        <v>5877</v>
      </c>
    </row>
    <row r="2533" spans="2:4" x14ac:dyDescent="0.35">
      <c r="B2533" s="9">
        <v>42345</v>
      </c>
      <c r="C2533" s="12">
        <v>119.7</v>
      </c>
      <c r="D2533" t="s">
        <v>5877</v>
      </c>
    </row>
    <row r="2534" spans="2:4" x14ac:dyDescent="0.35">
      <c r="B2534" s="9">
        <v>42346</v>
      </c>
      <c r="C2534" s="12">
        <v>163.69999999999999</v>
      </c>
      <c r="D2534" t="s">
        <v>5877</v>
      </c>
    </row>
    <row r="2535" spans="2:4" x14ac:dyDescent="0.35">
      <c r="B2535" s="9">
        <v>42347</v>
      </c>
      <c r="C2535" s="12">
        <v>132.4</v>
      </c>
      <c r="D2535" t="s">
        <v>5877</v>
      </c>
    </row>
    <row r="2536" spans="2:4" x14ac:dyDescent="0.35">
      <c r="B2536" s="9">
        <v>42348</v>
      </c>
      <c r="C2536" s="12">
        <v>133.80000000000001</v>
      </c>
      <c r="D2536" t="s">
        <v>5877</v>
      </c>
    </row>
    <row r="2537" spans="2:4" x14ac:dyDescent="0.35">
      <c r="B2537" s="9">
        <v>42349</v>
      </c>
      <c r="C2537" s="12">
        <v>108.6</v>
      </c>
      <c r="D2537" t="s">
        <v>5877</v>
      </c>
    </row>
    <row r="2538" spans="2:4" x14ac:dyDescent="0.35">
      <c r="B2538" s="9">
        <v>42350</v>
      </c>
      <c r="C2538" s="12">
        <v>95.6</v>
      </c>
      <c r="D2538" t="s">
        <v>5877</v>
      </c>
    </row>
    <row r="2539" spans="2:4" x14ac:dyDescent="0.35">
      <c r="B2539" s="9">
        <v>42351</v>
      </c>
      <c r="C2539" s="12">
        <v>91.5</v>
      </c>
      <c r="D2539" t="s">
        <v>5877</v>
      </c>
    </row>
    <row r="2540" spans="2:4" x14ac:dyDescent="0.35">
      <c r="B2540" s="9">
        <v>42352</v>
      </c>
      <c r="C2540" s="12">
        <v>167</v>
      </c>
      <c r="D2540" t="s">
        <v>5877</v>
      </c>
    </row>
    <row r="2541" spans="2:4" x14ac:dyDescent="0.35">
      <c r="B2541" s="9">
        <v>42353</v>
      </c>
      <c r="C2541" s="12">
        <v>128</v>
      </c>
      <c r="D2541" t="s">
        <v>5877</v>
      </c>
    </row>
    <row r="2542" spans="2:4" x14ac:dyDescent="0.35">
      <c r="B2542" s="9">
        <v>42354</v>
      </c>
      <c r="C2542" s="12">
        <v>110.5</v>
      </c>
      <c r="D2542" t="s">
        <v>5877</v>
      </c>
    </row>
    <row r="2543" spans="2:4" x14ac:dyDescent="0.35">
      <c r="B2543" s="9">
        <v>42355</v>
      </c>
      <c r="C2543" s="12">
        <v>154.19999999999999</v>
      </c>
      <c r="D2543" t="s">
        <v>5877</v>
      </c>
    </row>
    <row r="2544" spans="2:4" x14ac:dyDescent="0.35">
      <c r="B2544" s="9">
        <v>42356</v>
      </c>
      <c r="C2544" s="12">
        <v>136.6</v>
      </c>
      <c r="D2544" t="s">
        <v>5877</v>
      </c>
    </row>
    <row r="2545" spans="2:4" x14ac:dyDescent="0.35">
      <c r="B2545" s="9">
        <v>42357</v>
      </c>
      <c r="C2545" s="12">
        <v>175.7</v>
      </c>
      <c r="D2545" t="s">
        <v>5877</v>
      </c>
    </row>
    <row r="2546" spans="2:4" x14ac:dyDescent="0.35">
      <c r="B2546" s="9">
        <v>42358</v>
      </c>
      <c r="C2546" s="12">
        <v>159.30000000000001</v>
      </c>
      <c r="D2546" t="s">
        <v>5877</v>
      </c>
    </row>
    <row r="2547" spans="2:4" x14ac:dyDescent="0.35">
      <c r="B2547" s="9">
        <v>42359</v>
      </c>
      <c r="C2547" s="12">
        <v>115.4</v>
      </c>
      <c r="D2547" t="s">
        <v>5877</v>
      </c>
    </row>
    <row r="2548" spans="2:4" x14ac:dyDescent="0.35">
      <c r="B2548" s="9">
        <v>42360</v>
      </c>
      <c r="C2548" s="12">
        <v>93.5</v>
      </c>
      <c r="D2548" t="s">
        <v>5877</v>
      </c>
    </row>
    <row r="2549" spans="2:4" x14ac:dyDescent="0.35">
      <c r="B2549" s="9">
        <v>42361</v>
      </c>
      <c r="C2549" s="12">
        <v>112.9</v>
      </c>
      <c r="D2549" t="s">
        <v>5877</v>
      </c>
    </row>
    <row r="2550" spans="2:4" x14ac:dyDescent="0.35">
      <c r="B2550" s="9">
        <v>42362</v>
      </c>
      <c r="C2550" s="12">
        <v>150.30000000000001</v>
      </c>
      <c r="D2550" t="s">
        <v>5877</v>
      </c>
    </row>
    <row r="2551" spans="2:4" x14ac:dyDescent="0.35">
      <c r="B2551" s="9">
        <v>42363</v>
      </c>
      <c r="C2551" s="12">
        <v>160.1</v>
      </c>
      <c r="D2551" t="s">
        <v>5877</v>
      </c>
    </row>
    <row r="2552" spans="2:4" x14ac:dyDescent="0.35">
      <c r="B2552" s="9">
        <v>42364</v>
      </c>
      <c r="C2552" s="12">
        <v>136.30000000000001</v>
      </c>
      <c r="D2552" t="s">
        <v>5877</v>
      </c>
    </row>
    <row r="2553" spans="2:4" x14ac:dyDescent="0.35">
      <c r="B2553" s="9">
        <v>42365</v>
      </c>
      <c r="C2553" s="12">
        <v>114.1</v>
      </c>
      <c r="D2553" t="s">
        <v>5877</v>
      </c>
    </row>
    <row r="2554" spans="2:4" x14ac:dyDescent="0.35">
      <c r="B2554" s="9">
        <v>42366</v>
      </c>
      <c r="C2554" s="12">
        <v>177</v>
      </c>
      <c r="D2554" t="s">
        <v>5877</v>
      </c>
    </row>
    <row r="2555" spans="2:4" x14ac:dyDescent="0.35">
      <c r="B2555" s="9">
        <v>42367</v>
      </c>
      <c r="C2555" s="12">
        <v>172.1</v>
      </c>
      <c r="D2555" t="s">
        <v>5877</v>
      </c>
    </row>
    <row r="2556" spans="2:4" x14ac:dyDescent="0.35">
      <c r="B2556" s="9">
        <v>42368</v>
      </c>
      <c r="C2556" s="12">
        <v>193.8</v>
      </c>
      <c r="D2556" t="s">
        <v>5877</v>
      </c>
    </row>
    <row r="2557" spans="2:4" x14ac:dyDescent="0.35">
      <c r="B2557" s="9">
        <v>42369</v>
      </c>
      <c r="C2557" s="12">
        <v>164.8</v>
      </c>
      <c r="D2557" t="s">
        <v>5877</v>
      </c>
    </row>
    <row r="2558" spans="2:4" x14ac:dyDescent="0.35">
      <c r="B2558" s="9">
        <v>42370</v>
      </c>
      <c r="C2558" s="12">
        <v>148.4</v>
      </c>
      <c r="D2558" t="s">
        <v>5877</v>
      </c>
    </row>
    <row r="2559" spans="2:4" x14ac:dyDescent="0.35">
      <c r="B2559" s="9">
        <v>42371</v>
      </c>
      <c r="C2559" s="12">
        <v>131.9</v>
      </c>
      <c r="D2559" t="s">
        <v>5877</v>
      </c>
    </row>
    <row r="2560" spans="2:4" x14ac:dyDescent="0.35">
      <c r="B2560" s="9">
        <v>42372</v>
      </c>
      <c r="C2560" s="12">
        <v>113.9</v>
      </c>
      <c r="D2560" t="s">
        <v>5877</v>
      </c>
    </row>
    <row r="2561" spans="2:4" x14ac:dyDescent="0.35">
      <c r="B2561" s="9">
        <v>42373</v>
      </c>
      <c r="C2561" s="12">
        <v>129.30000000000001</v>
      </c>
      <c r="D2561" t="s">
        <v>5877</v>
      </c>
    </row>
    <row r="2562" spans="2:4" x14ac:dyDescent="0.35">
      <c r="B2562" s="9">
        <v>42374</v>
      </c>
      <c r="C2562" s="12">
        <v>114.9</v>
      </c>
      <c r="D2562" t="s">
        <v>5877</v>
      </c>
    </row>
    <row r="2563" spans="2:4" x14ac:dyDescent="0.35">
      <c r="B2563" s="9">
        <v>42375</v>
      </c>
      <c r="C2563" s="12">
        <v>115.4</v>
      </c>
      <c r="D2563" t="s">
        <v>5877</v>
      </c>
    </row>
    <row r="2564" spans="2:4" x14ac:dyDescent="0.35">
      <c r="B2564" s="9">
        <v>42376</v>
      </c>
      <c r="C2564" s="12">
        <v>128.1</v>
      </c>
      <c r="D2564" t="s">
        <v>5877</v>
      </c>
    </row>
    <row r="2565" spans="2:4" x14ac:dyDescent="0.35">
      <c r="B2565" s="9">
        <v>42377</v>
      </c>
      <c r="C2565" s="12">
        <v>114.4</v>
      </c>
      <c r="D2565" t="s">
        <v>5877</v>
      </c>
    </row>
    <row r="2566" spans="2:4" x14ac:dyDescent="0.35">
      <c r="B2566" s="9">
        <v>42378</v>
      </c>
      <c r="C2566" s="12">
        <v>93.9</v>
      </c>
      <c r="D2566" t="s">
        <v>5877</v>
      </c>
    </row>
    <row r="2567" spans="2:4" x14ac:dyDescent="0.35">
      <c r="B2567" s="9">
        <v>42379</v>
      </c>
      <c r="C2567" s="12">
        <v>146.30000000000001</v>
      </c>
      <c r="D2567" t="s">
        <v>5877</v>
      </c>
    </row>
    <row r="2568" spans="2:4" x14ac:dyDescent="0.35">
      <c r="B2568" s="9">
        <v>42380</v>
      </c>
      <c r="C2568" s="12">
        <v>153.6</v>
      </c>
      <c r="D2568" t="s">
        <v>5877</v>
      </c>
    </row>
    <row r="2569" spans="2:4" x14ac:dyDescent="0.35">
      <c r="B2569" s="9">
        <v>42381</v>
      </c>
      <c r="C2569" s="12">
        <v>120.1</v>
      </c>
      <c r="D2569" t="s">
        <v>5877</v>
      </c>
    </row>
    <row r="2570" spans="2:4" x14ac:dyDescent="0.35">
      <c r="B2570" s="9">
        <v>42382</v>
      </c>
      <c r="C2570" s="12">
        <v>100.3</v>
      </c>
      <c r="D2570" t="s">
        <v>5877</v>
      </c>
    </row>
    <row r="2571" spans="2:4" x14ac:dyDescent="0.35">
      <c r="B2571" s="9">
        <v>42383</v>
      </c>
      <c r="C2571" s="12">
        <v>145.69999999999999</v>
      </c>
      <c r="D2571" t="s">
        <v>5877</v>
      </c>
    </row>
    <row r="2572" spans="2:4" x14ac:dyDescent="0.35">
      <c r="B2572" s="9">
        <v>42384</v>
      </c>
      <c r="C2572" s="12">
        <v>165.8</v>
      </c>
      <c r="D2572" t="s">
        <v>5877</v>
      </c>
    </row>
    <row r="2573" spans="2:4" x14ac:dyDescent="0.35">
      <c r="B2573" s="9">
        <v>42385</v>
      </c>
      <c r="C2573" s="12">
        <v>121.3</v>
      </c>
      <c r="D2573" t="s">
        <v>5877</v>
      </c>
    </row>
    <row r="2574" spans="2:4" x14ac:dyDescent="0.35">
      <c r="B2574" s="9">
        <v>42386</v>
      </c>
      <c r="C2574" s="12">
        <v>119.4</v>
      </c>
      <c r="D2574" t="s">
        <v>5877</v>
      </c>
    </row>
    <row r="2575" spans="2:4" x14ac:dyDescent="0.35">
      <c r="B2575" s="9">
        <v>42387</v>
      </c>
      <c r="C2575" s="12">
        <v>135.30000000000001</v>
      </c>
      <c r="D2575" t="s">
        <v>5877</v>
      </c>
    </row>
    <row r="2576" spans="2:4" x14ac:dyDescent="0.35">
      <c r="B2576" s="9">
        <v>42388</v>
      </c>
      <c r="C2576" s="12">
        <v>125</v>
      </c>
      <c r="D2576" t="s">
        <v>5877</v>
      </c>
    </row>
    <row r="2577" spans="2:4" x14ac:dyDescent="0.35">
      <c r="B2577" s="9">
        <v>42389</v>
      </c>
      <c r="C2577" s="12">
        <v>107</v>
      </c>
      <c r="D2577" t="s">
        <v>5877</v>
      </c>
    </row>
    <row r="2578" spans="2:4" x14ac:dyDescent="0.35">
      <c r="B2578" s="9">
        <v>42390</v>
      </c>
      <c r="C2578" s="12">
        <v>120.5</v>
      </c>
      <c r="D2578" t="s">
        <v>5877</v>
      </c>
    </row>
    <row r="2579" spans="2:4" x14ac:dyDescent="0.35">
      <c r="B2579" s="9">
        <v>42391</v>
      </c>
      <c r="C2579" s="12">
        <v>100.1</v>
      </c>
      <c r="D2579" t="s">
        <v>5877</v>
      </c>
    </row>
    <row r="2580" spans="2:4" x14ac:dyDescent="0.35">
      <c r="B2580" s="9">
        <v>42392</v>
      </c>
      <c r="C2580" s="12">
        <v>117.7</v>
      </c>
      <c r="D2580" t="s">
        <v>5877</v>
      </c>
    </row>
    <row r="2581" spans="2:4" x14ac:dyDescent="0.35">
      <c r="B2581" s="9">
        <v>42393</v>
      </c>
      <c r="C2581" s="12">
        <v>92.3</v>
      </c>
      <c r="D2581" t="s">
        <v>5877</v>
      </c>
    </row>
    <row r="2582" spans="2:4" x14ac:dyDescent="0.35">
      <c r="B2582" s="9">
        <v>42394</v>
      </c>
      <c r="C2582" s="12">
        <v>79.400000000000006</v>
      </c>
      <c r="D2582" t="s">
        <v>5877</v>
      </c>
    </row>
    <row r="2583" spans="2:4" x14ac:dyDescent="0.35">
      <c r="B2583" s="9">
        <v>42395</v>
      </c>
      <c r="C2583" s="12">
        <v>124.7</v>
      </c>
      <c r="D2583" t="s">
        <v>5877</v>
      </c>
    </row>
    <row r="2584" spans="2:4" x14ac:dyDescent="0.35">
      <c r="B2584" s="9">
        <v>42396</v>
      </c>
      <c r="C2584" s="12">
        <v>130.69999999999999</v>
      </c>
      <c r="D2584" t="s">
        <v>5877</v>
      </c>
    </row>
    <row r="2585" spans="2:4" x14ac:dyDescent="0.35">
      <c r="B2585" s="9">
        <v>42397</v>
      </c>
      <c r="C2585" s="12">
        <v>103.3</v>
      </c>
      <c r="D2585" t="s">
        <v>5877</v>
      </c>
    </row>
    <row r="2586" spans="2:4" x14ac:dyDescent="0.35">
      <c r="B2586" s="9">
        <v>42398</v>
      </c>
      <c r="C2586" s="12">
        <v>94</v>
      </c>
      <c r="D2586" t="s">
        <v>5877</v>
      </c>
    </row>
    <row r="2587" spans="2:4" x14ac:dyDescent="0.35">
      <c r="B2587" s="9">
        <v>42399</v>
      </c>
      <c r="C2587" s="12">
        <v>84</v>
      </c>
      <c r="D2587" t="s">
        <v>5877</v>
      </c>
    </row>
    <row r="2588" spans="2:4" x14ac:dyDescent="0.35">
      <c r="B2588" s="9">
        <v>42400</v>
      </c>
      <c r="C2588" s="12">
        <v>77.900000000000006</v>
      </c>
      <c r="D2588" t="s">
        <v>5877</v>
      </c>
    </row>
    <row r="2589" spans="2:4" x14ac:dyDescent="0.35">
      <c r="B2589" s="9">
        <v>42401</v>
      </c>
      <c r="C2589" s="12">
        <v>119.7</v>
      </c>
      <c r="D2589" t="s">
        <v>5877</v>
      </c>
    </row>
    <row r="2590" spans="2:4" x14ac:dyDescent="0.35">
      <c r="B2590" s="9">
        <v>42402</v>
      </c>
      <c r="C2590" s="12">
        <v>135.19999999999999</v>
      </c>
      <c r="D2590" t="s">
        <v>5877</v>
      </c>
    </row>
    <row r="2591" spans="2:4" x14ac:dyDescent="0.35">
      <c r="B2591" s="9">
        <v>42403</v>
      </c>
      <c r="C2591" s="12">
        <v>105.4</v>
      </c>
      <c r="D2591" t="s">
        <v>5877</v>
      </c>
    </row>
    <row r="2592" spans="2:4" x14ac:dyDescent="0.35">
      <c r="B2592" s="9">
        <v>42404</v>
      </c>
      <c r="C2592" s="12">
        <v>107.5</v>
      </c>
      <c r="D2592" t="s">
        <v>5877</v>
      </c>
    </row>
    <row r="2593" spans="2:4" x14ac:dyDescent="0.35">
      <c r="B2593" s="9">
        <v>42405</v>
      </c>
      <c r="C2593" s="12">
        <v>87.3</v>
      </c>
      <c r="D2593" t="s">
        <v>5877</v>
      </c>
    </row>
    <row r="2594" spans="2:4" x14ac:dyDescent="0.35">
      <c r="B2594" s="9">
        <v>42406</v>
      </c>
      <c r="C2594" s="12">
        <v>73.7</v>
      </c>
      <c r="D2594" t="s">
        <v>5877</v>
      </c>
    </row>
    <row r="2595" spans="2:4" x14ac:dyDescent="0.35">
      <c r="B2595" s="9">
        <v>42407</v>
      </c>
      <c r="C2595" s="12">
        <v>68</v>
      </c>
      <c r="D2595" t="s">
        <v>5877</v>
      </c>
    </row>
    <row r="2596" spans="2:4" x14ac:dyDescent="0.35">
      <c r="B2596" s="9">
        <v>42408</v>
      </c>
      <c r="C2596" s="12">
        <v>121.3</v>
      </c>
      <c r="D2596" t="s">
        <v>5877</v>
      </c>
    </row>
    <row r="2597" spans="2:4" x14ac:dyDescent="0.35">
      <c r="B2597" s="9">
        <v>42409</v>
      </c>
      <c r="C2597" s="12">
        <v>103.6</v>
      </c>
      <c r="D2597" t="s">
        <v>5877</v>
      </c>
    </row>
    <row r="2598" spans="2:4" x14ac:dyDescent="0.35">
      <c r="B2598" s="9">
        <v>42410</v>
      </c>
      <c r="C2598" s="12">
        <v>87.1</v>
      </c>
      <c r="D2598" t="s">
        <v>5877</v>
      </c>
    </row>
    <row r="2599" spans="2:4" x14ac:dyDescent="0.35">
      <c r="B2599" s="9">
        <v>42411</v>
      </c>
      <c r="C2599" s="12">
        <v>92.1</v>
      </c>
      <c r="D2599" t="s">
        <v>5877</v>
      </c>
    </row>
    <row r="2600" spans="2:4" x14ac:dyDescent="0.35">
      <c r="B2600" s="9">
        <v>42412</v>
      </c>
      <c r="C2600" s="12">
        <v>89.5</v>
      </c>
      <c r="D2600" t="s">
        <v>5877</v>
      </c>
    </row>
    <row r="2601" spans="2:4" x14ac:dyDescent="0.35">
      <c r="B2601" s="9">
        <v>42413</v>
      </c>
      <c r="C2601" s="12">
        <v>102.3</v>
      </c>
      <c r="D2601" t="s">
        <v>5877</v>
      </c>
    </row>
    <row r="2602" spans="2:4" x14ac:dyDescent="0.35">
      <c r="B2602" s="9">
        <v>42414</v>
      </c>
      <c r="C2602" s="12">
        <v>124.7</v>
      </c>
      <c r="D2602" t="s">
        <v>5877</v>
      </c>
    </row>
    <row r="2603" spans="2:4" x14ac:dyDescent="0.35">
      <c r="B2603" s="9">
        <v>42415</v>
      </c>
      <c r="C2603" s="12">
        <v>104</v>
      </c>
      <c r="D2603" t="s">
        <v>5877</v>
      </c>
    </row>
    <row r="2604" spans="2:4" x14ac:dyDescent="0.35">
      <c r="B2604" s="9">
        <v>42416</v>
      </c>
      <c r="C2604" s="12">
        <v>86</v>
      </c>
      <c r="D2604" t="s">
        <v>5877</v>
      </c>
    </row>
    <row r="2605" spans="2:4" x14ac:dyDescent="0.35">
      <c r="B2605" s="9">
        <v>42417</v>
      </c>
      <c r="C2605" s="12">
        <v>78.599999999999994</v>
      </c>
      <c r="D2605" t="s">
        <v>5877</v>
      </c>
    </row>
    <row r="2606" spans="2:4" x14ac:dyDescent="0.35">
      <c r="B2606" s="9">
        <v>42418</v>
      </c>
      <c r="C2606" s="12">
        <v>127.9</v>
      </c>
      <c r="D2606" t="s">
        <v>5877</v>
      </c>
    </row>
    <row r="2607" spans="2:4" x14ac:dyDescent="0.35">
      <c r="B2607" s="9">
        <v>42419</v>
      </c>
      <c r="C2607" s="12">
        <v>131.5</v>
      </c>
      <c r="D2607" t="s">
        <v>5877</v>
      </c>
    </row>
    <row r="2608" spans="2:4" x14ac:dyDescent="0.35">
      <c r="B2608" s="9">
        <v>42420</v>
      </c>
      <c r="C2608" s="12">
        <v>117</v>
      </c>
      <c r="D2608" t="s">
        <v>5877</v>
      </c>
    </row>
    <row r="2609" spans="2:4" x14ac:dyDescent="0.35">
      <c r="B2609" s="9">
        <v>42421</v>
      </c>
      <c r="C2609" s="12">
        <v>100.9</v>
      </c>
      <c r="D2609" t="s">
        <v>5877</v>
      </c>
    </row>
    <row r="2610" spans="2:4" x14ac:dyDescent="0.35">
      <c r="B2610" s="9">
        <v>42422</v>
      </c>
      <c r="C2610" s="12">
        <v>120</v>
      </c>
      <c r="D2610" t="s">
        <v>5877</v>
      </c>
    </row>
    <row r="2611" spans="2:4" x14ac:dyDescent="0.35">
      <c r="B2611" s="9">
        <v>42423</v>
      </c>
      <c r="C2611" s="12">
        <v>148.19999999999999</v>
      </c>
      <c r="D2611" t="s">
        <v>5877</v>
      </c>
    </row>
    <row r="2612" spans="2:4" x14ac:dyDescent="0.35">
      <c r="B2612" s="9">
        <v>42424</v>
      </c>
      <c r="C2612" s="12">
        <v>127.4</v>
      </c>
      <c r="D2612" t="s">
        <v>5877</v>
      </c>
    </row>
    <row r="2613" spans="2:4" x14ac:dyDescent="0.35">
      <c r="B2613" s="9">
        <v>42425</v>
      </c>
      <c r="C2613" s="12">
        <v>124.2</v>
      </c>
      <c r="D2613" t="s">
        <v>5877</v>
      </c>
    </row>
    <row r="2614" spans="2:4" x14ac:dyDescent="0.35">
      <c r="B2614" s="9">
        <v>42426</v>
      </c>
      <c r="C2614" s="12">
        <v>109.3</v>
      </c>
      <c r="D2614" t="s">
        <v>5877</v>
      </c>
    </row>
    <row r="2615" spans="2:4" x14ac:dyDescent="0.35">
      <c r="B2615" s="9">
        <v>42427</v>
      </c>
      <c r="C2615" s="12">
        <v>104.9</v>
      </c>
      <c r="D2615" t="s">
        <v>5877</v>
      </c>
    </row>
    <row r="2616" spans="2:4" x14ac:dyDescent="0.35">
      <c r="B2616" s="9">
        <v>42428</v>
      </c>
      <c r="C2616" s="12">
        <v>88.7</v>
      </c>
      <c r="D2616" t="s">
        <v>5877</v>
      </c>
    </row>
    <row r="2617" spans="2:4" x14ac:dyDescent="0.35">
      <c r="B2617" s="9">
        <v>42429</v>
      </c>
      <c r="C2617" s="12">
        <v>77.5</v>
      </c>
      <c r="D2617" t="s">
        <v>5877</v>
      </c>
    </row>
    <row r="2618" spans="2:4" x14ac:dyDescent="0.35">
      <c r="B2618" s="9">
        <v>42430</v>
      </c>
      <c r="C2618" s="12">
        <v>105.8</v>
      </c>
      <c r="D2618" t="s">
        <v>5877</v>
      </c>
    </row>
    <row r="2619" spans="2:4" x14ac:dyDescent="0.35">
      <c r="B2619" s="9">
        <v>42431</v>
      </c>
      <c r="C2619" s="12">
        <v>136.9</v>
      </c>
      <c r="D2619" t="s">
        <v>5877</v>
      </c>
    </row>
    <row r="2620" spans="2:4" x14ac:dyDescent="0.35">
      <c r="B2620" s="9">
        <v>42432</v>
      </c>
      <c r="C2620" s="12">
        <v>176.7</v>
      </c>
      <c r="D2620" t="s">
        <v>5877</v>
      </c>
    </row>
    <row r="2621" spans="2:4" x14ac:dyDescent="0.35">
      <c r="B2621" s="9">
        <v>42433</v>
      </c>
      <c r="C2621" s="12">
        <v>160.9</v>
      </c>
      <c r="D2621" t="s">
        <v>5877</v>
      </c>
    </row>
    <row r="2622" spans="2:4" x14ac:dyDescent="0.35">
      <c r="B2622" s="9">
        <v>42434</v>
      </c>
      <c r="C2622" s="12">
        <v>165.2</v>
      </c>
      <c r="D2622" t="s">
        <v>5877</v>
      </c>
    </row>
    <row r="2623" spans="2:4" x14ac:dyDescent="0.35">
      <c r="B2623" s="9">
        <v>42435</v>
      </c>
      <c r="C2623" s="12">
        <v>163.80000000000001</v>
      </c>
      <c r="D2623" t="s">
        <v>5877</v>
      </c>
    </row>
    <row r="2624" spans="2:4" x14ac:dyDescent="0.35">
      <c r="B2624" s="9">
        <v>42436</v>
      </c>
      <c r="C2624" s="12">
        <v>140.4</v>
      </c>
      <c r="D2624" t="s">
        <v>5877</v>
      </c>
    </row>
    <row r="2625" spans="2:4" x14ac:dyDescent="0.35">
      <c r="B2625" s="9">
        <v>42437</v>
      </c>
      <c r="C2625" s="12">
        <v>242.9</v>
      </c>
      <c r="D2625" t="s">
        <v>5877</v>
      </c>
    </row>
    <row r="2626" spans="2:4" x14ac:dyDescent="0.35">
      <c r="B2626" s="9">
        <v>42438</v>
      </c>
      <c r="C2626" s="12">
        <v>242.8</v>
      </c>
      <c r="D2626" t="s">
        <v>5877</v>
      </c>
    </row>
    <row r="2627" spans="2:4" x14ac:dyDescent="0.35">
      <c r="B2627" s="9">
        <v>42439</v>
      </c>
      <c r="C2627" s="12">
        <v>167.8</v>
      </c>
      <c r="D2627" t="s">
        <v>5877</v>
      </c>
    </row>
    <row r="2628" spans="2:4" x14ac:dyDescent="0.35">
      <c r="B2628" s="9">
        <v>42440</v>
      </c>
      <c r="C2628" s="12">
        <v>147.30000000000001</v>
      </c>
      <c r="D2628" t="s">
        <v>5877</v>
      </c>
    </row>
    <row r="2629" spans="2:4" x14ac:dyDescent="0.35">
      <c r="B2629" s="9">
        <v>42441</v>
      </c>
      <c r="C2629" s="12">
        <v>126.7</v>
      </c>
      <c r="D2629" t="s">
        <v>5877</v>
      </c>
    </row>
    <row r="2630" spans="2:4" x14ac:dyDescent="0.35">
      <c r="B2630" s="9">
        <v>42442</v>
      </c>
      <c r="C2630" s="12">
        <v>128.69999999999999</v>
      </c>
      <c r="D2630" t="s">
        <v>5877</v>
      </c>
    </row>
    <row r="2631" spans="2:4" x14ac:dyDescent="0.35">
      <c r="B2631" s="9">
        <v>42443</v>
      </c>
      <c r="C2631" s="12">
        <v>139.69999999999999</v>
      </c>
      <c r="D2631" t="s">
        <v>5877</v>
      </c>
    </row>
    <row r="2632" spans="2:4" x14ac:dyDescent="0.35">
      <c r="B2632" s="9">
        <v>42444</v>
      </c>
      <c r="C2632" s="12">
        <v>148.1</v>
      </c>
      <c r="D2632" t="s">
        <v>5877</v>
      </c>
    </row>
    <row r="2633" spans="2:4" x14ac:dyDescent="0.35">
      <c r="B2633" s="9">
        <v>42445</v>
      </c>
      <c r="C2633" s="12">
        <v>169.7</v>
      </c>
      <c r="D2633" t="s">
        <v>5877</v>
      </c>
    </row>
    <row r="2634" spans="2:4" x14ac:dyDescent="0.35">
      <c r="B2634" s="9">
        <v>42446</v>
      </c>
      <c r="C2634" s="12">
        <v>137</v>
      </c>
      <c r="D2634" t="s">
        <v>5877</v>
      </c>
    </row>
    <row r="2635" spans="2:4" x14ac:dyDescent="0.35">
      <c r="B2635" s="9">
        <v>42447</v>
      </c>
      <c r="C2635" s="12">
        <v>152.1</v>
      </c>
      <c r="D2635" t="s">
        <v>5877</v>
      </c>
    </row>
    <row r="2636" spans="2:4" x14ac:dyDescent="0.35">
      <c r="B2636" s="9">
        <v>42448</v>
      </c>
      <c r="C2636" s="12">
        <v>118.9</v>
      </c>
      <c r="D2636" t="s">
        <v>5877</v>
      </c>
    </row>
    <row r="2637" spans="2:4" x14ac:dyDescent="0.35">
      <c r="B2637" s="9">
        <v>42449</v>
      </c>
      <c r="C2637" s="12">
        <v>123.8</v>
      </c>
      <c r="D2637" t="s">
        <v>5877</v>
      </c>
    </row>
    <row r="2638" spans="2:4" x14ac:dyDescent="0.35">
      <c r="B2638" s="9">
        <v>42450</v>
      </c>
      <c r="C2638" s="12">
        <v>154.30000000000001</v>
      </c>
      <c r="D2638" t="s">
        <v>5877</v>
      </c>
    </row>
    <row r="2639" spans="2:4" x14ac:dyDescent="0.35">
      <c r="B2639" s="9">
        <v>42451</v>
      </c>
      <c r="C2639" s="12">
        <v>161.69999999999999</v>
      </c>
      <c r="D2639" t="s">
        <v>5877</v>
      </c>
    </row>
    <row r="2640" spans="2:4" x14ac:dyDescent="0.35">
      <c r="B2640" s="9">
        <v>42452</v>
      </c>
      <c r="C2640" s="12">
        <v>130.1</v>
      </c>
      <c r="D2640" t="s">
        <v>5877</v>
      </c>
    </row>
    <row r="2641" spans="2:4" x14ac:dyDescent="0.35">
      <c r="B2641" s="9">
        <v>42453</v>
      </c>
      <c r="C2641" s="12">
        <v>111.9</v>
      </c>
      <c r="D2641" t="s">
        <v>5877</v>
      </c>
    </row>
    <row r="2642" spans="2:4" x14ac:dyDescent="0.35">
      <c r="B2642" s="9">
        <v>42454</v>
      </c>
      <c r="C2642" s="12">
        <v>107.5</v>
      </c>
      <c r="D2642" t="s">
        <v>5877</v>
      </c>
    </row>
    <row r="2643" spans="2:4" x14ac:dyDescent="0.35">
      <c r="B2643" s="9">
        <v>42455</v>
      </c>
      <c r="C2643" s="12">
        <v>112.3</v>
      </c>
      <c r="D2643" t="s">
        <v>5877</v>
      </c>
    </row>
    <row r="2644" spans="2:4" x14ac:dyDescent="0.35">
      <c r="B2644" s="9">
        <v>42456</v>
      </c>
      <c r="C2644" s="12">
        <v>141.5</v>
      </c>
      <c r="D2644" t="s">
        <v>5877</v>
      </c>
    </row>
    <row r="2645" spans="2:4" x14ac:dyDescent="0.35">
      <c r="B2645" s="9">
        <v>42457</v>
      </c>
      <c r="C2645" s="12">
        <v>129.1</v>
      </c>
      <c r="D2645" t="s">
        <v>5877</v>
      </c>
    </row>
    <row r="2646" spans="2:4" x14ac:dyDescent="0.35">
      <c r="B2646" s="9">
        <v>42458</v>
      </c>
      <c r="C2646" s="12">
        <v>103.5</v>
      </c>
      <c r="D2646" t="s">
        <v>5877</v>
      </c>
    </row>
    <row r="2647" spans="2:4" x14ac:dyDescent="0.35">
      <c r="B2647" s="9">
        <v>42459</v>
      </c>
      <c r="C2647" s="12">
        <v>115.3</v>
      </c>
      <c r="D2647" t="s">
        <v>5877</v>
      </c>
    </row>
    <row r="2648" spans="2:4" x14ac:dyDescent="0.35">
      <c r="B2648" s="9">
        <v>42460</v>
      </c>
      <c r="C2648" s="12">
        <v>137.1</v>
      </c>
      <c r="D2648" t="s">
        <v>5877</v>
      </c>
    </row>
    <row r="2649" spans="2:4" x14ac:dyDescent="0.35">
      <c r="B2649" s="9">
        <v>42461</v>
      </c>
      <c r="C2649" s="12">
        <v>226.9</v>
      </c>
      <c r="D2649" t="s">
        <v>5877</v>
      </c>
    </row>
    <row r="2650" spans="2:4" x14ac:dyDescent="0.35">
      <c r="B2650" s="9">
        <v>42462</v>
      </c>
      <c r="C2650" s="12">
        <v>231.8</v>
      </c>
      <c r="D2650" t="s">
        <v>5877</v>
      </c>
    </row>
    <row r="2651" spans="2:4" x14ac:dyDescent="0.35">
      <c r="B2651" s="9">
        <v>42463</v>
      </c>
      <c r="C2651" s="12">
        <v>159.80000000000001</v>
      </c>
      <c r="D2651" t="s">
        <v>5877</v>
      </c>
    </row>
    <row r="2652" spans="2:4" x14ac:dyDescent="0.35">
      <c r="B2652" s="9">
        <v>42464</v>
      </c>
      <c r="C2652" s="12">
        <v>128.80000000000001</v>
      </c>
      <c r="D2652" t="s">
        <v>5877</v>
      </c>
    </row>
    <row r="2653" spans="2:4" x14ac:dyDescent="0.35">
      <c r="B2653" s="9">
        <v>42465</v>
      </c>
      <c r="C2653" s="12">
        <v>105.5</v>
      </c>
      <c r="D2653" t="s">
        <v>5877</v>
      </c>
    </row>
    <row r="2654" spans="2:4" x14ac:dyDescent="0.35">
      <c r="B2654" s="9">
        <v>42466</v>
      </c>
      <c r="C2654" s="12">
        <v>94.8</v>
      </c>
      <c r="D2654" t="s">
        <v>5877</v>
      </c>
    </row>
    <row r="2655" spans="2:4" x14ac:dyDescent="0.35">
      <c r="B2655" s="9">
        <v>42467</v>
      </c>
      <c r="C2655" s="12">
        <v>134.6</v>
      </c>
      <c r="D2655" t="s">
        <v>5877</v>
      </c>
    </row>
    <row r="2656" spans="2:4" x14ac:dyDescent="0.35">
      <c r="B2656" s="9">
        <v>42468</v>
      </c>
      <c r="C2656" s="12">
        <v>179.1</v>
      </c>
      <c r="D2656" t="s">
        <v>5877</v>
      </c>
    </row>
    <row r="2657" spans="2:4" x14ac:dyDescent="0.35">
      <c r="B2657" s="9">
        <v>42469</v>
      </c>
      <c r="C2657" s="12">
        <v>167.2</v>
      </c>
      <c r="D2657" t="s">
        <v>5877</v>
      </c>
    </row>
    <row r="2658" spans="2:4" x14ac:dyDescent="0.35">
      <c r="B2658" s="9">
        <v>42470</v>
      </c>
      <c r="C2658" s="12">
        <v>123.8</v>
      </c>
      <c r="D2658" t="s">
        <v>5877</v>
      </c>
    </row>
    <row r="2659" spans="2:4" x14ac:dyDescent="0.35">
      <c r="B2659" s="9">
        <v>42471</v>
      </c>
      <c r="C2659" s="12">
        <v>101.7</v>
      </c>
      <c r="D2659" t="s">
        <v>5877</v>
      </c>
    </row>
    <row r="2660" spans="2:4" x14ac:dyDescent="0.35">
      <c r="B2660" s="9">
        <v>42472</v>
      </c>
      <c r="C2660" s="12">
        <v>96.9</v>
      </c>
      <c r="D2660" t="s">
        <v>5877</v>
      </c>
    </row>
    <row r="2661" spans="2:4" x14ac:dyDescent="0.35">
      <c r="B2661" s="9">
        <v>42473</v>
      </c>
      <c r="C2661" s="12">
        <v>104.8</v>
      </c>
      <c r="D2661" t="s">
        <v>5877</v>
      </c>
    </row>
    <row r="2662" spans="2:4" x14ac:dyDescent="0.35">
      <c r="B2662" s="9">
        <v>42474</v>
      </c>
      <c r="C2662" s="12">
        <v>112.5</v>
      </c>
      <c r="D2662" t="s">
        <v>5877</v>
      </c>
    </row>
    <row r="2663" spans="2:4" x14ac:dyDescent="0.35">
      <c r="B2663" s="9">
        <v>42475</v>
      </c>
      <c r="C2663" s="12">
        <v>97.7</v>
      </c>
      <c r="D2663" t="s">
        <v>5877</v>
      </c>
    </row>
    <row r="2664" spans="2:4" x14ac:dyDescent="0.35">
      <c r="B2664" s="9">
        <v>42476</v>
      </c>
      <c r="C2664" s="12">
        <v>99.3</v>
      </c>
      <c r="D2664" t="s">
        <v>5877</v>
      </c>
    </row>
    <row r="2665" spans="2:4" x14ac:dyDescent="0.35">
      <c r="B2665" s="9">
        <v>42477</v>
      </c>
      <c r="C2665" s="12">
        <v>132.5</v>
      </c>
      <c r="D2665" t="s">
        <v>5877</v>
      </c>
    </row>
    <row r="2666" spans="2:4" x14ac:dyDescent="0.35">
      <c r="B2666" s="9">
        <v>42478</v>
      </c>
      <c r="C2666" s="12">
        <v>222.4</v>
      </c>
      <c r="D2666" t="s">
        <v>5877</v>
      </c>
    </row>
    <row r="2667" spans="2:4" x14ac:dyDescent="0.35">
      <c r="B2667" s="9">
        <v>42479</v>
      </c>
      <c r="C2667" s="12">
        <v>193</v>
      </c>
      <c r="D2667" t="s">
        <v>5877</v>
      </c>
    </row>
    <row r="2668" spans="2:4" x14ac:dyDescent="0.35">
      <c r="B2668" s="9">
        <v>42480</v>
      </c>
      <c r="C2668" s="12">
        <v>192.9</v>
      </c>
      <c r="D2668" t="s">
        <v>5877</v>
      </c>
    </row>
    <row r="2669" spans="2:4" x14ac:dyDescent="0.35">
      <c r="B2669" s="9">
        <v>42481</v>
      </c>
      <c r="C2669" s="12">
        <v>137.4</v>
      </c>
      <c r="D2669" t="s">
        <v>5877</v>
      </c>
    </row>
    <row r="2670" spans="2:4" x14ac:dyDescent="0.35">
      <c r="B2670" s="9">
        <v>42482</v>
      </c>
      <c r="C2670" s="12">
        <v>109.4</v>
      </c>
      <c r="D2670" t="s">
        <v>5877</v>
      </c>
    </row>
    <row r="2671" spans="2:4" x14ac:dyDescent="0.35">
      <c r="B2671" s="9">
        <v>42483</v>
      </c>
      <c r="C2671" s="12">
        <v>147.69999999999999</v>
      </c>
      <c r="D2671" t="s">
        <v>5877</v>
      </c>
    </row>
    <row r="2672" spans="2:4" x14ac:dyDescent="0.35">
      <c r="B2672" s="9">
        <v>42484</v>
      </c>
      <c r="C2672" s="12">
        <v>214.3</v>
      </c>
      <c r="D2672" t="s">
        <v>5877</v>
      </c>
    </row>
    <row r="2673" spans="2:4" x14ac:dyDescent="0.35">
      <c r="B2673" s="9">
        <v>42485</v>
      </c>
      <c r="C2673" s="12">
        <v>183.2</v>
      </c>
      <c r="D2673" t="s">
        <v>5877</v>
      </c>
    </row>
    <row r="2674" spans="2:4" x14ac:dyDescent="0.35">
      <c r="B2674" s="9">
        <v>42486</v>
      </c>
      <c r="C2674" s="12">
        <v>145.6</v>
      </c>
      <c r="D2674" t="s">
        <v>5877</v>
      </c>
    </row>
    <row r="2675" spans="2:4" x14ac:dyDescent="0.35">
      <c r="B2675" s="9">
        <v>42487</v>
      </c>
      <c r="C2675" s="12">
        <v>171.3</v>
      </c>
      <c r="D2675" t="s">
        <v>5877</v>
      </c>
    </row>
    <row r="2676" spans="2:4" x14ac:dyDescent="0.35">
      <c r="B2676" s="9">
        <v>42488</v>
      </c>
      <c r="C2676" s="12">
        <v>145.19999999999999</v>
      </c>
      <c r="D2676" t="s">
        <v>5877</v>
      </c>
    </row>
    <row r="2677" spans="2:4" x14ac:dyDescent="0.35">
      <c r="B2677" s="9">
        <v>42489</v>
      </c>
      <c r="C2677" s="12">
        <v>125.5</v>
      </c>
      <c r="D2677" t="s">
        <v>5877</v>
      </c>
    </row>
    <row r="2678" spans="2:4" x14ac:dyDescent="0.35">
      <c r="B2678" s="9">
        <v>42490</v>
      </c>
      <c r="C2678" s="12">
        <v>109.1</v>
      </c>
      <c r="D2678" t="s">
        <v>5877</v>
      </c>
    </row>
    <row r="2679" spans="2:4" x14ac:dyDescent="0.35">
      <c r="B2679" s="9">
        <v>42491</v>
      </c>
      <c r="C2679" s="12">
        <v>100.3</v>
      </c>
      <c r="D2679" t="s">
        <v>5877</v>
      </c>
    </row>
    <row r="2680" spans="2:4" x14ac:dyDescent="0.35">
      <c r="B2680" s="9">
        <v>42492</v>
      </c>
      <c r="C2680" s="12">
        <v>106.5</v>
      </c>
      <c r="D2680" t="s">
        <v>5877</v>
      </c>
    </row>
    <row r="2681" spans="2:4" x14ac:dyDescent="0.35">
      <c r="B2681" s="9">
        <v>42493</v>
      </c>
      <c r="C2681" s="12">
        <v>120.5</v>
      </c>
      <c r="D2681" t="s">
        <v>5877</v>
      </c>
    </row>
    <row r="2682" spans="2:4" x14ac:dyDescent="0.35">
      <c r="B2682" s="9">
        <v>42494</v>
      </c>
      <c r="C2682" s="12">
        <v>110.4</v>
      </c>
      <c r="D2682" t="s">
        <v>5877</v>
      </c>
    </row>
    <row r="2683" spans="2:4" x14ac:dyDescent="0.35">
      <c r="B2683" s="9">
        <v>42495</v>
      </c>
      <c r="C2683" s="12">
        <v>137.4</v>
      </c>
      <c r="D2683" t="s">
        <v>5877</v>
      </c>
    </row>
    <row r="2684" spans="2:4" x14ac:dyDescent="0.35">
      <c r="B2684" s="9">
        <v>42496</v>
      </c>
      <c r="C2684" s="12">
        <v>210.1</v>
      </c>
      <c r="D2684" t="s">
        <v>5877</v>
      </c>
    </row>
    <row r="2685" spans="2:4" x14ac:dyDescent="0.35">
      <c r="B2685" s="9">
        <v>42497</v>
      </c>
      <c r="C2685" s="12">
        <v>174.4</v>
      </c>
      <c r="D2685" t="s">
        <v>5877</v>
      </c>
    </row>
    <row r="2686" spans="2:4" x14ac:dyDescent="0.35">
      <c r="B2686" s="9">
        <v>42498</v>
      </c>
      <c r="C2686" s="12">
        <v>135.4</v>
      </c>
      <c r="D2686" t="s">
        <v>5877</v>
      </c>
    </row>
    <row r="2687" spans="2:4" x14ac:dyDescent="0.35">
      <c r="B2687" s="9">
        <v>42499</v>
      </c>
      <c r="C2687" s="12">
        <v>107</v>
      </c>
      <c r="D2687" t="s">
        <v>5877</v>
      </c>
    </row>
    <row r="2688" spans="2:4" x14ac:dyDescent="0.35">
      <c r="B2688" s="9">
        <v>42500</v>
      </c>
      <c r="C2688" s="12">
        <v>100</v>
      </c>
      <c r="D2688" t="s">
        <v>5877</v>
      </c>
    </row>
    <row r="2689" spans="2:4" x14ac:dyDescent="0.35">
      <c r="B2689" s="9">
        <v>42501</v>
      </c>
      <c r="C2689" s="12">
        <v>87.3</v>
      </c>
      <c r="D2689" t="s">
        <v>5877</v>
      </c>
    </row>
    <row r="2690" spans="2:4" x14ac:dyDescent="0.35">
      <c r="B2690" s="9">
        <v>42502</v>
      </c>
      <c r="C2690" s="12">
        <v>77.3</v>
      </c>
      <c r="D2690" t="s">
        <v>5877</v>
      </c>
    </row>
    <row r="2691" spans="2:4" x14ac:dyDescent="0.35">
      <c r="B2691" s="9">
        <v>42503</v>
      </c>
      <c r="C2691" s="12">
        <v>68.900000000000006</v>
      </c>
      <c r="D2691" t="s">
        <v>5877</v>
      </c>
    </row>
    <row r="2692" spans="2:4" x14ac:dyDescent="0.35">
      <c r="B2692" s="9">
        <v>42504</v>
      </c>
      <c r="C2692" s="12">
        <v>61.5</v>
      </c>
      <c r="D2692" t="s">
        <v>5877</v>
      </c>
    </row>
    <row r="2693" spans="2:4" x14ac:dyDescent="0.35">
      <c r="B2693" s="9">
        <v>42505</v>
      </c>
      <c r="C2693" s="12">
        <v>55.6</v>
      </c>
      <c r="D2693" t="s">
        <v>5877</v>
      </c>
    </row>
    <row r="2694" spans="2:4" x14ac:dyDescent="0.35">
      <c r="B2694" s="9">
        <v>42506</v>
      </c>
      <c r="C2694" s="12">
        <v>61.5</v>
      </c>
      <c r="D2694" t="s">
        <v>5877</v>
      </c>
    </row>
    <row r="2695" spans="2:4" x14ac:dyDescent="0.35">
      <c r="B2695" s="9">
        <v>42507</v>
      </c>
      <c r="C2695" s="12">
        <v>66.8</v>
      </c>
      <c r="D2695" t="s">
        <v>5877</v>
      </c>
    </row>
    <row r="2696" spans="2:4" x14ac:dyDescent="0.35">
      <c r="B2696" s="9">
        <v>42508</v>
      </c>
      <c r="C2696" s="12">
        <v>55.4</v>
      </c>
      <c r="D2696" t="s">
        <v>5877</v>
      </c>
    </row>
    <row r="2697" spans="2:4" x14ac:dyDescent="0.35">
      <c r="B2697" s="9">
        <v>42509</v>
      </c>
      <c r="C2697" s="12">
        <v>45</v>
      </c>
      <c r="D2697" t="s">
        <v>5877</v>
      </c>
    </row>
    <row r="2698" spans="2:4" x14ac:dyDescent="0.35">
      <c r="B2698" s="9">
        <v>42510</v>
      </c>
      <c r="C2698" s="12">
        <v>37.700000000000003</v>
      </c>
      <c r="D2698" t="s">
        <v>5877</v>
      </c>
    </row>
    <row r="2699" spans="2:4" x14ac:dyDescent="0.35">
      <c r="B2699" s="9">
        <v>42511</v>
      </c>
      <c r="C2699" s="12">
        <v>32.5</v>
      </c>
      <c r="D2699" t="s">
        <v>5877</v>
      </c>
    </row>
    <row r="2700" spans="2:4" x14ac:dyDescent="0.35">
      <c r="B2700" s="9">
        <v>42512</v>
      </c>
      <c r="C2700" s="12">
        <v>28.5</v>
      </c>
      <c r="D2700" t="s">
        <v>5877</v>
      </c>
    </row>
    <row r="2701" spans="2:4" x14ac:dyDescent="0.35">
      <c r="B2701" s="9">
        <v>42513</v>
      </c>
      <c r="C2701" s="12">
        <v>25.3</v>
      </c>
      <c r="D2701" t="s">
        <v>5877</v>
      </c>
    </row>
    <row r="2702" spans="2:4" x14ac:dyDescent="0.35">
      <c r="B2702" s="9">
        <v>42514</v>
      </c>
      <c r="C2702" s="12">
        <v>22.6</v>
      </c>
      <c r="D2702" t="s">
        <v>5877</v>
      </c>
    </row>
    <row r="2703" spans="2:4" x14ac:dyDescent="0.35">
      <c r="B2703" s="9">
        <v>42515</v>
      </c>
      <c r="C2703" s="12">
        <v>20.2</v>
      </c>
      <c r="D2703" t="s">
        <v>5877</v>
      </c>
    </row>
    <row r="2704" spans="2:4" x14ac:dyDescent="0.35">
      <c r="B2704" s="9">
        <v>42516</v>
      </c>
      <c r="C2704" s="12">
        <v>18.100000000000001</v>
      </c>
      <c r="D2704" t="s">
        <v>5877</v>
      </c>
    </row>
    <row r="2705" spans="2:4" x14ac:dyDescent="0.35">
      <c r="B2705" s="9">
        <v>42517</v>
      </c>
      <c r="C2705" s="12">
        <v>16.3</v>
      </c>
      <c r="D2705" t="s">
        <v>5877</v>
      </c>
    </row>
    <row r="2706" spans="2:4" x14ac:dyDescent="0.35">
      <c r="B2706" s="9">
        <v>42518</v>
      </c>
      <c r="C2706" s="12">
        <v>14.6</v>
      </c>
      <c r="D2706" t="s">
        <v>5877</v>
      </c>
    </row>
    <row r="2707" spans="2:4" x14ac:dyDescent="0.35">
      <c r="B2707" s="9">
        <v>42519</v>
      </c>
      <c r="C2707" s="12">
        <v>13.1</v>
      </c>
      <c r="D2707" t="s">
        <v>5877</v>
      </c>
    </row>
    <row r="2708" spans="2:4" x14ac:dyDescent="0.35">
      <c r="B2708" s="9">
        <v>42520</v>
      </c>
      <c r="C2708" s="12">
        <v>12.2</v>
      </c>
      <c r="D2708" t="s">
        <v>5877</v>
      </c>
    </row>
    <row r="2709" spans="2:4" x14ac:dyDescent="0.35">
      <c r="B2709" s="9">
        <v>42521</v>
      </c>
      <c r="C2709" s="12">
        <v>14.3</v>
      </c>
      <c r="D2709" t="s">
        <v>5877</v>
      </c>
    </row>
    <row r="2710" spans="2:4" x14ac:dyDescent="0.35">
      <c r="B2710" s="9">
        <v>42522</v>
      </c>
      <c r="C2710" s="12">
        <v>13.7</v>
      </c>
      <c r="D2710" t="s">
        <v>5877</v>
      </c>
    </row>
    <row r="2711" spans="2:4" x14ac:dyDescent="0.35">
      <c r="B2711" s="9">
        <v>42523</v>
      </c>
      <c r="C2711" s="12">
        <v>12.1</v>
      </c>
      <c r="D2711" t="s">
        <v>5877</v>
      </c>
    </row>
    <row r="2712" spans="2:4" x14ac:dyDescent="0.35">
      <c r="B2712" s="9">
        <v>42524</v>
      </c>
      <c r="C2712" s="12">
        <v>10.3</v>
      </c>
      <c r="D2712" t="s">
        <v>5877</v>
      </c>
    </row>
    <row r="2713" spans="2:4" x14ac:dyDescent="0.35">
      <c r="B2713" s="9">
        <v>42525</v>
      </c>
      <c r="C2713" s="12">
        <v>8.9</v>
      </c>
      <c r="D2713" t="s">
        <v>5877</v>
      </c>
    </row>
    <row r="2714" spans="2:4" x14ac:dyDescent="0.35">
      <c r="B2714" s="9">
        <v>42526</v>
      </c>
      <c r="C2714" s="12">
        <v>7.8</v>
      </c>
      <c r="D2714" t="s">
        <v>5877</v>
      </c>
    </row>
    <row r="2715" spans="2:4" x14ac:dyDescent="0.35">
      <c r="B2715" s="9">
        <v>42527</v>
      </c>
      <c r="C2715" s="12">
        <v>6.9</v>
      </c>
      <c r="D2715" t="s">
        <v>5877</v>
      </c>
    </row>
    <row r="2716" spans="2:4" x14ac:dyDescent="0.35">
      <c r="B2716" s="9">
        <v>42528</v>
      </c>
      <c r="C2716" s="12">
        <v>6.2</v>
      </c>
      <c r="D2716" t="s">
        <v>5877</v>
      </c>
    </row>
    <row r="2717" spans="2:4" x14ac:dyDescent="0.35">
      <c r="B2717" s="9">
        <v>42529</v>
      </c>
      <c r="C2717" s="12">
        <v>5.5</v>
      </c>
      <c r="D2717" t="s">
        <v>5877</v>
      </c>
    </row>
    <row r="2718" spans="2:4" x14ac:dyDescent="0.35">
      <c r="B2718" s="9">
        <v>42530</v>
      </c>
      <c r="C2718" s="12">
        <v>4.9000000000000004</v>
      </c>
      <c r="D2718" t="s">
        <v>5877</v>
      </c>
    </row>
    <row r="2719" spans="2:4" x14ac:dyDescent="0.35">
      <c r="B2719" s="9">
        <v>42531</v>
      </c>
      <c r="C2719" s="12">
        <v>4.4000000000000004</v>
      </c>
      <c r="D2719" t="s">
        <v>5877</v>
      </c>
    </row>
    <row r="2720" spans="2:4" x14ac:dyDescent="0.35">
      <c r="B2720" s="9">
        <v>42532</v>
      </c>
      <c r="C2720" s="12">
        <v>4</v>
      </c>
      <c r="D2720" t="s">
        <v>5877</v>
      </c>
    </row>
    <row r="2721" spans="2:4" x14ac:dyDescent="0.35">
      <c r="B2721" s="9">
        <v>42533</v>
      </c>
      <c r="C2721" s="12">
        <v>3.6</v>
      </c>
      <c r="D2721" t="s">
        <v>5877</v>
      </c>
    </row>
    <row r="2722" spans="2:4" x14ac:dyDescent="0.35">
      <c r="B2722" s="9">
        <v>42534</v>
      </c>
      <c r="C2722" s="12">
        <v>3.2</v>
      </c>
      <c r="D2722" t="s">
        <v>5877</v>
      </c>
    </row>
    <row r="2723" spans="2:4" x14ac:dyDescent="0.35">
      <c r="B2723" s="9">
        <v>42535</v>
      </c>
      <c r="C2723" s="12">
        <v>2.9</v>
      </c>
      <c r="D2723" t="s">
        <v>5877</v>
      </c>
    </row>
    <row r="2724" spans="2:4" x14ac:dyDescent="0.35">
      <c r="B2724" s="9">
        <v>42536</v>
      </c>
      <c r="C2724" s="12">
        <v>2.6</v>
      </c>
      <c r="D2724" t="s">
        <v>5877</v>
      </c>
    </row>
    <row r="2725" spans="2:4" x14ac:dyDescent="0.35">
      <c r="B2725" s="9">
        <v>42537</v>
      </c>
      <c r="C2725" s="12">
        <v>2.2999999999999998</v>
      </c>
      <c r="D2725" t="s">
        <v>5877</v>
      </c>
    </row>
    <row r="2726" spans="2:4" x14ac:dyDescent="0.35">
      <c r="B2726" s="9">
        <v>42538</v>
      </c>
      <c r="C2726" s="12">
        <v>2.2000000000000002</v>
      </c>
      <c r="D2726" t="s">
        <v>5877</v>
      </c>
    </row>
    <row r="2727" spans="2:4" x14ac:dyDescent="0.35">
      <c r="B2727" s="9">
        <v>42539</v>
      </c>
      <c r="C2727" s="12">
        <v>2.2000000000000002</v>
      </c>
      <c r="D2727" t="s">
        <v>5877</v>
      </c>
    </row>
    <row r="2728" spans="2:4" x14ac:dyDescent="0.35">
      <c r="B2728" s="9">
        <v>42540</v>
      </c>
      <c r="C2728" s="12">
        <v>7.1</v>
      </c>
      <c r="D2728" t="s">
        <v>5877</v>
      </c>
    </row>
    <row r="2729" spans="2:4" x14ac:dyDescent="0.35">
      <c r="B2729" s="9">
        <v>42541</v>
      </c>
      <c r="C2729" s="12">
        <v>6.8</v>
      </c>
      <c r="D2729" t="s">
        <v>5877</v>
      </c>
    </row>
    <row r="2730" spans="2:4" x14ac:dyDescent="0.35">
      <c r="B2730" s="9">
        <v>42542</v>
      </c>
      <c r="C2730" s="12">
        <v>4.9000000000000004</v>
      </c>
      <c r="D2730" t="s">
        <v>5877</v>
      </c>
    </row>
    <row r="2731" spans="2:4" x14ac:dyDescent="0.35">
      <c r="B2731" s="9">
        <v>42543</v>
      </c>
      <c r="C2731" s="12">
        <v>4.7</v>
      </c>
      <c r="D2731" t="s">
        <v>5877</v>
      </c>
    </row>
    <row r="2732" spans="2:4" x14ac:dyDescent="0.35">
      <c r="B2732" s="9">
        <v>42544</v>
      </c>
      <c r="C2732" s="12">
        <v>20.100000000000001</v>
      </c>
      <c r="D2732" t="s">
        <v>5877</v>
      </c>
    </row>
    <row r="2733" spans="2:4" x14ac:dyDescent="0.35">
      <c r="B2733" s="9">
        <v>42545</v>
      </c>
      <c r="C2733" s="12">
        <v>15.3</v>
      </c>
      <c r="D2733" t="s">
        <v>5877</v>
      </c>
    </row>
    <row r="2734" spans="2:4" x14ac:dyDescent="0.35">
      <c r="B2734" s="9">
        <v>42546</v>
      </c>
      <c r="C2734" s="12">
        <v>10.7</v>
      </c>
      <c r="D2734" t="s">
        <v>5877</v>
      </c>
    </row>
    <row r="2735" spans="2:4" x14ac:dyDescent="0.35">
      <c r="B2735" s="9">
        <v>42547</v>
      </c>
      <c r="C2735" s="12">
        <v>8.1999999999999993</v>
      </c>
      <c r="D2735" t="s">
        <v>5877</v>
      </c>
    </row>
    <row r="2736" spans="2:4" x14ac:dyDescent="0.35">
      <c r="B2736" s="9">
        <v>42548</v>
      </c>
      <c r="C2736" s="12">
        <v>6.6</v>
      </c>
      <c r="D2736" t="s">
        <v>5877</v>
      </c>
    </row>
    <row r="2737" spans="2:4" x14ac:dyDescent="0.35">
      <c r="B2737" s="9">
        <v>42549</v>
      </c>
      <c r="C2737" s="12">
        <v>5.7</v>
      </c>
      <c r="D2737" t="s">
        <v>5877</v>
      </c>
    </row>
    <row r="2738" spans="2:4" x14ac:dyDescent="0.35">
      <c r="B2738" s="9">
        <v>42550</v>
      </c>
      <c r="C2738" s="12">
        <v>12</v>
      </c>
      <c r="D2738" t="s">
        <v>5877</v>
      </c>
    </row>
    <row r="2739" spans="2:4" x14ac:dyDescent="0.35">
      <c r="B2739" s="9">
        <v>42551</v>
      </c>
      <c r="C2739" s="12">
        <v>12.4</v>
      </c>
      <c r="D2739" t="s">
        <v>5877</v>
      </c>
    </row>
    <row r="2740" spans="2:4" x14ac:dyDescent="0.35">
      <c r="B2740" s="9">
        <v>42552</v>
      </c>
      <c r="C2740" s="12">
        <v>8.9</v>
      </c>
      <c r="D2740" t="s">
        <v>5877</v>
      </c>
    </row>
    <row r="2741" spans="2:4" x14ac:dyDescent="0.35">
      <c r="B2741" s="9">
        <v>42553</v>
      </c>
      <c r="C2741" s="12">
        <v>6.2</v>
      </c>
      <c r="D2741" t="s">
        <v>5877</v>
      </c>
    </row>
    <row r="2742" spans="2:4" x14ac:dyDescent="0.35">
      <c r="B2742" s="9">
        <v>42554</v>
      </c>
      <c r="C2742" s="12">
        <v>4.5999999999999996</v>
      </c>
      <c r="D2742" t="s">
        <v>5877</v>
      </c>
    </row>
    <row r="2743" spans="2:4" x14ac:dyDescent="0.35">
      <c r="B2743" s="9">
        <v>42555</v>
      </c>
      <c r="C2743" s="12">
        <v>3.9</v>
      </c>
      <c r="D2743" t="s">
        <v>5877</v>
      </c>
    </row>
    <row r="2744" spans="2:4" x14ac:dyDescent="0.35">
      <c r="B2744" s="9">
        <v>42556</v>
      </c>
      <c r="C2744" s="12">
        <v>3.4</v>
      </c>
      <c r="D2744" t="s">
        <v>5877</v>
      </c>
    </row>
    <row r="2745" spans="2:4" x14ac:dyDescent="0.35">
      <c r="B2745" s="9">
        <v>42557</v>
      </c>
      <c r="C2745" s="12">
        <v>3</v>
      </c>
      <c r="D2745" t="s">
        <v>5877</v>
      </c>
    </row>
    <row r="2746" spans="2:4" x14ac:dyDescent="0.35">
      <c r="B2746" s="9">
        <v>42558</v>
      </c>
      <c r="C2746" s="12">
        <v>2.7</v>
      </c>
      <c r="D2746" t="s">
        <v>5877</v>
      </c>
    </row>
    <row r="2747" spans="2:4" x14ac:dyDescent="0.35">
      <c r="B2747" s="9">
        <v>42559</v>
      </c>
      <c r="C2747" s="12">
        <v>2.4</v>
      </c>
      <c r="D2747" t="s">
        <v>5877</v>
      </c>
    </row>
    <row r="2748" spans="2:4" x14ac:dyDescent="0.35">
      <c r="B2748" s="9">
        <v>42560</v>
      </c>
      <c r="C2748" s="12">
        <v>2.1</v>
      </c>
      <c r="D2748" t="s">
        <v>5877</v>
      </c>
    </row>
    <row r="2749" spans="2:4" x14ac:dyDescent="0.35">
      <c r="B2749" s="9">
        <v>42561</v>
      </c>
      <c r="C2749" s="12">
        <v>1.9</v>
      </c>
      <c r="D2749" t="s">
        <v>5877</v>
      </c>
    </row>
    <row r="2750" spans="2:4" x14ac:dyDescent="0.35">
      <c r="B2750" s="9">
        <v>42562</v>
      </c>
      <c r="C2750" s="12">
        <v>1.7</v>
      </c>
      <c r="D2750" t="s">
        <v>5877</v>
      </c>
    </row>
    <row r="2751" spans="2:4" x14ac:dyDescent="0.35">
      <c r="B2751" s="9">
        <v>42563</v>
      </c>
      <c r="C2751" s="12">
        <v>1.6</v>
      </c>
      <c r="D2751" t="s">
        <v>5877</v>
      </c>
    </row>
    <row r="2752" spans="2:4" x14ac:dyDescent="0.35">
      <c r="B2752" s="9">
        <v>42564</v>
      </c>
      <c r="C2752" s="12">
        <v>1.7</v>
      </c>
      <c r="D2752" t="s">
        <v>5877</v>
      </c>
    </row>
    <row r="2753" spans="2:4" x14ac:dyDescent="0.35">
      <c r="B2753" s="9">
        <v>42565</v>
      </c>
      <c r="C2753" s="12">
        <v>1.5</v>
      </c>
      <c r="D2753" t="s">
        <v>5877</v>
      </c>
    </row>
    <row r="2754" spans="2:4" x14ac:dyDescent="0.35">
      <c r="B2754" s="9">
        <v>42566</v>
      </c>
      <c r="C2754" s="12">
        <v>1.3</v>
      </c>
      <c r="D2754" t="s">
        <v>5877</v>
      </c>
    </row>
    <row r="2755" spans="2:4" x14ac:dyDescent="0.35">
      <c r="B2755" s="9">
        <v>42567</v>
      </c>
      <c r="C2755" s="12">
        <v>1.1000000000000001</v>
      </c>
      <c r="D2755" t="s">
        <v>5877</v>
      </c>
    </row>
    <row r="2756" spans="2:4" x14ac:dyDescent="0.35">
      <c r="B2756" s="9">
        <v>42568</v>
      </c>
      <c r="C2756" s="12">
        <v>0.9</v>
      </c>
      <c r="D2756" t="s">
        <v>5877</v>
      </c>
    </row>
    <row r="2757" spans="2:4" x14ac:dyDescent="0.35">
      <c r="B2757" s="9">
        <v>42569</v>
      </c>
      <c r="C2757" s="12">
        <v>0.8</v>
      </c>
      <c r="D2757" t="s">
        <v>5877</v>
      </c>
    </row>
    <row r="2758" spans="2:4" x14ac:dyDescent="0.35">
      <c r="B2758" s="9">
        <v>42570</v>
      </c>
      <c r="C2758" s="12">
        <v>0.7</v>
      </c>
      <c r="D2758" t="s">
        <v>5877</v>
      </c>
    </row>
    <row r="2759" spans="2:4" x14ac:dyDescent="0.35">
      <c r="B2759" s="9">
        <v>42571</v>
      </c>
      <c r="C2759" s="12">
        <v>0.7</v>
      </c>
      <c r="D2759" t="s">
        <v>5877</v>
      </c>
    </row>
    <row r="2760" spans="2:4" x14ac:dyDescent="0.35">
      <c r="B2760" s="9">
        <v>42572</v>
      </c>
      <c r="C2760" s="12">
        <v>0.6</v>
      </c>
      <c r="D2760" t="s">
        <v>5877</v>
      </c>
    </row>
    <row r="2761" spans="2:4" x14ac:dyDescent="0.35">
      <c r="B2761" s="9">
        <v>42573</v>
      </c>
      <c r="C2761" s="12">
        <v>0.5</v>
      </c>
      <c r="D2761" t="s">
        <v>5877</v>
      </c>
    </row>
    <row r="2762" spans="2:4" x14ac:dyDescent="0.35">
      <c r="B2762" s="9">
        <v>42574</v>
      </c>
      <c r="C2762" s="12">
        <v>1.5</v>
      </c>
      <c r="D2762" t="s">
        <v>5877</v>
      </c>
    </row>
    <row r="2763" spans="2:4" x14ac:dyDescent="0.35">
      <c r="B2763" s="9">
        <v>42575</v>
      </c>
      <c r="C2763" s="12">
        <v>1.3</v>
      </c>
      <c r="D2763" t="s">
        <v>5877</v>
      </c>
    </row>
    <row r="2764" spans="2:4" x14ac:dyDescent="0.35">
      <c r="B2764" s="9">
        <v>42576</v>
      </c>
      <c r="C2764" s="12">
        <v>1.4</v>
      </c>
      <c r="D2764" t="s">
        <v>5877</v>
      </c>
    </row>
    <row r="2765" spans="2:4" x14ac:dyDescent="0.35">
      <c r="B2765" s="9">
        <v>42577</v>
      </c>
      <c r="C2765" s="12">
        <v>10</v>
      </c>
      <c r="D2765" t="s">
        <v>5877</v>
      </c>
    </row>
    <row r="2766" spans="2:4" x14ac:dyDescent="0.35">
      <c r="B2766" s="9">
        <v>42578</v>
      </c>
      <c r="C2766" s="12">
        <v>24.9</v>
      </c>
      <c r="D2766" t="s">
        <v>5877</v>
      </c>
    </row>
    <row r="2767" spans="2:4" x14ac:dyDescent="0.35">
      <c r="B2767" s="9">
        <v>42579</v>
      </c>
      <c r="C2767" s="12">
        <v>18.7</v>
      </c>
      <c r="D2767" t="s">
        <v>5877</v>
      </c>
    </row>
    <row r="2768" spans="2:4" x14ac:dyDescent="0.35">
      <c r="B2768" s="9">
        <v>42580</v>
      </c>
      <c r="C2768" s="12">
        <v>15.2</v>
      </c>
      <c r="D2768" t="s">
        <v>5877</v>
      </c>
    </row>
    <row r="2769" spans="2:4" x14ac:dyDescent="0.35">
      <c r="B2769" s="9">
        <v>42581</v>
      </c>
      <c r="C2769" s="12">
        <v>35.299999999999997</v>
      </c>
      <c r="D2769" t="s">
        <v>5877</v>
      </c>
    </row>
    <row r="2770" spans="2:4" x14ac:dyDescent="0.35">
      <c r="B2770" s="9">
        <v>42582</v>
      </c>
      <c r="C2770" s="12">
        <v>28</v>
      </c>
      <c r="D2770" t="s">
        <v>5877</v>
      </c>
    </row>
    <row r="2771" spans="2:4" x14ac:dyDescent="0.35">
      <c r="B2771" s="9">
        <v>42583</v>
      </c>
      <c r="C2771" s="12">
        <v>21.2</v>
      </c>
      <c r="D2771" t="s">
        <v>5877</v>
      </c>
    </row>
    <row r="2772" spans="2:4" x14ac:dyDescent="0.35">
      <c r="B2772" s="9">
        <v>42584</v>
      </c>
      <c r="C2772" s="12">
        <v>17.100000000000001</v>
      </c>
      <c r="D2772" t="s">
        <v>5877</v>
      </c>
    </row>
    <row r="2773" spans="2:4" x14ac:dyDescent="0.35">
      <c r="B2773" s="9">
        <v>42585</v>
      </c>
      <c r="C2773" s="12">
        <v>14.2</v>
      </c>
      <c r="D2773" t="s">
        <v>5877</v>
      </c>
    </row>
    <row r="2774" spans="2:4" x14ac:dyDescent="0.35">
      <c r="B2774" s="9">
        <v>42586</v>
      </c>
      <c r="C2774" s="12">
        <v>12.2</v>
      </c>
      <c r="D2774" t="s">
        <v>5877</v>
      </c>
    </row>
    <row r="2775" spans="2:4" x14ac:dyDescent="0.35">
      <c r="B2775" s="9">
        <v>42587</v>
      </c>
      <c r="C2775" s="12">
        <v>10.7</v>
      </c>
      <c r="D2775" t="s">
        <v>5877</v>
      </c>
    </row>
    <row r="2776" spans="2:4" x14ac:dyDescent="0.35">
      <c r="B2776" s="9">
        <v>42588</v>
      </c>
      <c r="C2776" s="12">
        <v>9.5</v>
      </c>
      <c r="D2776" t="s">
        <v>5877</v>
      </c>
    </row>
    <row r="2777" spans="2:4" x14ac:dyDescent="0.35">
      <c r="B2777" s="9">
        <v>42589</v>
      </c>
      <c r="C2777" s="12">
        <v>8.5</v>
      </c>
      <c r="D2777" t="s">
        <v>5877</v>
      </c>
    </row>
    <row r="2778" spans="2:4" x14ac:dyDescent="0.35">
      <c r="B2778" s="9">
        <v>42590</v>
      </c>
      <c r="C2778" s="12">
        <v>8</v>
      </c>
      <c r="D2778" t="s">
        <v>5877</v>
      </c>
    </row>
    <row r="2779" spans="2:4" x14ac:dyDescent="0.35">
      <c r="B2779" s="9">
        <v>42591</v>
      </c>
      <c r="C2779" s="12">
        <v>8.1999999999999993</v>
      </c>
      <c r="D2779" t="s">
        <v>5877</v>
      </c>
    </row>
    <row r="2780" spans="2:4" x14ac:dyDescent="0.35">
      <c r="B2780" s="9">
        <v>42592</v>
      </c>
      <c r="C2780" s="12">
        <v>8.4</v>
      </c>
      <c r="D2780" t="s">
        <v>5877</v>
      </c>
    </row>
    <row r="2781" spans="2:4" x14ac:dyDescent="0.35">
      <c r="B2781" s="9">
        <v>42593</v>
      </c>
      <c r="C2781" s="12">
        <v>11</v>
      </c>
      <c r="D2781" t="s">
        <v>5877</v>
      </c>
    </row>
    <row r="2782" spans="2:4" x14ac:dyDescent="0.35">
      <c r="B2782" s="9">
        <v>42594</v>
      </c>
      <c r="C2782" s="12">
        <v>28.1</v>
      </c>
      <c r="D2782" t="s">
        <v>5877</v>
      </c>
    </row>
    <row r="2783" spans="2:4" x14ac:dyDescent="0.35">
      <c r="B2783" s="9">
        <v>42595</v>
      </c>
      <c r="C2783" s="12">
        <v>22.1</v>
      </c>
      <c r="D2783" t="s">
        <v>5877</v>
      </c>
    </row>
    <row r="2784" spans="2:4" x14ac:dyDescent="0.35">
      <c r="B2784" s="9">
        <v>42596</v>
      </c>
      <c r="C2784" s="12">
        <v>18.600000000000001</v>
      </c>
      <c r="D2784" t="s">
        <v>5877</v>
      </c>
    </row>
    <row r="2785" spans="2:4" x14ac:dyDescent="0.35">
      <c r="B2785" s="9">
        <v>42597</v>
      </c>
      <c r="C2785" s="12">
        <v>50.6</v>
      </c>
      <c r="D2785" t="s">
        <v>5877</v>
      </c>
    </row>
    <row r="2786" spans="2:4" x14ac:dyDescent="0.35">
      <c r="B2786" s="9">
        <v>42598</v>
      </c>
      <c r="C2786" s="12">
        <v>56.6</v>
      </c>
      <c r="D2786" t="s">
        <v>5877</v>
      </c>
    </row>
    <row r="2787" spans="2:4" x14ac:dyDescent="0.35">
      <c r="B2787" s="9">
        <v>42599</v>
      </c>
      <c r="C2787" s="12">
        <v>43.7</v>
      </c>
      <c r="D2787" t="s">
        <v>5877</v>
      </c>
    </row>
    <row r="2788" spans="2:4" x14ac:dyDescent="0.35">
      <c r="B2788" s="9">
        <v>42600</v>
      </c>
      <c r="C2788" s="12">
        <v>32.799999999999997</v>
      </c>
      <c r="D2788" t="s">
        <v>5877</v>
      </c>
    </row>
    <row r="2789" spans="2:4" x14ac:dyDescent="0.35">
      <c r="B2789" s="9">
        <v>42601</v>
      </c>
      <c r="C2789" s="12">
        <v>45.7</v>
      </c>
      <c r="D2789" t="s">
        <v>5877</v>
      </c>
    </row>
    <row r="2790" spans="2:4" x14ac:dyDescent="0.35">
      <c r="B2790" s="9">
        <v>42602</v>
      </c>
      <c r="C2790" s="12">
        <v>38.5</v>
      </c>
      <c r="D2790" t="s">
        <v>5877</v>
      </c>
    </row>
    <row r="2791" spans="2:4" x14ac:dyDescent="0.35">
      <c r="B2791" s="9">
        <v>42603</v>
      </c>
      <c r="C2791" s="12">
        <v>40.6</v>
      </c>
      <c r="D2791" t="s">
        <v>5877</v>
      </c>
    </row>
    <row r="2792" spans="2:4" x14ac:dyDescent="0.35">
      <c r="B2792" s="9">
        <v>42604</v>
      </c>
      <c r="C2792" s="12">
        <v>55.3</v>
      </c>
      <c r="D2792" t="s">
        <v>5877</v>
      </c>
    </row>
    <row r="2793" spans="2:4" x14ac:dyDescent="0.35">
      <c r="B2793" s="9">
        <v>42605</v>
      </c>
      <c r="C2793" s="12">
        <v>61.4</v>
      </c>
      <c r="D2793" t="s">
        <v>5877</v>
      </c>
    </row>
    <row r="2794" spans="2:4" x14ac:dyDescent="0.35">
      <c r="B2794" s="9">
        <v>42606</v>
      </c>
      <c r="C2794" s="12">
        <v>63.7</v>
      </c>
      <c r="D2794" t="s">
        <v>5877</v>
      </c>
    </row>
    <row r="2795" spans="2:4" x14ac:dyDescent="0.35">
      <c r="B2795" s="9">
        <v>42607</v>
      </c>
      <c r="C2795" s="12">
        <v>92.8</v>
      </c>
      <c r="D2795" t="s">
        <v>5877</v>
      </c>
    </row>
    <row r="2796" spans="2:4" x14ac:dyDescent="0.35">
      <c r="B2796" s="9">
        <v>42608</v>
      </c>
      <c r="C2796" s="12">
        <v>67.5</v>
      </c>
      <c r="D2796" t="s">
        <v>5877</v>
      </c>
    </row>
    <row r="2797" spans="2:4" x14ac:dyDescent="0.35">
      <c r="B2797" s="9">
        <v>42609</v>
      </c>
      <c r="C2797" s="12">
        <v>69</v>
      </c>
      <c r="D2797" t="s">
        <v>5877</v>
      </c>
    </row>
    <row r="2798" spans="2:4" x14ac:dyDescent="0.35">
      <c r="B2798" s="9">
        <v>42610</v>
      </c>
      <c r="C2798" s="12">
        <v>51.5</v>
      </c>
      <c r="D2798" t="s">
        <v>5877</v>
      </c>
    </row>
    <row r="2799" spans="2:4" x14ac:dyDescent="0.35">
      <c r="B2799" s="9">
        <v>42611</v>
      </c>
      <c r="C2799" s="12">
        <v>41.5</v>
      </c>
      <c r="D2799" t="s">
        <v>5877</v>
      </c>
    </row>
    <row r="2800" spans="2:4" x14ac:dyDescent="0.35">
      <c r="B2800" s="9">
        <v>42612</v>
      </c>
      <c r="C2800" s="12">
        <v>38.200000000000003</v>
      </c>
      <c r="D2800" t="s">
        <v>5877</v>
      </c>
    </row>
    <row r="2801" spans="2:4" x14ac:dyDescent="0.35">
      <c r="B2801" s="9">
        <v>42613</v>
      </c>
      <c r="C2801" s="12">
        <v>34.1</v>
      </c>
      <c r="D2801" t="s">
        <v>5877</v>
      </c>
    </row>
    <row r="2802" spans="2:4" x14ac:dyDescent="0.35">
      <c r="B2802" s="9">
        <v>42614</v>
      </c>
      <c r="C2802" s="12">
        <v>29.5</v>
      </c>
      <c r="D2802" t="s">
        <v>5877</v>
      </c>
    </row>
    <row r="2803" spans="2:4" x14ac:dyDescent="0.35">
      <c r="B2803" s="9">
        <v>42615</v>
      </c>
      <c r="C2803" s="12">
        <v>27.4</v>
      </c>
      <c r="D2803" t="s">
        <v>5877</v>
      </c>
    </row>
    <row r="2804" spans="2:4" x14ac:dyDescent="0.35">
      <c r="B2804" s="9">
        <v>42616</v>
      </c>
      <c r="C2804" s="12">
        <v>45.9</v>
      </c>
      <c r="D2804" t="s">
        <v>5877</v>
      </c>
    </row>
    <row r="2805" spans="2:4" x14ac:dyDescent="0.35">
      <c r="B2805" s="9">
        <v>42617</v>
      </c>
      <c r="C2805" s="12">
        <v>38.700000000000003</v>
      </c>
      <c r="D2805" t="s">
        <v>5877</v>
      </c>
    </row>
    <row r="2806" spans="2:4" x14ac:dyDescent="0.35">
      <c r="B2806" s="9">
        <v>42618</v>
      </c>
      <c r="C2806" s="12">
        <v>40.799999999999997</v>
      </c>
      <c r="D2806" t="s">
        <v>5877</v>
      </c>
    </row>
    <row r="2807" spans="2:4" x14ac:dyDescent="0.35">
      <c r="B2807" s="9">
        <v>42619</v>
      </c>
      <c r="C2807" s="12">
        <v>60.2</v>
      </c>
      <c r="D2807" t="s">
        <v>5877</v>
      </c>
    </row>
    <row r="2808" spans="2:4" x14ac:dyDescent="0.35">
      <c r="B2808" s="9">
        <v>42620</v>
      </c>
      <c r="C2808" s="12">
        <v>64.5</v>
      </c>
      <c r="D2808" t="s">
        <v>5877</v>
      </c>
    </row>
    <row r="2809" spans="2:4" x14ac:dyDescent="0.35">
      <c r="B2809" s="9">
        <v>42621</v>
      </c>
      <c r="C2809" s="12">
        <v>48.1</v>
      </c>
      <c r="D2809" t="s">
        <v>5877</v>
      </c>
    </row>
    <row r="2810" spans="2:4" x14ac:dyDescent="0.35">
      <c r="B2810" s="9">
        <v>42622</v>
      </c>
      <c r="C2810" s="12">
        <v>50.7</v>
      </c>
      <c r="D2810" t="s">
        <v>5877</v>
      </c>
    </row>
    <row r="2811" spans="2:4" x14ac:dyDescent="0.35">
      <c r="B2811" s="9">
        <v>42623</v>
      </c>
      <c r="C2811" s="12">
        <v>41.6</v>
      </c>
      <c r="D2811" t="s">
        <v>5877</v>
      </c>
    </row>
    <row r="2812" spans="2:4" x14ac:dyDescent="0.35">
      <c r="B2812" s="9">
        <v>42624</v>
      </c>
      <c r="C2812" s="12">
        <v>84.4</v>
      </c>
      <c r="D2812" t="s">
        <v>5877</v>
      </c>
    </row>
    <row r="2813" spans="2:4" x14ac:dyDescent="0.35">
      <c r="B2813" s="9">
        <v>42625</v>
      </c>
      <c r="C2813" s="12">
        <v>66.5</v>
      </c>
      <c r="D2813" t="s">
        <v>5877</v>
      </c>
    </row>
    <row r="2814" spans="2:4" x14ac:dyDescent="0.35">
      <c r="B2814" s="9">
        <v>42626</v>
      </c>
      <c r="C2814" s="12">
        <v>51.1</v>
      </c>
      <c r="D2814" t="s">
        <v>5877</v>
      </c>
    </row>
    <row r="2815" spans="2:4" x14ac:dyDescent="0.35">
      <c r="B2815" s="9">
        <v>42627</v>
      </c>
      <c r="C2815" s="12">
        <v>53.4</v>
      </c>
      <c r="D2815" t="s">
        <v>5877</v>
      </c>
    </row>
    <row r="2816" spans="2:4" x14ac:dyDescent="0.35">
      <c r="B2816" s="9">
        <v>42628</v>
      </c>
      <c r="C2816" s="12">
        <v>85</v>
      </c>
      <c r="D2816" t="s">
        <v>5877</v>
      </c>
    </row>
    <row r="2817" spans="2:4" x14ac:dyDescent="0.35">
      <c r="B2817" s="9">
        <v>42629</v>
      </c>
      <c r="C2817" s="12">
        <v>74.599999999999994</v>
      </c>
      <c r="D2817" t="s">
        <v>5877</v>
      </c>
    </row>
    <row r="2818" spans="2:4" x14ac:dyDescent="0.35">
      <c r="B2818" s="9">
        <v>42630</v>
      </c>
      <c r="C2818" s="12">
        <v>56</v>
      </c>
      <c r="D2818" t="s">
        <v>5877</v>
      </c>
    </row>
    <row r="2819" spans="2:4" x14ac:dyDescent="0.35">
      <c r="B2819" s="9">
        <v>42631</v>
      </c>
      <c r="C2819" s="12">
        <v>48.7</v>
      </c>
      <c r="D2819" t="s">
        <v>5877</v>
      </c>
    </row>
    <row r="2820" spans="2:4" x14ac:dyDescent="0.35">
      <c r="B2820" s="9">
        <v>42632</v>
      </c>
      <c r="C2820" s="12">
        <v>96</v>
      </c>
      <c r="D2820" t="s">
        <v>5877</v>
      </c>
    </row>
    <row r="2821" spans="2:4" x14ac:dyDescent="0.35">
      <c r="B2821" s="9">
        <v>42633</v>
      </c>
      <c r="C2821" s="12">
        <v>109.6</v>
      </c>
      <c r="D2821" t="s">
        <v>5877</v>
      </c>
    </row>
    <row r="2822" spans="2:4" x14ac:dyDescent="0.35">
      <c r="B2822" s="9">
        <v>42634</v>
      </c>
      <c r="C2822" s="12">
        <v>83.3</v>
      </c>
      <c r="D2822" t="s">
        <v>5877</v>
      </c>
    </row>
    <row r="2823" spans="2:4" x14ac:dyDescent="0.35">
      <c r="B2823" s="9">
        <v>42635</v>
      </c>
      <c r="C2823" s="12">
        <v>105.4</v>
      </c>
      <c r="D2823" t="s">
        <v>5877</v>
      </c>
    </row>
    <row r="2824" spans="2:4" x14ac:dyDescent="0.35">
      <c r="B2824" s="9">
        <v>42636</v>
      </c>
      <c r="C2824" s="12">
        <v>82.4</v>
      </c>
      <c r="D2824" t="s">
        <v>5877</v>
      </c>
    </row>
    <row r="2825" spans="2:4" x14ac:dyDescent="0.35">
      <c r="B2825" s="9">
        <v>42637</v>
      </c>
      <c r="C2825" s="12">
        <v>63.7</v>
      </c>
      <c r="D2825" t="s">
        <v>5877</v>
      </c>
    </row>
    <row r="2826" spans="2:4" x14ac:dyDescent="0.35">
      <c r="B2826" s="9">
        <v>42638</v>
      </c>
      <c r="C2826" s="12">
        <v>69.5</v>
      </c>
      <c r="D2826" t="s">
        <v>5877</v>
      </c>
    </row>
    <row r="2827" spans="2:4" x14ac:dyDescent="0.35">
      <c r="B2827" s="9">
        <v>42639</v>
      </c>
      <c r="C2827" s="12">
        <v>73.900000000000006</v>
      </c>
      <c r="D2827" t="s">
        <v>5877</v>
      </c>
    </row>
    <row r="2828" spans="2:4" x14ac:dyDescent="0.35">
      <c r="B2828" s="9">
        <v>42640</v>
      </c>
      <c r="C2828" s="12">
        <v>59.6</v>
      </c>
      <c r="D2828" t="s">
        <v>5877</v>
      </c>
    </row>
    <row r="2829" spans="2:4" x14ac:dyDescent="0.35">
      <c r="B2829" s="9">
        <v>42641</v>
      </c>
      <c r="C2829" s="12">
        <v>81.2</v>
      </c>
      <c r="D2829" t="s">
        <v>5877</v>
      </c>
    </row>
    <row r="2830" spans="2:4" x14ac:dyDescent="0.35">
      <c r="B2830" s="9">
        <v>42642</v>
      </c>
      <c r="C2830" s="12">
        <v>65.099999999999994</v>
      </c>
      <c r="D2830" t="s">
        <v>5877</v>
      </c>
    </row>
    <row r="2831" spans="2:4" x14ac:dyDescent="0.35">
      <c r="B2831" s="9">
        <v>42643</v>
      </c>
      <c r="C2831" s="12">
        <v>54.5</v>
      </c>
      <c r="D2831" t="s">
        <v>5877</v>
      </c>
    </row>
    <row r="2832" spans="2:4" x14ac:dyDescent="0.35">
      <c r="B2832" s="9">
        <v>42644</v>
      </c>
      <c r="C2832" s="12">
        <v>107</v>
      </c>
      <c r="D2832" t="s">
        <v>5877</v>
      </c>
    </row>
    <row r="2833" spans="2:4" x14ac:dyDescent="0.35">
      <c r="B2833" s="9">
        <v>42645</v>
      </c>
      <c r="C2833" s="12">
        <v>126.6</v>
      </c>
      <c r="D2833" t="s">
        <v>5877</v>
      </c>
    </row>
    <row r="2834" spans="2:4" x14ac:dyDescent="0.35">
      <c r="B2834" s="9">
        <v>42646</v>
      </c>
      <c r="C2834" s="12">
        <v>97.3</v>
      </c>
      <c r="D2834" t="s">
        <v>5877</v>
      </c>
    </row>
    <row r="2835" spans="2:4" x14ac:dyDescent="0.35">
      <c r="B2835" s="9">
        <v>42647</v>
      </c>
      <c r="C2835" s="12">
        <v>78.5</v>
      </c>
      <c r="D2835" t="s">
        <v>5877</v>
      </c>
    </row>
    <row r="2836" spans="2:4" x14ac:dyDescent="0.35">
      <c r="B2836" s="9">
        <v>42648</v>
      </c>
      <c r="C2836" s="12">
        <v>143</v>
      </c>
      <c r="D2836" t="s">
        <v>5877</v>
      </c>
    </row>
    <row r="2837" spans="2:4" x14ac:dyDescent="0.35">
      <c r="B2837" s="9">
        <v>42649</v>
      </c>
      <c r="C2837" s="12">
        <v>113.8</v>
      </c>
      <c r="D2837" t="s">
        <v>5877</v>
      </c>
    </row>
    <row r="2838" spans="2:4" x14ac:dyDescent="0.35">
      <c r="B2838" s="9">
        <v>42650</v>
      </c>
      <c r="C2838" s="12">
        <v>88.8</v>
      </c>
      <c r="D2838" t="s">
        <v>5877</v>
      </c>
    </row>
    <row r="2839" spans="2:4" x14ac:dyDescent="0.35">
      <c r="B2839" s="9">
        <v>42651</v>
      </c>
      <c r="C2839" s="12">
        <v>120.8</v>
      </c>
      <c r="D2839" t="s">
        <v>5877</v>
      </c>
    </row>
    <row r="2840" spans="2:4" x14ac:dyDescent="0.35">
      <c r="B2840" s="9">
        <v>42652</v>
      </c>
      <c r="C2840" s="12">
        <v>110.5</v>
      </c>
      <c r="D2840" t="s">
        <v>5877</v>
      </c>
    </row>
    <row r="2841" spans="2:4" x14ac:dyDescent="0.35">
      <c r="B2841" s="9">
        <v>42653</v>
      </c>
      <c r="C2841" s="12">
        <v>165</v>
      </c>
      <c r="D2841" t="s">
        <v>5877</v>
      </c>
    </row>
    <row r="2842" spans="2:4" x14ac:dyDescent="0.35">
      <c r="B2842" s="9">
        <v>42654</v>
      </c>
      <c r="C2842" s="12">
        <v>163.80000000000001</v>
      </c>
      <c r="D2842" t="s">
        <v>5877</v>
      </c>
    </row>
    <row r="2843" spans="2:4" x14ac:dyDescent="0.35">
      <c r="B2843" s="9">
        <v>42655</v>
      </c>
      <c r="C2843" s="12">
        <v>116.2</v>
      </c>
      <c r="D2843" t="s">
        <v>5877</v>
      </c>
    </row>
    <row r="2844" spans="2:4" x14ac:dyDescent="0.35">
      <c r="B2844" s="9">
        <v>42656</v>
      </c>
      <c r="C2844" s="12">
        <v>137.1</v>
      </c>
      <c r="D2844" t="s">
        <v>5877</v>
      </c>
    </row>
    <row r="2845" spans="2:4" x14ac:dyDescent="0.35">
      <c r="B2845" s="9">
        <v>42657</v>
      </c>
      <c r="C2845" s="12">
        <v>118.7</v>
      </c>
      <c r="D2845" t="s">
        <v>5877</v>
      </c>
    </row>
    <row r="2846" spans="2:4" x14ac:dyDescent="0.35">
      <c r="B2846" s="9">
        <v>42658</v>
      </c>
      <c r="C2846" s="12">
        <v>109.1</v>
      </c>
      <c r="D2846" t="s">
        <v>5877</v>
      </c>
    </row>
    <row r="2847" spans="2:4" x14ac:dyDescent="0.35">
      <c r="B2847" s="9">
        <v>42659</v>
      </c>
      <c r="C2847" s="12">
        <v>142.80000000000001</v>
      </c>
      <c r="D2847" t="s">
        <v>5877</v>
      </c>
    </row>
    <row r="2848" spans="2:4" x14ac:dyDescent="0.35">
      <c r="B2848" s="9">
        <v>42660</v>
      </c>
      <c r="C2848" s="12">
        <v>115.6</v>
      </c>
      <c r="D2848" t="s">
        <v>5877</v>
      </c>
    </row>
    <row r="2849" spans="2:4" x14ac:dyDescent="0.35">
      <c r="B2849" s="9">
        <v>42661</v>
      </c>
      <c r="C2849" s="12">
        <v>96.6</v>
      </c>
      <c r="D2849" t="s">
        <v>5877</v>
      </c>
    </row>
    <row r="2850" spans="2:4" x14ac:dyDescent="0.35">
      <c r="B2850" s="9">
        <v>42662</v>
      </c>
      <c r="C2850" s="12">
        <v>148.69999999999999</v>
      </c>
      <c r="D2850" t="s">
        <v>5877</v>
      </c>
    </row>
    <row r="2851" spans="2:4" x14ac:dyDescent="0.35">
      <c r="B2851" s="9">
        <v>42663</v>
      </c>
      <c r="C2851" s="12">
        <v>139.5</v>
      </c>
      <c r="D2851" t="s">
        <v>5877</v>
      </c>
    </row>
    <row r="2852" spans="2:4" x14ac:dyDescent="0.35">
      <c r="B2852" s="9">
        <v>42664</v>
      </c>
      <c r="C2852" s="12">
        <v>122</v>
      </c>
      <c r="D2852" t="s">
        <v>5877</v>
      </c>
    </row>
    <row r="2853" spans="2:4" x14ac:dyDescent="0.35">
      <c r="B2853" s="9">
        <v>42665</v>
      </c>
      <c r="C2853" s="12">
        <v>90.9</v>
      </c>
      <c r="D2853" t="s">
        <v>5877</v>
      </c>
    </row>
    <row r="2854" spans="2:4" x14ac:dyDescent="0.35">
      <c r="B2854" s="9">
        <v>42666</v>
      </c>
      <c r="C2854" s="12">
        <v>71.900000000000006</v>
      </c>
      <c r="D2854" t="s">
        <v>5877</v>
      </c>
    </row>
    <row r="2855" spans="2:4" x14ac:dyDescent="0.35">
      <c r="B2855" s="9">
        <v>42667</v>
      </c>
      <c r="C2855" s="12">
        <v>61.2</v>
      </c>
      <c r="D2855" t="s">
        <v>5877</v>
      </c>
    </row>
    <row r="2856" spans="2:4" x14ac:dyDescent="0.35">
      <c r="B2856" s="9">
        <v>42668</v>
      </c>
      <c r="C2856" s="12">
        <v>57.2</v>
      </c>
      <c r="D2856" t="s">
        <v>5877</v>
      </c>
    </row>
    <row r="2857" spans="2:4" x14ac:dyDescent="0.35">
      <c r="B2857" s="9">
        <v>42669</v>
      </c>
      <c r="C2857" s="12">
        <v>126.3</v>
      </c>
      <c r="D2857" t="s">
        <v>5877</v>
      </c>
    </row>
    <row r="2858" spans="2:4" x14ac:dyDescent="0.35">
      <c r="B2858" s="9">
        <v>42670</v>
      </c>
      <c r="C2858" s="12">
        <v>112.2</v>
      </c>
      <c r="D2858" t="s">
        <v>5877</v>
      </c>
    </row>
    <row r="2859" spans="2:4" x14ac:dyDescent="0.35">
      <c r="B2859" s="9">
        <v>42671</v>
      </c>
      <c r="C2859" s="12">
        <v>142.30000000000001</v>
      </c>
      <c r="D2859" t="s">
        <v>5877</v>
      </c>
    </row>
    <row r="2860" spans="2:4" x14ac:dyDescent="0.35">
      <c r="B2860" s="9">
        <v>42672</v>
      </c>
      <c r="C2860" s="12">
        <v>132.9</v>
      </c>
      <c r="D2860" t="s">
        <v>5877</v>
      </c>
    </row>
    <row r="2861" spans="2:4" x14ac:dyDescent="0.35">
      <c r="B2861" s="9">
        <v>42673</v>
      </c>
      <c r="C2861" s="12">
        <v>98.2</v>
      </c>
      <c r="D2861" t="s">
        <v>5877</v>
      </c>
    </row>
    <row r="2862" spans="2:4" x14ac:dyDescent="0.35">
      <c r="B2862" s="9">
        <v>42674</v>
      </c>
      <c r="C2862" s="12">
        <v>82.7</v>
      </c>
      <c r="D2862" t="s">
        <v>5877</v>
      </c>
    </row>
    <row r="2863" spans="2:4" x14ac:dyDescent="0.35">
      <c r="B2863" s="9">
        <v>42675</v>
      </c>
      <c r="C2863" s="12">
        <v>89.5</v>
      </c>
      <c r="D2863" t="s">
        <v>5877</v>
      </c>
    </row>
    <row r="2864" spans="2:4" x14ac:dyDescent="0.35">
      <c r="B2864" s="9">
        <v>42676</v>
      </c>
      <c r="C2864" s="12">
        <v>116.8</v>
      </c>
      <c r="D2864" t="s">
        <v>5877</v>
      </c>
    </row>
    <row r="2865" spans="2:4" x14ac:dyDescent="0.35">
      <c r="B2865" s="9">
        <v>42677</v>
      </c>
      <c r="C2865" s="12">
        <v>202.9</v>
      </c>
      <c r="D2865" t="s">
        <v>5877</v>
      </c>
    </row>
    <row r="2866" spans="2:4" x14ac:dyDescent="0.35">
      <c r="B2866" s="9">
        <v>42678</v>
      </c>
      <c r="C2866" s="12">
        <v>151.1</v>
      </c>
      <c r="D2866" t="s">
        <v>5877</v>
      </c>
    </row>
    <row r="2867" spans="2:4" x14ac:dyDescent="0.35">
      <c r="B2867" s="9">
        <v>42679</v>
      </c>
      <c r="C2867" s="12">
        <v>112.3</v>
      </c>
      <c r="D2867" t="s">
        <v>5877</v>
      </c>
    </row>
    <row r="2868" spans="2:4" x14ac:dyDescent="0.35">
      <c r="B2868" s="9">
        <v>42680</v>
      </c>
      <c r="C2868" s="12">
        <v>116.7</v>
      </c>
      <c r="D2868" t="s">
        <v>5877</v>
      </c>
    </row>
    <row r="2869" spans="2:4" x14ac:dyDescent="0.35">
      <c r="B2869" s="9">
        <v>42681</v>
      </c>
      <c r="C2869" s="12">
        <v>159.80000000000001</v>
      </c>
      <c r="D2869" t="s">
        <v>5877</v>
      </c>
    </row>
    <row r="2870" spans="2:4" x14ac:dyDescent="0.35">
      <c r="B2870" s="9">
        <v>42682</v>
      </c>
      <c r="C2870" s="12">
        <v>129.4</v>
      </c>
      <c r="D2870" t="s">
        <v>5877</v>
      </c>
    </row>
    <row r="2871" spans="2:4" x14ac:dyDescent="0.35">
      <c r="B2871" s="9">
        <v>42683</v>
      </c>
      <c r="C2871" s="12">
        <v>139.1</v>
      </c>
      <c r="D2871" t="s">
        <v>5877</v>
      </c>
    </row>
    <row r="2872" spans="2:4" x14ac:dyDescent="0.35">
      <c r="B2872" s="9">
        <v>42684</v>
      </c>
      <c r="C2872" s="12">
        <v>112.1</v>
      </c>
      <c r="D2872" t="s">
        <v>5877</v>
      </c>
    </row>
    <row r="2873" spans="2:4" x14ac:dyDescent="0.35">
      <c r="B2873" s="9">
        <v>42685</v>
      </c>
      <c r="C2873" s="12">
        <v>114.4</v>
      </c>
      <c r="D2873" t="s">
        <v>5877</v>
      </c>
    </row>
    <row r="2874" spans="2:4" x14ac:dyDescent="0.35">
      <c r="B2874" s="9">
        <v>42686</v>
      </c>
      <c r="C2874" s="12">
        <v>110.7</v>
      </c>
      <c r="D2874" t="s">
        <v>5877</v>
      </c>
    </row>
    <row r="2875" spans="2:4" x14ac:dyDescent="0.35">
      <c r="B2875" s="9">
        <v>42687</v>
      </c>
      <c r="C2875" s="12">
        <v>89.4</v>
      </c>
      <c r="D2875" t="s">
        <v>5877</v>
      </c>
    </row>
    <row r="2876" spans="2:4" x14ac:dyDescent="0.35">
      <c r="B2876" s="9">
        <v>42688</v>
      </c>
      <c r="C2876" s="12">
        <v>99.5</v>
      </c>
      <c r="D2876" t="s">
        <v>5877</v>
      </c>
    </row>
    <row r="2877" spans="2:4" x14ac:dyDescent="0.35">
      <c r="B2877" s="9">
        <v>42689</v>
      </c>
      <c r="C2877" s="12">
        <v>105.7</v>
      </c>
      <c r="D2877" t="s">
        <v>5877</v>
      </c>
    </row>
    <row r="2878" spans="2:4" x14ac:dyDescent="0.35">
      <c r="B2878" s="9">
        <v>42690</v>
      </c>
      <c r="C2878" s="12">
        <v>170</v>
      </c>
      <c r="D2878" t="s">
        <v>5877</v>
      </c>
    </row>
    <row r="2879" spans="2:4" x14ac:dyDescent="0.35">
      <c r="B2879" s="9">
        <v>42691</v>
      </c>
      <c r="C2879" s="12">
        <v>203.3</v>
      </c>
      <c r="D2879" t="s">
        <v>5877</v>
      </c>
    </row>
    <row r="2880" spans="2:4" x14ac:dyDescent="0.35">
      <c r="B2880" s="9">
        <v>42692</v>
      </c>
      <c r="C2880" s="12">
        <v>171.7</v>
      </c>
      <c r="D2880" t="s">
        <v>5877</v>
      </c>
    </row>
    <row r="2881" spans="2:4" x14ac:dyDescent="0.35">
      <c r="B2881" s="9">
        <v>42693</v>
      </c>
      <c r="C2881" s="12">
        <v>120.8</v>
      </c>
      <c r="D2881" t="s">
        <v>5877</v>
      </c>
    </row>
    <row r="2882" spans="2:4" x14ac:dyDescent="0.35">
      <c r="B2882" s="9">
        <v>42694</v>
      </c>
      <c r="C2882" s="12">
        <v>95.6</v>
      </c>
      <c r="D2882" t="s">
        <v>5877</v>
      </c>
    </row>
    <row r="2883" spans="2:4" x14ac:dyDescent="0.35">
      <c r="B2883" s="9">
        <v>42695</v>
      </c>
      <c r="C2883" s="12">
        <v>150.69999999999999</v>
      </c>
      <c r="D2883" t="s">
        <v>5877</v>
      </c>
    </row>
    <row r="2884" spans="2:4" x14ac:dyDescent="0.35">
      <c r="B2884" s="9">
        <v>42696</v>
      </c>
      <c r="C2884" s="12">
        <v>211.4</v>
      </c>
      <c r="D2884" t="s">
        <v>5877</v>
      </c>
    </row>
    <row r="2885" spans="2:4" x14ac:dyDescent="0.35">
      <c r="B2885" s="9">
        <v>42697</v>
      </c>
      <c r="C2885" s="12">
        <v>219.2</v>
      </c>
      <c r="D2885" t="s">
        <v>5877</v>
      </c>
    </row>
    <row r="2886" spans="2:4" x14ac:dyDescent="0.35">
      <c r="B2886" s="9">
        <v>42698</v>
      </c>
      <c r="C2886" s="12">
        <v>166.9</v>
      </c>
      <c r="D2886" t="s">
        <v>5877</v>
      </c>
    </row>
    <row r="2887" spans="2:4" x14ac:dyDescent="0.35">
      <c r="B2887" s="9">
        <v>42699</v>
      </c>
      <c r="C2887" s="12">
        <v>121.1</v>
      </c>
      <c r="D2887" t="s">
        <v>5877</v>
      </c>
    </row>
    <row r="2888" spans="2:4" x14ac:dyDescent="0.35">
      <c r="B2888" s="9">
        <v>42700</v>
      </c>
      <c r="C2888" s="12">
        <v>138.5</v>
      </c>
      <c r="D2888" t="s">
        <v>5877</v>
      </c>
    </row>
    <row r="2889" spans="2:4" x14ac:dyDescent="0.35">
      <c r="B2889" s="9">
        <v>42701</v>
      </c>
      <c r="C2889" s="12">
        <v>123.7</v>
      </c>
      <c r="D2889" t="s">
        <v>5877</v>
      </c>
    </row>
    <row r="2890" spans="2:4" x14ac:dyDescent="0.35">
      <c r="B2890" s="9">
        <v>42702</v>
      </c>
      <c r="C2890" s="12">
        <v>111.6</v>
      </c>
      <c r="D2890" t="s">
        <v>5877</v>
      </c>
    </row>
    <row r="2891" spans="2:4" x14ac:dyDescent="0.35">
      <c r="B2891" s="9">
        <v>42703</v>
      </c>
      <c r="C2891" s="12">
        <v>138.4</v>
      </c>
      <c r="D2891" t="s">
        <v>5877</v>
      </c>
    </row>
    <row r="2892" spans="2:4" x14ac:dyDescent="0.35">
      <c r="B2892" s="9">
        <v>42704</v>
      </c>
      <c r="C2892" s="12">
        <v>131.4</v>
      </c>
      <c r="D2892" t="s">
        <v>5877</v>
      </c>
    </row>
    <row r="2893" spans="2:4" x14ac:dyDescent="0.35">
      <c r="B2893" s="9">
        <v>42705</v>
      </c>
      <c r="C2893" s="12">
        <v>153.80000000000001</v>
      </c>
      <c r="D2893" t="s">
        <v>5877</v>
      </c>
    </row>
    <row r="2894" spans="2:4" x14ac:dyDescent="0.35">
      <c r="B2894" s="9">
        <v>42706</v>
      </c>
      <c r="C2894" s="12">
        <v>177.8</v>
      </c>
      <c r="D2894" t="s">
        <v>5877</v>
      </c>
    </row>
    <row r="2895" spans="2:4" x14ac:dyDescent="0.35">
      <c r="B2895" s="9">
        <v>42707</v>
      </c>
      <c r="C2895" s="12">
        <v>130.69999999999999</v>
      </c>
      <c r="D2895" t="s">
        <v>5877</v>
      </c>
    </row>
    <row r="2896" spans="2:4" x14ac:dyDescent="0.35">
      <c r="B2896" s="9">
        <v>42708</v>
      </c>
      <c r="C2896" s="12">
        <v>113.1</v>
      </c>
      <c r="D2896" t="s">
        <v>5877</v>
      </c>
    </row>
    <row r="2897" spans="2:4" x14ac:dyDescent="0.35">
      <c r="B2897" s="9">
        <v>42709</v>
      </c>
      <c r="C2897" s="12">
        <v>95.2</v>
      </c>
      <c r="D2897" t="s">
        <v>5877</v>
      </c>
    </row>
    <row r="2898" spans="2:4" x14ac:dyDescent="0.35">
      <c r="B2898" s="9">
        <v>42710</v>
      </c>
      <c r="C2898" s="12">
        <v>151.6</v>
      </c>
      <c r="D2898" t="s">
        <v>5877</v>
      </c>
    </row>
    <row r="2899" spans="2:4" x14ac:dyDescent="0.35">
      <c r="B2899" s="9">
        <v>42711</v>
      </c>
      <c r="C2899" s="12">
        <v>122</v>
      </c>
      <c r="D2899" t="s">
        <v>5877</v>
      </c>
    </row>
    <row r="2900" spans="2:4" x14ac:dyDescent="0.35">
      <c r="B2900" s="9">
        <v>42712</v>
      </c>
      <c r="C2900" s="12">
        <v>98.1</v>
      </c>
      <c r="D2900" t="s">
        <v>5877</v>
      </c>
    </row>
    <row r="2901" spans="2:4" x14ac:dyDescent="0.35">
      <c r="B2901" s="9">
        <v>42713</v>
      </c>
      <c r="C2901" s="12">
        <v>125.8</v>
      </c>
      <c r="D2901" t="s">
        <v>5877</v>
      </c>
    </row>
    <row r="2902" spans="2:4" x14ac:dyDescent="0.35">
      <c r="B2902" s="9">
        <v>42714</v>
      </c>
      <c r="C2902" s="12">
        <v>167</v>
      </c>
      <c r="D2902" t="s">
        <v>5877</v>
      </c>
    </row>
    <row r="2903" spans="2:4" x14ac:dyDescent="0.35">
      <c r="B2903" s="9">
        <v>42715</v>
      </c>
      <c r="C2903" s="12">
        <v>128.1</v>
      </c>
      <c r="D2903" t="s">
        <v>5877</v>
      </c>
    </row>
    <row r="2904" spans="2:4" x14ac:dyDescent="0.35">
      <c r="B2904" s="9">
        <v>42716</v>
      </c>
      <c r="C2904" s="12">
        <v>102</v>
      </c>
      <c r="D2904" t="s">
        <v>5877</v>
      </c>
    </row>
    <row r="2905" spans="2:4" x14ac:dyDescent="0.35">
      <c r="B2905" s="9">
        <v>42717</v>
      </c>
      <c r="C2905" s="12">
        <v>146.4</v>
      </c>
      <c r="D2905" t="s">
        <v>5877</v>
      </c>
    </row>
    <row r="2906" spans="2:4" x14ac:dyDescent="0.35">
      <c r="B2906" s="9">
        <v>42718</v>
      </c>
      <c r="C2906" s="12">
        <v>197.4</v>
      </c>
      <c r="D2906" t="s">
        <v>5877</v>
      </c>
    </row>
    <row r="2907" spans="2:4" x14ac:dyDescent="0.35">
      <c r="B2907" s="9">
        <v>42719</v>
      </c>
      <c r="C2907" s="12">
        <v>164.8</v>
      </c>
      <c r="D2907" t="s">
        <v>5877</v>
      </c>
    </row>
    <row r="2908" spans="2:4" x14ac:dyDescent="0.35">
      <c r="B2908" s="9">
        <v>42720</v>
      </c>
      <c r="C2908" s="12">
        <v>118.8</v>
      </c>
      <c r="D2908" t="s">
        <v>5877</v>
      </c>
    </row>
    <row r="2909" spans="2:4" x14ac:dyDescent="0.35">
      <c r="B2909" s="9">
        <v>42721</v>
      </c>
      <c r="C2909" s="12">
        <v>110.9</v>
      </c>
      <c r="D2909" t="s">
        <v>5877</v>
      </c>
    </row>
    <row r="2910" spans="2:4" x14ac:dyDescent="0.35">
      <c r="B2910" s="9">
        <v>42722</v>
      </c>
      <c r="C2910" s="12">
        <v>111.4</v>
      </c>
      <c r="D2910" t="s">
        <v>5877</v>
      </c>
    </row>
    <row r="2911" spans="2:4" x14ac:dyDescent="0.35">
      <c r="B2911" s="9">
        <v>42723</v>
      </c>
      <c r="C2911" s="12">
        <v>131.1</v>
      </c>
      <c r="D2911" t="s">
        <v>5877</v>
      </c>
    </row>
    <row r="2912" spans="2:4" x14ac:dyDescent="0.35">
      <c r="B2912" s="9">
        <v>42724</v>
      </c>
      <c r="C2912" s="12">
        <v>117.8</v>
      </c>
      <c r="D2912" t="s">
        <v>5877</v>
      </c>
    </row>
    <row r="2913" spans="2:4" x14ac:dyDescent="0.35">
      <c r="B2913" s="9">
        <v>42725</v>
      </c>
      <c r="C2913" s="12">
        <v>166.8</v>
      </c>
      <c r="D2913" t="s">
        <v>5877</v>
      </c>
    </row>
    <row r="2914" spans="2:4" x14ac:dyDescent="0.35">
      <c r="B2914" s="9">
        <v>42726</v>
      </c>
      <c r="C2914" s="12">
        <v>150.80000000000001</v>
      </c>
      <c r="D2914" t="s">
        <v>5877</v>
      </c>
    </row>
    <row r="2915" spans="2:4" x14ac:dyDescent="0.35">
      <c r="B2915" s="9">
        <v>42727</v>
      </c>
      <c r="C2915" s="12">
        <v>172.3</v>
      </c>
      <c r="D2915" t="s">
        <v>5877</v>
      </c>
    </row>
    <row r="2916" spans="2:4" x14ac:dyDescent="0.35">
      <c r="B2916" s="9">
        <v>42728</v>
      </c>
      <c r="C2916" s="12">
        <v>141.69999999999999</v>
      </c>
      <c r="D2916" t="s">
        <v>5877</v>
      </c>
    </row>
    <row r="2917" spans="2:4" x14ac:dyDescent="0.35">
      <c r="B2917" s="9">
        <v>42729</v>
      </c>
      <c r="C2917" s="12">
        <v>169</v>
      </c>
      <c r="D2917" t="s">
        <v>5877</v>
      </c>
    </row>
    <row r="2918" spans="2:4" x14ac:dyDescent="0.35">
      <c r="B2918" s="9">
        <v>42730</v>
      </c>
      <c r="C2918" s="12">
        <v>160.69999999999999</v>
      </c>
      <c r="D2918" t="s">
        <v>5877</v>
      </c>
    </row>
    <row r="2919" spans="2:4" x14ac:dyDescent="0.35">
      <c r="B2919" s="9">
        <v>42731</v>
      </c>
      <c r="C2919" s="12">
        <v>152.19999999999999</v>
      </c>
      <c r="D2919" t="s">
        <v>5877</v>
      </c>
    </row>
    <row r="2920" spans="2:4" x14ac:dyDescent="0.35">
      <c r="B2920" s="9">
        <v>42732</v>
      </c>
      <c r="C2920" s="12">
        <v>198.6</v>
      </c>
      <c r="D2920" t="s">
        <v>5877</v>
      </c>
    </row>
    <row r="2921" spans="2:4" x14ac:dyDescent="0.35">
      <c r="B2921" s="9">
        <v>42733</v>
      </c>
      <c r="C2921" s="12">
        <v>164.8</v>
      </c>
      <c r="D2921" t="s">
        <v>5877</v>
      </c>
    </row>
    <row r="2922" spans="2:4" x14ac:dyDescent="0.35">
      <c r="B2922" s="9">
        <v>42734</v>
      </c>
      <c r="C2922" s="12">
        <v>140.80000000000001</v>
      </c>
      <c r="D2922" t="s">
        <v>5877</v>
      </c>
    </row>
    <row r="2923" spans="2:4" x14ac:dyDescent="0.35">
      <c r="B2923" s="9">
        <v>42735</v>
      </c>
      <c r="C2923" s="12">
        <v>129.1</v>
      </c>
      <c r="D2923" t="s">
        <v>5877</v>
      </c>
    </row>
    <row r="2924" spans="2:4" x14ac:dyDescent="0.35">
      <c r="B2924" s="9">
        <v>42736</v>
      </c>
      <c r="C2924" s="12">
        <v>132.5</v>
      </c>
      <c r="D2924" t="s">
        <v>5877</v>
      </c>
    </row>
    <row r="2925" spans="2:4" x14ac:dyDescent="0.35">
      <c r="B2925" s="9">
        <v>42737</v>
      </c>
      <c r="C2925" s="12">
        <v>102.1</v>
      </c>
      <c r="D2925" t="s">
        <v>5877</v>
      </c>
    </row>
    <row r="2926" spans="2:4" x14ac:dyDescent="0.35">
      <c r="B2926" s="9">
        <v>42738</v>
      </c>
      <c r="C2926" s="12">
        <v>83.3</v>
      </c>
      <c r="D2926" t="s">
        <v>5877</v>
      </c>
    </row>
    <row r="2927" spans="2:4" x14ac:dyDescent="0.35">
      <c r="B2927" s="9">
        <v>42739</v>
      </c>
      <c r="C2927" s="12">
        <v>76</v>
      </c>
      <c r="D2927" t="s">
        <v>5877</v>
      </c>
    </row>
    <row r="2928" spans="2:4" x14ac:dyDescent="0.35">
      <c r="B2928" s="9">
        <v>42740</v>
      </c>
      <c r="C2928" s="12">
        <v>131.5</v>
      </c>
      <c r="D2928" t="s">
        <v>5877</v>
      </c>
    </row>
    <row r="2929" spans="2:4" x14ac:dyDescent="0.35">
      <c r="B2929" s="9">
        <v>42741</v>
      </c>
      <c r="C2929" s="12">
        <v>170.3</v>
      </c>
      <c r="D2929" t="s">
        <v>5877</v>
      </c>
    </row>
    <row r="2930" spans="2:4" x14ac:dyDescent="0.35">
      <c r="B2930" s="9">
        <v>42742</v>
      </c>
      <c r="C2930" s="12">
        <v>150.19999999999999</v>
      </c>
      <c r="D2930" t="s">
        <v>5877</v>
      </c>
    </row>
    <row r="2931" spans="2:4" x14ac:dyDescent="0.35">
      <c r="B2931" s="9">
        <v>42743</v>
      </c>
      <c r="C2931" s="12">
        <v>152</v>
      </c>
      <c r="D2931" t="s">
        <v>5877</v>
      </c>
    </row>
    <row r="2932" spans="2:4" x14ac:dyDescent="0.35">
      <c r="B2932" s="9">
        <v>42744</v>
      </c>
      <c r="C2932" s="12">
        <v>110.6</v>
      </c>
      <c r="D2932" t="s">
        <v>5877</v>
      </c>
    </row>
    <row r="2933" spans="2:4" x14ac:dyDescent="0.35">
      <c r="B2933" s="9">
        <v>42745</v>
      </c>
      <c r="C2933" s="12">
        <v>87.1</v>
      </c>
      <c r="D2933" t="s">
        <v>5877</v>
      </c>
    </row>
    <row r="2934" spans="2:4" x14ac:dyDescent="0.35">
      <c r="B2934" s="9">
        <v>42746</v>
      </c>
      <c r="C2934" s="12">
        <v>80.2</v>
      </c>
      <c r="D2934" t="s">
        <v>5877</v>
      </c>
    </row>
    <row r="2935" spans="2:4" x14ac:dyDescent="0.35">
      <c r="B2935" s="9">
        <v>42747</v>
      </c>
      <c r="C2935" s="12">
        <v>75.099999999999994</v>
      </c>
      <c r="D2935" t="s">
        <v>5877</v>
      </c>
    </row>
    <row r="2936" spans="2:4" x14ac:dyDescent="0.35">
      <c r="B2936" s="9">
        <v>42748</v>
      </c>
      <c r="C2936" s="12">
        <v>100.3</v>
      </c>
      <c r="D2936" t="s">
        <v>5877</v>
      </c>
    </row>
    <row r="2937" spans="2:4" x14ac:dyDescent="0.35">
      <c r="B2937" s="9">
        <v>42749</v>
      </c>
      <c r="C2937" s="12">
        <v>112.4</v>
      </c>
      <c r="D2937" t="s">
        <v>5877</v>
      </c>
    </row>
    <row r="2938" spans="2:4" x14ac:dyDescent="0.35">
      <c r="B2938" s="9">
        <v>42750</v>
      </c>
      <c r="C2938" s="12">
        <v>89.8</v>
      </c>
      <c r="D2938" t="s">
        <v>5877</v>
      </c>
    </row>
    <row r="2939" spans="2:4" x14ac:dyDescent="0.35">
      <c r="B2939" s="9">
        <v>42751</v>
      </c>
      <c r="C2939" s="12">
        <v>76.7</v>
      </c>
      <c r="D2939" t="s">
        <v>5877</v>
      </c>
    </row>
    <row r="2940" spans="2:4" x14ac:dyDescent="0.35">
      <c r="B2940" s="9">
        <v>42752</v>
      </c>
      <c r="C2940" s="12">
        <v>89.8</v>
      </c>
      <c r="D2940" t="s">
        <v>5877</v>
      </c>
    </row>
    <row r="2941" spans="2:4" x14ac:dyDescent="0.35">
      <c r="B2941" s="9">
        <v>42753</v>
      </c>
      <c r="C2941" s="12">
        <v>120</v>
      </c>
      <c r="D2941" t="s">
        <v>5877</v>
      </c>
    </row>
    <row r="2942" spans="2:4" x14ac:dyDescent="0.35">
      <c r="B2942" s="9">
        <v>42754</v>
      </c>
      <c r="C2942" s="12">
        <v>116</v>
      </c>
      <c r="D2942" t="s">
        <v>5877</v>
      </c>
    </row>
    <row r="2943" spans="2:4" x14ac:dyDescent="0.35">
      <c r="B2943" s="9">
        <v>42755</v>
      </c>
      <c r="C2943" s="12">
        <v>121</v>
      </c>
      <c r="D2943" t="s">
        <v>5877</v>
      </c>
    </row>
    <row r="2944" spans="2:4" x14ac:dyDescent="0.35">
      <c r="B2944" s="9">
        <v>42756</v>
      </c>
      <c r="C2944" s="12">
        <v>133.4</v>
      </c>
      <c r="D2944" t="s">
        <v>5877</v>
      </c>
    </row>
    <row r="2945" spans="2:4" x14ac:dyDescent="0.35">
      <c r="B2945" s="9">
        <v>42757</v>
      </c>
      <c r="C2945" s="12">
        <v>116.3</v>
      </c>
      <c r="D2945" t="s">
        <v>5877</v>
      </c>
    </row>
    <row r="2946" spans="2:4" x14ac:dyDescent="0.35">
      <c r="B2946" s="9">
        <v>42758</v>
      </c>
      <c r="C2946" s="12">
        <v>141.1</v>
      </c>
      <c r="D2946" t="s">
        <v>5877</v>
      </c>
    </row>
    <row r="2947" spans="2:4" x14ac:dyDescent="0.35">
      <c r="B2947" s="9">
        <v>42759</v>
      </c>
      <c r="C2947" s="12">
        <v>133.9</v>
      </c>
      <c r="D2947" t="s">
        <v>5877</v>
      </c>
    </row>
    <row r="2948" spans="2:4" x14ac:dyDescent="0.35">
      <c r="B2948" s="9">
        <v>42760</v>
      </c>
      <c r="C2948" s="12">
        <v>140.30000000000001</v>
      </c>
      <c r="D2948" t="s">
        <v>5877</v>
      </c>
    </row>
    <row r="2949" spans="2:4" x14ac:dyDescent="0.35">
      <c r="B2949" s="9">
        <v>42761</v>
      </c>
      <c r="C2949" s="12">
        <v>108.2</v>
      </c>
      <c r="D2949" t="s">
        <v>5877</v>
      </c>
    </row>
    <row r="2950" spans="2:4" x14ac:dyDescent="0.35">
      <c r="B2950" s="9">
        <v>42762</v>
      </c>
      <c r="C2950" s="12">
        <v>127.5</v>
      </c>
      <c r="D2950" t="s">
        <v>5877</v>
      </c>
    </row>
    <row r="2951" spans="2:4" x14ac:dyDescent="0.35">
      <c r="B2951" s="9">
        <v>42763</v>
      </c>
      <c r="C2951" s="12">
        <v>127.5</v>
      </c>
      <c r="D2951" t="s">
        <v>5877</v>
      </c>
    </row>
    <row r="2952" spans="2:4" x14ac:dyDescent="0.35">
      <c r="B2952" s="9">
        <v>42764</v>
      </c>
      <c r="C2952" s="12">
        <v>113.4</v>
      </c>
      <c r="D2952" t="s">
        <v>5877</v>
      </c>
    </row>
    <row r="2953" spans="2:4" x14ac:dyDescent="0.35">
      <c r="B2953" s="9">
        <v>42765</v>
      </c>
      <c r="C2953" s="12">
        <v>115.2</v>
      </c>
      <c r="D2953" t="s">
        <v>5877</v>
      </c>
    </row>
    <row r="2954" spans="2:4" x14ac:dyDescent="0.35">
      <c r="B2954" s="9">
        <v>42766</v>
      </c>
      <c r="C2954" s="12">
        <v>139.69999999999999</v>
      </c>
      <c r="D2954" t="s">
        <v>5877</v>
      </c>
    </row>
    <row r="2955" spans="2:4" x14ac:dyDescent="0.35">
      <c r="B2955" s="9">
        <v>42767</v>
      </c>
      <c r="C2955" s="12">
        <v>107.5</v>
      </c>
      <c r="D2955" t="s">
        <v>5877</v>
      </c>
    </row>
    <row r="2956" spans="2:4" x14ac:dyDescent="0.35">
      <c r="B2956" s="9">
        <v>42768</v>
      </c>
      <c r="C2956" s="12">
        <v>96.7</v>
      </c>
      <c r="D2956" t="s">
        <v>5877</v>
      </c>
    </row>
    <row r="2957" spans="2:4" x14ac:dyDescent="0.35">
      <c r="B2957" s="9">
        <v>42769</v>
      </c>
      <c r="C2957" s="12">
        <v>137.80000000000001</v>
      </c>
      <c r="D2957" t="s">
        <v>5877</v>
      </c>
    </row>
    <row r="2958" spans="2:4" x14ac:dyDescent="0.35">
      <c r="B2958" s="9">
        <v>42770</v>
      </c>
      <c r="C2958" s="12">
        <v>106.5</v>
      </c>
      <c r="D2958" t="s">
        <v>5877</v>
      </c>
    </row>
    <row r="2959" spans="2:4" x14ac:dyDescent="0.35">
      <c r="B2959" s="9">
        <v>42771</v>
      </c>
      <c r="C2959" s="12">
        <v>89.1</v>
      </c>
      <c r="D2959" t="s">
        <v>5877</v>
      </c>
    </row>
    <row r="2960" spans="2:4" x14ac:dyDescent="0.35">
      <c r="B2960" s="9">
        <v>42772</v>
      </c>
      <c r="C2960" s="12">
        <v>98.7</v>
      </c>
      <c r="D2960" t="s">
        <v>5877</v>
      </c>
    </row>
    <row r="2961" spans="2:4" x14ac:dyDescent="0.35">
      <c r="B2961" s="9">
        <v>42773</v>
      </c>
      <c r="C2961" s="12">
        <v>89.2</v>
      </c>
      <c r="D2961" t="s">
        <v>5877</v>
      </c>
    </row>
    <row r="2962" spans="2:4" x14ac:dyDescent="0.35">
      <c r="B2962" s="9">
        <v>42774</v>
      </c>
      <c r="C2962" s="12">
        <v>82</v>
      </c>
      <c r="D2962" t="s">
        <v>5877</v>
      </c>
    </row>
    <row r="2963" spans="2:4" x14ac:dyDescent="0.35">
      <c r="B2963" s="9">
        <v>42775</v>
      </c>
      <c r="C2963" s="12">
        <v>115.8</v>
      </c>
      <c r="D2963" t="s">
        <v>5877</v>
      </c>
    </row>
    <row r="2964" spans="2:4" x14ac:dyDescent="0.35">
      <c r="B2964" s="9">
        <v>42776</v>
      </c>
      <c r="C2964" s="12">
        <v>99.9</v>
      </c>
      <c r="D2964" t="s">
        <v>5877</v>
      </c>
    </row>
    <row r="2965" spans="2:4" x14ac:dyDescent="0.35">
      <c r="B2965" s="9">
        <v>42777</v>
      </c>
      <c r="C2965" s="12">
        <v>137.19999999999999</v>
      </c>
      <c r="D2965" t="s">
        <v>5877</v>
      </c>
    </row>
    <row r="2966" spans="2:4" x14ac:dyDescent="0.35">
      <c r="B2966" s="9">
        <v>42778</v>
      </c>
      <c r="C2966" s="12">
        <v>116.9</v>
      </c>
      <c r="D2966" t="s">
        <v>5877</v>
      </c>
    </row>
    <row r="2967" spans="2:4" x14ac:dyDescent="0.35">
      <c r="B2967" s="9">
        <v>42779</v>
      </c>
      <c r="C2967" s="12">
        <v>118.6</v>
      </c>
      <c r="D2967" t="s">
        <v>5877</v>
      </c>
    </row>
    <row r="2968" spans="2:4" x14ac:dyDescent="0.35">
      <c r="B2968" s="9">
        <v>42780</v>
      </c>
      <c r="C2968" s="12">
        <v>96.2</v>
      </c>
      <c r="D2968" t="s">
        <v>5877</v>
      </c>
    </row>
    <row r="2969" spans="2:4" x14ac:dyDescent="0.35">
      <c r="B2969" s="9">
        <v>42781</v>
      </c>
      <c r="C2969" s="12">
        <v>100.9</v>
      </c>
      <c r="D2969" t="s">
        <v>5877</v>
      </c>
    </row>
    <row r="2970" spans="2:4" x14ac:dyDescent="0.35">
      <c r="B2970" s="9">
        <v>42782</v>
      </c>
      <c r="C2970" s="12">
        <v>191.2</v>
      </c>
      <c r="D2970" t="s">
        <v>5877</v>
      </c>
    </row>
    <row r="2971" spans="2:4" x14ac:dyDescent="0.35">
      <c r="B2971" s="9">
        <v>42783</v>
      </c>
      <c r="C2971" s="12">
        <v>223.2</v>
      </c>
      <c r="D2971" t="s">
        <v>5877</v>
      </c>
    </row>
    <row r="2972" spans="2:4" x14ac:dyDescent="0.35">
      <c r="B2972" s="9">
        <v>42784</v>
      </c>
      <c r="C2972" s="12">
        <v>171.5</v>
      </c>
      <c r="D2972" t="s">
        <v>5877</v>
      </c>
    </row>
    <row r="2973" spans="2:4" x14ac:dyDescent="0.35">
      <c r="B2973" s="9">
        <v>42785</v>
      </c>
      <c r="C2973" s="12">
        <v>122.6</v>
      </c>
      <c r="D2973" t="s">
        <v>5877</v>
      </c>
    </row>
    <row r="2974" spans="2:4" x14ac:dyDescent="0.35">
      <c r="B2974" s="9">
        <v>42786</v>
      </c>
      <c r="C2974" s="12">
        <v>113.5</v>
      </c>
      <c r="D2974" t="s">
        <v>5877</v>
      </c>
    </row>
    <row r="2975" spans="2:4" x14ac:dyDescent="0.35">
      <c r="B2975" s="9">
        <v>42787</v>
      </c>
      <c r="C2975" s="12">
        <v>178.8</v>
      </c>
      <c r="D2975" t="s">
        <v>5877</v>
      </c>
    </row>
    <row r="2976" spans="2:4" x14ac:dyDescent="0.35">
      <c r="B2976" s="9">
        <v>42788</v>
      </c>
      <c r="C2976" s="12">
        <v>148.30000000000001</v>
      </c>
      <c r="D2976" t="s">
        <v>5877</v>
      </c>
    </row>
    <row r="2977" spans="2:4" x14ac:dyDescent="0.35">
      <c r="B2977" s="9">
        <v>42789</v>
      </c>
      <c r="C2977" s="12">
        <v>140.69999999999999</v>
      </c>
      <c r="D2977" t="s">
        <v>5877</v>
      </c>
    </row>
    <row r="2978" spans="2:4" x14ac:dyDescent="0.35">
      <c r="B2978" s="9">
        <v>42790</v>
      </c>
      <c r="C2978" s="12">
        <v>127.7</v>
      </c>
      <c r="D2978" t="s">
        <v>5877</v>
      </c>
    </row>
    <row r="2979" spans="2:4" x14ac:dyDescent="0.35">
      <c r="B2979" s="9">
        <v>42791</v>
      </c>
      <c r="C2979" s="12">
        <v>106</v>
      </c>
      <c r="D2979" t="s">
        <v>5877</v>
      </c>
    </row>
    <row r="2980" spans="2:4" x14ac:dyDescent="0.35">
      <c r="B2980" s="9">
        <v>42792</v>
      </c>
      <c r="C2980" s="12">
        <v>102.9</v>
      </c>
      <c r="D2980" t="s">
        <v>5877</v>
      </c>
    </row>
    <row r="2981" spans="2:4" x14ac:dyDescent="0.35">
      <c r="B2981" s="9">
        <v>42793</v>
      </c>
      <c r="C2981" s="12">
        <v>88.7</v>
      </c>
      <c r="D2981" t="s">
        <v>5877</v>
      </c>
    </row>
    <row r="2982" spans="2:4" x14ac:dyDescent="0.35">
      <c r="B2982" s="9">
        <v>42794</v>
      </c>
      <c r="C2982" s="12">
        <v>93.1</v>
      </c>
      <c r="D2982" t="s">
        <v>5877</v>
      </c>
    </row>
    <row r="2983" spans="2:4" x14ac:dyDescent="0.35">
      <c r="B2983" s="9">
        <v>42795</v>
      </c>
      <c r="C2983" s="12">
        <v>91.5</v>
      </c>
      <c r="D2983" t="s">
        <v>5877</v>
      </c>
    </row>
    <row r="2984" spans="2:4" x14ac:dyDescent="0.35">
      <c r="B2984" s="9">
        <v>42796</v>
      </c>
      <c r="C2984" s="12">
        <v>114.3</v>
      </c>
      <c r="D2984" t="s">
        <v>5877</v>
      </c>
    </row>
    <row r="2985" spans="2:4" x14ac:dyDescent="0.35">
      <c r="B2985" s="9">
        <v>42797</v>
      </c>
      <c r="C2985" s="12">
        <v>92.9</v>
      </c>
      <c r="D2985" t="s">
        <v>5877</v>
      </c>
    </row>
    <row r="2986" spans="2:4" x14ac:dyDescent="0.35">
      <c r="B2986" s="9">
        <v>42798</v>
      </c>
      <c r="C2986" s="12">
        <v>93.4</v>
      </c>
      <c r="D2986" t="s">
        <v>5877</v>
      </c>
    </row>
    <row r="2987" spans="2:4" x14ac:dyDescent="0.35">
      <c r="B2987" s="9">
        <v>42799</v>
      </c>
      <c r="C2987" s="12">
        <v>159.6</v>
      </c>
      <c r="D2987" t="s">
        <v>5877</v>
      </c>
    </row>
    <row r="2988" spans="2:4" x14ac:dyDescent="0.35">
      <c r="B2988" s="9">
        <v>42800</v>
      </c>
      <c r="C2988" s="12">
        <v>125.3</v>
      </c>
      <c r="D2988" t="s">
        <v>5877</v>
      </c>
    </row>
    <row r="2989" spans="2:4" x14ac:dyDescent="0.35">
      <c r="B2989" s="9">
        <v>42801</v>
      </c>
      <c r="C2989" s="12">
        <v>108</v>
      </c>
      <c r="D2989" t="s">
        <v>5877</v>
      </c>
    </row>
    <row r="2990" spans="2:4" x14ac:dyDescent="0.35">
      <c r="B2990" s="9">
        <v>42802</v>
      </c>
      <c r="C2990" s="12">
        <v>150</v>
      </c>
      <c r="D2990" t="s">
        <v>5877</v>
      </c>
    </row>
    <row r="2991" spans="2:4" x14ac:dyDescent="0.35">
      <c r="B2991" s="9">
        <v>42803</v>
      </c>
      <c r="C2991" s="12">
        <v>117.5</v>
      </c>
      <c r="D2991" t="s">
        <v>5877</v>
      </c>
    </row>
    <row r="2992" spans="2:4" x14ac:dyDescent="0.35">
      <c r="B2992" s="9">
        <v>42804</v>
      </c>
      <c r="C2992" s="12">
        <v>95.3</v>
      </c>
      <c r="D2992" t="s">
        <v>5877</v>
      </c>
    </row>
    <row r="2993" spans="2:4" x14ac:dyDescent="0.35">
      <c r="B2993" s="9">
        <v>42805</v>
      </c>
      <c r="C2993" s="12">
        <v>100.8</v>
      </c>
      <c r="D2993" t="s">
        <v>5877</v>
      </c>
    </row>
    <row r="2994" spans="2:4" x14ac:dyDescent="0.35">
      <c r="B2994" s="9">
        <v>42806</v>
      </c>
      <c r="C2994" s="12">
        <v>126.9</v>
      </c>
      <c r="D2994" t="s">
        <v>5877</v>
      </c>
    </row>
    <row r="2995" spans="2:4" x14ac:dyDescent="0.35">
      <c r="B2995" s="9">
        <v>42807</v>
      </c>
      <c r="C2995" s="12">
        <v>164.6</v>
      </c>
      <c r="D2995" t="s">
        <v>5877</v>
      </c>
    </row>
    <row r="2996" spans="2:4" x14ac:dyDescent="0.35">
      <c r="B2996" s="9">
        <v>42808</v>
      </c>
      <c r="C2996" s="12">
        <v>205.1</v>
      </c>
      <c r="D2996" t="s">
        <v>5877</v>
      </c>
    </row>
    <row r="2997" spans="2:4" x14ac:dyDescent="0.35">
      <c r="B2997" s="9">
        <v>42809</v>
      </c>
      <c r="C2997" s="12">
        <v>186.2</v>
      </c>
      <c r="D2997" t="s">
        <v>5877</v>
      </c>
    </row>
    <row r="2998" spans="2:4" x14ac:dyDescent="0.35">
      <c r="B2998" s="9">
        <v>42810</v>
      </c>
      <c r="C2998" s="12">
        <v>164.3</v>
      </c>
      <c r="D2998" t="s">
        <v>5877</v>
      </c>
    </row>
    <row r="2999" spans="2:4" x14ac:dyDescent="0.35">
      <c r="B2999" s="9">
        <v>42811</v>
      </c>
      <c r="C2999" s="12">
        <v>119</v>
      </c>
      <c r="D2999" t="s">
        <v>5877</v>
      </c>
    </row>
    <row r="3000" spans="2:4" x14ac:dyDescent="0.35">
      <c r="B3000" s="9">
        <v>42812</v>
      </c>
      <c r="C3000" s="12">
        <v>96.7</v>
      </c>
      <c r="D3000" t="s">
        <v>5877</v>
      </c>
    </row>
    <row r="3001" spans="2:4" x14ac:dyDescent="0.35">
      <c r="B3001" s="9">
        <v>42813</v>
      </c>
      <c r="C3001" s="12">
        <v>137.6</v>
      </c>
      <c r="D3001" t="s">
        <v>5877</v>
      </c>
    </row>
    <row r="3002" spans="2:4" x14ac:dyDescent="0.35">
      <c r="B3002" s="9">
        <v>42814</v>
      </c>
      <c r="C3002" s="12">
        <v>196.5</v>
      </c>
      <c r="D3002" t="s">
        <v>5877</v>
      </c>
    </row>
    <row r="3003" spans="2:4" x14ac:dyDescent="0.35">
      <c r="B3003" s="9">
        <v>42815</v>
      </c>
      <c r="C3003" s="12">
        <v>176.8</v>
      </c>
      <c r="D3003" t="s">
        <v>5877</v>
      </c>
    </row>
    <row r="3004" spans="2:4" x14ac:dyDescent="0.35">
      <c r="B3004" s="9">
        <v>42816</v>
      </c>
      <c r="C3004" s="12">
        <v>165.1</v>
      </c>
      <c r="D3004" t="s">
        <v>5877</v>
      </c>
    </row>
    <row r="3005" spans="2:4" x14ac:dyDescent="0.35">
      <c r="B3005" s="9">
        <v>42817</v>
      </c>
      <c r="C3005" s="12">
        <v>170.7</v>
      </c>
      <c r="D3005" t="s">
        <v>5877</v>
      </c>
    </row>
    <row r="3006" spans="2:4" x14ac:dyDescent="0.35">
      <c r="B3006" s="9">
        <v>42818</v>
      </c>
      <c r="C3006" s="12">
        <v>170.6</v>
      </c>
      <c r="D3006" t="s">
        <v>5877</v>
      </c>
    </row>
    <row r="3007" spans="2:4" x14ac:dyDescent="0.35">
      <c r="B3007" s="9">
        <v>42819</v>
      </c>
      <c r="C3007" s="12">
        <v>128.5</v>
      </c>
      <c r="D3007" t="s">
        <v>5877</v>
      </c>
    </row>
    <row r="3008" spans="2:4" x14ac:dyDescent="0.35">
      <c r="B3008" s="9">
        <v>42820</v>
      </c>
      <c r="C3008" s="12">
        <v>103.6</v>
      </c>
      <c r="D3008" t="s">
        <v>5877</v>
      </c>
    </row>
    <row r="3009" spans="2:4" x14ac:dyDescent="0.35">
      <c r="B3009" s="9">
        <v>42821</v>
      </c>
      <c r="C3009" s="12">
        <v>134.80000000000001</v>
      </c>
      <c r="D3009" t="s">
        <v>5877</v>
      </c>
    </row>
    <row r="3010" spans="2:4" x14ac:dyDescent="0.35">
      <c r="B3010" s="9">
        <v>42822</v>
      </c>
      <c r="C3010" s="12">
        <v>107.3</v>
      </c>
      <c r="D3010" t="s">
        <v>5877</v>
      </c>
    </row>
    <row r="3011" spans="2:4" x14ac:dyDescent="0.35">
      <c r="B3011" s="9">
        <v>42823</v>
      </c>
      <c r="C3011" s="12">
        <v>108.1</v>
      </c>
      <c r="D3011" t="s">
        <v>5877</v>
      </c>
    </row>
    <row r="3012" spans="2:4" x14ac:dyDescent="0.35">
      <c r="B3012" s="9">
        <v>42824</v>
      </c>
      <c r="C3012" s="12">
        <v>170.8</v>
      </c>
      <c r="D3012" t="s">
        <v>5877</v>
      </c>
    </row>
    <row r="3013" spans="2:4" x14ac:dyDescent="0.35">
      <c r="B3013" s="9">
        <v>42825</v>
      </c>
      <c r="C3013" s="12">
        <v>143.69999999999999</v>
      </c>
      <c r="D3013" t="s">
        <v>5877</v>
      </c>
    </row>
    <row r="3014" spans="2:4" x14ac:dyDescent="0.35">
      <c r="B3014" s="9">
        <v>42826</v>
      </c>
      <c r="C3014" s="12">
        <v>107.3</v>
      </c>
      <c r="D3014" t="s">
        <v>5877</v>
      </c>
    </row>
    <row r="3015" spans="2:4" x14ac:dyDescent="0.35">
      <c r="B3015" s="9">
        <v>42827</v>
      </c>
      <c r="C3015" s="12">
        <v>88.8</v>
      </c>
      <c r="D3015" t="s">
        <v>5877</v>
      </c>
    </row>
    <row r="3016" spans="2:4" x14ac:dyDescent="0.35">
      <c r="B3016" s="9">
        <v>42828</v>
      </c>
      <c r="C3016" s="12">
        <v>100.2</v>
      </c>
      <c r="D3016" t="s">
        <v>5877</v>
      </c>
    </row>
    <row r="3017" spans="2:4" x14ac:dyDescent="0.35">
      <c r="B3017" s="9">
        <v>42829</v>
      </c>
      <c r="C3017" s="12">
        <v>125.8</v>
      </c>
      <c r="D3017" t="s">
        <v>5877</v>
      </c>
    </row>
    <row r="3018" spans="2:4" x14ac:dyDescent="0.35">
      <c r="B3018" s="9">
        <v>42830</v>
      </c>
      <c r="C3018" s="12">
        <v>102.2</v>
      </c>
      <c r="D3018" t="s">
        <v>5877</v>
      </c>
    </row>
    <row r="3019" spans="2:4" x14ac:dyDescent="0.35">
      <c r="B3019" s="9">
        <v>42831</v>
      </c>
      <c r="C3019" s="12">
        <v>84.7</v>
      </c>
      <c r="D3019" t="s">
        <v>5877</v>
      </c>
    </row>
    <row r="3020" spans="2:4" x14ac:dyDescent="0.35">
      <c r="B3020" s="9">
        <v>42832</v>
      </c>
      <c r="C3020" s="12">
        <v>75.2</v>
      </c>
      <c r="D3020" t="s">
        <v>5877</v>
      </c>
    </row>
    <row r="3021" spans="2:4" x14ac:dyDescent="0.35">
      <c r="B3021" s="9">
        <v>42833</v>
      </c>
      <c r="C3021" s="12">
        <v>86.6</v>
      </c>
      <c r="D3021" t="s">
        <v>5877</v>
      </c>
    </row>
    <row r="3022" spans="2:4" x14ac:dyDescent="0.35">
      <c r="B3022" s="9">
        <v>42834</v>
      </c>
      <c r="C3022" s="12">
        <v>146.9</v>
      </c>
      <c r="D3022" t="s">
        <v>5877</v>
      </c>
    </row>
    <row r="3023" spans="2:4" x14ac:dyDescent="0.35">
      <c r="B3023" s="9">
        <v>42835</v>
      </c>
      <c r="C3023" s="12">
        <v>154.1</v>
      </c>
      <c r="D3023" t="s">
        <v>5877</v>
      </c>
    </row>
    <row r="3024" spans="2:4" x14ac:dyDescent="0.35">
      <c r="B3024" s="9">
        <v>42836</v>
      </c>
      <c r="C3024" s="12">
        <v>154</v>
      </c>
      <c r="D3024" t="s">
        <v>5877</v>
      </c>
    </row>
    <row r="3025" spans="2:4" x14ac:dyDescent="0.35">
      <c r="B3025" s="9">
        <v>42837</v>
      </c>
      <c r="C3025" s="12">
        <v>187</v>
      </c>
      <c r="D3025" t="s">
        <v>5877</v>
      </c>
    </row>
    <row r="3026" spans="2:4" x14ac:dyDescent="0.35">
      <c r="B3026" s="9">
        <v>42838</v>
      </c>
      <c r="C3026" s="12">
        <v>208.8</v>
      </c>
      <c r="D3026" t="s">
        <v>5877</v>
      </c>
    </row>
    <row r="3027" spans="2:4" x14ac:dyDescent="0.35">
      <c r="B3027" s="9">
        <v>42839</v>
      </c>
      <c r="C3027" s="12">
        <v>154</v>
      </c>
      <c r="D3027" t="s">
        <v>5877</v>
      </c>
    </row>
    <row r="3028" spans="2:4" x14ac:dyDescent="0.35">
      <c r="B3028" s="9">
        <v>42840</v>
      </c>
      <c r="C3028" s="12">
        <v>220.8</v>
      </c>
      <c r="D3028" t="s">
        <v>5877</v>
      </c>
    </row>
    <row r="3029" spans="2:4" x14ac:dyDescent="0.35">
      <c r="B3029" s="9">
        <v>42841</v>
      </c>
      <c r="C3029" s="12">
        <v>167.5</v>
      </c>
      <c r="D3029" t="s">
        <v>5877</v>
      </c>
    </row>
    <row r="3030" spans="2:4" x14ac:dyDescent="0.35">
      <c r="B3030" s="9">
        <v>42842</v>
      </c>
      <c r="C3030" s="12">
        <v>171.4</v>
      </c>
      <c r="D3030" t="s">
        <v>5877</v>
      </c>
    </row>
    <row r="3031" spans="2:4" x14ac:dyDescent="0.35">
      <c r="B3031" s="9">
        <v>42843</v>
      </c>
      <c r="C3031" s="12">
        <v>124.2</v>
      </c>
      <c r="D3031" t="s">
        <v>5877</v>
      </c>
    </row>
    <row r="3032" spans="2:4" x14ac:dyDescent="0.35">
      <c r="B3032" s="9">
        <v>42844</v>
      </c>
      <c r="C3032" s="12">
        <v>98.3</v>
      </c>
      <c r="D3032" t="s">
        <v>5877</v>
      </c>
    </row>
    <row r="3033" spans="2:4" x14ac:dyDescent="0.35">
      <c r="B3033" s="9">
        <v>42845</v>
      </c>
      <c r="C3033" s="12">
        <v>104.4</v>
      </c>
      <c r="D3033" t="s">
        <v>5877</v>
      </c>
    </row>
    <row r="3034" spans="2:4" x14ac:dyDescent="0.35">
      <c r="B3034" s="9">
        <v>42846</v>
      </c>
      <c r="C3034" s="12">
        <v>112.3</v>
      </c>
      <c r="D3034" t="s">
        <v>5877</v>
      </c>
    </row>
    <row r="3035" spans="2:4" x14ac:dyDescent="0.35">
      <c r="B3035" s="9">
        <v>42847</v>
      </c>
      <c r="C3035" s="12">
        <v>136.69999999999999</v>
      </c>
      <c r="D3035" t="s">
        <v>5877</v>
      </c>
    </row>
    <row r="3036" spans="2:4" x14ac:dyDescent="0.35">
      <c r="B3036" s="9">
        <v>42848</v>
      </c>
      <c r="C3036" s="12">
        <v>154.4</v>
      </c>
      <c r="D3036" t="s">
        <v>5877</v>
      </c>
    </row>
    <row r="3037" spans="2:4" x14ac:dyDescent="0.35">
      <c r="B3037" s="9">
        <v>42849</v>
      </c>
      <c r="C3037" s="12">
        <v>190</v>
      </c>
      <c r="D3037" t="s">
        <v>5877</v>
      </c>
    </row>
    <row r="3038" spans="2:4" x14ac:dyDescent="0.35">
      <c r="B3038" s="9">
        <v>42850</v>
      </c>
      <c r="C3038" s="12">
        <v>147.30000000000001</v>
      </c>
      <c r="D3038" t="s">
        <v>5877</v>
      </c>
    </row>
    <row r="3039" spans="2:4" x14ac:dyDescent="0.35">
      <c r="B3039" s="9">
        <v>42851</v>
      </c>
      <c r="C3039" s="12">
        <v>130.9</v>
      </c>
      <c r="D3039" t="s">
        <v>5877</v>
      </c>
    </row>
    <row r="3040" spans="2:4" x14ac:dyDescent="0.35">
      <c r="B3040" s="9">
        <v>42852</v>
      </c>
      <c r="C3040" s="12">
        <v>150.4</v>
      </c>
      <c r="D3040" t="s">
        <v>5877</v>
      </c>
    </row>
    <row r="3041" spans="2:4" x14ac:dyDescent="0.35">
      <c r="B3041" s="9">
        <v>42853</v>
      </c>
      <c r="C3041" s="12">
        <v>132.30000000000001</v>
      </c>
      <c r="D3041" t="s">
        <v>5877</v>
      </c>
    </row>
    <row r="3042" spans="2:4" x14ac:dyDescent="0.35">
      <c r="B3042" s="9">
        <v>42854</v>
      </c>
      <c r="C3042" s="12">
        <v>103</v>
      </c>
      <c r="D3042" t="s">
        <v>5877</v>
      </c>
    </row>
    <row r="3043" spans="2:4" x14ac:dyDescent="0.35">
      <c r="B3043" s="9">
        <v>42855</v>
      </c>
      <c r="C3043" s="12">
        <v>84.6</v>
      </c>
      <c r="D3043" t="s">
        <v>5877</v>
      </c>
    </row>
    <row r="3044" spans="2:4" x14ac:dyDescent="0.35">
      <c r="B3044" s="9">
        <v>42856</v>
      </c>
      <c r="C3044" s="12">
        <v>72.099999999999994</v>
      </c>
      <c r="D3044" t="s">
        <v>5877</v>
      </c>
    </row>
    <row r="3045" spans="2:4" x14ac:dyDescent="0.35">
      <c r="B3045" s="9">
        <v>42857</v>
      </c>
      <c r="C3045" s="12">
        <v>63</v>
      </c>
      <c r="D3045" t="s">
        <v>5877</v>
      </c>
    </row>
    <row r="3046" spans="2:4" x14ac:dyDescent="0.35">
      <c r="B3046" s="9">
        <v>42858</v>
      </c>
      <c r="C3046" s="12">
        <v>55.7</v>
      </c>
      <c r="D3046" t="s">
        <v>5877</v>
      </c>
    </row>
    <row r="3047" spans="2:4" x14ac:dyDescent="0.35">
      <c r="B3047" s="9">
        <v>42859</v>
      </c>
      <c r="C3047" s="12">
        <v>49.7</v>
      </c>
      <c r="D3047" t="s">
        <v>5877</v>
      </c>
    </row>
    <row r="3048" spans="2:4" x14ac:dyDescent="0.35">
      <c r="B3048" s="9">
        <v>42860</v>
      </c>
      <c r="C3048" s="12">
        <v>44.9</v>
      </c>
      <c r="D3048" t="s">
        <v>5877</v>
      </c>
    </row>
    <row r="3049" spans="2:4" x14ac:dyDescent="0.35">
      <c r="B3049" s="9">
        <v>42861</v>
      </c>
      <c r="C3049" s="12">
        <v>42.5</v>
      </c>
      <c r="D3049" t="s">
        <v>5877</v>
      </c>
    </row>
    <row r="3050" spans="2:4" x14ac:dyDescent="0.35">
      <c r="B3050" s="9">
        <v>42862</v>
      </c>
      <c r="C3050" s="12">
        <v>76.7</v>
      </c>
      <c r="D3050" t="s">
        <v>5877</v>
      </c>
    </row>
    <row r="3051" spans="2:4" x14ac:dyDescent="0.35">
      <c r="B3051" s="9">
        <v>42863</v>
      </c>
      <c r="C3051" s="12">
        <v>151.5</v>
      </c>
      <c r="D3051" t="s">
        <v>5877</v>
      </c>
    </row>
    <row r="3052" spans="2:4" x14ac:dyDescent="0.35">
      <c r="B3052" s="9">
        <v>42864</v>
      </c>
      <c r="C3052" s="12">
        <v>126.2</v>
      </c>
      <c r="D3052" t="s">
        <v>5877</v>
      </c>
    </row>
    <row r="3053" spans="2:4" x14ac:dyDescent="0.35">
      <c r="B3053" s="9">
        <v>42865</v>
      </c>
      <c r="C3053" s="12">
        <v>92.9</v>
      </c>
      <c r="D3053" t="s">
        <v>5877</v>
      </c>
    </row>
    <row r="3054" spans="2:4" x14ac:dyDescent="0.35">
      <c r="B3054" s="9">
        <v>42866</v>
      </c>
      <c r="C3054" s="12">
        <v>74.099999999999994</v>
      </c>
      <c r="D3054" t="s">
        <v>5877</v>
      </c>
    </row>
    <row r="3055" spans="2:4" x14ac:dyDescent="0.35">
      <c r="B3055" s="9">
        <v>42867</v>
      </c>
      <c r="C3055" s="12">
        <v>64.900000000000006</v>
      </c>
      <c r="D3055" t="s">
        <v>5877</v>
      </c>
    </row>
    <row r="3056" spans="2:4" x14ac:dyDescent="0.35">
      <c r="B3056" s="9">
        <v>42868</v>
      </c>
      <c r="C3056" s="12">
        <v>74.2</v>
      </c>
      <c r="D3056" t="s">
        <v>5877</v>
      </c>
    </row>
    <row r="3057" spans="2:4" x14ac:dyDescent="0.35">
      <c r="B3057" s="9">
        <v>42869</v>
      </c>
      <c r="C3057" s="12">
        <v>80.099999999999994</v>
      </c>
      <c r="D3057" t="s">
        <v>5877</v>
      </c>
    </row>
    <row r="3058" spans="2:4" x14ac:dyDescent="0.35">
      <c r="B3058" s="9">
        <v>42870</v>
      </c>
      <c r="C3058" s="12">
        <v>111.1</v>
      </c>
      <c r="D3058" t="s">
        <v>5877</v>
      </c>
    </row>
    <row r="3059" spans="2:4" x14ac:dyDescent="0.35">
      <c r="B3059" s="9">
        <v>42871</v>
      </c>
      <c r="C3059" s="12">
        <v>93</v>
      </c>
      <c r="D3059" t="s">
        <v>5877</v>
      </c>
    </row>
    <row r="3060" spans="2:4" x14ac:dyDescent="0.35">
      <c r="B3060" s="9">
        <v>42872</v>
      </c>
      <c r="C3060" s="12">
        <v>113.7</v>
      </c>
      <c r="D3060" t="s">
        <v>5877</v>
      </c>
    </row>
    <row r="3061" spans="2:4" x14ac:dyDescent="0.35">
      <c r="B3061" s="9">
        <v>42873</v>
      </c>
      <c r="C3061" s="12">
        <v>117.6</v>
      </c>
      <c r="D3061" t="s">
        <v>5877</v>
      </c>
    </row>
    <row r="3062" spans="2:4" x14ac:dyDescent="0.35">
      <c r="B3062" s="9">
        <v>42874</v>
      </c>
      <c r="C3062" s="12">
        <v>103.9</v>
      </c>
      <c r="D3062" t="s">
        <v>5877</v>
      </c>
    </row>
    <row r="3063" spans="2:4" x14ac:dyDescent="0.35">
      <c r="B3063" s="9">
        <v>42875</v>
      </c>
      <c r="C3063" s="12">
        <v>83.2</v>
      </c>
      <c r="D3063" t="s">
        <v>5877</v>
      </c>
    </row>
    <row r="3064" spans="2:4" x14ac:dyDescent="0.35">
      <c r="B3064" s="9">
        <v>42876</v>
      </c>
      <c r="C3064" s="12">
        <v>70.099999999999994</v>
      </c>
      <c r="D3064" t="s">
        <v>5877</v>
      </c>
    </row>
    <row r="3065" spans="2:4" x14ac:dyDescent="0.35">
      <c r="B3065" s="9">
        <v>42877</v>
      </c>
      <c r="C3065" s="12">
        <v>60.9</v>
      </c>
      <c r="D3065" t="s">
        <v>5877</v>
      </c>
    </row>
    <row r="3066" spans="2:4" x14ac:dyDescent="0.35">
      <c r="B3066" s="9">
        <v>42878</v>
      </c>
      <c r="C3066" s="12">
        <v>53.6</v>
      </c>
      <c r="D3066" t="s">
        <v>5877</v>
      </c>
    </row>
    <row r="3067" spans="2:4" x14ac:dyDescent="0.35">
      <c r="B3067" s="9">
        <v>42879</v>
      </c>
      <c r="C3067" s="12">
        <v>47.7</v>
      </c>
      <c r="D3067" t="s">
        <v>5877</v>
      </c>
    </row>
    <row r="3068" spans="2:4" x14ac:dyDescent="0.35">
      <c r="B3068" s="9">
        <v>42880</v>
      </c>
      <c r="C3068" s="12">
        <v>42.7</v>
      </c>
      <c r="D3068" t="s">
        <v>5877</v>
      </c>
    </row>
    <row r="3069" spans="2:4" x14ac:dyDescent="0.35">
      <c r="B3069" s="9">
        <v>42881</v>
      </c>
      <c r="C3069" s="12">
        <v>38.200000000000003</v>
      </c>
      <c r="D3069" t="s">
        <v>5877</v>
      </c>
    </row>
    <row r="3070" spans="2:4" x14ac:dyDescent="0.35">
      <c r="B3070" s="9">
        <v>42882</v>
      </c>
      <c r="C3070" s="12">
        <v>34.700000000000003</v>
      </c>
      <c r="D3070" t="s">
        <v>5877</v>
      </c>
    </row>
    <row r="3071" spans="2:4" x14ac:dyDescent="0.35">
      <c r="B3071" s="9">
        <v>42883</v>
      </c>
      <c r="C3071" s="12">
        <v>31.5</v>
      </c>
      <c r="D3071" t="s">
        <v>5877</v>
      </c>
    </row>
    <row r="3072" spans="2:4" x14ac:dyDescent="0.35">
      <c r="B3072" s="9">
        <v>42884</v>
      </c>
      <c r="C3072" s="12">
        <v>28.5</v>
      </c>
      <c r="D3072" t="s">
        <v>5877</v>
      </c>
    </row>
    <row r="3073" spans="2:4" x14ac:dyDescent="0.35">
      <c r="B3073" s="9">
        <v>42885</v>
      </c>
      <c r="C3073" s="12">
        <v>32.200000000000003</v>
      </c>
      <c r="D3073" t="s">
        <v>5877</v>
      </c>
    </row>
    <row r="3074" spans="2:4" x14ac:dyDescent="0.35">
      <c r="B3074" s="9">
        <v>42886</v>
      </c>
      <c r="C3074" s="12">
        <v>27.9</v>
      </c>
      <c r="D3074" t="s">
        <v>5877</v>
      </c>
    </row>
    <row r="3075" spans="2:4" x14ac:dyDescent="0.35">
      <c r="B3075" s="9">
        <v>42887</v>
      </c>
      <c r="C3075" s="12">
        <v>23.3</v>
      </c>
      <c r="D3075" t="s">
        <v>5877</v>
      </c>
    </row>
    <row r="3076" spans="2:4" x14ac:dyDescent="0.35">
      <c r="B3076" s="9">
        <v>42888</v>
      </c>
      <c r="C3076" s="12">
        <v>19.8</v>
      </c>
      <c r="D3076" t="s">
        <v>5877</v>
      </c>
    </row>
    <row r="3077" spans="2:4" x14ac:dyDescent="0.35">
      <c r="B3077" s="9">
        <v>42889</v>
      </c>
      <c r="C3077" s="12">
        <v>17.2</v>
      </c>
      <c r="D3077" t="s">
        <v>5877</v>
      </c>
    </row>
    <row r="3078" spans="2:4" x14ac:dyDescent="0.35">
      <c r="B3078" s="9">
        <v>42890</v>
      </c>
      <c r="C3078" s="12">
        <v>15.2</v>
      </c>
      <c r="D3078" t="s">
        <v>5877</v>
      </c>
    </row>
    <row r="3079" spans="2:4" x14ac:dyDescent="0.35">
      <c r="B3079" s="9">
        <v>42891</v>
      </c>
      <c r="C3079" s="12">
        <v>13.5</v>
      </c>
      <c r="D3079" t="s">
        <v>5877</v>
      </c>
    </row>
    <row r="3080" spans="2:4" x14ac:dyDescent="0.35">
      <c r="B3080" s="9">
        <v>42892</v>
      </c>
      <c r="C3080" s="12">
        <v>12.4</v>
      </c>
      <c r="D3080" t="s">
        <v>5877</v>
      </c>
    </row>
    <row r="3081" spans="2:4" x14ac:dyDescent="0.35">
      <c r="B3081" s="9">
        <v>42893</v>
      </c>
      <c r="C3081" s="12">
        <v>11.2</v>
      </c>
      <c r="D3081" t="s">
        <v>5877</v>
      </c>
    </row>
    <row r="3082" spans="2:4" x14ac:dyDescent="0.35">
      <c r="B3082" s="9">
        <v>42894</v>
      </c>
      <c r="C3082" s="12">
        <v>10.1</v>
      </c>
      <c r="D3082" t="s">
        <v>5877</v>
      </c>
    </row>
    <row r="3083" spans="2:4" x14ac:dyDescent="0.35">
      <c r="B3083" s="9">
        <v>42895</v>
      </c>
      <c r="C3083" s="12">
        <v>9.1</v>
      </c>
      <c r="D3083" t="s">
        <v>5877</v>
      </c>
    </row>
    <row r="3084" spans="2:4" x14ac:dyDescent="0.35">
      <c r="B3084" s="9">
        <v>42896</v>
      </c>
      <c r="C3084" s="12">
        <v>8.1999999999999993</v>
      </c>
      <c r="D3084" t="s">
        <v>5877</v>
      </c>
    </row>
    <row r="3085" spans="2:4" x14ac:dyDescent="0.35">
      <c r="B3085" s="9">
        <v>42897</v>
      </c>
      <c r="C3085" s="12">
        <v>7.6</v>
      </c>
      <c r="D3085" t="s">
        <v>5877</v>
      </c>
    </row>
    <row r="3086" spans="2:4" x14ac:dyDescent="0.35">
      <c r="B3086" s="9">
        <v>42898</v>
      </c>
      <c r="C3086" s="12">
        <v>6.9</v>
      </c>
      <c r="D3086" t="s">
        <v>5877</v>
      </c>
    </row>
    <row r="3087" spans="2:4" x14ac:dyDescent="0.35">
      <c r="B3087" s="9">
        <v>42899</v>
      </c>
      <c r="C3087" s="12">
        <v>6.3</v>
      </c>
      <c r="D3087" t="s">
        <v>5877</v>
      </c>
    </row>
    <row r="3088" spans="2:4" x14ac:dyDescent="0.35">
      <c r="B3088" s="9">
        <v>42900</v>
      </c>
      <c r="C3088" s="12">
        <v>5.7</v>
      </c>
      <c r="D3088" t="s">
        <v>5877</v>
      </c>
    </row>
    <row r="3089" spans="2:4" x14ac:dyDescent="0.35">
      <c r="B3089" s="9">
        <v>42901</v>
      </c>
      <c r="C3089" s="12">
        <v>5.0999999999999996</v>
      </c>
      <c r="D3089" t="s">
        <v>5877</v>
      </c>
    </row>
    <row r="3090" spans="2:4" x14ac:dyDescent="0.35">
      <c r="B3090" s="9">
        <v>42902</v>
      </c>
      <c r="C3090" s="12">
        <v>4.5999999999999996</v>
      </c>
      <c r="D3090" t="s">
        <v>5877</v>
      </c>
    </row>
    <row r="3091" spans="2:4" x14ac:dyDescent="0.35">
      <c r="B3091" s="9">
        <v>42903</v>
      </c>
      <c r="C3091" s="12">
        <v>4.5</v>
      </c>
      <c r="D3091" t="s">
        <v>5877</v>
      </c>
    </row>
    <row r="3092" spans="2:4" x14ac:dyDescent="0.35">
      <c r="B3092" s="9">
        <v>42904</v>
      </c>
      <c r="C3092" s="12">
        <v>4.4000000000000004</v>
      </c>
      <c r="D3092" t="s">
        <v>5877</v>
      </c>
    </row>
    <row r="3093" spans="2:4" x14ac:dyDescent="0.35">
      <c r="B3093" s="9">
        <v>42905</v>
      </c>
      <c r="C3093" s="12">
        <v>8.5</v>
      </c>
      <c r="D3093" t="s">
        <v>5877</v>
      </c>
    </row>
    <row r="3094" spans="2:4" x14ac:dyDescent="0.35">
      <c r="B3094" s="9">
        <v>42906</v>
      </c>
      <c r="C3094" s="12">
        <v>6.8</v>
      </c>
      <c r="D3094" t="s">
        <v>5877</v>
      </c>
    </row>
    <row r="3095" spans="2:4" x14ac:dyDescent="0.35">
      <c r="B3095" s="9">
        <v>42907</v>
      </c>
      <c r="C3095" s="12">
        <v>5</v>
      </c>
      <c r="D3095" t="s">
        <v>5877</v>
      </c>
    </row>
    <row r="3096" spans="2:4" x14ac:dyDescent="0.35">
      <c r="B3096" s="9">
        <v>42908</v>
      </c>
      <c r="C3096" s="12">
        <v>4.5</v>
      </c>
      <c r="D3096" t="s">
        <v>5877</v>
      </c>
    </row>
    <row r="3097" spans="2:4" x14ac:dyDescent="0.35">
      <c r="B3097" s="9">
        <v>42909</v>
      </c>
      <c r="C3097" s="12">
        <v>14.2</v>
      </c>
      <c r="D3097" t="s">
        <v>5877</v>
      </c>
    </row>
    <row r="3098" spans="2:4" x14ac:dyDescent="0.35">
      <c r="B3098" s="9">
        <v>42910</v>
      </c>
      <c r="C3098" s="12">
        <v>10.9</v>
      </c>
      <c r="D3098" t="s">
        <v>5877</v>
      </c>
    </row>
    <row r="3099" spans="2:4" x14ac:dyDescent="0.35">
      <c r="B3099" s="9">
        <v>42911</v>
      </c>
      <c r="C3099" s="12">
        <v>7.8</v>
      </c>
      <c r="D3099" t="s">
        <v>5877</v>
      </c>
    </row>
    <row r="3100" spans="2:4" x14ac:dyDescent="0.35">
      <c r="B3100" s="9">
        <v>42912</v>
      </c>
      <c r="C3100" s="12">
        <v>6</v>
      </c>
      <c r="D3100" t="s">
        <v>5877</v>
      </c>
    </row>
    <row r="3101" spans="2:4" x14ac:dyDescent="0.35">
      <c r="B3101" s="9">
        <v>42913</v>
      </c>
      <c r="C3101" s="12">
        <v>4.8</v>
      </c>
      <c r="D3101" t="s">
        <v>5877</v>
      </c>
    </row>
    <row r="3102" spans="2:4" x14ac:dyDescent="0.35">
      <c r="B3102" s="9">
        <v>42914</v>
      </c>
      <c r="C3102" s="12">
        <v>4.4000000000000004</v>
      </c>
      <c r="D3102" t="s">
        <v>5877</v>
      </c>
    </row>
    <row r="3103" spans="2:4" x14ac:dyDescent="0.35">
      <c r="B3103" s="9">
        <v>42915</v>
      </c>
      <c r="C3103" s="12">
        <v>8</v>
      </c>
      <c r="D3103" t="s">
        <v>5877</v>
      </c>
    </row>
    <row r="3104" spans="2:4" x14ac:dyDescent="0.35">
      <c r="B3104" s="9">
        <v>42916</v>
      </c>
      <c r="C3104" s="12">
        <v>6.7</v>
      </c>
      <c r="D3104" t="s">
        <v>5877</v>
      </c>
    </row>
    <row r="3105" spans="2:4" x14ac:dyDescent="0.35">
      <c r="B3105" s="9">
        <v>42917</v>
      </c>
      <c r="C3105" s="12">
        <v>14.5</v>
      </c>
      <c r="D3105" t="s">
        <v>5877</v>
      </c>
    </row>
    <row r="3106" spans="2:4" x14ac:dyDescent="0.35">
      <c r="B3106" s="9">
        <v>42918</v>
      </c>
      <c r="C3106" s="12">
        <v>10.9</v>
      </c>
      <c r="D3106" t="s">
        <v>5877</v>
      </c>
    </row>
    <row r="3107" spans="2:4" x14ac:dyDescent="0.35">
      <c r="B3107" s="9">
        <v>42919</v>
      </c>
      <c r="C3107" s="12">
        <v>7.5</v>
      </c>
      <c r="D3107" t="s">
        <v>5877</v>
      </c>
    </row>
    <row r="3108" spans="2:4" x14ac:dyDescent="0.35">
      <c r="B3108" s="9">
        <v>42920</v>
      </c>
      <c r="C3108" s="12">
        <v>6.9</v>
      </c>
      <c r="D3108" t="s">
        <v>5877</v>
      </c>
    </row>
    <row r="3109" spans="2:4" x14ac:dyDescent="0.35">
      <c r="B3109" s="9">
        <v>42921</v>
      </c>
      <c r="C3109" s="12">
        <v>5.5</v>
      </c>
      <c r="D3109" t="s">
        <v>5877</v>
      </c>
    </row>
    <row r="3110" spans="2:4" x14ac:dyDescent="0.35">
      <c r="B3110" s="9">
        <v>42922</v>
      </c>
      <c r="C3110" s="12">
        <v>5.4</v>
      </c>
      <c r="D3110" t="s">
        <v>5877</v>
      </c>
    </row>
    <row r="3111" spans="2:4" x14ac:dyDescent="0.35">
      <c r="B3111" s="9">
        <v>42923</v>
      </c>
      <c r="C3111" s="12">
        <v>7.7</v>
      </c>
      <c r="D3111" t="s">
        <v>5877</v>
      </c>
    </row>
    <row r="3112" spans="2:4" x14ac:dyDescent="0.35">
      <c r="B3112" s="9">
        <v>42924</v>
      </c>
      <c r="C3112" s="12">
        <v>14.2</v>
      </c>
      <c r="D3112" t="s">
        <v>5877</v>
      </c>
    </row>
    <row r="3113" spans="2:4" x14ac:dyDescent="0.35">
      <c r="B3113" s="9">
        <v>42925</v>
      </c>
      <c r="C3113" s="12">
        <v>10.4</v>
      </c>
      <c r="D3113" t="s">
        <v>5877</v>
      </c>
    </row>
    <row r="3114" spans="2:4" x14ac:dyDescent="0.35">
      <c r="B3114" s="9">
        <v>42926</v>
      </c>
      <c r="C3114" s="12">
        <v>7.2</v>
      </c>
      <c r="D3114" t="s">
        <v>5877</v>
      </c>
    </row>
    <row r="3115" spans="2:4" x14ac:dyDescent="0.35">
      <c r="B3115" s="9">
        <v>42927</v>
      </c>
      <c r="C3115" s="12">
        <v>5.4</v>
      </c>
      <c r="D3115" t="s">
        <v>5877</v>
      </c>
    </row>
    <row r="3116" spans="2:4" x14ac:dyDescent="0.35">
      <c r="B3116" s="9">
        <v>42928</v>
      </c>
      <c r="C3116" s="12">
        <v>4.4000000000000004</v>
      </c>
      <c r="D3116" t="s">
        <v>5877</v>
      </c>
    </row>
    <row r="3117" spans="2:4" x14ac:dyDescent="0.35">
      <c r="B3117" s="9">
        <v>42929</v>
      </c>
      <c r="C3117" s="12">
        <v>3.8</v>
      </c>
      <c r="D3117" t="s">
        <v>5877</v>
      </c>
    </row>
    <row r="3118" spans="2:4" x14ac:dyDescent="0.35">
      <c r="B3118" s="9">
        <v>42930</v>
      </c>
      <c r="C3118" s="12">
        <v>3.3</v>
      </c>
      <c r="D3118" t="s">
        <v>5877</v>
      </c>
    </row>
    <row r="3119" spans="2:4" x14ac:dyDescent="0.35">
      <c r="B3119" s="9">
        <v>42931</v>
      </c>
      <c r="C3119" s="12">
        <v>3</v>
      </c>
      <c r="D3119" t="s">
        <v>5877</v>
      </c>
    </row>
    <row r="3120" spans="2:4" x14ac:dyDescent="0.35">
      <c r="B3120" s="9">
        <v>42932</v>
      </c>
      <c r="C3120" s="12">
        <v>2.8</v>
      </c>
      <c r="D3120" t="s">
        <v>5877</v>
      </c>
    </row>
    <row r="3121" spans="2:4" x14ac:dyDescent="0.35">
      <c r="B3121" s="9">
        <v>42933</v>
      </c>
      <c r="C3121" s="12">
        <v>2.6</v>
      </c>
      <c r="D3121" t="s">
        <v>5877</v>
      </c>
    </row>
    <row r="3122" spans="2:4" x14ac:dyDescent="0.35">
      <c r="B3122" s="9">
        <v>42934</v>
      </c>
      <c r="C3122" s="12">
        <v>2.4</v>
      </c>
      <c r="D3122" t="s">
        <v>5877</v>
      </c>
    </row>
    <row r="3123" spans="2:4" x14ac:dyDescent="0.35">
      <c r="B3123" s="9">
        <v>42935</v>
      </c>
      <c r="C3123" s="12">
        <v>2.2000000000000002</v>
      </c>
      <c r="D3123" t="s">
        <v>5877</v>
      </c>
    </row>
    <row r="3124" spans="2:4" x14ac:dyDescent="0.35">
      <c r="B3124" s="9">
        <v>42936</v>
      </c>
      <c r="C3124" s="12">
        <v>2</v>
      </c>
      <c r="D3124" t="s">
        <v>5877</v>
      </c>
    </row>
    <row r="3125" spans="2:4" x14ac:dyDescent="0.35">
      <c r="B3125" s="9">
        <v>42937</v>
      </c>
      <c r="C3125" s="12">
        <v>2</v>
      </c>
      <c r="D3125" t="s">
        <v>5877</v>
      </c>
    </row>
    <row r="3126" spans="2:4" x14ac:dyDescent="0.35">
      <c r="B3126" s="9">
        <v>42938</v>
      </c>
      <c r="C3126" s="12">
        <v>4.5999999999999996</v>
      </c>
      <c r="D3126" t="s">
        <v>5877</v>
      </c>
    </row>
    <row r="3127" spans="2:4" x14ac:dyDescent="0.35">
      <c r="B3127" s="9">
        <v>42939</v>
      </c>
      <c r="C3127" s="12">
        <v>14.4</v>
      </c>
      <c r="D3127" t="s">
        <v>5877</v>
      </c>
    </row>
    <row r="3128" spans="2:4" x14ac:dyDescent="0.35">
      <c r="B3128" s="9">
        <v>42940</v>
      </c>
      <c r="C3128" s="12">
        <v>13.3</v>
      </c>
      <c r="D3128" t="s">
        <v>5877</v>
      </c>
    </row>
    <row r="3129" spans="2:4" x14ac:dyDescent="0.35">
      <c r="B3129" s="9">
        <v>42941</v>
      </c>
      <c r="C3129" s="12">
        <v>14.3</v>
      </c>
      <c r="D3129" t="s">
        <v>5877</v>
      </c>
    </row>
    <row r="3130" spans="2:4" x14ac:dyDescent="0.35">
      <c r="B3130" s="9">
        <v>42942</v>
      </c>
      <c r="C3130" s="12">
        <v>11.7</v>
      </c>
      <c r="D3130" t="s">
        <v>5877</v>
      </c>
    </row>
    <row r="3131" spans="2:4" x14ac:dyDescent="0.35">
      <c r="B3131" s="9">
        <v>42943</v>
      </c>
      <c r="C3131" s="12">
        <v>24.1</v>
      </c>
      <c r="D3131" t="s">
        <v>5877</v>
      </c>
    </row>
    <row r="3132" spans="2:4" x14ac:dyDescent="0.35">
      <c r="B3132" s="9">
        <v>42944</v>
      </c>
      <c r="C3132" s="12">
        <v>18.100000000000001</v>
      </c>
      <c r="D3132" t="s">
        <v>5877</v>
      </c>
    </row>
    <row r="3133" spans="2:4" x14ac:dyDescent="0.35">
      <c r="B3133" s="9">
        <v>42945</v>
      </c>
      <c r="C3133" s="12">
        <v>13.3</v>
      </c>
      <c r="D3133" t="s">
        <v>5877</v>
      </c>
    </row>
    <row r="3134" spans="2:4" x14ac:dyDescent="0.35">
      <c r="B3134" s="9">
        <v>42946</v>
      </c>
      <c r="C3134" s="12">
        <v>10.5</v>
      </c>
      <c r="D3134" t="s">
        <v>5877</v>
      </c>
    </row>
    <row r="3135" spans="2:4" x14ac:dyDescent="0.35">
      <c r="B3135" s="9">
        <v>42947</v>
      </c>
      <c r="C3135" s="12">
        <v>8.6</v>
      </c>
      <c r="D3135" t="s">
        <v>5877</v>
      </c>
    </row>
    <row r="3136" spans="2:4" x14ac:dyDescent="0.35">
      <c r="B3136" s="9">
        <v>42948</v>
      </c>
      <c r="C3136" s="12">
        <v>7.3</v>
      </c>
      <c r="D3136" t="s">
        <v>5877</v>
      </c>
    </row>
    <row r="3137" spans="2:4" x14ac:dyDescent="0.35">
      <c r="B3137" s="9">
        <v>42949</v>
      </c>
      <c r="C3137" s="12">
        <v>7.1</v>
      </c>
      <c r="D3137" t="s">
        <v>5877</v>
      </c>
    </row>
    <row r="3138" spans="2:4" x14ac:dyDescent="0.35">
      <c r="B3138" s="9">
        <v>42950</v>
      </c>
      <c r="C3138" s="12">
        <v>18.899999999999999</v>
      </c>
      <c r="D3138" t="s">
        <v>5877</v>
      </c>
    </row>
    <row r="3139" spans="2:4" x14ac:dyDescent="0.35">
      <c r="B3139" s="9">
        <v>42951</v>
      </c>
      <c r="C3139" s="12">
        <v>37</v>
      </c>
      <c r="D3139" t="s">
        <v>5877</v>
      </c>
    </row>
    <row r="3140" spans="2:4" x14ac:dyDescent="0.35">
      <c r="B3140" s="9">
        <v>42952</v>
      </c>
      <c r="C3140" s="12">
        <v>30.5</v>
      </c>
      <c r="D3140" t="s">
        <v>5877</v>
      </c>
    </row>
    <row r="3141" spans="2:4" x14ac:dyDescent="0.35">
      <c r="B3141" s="9">
        <v>42953</v>
      </c>
      <c r="C3141" s="12">
        <v>64.400000000000006</v>
      </c>
      <c r="D3141" t="s">
        <v>5877</v>
      </c>
    </row>
    <row r="3142" spans="2:4" x14ac:dyDescent="0.35">
      <c r="B3142" s="9">
        <v>42954</v>
      </c>
      <c r="C3142" s="12">
        <v>51.7</v>
      </c>
      <c r="D3142" t="s">
        <v>5877</v>
      </c>
    </row>
    <row r="3143" spans="2:4" x14ac:dyDescent="0.35">
      <c r="B3143" s="9">
        <v>42955</v>
      </c>
      <c r="C3143" s="12">
        <v>37.1</v>
      </c>
      <c r="D3143" t="s">
        <v>5877</v>
      </c>
    </row>
    <row r="3144" spans="2:4" x14ac:dyDescent="0.35">
      <c r="B3144" s="9">
        <v>42956</v>
      </c>
      <c r="C3144" s="12">
        <v>29.2</v>
      </c>
      <c r="D3144" t="s">
        <v>5877</v>
      </c>
    </row>
    <row r="3145" spans="2:4" x14ac:dyDescent="0.35">
      <c r="B3145" s="9">
        <v>42957</v>
      </c>
      <c r="C3145" s="12">
        <v>35.700000000000003</v>
      </c>
      <c r="D3145" t="s">
        <v>5877</v>
      </c>
    </row>
    <row r="3146" spans="2:4" x14ac:dyDescent="0.35">
      <c r="B3146" s="9">
        <v>42958</v>
      </c>
      <c r="C3146" s="12">
        <v>29.4</v>
      </c>
      <c r="D3146" t="s">
        <v>5877</v>
      </c>
    </row>
    <row r="3147" spans="2:4" x14ac:dyDescent="0.35">
      <c r="B3147" s="9">
        <v>42959</v>
      </c>
      <c r="C3147" s="12">
        <v>24.5</v>
      </c>
      <c r="D3147" t="s">
        <v>5877</v>
      </c>
    </row>
    <row r="3148" spans="2:4" x14ac:dyDescent="0.35">
      <c r="B3148" s="9">
        <v>42960</v>
      </c>
      <c r="C3148" s="12">
        <v>21.7</v>
      </c>
      <c r="D3148" t="s">
        <v>5877</v>
      </c>
    </row>
    <row r="3149" spans="2:4" x14ac:dyDescent="0.35">
      <c r="B3149" s="9">
        <v>42961</v>
      </c>
      <c r="C3149" s="12">
        <v>19.399999999999999</v>
      </c>
      <c r="D3149" t="s">
        <v>5877</v>
      </c>
    </row>
    <row r="3150" spans="2:4" x14ac:dyDescent="0.35">
      <c r="B3150" s="9">
        <v>42962</v>
      </c>
      <c r="C3150" s="12">
        <v>28</v>
      </c>
      <c r="D3150" t="s">
        <v>5877</v>
      </c>
    </row>
    <row r="3151" spans="2:4" x14ac:dyDescent="0.35">
      <c r="B3151" s="9">
        <v>42963</v>
      </c>
      <c r="C3151" s="12">
        <v>25.9</v>
      </c>
      <c r="D3151" t="s">
        <v>5877</v>
      </c>
    </row>
    <row r="3152" spans="2:4" x14ac:dyDescent="0.35">
      <c r="B3152" s="9">
        <v>42964</v>
      </c>
      <c r="C3152" s="12">
        <v>21.8</v>
      </c>
      <c r="D3152" t="s">
        <v>5877</v>
      </c>
    </row>
    <row r="3153" spans="2:4" x14ac:dyDescent="0.35">
      <c r="B3153" s="9">
        <v>42965</v>
      </c>
      <c r="C3153" s="12">
        <v>21.7</v>
      </c>
      <c r="D3153" t="s">
        <v>5877</v>
      </c>
    </row>
    <row r="3154" spans="2:4" x14ac:dyDescent="0.35">
      <c r="B3154" s="9">
        <v>42966</v>
      </c>
      <c r="C3154" s="12">
        <v>29</v>
      </c>
      <c r="D3154" t="s">
        <v>5877</v>
      </c>
    </row>
    <row r="3155" spans="2:4" x14ac:dyDescent="0.35">
      <c r="B3155" s="9">
        <v>42967</v>
      </c>
      <c r="C3155" s="12">
        <v>51.4</v>
      </c>
      <c r="D3155" t="s">
        <v>5877</v>
      </c>
    </row>
    <row r="3156" spans="2:4" x14ac:dyDescent="0.35">
      <c r="B3156" s="9">
        <v>42968</v>
      </c>
      <c r="C3156" s="12">
        <v>44.6</v>
      </c>
      <c r="D3156" t="s">
        <v>5877</v>
      </c>
    </row>
    <row r="3157" spans="2:4" x14ac:dyDescent="0.35">
      <c r="B3157" s="9">
        <v>42969</v>
      </c>
      <c r="C3157" s="12">
        <v>33.5</v>
      </c>
      <c r="D3157" t="s">
        <v>5877</v>
      </c>
    </row>
    <row r="3158" spans="2:4" x14ac:dyDescent="0.35">
      <c r="B3158" s="9">
        <v>42970</v>
      </c>
      <c r="C3158" s="12">
        <v>27.5</v>
      </c>
      <c r="D3158" t="s">
        <v>5877</v>
      </c>
    </row>
    <row r="3159" spans="2:4" x14ac:dyDescent="0.35">
      <c r="B3159" s="9">
        <v>42971</v>
      </c>
      <c r="C3159" s="12">
        <v>24.4</v>
      </c>
      <c r="D3159" t="s">
        <v>5877</v>
      </c>
    </row>
    <row r="3160" spans="2:4" x14ac:dyDescent="0.35">
      <c r="B3160" s="9">
        <v>42972</v>
      </c>
      <c r="C3160" s="12">
        <v>30.3</v>
      </c>
      <c r="D3160" t="s">
        <v>5877</v>
      </c>
    </row>
    <row r="3161" spans="2:4" x14ac:dyDescent="0.35">
      <c r="B3161" s="9">
        <v>42973</v>
      </c>
      <c r="C3161" s="12">
        <v>48.9</v>
      </c>
      <c r="D3161" t="s">
        <v>5877</v>
      </c>
    </row>
    <row r="3162" spans="2:4" x14ac:dyDescent="0.35">
      <c r="B3162" s="9">
        <v>42974</v>
      </c>
      <c r="C3162" s="12">
        <v>49.8</v>
      </c>
      <c r="D3162" t="s">
        <v>5877</v>
      </c>
    </row>
    <row r="3163" spans="2:4" x14ac:dyDescent="0.35">
      <c r="B3163" s="9">
        <v>42975</v>
      </c>
      <c r="C3163" s="12">
        <v>39.4</v>
      </c>
      <c r="D3163" t="s">
        <v>5877</v>
      </c>
    </row>
    <row r="3164" spans="2:4" x14ac:dyDescent="0.35">
      <c r="B3164" s="9">
        <v>42976</v>
      </c>
      <c r="C3164" s="12">
        <v>31.7</v>
      </c>
      <c r="D3164" t="s">
        <v>5877</v>
      </c>
    </row>
    <row r="3165" spans="2:4" x14ac:dyDescent="0.35">
      <c r="B3165" s="9">
        <v>42977</v>
      </c>
      <c r="C3165" s="12">
        <v>28.7</v>
      </c>
      <c r="D3165" t="s">
        <v>5877</v>
      </c>
    </row>
    <row r="3166" spans="2:4" x14ac:dyDescent="0.35">
      <c r="B3166" s="9">
        <v>42978</v>
      </c>
      <c r="C3166" s="12">
        <v>25.9</v>
      </c>
      <c r="D3166" t="s">
        <v>5877</v>
      </c>
    </row>
    <row r="3167" spans="2:4" x14ac:dyDescent="0.35">
      <c r="B3167" s="9">
        <v>42979</v>
      </c>
      <c r="C3167" s="12">
        <v>27.5</v>
      </c>
      <c r="D3167" t="s">
        <v>5877</v>
      </c>
    </row>
    <row r="3168" spans="2:4" x14ac:dyDescent="0.35">
      <c r="B3168" s="9">
        <v>42980</v>
      </c>
      <c r="C3168" s="12">
        <v>52.2</v>
      </c>
      <c r="D3168" t="s">
        <v>5877</v>
      </c>
    </row>
    <row r="3169" spans="2:4" x14ac:dyDescent="0.35">
      <c r="B3169" s="9">
        <v>42981</v>
      </c>
      <c r="C3169" s="12">
        <v>53.2</v>
      </c>
      <c r="D3169" t="s">
        <v>5877</v>
      </c>
    </row>
    <row r="3170" spans="2:4" x14ac:dyDescent="0.35">
      <c r="B3170" s="9">
        <v>42982</v>
      </c>
      <c r="C3170" s="12">
        <v>50.8</v>
      </c>
      <c r="D3170" t="s">
        <v>5877</v>
      </c>
    </row>
    <row r="3171" spans="2:4" x14ac:dyDescent="0.35">
      <c r="B3171" s="9">
        <v>42983</v>
      </c>
      <c r="C3171" s="12">
        <v>64</v>
      </c>
      <c r="D3171" t="s">
        <v>5877</v>
      </c>
    </row>
    <row r="3172" spans="2:4" x14ac:dyDescent="0.35">
      <c r="B3172" s="9">
        <v>42984</v>
      </c>
      <c r="C3172" s="12">
        <v>53.1</v>
      </c>
      <c r="D3172" t="s">
        <v>5877</v>
      </c>
    </row>
    <row r="3173" spans="2:4" x14ac:dyDescent="0.35">
      <c r="B3173" s="9">
        <v>42985</v>
      </c>
      <c r="C3173" s="12">
        <v>43.6</v>
      </c>
      <c r="D3173" t="s">
        <v>5877</v>
      </c>
    </row>
    <row r="3174" spans="2:4" x14ac:dyDescent="0.35">
      <c r="B3174" s="9">
        <v>42986</v>
      </c>
      <c r="C3174" s="12">
        <v>67.5</v>
      </c>
      <c r="D3174" t="s">
        <v>5877</v>
      </c>
    </row>
    <row r="3175" spans="2:4" x14ac:dyDescent="0.35">
      <c r="B3175" s="9">
        <v>42987</v>
      </c>
      <c r="C3175" s="12">
        <v>113.4</v>
      </c>
      <c r="D3175" t="s">
        <v>5877</v>
      </c>
    </row>
    <row r="3176" spans="2:4" x14ac:dyDescent="0.35">
      <c r="B3176" s="9">
        <v>42988</v>
      </c>
      <c r="C3176" s="12">
        <v>112.8</v>
      </c>
      <c r="D3176" t="s">
        <v>5877</v>
      </c>
    </row>
    <row r="3177" spans="2:4" x14ac:dyDescent="0.35">
      <c r="B3177" s="9">
        <v>42989</v>
      </c>
      <c r="C3177" s="12">
        <v>77</v>
      </c>
      <c r="D3177" t="s">
        <v>5877</v>
      </c>
    </row>
    <row r="3178" spans="2:4" x14ac:dyDescent="0.35">
      <c r="B3178" s="9">
        <v>42990</v>
      </c>
      <c r="C3178" s="12">
        <v>68.2</v>
      </c>
      <c r="D3178" t="s">
        <v>5877</v>
      </c>
    </row>
    <row r="3179" spans="2:4" x14ac:dyDescent="0.35">
      <c r="B3179" s="9">
        <v>42991</v>
      </c>
      <c r="C3179" s="12">
        <v>95.9</v>
      </c>
      <c r="D3179" t="s">
        <v>5877</v>
      </c>
    </row>
    <row r="3180" spans="2:4" x14ac:dyDescent="0.35">
      <c r="B3180" s="9">
        <v>42992</v>
      </c>
      <c r="C3180" s="12">
        <v>99.7</v>
      </c>
      <c r="D3180" t="s">
        <v>5877</v>
      </c>
    </row>
    <row r="3181" spans="2:4" x14ac:dyDescent="0.35">
      <c r="B3181" s="9">
        <v>42993</v>
      </c>
      <c r="C3181" s="12">
        <v>72.099999999999994</v>
      </c>
      <c r="D3181" t="s">
        <v>5877</v>
      </c>
    </row>
    <row r="3182" spans="2:4" x14ac:dyDescent="0.35">
      <c r="B3182" s="9">
        <v>42994</v>
      </c>
      <c r="C3182" s="12">
        <v>60.3</v>
      </c>
      <c r="D3182" t="s">
        <v>5877</v>
      </c>
    </row>
    <row r="3183" spans="2:4" x14ac:dyDescent="0.35">
      <c r="B3183" s="9">
        <v>42995</v>
      </c>
      <c r="C3183" s="12">
        <v>60</v>
      </c>
      <c r="D3183" t="s">
        <v>5877</v>
      </c>
    </row>
    <row r="3184" spans="2:4" x14ac:dyDescent="0.35">
      <c r="B3184" s="9">
        <v>42996</v>
      </c>
      <c r="C3184" s="12">
        <v>52.9</v>
      </c>
      <c r="D3184" t="s">
        <v>5877</v>
      </c>
    </row>
    <row r="3185" spans="2:4" x14ac:dyDescent="0.35">
      <c r="B3185" s="9">
        <v>42997</v>
      </c>
      <c r="C3185" s="12">
        <v>68.400000000000006</v>
      </c>
      <c r="D3185" t="s">
        <v>5877</v>
      </c>
    </row>
    <row r="3186" spans="2:4" x14ac:dyDescent="0.35">
      <c r="B3186" s="9">
        <v>42998</v>
      </c>
      <c r="C3186" s="12">
        <v>109.7</v>
      </c>
      <c r="D3186" t="s">
        <v>5877</v>
      </c>
    </row>
    <row r="3187" spans="2:4" x14ac:dyDescent="0.35">
      <c r="B3187" s="9">
        <v>42999</v>
      </c>
      <c r="C3187" s="12">
        <v>116.5</v>
      </c>
      <c r="D3187" t="s">
        <v>5877</v>
      </c>
    </row>
    <row r="3188" spans="2:4" x14ac:dyDescent="0.35">
      <c r="B3188" s="9">
        <v>43000</v>
      </c>
      <c r="C3188" s="12">
        <v>86.2</v>
      </c>
      <c r="D3188" t="s">
        <v>5877</v>
      </c>
    </row>
    <row r="3189" spans="2:4" x14ac:dyDescent="0.35">
      <c r="B3189" s="9">
        <v>43001</v>
      </c>
      <c r="C3189" s="12">
        <v>65.8</v>
      </c>
      <c r="D3189" t="s">
        <v>5877</v>
      </c>
    </row>
    <row r="3190" spans="2:4" x14ac:dyDescent="0.35">
      <c r="B3190" s="9">
        <v>43002</v>
      </c>
      <c r="C3190" s="12">
        <v>56.1</v>
      </c>
      <c r="D3190" t="s">
        <v>5877</v>
      </c>
    </row>
    <row r="3191" spans="2:4" x14ac:dyDescent="0.35">
      <c r="B3191" s="9">
        <v>43003</v>
      </c>
      <c r="C3191" s="12">
        <v>49.9</v>
      </c>
      <c r="D3191" t="s">
        <v>5877</v>
      </c>
    </row>
    <row r="3192" spans="2:4" x14ac:dyDescent="0.35">
      <c r="B3192" s="9">
        <v>43004</v>
      </c>
      <c r="C3192" s="12">
        <v>55.9</v>
      </c>
      <c r="D3192" t="s">
        <v>5877</v>
      </c>
    </row>
    <row r="3193" spans="2:4" x14ac:dyDescent="0.35">
      <c r="B3193" s="9">
        <v>43005</v>
      </c>
      <c r="C3193" s="12">
        <v>67.400000000000006</v>
      </c>
      <c r="D3193" t="s">
        <v>5877</v>
      </c>
    </row>
    <row r="3194" spans="2:4" x14ac:dyDescent="0.35">
      <c r="B3194" s="9">
        <v>43006</v>
      </c>
      <c r="C3194" s="12">
        <v>61.9</v>
      </c>
      <c r="D3194" t="s">
        <v>5877</v>
      </c>
    </row>
    <row r="3195" spans="2:4" x14ac:dyDescent="0.35">
      <c r="B3195" s="9">
        <v>43007</v>
      </c>
      <c r="C3195" s="12">
        <v>117.2</v>
      </c>
      <c r="D3195" t="s">
        <v>5877</v>
      </c>
    </row>
    <row r="3196" spans="2:4" x14ac:dyDescent="0.35">
      <c r="B3196" s="9">
        <v>43008</v>
      </c>
      <c r="C3196" s="12">
        <v>104.1</v>
      </c>
      <c r="D3196" t="s">
        <v>5877</v>
      </c>
    </row>
    <row r="3197" spans="2:4" x14ac:dyDescent="0.35">
      <c r="B3197" s="9">
        <v>43009</v>
      </c>
      <c r="C3197" s="12">
        <v>77.599999999999994</v>
      </c>
      <c r="D3197" t="s">
        <v>5877</v>
      </c>
    </row>
    <row r="3198" spans="2:4" x14ac:dyDescent="0.35">
      <c r="B3198" s="9">
        <v>43010</v>
      </c>
      <c r="C3198" s="12">
        <v>69.3</v>
      </c>
      <c r="D3198" t="s">
        <v>5877</v>
      </c>
    </row>
    <row r="3199" spans="2:4" x14ac:dyDescent="0.35">
      <c r="B3199" s="9">
        <v>43011</v>
      </c>
      <c r="C3199" s="12">
        <v>100.7</v>
      </c>
      <c r="D3199" t="s">
        <v>5877</v>
      </c>
    </row>
    <row r="3200" spans="2:4" x14ac:dyDescent="0.35">
      <c r="B3200" s="9">
        <v>43012</v>
      </c>
      <c r="C3200" s="12">
        <v>165.8</v>
      </c>
      <c r="D3200" t="s">
        <v>5877</v>
      </c>
    </row>
    <row r="3201" spans="2:4" x14ac:dyDescent="0.35">
      <c r="B3201" s="9">
        <v>43013</v>
      </c>
      <c r="C3201" s="12">
        <v>140.1</v>
      </c>
      <c r="D3201" t="s">
        <v>5877</v>
      </c>
    </row>
    <row r="3202" spans="2:4" x14ac:dyDescent="0.35">
      <c r="B3202" s="9">
        <v>43014</v>
      </c>
      <c r="C3202" s="12">
        <v>103.3</v>
      </c>
      <c r="D3202" t="s">
        <v>5877</v>
      </c>
    </row>
    <row r="3203" spans="2:4" x14ac:dyDescent="0.35">
      <c r="B3203" s="9">
        <v>43015</v>
      </c>
      <c r="C3203" s="12">
        <v>119.3</v>
      </c>
      <c r="D3203" t="s">
        <v>5877</v>
      </c>
    </row>
    <row r="3204" spans="2:4" x14ac:dyDescent="0.35">
      <c r="B3204" s="9">
        <v>43016</v>
      </c>
      <c r="C3204" s="12">
        <v>153.6</v>
      </c>
      <c r="D3204" t="s">
        <v>5877</v>
      </c>
    </row>
    <row r="3205" spans="2:4" x14ac:dyDescent="0.35">
      <c r="B3205" s="9">
        <v>43017</v>
      </c>
      <c r="C3205" s="12">
        <v>169.3</v>
      </c>
      <c r="D3205" t="s">
        <v>5877</v>
      </c>
    </row>
    <row r="3206" spans="2:4" x14ac:dyDescent="0.35">
      <c r="B3206" s="9">
        <v>43018</v>
      </c>
      <c r="C3206" s="12">
        <v>123</v>
      </c>
      <c r="D3206" t="s">
        <v>5877</v>
      </c>
    </row>
    <row r="3207" spans="2:4" x14ac:dyDescent="0.35">
      <c r="B3207" s="9">
        <v>43019</v>
      </c>
      <c r="C3207" s="12">
        <v>147.69999999999999</v>
      </c>
      <c r="D3207" t="s">
        <v>5877</v>
      </c>
    </row>
    <row r="3208" spans="2:4" x14ac:dyDescent="0.35">
      <c r="B3208" s="9">
        <v>43020</v>
      </c>
      <c r="C3208" s="12">
        <v>133.5</v>
      </c>
      <c r="D3208" t="s">
        <v>5877</v>
      </c>
    </row>
    <row r="3209" spans="2:4" x14ac:dyDescent="0.35">
      <c r="B3209" s="9">
        <v>43021</v>
      </c>
      <c r="C3209" s="12">
        <v>150.5</v>
      </c>
      <c r="D3209" t="s">
        <v>5877</v>
      </c>
    </row>
    <row r="3210" spans="2:4" x14ac:dyDescent="0.35">
      <c r="B3210" s="9">
        <v>43022</v>
      </c>
      <c r="C3210" s="12">
        <v>129.30000000000001</v>
      </c>
      <c r="D3210" t="s">
        <v>5877</v>
      </c>
    </row>
    <row r="3211" spans="2:4" x14ac:dyDescent="0.35">
      <c r="B3211" s="9">
        <v>43023</v>
      </c>
      <c r="C3211" s="12">
        <v>126.7</v>
      </c>
      <c r="D3211" t="s">
        <v>5877</v>
      </c>
    </row>
    <row r="3212" spans="2:4" x14ac:dyDescent="0.35">
      <c r="B3212" s="9">
        <v>43024</v>
      </c>
      <c r="C3212" s="12">
        <v>99.9</v>
      </c>
      <c r="D3212" t="s">
        <v>5877</v>
      </c>
    </row>
    <row r="3213" spans="2:4" x14ac:dyDescent="0.35">
      <c r="B3213" s="9">
        <v>43025</v>
      </c>
      <c r="C3213" s="12">
        <v>78.7</v>
      </c>
      <c r="D3213" t="s">
        <v>5877</v>
      </c>
    </row>
    <row r="3214" spans="2:4" x14ac:dyDescent="0.35">
      <c r="B3214" s="9">
        <v>43026</v>
      </c>
      <c r="C3214" s="12">
        <v>90.8</v>
      </c>
      <c r="D3214" t="s">
        <v>5877</v>
      </c>
    </row>
    <row r="3215" spans="2:4" x14ac:dyDescent="0.35">
      <c r="B3215" s="9">
        <v>43027</v>
      </c>
      <c r="C3215" s="12">
        <v>74.8</v>
      </c>
      <c r="D3215" t="s">
        <v>5877</v>
      </c>
    </row>
    <row r="3216" spans="2:4" x14ac:dyDescent="0.35">
      <c r="B3216" s="9">
        <v>43028</v>
      </c>
      <c r="C3216" s="12">
        <v>67.3</v>
      </c>
      <c r="D3216" t="s">
        <v>5877</v>
      </c>
    </row>
    <row r="3217" spans="2:4" x14ac:dyDescent="0.35">
      <c r="B3217" s="9">
        <v>43029</v>
      </c>
      <c r="C3217" s="12">
        <v>88.5</v>
      </c>
      <c r="D3217" t="s">
        <v>5877</v>
      </c>
    </row>
    <row r="3218" spans="2:4" x14ac:dyDescent="0.35">
      <c r="B3218" s="9">
        <v>43030</v>
      </c>
      <c r="C3218" s="12">
        <v>88.1</v>
      </c>
      <c r="D3218" t="s">
        <v>5877</v>
      </c>
    </row>
    <row r="3219" spans="2:4" x14ac:dyDescent="0.35">
      <c r="B3219" s="9">
        <v>43031</v>
      </c>
      <c r="C3219" s="12">
        <v>91.7</v>
      </c>
      <c r="D3219" t="s">
        <v>5877</v>
      </c>
    </row>
    <row r="3220" spans="2:4" x14ac:dyDescent="0.35">
      <c r="B3220" s="9">
        <v>43032</v>
      </c>
      <c r="C3220" s="12">
        <v>87</v>
      </c>
      <c r="D3220" t="s">
        <v>5877</v>
      </c>
    </row>
    <row r="3221" spans="2:4" x14ac:dyDescent="0.35">
      <c r="B3221" s="9">
        <v>43033</v>
      </c>
      <c r="C3221" s="12">
        <v>131.69999999999999</v>
      </c>
      <c r="D3221" t="s">
        <v>5877</v>
      </c>
    </row>
    <row r="3222" spans="2:4" x14ac:dyDescent="0.35">
      <c r="B3222" s="9">
        <v>43034</v>
      </c>
      <c r="C3222" s="12">
        <v>152.6</v>
      </c>
      <c r="D3222" t="s">
        <v>5877</v>
      </c>
    </row>
    <row r="3223" spans="2:4" x14ac:dyDescent="0.35">
      <c r="B3223" s="9">
        <v>43035</v>
      </c>
      <c r="C3223" s="12">
        <v>219.4</v>
      </c>
      <c r="D3223" t="s">
        <v>5877</v>
      </c>
    </row>
    <row r="3224" spans="2:4" x14ac:dyDescent="0.35">
      <c r="B3224" s="9">
        <v>43036</v>
      </c>
      <c r="C3224" s="12">
        <v>165.2</v>
      </c>
      <c r="D3224" t="s">
        <v>5877</v>
      </c>
    </row>
    <row r="3225" spans="2:4" x14ac:dyDescent="0.35">
      <c r="B3225" s="9">
        <v>43037</v>
      </c>
      <c r="C3225" s="12">
        <v>135.30000000000001</v>
      </c>
      <c r="D3225" t="s">
        <v>5877</v>
      </c>
    </row>
    <row r="3226" spans="2:4" x14ac:dyDescent="0.35">
      <c r="B3226" s="9">
        <v>43038</v>
      </c>
      <c r="C3226" s="12">
        <v>157</v>
      </c>
      <c r="D3226" t="s">
        <v>5877</v>
      </c>
    </row>
    <row r="3227" spans="2:4" x14ac:dyDescent="0.35">
      <c r="B3227" s="9">
        <v>43039</v>
      </c>
      <c r="C3227" s="12">
        <v>144.19999999999999</v>
      </c>
      <c r="D3227" t="s">
        <v>5877</v>
      </c>
    </row>
    <row r="3228" spans="2:4" x14ac:dyDescent="0.35">
      <c r="B3228" s="9">
        <v>43040</v>
      </c>
      <c r="C3228" s="12">
        <v>150.5</v>
      </c>
      <c r="D3228" t="s">
        <v>5877</v>
      </c>
    </row>
    <row r="3229" spans="2:4" x14ac:dyDescent="0.35">
      <c r="B3229" s="9">
        <v>43041</v>
      </c>
      <c r="C3229" s="12">
        <v>133.6</v>
      </c>
      <c r="D3229" t="s">
        <v>5877</v>
      </c>
    </row>
    <row r="3230" spans="2:4" x14ac:dyDescent="0.35">
      <c r="B3230" s="9">
        <v>43042</v>
      </c>
      <c r="C3230" s="12">
        <v>180.6</v>
      </c>
      <c r="D3230" t="s">
        <v>5877</v>
      </c>
    </row>
    <row r="3231" spans="2:4" x14ac:dyDescent="0.35">
      <c r="B3231" s="9">
        <v>43043</v>
      </c>
      <c r="C3231" s="12">
        <v>147.69999999999999</v>
      </c>
      <c r="D3231" t="s">
        <v>5877</v>
      </c>
    </row>
    <row r="3232" spans="2:4" x14ac:dyDescent="0.35">
      <c r="B3232" s="9">
        <v>43044</v>
      </c>
      <c r="C3232" s="12">
        <v>184.8</v>
      </c>
      <c r="D3232" t="s">
        <v>5877</v>
      </c>
    </row>
    <row r="3233" spans="2:4" x14ac:dyDescent="0.35">
      <c r="B3233" s="9">
        <v>43045</v>
      </c>
      <c r="C3233" s="12">
        <v>144.9</v>
      </c>
      <c r="D3233" t="s">
        <v>5877</v>
      </c>
    </row>
    <row r="3234" spans="2:4" x14ac:dyDescent="0.35">
      <c r="B3234" s="9">
        <v>43046</v>
      </c>
      <c r="C3234" s="12">
        <v>138.5</v>
      </c>
      <c r="D3234" t="s">
        <v>5877</v>
      </c>
    </row>
    <row r="3235" spans="2:4" x14ac:dyDescent="0.35">
      <c r="B3235" s="9">
        <v>43047</v>
      </c>
      <c r="C3235" s="12">
        <v>136.9</v>
      </c>
      <c r="D3235" t="s">
        <v>5877</v>
      </c>
    </row>
    <row r="3236" spans="2:4" x14ac:dyDescent="0.35">
      <c r="B3236" s="9">
        <v>43048</v>
      </c>
      <c r="C3236" s="12">
        <v>128.4</v>
      </c>
      <c r="D3236" t="s">
        <v>5877</v>
      </c>
    </row>
    <row r="3237" spans="2:4" x14ac:dyDescent="0.35">
      <c r="B3237" s="9">
        <v>43049</v>
      </c>
      <c r="C3237" s="12">
        <v>163.69999999999999</v>
      </c>
      <c r="D3237" t="s">
        <v>5877</v>
      </c>
    </row>
    <row r="3238" spans="2:4" x14ac:dyDescent="0.35">
      <c r="B3238" s="9">
        <v>43050</v>
      </c>
      <c r="C3238" s="12">
        <v>162.9</v>
      </c>
      <c r="D3238" t="s">
        <v>5877</v>
      </c>
    </row>
    <row r="3239" spans="2:4" x14ac:dyDescent="0.35">
      <c r="B3239" s="9">
        <v>43051</v>
      </c>
      <c r="C3239" s="12">
        <v>134</v>
      </c>
      <c r="D3239" t="s">
        <v>5877</v>
      </c>
    </row>
    <row r="3240" spans="2:4" x14ac:dyDescent="0.35">
      <c r="B3240" s="9">
        <v>43052</v>
      </c>
      <c r="C3240" s="12">
        <v>154.19999999999999</v>
      </c>
      <c r="D3240" t="s">
        <v>5877</v>
      </c>
    </row>
    <row r="3241" spans="2:4" x14ac:dyDescent="0.35">
      <c r="B3241" s="9">
        <v>43053</v>
      </c>
      <c r="C3241" s="12">
        <v>157.5</v>
      </c>
      <c r="D3241" t="s">
        <v>5877</v>
      </c>
    </row>
    <row r="3242" spans="2:4" x14ac:dyDescent="0.35">
      <c r="B3242" s="9">
        <v>43054</v>
      </c>
      <c r="C3242" s="12">
        <v>162</v>
      </c>
      <c r="D3242" t="s">
        <v>5877</v>
      </c>
    </row>
    <row r="3243" spans="2:4" x14ac:dyDescent="0.35">
      <c r="B3243" s="9">
        <v>43055</v>
      </c>
      <c r="C3243" s="12">
        <v>190.1</v>
      </c>
      <c r="D3243" t="s">
        <v>5877</v>
      </c>
    </row>
    <row r="3244" spans="2:4" x14ac:dyDescent="0.35">
      <c r="B3244" s="9">
        <v>43056</v>
      </c>
      <c r="C3244" s="12">
        <v>141.5</v>
      </c>
      <c r="D3244" t="s">
        <v>5877</v>
      </c>
    </row>
    <row r="3245" spans="2:4" x14ac:dyDescent="0.35">
      <c r="B3245" s="9">
        <v>43057</v>
      </c>
      <c r="C3245" s="12">
        <v>168.3</v>
      </c>
      <c r="D3245" t="s">
        <v>5877</v>
      </c>
    </row>
    <row r="3246" spans="2:4" x14ac:dyDescent="0.35">
      <c r="B3246" s="9">
        <v>43058</v>
      </c>
      <c r="C3246" s="12">
        <v>140</v>
      </c>
      <c r="D3246" t="s">
        <v>5877</v>
      </c>
    </row>
    <row r="3247" spans="2:4" x14ac:dyDescent="0.35">
      <c r="B3247" s="9">
        <v>43059</v>
      </c>
      <c r="C3247" s="12">
        <v>133.9</v>
      </c>
      <c r="D3247" t="s">
        <v>5877</v>
      </c>
    </row>
    <row r="3248" spans="2:4" x14ac:dyDescent="0.35">
      <c r="B3248" s="9">
        <v>43060</v>
      </c>
      <c r="C3248" s="12">
        <v>114.4</v>
      </c>
      <c r="D3248" t="s">
        <v>5877</v>
      </c>
    </row>
    <row r="3249" spans="2:4" x14ac:dyDescent="0.35">
      <c r="B3249" s="9">
        <v>43061</v>
      </c>
      <c r="C3249" s="12">
        <v>96.9</v>
      </c>
      <c r="D3249" t="s">
        <v>5877</v>
      </c>
    </row>
    <row r="3250" spans="2:4" x14ac:dyDescent="0.35">
      <c r="B3250" s="9">
        <v>43062</v>
      </c>
      <c r="C3250" s="12">
        <v>93</v>
      </c>
      <c r="D3250" t="s">
        <v>5877</v>
      </c>
    </row>
    <row r="3251" spans="2:4" x14ac:dyDescent="0.35">
      <c r="B3251" s="9">
        <v>43063</v>
      </c>
      <c r="C3251" s="12">
        <v>85.2</v>
      </c>
      <c r="D3251" t="s">
        <v>5877</v>
      </c>
    </row>
    <row r="3252" spans="2:4" x14ac:dyDescent="0.35">
      <c r="B3252" s="9">
        <v>43064</v>
      </c>
      <c r="C3252" s="12">
        <v>79.5</v>
      </c>
      <c r="D3252" t="s">
        <v>5877</v>
      </c>
    </row>
    <row r="3253" spans="2:4" x14ac:dyDescent="0.35">
      <c r="B3253" s="9">
        <v>43065</v>
      </c>
      <c r="C3253" s="12">
        <v>98.3</v>
      </c>
      <c r="D3253" t="s">
        <v>5877</v>
      </c>
    </row>
    <row r="3254" spans="2:4" x14ac:dyDescent="0.35">
      <c r="B3254" s="9">
        <v>43066</v>
      </c>
      <c r="C3254" s="12">
        <v>87.9</v>
      </c>
      <c r="D3254" t="s">
        <v>5877</v>
      </c>
    </row>
    <row r="3255" spans="2:4" x14ac:dyDescent="0.35">
      <c r="B3255" s="9">
        <v>43067</v>
      </c>
      <c r="C3255" s="12">
        <v>117.7</v>
      </c>
      <c r="D3255" t="s">
        <v>5877</v>
      </c>
    </row>
    <row r="3256" spans="2:4" x14ac:dyDescent="0.35">
      <c r="B3256" s="9">
        <v>43068</v>
      </c>
      <c r="C3256" s="12">
        <v>156.9</v>
      </c>
      <c r="D3256" t="s">
        <v>5877</v>
      </c>
    </row>
    <row r="3257" spans="2:4" x14ac:dyDescent="0.35">
      <c r="B3257" s="9">
        <v>43069</v>
      </c>
      <c r="C3257" s="12">
        <v>136.80000000000001</v>
      </c>
      <c r="D3257" t="s">
        <v>5877</v>
      </c>
    </row>
    <row r="3258" spans="2:4" x14ac:dyDescent="0.35">
      <c r="B3258" s="9">
        <v>43070</v>
      </c>
      <c r="C3258" s="12">
        <v>117.7</v>
      </c>
      <c r="D3258" t="s">
        <v>5877</v>
      </c>
    </row>
    <row r="3259" spans="2:4" x14ac:dyDescent="0.35">
      <c r="B3259" s="9">
        <v>43071</v>
      </c>
      <c r="C3259" s="12">
        <v>110.5</v>
      </c>
      <c r="D3259" t="s">
        <v>5877</v>
      </c>
    </row>
    <row r="3260" spans="2:4" x14ac:dyDescent="0.35">
      <c r="B3260" s="9">
        <v>43072</v>
      </c>
      <c r="C3260" s="12">
        <v>135.4</v>
      </c>
      <c r="D3260" t="s">
        <v>5877</v>
      </c>
    </row>
    <row r="3261" spans="2:4" x14ac:dyDescent="0.35">
      <c r="B3261" s="9">
        <v>43073</v>
      </c>
      <c r="C3261" s="12">
        <v>121.4</v>
      </c>
      <c r="D3261" t="s">
        <v>5877</v>
      </c>
    </row>
    <row r="3262" spans="2:4" x14ac:dyDescent="0.35">
      <c r="B3262" s="9">
        <v>43074</v>
      </c>
      <c r="C3262" s="12">
        <v>127.5</v>
      </c>
      <c r="D3262" t="s">
        <v>5877</v>
      </c>
    </row>
    <row r="3263" spans="2:4" x14ac:dyDescent="0.35">
      <c r="B3263" s="9">
        <v>43075</v>
      </c>
      <c r="C3263" s="12">
        <v>125.9</v>
      </c>
      <c r="D3263" t="s">
        <v>5877</v>
      </c>
    </row>
    <row r="3264" spans="2:4" x14ac:dyDescent="0.35">
      <c r="B3264" s="9">
        <v>43076</v>
      </c>
      <c r="C3264" s="12">
        <v>137</v>
      </c>
      <c r="D3264" t="s">
        <v>5877</v>
      </c>
    </row>
    <row r="3265" spans="2:4" x14ac:dyDescent="0.35">
      <c r="B3265" s="9">
        <v>43077</v>
      </c>
      <c r="C3265" s="12">
        <v>181.4</v>
      </c>
      <c r="D3265" t="s">
        <v>5877</v>
      </c>
    </row>
    <row r="3266" spans="2:4" x14ac:dyDescent="0.35">
      <c r="B3266" s="9">
        <v>43078</v>
      </c>
      <c r="C3266" s="12">
        <v>169.1</v>
      </c>
      <c r="D3266" t="s">
        <v>5877</v>
      </c>
    </row>
    <row r="3267" spans="2:4" x14ac:dyDescent="0.35">
      <c r="B3267" s="9">
        <v>43079</v>
      </c>
      <c r="C3267" s="12">
        <v>160.9</v>
      </c>
      <c r="D3267" t="s">
        <v>5877</v>
      </c>
    </row>
    <row r="3268" spans="2:4" x14ac:dyDescent="0.35">
      <c r="B3268" s="9">
        <v>43080</v>
      </c>
      <c r="C3268" s="12">
        <v>178.7</v>
      </c>
      <c r="D3268" t="s">
        <v>5877</v>
      </c>
    </row>
    <row r="3269" spans="2:4" x14ac:dyDescent="0.35">
      <c r="B3269" s="9">
        <v>43081</v>
      </c>
      <c r="C3269" s="12">
        <v>144.69999999999999</v>
      </c>
      <c r="D3269" t="s">
        <v>5877</v>
      </c>
    </row>
    <row r="3270" spans="2:4" x14ac:dyDescent="0.35">
      <c r="B3270" s="9">
        <v>43082</v>
      </c>
      <c r="C3270" s="12">
        <v>163.6</v>
      </c>
      <c r="D3270" t="s">
        <v>5877</v>
      </c>
    </row>
    <row r="3271" spans="2:4" x14ac:dyDescent="0.35">
      <c r="B3271" s="9">
        <v>43083</v>
      </c>
      <c r="C3271" s="12">
        <v>141.1</v>
      </c>
      <c r="D3271" t="s">
        <v>5877</v>
      </c>
    </row>
    <row r="3272" spans="2:4" x14ac:dyDescent="0.35">
      <c r="B3272" s="9">
        <v>43084</v>
      </c>
      <c r="C3272" s="12">
        <v>112.2</v>
      </c>
      <c r="D3272" t="s">
        <v>5877</v>
      </c>
    </row>
    <row r="3273" spans="2:4" x14ac:dyDescent="0.35">
      <c r="B3273" s="9">
        <v>43085</v>
      </c>
      <c r="C3273" s="12">
        <v>110.2</v>
      </c>
      <c r="D3273" t="s">
        <v>5877</v>
      </c>
    </row>
    <row r="3274" spans="2:4" x14ac:dyDescent="0.35">
      <c r="B3274" s="9">
        <v>43086</v>
      </c>
      <c r="C3274" s="12">
        <v>92.3</v>
      </c>
      <c r="D3274" t="s">
        <v>5877</v>
      </c>
    </row>
    <row r="3275" spans="2:4" x14ac:dyDescent="0.35">
      <c r="B3275" s="9">
        <v>43087</v>
      </c>
      <c r="C3275" s="12">
        <v>95.1</v>
      </c>
      <c r="D3275" t="s">
        <v>5877</v>
      </c>
    </row>
    <row r="3276" spans="2:4" x14ac:dyDescent="0.35">
      <c r="B3276" s="9">
        <v>43088</v>
      </c>
      <c r="C3276" s="12">
        <v>173.8</v>
      </c>
      <c r="D3276" t="s">
        <v>5877</v>
      </c>
    </row>
    <row r="3277" spans="2:4" x14ac:dyDescent="0.35">
      <c r="B3277" s="9">
        <v>43089</v>
      </c>
      <c r="C3277" s="12">
        <v>170.1</v>
      </c>
      <c r="D3277" t="s">
        <v>5877</v>
      </c>
    </row>
    <row r="3278" spans="2:4" x14ac:dyDescent="0.35">
      <c r="B3278" s="9">
        <v>43090</v>
      </c>
      <c r="C3278" s="12">
        <v>148</v>
      </c>
      <c r="D3278" t="s">
        <v>5877</v>
      </c>
    </row>
    <row r="3279" spans="2:4" x14ac:dyDescent="0.35">
      <c r="B3279" s="9">
        <v>43091</v>
      </c>
      <c r="C3279" s="12">
        <v>113</v>
      </c>
      <c r="D3279" t="s">
        <v>5877</v>
      </c>
    </row>
    <row r="3280" spans="2:4" x14ac:dyDescent="0.35">
      <c r="B3280" s="9">
        <v>43092</v>
      </c>
      <c r="C3280" s="12">
        <v>147.9</v>
      </c>
      <c r="D3280" t="s">
        <v>5877</v>
      </c>
    </row>
    <row r="3281" spans="2:4" x14ac:dyDescent="0.35">
      <c r="B3281" s="9">
        <v>43093</v>
      </c>
      <c r="C3281" s="12">
        <v>133.1</v>
      </c>
      <c r="D3281" t="s">
        <v>5877</v>
      </c>
    </row>
    <row r="3282" spans="2:4" x14ac:dyDescent="0.35">
      <c r="B3282" s="9">
        <v>43094</v>
      </c>
      <c r="C3282" s="12">
        <v>106.1</v>
      </c>
      <c r="D3282" t="s">
        <v>5877</v>
      </c>
    </row>
    <row r="3283" spans="2:4" x14ac:dyDescent="0.35">
      <c r="B3283" s="9">
        <v>43095</v>
      </c>
      <c r="C3283" s="12">
        <v>126.7</v>
      </c>
      <c r="D3283" t="s">
        <v>5877</v>
      </c>
    </row>
    <row r="3284" spans="2:4" x14ac:dyDescent="0.35">
      <c r="B3284" s="9">
        <v>43096</v>
      </c>
      <c r="C3284" s="12">
        <v>137.5</v>
      </c>
      <c r="D3284" t="s">
        <v>5877</v>
      </c>
    </row>
    <row r="3285" spans="2:4" x14ac:dyDescent="0.35">
      <c r="B3285" s="9">
        <v>43097</v>
      </c>
      <c r="C3285" s="12">
        <v>204.3</v>
      </c>
      <c r="D3285" t="s">
        <v>5877</v>
      </c>
    </row>
    <row r="3286" spans="2:4" x14ac:dyDescent="0.35">
      <c r="B3286" s="9">
        <v>43098</v>
      </c>
      <c r="C3286" s="12">
        <v>198.9</v>
      </c>
      <c r="D3286" t="s">
        <v>5877</v>
      </c>
    </row>
    <row r="3287" spans="2:4" x14ac:dyDescent="0.35">
      <c r="B3287" s="9">
        <v>43099</v>
      </c>
      <c r="C3287" s="12">
        <v>213.4</v>
      </c>
      <c r="D3287" t="s">
        <v>5877</v>
      </c>
    </row>
    <row r="3288" spans="2:4" x14ac:dyDescent="0.35">
      <c r="B3288" s="9">
        <v>43100</v>
      </c>
      <c r="C3288" s="12">
        <v>150.5</v>
      </c>
      <c r="D3288" t="s">
        <v>5877</v>
      </c>
    </row>
    <row r="3289" spans="2:4" x14ac:dyDescent="0.35">
      <c r="B3289" s="9">
        <v>43101</v>
      </c>
      <c r="C3289" s="12">
        <v>128.9</v>
      </c>
      <c r="D3289" t="s">
        <v>5877</v>
      </c>
    </row>
    <row r="3290" spans="2:4" x14ac:dyDescent="0.35">
      <c r="B3290" s="9">
        <v>43102</v>
      </c>
      <c r="C3290" s="12">
        <v>103.3</v>
      </c>
      <c r="D3290" t="s">
        <v>5877</v>
      </c>
    </row>
    <row r="3291" spans="2:4" x14ac:dyDescent="0.35">
      <c r="B3291" s="9">
        <v>43103</v>
      </c>
      <c r="C3291" s="12">
        <v>96.8</v>
      </c>
      <c r="D3291" t="s">
        <v>5877</v>
      </c>
    </row>
    <row r="3292" spans="2:4" x14ac:dyDescent="0.35">
      <c r="B3292" s="9">
        <v>43104</v>
      </c>
      <c r="C3292" s="12">
        <v>85.4</v>
      </c>
      <c r="D3292" t="s">
        <v>5877</v>
      </c>
    </row>
    <row r="3293" spans="2:4" x14ac:dyDescent="0.35">
      <c r="B3293" s="9">
        <v>43105</v>
      </c>
      <c r="C3293" s="12">
        <v>103.3</v>
      </c>
      <c r="D3293" t="s">
        <v>5877</v>
      </c>
    </row>
    <row r="3294" spans="2:4" x14ac:dyDescent="0.35">
      <c r="B3294" s="9">
        <v>43106</v>
      </c>
      <c r="C3294" s="12">
        <v>105.4</v>
      </c>
      <c r="D3294" t="s">
        <v>5877</v>
      </c>
    </row>
    <row r="3295" spans="2:4" x14ac:dyDescent="0.35">
      <c r="B3295" s="9">
        <v>43107</v>
      </c>
      <c r="C3295" s="12">
        <v>116.6</v>
      </c>
      <c r="D3295" t="s">
        <v>5877</v>
      </c>
    </row>
    <row r="3296" spans="2:4" x14ac:dyDescent="0.35">
      <c r="B3296" s="9">
        <v>43108</v>
      </c>
      <c r="C3296" s="12">
        <v>92.9</v>
      </c>
      <c r="D3296" t="s">
        <v>5877</v>
      </c>
    </row>
    <row r="3297" spans="2:4" x14ac:dyDescent="0.35">
      <c r="B3297" s="9">
        <v>43109</v>
      </c>
      <c r="C3297" s="12">
        <v>79.400000000000006</v>
      </c>
      <c r="D3297" t="s">
        <v>5877</v>
      </c>
    </row>
    <row r="3298" spans="2:4" x14ac:dyDescent="0.35">
      <c r="B3298" s="9">
        <v>43110</v>
      </c>
      <c r="C3298" s="12">
        <v>87.6</v>
      </c>
      <c r="D3298" t="s">
        <v>5877</v>
      </c>
    </row>
    <row r="3299" spans="2:4" x14ac:dyDescent="0.35">
      <c r="B3299" s="9">
        <v>43111</v>
      </c>
      <c r="C3299" s="12">
        <v>129.9</v>
      </c>
      <c r="D3299" t="s">
        <v>5877</v>
      </c>
    </row>
    <row r="3300" spans="2:4" x14ac:dyDescent="0.35">
      <c r="B3300" s="9">
        <v>43112</v>
      </c>
      <c r="C3300" s="12">
        <v>139.6</v>
      </c>
      <c r="D3300" t="s">
        <v>5877</v>
      </c>
    </row>
    <row r="3301" spans="2:4" x14ac:dyDescent="0.35">
      <c r="B3301" s="9">
        <v>43113</v>
      </c>
      <c r="C3301" s="12">
        <v>132.6</v>
      </c>
      <c r="D3301" t="s">
        <v>5877</v>
      </c>
    </row>
    <row r="3302" spans="2:4" x14ac:dyDescent="0.35">
      <c r="B3302" s="9">
        <v>43114</v>
      </c>
      <c r="C3302" s="12">
        <v>138.4</v>
      </c>
      <c r="D3302" t="s">
        <v>5877</v>
      </c>
    </row>
    <row r="3303" spans="2:4" x14ac:dyDescent="0.35">
      <c r="B3303" s="9">
        <v>43115</v>
      </c>
      <c r="C3303" s="12">
        <v>106.5</v>
      </c>
      <c r="D3303" t="s">
        <v>5877</v>
      </c>
    </row>
    <row r="3304" spans="2:4" x14ac:dyDescent="0.35">
      <c r="B3304" s="9">
        <v>43116</v>
      </c>
      <c r="C3304" s="12">
        <v>87</v>
      </c>
      <c r="D3304" t="s">
        <v>5877</v>
      </c>
    </row>
    <row r="3305" spans="2:4" x14ac:dyDescent="0.35">
      <c r="B3305" s="9">
        <v>43117</v>
      </c>
      <c r="C3305" s="12">
        <v>76.3</v>
      </c>
      <c r="D3305" t="s">
        <v>5877</v>
      </c>
    </row>
    <row r="3306" spans="2:4" x14ac:dyDescent="0.35">
      <c r="B3306" s="9">
        <v>43118</v>
      </c>
      <c r="C3306" s="12">
        <v>109.3</v>
      </c>
      <c r="D3306" t="s">
        <v>5877</v>
      </c>
    </row>
    <row r="3307" spans="2:4" x14ac:dyDescent="0.35">
      <c r="B3307" s="9">
        <v>43119</v>
      </c>
      <c r="C3307" s="12">
        <v>149.69999999999999</v>
      </c>
      <c r="D3307" t="s">
        <v>5877</v>
      </c>
    </row>
    <row r="3308" spans="2:4" x14ac:dyDescent="0.35">
      <c r="B3308" s="9">
        <v>43120</v>
      </c>
      <c r="C3308" s="12">
        <v>125.1</v>
      </c>
      <c r="D3308" t="s">
        <v>5877</v>
      </c>
    </row>
    <row r="3309" spans="2:4" x14ac:dyDescent="0.35">
      <c r="B3309" s="9">
        <v>43121</v>
      </c>
      <c r="C3309" s="12">
        <v>99</v>
      </c>
      <c r="D3309" t="s">
        <v>5877</v>
      </c>
    </row>
    <row r="3310" spans="2:4" x14ac:dyDescent="0.35">
      <c r="B3310" s="9">
        <v>43122</v>
      </c>
      <c r="C3310" s="12">
        <v>130</v>
      </c>
      <c r="D3310" t="s">
        <v>5877</v>
      </c>
    </row>
    <row r="3311" spans="2:4" x14ac:dyDescent="0.35">
      <c r="B3311" s="9">
        <v>43123</v>
      </c>
      <c r="C3311" s="12">
        <v>141.5</v>
      </c>
      <c r="D3311" t="s">
        <v>5877</v>
      </c>
    </row>
    <row r="3312" spans="2:4" x14ac:dyDescent="0.35">
      <c r="B3312" s="9">
        <v>43124</v>
      </c>
      <c r="C3312" s="12">
        <v>110.3</v>
      </c>
      <c r="D3312" t="s">
        <v>5877</v>
      </c>
    </row>
    <row r="3313" spans="2:4" x14ac:dyDescent="0.35">
      <c r="B3313" s="9">
        <v>43125</v>
      </c>
      <c r="C3313" s="12">
        <v>117.1</v>
      </c>
      <c r="D3313" t="s">
        <v>5877</v>
      </c>
    </row>
    <row r="3314" spans="2:4" x14ac:dyDescent="0.35">
      <c r="B3314" s="9">
        <v>43126</v>
      </c>
      <c r="C3314" s="12">
        <v>96.6</v>
      </c>
      <c r="D3314" t="s">
        <v>5877</v>
      </c>
    </row>
    <row r="3315" spans="2:4" x14ac:dyDescent="0.35">
      <c r="B3315" s="9">
        <v>43127</v>
      </c>
      <c r="C3315" s="12">
        <v>86.3</v>
      </c>
      <c r="D3315" t="s">
        <v>5877</v>
      </c>
    </row>
    <row r="3316" spans="2:4" x14ac:dyDescent="0.35">
      <c r="B3316" s="9">
        <v>43128</v>
      </c>
      <c r="C3316" s="12">
        <v>93.6</v>
      </c>
      <c r="D3316" t="s">
        <v>5877</v>
      </c>
    </row>
    <row r="3317" spans="2:4" x14ac:dyDescent="0.35">
      <c r="B3317" s="9">
        <v>43129</v>
      </c>
      <c r="C3317" s="12">
        <v>84.9</v>
      </c>
      <c r="D3317" t="s">
        <v>5877</v>
      </c>
    </row>
    <row r="3318" spans="2:4" x14ac:dyDescent="0.35">
      <c r="B3318" s="9">
        <v>43130</v>
      </c>
      <c r="C3318" s="12">
        <v>157.4</v>
      </c>
      <c r="D3318" t="s">
        <v>5877</v>
      </c>
    </row>
    <row r="3319" spans="2:4" x14ac:dyDescent="0.35">
      <c r="B3319" s="9">
        <v>43131</v>
      </c>
      <c r="C3319" s="12">
        <v>142.69999999999999</v>
      </c>
      <c r="D3319" t="s">
        <v>5877</v>
      </c>
    </row>
    <row r="3320" spans="2:4" x14ac:dyDescent="0.35">
      <c r="B3320" s="9">
        <v>43132</v>
      </c>
      <c r="C3320" s="12">
        <v>123.6</v>
      </c>
      <c r="D3320" t="s">
        <v>5877</v>
      </c>
    </row>
    <row r="3321" spans="2:4" x14ac:dyDescent="0.35">
      <c r="B3321" s="9">
        <v>43133</v>
      </c>
      <c r="C3321" s="12">
        <v>105.6</v>
      </c>
      <c r="D3321" t="s">
        <v>5877</v>
      </c>
    </row>
    <row r="3322" spans="2:4" x14ac:dyDescent="0.35">
      <c r="B3322" s="9">
        <v>43134</v>
      </c>
      <c r="C3322" s="12">
        <v>158.80000000000001</v>
      </c>
      <c r="D3322" t="s">
        <v>5877</v>
      </c>
    </row>
    <row r="3323" spans="2:4" x14ac:dyDescent="0.35">
      <c r="B3323" s="9">
        <v>43135</v>
      </c>
      <c r="C3323" s="12">
        <v>126.4</v>
      </c>
      <c r="D3323" t="s">
        <v>5877</v>
      </c>
    </row>
    <row r="3324" spans="2:4" x14ac:dyDescent="0.35">
      <c r="B3324" s="9">
        <v>43136</v>
      </c>
      <c r="C3324" s="12">
        <v>118.4</v>
      </c>
      <c r="D3324" t="s">
        <v>5877</v>
      </c>
    </row>
    <row r="3325" spans="2:4" x14ac:dyDescent="0.35">
      <c r="B3325" s="9">
        <v>43137</v>
      </c>
      <c r="C3325" s="12">
        <v>95.7</v>
      </c>
      <c r="D3325" t="s">
        <v>5877</v>
      </c>
    </row>
    <row r="3326" spans="2:4" x14ac:dyDescent="0.35">
      <c r="B3326" s="9">
        <v>43138</v>
      </c>
      <c r="C3326" s="12">
        <v>82.4</v>
      </c>
      <c r="D3326" t="s">
        <v>5877</v>
      </c>
    </row>
    <row r="3327" spans="2:4" x14ac:dyDescent="0.35">
      <c r="B3327" s="9">
        <v>43139</v>
      </c>
      <c r="C3327" s="12">
        <v>85.2</v>
      </c>
      <c r="D3327" t="s">
        <v>5877</v>
      </c>
    </row>
    <row r="3328" spans="2:4" x14ac:dyDescent="0.35">
      <c r="B3328" s="9">
        <v>43140</v>
      </c>
      <c r="C3328" s="12">
        <v>105.7</v>
      </c>
      <c r="D3328" t="s">
        <v>5877</v>
      </c>
    </row>
    <row r="3329" spans="2:4" x14ac:dyDescent="0.35">
      <c r="B3329" s="9">
        <v>43141</v>
      </c>
      <c r="C3329" s="12">
        <v>127.9</v>
      </c>
      <c r="D3329" t="s">
        <v>5877</v>
      </c>
    </row>
    <row r="3330" spans="2:4" x14ac:dyDescent="0.35">
      <c r="B3330" s="9">
        <v>43142</v>
      </c>
      <c r="C3330" s="12">
        <v>112.4</v>
      </c>
      <c r="D3330" t="s">
        <v>5877</v>
      </c>
    </row>
    <row r="3331" spans="2:4" x14ac:dyDescent="0.35">
      <c r="B3331" s="9">
        <v>43143</v>
      </c>
      <c r="C3331" s="12">
        <v>91.5</v>
      </c>
      <c r="D3331" t="s">
        <v>5877</v>
      </c>
    </row>
    <row r="3332" spans="2:4" x14ac:dyDescent="0.35">
      <c r="B3332" s="9">
        <v>43144</v>
      </c>
      <c r="C3332" s="12">
        <v>104.1</v>
      </c>
      <c r="D3332" t="s">
        <v>5877</v>
      </c>
    </row>
    <row r="3333" spans="2:4" x14ac:dyDescent="0.35">
      <c r="B3333" s="9">
        <v>43145</v>
      </c>
      <c r="C3333" s="12">
        <v>114.9</v>
      </c>
      <c r="D3333" t="s">
        <v>5877</v>
      </c>
    </row>
    <row r="3334" spans="2:4" x14ac:dyDescent="0.35">
      <c r="B3334" s="9">
        <v>43146</v>
      </c>
      <c r="C3334" s="12">
        <v>123.1</v>
      </c>
      <c r="D3334" t="s">
        <v>5877</v>
      </c>
    </row>
    <row r="3335" spans="2:4" x14ac:dyDescent="0.35">
      <c r="B3335" s="9">
        <v>43147</v>
      </c>
      <c r="C3335" s="12">
        <v>125.6</v>
      </c>
      <c r="D3335" t="s">
        <v>5877</v>
      </c>
    </row>
    <row r="3336" spans="2:4" x14ac:dyDescent="0.35">
      <c r="B3336" s="9">
        <v>43148</v>
      </c>
      <c r="C3336" s="12">
        <v>180.1</v>
      </c>
      <c r="D3336" t="s">
        <v>5877</v>
      </c>
    </row>
    <row r="3337" spans="2:4" x14ac:dyDescent="0.35">
      <c r="B3337" s="9">
        <v>43149</v>
      </c>
      <c r="C3337" s="12">
        <v>161.80000000000001</v>
      </c>
      <c r="D3337" t="s">
        <v>5877</v>
      </c>
    </row>
    <row r="3338" spans="2:4" x14ac:dyDescent="0.35">
      <c r="B3338" s="9">
        <v>43150</v>
      </c>
      <c r="C3338" s="12">
        <v>182.8</v>
      </c>
      <c r="D3338" t="s">
        <v>5877</v>
      </c>
    </row>
    <row r="3339" spans="2:4" x14ac:dyDescent="0.35">
      <c r="B3339" s="9">
        <v>43151</v>
      </c>
      <c r="C3339" s="12">
        <v>142.80000000000001</v>
      </c>
      <c r="D3339" t="s">
        <v>5877</v>
      </c>
    </row>
    <row r="3340" spans="2:4" x14ac:dyDescent="0.35">
      <c r="B3340" s="9">
        <v>43152</v>
      </c>
      <c r="C3340" s="12">
        <v>122.5</v>
      </c>
      <c r="D3340" t="s">
        <v>5877</v>
      </c>
    </row>
    <row r="3341" spans="2:4" x14ac:dyDescent="0.35">
      <c r="B3341" s="9">
        <v>43153</v>
      </c>
      <c r="C3341" s="12">
        <v>103.6</v>
      </c>
      <c r="D3341" t="s">
        <v>5877</v>
      </c>
    </row>
    <row r="3342" spans="2:4" x14ac:dyDescent="0.35">
      <c r="B3342" s="9">
        <v>43154</v>
      </c>
      <c r="C3342" s="12">
        <v>130.19999999999999</v>
      </c>
      <c r="D3342" t="s">
        <v>5877</v>
      </c>
    </row>
    <row r="3343" spans="2:4" x14ac:dyDescent="0.35">
      <c r="B3343" s="9">
        <v>43155</v>
      </c>
      <c r="C3343" s="12">
        <v>152.5</v>
      </c>
      <c r="D3343" t="s">
        <v>5877</v>
      </c>
    </row>
    <row r="3344" spans="2:4" x14ac:dyDescent="0.35">
      <c r="B3344" s="9">
        <v>43156</v>
      </c>
      <c r="C3344" s="12">
        <v>150.1</v>
      </c>
      <c r="D3344" t="s">
        <v>5877</v>
      </c>
    </row>
    <row r="3345" spans="2:4" x14ac:dyDescent="0.35">
      <c r="B3345" s="9">
        <v>43157</v>
      </c>
      <c r="C3345" s="12">
        <v>116.8</v>
      </c>
      <c r="D3345" t="s">
        <v>5877</v>
      </c>
    </row>
    <row r="3346" spans="2:4" x14ac:dyDescent="0.35">
      <c r="B3346" s="9">
        <v>43158</v>
      </c>
      <c r="C3346" s="12">
        <v>94.7</v>
      </c>
      <c r="D3346" t="s">
        <v>5877</v>
      </c>
    </row>
    <row r="3347" spans="2:4" x14ac:dyDescent="0.35">
      <c r="B3347" s="9">
        <v>43159</v>
      </c>
      <c r="C3347" s="12">
        <v>116.9</v>
      </c>
      <c r="D3347" t="s">
        <v>5877</v>
      </c>
    </row>
    <row r="3348" spans="2:4" x14ac:dyDescent="0.35">
      <c r="B3348" s="9">
        <v>43160</v>
      </c>
      <c r="C3348" s="12">
        <v>104.8</v>
      </c>
      <c r="D3348" t="s">
        <v>5877</v>
      </c>
    </row>
    <row r="3349" spans="2:4" x14ac:dyDescent="0.35">
      <c r="B3349" s="9">
        <v>43161</v>
      </c>
      <c r="C3349" s="12">
        <v>97.5</v>
      </c>
      <c r="D3349" t="s">
        <v>5877</v>
      </c>
    </row>
    <row r="3350" spans="2:4" x14ac:dyDescent="0.35">
      <c r="B3350" s="9">
        <v>43162</v>
      </c>
      <c r="C3350" s="12">
        <v>122.2</v>
      </c>
      <c r="D3350" t="s">
        <v>5877</v>
      </c>
    </row>
    <row r="3351" spans="2:4" x14ac:dyDescent="0.35">
      <c r="B3351" s="9">
        <v>43163</v>
      </c>
      <c r="C3351" s="12">
        <v>156.30000000000001</v>
      </c>
      <c r="D3351" t="s">
        <v>5877</v>
      </c>
    </row>
    <row r="3352" spans="2:4" x14ac:dyDescent="0.35">
      <c r="B3352" s="9">
        <v>43164</v>
      </c>
      <c r="C3352" s="12">
        <v>115.9</v>
      </c>
      <c r="D3352" t="s">
        <v>5877</v>
      </c>
    </row>
    <row r="3353" spans="2:4" x14ac:dyDescent="0.35">
      <c r="B3353" s="9">
        <v>43165</v>
      </c>
      <c r="C3353" s="12">
        <v>101.3</v>
      </c>
      <c r="D3353" t="s">
        <v>5877</v>
      </c>
    </row>
    <row r="3354" spans="2:4" x14ac:dyDescent="0.35">
      <c r="B3354" s="9">
        <v>43166</v>
      </c>
      <c r="C3354" s="12">
        <v>101</v>
      </c>
      <c r="D3354" t="s">
        <v>5877</v>
      </c>
    </row>
    <row r="3355" spans="2:4" x14ac:dyDescent="0.35">
      <c r="B3355" s="9">
        <v>43167</v>
      </c>
      <c r="C3355" s="12">
        <v>117.9</v>
      </c>
      <c r="D3355" t="s">
        <v>5877</v>
      </c>
    </row>
    <row r="3356" spans="2:4" x14ac:dyDescent="0.35">
      <c r="B3356" s="9">
        <v>43168</v>
      </c>
      <c r="C3356" s="12">
        <v>109.8</v>
      </c>
      <c r="D3356" t="s">
        <v>5877</v>
      </c>
    </row>
    <row r="3357" spans="2:4" x14ac:dyDescent="0.35">
      <c r="B3357" s="9">
        <v>43169</v>
      </c>
      <c r="C3357" s="12">
        <v>117.3</v>
      </c>
      <c r="D3357" t="s">
        <v>5877</v>
      </c>
    </row>
    <row r="3358" spans="2:4" x14ac:dyDescent="0.35">
      <c r="B3358" s="9">
        <v>43170</v>
      </c>
      <c r="C3358" s="12">
        <v>139.69999999999999</v>
      </c>
      <c r="D3358" t="s">
        <v>5877</v>
      </c>
    </row>
    <row r="3359" spans="2:4" x14ac:dyDescent="0.35">
      <c r="B3359" s="9">
        <v>43171</v>
      </c>
      <c r="C3359" s="12">
        <v>107.2</v>
      </c>
      <c r="D3359" t="s">
        <v>5877</v>
      </c>
    </row>
    <row r="3360" spans="2:4" x14ac:dyDescent="0.35">
      <c r="B3360" s="9">
        <v>43172</v>
      </c>
      <c r="C3360" s="12">
        <v>88</v>
      </c>
      <c r="D3360" t="s">
        <v>5877</v>
      </c>
    </row>
    <row r="3361" spans="2:4" x14ac:dyDescent="0.35">
      <c r="B3361" s="9">
        <v>43173</v>
      </c>
      <c r="C3361" s="12">
        <v>90.9</v>
      </c>
      <c r="D3361" t="s">
        <v>5877</v>
      </c>
    </row>
    <row r="3362" spans="2:4" x14ac:dyDescent="0.35">
      <c r="B3362" s="9">
        <v>43174</v>
      </c>
      <c r="C3362" s="12">
        <v>87</v>
      </c>
      <c r="D3362" t="s">
        <v>5877</v>
      </c>
    </row>
    <row r="3363" spans="2:4" x14ac:dyDescent="0.35">
      <c r="B3363" s="9">
        <v>43175</v>
      </c>
      <c r="C3363" s="12">
        <v>86.6</v>
      </c>
      <c r="D3363" t="s">
        <v>5877</v>
      </c>
    </row>
    <row r="3364" spans="2:4" x14ac:dyDescent="0.35">
      <c r="B3364" s="9">
        <v>43176</v>
      </c>
      <c r="C3364" s="12">
        <v>124.1</v>
      </c>
      <c r="D3364" t="s">
        <v>5877</v>
      </c>
    </row>
    <row r="3365" spans="2:4" x14ac:dyDescent="0.35">
      <c r="B3365" s="9">
        <v>43177</v>
      </c>
      <c r="C3365" s="12">
        <v>153.6</v>
      </c>
      <c r="D3365" t="s">
        <v>5877</v>
      </c>
    </row>
    <row r="3366" spans="2:4" x14ac:dyDescent="0.35">
      <c r="B3366" s="9">
        <v>43178</v>
      </c>
      <c r="C3366" s="12">
        <v>130.6</v>
      </c>
      <c r="D3366" t="s">
        <v>5877</v>
      </c>
    </row>
    <row r="3367" spans="2:4" x14ac:dyDescent="0.35">
      <c r="B3367" s="9">
        <v>43179</v>
      </c>
      <c r="C3367" s="12">
        <v>126.8</v>
      </c>
      <c r="D3367" t="s">
        <v>5877</v>
      </c>
    </row>
    <row r="3368" spans="2:4" x14ac:dyDescent="0.35">
      <c r="B3368" s="9">
        <v>43180</v>
      </c>
      <c r="C3368" s="12">
        <v>170.8</v>
      </c>
      <c r="D3368" t="s">
        <v>5877</v>
      </c>
    </row>
    <row r="3369" spans="2:4" x14ac:dyDescent="0.35">
      <c r="B3369" s="9">
        <v>43181</v>
      </c>
      <c r="C3369" s="12">
        <v>136.6</v>
      </c>
      <c r="D3369" t="s">
        <v>5877</v>
      </c>
    </row>
    <row r="3370" spans="2:4" x14ac:dyDescent="0.35">
      <c r="B3370" s="9">
        <v>43182</v>
      </c>
      <c r="C3370" s="12">
        <v>108.6</v>
      </c>
      <c r="D3370" t="s">
        <v>5877</v>
      </c>
    </row>
    <row r="3371" spans="2:4" x14ac:dyDescent="0.35">
      <c r="B3371" s="9">
        <v>43183</v>
      </c>
      <c r="C3371" s="12">
        <v>110</v>
      </c>
      <c r="D3371" t="s">
        <v>5877</v>
      </c>
    </row>
    <row r="3372" spans="2:4" x14ac:dyDescent="0.35">
      <c r="B3372" s="9">
        <v>43184</v>
      </c>
      <c r="C3372" s="12">
        <v>108.6</v>
      </c>
      <c r="D3372" t="s">
        <v>5877</v>
      </c>
    </row>
    <row r="3373" spans="2:4" x14ac:dyDescent="0.35">
      <c r="B3373" s="9">
        <v>43185</v>
      </c>
      <c r="C3373" s="12">
        <v>87.4</v>
      </c>
      <c r="D3373" t="s">
        <v>5877</v>
      </c>
    </row>
    <row r="3374" spans="2:4" x14ac:dyDescent="0.35">
      <c r="B3374" s="9">
        <v>43186</v>
      </c>
      <c r="C3374" s="12">
        <v>78.7</v>
      </c>
      <c r="D3374" t="s">
        <v>5877</v>
      </c>
    </row>
    <row r="3375" spans="2:4" x14ac:dyDescent="0.35">
      <c r="B3375" s="9">
        <v>43187</v>
      </c>
      <c r="C3375" s="12">
        <v>147.19999999999999</v>
      </c>
      <c r="D3375" t="s">
        <v>5877</v>
      </c>
    </row>
    <row r="3376" spans="2:4" x14ac:dyDescent="0.35">
      <c r="B3376" s="9">
        <v>43188</v>
      </c>
      <c r="C3376" s="12">
        <v>211.8</v>
      </c>
      <c r="D3376" t="s">
        <v>5877</v>
      </c>
    </row>
    <row r="3377" spans="2:4" x14ac:dyDescent="0.35">
      <c r="B3377" s="9">
        <v>43189</v>
      </c>
      <c r="C3377" s="12">
        <v>167.4</v>
      </c>
      <c r="D3377" t="s">
        <v>5877</v>
      </c>
    </row>
    <row r="3378" spans="2:4" x14ac:dyDescent="0.35">
      <c r="B3378" s="9">
        <v>43190</v>
      </c>
      <c r="C3378" s="12">
        <v>119.5</v>
      </c>
      <c r="D3378" t="s">
        <v>5877</v>
      </c>
    </row>
    <row r="3379" spans="2:4" x14ac:dyDescent="0.35">
      <c r="B3379" s="9">
        <v>43191</v>
      </c>
      <c r="C3379" s="12">
        <v>97.4</v>
      </c>
      <c r="D3379" t="s">
        <v>5877</v>
      </c>
    </row>
    <row r="3380" spans="2:4" x14ac:dyDescent="0.35">
      <c r="B3380" s="9">
        <v>43192</v>
      </c>
      <c r="C3380" s="12">
        <v>109.9</v>
      </c>
      <c r="D3380" t="s">
        <v>5877</v>
      </c>
    </row>
    <row r="3381" spans="2:4" x14ac:dyDescent="0.35">
      <c r="B3381" s="9">
        <v>43193</v>
      </c>
      <c r="C3381" s="12">
        <v>143.9</v>
      </c>
      <c r="D3381" t="s">
        <v>5877</v>
      </c>
    </row>
    <row r="3382" spans="2:4" x14ac:dyDescent="0.35">
      <c r="B3382" s="9">
        <v>43194</v>
      </c>
      <c r="C3382" s="12">
        <v>116.4</v>
      </c>
      <c r="D3382" t="s">
        <v>5877</v>
      </c>
    </row>
    <row r="3383" spans="2:4" x14ac:dyDescent="0.35">
      <c r="B3383" s="9">
        <v>43195</v>
      </c>
      <c r="C3383" s="12">
        <v>124.1</v>
      </c>
      <c r="D3383" t="s">
        <v>5877</v>
      </c>
    </row>
    <row r="3384" spans="2:4" x14ac:dyDescent="0.35">
      <c r="B3384" s="9">
        <v>43196</v>
      </c>
      <c r="C3384" s="12">
        <v>143.30000000000001</v>
      </c>
      <c r="D3384" t="s">
        <v>5877</v>
      </c>
    </row>
    <row r="3385" spans="2:4" x14ac:dyDescent="0.35">
      <c r="B3385" s="9">
        <v>43197</v>
      </c>
      <c r="C3385" s="12">
        <v>121.4</v>
      </c>
      <c r="D3385" t="s">
        <v>5877</v>
      </c>
    </row>
    <row r="3386" spans="2:4" x14ac:dyDescent="0.35">
      <c r="B3386" s="9">
        <v>43198</v>
      </c>
      <c r="C3386" s="12">
        <v>122</v>
      </c>
      <c r="D3386" t="s">
        <v>5877</v>
      </c>
    </row>
    <row r="3387" spans="2:4" x14ac:dyDescent="0.35">
      <c r="B3387" s="9">
        <v>43199</v>
      </c>
      <c r="C3387" s="12">
        <v>133.5</v>
      </c>
      <c r="D3387" t="s">
        <v>5877</v>
      </c>
    </row>
    <row r="3388" spans="2:4" x14ac:dyDescent="0.35">
      <c r="B3388" s="9">
        <v>43200</v>
      </c>
      <c r="C3388" s="12">
        <v>144.5</v>
      </c>
      <c r="D3388" t="s">
        <v>5877</v>
      </c>
    </row>
    <row r="3389" spans="2:4" x14ac:dyDescent="0.35">
      <c r="B3389" s="9">
        <v>43201</v>
      </c>
      <c r="C3389" s="12">
        <v>137</v>
      </c>
      <c r="D3389" t="s">
        <v>5877</v>
      </c>
    </row>
    <row r="3390" spans="2:4" x14ac:dyDescent="0.35">
      <c r="B3390" s="9">
        <v>43202</v>
      </c>
      <c r="C3390" s="12">
        <v>160</v>
      </c>
      <c r="D3390" t="s">
        <v>5877</v>
      </c>
    </row>
    <row r="3391" spans="2:4" x14ac:dyDescent="0.35">
      <c r="B3391" s="9">
        <v>43203</v>
      </c>
      <c r="C3391" s="12">
        <v>188.1</v>
      </c>
      <c r="D3391" t="s">
        <v>5877</v>
      </c>
    </row>
    <row r="3392" spans="2:4" x14ac:dyDescent="0.35">
      <c r="B3392" s="9">
        <v>43204</v>
      </c>
      <c r="C3392" s="12">
        <v>194.4</v>
      </c>
      <c r="D3392" t="s">
        <v>5877</v>
      </c>
    </row>
    <row r="3393" spans="2:4" x14ac:dyDescent="0.35">
      <c r="B3393" s="9">
        <v>43205</v>
      </c>
      <c r="C3393" s="12">
        <v>155.80000000000001</v>
      </c>
      <c r="D3393" t="s">
        <v>5877</v>
      </c>
    </row>
    <row r="3394" spans="2:4" x14ac:dyDescent="0.35">
      <c r="B3394" s="9">
        <v>43206</v>
      </c>
      <c r="C3394" s="12">
        <v>115</v>
      </c>
      <c r="D3394" t="s">
        <v>5877</v>
      </c>
    </row>
    <row r="3395" spans="2:4" x14ac:dyDescent="0.35">
      <c r="B3395" s="9">
        <v>43207</v>
      </c>
      <c r="C3395" s="12">
        <v>96.6</v>
      </c>
      <c r="D3395" t="s">
        <v>5877</v>
      </c>
    </row>
    <row r="3396" spans="2:4" x14ac:dyDescent="0.35">
      <c r="B3396" s="9">
        <v>43208</v>
      </c>
      <c r="C3396" s="12">
        <v>108.9</v>
      </c>
      <c r="D3396" t="s">
        <v>5877</v>
      </c>
    </row>
    <row r="3397" spans="2:4" x14ac:dyDescent="0.35">
      <c r="B3397" s="9">
        <v>43209</v>
      </c>
      <c r="C3397" s="12">
        <v>89.3</v>
      </c>
      <c r="D3397" t="s">
        <v>5877</v>
      </c>
    </row>
    <row r="3398" spans="2:4" x14ac:dyDescent="0.35">
      <c r="B3398" s="9">
        <v>43210</v>
      </c>
      <c r="C3398" s="12">
        <v>76.7</v>
      </c>
      <c r="D3398" t="s">
        <v>5877</v>
      </c>
    </row>
    <row r="3399" spans="2:4" x14ac:dyDescent="0.35">
      <c r="B3399" s="9">
        <v>43211</v>
      </c>
      <c r="C3399" s="12">
        <v>92.8</v>
      </c>
      <c r="D3399" t="s">
        <v>5877</v>
      </c>
    </row>
    <row r="3400" spans="2:4" x14ac:dyDescent="0.35">
      <c r="B3400" s="9">
        <v>43212</v>
      </c>
      <c r="C3400" s="12">
        <v>84</v>
      </c>
      <c r="D3400" t="s">
        <v>5877</v>
      </c>
    </row>
    <row r="3401" spans="2:4" x14ac:dyDescent="0.35">
      <c r="B3401" s="9">
        <v>43213</v>
      </c>
      <c r="C3401" s="12">
        <v>107.3</v>
      </c>
      <c r="D3401" t="s">
        <v>5877</v>
      </c>
    </row>
    <row r="3402" spans="2:4" x14ac:dyDescent="0.35">
      <c r="B3402" s="9">
        <v>43214</v>
      </c>
      <c r="C3402" s="12">
        <v>88.6</v>
      </c>
      <c r="D3402" t="s">
        <v>5877</v>
      </c>
    </row>
    <row r="3403" spans="2:4" x14ac:dyDescent="0.35">
      <c r="B3403" s="9">
        <v>43215</v>
      </c>
      <c r="C3403" s="12">
        <v>75.3</v>
      </c>
      <c r="D3403" t="s">
        <v>5877</v>
      </c>
    </row>
    <row r="3404" spans="2:4" x14ac:dyDescent="0.35">
      <c r="B3404" s="9">
        <v>43216</v>
      </c>
      <c r="C3404" s="12">
        <v>65.7</v>
      </c>
      <c r="D3404" t="s">
        <v>5877</v>
      </c>
    </row>
    <row r="3405" spans="2:4" x14ac:dyDescent="0.35">
      <c r="B3405" s="9">
        <v>43217</v>
      </c>
      <c r="C3405" s="12">
        <v>58</v>
      </c>
      <c r="D3405" t="s">
        <v>5877</v>
      </c>
    </row>
    <row r="3406" spans="2:4" x14ac:dyDescent="0.35">
      <c r="B3406" s="9">
        <v>43218</v>
      </c>
      <c r="C3406" s="12">
        <v>55.1</v>
      </c>
      <c r="D3406" t="s">
        <v>5877</v>
      </c>
    </row>
    <row r="3407" spans="2:4" x14ac:dyDescent="0.35">
      <c r="B3407" s="9">
        <v>43219</v>
      </c>
      <c r="C3407" s="12">
        <v>119.5</v>
      </c>
      <c r="D3407" t="s">
        <v>5877</v>
      </c>
    </row>
    <row r="3408" spans="2:4" x14ac:dyDescent="0.35">
      <c r="B3408" s="9">
        <v>43220</v>
      </c>
      <c r="C3408" s="12">
        <v>164.9</v>
      </c>
      <c r="D3408" t="s">
        <v>5877</v>
      </c>
    </row>
    <row r="3409" spans="2:4" x14ac:dyDescent="0.35">
      <c r="B3409" s="9">
        <v>43221</v>
      </c>
      <c r="C3409" s="12">
        <v>198.1</v>
      </c>
      <c r="D3409" t="s">
        <v>5877</v>
      </c>
    </row>
    <row r="3410" spans="2:4" x14ac:dyDescent="0.35">
      <c r="B3410" s="9">
        <v>43222</v>
      </c>
      <c r="C3410" s="12">
        <v>151.80000000000001</v>
      </c>
      <c r="D3410" t="s">
        <v>5877</v>
      </c>
    </row>
    <row r="3411" spans="2:4" x14ac:dyDescent="0.35">
      <c r="B3411" s="9">
        <v>43223</v>
      </c>
      <c r="C3411" s="12">
        <v>119.3</v>
      </c>
      <c r="D3411" t="s">
        <v>5877</v>
      </c>
    </row>
    <row r="3412" spans="2:4" x14ac:dyDescent="0.35">
      <c r="B3412" s="9">
        <v>43224</v>
      </c>
      <c r="C3412" s="12">
        <v>95.7</v>
      </c>
      <c r="D3412" t="s">
        <v>5877</v>
      </c>
    </row>
    <row r="3413" spans="2:4" x14ac:dyDescent="0.35">
      <c r="B3413" s="9">
        <v>43225</v>
      </c>
      <c r="C3413" s="12">
        <v>123.9</v>
      </c>
      <c r="D3413" t="s">
        <v>5877</v>
      </c>
    </row>
    <row r="3414" spans="2:4" x14ac:dyDescent="0.35">
      <c r="B3414" s="9">
        <v>43226</v>
      </c>
      <c r="C3414" s="12">
        <v>128.69999999999999</v>
      </c>
      <c r="D3414" t="s">
        <v>5877</v>
      </c>
    </row>
    <row r="3415" spans="2:4" x14ac:dyDescent="0.35">
      <c r="B3415" s="9">
        <v>43227</v>
      </c>
      <c r="C3415" s="12">
        <v>119.5</v>
      </c>
      <c r="D3415" t="s">
        <v>5877</v>
      </c>
    </row>
    <row r="3416" spans="2:4" x14ac:dyDescent="0.35">
      <c r="B3416" s="9">
        <v>43228</v>
      </c>
      <c r="C3416" s="12">
        <v>97.6</v>
      </c>
      <c r="D3416" t="s">
        <v>5877</v>
      </c>
    </row>
    <row r="3417" spans="2:4" x14ac:dyDescent="0.35">
      <c r="B3417" s="9">
        <v>43229</v>
      </c>
      <c r="C3417" s="12">
        <v>83.1</v>
      </c>
      <c r="D3417" t="s">
        <v>5877</v>
      </c>
    </row>
    <row r="3418" spans="2:4" x14ac:dyDescent="0.35">
      <c r="B3418" s="9">
        <v>43230</v>
      </c>
      <c r="C3418" s="12">
        <v>107.2</v>
      </c>
      <c r="D3418" t="s">
        <v>5877</v>
      </c>
    </row>
    <row r="3419" spans="2:4" x14ac:dyDescent="0.35">
      <c r="B3419" s="9">
        <v>43231</v>
      </c>
      <c r="C3419" s="12">
        <v>167.9</v>
      </c>
      <c r="D3419" t="s">
        <v>5877</v>
      </c>
    </row>
    <row r="3420" spans="2:4" x14ac:dyDescent="0.35">
      <c r="B3420" s="9">
        <v>43232</v>
      </c>
      <c r="C3420" s="12">
        <v>178.2</v>
      </c>
      <c r="D3420" t="s">
        <v>5877</v>
      </c>
    </row>
    <row r="3421" spans="2:4" x14ac:dyDescent="0.35">
      <c r="B3421" s="9">
        <v>43233</v>
      </c>
      <c r="C3421" s="12">
        <v>160.9</v>
      </c>
      <c r="D3421" t="s">
        <v>5877</v>
      </c>
    </row>
    <row r="3422" spans="2:4" x14ac:dyDescent="0.35">
      <c r="B3422" s="9">
        <v>43234</v>
      </c>
      <c r="C3422" s="12">
        <v>121.4</v>
      </c>
      <c r="D3422" t="s">
        <v>5877</v>
      </c>
    </row>
    <row r="3423" spans="2:4" x14ac:dyDescent="0.35">
      <c r="B3423" s="9">
        <v>43235</v>
      </c>
      <c r="C3423" s="12">
        <v>173.1</v>
      </c>
      <c r="D3423" t="s">
        <v>5877</v>
      </c>
    </row>
    <row r="3424" spans="2:4" x14ac:dyDescent="0.35">
      <c r="B3424" s="9">
        <v>43236</v>
      </c>
      <c r="C3424" s="12">
        <v>168.5</v>
      </c>
      <c r="D3424" t="s">
        <v>5877</v>
      </c>
    </row>
    <row r="3425" spans="2:4" x14ac:dyDescent="0.35">
      <c r="B3425" s="9">
        <v>43237</v>
      </c>
      <c r="C3425" s="12">
        <v>162.6</v>
      </c>
      <c r="D3425" t="s">
        <v>5877</v>
      </c>
    </row>
    <row r="3426" spans="2:4" x14ac:dyDescent="0.35">
      <c r="B3426" s="9">
        <v>43238</v>
      </c>
      <c r="C3426" s="12">
        <v>132.69999999999999</v>
      </c>
      <c r="D3426" t="s">
        <v>5877</v>
      </c>
    </row>
    <row r="3427" spans="2:4" x14ac:dyDescent="0.35">
      <c r="B3427" s="9">
        <v>43239</v>
      </c>
      <c r="C3427" s="12">
        <v>106</v>
      </c>
      <c r="D3427" t="s">
        <v>5877</v>
      </c>
    </row>
    <row r="3428" spans="2:4" x14ac:dyDescent="0.35">
      <c r="B3428" s="9">
        <v>43240</v>
      </c>
      <c r="C3428" s="12">
        <v>153.19999999999999</v>
      </c>
      <c r="D3428" t="s">
        <v>5877</v>
      </c>
    </row>
    <row r="3429" spans="2:4" x14ac:dyDescent="0.35">
      <c r="B3429" s="9">
        <v>43241</v>
      </c>
      <c r="C3429" s="12">
        <v>139.6</v>
      </c>
      <c r="D3429" t="s">
        <v>5877</v>
      </c>
    </row>
    <row r="3430" spans="2:4" x14ac:dyDescent="0.35">
      <c r="B3430" s="9">
        <v>43242</v>
      </c>
      <c r="C3430" s="12">
        <v>119.4</v>
      </c>
      <c r="D3430" t="s">
        <v>5877</v>
      </c>
    </row>
    <row r="3431" spans="2:4" x14ac:dyDescent="0.35">
      <c r="B3431" s="9">
        <v>43243</v>
      </c>
      <c r="C3431" s="12">
        <v>113.7</v>
      </c>
      <c r="D3431" t="s">
        <v>5877</v>
      </c>
    </row>
    <row r="3432" spans="2:4" x14ac:dyDescent="0.35">
      <c r="B3432" s="9">
        <v>43244</v>
      </c>
      <c r="C3432" s="12">
        <v>91.8</v>
      </c>
      <c r="D3432" t="s">
        <v>5877</v>
      </c>
    </row>
    <row r="3433" spans="2:4" x14ac:dyDescent="0.35">
      <c r="B3433" s="9">
        <v>43245</v>
      </c>
      <c r="C3433" s="12">
        <v>77</v>
      </c>
      <c r="D3433" t="s">
        <v>5877</v>
      </c>
    </row>
    <row r="3434" spans="2:4" x14ac:dyDescent="0.35">
      <c r="B3434" s="9">
        <v>43246</v>
      </c>
      <c r="C3434" s="12">
        <v>66.400000000000006</v>
      </c>
      <c r="D3434" t="s">
        <v>5877</v>
      </c>
    </row>
    <row r="3435" spans="2:4" x14ac:dyDescent="0.35">
      <c r="B3435" s="9">
        <v>43247</v>
      </c>
      <c r="C3435" s="12">
        <v>58.4</v>
      </c>
      <c r="D3435" t="s">
        <v>5877</v>
      </c>
    </row>
    <row r="3436" spans="2:4" x14ac:dyDescent="0.35">
      <c r="B3436" s="9">
        <v>43248</v>
      </c>
      <c r="C3436" s="12">
        <v>51.9</v>
      </c>
      <c r="D3436" t="s">
        <v>5877</v>
      </c>
    </row>
    <row r="3437" spans="2:4" x14ac:dyDescent="0.35">
      <c r="B3437" s="9">
        <v>43249</v>
      </c>
      <c r="C3437" s="12">
        <v>46.4</v>
      </c>
      <c r="D3437" t="s">
        <v>5877</v>
      </c>
    </row>
    <row r="3438" spans="2:4" x14ac:dyDescent="0.35">
      <c r="B3438" s="9">
        <v>43250</v>
      </c>
      <c r="C3438" s="12">
        <v>41.6</v>
      </c>
      <c r="D3438" t="s">
        <v>5877</v>
      </c>
    </row>
    <row r="3439" spans="2:4" x14ac:dyDescent="0.35">
      <c r="B3439" s="9">
        <v>43251</v>
      </c>
      <c r="C3439" s="12">
        <v>37.4</v>
      </c>
      <c r="D3439" t="s">
        <v>5877</v>
      </c>
    </row>
    <row r="3440" spans="2:4" x14ac:dyDescent="0.35">
      <c r="B3440" s="9">
        <v>43252</v>
      </c>
      <c r="C3440" s="12">
        <v>33.6</v>
      </c>
      <c r="D3440" t="s">
        <v>5877</v>
      </c>
    </row>
    <row r="3441" spans="2:4" x14ac:dyDescent="0.35">
      <c r="B3441" s="9">
        <v>43253</v>
      </c>
      <c r="C3441" s="12">
        <v>30.2</v>
      </c>
      <c r="D3441" t="s">
        <v>5877</v>
      </c>
    </row>
    <row r="3442" spans="2:4" x14ac:dyDescent="0.35">
      <c r="B3442" s="9">
        <v>43254</v>
      </c>
      <c r="C3442" s="12">
        <v>27.1</v>
      </c>
      <c r="D3442" t="s">
        <v>5877</v>
      </c>
    </row>
    <row r="3443" spans="2:4" x14ac:dyDescent="0.35">
      <c r="B3443" s="9">
        <v>43255</v>
      </c>
      <c r="C3443" s="12">
        <v>25.8</v>
      </c>
      <c r="D3443" t="s">
        <v>5877</v>
      </c>
    </row>
    <row r="3444" spans="2:4" x14ac:dyDescent="0.35">
      <c r="B3444" s="9">
        <v>43256</v>
      </c>
      <c r="C3444" s="12">
        <v>23</v>
      </c>
      <c r="D3444" t="s">
        <v>5877</v>
      </c>
    </row>
    <row r="3445" spans="2:4" x14ac:dyDescent="0.35">
      <c r="B3445" s="9">
        <v>43257</v>
      </c>
      <c r="C3445" s="12">
        <v>20.399999999999999</v>
      </c>
      <c r="D3445" t="s">
        <v>5877</v>
      </c>
    </row>
    <row r="3446" spans="2:4" x14ac:dyDescent="0.35">
      <c r="B3446" s="9">
        <v>43258</v>
      </c>
      <c r="C3446" s="12">
        <v>18.2</v>
      </c>
      <c r="D3446" t="s">
        <v>5877</v>
      </c>
    </row>
    <row r="3447" spans="2:4" x14ac:dyDescent="0.35">
      <c r="B3447" s="9">
        <v>43259</v>
      </c>
      <c r="C3447" s="12">
        <v>16.2</v>
      </c>
      <c r="D3447" t="s">
        <v>5877</v>
      </c>
    </row>
    <row r="3448" spans="2:4" x14ac:dyDescent="0.35">
      <c r="B3448" s="9">
        <v>43260</v>
      </c>
      <c r="C3448" s="12">
        <v>14.5</v>
      </c>
      <c r="D3448" t="s">
        <v>5877</v>
      </c>
    </row>
    <row r="3449" spans="2:4" x14ac:dyDescent="0.35">
      <c r="B3449" s="9">
        <v>43261</v>
      </c>
      <c r="C3449" s="12">
        <v>13</v>
      </c>
      <c r="D3449" t="s">
        <v>5877</v>
      </c>
    </row>
    <row r="3450" spans="2:4" x14ac:dyDescent="0.35">
      <c r="B3450" s="9">
        <v>43262</v>
      </c>
      <c r="C3450" s="12">
        <v>11.7</v>
      </c>
      <c r="D3450" t="s">
        <v>5877</v>
      </c>
    </row>
    <row r="3451" spans="2:4" x14ac:dyDescent="0.35">
      <c r="B3451" s="9">
        <v>43263</v>
      </c>
      <c r="C3451" s="12">
        <v>11.1</v>
      </c>
      <c r="D3451" t="s">
        <v>5877</v>
      </c>
    </row>
    <row r="3452" spans="2:4" x14ac:dyDescent="0.35">
      <c r="B3452" s="9">
        <v>43264</v>
      </c>
      <c r="C3452" s="12">
        <v>9.9</v>
      </c>
      <c r="D3452" t="s">
        <v>5877</v>
      </c>
    </row>
    <row r="3453" spans="2:4" x14ac:dyDescent="0.35">
      <c r="B3453" s="9">
        <v>43265</v>
      </c>
      <c r="C3453" s="12">
        <v>8.6999999999999993</v>
      </c>
      <c r="D3453" t="s">
        <v>5877</v>
      </c>
    </row>
    <row r="3454" spans="2:4" x14ac:dyDescent="0.35">
      <c r="B3454" s="9">
        <v>43266</v>
      </c>
      <c r="C3454" s="12">
        <v>7.7</v>
      </c>
      <c r="D3454" t="s">
        <v>5877</v>
      </c>
    </row>
    <row r="3455" spans="2:4" x14ac:dyDescent="0.35">
      <c r="B3455" s="9">
        <v>43267</v>
      </c>
      <c r="C3455" s="12">
        <v>6.9</v>
      </c>
      <c r="D3455" t="s">
        <v>5877</v>
      </c>
    </row>
    <row r="3456" spans="2:4" x14ac:dyDescent="0.35">
      <c r="B3456" s="9">
        <v>43268</v>
      </c>
      <c r="C3456" s="12">
        <v>7.6</v>
      </c>
      <c r="D3456" t="s">
        <v>5877</v>
      </c>
    </row>
    <row r="3457" spans="2:4" x14ac:dyDescent="0.35">
      <c r="B3457" s="9">
        <v>43269</v>
      </c>
      <c r="C3457" s="12">
        <v>7.5</v>
      </c>
      <c r="D3457" t="s">
        <v>5877</v>
      </c>
    </row>
    <row r="3458" spans="2:4" x14ac:dyDescent="0.35">
      <c r="B3458" s="9">
        <v>43270</v>
      </c>
      <c r="C3458" s="12">
        <v>6.3</v>
      </c>
      <c r="D3458" t="s">
        <v>5877</v>
      </c>
    </row>
    <row r="3459" spans="2:4" x14ac:dyDescent="0.35">
      <c r="B3459" s="9">
        <v>43271</v>
      </c>
      <c r="C3459" s="12">
        <v>5.4</v>
      </c>
      <c r="D3459" t="s">
        <v>5877</v>
      </c>
    </row>
    <row r="3460" spans="2:4" x14ac:dyDescent="0.35">
      <c r="B3460" s="9">
        <v>43272</v>
      </c>
      <c r="C3460" s="12">
        <v>6.9</v>
      </c>
      <c r="D3460" t="s">
        <v>5877</v>
      </c>
    </row>
    <row r="3461" spans="2:4" x14ac:dyDescent="0.35">
      <c r="B3461" s="9">
        <v>43273</v>
      </c>
      <c r="C3461" s="12">
        <v>6.6</v>
      </c>
      <c r="D3461" t="s">
        <v>5877</v>
      </c>
    </row>
    <row r="3462" spans="2:4" x14ac:dyDescent="0.35">
      <c r="B3462" s="9">
        <v>43274</v>
      </c>
      <c r="C3462" s="12">
        <v>5.4</v>
      </c>
      <c r="D3462" t="s">
        <v>5877</v>
      </c>
    </row>
    <row r="3463" spans="2:4" x14ac:dyDescent="0.35">
      <c r="B3463" s="9">
        <v>43275</v>
      </c>
      <c r="C3463" s="12">
        <v>8.6</v>
      </c>
      <c r="D3463" t="s">
        <v>5877</v>
      </c>
    </row>
    <row r="3464" spans="2:4" x14ac:dyDescent="0.35">
      <c r="B3464" s="9">
        <v>43276</v>
      </c>
      <c r="C3464" s="12">
        <v>11.6</v>
      </c>
      <c r="D3464" t="s">
        <v>5877</v>
      </c>
    </row>
    <row r="3465" spans="2:4" x14ac:dyDescent="0.35">
      <c r="B3465" s="9">
        <v>43277</v>
      </c>
      <c r="C3465" s="12">
        <v>8.4</v>
      </c>
      <c r="D3465" t="s">
        <v>5877</v>
      </c>
    </row>
    <row r="3466" spans="2:4" x14ac:dyDescent="0.35">
      <c r="B3466" s="9">
        <v>43278</v>
      </c>
      <c r="C3466" s="12">
        <v>7</v>
      </c>
      <c r="D3466" t="s">
        <v>5877</v>
      </c>
    </row>
    <row r="3467" spans="2:4" x14ac:dyDescent="0.35">
      <c r="B3467" s="9">
        <v>43279</v>
      </c>
      <c r="C3467" s="12">
        <v>14.5</v>
      </c>
      <c r="D3467" t="s">
        <v>5877</v>
      </c>
    </row>
    <row r="3468" spans="2:4" x14ac:dyDescent="0.35">
      <c r="B3468" s="9">
        <v>43280</v>
      </c>
      <c r="C3468" s="12">
        <v>24.8</v>
      </c>
      <c r="D3468" t="s">
        <v>5877</v>
      </c>
    </row>
    <row r="3469" spans="2:4" x14ac:dyDescent="0.35">
      <c r="B3469" s="9">
        <v>43281</v>
      </c>
      <c r="C3469" s="12">
        <v>17.2</v>
      </c>
      <c r="D3469" t="s">
        <v>5877</v>
      </c>
    </row>
    <row r="3470" spans="2:4" x14ac:dyDescent="0.35">
      <c r="B3470" s="9">
        <v>43282</v>
      </c>
      <c r="C3470" s="12">
        <v>11.8</v>
      </c>
      <c r="D3470" t="s">
        <v>5877</v>
      </c>
    </row>
    <row r="3471" spans="2:4" x14ac:dyDescent="0.35">
      <c r="B3471" s="9">
        <v>43283</v>
      </c>
      <c r="C3471" s="12">
        <v>8.8000000000000007</v>
      </c>
      <c r="D3471" t="s">
        <v>5877</v>
      </c>
    </row>
    <row r="3472" spans="2:4" x14ac:dyDescent="0.35">
      <c r="B3472" s="9">
        <v>43284</v>
      </c>
      <c r="C3472" s="12">
        <v>7.6</v>
      </c>
      <c r="D3472" t="s">
        <v>5877</v>
      </c>
    </row>
    <row r="3473" spans="2:4" x14ac:dyDescent="0.35">
      <c r="B3473" s="9">
        <v>43285</v>
      </c>
      <c r="C3473" s="12">
        <v>23.7</v>
      </c>
      <c r="D3473" t="s">
        <v>5877</v>
      </c>
    </row>
    <row r="3474" spans="2:4" x14ac:dyDescent="0.35">
      <c r="B3474" s="9">
        <v>43286</v>
      </c>
      <c r="C3474" s="12">
        <v>18.7</v>
      </c>
      <c r="D3474" t="s">
        <v>5877</v>
      </c>
    </row>
    <row r="3475" spans="2:4" x14ac:dyDescent="0.35">
      <c r="B3475" s="9">
        <v>43287</v>
      </c>
      <c r="C3475" s="12">
        <v>13.5</v>
      </c>
      <c r="D3475" t="s">
        <v>5877</v>
      </c>
    </row>
    <row r="3476" spans="2:4" x14ac:dyDescent="0.35">
      <c r="B3476" s="9">
        <v>43288</v>
      </c>
      <c r="C3476" s="12">
        <v>10.4</v>
      </c>
      <c r="D3476" t="s">
        <v>5877</v>
      </c>
    </row>
    <row r="3477" spans="2:4" x14ac:dyDescent="0.35">
      <c r="B3477" s="9">
        <v>43289</v>
      </c>
      <c r="C3477" s="12">
        <v>8.5</v>
      </c>
      <c r="D3477" t="s">
        <v>5877</v>
      </c>
    </row>
    <row r="3478" spans="2:4" x14ac:dyDescent="0.35">
      <c r="B3478" s="9">
        <v>43290</v>
      </c>
      <c r="C3478" s="12">
        <v>7.3</v>
      </c>
      <c r="D3478" t="s">
        <v>5877</v>
      </c>
    </row>
    <row r="3479" spans="2:4" x14ac:dyDescent="0.35">
      <c r="B3479" s="9">
        <v>43291</v>
      </c>
      <c r="C3479" s="12">
        <v>6.3</v>
      </c>
      <c r="D3479" t="s">
        <v>5877</v>
      </c>
    </row>
    <row r="3480" spans="2:4" x14ac:dyDescent="0.35">
      <c r="B3480" s="9">
        <v>43292</v>
      </c>
      <c r="C3480" s="12">
        <v>5.6</v>
      </c>
      <c r="D3480" t="s">
        <v>5877</v>
      </c>
    </row>
    <row r="3481" spans="2:4" x14ac:dyDescent="0.35">
      <c r="B3481" s="9">
        <v>43293</v>
      </c>
      <c r="C3481" s="12">
        <v>4.9000000000000004</v>
      </c>
      <c r="D3481" t="s">
        <v>5877</v>
      </c>
    </row>
    <row r="3482" spans="2:4" x14ac:dyDescent="0.35">
      <c r="B3482" s="9">
        <v>43294</v>
      </c>
      <c r="C3482" s="12">
        <v>4.4000000000000004</v>
      </c>
      <c r="D3482" t="s">
        <v>5877</v>
      </c>
    </row>
    <row r="3483" spans="2:4" x14ac:dyDescent="0.35">
      <c r="B3483" s="9">
        <v>43295</v>
      </c>
      <c r="C3483" s="12">
        <v>4</v>
      </c>
      <c r="D3483" t="s">
        <v>5877</v>
      </c>
    </row>
    <row r="3484" spans="2:4" x14ac:dyDescent="0.35">
      <c r="B3484" s="9">
        <v>43296</v>
      </c>
      <c r="C3484" s="12">
        <v>3.5</v>
      </c>
      <c r="D3484" t="s">
        <v>5877</v>
      </c>
    </row>
    <row r="3485" spans="2:4" x14ac:dyDescent="0.35">
      <c r="B3485" s="9">
        <v>43297</v>
      </c>
      <c r="C3485" s="12">
        <v>3.2</v>
      </c>
      <c r="D3485" t="s">
        <v>5877</v>
      </c>
    </row>
    <row r="3486" spans="2:4" x14ac:dyDescent="0.35">
      <c r="B3486" s="9">
        <v>43298</v>
      </c>
      <c r="C3486" s="12">
        <v>2.9</v>
      </c>
      <c r="D3486" t="s">
        <v>5877</v>
      </c>
    </row>
    <row r="3487" spans="2:4" x14ac:dyDescent="0.35">
      <c r="B3487" s="9">
        <v>43299</v>
      </c>
      <c r="C3487" s="12">
        <v>2.6</v>
      </c>
      <c r="D3487" t="s">
        <v>5877</v>
      </c>
    </row>
    <row r="3488" spans="2:4" x14ac:dyDescent="0.35">
      <c r="B3488" s="9">
        <v>43300</v>
      </c>
      <c r="C3488" s="12">
        <v>2.2999999999999998</v>
      </c>
      <c r="D3488" t="s">
        <v>5877</v>
      </c>
    </row>
    <row r="3489" spans="2:4" x14ac:dyDescent="0.35">
      <c r="B3489" s="9">
        <v>43301</v>
      </c>
      <c r="C3489" s="12">
        <v>2.1</v>
      </c>
      <c r="D3489" t="s">
        <v>5877</v>
      </c>
    </row>
    <row r="3490" spans="2:4" x14ac:dyDescent="0.35">
      <c r="B3490" s="9">
        <v>43302</v>
      </c>
      <c r="C3490" s="12">
        <v>1.9</v>
      </c>
      <c r="D3490" t="s">
        <v>5877</v>
      </c>
    </row>
    <row r="3491" spans="2:4" x14ac:dyDescent="0.35">
      <c r="B3491" s="9">
        <v>43303</v>
      </c>
      <c r="C3491" s="12">
        <v>1.7</v>
      </c>
      <c r="D3491" t="s">
        <v>5877</v>
      </c>
    </row>
    <row r="3492" spans="2:4" x14ac:dyDescent="0.35">
      <c r="B3492" s="9">
        <v>43304</v>
      </c>
      <c r="C3492" s="12">
        <v>1.5</v>
      </c>
      <c r="D3492" t="s">
        <v>5877</v>
      </c>
    </row>
    <row r="3493" spans="2:4" x14ac:dyDescent="0.35">
      <c r="B3493" s="9">
        <v>43305</v>
      </c>
      <c r="C3493" s="12">
        <v>1.4</v>
      </c>
      <c r="D3493" t="s">
        <v>5877</v>
      </c>
    </row>
    <row r="3494" spans="2:4" x14ac:dyDescent="0.35">
      <c r="B3494" s="9">
        <v>43306</v>
      </c>
      <c r="C3494" s="12">
        <v>1.2</v>
      </c>
      <c r="D3494" t="s">
        <v>5877</v>
      </c>
    </row>
    <row r="3495" spans="2:4" x14ac:dyDescent="0.35">
      <c r="B3495" s="9">
        <v>43307</v>
      </c>
      <c r="C3495" s="12">
        <v>1.1000000000000001</v>
      </c>
      <c r="D3495" t="s">
        <v>5877</v>
      </c>
    </row>
    <row r="3496" spans="2:4" x14ac:dyDescent="0.35">
      <c r="B3496" s="9">
        <v>43308</v>
      </c>
      <c r="C3496" s="12">
        <v>1</v>
      </c>
      <c r="D3496" t="s">
        <v>5877</v>
      </c>
    </row>
    <row r="3497" spans="2:4" x14ac:dyDescent="0.35">
      <c r="B3497" s="9">
        <v>43309</v>
      </c>
      <c r="C3497" s="12">
        <v>0.9</v>
      </c>
      <c r="D3497" t="s">
        <v>5877</v>
      </c>
    </row>
    <row r="3498" spans="2:4" x14ac:dyDescent="0.35">
      <c r="B3498" s="9">
        <v>43310</v>
      </c>
      <c r="C3498" s="12">
        <v>0.8</v>
      </c>
      <c r="D3498" t="s">
        <v>5877</v>
      </c>
    </row>
    <row r="3499" spans="2:4" x14ac:dyDescent="0.35">
      <c r="B3499" s="9">
        <v>43311</v>
      </c>
      <c r="C3499" s="12">
        <v>0.9</v>
      </c>
      <c r="D3499" t="s">
        <v>5877</v>
      </c>
    </row>
    <row r="3500" spans="2:4" x14ac:dyDescent="0.35">
      <c r="B3500" s="9">
        <v>43312</v>
      </c>
      <c r="C3500" s="12">
        <v>2.9</v>
      </c>
      <c r="D3500" t="s">
        <v>5877</v>
      </c>
    </row>
    <row r="3501" spans="2:4" x14ac:dyDescent="0.35">
      <c r="B3501" s="9">
        <v>43313</v>
      </c>
      <c r="C3501" s="12">
        <v>24</v>
      </c>
      <c r="D3501" t="s">
        <v>5877</v>
      </c>
    </row>
    <row r="3502" spans="2:4" x14ac:dyDescent="0.35">
      <c r="B3502" s="9">
        <v>43314</v>
      </c>
      <c r="C3502" s="12">
        <v>19.3</v>
      </c>
      <c r="D3502" t="s">
        <v>5877</v>
      </c>
    </row>
    <row r="3503" spans="2:4" x14ac:dyDescent="0.35">
      <c r="B3503" s="9">
        <v>43315</v>
      </c>
      <c r="C3503" s="12">
        <v>15</v>
      </c>
      <c r="D3503" t="s">
        <v>5877</v>
      </c>
    </row>
    <row r="3504" spans="2:4" x14ac:dyDescent="0.35">
      <c r="B3504" s="9">
        <v>43316</v>
      </c>
      <c r="C3504" s="12">
        <v>12.4</v>
      </c>
      <c r="D3504" t="s">
        <v>5877</v>
      </c>
    </row>
    <row r="3505" spans="2:4" x14ac:dyDescent="0.35">
      <c r="B3505" s="9">
        <v>43317</v>
      </c>
      <c r="C3505" s="12">
        <v>11</v>
      </c>
      <c r="D3505" t="s">
        <v>5877</v>
      </c>
    </row>
    <row r="3506" spans="2:4" x14ac:dyDescent="0.35">
      <c r="B3506" s="9">
        <v>43318</v>
      </c>
      <c r="C3506" s="12">
        <v>9.8000000000000007</v>
      </c>
      <c r="D3506" t="s">
        <v>5877</v>
      </c>
    </row>
    <row r="3507" spans="2:4" x14ac:dyDescent="0.35">
      <c r="B3507" s="9">
        <v>43319</v>
      </c>
      <c r="C3507" s="12">
        <v>8.6999999999999993</v>
      </c>
      <c r="D3507" t="s">
        <v>5877</v>
      </c>
    </row>
    <row r="3508" spans="2:4" x14ac:dyDescent="0.35">
      <c r="B3508" s="9">
        <v>43320</v>
      </c>
      <c r="C3508" s="12">
        <v>8</v>
      </c>
      <c r="D3508" t="s">
        <v>5877</v>
      </c>
    </row>
    <row r="3509" spans="2:4" x14ac:dyDescent="0.35">
      <c r="B3509" s="9">
        <v>43321</v>
      </c>
      <c r="C3509" s="12">
        <v>7.3</v>
      </c>
      <c r="D3509" t="s">
        <v>5877</v>
      </c>
    </row>
    <row r="3510" spans="2:4" x14ac:dyDescent="0.35">
      <c r="B3510" s="9">
        <v>43322</v>
      </c>
      <c r="C3510" s="12">
        <v>9.6999999999999993</v>
      </c>
      <c r="D3510" t="s">
        <v>5877</v>
      </c>
    </row>
    <row r="3511" spans="2:4" x14ac:dyDescent="0.35">
      <c r="B3511" s="9">
        <v>43323</v>
      </c>
      <c r="C3511" s="12">
        <v>27.3</v>
      </c>
      <c r="D3511" t="s">
        <v>5877</v>
      </c>
    </row>
    <row r="3512" spans="2:4" x14ac:dyDescent="0.35">
      <c r="B3512" s="9">
        <v>43324</v>
      </c>
      <c r="C3512" s="12">
        <v>24.3</v>
      </c>
      <c r="D3512" t="s">
        <v>5877</v>
      </c>
    </row>
    <row r="3513" spans="2:4" x14ac:dyDescent="0.35">
      <c r="B3513" s="9">
        <v>43325</v>
      </c>
      <c r="C3513" s="12">
        <v>26.5</v>
      </c>
      <c r="D3513" t="s">
        <v>5877</v>
      </c>
    </row>
    <row r="3514" spans="2:4" x14ac:dyDescent="0.35">
      <c r="B3514" s="9">
        <v>43326</v>
      </c>
      <c r="C3514" s="12">
        <v>33.5</v>
      </c>
      <c r="D3514" t="s">
        <v>5877</v>
      </c>
    </row>
    <row r="3515" spans="2:4" x14ac:dyDescent="0.35">
      <c r="B3515" s="9">
        <v>43327</v>
      </c>
      <c r="C3515" s="12">
        <v>27.5</v>
      </c>
      <c r="D3515" t="s">
        <v>5877</v>
      </c>
    </row>
    <row r="3516" spans="2:4" x14ac:dyDescent="0.35">
      <c r="B3516" s="9">
        <v>43328</v>
      </c>
      <c r="C3516" s="12">
        <v>22.8</v>
      </c>
      <c r="D3516" t="s">
        <v>5877</v>
      </c>
    </row>
    <row r="3517" spans="2:4" x14ac:dyDescent="0.35">
      <c r="B3517" s="9">
        <v>43329</v>
      </c>
      <c r="C3517" s="12">
        <v>19.5</v>
      </c>
      <c r="D3517" t="s">
        <v>5877</v>
      </c>
    </row>
    <row r="3518" spans="2:4" x14ac:dyDescent="0.35">
      <c r="B3518" s="9">
        <v>43330</v>
      </c>
      <c r="C3518" s="12">
        <v>17.100000000000001</v>
      </c>
      <c r="D3518" t="s">
        <v>5877</v>
      </c>
    </row>
    <row r="3519" spans="2:4" x14ac:dyDescent="0.35">
      <c r="B3519" s="9">
        <v>43331</v>
      </c>
      <c r="C3519" s="12">
        <v>15.6</v>
      </c>
      <c r="D3519" t="s">
        <v>5877</v>
      </c>
    </row>
    <row r="3520" spans="2:4" x14ac:dyDescent="0.35">
      <c r="B3520" s="9">
        <v>43332</v>
      </c>
      <c r="C3520" s="12">
        <v>20.399999999999999</v>
      </c>
      <c r="D3520" t="s">
        <v>5877</v>
      </c>
    </row>
    <row r="3521" spans="2:4" x14ac:dyDescent="0.35">
      <c r="B3521" s="9">
        <v>43333</v>
      </c>
      <c r="C3521" s="12">
        <v>43.9</v>
      </c>
      <c r="D3521" t="s">
        <v>5877</v>
      </c>
    </row>
    <row r="3522" spans="2:4" x14ac:dyDescent="0.35">
      <c r="B3522" s="9">
        <v>43334</v>
      </c>
      <c r="C3522" s="12">
        <v>36.5</v>
      </c>
      <c r="D3522" t="s">
        <v>5877</v>
      </c>
    </row>
    <row r="3523" spans="2:4" x14ac:dyDescent="0.35">
      <c r="B3523" s="9">
        <v>43335</v>
      </c>
      <c r="C3523" s="12">
        <v>52.6</v>
      </c>
      <c r="D3523" t="s">
        <v>5877</v>
      </c>
    </row>
    <row r="3524" spans="2:4" x14ac:dyDescent="0.35">
      <c r="B3524" s="9">
        <v>43336</v>
      </c>
      <c r="C3524" s="12">
        <v>80.099999999999994</v>
      </c>
      <c r="D3524" t="s">
        <v>5877</v>
      </c>
    </row>
    <row r="3525" spans="2:4" x14ac:dyDescent="0.35">
      <c r="B3525" s="9">
        <v>43337</v>
      </c>
      <c r="C3525" s="12">
        <v>84</v>
      </c>
      <c r="D3525" t="s">
        <v>5877</v>
      </c>
    </row>
    <row r="3526" spans="2:4" x14ac:dyDescent="0.35">
      <c r="B3526" s="9">
        <v>43338</v>
      </c>
      <c r="C3526" s="12">
        <v>58.1</v>
      </c>
      <c r="D3526" t="s">
        <v>5877</v>
      </c>
    </row>
    <row r="3527" spans="2:4" x14ac:dyDescent="0.35">
      <c r="B3527" s="9">
        <v>43339</v>
      </c>
      <c r="C3527" s="12">
        <v>57.9</v>
      </c>
      <c r="D3527" t="s">
        <v>5877</v>
      </c>
    </row>
    <row r="3528" spans="2:4" x14ac:dyDescent="0.35">
      <c r="B3528" s="9">
        <v>43340</v>
      </c>
      <c r="C3528" s="12">
        <v>46.2</v>
      </c>
      <c r="D3528" t="s">
        <v>5877</v>
      </c>
    </row>
    <row r="3529" spans="2:4" x14ac:dyDescent="0.35">
      <c r="B3529" s="9">
        <v>43341</v>
      </c>
      <c r="C3529" s="12">
        <v>67.8</v>
      </c>
      <c r="D3529" t="s">
        <v>5877</v>
      </c>
    </row>
    <row r="3530" spans="2:4" x14ac:dyDescent="0.35">
      <c r="B3530" s="9">
        <v>43342</v>
      </c>
      <c r="C3530" s="12">
        <v>97.3</v>
      </c>
      <c r="D3530" t="s">
        <v>5877</v>
      </c>
    </row>
    <row r="3531" spans="2:4" x14ac:dyDescent="0.35">
      <c r="B3531" s="9">
        <v>43343</v>
      </c>
      <c r="C3531" s="12">
        <v>72.2</v>
      </c>
      <c r="D3531" t="s">
        <v>5877</v>
      </c>
    </row>
    <row r="3532" spans="2:4" x14ac:dyDescent="0.35">
      <c r="B3532" s="9">
        <v>43344</v>
      </c>
      <c r="C3532" s="12">
        <v>54.7</v>
      </c>
      <c r="D3532" t="s">
        <v>5877</v>
      </c>
    </row>
    <row r="3533" spans="2:4" x14ac:dyDescent="0.35">
      <c r="B3533" s="9">
        <v>43345</v>
      </c>
      <c r="C3533" s="12">
        <v>62.7</v>
      </c>
      <c r="D3533" t="s">
        <v>5877</v>
      </c>
    </row>
    <row r="3534" spans="2:4" x14ac:dyDescent="0.35">
      <c r="B3534" s="9">
        <v>43346</v>
      </c>
      <c r="C3534" s="12">
        <v>60.4</v>
      </c>
      <c r="D3534" t="s">
        <v>5877</v>
      </c>
    </row>
    <row r="3535" spans="2:4" x14ac:dyDescent="0.35">
      <c r="B3535" s="9">
        <v>43347</v>
      </c>
      <c r="C3535" s="12">
        <v>82.9</v>
      </c>
      <c r="D3535" t="s">
        <v>5877</v>
      </c>
    </row>
    <row r="3536" spans="2:4" x14ac:dyDescent="0.35">
      <c r="B3536" s="9">
        <v>43348</v>
      </c>
      <c r="C3536" s="12">
        <v>67.099999999999994</v>
      </c>
      <c r="D3536" t="s">
        <v>5877</v>
      </c>
    </row>
    <row r="3537" spans="2:4" x14ac:dyDescent="0.35">
      <c r="B3537" s="9">
        <v>43349</v>
      </c>
      <c r="C3537" s="12">
        <v>71.900000000000006</v>
      </c>
      <c r="D3537" t="s">
        <v>5877</v>
      </c>
    </row>
    <row r="3538" spans="2:4" x14ac:dyDescent="0.35">
      <c r="B3538" s="9">
        <v>43350</v>
      </c>
      <c r="C3538" s="12">
        <v>73.900000000000006</v>
      </c>
      <c r="D3538" t="s">
        <v>5877</v>
      </c>
    </row>
    <row r="3539" spans="2:4" x14ac:dyDescent="0.35">
      <c r="B3539" s="9">
        <v>43351</v>
      </c>
      <c r="C3539" s="12">
        <v>94.9</v>
      </c>
      <c r="D3539" t="s">
        <v>5877</v>
      </c>
    </row>
    <row r="3540" spans="2:4" x14ac:dyDescent="0.35">
      <c r="B3540" s="9">
        <v>43352</v>
      </c>
      <c r="C3540" s="12">
        <v>115.2</v>
      </c>
      <c r="D3540" t="s">
        <v>5877</v>
      </c>
    </row>
    <row r="3541" spans="2:4" x14ac:dyDescent="0.35">
      <c r="B3541" s="9">
        <v>43353</v>
      </c>
      <c r="C3541" s="12">
        <v>94.2</v>
      </c>
      <c r="D3541" t="s">
        <v>5877</v>
      </c>
    </row>
    <row r="3542" spans="2:4" x14ac:dyDescent="0.35">
      <c r="B3542" s="9">
        <v>43354</v>
      </c>
      <c r="C3542" s="12">
        <v>69.400000000000006</v>
      </c>
      <c r="D3542" t="s">
        <v>5877</v>
      </c>
    </row>
    <row r="3543" spans="2:4" x14ac:dyDescent="0.35">
      <c r="B3543" s="9">
        <v>43355</v>
      </c>
      <c r="C3543" s="12">
        <v>102.4</v>
      </c>
      <c r="D3543" t="s">
        <v>5877</v>
      </c>
    </row>
    <row r="3544" spans="2:4" x14ac:dyDescent="0.35">
      <c r="B3544" s="9">
        <v>43356</v>
      </c>
      <c r="C3544" s="12">
        <v>87.7</v>
      </c>
      <c r="D3544" t="s">
        <v>5877</v>
      </c>
    </row>
    <row r="3545" spans="2:4" x14ac:dyDescent="0.35">
      <c r="B3545" s="9">
        <v>43357</v>
      </c>
      <c r="C3545" s="12">
        <v>65.3</v>
      </c>
      <c r="D3545" t="s">
        <v>5877</v>
      </c>
    </row>
    <row r="3546" spans="2:4" x14ac:dyDescent="0.35">
      <c r="B3546" s="9">
        <v>43358</v>
      </c>
      <c r="C3546" s="12">
        <v>53.9</v>
      </c>
      <c r="D3546" t="s">
        <v>5877</v>
      </c>
    </row>
    <row r="3547" spans="2:4" x14ac:dyDescent="0.35">
      <c r="B3547" s="9">
        <v>43359</v>
      </c>
      <c r="C3547" s="12">
        <v>87.2</v>
      </c>
      <c r="D3547" t="s">
        <v>5877</v>
      </c>
    </row>
    <row r="3548" spans="2:4" x14ac:dyDescent="0.35">
      <c r="B3548" s="9">
        <v>43360</v>
      </c>
      <c r="C3548" s="12">
        <v>129.80000000000001</v>
      </c>
      <c r="D3548" t="s">
        <v>5877</v>
      </c>
    </row>
    <row r="3549" spans="2:4" x14ac:dyDescent="0.35">
      <c r="B3549" s="9">
        <v>43361</v>
      </c>
      <c r="C3549" s="12">
        <v>117.3</v>
      </c>
      <c r="D3549" t="s">
        <v>5877</v>
      </c>
    </row>
    <row r="3550" spans="2:4" x14ac:dyDescent="0.35">
      <c r="B3550" s="9">
        <v>43362</v>
      </c>
      <c r="C3550" s="12">
        <v>85.6</v>
      </c>
      <c r="D3550" t="s">
        <v>5877</v>
      </c>
    </row>
    <row r="3551" spans="2:4" x14ac:dyDescent="0.35">
      <c r="B3551" s="9">
        <v>43363</v>
      </c>
      <c r="C3551" s="12">
        <v>71.5</v>
      </c>
      <c r="D3551" t="s">
        <v>5877</v>
      </c>
    </row>
    <row r="3552" spans="2:4" x14ac:dyDescent="0.35">
      <c r="B3552" s="9">
        <v>43364</v>
      </c>
      <c r="C3552" s="12">
        <v>85.9</v>
      </c>
      <c r="D3552" t="s">
        <v>5877</v>
      </c>
    </row>
    <row r="3553" spans="2:4" x14ac:dyDescent="0.35">
      <c r="B3553" s="9">
        <v>43365</v>
      </c>
      <c r="C3553" s="12">
        <v>74.2</v>
      </c>
      <c r="D3553" t="s">
        <v>5877</v>
      </c>
    </row>
    <row r="3554" spans="2:4" x14ac:dyDescent="0.35">
      <c r="B3554" s="9">
        <v>43366</v>
      </c>
      <c r="C3554" s="12">
        <v>96.5</v>
      </c>
      <c r="D3554" t="s">
        <v>5877</v>
      </c>
    </row>
    <row r="3555" spans="2:4" x14ac:dyDescent="0.35">
      <c r="B3555" s="9">
        <v>43367</v>
      </c>
      <c r="C3555" s="12">
        <v>133.19999999999999</v>
      </c>
      <c r="D3555" t="s">
        <v>5877</v>
      </c>
    </row>
    <row r="3556" spans="2:4" x14ac:dyDescent="0.35">
      <c r="B3556" s="9">
        <v>43368</v>
      </c>
      <c r="C3556" s="12">
        <v>124.8</v>
      </c>
      <c r="D3556" t="s">
        <v>5877</v>
      </c>
    </row>
    <row r="3557" spans="2:4" x14ac:dyDescent="0.35">
      <c r="B3557" s="9">
        <v>43369</v>
      </c>
      <c r="C3557" s="12">
        <v>89.1</v>
      </c>
      <c r="D3557" t="s">
        <v>5877</v>
      </c>
    </row>
    <row r="3558" spans="2:4" x14ac:dyDescent="0.35">
      <c r="B3558" s="9">
        <v>43370</v>
      </c>
      <c r="C3558" s="12">
        <v>75.3</v>
      </c>
      <c r="D3558" t="s">
        <v>5877</v>
      </c>
    </row>
    <row r="3559" spans="2:4" x14ac:dyDescent="0.35">
      <c r="B3559" s="9">
        <v>43371</v>
      </c>
      <c r="C3559" s="12">
        <v>113.1</v>
      </c>
      <c r="D3559" t="s">
        <v>5877</v>
      </c>
    </row>
    <row r="3560" spans="2:4" x14ac:dyDescent="0.35">
      <c r="B3560" s="9">
        <v>43372</v>
      </c>
      <c r="C3560" s="12">
        <v>135.30000000000001</v>
      </c>
      <c r="D3560" t="s">
        <v>5877</v>
      </c>
    </row>
    <row r="3561" spans="2:4" x14ac:dyDescent="0.35">
      <c r="B3561" s="9">
        <v>43373</v>
      </c>
      <c r="C3561" s="12">
        <v>107.3</v>
      </c>
      <c r="D3561" t="s">
        <v>5877</v>
      </c>
    </row>
    <row r="3562" spans="2:4" x14ac:dyDescent="0.35">
      <c r="B3562" s="9">
        <v>43374</v>
      </c>
      <c r="C3562" s="12">
        <v>135.4</v>
      </c>
      <c r="D3562" t="s">
        <v>5877</v>
      </c>
    </row>
    <row r="3563" spans="2:4" x14ac:dyDescent="0.35">
      <c r="B3563" s="9">
        <v>43375</v>
      </c>
      <c r="C3563" s="12">
        <v>117.4</v>
      </c>
      <c r="D3563" t="s">
        <v>5877</v>
      </c>
    </row>
    <row r="3564" spans="2:4" x14ac:dyDescent="0.35">
      <c r="B3564" s="9">
        <v>43376</v>
      </c>
      <c r="C3564" s="12">
        <v>85.9</v>
      </c>
      <c r="D3564" t="s">
        <v>5877</v>
      </c>
    </row>
    <row r="3565" spans="2:4" x14ac:dyDescent="0.35">
      <c r="B3565" s="9">
        <v>43377</v>
      </c>
      <c r="C3565" s="12">
        <v>68.8</v>
      </c>
      <c r="D3565" t="s">
        <v>5877</v>
      </c>
    </row>
    <row r="3566" spans="2:4" x14ac:dyDescent="0.35">
      <c r="B3566" s="9">
        <v>43378</v>
      </c>
      <c r="C3566" s="12">
        <v>78.400000000000006</v>
      </c>
      <c r="D3566" t="s">
        <v>5877</v>
      </c>
    </row>
    <row r="3567" spans="2:4" x14ac:dyDescent="0.35">
      <c r="B3567" s="9">
        <v>43379</v>
      </c>
      <c r="C3567" s="12">
        <v>123.2</v>
      </c>
      <c r="D3567" t="s">
        <v>5877</v>
      </c>
    </row>
    <row r="3568" spans="2:4" x14ac:dyDescent="0.35">
      <c r="B3568" s="9">
        <v>43380</v>
      </c>
      <c r="C3568" s="12">
        <v>106</v>
      </c>
      <c r="D3568" t="s">
        <v>5877</v>
      </c>
    </row>
    <row r="3569" spans="2:4" x14ac:dyDescent="0.35">
      <c r="B3569" s="9">
        <v>43381</v>
      </c>
      <c r="C3569" s="12">
        <v>156.5</v>
      </c>
      <c r="D3569" t="s">
        <v>5877</v>
      </c>
    </row>
    <row r="3570" spans="2:4" x14ac:dyDescent="0.35">
      <c r="B3570" s="9">
        <v>43382</v>
      </c>
      <c r="C3570" s="12">
        <v>138.30000000000001</v>
      </c>
      <c r="D3570" t="s">
        <v>5877</v>
      </c>
    </row>
    <row r="3571" spans="2:4" x14ac:dyDescent="0.35">
      <c r="B3571" s="9">
        <v>43383</v>
      </c>
      <c r="C3571" s="12">
        <v>118.7</v>
      </c>
      <c r="D3571" t="s">
        <v>5877</v>
      </c>
    </row>
    <row r="3572" spans="2:4" x14ac:dyDescent="0.35">
      <c r="B3572" s="9">
        <v>43384</v>
      </c>
      <c r="C3572" s="12">
        <v>151.19999999999999</v>
      </c>
      <c r="D3572" t="s">
        <v>5877</v>
      </c>
    </row>
    <row r="3573" spans="2:4" x14ac:dyDescent="0.35">
      <c r="B3573" s="9">
        <v>43385</v>
      </c>
      <c r="C3573" s="12">
        <v>170.9</v>
      </c>
      <c r="D3573" t="s">
        <v>5877</v>
      </c>
    </row>
    <row r="3574" spans="2:4" x14ac:dyDescent="0.35">
      <c r="B3574" s="9">
        <v>43386</v>
      </c>
      <c r="C3574" s="12">
        <v>121</v>
      </c>
      <c r="D3574" t="s">
        <v>5877</v>
      </c>
    </row>
    <row r="3575" spans="2:4" x14ac:dyDescent="0.35">
      <c r="B3575" s="9">
        <v>43387</v>
      </c>
      <c r="C3575" s="12">
        <v>90.1</v>
      </c>
      <c r="D3575" t="s">
        <v>5877</v>
      </c>
    </row>
    <row r="3576" spans="2:4" x14ac:dyDescent="0.35">
      <c r="B3576" s="9">
        <v>43388</v>
      </c>
      <c r="C3576" s="12">
        <v>98.6</v>
      </c>
      <c r="D3576" t="s">
        <v>5877</v>
      </c>
    </row>
    <row r="3577" spans="2:4" x14ac:dyDescent="0.35">
      <c r="B3577" s="9">
        <v>43389</v>
      </c>
      <c r="C3577" s="12">
        <v>97</v>
      </c>
      <c r="D3577" t="s">
        <v>5877</v>
      </c>
    </row>
    <row r="3578" spans="2:4" x14ac:dyDescent="0.35">
      <c r="B3578" s="9">
        <v>43390</v>
      </c>
      <c r="C3578" s="12">
        <v>99.9</v>
      </c>
      <c r="D3578" t="s">
        <v>5877</v>
      </c>
    </row>
    <row r="3579" spans="2:4" x14ac:dyDescent="0.35">
      <c r="B3579" s="9">
        <v>43391</v>
      </c>
      <c r="C3579" s="12">
        <v>179.2</v>
      </c>
      <c r="D3579" t="s">
        <v>5877</v>
      </c>
    </row>
    <row r="3580" spans="2:4" x14ac:dyDescent="0.35">
      <c r="B3580" s="9">
        <v>43392</v>
      </c>
      <c r="C3580" s="12">
        <v>171</v>
      </c>
      <c r="D3580" t="s">
        <v>5877</v>
      </c>
    </row>
    <row r="3581" spans="2:4" x14ac:dyDescent="0.35">
      <c r="B3581" s="9">
        <v>43393</v>
      </c>
      <c r="C3581" s="12">
        <v>119.3</v>
      </c>
      <c r="D3581" t="s">
        <v>5877</v>
      </c>
    </row>
    <row r="3582" spans="2:4" x14ac:dyDescent="0.35">
      <c r="B3582" s="9">
        <v>43394</v>
      </c>
      <c r="C3582" s="12">
        <v>112.3</v>
      </c>
      <c r="D3582" t="s">
        <v>5877</v>
      </c>
    </row>
    <row r="3583" spans="2:4" x14ac:dyDescent="0.35">
      <c r="B3583" s="9">
        <v>43395</v>
      </c>
      <c r="C3583" s="12">
        <v>91.3</v>
      </c>
      <c r="D3583" t="s">
        <v>5877</v>
      </c>
    </row>
    <row r="3584" spans="2:4" x14ac:dyDescent="0.35">
      <c r="B3584" s="9">
        <v>43396</v>
      </c>
      <c r="C3584" s="12">
        <v>115.1</v>
      </c>
      <c r="D3584" t="s">
        <v>5877</v>
      </c>
    </row>
    <row r="3585" spans="2:4" x14ac:dyDescent="0.35">
      <c r="B3585" s="9">
        <v>43397</v>
      </c>
      <c r="C3585" s="12">
        <v>96.2</v>
      </c>
      <c r="D3585" t="s">
        <v>5877</v>
      </c>
    </row>
    <row r="3586" spans="2:4" x14ac:dyDescent="0.35">
      <c r="B3586" s="9">
        <v>43398</v>
      </c>
      <c r="C3586" s="12">
        <v>81.900000000000006</v>
      </c>
      <c r="D3586" t="s">
        <v>5877</v>
      </c>
    </row>
    <row r="3587" spans="2:4" x14ac:dyDescent="0.35">
      <c r="B3587" s="9">
        <v>43399</v>
      </c>
      <c r="C3587" s="12">
        <v>112.2</v>
      </c>
      <c r="D3587" t="s">
        <v>5877</v>
      </c>
    </row>
    <row r="3588" spans="2:4" x14ac:dyDescent="0.35">
      <c r="B3588" s="9">
        <v>43400</v>
      </c>
      <c r="C3588" s="12">
        <v>100.2</v>
      </c>
      <c r="D3588" t="s">
        <v>5877</v>
      </c>
    </row>
    <row r="3589" spans="2:4" x14ac:dyDescent="0.35">
      <c r="B3589" s="9">
        <v>43401</v>
      </c>
      <c r="C3589" s="12">
        <v>151.1</v>
      </c>
      <c r="D3589" t="s">
        <v>5877</v>
      </c>
    </row>
    <row r="3590" spans="2:4" x14ac:dyDescent="0.35">
      <c r="B3590" s="9">
        <v>43402</v>
      </c>
      <c r="C3590" s="12">
        <v>166.2</v>
      </c>
      <c r="D3590" t="s">
        <v>5877</v>
      </c>
    </row>
    <row r="3591" spans="2:4" x14ac:dyDescent="0.35">
      <c r="B3591" s="9">
        <v>43403</v>
      </c>
      <c r="C3591" s="12">
        <v>191.7</v>
      </c>
      <c r="D3591" t="s">
        <v>5877</v>
      </c>
    </row>
    <row r="3592" spans="2:4" x14ac:dyDescent="0.35">
      <c r="B3592" s="9">
        <v>43404</v>
      </c>
      <c r="C3592" s="12">
        <v>150.30000000000001</v>
      </c>
      <c r="D3592" t="s">
        <v>5877</v>
      </c>
    </row>
    <row r="3593" spans="2:4" x14ac:dyDescent="0.35">
      <c r="B3593" s="9">
        <v>43405</v>
      </c>
      <c r="C3593" s="12">
        <v>120.4</v>
      </c>
      <c r="D3593" t="s">
        <v>5877</v>
      </c>
    </row>
    <row r="3594" spans="2:4" x14ac:dyDescent="0.35">
      <c r="B3594" s="9">
        <v>43406</v>
      </c>
      <c r="C3594" s="12">
        <v>92.6</v>
      </c>
      <c r="D3594" t="s">
        <v>5877</v>
      </c>
    </row>
    <row r="3595" spans="2:4" x14ac:dyDescent="0.35">
      <c r="B3595" s="9">
        <v>43407</v>
      </c>
      <c r="C3595" s="12">
        <v>97.6</v>
      </c>
      <c r="D3595" t="s">
        <v>5877</v>
      </c>
    </row>
    <row r="3596" spans="2:4" x14ac:dyDescent="0.35">
      <c r="B3596" s="9">
        <v>43408</v>
      </c>
      <c r="C3596" s="12">
        <v>172.9</v>
      </c>
      <c r="D3596" t="s">
        <v>5877</v>
      </c>
    </row>
    <row r="3597" spans="2:4" x14ac:dyDescent="0.35">
      <c r="B3597" s="9">
        <v>43409</v>
      </c>
      <c r="C3597" s="12">
        <v>154.80000000000001</v>
      </c>
      <c r="D3597" t="s">
        <v>5877</v>
      </c>
    </row>
    <row r="3598" spans="2:4" x14ac:dyDescent="0.35">
      <c r="B3598" s="9">
        <v>43410</v>
      </c>
      <c r="C3598" s="12">
        <v>110.5</v>
      </c>
      <c r="D3598" t="s">
        <v>5877</v>
      </c>
    </row>
    <row r="3599" spans="2:4" x14ac:dyDescent="0.35">
      <c r="B3599" s="9">
        <v>43411</v>
      </c>
      <c r="C3599" s="12">
        <v>89.8</v>
      </c>
      <c r="D3599" t="s">
        <v>5877</v>
      </c>
    </row>
    <row r="3600" spans="2:4" x14ac:dyDescent="0.35">
      <c r="B3600" s="9">
        <v>43412</v>
      </c>
      <c r="C3600" s="12">
        <v>137.30000000000001</v>
      </c>
      <c r="D3600" t="s">
        <v>5877</v>
      </c>
    </row>
    <row r="3601" spans="2:4" x14ac:dyDescent="0.35">
      <c r="B3601" s="9">
        <v>43413</v>
      </c>
      <c r="C3601" s="12">
        <v>192.9</v>
      </c>
      <c r="D3601" t="s">
        <v>5877</v>
      </c>
    </row>
    <row r="3602" spans="2:4" x14ac:dyDescent="0.35">
      <c r="B3602" s="9">
        <v>43414</v>
      </c>
      <c r="C3602" s="12">
        <v>146.1</v>
      </c>
      <c r="D3602" t="s">
        <v>5877</v>
      </c>
    </row>
    <row r="3603" spans="2:4" x14ac:dyDescent="0.35">
      <c r="B3603" s="9">
        <v>43415</v>
      </c>
      <c r="C3603" s="12">
        <v>128.5</v>
      </c>
      <c r="D3603" t="s">
        <v>5877</v>
      </c>
    </row>
    <row r="3604" spans="2:4" x14ac:dyDescent="0.35">
      <c r="B3604" s="9">
        <v>43416</v>
      </c>
      <c r="C3604" s="12">
        <v>113.8</v>
      </c>
      <c r="D3604" t="s">
        <v>5877</v>
      </c>
    </row>
    <row r="3605" spans="2:4" x14ac:dyDescent="0.35">
      <c r="B3605" s="9">
        <v>43417</v>
      </c>
      <c r="C3605" s="12">
        <v>94.6</v>
      </c>
      <c r="D3605" t="s">
        <v>5877</v>
      </c>
    </row>
    <row r="3606" spans="2:4" x14ac:dyDescent="0.35">
      <c r="B3606" s="9">
        <v>43418</v>
      </c>
      <c r="C3606" s="12">
        <v>147.5</v>
      </c>
      <c r="D3606" t="s">
        <v>5877</v>
      </c>
    </row>
    <row r="3607" spans="2:4" x14ac:dyDescent="0.35">
      <c r="B3607" s="9">
        <v>43419</v>
      </c>
      <c r="C3607" s="12">
        <v>220.2</v>
      </c>
      <c r="D3607" t="s">
        <v>5877</v>
      </c>
    </row>
    <row r="3608" spans="2:4" x14ac:dyDescent="0.35">
      <c r="B3608" s="9">
        <v>43420</v>
      </c>
      <c r="C3608" s="12">
        <v>185.6</v>
      </c>
      <c r="D3608" t="s">
        <v>5877</v>
      </c>
    </row>
    <row r="3609" spans="2:4" x14ac:dyDescent="0.35">
      <c r="B3609" s="9">
        <v>43421</v>
      </c>
      <c r="C3609" s="12">
        <v>161.5</v>
      </c>
      <c r="D3609" t="s">
        <v>5877</v>
      </c>
    </row>
    <row r="3610" spans="2:4" x14ac:dyDescent="0.35">
      <c r="B3610" s="9">
        <v>43422</v>
      </c>
      <c r="C3610" s="12">
        <v>167.2</v>
      </c>
      <c r="D3610" t="s">
        <v>5877</v>
      </c>
    </row>
    <row r="3611" spans="2:4" x14ac:dyDescent="0.35">
      <c r="B3611" s="9">
        <v>43423</v>
      </c>
      <c r="C3611" s="12">
        <v>160.80000000000001</v>
      </c>
      <c r="D3611" t="s">
        <v>5877</v>
      </c>
    </row>
    <row r="3612" spans="2:4" x14ac:dyDescent="0.35">
      <c r="B3612" s="9">
        <v>43424</v>
      </c>
      <c r="C3612" s="12">
        <v>118.7</v>
      </c>
      <c r="D3612" t="s">
        <v>5877</v>
      </c>
    </row>
    <row r="3613" spans="2:4" x14ac:dyDescent="0.35">
      <c r="B3613" s="9">
        <v>43425</v>
      </c>
      <c r="C3613" s="12">
        <v>114.3</v>
      </c>
      <c r="D3613" t="s">
        <v>5877</v>
      </c>
    </row>
    <row r="3614" spans="2:4" x14ac:dyDescent="0.35">
      <c r="B3614" s="9">
        <v>43426</v>
      </c>
      <c r="C3614" s="12">
        <v>180.7</v>
      </c>
      <c r="D3614" t="s">
        <v>5877</v>
      </c>
    </row>
    <row r="3615" spans="2:4" x14ac:dyDescent="0.35">
      <c r="B3615" s="9">
        <v>43427</v>
      </c>
      <c r="C3615" s="12">
        <v>164.2</v>
      </c>
      <c r="D3615" t="s">
        <v>5877</v>
      </c>
    </row>
    <row r="3616" spans="2:4" x14ac:dyDescent="0.35">
      <c r="B3616" s="9">
        <v>43428</v>
      </c>
      <c r="C3616" s="12">
        <v>140.1</v>
      </c>
      <c r="D3616" t="s">
        <v>5877</v>
      </c>
    </row>
    <row r="3617" spans="2:4" x14ac:dyDescent="0.35">
      <c r="B3617" s="9">
        <v>43429</v>
      </c>
      <c r="C3617" s="12">
        <v>171.3</v>
      </c>
      <c r="D3617" t="s">
        <v>5877</v>
      </c>
    </row>
    <row r="3618" spans="2:4" x14ac:dyDescent="0.35">
      <c r="B3618" s="9">
        <v>43430</v>
      </c>
      <c r="C3618" s="12">
        <v>157.1</v>
      </c>
      <c r="D3618" t="s">
        <v>5877</v>
      </c>
    </row>
    <row r="3619" spans="2:4" x14ac:dyDescent="0.35">
      <c r="B3619" s="9">
        <v>43431</v>
      </c>
      <c r="C3619" s="12">
        <v>186.9</v>
      </c>
      <c r="D3619" t="s">
        <v>5877</v>
      </c>
    </row>
    <row r="3620" spans="2:4" x14ac:dyDescent="0.35">
      <c r="B3620" s="9">
        <v>43432</v>
      </c>
      <c r="C3620" s="12">
        <v>232.8</v>
      </c>
      <c r="D3620" t="s">
        <v>5877</v>
      </c>
    </row>
    <row r="3621" spans="2:4" x14ac:dyDescent="0.35">
      <c r="B3621" s="9">
        <v>43433</v>
      </c>
      <c r="C3621" s="12">
        <v>164.4</v>
      </c>
      <c r="D3621" t="s">
        <v>5877</v>
      </c>
    </row>
    <row r="3622" spans="2:4" x14ac:dyDescent="0.35">
      <c r="B3622" s="9">
        <v>43434</v>
      </c>
      <c r="C3622" s="12">
        <v>136.5</v>
      </c>
      <c r="D3622" t="s">
        <v>5877</v>
      </c>
    </row>
    <row r="3623" spans="2:4" x14ac:dyDescent="0.35">
      <c r="B3623" s="9">
        <v>43435</v>
      </c>
      <c r="C3623" s="12">
        <v>211.5</v>
      </c>
      <c r="D3623" t="s">
        <v>5877</v>
      </c>
    </row>
    <row r="3624" spans="2:4" x14ac:dyDescent="0.35">
      <c r="B3624" s="9">
        <v>43436</v>
      </c>
      <c r="C3624" s="12">
        <v>235.8</v>
      </c>
      <c r="D3624" t="s">
        <v>5877</v>
      </c>
    </row>
    <row r="3625" spans="2:4" x14ac:dyDescent="0.35">
      <c r="B3625" s="9">
        <v>43437</v>
      </c>
      <c r="C3625" s="12">
        <v>188.5</v>
      </c>
      <c r="D3625" t="s">
        <v>5877</v>
      </c>
    </row>
    <row r="3626" spans="2:4" x14ac:dyDescent="0.35">
      <c r="B3626" s="9">
        <v>43438</v>
      </c>
      <c r="C3626" s="12">
        <v>160.80000000000001</v>
      </c>
      <c r="D3626" t="s">
        <v>5877</v>
      </c>
    </row>
    <row r="3627" spans="2:4" x14ac:dyDescent="0.35">
      <c r="B3627" s="9">
        <v>43439</v>
      </c>
      <c r="C3627" s="12">
        <v>218.2</v>
      </c>
      <c r="D3627" t="s">
        <v>5877</v>
      </c>
    </row>
    <row r="3628" spans="2:4" x14ac:dyDescent="0.35">
      <c r="B3628" s="9">
        <v>43440</v>
      </c>
      <c r="C3628" s="12">
        <v>153.4</v>
      </c>
      <c r="D3628" t="s">
        <v>5877</v>
      </c>
    </row>
    <row r="3629" spans="2:4" x14ac:dyDescent="0.35">
      <c r="B3629" s="9">
        <v>43441</v>
      </c>
      <c r="C3629" s="12">
        <v>117.3</v>
      </c>
      <c r="D3629" t="s">
        <v>5877</v>
      </c>
    </row>
    <row r="3630" spans="2:4" x14ac:dyDescent="0.35">
      <c r="B3630" s="9">
        <v>43442</v>
      </c>
      <c r="C3630" s="12">
        <v>172.3</v>
      </c>
      <c r="D3630" t="s">
        <v>5877</v>
      </c>
    </row>
    <row r="3631" spans="2:4" x14ac:dyDescent="0.35">
      <c r="B3631" s="9">
        <v>43443</v>
      </c>
      <c r="C3631" s="12">
        <v>236.1</v>
      </c>
      <c r="D3631" t="s">
        <v>5877</v>
      </c>
    </row>
    <row r="3632" spans="2:4" x14ac:dyDescent="0.35">
      <c r="B3632" s="9">
        <v>43444</v>
      </c>
      <c r="C3632" s="12">
        <v>237.2</v>
      </c>
      <c r="D3632" t="s">
        <v>5877</v>
      </c>
    </row>
    <row r="3633" spans="2:4" x14ac:dyDescent="0.35">
      <c r="B3633" s="9">
        <v>43445</v>
      </c>
      <c r="C3633" s="12">
        <v>203.7</v>
      </c>
      <c r="D3633" t="s">
        <v>5877</v>
      </c>
    </row>
    <row r="3634" spans="2:4" x14ac:dyDescent="0.35">
      <c r="B3634" s="9">
        <v>43446</v>
      </c>
      <c r="C3634" s="12">
        <v>174.2</v>
      </c>
      <c r="D3634" t="s">
        <v>5877</v>
      </c>
    </row>
    <row r="3635" spans="2:4" x14ac:dyDescent="0.35">
      <c r="B3635" s="9">
        <v>43447</v>
      </c>
      <c r="C3635" s="12">
        <v>210</v>
      </c>
      <c r="D3635" t="s">
        <v>5877</v>
      </c>
    </row>
    <row r="3636" spans="2:4" x14ac:dyDescent="0.35">
      <c r="B3636" s="9">
        <v>43448</v>
      </c>
      <c r="C3636" s="12">
        <v>156.30000000000001</v>
      </c>
      <c r="D3636" t="s">
        <v>5877</v>
      </c>
    </row>
    <row r="3637" spans="2:4" x14ac:dyDescent="0.35">
      <c r="B3637" s="9">
        <v>43449</v>
      </c>
      <c r="C3637" s="12">
        <v>159.80000000000001</v>
      </c>
      <c r="D3637" t="s">
        <v>5877</v>
      </c>
    </row>
    <row r="3638" spans="2:4" x14ac:dyDescent="0.35">
      <c r="B3638" s="9">
        <v>43450</v>
      </c>
      <c r="C3638" s="12">
        <v>146</v>
      </c>
      <c r="D3638" t="s">
        <v>5877</v>
      </c>
    </row>
    <row r="3639" spans="2:4" x14ac:dyDescent="0.35">
      <c r="B3639" s="9">
        <v>43451</v>
      </c>
      <c r="C3639" s="12">
        <v>191.4</v>
      </c>
      <c r="D3639" t="s">
        <v>5877</v>
      </c>
    </row>
    <row r="3640" spans="2:4" x14ac:dyDescent="0.35">
      <c r="B3640" s="9">
        <v>43452</v>
      </c>
      <c r="C3640" s="12">
        <v>189.2</v>
      </c>
      <c r="D3640" t="s">
        <v>5877</v>
      </c>
    </row>
    <row r="3641" spans="2:4" x14ac:dyDescent="0.35">
      <c r="B3641" s="9">
        <v>43453</v>
      </c>
      <c r="C3641" s="12">
        <v>139.4</v>
      </c>
      <c r="D3641" t="s">
        <v>5877</v>
      </c>
    </row>
    <row r="3642" spans="2:4" x14ac:dyDescent="0.35">
      <c r="B3642" s="9">
        <v>43454</v>
      </c>
      <c r="C3642" s="12">
        <v>145.5</v>
      </c>
      <c r="D3642" t="s">
        <v>5877</v>
      </c>
    </row>
    <row r="3643" spans="2:4" x14ac:dyDescent="0.35">
      <c r="B3643" s="9">
        <v>43455</v>
      </c>
      <c r="C3643" s="12">
        <v>118.5</v>
      </c>
      <c r="D3643" t="s">
        <v>5877</v>
      </c>
    </row>
    <row r="3644" spans="2:4" x14ac:dyDescent="0.35">
      <c r="B3644" s="9">
        <v>43456</v>
      </c>
      <c r="C3644" s="12">
        <v>117.1</v>
      </c>
      <c r="D3644" t="s">
        <v>5877</v>
      </c>
    </row>
    <row r="3645" spans="2:4" x14ac:dyDescent="0.35">
      <c r="B3645" s="9">
        <v>43457</v>
      </c>
      <c r="C3645" s="12">
        <v>131.4</v>
      </c>
      <c r="D3645" t="s">
        <v>5877</v>
      </c>
    </row>
    <row r="3646" spans="2:4" x14ac:dyDescent="0.35">
      <c r="B3646" s="9">
        <v>43458</v>
      </c>
      <c r="C3646" s="12">
        <v>104.1</v>
      </c>
      <c r="D3646" t="s">
        <v>5877</v>
      </c>
    </row>
    <row r="3647" spans="2:4" x14ac:dyDescent="0.35">
      <c r="B3647" s="9">
        <v>43459</v>
      </c>
      <c r="C3647" s="12">
        <v>94.1</v>
      </c>
      <c r="D3647" t="s">
        <v>5877</v>
      </c>
    </row>
    <row r="3648" spans="2:4" x14ac:dyDescent="0.35">
      <c r="B3648" s="9">
        <v>43460</v>
      </c>
      <c r="C3648" s="12">
        <v>123.8</v>
      </c>
      <c r="D3648" t="s">
        <v>5877</v>
      </c>
    </row>
    <row r="3649" spans="2:4" x14ac:dyDescent="0.35">
      <c r="B3649" s="9">
        <v>43461</v>
      </c>
      <c r="C3649" s="12">
        <v>135.6</v>
      </c>
      <c r="D3649" t="s">
        <v>5877</v>
      </c>
    </row>
    <row r="3650" spans="2:4" x14ac:dyDescent="0.35">
      <c r="B3650" s="9">
        <v>43462</v>
      </c>
      <c r="C3650" s="12">
        <v>149.4</v>
      </c>
      <c r="D3650" t="s">
        <v>5877</v>
      </c>
    </row>
    <row r="3651" spans="2:4" x14ac:dyDescent="0.35">
      <c r="B3651" s="9">
        <v>43463</v>
      </c>
      <c r="C3651" s="12">
        <v>113.2</v>
      </c>
      <c r="D3651" t="s">
        <v>5877</v>
      </c>
    </row>
    <row r="3652" spans="2:4" x14ac:dyDescent="0.35">
      <c r="B3652" s="9">
        <v>43464</v>
      </c>
      <c r="C3652" s="12">
        <v>99.9</v>
      </c>
      <c r="D3652" t="s">
        <v>5877</v>
      </c>
    </row>
    <row r="3653" spans="2:4" x14ac:dyDescent="0.35">
      <c r="B3653" s="9">
        <v>43465</v>
      </c>
      <c r="C3653" s="12">
        <v>160.1</v>
      </c>
      <c r="D3653" t="s">
        <v>5877</v>
      </c>
    </row>
    <row r="3654" spans="2:4" x14ac:dyDescent="0.35">
      <c r="B3654" s="9">
        <v>43466</v>
      </c>
      <c r="C3654" s="12">
        <v>229.2</v>
      </c>
      <c r="D3654" t="s">
        <v>5877</v>
      </c>
    </row>
    <row r="3655" spans="2:4" x14ac:dyDescent="0.35">
      <c r="B3655" s="9">
        <v>43467</v>
      </c>
      <c r="C3655" s="12">
        <v>210.9</v>
      </c>
      <c r="D3655" t="s">
        <v>5877</v>
      </c>
    </row>
    <row r="3656" spans="2:4" x14ac:dyDescent="0.35">
      <c r="B3656" s="9">
        <v>43468</v>
      </c>
      <c r="C3656" s="12">
        <v>149.5</v>
      </c>
      <c r="D3656" t="s">
        <v>5877</v>
      </c>
    </row>
    <row r="3657" spans="2:4" x14ac:dyDescent="0.35">
      <c r="B3657" s="9">
        <v>43469</v>
      </c>
      <c r="C3657" s="12">
        <v>147.5</v>
      </c>
      <c r="D3657" t="s">
        <v>5877</v>
      </c>
    </row>
    <row r="3658" spans="2:4" x14ac:dyDescent="0.35">
      <c r="B3658" s="9">
        <v>43470</v>
      </c>
      <c r="C3658" s="12">
        <v>123.8</v>
      </c>
      <c r="D3658" t="s">
        <v>5877</v>
      </c>
    </row>
    <row r="3659" spans="2:4" x14ac:dyDescent="0.35">
      <c r="B3659" s="9">
        <v>43471</v>
      </c>
      <c r="C3659" s="12">
        <v>107.4</v>
      </c>
      <c r="D3659" t="s">
        <v>5877</v>
      </c>
    </row>
    <row r="3660" spans="2:4" x14ac:dyDescent="0.35">
      <c r="B3660" s="9">
        <v>43472</v>
      </c>
      <c r="C3660" s="12">
        <v>94.4</v>
      </c>
      <c r="D3660" t="s">
        <v>5877</v>
      </c>
    </row>
    <row r="3661" spans="2:4" x14ac:dyDescent="0.35">
      <c r="B3661" s="9">
        <v>43473</v>
      </c>
      <c r="C3661" s="12">
        <v>89.1</v>
      </c>
      <c r="D3661" t="s">
        <v>5877</v>
      </c>
    </row>
    <row r="3662" spans="2:4" x14ac:dyDescent="0.35">
      <c r="B3662" s="9">
        <v>43474</v>
      </c>
      <c r="C3662" s="12">
        <v>97.1</v>
      </c>
      <c r="D3662" t="s">
        <v>5877</v>
      </c>
    </row>
    <row r="3663" spans="2:4" x14ac:dyDescent="0.35">
      <c r="B3663" s="9">
        <v>43475</v>
      </c>
      <c r="C3663" s="12">
        <v>100.7</v>
      </c>
      <c r="D3663" t="s">
        <v>5877</v>
      </c>
    </row>
    <row r="3664" spans="2:4" x14ac:dyDescent="0.35">
      <c r="B3664" s="9">
        <v>43476</v>
      </c>
      <c r="C3664" s="12">
        <v>86.4</v>
      </c>
      <c r="D3664" t="s">
        <v>5877</v>
      </c>
    </row>
    <row r="3665" spans="2:4" x14ac:dyDescent="0.35">
      <c r="B3665" s="9">
        <v>43477</v>
      </c>
      <c r="C3665" s="12">
        <v>107.6</v>
      </c>
      <c r="D3665" t="s">
        <v>5877</v>
      </c>
    </row>
    <row r="3666" spans="2:4" x14ac:dyDescent="0.35">
      <c r="B3666" s="9">
        <v>43478</v>
      </c>
      <c r="C3666" s="12">
        <v>99.9</v>
      </c>
      <c r="D3666" t="s">
        <v>5877</v>
      </c>
    </row>
    <row r="3667" spans="2:4" x14ac:dyDescent="0.35">
      <c r="B3667" s="9">
        <v>43479</v>
      </c>
      <c r="C3667" s="12">
        <v>128.6</v>
      </c>
      <c r="D3667" t="s">
        <v>5877</v>
      </c>
    </row>
    <row r="3668" spans="2:4" x14ac:dyDescent="0.35">
      <c r="B3668" s="9">
        <v>43480</v>
      </c>
      <c r="C3668" s="12">
        <v>128.9</v>
      </c>
      <c r="D3668" t="s">
        <v>5877</v>
      </c>
    </row>
    <row r="3669" spans="2:4" x14ac:dyDescent="0.35">
      <c r="B3669" s="9">
        <v>43481</v>
      </c>
      <c r="C3669" s="12">
        <v>114.8</v>
      </c>
      <c r="D3669" t="s">
        <v>5877</v>
      </c>
    </row>
    <row r="3670" spans="2:4" x14ac:dyDescent="0.35">
      <c r="B3670" s="9">
        <v>43482</v>
      </c>
      <c r="C3670" s="12">
        <v>143.80000000000001</v>
      </c>
      <c r="D3670" t="s">
        <v>5877</v>
      </c>
    </row>
    <row r="3671" spans="2:4" x14ac:dyDescent="0.35">
      <c r="B3671" s="9">
        <v>43483</v>
      </c>
      <c r="C3671" s="12">
        <v>111.3</v>
      </c>
      <c r="D3671" t="s">
        <v>5877</v>
      </c>
    </row>
    <row r="3672" spans="2:4" x14ac:dyDescent="0.35">
      <c r="B3672" s="9">
        <v>43484</v>
      </c>
      <c r="C3672" s="12">
        <v>93.5</v>
      </c>
      <c r="D3672" t="s">
        <v>5877</v>
      </c>
    </row>
    <row r="3673" spans="2:4" x14ac:dyDescent="0.35">
      <c r="B3673" s="9">
        <v>43485</v>
      </c>
      <c r="C3673" s="12">
        <v>131.4</v>
      </c>
      <c r="D3673" t="s">
        <v>5877</v>
      </c>
    </row>
    <row r="3674" spans="2:4" x14ac:dyDescent="0.35">
      <c r="B3674" s="9">
        <v>43486</v>
      </c>
      <c r="C3674" s="12">
        <v>115.4</v>
      </c>
      <c r="D3674" t="s">
        <v>5877</v>
      </c>
    </row>
    <row r="3675" spans="2:4" x14ac:dyDescent="0.35">
      <c r="B3675" s="9">
        <v>43487</v>
      </c>
      <c r="C3675" s="12">
        <v>96.7</v>
      </c>
      <c r="D3675" t="s">
        <v>5877</v>
      </c>
    </row>
    <row r="3676" spans="2:4" x14ac:dyDescent="0.35">
      <c r="B3676" s="9">
        <v>43488</v>
      </c>
      <c r="C3676" s="12">
        <v>131.69999999999999</v>
      </c>
      <c r="D3676" t="s">
        <v>5877</v>
      </c>
    </row>
    <row r="3677" spans="2:4" x14ac:dyDescent="0.35">
      <c r="B3677" s="9">
        <v>43489</v>
      </c>
      <c r="C3677" s="12">
        <v>161.80000000000001</v>
      </c>
      <c r="D3677" t="s">
        <v>5877</v>
      </c>
    </row>
    <row r="3678" spans="2:4" x14ac:dyDescent="0.35">
      <c r="B3678" s="9">
        <v>43490</v>
      </c>
      <c r="C3678" s="12">
        <v>127.1</v>
      </c>
      <c r="D3678" t="s">
        <v>5877</v>
      </c>
    </row>
    <row r="3679" spans="2:4" x14ac:dyDescent="0.35">
      <c r="B3679" s="9">
        <v>43491</v>
      </c>
      <c r="C3679" s="12">
        <v>104.1</v>
      </c>
      <c r="D3679" t="s">
        <v>5877</v>
      </c>
    </row>
    <row r="3680" spans="2:4" x14ac:dyDescent="0.35">
      <c r="B3680" s="9">
        <v>43492</v>
      </c>
      <c r="C3680" s="12">
        <v>112.2</v>
      </c>
      <c r="D3680" t="s">
        <v>5877</v>
      </c>
    </row>
    <row r="3681" spans="2:4" x14ac:dyDescent="0.35">
      <c r="B3681" s="9">
        <v>43493</v>
      </c>
      <c r="C3681" s="12">
        <v>142.30000000000001</v>
      </c>
      <c r="D3681" t="s">
        <v>5877</v>
      </c>
    </row>
    <row r="3682" spans="2:4" x14ac:dyDescent="0.35">
      <c r="B3682" s="9">
        <v>43494</v>
      </c>
      <c r="C3682" s="12">
        <v>147.1</v>
      </c>
      <c r="D3682" t="s">
        <v>5877</v>
      </c>
    </row>
    <row r="3683" spans="2:4" x14ac:dyDescent="0.35">
      <c r="B3683" s="9">
        <v>43495</v>
      </c>
      <c r="C3683" s="12">
        <v>183.1</v>
      </c>
      <c r="D3683" t="s">
        <v>5877</v>
      </c>
    </row>
    <row r="3684" spans="2:4" x14ac:dyDescent="0.35">
      <c r="B3684" s="9">
        <v>43496</v>
      </c>
      <c r="C3684" s="12">
        <v>149.5</v>
      </c>
      <c r="D3684" t="s">
        <v>5877</v>
      </c>
    </row>
    <row r="3685" spans="2:4" x14ac:dyDescent="0.35">
      <c r="B3685" s="9">
        <v>43497</v>
      </c>
      <c r="C3685" s="12">
        <v>158.5</v>
      </c>
      <c r="D3685" t="s">
        <v>5877</v>
      </c>
    </row>
    <row r="3686" spans="2:4" x14ac:dyDescent="0.35">
      <c r="B3686" s="9">
        <v>43498</v>
      </c>
      <c r="C3686" s="12">
        <v>155.19999999999999</v>
      </c>
      <c r="D3686" t="s">
        <v>5877</v>
      </c>
    </row>
    <row r="3687" spans="2:4" x14ac:dyDescent="0.35">
      <c r="B3687" s="9">
        <v>43499</v>
      </c>
      <c r="C3687" s="12">
        <v>132.9</v>
      </c>
      <c r="D3687" t="s">
        <v>5877</v>
      </c>
    </row>
    <row r="3688" spans="2:4" x14ac:dyDescent="0.35">
      <c r="B3688" s="9">
        <v>43500</v>
      </c>
      <c r="C3688" s="12">
        <v>104.4</v>
      </c>
      <c r="D3688" t="s">
        <v>5877</v>
      </c>
    </row>
    <row r="3689" spans="2:4" x14ac:dyDescent="0.35">
      <c r="B3689" s="9">
        <v>43501</v>
      </c>
      <c r="C3689" s="12">
        <v>107.8</v>
      </c>
      <c r="D3689" t="s">
        <v>5877</v>
      </c>
    </row>
    <row r="3690" spans="2:4" x14ac:dyDescent="0.35">
      <c r="B3690" s="9">
        <v>43502</v>
      </c>
      <c r="C3690" s="12">
        <v>144.30000000000001</v>
      </c>
      <c r="D3690" t="s">
        <v>5877</v>
      </c>
    </row>
    <row r="3691" spans="2:4" x14ac:dyDescent="0.35">
      <c r="B3691" s="9">
        <v>43503</v>
      </c>
      <c r="C3691" s="12">
        <v>111.8</v>
      </c>
      <c r="D3691" t="s">
        <v>5877</v>
      </c>
    </row>
    <row r="3692" spans="2:4" x14ac:dyDescent="0.35">
      <c r="B3692" s="9">
        <v>43504</v>
      </c>
      <c r="C3692" s="12">
        <v>93.1</v>
      </c>
      <c r="D3692" t="s">
        <v>5877</v>
      </c>
    </row>
    <row r="3693" spans="2:4" x14ac:dyDescent="0.35">
      <c r="B3693" s="9">
        <v>43505</v>
      </c>
      <c r="C3693" s="12">
        <v>111.5</v>
      </c>
      <c r="D3693" t="s">
        <v>5877</v>
      </c>
    </row>
    <row r="3694" spans="2:4" x14ac:dyDescent="0.35">
      <c r="B3694" s="9">
        <v>43506</v>
      </c>
      <c r="C3694" s="12">
        <v>149.1</v>
      </c>
      <c r="D3694" t="s">
        <v>5877</v>
      </c>
    </row>
    <row r="3695" spans="2:4" x14ac:dyDescent="0.35">
      <c r="B3695" s="9">
        <v>43507</v>
      </c>
      <c r="C3695" s="12">
        <v>164.2</v>
      </c>
      <c r="D3695" t="s">
        <v>5877</v>
      </c>
    </row>
    <row r="3696" spans="2:4" x14ac:dyDescent="0.35">
      <c r="B3696" s="9">
        <v>43508</v>
      </c>
      <c r="C3696" s="12">
        <v>125.7</v>
      </c>
      <c r="D3696" t="s">
        <v>5877</v>
      </c>
    </row>
    <row r="3697" spans="2:4" x14ac:dyDescent="0.35">
      <c r="B3697" s="9">
        <v>43509</v>
      </c>
      <c r="C3697" s="12">
        <v>104.5</v>
      </c>
      <c r="D3697" t="s">
        <v>5877</v>
      </c>
    </row>
    <row r="3698" spans="2:4" x14ac:dyDescent="0.35">
      <c r="B3698" s="9">
        <v>43510</v>
      </c>
      <c r="C3698" s="12">
        <v>172.8</v>
      </c>
      <c r="D3698" t="s">
        <v>5877</v>
      </c>
    </row>
    <row r="3699" spans="2:4" x14ac:dyDescent="0.35">
      <c r="B3699" s="9">
        <v>43511</v>
      </c>
      <c r="C3699" s="12">
        <v>151.69999999999999</v>
      </c>
      <c r="D3699" t="s">
        <v>5877</v>
      </c>
    </row>
    <row r="3700" spans="2:4" x14ac:dyDescent="0.35">
      <c r="B3700" s="9">
        <v>43512</v>
      </c>
      <c r="C3700" s="12">
        <v>120.3</v>
      </c>
      <c r="D3700" t="s">
        <v>5877</v>
      </c>
    </row>
    <row r="3701" spans="2:4" x14ac:dyDescent="0.35">
      <c r="B3701" s="9">
        <v>43513</v>
      </c>
      <c r="C3701" s="12">
        <v>148.1</v>
      </c>
      <c r="D3701" t="s">
        <v>5877</v>
      </c>
    </row>
    <row r="3702" spans="2:4" x14ac:dyDescent="0.35">
      <c r="B3702" s="9">
        <v>43514</v>
      </c>
      <c r="C3702" s="12">
        <v>168.6</v>
      </c>
      <c r="D3702" t="s">
        <v>5877</v>
      </c>
    </row>
    <row r="3703" spans="2:4" x14ac:dyDescent="0.35">
      <c r="B3703" s="9">
        <v>43515</v>
      </c>
      <c r="C3703" s="12">
        <v>165.5</v>
      </c>
      <c r="D3703" t="s">
        <v>5877</v>
      </c>
    </row>
    <row r="3704" spans="2:4" x14ac:dyDescent="0.35">
      <c r="B3704" s="9">
        <v>43516</v>
      </c>
      <c r="C3704" s="12">
        <v>140.30000000000001</v>
      </c>
      <c r="D3704" t="s">
        <v>5877</v>
      </c>
    </row>
    <row r="3705" spans="2:4" x14ac:dyDescent="0.35">
      <c r="B3705" s="9">
        <v>43517</v>
      </c>
      <c r="C3705" s="12">
        <v>111.8</v>
      </c>
      <c r="D3705" t="s">
        <v>5877</v>
      </c>
    </row>
    <row r="3706" spans="2:4" x14ac:dyDescent="0.35">
      <c r="B3706" s="9">
        <v>43518</v>
      </c>
      <c r="C3706" s="12">
        <v>154</v>
      </c>
      <c r="D3706" t="s">
        <v>5877</v>
      </c>
    </row>
    <row r="3707" spans="2:4" x14ac:dyDescent="0.35">
      <c r="B3707" s="9">
        <v>43519</v>
      </c>
      <c r="C3707" s="12">
        <v>229.9</v>
      </c>
      <c r="D3707" t="s">
        <v>5877</v>
      </c>
    </row>
    <row r="3708" spans="2:4" x14ac:dyDescent="0.35">
      <c r="B3708" s="9">
        <v>43520</v>
      </c>
      <c r="C3708" s="12">
        <v>191</v>
      </c>
      <c r="D3708" t="s">
        <v>5877</v>
      </c>
    </row>
    <row r="3709" spans="2:4" x14ac:dyDescent="0.35">
      <c r="B3709" s="9">
        <v>43521</v>
      </c>
      <c r="C3709" s="12">
        <v>133.9</v>
      </c>
      <c r="D3709" t="s">
        <v>5877</v>
      </c>
    </row>
    <row r="3710" spans="2:4" x14ac:dyDescent="0.35">
      <c r="B3710" s="9">
        <v>43522</v>
      </c>
      <c r="C3710" s="12">
        <v>106.3</v>
      </c>
      <c r="D3710" t="s">
        <v>5877</v>
      </c>
    </row>
    <row r="3711" spans="2:4" x14ac:dyDescent="0.35">
      <c r="B3711" s="9">
        <v>43523</v>
      </c>
      <c r="C3711" s="12">
        <v>103</v>
      </c>
      <c r="D3711" t="s">
        <v>5877</v>
      </c>
    </row>
    <row r="3712" spans="2:4" x14ac:dyDescent="0.35">
      <c r="B3712" s="9">
        <v>43524</v>
      </c>
      <c r="C3712" s="12">
        <v>121.8</v>
      </c>
      <c r="D3712" t="s">
        <v>5877</v>
      </c>
    </row>
    <row r="3713" spans="2:4" x14ac:dyDescent="0.35">
      <c r="B3713" s="9">
        <v>43525</v>
      </c>
      <c r="C3713" s="12">
        <v>120.9</v>
      </c>
      <c r="D3713" t="s">
        <v>5877</v>
      </c>
    </row>
    <row r="3714" spans="2:4" x14ac:dyDescent="0.35">
      <c r="B3714" s="9">
        <v>43526</v>
      </c>
      <c r="C3714" s="12">
        <v>124.2</v>
      </c>
      <c r="D3714" t="s">
        <v>5877</v>
      </c>
    </row>
    <row r="3715" spans="2:4" x14ac:dyDescent="0.35">
      <c r="B3715" s="9">
        <v>43527</v>
      </c>
      <c r="C3715" s="12">
        <v>112.7</v>
      </c>
      <c r="D3715" t="s">
        <v>5877</v>
      </c>
    </row>
    <row r="3716" spans="2:4" x14ac:dyDescent="0.35">
      <c r="B3716" s="9">
        <v>43528</v>
      </c>
      <c r="C3716" s="12">
        <v>159.9</v>
      </c>
      <c r="D3716" t="s">
        <v>5877</v>
      </c>
    </row>
    <row r="3717" spans="2:4" x14ac:dyDescent="0.35">
      <c r="B3717" s="9">
        <v>43529</v>
      </c>
      <c r="C3717" s="12">
        <v>151.69999999999999</v>
      </c>
      <c r="D3717" t="s">
        <v>5877</v>
      </c>
    </row>
    <row r="3718" spans="2:4" x14ac:dyDescent="0.35">
      <c r="B3718" s="9">
        <v>43530</v>
      </c>
      <c r="C3718" s="12">
        <v>199.6</v>
      </c>
      <c r="D3718" t="s">
        <v>5877</v>
      </c>
    </row>
    <row r="3719" spans="2:4" x14ac:dyDescent="0.35">
      <c r="B3719" s="9">
        <v>43531</v>
      </c>
      <c r="C3719" s="12">
        <v>153.6</v>
      </c>
      <c r="D3719" t="s">
        <v>5877</v>
      </c>
    </row>
    <row r="3720" spans="2:4" x14ac:dyDescent="0.35">
      <c r="B3720" s="9">
        <v>43532</v>
      </c>
      <c r="C3720" s="12">
        <v>151.1</v>
      </c>
      <c r="D3720" t="s">
        <v>5877</v>
      </c>
    </row>
    <row r="3721" spans="2:4" x14ac:dyDescent="0.35">
      <c r="B3721" s="9">
        <v>43533</v>
      </c>
      <c r="C3721" s="12">
        <v>184.3</v>
      </c>
      <c r="D3721" t="s">
        <v>5877</v>
      </c>
    </row>
    <row r="3722" spans="2:4" x14ac:dyDescent="0.35">
      <c r="B3722" s="9">
        <v>43534</v>
      </c>
      <c r="C3722" s="12">
        <v>137.4</v>
      </c>
      <c r="D3722" t="s">
        <v>5877</v>
      </c>
    </row>
    <row r="3723" spans="2:4" x14ac:dyDescent="0.35">
      <c r="B3723" s="9">
        <v>43535</v>
      </c>
      <c r="C3723" s="12">
        <v>137.30000000000001</v>
      </c>
      <c r="D3723" t="s">
        <v>5877</v>
      </c>
    </row>
    <row r="3724" spans="2:4" x14ac:dyDescent="0.35">
      <c r="B3724" s="9">
        <v>43536</v>
      </c>
      <c r="C3724" s="12">
        <v>176.7</v>
      </c>
      <c r="D3724" t="s">
        <v>5877</v>
      </c>
    </row>
    <row r="3725" spans="2:4" x14ac:dyDescent="0.35">
      <c r="B3725" s="9">
        <v>43537</v>
      </c>
      <c r="C3725" s="12">
        <v>133.6</v>
      </c>
      <c r="D3725" t="s">
        <v>5877</v>
      </c>
    </row>
    <row r="3726" spans="2:4" x14ac:dyDescent="0.35">
      <c r="B3726" s="9">
        <v>43538</v>
      </c>
      <c r="C3726" s="12">
        <v>143</v>
      </c>
      <c r="D3726" t="s">
        <v>5877</v>
      </c>
    </row>
    <row r="3727" spans="2:4" x14ac:dyDescent="0.35">
      <c r="B3727" s="9">
        <v>43539</v>
      </c>
      <c r="C3727" s="12">
        <v>132.6</v>
      </c>
      <c r="D3727" t="s">
        <v>5877</v>
      </c>
    </row>
    <row r="3728" spans="2:4" x14ac:dyDescent="0.35">
      <c r="B3728" s="9">
        <v>43540</v>
      </c>
      <c r="C3728" s="12">
        <v>108</v>
      </c>
      <c r="D3728" t="s">
        <v>5877</v>
      </c>
    </row>
    <row r="3729" spans="2:4" x14ac:dyDescent="0.35">
      <c r="B3729" s="9">
        <v>43541</v>
      </c>
      <c r="C3729" s="12">
        <v>125.8</v>
      </c>
      <c r="D3729" t="s">
        <v>5877</v>
      </c>
    </row>
    <row r="3730" spans="2:4" x14ac:dyDescent="0.35">
      <c r="B3730" s="9">
        <v>43542</v>
      </c>
      <c r="C3730" s="12">
        <v>134.9</v>
      </c>
      <c r="D3730" t="s">
        <v>5877</v>
      </c>
    </row>
    <row r="3731" spans="2:4" x14ac:dyDescent="0.35">
      <c r="B3731" s="9">
        <v>43543</v>
      </c>
      <c r="C3731" s="12">
        <v>133</v>
      </c>
      <c r="D3731" t="s">
        <v>5877</v>
      </c>
    </row>
    <row r="3732" spans="2:4" x14ac:dyDescent="0.35">
      <c r="B3732" s="9">
        <v>43544</v>
      </c>
      <c r="C3732" s="12">
        <v>173.5</v>
      </c>
      <c r="D3732" t="s">
        <v>5877</v>
      </c>
    </row>
    <row r="3733" spans="2:4" x14ac:dyDescent="0.35">
      <c r="B3733" s="9">
        <v>43545</v>
      </c>
      <c r="C3733" s="12">
        <v>173.7</v>
      </c>
      <c r="D3733" t="s">
        <v>5877</v>
      </c>
    </row>
    <row r="3734" spans="2:4" x14ac:dyDescent="0.35">
      <c r="B3734" s="9">
        <v>43546</v>
      </c>
      <c r="C3734" s="12">
        <v>127.9</v>
      </c>
      <c r="D3734" t="s">
        <v>5877</v>
      </c>
    </row>
    <row r="3735" spans="2:4" x14ac:dyDescent="0.35">
      <c r="B3735" s="9">
        <v>43547</v>
      </c>
      <c r="C3735" s="12">
        <v>107.2</v>
      </c>
      <c r="D3735" t="s">
        <v>5877</v>
      </c>
    </row>
    <row r="3736" spans="2:4" x14ac:dyDescent="0.35">
      <c r="B3736" s="9">
        <v>43548</v>
      </c>
      <c r="C3736" s="12">
        <v>160.69999999999999</v>
      </c>
      <c r="D3736" t="s">
        <v>5877</v>
      </c>
    </row>
    <row r="3737" spans="2:4" x14ac:dyDescent="0.35">
      <c r="B3737" s="9">
        <v>43549</v>
      </c>
      <c r="C3737" s="12">
        <v>152.80000000000001</v>
      </c>
      <c r="D3737" t="s">
        <v>5877</v>
      </c>
    </row>
    <row r="3738" spans="2:4" x14ac:dyDescent="0.35">
      <c r="B3738" s="9">
        <v>43550</v>
      </c>
      <c r="C3738" s="12">
        <v>135.69999999999999</v>
      </c>
      <c r="D3738" t="s">
        <v>5877</v>
      </c>
    </row>
    <row r="3739" spans="2:4" x14ac:dyDescent="0.35">
      <c r="B3739" s="9">
        <v>43551</v>
      </c>
      <c r="C3739" s="12">
        <v>184.8</v>
      </c>
      <c r="D3739" t="s">
        <v>5877</v>
      </c>
    </row>
    <row r="3740" spans="2:4" x14ac:dyDescent="0.35">
      <c r="B3740" s="9">
        <v>43552</v>
      </c>
      <c r="C3740" s="12">
        <v>192.9</v>
      </c>
      <c r="D3740" t="s">
        <v>5877</v>
      </c>
    </row>
    <row r="3741" spans="2:4" x14ac:dyDescent="0.35">
      <c r="B3741" s="9">
        <v>43553</v>
      </c>
      <c r="C3741" s="12">
        <v>172.7</v>
      </c>
      <c r="D3741" t="s">
        <v>5877</v>
      </c>
    </row>
    <row r="3742" spans="2:4" x14ac:dyDescent="0.35">
      <c r="B3742" s="9">
        <v>43554</v>
      </c>
      <c r="C3742" s="12">
        <v>141.4</v>
      </c>
      <c r="D3742" t="s">
        <v>5877</v>
      </c>
    </row>
    <row r="3743" spans="2:4" x14ac:dyDescent="0.35">
      <c r="B3743" s="9">
        <v>43555</v>
      </c>
      <c r="C3743" s="12">
        <v>163.1</v>
      </c>
      <c r="D3743" t="s">
        <v>5877</v>
      </c>
    </row>
    <row r="3744" spans="2:4" x14ac:dyDescent="0.35">
      <c r="B3744" s="9">
        <v>43556</v>
      </c>
      <c r="C3744" s="12">
        <v>129.6</v>
      </c>
      <c r="D3744" t="s">
        <v>5877</v>
      </c>
    </row>
    <row r="3745" spans="2:4" x14ac:dyDescent="0.35">
      <c r="B3745" s="9">
        <v>43557</v>
      </c>
      <c r="C3745" s="12">
        <v>101.8</v>
      </c>
      <c r="D3745" t="s">
        <v>5877</v>
      </c>
    </row>
    <row r="3746" spans="2:4" x14ac:dyDescent="0.35">
      <c r="B3746" s="9">
        <v>43558</v>
      </c>
      <c r="C3746" s="12">
        <v>86.4</v>
      </c>
      <c r="D3746" t="s">
        <v>5877</v>
      </c>
    </row>
    <row r="3747" spans="2:4" x14ac:dyDescent="0.35">
      <c r="B3747" s="9">
        <v>43559</v>
      </c>
      <c r="C3747" s="12">
        <v>93.6</v>
      </c>
      <c r="D3747" t="s">
        <v>5877</v>
      </c>
    </row>
    <row r="3748" spans="2:4" x14ac:dyDescent="0.35">
      <c r="B3748" s="9">
        <v>43560</v>
      </c>
      <c r="C3748" s="12">
        <v>94.7</v>
      </c>
      <c r="D3748" t="s">
        <v>5877</v>
      </c>
    </row>
    <row r="3749" spans="2:4" x14ac:dyDescent="0.35">
      <c r="B3749" s="9">
        <v>43561</v>
      </c>
      <c r="C3749" s="12">
        <v>138.1</v>
      </c>
      <c r="D3749" t="s">
        <v>5877</v>
      </c>
    </row>
    <row r="3750" spans="2:4" x14ac:dyDescent="0.35">
      <c r="B3750" s="9">
        <v>43562</v>
      </c>
      <c r="C3750" s="12">
        <v>118</v>
      </c>
      <c r="D3750" t="s">
        <v>5877</v>
      </c>
    </row>
    <row r="3751" spans="2:4" x14ac:dyDescent="0.35">
      <c r="B3751" s="9">
        <v>43563</v>
      </c>
      <c r="C3751" s="12">
        <v>159.9</v>
      </c>
      <c r="D3751" t="s">
        <v>5877</v>
      </c>
    </row>
    <row r="3752" spans="2:4" x14ac:dyDescent="0.35">
      <c r="B3752" s="9">
        <v>43564</v>
      </c>
      <c r="C3752" s="12">
        <v>157.19999999999999</v>
      </c>
      <c r="D3752" t="s">
        <v>5877</v>
      </c>
    </row>
    <row r="3753" spans="2:4" x14ac:dyDescent="0.35">
      <c r="B3753" s="9">
        <v>43565</v>
      </c>
      <c r="C3753" s="12">
        <v>120.2</v>
      </c>
      <c r="D3753" t="s">
        <v>5877</v>
      </c>
    </row>
    <row r="3754" spans="2:4" x14ac:dyDescent="0.35">
      <c r="B3754" s="9">
        <v>43566</v>
      </c>
      <c r="C3754" s="12">
        <v>155.80000000000001</v>
      </c>
      <c r="D3754" t="s">
        <v>5877</v>
      </c>
    </row>
    <row r="3755" spans="2:4" x14ac:dyDescent="0.35">
      <c r="B3755" s="9">
        <v>43567</v>
      </c>
      <c r="C3755" s="12">
        <v>121.2</v>
      </c>
      <c r="D3755" t="s">
        <v>5877</v>
      </c>
    </row>
    <row r="3756" spans="2:4" x14ac:dyDescent="0.35">
      <c r="B3756" s="9">
        <v>43568</v>
      </c>
      <c r="C3756" s="12">
        <v>120.2</v>
      </c>
      <c r="D3756" t="s">
        <v>5877</v>
      </c>
    </row>
    <row r="3757" spans="2:4" x14ac:dyDescent="0.35">
      <c r="B3757" s="9">
        <v>43569</v>
      </c>
      <c r="C3757" s="12">
        <v>106.2</v>
      </c>
      <c r="D3757" t="s">
        <v>5877</v>
      </c>
    </row>
    <row r="3758" spans="2:4" x14ac:dyDescent="0.35">
      <c r="B3758" s="9">
        <v>43570</v>
      </c>
      <c r="C3758" s="12">
        <v>176.3</v>
      </c>
      <c r="D3758" t="s">
        <v>5877</v>
      </c>
    </row>
    <row r="3759" spans="2:4" x14ac:dyDescent="0.35">
      <c r="B3759" s="9">
        <v>43571</v>
      </c>
      <c r="C3759" s="12">
        <v>135.69999999999999</v>
      </c>
      <c r="D3759" t="s">
        <v>5877</v>
      </c>
    </row>
    <row r="3760" spans="2:4" x14ac:dyDescent="0.35">
      <c r="B3760" s="9">
        <v>43572</v>
      </c>
      <c r="C3760" s="12">
        <v>107.6</v>
      </c>
      <c r="D3760" t="s">
        <v>5877</v>
      </c>
    </row>
    <row r="3761" spans="2:4" x14ac:dyDescent="0.35">
      <c r="B3761" s="9">
        <v>43573</v>
      </c>
      <c r="C3761" s="12">
        <v>141.6</v>
      </c>
      <c r="D3761" t="s">
        <v>5877</v>
      </c>
    </row>
    <row r="3762" spans="2:4" x14ac:dyDescent="0.35">
      <c r="B3762" s="9">
        <v>43574</v>
      </c>
      <c r="C3762" s="12">
        <v>116</v>
      </c>
      <c r="D3762" t="s">
        <v>5877</v>
      </c>
    </row>
    <row r="3763" spans="2:4" x14ac:dyDescent="0.35">
      <c r="B3763" s="9">
        <v>43575</v>
      </c>
      <c r="C3763" s="12">
        <v>95</v>
      </c>
      <c r="D3763" t="s">
        <v>5877</v>
      </c>
    </row>
    <row r="3764" spans="2:4" x14ac:dyDescent="0.35">
      <c r="B3764" s="9">
        <v>43576</v>
      </c>
      <c r="C3764" s="12">
        <v>83.7</v>
      </c>
      <c r="D3764" t="s">
        <v>5877</v>
      </c>
    </row>
    <row r="3765" spans="2:4" x14ac:dyDescent="0.35">
      <c r="B3765" s="9">
        <v>43577</v>
      </c>
      <c r="C3765" s="12">
        <v>130</v>
      </c>
      <c r="D3765" t="s">
        <v>5877</v>
      </c>
    </row>
    <row r="3766" spans="2:4" x14ac:dyDescent="0.35">
      <c r="B3766" s="9">
        <v>43578</v>
      </c>
      <c r="C3766" s="12">
        <v>165.6</v>
      </c>
      <c r="D3766" t="s">
        <v>5877</v>
      </c>
    </row>
    <row r="3767" spans="2:4" x14ac:dyDescent="0.35">
      <c r="B3767" s="9">
        <v>43579</v>
      </c>
      <c r="C3767" s="12">
        <v>165.1</v>
      </c>
      <c r="D3767" t="s">
        <v>5877</v>
      </c>
    </row>
    <row r="3768" spans="2:4" x14ac:dyDescent="0.35">
      <c r="B3768" s="9">
        <v>43580</v>
      </c>
      <c r="C3768" s="12">
        <v>140.30000000000001</v>
      </c>
      <c r="D3768" t="s">
        <v>5877</v>
      </c>
    </row>
    <row r="3769" spans="2:4" x14ac:dyDescent="0.35">
      <c r="B3769" s="9">
        <v>43581</v>
      </c>
      <c r="C3769" s="12">
        <v>164.5</v>
      </c>
      <c r="D3769" t="s">
        <v>5877</v>
      </c>
    </row>
    <row r="3770" spans="2:4" x14ac:dyDescent="0.35">
      <c r="B3770" s="9">
        <v>43582</v>
      </c>
      <c r="C3770" s="12">
        <v>138.1</v>
      </c>
      <c r="D3770" t="s">
        <v>5877</v>
      </c>
    </row>
    <row r="3771" spans="2:4" x14ac:dyDescent="0.35">
      <c r="B3771" s="9">
        <v>43583</v>
      </c>
      <c r="C3771" s="12">
        <v>112.1</v>
      </c>
      <c r="D3771" t="s">
        <v>5877</v>
      </c>
    </row>
    <row r="3772" spans="2:4" x14ac:dyDescent="0.35">
      <c r="B3772" s="9">
        <v>43584</v>
      </c>
      <c r="C3772" s="12">
        <v>89.6</v>
      </c>
      <c r="D3772" t="s">
        <v>5877</v>
      </c>
    </row>
    <row r="3773" spans="2:4" x14ac:dyDescent="0.35">
      <c r="B3773" s="9">
        <v>43585</v>
      </c>
      <c r="C3773" s="12">
        <v>78</v>
      </c>
      <c r="D3773" t="s">
        <v>5877</v>
      </c>
    </row>
    <row r="3774" spans="2:4" x14ac:dyDescent="0.35">
      <c r="B3774" s="9">
        <v>43586</v>
      </c>
      <c r="C3774" s="12">
        <v>135.1</v>
      </c>
      <c r="D3774" t="s">
        <v>5877</v>
      </c>
    </row>
    <row r="3775" spans="2:4" x14ac:dyDescent="0.35">
      <c r="B3775" s="9">
        <v>43587</v>
      </c>
      <c r="C3775" s="12">
        <v>153.69999999999999</v>
      </c>
      <c r="D3775" t="s">
        <v>5877</v>
      </c>
    </row>
    <row r="3776" spans="2:4" x14ac:dyDescent="0.35">
      <c r="B3776" s="9">
        <v>43588</v>
      </c>
      <c r="C3776" s="12">
        <v>120.5</v>
      </c>
      <c r="D3776" t="s">
        <v>5877</v>
      </c>
    </row>
    <row r="3777" spans="2:4" x14ac:dyDescent="0.35">
      <c r="B3777" s="9">
        <v>43589</v>
      </c>
      <c r="C3777" s="12">
        <v>95.9</v>
      </c>
      <c r="D3777" t="s">
        <v>5877</v>
      </c>
    </row>
    <row r="3778" spans="2:4" x14ac:dyDescent="0.35">
      <c r="B3778" s="9">
        <v>43590</v>
      </c>
      <c r="C3778" s="12">
        <v>79.5</v>
      </c>
      <c r="D3778" t="s">
        <v>5877</v>
      </c>
    </row>
    <row r="3779" spans="2:4" x14ac:dyDescent="0.35">
      <c r="B3779" s="9">
        <v>43591</v>
      </c>
      <c r="C3779" s="12">
        <v>68.599999999999994</v>
      </c>
      <c r="D3779" t="s">
        <v>5877</v>
      </c>
    </row>
    <row r="3780" spans="2:4" x14ac:dyDescent="0.35">
      <c r="B3780" s="9">
        <v>43592</v>
      </c>
      <c r="C3780" s="12">
        <v>71.400000000000006</v>
      </c>
      <c r="D3780" t="s">
        <v>5877</v>
      </c>
    </row>
    <row r="3781" spans="2:4" x14ac:dyDescent="0.35">
      <c r="B3781" s="9">
        <v>43593</v>
      </c>
      <c r="C3781" s="12">
        <v>99.9</v>
      </c>
      <c r="D3781" t="s">
        <v>5877</v>
      </c>
    </row>
    <row r="3782" spans="2:4" x14ac:dyDescent="0.35">
      <c r="B3782" s="9">
        <v>43594</v>
      </c>
      <c r="C3782" s="12">
        <v>96.6</v>
      </c>
      <c r="D3782" t="s">
        <v>5877</v>
      </c>
    </row>
    <row r="3783" spans="2:4" x14ac:dyDescent="0.35">
      <c r="B3783" s="9">
        <v>43595</v>
      </c>
      <c r="C3783" s="12">
        <v>81.099999999999994</v>
      </c>
      <c r="D3783" t="s">
        <v>5877</v>
      </c>
    </row>
    <row r="3784" spans="2:4" x14ac:dyDescent="0.35">
      <c r="B3784" s="9">
        <v>43596</v>
      </c>
      <c r="C3784" s="12">
        <v>73.2</v>
      </c>
      <c r="D3784" t="s">
        <v>5877</v>
      </c>
    </row>
    <row r="3785" spans="2:4" x14ac:dyDescent="0.35">
      <c r="B3785" s="9">
        <v>43597</v>
      </c>
      <c r="C3785" s="12">
        <v>115.6</v>
      </c>
      <c r="D3785" t="s">
        <v>5877</v>
      </c>
    </row>
    <row r="3786" spans="2:4" x14ac:dyDescent="0.35">
      <c r="B3786" s="9">
        <v>43598</v>
      </c>
      <c r="C3786" s="12">
        <v>144.6</v>
      </c>
      <c r="D3786" t="s">
        <v>5877</v>
      </c>
    </row>
    <row r="3787" spans="2:4" x14ac:dyDescent="0.35">
      <c r="B3787" s="9">
        <v>43599</v>
      </c>
      <c r="C3787" s="12">
        <v>122.7</v>
      </c>
      <c r="D3787" t="s">
        <v>5877</v>
      </c>
    </row>
    <row r="3788" spans="2:4" x14ac:dyDescent="0.35">
      <c r="B3788" s="9">
        <v>43600</v>
      </c>
      <c r="C3788" s="12">
        <v>150.80000000000001</v>
      </c>
      <c r="D3788" t="s">
        <v>5877</v>
      </c>
    </row>
    <row r="3789" spans="2:4" x14ac:dyDescent="0.35">
      <c r="B3789" s="9">
        <v>43601</v>
      </c>
      <c r="C3789" s="12">
        <v>170.2</v>
      </c>
      <c r="D3789" t="s">
        <v>5877</v>
      </c>
    </row>
    <row r="3790" spans="2:4" x14ac:dyDescent="0.35">
      <c r="B3790" s="9">
        <v>43602</v>
      </c>
      <c r="C3790" s="12">
        <v>127.8</v>
      </c>
      <c r="D3790" t="s">
        <v>5877</v>
      </c>
    </row>
    <row r="3791" spans="2:4" x14ac:dyDescent="0.35">
      <c r="B3791" s="9">
        <v>43603</v>
      </c>
      <c r="C3791" s="12">
        <v>138.30000000000001</v>
      </c>
      <c r="D3791" t="s">
        <v>5877</v>
      </c>
    </row>
    <row r="3792" spans="2:4" x14ac:dyDescent="0.35">
      <c r="B3792" s="9">
        <v>43604</v>
      </c>
      <c r="C3792" s="12">
        <v>131.69999999999999</v>
      </c>
      <c r="D3792" t="s">
        <v>5877</v>
      </c>
    </row>
    <row r="3793" spans="2:4" x14ac:dyDescent="0.35">
      <c r="B3793" s="9">
        <v>43605</v>
      </c>
      <c r="C3793" s="12">
        <v>123.1</v>
      </c>
      <c r="D3793" t="s">
        <v>5877</v>
      </c>
    </row>
    <row r="3794" spans="2:4" x14ac:dyDescent="0.35">
      <c r="B3794" s="9">
        <v>43606</v>
      </c>
      <c r="C3794" s="12">
        <v>109.7</v>
      </c>
      <c r="D3794" t="s">
        <v>5877</v>
      </c>
    </row>
    <row r="3795" spans="2:4" x14ac:dyDescent="0.35">
      <c r="B3795" s="9">
        <v>43607</v>
      </c>
      <c r="C3795" s="12">
        <v>99.8</v>
      </c>
      <c r="D3795" t="s">
        <v>5877</v>
      </c>
    </row>
    <row r="3796" spans="2:4" x14ac:dyDescent="0.35">
      <c r="B3796" s="9">
        <v>43608</v>
      </c>
      <c r="C3796" s="12">
        <v>165.6</v>
      </c>
      <c r="D3796" t="s">
        <v>5877</v>
      </c>
    </row>
    <row r="3797" spans="2:4" x14ac:dyDescent="0.35">
      <c r="B3797" s="9">
        <v>43609</v>
      </c>
      <c r="C3797" s="12">
        <v>145.30000000000001</v>
      </c>
      <c r="D3797" t="s">
        <v>5877</v>
      </c>
    </row>
    <row r="3798" spans="2:4" x14ac:dyDescent="0.35">
      <c r="B3798" s="9">
        <v>43610</v>
      </c>
      <c r="C3798" s="12">
        <v>110.3</v>
      </c>
      <c r="D3798" t="s">
        <v>5877</v>
      </c>
    </row>
    <row r="3799" spans="2:4" x14ac:dyDescent="0.35">
      <c r="B3799" s="9">
        <v>43611</v>
      </c>
      <c r="C3799" s="12">
        <v>89.5</v>
      </c>
      <c r="D3799" t="s">
        <v>5877</v>
      </c>
    </row>
    <row r="3800" spans="2:4" x14ac:dyDescent="0.35">
      <c r="B3800" s="9">
        <v>43612</v>
      </c>
      <c r="C3800" s="12">
        <v>79.2</v>
      </c>
      <c r="D3800" t="s">
        <v>5877</v>
      </c>
    </row>
    <row r="3801" spans="2:4" x14ac:dyDescent="0.35">
      <c r="B3801" s="9">
        <v>43613</v>
      </c>
      <c r="C3801" s="12">
        <v>74</v>
      </c>
      <c r="D3801" t="s">
        <v>5877</v>
      </c>
    </row>
    <row r="3802" spans="2:4" x14ac:dyDescent="0.35">
      <c r="B3802" s="9">
        <v>43614</v>
      </c>
      <c r="C3802" s="12">
        <v>113.1</v>
      </c>
      <c r="D3802" t="s">
        <v>5877</v>
      </c>
    </row>
    <row r="3803" spans="2:4" x14ac:dyDescent="0.35">
      <c r="B3803" s="9">
        <v>43615</v>
      </c>
      <c r="C3803" s="12">
        <v>126.2</v>
      </c>
      <c r="D3803" t="s">
        <v>5877</v>
      </c>
    </row>
    <row r="3804" spans="2:4" x14ac:dyDescent="0.35">
      <c r="B3804" s="9">
        <v>43616</v>
      </c>
      <c r="C3804" s="12">
        <v>112.6</v>
      </c>
      <c r="D3804" t="s">
        <v>5877</v>
      </c>
    </row>
    <row r="3805" spans="2:4" x14ac:dyDescent="0.35">
      <c r="B3805" s="9">
        <v>43617</v>
      </c>
      <c r="C3805" s="12">
        <v>100</v>
      </c>
      <c r="D3805" t="s">
        <v>5877</v>
      </c>
    </row>
    <row r="3806" spans="2:4" x14ac:dyDescent="0.35">
      <c r="B3806" s="9">
        <v>43618</v>
      </c>
      <c r="C3806" s="12">
        <v>92</v>
      </c>
      <c r="D3806" t="s">
        <v>5877</v>
      </c>
    </row>
    <row r="3807" spans="2:4" x14ac:dyDescent="0.35">
      <c r="B3807" s="9">
        <v>43619</v>
      </c>
      <c r="C3807" s="12">
        <v>88.4</v>
      </c>
      <c r="D3807" t="s">
        <v>5877</v>
      </c>
    </row>
    <row r="3808" spans="2:4" x14ac:dyDescent="0.35">
      <c r="B3808" s="9">
        <v>43620</v>
      </c>
      <c r="C3808" s="12">
        <v>75.7</v>
      </c>
      <c r="D3808" t="s">
        <v>5877</v>
      </c>
    </row>
    <row r="3809" spans="2:4" x14ac:dyDescent="0.35">
      <c r="B3809" s="9">
        <v>43621</v>
      </c>
      <c r="C3809" s="12">
        <v>66.099999999999994</v>
      </c>
      <c r="D3809" t="s">
        <v>5877</v>
      </c>
    </row>
    <row r="3810" spans="2:4" x14ac:dyDescent="0.35">
      <c r="B3810" s="9">
        <v>43622</v>
      </c>
      <c r="C3810" s="12">
        <v>58.4</v>
      </c>
      <c r="D3810" t="s">
        <v>5877</v>
      </c>
    </row>
    <row r="3811" spans="2:4" x14ac:dyDescent="0.35">
      <c r="B3811" s="9">
        <v>43623</v>
      </c>
      <c r="C3811" s="12">
        <v>52</v>
      </c>
      <c r="D3811" t="s">
        <v>5877</v>
      </c>
    </row>
    <row r="3812" spans="2:4" x14ac:dyDescent="0.35">
      <c r="B3812" s="9">
        <v>43624</v>
      </c>
      <c r="C3812" s="12">
        <v>46.5</v>
      </c>
      <c r="D3812" t="s">
        <v>5877</v>
      </c>
    </row>
    <row r="3813" spans="2:4" x14ac:dyDescent="0.35">
      <c r="B3813" s="9">
        <v>43625</v>
      </c>
      <c r="C3813" s="12">
        <v>41.6</v>
      </c>
      <c r="D3813" t="s">
        <v>5877</v>
      </c>
    </row>
    <row r="3814" spans="2:4" x14ac:dyDescent="0.35">
      <c r="B3814" s="9">
        <v>43626</v>
      </c>
      <c r="C3814" s="12">
        <v>37.4</v>
      </c>
      <c r="D3814" t="s">
        <v>5877</v>
      </c>
    </row>
    <row r="3815" spans="2:4" x14ac:dyDescent="0.35">
      <c r="B3815" s="9">
        <v>43627</v>
      </c>
      <c r="C3815" s="12">
        <v>33.5</v>
      </c>
      <c r="D3815" t="s">
        <v>5877</v>
      </c>
    </row>
    <row r="3816" spans="2:4" x14ac:dyDescent="0.35">
      <c r="B3816" s="9">
        <v>43628</v>
      </c>
      <c r="C3816" s="12">
        <v>30.5</v>
      </c>
      <c r="D3816" t="s">
        <v>5877</v>
      </c>
    </row>
    <row r="3817" spans="2:4" x14ac:dyDescent="0.35">
      <c r="B3817" s="9">
        <v>43629</v>
      </c>
      <c r="C3817" s="12">
        <v>27.5</v>
      </c>
      <c r="D3817" t="s">
        <v>5877</v>
      </c>
    </row>
    <row r="3818" spans="2:4" x14ac:dyDescent="0.35">
      <c r="B3818" s="9">
        <v>43630</v>
      </c>
      <c r="C3818" s="12">
        <v>27.7</v>
      </c>
      <c r="D3818" t="s">
        <v>5877</v>
      </c>
    </row>
    <row r="3819" spans="2:4" x14ac:dyDescent="0.35">
      <c r="B3819" s="9">
        <v>43631</v>
      </c>
      <c r="C3819" s="12">
        <v>30.1</v>
      </c>
      <c r="D3819" t="s">
        <v>5877</v>
      </c>
    </row>
    <row r="3820" spans="2:4" x14ac:dyDescent="0.35">
      <c r="B3820" s="9">
        <v>43632</v>
      </c>
      <c r="C3820" s="12">
        <v>26.6</v>
      </c>
      <c r="D3820" t="s">
        <v>5877</v>
      </c>
    </row>
    <row r="3821" spans="2:4" x14ac:dyDescent="0.35">
      <c r="B3821" s="9">
        <v>43633</v>
      </c>
      <c r="C3821" s="12">
        <v>21.9</v>
      </c>
      <c r="D3821" t="s">
        <v>5877</v>
      </c>
    </row>
    <row r="3822" spans="2:4" x14ac:dyDescent="0.35">
      <c r="B3822" s="9">
        <v>43634</v>
      </c>
      <c r="C3822" s="12">
        <v>18.2</v>
      </c>
      <c r="D3822" t="s">
        <v>5877</v>
      </c>
    </row>
    <row r="3823" spans="2:4" x14ac:dyDescent="0.35">
      <c r="B3823" s="9">
        <v>43635</v>
      </c>
      <c r="C3823" s="12">
        <v>15.6</v>
      </c>
      <c r="D3823" t="s">
        <v>5877</v>
      </c>
    </row>
    <row r="3824" spans="2:4" x14ac:dyDescent="0.35">
      <c r="B3824" s="9">
        <v>43636</v>
      </c>
      <c r="C3824" s="12">
        <v>13.6</v>
      </c>
      <c r="D3824" t="s">
        <v>5877</v>
      </c>
    </row>
    <row r="3825" spans="2:4" x14ac:dyDescent="0.35">
      <c r="B3825" s="9">
        <v>43637</v>
      </c>
      <c r="C3825" s="12">
        <v>12</v>
      </c>
      <c r="D3825" t="s">
        <v>5877</v>
      </c>
    </row>
    <row r="3826" spans="2:4" x14ac:dyDescent="0.35">
      <c r="B3826" s="9">
        <v>43638</v>
      </c>
      <c r="C3826" s="12">
        <v>10.7</v>
      </c>
      <c r="D3826" t="s">
        <v>5877</v>
      </c>
    </row>
    <row r="3827" spans="2:4" x14ac:dyDescent="0.35">
      <c r="B3827" s="9">
        <v>43639</v>
      </c>
      <c r="C3827" s="12">
        <v>9.6</v>
      </c>
      <c r="D3827" t="s">
        <v>5877</v>
      </c>
    </row>
    <row r="3828" spans="2:4" x14ac:dyDescent="0.35">
      <c r="B3828" s="9">
        <v>43640</v>
      </c>
      <c r="C3828" s="12">
        <v>8.6</v>
      </c>
      <c r="D3828" t="s">
        <v>5877</v>
      </c>
    </row>
    <row r="3829" spans="2:4" x14ac:dyDescent="0.35">
      <c r="B3829" s="9">
        <v>43641</v>
      </c>
      <c r="C3829" s="12">
        <v>7.7</v>
      </c>
      <c r="D3829" t="s">
        <v>5877</v>
      </c>
    </row>
    <row r="3830" spans="2:4" x14ac:dyDescent="0.35">
      <c r="B3830" s="9">
        <v>43642</v>
      </c>
      <c r="C3830" s="12">
        <v>7</v>
      </c>
      <c r="D3830" t="s">
        <v>5877</v>
      </c>
    </row>
    <row r="3831" spans="2:4" x14ac:dyDescent="0.35">
      <c r="B3831" s="9">
        <v>43643</v>
      </c>
      <c r="C3831" s="12">
        <v>6.3</v>
      </c>
      <c r="D3831" t="s">
        <v>5877</v>
      </c>
    </row>
    <row r="3832" spans="2:4" x14ac:dyDescent="0.35">
      <c r="B3832" s="9">
        <v>43644</v>
      </c>
      <c r="C3832" s="12">
        <v>11.3</v>
      </c>
      <c r="D3832" t="s">
        <v>5877</v>
      </c>
    </row>
    <row r="3833" spans="2:4" x14ac:dyDescent="0.35">
      <c r="B3833" s="9">
        <v>43645</v>
      </c>
      <c r="C3833" s="12">
        <v>9.5</v>
      </c>
      <c r="D3833" t="s">
        <v>5877</v>
      </c>
    </row>
    <row r="3834" spans="2:4" x14ac:dyDescent="0.35">
      <c r="B3834" s="9">
        <v>43646</v>
      </c>
      <c r="C3834" s="12">
        <v>7.1</v>
      </c>
      <c r="D3834" t="s">
        <v>5877</v>
      </c>
    </row>
    <row r="3835" spans="2:4" x14ac:dyDescent="0.35">
      <c r="B3835" s="9">
        <v>43647</v>
      </c>
      <c r="C3835" s="12">
        <v>5.6</v>
      </c>
      <c r="D3835" t="s">
        <v>5877</v>
      </c>
    </row>
    <row r="3836" spans="2:4" x14ac:dyDescent="0.35">
      <c r="B3836" s="9">
        <v>43648</v>
      </c>
      <c r="C3836" s="12">
        <v>4.5999999999999996</v>
      </c>
      <c r="D3836" t="s">
        <v>5877</v>
      </c>
    </row>
    <row r="3837" spans="2:4" x14ac:dyDescent="0.35">
      <c r="B3837" s="9">
        <v>43649</v>
      </c>
      <c r="C3837" s="12">
        <v>3.9</v>
      </c>
      <c r="D3837" t="s">
        <v>5877</v>
      </c>
    </row>
    <row r="3838" spans="2:4" x14ac:dyDescent="0.35">
      <c r="B3838" s="9">
        <v>43650</v>
      </c>
      <c r="C3838" s="12">
        <v>3.9</v>
      </c>
      <c r="D3838" t="s">
        <v>5877</v>
      </c>
    </row>
    <row r="3839" spans="2:4" x14ac:dyDescent="0.35">
      <c r="B3839" s="9">
        <v>43651</v>
      </c>
      <c r="C3839" s="12">
        <v>3.4</v>
      </c>
      <c r="D3839" t="s">
        <v>5877</v>
      </c>
    </row>
    <row r="3840" spans="2:4" x14ac:dyDescent="0.35">
      <c r="B3840" s="9">
        <v>43652</v>
      </c>
      <c r="C3840" s="12">
        <v>3.1</v>
      </c>
      <c r="D3840" t="s">
        <v>5877</v>
      </c>
    </row>
    <row r="3841" spans="2:4" x14ac:dyDescent="0.35">
      <c r="B3841" s="9">
        <v>43653</v>
      </c>
      <c r="C3841" s="12">
        <v>2.7</v>
      </c>
      <c r="D3841" t="s">
        <v>5877</v>
      </c>
    </row>
    <row r="3842" spans="2:4" x14ac:dyDescent="0.35">
      <c r="B3842" s="9">
        <v>43654</v>
      </c>
      <c r="C3842" s="12">
        <v>2.6</v>
      </c>
      <c r="D3842" t="s">
        <v>5877</v>
      </c>
    </row>
    <row r="3843" spans="2:4" x14ac:dyDescent="0.35">
      <c r="B3843" s="9">
        <v>43655</v>
      </c>
      <c r="C3843" s="12">
        <v>2.2000000000000002</v>
      </c>
      <c r="D3843" t="s">
        <v>5877</v>
      </c>
    </row>
    <row r="3844" spans="2:4" x14ac:dyDescent="0.35">
      <c r="B3844" s="9">
        <v>43656</v>
      </c>
      <c r="C3844" s="12">
        <v>2.1</v>
      </c>
      <c r="D3844" t="s">
        <v>5877</v>
      </c>
    </row>
    <row r="3845" spans="2:4" x14ac:dyDescent="0.35">
      <c r="B3845" s="9">
        <v>43657</v>
      </c>
      <c r="C3845" s="12">
        <v>2.1</v>
      </c>
      <c r="D3845" t="s">
        <v>5877</v>
      </c>
    </row>
    <row r="3846" spans="2:4" x14ac:dyDescent="0.35">
      <c r="B3846" s="9">
        <v>43658</v>
      </c>
      <c r="C3846" s="12">
        <v>1.8</v>
      </c>
      <c r="D3846" t="s">
        <v>5877</v>
      </c>
    </row>
    <row r="3847" spans="2:4" x14ac:dyDescent="0.35">
      <c r="B3847" s="9">
        <v>43659</v>
      </c>
      <c r="C3847" s="12">
        <v>1.8</v>
      </c>
      <c r="D3847" t="s">
        <v>5877</v>
      </c>
    </row>
    <row r="3848" spans="2:4" x14ac:dyDescent="0.35">
      <c r="B3848" s="9">
        <v>43660</v>
      </c>
      <c r="C3848" s="12">
        <v>1.5</v>
      </c>
      <c r="D3848" t="s">
        <v>5877</v>
      </c>
    </row>
    <row r="3849" spans="2:4" x14ac:dyDescent="0.35">
      <c r="B3849" s="9">
        <v>43661</v>
      </c>
      <c r="C3849" s="12">
        <v>1.3</v>
      </c>
      <c r="D3849" t="s">
        <v>5877</v>
      </c>
    </row>
    <row r="3850" spans="2:4" x14ac:dyDescent="0.35">
      <c r="B3850" s="9">
        <v>43662</v>
      </c>
      <c r="C3850" s="12">
        <v>1.2</v>
      </c>
      <c r="D3850" t="s">
        <v>5877</v>
      </c>
    </row>
    <row r="3851" spans="2:4" x14ac:dyDescent="0.35">
      <c r="B3851" s="9">
        <v>43663</v>
      </c>
      <c r="C3851" s="12">
        <v>5.0999999999999996</v>
      </c>
      <c r="D3851" t="s">
        <v>5877</v>
      </c>
    </row>
    <row r="3852" spans="2:4" x14ac:dyDescent="0.35">
      <c r="B3852" s="9">
        <v>43664</v>
      </c>
      <c r="C3852" s="12">
        <v>4</v>
      </c>
      <c r="D3852" t="s">
        <v>5877</v>
      </c>
    </row>
    <row r="3853" spans="2:4" x14ac:dyDescent="0.35">
      <c r="B3853" s="9">
        <v>43665</v>
      </c>
      <c r="C3853" s="12">
        <v>3</v>
      </c>
      <c r="D3853" t="s">
        <v>5877</v>
      </c>
    </row>
    <row r="3854" spans="2:4" x14ac:dyDescent="0.35">
      <c r="B3854" s="9">
        <v>43666</v>
      </c>
      <c r="C3854" s="12">
        <v>2.4</v>
      </c>
      <c r="D3854" t="s">
        <v>5877</v>
      </c>
    </row>
    <row r="3855" spans="2:4" x14ac:dyDescent="0.35">
      <c r="B3855" s="9">
        <v>43667</v>
      </c>
      <c r="C3855" s="12">
        <v>2.1</v>
      </c>
      <c r="D3855" t="s">
        <v>5877</v>
      </c>
    </row>
    <row r="3856" spans="2:4" x14ac:dyDescent="0.35">
      <c r="B3856" s="9">
        <v>43668</v>
      </c>
      <c r="C3856" s="12">
        <v>1.8</v>
      </c>
      <c r="D3856" t="s">
        <v>5877</v>
      </c>
    </row>
    <row r="3857" spans="2:4" x14ac:dyDescent="0.35">
      <c r="B3857" s="9">
        <v>43669</v>
      </c>
      <c r="C3857" s="12">
        <v>1.6</v>
      </c>
      <c r="D3857" t="s">
        <v>5877</v>
      </c>
    </row>
    <row r="3858" spans="2:4" x14ac:dyDescent="0.35">
      <c r="B3858" s="9">
        <v>43670</v>
      </c>
      <c r="C3858" s="12">
        <v>1.4</v>
      </c>
      <c r="D3858" t="s">
        <v>5877</v>
      </c>
    </row>
    <row r="3859" spans="2:4" x14ac:dyDescent="0.35">
      <c r="B3859" s="9">
        <v>43671</v>
      </c>
      <c r="C3859" s="12">
        <v>1.3</v>
      </c>
      <c r="D3859" t="s">
        <v>5877</v>
      </c>
    </row>
    <row r="3860" spans="2:4" x14ac:dyDescent="0.35">
      <c r="B3860" s="9">
        <v>43672</v>
      </c>
      <c r="C3860" s="12">
        <v>1.1000000000000001</v>
      </c>
      <c r="D3860" t="s">
        <v>5877</v>
      </c>
    </row>
    <row r="3861" spans="2:4" x14ac:dyDescent="0.35">
      <c r="B3861" s="9">
        <v>43673</v>
      </c>
      <c r="C3861" s="12">
        <v>1</v>
      </c>
      <c r="D3861" t="s">
        <v>5877</v>
      </c>
    </row>
    <row r="3862" spans="2:4" x14ac:dyDescent="0.35">
      <c r="B3862" s="9">
        <v>43674</v>
      </c>
      <c r="C3862" s="12">
        <v>1</v>
      </c>
      <c r="D3862" t="s">
        <v>5877</v>
      </c>
    </row>
    <row r="3863" spans="2:4" x14ac:dyDescent="0.35">
      <c r="B3863" s="9">
        <v>43675</v>
      </c>
      <c r="C3863" s="12">
        <v>1.8</v>
      </c>
      <c r="D3863" t="s">
        <v>5877</v>
      </c>
    </row>
    <row r="3864" spans="2:4" x14ac:dyDescent="0.35">
      <c r="B3864" s="9">
        <v>43676</v>
      </c>
      <c r="C3864" s="12">
        <v>2.8</v>
      </c>
      <c r="D3864" t="s">
        <v>5877</v>
      </c>
    </row>
    <row r="3865" spans="2:4" x14ac:dyDescent="0.35">
      <c r="B3865" s="9">
        <v>43677</v>
      </c>
      <c r="C3865" s="12">
        <v>2.5</v>
      </c>
      <c r="D3865" t="s">
        <v>5877</v>
      </c>
    </row>
    <row r="3866" spans="2:4" x14ac:dyDescent="0.35">
      <c r="B3866" s="9">
        <v>43678</v>
      </c>
      <c r="C3866" s="12">
        <v>5.4</v>
      </c>
      <c r="D3866" t="s">
        <v>5877</v>
      </c>
    </row>
    <row r="3867" spans="2:4" x14ac:dyDescent="0.35">
      <c r="B3867" s="9">
        <v>43679</v>
      </c>
      <c r="C3867" s="12">
        <v>7.3</v>
      </c>
      <c r="D3867" t="s">
        <v>5877</v>
      </c>
    </row>
    <row r="3868" spans="2:4" x14ac:dyDescent="0.35">
      <c r="B3868" s="9">
        <v>43680</v>
      </c>
      <c r="C3868" s="12">
        <v>68.900000000000006</v>
      </c>
      <c r="D3868" t="s">
        <v>5877</v>
      </c>
    </row>
    <row r="3869" spans="2:4" x14ac:dyDescent="0.35">
      <c r="B3869" s="9">
        <v>43681</v>
      </c>
      <c r="C3869" s="12">
        <v>55.5</v>
      </c>
      <c r="D3869" t="s">
        <v>5877</v>
      </c>
    </row>
    <row r="3870" spans="2:4" x14ac:dyDescent="0.35">
      <c r="B3870" s="9">
        <v>43682</v>
      </c>
      <c r="C3870" s="12">
        <v>42</v>
      </c>
      <c r="D3870" t="s">
        <v>5877</v>
      </c>
    </row>
    <row r="3871" spans="2:4" x14ac:dyDescent="0.35">
      <c r="B3871" s="9">
        <v>43683</v>
      </c>
      <c r="C3871" s="12">
        <v>35</v>
      </c>
      <c r="D3871" t="s">
        <v>5877</v>
      </c>
    </row>
    <row r="3872" spans="2:4" x14ac:dyDescent="0.35">
      <c r="B3872" s="9">
        <v>43684</v>
      </c>
      <c r="C3872" s="12">
        <v>38.9</v>
      </c>
      <c r="D3872" t="s">
        <v>5877</v>
      </c>
    </row>
    <row r="3873" spans="2:4" x14ac:dyDescent="0.35">
      <c r="B3873" s="9">
        <v>43685</v>
      </c>
      <c r="C3873" s="12">
        <v>47.6</v>
      </c>
      <c r="D3873" t="s">
        <v>5877</v>
      </c>
    </row>
    <row r="3874" spans="2:4" x14ac:dyDescent="0.35">
      <c r="B3874" s="9">
        <v>43686</v>
      </c>
      <c r="C3874" s="12">
        <v>55.6</v>
      </c>
      <c r="D3874" t="s">
        <v>5877</v>
      </c>
    </row>
    <row r="3875" spans="2:4" x14ac:dyDescent="0.35">
      <c r="B3875" s="9">
        <v>43687</v>
      </c>
      <c r="C3875" s="12">
        <v>58</v>
      </c>
      <c r="D3875" t="s">
        <v>5877</v>
      </c>
    </row>
    <row r="3876" spans="2:4" x14ac:dyDescent="0.35">
      <c r="B3876" s="9">
        <v>43688</v>
      </c>
      <c r="C3876" s="12">
        <v>72.5</v>
      </c>
      <c r="D3876" t="s">
        <v>5877</v>
      </c>
    </row>
    <row r="3877" spans="2:4" x14ac:dyDescent="0.35">
      <c r="B3877" s="9">
        <v>43689</v>
      </c>
      <c r="C3877" s="12">
        <v>56.4</v>
      </c>
      <c r="D3877" t="s">
        <v>5877</v>
      </c>
    </row>
    <row r="3878" spans="2:4" x14ac:dyDescent="0.35">
      <c r="B3878" s="9">
        <v>43690</v>
      </c>
      <c r="C3878" s="12">
        <v>44.9</v>
      </c>
      <c r="D3878" t="s">
        <v>5877</v>
      </c>
    </row>
    <row r="3879" spans="2:4" x14ac:dyDescent="0.35">
      <c r="B3879" s="9">
        <v>43691</v>
      </c>
      <c r="C3879" s="12">
        <v>40.200000000000003</v>
      </c>
      <c r="D3879" t="s">
        <v>5877</v>
      </c>
    </row>
    <row r="3880" spans="2:4" x14ac:dyDescent="0.35">
      <c r="B3880" s="9">
        <v>43692</v>
      </c>
      <c r="C3880" s="12">
        <v>35</v>
      </c>
      <c r="D3880" t="s">
        <v>5877</v>
      </c>
    </row>
    <row r="3881" spans="2:4" x14ac:dyDescent="0.35">
      <c r="B3881" s="9">
        <v>43693</v>
      </c>
      <c r="C3881" s="12">
        <v>30.8</v>
      </c>
      <c r="D3881" t="s">
        <v>5877</v>
      </c>
    </row>
    <row r="3882" spans="2:4" x14ac:dyDescent="0.35">
      <c r="B3882" s="9">
        <v>43694</v>
      </c>
      <c r="C3882" s="12">
        <v>27.4</v>
      </c>
      <c r="D3882" t="s">
        <v>5877</v>
      </c>
    </row>
    <row r="3883" spans="2:4" x14ac:dyDescent="0.35">
      <c r="B3883" s="9">
        <v>43695</v>
      </c>
      <c r="C3883" s="12">
        <v>24.5</v>
      </c>
      <c r="D3883" t="s">
        <v>5877</v>
      </c>
    </row>
    <row r="3884" spans="2:4" x14ac:dyDescent="0.35">
      <c r="B3884" s="9">
        <v>43696</v>
      </c>
      <c r="C3884" s="12">
        <v>22</v>
      </c>
      <c r="D3884" t="s">
        <v>5877</v>
      </c>
    </row>
    <row r="3885" spans="2:4" x14ac:dyDescent="0.35">
      <c r="B3885" s="9">
        <v>43697</v>
      </c>
      <c r="C3885" s="12">
        <v>23.8</v>
      </c>
      <c r="D3885" t="s">
        <v>5877</v>
      </c>
    </row>
    <row r="3886" spans="2:4" x14ac:dyDescent="0.35">
      <c r="B3886" s="9">
        <v>43698</v>
      </c>
      <c r="C3886" s="12">
        <v>30.8</v>
      </c>
      <c r="D3886" t="s">
        <v>5877</v>
      </c>
    </row>
    <row r="3887" spans="2:4" x14ac:dyDescent="0.35">
      <c r="B3887" s="9">
        <v>43699</v>
      </c>
      <c r="C3887" s="12">
        <v>25.6</v>
      </c>
      <c r="D3887" t="s">
        <v>5877</v>
      </c>
    </row>
    <row r="3888" spans="2:4" x14ac:dyDescent="0.35">
      <c r="B3888" s="9">
        <v>43700</v>
      </c>
      <c r="C3888" s="12">
        <v>19.8</v>
      </c>
      <c r="D3888" t="s">
        <v>5877</v>
      </c>
    </row>
    <row r="3889" spans="2:4" x14ac:dyDescent="0.35">
      <c r="B3889" s="9">
        <v>43701</v>
      </c>
      <c r="C3889" s="12">
        <v>15.8</v>
      </c>
      <c r="D3889" t="s">
        <v>5877</v>
      </c>
    </row>
    <row r="3890" spans="2:4" x14ac:dyDescent="0.35">
      <c r="B3890" s="9">
        <v>43702</v>
      </c>
      <c r="C3890" s="12">
        <v>13.8</v>
      </c>
      <c r="D3890" t="s">
        <v>5877</v>
      </c>
    </row>
    <row r="3891" spans="2:4" x14ac:dyDescent="0.35">
      <c r="B3891" s="9">
        <v>43703</v>
      </c>
      <c r="C3891" s="12">
        <v>29.2</v>
      </c>
      <c r="D3891" t="s">
        <v>5877</v>
      </c>
    </row>
    <row r="3892" spans="2:4" x14ac:dyDescent="0.35">
      <c r="B3892" s="9">
        <v>43704</v>
      </c>
      <c r="C3892" s="12">
        <v>24.4</v>
      </c>
      <c r="D3892" t="s">
        <v>5877</v>
      </c>
    </row>
    <row r="3893" spans="2:4" x14ac:dyDescent="0.35">
      <c r="B3893" s="9">
        <v>43705</v>
      </c>
      <c r="C3893" s="12">
        <v>24.3</v>
      </c>
      <c r="D3893" t="s">
        <v>5877</v>
      </c>
    </row>
    <row r="3894" spans="2:4" x14ac:dyDescent="0.35">
      <c r="B3894" s="9">
        <v>43706</v>
      </c>
      <c r="C3894" s="12">
        <v>24.4</v>
      </c>
      <c r="D3894" t="s">
        <v>5877</v>
      </c>
    </row>
    <row r="3895" spans="2:4" x14ac:dyDescent="0.35">
      <c r="B3895" s="9">
        <v>43707</v>
      </c>
      <c r="C3895" s="12">
        <v>28.8</v>
      </c>
      <c r="D3895" t="s">
        <v>5877</v>
      </c>
    </row>
    <row r="3896" spans="2:4" x14ac:dyDescent="0.35">
      <c r="B3896" s="9">
        <v>43708</v>
      </c>
      <c r="C3896" s="12">
        <v>31.3</v>
      </c>
      <c r="D3896" t="s">
        <v>5877</v>
      </c>
    </row>
    <row r="3897" spans="2:4" x14ac:dyDescent="0.35">
      <c r="B3897" s="9">
        <v>43709</v>
      </c>
      <c r="C3897" s="12">
        <v>24.4</v>
      </c>
      <c r="D3897" t="s">
        <v>5877</v>
      </c>
    </row>
    <row r="3898" spans="2:4" x14ac:dyDescent="0.35">
      <c r="B3898" s="9">
        <v>43710</v>
      </c>
      <c r="C3898" s="12">
        <v>21.6</v>
      </c>
      <c r="D3898" t="s">
        <v>5877</v>
      </c>
    </row>
    <row r="3899" spans="2:4" x14ac:dyDescent="0.35">
      <c r="B3899" s="9">
        <v>43711</v>
      </c>
      <c r="C3899" s="12">
        <v>20.8</v>
      </c>
      <c r="D3899" t="s">
        <v>5877</v>
      </c>
    </row>
    <row r="3900" spans="2:4" x14ac:dyDescent="0.35">
      <c r="B3900" s="9">
        <v>43712</v>
      </c>
      <c r="C3900" s="12">
        <v>68.599999999999994</v>
      </c>
      <c r="D3900" t="s">
        <v>5877</v>
      </c>
    </row>
    <row r="3901" spans="2:4" x14ac:dyDescent="0.35">
      <c r="B3901" s="9">
        <v>43713</v>
      </c>
      <c r="C3901" s="12">
        <v>54.9</v>
      </c>
      <c r="D3901" t="s">
        <v>5877</v>
      </c>
    </row>
    <row r="3902" spans="2:4" x14ac:dyDescent="0.35">
      <c r="B3902" s="9">
        <v>43714</v>
      </c>
      <c r="C3902" s="12">
        <v>45.4</v>
      </c>
      <c r="D3902" t="s">
        <v>5877</v>
      </c>
    </row>
    <row r="3903" spans="2:4" x14ac:dyDescent="0.35">
      <c r="B3903" s="9">
        <v>43715</v>
      </c>
      <c r="C3903" s="12">
        <v>64.7</v>
      </c>
      <c r="D3903" t="s">
        <v>5877</v>
      </c>
    </row>
    <row r="3904" spans="2:4" x14ac:dyDescent="0.35">
      <c r="B3904" s="9">
        <v>43716</v>
      </c>
      <c r="C3904" s="12">
        <v>63</v>
      </c>
      <c r="D3904" t="s">
        <v>5877</v>
      </c>
    </row>
    <row r="3905" spans="2:4" x14ac:dyDescent="0.35">
      <c r="B3905" s="9">
        <v>43717</v>
      </c>
      <c r="C3905" s="12">
        <v>51</v>
      </c>
      <c r="D3905" t="s">
        <v>5877</v>
      </c>
    </row>
    <row r="3906" spans="2:4" x14ac:dyDescent="0.35">
      <c r="B3906" s="9">
        <v>43718</v>
      </c>
      <c r="C3906" s="12">
        <v>40.9</v>
      </c>
      <c r="D3906" t="s">
        <v>5877</v>
      </c>
    </row>
    <row r="3907" spans="2:4" x14ac:dyDescent="0.35">
      <c r="B3907" s="9">
        <v>43719</v>
      </c>
      <c r="C3907" s="12">
        <v>34.799999999999997</v>
      </c>
      <c r="D3907" t="s">
        <v>5877</v>
      </c>
    </row>
    <row r="3908" spans="2:4" x14ac:dyDescent="0.35">
      <c r="B3908" s="9">
        <v>43720</v>
      </c>
      <c r="C3908" s="12">
        <v>34.299999999999997</v>
      </c>
      <c r="D3908" t="s">
        <v>5877</v>
      </c>
    </row>
    <row r="3909" spans="2:4" x14ac:dyDescent="0.35">
      <c r="B3909" s="9">
        <v>43721</v>
      </c>
      <c r="C3909" s="12">
        <v>67.7</v>
      </c>
      <c r="D3909" t="s">
        <v>5877</v>
      </c>
    </row>
    <row r="3910" spans="2:4" x14ac:dyDescent="0.35">
      <c r="B3910" s="9">
        <v>43722</v>
      </c>
      <c r="C3910" s="12">
        <v>67.900000000000006</v>
      </c>
      <c r="D3910" t="s">
        <v>5877</v>
      </c>
    </row>
    <row r="3911" spans="2:4" x14ac:dyDescent="0.35">
      <c r="B3911" s="9">
        <v>43723</v>
      </c>
      <c r="C3911" s="12">
        <v>58</v>
      </c>
      <c r="D3911" t="s">
        <v>5877</v>
      </c>
    </row>
    <row r="3912" spans="2:4" x14ac:dyDescent="0.35">
      <c r="B3912" s="9">
        <v>43724</v>
      </c>
      <c r="C3912" s="12">
        <v>94.4</v>
      </c>
      <c r="D3912" t="s">
        <v>5877</v>
      </c>
    </row>
    <row r="3913" spans="2:4" x14ac:dyDescent="0.35">
      <c r="B3913" s="9">
        <v>43725</v>
      </c>
      <c r="C3913" s="12">
        <v>92.8</v>
      </c>
      <c r="D3913" t="s">
        <v>5877</v>
      </c>
    </row>
    <row r="3914" spans="2:4" x14ac:dyDescent="0.35">
      <c r="B3914" s="9">
        <v>43726</v>
      </c>
      <c r="C3914" s="12">
        <v>76.400000000000006</v>
      </c>
      <c r="D3914" t="s">
        <v>5877</v>
      </c>
    </row>
    <row r="3915" spans="2:4" x14ac:dyDescent="0.35">
      <c r="B3915" s="9">
        <v>43727</v>
      </c>
      <c r="C3915" s="12">
        <v>61.2</v>
      </c>
      <c r="D3915" t="s">
        <v>5877</v>
      </c>
    </row>
    <row r="3916" spans="2:4" x14ac:dyDescent="0.35">
      <c r="B3916" s="9">
        <v>43728</v>
      </c>
      <c r="C3916" s="12">
        <v>89.2</v>
      </c>
      <c r="D3916" t="s">
        <v>5877</v>
      </c>
    </row>
    <row r="3917" spans="2:4" x14ac:dyDescent="0.35">
      <c r="B3917" s="9">
        <v>43729</v>
      </c>
      <c r="C3917" s="12">
        <v>103</v>
      </c>
      <c r="D3917" t="s">
        <v>5877</v>
      </c>
    </row>
    <row r="3918" spans="2:4" x14ac:dyDescent="0.35">
      <c r="B3918" s="9">
        <v>43730</v>
      </c>
      <c r="C3918" s="12">
        <v>82.5</v>
      </c>
      <c r="D3918" t="s">
        <v>5877</v>
      </c>
    </row>
    <row r="3919" spans="2:4" x14ac:dyDescent="0.35">
      <c r="B3919" s="9">
        <v>43731</v>
      </c>
      <c r="C3919" s="12">
        <v>61.3</v>
      </c>
      <c r="D3919" t="s">
        <v>5877</v>
      </c>
    </row>
    <row r="3920" spans="2:4" x14ac:dyDescent="0.35">
      <c r="B3920" s="9">
        <v>43732</v>
      </c>
      <c r="C3920" s="12">
        <v>62.2</v>
      </c>
      <c r="D3920" t="s">
        <v>5877</v>
      </c>
    </row>
    <row r="3921" spans="2:4" x14ac:dyDescent="0.35">
      <c r="B3921" s="9">
        <v>43733</v>
      </c>
      <c r="C3921" s="12">
        <v>114.6</v>
      </c>
      <c r="D3921" t="s">
        <v>5877</v>
      </c>
    </row>
    <row r="3922" spans="2:4" x14ac:dyDescent="0.35">
      <c r="B3922" s="9">
        <v>43734</v>
      </c>
      <c r="C3922" s="12">
        <v>97.7</v>
      </c>
      <c r="D3922" t="s">
        <v>5877</v>
      </c>
    </row>
    <row r="3923" spans="2:4" x14ac:dyDescent="0.35">
      <c r="B3923" s="9">
        <v>43735</v>
      </c>
      <c r="C3923" s="12">
        <v>86.8</v>
      </c>
      <c r="D3923" t="s">
        <v>5877</v>
      </c>
    </row>
    <row r="3924" spans="2:4" x14ac:dyDescent="0.35">
      <c r="B3924" s="9">
        <v>43736</v>
      </c>
      <c r="C3924" s="12">
        <v>70.099999999999994</v>
      </c>
      <c r="D3924" t="s">
        <v>5877</v>
      </c>
    </row>
    <row r="3925" spans="2:4" x14ac:dyDescent="0.35">
      <c r="B3925" s="9">
        <v>43737</v>
      </c>
      <c r="C3925" s="12">
        <v>85.7</v>
      </c>
      <c r="D3925" t="s">
        <v>5877</v>
      </c>
    </row>
    <row r="3926" spans="2:4" x14ac:dyDescent="0.35">
      <c r="B3926" s="9">
        <v>43738</v>
      </c>
      <c r="C3926" s="12">
        <v>120.3</v>
      </c>
      <c r="D3926" t="s">
        <v>5877</v>
      </c>
    </row>
    <row r="3927" spans="2:4" x14ac:dyDescent="0.35">
      <c r="B3927" s="9">
        <v>43739</v>
      </c>
      <c r="C3927" s="12">
        <v>130.30000000000001</v>
      </c>
      <c r="D3927" t="s">
        <v>5877</v>
      </c>
    </row>
    <row r="3928" spans="2:4" x14ac:dyDescent="0.35">
      <c r="B3928" s="9">
        <v>43740</v>
      </c>
      <c r="C3928" s="12">
        <v>155.1</v>
      </c>
      <c r="D3928" t="s">
        <v>5877</v>
      </c>
    </row>
    <row r="3929" spans="2:4" x14ac:dyDescent="0.35">
      <c r="B3929" s="9">
        <v>43741</v>
      </c>
      <c r="C3929" s="12">
        <v>138.9</v>
      </c>
      <c r="D3929" t="s">
        <v>5877</v>
      </c>
    </row>
    <row r="3930" spans="2:4" x14ac:dyDescent="0.35">
      <c r="B3930" s="9">
        <v>43742</v>
      </c>
      <c r="C3930" s="12">
        <v>129</v>
      </c>
      <c r="D3930" t="s">
        <v>5877</v>
      </c>
    </row>
    <row r="3931" spans="2:4" x14ac:dyDescent="0.35">
      <c r="B3931" s="9">
        <v>43743</v>
      </c>
      <c r="C3931" s="12">
        <v>89.4</v>
      </c>
      <c r="D3931" t="s">
        <v>5877</v>
      </c>
    </row>
    <row r="3932" spans="2:4" x14ac:dyDescent="0.35">
      <c r="B3932" s="9">
        <v>43744</v>
      </c>
      <c r="C3932" s="12">
        <v>68.400000000000006</v>
      </c>
      <c r="D3932" t="s">
        <v>5877</v>
      </c>
    </row>
    <row r="3933" spans="2:4" x14ac:dyDescent="0.35">
      <c r="B3933" s="9">
        <v>43745</v>
      </c>
      <c r="C3933" s="12">
        <v>73.099999999999994</v>
      </c>
      <c r="D3933" t="s">
        <v>5877</v>
      </c>
    </row>
    <row r="3934" spans="2:4" x14ac:dyDescent="0.35">
      <c r="B3934" s="9">
        <v>43746</v>
      </c>
      <c r="C3934" s="12">
        <v>95.4</v>
      </c>
      <c r="D3934" t="s">
        <v>5877</v>
      </c>
    </row>
    <row r="3935" spans="2:4" x14ac:dyDescent="0.35">
      <c r="B3935" s="9">
        <v>43747</v>
      </c>
      <c r="C3935" s="12">
        <v>131.69999999999999</v>
      </c>
      <c r="D3935" t="s">
        <v>5877</v>
      </c>
    </row>
    <row r="3936" spans="2:4" x14ac:dyDescent="0.35">
      <c r="B3936" s="9">
        <v>43748</v>
      </c>
      <c r="C3936" s="12">
        <v>106</v>
      </c>
      <c r="D3936" t="s">
        <v>5877</v>
      </c>
    </row>
    <row r="3937" spans="2:4" x14ac:dyDescent="0.35">
      <c r="B3937" s="9">
        <v>43749</v>
      </c>
      <c r="C3937" s="12">
        <v>145.6</v>
      </c>
      <c r="D3937" t="s">
        <v>5877</v>
      </c>
    </row>
    <row r="3938" spans="2:4" x14ac:dyDescent="0.35">
      <c r="B3938" s="9">
        <v>43750</v>
      </c>
      <c r="C3938" s="12">
        <v>161.4</v>
      </c>
      <c r="D3938" t="s">
        <v>5877</v>
      </c>
    </row>
    <row r="3939" spans="2:4" x14ac:dyDescent="0.35">
      <c r="B3939" s="9">
        <v>43751</v>
      </c>
      <c r="C3939" s="12">
        <v>156.1</v>
      </c>
      <c r="D3939" t="s">
        <v>5877</v>
      </c>
    </row>
    <row r="3940" spans="2:4" x14ac:dyDescent="0.35">
      <c r="B3940" s="9">
        <v>43752</v>
      </c>
      <c r="C3940" s="12">
        <v>116</v>
      </c>
      <c r="D3940" t="s">
        <v>5877</v>
      </c>
    </row>
    <row r="3941" spans="2:4" x14ac:dyDescent="0.35">
      <c r="B3941" s="9">
        <v>43753</v>
      </c>
      <c r="C3941" s="12">
        <v>106.8</v>
      </c>
      <c r="D3941" t="s">
        <v>5877</v>
      </c>
    </row>
    <row r="3942" spans="2:4" x14ac:dyDescent="0.35">
      <c r="B3942" s="9">
        <v>43754</v>
      </c>
      <c r="C3942" s="12">
        <v>127.6</v>
      </c>
      <c r="D3942" t="s">
        <v>5877</v>
      </c>
    </row>
    <row r="3943" spans="2:4" x14ac:dyDescent="0.35">
      <c r="B3943" s="9">
        <v>43755</v>
      </c>
      <c r="C3943" s="12">
        <v>167.9</v>
      </c>
      <c r="D3943" t="s">
        <v>5877</v>
      </c>
    </row>
    <row r="3944" spans="2:4" x14ac:dyDescent="0.35">
      <c r="B3944" s="9">
        <v>43756</v>
      </c>
      <c r="C3944" s="12">
        <v>121.2</v>
      </c>
      <c r="D3944" t="s">
        <v>5877</v>
      </c>
    </row>
    <row r="3945" spans="2:4" x14ac:dyDescent="0.35">
      <c r="B3945" s="9">
        <v>43757</v>
      </c>
      <c r="C3945" s="12">
        <v>119.6</v>
      </c>
      <c r="D3945" t="s">
        <v>5877</v>
      </c>
    </row>
    <row r="3946" spans="2:4" x14ac:dyDescent="0.35">
      <c r="B3946" s="9">
        <v>43758</v>
      </c>
      <c r="C3946" s="12">
        <v>130.6</v>
      </c>
      <c r="D3946" t="s">
        <v>5877</v>
      </c>
    </row>
    <row r="3947" spans="2:4" x14ac:dyDescent="0.35">
      <c r="B3947" s="9">
        <v>43759</v>
      </c>
      <c r="C3947" s="12">
        <v>119.8</v>
      </c>
      <c r="D3947" t="s">
        <v>5877</v>
      </c>
    </row>
    <row r="3948" spans="2:4" x14ac:dyDescent="0.35">
      <c r="B3948" s="9">
        <v>43760</v>
      </c>
      <c r="C3948" s="12">
        <v>123.7</v>
      </c>
      <c r="D3948" t="s">
        <v>5877</v>
      </c>
    </row>
    <row r="3949" spans="2:4" x14ac:dyDescent="0.35">
      <c r="B3949" s="9">
        <v>43761</v>
      </c>
      <c r="C3949" s="12">
        <v>151.30000000000001</v>
      </c>
      <c r="D3949" t="s">
        <v>5877</v>
      </c>
    </row>
    <row r="3950" spans="2:4" x14ac:dyDescent="0.35">
      <c r="B3950" s="9">
        <v>43762</v>
      </c>
      <c r="C3950" s="12">
        <v>117.6</v>
      </c>
      <c r="D3950" t="s">
        <v>5877</v>
      </c>
    </row>
    <row r="3951" spans="2:4" x14ac:dyDescent="0.35">
      <c r="B3951" s="9">
        <v>43763</v>
      </c>
      <c r="C3951" s="12">
        <v>114.9</v>
      </c>
      <c r="D3951" t="s">
        <v>5877</v>
      </c>
    </row>
    <row r="3952" spans="2:4" x14ac:dyDescent="0.35">
      <c r="B3952" s="9">
        <v>43764</v>
      </c>
      <c r="C3952" s="12">
        <v>123.8</v>
      </c>
      <c r="D3952" t="s">
        <v>5877</v>
      </c>
    </row>
    <row r="3953" spans="2:4" x14ac:dyDescent="0.35">
      <c r="B3953" s="9">
        <v>43765</v>
      </c>
      <c r="C3953" s="12">
        <v>92.6</v>
      </c>
      <c r="D3953" t="s">
        <v>5877</v>
      </c>
    </row>
    <row r="3954" spans="2:4" x14ac:dyDescent="0.35">
      <c r="B3954" s="9">
        <v>43766</v>
      </c>
      <c r="C3954" s="12">
        <v>74</v>
      </c>
      <c r="D3954" t="s">
        <v>5877</v>
      </c>
    </row>
    <row r="3955" spans="2:4" x14ac:dyDescent="0.35">
      <c r="B3955" s="9">
        <v>43767</v>
      </c>
      <c r="C3955" s="12">
        <v>67.8</v>
      </c>
      <c r="D3955" t="s">
        <v>5877</v>
      </c>
    </row>
    <row r="3956" spans="2:4" x14ac:dyDescent="0.35">
      <c r="B3956" s="9">
        <v>43768</v>
      </c>
      <c r="C3956" s="12">
        <v>103.2</v>
      </c>
      <c r="D3956" t="s">
        <v>5877</v>
      </c>
    </row>
    <row r="3957" spans="2:4" x14ac:dyDescent="0.35">
      <c r="B3957" s="9">
        <v>43769</v>
      </c>
      <c r="C3957" s="12">
        <v>157.4</v>
      </c>
      <c r="D3957" t="s">
        <v>5877</v>
      </c>
    </row>
    <row r="3958" spans="2:4" x14ac:dyDescent="0.35">
      <c r="B3958" s="9">
        <v>43770</v>
      </c>
      <c r="C3958" s="12">
        <v>124.5</v>
      </c>
      <c r="D3958" t="s">
        <v>5877</v>
      </c>
    </row>
    <row r="3959" spans="2:4" x14ac:dyDescent="0.35">
      <c r="B3959" s="9">
        <v>43771</v>
      </c>
      <c r="C3959" s="12">
        <v>109.5</v>
      </c>
      <c r="D3959" t="s">
        <v>5877</v>
      </c>
    </row>
    <row r="3960" spans="2:4" x14ac:dyDescent="0.35">
      <c r="B3960" s="9">
        <v>43772</v>
      </c>
      <c r="C3960" s="12">
        <v>116.4</v>
      </c>
      <c r="D3960" t="s">
        <v>5877</v>
      </c>
    </row>
    <row r="3961" spans="2:4" x14ac:dyDescent="0.35">
      <c r="B3961" s="9">
        <v>43773</v>
      </c>
      <c r="C3961" s="12">
        <v>112.1</v>
      </c>
      <c r="D3961" t="s">
        <v>5877</v>
      </c>
    </row>
    <row r="3962" spans="2:4" x14ac:dyDescent="0.35">
      <c r="B3962" s="9">
        <v>43774</v>
      </c>
      <c r="C3962" s="12">
        <v>139.4</v>
      </c>
      <c r="D3962" t="s">
        <v>5877</v>
      </c>
    </row>
    <row r="3963" spans="2:4" x14ac:dyDescent="0.35">
      <c r="B3963" s="9">
        <v>43775</v>
      </c>
      <c r="C3963" s="12">
        <v>172.5</v>
      </c>
      <c r="D3963" t="s">
        <v>5877</v>
      </c>
    </row>
    <row r="3964" spans="2:4" x14ac:dyDescent="0.35">
      <c r="B3964" s="9">
        <v>43776</v>
      </c>
      <c r="C3964" s="12">
        <v>126.6</v>
      </c>
      <c r="D3964" t="s">
        <v>5877</v>
      </c>
    </row>
    <row r="3965" spans="2:4" x14ac:dyDescent="0.35">
      <c r="B3965" s="9">
        <v>43777</v>
      </c>
      <c r="C3965" s="12">
        <v>120.3</v>
      </c>
      <c r="D3965" t="s">
        <v>5877</v>
      </c>
    </row>
    <row r="3966" spans="2:4" x14ac:dyDescent="0.35">
      <c r="B3966" s="9">
        <v>43778</v>
      </c>
      <c r="C3966" s="12">
        <v>128.30000000000001</v>
      </c>
      <c r="D3966" t="s">
        <v>5877</v>
      </c>
    </row>
    <row r="3967" spans="2:4" x14ac:dyDescent="0.35">
      <c r="B3967" s="9">
        <v>43779</v>
      </c>
      <c r="C3967" s="12">
        <v>100</v>
      </c>
      <c r="D3967" t="s">
        <v>5877</v>
      </c>
    </row>
    <row r="3968" spans="2:4" x14ac:dyDescent="0.35">
      <c r="B3968" s="9">
        <v>43780</v>
      </c>
      <c r="C3968" s="12">
        <v>164</v>
      </c>
      <c r="D3968" t="s">
        <v>5877</v>
      </c>
    </row>
    <row r="3969" spans="2:4" x14ac:dyDescent="0.35">
      <c r="B3969" s="9">
        <v>43781</v>
      </c>
      <c r="C3969" s="12">
        <v>178.3</v>
      </c>
      <c r="D3969" t="s">
        <v>5877</v>
      </c>
    </row>
    <row r="3970" spans="2:4" x14ac:dyDescent="0.35">
      <c r="B3970" s="9">
        <v>43782</v>
      </c>
      <c r="C3970" s="12">
        <v>147.69999999999999</v>
      </c>
      <c r="D3970" t="s">
        <v>5877</v>
      </c>
    </row>
    <row r="3971" spans="2:4" x14ac:dyDescent="0.35">
      <c r="B3971" s="9">
        <v>43783</v>
      </c>
      <c r="C3971" s="12">
        <v>159.19999999999999</v>
      </c>
      <c r="D3971" t="s">
        <v>5877</v>
      </c>
    </row>
    <row r="3972" spans="2:4" x14ac:dyDescent="0.35">
      <c r="B3972" s="9">
        <v>43784</v>
      </c>
      <c r="C3972" s="12">
        <v>127.9</v>
      </c>
      <c r="D3972" t="s">
        <v>5877</v>
      </c>
    </row>
    <row r="3973" spans="2:4" x14ac:dyDescent="0.35">
      <c r="B3973" s="9">
        <v>43785</v>
      </c>
      <c r="C3973" s="12">
        <v>142.5</v>
      </c>
      <c r="D3973" t="s">
        <v>5877</v>
      </c>
    </row>
    <row r="3974" spans="2:4" x14ac:dyDescent="0.35">
      <c r="B3974" s="9">
        <v>43786</v>
      </c>
      <c r="C3974" s="12">
        <v>187.2</v>
      </c>
      <c r="D3974" t="s">
        <v>5877</v>
      </c>
    </row>
    <row r="3975" spans="2:4" x14ac:dyDescent="0.35">
      <c r="B3975" s="9">
        <v>43787</v>
      </c>
      <c r="C3975" s="12">
        <v>196.4</v>
      </c>
      <c r="D3975" t="s">
        <v>5877</v>
      </c>
    </row>
    <row r="3976" spans="2:4" x14ac:dyDescent="0.35">
      <c r="B3976" s="9">
        <v>43788</v>
      </c>
      <c r="C3976" s="12">
        <v>187</v>
      </c>
      <c r="D3976" t="s">
        <v>5877</v>
      </c>
    </row>
    <row r="3977" spans="2:4" x14ac:dyDescent="0.35">
      <c r="B3977" s="9">
        <v>43789</v>
      </c>
      <c r="C3977" s="12">
        <v>128.6</v>
      </c>
      <c r="D3977" t="s">
        <v>5877</v>
      </c>
    </row>
    <row r="3978" spans="2:4" x14ac:dyDescent="0.35">
      <c r="B3978" s="9">
        <v>43790</v>
      </c>
      <c r="C3978" s="12">
        <v>105.4</v>
      </c>
      <c r="D3978" t="s">
        <v>5877</v>
      </c>
    </row>
    <row r="3979" spans="2:4" x14ac:dyDescent="0.35">
      <c r="B3979" s="9">
        <v>43791</v>
      </c>
      <c r="C3979" s="12">
        <v>85</v>
      </c>
      <c r="D3979" t="s">
        <v>5877</v>
      </c>
    </row>
    <row r="3980" spans="2:4" x14ac:dyDescent="0.35">
      <c r="B3980" s="9">
        <v>43792</v>
      </c>
      <c r="C3980" s="12">
        <v>134</v>
      </c>
      <c r="D3980" t="s">
        <v>5877</v>
      </c>
    </row>
    <row r="3981" spans="2:4" x14ac:dyDescent="0.35">
      <c r="B3981" s="9">
        <v>43793</v>
      </c>
      <c r="C3981" s="12">
        <v>222.9</v>
      </c>
      <c r="D3981" t="s">
        <v>5877</v>
      </c>
    </row>
    <row r="3982" spans="2:4" x14ac:dyDescent="0.35">
      <c r="B3982" s="9">
        <v>43794</v>
      </c>
      <c r="C3982" s="12">
        <v>160.5</v>
      </c>
      <c r="D3982" t="s">
        <v>5877</v>
      </c>
    </row>
    <row r="3983" spans="2:4" x14ac:dyDescent="0.35">
      <c r="B3983" s="9">
        <v>43795</v>
      </c>
      <c r="C3983" s="12">
        <v>120.5</v>
      </c>
      <c r="D3983" t="s">
        <v>5877</v>
      </c>
    </row>
    <row r="3984" spans="2:4" x14ac:dyDescent="0.35">
      <c r="B3984" s="9">
        <v>43796</v>
      </c>
      <c r="C3984" s="12">
        <v>161.4</v>
      </c>
      <c r="D3984" t="s">
        <v>5877</v>
      </c>
    </row>
    <row r="3985" spans="2:4" x14ac:dyDescent="0.35">
      <c r="B3985" s="9">
        <v>43797</v>
      </c>
      <c r="C3985" s="12">
        <v>172.5</v>
      </c>
      <c r="D3985" t="s">
        <v>5877</v>
      </c>
    </row>
    <row r="3986" spans="2:4" x14ac:dyDescent="0.35">
      <c r="B3986" s="9">
        <v>43798</v>
      </c>
      <c r="C3986" s="12">
        <v>146.80000000000001</v>
      </c>
      <c r="D3986" t="s">
        <v>5877</v>
      </c>
    </row>
    <row r="3987" spans="2:4" x14ac:dyDescent="0.35">
      <c r="B3987" s="9">
        <v>43799</v>
      </c>
      <c r="C3987" s="12">
        <v>144.1</v>
      </c>
      <c r="D3987" t="s">
        <v>5877</v>
      </c>
    </row>
    <row r="3988" spans="2:4" x14ac:dyDescent="0.35">
      <c r="B3988" s="9">
        <v>43800</v>
      </c>
      <c r="C3988" s="12">
        <v>165.5</v>
      </c>
      <c r="D3988" t="s">
        <v>5877</v>
      </c>
    </row>
    <row r="3989" spans="2:4" x14ac:dyDescent="0.35">
      <c r="B3989" s="9">
        <v>43801</v>
      </c>
      <c r="C3989" s="12">
        <v>131.19999999999999</v>
      </c>
      <c r="D3989" t="s">
        <v>5877</v>
      </c>
    </row>
    <row r="3990" spans="2:4" x14ac:dyDescent="0.35">
      <c r="B3990" s="9">
        <v>43802</v>
      </c>
      <c r="C3990" s="12">
        <v>138.1</v>
      </c>
      <c r="D3990" t="s">
        <v>5877</v>
      </c>
    </row>
    <row r="3991" spans="2:4" x14ac:dyDescent="0.35">
      <c r="B3991" s="9">
        <v>43803</v>
      </c>
      <c r="C3991" s="12">
        <v>141</v>
      </c>
      <c r="D3991" t="s">
        <v>5877</v>
      </c>
    </row>
    <row r="3992" spans="2:4" x14ac:dyDescent="0.35">
      <c r="B3992" s="9">
        <v>43804</v>
      </c>
      <c r="C3992" s="12">
        <v>142.30000000000001</v>
      </c>
      <c r="D3992" t="s">
        <v>5877</v>
      </c>
    </row>
    <row r="3993" spans="2:4" x14ac:dyDescent="0.35">
      <c r="B3993" s="9">
        <v>43805</v>
      </c>
      <c r="C3993" s="12">
        <v>164.4</v>
      </c>
      <c r="D3993" t="s">
        <v>5877</v>
      </c>
    </row>
    <row r="3994" spans="2:4" x14ac:dyDescent="0.35">
      <c r="B3994" s="9">
        <v>43806</v>
      </c>
      <c r="C3994" s="12">
        <v>159.80000000000001</v>
      </c>
      <c r="D3994" t="s">
        <v>5877</v>
      </c>
    </row>
    <row r="3995" spans="2:4" x14ac:dyDescent="0.35">
      <c r="B3995" s="9">
        <v>43807</v>
      </c>
      <c r="C3995" s="12">
        <v>121.7</v>
      </c>
      <c r="D3995" t="s">
        <v>5877</v>
      </c>
    </row>
    <row r="3996" spans="2:4" x14ac:dyDescent="0.35">
      <c r="B3996" s="9">
        <v>43808</v>
      </c>
      <c r="C3996" s="12">
        <v>137.4</v>
      </c>
      <c r="D3996" t="s">
        <v>5877</v>
      </c>
    </row>
    <row r="3997" spans="2:4" x14ac:dyDescent="0.35">
      <c r="B3997" s="9">
        <v>43809</v>
      </c>
      <c r="C3997" s="12">
        <v>116.7</v>
      </c>
      <c r="D3997" t="s">
        <v>5877</v>
      </c>
    </row>
    <row r="3998" spans="2:4" x14ac:dyDescent="0.35">
      <c r="B3998" s="9">
        <v>43810</v>
      </c>
      <c r="C3998" s="12">
        <v>95.9</v>
      </c>
      <c r="D3998" t="s">
        <v>5877</v>
      </c>
    </row>
    <row r="3999" spans="2:4" x14ac:dyDescent="0.35">
      <c r="B3999" s="9">
        <v>43811</v>
      </c>
      <c r="C3999" s="12">
        <v>83.2</v>
      </c>
      <c r="D3999" t="s">
        <v>5877</v>
      </c>
    </row>
    <row r="4000" spans="2:4" x14ac:dyDescent="0.35">
      <c r="B4000" s="9">
        <v>43812</v>
      </c>
      <c r="C4000" s="12">
        <v>75.599999999999994</v>
      </c>
      <c r="D4000" t="s">
        <v>5877</v>
      </c>
    </row>
    <row r="4001" spans="2:4" x14ac:dyDescent="0.35">
      <c r="B4001" s="9">
        <v>43813</v>
      </c>
      <c r="C4001" s="12">
        <v>69.7</v>
      </c>
      <c r="D4001" t="s">
        <v>5877</v>
      </c>
    </row>
    <row r="4002" spans="2:4" x14ac:dyDescent="0.35">
      <c r="B4002" s="9">
        <v>43814</v>
      </c>
      <c r="C4002" s="12">
        <v>111.1</v>
      </c>
      <c r="D4002" t="s">
        <v>5877</v>
      </c>
    </row>
    <row r="4003" spans="2:4" x14ac:dyDescent="0.35">
      <c r="B4003" s="9">
        <v>43815</v>
      </c>
      <c r="C4003" s="12">
        <v>133.9</v>
      </c>
      <c r="D4003" t="s">
        <v>5877</v>
      </c>
    </row>
    <row r="4004" spans="2:4" x14ac:dyDescent="0.35">
      <c r="B4004" s="9">
        <v>43816</v>
      </c>
      <c r="C4004" s="12">
        <v>107.3</v>
      </c>
      <c r="D4004" t="s">
        <v>5877</v>
      </c>
    </row>
    <row r="4005" spans="2:4" x14ac:dyDescent="0.35">
      <c r="B4005" s="9">
        <v>43817</v>
      </c>
      <c r="C4005" s="12">
        <v>108.6</v>
      </c>
      <c r="D4005" t="s">
        <v>5877</v>
      </c>
    </row>
    <row r="4006" spans="2:4" x14ac:dyDescent="0.35">
      <c r="B4006" s="9">
        <v>43818</v>
      </c>
      <c r="C4006" s="12">
        <v>158.80000000000001</v>
      </c>
      <c r="D4006" t="s">
        <v>5877</v>
      </c>
    </row>
    <row r="4007" spans="2:4" x14ac:dyDescent="0.35">
      <c r="B4007" s="9">
        <v>43819</v>
      </c>
      <c r="C4007" s="12">
        <v>182.5</v>
      </c>
      <c r="D4007" t="s">
        <v>5877</v>
      </c>
    </row>
    <row r="4008" spans="2:4" x14ac:dyDescent="0.35">
      <c r="B4008" s="9">
        <v>43820</v>
      </c>
      <c r="C4008" s="12">
        <v>137.30000000000001</v>
      </c>
      <c r="D4008" t="s">
        <v>5877</v>
      </c>
    </row>
    <row r="4009" spans="2:4" x14ac:dyDescent="0.35">
      <c r="B4009" s="9">
        <v>43821</v>
      </c>
      <c r="C4009" s="12">
        <v>168</v>
      </c>
      <c r="D4009" t="s">
        <v>5877</v>
      </c>
    </row>
    <row r="4010" spans="2:4" x14ac:dyDescent="0.35">
      <c r="B4010" s="9">
        <v>43822</v>
      </c>
      <c r="C4010" s="12">
        <v>142.4</v>
      </c>
      <c r="D4010" t="s">
        <v>5877</v>
      </c>
    </row>
    <row r="4011" spans="2:4" x14ac:dyDescent="0.35">
      <c r="B4011" s="9">
        <v>43823</v>
      </c>
      <c r="C4011" s="12">
        <v>120.6</v>
      </c>
      <c r="D4011" t="s">
        <v>5877</v>
      </c>
    </row>
    <row r="4012" spans="2:4" x14ac:dyDescent="0.35">
      <c r="B4012" s="9">
        <v>43824</v>
      </c>
      <c r="C4012" s="12">
        <v>101</v>
      </c>
      <c r="D4012" t="s">
        <v>5877</v>
      </c>
    </row>
    <row r="4013" spans="2:4" x14ac:dyDescent="0.35">
      <c r="B4013" s="9">
        <v>43825</v>
      </c>
      <c r="C4013" s="12">
        <v>94.1</v>
      </c>
      <c r="D4013" t="s">
        <v>5877</v>
      </c>
    </row>
    <row r="4014" spans="2:4" x14ac:dyDescent="0.35">
      <c r="B4014" s="9">
        <v>43826</v>
      </c>
      <c r="C4014" s="12">
        <v>83.4</v>
      </c>
      <c r="D4014" t="s">
        <v>5877</v>
      </c>
    </row>
    <row r="4015" spans="2:4" x14ac:dyDescent="0.35">
      <c r="B4015" s="9">
        <v>43827</v>
      </c>
      <c r="C4015" s="12">
        <v>75.400000000000006</v>
      </c>
      <c r="D4015" t="s">
        <v>5877</v>
      </c>
    </row>
    <row r="4016" spans="2:4" x14ac:dyDescent="0.35">
      <c r="B4016" s="9">
        <v>43828</v>
      </c>
      <c r="C4016" s="12">
        <v>84.3</v>
      </c>
      <c r="D4016" t="s">
        <v>5877</v>
      </c>
    </row>
    <row r="4017" spans="2:4" x14ac:dyDescent="0.35">
      <c r="B4017" s="9">
        <v>43829</v>
      </c>
      <c r="C4017" s="12">
        <v>171.4</v>
      </c>
      <c r="D4017" t="s">
        <v>5877</v>
      </c>
    </row>
    <row r="4018" spans="2:4" x14ac:dyDescent="0.35">
      <c r="B4018" s="9">
        <v>43830</v>
      </c>
      <c r="C4018" s="12">
        <v>141.9</v>
      </c>
      <c r="D4018" t="s">
        <v>5877</v>
      </c>
    </row>
    <row r="4019" spans="2:4" x14ac:dyDescent="0.35">
      <c r="B4019" s="9">
        <v>43831</v>
      </c>
      <c r="C4019" s="12">
        <v>156.9</v>
      </c>
      <c r="D4019" t="s">
        <v>5877</v>
      </c>
    </row>
    <row r="4020" spans="2:4" x14ac:dyDescent="0.35">
      <c r="B4020" s="9">
        <v>43832</v>
      </c>
      <c r="C4020" s="12">
        <v>127.2</v>
      </c>
      <c r="D4020" t="s">
        <v>5877</v>
      </c>
    </row>
    <row r="4021" spans="2:4" x14ac:dyDescent="0.35">
      <c r="B4021" s="9">
        <v>43833</v>
      </c>
      <c r="C4021" s="12">
        <v>137.69999999999999</v>
      </c>
      <c r="D4021" t="s">
        <v>5877</v>
      </c>
    </row>
    <row r="4022" spans="2:4" x14ac:dyDescent="0.35">
      <c r="B4022" s="9">
        <v>43834</v>
      </c>
      <c r="C4022" s="12">
        <v>190.3</v>
      </c>
      <c r="D4022" t="s">
        <v>5877</v>
      </c>
    </row>
    <row r="4023" spans="2:4" x14ac:dyDescent="0.35">
      <c r="B4023" s="9">
        <v>43835</v>
      </c>
      <c r="C4023" s="12">
        <v>168.2</v>
      </c>
      <c r="D4023" t="s">
        <v>5877</v>
      </c>
    </row>
    <row r="4024" spans="2:4" x14ac:dyDescent="0.35">
      <c r="B4024" s="9">
        <v>43836</v>
      </c>
      <c r="C4024" s="12">
        <v>169.7</v>
      </c>
      <c r="D4024" t="s">
        <v>5877</v>
      </c>
    </row>
    <row r="4025" spans="2:4" x14ac:dyDescent="0.35">
      <c r="B4025" s="9">
        <v>43837</v>
      </c>
      <c r="C4025" s="12">
        <v>141.9</v>
      </c>
      <c r="D4025" t="s">
        <v>5877</v>
      </c>
    </row>
    <row r="4026" spans="2:4" x14ac:dyDescent="0.35">
      <c r="B4026" s="9">
        <v>43838</v>
      </c>
      <c r="C4026" s="12">
        <v>159.5</v>
      </c>
      <c r="D4026" t="s">
        <v>5877</v>
      </c>
    </row>
    <row r="4027" spans="2:4" x14ac:dyDescent="0.35">
      <c r="B4027" s="9">
        <v>43839</v>
      </c>
      <c r="C4027" s="12">
        <v>145</v>
      </c>
      <c r="D4027" t="s">
        <v>5877</v>
      </c>
    </row>
    <row r="4028" spans="2:4" x14ac:dyDescent="0.35">
      <c r="B4028" s="9">
        <v>43840</v>
      </c>
      <c r="C4028" s="12">
        <v>113.3</v>
      </c>
      <c r="D4028" t="s">
        <v>5877</v>
      </c>
    </row>
    <row r="4029" spans="2:4" x14ac:dyDescent="0.35">
      <c r="B4029" s="9">
        <v>43841</v>
      </c>
      <c r="C4029" s="12">
        <v>124</v>
      </c>
      <c r="D4029" t="s">
        <v>5877</v>
      </c>
    </row>
    <row r="4030" spans="2:4" x14ac:dyDescent="0.35">
      <c r="B4030" s="9">
        <v>43842</v>
      </c>
      <c r="C4030" s="12">
        <v>99.5</v>
      </c>
      <c r="D4030" t="s">
        <v>5877</v>
      </c>
    </row>
    <row r="4031" spans="2:4" x14ac:dyDescent="0.35">
      <c r="B4031" s="9">
        <v>43843</v>
      </c>
      <c r="C4031" s="12">
        <v>83.2</v>
      </c>
      <c r="D4031" t="s">
        <v>5877</v>
      </c>
    </row>
    <row r="4032" spans="2:4" x14ac:dyDescent="0.35">
      <c r="B4032" s="9">
        <v>43844</v>
      </c>
      <c r="C4032" s="12">
        <v>73.099999999999994</v>
      </c>
      <c r="D4032" t="s">
        <v>5877</v>
      </c>
    </row>
    <row r="4033" spans="2:4" x14ac:dyDescent="0.35">
      <c r="B4033" s="9">
        <v>43845</v>
      </c>
      <c r="C4033" s="12">
        <v>89.4</v>
      </c>
      <c r="D4033" t="s">
        <v>5877</v>
      </c>
    </row>
    <row r="4034" spans="2:4" x14ac:dyDescent="0.35">
      <c r="B4034" s="9">
        <v>43846</v>
      </c>
      <c r="C4034" s="12">
        <v>154.9</v>
      </c>
      <c r="D4034" t="s">
        <v>5877</v>
      </c>
    </row>
    <row r="4035" spans="2:4" x14ac:dyDescent="0.35">
      <c r="B4035" s="9">
        <v>43847</v>
      </c>
      <c r="C4035" s="12">
        <v>127.1</v>
      </c>
      <c r="D4035" t="s">
        <v>5877</v>
      </c>
    </row>
    <row r="4036" spans="2:4" x14ac:dyDescent="0.35">
      <c r="B4036" s="9">
        <v>43848</v>
      </c>
      <c r="C4036" s="12">
        <v>142</v>
      </c>
      <c r="D4036" t="s">
        <v>5877</v>
      </c>
    </row>
    <row r="4037" spans="2:4" x14ac:dyDescent="0.35">
      <c r="B4037" s="9">
        <v>43849</v>
      </c>
      <c r="C4037" s="12">
        <v>124</v>
      </c>
      <c r="D4037" t="s">
        <v>5877</v>
      </c>
    </row>
    <row r="4038" spans="2:4" x14ac:dyDescent="0.35">
      <c r="B4038" s="9">
        <v>43850</v>
      </c>
      <c r="C4038" s="12">
        <v>101.3</v>
      </c>
      <c r="D4038" t="s">
        <v>5877</v>
      </c>
    </row>
    <row r="4039" spans="2:4" x14ac:dyDescent="0.35">
      <c r="B4039" s="9">
        <v>43851</v>
      </c>
      <c r="C4039" s="12">
        <v>94.5</v>
      </c>
      <c r="D4039" t="s">
        <v>5877</v>
      </c>
    </row>
    <row r="4040" spans="2:4" x14ac:dyDescent="0.35">
      <c r="B4040" s="9">
        <v>43852</v>
      </c>
      <c r="C4040" s="12">
        <v>146.1</v>
      </c>
      <c r="D4040" t="s">
        <v>5877</v>
      </c>
    </row>
    <row r="4041" spans="2:4" x14ac:dyDescent="0.35">
      <c r="B4041" s="9">
        <v>43853</v>
      </c>
      <c r="C4041" s="12">
        <v>138.30000000000001</v>
      </c>
      <c r="D4041" t="s">
        <v>5877</v>
      </c>
    </row>
    <row r="4042" spans="2:4" x14ac:dyDescent="0.35">
      <c r="B4042" s="9">
        <v>43854</v>
      </c>
      <c r="C4042" s="12">
        <v>118.7</v>
      </c>
      <c r="D4042" t="s">
        <v>5877</v>
      </c>
    </row>
    <row r="4043" spans="2:4" x14ac:dyDescent="0.35">
      <c r="B4043" s="9">
        <v>43855</v>
      </c>
      <c r="C4043" s="12">
        <v>98.3</v>
      </c>
      <c r="D4043" t="s">
        <v>5877</v>
      </c>
    </row>
    <row r="4044" spans="2:4" x14ac:dyDescent="0.35">
      <c r="B4044" s="9">
        <v>43856</v>
      </c>
      <c r="C4044" s="12">
        <v>85.3</v>
      </c>
      <c r="D4044" t="s">
        <v>5877</v>
      </c>
    </row>
    <row r="4045" spans="2:4" x14ac:dyDescent="0.35">
      <c r="B4045" s="9">
        <v>43857</v>
      </c>
      <c r="C4045" s="12">
        <v>89.2</v>
      </c>
      <c r="D4045" t="s">
        <v>5877</v>
      </c>
    </row>
    <row r="4046" spans="2:4" x14ac:dyDescent="0.35">
      <c r="B4046" s="9">
        <v>43858</v>
      </c>
      <c r="C4046" s="12">
        <v>165.8</v>
      </c>
      <c r="D4046" t="s">
        <v>5877</v>
      </c>
    </row>
    <row r="4047" spans="2:4" x14ac:dyDescent="0.35">
      <c r="B4047" s="9">
        <v>43859</v>
      </c>
      <c r="C4047" s="12">
        <v>135.9</v>
      </c>
      <c r="D4047" t="s">
        <v>5877</v>
      </c>
    </row>
    <row r="4048" spans="2:4" x14ac:dyDescent="0.35">
      <c r="B4048" s="9">
        <v>43860</v>
      </c>
      <c r="C4048" s="12">
        <v>115.8</v>
      </c>
      <c r="D4048" t="s">
        <v>5877</v>
      </c>
    </row>
    <row r="4049" spans="2:4" x14ac:dyDescent="0.35">
      <c r="B4049" s="9">
        <v>43861</v>
      </c>
      <c r="C4049" s="12">
        <v>94.6</v>
      </c>
      <c r="D4049" t="s">
        <v>5877</v>
      </c>
    </row>
    <row r="4050" spans="2:4" x14ac:dyDescent="0.35">
      <c r="B4050" s="9">
        <v>43862</v>
      </c>
      <c r="C4050" s="12">
        <v>83.2</v>
      </c>
      <c r="D4050" t="s">
        <v>5877</v>
      </c>
    </row>
    <row r="4051" spans="2:4" x14ac:dyDescent="0.35">
      <c r="B4051" s="9">
        <v>43863</v>
      </c>
      <c r="C4051" s="12">
        <v>106.2</v>
      </c>
      <c r="D4051" t="s">
        <v>5877</v>
      </c>
    </row>
    <row r="4052" spans="2:4" x14ac:dyDescent="0.35">
      <c r="B4052" s="9">
        <v>43864</v>
      </c>
      <c r="C4052" s="12">
        <v>93.3</v>
      </c>
      <c r="D4052" t="s">
        <v>5877</v>
      </c>
    </row>
    <row r="4053" spans="2:4" x14ac:dyDescent="0.35">
      <c r="B4053" s="9">
        <v>43865</v>
      </c>
      <c r="C4053" s="12">
        <v>86.1</v>
      </c>
      <c r="D4053" t="s">
        <v>5877</v>
      </c>
    </row>
    <row r="4054" spans="2:4" x14ac:dyDescent="0.35">
      <c r="B4054" s="9">
        <v>43866</v>
      </c>
      <c r="C4054" s="12">
        <v>141.80000000000001</v>
      </c>
      <c r="D4054" t="s">
        <v>5877</v>
      </c>
    </row>
    <row r="4055" spans="2:4" x14ac:dyDescent="0.35">
      <c r="B4055" s="9">
        <v>43867</v>
      </c>
      <c r="C4055" s="12">
        <v>117.5</v>
      </c>
      <c r="D4055" t="s">
        <v>5877</v>
      </c>
    </row>
    <row r="4056" spans="2:4" x14ac:dyDescent="0.35">
      <c r="B4056" s="9">
        <v>43868</v>
      </c>
      <c r="C4056" s="12">
        <v>97.8</v>
      </c>
      <c r="D4056" t="s">
        <v>5877</v>
      </c>
    </row>
    <row r="4057" spans="2:4" x14ac:dyDescent="0.35">
      <c r="B4057" s="9">
        <v>43869</v>
      </c>
      <c r="C4057" s="12">
        <v>100.6</v>
      </c>
      <c r="D4057" t="s">
        <v>5877</v>
      </c>
    </row>
    <row r="4058" spans="2:4" x14ac:dyDescent="0.35">
      <c r="B4058" s="9">
        <v>43870</v>
      </c>
      <c r="C4058" s="12">
        <v>123.6</v>
      </c>
      <c r="D4058" t="s">
        <v>5877</v>
      </c>
    </row>
    <row r="4059" spans="2:4" x14ac:dyDescent="0.35">
      <c r="B4059" s="9">
        <v>43871</v>
      </c>
      <c r="C4059" s="12">
        <v>106.2</v>
      </c>
      <c r="D4059" t="s">
        <v>5877</v>
      </c>
    </row>
    <row r="4060" spans="2:4" x14ac:dyDescent="0.35">
      <c r="B4060" s="9">
        <v>43872</v>
      </c>
      <c r="C4060" s="12">
        <v>117.4</v>
      </c>
      <c r="D4060" t="s">
        <v>5877</v>
      </c>
    </row>
    <row r="4061" spans="2:4" x14ac:dyDescent="0.35">
      <c r="B4061" s="9">
        <v>43873</v>
      </c>
      <c r="C4061" s="12">
        <v>98.8</v>
      </c>
      <c r="D4061" t="s">
        <v>5877</v>
      </c>
    </row>
    <row r="4062" spans="2:4" x14ac:dyDescent="0.35">
      <c r="B4062" s="9">
        <v>43874</v>
      </c>
      <c r="C4062" s="12">
        <v>87.2</v>
      </c>
      <c r="D4062" t="s">
        <v>5877</v>
      </c>
    </row>
    <row r="4063" spans="2:4" x14ac:dyDescent="0.35">
      <c r="B4063" s="9">
        <v>43875</v>
      </c>
      <c r="C4063" s="12">
        <v>97.4</v>
      </c>
      <c r="D4063" t="s">
        <v>5877</v>
      </c>
    </row>
    <row r="4064" spans="2:4" x14ac:dyDescent="0.35">
      <c r="B4064" s="9">
        <v>43876</v>
      </c>
      <c r="C4064" s="12">
        <v>90.6</v>
      </c>
      <c r="D4064" t="s">
        <v>5877</v>
      </c>
    </row>
    <row r="4065" spans="2:4" x14ac:dyDescent="0.35">
      <c r="B4065" s="9">
        <v>43877</v>
      </c>
      <c r="C4065" s="12">
        <v>103.3</v>
      </c>
      <c r="D4065" t="s">
        <v>5877</v>
      </c>
    </row>
    <row r="4066" spans="2:4" x14ac:dyDescent="0.35">
      <c r="B4066" s="9">
        <v>43878</v>
      </c>
      <c r="C4066" s="12">
        <v>119.4</v>
      </c>
      <c r="D4066" t="s">
        <v>5877</v>
      </c>
    </row>
    <row r="4067" spans="2:4" x14ac:dyDescent="0.35">
      <c r="B4067" s="9">
        <v>43879</v>
      </c>
      <c r="C4067" s="12">
        <v>138.5</v>
      </c>
      <c r="D4067" t="s">
        <v>5877</v>
      </c>
    </row>
    <row r="4068" spans="2:4" x14ac:dyDescent="0.35">
      <c r="B4068" s="9">
        <v>43880</v>
      </c>
      <c r="C4068" s="12">
        <v>112.4</v>
      </c>
      <c r="D4068" t="s">
        <v>5877</v>
      </c>
    </row>
    <row r="4069" spans="2:4" x14ac:dyDescent="0.35">
      <c r="B4069" s="9">
        <v>43881</v>
      </c>
      <c r="C4069" s="12">
        <v>104.1</v>
      </c>
      <c r="D4069" t="s">
        <v>5877</v>
      </c>
    </row>
    <row r="4070" spans="2:4" x14ac:dyDescent="0.35">
      <c r="B4070" s="9">
        <v>43882</v>
      </c>
      <c r="C4070" s="12">
        <v>89.5</v>
      </c>
      <c r="D4070" t="s">
        <v>5877</v>
      </c>
    </row>
    <row r="4071" spans="2:4" x14ac:dyDescent="0.35">
      <c r="B4071" s="9">
        <v>43883</v>
      </c>
      <c r="C4071" s="12">
        <v>78.400000000000006</v>
      </c>
      <c r="D4071" t="s">
        <v>5877</v>
      </c>
    </row>
    <row r="4072" spans="2:4" x14ac:dyDescent="0.35">
      <c r="B4072" s="9">
        <v>43884</v>
      </c>
      <c r="C4072" s="12">
        <v>77</v>
      </c>
      <c r="D4072" t="s">
        <v>5877</v>
      </c>
    </row>
    <row r="4073" spans="2:4" x14ac:dyDescent="0.35">
      <c r="B4073" s="9">
        <v>43885</v>
      </c>
      <c r="C4073" s="12">
        <v>188</v>
      </c>
      <c r="D4073" t="s">
        <v>5877</v>
      </c>
    </row>
    <row r="4074" spans="2:4" x14ac:dyDescent="0.35">
      <c r="B4074" s="9">
        <v>43886</v>
      </c>
      <c r="C4074" s="12">
        <v>170.4</v>
      </c>
      <c r="D4074" t="s">
        <v>5877</v>
      </c>
    </row>
    <row r="4075" spans="2:4" x14ac:dyDescent="0.35">
      <c r="B4075" s="9">
        <v>43887</v>
      </c>
      <c r="C4075" s="12">
        <v>139.6</v>
      </c>
      <c r="D4075" t="s">
        <v>5877</v>
      </c>
    </row>
    <row r="4076" spans="2:4" x14ac:dyDescent="0.35">
      <c r="B4076" s="9">
        <v>43888</v>
      </c>
      <c r="C4076" s="12">
        <v>122.2</v>
      </c>
      <c r="D4076" t="s">
        <v>5877</v>
      </c>
    </row>
    <row r="4077" spans="2:4" x14ac:dyDescent="0.35">
      <c r="B4077" s="9">
        <v>43889</v>
      </c>
      <c r="C4077" s="12">
        <v>138.4</v>
      </c>
      <c r="D4077" t="s">
        <v>5877</v>
      </c>
    </row>
    <row r="4078" spans="2:4" x14ac:dyDescent="0.35">
      <c r="B4078" s="9">
        <v>43890</v>
      </c>
      <c r="C4078" s="12">
        <v>107.9</v>
      </c>
      <c r="D4078" t="s">
        <v>5877</v>
      </c>
    </row>
    <row r="4079" spans="2:4" x14ac:dyDescent="0.35">
      <c r="B4079" s="9">
        <v>43891</v>
      </c>
      <c r="C4079" s="12">
        <v>91.3</v>
      </c>
      <c r="D4079" t="s">
        <v>5877</v>
      </c>
    </row>
    <row r="4080" spans="2:4" x14ac:dyDescent="0.35">
      <c r="B4080" s="9">
        <v>43892</v>
      </c>
      <c r="C4080" s="12">
        <v>102.3</v>
      </c>
      <c r="D4080" t="s">
        <v>5877</v>
      </c>
    </row>
    <row r="4081" spans="2:4" x14ac:dyDescent="0.35">
      <c r="B4081" s="9">
        <v>43893</v>
      </c>
      <c r="C4081" s="12">
        <v>93.5</v>
      </c>
      <c r="D4081" t="s">
        <v>5877</v>
      </c>
    </row>
    <row r="4082" spans="2:4" x14ac:dyDescent="0.35">
      <c r="B4082" s="9">
        <v>43894</v>
      </c>
      <c r="C4082" s="12">
        <v>91.1</v>
      </c>
      <c r="D4082" t="s">
        <v>5877</v>
      </c>
    </row>
    <row r="4083" spans="2:4" x14ac:dyDescent="0.35">
      <c r="B4083" s="9">
        <v>43895</v>
      </c>
      <c r="C4083" s="12">
        <v>81.7</v>
      </c>
      <c r="D4083" t="s">
        <v>5877</v>
      </c>
    </row>
    <row r="4084" spans="2:4" x14ac:dyDescent="0.35">
      <c r="B4084" s="9">
        <v>43896</v>
      </c>
      <c r="C4084" s="12">
        <v>84.8</v>
      </c>
      <c r="D4084" t="s">
        <v>5877</v>
      </c>
    </row>
    <row r="4085" spans="2:4" x14ac:dyDescent="0.35">
      <c r="B4085" s="9">
        <v>43897</v>
      </c>
      <c r="C4085" s="12">
        <v>82.8</v>
      </c>
      <c r="D4085" t="s">
        <v>5877</v>
      </c>
    </row>
    <row r="4086" spans="2:4" x14ac:dyDescent="0.35">
      <c r="B4086" s="9">
        <v>43898</v>
      </c>
      <c r="C4086" s="12">
        <v>87.1</v>
      </c>
      <c r="D4086" t="s">
        <v>5877</v>
      </c>
    </row>
    <row r="4087" spans="2:4" x14ac:dyDescent="0.35">
      <c r="B4087" s="9">
        <v>43899</v>
      </c>
      <c r="C4087" s="12">
        <v>179.7</v>
      </c>
      <c r="D4087" t="s">
        <v>5877</v>
      </c>
    </row>
    <row r="4088" spans="2:4" x14ac:dyDescent="0.35">
      <c r="B4088" s="9">
        <v>43900</v>
      </c>
      <c r="C4088" s="12">
        <v>164.7</v>
      </c>
      <c r="D4088" t="s">
        <v>5877</v>
      </c>
    </row>
    <row r="4089" spans="2:4" x14ac:dyDescent="0.35">
      <c r="B4089" s="9">
        <v>43901</v>
      </c>
      <c r="C4089" s="12">
        <v>148.4</v>
      </c>
      <c r="D4089" t="s">
        <v>5877</v>
      </c>
    </row>
    <row r="4090" spans="2:4" x14ac:dyDescent="0.35">
      <c r="B4090" s="9">
        <v>43902</v>
      </c>
      <c r="C4090" s="12">
        <v>170.4</v>
      </c>
      <c r="D4090" t="s">
        <v>5877</v>
      </c>
    </row>
    <row r="4091" spans="2:4" x14ac:dyDescent="0.35">
      <c r="B4091" s="9">
        <v>43903</v>
      </c>
      <c r="C4091" s="12">
        <v>155.4</v>
      </c>
      <c r="D4091" t="s">
        <v>5877</v>
      </c>
    </row>
    <row r="4092" spans="2:4" x14ac:dyDescent="0.35">
      <c r="B4092" s="9">
        <v>43904</v>
      </c>
      <c r="C4092" s="12">
        <v>121.3</v>
      </c>
      <c r="D4092" t="s">
        <v>5877</v>
      </c>
    </row>
    <row r="4093" spans="2:4" x14ac:dyDescent="0.35">
      <c r="B4093" s="9">
        <v>43905</v>
      </c>
      <c r="C4093" s="12">
        <v>133.1</v>
      </c>
      <c r="D4093" t="s">
        <v>5877</v>
      </c>
    </row>
    <row r="4094" spans="2:4" x14ac:dyDescent="0.35">
      <c r="B4094" s="9">
        <v>43906</v>
      </c>
      <c r="C4094" s="12">
        <v>111.2</v>
      </c>
      <c r="D4094" t="s">
        <v>5877</v>
      </c>
    </row>
    <row r="4095" spans="2:4" x14ac:dyDescent="0.35">
      <c r="B4095" s="9">
        <v>43907</v>
      </c>
      <c r="C4095" s="12">
        <v>127</v>
      </c>
      <c r="D4095" t="s">
        <v>5877</v>
      </c>
    </row>
    <row r="4096" spans="2:4" x14ac:dyDescent="0.35">
      <c r="B4096" s="9">
        <v>43908</v>
      </c>
      <c r="C4096" s="12">
        <v>119</v>
      </c>
      <c r="D4096" t="s">
        <v>5877</v>
      </c>
    </row>
    <row r="4097" spans="2:4" x14ac:dyDescent="0.35">
      <c r="B4097" s="9">
        <v>43909</v>
      </c>
      <c r="C4097" s="12">
        <v>97.2</v>
      </c>
      <c r="D4097" t="s">
        <v>5877</v>
      </c>
    </row>
    <row r="4098" spans="2:4" x14ac:dyDescent="0.35">
      <c r="B4098" s="9">
        <v>43910</v>
      </c>
      <c r="C4098" s="12">
        <v>88.8</v>
      </c>
      <c r="D4098" t="s">
        <v>5877</v>
      </c>
    </row>
    <row r="4099" spans="2:4" x14ac:dyDescent="0.35">
      <c r="B4099" s="9">
        <v>43911</v>
      </c>
      <c r="C4099" s="12">
        <v>140</v>
      </c>
      <c r="D4099" t="s">
        <v>5877</v>
      </c>
    </row>
    <row r="4100" spans="2:4" x14ac:dyDescent="0.35">
      <c r="B4100" s="9">
        <v>43912</v>
      </c>
      <c r="C4100" s="12">
        <v>164.2</v>
      </c>
      <c r="D4100" t="s">
        <v>5877</v>
      </c>
    </row>
    <row r="4101" spans="2:4" x14ac:dyDescent="0.35">
      <c r="B4101" s="9">
        <v>43913</v>
      </c>
      <c r="C4101" s="12">
        <v>149.4</v>
      </c>
      <c r="D4101" t="s">
        <v>5877</v>
      </c>
    </row>
    <row r="4102" spans="2:4" x14ac:dyDescent="0.35">
      <c r="B4102" s="9">
        <v>43914</v>
      </c>
      <c r="C4102" s="12">
        <v>114.9</v>
      </c>
      <c r="D4102" t="s">
        <v>5877</v>
      </c>
    </row>
    <row r="4103" spans="2:4" x14ac:dyDescent="0.35">
      <c r="B4103" s="9">
        <v>43915</v>
      </c>
      <c r="C4103" s="12">
        <v>124.9</v>
      </c>
      <c r="D4103" t="s">
        <v>5877</v>
      </c>
    </row>
    <row r="4104" spans="2:4" x14ac:dyDescent="0.35">
      <c r="B4104" s="9">
        <v>43916</v>
      </c>
      <c r="C4104" s="12">
        <v>142.80000000000001</v>
      </c>
      <c r="D4104" t="s">
        <v>5877</v>
      </c>
    </row>
    <row r="4105" spans="2:4" x14ac:dyDescent="0.35">
      <c r="B4105" s="9">
        <v>43917</v>
      </c>
      <c r="C4105" s="12">
        <v>126.9</v>
      </c>
      <c r="D4105" t="s">
        <v>5877</v>
      </c>
    </row>
    <row r="4106" spans="2:4" x14ac:dyDescent="0.35">
      <c r="B4106" s="9">
        <v>43918</v>
      </c>
      <c r="C4106" s="12">
        <v>105.9</v>
      </c>
      <c r="D4106" t="s">
        <v>5877</v>
      </c>
    </row>
    <row r="4107" spans="2:4" x14ac:dyDescent="0.35">
      <c r="B4107" s="9">
        <v>43919</v>
      </c>
      <c r="C4107" s="12">
        <v>89.3</v>
      </c>
      <c r="D4107" t="s">
        <v>5877</v>
      </c>
    </row>
    <row r="4108" spans="2:4" x14ac:dyDescent="0.35">
      <c r="B4108" s="9">
        <v>43920</v>
      </c>
      <c r="C4108" s="12">
        <v>110.2</v>
      </c>
      <c r="D4108" t="s">
        <v>5877</v>
      </c>
    </row>
    <row r="4109" spans="2:4" x14ac:dyDescent="0.35">
      <c r="B4109" s="9">
        <v>43921</v>
      </c>
      <c r="C4109" s="12">
        <v>92.7</v>
      </c>
      <c r="D4109" t="s">
        <v>5877</v>
      </c>
    </row>
    <row r="4110" spans="2:4" x14ac:dyDescent="0.35">
      <c r="B4110" s="9">
        <v>43922</v>
      </c>
      <c r="C4110" s="12">
        <v>89</v>
      </c>
      <c r="D4110" t="s">
        <v>5877</v>
      </c>
    </row>
    <row r="4111" spans="2:4" x14ac:dyDescent="0.35">
      <c r="B4111" s="9">
        <v>43923</v>
      </c>
      <c r="C4111" s="12">
        <v>127.5</v>
      </c>
      <c r="D4111" t="s">
        <v>5877</v>
      </c>
    </row>
    <row r="4112" spans="2:4" x14ac:dyDescent="0.35">
      <c r="B4112" s="9">
        <v>43924</v>
      </c>
      <c r="C4112" s="12">
        <v>170.9</v>
      </c>
      <c r="D4112" t="s">
        <v>5877</v>
      </c>
    </row>
    <row r="4113" spans="2:4" x14ac:dyDescent="0.35">
      <c r="B4113" s="9">
        <v>43925</v>
      </c>
      <c r="C4113" s="12">
        <v>148.9</v>
      </c>
      <c r="D4113" t="s">
        <v>5877</v>
      </c>
    </row>
    <row r="4114" spans="2:4" x14ac:dyDescent="0.35">
      <c r="B4114" s="9">
        <v>43926</v>
      </c>
      <c r="C4114" s="12">
        <v>116</v>
      </c>
      <c r="D4114" t="s">
        <v>5877</v>
      </c>
    </row>
    <row r="4115" spans="2:4" x14ac:dyDescent="0.35">
      <c r="B4115" s="9">
        <v>43927</v>
      </c>
      <c r="C4115" s="12">
        <v>133</v>
      </c>
      <c r="D4115" t="s">
        <v>5877</v>
      </c>
    </row>
    <row r="4116" spans="2:4" x14ac:dyDescent="0.35">
      <c r="B4116" s="9">
        <v>43928</v>
      </c>
      <c r="C4116" s="12">
        <v>130.9</v>
      </c>
      <c r="D4116" t="s">
        <v>5877</v>
      </c>
    </row>
    <row r="4117" spans="2:4" x14ac:dyDescent="0.35">
      <c r="B4117" s="9">
        <v>43929</v>
      </c>
      <c r="C4117" s="12">
        <v>111.5</v>
      </c>
      <c r="D4117" t="s">
        <v>5877</v>
      </c>
    </row>
    <row r="4118" spans="2:4" x14ac:dyDescent="0.35">
      <c r="B4118" s="9">
        <v>43930</v>
      </c>
      <c r="C4118" s="12">
        <v>97.9</v>
      </c>
      <c r="D4118" t="s">
        <v>5877</v>
      </c>
    </row>
    <row r="4119" spans="2:4" x14ac:dyDescent="0.35">
      <c r="B4119" s="9">
        <v>43931</v>
      </c>
      <c r="C4119" s="12">
        <v>129.6</v>
      </c>
      <c r="D4119" t="s">
        <v>5877</v>
      </c>
    </row>
    <row r="4120" spans="2:4" x14ac:dyDescent="0.35">
      <c r="B4120" s="9">
        <v>43932</v>
      </c>
      <c r="C4120" s="12">
        <v>123.9</v>
      </c>
      <c r="D4120" t="s">
        <v>5877</v>
      </c>
    </row>
    <row r="4121" spans="2:4" x14ac:dyDescent="0.35">
      <c r="B4121" s="9">
        <v>43933</v>
      </c>
      <c r="C4121" s="12">
        <v>100.4</v>
      </c>
      <c r="D4121" t="s">
        <v>5877</v>
      </c>
    </row>
    <row r="4122" spans="2:4" x14ac:dyDescent="0.35">
      <c r="B4122" s="9">
        <v>43934</v>
      </c>
      <c r="C4122" s="12">
        <v>109.7</v>
      </c>
      <c r="D4122" t="s">
        <v>5877</v>
      </c>
    </row>
    <row r="4123" spans="2:4" x14ac:dyDescent="0.35">
      <c r="B4123" s="9">
        <v>43935</v>
      </c>
      <c r="C4123" s="12">
        <v>171.5</v>
      </c>
      <c r="D4123" t="s">
        <v>5877</v>
      </c>
    </row>
    <row r="4124" spans="2:4" x14ac:dyDescent="0.35">
      <c r="B4124" s="9">
        <v>43936</v>
      </c>
      <c r="C4124" s="12">
        <v>131.6</v>
      </c>
      <c r="D4124" t="s">
        <v>5877</v>
      </c>
    </row>
    <row r="4125" spans="2:4" x14ac:dyDescent="0.35">
      <c r="B4125" s="9">
        <v>43937</v>
      </c>
      <c r="C4125" s="12">
        <v>108.5</v>
      </c>
      <c r="D4125" t="s">
        <v>5877</v>
      </c>
    </row>
    <row r="4126" spans="2:4" x14ac:dyDescent="0.35">
      <c r="B4126" s="9">
        <v>43938</v>
      </c>
      <c r="C4126" s="12">
        <v>165.7</v>
      </c>
      <c r="D4126" t="s">
        <v>5877</v>
      </c>
    </row>
    <row r="4127" spans="2:4" x14ac:dyDescent="0.35">
      <c r="B4127" s="9">
        <v>43939</v>
      </c>
      <c r="C4127" s="12">
        <v>196</v>
      </c>
      <c r="D4127" t="s">
        <v>5877</v>
      </c>
    </row>
    <row r="4128" spans="2:4" x14ac:dyDescent="0.35">
      <c r="B4128" s="9">
        <v>43940</v>
      </c>
      <c r="C4128" s="12">
        <v>209.7</v>
      </c>
      <c r="D4128" t="s">
        <v>5877</v>
      </c>
    </row>
    <row r="4129" spans="2:4" x14ac:dyDescent="0.35">
      <c r="B4129" s="9">
        <v>43941</v>
      </c>
      <c r="C4129" s="12">
        <v>179</v>
      </c>
      <c r="D4129" t="s">
        <v>5877</v>
      </c>
    </row>
    <row r="4130" spans="2:4" x14ac:dyDescent="0.35">
      <c r="B4130" s="9">
        <v>43942</v>
      </c>
      <c r="C4130" s="12">
        <v>140.80000000000001</v>
      </c>
      <c r="D4130" t="s">
        <v>5877</v>
      </c>
    </row>
    <row r="4131" spans="2:4" x14ac:dyDescent="0.35">
      <c r="B4131" s="9">
        <v>43943</v>
      </c>
      <c r="C4131" s="12">
        <v>178</v>
      </c>
      <c r="D4131" t="s">
        <v>5877</v>
      </c>
    </row>
    <row r="4132" spans="2:4" x14ac:dyDescent="0.35">
      <c r="B4132" s="9">
        <v>43944</v>
      </c>
      <c r="C4132" s="12">
        <v>153.6</v>
      </c>
      <c r="D4132" t="s">
        <v>5877</v>
      </c>
    </row>
    <row r="4133" spans="2:4" x14ac:dyDescent="0.35">
      <c r="B4133" s="9">
        <v>43945</v>
      </c>
      <c r="C4133" s="12">
        <v>115.4</v>
      </c>
      <c r="D4133" t="s">
        <v>5877</v>
      </c>
    </row>
    <row r="4134" spans="2:4" x14ac:dyDescent="0.35">
      <c r="B4134" s="9">
        <v>43946</v>
      </c>
      <c r="C4134" s="12">
        <v>93.8</v>
      </c>
      <c r="D4134" t="s">
        <v>5877</v>
      </c>
    </row>
    <row r="4135" spans="2:4" x14ac:dyDescent="0.35">
      <c r="B4135" s="9">
        <v>43947</v>
      </c>
      <c r="C4135" s="12">
        <v>85.6</v>
      </c>
      <c r="D4135" t="s">
        <v>5877</v>
      </c>
    </row>
    <row r="4136" spans="2:4" x14ac:dyDescent="0.35">
      <c r="B4136" s="9">
        <v>43948</v>
      </c>
      <c r="C4136" s="12">
        <v>81.2</v>
      </c>
      <c r="D4136" t="s">
        <v>5877</v>
      </c>
    </row>
    <row r="4137" spans="2:4" x14ac:dyDescent="0.35">
      <c r="B4137" s="9">
        <v>43949</v>
      </c>
      <c r="C4137" s="12">
        <v>118.4</v>
      </c>
      <c r="D4137" t="s">
        <v>5877</v>
      </c>
    </row>
    <row r="4138" spans="2:4" x14ac:dyDescent="0.35">
      <c r="B4138" s="9">
        <v>43950</v>
      </c>
      <c r="C4138" s="12">
        <v>125.2</v>
      </c>
      <c r="D4138" t="s">
        <v>5877</v>
      </c>
    </row>
    <row r="4139" spans="2:4" x14ac:dyDescent="0.35">
      <c r="B4139" s="9">
        <v>43951</v>
      </c>
      <c r="C4139" s="12">
        <v>103.9</v>
      </c>
      <c r="D4139" t="s">
        <v>5877</v>
      </c>
    </row>
    <row r="4140" spans="2:4" x14ac:dyDescent="0.35">
      <c r="B4140" s="9">
        <v>43952</v>
      </c>
      <c r="C4140" s="12">
        <v>123.8</v>
      </c>
      <c r="D4140" t="s">
        <v>5877</v>
      </c>
    </row>
    <row r="4141" spans="2:4" x14ac:dyDescent="0.35">
      <c r="B4141" s="9">
        <v>43953</v>
      </c>
      <c r="C4141" s="12">
        <v>138.80000000000001</v>
      </c>
      <c r="D4141" t="s">
        <v>5877</v>
      </c>
    </row>
    <row r="4142" spans="2:4" x14ac:dyDescent="0.35">
      <c r="B4142" s="9">
        <v>43954</v>
      </c>
      <c r="C4142" s="12">
        <v>160.19999999999999</v>
      </c>
      <c r="D4142" t="s">
        <v>5877</v>
      </c>
    </row>
    <row r="4143" spans="2:4" x14ac:dyDescent="0.35">
      <c r="B4143" s="9">
        <v>43955</v>
      </c>
      <c r="C4143" s="12">
        <v>118.2</v>
      </c>
      <c r="D4143" t="s">
        <v>5877</v>
      </c>
    </row>
    <row r="4144" spans="2:4" x14ac:dyDescent="0.35">
      <c r="B4144" s="9">
        <v>43956</v>
      </c>
      <c r="C4144" s="12">
        <v>94.5</v>
      </c>
      <c r="D4144" t="s">
        <v>5877</v>
      </c>
    </row>
    <row r="4145" spans="2:4" x14ac:dyDescent="0.35">
      <c r="B4145" s="9">
        <v>43957</v>
      </c>
      <c r="C4145" s="12">
        <v>107.7</v>
      </c>
      <c r="D4145" t="s">
        <v>5877</v>
      </c>
    </row>
    <row r="4146" spans="2:4" x14ac:dyDescent="0.35">
      <c r="B4146" s="9">
        <v>43958</v>
      </c>
      <c r="C4146" s="12">
        <v>101.2</v>
      </c>
      <c r="D4146" t="s">
        <v>5877</v>
      </c>
    </row>
    <row r="4147" spans="2:4" x14ac:dyDescent="0.35">
      <c r="B4147" s="9">
        <v>43959</v>
      </c>
      <c r="C4147" s="12">
        <v>86.7</v>
      </c>
      <c r="D4147" t="s">
        <v>5877</v>
      </c>
    </row>
    <row r="4148" spans="2:4" x14ac:dyDescent="0.35">
      <c r="B4148" s="9">
        <v>43960</v>
      </c>
      <c r="C4148" s="12">
        <v>76.5</v>
      </c>
      <c r="D4148" t="s">
        <v>5877</v>
      </c>
    </row>
    <row r="4149" spans="2:4" x14ac:dyDescent="0.35">
      <c r="B4149" s="9">
        <v>43961</v>
      </c>
      <c r="C4149" s="12">
        <v>68.3</v>
      </c>
      <c r="D4149" t="s">
        <v>5877</v>
      </c>
    </row>
    <row r="4150" spans="2:4" x14ac:dyDescent="0.35">
      <c r="B4150" s="9">
        <v>43962</v>
      </c>
      <c r="C4150" s="12">
        <v>61.1</v>
      </c>
      <c r="D4150" t="s">
        <v>5877</v>
      </c>
    </row>
    <row r="4151" spans="2:4" x14ac:dyDescent="0.35">
      <c r="B4151" s="9">
        <v>43963</v>
      </c>
      <c r="C4151" s="12">
        <v>56.2</v>
      </c>
      <c r="D4151" t="s">
        <v>5877</v>
      </c>
    </row>
    <row r="4152" spans="2:4" x14ac:dyDescent="0.35">
      <c r="B4152" s="9">
        <v>43964</v>
      </c>
      <c r="C4152" s="12">
        <v>68</v>
      </c>
      <c r="D4152" t="s">
        <v>5877</v>
      </c>
    </row>
    <row r="4153" spans="2:4" x14ac:dyDescent="0.35">
      <c r="B4153" s="9">
        <v>43965</v>
      </c>
      <c r="C4153" s="12">
        <v>92.6</v>
      </c>
      <c r="D4153" t="s">
        <v>5877</v>
      </c>
    </row>
    <row r="4154" spans="2:4" x14ac:dyDescent="0.35">
      <c r="B4154" s="9">
        <v>43966</v>
      </c>
      <c r="C4154" s="12">
        <v>81.7</v>
      </c>
      <c r="D4154" t="s">
        <v>5877</v>
      </c>
    </row>
    <row r="4155" spans="2:4" x14ac:dyDescent="0.35">
      <c r="B4155" s="9">
        <v>43967</v>
      </c>
      <c r="C4155" s="12">
        <v>71.8</v>
      </c>
      <c r="D4155" t="s">
        <v>5877</v>
      </c>
    </row>
    <row r="4156" spans="2:4" x14ac:dyDescent="0.35">
      <c r="B4156" s="9">
        <v>43968</v>
      </c>
      <c r="C4156" s="12">
        <v>62.6</v>
      </c>
      <c r="D4156" t="s">
        <v>5877</v>
      </c>
    </row>
    <row r="4157" spans="2:4" x14ac:dyDescent="0.35">
      <c r="B4157" s="9">
        <v>43969</v>
      </c>
      <c r="C4157" s="12">
        <v>54.9</v>
      </c>
      <c r="D4157" t="s">
        <v>5877</v>
      </c>
    </row>
    <row r="4158" spans="2:4" x14ac:dyDescent="0.35">
      <c r="B4158" s="9">
        <v>43970</v>
      </c>
      <c r="C4158" s="12">
        <v>48.9</v>
      </c>
      <c r="D4158" t="s">
        <v>5877</v>
      </c>
    </row>
    <row r="4159" spans="2:4" x14ac:dyDescent="0.35">
      <c r="B4159" s="9">
        <v>43971</v>
      </c>
      <c r="C4159" s="12">
        <v>43.8</v>
      </c>
      <c r="D4159" t="s">
        <v>5877</v>
      </c>
    </row>
    <row r="4160" spans="2:4" x14ac:dyDescent="0.35">
      <c r="B4160" s="9">
        <v>43972</v>
      </c>
      <c r="C4160" s="12">
        <v>39.4</v>
      </c>
      <c r="D4160" t="s">
        <v>5877</v>
      </c>
    </row>
    <row r="4161" spans="2:4" x14ac:dyDescent="0.35">
      <c r="B4161" s="9">
        <v>43973</v>
      </c>
      <c r="C4161" s="12">
        <v>38.200000000000003</v>
      </c>
      <c r="D4161" t="s">
        <v>5877</v>
      </c>
    </row>
    <row r="4162" spans="2:4" x14ac:dyDescent="0.35">
      <c r="B4162" s="9">
        <v>43974</v>
      </c>
      <c r="C4162" s="12">
        <v>40.200000000000003</v>
      </c>
      <c r="D4162" t="s">
        <v>5877</v>
      </c>
    </row>
    <row r="4163" spans="2:4" x14ac:dyDescent="0.35">
      <c r="B4163" s="9">
        <v>43975</v>
      </c>
      <c r="C4163" s="12">
        <v>37.4</v>
      </c>
      <c r="D4163" t="s">
        <v>5877</v>
      </c>
    </row>
    <row r="4164" spans="2:4" x14ac:dyDescent="0.35">
      <c r="B4164" s="9">
        <v>43976</v>
      </c>
      <c r="C4164" s="12">
        <v>33.9</v>
      </c>
      <c r="D4164" t="s">
        <v>5877</v>
      </c>
    </row>
    <row r="4165" spans="2:4" x14ac:dyDescent="0.35">
      <c r="B4165" s="9">
        <v>43977</v>
      </c>
      <c r="C4165" s="12">
        <v>30.6</v>
      </c>
      <c r="D4165" t="s">
        <v>5877</v>
      </c>
    </row>
    <row r="4166" spans="2:4" x14ac:dyDescent="0.35">
      <c r="B4166" s="9">
        <v>43978</v>
      </c>
      <c r="C4166" s="12">
        <v>27.6</v>
      </c>
      <c r="D4166" t="s">
        <v>5877</v>
      </c>
    </row>
    <row r="4167" spans="2:4" x14ac:dyDescent="0.35">
      <c r="B4167" s="9">
        <v>43979</v>
      </c>
      <c r="C4167" s="12">
        <v>25</v>
      </c>
      <c r="D4167" t="s">
        <v>5877</v>
      </c>
    </row>
    <row r="4168" spans="2:4" x14ac:dyDescent="0.35">
      <c r="B4168" s="9">
        <v>43980</v>
      </c>
      <c r="C4168" s="12">
        <v>22.9</v>
      </c>
      <c r="D4168" t="s">
        <v>5877</v>
      </c>
    </row>
    <row r="4169" spans="2:4" x14ac:dyDescent="0.35">
      <c r="B4169" s="9">
        <v>43981</v>
      </c>
      <c r="C4169" s="12">
        <v>20.9</v>
      </c>
      <c r="D4169" t="s">
        <v>5877</v>
      </c>
    </row>
    <row r="4170" spans="2:4" x14ac:dyDescent="0.35">
      <c r="B4170" s="9">
        <v>43982</v>
      </c>
      <c r="C4170" s="12">
        <v>20.100000000000001</v>
      </c>
      <c r="D4170" t="s">
        <v>5877</v>
      </c>
    </row>
    <row r="4171" spans="2:4" x14ac:dyDescent="0.35">
      <c r="B4171" s="9">
        <v>43983</v>
      </c>
      <c r="C4171" s="12">
        <v>43.7</v>
      </c>
      <c r="D4171" t="s">
        <v>5877</v>
      </c>
    </row>
    <row r="4172" spans="2:4" x14ac:dyDescent="0.35">
      <c r="B4172" s="9">
        <v>43984</v>
      </c>
      <c r="C4172" s="12">
        <v>45.3</v>
      </c>
      <c r="D4172" t="s">
        <v>5877</v>
      </c>
    </row>
    <row r="4173" spans="2:4" x14ac:dyDescent="0.35">
      <c r="B4173" s="9">
        <v>43985</v>
      </c>
      <c r="C4173" s="12">
        <v>43</v>
      </c>
      <c r="D4173" t="s">
        <v>5877</v>
      </c>
    </row>
    <row r="4174" spans="2:4" x14ac:dyDescent="0.35">
      <c r="B4174" s="9">
        <v>43986</v>
      </c>
      <c r="C4174" s="12">
        <v>39.799999999999997</v>
      </c>
      <c r="D4174" t="s">
        <v>5877</v>
      </c>
    </row>
    <row r="4175" spans="2:4" x14ac:dyDescent="0.35">
      <c r="B4175" s="9">
        <v>43987</v>
      </c>
      <c r="C4175" s="12">
        <v>36.9</v>
      </c>
      <c r="D4175" t="s">
        <v>5877</v>
      </c>
    </row>
    <row r="4176" spans="2:4" x14ac:dyDescent="0.35">
      <c r="B4176" s="9">
        <v>43988</v>
      </c>
      <c r="C4176" s="12">
        <v>40.5</v>
      </c>
      <c r="D4176" t="s">
        <v>5877</v>
      </c>
    </row>
    <row r="4177" spans="2:4" x14ac:dyDescent="0.35">
      <c r="B4177" s="9">
        <v>43989</v>
      </c>
      <c r="C4177" s="12">
        <v>38.9</v>
      </c>
      <c r="D4177" t="s">
        <v>5877</v>
      </c>
    </row>
    <row r="4178" spans="2:4" x14ac:dyDescent="0.35">
      <c r="B4178" s="9">
        <v>43990</v>
      </c>
      <c r="C4178" s="12">
        <v>36.200000000000003</v>
      </c>
      <c r="D4178" t="s">
        <v>5877</v>
      </c>
    </row>
    <row r="4179" spans="2:4" x14ac:dyDescent="0.35">
      <c r="B4179" s="9">
        <v>43991</v>
      </c>
      <c r="C4179" s="12">
        <v>38.799999999999997</v>
      </c>
      <c r="D4179" t="s">
        <v>5877</v>
      </c>
    </row>
    <row r="4180" spans="2:4" x14ac:dyDescent="0.35">
      <c r="B4180" s="9">
        <v>43992</v>
      </c>
      <c r="C4180" s="12">
        <v>37.6</v>
      </c>
      <c r="D4180" t="s">
        <v>5877</v>
      </c>
    </row>
    <row r="4181" spans="2:4" x14ac:dyDescent="0.35">
      <c r="B4181" s="9">
        <v>43993</v>
      </c>
      <c r="C4181" s="12">
        <v>35.200000000000003</v>
      </c>
      <c r="D4181" t="s">
        <v>5877</v>
      </c>
    </row>
    <row r="4182" spans="2:4" x14ac:dyDescent="0.35">
      <c r="B4182" s="9">
        <v>43994</v>
      </c>
      <c r="C4182" s="12">
        <v>33.1</v>
      </c>
      <c r="D4182" t="s">
        <v>5877</v>
      </c>
    </row>
    <row r="4183" spans="2:4" x14ac:dyDescent="0.35">
      <c r="B4183" s="9">
        <v>43995</v>
      </c>
      <c r="C4183" s="12">
        <v>53.3</v>
      </c>
      <c r="D4183" t="s">
        <v>5877</v>
      </c>
    </row>
    <row r="4184" spans="2:4" x14ac:dyDescent="0.35">
      <c r="B4184" s="9">
        <v>43996</v>
      </c>
      <c r="C4184" s="12">
        <v>53.2</v>
      </c>
      <c r="D4184" t="s">
        <v>5877</v>
      </c>
    </row>
    <row r="4185" spans="2:4" x14ac:dyDescent="0.35">
      <c r="B4185" s="9">
        <v>43997</v>
      </c>
      <c r="C4185" s="12">
        <v>47.1</v>
      </c>
      <c r="D4185" t="s">
        <v>5877</v>
      </c>
    </row>
    <row r="4186" spans="2:4" x14ac:dyDescent="0.35">
      <c r="B4186" s="9">
        <v>43998</v>
      </c>
      <c r="C4186" s="12">
        <v>41.9</v>
      </c>
      <c r="D4186" t="s">
        <v>5877</v>
      </c>
    </row>
    <row r="4187" spans="2:4" x14ac:dyDescent="0.35">
      <c r="B4187" s="9">
        <v>43999</v>
      </c>
      <c r="C4187" s="12">
        <v>37.4</v>
      </c>
      <c r="D4187" t="s">
        <v>5877</v>
      </c>
    </row>
    <row r="4188" spans="2:4" x14ac:dyDescent="0.35">
      <c r="B4188" s="9">
        <v>44000</v>
      </c>
      <c r="C4188" s="12">
        <v>33.6</v>
      </c>
      <c r="D4188" t="s">
        <v>5877</v>
      </c>
    </row>
    <row r="4189" spans="2:4" x14ac:dyDescent="0.35">
      <c r="B4189" s="9">
        <v>44001</v>
      </c>
      <c r="C4189" s="12">
        <v>30.2</v>
      </c>
      <c r="D4189" t="s">
        <v>5877</v>
      </c>
    </row>
    <row r="4190" spans="2:4" x14ac:dyDescent="0.35">
      <c r="B4190" s="9">
        <v>44002</v>
      </c>
      <c r="C4190" s="12">
        <v>27.1</v>
      </c>
      <c r="D4190" t="s">
        <v>5877</v>
      </c>
    </row>
    <row r="4191" spans="2:4" x14ac:dyDescent="0.35">
      <c r="B4191" s="9">
        <v>44003</v>
      </c>
      <c r="C4191" s="12">
        <v>24.4</v>
      </c>
      <c r="D4191" t="s">
        <v>5877</v>
      </c>
    </row>
    <row r="4192" spans="2:4" x14ac:dyDescent="0.35">
      <c r="B4192" s="9">
        <v>44004</v>
      </c>
      <c r="C4192" s="12">
        <v>22.1</v>
      </c>
      <c r="D4192" t="s">
        <v>5877</v>
      </c>
    </row>
    <row r="4193" spans="2:4" x14ac:dyDescent="0.35">
      <c r="B4193" s="9">
        <v>44005</v>
      </c>
      <c r="C4193" s="12">
        <v>21.4</v>
      </c>
      <c r="D4193" t="s">
        <v>5877</v>
      </c>
    </row>
    <row r="4194" spans="2:4" x14ac:dyDescent="0.35">
      <c r="B4194" s="9">
        <v>44006</v>
      </c>
      <c r="C4194" s="12">
        <v>18.899999999999999</v>
      </c>
      <c r="D4194" t="s">
        <v>5877</v>
      </c>
    </row>
    <row r="4195" spans="2:4" x14ac:dyDescent="0.35">
      <c r="B4195" s="9">
        <v>44007</v>
      </c>
      <c r="C4195" s="12">
        <v>16.600000000000001</v>
      </c>
      <c r="D4195" t="s">
        <v>5877</v>
      </c>
    </row>
    <row r="4196" spans="2:4" x14ac:dyDescent="0.35">
      <c r="B4196" s="9">
        <v>44008</v>
      </c>
      <c r="C4196" s="12">
        <v>14.7</v>
      </c>
      <c r="D4196" t="s">
        <v>5877</v>
      </c>
    </row>
    <row r="4197" spans="2:4" x14ac:dyDescent="0.35">
      <c r="B4197" s="9">
        <v>44009</v>
      </c>
      <c r="C4197" s="12">
        <v>13.4</v>
      </c>
      <c r="D4197" t="s">
        <v>5877</v>
      </c>
    </row>
    <row r="4198" spans="2:4" x14ac:dyDescent="0.35">
      <c r="B4198" s="9">
        <v>44010</v>
      </c>
      <c r="C4198" s="12">
        <v>13.9</v>
      </c>
      <c r="D4198" t="s">
        <v>5877</v>
      </c>
    </row>
    <row r="4199" spans="2:4" x14ac:dyDescent="0.35">
      <c r="B4199" s="9">
        <v>44011</v>
      </c>
      <c r="C4199" s="12">
        <v>24.8</v>
      </c>
      <c r="D4199" t="s">
        <v>5877</v>
      </c>
    </row>
    <row r="4200" spans="2:4" x14ac:dyDescent="0.35">
      <c r="B4200" s="9">
        <v>44012</v>
      </c>
      <c r="C4200" s="12">
        <v>19.899999999999999</v>
      </c>
      <c r="D4200" t="s">
        <v>5877</v>
      </c>
    </row>
    <row r="4201" spans="2:4" x14ac:dyDescent="0.35">
      <c r="B4201" s="9">
        <v>44013</v>
      </c>
      <c r="C4201" s="12">
        <v>14.6</v>
      </c>
      <c r="D4201" t="s">
        <v>5877</v>
      </c>
    </row>
    <row r="4202" spans="2:4" x14ac:dyDescent="0.35">
      <c r="B4202" s="9">
        <v>44014</v>
      </c>
      <c r="C4202" s="12">
        <v>13.3</v>
      </c>
      <c r="D4202" t="s">
        <v>5877</v>
      </c>
    </row>
    <row r="4203" spans="2:4" x14ac:dyDescent="0.35">
      <c r="B4203" s="9">
        <v>44015</v>
      </c>
      <c r="C4203" s="12">
        <v>10.3</v>
      </c>
      <c r="D4203" t="s">
        <v>5877</v>
      </c>
    </row>
    <row r="4204" spans="2:4" x14ac:dyDescent="0.35">
      <c r="B4204" s="9">
        <v>44016</v>
      </c>
      <c r="C4204" s="12">
        <v>8.1999999999999993</v>
      </c>
      <c r="D4204" t="s">
        <v>5877</v>
      </c>
    </row>
    <row r="4205" spans="2:4" x14ac:dyDescent="0.35">
      <c r="B4205" s="9">
        <v>44017</v>
      </c>
      <c r="C4205" s="12">
        <v>6.9</v>
      </c>
      <c r="D4205" t="s">
        <v>5877</v>
      </c>
    </row>
    <row r="4206" spans="2:4" x14ac:dyDescent="0.35">
      <c r="B4206" s="9">
        <v>44018</v>
      </c>
      <c r="C4206" s="12">
        <v>6</v>
      </c>
      <c r="D4206" t="s">
        <v>5877</v>
      </c>
    </row>
    <row r="4207" spans="2:4" x14ac:dyDescent="0.35">
      <c r="B4207" s="9">
        <v>44019</v>
      </c>
      <c r="C4207" s="12">
        <v>5.3</v>
      </c>
      <c r="D4207" t="s">
        <v>5877</v>
      </c>
    </row>
    <row r="4208" spans="2:4" x14ac:dyDescent="0.35">
      <c r="B4208" s="9">
        <v>44020</v>
      </c>
      <c r="C4208" s="12">
        <v>4.7</v>
      </c>
      <c r="D4208" t="s">
        <v>5877</v>
      </c>
    </row>
    <row r="4209" spans="2:4" x14ac:dyDescent="0.35">
      <c r="B4209" s="9">
        <v>44021</v>
      </c>
      <c r="C4209" s="12">
        <v>4.2</v>
      </c>
      <c r="D4209" t="s">
        <v>5877</v>
      </c>
    </row>
    <row r="4210" spans="2:4" x14ac:dyDescent="0.35">
      <c r="B4210" s="9">
        <v>44022</v>
      </c>
      <c r="C4210" s="12">
        <v>3.7</v>
      </c>
      <c r="D4210" t="s">
        <v>5877</v>
      </c>
    </row>
    <row r="4211" spans="2:4" x14ac:dyDescent="0.35">
      <c r="B4211" s="9">
        <v>44023</v>
      </c>
      <c r="C4211" s="12">
        <v>3.4</v>
      </c>
      <c r="D4211" t="s">
        <v>5877</v>
      </c>
    </row>
    <row r="4212" spans="2:4" x14ac:dyDescent="0.35">
      <c r="B4212" s="9">
        <v>44024</v>
      </c>
      <c r="C4212" s="12">
        <v>3.2</v>
      </c>
      <c r="D4212" t="s">
        <v>5877</v>
      </c>
    </row>
    <row r="4213" spans="2:4" x14ac:dyDescent="0.35">
      <c r="B4213" s="9">
        <v>44025</v>
      </c>
      <c r="C4213" s="12">
        <v>3.5</v>
      </c>
      <c r="D4213" t="s">
        <v>5877</v>
      </c>
    </row>
    <row r="4214" spans="2:4" x14ac:dyDescent="0.35">
      <c r="B4214" s="9">
        <v>44026</v>
      </c>
      <c r="C4214" s="12">
        <v>4.0999999999999996</v>
      </c>
      <c r="D4214" t="s">
        <v>5877</v>
      </c>
    </row>
    <row r="4215" spans="2:4" x14ac:dyDescent="0.35">
      <c r="B4215" s="9">
        <v>44027</v>
      </c>
      <c r="C4215" s="12">
        <v>8.6999999999999993</v>
      </c>
      <c r="D4215" t="s">
        <v>5877</v>
      </c>
    </row>
    <row r="4216" spans="2:4" x14ac:dyDescent="0.35">
      <c r="B4216" s="9">
        <v>44028</v>
      </c>
      <c r="C4216" s="12">
        <v>7.8</v>
      </c>
      <c r="D4216" t="s">
        <v>5877</v>
      </c>
    </row>
    <row r="4217" spans="2:4" x14ac:dyDescent="0.35">
      <c r="B4217" s="9">
        <v>44029</v>
      </c>
      <c r="C4217" s="12">
        <v>7.3</v>
      </c>
      <c r="D4217" t="s">
        <v>5877</v>
      </c>
    </row>
    <row r="4218" spans="2:4" x14ac:dyDescent="0.35">
      <c r="B4218" s="9">
        <v>44030</v>
      </c>
      <c r="C4218" s="12">
        <v>6.9</v>
      </c>
      <c r="D4218" t="s">
        <v>5877</v>
      </c>
    </row>
    <row r="4219" spans="2:4" x14ac:dyDescent="0.35">
      <c r="B4219" s="9">
        <v>44031</v>
      </c>
      <c r="C4219" s="12">
        <v>9.1999999999999993</v>
      </c>
      <c r="D4219" t="s">
        <v>5877</v>
      </c>
    </row>
    <row r="4220" spans="2:4" x14ac:dyDescent="0.35">
      <c r="B4220" s="9">
        <v>44032</v>
      </c>
      <c r="C4220" s="12">
        <v>8.5</v>
      </c>
      <c r="D4220" t="s">
        <v>5877</v>
      </c>
    </row>
    <row r="4221" spans="2:4" x14ac:dyDescent="0.35">
      <c r="B4221" s="9">
        <v>44033</v>
      </c>
      <c r="C4221" s="12">
        <v>7.5</v>
      </c>
      <c r="D4221" t="s">
        <v>5877</v>
      </c>
    </row>
    <row r="4222" spans="2:4" x14ac:dyDescent="0.35">
      <c r="B4222" s="9">
        <v>44034</v>
      </c>
      <c r="C4222" s="12">
        <v>6</v>
      </c>
      <c r="D4222" t="s">
        <v>5877</v>
      </c>
    </row>
    <row r="4223" spans="2:4" x14ac:dyDescent="0.35">
      <c r="B4223" s="9">
        <v>44035</v>
      </c>
      <c r="C4223" s="12">
        <v>5</v>
      </c>
      <c r="D4223" t="s">
        <v>5877</v>
      </c>
    </row>
    <row r="4224" spans="2:4" x14ac:dyDescent="0.35">
      <c r="B4224" s="9">
        <v>44036</v>
      </c>
      <c r="C4224" s="12">
        <v>4.4000000000000004</v>
      </c>
      <c r="D4224" t="s">
        <v>5877</v>
      </c>
    </row>
    <row r="4225" spans="2:4" x14ac:dyDescent="0.35">
      <c r="B4225" s="9">
        <v>44037</v>
      </c>
      <c r="C4225" s="12">
        <v>3.9</v>
      </c>
      <c r="D4225" t="s">
        <v>5877</v>
      </c>
    </row>
    <row r="4226" spans="2:4" x14ac:dyDescent="0.35">
      <c r="B4226" s="9">
        <v>44038</v>
      </c>
      <c r="C4226" s="12">
        <v>3.5</v>
      </c>
      <c r="D4226" t="s">
        <v>5877</v>
      </c>
    </row>
    <row r="4227" spans="2:4" x14ac:dyDescent="0.35">
      <c r="B4227" s="9">
        <v>44039</v>
      </c>
      <c r="C4227" s="12">
        <v>3.7</v>
      </c>
      <c r="D4227" t="s">
        <v>5877</v>
      </c>
    </row>
    <row r="4228" spans="2:4" x14ac:dyDescent="0.35">
      <c r="B4228" s="9">
        <v>44040</v>
      </c>
      <c r="C4228" s="12">
        <v>3.3</v>
      </c>
      <c r="D4228" t="s">
        <v>5877</v>
      </c>
    </row>
    <row r="4229" spans="2:4" x14ac:dyDescent="0.35">
      <c r="B4229" s="9">
        <v>44041</v>
      </c>
      <c r="C4229" s="12">
        <v>3</v>
      </c>
      <c r="D4229" t="s">
        <v>5877</v>
      </c>
    </row>
    <row r="4230" spans="2:4" x14ac:dyDescent="0.35">
      <c r="B4230" s="9">
        <v>44042</v>
      </c>
      <c r="C4230" s="12">
        <v>2.7</v>
      </c>
      <c r="D4230" t="s">
        <v>5877</v>
      </c>
    </row>
    <row r="4231" spans="2:4" x14ac:dyDescent="0.35">
      <c r="B4231" s="9">
        <v>44043</v>
      </c>
      <c r="C4231" s="12">
        <v>2.7</v>
      </c>
      <c r="D4231" t="s">
        <v>5877</v>
      </c>
    </row>
    <row r="4232" spans="2:4" x14ac:dyDescent="0.35">
      <c r="B4232" s="9">
        <v>44044</v>
      </c>
      <c r="C4232" s="12">
        <v>2.5</v>
      </c>
      <c r="D4232" t="s">
        <v>5877</v>
      </c>
    </row>
    <row r="4233" spans="2:4" x14ac:dyDescent="0.35">
      <c r="B4233" s="9">
        <v>44045</v>
      </c>
      <c r="C4233" s="12">
        <v>2.8</v>
      </c>
      <c r="D4233" t="s">
        <v>5877</v>
      </c>
    </row>
    <row r="4234" spans="2:4" x14ac:dyDescent="0.35">
      <c r="B4234" s="9">
        <v>44046</v>
      </c>
      <c r="C4234" s="12">
        <v>17.8</v>
      </c>
      <c r="D4234" t="s">
        <v>5877</v>
      </c>
    </row>
    <row r="4235" spans="2:4" x14ac:dyDescent="0.35">
      <c r="B4235" s="9">
        <v>44047</v>
      </c>
      <c r="C4235" s="12">
        <v>13.6</v>
      </c>
      <c r="D4235" t="s">
        <v>5877</v>
      </c>
    </row>
    <row r="4236" spans="2:4" x14ac:dyDescent="0.35">
      <c r="B4236" s="9">
        <v>44048</v>
      </c>
      <c r="C4236" s="12">
        <v>10</v>
      </c>
      <c r="D4236" t="s">
        <v>5877</v>
      </c>
    </row>
    <row r="4237" spans="2:4" x14ac:dyDescent="0.35">
      <c r="B4237" s="9">
        <v>44049</v>
      </c>
      <c r="C4237" s="12">
        <v>9.3000000000000007</v>
      </c>
      <c r="D4237" t="s">
        <v>5877</v>
      </c>
    </row>
    <row r="4238" spans="2:4" x14ac:dyDescent="0.35">
      <c r="B4238" s="9">
        <v>44050</v>
      </c>
      <c r="C4238" s="12">
        <v>10</v>
      </c>
      <c r="D4238" t="s">
        <v>5877</v>
      </c>
    </row>
    <row r="4239" spans="2:4" x14ac:dyDescent="0.35">
      <c r="B4239" s="9">
        <v>44051</v>
      </c>
      <c r="C4239" s="12">
        <v>10.6</v>
      </c>
      <c r="D4239" t="s">
        <v>5877</v>
      </c>
    </row>
    <row r="4240" spans="2:4" x14ac:dyDescent="0.35">
      <c r="B4240" s="9">
        <v>44052</v>
      </c>
      <c r="C4240" s="12">
        <v>42.5</v>
      </c>
      <c r="D4240" t="s">
        <v>5877</v>
      </c>
    </row>
    <row r="4241" spans="2:4" x14ac:dyDescent="0.35">
      <c r="B4241" s="9">
        <v>44053</v>
      </c>
      <c r="C4241" s="12">
        <v>40.1</v>
      </c>
      <c r="D4241" t="s">
        <v>5877</v>
      </c>
    </row>
    <row r="4242" spans="2:4" x14ac:dyDescent="0.35">
      <c r="B4242" s="9">
        <v>44054</v>
      </c>
      <c r="C4242" s="12">
        <v>29.2</v>
      </c>
      <c r="D4242" t="s">
        <v>5877</v>
      </c>
    </row>
    <row r="4243" spans="2:4" x14ac:dyDescent="0.35">
      <c r="B4243" s="9">
        <v>44055</v>
      </c>
      <c r="C4243" s="12">
        <v>28.9</v>
      </c>
      <c r="D4243" t="s">
        <v>5877</v>
      </c>
    </row>
    <row r="4244" spans="2:4" x14ac:dyDescent="0.35">
      <c r="B4244" s="9">
        <v>44056</v>
      </c>
      <c r="C4244" s="12">
        <v>24.2</v>
      </c>
      <c r="D4244" t="s">
        <v>5877</v>
      </c>
    </row>
    <row r="4245" spans="2:4" x14ac:dyDescent="0.35">
      <c r="B4245" s="9">
        <v>44057</v>
      </c>
      <c r="C4245" s="12">
        <v>23.6</v>
      </c>
      <c r="D4245" t="s">
        <v>5877</v>
      </c>
    </row>
    <row r="4246" spans="2:4" x14ac:dyDescent="0.35">
      <c r="B4246" s="9">
        <v>44058</v>
      </c>
      <c r="C4246" s="12">
        <v>20.100000000000001</v>
      </c>
      <c r="D4246" t="s">
        <v>5877</v>
      </c>
    </row>
    <row r="4247" spans="2:4" x14ac:dyDescent="0.35">
      <c r="B4247" s="9">
        <v>44059</v>
      </c>
      <c r="C4247" s="12">
        <v>17.8</v>
      </c>
      <c r="D4247" t="s">
        <v>5877</v>
      </c>
    </row>
    <row r="4248" spans="2:4" x14ac:dyDescent="0.35">
      <c r="B4248" s="9">
        <v>44060</v>
      </c>
      <c r="C4248" s="12">
        <v>15.9</v>
      </c>
      <c r="D4248" t="s">
        <v>5877</v>
      </c>
    </row>
    <row r="4249" spans="2:4" x14ac:dyDescent="0.35">
      <c r="B4249" s="9">
        <v>44061</v>
      </c>
      <c r="C4249" s="12">
        <v>14.6</v>
      </c>
      <c r="D4249" t="s">
        <v>5877</v>
      </c>
    </row>
    <row r="4250" spans="2:4" x14ac:dyDescent="0.35">
      <c r="B4250" s="9">
        <v>44062</v>
      </c>
      <c r="C4250" s="12">
        <v>27.8</v>
      </c>
      <c r="D4250" t="s">
        <v>5877</v>
      </c>
    </row>
    <row r="4251" spans="2:4" x14ac:dyDescent="0.35">
      <c r="B4251" s="9">
        <v>44063</v>
      </c>
      <c r="C4251" s="12">
        <v>51.7</v>
      </c>
      <c r="D4251" t="s">
        <v>5877</v>
      </c>
    </row>
    <row r="4252" spans="2:4" x14ac:dyDescent="0.35">
      <c r="B4252" s="9">
        <v>44064</v>
      </c>
      <c r="C4252" s="12">
        <v>44.4</v>
      </c>
      <c r="D4252" t="s">
        <v>5877</v>
      </c>
    </row>
    <row r="4253" spans="2:4" x14ac:dyDescent="0.35">
      <c r="B4253" s="9">
        <v>44065</v>
      </c>
      <c r="C4253" s="12">
        <v>56.9</v>
      </c>
      <c r="D4253" t="s">
        <v>5877</v>
      </c>
    </row>
    <row r="4254" spans="2:4" x14ac:dyDescent="0.35">
      <c r="B4254" s="9">
        <v>44066</v>
      </c>
      <c r="C4254" s="12">
        <v>41.8</v>
      </c>
      <c r="D4254" t="s">
        <v>5877</v>
      </c>
    </row>
    <row r="4255" spans="2:4" x14ac:dyDescent="0.35">
      <c r="B4255" s="9">
        <v>44067</v>
      </c>
      <c r="C4255" s="12">
        <v>32.1</v>
      </c>
      <c r="D4255" t="s">
        <v>5877</v>
      </c>
    </row>
    <row r="4256" spans="2:4" x14ac:dyDescent="0.35">
      <c r="B4256" s="9">
        <v>44068</v>
      </c>
      <c r="C4256" s="12">
        <v>25.8</v>
      </c>
      <c r="D4256" t="s">
        <v>5877</v>
      </c>
    </row>
    <row r="4257" spans="2:4" x14ac:dyDescent="0.35">
      <c r="B4257" s="9">
        <v>44069</v>
      </c>
      <c r="C4257" s="12">
        <v>31.9</v>
      </c>
      <c r="D4257" t="s">
        <v>5877</v>
      </c>
    </row>
    <row r="4258" spans="2:4" x14ac:dyDescent="0.35">
      <c r="B4258" s="9">
        <v>44070</v>
      </c>
      <c r="C4258" s="12">
        <v>66.7</v>
      </c>
      <c r="D4258" t="s">
        <v>5877</v>
      </c>
    </row>
    <row r="4259" spans="2:4" x14ac:dyDescent="0.35">
      <c r="B4259" s="9">
        <v>44071</v>
      </c>
      <c r="C4259" s="12">
        <v>66.8</v>
      </c>
      <c r="D4259" t="s">
        <v>5877</v>
      </c>
    </row>
    <row r="4260" spans="2:4" x14ac:dyDescent="0.35">
      <c r="B4260" s="9">
        <v>44072</v>
      </c>
      <c r="C4260" s="12">
        <v>50.8</v>
      </c>
      <c r="D4260" t="s">
        <v>5877</v>
      </c>
    </row>
    <row r="4261" spans="2:4" x14ac:dyDescent="0.35">
      <c r="B4261" s="9">
        <v>44073</v>
      </c>
      <c r="C4261" s="12">
        <v>41</v>
      </c>
      <c r="D4261" t="s">
        <v>5877</v>
      </c>
    </row>
    <row r="4262" spans="2:4" x14ac:dyDescent="0.35">
      <c r="B4262" s="9">
        <v>44074</v>
      </c>
      <c r="C4262" s="12">
        <v>67.400000000000006</v>
      </c>
      <c r="D4262" t="s">
        <v>5877</v>
      </c>
    </row>
    <row r="4263" spans="2:4" x14ac:dyDescent="0.35">
      <c r="B4263" s="9">
        <v>44075</v>
      </c>
      <c r="C4263" s="12">
        <v>93.3</v>
      </c>
      <c r="D4263" t="s">
        <v>5877</v>
      </c>
    </row>
    <row r="4264" spans="2:4" x14ac:dyDescent="0.35">
      <c r="B4264" s="9">
        <v>44076</v>
      </c>
      <c r="C4264" s="12">
        <v>89.9</v>
      </c>
      <c r="D4264" t="s">
        <v>5877</v>
      </c>
    </row>
    <row r="4265" spans="2:4" x14ac:dyDescent="0.35">
      <c r="B4265" s="9">
        <v>44077</v>
      </c>
      <c r="C4265" s="12">
        <v>88.6</v>
      </c>
      <c r="D4265" t="s">
        <v>5877</v>
      </c>
    </row>
    <row r="4266" spans="2:4" x14ac:dyDescent="0.35">
      <c r="B4266" s="9">
        <v>44078</v>
      </c>
      <c r="C4266" s="12">
        <v>63.2</v>
      </c>
      <c r="D4266" t="s">
        <v>5877</v>
      </c>
    </row>
    <row r="4267" spans="2:4" x14ac:dyDescent="0.35">
      <c r="B4267" s="9">
        <v>44079</v>
      </c>
      <c r="C4267" s="12">
        <v>47.9</v>
      </c>
      <c r="D4267" t="s">
        <v>5877</v>
      </c>
    </row>
    <row r="4268" spans="2:4" x14ac:dyDescent="0.35">
      <c r="B4268" s="9">
        <v>44080</v>
      </c>
      <c r="C4268" s="12">
        <v>39.4</v>
      </c>
      <c r="D4268" t="s">
        <v>5877</v>
      </c>
    </row>
    <row r="4269" spans="2:4" x14ac:dyDescent="0.35">
      <c r="B4269" s="9">
        <v>44081</v>
      </c>
      <c r="C4269" s="12">
        <v>51.1</v>
      </c>
      <c r="D4269" t="s">
        <v>5877</v>
      </c>
    </row>
    <row r="4270" spans="2:4" x14ac:dyDescent="0.35">
      <c r="B4270" s="9">
        <v>44082</v>
      </c>
      <c r="C4270" s="12">
        <v>75.599999999999994</v>
      </c>
      <c r="D4270" t="s">
        <v>5877</v>
      </c>
    </row>
    <row r="4271" spans="2:4" x14ac:dyDescent="0.35">
      <c r="B4271" s="9">
        <v>44083</v>
      </c>
      <c r="C4271" s="12">
        <v>92.6</v>
      </c>
      <c r="D4271" t="s">
        <v>5877</v>
      </c>
    </row>
    <row r="4272" spans="2:4" x14ac:dyDescent="0.35">
      <c r="B4272" s="9">
        <v>44084</v>
      </c>
      <c r="C4272" s="12">
        <v>67.599999999999994</v>
      </c>
      <c r="D4272" t="s">
        <v>5877</v>
      </c>
    </row>
    <row r="4273" spans="2:4" x14ac:dyDescent="0.35">
      <c r="B4273" s="9">
        <v>44085</v>
      </c>
      <c r="C4273" s="12">
        <v>50</v>
      </c>
      <c r="D4273" t="s">
        <v>5877</v>
      </c>
    </row>
    <row r="4274" spans="2:4" x14ac:dyDescent="0.35">
      <c r="B4274" s="9">
        <v>44086</v>
      </c>
      <c r="C4274" s="12">
        <v>51.6</v>
      </c>
      <c r="D4274" t="s">
        <v>5877</v>
      </c>
    </row>
    <row r="4275" spans="2:4" x14ac:dyDescent="0.35">
      <c r="B4275" s="9">
        <v>44087</v>
      </c>
      <c r="C4275" s="12">
        <v>45.7</v>
      </c>
      <c r="D4275" t="s">
        <v>5877</v>
      </c>
    </row>
    <row r="4276" spans="2:4" x14ac:dyDescent="0.35">
      <c r="B4276" s="9">
        <v>44088</v>
      </c>
      <c r="C4276" s="12">
        <v>66</v>
      </c>
      <c r="D4276" t="s">
        <v>5877</v>
      </c>
    </row>
    <row r="4277" spans="2:4" x14ac:dyDescent="0.35">
      <c r="B4277" s="9">
        <v>44089</v>
      </c>
      <c r="C4277" s="12">
        <v>86.3</v>
      </c>
      <c r="D4277" t="s">
        <v>5877</v>
      </c>
    </row>
    <row r="4278" spans="2:4" x14ac:dyDescent="0.35">
      <c r="B4278" s="9">
        <v>44090</v>
      </c>
      <c r="C4278" s="12">
        <v>69</v>
      </c>
      <c r="D4278" t="s">
        <v>5877</v>
      </c>
    </row>
    <row r="4279" spans="2:4" x14ac:dyDescent="0.35">
      <c r="B4279" s="9">
        <v>44091</v>
      </c>
      <c r="C4279" s="12">
        <v>73.3</v>
      </c>
      <c r="D4279" t="s">
        <v>5877</v>
      </c>
    </row>
    <row r="4280" spans="2:4" x14ac:dyDescent="0.35">
      <c r="B4280" s="9">
        <v>44092</v>
      </c>
      <c r="C4280" s="12">
        <v>71.5</v>
      </c>
      <c r="D4280" t="s">
        <v>5877</v>
      </c>
    </row>
    <row r="4281" spans="2:4" x14ac:dyDescent="0.35">
      <c r="B4281" s="9">
        <v>44093</v>
      </c>
      <c r="C4281" s="12">
        <v>77.3</v>
      </c>
      <c r="D4281" t="s">
        <v>5877</v>
      </c>
    </row>
    <row r="4282" spans="2:4" x14ac:dyDescent="0.35">
      <c r="B4282" s="9">
        <v>44094</v>
      </c>
      <c r="C4282" s="12">
        <v>73.7</v>
      </c>
      <c r="D4282" t="s">
        <v>5877</v>
      </c>
    </row>
    <row r="4283" spans="2:4" x14ac:dyDescent="0.35">
      <c r="B4283" s="9">
        <v>44095</v>
      </c>
      <c r="C4283" s="12">
        <v>67.3</v>
      </c>
      <c r="D4283" t="s">
        <v>5877</v>
      </c>
    </row>
    <row r="4284" spans="2:4" x14ac:dyDescent="0.35">
      <c r="B4284" s="9">
        <v>44096</v>
      </c>
      <c r="C4284" s="12">
        <v>107.4</v>
      </c>
      <c r="D4284" t="s">
        <v>5877</v>
      </c>
    </row>
    <row r="4285" spans="2:4" x14ac:dyDescent="0.35">
      <c r="B4285" s="9">
        <v>44097</v>
      </c>
      <c r="C4285" s="12">
        <v>81.400000000000006</v>
      </c>
      <c r="D4285" t="s">
        <v>5877</v>
      </c>
    </row>
    <row r="4286" spans="2:4" x14ac:dyDescent="0.35">
      <c r="B4286" s="9">
        <v>44098</v>
      </c>
      <c r="C4286" s="12">
        <v>65.5</v>
      </c>
      <c r="D4286" t="s">
        <v>5877</v>
      </c>
    </row>
    <row r="4287" spans="2:4" x14ac:dyDescent="0.35">
      <c r="B4287" s="9">
        <v>44099</v>
      </c>
      <c r="C4287" s="12">
        <v>80.7</v>
      </c>
      <c r="D4287" t="s">
        <v>5877</v>
      </c>
    </row>
    <row r="4288" spans="2:4" x14ac:dyDescent="0.35">
      <c r="B4288" s="9">
        <v>44100</v>
      </c>
      <c r="C4288" s="12">
        <v>81.599999999999994</v>
      </c>
      <c r="D4288" t="s">
        <v>5877</v>
      </c>
    </row>
    <row r="4289" spans="2:4" x14ac:dyDescent="0.35">
      <c r="B4289" s="9">
        <v>44101</v>
      </c>
      <c r="C4289" s="12">
        <v>66</v>
      </c>
      <c r="D4289" t="s">
        <v>5877</v>
      </c>
    </row>
    <row r="4290" spans="2:4" x14ac:dyDescent="0.35">
      <c r="B4290" s="9">
        <v>44102</v>
      </c>
      <c r="C4290" s="12">
        <v>112.3</v>
      </c>
      <c r="D4290" t="s">
        <v>5877</v>
      </c>
    </row>
    <row r="4291" spans="2:4" x14ac:dyDescent="0.35">
      <c r="B4291" s="9">
        <v>44103</v>
      </c>
      <c r="C4291" s="12">
        <v>94</v>
      </c>
      <c r="D4291" t="s">
        <v>5877</v>
      </c>
    </row>
    <row r="4292" spans="2:4" x14ac:dyDescent="0.35">
      <c r="B4292" s="9">
        <v>44104</v>
      </c>
      <c r="C4292" s="12">
        <v>125.3</v>
      </c>
      <c r="D4292" t="s">
        <v>5877</v>
      </c>
    </row>
    <row r="4293" spans="2:4" x14ac:dyDescent="0.35">
      <c r="B4293" s="9">
        <v>44105</v>
      </c>
      <c r="C4293" s="12">
        <v>93.9</v>
      </c>
      <c r="D4293" t="s">
        <v>5877</v>
      </c>
    </row>
    <row r="4294" spans="2:4" x14ac:dyDescent="0.35">
      <c r="B4294" s="9">
        <v>44106</v>
      </c>
      <c r="C4294" s="12">
        <v>114.7</v>
      </c>
      <c r="D4294" t="s">
        <v>5877</v>
      </c>
    </row>
    <row r="4295" spans="2:4" x14ac:dyDescent="0.35">
      <c r="B4295" s="9">
        <v>44107</v>
      </c>
      <c r="C4295" s="12">
        <v>100.5</v>
      </c>
      <c r="D4295" t="s">
        <v>5877</v>
      </c>
    </row>
    <row r="4296" spans="2:4" x14ac:dyDescent="0.35">
      <c r="B4296" s="9">
        <v>44108</v>
      </c>
      <c r="C4296" s="12">
        <v>109.3</v>
      </c>
      <c r="D4296" t="s">
        <v>5877</v>
      </c>
    </row>
    <row r="4297" spans="2:4" x14ac:dyDescent="0.35">
      <c r="B4297" s="9">
        <v>44109</v>
      </c>
      <c r="C4297" s="12">
        <v>84.2</v>
      </c>
      <c r="D4297" t="s">
        <v>5877</v>
      </c>
    </row>
    <row r="4298" spans="2:4" x14ac:dyDescent="0.35">
      <c r="B4298" s="9">
        <v>44110</v>
      </c>
      <c r="C4298" s="12">
        <v>74.3</v>
      </c>
      <c r="D4298" t="s">
        <v>5877</v>
      </c>
    </row>
    <row r="4299" spans="2:4" x14ac:dyDescent="0.35">
      <c r="B4299" s="9">
        <v>44111</v>
      </c>
      <c r="C4299" s="12">
        <v>73</v>
      </c>
      <c r="D4299" t="s">
        <v>5877</v>
      </c>
    </row>
    <row r="4300" spans="2:4" x14ac:dyDescent="0.35">
      <c r="B4300" s="9">
        <v>44112</v>
      </c>
      <c r="C4300" s="12">
        <v>93.5</v>
      </c>
      <c r="D4300" t="s">
        <v>5877</v>
      </c>
    </row>
    <row r="4301" spans="2:4" x14ac:dyDescent="0.35">
      <c r="B4301" s="9">
        <v>44113</v>
      </c>
      <c r="C4301" s="12">
        <v>114.7</v>
      </c>
      <c r="D4301" t="s">
        <v>5877</v>
      </c>
    </row>
    <row r="4302" spans="2:4" x14ac:dyDescent="0.35">
      <c r="B4302" s="9">
        <v>44114</v>
      </c>
      <c r="C4302" s="12">
        <v>132</v>
      </c>
      <c r="D4302" t="s">
        <v>5877</v>
      </c>
    </row>
    <row r="4303" spans="2:4" x14ac:dyDescent="0.35">
      <c r="B4303" s="9">
        <v>44115</v>
      </c>
      <c r="C4303" s="12">
        <v>95.1</v>
      </c>
      <c r="D4303" t="s">
        <v>5877</v>
      </c>
    </row>
    <row r="4304" spans="2:4" x14ac:dyDescent="0.35">
      <c r="B4304" s="9">
        <v>44116</v>
      </c>
      <c r="C4304" s="12">
        <v>75.7</v>
      </c>
      <c r="D4304" t="s">
        <v>5877</v>
      </c>
    </row>
    <row r="4305" spans="2:4" x14ac:dyDescent="0.35">
      <c r="B4305" s="9">
        <v>44117</v>
      </c>
      <c r="C4305" s="12">
        <v>129.30000000000001</v>
      </c>
      <c r="D4305" t="s">
        <v>5877</v>
      </c>
    </row>
    <row r="4306" spans="2:4" x14ac:dyDescent="0.35">
      <c r="B4306" s="9">
        <v>44118</v>
      </c>
      <c r="C4306" s="12">
        <v>133.80000000000001</v>
      </c>
      <c r="D4306" t="s">
        <v>5877</v>
      </c>
    </row>
    <row r="4307" spans="2:4" x14ac:dyDescent="0.35">
      <c r="B4307" s="9">
        <v>44119</v>
      </c>
      <c r="C4307" s="12">
        <v>110.5</v>
      </c>
      <c r="D4307" t="s">
        <v>5877</v>
      </c>
    </row>
    <row r="4308" spans="2:4" x14ac:dyDescent="0.35">
      <c r="B4308" s="9">
        <v>44120</v>
      </c>
      <c r="C4308" s="12">
        <v>121.2</v>
      </c>
      <c r="D4308" t="s">
        <v>5877</v>
      </c>
    </row>
    <row r="4309" spans="2:4" x14ac:dyDescent="0.35">
      <c r="B4309" s="9">
        <v>44121</v>
      </c>
      <c r="C4309" s="12">
        <v>130.30000000000001</v>
      </c>
      <c r="D4309" t="s">
        <v>5877</v>
      </c>
    </row>
    <row r="4310" spans="2:4" x14ac:dyDescent="0.35">
      <c r="B4310" s="9">
        <v>44122</v>
      </c>
      <c r="C4310" s="12">
        <v>111.3</v>
      </c>
      <c r="D4310" t="s">
        <v>5877</v>
      </c>
    </row>
    <row r="4311" spans="2:4" x14ac:dyDescent="0.35">
      <c r="B4311" s="9">
        <v>44123</v>
      </c>
      <c r="C4311" s="12">
        <v>126.8</v>
      </c>
      <c r="D4311" t="s">
        <v>5877</v>
      </c>
    </row>
    <row r="4312" spans="2:4" x14ac:dyDescent="0.35">
      <c r="B4312" s="9">
        <v>44124</v>
      </c>
      <c r="C4312" s="12">
        <v>121.9</v>
      </c>
      <c r="D4312" t="s">
        <v>5877</v>
      </c>
    </row>
    <row r="4313" spans="2:4" x14ac:dyDescent="0.35">
      <c r="B4313" s="9">
        <v>44125</v>
      </c>
      <c r="C4313" s="12">
        <v>108.1</v>
      </c>
      <c r="D4313" t="s">
        <v>5877</v>
      </c>
    </row>
    <row r="4314" spans="2:4" x14ac:dyDescent="0.35">
      <c r="B4314" s="9">
        <v>44126</v>
      </c>
      <c r="C4314" s="12">
        <v>87.5</v>
      </c>
      <c r="D4314" t="s">
        <v>5877</v>
      </c>
    </row>
    <row r="4315" spans="2:4" x14ac:dyDescent="0.35">
      <c r="B4315" s="9">
        <v>44127</v>
      </c>
      <c r="C4315" s="12">
        <v>158.30000000000001</v>
      </c>
      <c r="D4315" t="s">
        <v>5877</v>
      </c>
    </row>
    <row r="4316" spans="2:4" x14ac:dyDescent="0.35">
      <c r="B4316" s="9">
        <v>44128</v>
      </c>
      <c r="C4316" s="12">
        <v>122.9</v>
      </c>
      <c r="D4316" t="s">
        <v>5877</v>
      </c>
    </row>
    <row r="4317" spans="2:4" x14ac:dyDescent="0.35">
      <c r="B4317" s="9">
        <v>44129</v>
      </c>
      <c r="C4317" s="12">
        <v>96.2</v>
      </c>
      <c r="D4317" t="s">
        <v>5877</v>
      </c>
    </row>
    <row r="4318" spans="2:4" x14ac:dyDescent="0.35">
      <c r="B4318" s="9">
        <v>44130</v>
      </c>
      <c r="C4318" s="12">
        <v>130.1</v>
      </c>
      <c r="D4318" t="s">
        <v>5877</v>
      </c>
    </row>
    <row r="4319" spans="2:4" x14ac:dyDescent="0.35">
      <c r="B4319" s="9">
        <v>44131</v>
      </c>
      <c r="C4319" s="12">
        <v>133.30000000000001</v>
      </c>
      <c r="D4319" t="s">
        <v>5877</v>
      </c>
    </row>
    <row r="4320" spans="2:4" x14ac:dyDescent="0.35">
      <c r="B4320" s="9">
        <v>44132</v>
      </c>
      <c r="C4320" s="12">
        <v>131.69999999999999</v>
      </c>
      <c r="D4320" t="s">
        <v>5877</v>
      </c>
    </row>
    <row r="4321" spans="2:4" x14ac:dyDescent="0.35">
      <c r="B4321" s="9">
        <v>44133</v>
      </c>
      <c r="C4321" s="12">
        <v>123.1</v>
      </c>
      <c r="D4321" t="s">
        <v>5877</v>
      </c>
    </row>
    <row r="4322" spans="2:4" x14ac:dyDescent="0.35">
      <c r="B4322" s="9">
        <v>44134</v>
      </c>
      <c r="C4322" s="12">
        <v>113.3</v>
      </c>
      <c r="D4322" t="s">
        <v>5877</v>
      </c>
    </row>
    <row r="4323" spans="2:4" x14ac:dyDescent="0.35">
      <c r="B4323" s="9">
        <v>44135</v>
      </c>
      <c r="C4323" s="12">
        <v>128</v>
      </c>
      <c r="D4323" t="s">
        <v>5877</v>
      </c>
    </row>
    <row r="4324" spans="2:4" x14ac:dyDescent="0.35">
      <c r="B4324" s="9">
        <v>44136</v>
      </c>
      <c r="C4324" s="12">
        <v>108.9</v>
      </c>
      <c r="D4324" t="s">
        <v>5877</v>
      </c>
    </row>
    <row r="4325" spans="2:4" x14ac:dyDescent="0.35">
      <c r="B4325" s="9">
        <v>44137</v>
      </c>
      <c r="C4325" s="12">
        <v>85.4</v>
      </c>
      <c r="D4325" t="s">
        <v>5877</v>
      </c>
    </row>
    <row r="4326" spans="2:4" x14ac:dyDescent="0.35">
      <c r="B4326" s="9">
        <v>44138</v>
      </c>
      <c r="C4326" s="12">
        <v>121.6</v>
      </c>
      <c r="D4326" t="s">
        <v>5877</v>
      </c>
    </row>
    <row r="4327" spans="2:4" x14ac:dyDescent="0.35">
      <c r="B4327" s="9">
        <v>44139</v>
      </c>
      <c r="C4327" s="12">
        <v>156</v>
      </c>
      <c r="D4327" t="s">
        <v>5877</v>
      </c>
    </row>
    <row r="4328" spans="2:4" x14ac:dyDescent="0.35">
      <c r="B4328" s="9">
        <v>44140</v>
      </c>
      <c r="C4328" s="12">
        <v>157.6</v>
      </c>
      <c r="D4328" t="s">
        <v>5877</v>
      </c>
    </row>
    <row r="4329" spans="2:4" x14ac:dyDescent="0.35">
      <c r="B4329" s="9">
        <v>44141</v>
      </c>
      <c r="C4329" s="12">
        <v>191.8</v>
      </c>
      <c r="D4329" t="s">
        <v>5877</v>
      </c>
    </row>
    <row r="4330" spans="2:4" x14ac:dyDescent="0.35">
      <c r="B4330" s="9">
        <v>44142</v>
      </c>
      <c r="C4330" s="12">
        <v>183.4</v>
      </c>
      <c r="D4330" t="s">
        <v>5877</v>
      </c>
    </row>
    <row r="4331" spans="2:4" x14ac:dyDescent="0.35">
      <c r="B4331" s="9">
        <v>44143</v>
      </c>
      <c r="C4331" s="12">
        <v>124.7</v>
      </c>
      <c r="D4331" t="s">
        <v>5877</v>
      </c>
    </row>
    <row r="4332" spans="2:4" x14ac:dyDescent="0.35">
      <c r="B4332" s="9">
        <v>44144</v>
      </c>
      <c r="C4332" s="12">
        <v>125.2</v>
      </c>
      <c r="D4332" t="s">
        <v>5877</v>
      </c>
    </row>
    <row r="4333" spans="2:4" x14ac:dyDescent="0.35">
      <c r="B4333" s="9">
        <v>44145</v>
      </c>
      <c r="C4333" s="12">
        <v>171</v>
      </c>
      <c r="D4333" t="s">
        <v>5877</v>
      </c>
    </row>
    <row r="4334" spans="2:4" x14ac:dyDescent="0.35">
      <c r="B4334" s="9">
        <v>44146</v>
      </c>
      <c r="C4334" s="12">
        <v>135.5</v>
      </c>
      <c r="D4334" t="s">
        <v>5877</v>
      </c>
    </row>
    <row r="4335" spans="2:4" x14ac:dyDescent="0.35">
      <c r="B4335" s="9">
        <v>44147</v>
      </c>
      <c r="C4335" s="12">
        <v>103.4</v>
      </c>
      <c r="D4335" t="s">
        <v>5877</v>
      </c>
    </row>
    <row r="4336" spans="2:4" x14ac:dyDescent="0.35">
      <c r="B4336" s="9">
        <v>44148</v>
      </c>
      <c r="C4336" s="12">
        <v>91.6</v>
      </c>
      <c r="D4336" t="s">
        <v>5877</v>
      </c>
    </row>
    <row r="4337" spans="2:4" x14ac:dyDescent="0.35">
      <c r="B4337" s="9">
        <v>44149</v>
      </c>
      <c r="C4337" s="12">
        <v>131.30000000000001</v>
      </c>
      <c r="D4337" t="s">
        <v>5877</v>
      </c>
    </row>
    <row r="4338" spans="2:4" x14ac:dyDescent="0.35">
      <c r="B4338" s="9">
        <v>44150</v>
      </c>
      <c r="C4338" s="12">
        <v>123.8</v>
      </c>
      <c r="D4338" t="s">
        <v>5877</v>
      </c>
    </row>
    <row r="4339" spans="2:4" x14ac:dyDescent="0.35">
      <c r="B4339" s="9">
        <v>44151</v>
      </c>
      <c r="C4339" s="12">
        <v>99.3</v>
      </c>
      <c r="D4339" t="s">
        <v>5877</v>
      </c>
    </row>
    <row r="4340" spans="2:4" x14ac:dyDescent="0.35">
      <c r="B4340" s="9">
        <v>44152</v>
      </c>
      <c r="C4340" s="12">
        <v>127.7</v>
      </c>
      <c r="D4340" t="s">
        <v>5877</v>
      </c>
    </row>
    <row r="4341" spans="2:4" x14ac:dyDescent="0.35">
      <c r="B4341" s="9">
        <v>44153</v>
      </c>
      <c r="C4341" s="12">
        <v>145.19999999999999</v>
      </c>
      <c r="D4341" t="s">
        <v>5877</v>
      </c>
    </row>
    <row r="4342" spans="2:4" x14ac:dyDescent="0.35">
      <c r="B4342" s="9">
        <v>44154</v>
      </c>
      <c r="C4342" s="12">
        <v>112.2</v>
      </c>
      <c r="D4342" t="s">
        <v>5877</v>
      </c>
    </row>
    <row r="4343" spans="2:4" x14ac:dyDescent="0.35">
      <c r="B4343" s="9">
        <v>44155</v>
      </c>
      <c r="C4343" s="12">
        <v>108.8</v>
      </c>
      <c r="D4343" t="s">
        <v>5877</v>
      </c>
    </row>
    <row r="4344" spans="2:4" x14ac:dyDescent="0.35">
      <c r="B4344" s="9">
        <v>44156</v>
      </c>
      <c r="C4344" s="12">
        <v>164.2</v>
      </c>
      <c r="D4344" t="s">
        <v>5877</v>
      </c>
    </row>
    <row r="4345" spans="2:4" x14ac:dyDescent="0.35">
      <c r="B4345" s="9">
        <v>44157</v>
      </c>
      <c r="C4345" s="12">
        <v>156</v>
      </c>
      <c r="D4345" t="s">
        <v>5877</v>
      </c>
    </row>
    <row r="4346" spans="2:4" x14ac:dyDescent="0.35">
      <c r="B4346" s="9">
        <v>44158</v>
      </c>
      <c r="C4346" s="12">
        <v>148.1</v>
      </c>
      <c r="D4346" t="s">
        <v>5877</v>
      </c>
    </row>
    <row r="4347" spans="2:4" x14ac:dyDescent="0.35">
      <c r="B4347" s="9">
        <v>44159</v>
      </c>
      <c r="C4347" s="12">
        <v>160.4</v>
      </c>
      <c r="D4347" t="s">
        <v>5877</v>
      </c>
    </row>
    <row r="4348" spans="2:4" x14ac:dyDescent="0.35">
      <c r="B4348" s="9">
        <v>44160</v>
      </c>
      <c r="C4348" s="12">
        <v>235.2</v>
      </c>
      <c r="D4348" t="s">
        <v>5877</v>
      </c>
    </row>
    <row r="4349" spans="2:4" x14ac:dyDescent="0.35">
      <c r="B4349" s="9">
        <v>44161</v>
      </c>
      <c r="C4349" s="12">
        <v>235</v>
      </c>
      <c r="D4349" t="s">
        <v>5877</v>
      </c>
    </row>
    <row r="4350" spans="2:4" x14ac:dyDescent="0.35">
      <c r="B4350" s="9">
        <v>44162</v>
      </c>
      <c r="C4350" s="12">
        <v>172.8</v>
      </c>
      <c r="D4350" t="s">
        <v>5877</v>
      </c>
    </row>
    <row r="4351" spans="2:4" x14ac:dyDescent="0.35">
      <c r="B4351" s="9">
        <v>44163</v>
      </c>
      <c r="C4351" s="12">
        <v>194.1</v>
      </c>
      <c r="D4351" t="s">
        <v>5877</v>
      </c>
    </row>
    <row r="4352" spans="2:4" x14ac:dyDescent="0.35">
      <c r="B4352" s="9">
        <v>44164</v>
      </c>
      <c r="C4352" s="12">
        <v>186</v>
      </c>
      <c r="D4352" t="s">
        <v>5877</v>
      </c>
    </row>
    <row r="4353" spans="2:4" x14ac:dyDescent="0.35">
      <c r="B4353" s="9">
        <v>44165</v>
      </c>
      <c r="C4353" s="12">
        <v>171.1</v>
      </c>
      <c r="D4353" t="s">
        <v>5877</v>
      </c>
    </row>
    <row r="4354" spans="2:4" x14ac:dyDescent="0.35">
      <c r="B4354" s="9">
        <v>44166</v>
      </c>
      <c r="C4354" s="12">
        <v>124.3</v>
      </c>
      <c r="D4354" t="s">
        <v>5877</v>
      </c>
    </row>
    <row r="4355" spans="2:4" x14ac:dyDescent="0.35">
      <c r="B4355" s="9">
        <v>44167</v>
      </c>
      <c r="C4355" s="12">
        <v>120.5</v>
      </c>
      <c r="D4355" t="s">
        <v>5877</v>
      </c>
    </row>
    <row r="4356" spans="2:4" x14ac:dyDescent="0.35">
      <c r="B4356" s="9">
        <v>44168</v>
      </c>
      <c r="C4356" s="12">
        <v>103.5</v>
      </c>
      <c r="D4356" t="s">
        <v>5877</v>
      </c>
    </row>
    <row r="4357" spans="2:4" x14ac:dyDescent="0.35">
      <c r="B4357" s="9">
        <v>44169</v>
      </c>
      <c r="C4357" s="12">
        <v>133.6</v>
      </c>
      <c r="D4357" t="s">
        <v>5877</v>
      </c>
    </row>
    <row r="4358" spans="2:4" x14ac:dyDescent="0.35">
      <c r="B4358" s="9">
        <v>44170</v>
      </c>
      <c r="C4358" s="12">
        <v>149.30000000000001</v>
      </c>
      <c r="D4358" t="s">
        <v>5877</v>
      </c>
    </row>
    <row r="4359" spans="2:4" x14ac:dyDescent="0.35">
      <c r="B4359" s="9">
        <v>44171</v>
      </c>
      <c r="C4359" s="12">
        <v>126</v>
      </c>
      <c r="D4359" t="s">
        <v>5877</v>
      </c>
    </row>
    <row r="4360" spans="2:4" x14ac:dyDescent="0.35">
      <c r="B4360" s="9">
        <v>44172</v>
      </c>
      <c r="C4360" s="12">
        <v>102.2</v>
      </c>
      <c r="D4360" t="s">
        <v>5877</v>
      </c>
    </row>
    <row r="4361" spans="2:4" x14ac:dyDescent="0.35">
      <c r="B4361" s="9">
        <v>44173</v>
      </c>
      <c r="C4361" s="12">
        <v>112</v>
      </c>
      <c r="D4361" t="s">
        <v>5877</v>
      </c>
    </row>
    <row r="4362" spans="2:4" x14ac:dyDescent="0.35">
      <c r="B4362" s="9">
        <v>44174</v>
      </c>
      <c r="C4362" s="12">
        <v>97.6</v>
      </c>
      <c r="D4362" t="s">
        <v>5877</v>
      </c>
    </row>
    <row r="4363" spans="2:4" x14ac:dyDescent="0.35">
      <c r="B4363" s="9">
        <v>44175</v>
      </c>
      <c r="C4363" s="12">
        <v>130.19999999999999</v>
      </c>
      <c r="D4363" t="s">
        <v>5877</v>
      </c>
    </row>
    <row r="4364" spans="2:4" x14ac:dyDescent="0.35">
      <c r="B4364" s="9">
        <v>44176</v>
      </c>
      <c r="C4364" s="12">
        <v>104.2</v>
      </c>
      <c r="D4364" t="s">
        <v>5877</v>
      </c>
    </row>
    <row r="4365" spans="2:4" x14ac:dyDescent="0.35">
      <c r="B4365" s="9">
        <v>44177</v>
      </c>
      <c r="C4365" s="12">
        <v>138</v>
      </c>
      <c r="D4365" t="s">
        <v>5877</v>
      </c>
    </row>
    <row r="4366" spans="2:4" x14ac:dyDescent="0.35">
      <c r="B4366" s="9">
        <v>44178</v>
      </c>
      <c r="C4366" s="12">
        <v>146.1</v>
      </c>
      <c r="D4366" t="s">
        <v>5877</v>
      </c>
    </row>
    <row r="4367" spans="2:4" x14ac:dyDescent="0.35">
      <c r="B4367" s="9">
        <v>44179</v>
      </c>
      <c r="C4367" s="12">
        <v>110.8</v>
      </c>
      <c r="D4367" t="s">
        <v>5877</v>
      </c>
    </row>
    <row r="4368" spans="2:4" x14ac:dyDescent="0.35">
      <c r="B4368" s="9">
        <v>44180</v>
      </c>
      <c r="C4368" s="12">
        <v>93.7</v>
      </c>
      <c r="D4368" t="s">
        <v>5877</v>
      </c>
    </row>
    <row r="4369" spans="2:4" x14ac:dyDescent="0.35">
      <c r="B4369" s="9">
        <v>44181</v>
      </c>
      <c r="C4369" s="12">
        <v>84.2</v>
      </c>
      <c r="D4369" t="s">
        <v>5877</v>
      </c>
    </row>
    <row r="4370" spans="2:4" x14ac:dyDescent="0.35">
      <c r="B4370" s="9">
        <v>44182</v>
      </c>
      <c r="C4370" s="12">
        <v>97.5</v>
      </c>
      <c r="D4370" t="s">
        <v>5877</v>
      </c>
    </row>
    <row r="4371" spans="2:4" x14ac:dyDescent="0.35">
      <c r="B4371" s="9">
        <v>44183</v>
      </c>
      <c r="C4371" s="12">
        <v>169.2</v>
      </c>
      <c r="D4371" t="s">
        <v>5877</v>
      </c>
    </row>
    <row r="4372" spans="2:4" x14ac:dyDescent="0.35">
      <c r="B4372" s="9">
        <v>44184</v>
      </c>
      <c r="C4372" s="12">
        <v>167.3</v>
      </c>
      <c r="D4372" t="s">
        <v>5877</v>
      </c>
    </row>
    <row r="4373" spans="2:4" x14ac:dyDescent="0.35">
      <c r="B4373" s="9">
        <v>44185</v>
      </c>
      <c r="C4373" s="12">
        <v>187.3</v>
      </c>
      <c r="D4373" t="s">
        <v>5877</v>
      </c>
    </row>
    <row r="4374" spans="2:4" x14ac:dyDescent="0.35">
      <c r="B4374" s="9">
        <v>44186</v>
      </c>
      <c r="C4374" s="12">
        <v>136.80000000000001</v>
      </c>
      <c r="D4374" t="s">
        <v>5877</v>
      </c>
    </row>
    <row r="4375" spans="2:4" x14ac:dyDescent="0.35">
      <c r="B4375" s="9">
        <v>44187</v>
      </c>
      <c r="C4375" s="12">
        <v>107.3</v>
      </c>
      <c r="D4375" t="s">
        <v>5877</v>
      </c>
    </row>
    <row r="4376" spans="2:4" x14ac:dyDescent="0.35">
      <c r="B4376" s="9">
        <v>44188</v>
      </c>
      <c r="C4376" s="12">
        <v>159.4</v>
      </c>
      <c r="D4376" t="s">
        <v>5877</v>
      </c>
    </row>
    <row r="4377" spans="2:4" x14ac:dyDescent="0.35">
      <c r="B4377" s="9">
        <v>44189</v>
      </c>
      <c r="C4377" s="12">
        <v>157.9</v>
      </c>
      <c r="D4377" t="s">
        <v>5877</v>
      </c>
    </row>
    <row r="4378" spans="2:4" x14ac:dyDescent="0.35">
      <c r="B4378" s="9">
        <v>44190</v>
      </c>
      <c r="C4378" s="12">
        <v>120.1</v>
      </c>
      <c r="D4378" t="s">
        <v>5877</v>
      </c>
    </row>
    <row r="4379" spans="2:4" x14ac:dyDescent="0.35">
      <c r="B4379" s="9">
        <v>44191</v>
      </c>
      <c r="C4379" s="12">
        <v>101.6</v>
      </c>
      <c r="D4379" t="s">
        <v>5877</v>
      </c>
    </row>
    <row r="4380" spans="2:4" x14ac:dyDescent="0.35">
      <c r="B4380" s="9">
        <v>44192</v>
      </c>
      <c r="C4380" s="12">
        <v>99.6</v>
      </c>
      <c r="D4380" t="s">
        <v>5877</v>
      </c>
    </row>
    <row r="4381" spans="2:4" x14ac:dyDescent="0.35">
      <c r="B4381" s="9">
        <v>44193</v>
      </c>
      <c r="C4381" s="12">
        <v>104.1</v>
      </c>
      <c r="D4381" t="s">
        <v>5877</v>
      </c>
    </row>
    <row r="4382" spans="2:4" x14ac:dyDescent="0.35">
      <c r="B4382" s="9">
        <v>44194</v>
      </c>
      <c r="C4382" s="12">
        <v>170.9</v>
      </c>
      <c r="D4382" t="s">
        <v>5877</v>
      </c>
    </row>
    <row r="4383" spans="2:4" x14ac:dyDescent="0.35">
      <c r="B4383" s="9">
        <v>44195</v>
      </c>
      <c r="C4383" s="12">
        <v>173.4</v>
      </c>
      <c r="D4383" t="s">
        <v>5877</v>
      </c>
    </row>
    <row r="4384" spans="2:4" x14ac:dyDescent="0.35">
      <c r="B4384" s="9">
        <v>44196</v>
      </c>
      <c r="C4384" s="12">
        <v>182.9</v>
      </c>
      <c r="D4384" t="s">
        <v>5877</v>
      </c>
    </row>
    <row r="4385" spans="2:4" x14ac:dyDescent="0.35">
      <c r="B4385" s="9">
        <v>44197</v>
      </c>
      <c r="C4385" s="12">
        <v>147.6</v>
      </c>
      <c r="D4385" t="s">
        <v>5877</v>
      </c>
    </row>
    <row r="4386" spans="2:4" x14ac:dyDescent="0.35">
      <c r="B4386" s="9">
        <v>44198</v>
      </c>
      <c r="C4386" s="12">
        <v>175</v>
      </c>
      <c r="D4386" t="s">
        <v>5877</v>
      </c>
    </row>
    <row r="4387" spans="2:4" x14ac:dyDescent="0.35">
      <c r="B4387" s="9">
        <v>44199</v>
      </c>
      <c r="C4387" s="12">
        <v>180.7</v>
      </c>
      <c r="D4387" t="s">
        <v>5877</v>
      </c>
    </row>
    <row r="4388" spans="2:4" x14ac:dyDescent="0.35">
      <c r="B4388" s="9">
        <v>44200</v>
      </c>
      <c r="C4388" s="12">
        <v>168.8</v>
      </c>
      <c r="D4388" t="s">
        <v>5877</v>
      </c>
    </row>
    <row r="4389" spans="2:4" x14ac:dyDescent="0.35">
      <c r="B4389" s="9">
        <v>44201</v>
      </c>
      <c r="C4389" s="12">
        <v>172.1</v>
      </c>
      <c r="D4389" t="s">
        <v>5877</v>
      </c>
    </row>
    <row r="4390" spans="2:4" x14ac:dyDescent="0.35">
      <c r="B4390" s="9">
        <v>44202</v>
      </c>
      <c r="C4390" s="12">
        <v>181.7</v>
      </c>
      <c r="D4390" t="s">
        <v>5877</v>
      </c>
    </row>
    <row r="4391" spans="2:4" x14ac:dyDescent="0.35">
      <c r="B4391" s="9">
        <v>44203</v>
      </c>
      <c r="C4391" s="12">
        <v>187.3</v>
      </c>
      <c r="D4391" t="s">
        <v>5877</v>
      </c>
    </row>
    <row r="4392" spans="2:4" x14ac:dyDescent="0.35">
      <c r="B4392" s="9">
        <v>44204</v>
      </c>
      <c r="C4392" s="12">
        <v>194</v>
      </c>
      <c r="D4392" t="s">
        <v>5877</v>
      </c>
    </row>
    <row r="4393" spans="2:4" x14ac:dyDescent="0.35">
      <c r="B4393" s="9">
        <v>44205</v>
      </c>
      <c r="C4393" s="12">
        <v>170.4</v>
      </c>
      <c r="D4393" t="s">
        <v>5877</v>
      </c>
    </row>
    <row r="4394" spans="2:4" x14ac:dyDescent="0.35">
      <c r="B4394" s="9">
        <v>44206</v>
      </c>
      <c r="C4394" s="12">
        <v>138.69999999999999</v>
      </c>
      <c r="D4394" t="s">
        <v>5877</v>
      </c>
    </row>
    <row r="4395" spans="2:4" x14ac:dyDescent="0.35">
      <c r="B4395" s="9">
        <v>44207</v>
      </c>
      <c r="C4395" s="12">
        <v>138.6</v>
      </c>
      <c r="D4395" t="s">
        <v>5877</v>
      </c>
    </row>
    <row r="4396" spans="2:4" x14ac:dyDescent="0.35">
      <c r="B4396" s="9">
        <v>44208</v>
      </c>
      <c r="C4396" s="12">
        <v>132.1</v>
      </c>
      <c r="D4396" t="s">
        <v>5877</v>
      </c>
    </row>
    <row r="4397" spans="2:4" x14ac:dyDescent="0.35">
      <c r="B4397" s="9">
        <v>44209</v>
      </c>
      <c r="C4397" s="12">
        <v>137.30000000000001</v>
      </c>
      <c r="D4397" t="s">
        <v>5877</v>
      </c>
    </row>
    <row r="4398" spans="2:4" x14ac:dyDescent="0.35">
      <c r="B4398" s="9">
        <v>44210</v>
      </c>
      <c r="C4398" s="12">
        <v>128.1</v>
      </c>
      <c r="D4398" t="s">
        <v>5877</v>
      </c>
    </row>
    <row r="4399" spans="2:4" x14ac:dyDescent="0.35">
      <c r="B4399" s="9">
        <v>44211</v>
      </c>
      <c r="C4399" s="12">
        <v>105.2</v>
      </c>
      <c r="D4399" t="s">
        <v>5877</v>
      </c>
    </row>
    <row r="4400" spans="2:4" x14ac:dyDescent="0.35">
      <c r="B4400" s="9">
        <v>44212</v>
      </c>
      <c r="C4400" s="12">
        <v>90.8</v>
      </c>
      <c r="D4400" t="s">
        <v>5877</v>
      </c>
    </row>
    <row r="4401" spans="2:4" x14ac:dyDescent="0.35">
      <c r="B4401" s="9">
        <v>44213</v>
      </c>
      <c r="C4401" s="12">
        <v>79.599999999999994</v>
      </c>
      <c r="D4401" t="s">
        <v>5877</v>
      </c>
    </row>
    <row r="4402" spans="2:4" x14ac:dyDescent="0.35">
      <c r="B4402" s="9">
        <v>44214</v>
      </c>
      <c r="C4402" s="12">
        <v>78.7</v>
      </c>
      <c r="D4402" t="s">
        <v>5877</v>
      </c>
    </row>
    <row r="4403" spans="2:4" x14ac:dyDescent="0.35">
      <c r="B4403" s="9">
        <v>44215</v>
      </c>
      <c r="C4403" s="12">
        <v>96.2</v>
      </c>
      <c r="D4403" t="s">
        <v>5877</v>
      </c>
    </row>
    <row r="4404" spans="2:4" x14ac:dyDescent="0.35">
      <c r="B4404" s="9">
        <v>44216</v>
      </c>
      <c r="C4404" s="12">
        <v>86.4</v>
      </c>
      <c r="D4404" t="s">
        <v>5877</v>
      </c>
    </row>
    <row r="4405" spans="2:4" x14ac:dyDescent="0.35">
      <c r="B4405" s="9">
        <v>44217</v>
      </c>
      <c r="C4405" s="12">
        <v>103.3</v>
      </c>
      <c r="D4405" t="s">
        <v>5877</v>
      </c>
    </row>
    <row r="4406" spans="2:4" x14ac:dyDescent="0.35">
      <c r="B4406" s="9">
        <v>44218</v>
      </c>
      <c r="C4406" s="12">
        <v>89.6</v>
      </c>
      <c r="D4406" t="s">
        <v>5877</v>
      </c>
    </row>
    <row r="4407" spans="2:4" x14ac:dyDescent="0.35">
      <c r="B4407" s="9">
        <v>44219</v>
      </c>
      <c r="C4407" s="12">
        <v>108.8</v>
      </c>
      <c r="D4407" t="s">
        <v>5877</v>
      </c>
    </row>
    <row r="4408" spans="2:4" x14ac:dyDescent="0.35">
      <c r="B4408" s="9">
        <v>44220</v>
      </c>
      <c r="C4408" s="12">
        <v>101.1</v>
      </c>
      <c r="D4408" t="s">
        <v>5877</v>
      </c>
    </row>
    <row r="4409" spans="2:4" x14ac:dyDescent="0.35">
      <c r="B4409" s="9">
        <v>44221</v>
      </c>
      <c r="C4409" s="12">
        <v>137.80000000000001</v>
      </c>
      <c r="D4409" t="s">
        <v>5877</v>
      </c>
    </row>
    <row r="4410" spans="2:4" x14ac:dyDescent="0.35">
      <c r="B4410" s="9">
        <v>44222</v>
      </c>
      <c r="C4410" s="12">
        <v>113.5</v>
      </c>
      <c r="D4410" t="s">
        <v>5877</v>
      </c>
    </row>
    <row r="4411" spans="2:4" x14ac:dyDescent="0.35">
      <c r="B4411" s="9">
        <v>44223</v>
      </c>
      <c r="C4411" s="12">
        <v>124.9</v>
      </c>
      <c r="D4411" t="s">
        <v>5877</v>
      </c>
    </row>
    <row r="4412" spans="2:4" x14ac:dyDescent="0.35">
      <c r="B4412" s="9">
        <v>44224</v>
      </c>
      <c r="C4412" s="12">
        <v>145.5</v>
      </c>
      <c r="D4412" t="s">
        <v>5877</v>
      </c>
    </row>
    <row r="4413" spans="2:4" x14ac:dyDescent="0.35">
      <c r="B4413" s="9">
        <v>44225</v>
      </c>
      <c r="C4413" s="12">
        <v>117.8</v>
      </c>
      <c r="D4413" t="s">
        <v>5877</v>
      </c>
    </row>
    <row r="4414" spans="2:4" x14ac:dyDescent="0.35">
      <c r="B4414" s="9">
        <v>44226</v>
      </c>
      <c r="C4414" s="12">
        <v>96.2</v>
      </c>
      <c r="D4414" t="s">
        <v>5877</v>
      </c>
    </row>
    <row r="4415" spans="2:4" x14ac:dyDescent="0.35">
      <c r="B4415" s="9">
        <v>44227</v>
      </c>
      <c r="C4415" s="12">
        <v>102.3</v>
      </c>
      <c r="D4415" t="s">
        <v>5877</v>
      </c>
    </row>
    <row r="4416" spans="2:4" x14ac:dyDescent="0.35">
      <c r="B4416" s="9">
        <v>44228</v>
      </c>
      <c r="C4416" s="12">
        <v>153.30000000000001</v>
      </c>
      <c r="D4416" t="s">
        <v>5877</v>
      </c>
    </row>
    <row r="4417" spans="2:4" x14ac:dyDescent="0.35">
      <c r="B4417" s="9">
        <v>44229</v>
      </c>
      <c r="C4417" s="12">
        <v>141.19999999999999</v>
      </c>
      <c r="D4417" t="s">
        <v>5877</v>
      </c>
    </row>
    <row r="4418" spans="2:4" x14ac:dyDescent="0.35">
      <c r="B4418" s="9">
        <v>44230</v>
      </c>
      <c r="C4418" s="12">
        <v>108.5</v>
      </c>
      <c r="D4418" t="s">
        <v>5877</v>
      </c>
    </row>
    <row r="4419" spans="2:4" x14ac:dyDescent="0.35">
      <c r="B4419" s="9">
        <v>44231</v>
      </c>
      <c r="C4419" s="12">
        <v>92.3</v>
      </c>
      <c r="D4419" t="s">
        <v>5877</v>
      </c>
    </row>
    <row r="4420" spans="2:4" x14ac:dyDescent="0.35">
      <c r="B4420" s="9">
        <v>44232</v>
      </c>
      <c r="C4420" s="12">
        <v>82.7</v>
      </c>
      <c r="D4420" t="s">
        <v>5877</v>
      </c>
    </row>
    <row r="4421" spans="2:4" x14ac:dyDescent="0.35">
      <c r="B4421" s="9">
        <v>44233</v>
      </c>
      <c r="C4421" s="12">
        <v>117.7</v>
      </c>
      <c r="D4421" t="s">
        <v>5877</v>
      </c>
    </row>
    <row r="4422" spans="2:4" x14ac:dyDescent="0.35">
      <c r="B4422" s="9">
        <v>44234</v>
      </c>
      <c r="C4422" s="12">
        <v>106.5</v>
      </c>
      <c r="D4422" t="s">
        <v>5877</v>
      </c>
    </row>
    <row r="4423" spans="2:4" x14ac:dyDescent="0.35">
      <c r="B4423" s="9">
        <v>44235</v>
      </c>
      <c r="C4423" s="12">
        <v>91.5</v>
      </c>
      <c r="D4423" t="s">
        <v>5877</v>
      </c>
    </row>
    <row r="4424" spans="2:4" x14ac:dyDescent="0.35">
      <c r="B4424" s="9">
        <v>44236</v>
      </c>
      <c r="C4424" s="12">
        <v>79</v>
      </c>
      <c r="D4424" t="s">
        <v>5877</v>
      </c>
    </row>
    <row r="4425" spans="2:4" x14ac:dyDescent="0.35">
      <c r="B4425" s="9">
        <v>44237</v>
      </c>
      <c r="C4425" s="12">
        <v>70.8</v>
      </c>
      <c r="D4425" t="s">
        <v>5877</v>
      </c>
    </row>
    <row r="4426" spans="2:4" x14ac:dyDescent="0.35">
      <c r="B4426" s="9">
        <v>44238</v>
      </c>
      <c r="C4426" s="12">
        <v>73.900000000000006</v>
      </c>
      <c r="D4426" t="s">
        <v>5877</v>
      </c>
    </row>
    <row r="4427" spans="2:4" x14ac:dyDescent="0.35">
      <c r="B4427" s="9">
        <v>44239</v>
      </c>
      <c r="C4427" s="12">
        <v>129.9</v>
      </c>
      <c r="D4427" t="s">
        <v>5877</v>
      </c>
    </row>
    <row r="4428" spans="2:4" x14ac:dyDescent="0.35">
      <c r="B4428" s="9">
        <v>44240</v>
      </c>
      <c r="C4428" s="12">
        <v>134.4</v>
      </c>
      <c r="D4428" t="s">
        <v>5877</v>
      </c>
    </row>
    <row r="4429" spans="2:4" x14ac:dyDescent="0.35">
      <c r="B4429" s="9">
        <v>44241</v>
      </c>
      <c r="C4429" s="12">
        <v>104.8</v>
      </c>
      <c r="D4429" t="s">
        <v>5877</v>
      </c>
    </row>
    <row r="4430" spans="2:4" x14ac:dyDescent="0.35">
      <c r="B4430" s="9">
        <v>44242</v>
      </c>
      <c r="C4430" s="12">
        <v>87.7</v>
      </c>
      <c r="D4430" t="s">
        <v>5877</v>
      </c>
    </row>
    <row r="4431" spans="2:4" x14ac:dyDescent="0.35">
      <c r="B4431" s="9">
        <v>44243</v>
      </c>
      <c r="C4431" s="12">
        <v>87</v>
      </c>
      <c r="D4431" t="s">
        <v>5877</v>
      </c>
    </row>
    <row r="4432" spans="2:4" x14ac:dyDescent="0.35">
      <c r="B4432" s="9">
        <v>44244</v>
      </c>
      <c r="C4432" s="12">
        <v>91.1</v>
      </c>
      <c r="D4432" t="s">
        <v>5877</v>
      </c>
    </row>
    <row r="4433" spans="2:4" x14ac:dyDescent="0.35">
      <c r="B4433" s="9">
        <v>44245</v>
      </c>
      <c r="C4433" s="12">
        <v>169</v>
      </c>
      <c r="D4433" t="s">
        <v>5877</v>
      </c>
    </row>
    <row r="4434" spans="2:4" x14ac:dyDescent="0.35">
      <c r="B4434" s="9">
        <v>44246</v>
      </c>
      <c r="C4434" s="12">
        <v>161.80000000000001</v>
      </c>
      <c r="D4434" t="s">
        <v>5877</v>
      </c>
    </row>
    <row r="4435" spans="2:4" x14ac:dyDescent="0.35">
      <c r="B4435" s="9">
        <v>44247</v>
      </c>
      <c r="C4435" s="12">
        <v>162.4</v>
      </c>
      <c r="D4435" t="s">
        <v>5877</v>
      </c>
    </row>
    <row r="4436" spans="2:4" x14ac:dyDescent="0.35">
      <c r="B4436" s="9">
        <v>44248</v>
      </c>
      <c r="C4436" s="12">
        <v>163.6</v>
      </c>
      <c r="D4436" t="s">
        <v>5877</v>
      </c>
    </row>
    <row r="4437" spans="2:4" x14ac:dyDescent="0.35">
      <c r="B4437" s="9">
        <v>44249</v>
      </c>
      <c r="C4437" s="12">
        <v>137.5</v>
      </c>
      <c r="D4437" t="s">
        <v>5877</v>
      </c>
    </row>
    <row r="4438" spans="2:4" x14ac:dyDescent="0.35">
      <c r="B4438" s="9">
        <v>44250</v>
      </c>
      <c r="C4438" s="12">
        <v>144.6</v>
      </c>
      <c r="D4438" t="s">
        <v>5877</v>
      </c>
    </row>
    <row r="4439" spans="2:4" x14ac:dyDescent="0.35">
      <c r="B4439" s="9">
        <v>44251</v>
      </c>
      <c r="C4439" s="12">
        <v>151.6</v>
      </c>
      <c r="D4439" t="s">
        <v>5877</v>
      </c>
    </row>
    <row r="4440" spans="2:4" x14ac:dyDescent="0.35">
      <c r="B4440" s="9">
        <v>44252</v>
      </c>
      <c r="C4440" s="12">
        <v>113.1</v>
      </c>
      <c r="D4440" t="s">
        <v>5877</v>
      </c>
    </row>
    <row r="4441" spans="2:4" x14ac:dyDescent="0.35">
      <c r="B4441" s="9">
        <v>44253</v>
      </c>
      <c r="C4441" s="12">
        <v>93.5</v>
      </c>
      <c r="D4441" t="s">
        <v>5877</v>
      </c>
    </row>
    <row r="4442" spans="2:4" x14ac:dyDescent="0.35">
      <c r="B4442" s="9">
        <v>44254</v>
      </c>
      <c r="C4442" s="12">
        <v>117.8</v>
      </c>
      <c r="D4442" t="s">
        <v>5877</v>
      </c>
    </row>
    <row r="4443" spans="2:4" x14ac:dyDescent="0.35">
      <c r="B4443" s="9">
        <v>44255</v>
      </c>
      <c r="C4443" s="12">
        <v>100.4</v>
      </c>
      <c r="D4443" t="s">
        <v>5877</v>
      </c>
    </row>
    <row r="4444" spans="2:4" x14ac:dyDescent="0.35">
      <c r="B4444" s="9">
        <v>44256</v>
      </c>
      <c r="C4444" s="12">
        <v>91.9</v>
      </c>
      <c r="D4444" t="s">
        <v>5877</v>
      </c>
    </row>
    <row r="4445" spans="2:4" x14ac:dyDescent="0.35">
      <c r="B4445" s="9">
        <v>44257</v>
      </c>
      <c r="C4445" s="12">
        <v>87.7</v>
      </c>
      <c r="D4445" t="s">
        <v>5877</v>
      </c>
    </row>
    <row r="4446" spans="2:4" x14ac:dyDescent="0.35">
      <c r="B4446" s="9">
        <v>44258</v>
      </c>
      <c r="C4446" s="12">
        <v>180.2</v>
      </c>
      <c r="D4446" t="s">
        <v>5877</v>
      </c>
    </row>
    <row r="4447" spans="2:4" x14ac:dyDescent="0.35">
      <c r="B4447" s="9">
        <v>44259</v>
      </c>
      <c r="C4447" s="12">
        <v>198.3</v>
      </c>
      <c r="D4447" t="s">
        <v>5877</v>
      </c>
    </row>
    <row r="4448" spans="2:4" x14ac:dyDescent="0.35">
      <c r="B4448" s="9">
        <v>44260</v>
      </c>
      <c r="C4448" s="12">
        <v>149.30000000000001</v>
      </c>
      <c r="D4448" t="s">
        <v>5877</v>
      </c>
    </row>
    <row r="4449" spans="2:4" x14ac:dyDescent="0.35">
      <c r="B4449" s="9">
        <v>44261</v>
      </c>
      <c r="C4449" s="12">
        <v>171.6</v>
      </c>
      <c r="D4449" t="s">
        <v>5877</v>
      </c>
    </row>
    <row r="4450" spans="2:4" x14ac:dyDescent="0.35">
      <c r="B4450" s="9">
        <v>44262</v>
      </c>
      <c r="C4450" s="12">
        <v>146.30000000000001</v>
      </c>
      <c r="D4450" t="s">
        <v>5877</v>
      </c>
    </row>
    <row r="4451" spans="2:4" x14ac:dyDescent="0.35">
      <c r="B4451" s="9">
        <v>44263</v>
      </c>
      <c r="C4451" s="12">
        <v>217.6</v>
      </c>
      <c r="D4451" t="s">
        <v>5877</v>
      </c>
    </row>
    <row r="4452" spans="2:4" x14ac:dyDescent="0.35">
      <c r="B4452" s="9">
        <v>44264</v>
      </c>
      <c r="C4452" s="12">
        <v>157.30000000000001</v>
      </c>
      <c r="D4452" t="s">
        <v>5877</v>
      </c>
    </row>
    <row r="4453" spans="2:4" x14ac:dyDescent="0.35">
      <c r="B4453" s="9">
        <v>44265</v>
      </c>
      <c r="C4453" s="12">
        <v>115.2</v>
      </c>
      <c r="D4453" t="s">
        <v>5877</v>
      </c>
    </row>
    <row r="4454" spans="2:4" x14ac:dyDescent="0.35">
      <c r="B4454" s="9">
        <v>44266</v>
      </c>
      <c r="C4454" s="12">
        <v>91.3</v>
      </c>
      <c r="D4454" t="s">
        <v>5877</v>
      </c>
    </row>
    <row r="4455" spans="2:4" x14ac:dyDescent="0.35">
      <c r="B4455" s="9">
        <v>44267</v>
      </c>
      <c r="C4455" s="12">
        <v>84.9</v>
      </c>
      <c r="D4455" t="s">
        <v>5877</v>
      </c>
    </row>
    <row r="4456" spans="2:4" x14ac:dyDescent="0.35">
      <c r="B4456" s="9">
        <v>44268</v>
      </c>
      <c r="C4456" s="12">
        <v>100.4</v>
      </c>
      <c r="D4456" t="s">
        <v>5877</v>
      </c>
    </row>
    <row r="4457" spans="2:4" x14ac:dyDescent="0.35">
      <c r="B4457" s="9">
        <v>44269</v>
      </c>
      <c r="C4457" s="12">
        <v>117.4</v>
      </c>
      <c r="D4457" t="s">
        <v>5877</v>
      </c>
    </row>
    <row r="4458" spans="2:4" x14ac:dyDescent="0.35">
      <c r="B4458" s="9">
        <v>44270</v>
      </c>
      <c r="C4458" s="12">
        <v>129</v>
      </c>
      <c r="D4458" t="s">
        <v>5877</v>
      </c>
    </row>
    <row r="4459" spans="2:4" x14ac:dyDescent="0.35">
      <c r="B4459" s="9">
        <v>44271</v>
      </c>
      <c r="C4459" s="12">
        <v>115.5</v>
      </c>
      <c r="D4459" t="s">
        <v>5877</v>
      </c>
    </row>
    <row r="4460" spans="2:4" x14ac:dyDescent="0.35">
      <c r="B4460" s="9">
        <v>44272</v>
      </c>
      <c r="C4460" s="12">
        <v>126.6</v>
      </c>
      <c r="D4460" t="s">
        <v>5877</v>
      </c>
    </row>
    <row r="4461" spans="2:4" x14ac:dyDescent="0.35">
      <c r="B4461" s="9">
        <v>44273</v>
      </c>
      <c r="C4461" s="12">
        <v>140.9</v>
      </c>
      <c r="D4461" t="s">
        <v>5877</v>
      </c>
    </row>
    <row r="4462" spans="2:4" x14ac:dyDescent="0.35">
      <c r="B4462" s="9">
        <v>44274</v>
      </c>
      <c r="C4462" s="12">
        <v>116</v>
      </c>
      <c r="D4462" t="s">
        <v>5877</v>
      </c>
    </row>
    <row r="4463" spans="2:4" x14ac:dyDescent="0.35">
      <c r="B4463" s="9">
        <v>44275</v>
      </c>
      <c r="C4463" s="12">
        <v>135.80000000000001</v>
      </c>
      <c r="D4463" t="s">
        <v>5877</v>
      </c>
    </row>
    <row r="4464" spans="2:4" x14ac:dyDescent="0.35">
      <c r="B4464" s="9">
        <v>44276</v>
      </c>
      <c r="C4464" s="12">
        <v>129.19999999999999</v>
      </c>
      <c r="D4464" t="s">
        <v>5877</v>
      </c>
    </row>
    <row r="4465" spans="2:4" x14ac:dyDescent="0.35">
      <c r="B4465" s="9">
        <v>44277</v>
      </c>
      <c r="C4465" s="12">
        <v>152.19999999999999</v>
      </c>
      <c r="D4465" t="s">
        <v>5877</v>
      </c>
    </row>
    <row r="4466" spans="2:4" x14ac:dyDescent="0.35">
      <c r="B4466" s="9">
        <v>44278</v>
      </c>
      <c r="C4466" s="12">
        <v>138</v>
      </c>
      <c r="D4466" t="s">
        <v>5877</v>
      </c>
    </row>
    <row r="4467" spans="2:4" x14ac:dyDescent="0.35">
      <c r="B4467" s="9">
        <v>44279</v>
      </c>
      <c r="C4467" s="12">
        <v>114.1</v>
      </c>
      <c r="D4467" t="s">
        <v>5877</v>
      </c>
    </row>
    <row r="4468" spans="2:4" x14ac:dyDescent="0.35">
      <c r="B4468" s="9">
        <v>44280</v>
      </c>
      <c r="C4468" s="12">
        <v>104.2</v>
      </c>
      <c r="D4468" t="s">
        <v>5877</v>
      </c>
    </row>
    <row r="4469" spans="2:4" x14ac:dyDescent="0.35">
      <c r="B4469" s="9">
        <v>44281</v>
      </c>
      <c r="C4469" s="12">
        <v>98.3</v>
      </c>
      <c r="D4469" t="s">
        <v>5877</v>
      </c>
    </row>
    <row r="4470" spans="2:4" x14ac:dyDescent="0.35">
      <c r="B4470" s="9">
        <v>44282</v>
      </c>
      <c r="C4470" s="12">
        <v>85.5</v>
      </c>
      <c r="D4470" t="s">
        <v>5877</v>
      </c>
    </row>
    <row r="4471" spans="2:4" x14ac:dyDescent="0.35">
      <c r="B4471" s="9">
        <v>44283</v>
      </c>
      <c r="C4471" s="12">
        <v>78.8</v>
      </c>
      <c r="D4471" t="s">
        <v>5877</v>
      </c>
    </row>
    <row r="4472" spans="2:4" x14ac:dyDescent="0.35">
      <c r="B4472" s="9">
        <v>44284</v>
      </c>
      <c r="C4472" s="12">
        <v>130.1</v>
      </c>
      <c r="D4472" t="s">
        <v>5877</v>
      </c>
    </row>
    <row r="4473" spans="2:4" x14ac:dyDescent="0.35">
      <c r="B4473" s="9">
        <v>44285</v>
      </c>
      <c r="C4473" s="12">
        <v>151.5</v>
      </c>
      <c r="D4473" t="s">
        <v>5877</v>
      </c>
    </row>
    <row r="4474" spans="2:4" x14ac:dyDescent="0.35">
      <c r="B4474" s="9">
        <v>44286</v>
      </c>
      <c r="C4474" s="12">
        <v>146</v>
      </c>
      <c r="D4474" t="s">
        <v>5877</v>
      </c>
    </row>
    <row r="4475" spans="2:4" x14ac:dyDescent="0.35">
      <c r="B4475" s="9">
        <v>44287</v>
      </c>
      <c r="C4475" s="12">
        <v>128.69999999999999</v>
      </c>
      <c r="D4475">
        <v>170.2</v>
      </c>
    </row>
    <row r="4476" spans="2:4" x14ac:dyDescent="0.35">
      <c r="B4476" s="9">
        <v>44288</v>
      </c>
      <c r="C4476" s="12">
        <v>303.39999999999998</v>
      </c>
    </row>
    <row r="4477" spans="2:4" x14ac:dyDescent="0.35">
      <c r="B4477" s="9">
        <v>44289</v>
      </c>
      <c r="C4477" s="12">
        <v>408.4</v>
      </c>
    </row>
    <row r="4478" spans="2:4" x14ac:dyDescent="0.35">
      <c r="B4478" s="9">
        <v>44290</v>
      </c>
      <c r="C4478" s="12">
        <v>448.5</v>
      </c>
    </row>
    <row r="4479" spans="2:4" x14ac:dyDescent="0.35">
      <c r="B4479" s="9">
        <v>44291</v>
      </c>
      <c r="C4479" s="12">
        <v>423.2</v>
      </c>
    </row>
    <row r="4480" spans="2:4" x14ac:dyDescent="0.35">
      <c r="B4480" s="9">
        <v>44292</v>
      </c>
      <c r="C4480" s="12">
        <v>365.5</v>
      </c>
      <c r="D4480">
        <v>274.3</v>
      </c>
    </row>
    <row r="4481" spans="2:4" x14ac:dyDescent="0.35">
      <c r="B4481" s="9">
        <v>44293</v>
      </c>
      <c r="C4481" s="12">
        <v>349.3</v>
      </c>
      <c r="D4481">
        <v>290.8</v>
      </c>
    </row>
    <row r="4482" spans="2:4" x14ac:dyDescent="0.35">
      <c r="B4482" s="9">
        <v>44294</v>
      </c>
      <c r="C4482" s="12">
        <v>347.1</v>
      </c>
      <c r="D4482">
        <v>292.89999999999998</v>
      </c>
    </row>
    <row r="4483" spans="2:4" x14ac:dyDescent="0.35">
      <c r="B4483" s="9">
        <v>44295</v>
      </c>
      <c r="C4483" s="12">
        <v>325.5</v>
      </c>
      <c r="D4483">
        <v>287.5</v>
      </c>
    </row>
    <row r="4484" spans="2:4" x14ac:dyDescent="0.35">
      <c r="B4484" s="9">
        <v>44296</v>
      </c>
      <c r="C4484" s="12">
        <v>296.7</v>
      </c>
      <c r="D4484">
        <v>277.3</v>
      </c>
    </row>
    <row r="4485" spans="2:4" x14ac:dyDescent="0.35">
      <c r="B4485" s="9">
        <v>44297</v>
      </c>
      <c r="C4485" s="12">
        <v>242.5</v>
      </c>
      <c r="D4485" t="s">
        <v>5877</v>
      </c>
    </row>
    <row r="4486" spans="2:4" x14ac:dyDescent="0.35">
      <c r="B4486" s="9">
        <v>44298</v>
      </c>
      <c r="C4486" s="12">
        <v>184.5</v>
      </c>
      <c r="D4486" t="s">
        <v>5877</v>
      </c>
    </row>
    <row r="4487" spans="2:4" x14ac:dyDescent="0.35">
      <c r="B4487" s="9">
        <v>44299</v>
      </c>
      <c r="C4487" s="12">
        <v>147.19999999999999</v>
      </c>
      <c r="D4487" t="s">
        <v>5877</v>
      </c>
    </row>
    <row r="4488" spans="2:4" x14ac:dyDescent="0.35">
      <c r="B4488" s="9">
        <v>44300</v>
      </c>
      <c r="C4488" s="12">
        <v>145.5</v>
      </c>
      <c r="D4488" t="s">
        <v>5877</v>
      </c>
    </row>
    <row r="4489" spans="2:4" x14ac:dyDescent="0.35">
      <c r="B4489" s="9">
        <v>44301</v>
      </c>
      <c r="C4489" s="12">
        <v>137.19999999999999</v>
      </c>
      <c r="D4489" t="s">
        <v>5877</v>
      </c>
    </row>
    <row r="4490" spans="2:4" x14ac:dyDescent="0.35">
      <c r="B4490" s="9">
        <v>44302</v>
      </c>
      <c r="C4490" s="12">
        <v>120.9</v>
      </c>
      <c r="D4490" t="s">
        <v>5877</v>
      </c>
    </row>
    <row r="4491" spans="2:4" x14ac:dyDescent="0.35">
      <c r="B4491" s="9">
        <v>44303</v>
      </c>
      <c r="C4491" s="12">
        <v>109.1</v>
      </c>
      <c r="D4491" t="s">
        <v>5877</v>
      </c>
    </row>
    <row r="4492" spans="2:4" x14ac:dyDescent="0.35">
      <c r="B4492" s="9">
        <v>44304</v>
      </c>
      <c r="C4492" s="12">
        <v>98.6</v>
      </c>
      <c r="D4492" t="s">
        <v>5877</v>
      </c>
    </row>
    <row r="4493" spans="2:4" x14ac:dyDescent="0.35">
      <c r="B4493" s="9">
        <v>44305</v>
      </c>
      <c r="C4493" s="12">
        <v>90.7</v>
      </c>
      <c r="D4493" t="s">
        <v>5877</v>
      </c>
    </row>
    <row r="4494" spans="2:4" x14ac:dyDescent="0.35">
      <c r="B4494" s="9">
        <v>44306</v>
      </c>
      <c r="C4494" s="12">
        <v>83.2</v>
      </c>
      <c r="D4494" t="s">
        <v>5877</v>
      </c>
    </row>
    <row r="4495" spans="2:4" x14ac:dyDescent="0.35">
      <c r="B4495" s="9">
        <v>44307</v>
      </c>
      <c r="C4495" s="12">
        <v>105.1</v>
      </c>
      <c r="D4495" t="s">
        <v>5877</v>
      </c>
    </row>
    <row r="4496" spans="2:4" x14ac:dyDescent="0.35">
      <c r="B4496" s="9">
        <v>44308</v>
      </c>
      <c r="C4496" s="12">
        <v>125.7</v>
      </c>
      <c r="D4496" t="s">
        <v>5877</v>
      </c>
    </row>
    <row r="4497" spans="2:4" x14ac:dyDescent="0.35">
      <c r="B4497" s="9">
        <v>44309</v>
      </c>
      <c r="C4497" s="12">
        <v>117.1</v>
      </c>
      <c r="D4497" t="s">
        <v>5877</v>
      </c>
    </row>
    <row r="4498" spans="2:4" x14ac:dyDescent="0.35">
      <c r="B4498" s="9">
        <v>44310</v>
      </c>
      <c r="C4498" s="12">
        <v>156.9</v>
      </c>
      <c r="D4498" t="s">
        <v>5877</v>
      </c>
    </row>
    <row r="4499" spans="2:4" x14ac:dyDescent="0.35">
      <c r="B4499" s="9">
        <v>44311</v>
      </c>
      <c r="C4499" s="12">
        <v>195.6</v>
      </c>
      <c r="D4499" t="s">
        <v>5877</v>
      </c>
    </row>
    <row r="4500" spans="2:4" x14ac:dyDescent="0.35">
      <c r="B4500" s="9">
        <v>44312</v>
      </c>
      <c r="C4500" s="12">
        <v>166.8</v>
      </c>
      <c r="D4500" t="s">
        <v>5877</v>
      </c>
    </row>
    <row r="4501" spans="2:4" x14ac:dyDescent="0.35">
      <c r="B4501" s="9">
        <v>44313</v>
      </c>
      <c r="C4501" s="12">
        <v>196.6</v>
      </c>
      <c r="D4501" t="s">
        <v>5877</v>
      </c>
    </row>
    <row r="4502" spans="2:4" x14ac:dyDescent="0.35">
      <c r="B4502" s="9">
        <v>44314</v>
      </c>
      <c r="C4502" s="12">
        <v>158.1</v>
      </c>
      <c r="D4502" t="s">
        <v>5877</v>
      </c>
    </row>
    <row r="4503" spans="2:4" x14ac:dyDescent="0.35">
      <c r="B4503" s="9">
        <v>44315</v>
      </c>
      <c r="C4503" s="12">
        <v>173.5</v>
      </c>
      <c r="D4503" t="s">
        <v>5877</v>
      </c>
    </row>
    <row r="4504" spans="2:4" x14ac:dyDescent="0.35">
      <c r="B4504" s="9">
        <v>44316</v>
      </c>
      <c r="C4504" s="12">
        <v>236.5</v>
      </c>
      <c r="D4504" t="s">
        <v>5877</v>
      </c>
    </row>
    <row r="4505" spans="2:4" x14ac:dyDescent="0.35">
      <c r="B4505" s="9">
        <v>44317</v>
      </c>
      <c r="C4505" s="12">
        <v>245.7</v>
      </c>
      <c r="D4505" t="s">
        <v>5877</v>
      </c>
    </row>
    <row r="4506" spans="2:4" x14ac:dyDescent="0.35">
      <c r="B4506" s="9">
        <v>44318</v>
      </c>
      <c r="C4506" s="12">
        <v>212.5</v>
      </c>
      <c r="D4506" t="s">
        <v>5877</v>
      </c>
    </row>
    <row r="4507" spans="2:4" x14ac:dyDescent="0.35">
      <c r="B4507" s="9">
        <v>44319</v>
      </c>
      <c r="C4507" s="12">
        <v>164.2</v>
      </c>
      <c r="D4507" t="s">
        <v>5877</v>
      </c>
    </row>
    <row r="4508" spans="2:4" x14ac:dyDescent="0.35">
      <c r="B4508" s="9">
        <v>44320</v>
      </c>
      <c r="C4508" s="12">
        <v>199.3</v>
      </c>
      <c r="D4508" t="s">
        <v>5877</v>
      </c>
    </row>
    <row r="4509" spans="2:4" x14ac:dyDescent="0.35">
      <c r="B4509" s="9">
        <v>44321</v>
      </c>
      <c r="C4509" s="12">
        <v>159.30000000000001</v>
      </c>
      <c r="D4509" t="s">
        <v>5877</v>
      </c>
    </row>
    <row r="4510" spans="2:4" x14ac:dyDescent="0.35">
      <c r="B4510" s="9">
        <v>44322</v>
      </c>
      <c r="C4510" s="12">
        <v>143.5</v>
      </c>
      <c r="D4510" t="s">
        <v>5877</v>
      </c>
    </row>
    <row r="4511" spans="2:4" x14ac:dyDescent="0.35">
      <c r="B4511" s="9">
        <v>44323</v>
      </c>
      <c r="C4511" s="12">
        <v>133.9</v>
      </c>
      <c r="D4511" t="s">
        <v>5877</v>
      </c>
    </row>
    <row r="4512" spans="2:4" x14ac:dyDescent="0.35">
      <c r="B4512" s="9">
        <v>44324</v>
      </c>
      <c r="C4512" s="12">
        <v>150</v>
      </c>
      <c r="D4512" t="s">
        <v>5877</v>
      </c>
    </row>
    <row r="4513" spans="2:4" x14ac:dyDescent="0.35">
      <c r="B4513" s="9">
        <v>44325</v>
      </c>
      <c r="C4513" s="12">
        <v>140.4</v>
      </c>
      <c r="D4513" t="s">
        <v>5877</v>
      </c>
    </row>
    <row r="4514" spans="2:4" x14ac:dyDescent="0.35">
      <c r="B4514" s="9">
        <v>44326</v>
      </c>
      <c r="C4514" s="12">
        <v>141.19999999999999</v>
      </c>
      <c r="D4514" t="s">
        <v>5877</v>
      </c>
    </row>
    <row r="4515" spans="2:4" x14ac:dyDescent="0.35">
      <c r="B4515" s="9">
        <v>44327</v>
      </c>
      <c r="C4515" s="12">
        <v>125.5</v>
      </c>
      <c r="D4515" t="s">
        <v>5877</v>
      </c>
    </row>
    <row r="4516" spans="2:4" x14ac:dyDescent="0.35">
      <c r="B4516" s="9">
        <v>44328</v>
      </c>
      <c r="C4516" s="12">
        <v>111.7</v>
      </c>
      <c r="D4516" t="s">
        <v>5877</v>
      </c>
    </row>
    <row r="4517" spans="2:4" x14ac:dyDescent="0.35">
      <c r="B4517" s="9">
        <v>44329</v>
      </c>
      <c r="C4517" s="12">
        <v>99.8</v>
      </c>
      <c r="D4517" t="s">
        <v>5877</v>
      </c>
    </row>
    <row r="4518" spans="2:4" x14ac:dyDescent="0.35">
      <c r="B4518" s="9">
        <v>44330</v>
      </c>
      <c r="C4518" s="12">
        <v>89.4</v>
      </c>
      <c r="D4518" t="s">
        <v>5877</v>
      </c>
    </row>
    <row r="4519" spans="2:4" x14ac:dyDescent="0.35">
      <c r="B4519" s="9">
        <v>44331</v>
      </c>
      <c r="C4519" s="12">
        <v>80.3</v>
      </c>
      <c r="D4519" t="s">
        <v>5877</v>
      </c>
    </row>
    <row r="4520" spans="2:4" x14ac:dyDescent="0.35">
      <c r="B4520" s="9">
        <v>44332</v>
      </c>
      <c r="C4520" s="12">
        <v>72.3</v>
      </c>
      <c r="D4520" t="s">
        <v>5877</v>
      </c>
    </row>
    <row r="4521" spans="2:4" x14ac:dyDescent="0.35">
      <c r="B4521" s="9">
        <v>44333</v>
      </c>
      <c r="C4521" s="12">
        <v>67.400000000000006</v>
      </c>
      <c r="D4521" t="s">
        <v>5877</v>
      </c>
    </row>
    <row r="4522" spans="2:4" x14ac:dyDescent="0.35">
      <c r="B4522" s="9">
        <v>44334</v>
      </c>
      <c r="C4522" s="12">
        <v>61.7</v>
      </c>
      <c r="D4522" t="s">
        <v>5877</v>
      </c>
    </row>
    <row r="4523" spans="2:4" x14ac:dyDescent="0.35">
      <c r="B4523" s="9">
        <v>44335</v>
      </c>
      <c r="C4523" s="12">
        <v>56</v>
      </c>
      <c r="D4523" t="s">
        <v>5877</v>
      </c>
    </row>
    <row r="4524" spans="2:4" x14ac:dyDescent="0.35">
      <c r="B4524" s="9">
        <v>44336</v>
      </c>
      <c r="C4524" s="12">
        <v>50.6</v>
      </c>
      <c r="D4524" t="s">
        <v>5877</v>
      </c>
    </row>
    <row r="4525" spans="2:4" x14ac:dyDescent="0.35">
      <c r="B4525" s="9">
        <v>44337</v>
      </c>
      <c r="C4525" s="12">
        <v>45.7</v>
      </c>
      <c r="D4525" t="s">
        <v>5877</v>
      </c>
    </row>
    <row r="4526" spans="2:4" x14ac:dyDescent="0.35">
      <c r="B4526" s="9">
        <v>44338</v>
      </c>
      <c r="C4526" s="12">
        <v>41.5</v>
      </c>
      <c r="D4526" t="s">
        <v>5877</v>
      </c>
    </row>
    <row r="4527" spans="2:4" x14ac:dyDescent="0.35">
      <c r="B4527" s="9">
        <v>44339</v>
      </c>
      <c r="C4527" s="12">
        <v>43.4</v>
      </c>
      <c r="D4527" t="s">
        <v>5877</v>
      </c>
    </row>
    <row r="4528" spans="2:4" x14ac:dyDescent="0.35">
      <c r="B4528" s="9">
        <v>44340</v>
      </c>
      <c r="C4528" s="12">
        <v>40.700000000000003</v>
      </c>
      <c r="D4528" t="s">
        <v>5877</v>
      </c>
    </row>
    <row r="4529" spans="2:4" x14ac:dyDescent="0.35">
      <c r="B4529" s="9">
        <v>44341</v>
      </c>
      <c r="C4529" s="12">
        <v>37.1</v>
      </c>
      <c r="D4529" t="s">
        <v>5877</v>
      </c>
    </row>
    <row r="4530" spans="2:4" x14ac:dyDescent="0.35">
      <c r="B4530" s="9">
        <v>44342</v>
      </c>
      <c r="C4530" s="12">
        <v>33.6</v>
      </c>
      <c r="D4530" t="s">
        <v>5877</v>
      </c>
    </row>
    <row r="4531" spans="2:4" x14ac:dyDescent="0.35">
      <c r="B4531" s="9">
        <v>44343</v>
      </c>
      <c r="C4531" s="12">
        <v>30.4</v>
      </c>
      <c r="D4531" t="s">
        <v>5877</v>
      </c>
    </row>
    <row r="4532" spans="2:4" x14ac:dyDescent="0.35">
      <c r="B4532" s="9">
        <v>44344</v>
      </c>
      <c r="C4532" s="12">
        <v>27.4</v>
      </c>
      <c r="D4532" t="s">
        <v>5877</v>
      </c>
    </row>
    <row r="4533" spans="2:4" x14ac:dyDescent="0.35">
      <c r="B4533" s="9">
        <v>44345</v>
      </c>
      <c r="C4533" s="12">
        <v>24.7</v>
      </c>
      <c r="D4533" t="s">
        <v>5877</v>
      </c>
    </row>
    <row r="4534" spans="2:4" x14ac:dyDescent="0.35">
      <c r="B4534" s="9">
        <v>44346</v>
      </c>
      <c r="C4534" s="12">
        <v>22.3</v>
      </c>
      <c r="D4534" t="s">
        <v>5877</v>
      </c>
    </row>
    <row r="4535" spans="2:4" x14ac:dyDescent="0.35">
      <c r="B4535" s="9">
        <v>44347</v>
      </c>
      <c r="C4535" s="12">
        <v>20.3</v>
      </c>
      <c r="D4535" t="s">
        <v>5877</v>
      </c>
    </row>
    <row r="4536" spans="2:4" x14ac:dyDescent="0.35">
      <c r="B4536" s="9">
        <v>44348</v>
      </c>
      <c r="C4536" s="12">
        <v>18.3</v>
      </c>
      <c r="D4536" t="s">
        <v>5877</v>
      </c>
    </row>
    <row r="4537" spans="2:4" x14ac:dyDescent="0.35">
      <c r="B4537" s="9">
        <v>44349</v>
      </c>
      <c r="C4537" s="12">
        <v>16.399999999999999</v>
      </c>
      <c r="D4537" t="s">
        <v>5877</v>
      </c>
    </row>
    <row r="4538" spans="2:4" x14ac:dyDescent="0.35">
      <c r="B4538" s="9">
        <v>44350</v>
      </c>
      <c r="C4538" s="12">
        <v>15.3</v>
      </c>
      <c r="D4538" t="s">
        <v>5877</v>
      </c>
    </row>
    <row r="4539" spans="2:4" x14ac:dyDescent="0.35">
      <c r="B4539" s="9">
        <v>44351</v>
      </c>
      <c r="C4539" s="12">
        <v>36.299999999999997</v>
      </c>
      <c r="D4539" t="s">
        <v>5877</v>
      </c>
    </row>
    <row r="4540" spans="2:4" x14ac:dyDescent="0.35">
      <c r="B4540" s="9">
        <v>44352</v>
      </c>
      <c r="C4540" s="12">
        <v>31.1</v>
      </c>
      <c r="D4540" t="s">
        <v>5877</v>
      </c>
    </row>
    <row r="4541" spans="2:4" x14ac:dyDescent="0.35">
      <c r="B4541" s="9">
        <v>44353</v>
      </c>
      <c r="C4541" s="12">
        <v>23.6</v>
      </c>
      <c r="D4541" t="s">
        <v>5877</v>
      </c>
    </row>
    <row r="4542" spans="2:4" x14ac:dyDescent="0.35">
      <c r="B4542" s="9">
        <v>44354</v>
      </c>
      <c r="C4542" s="12">
        <v>31</v>
      </c>
      <c r="D4542" t="s">
        <v>5877</v>
      </c>
    </row>
    <row r="4543" spans="2:4" x14ac:dyDescent="0.35">
      <c r="B4543" s="9">
        <v>44355</v>
      </c>
      <c r="C4543" s="12">
        <v>23.3</v>
      </c>
      <c r="D4543" t="s">
        <v>5877</v>
      </c>
    </row>
    <row r="4544" spans="2:4" x14ac:dyDescent="0.35">
      <c r="B4544" s="9">
        <v>44356</v>
      </c>
      <c r="C4544" s="12">
        <v>17.8</v>
      </c>
      <c r="D4544" t="s">
        <v>5877</v>
      </c>
    </row>
    <row r="4545" spans="2:4" x14ac:dyDescent="0.35">
      <c r="B4545" s="9">
        <v>44357</v>
      </c>
      <c r="C4545" s="12">
        <v>14.5</v>
      </c>
      <c r="D4545" t="s">
        <v>5877</v>
      </c>
    </row>
    <row r="4546" spans="2:4" x14ac:dyDescent="0.35">
      <c r="B4546" s="9">
        <v>44358</v>
      </c>
      <c r="C4546" s="12">
        <v>12.2</v>
      </c>
      <c r="D4546" t="s">
        <v>5877</v>
      </c>
    </row>
    <row r="4547" spans="2:4" x14ac:dyDescent="0.35">
      <c r="B4547" s="9">
        <v>44359</v>
      </c>
      <c r="C4547" s="12">
        <v>10.5</v>
      </c>
      <c r="D4547" t="s">
        <v>5877</v>
      </c>
    </row>
    <row r="4548" spans="2:4" x14ac:dyDescent="0.35">
      <c r="B4548" s="9">
        <v>44360</v>
      </c>
      <c r="C4548" s="12">
        <v>9.3000000000000007</v>
      </c>
      <c r="D4548" t="s">
        <v>5877</v>
      </c>
    </row>
    <row r="4549" spans="2:4" x14ac:dyDescent="0.35">
      <c r="B4549" s="9">
        <v>44361</v>
      </c>
      <c r="C4549" s="12">
        <v>8.1999999999999993</v>
      </c>
      <c r="D4549" t="s">
        <v>5877</v>
      </c>
    </row>
    <row r="4550" spans="2:4" x14ac:dyDescent="0.35">
      <c r="B4550" s="9">
        <v>44362</v>
      </c>
      <c r="C4550" s="12">
        <v>7.3</v>
      </c>
      <c r="D4550" t="s">
        <v>5877</v>
      </c>
    </row>
    <row r="4551" spans="2:4" x14ac:dyDescent="0.35">
      <c r="B4551" s="9">
        <v>44363</v>
      </c>
      <c r="C4551" s="12">
        <v>6.6</v>
      </c>
      <c r="D4551" t="s">
        <v>5877</v>
      </c>
    </row>
    <row r="4552" spans="2:4" x14ac:dyDescent="0.35">
      <c r="B4552" s="9">
        <v>44364</v>
      </c>
      <c r="C4552" s="12">
        <v>5.9</v>
      </c>
      <c r="D4552" t="s">
        <v>5877</v>
      </c>
    </row>
    <row r="4553" spans="2:4" x14ac:dyDescent="0.35">
      <c r="B4553" s="9">
        <v>44365</v>
      </c>
      <c r="C4553" s="12">
        <v>5.8</v>
      </c>
      <c r="D4553" t="s">
        <v>5877</v>
      </c>
    </row>
    <row r="4554" spans="2:4" x14ac:dyDescent="0.35">
      <c r="B4554" s="9">
        <v>44366</v>
      </c>
      <c r="C4554" s="12">
        <v>16.2</v>
      </c>
      <c r="D4554" t="s">
        <v>5877</v>
      </c>
    </row>
    <row r="4555" spans="2:4" x14ac:dyDescent="0.35">
      <c r="B4555" s="9">
        <v>44367</v>
      </c>
      <c r="C4555" s="12">
        <v>12.8</v>
      </c>
      <c r="D4555" t="s">
        <v>5877</v>
      </c>
    </row>
    <row r="4556" spans="2:4" x14ac:dyDescent="0.35">
      <c r="B4556" s="9">
        <v>44368</v>
      </c>
      <c r="C4556" s="12">
        <v>9.3000000000000007</v>
      </c>
      <c r="D4556" t="s">
        <v>5877</v>
      </c>
    </row>
    <row r="4557" spans="2:4" x14ac:dyDescent="0.35">
      <c r="B4557" s="9">
        <v>44369</v>
      </c>
      <c r="C4557" s="12">
        <v>7.2</v>
      </c>
      <c r="D4557" t="s">
        <v>5877</v>
      </c>
    </row>
    <row r="4558" spans="2:4" x14ac:dyDescent="0.35">
      <c r="B4558" s="9">
        <v>44370</v>
      </c>
      <c r="C4558" s="12">
        <v>5.9</v>
      </c>
      <c r="D4558" t="s">
        <v>5877</v>
      </c>
    </row>
    <row r="4559" spans="2:4" x14ac:dyDescent="0.35">
      <c r="B4559" s="9">
        <v>44371</v>
      </c>
      <c r="C4559" s="12">
        <v>4.9000000000000004</v>
      </c>
      <c r="D4559" t="s">
        <v>5877</v>
      </c>
    </row>
    <row r="4560" spans="2:4" x14ac:dyDescent="0.35">
      <c r="B4560" s="9">
        <v>44372</v>
      </c>
      <c r="C4560" s="12">
        <v>4.3</v>
      </c>
      <c r="D4560" t="s">
        <v>5877</v>
      </c>
    </row>
    <row r="4561" spans="2:4" x14ac:dyDescent="0.35">
      <c r="B4561" s="9">
        <v>44373</v>
      </c>
      <c r="C4561" s="12">
        <v>3.7</v>
      </c>
      <c r="D4561" t="s">
        <v>5877</v>
      </c>
    </row>
    <row r="4562" spans="2:4" x14ac:dyDescent="0.35">
      <c r="B4562" s="9">
        <v>44374</v>
      </c>
      <c r="C4562" s="12">
        <v>3.3</v>
      </c>
      <c r="D4562" t="s">
        <v>5877</v>
      </c>
    </row>
    <row r="4563" spans="2:4" x14ac:dyDescent="0.35">
      <c r="B4563" s="9">
        <v>44375</v>
      </c>
      <c r="C4563" s="12">
        <v>3</v>
      </c>
      <c r="D4563" t="s">
        <v>5877</v>
      </c>
    </row>
    <row r="4564" spans="2:4" x14ac:dyDescent="0.35">
      <c r="B4564" s="9">
        <v>44376</v>
      </c>
      <c r="C4564" s="12">
        <v>2.6</v>
      </c>
      <c r="D4564" t="s">
        <v>5877</v>
      </c>
    </row>
    <row r="4565" spans="2:4" x14ac:dyDescent="0.35">
      <c r="B4565" s="9">
        <v>44377</v>
      </c>
      <c r="C4565" s="12">
        <v>3.1</v>
      </c>
      <c r="D4565" t="s">
        <v>5877</v>
      </c>
    </row>
    <row r="4566" spans="2:4" x14ac:dyDescent="0.35">
      <c r="B4566" s="9">
        <v>44378</v>
      </c>
      <c r="C4566" s="12">
        <v>2.7</v>
      </c>
      <c r="D4566" t="s">
        <v>5877</v>
      </c>
    </row>
    <row r="4567" spans="2:4" x14ac:dyDescent="0.35">
      <c r="B4567" s="9">
        <v>44379</v>
      </c>
      <c r="C4567" s="12">
        <v>2.2000000000000002</v>
      </c>
      <c r="D4567" t="s">
        <v>5877</v>
      </c>
    </row>
    <row r="4568" spans="2:4" x14ac:dyDescent="0.35">
      <c r="B4568" s="9">
        <v>44380</v>
      </c>
      <c r="C4568" s="12">
        <v>1.9</v>
      </c>
      <c r="D4568" t="s">
        <v>5877</v>
      </c>
    </row>
    <row r="4569" spans="2:4" x14ac:dyDescent="0.35">
      <c r="B4569" s="9">
        <v>44381</v>
      </c>
      <c r="C4569" s="12">
        <v>1.6</v>
      </c>
      <c r="D4569" t="s">
        <v>5877</v>
      </c>
    </row>
    <row r="4570" spans="2:4" x14ac:dyDescent="0.35">
      <c r="B4570" s="9">
        <v>44382</v>
      </c>
      <c r="C4570" s="12">
        <v>1.4</v>
      </c>
      <c r="D4570" t="s">
        <v>5877</v>
      </c>
    </row>
    <row r="4571" spans="2:4" x14ac:dyDescent="0.35">
      <c r="B4571" s="9">
        <v>44383</v>
      </c>
      <c r="C4571" s="12">
        <v>1.5</v>
      </c>
      <c r="D4571" t="s">
        <v>5877</v>
      </c>
    </row>
    <row r="4572" spans="2:4" x14ac:dyDescent="0.35">
      <c r="B4572" s="9">
        <v>44384</v>
      </c>
      <c r="C4572" s="12">
        <v>1.5</v>
      </c>
      <c r="D4572" t="s">
        <v>5877</v>
      </c>
    </row>
    <row r="4573" spans="2:4" x14ac:dyDescent="0.35">
      <c r="B4573" s="9">
        <v>44385</v>
      </c>
      <c r="C4573" s="12">
        <v>1.3</v>
      </c>
      <c r="D4573" t="s">
        <v>5877</v>
      </c>
    </row>
    <row r="4574" spans="2:4" x14ac:dyDescent="0.35">
      <c r="B4574" s="9">
        <v>44386</v>
      </c>
      <c r="C4574" s="12">
        <v>1</v>
      </c>
      <c r="D4574" t="s">
        <v>5877</v>
      </c>
    </row>
    <row r="4575" spans="2:4" x14ac:dyDescent="0.35">
      <c r="B4575" s="9">
        <v>44387</v>
      </c>
      <c r="C4575" s="12">
        <v>0.9</v>
      </c>
      <c r="D4575" t="s">
        <v>5877</v>
      </c>
    </row>
    <row r="4576" spans="2:4" x14ac:dyDescent="0.35">
      <c r="B4576" s="9">
        <v>44388</v>
      </c>
      <c r="C4576" s="12">
        <v>0.8</v>
      </c>
      <c r="D4576" t="s">
        <v>5877</v>
      </c>
    </row>
    <row r="4577" spans="2:4" x14ac:dyDescent="0.35">
      <c r="B4577" s="9">
        <v>44389</v>
      </c>
      <c r="C4577" s="12">
        <v>0.7</v>
      </c>
      <c r="D4577" t="s">
        <v>5877</v>
      </c>
    </row>
    <row r="4578" spans="2:4" x14ac:dyDescent="0.35">
      <c r="B4578" s="9">
        <v>44390</v>
      </c>
      <c r="C4578" s="12">
        <v>0.6</v>
      </c>
      <c r="D4578" t="s">
        <v>5877</v>
      </c>
    </row>
    <row r="4579" spans="2:4" x14ac:dyDescent="0.35">
      <c r="B4579" s="9">
        <v>44391</v>
      </c>
      <c r="C4579" s="12">
        <v>0.5</v>
      </c>
      <c r="D4579" t="s">
        <v>5877</v>
      </c>
    </row>
    <row r="4580" spans="2:4" x14ac:dyDescent="0.35">
      <c r="B4580" s="9">
        <v>44392</v>
      </c>
      <c r="C4580" s="12">
        <v>0.5</v>
      </c>
      <c r="D4580" t="s">
        <v>5877</v>
      </c>
    </row>
    <row r="4581" spans="2:4" x14ac:dyDescent="0.35">
      <c r="B4581" s="9">
        <v>44393</v>
      </c>
      <c r="C4581" s="12">
        <v>0.4</v>
      </c>
      <c r="D4581" t="s">
        <v>5877</v>
      </c>
    </row>
    <row r="4582" spans="2:4" x14ac:dyDescent="0.35">
      <c r="B4582" s="9">
        <v>44394</v>
      </c>
      <c r="C4582" s="12">
        <v>0.4</v>
      </c>
      <c r="D4582" t="s">
        <v>5877</v>
      </c>
    </row>
    <row r="4583" spans="2:4" x14ac:dyDescent="0.35">
      <c r="B4583" s="9">
        <v>44395</v>
      </c>
      <c r="C4583" s="12">
        <v>0.3</v>
      </c>
      <c r="D4583" t="s">
        <v>5877</v>
      </c>
    </row>
    <row r="4584" spans="2:4" x14ac:dyDescent="0.35">
      <c r="B4584" s="9">
        <v>44396</v>
      </c>
      <c r="C4584" s="12">
        <v>0.3</v>
      </c>
      <c r="D4584" t="s">
        <v>5877</v>
      </c>
    </row>
    <row r="4585" spans="2:4" x14ac:dyDescent="0.35">
      <c r="B4585" s="9">
        <v>44397</v>
      </c>
      <c r="C4585" s="12">
        <v>0.3</v>
      </c>
      <c r="D4585" t="s">
        <v>5877</v>
      </c>
    </row>
    <row r="4586" spans="2:4" x14ac:dyDescent="0.35">
      <c r="B4586" s="9">
        <v>44398</v>
      </c>
      <c r="C4586" s="12">
        <v>0.3</v>
      </c>
      <c r="D4586" t="s">
        <v>5877</v>
      </c>
    </row>
    <row r="4587" spans="2:4" x14ac:dyDescent="0.35">
      <c r="B4587" s="9">
        <v>44399</v>
      </c>
      <c r="C4587" s="12">
        <v>0.2</v>
      </c>
      <c r="D4587" t="s">
        <v>5877</v>
      </c>
    </row>
    <row r="4588" spans="2:4" x14ac:dyDescent="0.35">
      <c r="B4588" s="9">
        <v>44400</v>
      </c>
      <c r="C4588" s="12">
        <v>0.2</v>
      </c>
      <c r="D4588" t="s">
        <v>5877</v>
      </c>
    </row>
    <row r="4589" spans="2:4" x14ac:dyDescent="0.35">
      <c r="B4589" s="9">
        <v>44401</v>
      </c>
      <c r="C4589" s="12">
        <v>0.2</v>
      </c>
      <c r="D4589" t="s">
        <v>5877</v>
      </c>
    </row>
    <row r="4590" spans="2:4" x14ac:dyDescent="0.35">
      <c r="B4590" s="9">
        <v>44402</v>
      </c>
      <c r="C4590" s="12">
        <v>0.2</v>
      </c>
      <c r="D4590" t="s">
        <v>5877</v>
      </c>
    </row>
    <row r="4591" spans="2:4" x14ac:dyDescent="0.35">
      <c r="B4591" s="9">
        <v>44403</v>
      </c>
      <c r="C4591" s="12">
        <v>0.1</v>
      </c>
      <c r="D4591" t="s">
        <v>5877</v>
      </c>
    </row>
    <row r="4592" spans="2:4" x14ac:dyDescent="0.35">
      <c r="B4592" s="9">
        <v>44404</v>
      </c>
      <c r="C4592" s="12">
        <v>0.1</v>
      </c>
      <c r="D4592" t="s">
        <v>5877</v>
      </c>
    </row>
    <row r="4593" spans="2:4" x14ac:dyDescent="0.35">
      <c r="B4593" s="9">
        <v>44405</v>
      </c>
      <c r="C4593" s="12">
        <v>0.1</v>
      </c>
      <c r="D4593" t="s">
        <v>5877</v>
      </c>
    </row>
    <row r="4594" spans="2:4" x14ac:dyDescent="0.35">
      <c r="B4594" s="9">
        <v>44406</v>
      </c>
      <c r="C4594" s="12">
        <v>0.1</v>
      </c>
      <c r="D4594" t="s">
        <v>5877</v>
      </c>
    </row>
    <row r="4595" spans="2:4" x14ac:dyDescent="0.35">
      <c r="B4595" s="9">
        <v>44407</v>
      </c>
      <c r="C4595" s="12">
        <v>0.1</v>
      </c>
      <c r="D4595" t="s">
        <v>5877</v>
      </c>
    </row>
    <row r="4596" spans="2:4" x14ac:dyDescent="0.35">
      <c r="B4596" s="9">
        <v>44408</v>
      </c>
      <c r="C4596" s="12">
        <v>0.1</v>
      </c>
      <c r="D4596" t="s">
        <v>5877</v>
      </c>
    </row>
    <row r="4597" spans="2:4" x14ac:dyDescent="0.35">
      <c r="B4597" s="9">
        <v>44409</v>
      </c>
      <c r="C4597" s="12">
        <v>0.1</v>
      </c>
      <c r="D4597" t="s">
        <v>5877</v>
      </c>
    </row>
    <row r="4598" spans="2:4" x14ac:dyDescent="0.35">
      <c r="B4598" s="9">
        <v>44410</v>
      </c>
      <c r="C4598" s="12">
        <v>0.1</v>
      </c>
      <c r="D4598" t="s">
        <v>5877</v>
      </c>
    </row>
    <row r="4599" spans="2:4" x14ac:dyDescent="0.35">
      <c r="B4599" s="9">
        <v>44411</v>
      </c>
      <c r="C4599" s="12">
        <v>0.3</v>
      </c>
      <c r="D4599" t="s">
        <v>5877</v>
      </c>
    </row>
    <row r="4600" spans="2:4" x14ac:dyDescent="0.35">
      <c r="B4600" s="9">
        <v>44412</v>
      </c>
      <c r="C4600" s="12">
        <v>0.3</v>
      </c>
      <c r="D4600" t="s">
        <v>5877</v>
      </c>
    </row>
    <row r="4601" spans="2:4" x14ac:dyDescent="0.35">
      <c r="B4601" s="9">
        <v>44413</v>
      </c>
      <c r="C4601" s="12">
        <v>3.2</v>
      </c>
      <c r="D4601" t="s">
        <v>5877</v>
      </c>
    </row>
    <row r="4602" spans="2:4" x14ac:dyDescent="0.35">
      <c r="B4602" s="9">
        <v>44414</v>
      </c>
      <c r="C4602" s="12">
        <v>3.1</v>
      </c>
      <c r="D4602" t="s">
        <v>5877</v>
      </c>
    </row>
    <row r="4603" spans="2:4" x14ac:dyDescent="0.35">
      <c r="B4603" s="9">
        <v>44415</v>
      </c>
      <c r="C4603" s="12">
        <v>10.4</v>
      </c>
      <c r="D4603" t="s">
        <v>5877</v>
      </c>
    </row>
    <row r="4604" spans="2:4" x14ac:dyDescent="0.35">
      <c r="B4604" s="9">
        <v>44416</v>
      </c>
      <c r="C4604" s="12">
        <v>7.3</v>
      </c>
      <c r="D4604" t="s">
        <v>5877</v>
      </c>
    </row>
    <row r="4605" spans="2:4" x14ac:dyDescent="0.35">
      <c r="B4605" s="9">
        <v>44417</v>
      </c>
      <c r="C4605" s="12">
        <v>5.2</v>
      </c>
      <c r="D4605" t="s">
        <v>5877</v>
      </c>
    </row>
    <row r="4606" spans="2:4" x14ac:dyDescent="0.35">
      <c r="B4606" s="9">
        <v>44418</v>
      </c>
      <c r="C4606" s="12">
        <v>4</v>
      </c>
      <c r="D4606" t="s">
        <v>5877</v>
      </c>
    </row>
    <row r="4607" spans="2:4" x14ac:dyDescent="0.35">
      <c r="B4607" s="9">
        <v>44419</v>
      </c>
      <c r="C4607" s="12">
        <v>3.4</v>
      </c>
      <c r="D4607" t="s">
        <v>5877</v>
      </c>
    </row>
    <row r="4608" spans="2:4" x14ac:dyDescent="0.35">
      <c r="B4608" s="9">
        <v>44420</v>
      </c>
      <c r="C4608" s="12">
        <v>8.5</v>
      </c>
      <c r="D4608" t="s">
        <v>5877</v>
      </c>
    </row>
    <row r="4609" spans="2:4" x14ac:dyDescent="0.35">
      <c r="B4609" s="9">
        <v>44421</v>
      </c>
      <c r="C4609" s="12">
        <v>45.3</v>
      </c>
      <c r="D4609" t="s">
        <v>5877</v>
      </c>
    </row>
    <row r="4610" spans="2:4" x14ac:dyDescent="0.35">
      <c r="B4610" s="9">
        <v>44422</v>
      </c>
      <c r="C4610" s="12">
        <v>37.200000000000003</v>
      </c>
      <c r="D4610" t="s">
        <v>5877</v>
      </c>
    </row>
    <row r="4611" spans="2:4" x14ac:dyDescent="0.35">
      <c r="B4611" s="9">
        <v>44423</v>
      </c>
      <c r="C4611" s="12">
        <v>29.1</v>
      </c>
      <c r="D4611" t="s">
        <v>5877</v>
      </c>
    </row>
    <row r="4612" spans="2:4" x14ac:dyDescent="0.35">
      <c r="B4612" s="9">
        <v>44424</v>
      </c>
      <c r="C4612" s="12">
        <v>24.3</v>
      </c>
      <c r="D4612" t="s">
        <v>5877</v>
      </c>
    </row>
    <row r="4613" spans="2:4" x14ac:dyDescent="0.35">
      <c r="B4613" s="9">
        <v>44425</v>
      </c>
      <c r="C4613" s="12">
        <v>20.399999999999999</v>
      </c>
      <c r="D4613" t="s">
        <v>5877</v>
      </c>
    </row>
    <row r="4614" spans="2:4" x14ac:dyDescent="0.35">
      <c r="B4614" s="9">
        <v>44426</v>
      </c>
      <c r="C4614" s="12">
        <v>19</v>
      </c>
      <c r="D4614" t="s">
        <v>5877</v>
      </c>
    </row>
    <row r="4615" spans="2:4" x14ac:dyDescent="0.35">
      <c r="B4615" s="9">
        <v>44427</v>
      </c>
      <c r="C4615" s="12">
        <v>39.700000000000003</v>
      </c>
      <c r="D4615" t="s">
        <v>5877</v>
      </c>
    </row>
    <row r="4616" spans="2:4" x14ac:dyDescent="0.35">
      <c r="B4616" s="9">
        <v>44428</v>
      </c>
      <c r="C4616" s="12">
        <v>36.5</v>
      </c>
      <c r="D4616" t="s">
        <v>5877</v>
      </c>
    </row>
    <row r="4617" spans="2:4" x14ac:dyDescent="0.35">
      <c r="B4617" s="9">
        <v>44429</v>
      </c>
      <c r="C4617" s="12">
        <v>42.9</v>
      </c>
      <c r="D4617" t="s">
        <v>5877</v>
      </c>
    </row>
    <row r="4618" spans="2:4" x14ac:dyDescent="0.35">
      <c r="B4618" s="9">
        <v>44430</v>
      </c>
      <c r="C4618" s="12">
        <v>53</v>
      </c>
      <c r="D4618" t="s">
        <v>5877</v>
      </c>
    </row>
    <row r="4619" spans="2:4" x14ac:dyDescent="0.35">
      <c r="B4619" s="9">
        <v>44431</v>
      </c>
      <c r="C4619" s="12">
        <v>40.299999999999997</v>
      </c>
      <c r="D4619" t="s">
        <v>5877</v>
      </c>
    </row>
    <row r="4620" spans="2:4" x14ac:dyDescent="0.35">
      <c r="B4620" s="9">
        <v>44432</v>
      </c>
      <c r="C4620" s="12">
        <v>49.7</v>
      </c>
      <c r="D4620" t="s">
        <v>5877</v>
      </c>
    </row>
    <row r="4621" spans="2:4" x14ac:dyDescent="0.35">
      <c r="B4621" s="9">
        <v>44433</v>
      </c>
      <c r="C4621" s="12">
        <v>60.7</v>
      </c>
      <c r="D4621" t="s">
        <v>5877</v>
      </c>
    </row>
    <row r="4622" spans="2:4" x14ac:dyDescent="0.35">
      <c r="B4622" s="9">
        <v>44434</v>
      </c>
      <c r="C4622" s="12">
        <v>45.4</v>
      </c>
      <c r="D4622" t="s">
        <v>5877</v>
      </c>
    </row>
    <row r="4623" spans="2:4" x14ac:dyDescent="0.35">
      <c r="B4623" s="9">
        <v>44435</v>
      </c>
      <c r="C4623" s="12">
        <v>40.6</v>
      </c>
      <c r="D4623" t="s">
        <v>5877</v>
      </c>
    </row>
    <row r="4624" spans="2:4" x14ac:dyDescent="0.35">
      <c r="B4624" s="9">
        <v>44436</v>
      </c>
      <c r="C4624" s="12">
        <v>56.3</v>
      </c>
      <c r="D4624" t="s">
        <v>5877</v>
      </c>
    </row>
    <row r="4625" spans="2:4" x14ac:dyDescent="0.35">
      <c r="B4625" s="9">
        <v>44437</v>
      </c>
      <c r="C4625" s="12">
        <v>56.5</v>
      </c>
      <c r="D4625" t="s">
        <v>5877</v>
      </c>
    </row>
    <row r="4626" spans="2:4" x14ac:dyDescent="0.35">
      <c r="B4626" s="9">
        <v>44438</v>
      </c>
      <c r="C4626" s="12">
        <v>44.4</v>
      </c>
      <c r="D4626" t="s">
        <v>5877</v>
      </c>
    </row>
    <row r="4627" spans="2:4" x14ac:dyDescent="0.35">
      <c r="B4627" s="9">
        <v>44439</v>
      </c>
      <c r="C4627" s="12">
        <v>70.5</v>
      </c>
      <c r="D4627" t="s">
        <v>5877</v>
      </c>
    </row>
    <row r="4628" spans="2:4" x14ac:dyDescent="0.35">
      <c r="B4628" s="9">
        <v>44440</v>
      </c>
      <c r="C4628" s="12">
        <v>53.7</v>
      </c>
      <c r="D4628" t="s">
        <v>5877</v>
      </c>
    </row>
    <row r="4629" spans="2:4" x14ac:dyDescent="0.35">
      <c r="B4629" s="9">
        <v>44441</v>
      </c>
      <c r="C4629" s="12">
        <v>42.4</v>
      </c>
      <c r="D4629" t="s">
        <v>5877</v>
      </c>
    </row>
    <row r="4630" spans="2:4" x14ac:dyDescent="0.35">
      <c r="B4630" s="9">
        <v>44442</v>
      </c>
      <c r="C4630" s="12">
        <v>55.3</v>
      </c>
      <c r="D4630" t="s">
        <v>5877</v>
      </c>
    </row>
    <row r="4631" spans="2:4" x14ac:dyDescent="0.35">
      <c r="B4631" s="9">
        <v>44443</v>
      </c>
      <c r="C4631" s="12">
        <v>55.7</v>
      </c>
      <c r="D4631" t="s">
        <v>5877</v>
      </c>
    </row>
    <row r="4632" spans="2:4" x14ac:dyDescent="0.35">
      <c r="B4632" s="9">
        <v>44444</v>
      </c>
      <c r="C4632" s="12">
        <v>53.1</v>
      </c>
      <c r="D4632" t="s">
        <v>5877</v>
      </c>
    </row>
    <row r="4633" spans="2:4" x14ac:dyDescent="0.35">
      <c r="B4633" s="9">
        <v>44445</v>
      </c>
      <c r="C4633" s="12">
        <v>83.8</v>
      </c>
      <c r="D4633" t="s">
        <v>5877</v>
      </c>
    </row>
    <row r="4634" spans="2:4" x14ac:dyDescent="0.35">
      <c r="B4634" s="9">
        <v>44446</v>
      </c>
      <c r="C4634" s="12">
        <v>67.400000000000006</v>
      </c>
      <c r="D4634" t="s">
        <v>5877</v>
      </c>
    </row>
    <row r="4635" spans="2:4" x14ac:dyDescent="0.35">
      <c r="B4635" s="9">
        <v>44447</v>
      </c>
      <c r="C4635" s="12">
        <v>106.2</v>
      </c>
      <c r="D4635" t="s">
        <v>5877</v>
      </c>
    </row>
    <row r="4636" spans="2:4" x14ac:dyDescent="0.35">
      <c r="B4636" s="9">
        <v>44448</v>
      </c>
      <c r="C4636" s="12">
        <v>89.1</v>
      </c>
      <c r="D4636" t="s">
        <v>5877</v>
      </c>
    </row>
    <row r="4637" spans="2:4" x14ac:dyDescent="0.35">
      <c r="B4637" s="9">
        <v>44449</v>
      </c>
      <c r="C4637" s="12">
        <v>83.9</v>
      </c>
      <c r="D4637" t="s">
        <v>5877</v>
      </c>
    </row>
    <row r="4638" spans="2:4" x14ac:dyDescent="0.35">
      <c r="B4638" s="9">
        <v>44450</v>
      </c>
      <c r="C4638" s="12">
        <v>65.3</v>
      </c>
      <c r="D4638" t="s">
        <v>5877</v>
      </c>
    </row>
    <row r="4639" spans="2:4" x14ac:dyDescent="0.35">
      <c r="B4639" s="9">
        <v>44451</v>
      </c>
      <c r="C4639" s="12">
        <v>61.2</v>
      </c>
      <c r="D4639" t="s">
        <v>5877</v>
      </c>
    </row>
    <row r="4640" spans="2:4" x14ac:dyDescent="0.35">
      <c r="B4640" s="9">
        <v>44452</v>
      </c>
      <c r="C4640" s="12">
        <v>49</v>
      </c>
      <c r="D4640" t="s">
        <v>5877</v>
      </c>
    </row>
    <row r="4641" spans="2:4" x14ac:dyDescent="0.35">
      <c r="B4641" s="9">
        <v>44453</v>
      </c>
      <c r="C4641" s="12">
        <v>42.1</v>
      </c>
      <c r="D4641" t="s">
        <v>5877</v>
      </c>
    </row>
    <row r="4642" spans="2:4" x14ac:dyDescent="0.35">
      <c r="B4642" s="9">
        <v>44454</v>
      </c>
      <c r="C4642" s="12">
        <v>47</v>
      </c>
      <c r="D4642" t="s">
        <v>5877</v>
      </c>
    </row>
    <row r="4643" spans="2:4" x14ac:dyDescent="0.35">
      <c r="B4643" s="9">
        <v>44455</v>
      </c>
      <c r="C4643" s="12">
        <v>115.6</v>
      </c>
      <c r="D4643" t="s">
        <v>5877</v>
      </c>
    </row>
    <row r="4644" spans="2:4" x14ac:dyDescent="0.35">
      <c r="B4644" s="9">
        <v>44456</v>
      </c>
      <c r="C4644" s="12">
        <v>93.3</v>
      </c>
      <c r="D4644" t="s">
        <v>5877</v>
      </c>
    </row>
    <row r="4645" spans="2:4" x14ac:dyDescent="0.35">
      <c r="B4645" s="9">
        <v>44457</v>
      </c>
      <c r="C4645" s="12">
        <v>73.7</v>
      </c>
      <c r="D4645" t="s">
        <v>5877</v>
      </c>
    </row>
    <row r="4646" spans="2:4" x14ac:dyDescent="0.35">
      <c r="B4646" s="9">
        <v>44458</v>
      </c>
      <c r="C4646" s="12">
        <v>102.2</v>
      </c>
      <c r="D4646" t="s">
        <v>5877</v>
      </c>
    </row>
    <row r="4647" spans="2:4" x14ac:dyDescent="0.35">
      <c r="B4647" s="9">
        <v>44459</v>
      </c>
      <c r="C4647" s="12">
        <v>92</v>
      </c>
      <c r="D4647" t="s">
        <v>5877</v>
      </c>
    </row>
    <row r="4648" spans="2:4" x14ac:dyDescent="0.35">
      <c r="B4648" s="9">
        <v>44460</v>
      </c>
      <c r="C4648" s="12">
        <v>72.8</v>
      </c>
      <c r="D4648" t="s">
        <v>5877</v>
      </c>
    </row>
    <row r="4649" spans="2:4" x14ac:dyDescent="0.35">
      <c r="B4649" s="9">
        <v>44461</v>
      </c>
      <c r="C4649" s="12">
        <v>73.099999999999994</v>
      </c>
      <c r="D4649" t="s">
        <v>5877</v>
      </c>
    </row>
    <row r="4650" spans="2:4" x14ac:dyDescent="0.35">
      <c r="B4650" s="9">
        <v>44462</v>
      </c>
      <c r="C4650" s="12">
        <v>121.3</v>
      </c>
      <c r="D4650" t="s">
        <v>5877</v>
      </c>
    </row>
    <row r="4651" spans="2:4" x14ac:dyDescent="0.35">
      <c r="B4651" s="9">
        <v>44463</v>
      </c>
      <c r="C4651" s="12">
        <v>148.80000000000001</v>
      </c>
      <c r="D4651" t="s">
        <v>5877</v>
      </c>
    </row>
    <row r="4652" spans="2:4" x14ac:dyDescent="0.35">
      <c r="B4652" s="9">
        <v>44464</v>
      </c>
      <c r="C4652" s="12">
        <v>114.7</v>
      </c>
      <c r="D4652" t="s">
        <v>5877</v>
      </c>
    </row>
    <row r="4653" spans="2:4" x14ac:dyDescent="0.35">
      <c r="B4653" s="9">
        <v>44465</v>
      </c>
      <c r="C4653" s="12">
        <v>84.1</v>
      </c>
      <c r="D4653" t="s">
        <v>5877</v>
      </c>
    </row>
    <row r="4654" spans="2:4" x14ac:dyDescent="0.35">
      <c r="B4654" s="9">
        <v>44466</v>
      </c>
      <c r="C4654" s="12">
        <v>79.8</v>
      </c>
      <c r="D4654" t="s">
        <v>5877</v>
      </c>
    </row>
    <row r="4655" spans="2:4" x14ac:dyDescent="0.35">
      <c r="B4655" s="9">
        <v>44467</v>
      </c>
      <c r="C4655" s="12">
        <v>112.5</v>
      </c>
      <c r="D4655" t="s">
        <v>5877</v>
      </c>
    </row>
    <row r="4656" spans="2:4" x14ac:dyDescent="0.35">
      <c r="B4656" s="9">
        <v>44468</v>
      </c>
      <c r="C4656" s="12">
        <v>94.5</v>
      </c>
      <c r="D4656" t="s">
        <v>5877</v>
      </c>
    </row>
    <row r="4657" spans="2:4" x14ac:dyDescent="0.35">
      <c r="B4657" s="9">
        <v>44469</v>
      </c>
      <c r="C4657" s="12">
        <v>104.3</v>
      </c>
      <c r="D4657" t="s">
        <v>5877</v>
      </c>
    </row>
    <row r="4658" spans="2:4" x14ac:dyDescent="0.35">
      <c r="B4658" s="9">
        <v>44470</v>
      </c>
      <c r="C4658" s="12">
        <v>111.9</v>
      </c>
      <c r="D4658" t="s">
        <v>5877</v>
      </c>
    </row>
    <row r="4659" spans="2:4" x14ac:dyDescent="0.35">
      <c r="B4659" s="9">
        <v>44471</v>
      </c>
      <c r="C4659" s="12">
        <v>109.8</v>
      </c>
      <c r="D4659" t="s">
        <v>5877</v>
      </c>
    </row>
    <row r="4660" spans="2:4" x14ac:dyDescent="0.35">
      <c r="B4660" s="9">
        <v>44472</v>
      </c>
      <c r="C4660" s="12">
        <v>99.6</v>
      </c>
      <c r="D4660" t="s">
        <v>5877</v>
      </c>
    </row>
    <row r="4661" spans="2:4" x14ac:dyDescent="0.35">
      <c r="B4661" s="9">
        <v>44473</v>
      </c>
      <c r="C4661" s="12">
        <v>147.1</v>
      </c>
      <c r="D4661" t="s">
        <v>5877</v>
      </c>
    </row>
    <row r="4662" spans="2:4" x14ac:dyDescent="0.35">
      <c r="B4662" s="9">
        <v>44474</v>
      </c>
      <c r="C4662" s="12">
        <v>131.80000000000001</v>
      </c>
      <c r="D4662" t="s">
        <v>5877</v>
      </c>
    </row>
    <row r="4663" spans="2:4" x14ac:dyDescent="0.35">
      <c r="B4663" s="9">
        <v>44475</v>
      </c>
      <c r="C4663" s="12">
        <v>176.2</v>
      </c>
      <c r="D4663" t="s">
        <v>5877</v>
      </c>
    </row>
    <row r="4664" spans="2:4" x14ac:dyDescent="0.35">
      <c r="B4664" s="9">
        <v>44476</v>
      </c>
      <c r="C4664" s="12">
        <v>133.9</v>
      </c>
      <c r="D4664" t="s">
        <v>5877</v>
      </c>
    </row>
    <row r="4665" spans="2:4" x14ac:dyDescent="0.35">
      <c r="B4665" s="9">
        <v>44477</v>
      </c>
      <c r="C4665" s="12">
        <v>97.4</v>
      </c>
      <c r="D4665" t="s">
        <v>5877</v>
      </c>
    </row>
    <row r="4666" spans="2:4" x14ac:dyDescent="0.35">
      <c r="B4666" s="9">
        <v>44478</v>
      </c>
      <c r="C4666" s="12">
        <v>85.3</v>
      </c>
      <c r="D4666" t="s">
        <v>5877</v>
      </c>
    </row>
    <row r="4667" spans="2:4" x14ac:dyDescent="0.35">
      <c r="B4667" s="9">
        <v>44479</v>
      </c>
      <c r="C4667" s="12">
        <v>85</v>
      </c>
      <c r="D4667" t="s">
        <v>5877</v>
      </c>
    </row>
    <row r="4668" spans="2:4" x14ac:dyDescent="0.35">
      <c r="B4668" s="9">
        <v>44480</v>
      </c>
      <c r="C4668" s="12">
        <v>165.6</v>
      </c>
      <c r="D4668" t="s">
        <v>5877</v>
      </c>
    </row>
    <row r="4669" spans="2:4" x14ac:dyDescent="0.35">
      <c r="B4669" s="9">
        <v>44481</v>
      </c>
      <c r="C4669" s="12">
        <v>216.6</v>
      </c>
      <c r="D4669" t="s">
        <v>5877</v>
      </c>
    </row>
    <row r="4670" spans="2:4" x14ac:dyDescent="0.35">
      <c r="B4670" s="9">
        <v>44482</v>
      </c>
      <c r="C4670" s="12">
        <v>155</v>
      </c>
      <c r="D4670" t="s">
        <v>5877</v>
      </c>
    </row>
    <row r="4671" spans="2:4" x14ac:dyDescent="0.35">
      <c r="B4671" s="9">
        <v>44483</v>
      </c>
      <c r="C4671" s="12">
        <v>111.1</v>
      </c>
      <c r="D4671" t="s">
        <v>5877</v>
      </c>
    </row>
    <row r="4672" spans="2:4" x14ac:dyDescent="0.35">
      <c r="B4672" s="9">
        <v>44484</v>
      </c>
      <c r="C4672" s="12">
        <v>103.7</v>
      </c>
      <c r="D4672" t="s">
        <v>5877</v>
      </c>
    </row>
    <row r="4673" spans="2:4" x14ac:dyDescent="0.35">
      <c r="B4673" s="9">
        <v>44485</v>
      </c>
      <c r="C4673" s="12">
        <v>135.69999999999999</v>
      </c>
      <c r="D4673" t="s">
        <v>5877</v>
      </c>
    </row>
    <row r="4674" spans="2:4" x14ac:dyDescent="0.35">
      <c r="B4674" s="9">
        <v>44486</v>
      </c>
      <c r="C4674" s="12">
        <v>134.9</v>
      </c>
      <c r="D4674" t="s">
        <v>5877</v>
      </c>
    </row>
    <row r="4675" spans="2:4" x14ac:dyDescent="0.35">
      <c r="B4675" s="9">
        <v>44487</v>
      </c>
      <c r="C4675" s="12">
        <v>113.6</v>
      </c>
      <c r="D4675" t="s">
        <v>5877</v>
      </c>
    </row>
    <row r="4676" spans="2:4" x14ac:dyDescent="0.35">
      <c r="B4676" s="9">
        <v>44488</v>
      </c>
      <c r="C4676" s="12">
        <v>134.1</v>
      </c>
      <c r="D4676" t="s">
        <v>5877</v>
      </c>
    </row>
    <row r="4677" spans="2:4" x14ac:dyDescent="0.35">
      <c r="B4677" s="9">
        <v>44489</v>
      </c>
      <c r="C4677" s="12">
        <v>126.1</v>
      </c>
      <c r="D4677" t="s">
        <v>5877</v>
      </c>
    </row>
    <row r="4678" spans="2:4" x14ac:dyDescent="0.35">
      <c r="B4678" s="9">
        <v>44490</v>
      </c>
      <c r="C4678" s="12">
        <v>112.8</v>
      </c>
      <c r="D4678" t="s">
        <v>5877</v>
      </c>
    </row>
    <row r="4679" spans="2:4" x14ac:dyDescent="0.35">
      <c r="B4679" s="9">
        <v>44491</v>
      </c>
      <c r="C4679" s="12">
        <v>119.3</v>
      </c>
      <c r="D4679" t="s">
        <v>5877</v>
      </c>
    </row>
    <row r="4680" spans="2:4" x14ac:dyDescent="0.35">
      <c r="B4680" s="9">
        <v>44492</v>
      </c>
      <c r="C4680" s="12">
        <v>99.4</v>
      </c>
      <c r="D4680" t="s">
        <v>5877</v>
      </c>
    </row>
    <row r="4681" spans="2:4" x14ac:dyDescent="0.35">
      <c r="B4681" s="9">
        <v>44493</v>
      </c>
      <c r="C4681" s="12">
        <v>85.4</v>
      </c>
      <c r="D4681" t="s">
        <v>5877</v>
      </c>
    </row>
    <row r="4682" spans="2:4" x14ac:dyDescent="0.35">
      <c r="B4682" s="9">
        <v>44494</v>
      </c>
      <c r="C4682" s="12">
        <v>129.4</v>
      </c>
      <c r="D4682" t="s">
        <v>5877</v>
      </c>
    </row>
    <row r="4683" spans="2:4" x14ac:dyDescent="0.35">
      <c r="B4683" s="9">
        <v>44495</v>
      </c>
      <c r="C4683" s="12">
        <v>169.1</v>
      </c>
      <c r="D4683" t="s">
        <v>5877</v>
      </c>
    </row>
    <row r="4684" spans="2:4" x14ac:dyDescent="0.35">
      <c r="B4684" s="9">
        <v>44496</v>
      </c>
      <c r="C4684" s="12">
        <v>141.9</v>
      </c>
      <c r="D4684" t="s">
        <v>5877</v>
      </c>
    </row>
    <row r="4685" spans="2:4" x14ac:dyDescent="0.35">
      <c r="B4685" s="9">
        <v>44497</v>
      </c>
      <c r="C4685" s="12">
        <v>109.4</v>
      </c>
      <c r="D4685" t="s">
        <v>5877</v>
      </c>
    </row>
    <row r="4686" spans="2:4" x14ac:dyDescent="0.35">
      <c r="B4686" s="9">
        <v>44498</v>
      </c>
      <c r="C4686" s="12">
        <v>174.3</v>
      </c>
      <c r="D4686" t="s">
        <v>5877</v>
      </c>
    </row>
    <row r="4687" spans="2:4" x14ac:dyDescent="0.35">
      <c r="B4687" s="9">
        <v>44499</v>
      </c>
      <c r="C4687" s="12">
        <v>138.69999999999999</v>
      </c>
      <c r="D4687" t="s">
        <v>5877</v>
      </c>
    </row>
    <row r="4688" spans="2:4" x14ac:dyDescent="0.35">
      <c r="B4688" s="9">
        <v>44500</v>
      </c>
      <c r="C4688" s="12">
        <v>104.8</v>
      </c>
      <c r="D4688" t="s">
        <v>5877</v>
      </c>
    </row>
    <row r="4689" spans="2:4" x14ac:dyDescent="0.35">
      <c r="B4689" s="9">
        <v>44501</v>
      </c>
      <c r="C4689" s="12">
        <v>107.9</v>
      </c>
      <c r="D4689" t="s">
        <v>5877</v>
      </c>
    </row>
    <row r="4690" spans="2:4" x14ac:dyDescent="0.35">
      <c r="B4690" s="9">
        <v>44502</v>
      </c>
      <c r="C4690" s="12">
        <v>169.2</v>
      </c>
      <c r="D4690" t="s">
        <v>5877</v>
      </c>
    </row>
    <row r="4691" spans="2:4" x14ac:dyDescent="0.35">
      <c r="B4691" s="9">
        <v>44503</v>
      </c>
      <c r="C4691" s="12">
        <v>130.4</v>
      </c>
      <c r="D4691" t="s">
        <v>5877</v>
      </c>
    </row>
    <row r="4692" spans="2:4" x14ac:dyDescent="0.35">
      <c r="B4692" s="9">
        <v>44504</v>
      </c>
      <c r="C4692" s="12">
        <v>100</v>
      </c>
      <c r="D4692" t="s">
        <v>5877</v>
      </c>
    </row>
    <row r="4693" spans="2:4" x14ac:dyDescent="0.35">
      <c r="B4693" s="9">
        <v>44505</v>
      </c>
      <c r="C4693" s="12">
        <v>83.6</v>
      </c>
      <c r="D4693" t="s">
        <v>5877</v>
      </c>
    </row>
    <row r="4694" spans="2:4" x14ac:dyDescent="0.35">
      <c r="B4694" s="9">
        <v>44506</v>
      </c>
      <c r="C4694" s="12">
        <v>120.3</v>
      </c>
      <c r="D4694" t="s">
        <v>5877</v>
      </c>
    </row>
    <row r="4695" spans="2:4" x14ac:dyDescent="0.35">
      <c r="B4695" s="9">
        <v>44507</v>
      </c>
      <c r="C4695" s="12">
        <v>100.3</v>
      </c>
      <c r="D4695" t="s">
        <v>5877</v>
      </c>
    </row>
    <row r="4696" spans="2:4" x14ac:dyDescent="0.35">
      <c r="B4696" s="9">
        <v>44508</v>
      </c>
      <c r="C4696" s="12">
        <v>100.9</v>
      </c>
      <c r="D4696" t="s">
        <v>5877</v>
      </c>
    </row>
    <row r="4697" spans="2:4" x14ac:dyDescent="0.35">
      <c r="B4697" s="9">
        <v>44509</v>
      </c>
      <c r="C4697" s="12">
        <v>84.5</v>
      </c>
      <c r="D4697" t="s">
        <v>5877</v>
      </c>
    </row>
    <row r="4698" spans="2:4" x14ac:dyDescent="0.35">
      <c r="B4698" s="9">
        <v>44510</v>
      </c>
      <c r="C4698" s="12">
        <v>74.599999999999994</v>
      </c>
      <c r="D4698" t="s">
        <v>5877</v>
      </c>
    </row>
    <row r="4699" spans="2:4" x14ac:dyDescent="0.35">
      <c r="B4699" s="9">
        <v>44511</v>
      </c>
      <c r="C4699" s="12">
        <v>79.3</v>
      </c>
      <c r="D4699" t="s">
        <v>5877</v>
      </c>
    </row>
    <row r="4700" spans="2:4" x14ac:dyDescent="0.35">
      <c r="B4700" s="9">
        <v>44512</v>
      </c>
      <c r="C4700" s="12">
        <v>108.2</v>
      </c>
      <c r="D4700" t="s">
        <v>5877</v>
      </c>
    </row>
    <row r="4701" spans="2:4" x14ac:dyDescent="0.35">
      <c r="B4701" s="9">
        <v>44513</v>
      </c>
      <c r="C4701" s="12">
        <v>145.19999999999999</v>
      </c>
      <c r="D4701" t="s">
        <v>5877</v>
      </c>
    </row>
    <row r="4702" spans="2:4" x14ac:dyDescent="0.35">
      <c r="B4702" s="9">
        <v>44514</v>
      </c>
      <c r="C4702" s="12">
        <v>125.8</v>
      </c>
      <c r="D4702" t="s">
        <v>5877</v>
      </c>
    </row>
    <row r="4703" spans="2:4" x14ac:dyDescent="0.35">
      <c r="B4703" s="9">
        <v>44515</v>
      </c>
      <c r="C4703" s="12">
        <v>102.2</v>
      </c>
      <c r="D4703" t="s">
        <v>5877</v>
      </c>
    </row>
    <row r="4704" spans="2:4" x14ac:dyDescent="0.35">
      <c r="B4704" s="9">
        <v>44516</v>
      </c>
      <c r="C4704" s="12">
        <v>153.19999999999999</v>
      </c>
      <c r="D4704" t="s">
        <v>5877</v>
      </c>
    </row>
    <row r="4705" spans="2:4" x14ac:dyDescent="0.35">
      <c r="B4705" s="9">
        <v>44517</v>
      </c>
      <c r="C4705" s="12">
        <v>168.5</v>
      </c>
      <c r="D4705" t="s">
        <v>5877</v>
      </c>
    </row>
    <row r="4706" spans="2:4" x14ac:dyDescent="0.35">
      <c r="B4706" s="9">
        <v>44518</v>
      </c>
      <c r="C4706" s="12">
        <v>127.9</v>
      </c>
      <c r="D4706" t="s">
        <v>5877</v>
      </c>
    </row>
    <row r="4707" spans="2:4" x14ac:dyDescent="0.35">
      <c r="B4707" s="9">
        <v>44519</v>
      </c>
      <c r="C4707" s="12">
        <v>103.5</v>
      </c>
      <c r="D4707" t="s">
        <v>5877</v>
      </c>
    </row>
    <row r="4708" spans="2:4" x14ac:dyDescent="0.35">
      <c r="B4708" s="9">
        <v>44520</v>
      </c>
      <c r="C4708" s="12">
        <v>86.1</v>
      </c>
      <c r="D4708" t="s">
        <v>5877</v>
      </c>
    </row>
    <row r="4709" spans="2:4" x14ac:dyDescent="0.35">
      <c r="B4709" s="9">
        <v>44521</v>
      </c>
      <c r="C4709" s="12">
        <v>76.099999999999994</v>
      </c>
      <c r="D4709" t="s">
        <v>5877</v>
      </c>
    </row>
    <row r="4710" spans="2:4" x14ac:dyDescent="0.35">
      <c r="B4710" s="9">
        <v>44522</v>
      </c>
      <c r="C4710" s="12">
        <v>113.1</v>
      </c>
      <c r="D4710" t="s">
        <v>5877</v>
      </c>
    </row>
    <row r="4711" spans="2:4" x14ac:dyDescent="0.35">
      <c r="B4711" s="9">
        <v>44523</v>
      </c>
      <c r="C4711" s="12">
        <v>96.7</v>
      </c>
      <c r="D4711" t="s">
        <v>5877</v>
      </c>
    </row>
    <row r="4712" spans="2:4" x14ac:dyDescent="0.35">
      <c r="B4712" s="9">
        <v>44524</v>
      </c>
      <c r="C4712" s="12">
        <v>125.5</v>
      </c>
      <c r="D4712" t="s">
        <v>5877</v>
      </c>
    </row>
    <row r="4713" spans="2:4" x14ac:dyDescent="0.35">
      <c r="B4713" s="9">
        <v>44525</v>
      </c>
      <c r="C4713" s="12">
        <v>164.9</v>
      </c>
      <c r="D4713" t="s">
        <v>5877</v>
      </c>
    </row>
    <row r="4714" spans="2:4" x14ac:dyDescent="0.35">
      <c r="B4714" s="9">
        <v>44526</v>
      </c>
      <c r="C4714" s="12">
        <v>160.30000000000001</v>
      </c>
      <c r="D4714" t="s">
        <v>5877</v>
      </c>
    </row>
    <row r="4715" spans="2:4" x14ac:dyDescent="0.35">
      <c r="B4715" s="9">
        <v>44527</v>
      </c>
      <c r="C4715" s="12">
        <v>117.4</v>
      </c>
      <c r="D4715" t="s">
        <v>5877</v>
      </c>
    </row>
    <row r="4716" spans="2:4" x14ac:dyDescent="0.35">
      <c r="B4716" s="9">
        <v>44528</v>
      </c>
      <c r="C4716" s="12">
        <v>120.3</v>
      </c>
      <c r="D4716" t="s">
        <v>5877</v>
      </c>
    </row>
    <row r="4717" spans="2:4" x14ac:dyDescent="0.35">
      <c r="B4717" s="9">
        <v>44529</v>
      </c>
      <c r="C4717" s="12">
        <v>122.6</v>
      </c>
      <c r="D4717" t="s">
        <v>5877</v>
      </c>
    </row>
    <row r="4718" spans="2:4" x14ac:dyDescent="0.35">
      <c r="B4718" s="9">
        <v>44530</v>
      </c>
      <c r="C4718" s="12">
        <v>166</v>
      </c>
      <c r="D4718" t="s">
        <v>5877</v>
      </c>
    </row>
    <row r="4719" spans="2:4" x14ac:dyDescent="0.35">
      <c r="B4719" s="9">
        <v>44531</v>
      </c>
      <c r="C4719" s="12">
        <v>167.9</v>
      </c>
      <c r="D4719" t="s">
        <v>5877</v>
      </c>
    </row>
    <row r="4720" spans="2:4" x14ac:dyDescent="0.35">
      <c r="B4720" s="9">
        <v>44532</v>
      </c>
      <c r="C4720" s="12">
        <v>148.19999999999999</v>
      </c>
      <c r="D4720" t="s">
        <v>5877</v>
      </c>
    </row>
    <row r="4721" spans="2:4" x14ac:dyDescent="0.35">
      <c r="B4721" s="9">
        <v>44533</v>
      </c>
      <c r="C4721" s="12">
        <v>124.7</v>
      </c>
      <c r="D4721" t="s">
        <v>5877</v>
      </c>
    </row>
    <row r="4722" spans="2:4" x14ac:dyDescent="0.35">
      <c r="B4722" s="9">
        <v>44534</v>
      </c>
      <c r="C4722" s="12">
        <v>99.4</v>
      </c>
      <c r="D4722" t="s">
        <v>5877</v>
      </c>
    </row>
    <row r="4723" spans="2:4" x14ac:dyDescent="0.35">
      <c r="B4723" s="9">
        <v>44535</v>
      </c>
      <c r="C4723" s="12">
        <v>112.9</v>
      </c>
      <c r="D4723" t="s">
        <v>5877</v>
      </c>
    </row>
    <row r="4724" spans="2:4" x14ac:dyDescent="0.35">
      <c r="B4724" s="9">
        <v>44536</v>
      </c>
      <c r="C4724" s="12">
        <v>141.6</v>
      </c>
      <c r="D4724" t="s">
        <v>5877</v>
      </c>
    </row>
    <row r="4725" spans="2:4" x14ac:dyDescent="0.35">
      <c r="B4725" s="9">
        <v>44537</v>
      </c>
      <c r="C4725" s="12">
        <v>121.7</v>
      </c>
      <c r="D4725" t="s">
        <v>5877</v>
      </c>
    </row>
    <row r="4726" spans="2:4" x14ac:dyDescent="0.35">
      <c r="B4726" s="9">
        <v>44538</v>
      </c>
      <c r="C4726" s="12">
        <v>98.5</v>
      </c>
      <c r="D4726" t="s">
        <v>5877</v>
      </c>
    </row>
    <row r="4727" spans="2:4" x14ac:dyDescent="0.35">
      <c r="B4727" s="9">
        <v>44539</v>
      </c>
      <c r="C4727" s="12">
        <v>151.5</v>
      </c>
      <c r="D4727" t="s">
        <v>5877</v>
      </c>
    </row>
    <row r="4728" spans="2:4" x14ac:dyDescent="0.35">
      <c r="B4728" s="9">
        <v>44540</v>
      </c>
      <c r="C4728" s="12">
        <v>114.6</v>
      </c>
      <c r="D4728" t="s">
        <v>5877</v>
      </c>
    </row>
    <row r="4729" spans="2:4" x14ac:dyDescent="0.35">
      <c r="B4729" s="9">
        <v>44541</v>
      </c>
      <c r="C4729" s="12">
        <v>93.5</v>
      </c>
      <c r="D4729" t="s">
        <v>5877</v>
      </c>
    </row>
    <row r="4730" spans="2:4" x14ac:dyDescent="0.35">
      <c r="B4730" s="9">
        <v>44542</v>
      </c>
      <c r="C4730" s="12">
        <v>119.6</v>
      </c>
      <c r="D4730" t="s">
        <v>5877</v>
      </c>
    </row>
    <row r="4731" spans="2:4" x14ac:dyDescent="0.35">
      <c r="B4731" s="9">
        <v>44543</v>
      </c>
      <c r="C4731" s="12">
        <v>180.7</v>
      </c>
      <c r="D4731" t="s">
        <v>5877</v>
      </c>
    </row>
    <row r="4732" spans="2:4" x14ac:dyDescent="0.35">
      <c r="B4732" s="9">
        <v>44544</v>
      </c>
      <c r="C4732" s="12">
        <v>203</v>
      </c>
      <c r="D4732" t="s">
        <v>5877</v>
      </c>
    </row>
    <row r="4733" spans="2:4" x14ac:dyDescent="0.35">
      <c r="B4733" s="9">
        <v>44545</v>
      </c>
      <c r="C4733" s="12">
        <v>149.19999999999999</v>
      </c>
      <c r="D4733" t="s">
        <v>5877</v>
      </c>
    </row>
    <row r="4734" spans="2:4" x14ac:dyDescent="0.35">
      <c r="B4734" s="9">
        <v>44546</v>
      </c>
      <c r="C4734" s="12">
        <v>119.2</v>
      </c>
      <c r="D4734" t="s">
        <v>5877</v>
      </c>
    </row>
    <row r="4735" spans="2:4" x14ac:dyDescent="0.35">
      <c r="B4735" s="9">
        <v>44547</v>
      </c>
      <c r="C4735" s="12">
        <v>135.30000000000001</v>
      </c>
      <c r="D4735" t="s">
        <v>5877</v>
      </c>
    </row>
    <row r="4736" spans="2:4" x14ac:dyDescent="0.35">
      <c r="B4736" s="9">
        <v>44548</v>
      </c>
      <c r="C4736" s="12">
        <v>136.19999999999999</v>
      </c>
      <c r="D4736" t="s">
        <v>5877</v>
      </c>
    </row>
    <row r="4737" spans="2:4" x14ac:dyDescent="0.35">
      <c r="B4737" s="9">
        <v>44549</v>
      </c>
      <c r="C4737" s="12">
        <v>107.3</v>
      </c>
      <c r="D4737" t="s">
        <v>5877</v>
      </c>
    </row>
    <row r="4738" spans="2:4" x14ac:dyDescent="0.35">
      <c r="B4738" s="9">
        <v>44550</v>
      </c>
      <c r="C4738" s="12">
        <v>160</v>
      </c>
      <c r="D4738" t="s">
        <v>5877</v>
      </c>
    </row>
    <row r="4739" spans="2:4" x14ac:dyDescent="0.35">
      <c r="B4739" s="9">
        <v>44551</v>
      </c>
      <c r="C4739" s="12">
        <v>159.30000000000001</v>
      </c>
      <c r="D4739" t="s">
        <v>5877</v>
      </c>
    </row>
    <row r="4740" spans="2:4" x14ac:dyDescent="0.35">
      <c r="B4740" s="9">
        <v>44552</v>
      </c>
      <c r="C4740" s="12">
        <v>191.4</v>
      </c>
      <c r="D4740" t="s">
        <v>5877</v>
      </c>
    </row>
    <row r="4741" spans="2:4" x14ac:dyDescent="0.35">
      <c r="B4741" s="9">
        <v>44553</v>
      </c>
      <c r="C4741" s="12">
        <v>237.5</v>
      </c>
      <c r="D4741" t="s">
        <v>5877</v>
      </c>
    </row>
    <row r="4742" spans="2:4" x14ac:dyDescent="0.35">
      <c r="B4742" s="9">
        <v>44554</v>
      </c>
      <c r="C4742" s="12">
        <v>228.4</v>
      </c>
      <c r="D4742" t="s">
        <v>5877</v>
      </c>
    </row>
    <row r="4743" spans="2:4" x14ac:dyDescent="0.35">
      <c r="B4743" s="9">
        <v>44555</v>
      </c>
      <c r="C4743" s="12">
        <v>162.19999999999999</v>
      </c>
      <c r="D4743" t="s">
        <v>5877</v>
      </c>
    </row>
    <row r="4744" spans="2:4" x14ac:dyDescent="0.35">
      <c r="B4744" s="9">
        <v>44556</v>
      </c>
      <c r="C4744" s="12">
        <v>184.7</v>
      </c>
      <c r="D4744" t="s">
        <v>5877</v>
      </c>
    </row>
    <row r="4745" spans="2:4" x14ac:dyDescent="0.35">
      <c r="B4745" s="9">
        <v>44557</v>
      </c>
      <c r="C4745" s="12">
        <v>137.4</v>
      </c>
      <c r="D4745" t="s">
        <v>5877</v>
      </c>
    </row>
    <row r="4746" spans="2:4" x14ac:dyDescent="0.35">
      <c r="B4746" s="9">
        <v>44558</v>
      </c>
      <c r="C4746" s="12">
        <v>185</v>
      </c>
      <c r="D4746" t="s">
        <v>5877</v>
      </c>
    </row>
    <row r="4747" spans="2:4" x14ac:dyDescent="0.35">
      <c r="B4747" s="9">
        <v>44559</v>
      </c>
      <c r="C4747" s="12">
        <v>139.30000000000001</v>
      </c>
      <c r="D4747" t="s">
        <v>5877</v>
      </c>
    </row>
    <row r="4748" spans="2:4" x14ac:dyDescent="0.35">
      <c r="B4748" s="9">
        <v>44560</v>
      </c>
      <c r="C4748" s="12">
        <v>171.4</v>
      </c>
      <c r="D4748" t="s">
        <v>5877</v>
      </c>
    </row>
    <row r="4749" spans="2:4" x14ac:dyDescent="0.35">
      <c r="B4749" s="9">
        <v>44561</v>
      </c>
      <c r="C4749" s="12">
        <v>187.2</v>
      </c>
      <c r="D4749" t="s">
        <v>5877</v>
      </c>
    </row>
    <row r="4750" spans="2:4" x14ac:dyDescent="0.35">
      <c r="B4750" s="9">
        <v>44562</v>
      </c>
      <c r="C4750" s="12">
        <v>157.9</v>
      </c>
      <c r="D4750" t="s">
        <v>5877</v>
      </c>
    </row>
    <row r="4751" spans="2:4" x14ac:dyDescent="0.35">
      <c r="B4751" s="9">
        <v>44563</v>
      </c>
      <c r="C4751" s="12">
        <v>116.6</v>
      </c>
      <c r="D4751" t="s">
        <v>5877</v>
      </c>
    </row>
    <row r="4752" spans="2:4" x14ac:dyDescent="0.35">
      <c r="B4752" s="9">
        <v>44564</v>
      </c>
      <c r="C4752" s="12">
        <v>116.2</v>
      </c>
      <c r="D4752" t="s">
        <v>5877</v>
      </c>
    </row>
    <row r="4753" spans="2:4" x14ac:dyDescent="0.35">
      <c r="B4753" s="9">
        <v>44565</v>
      </c>
      <c r="C4753" s="12">
        <v>140.5</v>
      </c>
      <c r="D4753" t="s">
        <v>5877</v>
      </c>
    </row>
    <row r="4754" spans="2:4" x14ac:dyDescent="0.35">
      <c r="B4754" s="9">
        <v>44566</v>
      </c>
      <c r="C4754" s="12">
        <v>128.9</v>
      </c>
      <c r="D4754" t="s">
        <v>5877</v>
      </c>
    </row>
    <row r="4755" spans="2:4" x14ac:dyDescent="0.35">
      <c r="B4755" s="9">
        <v>44567</v>
      </c>
      <c r="C4755" s="12">
        <v>114</v>
      </c>
      <c r="D4755" t="s">
        <v>5877</v>
      </c>
    </row>
    <row r="4756" spans="2:4" x14ac:dyDescent="0.35">
      <c r="B4756" s="9">
        <v>44568</v>
      </c>
      <c r="C4756" s="12">
        <v>112.9</v>
      </c>
      <c r="D4756" t="s">
        <v>5877</v>
      </c>
    </row>
    <row r="4757" spans="2:4" x14ac:dyDescent="0.35">
      <c r="B4757" s="9">
        <v>44569</v>
      </c>
      <c r="C4757" s="12">
        <v>132.6</v>
      </c>
      <c r="D4757" t="s">
        <v>5877</v>
      </c>
    </row>
    <row r="4758" spans="2:4" x14ac:dyDescent="0.35">
      <c r="B4758" s="9">
        <v>44570</v>
      </c>
      <c r="C4758" s="12">
        <v>110.8</v>
      </c>
      <c r="D4758" t="s">
        <v>5877</v>
      </c>
    </row>
    <row r="4759" spans="2:4" x14ac:dyDescent="0.35">
      <c r="B4759" s="9">
        <v>44571</v>
      </c>
      <c r="C4759" s="12">
        <v>133.6</v>
      </c>
      <c r="D4759" t="s">
        <v>5877</v>
      </c>
    </row>
    <row r="4760" spans="2:4" x14ac:dyDescent="0.35">
      <c r="B4760" s="9">
        <v>44572</v>
      </c>
      <c r="C4760" s="12">
        <v>105.3</v>
      </c>
      <c r="D4760" t="s">
        <v>5877</v>
      </c>
    </row>
    <row r="4761" spans="2:4" x14ac:dyDescent="0.35">
      <c r="B4761" s="9">
        <v>44573</v>
      </c>
      <c r="C4761" s="12">
        <v>95.8</v>
      </c>
      <c r="D4761" t="s">
        <v>5877</v>
      </c>
    </row>
    <row r="4762" spans="2:4" x14ac:dyDescent="0.35">
      <c r="B4762" s="9">
        <v>44574</v>
      </c>
      <c r="C4762" s="12">
        <v>146.69999999999999</v>
      </c>
      <c r="D4762" t="s">
        <v>5877</v>
      </c>
    </row>
    <row r="4763" spans="2:4" x14ac:dyDescent="0.35">
      <c r="B4763" s="9">
        <v>44575</v>
      </c>
      <c r="C4763" s="12">
        <v>155</v>
      </c>
      <c r="D4763" t="s">
        <v>5877</v>
      </c>
    </row>
    <row r="4764" spans="2:4" x14ac:dyDescent="0.35">
      <c r="B4764" s="9">
        <v>44576</v>
      </c>
      <c r="C4764" s="12">
        <v>117.9</v>
      </c>
      <c r="D4764" t="s">
        <v>5877</v>
      </c>
    </row>
    <row r="4765" spans="2:4" x14ac:dyDescent="0.35">
      <c r="B4765" s="9">
        <v>44577</v>
      </c>
      <c r="C4765" s="12">
        <v>147.69999999999999</v>
      </c>
      <c r="D4765" t="s">
        <v>5877</v>
      </c>
    </row>
    <row r="4766" spans="2:4" x14ac:dyDescent="0.35">
      <c r="B4766" s="9">
        <v>44578</v>
      </c>
      <c r="C4766" s="12">
        <v>162.6</v>
      </c>
      <c r="D4766" t="s">
        <v>5877</v>
      </c>
    </row>
    <row r="4767" spans="2:4" x14ac:dyDescent="0.35">
      <c r="B4767" s="9">
        <v>44579</v>
      </c>
      <c r="C4767" s="12">
        <v>138.69999999999999</v>
      </c>
      <c r="D4767" t="s">
        <v>5877</v>
      </c>
    </row>
    <row r="4768" spans="2:4" x14ac:dyDescent="0.35">
      <c r="B4768" s="9">
        <v>44580</v>
      </c>
      <c r="C4768" s="12">
        <v>129.1</v>
      </c>
      <c r="D4768" t="s">
        <v>5877</v>
      </c>
    </row>
    <row r="4769" spans="2:4" x14ac:dyDescent="0.35">
      <c r="B4769" s="9">
        <v>44581</v>
      </c>
      <c r="C4769" s="12">
        <v>102.5</v>
      </c>
      <c r="D4769" t="s">
        <v>5877</v>
      </c>
    </row>
    <row r="4770" spans="2:4" x14ac:dyDescent="0.35">
      <c r="B4770" s="9">
        <v>44582</v>
      </c>
      <c r="C4770" s="12">
        <v>98.7</v>
      </c>
      <c r="D4770" t="s">
        <v>5877</v>
      </c>
    </row>
    <row r="4771" spans="2:4" x14ac:dyDescent="0.35">
      <c r="B4771" s="9">
        <v>44583</v>
      </c>
      <c r="C4771" s="12">
        <v>144.4</v>
      </c>
      <c r="D4771" t="s">
        <v>5877</v>
      </c>
    </row>
    <row r="4772" spans="2:4" x14ac:dyDescent="0.35">
      <c r="B4772" s="9">
        <v>44584</v>
      </c>
      <c r="C4772" s="12">
        <v>118.9</v>
      </c>
      <c r="D4772" t="s">
        <v>5877</v>
      </c>
    </row>
    <row r="4773" spans="2:4" x14ac:dyDescent="0.35">
      <c r="B4773" s="9">
        <v>44585</v>
      </c>
      <c r="C4773" s="12">
        <v>107.6</v>
      </c>
      <c r="D4773" t="s">
        <v>5877</v>
      </c>
    </row>
    <row r="4774" spans="2:4" x14ac:dyDescent="0.35">
      <c r="B4774" s="9">
        <v>44586</v>
      </c>
      <c r="C4774" s="12">
        <v>124.2</v>
      </c>
      <c r="D4774" t="s">
        <v>5877</v>
      </c>
    </row>
    <row r="4775" spans="2:4" x14ac:dyDescent="0.35">
      <c r="B4775" s="9">
        <v>44587</v>
      </c>
      <c r="C4775" s="12">
        <v>110.6</v>
      </c>
      <c r="D4775" t="s">
        <v>5877</v>
      </c>
    </row>
    <row r="4776" spans="2:4" x14ac:dyDescent="0.35">
      <c r="B4776" s="9">
        <v>44588</v>
      </c>
      <c r="C4776" s="12">
        <v>92</v>
      </c>
      <c r="D4776" t="s">
        <v>5877</v>
      </c>
    </row>
    <row r="4777" spans="2:4" x14ac:dyDescent="0.35">
      <c r="B4777" s="9">
        <v>44589</v>
      </c>
      <c r="C4777" s="12">
        <v>129.30000000000001</v>
      </c>
      <c r="D4777" t="s">
        <v>5877</v>
      </c>
    </row>
    <row r="4778" spans="2:4" x14ac:dyDescent="0.35">
      <c r="B4778" s="9">
        <v>44590</v>
      </c>
      <c r="C4778" s="12">
        <v>107.5</v>
      </c>
      <c r="D4778" t="s">
        <v>5877</v>
      </c>
    </row>
    <row r="4779" spans="2:4" x14ac:dyDescent="0.35">
      <c r="B4779" s="9">
        <v>44591</v>
      </c>
      <c r="C4779" s="12">
        <v>125</v>
      </c>
      <c r="D4779" t="s">
        <v>5877</v>
      </c>
    </row>
    <row r="4780" spans="2:4" x14ac:dyDescent="0.35">
      <c r="B4780" s="9">
        <v>44592</v>
      </c>
      <c r="C4780" s="12">
        <v>154.4</v>
      </c>
      <c r="D4780" t="s">
        <v>5877</v>
      </c>
    </row>
    <row r="4781" spans="2:4" x14ac:dyDescent="0.35">
      <c r="B4781" s="9">
        <v>44593</v>
      </c>
      <c r="C4781" s="12">
        <v>179</v>
      </c>
      <c r="D4781" t="s">
        <v>5877</v>
      </c>
    </row>
    <row r="4782" spans="2:4" x14ac:dyDescent="0.35">
      <c r="B4782" s="9">
        <v>44594</v>
      </c>
      <c r="C4782" s="12">
        <v>135.4</v>
      </c>
      <c r="D4782" t="s">
        <v>5877</v>
      </c>
    </row>
    <row r="4783" spans="2:4" x14ac:dyDescent="0.35">
      <c r="B4783" s="9">
        <v>44595</v>
      </c>
      <c r="C4783" s="12">
        <v>119.5</v>
      </c>
      <c r="D4783" t="s">
        <v>5877</v>
      </c>
    </row>
    <row r="4784" spans="2:4" x14ac:dyDescent="0.35">
      <c r="B4784" s="9">
        <v>44596</v>
      </c>
      <c r="C4784" s="12">
        <v>131.30000000000001</v>
      </c>
      <c r="D4784" t="s">
        <v>5877</v>
      </c>
    </row>
    <row r="4785" spans="2:4" x14ac:dyDescent="0.35">
      <c r="B4785" s="9">
        <v>44597</v>
      </c>
      <c r="C4785" s="12">
        <v>103.8</v>
      </c>
      <c r="D4785" t="s">
        <v>5877</v>
      </c>
    </row>
    <row r="4786" spans="2:4" x14ac:dyDescent="0.35">
      <c r="B4786" s="9">
        <v>44598</v>
      </c>
      <c r="C4786" s="12">
        <v>87</v>
      </c>
      <c r="D4786" t="s">
        <v>5877</v>
      </c>
    </row>
    <row r="4787" spans="2:4" x14ac:dyDescent="0.35">
      <c r="B4787" s="9">
        <v>44599</v>
      </c>
      <c r="C4787" s="12">
        <v>101.6</v>
      </c>
      <c r="D4787" t="s">
        <v>5877</v>
      </c>
    </row>
    <row r="4788" spans="2:4" x14ac:dyDescent="0.35">
      <c r="B4788" s="9">
        <v>44600</v>
      </c>
      <c r="C4788" s="12">
        <v>90</v>
      </c>
      <c r="D4788" t="s">
        <v>5877</v>
      </c>
    </row>
    <row r="4789" spans="2:4" x14ac:dyDescent="0.35">
      <c r="B4789" s="9">
        <v>44601</v>
      </c>
      <c r="C4789" s="12">
        <v>89.6</v>
      </c>
      <c r="D4789" t="s">
        <v>5877</v>
      </c>
    </row>
    <row r="4790" spans="2:4" x14ac:dyDescent="0.35">
      <c r="B4790" s="9">
        <v>44602</v>
      </c>
      <c r="C4790" s="12">
        <v>80.8</v>
      </c>
      <c r="D4790" t="s">
        <v>5877</v>
      </c>
    </row>
    <row r="4791" spans="2:4" x14ac:dyDescent="0.35">
      <c r="B4791" s="9">
        <v>44603</v>
      </c>
      <c r="C4791" s="12">
        <v>107.7</v>
      </c>
      <c r="D4791" t="s">
        <v>5877</v>
      </c>
    </row>
    <row r="4792" spans="2:4" x14ac:dyDescent="0.35">
      <c r="B4792" s="9">
        <v>44604</v>
      </c>
      <c r="C4792" s="12">
        <v>114.9</v>
      </c>
      <c r="D4792" t="s">
        <v>5877</v>
      </c>
    </row>
    <row r="4793" spans="2:4" x14ac:dyDescent="0.35">
      <c r="B4793" s="9">
        <v>44605</v>
      </c>
      <c r="C4793" s="12">
        <v>111.2</v>
      </c>
      <c r="D4793" t="s">
        <v>5877</v>
      </c>
    </row>
    <row r="4794" spans="2:4" x14ac:dyDescent="0.35">
      <c r="B4794" s="9">
        <v>44606</v>
      </c>
      <c r="C4794" s="12">
        <v>121.7</v>
      </c>
      <c r="D4794" t="s">
        <v>5877</v>
      </c>
    </row>
    <row r="4795" spans="2:4" x14ac:dyDescent="0.35">
      <c r="B4795" s="9">
        <v>44607</v>
      </c>
      <c r="C4795" s="12">
        <v>99.5</v>
      </c>
      <c r="D4795" t="s">
        <v>5877</v>
      </c>
    </row>
    <row r="4796" spans="2:4" x14ac:dyDescent="0.35">
      <c r="B4796" s="9">
        <v>44608</v>
      </c>
      <c r="C4796" s="12">
        <v>122.4</v>
      </c>
      <c r="D4796" t="s">
        <v>5877</v>
      </c>
    </row>
    <row r="4797" spans="2:4" x14ac:dyDescent="0.35">
      <c r="B4797" s="9">
        <v>44609</v>
      </c>
      <c r="C4797" s="12">
        <v>113.4</v>
      </c>
      <c r="D4797" t="s">
        <v>5877</v>
      </c>
    </row>
    <row r="4798" spans="2:4" x14ac:dyDescent="0.35">
      <c r="B4798" s="9">
        <v>44610</v>
      </c>
      <c r="C4798" s="12">
        <v>94.3</v>
      </c>
      <c r="D4798" t="s">
        <v>5877</v>
      </c>
    </row>
    <row r="4799" spans="2:4" x14ac:dyDescent="0.35">
      <c r="B4799" s="9">
        <v>44611</v>
      </c>
      <c r="C4799" s="12">
        <v>110.1</v>
      </c>
      <c r="D4799" t="s">
        <v>5877</v>
      </c>
    </row>
    <row r="4800" spans="2:4" x14ac:dyDescent="0.35">
      <c r="B4800" s="9">
        <v>44612</v>
      </c>
      <c r="C4800" s="12">
        <v>103.5</v>
      </c>
      <c r="D4800" t="s">
        <v>5877</v>
      </c>
    </row>
    <row r="4801" spans="2:4" x14ac:dyDescent="0.35">
      <c r="B4801" s="9">
        <v>44613</v>
      </c>
      <c r="C4801" s="12">
        <v>91.5</v>
      </c>
      <c r="D4801" t="s">
        <v>5877</v>
      </c>
    </row>
    <row r="4802" spans="2:4" x14ac:dyDescent="0.35">
      <c r="B4802" s="9">
        <v>44614</v>
      </c>
      <c r="C4802" s="12">
        <v>84.1</v>
      </c>
      <c r="D4802" t="s">
        <v>5877</v>
      </c>
    </row>
    <row r="4803" spans="2:4" x14ac:dyDescent="0.35">
      <c r="B4803" s="9">
        <v>44615</v>
      </c>
      <c r="C4803" s="12">
        <v>120</v>
      </c>
      <c r="D4803" t="s">
        <v>5877</v>
      </c>
    </row>
    <row r="4804" spans="2:4" x14ac:dyDescent="0.35">
      <c r="B4804" s="9">
        <v>44616</v>
      </c>
      <c r="C4804" s="12">
        <v>150.19999999999999</v>
      </c>
      <c r="D4804" t="s">
        <v>5877</v>
      </c>
    </row>
    <row r="4805" spans="2:4" x14ac:dyDescent="0.35">
      <c r="B4805" s="9">
        <v>44617</v>
      </c>
      <c r="C4805" s="12">
        <v>147.19999999999999</v>
      </c>
      <c r="D4805" t="s">
        <v>5877</v>
      </c>
    </row>
    <row r="4806" spans="2:4" x14ac:dyDescent="0.35">
      <c r="B4806" s="9">
        <v>44618</v>
      </c>
      <c r="C4806" s="12">
        <v>108.9</v>
      </c>
      <c r="D4806" t="s">
        <v>5877</v>
      </c>
    </row>
    <row r="4807" spans="2:4" x14ac:dyDescent="0.35">
      <c r="B4807" s="9">
        <v>44619</v>
      </c>
      <c r="C4807" s="12">
        <v>86.4</v>
      </c>
      <c r="D4807" t="s">
        <v>5877</v>
      </c>
    </row>
    <row r="4808" spans="2:4" x14ac:dyDescent="0.35">
      <c r="B4808" s="9">
        <v>44620</v>
      </c>
      <c r="C4808" s="12">
        <v>108.5</v>
      </c>
      <c r="D4808" t="s">
        <v>5877</v>
      </c>
    </row>
    <row r="4809" spans="2:4" x14ac:dyDescent="0.35">
      <c r="B4809" s="9">
        <v>44621</v>
      </c>
      <c r="C4809" s="12">
        <v>107.4</v>
      </c>
      <c r="D4809" t="s">
        <v>5877</v>
      </c>
    </row>
    <row r="4810" spans="2:4" x14ac:dyDescent="0.35">
      <c r="B4810" s="9">
        <v>44622</v>
      </c>
      <c r="C4810" s="12">
        <v>153.4</v>
      </c>
      <c r="D4810" t="s">
        <v>5877</v>
      </c>
    </row>
    <row r="4811" spans="2:4" x14ac:dyDescent="0.35">
      <c r="B4811" s="9">
        <v>44623</v>
      </c>
      <c r="C4811" s="12">
        <v>133</v>
      </c>
      <c r="D4811" t="s">
        <v>5877</v>
      </c>
    </row>
    <row r="4812" spans="2:4" x14ac:dyDescent="0.35">
      <c r="B4812" s="9">
        <v>44624</v>
      </c>
      <c r="C4812" s="12">
        <v>103.3</v>
      </c>
      <c r="D4812" t="s">
        <v>5877</v>
      </c>
    </row>
    <row r="4813" spans="2:4" x14ac:dyDescent="0.35">
      <c r="B4813" s="9">
        <v>44625</v>
      </c>
      <c r="C4813" s="12">
        <v>119.3</v>
      </c>
      <c r="D4813" t="s">
        <v>5877</v>
      </c>
    </row>
    <row r="4814" spans="2:4" x14ac:dyDescent="0.35">
      <c r="B4814" s="9">
        <v>44626</v>
      </c>
      <c r="C4814" s="12">
        <v>114.3</v>
      </c>
      <c r="D4814" t="s">
        <v>5877</v>
      </c>
    </row>
    <row r="4815" spans="2:4" x14ac:dyDescent="0.35">
      <c r="B4815" s="9">
        <v>44627</v>
      </c>
      <c r="C4815" s="12">
        <v>104.6</v>
      </c>
      <c r="D4815" t="s">
        <v>5877</v>
      </c>
    </row>
    <row r="4816" spans="2:4" x14ac:dyDescent="0.35">
      <c r="B4816" s="9">
        <v>44628</v>
      </c>
      <c r="C4816" s="12">
        <v>110.3</v>
      </c>
      <c r="D4816" t="s">
        <v>5877</v>
      </c>
    </row>
    <row r="4817" spans="2:4" x14ac:dyDescent="0.35">
      <c r="B4817" s="9">
        <v>44629</v>
      </c>
      <c r="C4817" s="12">
        <v>93.9</v>
      </c>
      <c r="D4817" t="s">
        <v>5877</v>
      </c>
    </row>
    <row r="4818" spans="2:4" x14ac:dyDescent="0.35">
      <c r="B4818" s="9">
        <v>44630</v>
      </c>
      <c r="C4818" s="12">
        <v>131.5</v>
      </c>
      <c r="D4818" t="s">
        <v>5877</v>
      </c>
    </row>
    <row r="4819" spans="2:4" x14ac:dyDescent="0.35">
      <c r="B4819" s="9">
        <v>44631</v>
      </c>
      <c r="C4819" s="12">
        <v>128.9</v>
      </c>
      <c r="D4819" t="s">
        <v>5877</v>
      </c>
    </row>
    <row r="4820" spans="2:4" x14ac:dyDescent="0.35">
      <c r="B4820" s="9">
        <v>44632</v>
      </c>
      <c r="C4820" s="12">
        <v>137.69999999999999</v>
      </c>
      <c r="D4820" t="s">
        <v>5877</v>
      </c>
    </row>
    <row r="4821" spans="2:4" x14ac:dyDescent="0.35">
      <c r="B4821" s="9">
        <v>44633</v>
      </c>
      <c r="C4821" s="12">
        <v>192</v>
      </c>
      <c r="D4821" t="s">
        <v>5877</v>
      </c>
    </row>
    <row r="4822" spans="2:4" x14ac:dyDescent="0.35">
      <c r="B4822" s="9">
        <v>44634</v>
      </c>
      <c r="C4822" s="12">
        <v>162.4</v>
      </c>
      <c r="D4822" t="s">
        <v>5877</v>
      </c>
    </row>
    <row r="4823" spans="2:4" x14ac:dyDescent="0.35">
      <c r="B4823" s="9">
        <v>44635</v>
      </c>
      <c r="C4823" s="12">
        <v>117.9</v>
      </c>
      <c r="D4823" t="s">
        <v>5877</v>
      </c>
    </row>
    <row r="4824" spans="2:4" x14ac:dyDescent="0.35">
      <c r="B4824" s="9">
        <v>44636</v>
      </c>
      <c r="C4824" s="12">
        <v>108.9</v>
      </c>
      <c r="D4824" t="s">
        <v>5877</v>
      </c>
    </row>
    <row r="4825" spans="2:4" x14ac:dyDescent="0.35">
      <c r="B4825" s="9">
        <v>44637</v>
      </c>
      <c r="C4825" s="12">
        <v>181</v>
      </c>
      <c r="D4825" t="s">
        <v>5877</v>
      </c>
    </row>
    <row r="4826" spans="2:4" x14ac:dyDescent="0.35">
      <c r="B4826" s="9">
        <v>44638</v>
      </c>
      <c r="C4826" s="12">
        <v>185.1</v>
      </c>
      <c r="D4826" t="s">
        <v>5877</v>
      </c>
    </row>
    <row r="4827" spans="2:4" x14ac:dyDescent="0.35">
      <c r="B4827" s="9">
        <v>44639</v>
      </c>
      <c r="C4827" s="12">
        <v>132.30000000000001</v>
      </c>
      <c r="D4827" t="s">
        <v>5877</v>
      </c>
    </row>
    <row r="4828" spans="2:4" x14ac:dyDescent="0.35">
      <c r="B4828" s="9">
        <v>44640</v>
      </c>
      <c r="C4828" s="12">
        <v>101.9</v>
      </c>
      <c r="D4828" t="s">
        <v>5877</v>
      </c>
    </row>
    <row r="4829" spans="2:4" x14ac:dyDescent="0.35">
      <c r="B4829" s="9">
        <v>44641</v>
      </c>
      <c r="C4829" s="12">
        <v>110.6</v>
      </c>
      <c r="D4829" t="s">
        <v>5877</v>
      </c>
    </row>
    <row r="4830" spans="2:4" x14ac:dyDescent="0.35">
      <c r="B4830" s="9">
        <v>44642</v>
      </c>
      <c r="C4830" s="12">
        <v>197.5</v>
      </c>
      <c r="D4830" t="s">
        <v>5877</v>
      </c>
    </row>
    <row r="4831" spans="2:4" x14ac:dyDescent="0.35">
      <c r="B4831" s="9">
        <v>44643</v>
      </c>
      <c r="C4831" s="12">
        <v>156.80000000000001</v>
      </c>
      <c r="D4831" t="s">
        <v>5877</v>
      </c>
    </row>
    <row r="4832" spans="2:4" x14ac:dyDescent="0.35">
      <c r="B4832" s="9">
        <v>44644</v>
      </c>
      <c r="C4832" s="12">
        <v>114.7</v>
      </c>
      <c r="D4832" t="s">
        <v>5877</v>
      </c>
    </row>
    <row r="4833" spans="2:4" x14ac:dyDescent="0.35">
      <c r="B4833" s="9">
        <v>44645</v>
      </c>
      <c r="C4833" s="12">
        <v>92.8</v>
      </c>
      <c r="D4833" t="s">
        <v>5877</v>
      </c>
    </row>
    <row r="4834" spans="2:4" x14ac:dyDescent="0.35">
      <c r="B4834" s="9">
        <v>44646</v>
      </c>
      <c r="C4834" s="12">
        <v>80.7</v>
      </c>
      <c r="D4834" t="s">
        <v>5877</v>
      </c>
    </row>
    <row r="4835" spans="2:4" x14ac:dyDescent="0.35">
      <c r="B4835" s="9">
        <v>44647</v>
      </c>
      <c r="C4835" s="12">
        <v>78.900000000000006</v>
      </c>
      <c r="D4835" t="s">
        <v>5877</v>
      </c>
    </row>
    <row r="4836" spans="2:4" x14ac:dyDescent="0.35">
      <c r="B4836" s="9">
        <v>44648</v>
      </c>
      <c r="C4836" s="12">
        <v>86.2</v>
      </c>
      <c r="D4836" t="s">
        <v>5877</v>
      </c>
    </row>
    <row r="4837" spans="2:4" x14ac:dyDescent="0.35">
      <c r="B4837" s="9">
        <v>44649</v>
      </c>
      <c r="C4837" s="12">
        <v>135.30000000000001</v>
      </c>
      <c r="D4837" t="s">
        <v>5877</v>
      </c>
    </row>
    <row r="4838" spans="2:4" x14ac:dyDescent="0.35">
      <c r="B4838" s="9">
        <v>44650</v>
      </c>
      <c r="C4838" s="12">
        <v>157.5</v>
      </c>
      <c r="D4838" t="s">
        <v>5877</v>
      </c>
    </row>
    <row r="4839" spans="2:4" x14ac:dyDescent="0.35">
      <c r="B4839" s="9">
        <v>44651</v>
      </c>
      <c r="C4839" s="12">
        <v>147</v>
      </c>
      <c r="D4839" t="s">
        <v>5877</v>
      </c>
    </row>
    <row r="4840" spans="2:4" x14ac:dyDescent="0.35">
      <c r="B4840" s="9">
        <v>44652</v>
      </c>
      <c r="C4840" s="12">
        <v>122.1</v>
      </c>
      <c r="D4840" t="s">
        <v>5877</v>
      </c>
    </row>
    <row r="4841" spans="2:4" x14ac:dyDescent="0.35">
      <c r="B4841" s="9">
        <v>44653</v>
      </c>
      <c r="C4841" s="12">
        <v>105.3</v>
      </c>
      <c r="D4841" t="s">
        <v>5877</v>
      </c>
    </row>
    <row r="4842" spans="2:4" x14ac:dyDescent="0.35">
      <c r="B4842" s="9">
        <v>44654</v>
      </c>
      <c r="C4842" s="12">
        <v>146.30000000000001</v>
      </c>
      <c r="D4842" t="s">
        <v>5877</v>
      </c>
    </row>
    <row r="4843" spans="2:4" x14ac:dyDescent="0.35">
      <c r="B4843" s="9">
        <v>44655</v>
      </c>
      <c r="C4843" s="12">
        <v>141.69999999999999</v>
      </c>
      <c r="D4843" t="s">
        <v>5877</v>
      </c>
    </row>
    <row r="4844" spans="2:4" x14ac:dyDescent="0.35">
      <c r="B4844" s="9">
        <v>44656</v>
      </c>
      <c r="C4844" s="12">
        <v>109.9</v>
      </c>
      <c r="D4844" t="s">
        <v>5877</v>
      </c>
    </row>
    <row r="4845" spans="2:4" x14ac:dyDescent="0.35">
      <c r="B4845" s="9">
        <v>44657</v>
      </c>
      <c r="C4845" s="12">
        <v>87.9</v>
      </c>
      <c r="D4845" t="s">
        <v>5877</v>
      </c>
    </row>
    <row r="4846" spans="2:4" x14ac:dyDescent="0.35">
      <c r="B4846" s="9">
        <v>44658</v>
      </c>
      <c r="C4846" s="12">
        <v>86.4</v>
      </c>
      <c r="D4846" t="s">
        <v>5877</v>
      </c>
    </row>
    <row r="4847" spans="2:4" x14ac:dyDescent="0.35">
      <c r="B4847" s="9">
        <v>44659</v>
      </c>
      <c r="C4847" s="12">
        <v>118</v>
      </c>
      <c r="D4847" t="s">
        <v>5877</v>
      </c>
    </row>
    <row r="4848" spans="2:4" x14ac:dyDescent="0.35">
      <c r="B4848" s="9">
        <v>44660</v>
      </c>
      <c r="C4848" s="12">
        <v>96</v>
      </c>
      <c r="D4848" t="s">
        <v>5877</v>
      </c>
    </row>
    <row r="4849" spans="2:4" x14ac:dyDescent="0.35">
      <c r="B4849" s="9">
        <v>44661</v>
      </c>
      <c r="C4849" s="12">
        <v>86.7</v>
      </c>
      <c r="D4849" t="s">
        <v>5877</v>
      </c>
    </row>
    <row r="4850" spans="2:4" x14ac:dyDescent="0.35">
      <c r="B4850" s="9">
        <v>44662</v>
      </c>
      <c r="C4850" s="12">
        <v>84.7</v>
      </c>
      <c r="D4850" t="s">
        <v>5877</v>
      </c>
    </row>
    <row r="4851" spans="2:4" x14ac:dyDescent="0.35">
      <c r="B4851" s="9">
        <v>44663</v>
      </c>
      <c r="C4851" s="12">
        <v>76.400000000000006</v>
      </c>
      <c r="D4851" t="s">
        <v>5877</v>
      </c>
    </row>
    <row r="4852" spans="2:4" x14ac:dyDescent="0.35">
      <c r="B4852" s="9">
        <v>44664</v>
      </c>
      <c r="C4852" s="12">
        <v>76.5</v>
      </c>
      <c r="D4852" t="s">
        <v>5877</v>
      </c>
    </row>
    <row r="4853" spans="2:4" x14ac:dyDescent="0.35">
      <c r="B4853" s="9">
        <v>44665</v>
      </c>
      <c r="C4853" s="12">
        <v>73.099999999999994</v>
      </c>
      <c r="D4853" t="s">
        <v>5877</v>
      </c>
    </row>
    <row r="4854" spans="2:4" x14ac:dyDescent="0.35">
      <c r="B4854" s="9">
        <v>44666</v>
      </c>
      <c r="C4854" s="12">
        <v>145.1</v>
      </c>
      <c r="D4854" t="s">
        <v>5877</v>
      </c>
    </row>
    <row r="4855" spans="2:4" x14ac:dyDescent="0.35">
      <c r="B4855" s="9">
        <v>44667</v>
      </c>
      <c r="C4855" s="12">
        <v>118.4</v>
      </c>
      <c r="D4855" t="s">
        <v>5877</v>
      </c>
    </row>
    <row r="4856" spans="2:4" x14ac:dyDescent="0.35">
      <c r="B4856" s="9">
        <v>44668</v>
      </c>
      <c r="C4856" s="12">
        <v>97.8</v>
      </c>
      <c r="D4856" t="s">
        <v>5877</v>
      </c>
    </row>
    <row r="4857" spans="2:4" x14ac:dyDescent="0.35">
      <c r="B4857" s="9">
        <v>44669</v>
      </c>
      <c r="C4857" s="12">
        <v>93</v>
      </c>
      <c r="D4857" t="s">
        <v>5877</v>
      </c>
    </row>
    <row r="4858" spans="2:4" x14ac:dyDescent="0.35">
      <c r="B4858" s="9">
        <v>44670</v>
      </c>
      <c r="C4858" s="12">
        <v>115.4</v>
      </c>
      <c r="D4858" t="s">
        <v>5877</v>
      </c>
    </row>
    <row r="4859" spans="2:4" x14ac:dyDescent="0.35">
      <c r="B4859" s="9">
        <v>44671</v>
      </c>
      <c r="C4859" s="12">
        <v>139.1</v>
      </c>
      <c r="D4859" t="s">
        <v>5877</v>
      </c>
    </row>
    <row r="4860" spans="2:4" x14ac:dyDescent="0.35">
      <c r="B4860" s="9">
        <v>44672</v>
      </c>
      <c r="C4860" s="12">
        <v>170.2</v>
      </c>
      <c r="D4860" t="s">
        <v>5877</v>
      </c>
    </row>
    <row r="4861" spans="2:4" x14ac:dyDescent="0.35">
      <c r="B4861" s="9">
        <v>44673</v>
      </c>
      <c r="C4861" s="12">
        <v>123.7</v>
      </c>
      <c r="D4861" t="s">
        <v>5877</v>
      </c>
    </row>
    <row r="4862" spans="2:4" x14ac:dyDescent="0.35">
      <c r="B4862" s="9">
        <v>44674</v>
      </c>
      <c r="C4862" s="12">
        <v>101.4</v>
      </c>
      <c r="D4862" t="s">
        <v>5877</v>
      </c>
    </row>
    <row r="4863" spans="2:4" x14ac:dyDescent="0.35">
      <c r="B4863" s="9">
        <v>44675</v>
      </c>
      <c r="C4863" s="12">
        <v>164.7</v>
      </c>
      <c r="D4863" t="s">
        <v>5877</v>
      </c>
    </row>
    <row r="4864" spans="2:4" x14ac:dyDescent="0.35">
      <c r="B4864" s="9">
        <v>44676</v>
      </c>
      <c r="C4864" s="12">
        <v>135.5</v>
      </c>
      <c r="D4864" t="s">
        <v>5877</v>
      </c>
    </row>
    <row r="4865" spans="2:4" x14ac:dyDescent="0.35">
      <c r="B4865" s="9">
        <v>44677</v>
      </c>
      <c r="C4865" s="12">
        <v>118.3</v>
      </c>
      <c r="D4865" t="s">
        <v>5877</v>
      </c>
    </row>
    <row r="4866" spans="2:4" x14ac:dyDescent="0.35">
      <c r="B4866" s="9">
        <v>44678</v>
      </c>
      <c r="C4866" s="12">
        <v>143.6</v>
      </c>
      <c r="D4866" t="s">
        <v>5877</v>
      </c>
    </row>
    <row r="4867" spans="2:4" x14ac:dyDescent="0.35">
      <c r="B4867" s="9">
        <v>44679</v>
      </c>
      <c r="C4867" s="12">
        <v>143.9</v>
      </c>
      <c r="D4867" t="s">
        <v>5877</v>
      </c>
    </row>
    <row r="4868" spans="2:4" x14ac:dyDescent="0.35">
      <c r="B4868" s="9">
        <v>44680</v>
      </c>
      <c r="C4868" s="12">
        <v>144.4</v>
      </c>
      <c r="D4868" t="s">
        <v>5877</v>
      </c>
    </row>
    <row r="4869" spans="2:4" x14ac:dyDescent="0.35">
      <c r="B4869" s="9">
        <v>44681</v>
      </c>
      <c r="C4869" s="12">
        <v>153.19999999999999</v>
      </c>
      <c r="D4869" t="s">
        <v>5877</v>
      </c>
    </row>
    <row r="4870" spans="2:4" x14ac:dyDescent="0.35">
      <c r="B4870" s="9">
        <v>44682</v>
      </c>
      <c r="C4870" s="12">
        <v>151.1</v>
      </c>
      <c r="D4870" t="s">
        <v>5877</v>
      </c>
    </row>
    <row r="4871" spans="2:4" x14ac:dyDescent="0.35">
      <c r="B4871" s="9">
        <v>44683</v>
      </c>
      <c r="C4871" s="12">
        <v>148.5</v>
      </c>
      <c r="D4871" t="s">
        <v>5877</v>
      </c>
    </row>
    <row r="4872" spans="2:4" x14ac:dyDescent="0.35">
      <c r="B4872" s="9">
        <v>44684</v>
      </c>
      <c r="C4872" s="12">
        <v>108.9</v>
      </c>
      <c r="D4872" t="s">
        <v>5877</v>
      </c>
    </row>
    <row r="4873" spans="2:4" x14ac:dyDescent="0.35">
      <c r="B4873" s="9">
        <v>44685</v>
      </c>
      <c r="C4873" s="12">
        <v>84.1</v>
      </c>
      <c r="D4873" t="s">
        <v>5877</v>
      </c>
    </row>
    <row r="4874" spans="2:4" x14ac:dyDescent="0.35">
      <c r="B4874" s="9">
        <v>44686</v>
      </c>
      <c r="C4874" s="12">
        <v>68.8</v>
      </c>
      <c r="D4874" t="s">
        <v>5877</v>
      </c>
    </row>
    <row r="4875" spans="2:4" x14ac:dyDescent="0.35">
      <c r="B4875" s="9">
        <v>44687</v>
      </c>
      <c r="C4875" s="12">
        <v>58.7</v>
      </c>
      <c r="D4875" t="s">
        <v>5877</v>
      </c>
    </row>
    <row r="4876" spans="2:4" x14ac:dyDescent="0.35">
      <c r="B4876" s="9">
        <v>44688</v>
      </c>
      <c r="C4876" s="12">
        <v>53.3</v>
      </c>
      <c r="D4876" t="s">
        <v>5877</v>
      </c>
    </row>
    <row r="4877" spans="2:4" x14ac:dyDescent="0.35">
      <c r="B4877" s="9">
        <v>44689</v>
      </c>
      <c r="C4877" s="12">
        <v>64.400000000000006</v>
      </c>
      <c r="D4877" t="s">
        <v>5877</v>
      </c>
    </row>
    <row r="4878" spans="2:4" x14ac:dyDescent="0.35">
      <c r="B4878" s="9">
        <v>44690</v>
      </c>
      <c r="C4878" s="12">
        <v>92.1</v>
      </c>
      <c r="D4878" t="s">
        <v>5877</v>
      </c>
    </row>
    <row r="4879" spans="2:4" x14ac:dyDescent="0.35">
      <c r="B4879" s="9">
        <v>44691</v>
      </c>
      <c r="C4879" s="12">
        <v>98.1</v>
      </c>
      <c r="D4879" t="s">
        <v>5877</v>
      </c>
    </row>
    <row r="4880" spans="2:4" x14ac:dyDescent="0.35">
      <c r="B4880" s="9">
        <v>44692</v>
      </c>
      <c r="C4880" s="12">
        <v>87.7</v>
      </c>
      <c r="D4880" t="s">
        <v>5877</v>
      </c>
    </row>
    <row r="4881" spans="2:4" x14ac:dyDescent="0.35">
      <c r="B4881" s="9">
        <v>44693</v>
      </c>
      <c r="C4881" s="12">
        <v>75.2</v>
      </c>
      <c r="D4881" t="s">
        <v>5877</v>
      </c>
    </row>
    <row r="4882" spans="2:4" x14ac:dyDescent="0.35">
      <c r="B4882" s="9">
        <v>44694</v>
      </c>
      <c r="C4882" s="12">
        <v>76.400000000000006</v>
      </c>
      <c r="D4882" t="s">
        <v>5877</v>
      </c>
    </row>
    <row r="4883" spans="2:4" x14ac:dyDescent="0.35">
      <c r="B4883" s="9">
        <v>44695</v>
      </c>
      <c r="C4883" s="12">
        <v>68.400000000000006</v>
      </c>
      <c r="D4883" t="s">
        <v>5877</v>
      </c>
    </row>
    <row r="4884" spans="2:4" x14ac:dyDescent="0.35">
      <c r="B4884" s="9">
        <v>44696</v>
      </c>
      <c r="C4884" s="12">
        <v>61.4</v>
      </c>
      <c r="D4884" t="s">
        <v>5877</v>
      </c>
    </row>
    <row r="4885" spans="2:4" x14ac:dyDescent="0.35">
      <c r="B4885" s="9">
        <v>44697</v>
      </c>
      <c r="C4885" s="12">
        <v>55.2</v>
      </c>
      <c r="D4885" t="s">
        <v>5877</v>
      </c>
    </row>
    <row r="4886" spans="2:4" x14ac:dyDescent="0.35">
      <c r="B4886" s="9">
        <v>44698</v>
      </c>
      <c r="C4886" s="12">
        <v>49.5</v>
      </c>
      <c r="D4886" t="s">
        <v>5877</v>
      </c>
    </row>
    <row r="4887" spans="2:4" x14ac:dyDescent="0.35">
      <c r="B4887" s="9">
        <v>44699</v>
      </c>
      <c r="C4887" s="12">
        <v>44.6</v>
      </c>
      <c r="D4887" t="s">
        <v>5877</v>
      </c>
    </row>
    <row r="4888" spans="2:4" x14ac:dyDescent="0.35">
      <c r="B4888" s="9">
        <v>44700</v>
      </c>
      <c r="C4888" s="12">
        <v>40</v>
      </c>
      <c r="D4888" t="s">
        <v>5877</v>
      </c>
    </row>
    <row r="4889" spans="2:4" x14ac:dyDescent="0.35">
      <c r="B4889" s="9">
        <v>44701</v>
      </c>
      <c r="C4889" s="12">
        <v>36.1</v>
      </c>
      <c r="D4889" t="s">
        <v>5877</v>
      </c>
    </row>
    <row r="4890" spans="2:4" x14ac:dyDescent="0.35">
      <c r="B4890" s="9">
        <v>44702</v>
      </c>
      <c r="C4890" s="12">
        <v>36.4</v>
      </c>
      <c r="D4890" t="s">
        <v>5877</v>
      </c>
    </row>
    <row r="4891" spans="2:4" x14ac:dyDescent="0.35">
      <c r="B4891" s="9">
        <v>44703</v>
      </c>
      <c r="C4891" s="12">
        <v>50</v>
      </c>
      <c r="D4891" t="s">
        <v>5877</v>
      </c>
    </row>
    <row r="4892" spans="2:4" x14ac:dyDescent="0.35">
      <c r="B4892" s="9">
        <v>44704</v>
      </c>
      <c r="C4892" s="12">
        <v>51.5</v>
      </c>
      <c r="D4892" t="s">
        <v>5877</v>
      </c>
    </row>
    <row r="4893" spans="2:4" x14ac:dyDescent="0.35">
      <c r="B4893" s="9">
        <v>44705</v>
      </c>
      <c r="C4893" s="12">
        <v>67.7</v>
      </c>
      <c r="D4893" t="s">
        <v>5877</v>
      </c>
    </row>
    <row r="4894" spans="2:4" x14ac:dyDescent="0.35">
      <c r="B4894" s="9">
        <v>44706</v>
      </c>
      <c r="C4894" s="12">
        <v>56.1</v>
      </c>
      <c r="D4894" t="s">
        <v>5877</v>
      </c>
    </row>
    <row r="4895" spans="2:4" x14ac:dyDescent="0.35">
      <c r="B4895" s="9">
        <v>44707</v>
      </c>
      <c r="C4895" s="12">
        <v>52.9</v>
      </c>
      <c r="D4895" t="s">
        <v>5877</v>
      </c>
    </row>
    <row r="4896" spans="2:4" x14ac:dyDescent="0.35">
      <c r="B4896" s="9">
        <v>44708</v>
      </c>
      <c r="C4896" s="12">
        <v>40.5</v>
      </c>
      <c r="D4896" t="s">
        <v>5877</v>
      </c>
    </row>
    <row r="4897" spans="2:4" x14ac:dyDescent="0.35">
      <c r="B4897" s="9">
        <v>44709</v>
      </c>
      <c r="C4897" s="12">
        <v>37.4</v>
      </c>
      <c r="D4897" t="s">
        <v>5877</v>
      </c>
    </row>
    <row r="4898" spans="2:4" x14ac:dyDescent="0.35">
      <c r="B4898" s="9">
        <v>44710</v>
      </c>
      <c r="C4898" s="12">
        <v>43.5</v>
      </c>
      <c r="D4898" t="s">
        <v>5877</v>
      </c>
    </row>
    <row r="4899" spans="2:4" x14ac:dyDescent="0.35">
      <c r="B4899" s="9">
        <v>44711</v>
      </c>
      <c r="C4899" s="12">
        <v>40.6</v>
      </c>
      <c r="D4899" t="s">
        <v>5877</v>
      </c>
    </row>
    <row r="4900" spans="2:4" x14ac:dyDescent="0.35">
      <c r="B4900" s="9">
        <v>44712</v>
      </c>
      <c r="C4900" s="12">
        <v>36.6</v>
      </c>
      <c r="D4900" t="s">
        <v>5877</v>
      </c>
    </row>
    <row r="4901" spans="2:4" x14ac:dyDescent="0.35">
      <c r="B4901" s="9">
        <v>44713</v>
      </c>
      <c r="C4901" s="12">
        <v>37.1</v>
      </c>
      <c r="D4901" t="s">
        <v>5877</v>
      </c>
    </row>
    <row r="4902" spans="2:4" x14ac:dyDescent="0.35">
      <c r="B4902" s="9">
        <v>44714</v>
      </c>
      <c r="C4902" s="12">
        <v>32.200000000000003</v>
      </c>
      <c r="D4902" t="s">
        <v>5877</v>
      </c>
    </row>
    <row r="4903" spans="2:4" x14ac:dyDescent="0.35">
      <c r="B4903" s="9">
        <v>44715</v>
      </c>
      <c r="C4903" s="12">
        <v>28.1</v>
      </c>
      <c r="D4903" t="s">
        <v>5877</v>
      </c>
    </row>
    <row r="4904" spans="2:4" x14ac:dyDescent="0.35">
      <c r="B4904" s="9">
        <v>44716</v>
      </c>
      <c r="C4904" s="12">
        <v>24.8</v>
      </c>
      <c r="D4904" t="s">
        <v>5877</v>
      </c>
    </row>
    <row r="4905" spans="2:4" x14ac:dyDescent="0.35">
      <c r="B4905" s="9">
        <v>44717</v>
      </c>
      <c r="C4905" s="12">
        <v>22.1</v>
      </c>
      <c r="D4905" t="s">
        <v>5877</v>
      </c>
    </row>
    <row r="4906" spans="2:4" x14ac:dyDescent="0.35">
      <c r="B4906" s="9">
        <v>44718</v>
      </c>
      <c r="C4906" s="12">
        <v>19.7</v>
      </c>
      <c r="D4906" t="s">
        <v>5877</v>
      </c>
    </row>
    <row r="4907" spans="2:4" x14ac:dyDescent="0.35">
      <c r="B4907" s="9">
        <v>44719</v>
      </c>
      <c r="C4907" s="12">
        <v>17.7</v>
      </c>
      <c r="D4907" t="s">
        <v>5877</v>
      </c>
    </row>
    <row r="4908" spans="2:4" x14ac:dyDescent="0.35">
      <c r="B4908" s="9">
        <v>44720</v>
      </c>
      <c r="C4908" s="12">
        <v>15.9</v>
      </c>
      <c r="D4908" t="s">
        <v>5877</v>
      </c>
    </row>
    <row r="4909" spans="2:4" x14ac:dyDescent="0.35">
      <c r="B4909" s="9">
        <v>44721</v>
      </c>
      <c r="C4909" s="12">
        <v>14.9</v>
      </c>
      <c r="D4909" t="s">
        <v>5877</v>
      </c>
    </row>
    <row r="4910" spans="2:4" x14ac:dyDescent="0.35">
      <c r="B4910" s="9">
        <v>44722</v>
      </c>
      <c r="C4910" s="12">
        <v>13.4</v>
      </c>
      <c r="D4910" t="s">
        <v>5877</v>
      </c>
    </row>
    <row r="4911" spans="2:4" x14ac:dyDescent="0.35">
      <c r="B4911" s="9">
        <v>44723</v>
      </c>
      <c r="C4911" s="12">
        <v>11.8</v>
      </c>
      <c r="D4911" t="s">
        <v>5877</v>
      </c>
    </row>
    <row r="4912" spans="2:4" x14ac:dyDescent="0.35">
      <c r="B4912" s="9">
        <v>44724</v>
      </c>
      <c r="C4912" s="12">
        <v>10.5</v>
      </c>
      <c r="D4912" t="s">
        <v>5877</v>
      </c>
    </row>
    <row r="4913" spans="2:4" x14ac:dyDescent="0.35">
      <c r="B4913" s="9">
        <v>44725</v>
      </c>
      <c r="C4913" s="12">
        <v>9.4</v>
      </c>
      <c r="D4913" t="s">
        <v>5877</v>
      </c>
    </row>
    <row r="4914" spans="2:4" x14ac:dyDescent="0.35">
      <c r="B4914" s="9">
        <v>44726</v>
      </c>
      <c r="C4914" s="12">
        <v>8.4</v>
      </c>
      <c r="D4914" t="s">
        <v>5877</v>
      </c>
    </row>
    <row r="4915" spans="2:4" x14ac:dyDescent="0.35">
      <c r="B4915" s="9">
        <v>44727</v>
      </c>
      <c r="C4915" s="12">
        <v>8.6</v>
      </c>
      <c r="D4915" t="s">
        <v>5877</v>
      </c>
    </row>
    <row r="4916" spans="2:4" x14ac:dyDescent="0.35">
      <c r="B4916" s="9">
        <v>44728</v>
      </c>
      <c r="C4916" s="12">
        <v>15.1</v>
      </c>
      <c r="D4916" t="s">
        <v>5877</v>
      </c>
    </row>
    <row r="4917" spans="2:4" x14ac:dyDescent="0.35">
      <c r="B4917" s="9">
        <v>44729</v>
      </c>
      <c r="C4917" s="12">
        <v>12.1</v>
      </c>
      <c r="D4917" t="s">
        <v>5877</v>
      </c>
    </row>
    <row r="4918" spans="2:4" x14ac:dyDescent="0.35">
      <c r="B4918" s="9">
        <v>44730</v>
      </c>
      <c r="C4918" s="12">
        <v>9.4</v>
      </c>
      <c r="D4918" t="s">
        <v>5877</v>
      </c>
    </row>
    <row r="4919" spans="2:4" x14ac:dyDescent="0.35">
      <c r="B4919" s="9">
        <v>44731</v>
      </c>
      <c r="C4919" s="12">
        <v>7.6</v>
      </c>
      <c r="D4919" t="s">
        <v>5877</v>
      </c>
    </row>
    <row r="4920" spans="2:4" x14ac:dyDescent="0.35">
      <c r="B4920" s="9">
        <v>44732</v>
      </c>
      <c r="C4920" s="12">
        <v>8.6</v>
      </c>
      <c r="D4920" t="s">
        <v>5877</v>
      </c>
    </row>
    <row r="4921" spans="2:4" x14ac:dyDescent="0.35">
      <c r="B4921" s="9">
        <v>44733</v>
      </c>
      <c r="C4921" s="12">
        <v>19.7</v>
      </c>
      <c r="D4921" t="s">
        <v>5877</v>
      </c>
    </row>
    <row r="4922" spans="2:4" x14ac:dyDescent="0.35">
      <c r="B4922" s="9">
        <v>44734</v>
      </c>
      <c r="C4922" s="12">
        <v>21.8</v>
      </c>
      <c r="D4922" t="s">
        <v>5877</v>
      </c>
    </row>
    <row r="4923" spans="2:4" x14ac:dyDescent="0.35">
      <c r="B4923" s="9">
        <v>44735</v>
      </c>
      <c r="C4923" s="12">
        <v>15.1</v>
      </c>
      <c r="D4923" t="s">
        <v>5877</v>
      </c>
    </row>
    <row r="4924" spans="2:4" x14ac:dyDescent="0.35">
      <c r="B4924" s="9">
        <v>44736</v>
      </c>
      <c r="C4924" s="12">
        <v>10.6</v>
      </c>
      <c r="D4924" t="s">
        <v>5877</v>
      </c>
    </row>
    <row r="4925" spans="2:4" x14ac:dyDescent="0.35">
      <c r="B4925" s="9">
        <v>44737</v>
      </c>
      <c r="C4925" s="12">
        <v>8.1</v>
      </c>
      <c r="D4925" t="s">
        <v>5877</v>
      </c>
    </row>
    <row r="4926" spans="2:4" x14ac:dyDescent="0.35">
      <c r="B4926" s="9">
        <v>44738</v>
      </c>
      <c r="C4926" s="12">
        <v>6.6</v>
      </c>
      <c r="D4926" t="s">
        <v>5877</v>
      </c>
    </row>
    <row r="4927" spans="2:4" x14ac:dyDescent="0.35">
      <c r="B4927" s="9">
        <v>44739</v>
      </c>
      <c r="C4927" s="12">
        <v>6.9</v>
      </c>
      <c r="D4927" t="s">
        <v>5877</v>
      </c>
    </row>
    <row r="4928" spans="2:4" x14ac:dyDescent="0.35">
      <c r="B4928" s="9">
        <v>44740</v>
      </c>
      <c r="C4928" s="12">
        <v>6.2</v>
      </c>
      <c r="D4928" t="s">
        <v>5877</v>
      </c>
    </row>
    <row r="4929" spans="2:4" x14ac:dyDescent="0.35">
      <c r="B4929" s="9">
        <v>44741</v>
      </c>
      <c r="C4929" s="12">
        <v>5.8</v>
      </c>
      <c r="D4929" t="s">
        <v>5877</v>
      </c>
    </row>
    <row r="4930" spans="2:4" x14ac:dyDescent="0.35">
      <c r="B4930" s="9">
        <v>44742</v>
      </c>
      <c r="C4930" s="12">
        <v>5.4</v>
      </c>
      <c r="D4930" t="s">
        <v>5877</v>
      </c>
    </row>
    <row r="4931" spans="2:4" x14ac:dyDescent="0.35">
      <c r="B4931" s="9">
        <v>44743</v>
      </c>
      <c r="C4931" s="12">
        <v>4.9000000000000004</v>
      </c>
      <c r="D4931" t="s">
        <v>5877</v>
      </c>
    </row>
    <row r="4932" spans="2:4" x14ac:dyDescent="0.35">
      <c r="B4932" s="9">
        <v>44744</v>
      </c>
      <c r="C4932" s="12">
        <v>4.4000000000000004</v>
      </c>
      <c r="D4932" t="s">
        <v>5877</v>
      </c>
    </row>
    <row r="4933" spans="2:4" x14ac:dyDescent="0.35">
      <c r="B4933" s="9">
        <v>44745</v>
      </c>
      <c r="C4933" s="12">
        <v>4</v>
      </c>
      <c r="D4933" t="s">
        <v>5877</v>
      </c>
    </row>
    <row r="4934" spans="2:4" x14ac:dyDescent="0.35">
      <c r="B4934" s="9">
        <v>44746</v>
      </c>
      <c r="C4934" s="12">
        <v>3.6</v>
      </c>
      <c r="D4934" t="s">
        <v>5877</v>
      </c>
    </row>
    <row r="4935" spans="2:4" x14ac:dyDescent="0.35">
      <c r="B4935" s="9">
        <v>44747</v>
      </c>
      <c r="C4935" s="12">
        <v>3.2</v>
      </c>
      <c r="D4935" t="s">
        <v>5877</v>
      </c>
    </row>
    <row r="4936" spans="2:4" x14ac:dyDescent="0.35">
      <c r="B4936" s="9">
        <v>44748</v>
      </c>
      <c r="C4936" s="12">
        <v>2.9</v>
      </c>
      <c r="D4936" t="s">
        <v>5877</v>
      </c>
    </row>
    <row r="4937" spans="2:4" x14ac:dyDescent="0.35">
      <c r="B4937" s="9">
        <v>44749</v>
      </c>
      <c r="C4937" s="12">
        <v>2.6</v>
      </c>
      <c r="D4937" t="s">
        <v>5877</v>
      </c>
    </row>
    <row r="4938" spans="2:4" x14ac:dyDescent="0.35">
      <c r="B4938" s="9">
        <v>44750</v>
      </c>
      <c r="C4938" s="12">
        <v>2.4</v>
      </c>
      <c r="D4938" t="s">
        <v>5877</v>
      </c>
    </row>
    <row r="4939" spans="2:4" x14ac:dyDescent="0.35">
      <c r="B4939" s="9">
        <v>44751</v>
      </c>
      <c r="C4939" s="12">
        <v>2.1</v>
      </c>
      <c r="D4939" t="s">
        <v>5877</v>
      </c>
    </row>
    <row r="4940" spans="2:4" x14ac:dyDescent="0.35">
      <c r="B4940" s="9">
        <v>44752</v>
      </c>
      <c r="C4940" s="12">
        <v>1.9</v>
      </c>
      <c r="D4940" t="s">
        <v>5877</v>
      </c>
    </row>
    <row r="4941" spans="2:4" x14ac:dyDescent="0.35">
      <c r="B4941" s="9">
        <v>44753</v>
      </c>
      <c r="C4941" s="12">
        <v>1.7</v>
      </c>
      <c r="D4941" t="s">
        <v>5877</v>
      </c>
    </row>
    <row r="4942" spans="2:4" x14ac:dyDescent="0.35">
      <c r="B4942" s="9">
        <v>44754</v>
      </c>
      <c r="C4942" s="12">
        <v>1.5</v>
      </c>
      <c r="D4942" t="s">
        <v>5877</v>
      </c>
    </row>
    <row r="4943" spans="2:4" x14ac:dyDescent="0.35">
      <c r="B4943" s="9">
        <v>44755</v>
      </c>
      <c r="C4943" s="12">
        <v>1.4</v>
      </c>
      <c r="D4943" t="s">
        <v>5877</v>
      </c>
    </row>
    <row r="4944" spans="2:4" x14ac:dyDescent="0.35">
      <c r="B4944" s="9">
        <v>44756</v>
      </c>
      <c r="C4944" s="12">
        <v>1.3</v>
      </c>
      <c r="D4944" t="s">
        <v>5877</v>
      </c>
    </row>
    <row r="4945" spans="2:4" x14ac:dyDescent="0.35">
      <c r="B4945" s="9">
        <v>44757</v>
      </c>
      <c r="C4945" s="12">
        <v>1.1000000000000001</v>
      </c>
      <c r="D4945" t="s">
        <v>5877</v>
      </c>
    </row>
    <row r="4946" spans="2:4" x14ac:dyDescent="0.35">
      <c r="B4946" s="9">
        <v>44758</v>
      </c>
      <c r="C4946" s="12">
        <v>1.1000000000000001</v>
      </c>
      <c r="D4946" t="s">
        <v>5877</v>
      </c>
    </row>
    <row r="4947" spans="2:4" x14ac:dyDescent="0.35">
      <c r="B4947" s="9">
        <v>44759</v>
      </c>
      <c r="C4947" s="12">
        <v>1</v>
      </c>
      <c r="D4947" t="s">
        <v>5877</v>
      </c>
    </row>
    <row r="4948" spans="2:4" x14ac:dyDescent="0.35">
      <c r="B4948" s="9">
        <v>44760</v>
      </c>
      <c r="C4948" s="12">
        <v>0.9</v>
      </c>
      <c r="D4948" t="s">
        <v>5877</v>
      </c>
    </row>
    <row r="4949" spans="2:4" x14ac:dyDescent="0.35">
      <c r="B4949" s="9">
        <v>44761</v>
      </c>
      <c r="C4949" s="12">
        <v>0.8</v>
      </c>
      <c r="D4949" t="s">
        <v>5877</v>
      </c>
    </row>
    <row r="4950" spans="2:4" x14ac:dyDescent="0.35">
      <c r="B4950" s="9">
        <v>44762</v>
      </c>
      <c r="C4950" s="12">
        <v>0.7</v>
      </c>
      <c r="D4950" t="s">
        <v>5877</v>
      </c>
    </row>
    <row r="4951" spans="2:4" x14ac:dyDescent="0.35">
      <c r="B4951" s="9">
        <v>44763</v>
      </c>
      <c r="C4951" s="12">
        <v>0.6</v>
      </c>
      <c r="D4951" t="s">
        <v>5877</v>
      </c>
    </row>
    <row r="4952" spans="2:4" x14ac:dyDescent="0.35">
      <c r="B4952" s="9">
        <v>44764</v>
      </c>
      <c r="C4952" s="12">
        <v>2.6</v>
      </c>
      <c r="D4952" t="s">
        <v>5877</v>
      </c>
    </row>
    <row r="4953" spans="2:4" x14ac:dyDescent="0.35">
      <c r="B4953" s="9">
        <v>44765</v>
      </c>
      <c r="C4953" s="12">
        <v>2.1</v>
      </c>
      <c r="D4953" t="s">
        <v>5877</v>
      </c>
    </row>
    <row r="4954" spans="2:4" x14ac:dyDescent="0.35">
      <c r="B4954" s="9">
        <v>44766</v>
      </c>
      <c r="C4954" s="12">
        <v>1.5</v>
      </c>
      <c r="D4954" t="s">
        <v>5877</v>
      </c>
    </row>
    <row r="4955" spans="2:4" x14ac:dyDescent="0.35">
      <c r="B4955" s="9">
        <v>44767</v>
      </c>
      <c r="C4955" s="12">
        <v>1.4</v>
      </c>
      <c r="D4955" t="s">
        <v>5877</v>
      </c>
    </row>
    <row r="4956" spans="2:4" x14ac:dyDescent="0.35">
      <c r="B4956" s="9">
        <v>44768</v>
      </c>
      <c r="C4956" s="12">
        <v>1.1000000000000001</v>
      </c>
      <c r="D4956" t="s">
        <v>5877</v>
      </c>
    </row>
    <row r="4957" spans="2:4" x14ac:dyDescent="0.35">
      <c r="B4957" s="9">
        <v>44769</v>
      </c>
      <c r="C4957" s="12">
        <v>1</v>
      </c>
      <c r="D4957" t="s">
        <v>5877</v>
      </c>
    </row>
    <row r="4958" spans="2:4" x14ac:dyDescent="0.35">
      <c r="B4958" s="9">
        <v>44770</v>
      </c>
      <c r="C4958" s="12">
        <v>0.8</v>
      </c>
      <c r="D4958" t="s">
        <v>5877</v>
      </c>
    </row>
    <row r="4959" spans="2:4" x14ac:dyDescent="0.35">
      <c r="B4959" s="9">
        <v>44771</v>
      </c>
      <c r="C4959" s="12">
        <v>0.7</v>
      </c>
      <c r="D4959" t="s">
        <v>5877</v>
      </c>
    </row>
    <row r="4960" spans="2:4" x14ac:dyDescent="0.35">
      <c r="B4960" s="9">
        <v>44772</v>
      </c>
      <c r="C4960" s="12">
        <v>0.7</v>
      </c>
      <c r="D4960" t="s">
        <v>5877</v>
      </c>
    </row>
    <row r="4961" spans="2:4" x14ac:dyDescent="0.35">
      <c r="B4961" s="9">
        <v>44773</v>
      </c>
      <c r="C4961" s="12">
        <v>3.3</v>
      </c>
      <c r="D4961" t="s">
        <v>5877</v>
      </c>
    </row>
    <row r="4962" spans="2:4" x14ac:dyDescent="0.35">
      <c r="B4962" s="9">
        <v>44774</v>
      </c>
      <c r="C4962" s="12">
        <v>24.8</v>
      </c>
      <c r="D4962" t="s">
        <v>5877</v>
      </c>
    </row>
    <row r="4963" spans="2:4" x14ac:dyDescent="0.35">
      <c r="B4963" s="9">
        <v>44775</v>
      </c>
      <c r="C4963" s="12">
        <v>19.399999999999999</v>
      </c>
      <c r="D4963" t="s">
        <v>5877</v>
      </c>
    </row>
    <row r="4964" spans="2:4" x14ac:dyDescent="0.35">
      <c r="B4964" s="9">
        <v>44776</v>
      </c>
      <c r="C4964" s="12">
        <v>14.7</v>
      </c>
      <c r="D4964" t="s">
        <v>5877</v>
      </c>
    </row>
    <row r="4965" spans="2:4" x14ac:dyDescent="0.35">
      <c r="B4965" s="9">
        <v>44777</v>
      </c>
      <c r="C4965" s="12">
        <v>11.9</v>
      </c>
      <c r="D4965" t="s">
        <v>5877</v>
      </c>
    </row>
    <row r="4966" spans="2:4" x14ac:dyDescent="0.35">
      <c r="B4966" s="9">
        <v>44778</v>
      </c>
      <c r="C4966" s="12">
        <v>10</v>
      </c>
      <c r="D4966" t="s">
        <v>5877</v>
      </c>
    </row>
    <row r="4967" spans="2:4" x14ac:dyDescent="0.35">
      <c r="B4967" s="9">
        <v>44779</v>
      </c>
      <c r="C4967" s="12">
        <v>8.6999999999999993</v>
      </c>
      <c r="D4967" t="s">
        <v>5877</v>
      </c>
    </row>
    <row r="4968" spans="2:4" x14ac:dyDescent="0.35">
      <c r="B4968" s="9">
        <v>44780</v>
      </c>
      <c r="C4968" s="12">
        <v>7.7</v>
      </c>
      <c r="D4968" t="s">
        <v>5877</v>
      </c>
    </row>
    <row r="4969" spans="2:4" x14ac:dyDescent="0.35">
      <c r="B4969" s="9">
        <v>44781</v>
      </c>
      <c r="C4969" s="12">
        <v>8.6999999999999993</v>
      </c>
      <c r="D4969" t="s">
        <v>5877</v>
      </c>
    </row>
    <row r="4970" spans="2:4" x14ac:dyDescent="0.35">
      <c r="B4970" s="9">
        <v>44782</v>
      </c>
      <c r="C4970" s="12">
        <v>8.4</v>
      </c>
      <c r="D4970" t="s">
        <v>5877</v>
      </c>
    </row>
    <row r="4971" spans="2:4" x14ac:dyDescent="0.35">
      <c r="B4971" s="9">
        <v>44783</v>
      </c>
      <c r="C4971" s="12">
        <v>7.8</v>
      </c>
      <c r="D4971" t="s">
        <v>5877</v>
      </c>
    </row>
    <row r="4972" spans="2:4" x14ac:dyDescent="0.35">
      <c r="B4972" s="9">
        <v>44784</v>
      </c>
      <c r="C4972" s="12">
        <v>13.6</v>
      </c>
      <c r="D4972" t="s">
        <v>5877</v>
      </c>
    </row>
    <row r="4973" spans="2:4" x14ac:dyDescent="0.35">
      <c r="B4973" s="9">
        <v>44785</v>
      </c>
      <c r="C4973" s="12">
        <v>13</v>
      </c>
      <c r="D4973" t="s">
        <v>5877</v>
      </c>
    </row>
    <row r="4974" spans="2:4" x14ac:dyDescent="0.35">
      <c r="B4974" s="9">
        <v>44786</v>
      </c>
      <c r="C4974" s="12">
        <v>10.4</v>
      </c>
      <c r="D4974" t="s">
        <v>5877</v>
      </c>
    </row>
    <row r="4975" spans="2:4" x14ac:dyDescent="0.35">
      <c r="B4975" s="9">
        <v>44787</v>
      </c>
      <c r="C4975" s="12">
        <v>9.6999999999999993</v>
      </c>
      <c r="D4975" t="s">
        <v>5877</v>
      </c>
    </row>
    <row r="4976" spans="2:4" x14ac:dyDescent="0.35">
      <c r="B4976" s="9">
        <v>44788</v>
      </c>
      <c r="C4976" s="12">
        <v>12.2</v>
      </c>
      <c r="D4976" t="s">
        <v>5877</v>
      </c>
    </row>
    <row r="4977" spans="2:4" x14ac:dyDescent="0.35">
      <c r="B4977" s="9">
        <v>44789</v>
      </c>
      <c r="C4977" s="12">
        <v>14.2</v>
      </c>
      <c r="D4977" t="s">
        <v>5877</v>
      </c>
    </row>
    <row r="4978" spans="2:4" x14ac:dyDescent="0.35">
      <c r="B4978" s="9">
        <v>44790</v>
      </c>
      <c r="C4978" s="12">
        <v>18.3</v>
      </c>
      <c r="D4978" t="s">
        <v>5877</v>
      </c>
    </row>
    <row r="4979" spans="2:4" x14ac:dyDescent="0.35">
      <c r="B4979" s="9">
        <v>44791</v>
      </c>
      <c r="C4979" s="12">
        <v>28.6</v>
      </c>
      <c r="D4979" t="s">
        <v>5877</v>
      </c>
    </row>
    <row r="4980" spans="2:4" x14ac:dyDescent="0.35">
      <c r="B4980" s="9">
        <v>44792</v>
      </c>
      <c r="C4980" s="12">
        <v>21.6</v>
      </c>
      <c r="D4980" t="s">
        <v>5877</v>
      </c>
    </row>
    <row r="4981" spans="2:4" x14ac:dyDescent="0.35">
      <c r="B4981" s="9">
        <v>44793</v>
      </c>
      <c r="C4981" s="12">
        <v>17.899999999999999</v>
      </c>
      <c r="D4981" t="s">
        <v>5877</v>
      </c>
    </row>
    <row r="4982" spans="2:4" x14ac:dyDescent="0.35">
      <c r="B4982" s="9">
        <v>44794</v>
      </c>
      <c r="C4982" s="12">
        <v>54</v>
      </c>
      <c r="D4982" t="s">
        <v>5877</v>
      </c>
    </row>
    <row r="4983" spans="2:4" x14ac:dyDescent="0.35">
      <c r="B4983" s="9">
        <v>44795</v>
      </c>
      <c r="C4983" s="12">
        <v>76.900000000000006</v>
      </c>
      <c r="D4983" t="s">
        <v>5877</v>
      </c>
    </row>
    <row r="4984" spans="2:4" x14ac:dyDescent="0.35">
      <c r="B4984" s="9">
        <v>44796</v>
      </c>
      <c r="C4984" s="12">
        <v>81.2</v>
      </c>
      <c r="D4984" t="s">
        <v>5877</v>
      </c>
    </row>
    <row r="4985" spans="2:4" x14ac:dyDescent="0.35">
      <c r="B4985" s="9">
        <v>44797</v>
      </c>
      <c r="C4985" s="12">
        <v>55.2</v>
      </c>
      <c r="D4985" t="s">
        <v>5877</v>
      </c>
    </row>
    <row r="4986" spans="2:4" x14ac:dyDescent="0.35">
      <c r="B4986" s="9">
        <v>44798</v>
      </c>
      <c r="C4986" s="12">
        <v>39</v>
      </c>
      <c r="D4986" t="s">
        <v>5877</v>
      </c>
    </row>
    <row r="4987" spans="2:4" x14ac:dyDescent="0.35">
      <c r="B4987" s="9">
        <v>44799</v>
      </c>
      <c r="C4987" s="12">
        <v>31.2</v>
      </c>
      <c r="D4987" t="s">
        <v>5877</v>
      </c>
    </row>
    <row r="4988" spans="2:4" x14ac:dyDescent="0.35">
      <c r="B4988" s="9">
        <v>44800</v>
      </c>
      <c r="C4988" s="12">
        <v>38.5</v>
      </c>
      <c r="D4988" t="s">
        <v>5877</v>
      </c>
    </row>
    <row r="4989" spans="2:4" x14ac:dyDescent="0.35">
      <c r="B4989" s="9">
        <v>44801</v>
      </c>
      <c r="C4989" s="12">
        <v>34.700000000000003</v>
      </c>
      <c r="D4989" t="s">
        <v>5877</v>
      </c>
    </row>
    <row r="4990" spans="2:4" x14ac:dyDescent="0.35">
      <c r="B4990" s="9">
        <v>44802</v>
      </c>
      <c r="C4990" s="12">
        <v>55.6</v>
      </c>
      <c r="D4990" t="s">
        <v>5877</v>
      </c>
    </row>
    <row r="4991" spans="2:4" x14ac:dyDescent="0.35">
      <c r="B4991" s="9">
        <v>44803</v>
      </c>
      <c r="C4991" s="12">
        <v>113.3</v>
      </c>
      <c r="D4991" t="s">
        <v>5877</v>
      </c>
    </row>
    <row r="4992" spans="2:4" x14ac:dyDescent="0.35">
      <c r="B4992" s="9">
        <v>44804</v>
      </c>
      <c r="C4992" s="12">
        <v>85.7</v>
      </c>
      <c r="D4992" t="s">
        <v>5877</v>
      </c>
    </row>
    <row r="4993" spans="2:4" x14ac:dyDescent="0.35">
      <c r="B4993" s="9">
        <v>44805</v>
      </c>
      <c r="C4993" s="12">
        <v>66.2</v>
      </c>
      <c r="D4993" t="s">
        <v>5877</v>
      </c>
    </row>
    <row r="4994" spans="2:4" x14ac:dyDescent="0.35">
      <c r="B4994" s="9">
        <v>44806</v>
      </c>
      <c r="C4994" s="12">
        <v>108.8</v>
      </c>
      <c r="D4994" t="s">
        <v>5877</v>
      </c>
    </row>
    <row r="4995" spans="2:4" x14ac:dyDescent="0.35">
      <c r="B4995" s="9">
        <v>44807</v>
      </c>
      <c r="C4995" s="12">
        <v>87.5</v>
      </c>
      <c r="D4995" t="s">
        <v>5877</v>
      </c>
    </row>
    <row r="4996" spans="2:4" x14ac:dyDescent="0.35">
      <c r="B4996" s="9">
        <v>44808</v>
      </c>
      <c r="C4996" s="12">
        <v>70.099999999999994</v>
      </c>
      <c r="D4996" t="s">
        <v>5877</v>
      </c>
    </row>
    <row r="4997" spans="2:4" x14ac:dyDescent="0.35">
      <c r="B4997" s="9">
        <v>44809</v>
      </c>
      <c r="C4997" s="12">
        <v>65.2</v>
      </c>
      <c r="D4997" t="s">
        <v>5877</v>
      </c>
    </row>
    <row r="4998" spans="2:4" x14ac:dyDescent="0.35">
      <c r="B4998" s="9">
        <v>44810</v>
      </c>
      <c r="C4998" s="12">
        <v>58.8</v>
      </c>
      <c r="D4998" t="s">
        <v>5877</v>
      </c>
    </row>
    <row r="4999" spans="2:4" x14ac:dyDescent="0.35">
      <c r="B4999" s="9">
        <v>44811</v>
      </c>
      <c r="C4999" s="12">
        <v>54.9</v>
      </c>
      <c r="D4999" t="s">
        <v>5877</v>
      </c>
    </row>
    <row r="5000" spans="2:4" x14ac:dyDescent="0.35">
      <c r="B5000" s="9">
        <v>44812</v>
      </c>
      <c r="C5000" s="12">
        <v>91.1</v>
      </c>
      <c r="D5000" t="s">
        <v>5877</v>
      </c>
    </row>
    <row r="5001" spans="2:4" x14ac:dyDescent="0.35">
      <c r="B5001" s="9">
        <v>44813</v>
      </c>
      <c r="C5001" s="12">
        <v>85.2</v>
      </c>
      <c r="D5001" t="s">
        <v>5877</v>
      </c>
    </row>
    <row r="5002" spans="2:4" x14ac:dyDescent="0.35">
      <c r="B5002" s="9">
        <v>44814</v>
      </c>
      <c r="C5002" s="12">
        <v>72.3</v>
      </c>
      <c r="D5002" t="s">
        <v>5877</v>
      </c>
    </row>
    <row r="5003" spans="2:4" x14ac:dyDescent="0.35">
      <c r="B5003" s="9">
        <v>44815</v>
      </c>
      <c r="C5003" s="12">
        <v>85.5</v>
      </c>
      <c r="D5003" t="s">
        <v>5877</v>
      </c>
    </row>
    <row r="5004" spans="2:4" x14ac:dyDescent="0.35">
      <c r="B5004" s="9">
        <v>44816</v>
      </c>
      <c r="C5004" s="12">
        <v>71.2</v>
      </c>
      <c r="D5004" t="s">
        <v>5877</v>
      </c>
    </row>
    <row r="5005" spans="2:4" x14ac:dyDescent="0.35">
      <c r="B5005" s="9">
        <v>44817</v>
      </c>
      <c r="C5005" s="12">
        <v>59.3</v>
      </c>
      <c r="D5005" t="s">
        <v>5877</v>
      </c>
    </row>
    <row r="5006" spans="2:4" x14ac:dyDescent="0.35">
      <c r="B5006" s="9">
        <v>44818</v>
      </c>
      <c r="C5006" s="12">
        <v>53.7</v>
      </c>
      <c r="D5006" t="s">
        <v>5877</v>
      </c>
    </row>
    <row r="5007" spans="2:4" x14ac:dyDescent="0.35">
      <c r="B5007" s="9">
        <v>44819</v>
      </c>
      <c r="C5007" s="12">
        <v>116.3</v>
      </c>
      <c r="D5007" t="s">
        <v>5877</v>
      </c>
    </row>
    <row r="5008" spans="2:4" x14ac:dyDescent="0.35">
      <c r="B5008" s="9">
        <v>44820</v>
      </c>
      <c r="C5008" s="12">
        <v>104.8</v>
      </c>
      <c r="D5008" t="s">
        <v>5877</v>
      </c>
    </row>
    <row r="5009" spans="2:4" x14ac:dyDescent="0.35">
      <c r="B5009" s="9">
        <v>44821</v>
      </c>
      <c r="C5009" s="12">
        <v>90.1</v>
      </c>
      <c r="D5009" t="s">
        <v>5877</v>
      </c>
    </row>
    <row r="5010" spans="2:4" x14ac:dyDescent="0.35">
      <c r="B5010" s="9">
        <v>44822</v>
      </c>
      <c r="C5010" s="12">
        <v>122.2</v>
      </c>
      <c r="D5010" t="s">
        <v>5877</v>
      </c>
    </row>
    <row r="5011" spans="2:4" x14ac:dyDescent="0.35">
      <c r="B5011" s="9">
        <v>44823</v>
      </c>
      <c r="C5011" s="12">
        <v>128.19999999999999</v>
      </c>
      <c r="D5011" t="s">
        <v>5877</v>
      </c>
    </row>
    <row r="5012" spans="2:4" x14ac:dyDescent="0.35">
      <c r="B5012" s="9">
        <v>44824</v>
      </c>
      <c r="C5012" s="12">
        <v>96.7</v>
      </c>
      <c r="D5012" t="s">
        <v>5877</v>
      </c>
    </row>
    <row r="5013" spans="2:4" x14ac:dyDescent="0.35">
      <c r="B5013" s="9">
        <v>44825</v>
      </c>
      <c r="C5013" s="12">
        <v>100.2</v>
      </c>
      <c r="D5013" t="s">
        <v>5877</v>
      </c>
    </row>
    <row r="5014" spans="2:4" x14ac:dyDescent="0.35">
      <c r="B5014" s="9">
        <v>44826</v>
      </c>
      <c r="C5014" s="12">
        <v>132.30000000000001</v>
      </c>
      <c r="D5014" t="s">
        <v>5877</v>
      </c>
    </row>
    <row r="5015" spans="2:4" x14ac:dyDescent="0.35">
      <c r="B5015" s="9">
        <v>44827</v>
      </c>
      <c r="C5015" s="12">
        <v>128.4</v>
      </c>
      <c r="D5015" t="s">
        <v>5877</v>
      </c>
    </row>
    <row r="5016" spans="2:4" x14ac:dyDescent="0.35">
      <c r="B5016" s="9">
        <v>44828</v>
      </c>
      <c r="C5016" s="12">
        <v>96.3</v>
      </c>
      <c r="D5016" t="s">
        <v>5877</v>
      </c>
    </row>
    <row r="5017" spans="2:4" x14ac:dyDescent="0.35">
      <c r="B5017" s="9">
        <v>44829</v>
      </c>
      <c r="C5017" s="12">
        <v>116.2</v>
      </c>
      <c r="D5017" t="s">
        <v>5877</v>
      </c>
    </row>
    <row r="5018" spans="2:4" x14ac:dyDescent="0.35">
      <c r="B5018" s="9">
        <v>44830</v>
      </c>
      <c r="C5018" s="12">
        <v>91.4</v>
      </c>
      <c r="D5018" t="s">
        <v>5877</v>
      </c>
    </row>
    <row r="5019" spans="2:4" x14ac:dyDescent="0.35">
      <c r="B5019" s="9">
        <v>44831</v>
      </c>
      <c r="C5019" s="12">
        <v>73.599999999999994</v>
      </c>
      <c r="D5019" t="s">
        <v>5877</v>
      </c>
    </row>
    <row r="5020" spans="2:4" x14ac:dyDescent="0.35">
      <c r="B5020" s="9">
        <v>44832</v>
      </c>
      <c r="C5020" s="12">
        <v>64.099999999999994</v>
      </c>
      <c r="D5020" t="s">
        <v>5877</v>
      </c>
    </row>
    <row r="5021" spans="2:4" x14ac:dyDescent="0.35">
      <c r="B5021" s="9">
        <v>44833</v>
      </c>
      <c r="C5021" s="12">
        <v>98.2</v>
      </c>
      <c r="D5021" t="s">
        <v>5877</v>
      </c>
    </row>
    <row r="5022" spans="2:4" x14ac:dyDescent="0.35">
      <c r="B5022" s="9">
        <v>44834</v>
      </c>
      <c r="C5022" s="12">
        <v>111.5</v>
      </c>
      <c r="D5022" t="s">
        <v>5877</v>
      </c>
    </row>
    <row r="5023" spans="2:4" x14ac:dyDescent="0.35">
      <c r="B5023" s="9">
        <v>44835</v>
      </c>
      <c r="C5023" s="12">
        <v>95.5</v>
      </c>
      <c r="D5023" t="s">
        <v>5877</v>
      </c>
    </row>
    <row r="5024" spans="2:4" x14ac:dyDescent="0.35">
      <c r="B5024" s="9">
        <v>44836</v>
      </c>
      <c r="C5024" s="12">
        <v>77.099999999999994</v>
      </c>
      <c r="D5024" t="s">
        <v>5877</v>
      </c>
    </row>
    <row r="5025" spans="2:4" x14ac:dyDescent="0.35">
      <c r="B5025" s="9">
        <v>44837</v>
      </c>
      <c r="C5025" s="12">
        <v>95.7</v>
      </c>
      <c r="D5025" t="s">
        <v>5877</v>
      </c>
    </row>
    <row r="5026" spans="2:4" x14ac:dyDescent="0.35">
      <c r="B5026" s="9">
        <v>44838</v>
      </c>
      <c r="C5026" s="12">
        <v>73.8</v>
      </c>
      <c r="D5026" t="s">
        <v>5877</v>
      </c>
    </row>
    <row r="5027" spans="2:4" x14ac:dyDescent="0.35">
      <c r="B5027" s="9">
        <v>44839</v>
      </c>
      <c r="C5027" s="12">
        <v>62.8</v>
      </c>
      <c r="D5027" t="s">
        <v>5877</v>
      </c>
    </row>
    <row r="5028" spans="2:4" x14ac:dyDescent="0.35">
      <c r="B5028" s="9">
        <v>44840</v>
      </c>
      <c r="C5028" s="12">
        <v>100.6</v>
      </c>
      <c r="D5028" t="s">
        <v>5877</v>
      </c>
    </row>
    <row r="5029" spans="2:4" x14ac:dyDescent="0.35">
      <c r="B5029" s="9">
        <v>44841</v>
      </c>
      <c r="C5029" s="12">
        <v>113.7</v>
      </c>
      <c r="D5029" t="s">
        <v>5877</v>
      </c>
    </row>
    <row r="5030" spans="2:4" x14ac:dyDescent="0.35">
      <c r="B5030" s="9">
        <v>44842</v>
      </c>
      <c r="C5030" s="12">
        <v>97.3</v>
      </c>
      <c r="D5030" t="s">
        <v>5877</v>
      </c>
    </row>
    <row r="5031" spans="2:4" x14ac:dyDescent="0.35">
      <c r="B5031" s="9">
        <v>44843</v>
      </c>
      <c r="C5031" s="12">
        <v>127</v>
      </c>
      <c r="D5031" t="s">
        <v>5877</v>
      </c>
    </row>
    <row r="5032" spans="2:4" x14ac:dyDescent="0.35">
      <c r="B5032" s="9">
        <v>44844</v>
      </c>
      <c r="C5032" s="12">
        <v>97</v>
      </c>
      <c r="D5032" t="s">
        <v>5877</v>
      </c>
    </row>
    <row r="5033" spans="2:4" x14ac:dyDescent="0.35">
      <c r="B5033" s="9">
        <v>44845</v>
      </c>
      <c r="C5033" s="12">
        <v>97.9</v>
      </c>
      <c r="D5033" t="s">
        <v>5877</v>
      </c>
    </row>
    <row r="5034" spans="2:4" x14ac:dyDescent="0.35">
      <c r="B5034" s="9">
        <v>44846</v>
      </c>
      <c r="C5034" s="12">
        <v>81</v>
      </c>
      <c r="D5034" t="s">
        <v>5877</v>
      </c>
    </row>
    <row r="5035" spans="2:4" x14ac:dyDescent="0.35">
      <c r="B5035" s="9">
        <v>44847</v>
      </c>
      <c r="C5035" s="12">
        <v>65.900000000000006</v>
      </c>
      <c r="D5035" t="s">
        <v>5877</v>
      </c>
    </row>
    <row r="5036" spans="2:4" x14ac:dyDescent="0.35">
      <c r="B5036" s="9">
        <v>44848</v>
      </c>
      <c r="C5036" s="12">
        <v>60.6</v>
      </c>
      <c r="D5036" t="s">
        <v>5877</v>
      </c>
    </row>
    <row r="5037" spans="2:4" x14ac:dyDescent="0.35">
      <c r="B5037" s="9">
        <v>44849</v>
      </c>
      <c r="C5037" s="12">
        <v>93.6</v>
      </c>
      <c r="D5037" t="s">
        <v>5877</v>
      </c>
    </row>
    <row r="5038" spans="2:4" x14ac:dyDescent="0.35">
      <c r="B5038" s="9">
        <v>44850</v>
      </c>
      <c r="C5038" s="12">
        <v>145.6</v>
      </c>
      <c r="D5038" t="s">
        <v>5877</v>
      </c>
    </row>
    <row r="5039" spans="2:4" x14ac:dyDescent="0.35">
      <c r="B5039" s="9">
        <v>44851</v>
      </c>
      <c r="C5039" s="12">
        <v>162.1</v>
      </c>
      <c r="D5039" t="s">
        <v>5877</v>
      </c>
    </row>
    <row r="5040" spans="2:4" x14ac:dyDescent="0.35">
      <c r="B5040" s="9">
        <v>44852</v>
      </c>
      <c r="C5040" s="12">
        <v>117.6</v>
      </c>
      <c r="D5040" t="s">
        <v>5877</v>
      </c>
    </row>
    <row r="5041" spans="2:4" x14ac:dyDescent="0.35">
      <c r="B5041" s="9">
        <v>44853</v>
      </c>
      <c r="C5041" s="12">
        <v>98.7</v>
      </c>
      <c r="D5041" t="s">
        <v>5877</v>
      </c>
    </row>
    <row r="5042" spans="2:4" x14ac:dyDescent="0.35">
      <c r="B5042" s="9">
        <v>44854</v>
      </c>
      <c r="C5042" s="12">
        <v>165.3</v>
      </c>
      <c r="D5042" t="s">
        <v>5877</v>
      </c>
    </row>
    <row r="5043" spans="2:4" x14ac:dyDescent="0.35">
      <c r="B5043" s="9">
        <v>44855</v>
      </c>
      <c r="C5043" s="12">
        <v>160.6</v>
      </c>
      <c r="D5043" t="s">
        <v>5877</v>
      </c>
    </row>
    <row r="5044" spans="2:4" x14ac:dyDescent="0.35">
      <c r="B5044" s="9">
        <v>44856</v>
      </c>
      <c r="C5044" s="12">
        <v>124.1</v>
      </c>
      <c r="D5044" t="s">
        <v>5877</v>
      </c>
    </row>
    <row r="5045" spans="2:4" x14ac:dyDescent="0.35">
      <c r="B5045" s="9">
        <v>44857</v>
      </c>
      <c r="C5045" s="12">
        <v>128.5</v>
      </c>
      <c r="D5045" t="s">
        <v>5877</v>
      </c>
    </row>
    <row r="5046" spans="2:4" x14ac:dyDescent="0.35">
      <c r="B5046" s="9">
        <v>44858</v>
      </c>
      <c r="C5046" s="12">
        <v>96.7</v>
      </c>
      <c r="D5046" t="s">
        <v>5877</v>
      </c>
    </row>
    <row r="5047" spans="2:4" x14ac:dyDescent="0.35">
      <c r="B5047" s="9">
        <v>44859</v>
      </c>
      <c r="C5047" s="12">
        <v>83</v>
      </c>
      <c r="D5047" t="s">
        <v>5877</v>
      </c>
    </row>
    <row r="5048" spans="2:4" x14ac:dyDescent="0.35">
      <c r="B5048" s="9">
        <v>44860</v>
      </c>
      <c r="C5048" s="12">
        <v>90.7</v>
      </c>
      <c r="D5048" t="s">
        <v>5877</v>
      </c>
    </row>
    <row r="5049" spans="2:4" x14ac:dyDescent="0.35">
      <c r="B5049" s="9">
        <v>44861</v>
      </c>
      <c r="C5049" s="12">
        <v>139.80000000000001</v>
      </c>
      <c r="D5049" t="s">
        <v>5877</v>
      </c>
    </row>
    <row r="5050" spans="2:4" x14ac:dyDescent="0.35">
      <c r="B5050" s="9">
        <v>44862</v>
      </c>
      <c r="C5050" s="12">
        <v>121</v>
      </c>
      <c r="D5050" t="s">
        <v>5877</v>
      </c>
    </row>
    <row r="5051" spans="2:4" x14ac:dyDescent="0.35">
      <c r="B5051" s="9">
        <v>44863</v>
      </c>
      <c r="C5051" s="12">
        <v>95.3</v>
      </c>
      <c r="D5051" t="s">
        <v>5877</v>
      </c>
    </row>
    <row r="5052" spans="2:4" x14ac:dyDescent="0.35">
      <c r="B5052" s="9">
        <v>44864</v>
      </c>
      <c r="C5052" s="12">
        <v>125.8</v>
      </c>
      <c r="D5052" t="s">
        <v>5877</v>
      </c>
    </row>
    <row r="5053" spans="2:4" x14ac:dyDescent="0.35">
      <c r="B5053" s="9">
        <v>44865</v>
      </c>
      <c r="C5053" s="12">
        <v>126.6</v>
      </c>
      <c r="D5053" t="s">
        <v>5877</v>
      </c>
    </row>
    <row r="5054" spans="2:4" x14ac:dyDescent="0.35">
      <c r="B5054" s="9">
        <v>44866</v>
      </c>
      <c r="C5054" s="12">
        <v>112.3</v>
      </c>
      <c r="D5054" t="s">
        <v>5877</v>
      </c>
    </row>
    <row r="5055" spans="2:4" x14ac:dyDescent="0.35">
      <c r="B5055" s="9">
        <v>44867</v>
      </c>
      <c r="C5055" s="12">
        <v>131.19999999999999</v>
      </c>
      <c r="D5055" t="s">
        <v>5877</v>
      </c>
    </row>
    <row r="5056" spans="2:4" x14ac:dyDescent="0.35">
      <c r="B5056" s="9">
        <v>44868</v>
      </c>
      <c r="C5056" s="12">
        <v>147.9</v>
      </c>
      <c r="D5056" t="s">
        <v>5877</v>
      </c>
    </row>
    <row r="5057" spans="2:4" x14ac:dyDescent="0.35">
      <c r="B5057" s="9">
        <v>44869</v>
      </c>
      <c r="C5057" s="12">
        <v>114.4</v>
      </c>
      <c r="D5057" t="s">
        <v>5877</v>
      </c>
    </row>
    <row r="5058" spans="2:4" x14ac:dyDescent="0.35">
      <c r="B5058" s="9">
        <v>44870</v>
      </c>
      <c r="C5058" s="12">
        <v>91.3</v>
      </c>
      <c r="D5058" t="s">
        <v>5877</v>
      </c>
    </row>
    <row r="5059" spans="2:4" x14ac:dyDescent="0.35">
      <c r="B5059" s="9">
        <v>44871</v>
      </c>
      <c r="C5059" s="12">
        <v>151.6</v>
      </c>
      <c r="D5059" t="s">
        <v>5877</v>
      </c>
    </row>
    <row r="5060" spans="2:4" x14ac:dyDescent="0.35">
      <c r="B5060" s="9">
        <v>44872</v>
      </c>
      <c r="C5060" s="12">
        <v>141.4</v>
      </c>
      <c r="D5060" t="s">
        <v>5877</v>
      </c>
    </row>
    <row r="5061" spans="2:4" x14ac:dyDescent="0.35">
      <c r="B5061" s="9">
        <v>44873</v>
      </c>
      <c r="C5061" s="12">
        <v>126.4</v>
      </c>
      <c r="D5061" t="s">
        <v>5877</v>
      </c>
    </row>
    <row r="5062" spans="2:4" x14ac:dyDescent="0.35">
      <c r="B5062" s="9">
        <v>44874</v>
      </c>
      <c r="C5062" s="12">
        <v>185.3</v>
      </c>
      <c r="D5062" t="s">
        <v>5877</v>
      </c>
    </row>
    <row r="5063" spans="2:4" x14ac:dyDescent="0.35">
      <c r="B5063" s="9">
        <v>44875</v>
      </c>
      <c r="C5063" s="12">
        <v>193.4</v>
      </c>
      <c r="D5063" t="s">
        <v>5877</v>
      </c>
    </row>
    <row r="5064" spans="2:4" x14ac:dyDescent="0.35">
      <c r="B5064" s="9">
        <v>44876</v>
      </c>
      <c r="C5064" s="12">
        <v>185.7</v>
      </c>
      <c r="D5064" t="s">
        <v>5877</v>
      </c>
    </row>
    <row r="5065" spans="2:4" x14ac:dyDescent="0.35">
      <c r="B5065" s="9">
        <v>44877</v>
      </c>
      <c r="C5065" s="12">
        <v>170.2</v>
      </c>
      <c r="D5065" t="s">
        <v>5877</v>
      </c>
    </row>
    <row r="5066" spans="2:4" x14ac:dyDescent="0.35">
      <c r="B5066" s="9">
        <v>44878</v>
      </c>
      <c r="C5066" s="12">
        <v>119.9</v>
      </c>
      <c r="D5066" t="s">
        <v>5877</v>
      </c>
    </row>
    <row r="5067" spans="2:4" x14ac:dyDescent="0.35">
      <c r="B5067" s="9">
        <v>44879</v>
      </c>
      <c r="C5067" s="12">
        <v>130.30000000000001</v>
      </c>
      <c r="D5067" t="s">
        <v>5877</v>
      </c>
    </row>
    <row r="5068" spans="2:4" x14ac:dyDescent="0.35">
      <c r="B5068" s="9">
        <v>44880</v>
      </c>
      <c r="C5068" s="12">
        <v>108.9</v>
      </c>
      <c r="D5068" t="s">
        <v>5877</v>
      </c>
    </row>
    <row r="5069" spans="2:4" x14ac:dyDescent="0.35">
      <c r="B5069" s="9">
        <v>44881</v>
      </c>
      <c r="C5069" s="12">
        <v>137</v>
      </c>
      <c r="D5069" t="s">
        <v>5877</v>
      </c>
    </row>
    <row r="5070" spans="2:4" x14ac:dyDescent="0.35">
      <c r="B5070" s="9">
        <v>44882</v>
      </c>
      <c r="C5070" s="12">
        <v>145.6</v>
      </c>
      <c r="D5070" t="s">
        <v>5877</v>
      </c>
    </row>
    <row r="5071" spans="2:4" x14ac:dyDescent="0.35">
      <c r="B5071" s="9">
        <v>44883</v>
      </c>
      <c r="C5071" s="12">
        <v>109.1</v>
      </c>
      <c r="D5071" t="s">
        <v>5877</v>
      </c>
    </row>
    <row r="5072" spans="2:4" x14ac:dyDescent="0.35">
      <c r="B5072" s="9">
        <v>44884</v>
      </c>
      <c r="C5072" s="12">
        <v>118</v>
      </c>
      <c r="D5072" t="s">
        <v>5877</v>
      </c>
    </row>
    <row r="5073" spans="2:4" x14ac:dyDescent="0.35">
      <c r="B5073" s="9">
        <v>44885</v>
      </c>
      <c r="C5073" s="12">
        <v>91.5</v>
      </c>
      <c r="D5073" t="s">
        <v>5877</v>
      </c>
    </row>
    <row r="5074" spans="2:4" x14ac:dyDescent="0.35">
      <c r="B5074" s="9">
        <v>44886</v>
      </c>
      <c r="C5074" s="12">
        <v>79</v>
      </c>
      <c r="D5074" t="s">
        <v>5877</v>
      </c>
    </row>
    <row r="5075" spans="2:4" x14ac:dyDescent="0.35">
      <c r="B5075" s="9">
        <v>44887</v>
      </c>
      <c r="C5075" s="12">
        <v>150.19999999999999</v>
      </c>
      <c r="D5075" t="s">
        <v>5877</v>
      </c>
    </row>
    <row r="5076" spans="2:4" x14ac:dyDescent="0.35">
      <c r="B5076" s="9">
        <v>44888</v>
      </c>
      <c r="C5076" s="12">
        <v>122.1</v>
      </c>
      <c r="D5076" t="s">
        <v>5877</v>
      </c>
    </row>
    <row r="5077" spans="2:4" x14ac:dyDescent="0.35">
      <c r="B5077" s="9">
        <v>44889</v>
      </c>
      <c r="C5077" s="12">
        <v>92.9</v>
      </c>
      <c r="D5077" t="s">
        <v>5877</v>
      </c>
    </row>
    <row r="5078" spans="2:4" x14ac:dyDescent="0.35">
      <c r="B5078" s="9">
        <v>44890</v>
      </c>
      <c r="C5078" s="12">
        <v>79.099999999999994</v>
      </c>
      <c r="D5078" t="s">
        <v>5877</v>
      </c>
    </row>
    <row r="5079" spans="2:4" x14ac:dyDescent="0.35">
      <c r="B5079" s="9">
        <v>44891</v>
      </c>
      <c r="C5079" s="12">
        <v>139.30000000000001</v>
      </c>
      <c r="D5079" t="s">
        <v>5877</v>
      </c>
    </row>
    <row r="5080" spans="2:4" x14ac:dyDescent="0.35">
      <c r="B5080" s="9">
        <v>44892</v>
      </c>
      <c r="C5080" s="12">
        <v>192.5</v>
      </c>
      <c r="D5080" t="s">
        <v>5877</v>
      </c>
    </row>
    <row r="5081" spans="2:4" x14ac:dyDescent="0.35">
      <c r="B5081" s="9">
        <v>44893</v>
      </c>
      <c r="C5081" s="12">
        <v>158.69999999999999</v>
      </c>
      <c r="D5081" t="s">
        <v>5877</v>
      </c>
    </row>
    <row r="5082" spans="2:4" x14ac:dyDescent="0.35">
      <c r="B5082" s="9">
        <v>44894</v>
      </c>
      <c r="C5082" s="12">
        <v>156.19999999999999</v>
      </c>
      <c r="D5082" t="s">
        <v>5877</v>
      </c>
    </row>
    <row r="5083" spans="2:4" x14ac:dyDescent="0.35">
      <c r="B5083" s="9">
        <v>44895</v>
      </c>
      <c r="C5083" s="12">
        <v>173.6</v>
      </c>
      <c r="D5083" t="s">
        <v>5877</v>
      </c>
    </row>
    <row r="5084" spans="2:4" x14ac:dyDescent="0.35">
      <c r="B5084" s="9">
        <v>44896</v>
      </c>
      <c r="C5084" s="12">
        <v>173</v>
      </c>
      <c r="D5084" t="s">
        <v>5877</v>
      </c>
    </row>
    <row r="5085" spans="2:4" x14ac:dyDescent="0.35">
      <c r="B5085" s="9">
        <v>44897</v>
      </c>
      <c r="C5085" s="12">
        <v>154.9</v>
      </c>
      <c r="D5085" t="s">
        <v>5877</v>
      </c>
    </row>
    <row r="5086" spans="2:4" x14ac:dyDescent="0.35">
      <c r="B5086" s="9">
        <v>44898</v>
      </c>
      <c r="C5086" s="12">
        <v>111.2</v>
      </c>
      <c r="D5086" t="s">
        <v>5877</v>
      </c>
    </row>
    <row r="5087" spans="2:4" x14ac:dyDescent="0.35">
      <c r="B5087" s="9">
        <v>44899</v>
      </c>
      <c r="C5087" s="12">
        <v>100.5</v>
      </c>
      <c r="D5087" t="s">
        <v>5877</v>
      </c>
    </row>
    <row r="5088" spans="2:4" x14ac:dyDescent="0.35">
      <c r="B5088" s="9">
        <v>44900</v>
      </c>
      <c r="C5088" s="12">
        <v>144.69999999999999</v>
      </c>
      <c r="D5088" t="s">
        <v>5877</v>
      </c>
    </row>
    <row r="5089" spans="2:4" x14ac:dyDescent="0.35">
      <c r="B5089" s="9">
        <v>44901</v>
      </c>
      <c r="C5089" s="12">
        <v>139.4</v>
      </c>
      <c r="D5089" t="s">
        <v>5877</v>
      </c>
    </row>
    <row r="5090" spans="2:4" x14ac:dyDescent="0.35">
      <c r="B5090" s="9">
        <v>44902</v>
      </c>
      <c r="C5090" s="12">
        <v>104.3</v>
      </c>
      <c r="D5090" t="s">
        <v>5877</v>
      </c>
    </row>
    <row r="5091" spans="2:4" x14ac:dyDescent="0.35">
      <c r="B5091" s="9">
        <v>44903</v>
      </c>
      <c r="C5091" s="12">
        <v>104.7</v>
      </c>
      <c r="D5091" t="s">
        <v>5877</v>
      </c>
    </row>
    <row r="5092" spans="2:4" x14ac:dyDescent="0.35">
      <c r="B5092" s="9">
        <v>44904</v>
      </c>
      <c r="C5092" s="12">
        <v>176.9</v>
      </c>
      <c r="D5092" t="s">
        <v>5877</v>
      </c>
    </row>
    <row r="5093" spans="2:4" x14ac:dyDescent="0.35">
      <c r="B5093" s="9">
        <v>44905</v>
      </c>
      <c r="C5093" s="12">
        <v>151.9</v>
      </c>
      <c r="D5093" t="s">
        <v>5877</v>
      </c>
    </row>
    <row r="5094" spans="2:4" x14ac:dyDescent="0.35">
      <c r="B5094" s="9">
        <v>44906</v>
      </c>
      <c r="C5094" s="12">
        <v>113.1</v>
      </c>
      <c r="D5094" t="s">
        <v>5877</v>
      </c>
    </row>
    <row r="5095" spans="2:4" x14ac:dyDescent="0.35">
      <c r="B5095" s="9">
        <v>44907</v>
      </c>
      <c r="C5095" s="12">
        <v>146.9</v>
      </c>
      <c r="D5095" t="s">
        <v>5877</v>
      </c>
    </row>
    <row r="5096" spans="2:4" x14ac:dyDescent="0.35">
      <c r="B5096" s="9">
        <v>44908</v>
      </c>
      <c r="C5096" s="12">
        <v>179.8</v>
      </c>
      <c r="D5096" t="s">
        <v>5877</v>
      </c>
    </row>
    <row r="5097" spans="2:4" x14ac:dyDescent="0.35">
      <c r="B5097" s="9">
        <v>44909</v>
      </c>
      <c r="C5097" s="12">
        <v>176.7</v>
      </c>
      <c r="D5097" t="s">
        <v>5877</v>
      </c>
    </row>
    <row r="5098" spans="2:4" x14ac:dyDescent="0.35">
      <c r="B5098" s="9">
        <v>44910</v>
      </c>
      <c r="C5098" s="12">
        <v>185.4</v>
      </c>
      <c r="D5098" t="s">
        <v>5877</v>
      </c>
    </row>
    <row r="5099" spans="2:4" x14ac:dyDescent="0.35">
      <c r="B5099" s="9">
        <v>44911</v>
      </c>
      <c r="C5099" s="12">
        <v>130.69999999999999</v>
      </c>
      <c r="D5099" t="s">
        <v>5877</v>
      </c>
    </row>
    <row r="5100" spans="2:4" x14ac:dyDescent="0.35">
      <c r="B5100" s="9">
        <v>44912</v>
      </c>
      <c r="C5100" s="12">
        <v>103</v>
      </c>
      <c r="D5100" t="s">
        <v>5877</v>
      </c>
    </row>
    <row r="5101" spans="2:4" x14ac:dyDescent="0.35">
      <c r="B5101" s="9">
        <v>44913</v>
      </c>
      <c r="C5101" s="12">
        <v>136.19999999999999</v>
      </c>
      <c r="D5101" t="s">
        <v>5877</v>
      </c>
    </row>
    <row r="5102" spans="2:4" x14ac:dyDescent="0.35">
      <c r="B5102" s="9">
        <v>44914</v>
      </c>
      <c r="C5102" s="12">
        <v>125.5</v>
      </c>
      <c r="D5102" t="s">
        <v>5877</v>
      </c>
    </row>
    <row r="5103" spans="2:4" x14ac:dyDescent="0.35">
      <c r="B5103" s="9">
        <v>44915</v>
      </c>
      <c r="C5103" s="12">
        <v>114.3</v>
      </c>
      <c r="D5103" t="s">
        <v>5877</v>
      </c>
    </row>
    <row r="5104" spans="2:4" x14ac:dyDescent="0.35">
      <c r="B5104" s="9">
        <v>44916</v>
      </c>
      <c r="C5104" s="12">
        <v>95.1</v>
      </c>
      <c r="D5104" t="s">
        <v>5877</v>
      </c>
    </row>
    <row r="5105" spans="2:4" x14ac:dyDescent="0.35">
      <c r="B5105" s="9">
        <v>44917</v>
      </c>
      <c r="C5105" s="12">
        <v>130.30000000000001</v>
      </c>
      <c r="D5105" t="s">
        <v>5877</v>
      </c>
    </row>
    <row r="5106" spans="2:4" x14ac:dyDescent="0.35">
      <c r="B5106" s="9">
        <v>44918</v>
      </c>
      <c r="C5106" s="12">
        <v>128</v>
      </c>
      <c r="D5106" t="s">
        <v>5877</v>
      </c>
    </row>
    <row r="5107" spans="2:4" x14ac:dyDescent="0.35">
      <c r="B5107" s="9">
        <v>44919</v>
      </c>
      <c r="C5107" s="12">
        <v>104.9</v>
      </c>
      <c r="D5107" t="s">
        <v>5877</v>
      </c>
    </row>
    <row r="5108" spans="2:4" x14ac:dyDescent="0.35">
      <c r="B5108" s="9">
        <v>44920</v>
      </c>
      <c r="C5108" s="12">
        <v>93.5</v>
      </c>
      <c r="D5108" t="s">
        <v>5877</v>
      </c>
    </row>
    <row r="5109" spans="2:4" x14ac:dyDescent="0.35">
      <c r="B5109" s="9">
        <v>44921</v>
      </c>
      <c r="C5109" s="12">
        <v>129.30000000000001</v>
      </c>
      <c r="D5109" t="s">
        <v>5877</v>
      </c>
    </row>
    <row r="5110" spans="2:4" x14ac:dyDescent="0.35">
      <c r="B5110" s="9">
        <v>44922</v>
      </c>
      <c r="C5110" s="12">
        <v>103.7</v>
      </c>
      <c r="D5110" t="s">
        <v>5877</v>
      </c>
    </row>
    <row r="5111" spans="2:4" x14ac:dyDescent="0.35">
      <c r="B5111" s="9">
        <v>44923</v>
      </c>
      <c r="C5111" s="12">
        <v>107.7</v>
      </c>
      <c r="D5111" t="s">
        <v>5877</v>
      </c>
    </row>
    <row r="5112" spans="2:4" x14ac:dyDescent="0.35">
      <c r="B5112" s="9">
        <v>44924</v>
      </c>
      <c r="C5112" s="12">
        <v>156.19999999999999</v>
      </c>
      <c r="D5112" t="s">
        <v>5877</v>
      </c>
    </row>
    <row r="5113" spans="2:4" x14ac:dyDescent="0.35">
      <c r="B5113" s="9">
        <v>44925</v>
      </c>
      <c r="C5113" s="12">
        <v>202.7</v>
      </c>
      <c r="D5113" t="s">
        <v>5877</v>
      </c>
    </row>
    <row r="5114" spans="2:4" x14ac:dyDescent="0.35">
      <c r="B5114" s="9">
        <v>44926</v>
      </c>
      <c r="C5114" s="12">
        <v>174.3</v>
      </c>
      <c r="D5114" t="s">
        <v>5877</v>
      </c>
    </row>
    <row r="5115" spans="2:4" x14ac:dyDescent="0.35">
      <c r="B5115" s="9">
        <v>44927</v>
      </c>
      <c r="C5115" s="12">
        <v>155.80000000000001</v>
      </c>
      <c r="D5115" t="s">
        <v>5877</v>
      </c>
    </row>
    <row r="5116" spans="2:4" x14ac:dyDescent="0.35">
      <c r="B5116" s="9">
        <v>44928</v>
      </c>
      <c r="C5116" s="12">
        <v>180</v>
      </c>
      <c r="D5116" t="s">
        <v>5877</v>
      </c>
    </row>
    <row r="5117" spans="2:4" x14ac:dyDescent="0.35">
      <c r="B5117" s="9">
        <v>44929</v>
      </c>
      <c r="C5117" s="12">
        <v>137.19999999999999</v>
      </c>
      <c r="D5117" t="s">
        <v>5877</v>
      </c>
    </row>
    <row r="5118" spans="2:4" x14ac:dyDescent="0.35">
      <c r="B5118" s="9">
        <v>44930</v>
      </c>
      <c r="C5118" s="12">
        <v>102.5</v>
      </c>
      <c r="D5118" t="s">
        <v>5877</v>
      </c>
    </row>
    <row r="5119" spans="2:4" x14ac:dyDescent="0.35">
      <c r="B5119" s="9">
        <v>44931</v>
      </c>
      <c r="C5119" s="12">
        <v>109.1</v>
      </c>
      <c r="D5119" t="s">
        <v>5877</v>
      </c>
    </row>
    <row r="5120" spans="2:4" x14ac:dyDescent="0.35">
      <c r="B5120" s="9">
        <v>44932</v>
      </c>
      <c r="C5120" s="12">
        <v>104.3</v>
      </c>
      <c r="D5120" t="s">
        <v>5877</v>
      </c>
    </row>
    <row r="5121" spans="2:4" x14ac:dyDescent="0.35">
      <c r="B5121" s="9">
        <v>44933</v>
      </c>
      <c r="C5121" s="12">
        <v>89.1</v>
      </c>
      <c r="D5121" t="s">
        <v>5877</v>
      </c>
    </row>
    <row r="5122" spans="2:4" x14ac:dyDescent="0.35">
      <c r="B5122" s="9">
        <v>44934</v>
      </c>
      <c r="C5122" s="12">
        <v>132.5</v>
      </c>
      <c r="D5122" t="s">
        <v>5877</v>
      </c>
    </row>
    <row r="5123" spans="2:4" x14ac:dyDescent="0.35">
      <c r="B5123" s="9">
        <v>44935</v>
      </c>
      <c r="C5123" s="12">
        <v>119.1</v>
      </c>
      <c r="D5123" t="s">
        <v>5877</v>
      </c>
    </row>
    <row r="5124" spans="2:4" x14ac:dyDescent="0.35">
      <c r="B5124" s="9">
        <v>44936</v>
      </c>
      <c r="C5124" s="12">
        <v>96.7</v>
      </c>
      <c r="D5124" t="s">
        <v>5877</v>
      </c>
    </row>
    <row r="5125" spans="2:4" x14ac:dyDescent="0.35">
      <c r="B5125" s="9">
        <v>44937</v>
      </c>
      <c r="C5125" s="12">
        <v>126.5</v>
      </c>
      <c r="D5125" t="s">
        <v>5877</v>
      </c>
    </row>
    <row r="5126" spans="2:4" x14ac:dyDescent="0.35">
      <c r="B5126" s="9">
        <v>44938</v>
      </c>
      <c r="C5126" s="12">
        <v>132.5</v>
      </c>
      <c r="D5126" t="s">
        <v>5877</v>
      </c>
    </row>
    <row r="5127" spans="2:4" x14ac:dyDescent="0.35">
      <c r="B5127" s="9">
        <v>44939</v>
      </c>
      <c r="C5127" s="12">
        <v>100.6</v>
      </c>
      <c r="D5127" t="s">
        <v>5877</v>
      </c>
    </row>
    <row r="5128" spans="2:4" x14ac:dyDescent="0.35">
      <c r="B5128" s="9">
        <v>44940</v>
      </c>
      <c r="C5128" s="12">
        <v>83.5</v>
      </c>
      <c r="D5128" t="s">
        <v>5877</v>
      </c>
    </row>
    <row r="5129" spans="2:4" x14ac:dyDescent="0.35">
      <c r="B5129" s="9">
        <v>44941</v>
      </c>
      <c r="C5129" s="12">
        <v>116.1</v>
      </c>
      <c r="D5129" t="s">
        <v>5877</v>
      </c>
    </row>
    <row r="5130" spans="2:4" x14ac:dyDescent="0.35">
      <c r="B5130" s="9">
        <v>44942</v>
      </c>
      <c r="C5130" s="12">
        <v>105.8</v>
      </c>
      <c r="D5130" t="s">
        <v>5877</v>
      </c>
    </row>
    <row r="5131" spans="2:4" x14ac:dyDescent="0.35">
      <c r="B5131" s="9">
        <v>44943</v>
      </c>
      <c r="C5131" s="12">
        <v>86.3</v>
      </c>
      <c r="D5131" t="s">
        <v>5877</v>
      </c>
    </row>
    <row r="5132" spans="2:4" x14ac:dyDescent="0.35">
      <c r="B5132" s="9">
        <v>44944</v>
      </c>
      <c r="C5132" s="12">
        <v>100.2</v>
      </c>
      <c r="D5132" t="s">
        <v>5877</v>
      </c>
    </row>
    <row r="5133" spans="2:4" x14ac:dyDescent="0.35">
      <c r="B5133" s="9">
        <v>44945</v>
      </c>
      <c r="C5133" s="12">
        <v>80.599999999999994</v>
      </c>
      <c r="D5133" t="s">
        <v>5877</v>
      </c>
    </row>
    <row r="5134" spans="2:4" x14ac:dyDescent="0.35">
      <c r="B5134" s="9">
        <v>44946</v>
      </c>
      <c r="C5134" s="12">
        <v>72.3</v>
      </c>
      <c r="D5134" t="s">
        <v>5877</v>
      </c>
    </row>
    <row r="5135" spans="2:4" x14ac:dyDescent="0.35">
      <c r="B5135" s="9">
        <v>44947</v>
      </c>
      <c r="C5135" s="12">
        <v>118.7</v>
      </c>
      <c r="D5135" t="s">
        <v>5877</v>
      </c>
    </row>
    <row r="5136" spans="2:4" x14ac:dyDescent="0.35">
      <c r="B5136" s="9">
        <v>44948</v>
      </c>
      <c r="C5136" s="12">
        <v>109.9</v>
      </c>
      <c r="D5136" t="s">
        <v>5877</v>
      </c>
    </row>
    <row r="5137" spans="2:4" x14ac:dyDescent="0.35">
      <c r="B5137" s="9">
        <v>44949</v>
      </c>
      <c r="C5137" s="12">
        <v>90.4</v>
      </c>
      <c r="D5137" t="s">
        <v>5877</v>
      </c>
    </row>
    <row r="5138" spans="2:4" x14ac:dyDescent="0.35">
      <c r="B5138" s="9">
        <v>44950</v>
      </c>
      <c r="C5138" s="12">
        <v>99.7</v>
      </c>
      <c r="D5138" t="s">
        <v>5877</v>
      </c>
    </row>
    <row r="5139" spans="2:4" x14ac:dyDescent="0.35">
      <c r="B5139" s="9">
        <v>44951</v>
      </c>
      <c r="C5139" s="12">
        <v>142.69999999999999</v>
      </c>
      <c r="D5139" t="s">
        <v>5877</v>
      </c>
    </row>
    <row r="5140" spans="2:4" x14ac:dyDescent="0.35">
      <c r="B5140" s="9">
        <v>44952</v>
      </c>
      <c r="C5140" s="12">
        <v>141.1</v>
      </c>
      <c r="D5140" t="s">
        <v>5877</v>
      </c>
    </row>
    <row r="5141" spans="2:4" x14ac:dyDescent="0.35">
      <c r="B5141" s="9">
        <v>44953</v>
      </c>
      <c r="C5141" s="12">
        <v>104.9</v>
      </c>
      <c r="D5141" t="s">
        <v>5877</v>
      </c>
    </row>
    <row r="5142" spans="2:4" x14ac:dyDescent="0.35">
      <c r="B5142" s="9">
        <v>44954</v>
      </c>
      <c r="C5142" s="12">
        <v>89.3</v>
      </c>
      <c r="D5142" t="s">
        <v>5877</v>
      </c>
    </row>
    <row r="5143" spans="2:4" x14ac:dyDescent="0.35">
      <c r="B5143" s="9">
        <v>44955</v>
      </c>
      <c r="C5143" s="12">
        <v>110.4</v>
      </c>
      <c r="D5143" t="s">
        <v>5877</v>
      </c>
    </row>
    <row r="5144" spans="2:4" x14ac:dyDescent="0.35">
      <c r="B5144" s="9">
        <v>44956</v>
      </c>
      <c r="C5144" s="12">
        <v>105.4</v>
      </c>
      <c r="D5144" t="s">
        <v>5877</v>
      </c>
    </row>
    <row r="5145" spans="2:4" x14ac:dyDescent="0.35">
      <c r="B5145" s="9">
        <v>44957</v>
      </c>
      <c r="C5145" s="12">
        <v>157.4</v>
      </c>
      <c r="D5145" t="s">
        <v>5877</v>
      </c>
    </row>
    <row r="5146" spans="2:4" x14ac:dyDescent="0.35">
      <c r="B5146" s="9">
        <v>44958</v>
      </c>
      <c r="C5146" s="12">
        <v>165.8</v>
      </c>
      <c r="D5146" t="s">
        <v>5877</v>
      </c>
    </row>
    <row r="5147" spans="2:4" x14ac:dyDescent="0.35">
      <c r="B5147" s="9">
        <v>44959</v>
      </c>
      <c r="C5147" s="12">
        <v>125.3</v>
      </c>
      <c r="D5147" t="s">
        <v>5877</v>
      </c>
    </row>
    <row r="5148" spans="2:4" x14ac:dyDescent="0.35">
      <c r="B5148" s="9">
        <v>44960</v>
      </c>
      <c r="C5148" s="12">
        <v>101.9</v>
      </c>
      <c r="D5148" t="s">
        <v>5877</v>
      </c>
    </row>
    <row r="5149" spans="2:4" x14ac:dyDescent="0.35">
      <c r="B5149" s="9">
        <v>44961</v>
      </c>
      <c r="C5149" s="12">
        <v>113.8</v>
      </c>
      <c r="D5149" t="s">
        <v>5877</v>
      </c>
    </row>
    <row r="5150" spans="2:4" x14ac:dyDescent="0.35">
      <c r="B5150" s="9">
        <v>44962</v>
      </c>
      <c r="C5150" s="12">
        <v>119.1</v>
      </c>
      <c r="D5150" t="s">
        <v>5877</v>
      </c>
    </row>
    <row r="5151" spans="2:4" x14ac:dyDescent="0.35">
      <c r="B5151" s="9">
        <v>44963</v>
      </c>
      <c r="C5151" s="12">
        <v>93.3</v>
      </c>
      <c r="D5151" t="s">
        <v>5877</v>
      </c>
    </row>
    <row r="5152" spans="2:4" x14ac:dyDescent="0.35">
      <c r="B5152" s="9">
        <v>44964</v>
      </c>
      <c r="C5152" s="12">
        <v>79</v>
      </c>
      <c r="D5152" t="s">
        <v>5877</v>
      </c>
    </row>
    <row r="5153" spans="2:4" x14ac:dyDescent="0.35">
      <c r="B5153" s="9">
        <v>44965</v>
      </c>
      <c r="C5153" s="12">
        <v>93.6</v>
      </c>
      <c r="D5153" t="s">
        <v>5877</v>
      </c>
    </row>
    <row r="5154" spans="2:4" x14ac:dyDescent="0.35">
      <c r="B5154" s="9">
        <v>44966</v>
      </c>
      <c r="C5154" s="12">
        <v>112.1</v>
      </c>
      <c r="D5154" t="s">
        <v>5877</v>
      </c>
    </row>
    <row r="5155" spans="2:4" x14ac:dyDescent="0.35">
      <c r="B5155" s="9">
        <v>44967</v>
      </c>
      <c r="C5155" s="12">
        <v>90.5</v>
      </c>
      <c r="D5155" t="s">
        <v>5877</v>
      </c>
    </row>
    <row r="5156" spans="2:4" x14ac:dyDescent="0.35">
      <c r="B5156" s="9">
        <v>44968</v>
      </c>
      <c r="C5156" s="12">
        <v>78.099999999999994</v>
      </c>
      <c r="D5156" t="s">
        <v>5877</v>
      </c>
    </row>
    <row r="5157" spans="2:4" x14ac:dyDescent="0.35">
      <c r="B5157" s="9">
        <v>44969</v>
      </c>
      <c r="C5157" s="12">
        <v>110.8</v>
      </c>
      <c r="D5157" t="s">
        <v>5877</v>
      </c>
    </row>
    <row r="5158" spans="2:4" x14ac:dyDescent="0.35">
      <c r="B5158" s="9">
        <v>44970</v>
      </c>
      <c r="C5158" s="12">
        <v>107.7</v>
      </c>
      <c r="D5158" t="s">
        <v>5877</v>
      </c>
    </row>
    <row r="5159" spans="2:4" x14ac:dyDescent="0.35">
      <c r="B5159" s="9">
        <v>44971</v>
      </c>
      <c r="C5159" s="12">
        <v>89.6</v>
      </c>
      <c r="D5159" t="s">
        <v>5877</v>
      </c>
    </row>
    <row r="5160" spans="2:4" x14ac:dyDescent="0.35">
      <c r="B5160" s="9">
        <v>44972</v>
      </c>
      <c r="C5160" s="12">
        <v>93.8</v>
      </c>
      <c r="D5160" t="s">
        <v>5877</v>
      </c>
    </row>
    <row r="5161" spans="2:4" x14ac:dyDescent="0.35">
      <c r="B5161" s="9">
        <v>44973</v>
      </c>
      <c r="C5161" s="12">
        <v>109.8</v>
      </c>
      <c r="D5161" t="s">
        <v>5877</v>
      </c>
    </row>
    <row r="5162" spans="2:4" x14ac:dyDescent="0.35">
      <c r="B5162" s="9">
        <v>44974</v>
      </c>
      <c r="C5162" s="12">
        <v>92</v>
      </c>
      <c r="D5162" t="s">
        <v>5877</v>
      </c>
    </row>
    <row r="5163" spans="2:4" x14ac:dyDescent="0.35">
      <c r="B5163" s="9">
        <v>44975</v>
      </c>
      <c r="C5163" s="12">
        <v>80.8</v>
      </c>
      <c r="D5163" t="s">
        <v>5877</v>
      </c>
    </row>
    <row r="5164" spans="2:4" x14ac:dyDescent="0.35">
      <c r="B5164" s="9">
        <v>44976</v>
      </c>
      <c r="C5164" s="12">
        <v>136</v>
      </c>
      <c r="D5164" t="s">
        <v>5877</v>
      </c>
    </row>
    <row r="5165" spans="2:4" x14ac:dyDescent="0.35">
      <c r="B5165" s="9">
        <v>44977</v>
      </c>
      <c r="C5165" s="12">
        <v>142.1</v>
      </c>
      <c r="D5165" t="s">
        <v>5877</v>
      </c>
    </row>
    <row r="5166" spans="2:4" x14ac:dyDescent="0.35">
      <c r="B5166" s="9">
        <v>44978</v>
      </c>
      <c r="C5166" s="12">
        <v>137.80000000000001</v>
      </c>
      <c r="D5166" t="s">
        <v>5877</v>
      </c>
    </row>
    <row r="5167" spans="2:4" x14ac:dyDescent="0.35">
      <c r="B5167" s="9">
        <v>44979</v>
      </c>
      <c r="C5167" s="12">
        <v>157.30000000000001</v>
      </c>
      <c r="D5167" t="s">
        <v>5877</v>
      </c>
    </row>
    <row r="5168" spans="2:4" x14ac:dyDescent="0.35">
      <c r="B5168" s="9">
        <v>44980</v>
      </c>
      <c r="C5168" s="12">
        <v>161.4</v>
      </c>
      <c r="D5168" t="s">
        <v>5877</v>
      </c>
    </row>
    <row r="5169" spans="2:4" x14ac:dyDescent="0.35">
      <c r="B5169" s="9">
        <v>44981</v>
      </c>
      <c r="C5169" s="12">
        <v>150.6</v>
      </c>
      <c r="D5169" t="s">
        <v>5877</v>
      </c>
    </row>
    <row r="5170" spans="2:4" x14ac:dyDescent="0.35">
      <c r="B5170" s="9">
        <v>44982</v>
      </c>
      <c r="C5170" s="12">
        <v>110.8</v>
      </c>
      <c r="D5170" t="s">
        <v>5877</v>
      </c>
    </row>
    <row r="5171" spans="2:4" x14ac:dyDescent="0.35">
      <c r="B5171" s="9">
        <v>44983</v>
      </c>
      <c r="C5171" s="12">
        <v>105.4</v>
      </c>
      <c r="D5171" t="s">
        <v>5877</v>
      </c>
    </row>
    <row r="5172" spans="2:4" x14ac:dyDescent="0.35">
      <c r="B5172" s="9">
        <v>44984</v>
      </c>
      <c r="C5172" s="12">
        <v>103.1</v>
      </c>
      <c r="D5172" t="s">
        <v>5877</v>
      </c>
    </row>
    <row r="5173" spans="2:4" x14ac:dyDescent="0.35">
      <c r="B5173" s="9">
        <v>44985</v>
      </c>
      <c r="C5173" s="12">
        <v>109.8</v>
      </c>
      <c r="D5173" t="s">
        <v>5877</v>
      </c>
    </row>
    <row r="5174" spans="2:4" x14ac:dyDescent="0.35">
      <c r="B5174" s="9">
        <v>44986</v>
      </c>
      <c r="C5174" s="12">
        <v>89.7</v>
      </c>
      <c r="D5174" t="s">
        <v>5877</v>
      </c>
    </row>
    <row r="5175" spans="2:4" x14ac:dyDescent="0.35">
      <c r="B5175" s="9">
        <v>44987</v>
      </c>
      <c r="C5175" s="12">
        <v>111.6</v>
      </c>
      <c r="D5175" t="s">
        <v>5877</v>
      </c>
    </row>
    <row r="5176" spans="2:4" x14ac:dyDescent="0.35">
      <c r="B5176" s="9">
        <v>44988</v>
      </c>
      <c r="C5176" s="12">
        <v>108.3</v>
      </c>
      <c r="D5176" t="s">
        <v>5877</v>
      </c>
    </row>
    <row r="5177" spans="2:4" x14ac:dyDescent="0.35">
      <c r="B5177" s="9">
        <v>44989</v>
      </c>
      <c r="C5177" s="12">
        <v>88.7</v>
      </c>
      <c r="D5177" t="s">
        <v>5877</v>
      </c>
    </row>
    <row r="5178" spans="2:4" x14ac:dyDescent="0.35">
      <c r="B5178" s="9">
        <v>44990</v>
      </c>
      <c r="C5178" s="12">
        <v>102.2</v>
      </c>
      <c r="D5178" t="s">
        <v>5877</v>
      </c>
    </row>
    <row r="5179" spans="2:4" x14ac:dyDescent="0.35">
      <c r="B5179" s="9">
        <v>44991</v>
      </c>
      <c r="C5179" s="12">
        <v>114.9</v>
      </c>
      <c r="D5179" t="s">
        <v>5877</v>
      </c>
    </row>
    <row r="5180" spans="2:4" x14ac:dyDescent="0.35">
      <c r="B5180" s="9">
        <v>44992</v>
      </c>
      <c r="C5180" s="12">
        <v>107</v>
      </c>
      <c r="D5180" t="s">
        <v>5877</v>
      </c>
    </row>
    <row r="5181" spans="2:4" x14ac:dyDescent="0.35">
      <c r="B5181" s="9">
        <v>44993</v>
      </c>
      <c r="C5181" s="12">
        <v>152.5</v>
      </c>
      <c r="D5181" t="s">
        <v>5877</v>
      </c>
    </row>
    <row r="5182" spans="2:4" x14ac:dyDescent="0.35">
      <c r="B5182" s="9">
        <v>44994</v>
      </c>
      <c r="C5182" s="12">
        <v>143.9</v>
      </c>
      <c r="D5182" t="s">
        <v>5877</v>
      </c>
    </row>
    <row r="5183" spans="2:4" x14ac:dyDescent="0.35">
      <c r="B5183" s="9">
        <v>44995</v>
      </c>
      <c r="C5183" s="12">
        <v>162.30000000000001</v>
      </c>
      <c r="D5183" t="s">
        <v>5877</v>
      </c>
    </row>
    <row r="5184" spans="2:4" x14ac:dyDescent="0.35">
      <c r="B5184" s="9">
        <v>44996</v>
      </c>
      <c r="C5184" s="12">
        <v>119.7</v>
      </c>
      <c r="D5184" t="s">
        <v>5877</v>
      </c>
    </row>
    <row r="5185" spans="2:4" x14ac:dyDescent="0.35">
      <c r="B5185" s="9">
        <v>44997</v>
      </c>
      <c r="C5185" s="12">
        <v>99.4</v>
      </c>
      <c r="D5185" t="s">
        <v>5877</v>
      </c>
    </row>
    <row r="5186" spans="2:4" x14ac:dyDescent="0.35">
      <c r="B5186" s="9">
        <v>44998</v>
      </c>
      <c r="C5186" s="12">
        <v>112.9</v>
      </c>
      <c r="D5186" t="s">
        <v>5877</v>
      </c>
    </row>
    <row r="5187" spans="2:4" x14ac:dyDescent="0.35">
      <c r="B5187" s="9">
        <v>44999</v>
      </c>
      <c r="C5187" s="12">
        <v>136.30000000000001</v>
      </c>
      <c r="D5187" t="s">
        <v>5877</v>
      </c>
    </row>
    <row r="5188" spans="2:4" x14ac:dyDescent="0.35">
      <c r="B5188" s="9">
        <v>45000</v>
      </c>
      <c r="C5188" s="12">
        <v>124.2</v>
      </c>
      <c r="D5188" t="s">
        <v>5877</v>
      </c>
    </row>
    <row r="5189" spans="2:4" x14ac:dyDescent="0.35">
      <c r="B5189" s="9">
        <v>45001</v>
      </c>
      <c r="C5189" s="12">
        <v>127.3</v>
      </c>
      <c r="D5189" t="s">
        <v>5877</v>
      </c>
    </row>
    <row r="5190" spans="2:4" x14ac:dyDescent="0.35">
      <c r="B5190" s="9">
        <v>45002</v>
      </c>
      <c r="C5190" s="12">
        <v>164.6</v>
      </c>
      <c r="D5190" t="s">
        <v>5877</v>
      </c>
    </row>
    <row r="5191" spans="2:4" x14ac:dyDescent="0.35">
      <c r="B5191" s="9">
        <v>45003</v>
      </c>
      <c r="C5191" s="12">
        <v>120.7</v>
      </c>
      <c r="D5191" t="s">
        <v>5877</v>
      </c>
    </row>
    <row r="5192" spans="2:4" x14ac:dyDescent="0.35">
      <c r="B5192" s="9">
        <v>45004</v>
      </c>
      <c r="C5192" s="12">
        <v>93.9</v>
      </c>
      <c r="D5192" t="s">
        <v>5877</v>
      </c>
    </row>
  </sheetData>
  <autoFilter ref="C1:C5192"/>
  <pageMargins left="0.7" right="0.7" top="0.75" bottom="0.75" header="0.3" footer="0.3"/>
  <pageSetup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16"/>
  <sheetViews>
    <sheetView workbookViewId="0">
      <selection activeCell="C1" sqref="C1:C1048576"/>
    </sheetView>
  </sheetViews>
  <sheetFormatPr baseColWidth="10" defaultRowHeight="14.5" x14ac:dyDescent="0.35"/>
  <cols>
    <col min="1" max="1" width="28.26953125" bestFit="1" customWidth="1"/>
    <col min="2" max="2" width="2.81640625" bestFit="1" customWidth="1"/>
    <col min="3" max="3" width="5.81640625" style="5" bestFit="1" customWidth="1"/>
    <col min="4" max="4" width="2.81640625" bestFit="1" customWidth="1"/>
    <col min="5" max="5" width="11.81640625" bestFit="1" customWidth="1"/>
  </cols>
  <sheetData>
    <row r="1" spans="1:7" x14ac:dyDescent="0.35">
      <c r="A1" t="s">
        <v>5042</v>
      </c>
      <c r="C1" s="5" t="s">
        <v>5878</v>
      </c>
      <c r="E1" t="s">
        <v>5923</v>
      </c>
      <c r="F1" t="s">
        <v>5907</v>
      </c>
      <c r="G1" t="s">
        <v>5923</v>
      </c>
    </row>
    <row r="2" spans="1:7" x14ac:dyDescent="0.35">
      <c r="A2" s="9">
        <v>39814</v>
      </c>
      <c r="B2">
        <f>MONTH(A2)</f>
        <v>1</v>
      </c>
      <c r="C2" s="5">
        <v>125</v>
      </c>
      <c r="D2">
        <v>1</v>
      </c>
      <c r="E2">
        <f>AVERAGEIF(B$2:B$5114, D2, C$2:C$5114)</f>
        <v>207.22741935483876</v>
      </c>
      <c r="F2" t="s">
        <v>5905</v>
      </c>
      <c r="G2">
        <v>207.22741935483876</v>
      </c>
    </row>
    <row r="3" spans="1:7" x14ac:dyDescent="0.35">
      <c r="A3" s="9">
        <v>39815</v>
      </c>
      <c r="B3">
        <f>MONTH(A3)</f>
        <v>1</v>
      </c>
      <c r="C3" s="5">
        <v>125.1</v>
      </c>
      <c r="D3">
        <v>2</v>
      </c>
      <c r="E3">
        <f t="shared" ref="E3:E13" si="0">AVERAGEIF(B$2:B$5114, D3, C$2:C$5114)</f>
        <v>184.00987341772176</v>
      </c>
      <c r="F3" t="s">
        <v>5920</v>
      </c>
      <c r="G3">
        <v>184.00987341772176</v>
      </c>
    </row>
    <row r="4" spans="1:7" x14ac:dyDescent="0.35">
      <c r="A4" s="9">
        <v>39816</v>
      </c>
      <c r="B4">
        <f t="shared" ref="B4:B67" si="1">MONTH(A4)</f>
        <v>1</v>
      </c>
      <c r="C4" s="5">
        <v>127.7</v>
      </c>
      <c r="D4">
        <v>3</v>
      </c>
      <c r="E4">
        <f t="shared" si="0"/>
        <v>209.03433179723496</v>
      </c>
      <c r="F4" t="s">
        <v>5903</v>
      </c>
      <c r="G4">
        <v>200.03433179723501</v>
      </c>
    </row>
    <row r="5" spans="1:7" x14ac:dyDescent="0.35">
      <c r="A5" s="9">
        <v>39817</v>
      </c>
      <c r="B5">
        <f t="shared" si="1"/>
        <v>1</v>
      </c>
      <c r="C5" s="5">
        <v>134</v>
      </c>
      <c r="D5">
        <v>4</v>
      </c>
      <c r="E5">
        <f t="shared" si="0"/>
        <v>210.07547619047622</v>
      </c>
      <c r="F5" t="s">
        <v>5902</v>
      </c>
      <c r="G5">
        <v>210.07547619047622</v>
      </c>
    </row>
    <row r="6" spans="1:7" x14ac:dyDescent="0.35">
      <c r="A6" s="9">
        <v>39818</v>
      </c>
      <c r="B6">
        <f t="shared" si="1"/>
        <v>1</v>
      </c>
      <c r="C6" s="5">
        <v>143.5</v>
      </c>
      <c r="D6">
        <v>5</v>
      </c>
      <c r="E6">
        <f t="shared" si="0"/>
        <v>170.20115207373277</v>
      </c>
      <c r="F6" t="s">
        <v>5901</v>
      </c>
      <c r="G6">
        <v>170.20115207373277</v>
      </c>
    </row>
    <row r="7" spans="1:7" x14ac:dyDescent="0.35">
      <c r="A7" s="9">
        <v>39819</v>
      </c>
      <c r="B7">
        <f t="shared" si="1"/>
        <v>1</v>
      </c>
      <c r="C7" s="5">
        <v>151.19999999999999</v>
      </c>
      <c r="D7">
        <v>6</v>
      </c>
      <c r="E7">
        <f t="shared" si="0"/>
        <v>90.211190476190453</v>
      </c>
      <c r="F7" t="s">
        <v>5900</v>
      </c>
      <c r="G7">
        <v>90.211190476190453</v>
      </c>
    </row>
    <row r="8" spans="1:7" x14ac:dyDescent="0.35">
      <c r="A8" s="9">
        <v>39820</v>
      </c>
      <c r="B8">
        <f t="shared" si="1"/>
        <v>1</v>
      </c>
      <c r="C8" s="5">
        <v>156.69999999999999</v>
      </c>
      <c r="D8">
        <v>7</v>
      </c>
      <c r="E8">
        <f t="shared" si="0"/>
        <v>63.456912442396309</v>
      </c>
      <c r="F8" t="s">
        <v>5899</v>
      </c>
      <c r="G8">
        <v>63.456912442396309</v>
      </c>
    </row>
    <row r="9" spans="1:7" x14ac:dyDescent="0.35">
      <c r="A9" s="9">
        <v>39821</v>
      </c>
      <c r="B9">
        <f t="shared" si="1"/>
        <v>1</v>
      </c>
      <c r="C9" s="5">
        <v>156.80000000000001</v>
      </c>
      <c r="D9">
        <v>8</v>
      </c>
      <c r="E9">
        <f t="shared" si="0"/>
        <v>83.158064516129045</v>
      </c>
      <c r="F9" t="s">
        <v>5921</v>
      </c>
      <c r="G9">
        <v>83.158064516129045</v>
      </c>
    </row>
    <row r="10" spans="1:7" x14ac:dyDescent="0.35">
      <c r="A10" s="9">
        <v>39822</v>
      </c>
      <c r="B10">
        <f t="shared" si="1"/>
        <v>1</v>
      </c>
      <c r="C10" s="5">
        <v>154.9</v>
      </c>
      <c r="D10">
        <v>9</v>
      </c>
      <c r="E10">
        <f t="shared" si="0"/>
        <v>144.65690476190488</v>
      </c>
      <c r="F10" t="s">
        <v>5897</v>
      </c>
      <c r="G10">
        <v>144.65690476190488</v>
      </c>
    </row>
    <row r="11" spans="1:7" x14ac:dyDescent="0.35">
      <c r="A11" s="9">
        <v>39823</v>
      </c>
      <c r="B11">
        <f t="shared" si="1"/>
        <v>1</v>
      </c>
      <c r="C11" s="5">
        <v>158.6</v>
      </c>
      <c r="D11">
        <v>10</v>
      </c>
      <c r="E11">
        <f t="shared" si="0"/>
        <v>197.88133640552988</v>
      </c>
      <c r="F11" t="s">
        <v>5896</v>
      </c>
      <c r="G11">
        <v>197.88133640552988</v>
      </c>
    </row>
    <row r="12" spans="1:7" x14ac:dyDescent="0.35">
      <c r="A12" s="9">
        <v>39824</v>
      </c>
      <c r="B12">
        <f t="shared" si="1"/>
        <v>1</v>
      </c>
      <c r="C12" s="5">
        <v>175</v>
      </c>
      <c r="D12">
        <v>11</v>
      </c>
      <c r="E12">
        <f t="shared" si="0"/>
        <v>223.79928571428556</v>
      </c>
      <c r="F12" t="s">
        <v>5895</v>
      </c>
      <c r="G12">
        <v>228.79928571428599</v>
      </c>
    </row>
    <row r="13" spans="1:7" x14ac:dyDescent="0.35">
      <c r="A13" s="9">
        <v>39825</v>
      </c>
      <c r="B13">
        <f t="shared" si="1"/>
        <v>1</v>
      </c>
      <c r="C13" s="5">
        <v>199.8</v>
      </c>
      <c r="D13">
        <v>12</v>
      </c>
      <c r="E13">
        <f t="shared" si="0"/>
        <v>234.77672811059907</v>
      </c>
      <c r="F13" t="s">
        <v>5922</v>
      </c>
      <c r="G13">
        <v>227.77672811059901</v>
      </c>
    </row>
    <row r="14" spans="1:7" x14ac:dyDescent="0.35">
      <c r="A14" s="9">
        <v>39826</v>
      </c>
      <c r="B14">
        <f t="shared" si="1"/>
        <v>1</v>
      </c>
      <c r="C14" s="5">
        <v>218.5</v>
      </c>
    </row>
    <row r="15" spans="1:7" x14ac:dyDescent="0.35">
      <c r="A15" s="9">
        <v>39827</v>
      </c>
      <c r="B15">
        <f t="shared" si="1"/>
        <v>1</v>
      </c>
      <c r="C15" s="5">
        <v>218.3</v>
      </c>
    </row>
    <row r="16" spans="1:7" x14ac:dyDescent="0.35">
      <c r="A16" s="9">
        <v>39828</v>
      </c>
      <c r="B16">
        <f t="shared" si="1"/>
        <v>1</v>
      </c>
      <c r="C16" s="5">
        <v>203.8</v>
      </c>
    </row>
    <row r="17" spans="1:3" x14ac:dyDescent="0.35">
      <c r="A17" s="9">
        <v>39829</v>
      </c>
      <c r="B17">
        <f t="shared" si="1"/>
        <v>1</v>
      </c>
      <c r="C17" s="5">
        <v>188.2</v>
      </c>
    </row>
    <row r="18" spans="1:3" x14ac:dyDescent="0.35">
      <c r="A18" s="9">
        <v>39830</v>
      </c>
      <c r="B18">
        <f t="shared" si="1"/>
        <v>1</v>
      </c>
      <c r="C18" s="5">
        <v>185</v>
      </c>
    </row>
    <row r="19" spans="1:3" x14ac:dyDescent="0.35">
      <c r="A19" s="9">
        <v>39831</v>
      </c>
      <c r="B19">
        <f t="shared" si="1"/>
        <v>1</v>
      </c>
      <c r="C19" s="5">
        <v>194.9</v>
      </c>
    </row>
    <row r="20" spans="1:3" x14ac:dyDescent="0.35">
      <c r="A20" s="9">
        <v>39832</v>
      </c>
      <c r="B20">
        <f t="shared" si="1"/>
        <v>1</v>
      </c>
      <c r="C20" s="5">
        <v>207.1</v>
      </c>
    </row>
    <row r="21" spans="1:3" x14ac:dyDescent="0.35">
      <c r="A21" s="9">
        <v>39833</v>
      </c>
      <c r="B21">
        <f t="shared" si="1"/>
        <v>1</v>
      </c>
      <c r="C21" s="5">
        <v>209.6</v>
      </c>
    </row>
    <row r="22" spans="1:3" x14ac:dyDescent="0.35">
      <c r="A22" s="9">
        <v>39834</v>
      </c>
      <c r="B22">
        <f t="shared" si="1"/>
        <v>1</v>
      </c>
      <c r="C22" s="5">
        <v>207.8</v>
      </c>
    </row>
    <row r="23" spans="1:3" x14ac:dyDescent="0.35">
      <c r="A23" s="9">
        <v>39835</v>
      </c>
      <c r="B23">
        <f t="shared" si="1"/>
        <v>1</v>
      </c>
      <c r="C23" s="5">
        <v>205.4</v>
      </c>
    </row>
    <row r="24" spans="1:3" x14ac:dyDescent="0.35">
      <c r="A24" s="9">
        <v>39836</v>
      </c>
      <c r="B24">
        <f t="shared" si="1"/>
        <v>1</v>
      </c>
      <c r="C24" s="5">
        <v>205.5</v>
      </c>
    </row>
    <row r="25" spans="1:3" x14ac:dyDescent="0.35">
      <c r="A25" s="9">
        <v>39837</v>
      </c>
      <c r="B25">
        <f t="shared" si="1"/>
        <v>1</v>
      </c>
      <c r="C25" s="5">
        <v>206.9</v>
      </c>
    </row>
    <row r="26" spans="1:3" x14ac:dyDescent="0.35">
      <c r="A26" s="9">
        <v>39838</v>
      </c>
      <c r="B26">
        <f t="shared" si="1"/>
        <v>1</v>
      </c>
      <c r="C26" s="5">
        <v>205.7</v>
      </c>
    </row>
    <row r="27" spans="1:3" x14ac:dyDescent="0.35">
      <c r="A27" s="9">
        <v>39839</v>
      </c>
      <c r="B27">
        <f t="shared" si="1"/>
        <v>1</v>
      </c>
      <c r="C27" s="5">
        <v>201.7</v>
      </c>
    </row>
    <row r="28" spans="1:3" x14ac:dyDescent="0.35">
      <c r="A28" s="9">
        <v>39840</v>
      </c>
      <c r="B28">
        <f t="shared" si="1"/>
        <v>1</v>
      </c>
      <c r="C28" s="5">
        <v>197.3</v>
      </c>
    </row>
    <row r="29" spans="1:3" x14ac:dyDescent="0.35">
      <c r="A29" s="9">
        <v>39841</v>
      </c>
      <c r="B29">
        <f t="shared" si="1"/>
        <v>1</v>
      </c>
      <c r="C29" s="5">
        <v>198.7</v>
      </c>
    </row>
    <row r="30" spans="1:3" x14ac:dyDescent="0.35">
      <c r="A30" s="9">
        <v>39842</v>
      </c>
      <c r="B30">
        <f t="shared" si="1"/>
        <v>1</v>
      </c>
      <c r="C30" s="5">
        <v>209.5</v>
      </c>
    </row>
    <row r="31" spans="1:3" x14ac:dyDescent="0.35">
      <c r="A31" s="9">
        <v>39843</v>
      </c>
      <c r="B31">
        <f t="shared" si="1"/>
        <v>1</v>
      </c>
      <c r="C31" s="5">
        <v>222.9</v>
      </c>
    </row>
    <row r="32" spans="1:3" x14ac:dyDescent="0.35">
      <c r="A32" s="9">
        <v>39844</v>
      </c>
      <c r="B32">
        <f t="shared" si="1"/>
        <v>1</v>
      </c>
      <c r="C32" s="5">
        <v>234.7</v>
      </c>
    </row>
    <row r="33" spans="1:3" x14ac:dyDescent="0.35">
      <c r="A33" s="9">
        <v>39845</v>
      </c>
      <c r="B33">
        <f t="shared" si="1"/>
        <v>2</v>
      </c>
      <c r="C33" s="5">
        <v>235.4</v>
      </c>
    </row>
    <row r="34" spans="1:3" x14ac:dyDescent="0.35">
      <c r="A34" s="9">
        <v>39846</v>
      </c>
      <c r="B34">
        <f t="shared" si="1"/>
        <v>2</v>
      </c>
      <c r="C34" s="5">
        <v>212.8</v>
      </c>
    </row>
    <row r="35" spans="1:3" x14ac:dyDescent="0.35">
      <c r="A35" s="9">
        <v>39847</v>
      </c>
      <c r="B35">
        <f t="shared" si="1"/>
        <v>2</v>
      </c>
      <c r="C35" s="5">
        <v>208.1</v>
      </c>
    </row>
    <row r="36" spans="1:3" x14ac:dyDescent="0.35">
      <c r="A36" s="9">
        <v>39848</v>
      </c>
      <c r="B36">
        <f t="shared" si="1"/>
        <v>2</v>
      </c>
      <c r="C36" s="5">
        <v>204.6</v>
      </c>
    </row>
    <row r="37" spans="1:3" x14ac:dyDescent="0.35">
      <c r="A37" s="9">
        <v>39849</v>
      </c>
      <c r="B37">
        <f t="shared" si="1"/>
        <v>2</v>
      </c>
      <c r="C37" s="5">
        <v>203.7</v>
      </c>
    </row>
    <row r="38" spans="1:3" x14ac:dyDescent="0.35">
      <c r="A38" s="9">
        <v>39850</v>
      </c>
      <c r="B38">
        <f t="shared" si="1"/>
        <v>2</v>
      </c>
      <c r="C38" s="5">
        <v>197</v>
      </c>
    </row>
    <row r="39" spans="1:3" x14ac:dyDescent="0.35">
      <c r="A39" s="9">
        <v>39851</v>
      </c>
      <c r="B39">
        <f t="shared" si="1"/>
        <v>2</v>
      </c>
      <c r="C39" s="5">
        <v>187.8</v>
      </c>
    </row>
    <row r="40" spans="1:3" x14ac:dyDescent="0.35">
      <c r="A40" s="9">
        <v>39852</v>
      </c>
      <c r="B40">
        <f t="shared" si="1"/>
        <v>2</v>
      </c>
      <c r="C40" s="5">
        <v>180.7</v>
      </c>
    </row>
    <row r="41" spans="1:3" x14ac:dyDescent="0.35">
      <c r="A41" s="9">
        <v>39853</v>
      </c>
      <c r="B41">
        <f t="shared" si="1"/>
        <v>2</v>
      </c>
      <c r="C41" s="5">
        <v>180.9</v>
      </c>
    </row>
    <row r="42" spans="1:3" x14ac:dyDescent="0.35">
      <c r="A42" s="9">
        <v>39854</v>
      </c>
      <c r="B42">
        <f t="shared" si="1"/>
        <v>2</v>
      </c>
      <c r="C42" s="5">
        <v>183.3</v>
      </c>
    </row>
    <row r="43" spans="1:3" x14ac:dyDescent="0.35">
      <c r="A43" s="9">
        <v>39855</v>
      </c>
      <c r="B43">
        <f t="shared" si="1"/>
        <v>2</v>
      </c>
      <c r="C43" s="5">
        <v>181.2</v>
      </c>
    </row>
    <row r="44" spans="1:3" x14ac:dyDescent="0.35">
      <c r="A44" s="9">
        <v>39856</v>
      </c>
      <c r="B44">
        <f t="shared" si="1"/>
        <v>2</v>
      </c>
      <c r="C44" s="5">
        <v>169.8</v>
      </c>
    </row>
    <row r="45" spans="1:3" x14ac:dyDescent="0.35">
      <c r="A45" s="9">
        <v>39857</v>
      </c>
      <c r="B45">
        <f t="shared" si="1"/>
        <v>2</v>
      </c>
      <c r="C45" s="5">
        <v>158.30000000000001</v>
      </c>
    </row>
    <row r="46" spans="1:3" x14ac:dyDescent="0.35">
      <c r="A46" s="9">
        <v>39858</v>
      </c>
      <c r="B46">
        <f t="shared" si="1"/>
        <v>2</v>
      </c>
      <c r="C46" s="5">
        <v>156.1</v>
      </c>
    </row>
    <row r="47" spans="1:3" x14ac:dyDescent="0.35">
      <c r="A47" s="9">
        <v>39859</v>
      </c>
      <c r="B47">
        <f t="shared" si="1"/>
        <v>2</v>
      </c>
      <c r="C47" s="5">
        <v>162.80000000000001</v>
      </c>
    </row>
    <row r="48" spans="1:3" x14ac:dyDescent="0.35">
      <c r="A48" s="9">
        <v>39860</v>
      </c>
      <c r="B48">
        <f t="shared" si="1"/>
        <v>2</v>
      </c>
      <c r="C48" s="5">
        <v>167.2</v>
      </c>
    </row>
    <row r="49" spans="1:3" x14ac:dyDescent="0.35">
      <c r="A49" s="9">
        <v>39861</v>
      </c>
      <c r="B49">
        <f t="shared" si="1"/>
        <v>2</v>
      </c>
      <c r="C49" s="5">
        <v>166.4</v>
      </c>
    </row>
    <row r="50" spans="1:3" x14ac:dyDescent="0.35">
      <c r="A50" s="9">
        <v>39862</v>
      </c>
      <c r="B50">
        <f t="shared" si="1"/>
        <v>2</v>
      </c>
      <c r="C50" s="5">
        <v>164.5</v>
      </c>
    </row>
    <row r="51" spans="1:3" x14ac:dyDescent="0.35">
      <c r="A51" s="9">
        <v>39863</v>
      </c>
      <c r="B51">
        <f t="shared" si="1"/>
        <v>2</v>
      </c>
      <c r="C51" s="5">
        <v>163</v>
      </c>
    </row>
    <row r="52" spans="1:3" x14ac:dyDescent="0.35">
      <c r="A52" s="9">
        <v>39864</v>
      </c>
      <c r="B52">
        <f t="shared" si="1"/>
        <v>2</v>
      </c>
      <c r="C52" s="5">
        <v>160.1</v>
      </c>
    </row>
    <row r="53" spans="1:3" x14ac:dyDescent="0.35">
      <c r="A53" s="9">
        <v>39865</v>
      </c>
      <c r="B53">
        <f t="shared" si="1"/>
        <v>2</v>
      </c>
      <c r="C53" s="5">
        <v>161.9</v>
      </c>
    </row>
    <row r="54" spans="1:3" x14ac:dyDescent="0.35">
      <c r="A54" s="9">
        <v>39866</v>
      </c>
      <c r="B54">
        <f t="shared" si="1"/>
        <v>2</v>
      </c>
      <c r="C54" s="5">
        <v>170.8</v>
      </c>
    </row>
    <row r="55" spans="1:3" x14ac:dyDescent="0.35">
      <c r="A55" s="9">
        <v>39867</v>
      </c>
      <c r="B55">
        <f t="shared" si="1"/>
        <v>2</v>
      </c>
      <c r="C55" s="5">
        <v>182.8</v>
      </c>
    </row>
    <row r="56" spans="1:3" x14ac:dyDescent="0.35">
      <c r="A56" s="9">
        <v>39868</v>
      </c>
      <c r="B56">
        <f t="shared" si="1"/>
        <v>2</v>
      </c>
      <c r="C56" s="5">
        <v>193.2</v>
      </c>
    </row>
    <row r="57" spans="1:3" x14ac:dyDescent="0.35">
      <c r="A57" s="9">
        <v>39869</v>
      </c>
      <c r="B57">
        <f t="shared" si="1"/>
        <v>2</v>
      </c>
      <c r="C57" s="5">
        <v>193.4</v>
      </c>
    </row>
    <row r="58" spans="1:3" x14ac:dyDescent="0.35">
      <c r="A58" s="9">
        <v>39870</v>
      </c>
      <c r="B58">
        <f t="shared" si="1"/>
        <v>2</v>
      </c>
      <c r="C58" s="5">
        <v>182.3</v>
      </c>
    </row>
    <row r="59" spans="1:3" x14ac:dyDescent="0.35">
      <c r="A59" s="9">
        <v>39871</v>
      </c>
      <c r="B59">
        <f t="shared" si="1"/>
        <v>2</v>
      </c>
      <c r="C59" s="5">
        <v>173.4</v>
      </c>
    </row>
    <row r="60" spans="1:3" x14ac:dyDescent="0.35">
      <c r="A60" s="9">
        <v>39872</v>
      </c>
      <c r="B60">
        <f t="shared" si="1"/>
        <v>2</v>
      </c>
      <c r="C60" s="5">
        <v>172.5</v>
      </c>
    </row>
    <row r="61" spans="1:3" x14ac:dyDescent="0.35">
      <c r="A61" s="9">
        <v>39873</v>
      </c>
      <c r="B61">
        <f t="shared" si="1"/>
        <v>3</v>
      </c>
      <c r="C61" s="5">
        <v>174.8</v>
      </c>
    </row>
    <row r="62" spans="1:3" x14ac:dyDescent="0.35">
      <c r="A62" s="9">
        <v>39874</v>
      </c>
      <c r="B62">
        <f t="shared" si="1"/>
        <v>3</v>
      </c>
      <c r="C62" s="5">
        <v>184.2</v>
      </c>
    </row>
    <row r="63" spans="1:3" x14ac:dyDescent="0.35">
      <c r="A63" s="9">
        <v>39875</v>
      </c>
      <c r="B63">
        <f t="shared" si="1"/>
        <v>3</v>
      </c>
      <c r="C63" s="5">
        <v>185.5</v>
      </c>
    </row>
    <row r="64" spans="1:3" x14ac:dyDescent="0.35">
      <c r="A64" s="9">
        <v>39876</v>
      </c>
      <c r="B64">
        <f t="shared" si="1"/>
        <v>3</v>
      </c>
      <c r="C64" s="5">
        <v>194.2</v>
      </c>
    </row>
    <row r="65" spans="1:3" x14ac:dyDescent="0.35">
      <c r="A65" s="9">
        <v>39877</v>
      </c>
      <c r="B65">
        <f t="shared" si="1"/>
        <v>3</v>
      </c>
      <c r="C65" s="5">
        <v>209.6</v>
      </c>
    </row>
    <row r="66" spans="1:3" x14ac:dyDescent="0.35">
      <c r="A66" s="9">
        <v>39878</v>
      </c>
      <c r="B66">
        <f t="shared" si="1"/>
        <v>3</v>
      </c>
      <c r="C66" s="5">
        <v>230.2</v>
      </c>
    </row>
    <row r="67" spans="1:3" x14ac:dyDescent="0.35">
      <c r="A67" s="9">
        <v>39879</v>
      </c>
      <c r="B67">
        <f t="shared" si="1"/>
        <v>3</v>
      </c>
      <c r="C67" s="5">
        <v>242.5</v>
      </c>
    </row>
    <row r="68" spans="1:3" x14ac:dyDescent="0.35">
      <c r="A68" s="9">
        <v>39880</v>
      </c>
      <c r="B68">
        <f t="shared" ref="B68:B131" si="2">MONTH(A68)</f>
        <v>3</v>
      </c>
      <c r="C68" s="5">
        <v>242.2</v>
      </c>
    </row>
    <row r="69" spans="1:3" x14ac:dyDescent="0.35">
      <c r="A69" s="9">
        <v>39881</v>
      </c>
      <c r="B69">
        <f t="shared" si="2"/>
        <v>3</v>
      </c>
      <c r="C69" s="5">
        <v>228.2</v>
      </c>
    </row>
    <row r="70" spans="1:3" x14ac:dyDescent="0.35">
      <c r="A70" s="9">
        <v>39882</v>
      </c>
      <c r="B70">
        <f t="shared" si="2"/>
        <v>3</v>
      </c>
      <c r="C70" s="5">
        <v>203.9</v>
      </c>
    </row>
    <row r="71" spans="1:3" x14ac:dyDescent="0.35">
      <c r="A71" s="9">
        <v>39883</v>
      </c>
      <c r="B71">
        <f t="shared" si="2"/>
        <v>3</v>
      </c>
      <c r="C71" s="5">
        <v>182.4</v>
      </c>
    </row>
    <row r="72" spans="1:3" x14ac:dyDescent="0.35">
      <c r="A72" s="9">
        <v>39884</v>
      </c>
      <c r="B72">
        <f t="shared" si="2"/>
        <v>3</v>
      </c>
      <c r="C72" s="5">
        <v>171.7</v>
      </c>
    </row>
    <row r="73" spans="1:3" x14ac:dyDescent="0.35">
      <c r="A73" s="9">
        <v>39885</v>
      </c>
      <c r="B73">
        <f t="shared" si="2"/>
        <v>3</v>
      </c>
      <c r="C73" s="5">
        <v>180.9</v>
      </c>
    </row>
    <row r="74" spans="1:3" x14ac:dyDescent="0.35">
      <c r="A74" s="9">
        <v>39886</v>
      </c>
      <c r="B74">
        <f t="shared" si="2"/>
        <v>3</v>
      </c>
      <c r="C74" s="5">
        <v>201.8</v>
      </c>
    </row>
    <row r="75" spans="1:3" x14ac:dyDescent="0.35">
      <c r="A75" s="9">
        <v>39887</v>
      </c>
      <c r="B75">
        <f t="shared" si="2"/>
        <v>3</v>
      </c>
      <c r="C75" s="5">
        <v>219.6</v>
      </c>
    </row>
    <row r="76" spans="1:3" x14ac:dyDescent="0.35">
      <c r="A76" s="9">
        <v>39888</v>
      </c>
      <c r="B76">
        <f t="shared" si="2"/>
        <v>3</v>
      </c>
      <c r="C76" s="5">
        <v>221.4</v>
      </c>
    </row>
    <row r="77" spans="1:3" x14ac:dyDescent="0.35">
      <c r="A77" s="9">
        <v>39889</v>
      </c>
      <c r="B77">
        <f t="shared" si="2"/>
        <v>3</v>
      </c>
      <c r="C77" s="5">
        <v>212.9</v>
      </c>
    </row>
    <row r="78" spans="1:3" x14ac:dyDescent="0.35">
      <c r="A78" s="9">
        <v>39890</v>
      </c>
      <c r="B78">
        <f t="shared" si="2"/>
        <v>3</v>
      </c>
      <c r="C78" s="5">
        <v>196.9</v>
      </c>
    </row>
    <row r="79" spans="1:3" x14ac:dyDescent="0.35">
      <c r="A79" s="9">
        <v>39891</v>
      </c>
      <c r="B79">
        <f t="shared" si="2"/>
        <v>3</v>
      </c>
      <c r="C79" s="5">
        <v>181.2</v>
      </c>
    </row>
    <row r="80" spans="1:3" x14ac:dyDescent="0.35">
      <c r="A80" s="9">
        <v>39892</v>
      </c>
      <c r="B80">
        <f t="shared" si="2"/>
        <v>3</v>
      </c>
      <c r="C80" s="5">
        <v>180</v>
      </c>
    </row>
    <row r="81" spans="1:3" x14ac:dyDescent="0.35">
      <c r="A81" s="9">
        <v>39893</v>
      </c>
      <c r="B81">
        <f t="shared" si="2"/>
        <v>3</v>
      </c>
      <c r="C81" s="5">
        <v>193.5</v>
      </c>
    </row>
    <row r="82" spans="1:3" x14ac:dyDescent="0.35">
      <c r="A82" s="9">
        <v>39894</v>
      </c>
      <c r="B82">
        <f t="shared" si="2"/>
        <v>3</v>
      </c>
      <c r="C82" s="5">
        <v>212.8</v>
      </c>
    </row>
    <row r="83" spans="1:3" x14ac:dyDescent="0.35">
      <c r="A83" s="9">
        <v>39895</v>
      </c>
      <c r="B83">
        <f t="shared" si="2"/>
        <v>3</v>
      </c>
      <c r="C83" s="5">
        <v>223.6</v>
      </c>
    </row>
    <row r="84" spans="1:3" x14ac:dyDescent="0.35">
      <c r="A84" s="9">
        <v>39896</v>
      </c>
      <c r="B84">
        <f t="shared" si="2"/>
        <v>3</v>
      </c>
      <c r="C84" s="5">
        <v>226.1</v>
      </c>
    </row>
    <row r="85" spans="1:3" x14ac:dyDescent="0.35">
      <c r="A85" s="9">
        <v>39897</v>
      </c>
      <c r="B85">
        <f t="shared" si="2"/>
        <v>3</v>
      </c>
      <c r="C85" s="5">
        <v>219.4</v>
      </c>
    </row>
    <row r="86" spans="1:3" x14ac:dyDescent="0.35">
      <c r="A86" s="9">
        <v>39898</v>
      </c>
      <c r="B86">
        <f t="shared" si="2"/>
        <v>3</v>
      </c>
      <c r="C86" s="5">
        <v>207</v>
      </c>
    </row>
    <row r="87" spans="1:3" x14ac:dyDescent="0.35">
      <c r="A87" s="9">
        <v>39899</v>
      </c>
      <c r="B87">
        <f t="shared" si="2"/>
        <v>3</v>
      </c>
      <c r="C87" s="5">
        <v>198.6</v>
      </c>
    </row>
    <row r="88" spans="1:3" x14ac:dyDescent="0.35">
      <c r="A88" s="9">
        <v>39900</v>
      </c>
      <c r="B88">
        <f t="shared" si="2"/>
        <v>3</v>
      </c>
      <c r="C88" s="5">
        <v>195</v>
      </c>
    </row>
    <row r="89" spans="1:3" x14ac:dyDescent="0.35">
      <c r="A89" s="9">
        <v>39901</v>
      </c>
      <c r="B89">
        <f t="shared" si="2"/>
        <v>3</v>
      </c>
      <c r="C89" s="5">
        <v>198.3</v>
      </c>
    </row>
    <row r="90" spans="1:3" x14ac:dyDescent="0.35">
      <c r="A90" s="9">
        <v>39902</v>
      </c>
      <c r="B90">
        <f t="shared" si="2"/>
        <v>3</v>
      </c>
      <c r="C90" s="5">
        <v>219.7</v>
      </c>
    </row>
    <row r="91" spans="1:3" x14ac:dyDescent="0.35">
      <c r="A91" s="9">
        <v>39903</v>
      </c>
      <c r="B91">
        <f t="shared" si="2"/>
        <v>3</v>
      </c>
      <c r="C91" s="5">
        <v>254.1</v>
      </c>
    </row>
    <row r="92" spans="1:3" x14ac:dyDescent="0.35">
      <c r="A92" s="9">
        <v>39904</v>
      </c>
      <c r="B92">
        <f t="shared" si="2"/>
        <v>4</v>
      </c>
      <c r="C92" s="5">
        <v>289.3</v>
      </c>
    </row>
    <row r="93" spans="1:3" x14ac:dyDescent="0.35">
      <c r="A93" s="9">
        <v>39905</v>
      </c>
      <c r="B93">
        <f t="shared" si="2"/>
        <v>4</v>
      </c>
      <c r="C93" s="5">
        <v>311.5</v>
      </c>
    </row>
    <row r="94" spans="1:3" x14ac:dyDescent="0.35">
      <c r="A94" s="9">
        <v>39906</v>
      </c>
      <c r="B94">
        <f t="shared" si="2"/>
        <v>4</v>
      </c>
      <c r="C94" s="5">
        <v>298.89999999999998</v>
      </c>
    </row>
    <row r="95" spans="1:3" x14ac:dyDescent="0.35">
      <c r="A95" s="9">
        <v>39907</v>
      </c>
      <c r="B95">
        <f t="shared" si="2"/>
        <v>4</v>
      </c>
      <c r="C95" s="5">
        <v>269.7</v>
      </c>
    </row>
    <row r="96" spans="1:3" x14ac:dyDescent="0.35">
      <c r="A96" s="9">
        <v>39908</v>
      </c>
      <c r="B96">
        <f t="shared" si="2"/>
        <v>4</v>
      </c>
      <c r="C96" s="5">
        <v>242.2</v>
      </c>
    </row>
    <row r="97" spans="1:3" x14ac:dyDescent="0.35">
      <c r="A97" s="9">
        <v>39909</v>
      </c>
      <c r="B97">
        <f t="shared" si="2"/>
        <v>4</v>
      </c>
      <c r="C97" s="5">
        <v>228.9</v>
      </c>
    </row>
    <row r="98" spans="1:3" x14ac:dyDescent="0.35">
      <c r="A98" s="9">
        <v>39910</v>
      </c>
      <c r="B98">
        <f t="shared" si="2"/>
        <v>4</v>
      </c>
      <c r="C98" s="5">
        <v>229.2</v>
      </c>
    </row>
    <row r="99" spans="1:3" x14ac:dyDescent="0.35">
      <c r="A99" s="9">
        <v>39911</v>
      </c>
      <c r="B99">
        <f t="shared" si="2"/>
        <v>4</v>
      </c>
      <c r="C99" s="5">
        <v>237.5</v>
      </c>
    </row>
    <row r="100" spans="1:3" x14ac:dyDescent="0.35">
      <c r="A100" s="9">
        <v>39912</v>
      </c>
      <c r="B100">
        <f t="shared" si="2"/>
        <v>4</v>
      </c>
      <c r="C100" s="5">
        <v>241.8</v>
      </c>
    </row>
    <row r="101" spans="1:3" x14ac:dyDescent="0.35">
      <c r="A101" s="9">
        <v>39913</v>
      </c>
      <c r="B101">
        <f t="shared" si="2"/>
        <v>4</v>
      </c>
      <c r="C101" s="5">
        <v>235.2</v>
      </c>
    </row>
    <row r="102" spans="1:3" x14ac:dyDescent="0.35">
      <c r="A102" s="9">
        <v>39914</v>
      </c>
      <c r="B102">
        <f t="shared" si="2"/>
        <v>4</v>
      </c>
      <c r="C102" s="5">
        <v>228.5</v>
      </c>
    </row>
    <row r="103" spans="1:3" x14ac:dyDescent="0.35">
      <c r="A103" s="9">
        <v>39915</v>
      </c>
      <c r="B103">
        <f t="shared" si="2"/>
        <v>4</v>
      </c>
      <c r="C103" s="5">
        <v>225.2</v>
      </c>
    </row>
    <row r="104" spans="1:3" x14ac:dyDescent="0.35">
      <c r="A104" s="9">
        <v>39916</v>
      </c>
      <c r="B104">
        <f t="shared" si="2"/>
        <v>4</v>
      </c>
      <c r="C104" s="5">
        <v>219.8</v>
      </c>
    </row>
    <row r="105" spans="1:3" x14ac:dyDescent="0.35">
      <c r="A105" s="9">
        <v>39917</v>
      </c>
      <c r="B105">
        <f t="shared" si="2"/>
        <v>4</v>
      </c>
      <c r="C105" s="5">
        <v>211.2</v>
      </c>
    </row>
    <row r="106" spans="1:3" x14ac:dyDescent="0.35">
      <c r="A106" s="9">
        <v>39918</v>
      </c>
      <c r="B106">
        <f t="shared" si="2"/>
        <v>4</v>
      </c>
      <c r="C106" s="5">
        <v>205.8</v>
      </c>
    </row>
    <row r="107" spans="1:3" x14ac:dyDescent="0.35">
      <c r="A107" s="9">
        <v>39919</v>
      </c>
      <c r="B107">
        <f t="shared" si="2"/>
        <v>4</v>
      </c>
      <c r="C107" s="5">
        <v>207.1</v>
      </c>
    </row>
    <row r="108" spans="1:3" x14ac:dyDescent="0.35">
      <c r="A108" s="9">
        <v>39920</v>
      </c>
      <c r="B108">
        <f t="shared" si="2"/>
        <v>4</v>
      </c>
      <c r="C108" s="5">
        <v>209.9</v>
      </c>
    </row>
    <row r="109" spans="1:3" x14ac:dyDescent="0.35">
      <c r="A109" s="9">
        <v>39921</v>
      </c>
      <c r="B109">
        <f t="shared" si="2"/>
        <v>4</v>
      </c>
      <c r="C109" s="5">
        <v>205.4</v>
      </c>
    </row>
    <row r="110" spans="1:3" x14ac:dyDescent="0.35">
      <c r="A110" s="9">
        <v>39922</v>
      </c>
      <c r="B110">
        <f t="shared" si="2"/>
        <v>4</v>
      </c>
      <c r="C110" s="5">
        <v>194.8</v>
      </c>
    </row>
    <row r="111" spans="1:3" x14ac:dyDescent="0.35">
      <c r="A111" s="9">
        <v>39923</v>
      </c>
      <c r="B111">
        <f t="shared" si="2"/>
        <v>4</v>
      </c>
      <c r="C111" s="5">
        <v>178.7</v>
      </c>
    </row>
    <row r="112" spans="1:3" x14ac:dyDescent="0.35">
      <c r="A112" s="9">
        <v>39924</v>
      </c>
      <c r="B112">
        <f t="shared" si="2"/>
        <v>4</v>
      </c>
      <c r="C112" s="5">
        <v>163.9</v>
      </c>
    </row>
    <row r="113" spans="1:3" x14ac:dyDescent="0.35">
      <c r="A113" s="9">
        <v>39925</v>
      </c>
      <c r="B113">
        <f t="shared" si="2"/>
        <v>4</v>
      </c>
      <c r="C113" s="5">
        <v>152.6</v>
      </c>
    </row>
    <row r="114" spans="1:3" x14ac:dyDescent="0.35">
      <c r="A114" s="9">
        <v>39926</v>
      </c>
      <c r="B114">
        <f t="shared" si="2"/>
        <v>4</v>
      </c>
      <c r="C114" s="5">
        <v>144.30000000000001</v>
      </c>
    </row>
    <row r="115" spans="1:3" x14ac:dyDescent="0.35">
      <c r="A115" s="9">
        <v>39927</v>
      </c>
      <c r="B115">
        <f t="shared" si="2"/>
        <v>4</v>
      </c>
      <c r="C115" s="5">
        <v>138.19999999999999</v>
      </c>
    </row>
    <row r="116" spans="1:3" x14ac:dyDescent="0.35">
      <c r="A116" s="9">
        <v>39928</v>
      </c>
      <c r="B116">
        <f t="shared" si="2"/>
        <v>4</v>
      </c>
      <c r="C116" s="5">
        <v>133.5</v>
      </c>
    </row>
    <row r="117" spans="1:3" x14ac:dyDescent="0.35">
      <c r="A117" s="9">
        <v>39929</v>
      </c>
      <c r="B117">
        <f t="shared" si="2"/>
        <v>4</v>
      </c>
      <c r="C117" s="5">
        <v>130.30000000000001</v>
      </c>
    </row>
    <row r="118" spans="1:3" x14ac:dyDescent="0.35">
      <c r="A118" s="9">
        <v>39930</v>
      </c>
      <c r="B118">
        <f t="shared" si="2"/>
        <v>4</v>
      </c>
      <c r="C118" s="5">
        <v>132</v>
      </c>
    </row>
    <row r="119" spans="1:3" x14ac:dyDescent="0.35">
      <c r="A119" s="9">
        <v>39931</v>
      </c>
      <c r="B119">
        <f t="shared" si="2"/>
        <v>4</v>
      </c>
      <c r="C119" s="5">
        <v>140.69999999999999</v>
      </c>
    </row>
    <row r="120" spans="1:3" x14ac:dyDescent="0.35">
      <c r="A120" s="9">
        <v>39932</v>
      </c>
      <c r="B120">
        <f t="shared" si="2"/>
        <v>4</v>
      </c>
      <c r="C120" s="5">
        <v>156.1</v>
      </c>
    </row>
    <row r="121" spans="1:3" x14ac:dyDescent="0.35">
      <c r="A121" s="9">
        <v>39933</v>
      </c>
      <c r="B121">
        <f t="shared" si="2"/>
        <v>4</v>
      </c>
      <c r="C121" s="5">
        <v>174.2</v>
      </c>
    </row>
    <row r="122" spans="1:3" x14ac:dyDescent="0.35">
      <c r="A122" s="9">
        <v>39934</v>
      </c>
      <c r="B122">
        <f t="shared" si="2"/>
        <v>5</v>
      </c>
      <c r="C122" s="5">
        <v>191.3</v>
      </c>
    </row>
    <row r="123" spans="1:3" x14ac:dyDescent="0.35">
      <c r="A123" s="9">
        <v>39935</v>
      </c>
      <c r="B123">
        <f t="shared" si="2"/>
        <v>5</v>
      </c>
      <c r="C123" s="5">
        <v>199.7</v>
      </c>
    </row>
    <row r="124" spans="1:3" x14ac:dyDescent="0.35">
      <c r="A124" s="9">
        <v>39936</v>
      </c>
      <c r="B124">
        <f t="shared" si="2"/>
        <v>5</v>
      </c>
      <c r="C124" s="5">
        <v>195.3</v>
      </c>
    </row>
    <row r="125" spans="1:3" x14ac:dyDescent="0.35">
      <c r="A125" s="9">
        <v>39937</v>
      </c>
      <c r="B125">
        <f t="shared" si="2"/>
        <v>5</v>
      </c>
      <c r="C125" s="5">
        <v>188.2</v>
      </c>
    </row>
    <row r="126" spans="1:3" x14ac:dyDescent="0.35">
      <c r="A126" s="9">
        <v>39938</v>
      </c>
      <c r="B126">
        <f t="shared" si="2"/>
        <v>5</v>
      </c>
      <c r="C126" s="5">
        <v>180.1</v>
      </c>
    </row>
    <row r="127" spans="1:3" x14ac:dyDescent="0.35">
      <c r="A127" s="9">
        <v>39939</v>
      </c>
      <c r="B127">
        <f t="shared" si="2"/>
        <v>5</v>
      </c>
      <c r="C127" s="5">
        <v>173.5</v>
      </c>
    </row>
    <row r="128" spans="1:3" x14ac:dyDescent="0.35">
      <c r="A128" s="9">
        <v>39940</v>
      </c>
      <c r="B128">
        <f t="shared" si="2"/>
        <v>5</v>
      </c>
      <c r="C128" s="5">
        <v>176.8</v>
      </c>
    </row>
    <row r="129" spans="1:3" x14ac:dyDescent="0.35">
      <c r="A129" s="9">
        <v>39941</v>
      </c>
      <c r="B129">
        <f t="shared" si="2"/>
        <v>5</v>
      </c>
      <c r="C129" s="5">
        <v>190.7</v>
      </c>
    </row>
    <row r="130" spans="1:3" x14ac:dyDescent="0.35">
      <c r="A130" s="9">
        <v>39942</v>
      </c>
      <c r="B130">
        <f t="shared" si="2"/>
        <v>5</v>
      </c>
      <c r="C130" s="5">
        <v>205.7</v>
      </c>
    </row>
    <row r="131" spans="1:3" x14ac:dyDescent="0.35">
      <c r="A131" s="9">
        <v>39943</v>
      </c>
      <c r="B131">
        <f t="shared" si="2"/>
        <v>5</v>
      </c>
      <c r="C131" s="5">
        <v>211.8</v>
      </c>
    </row>
    <row r="132" spans="1:3" x14ac:dyDescent="0.35">
      <c r="A132" s="9">
        <v>39944</v>
      </c>
      <c r="B132">
        <f t="shared" ref="B132:B195" si="3">MONTH(A132)</f>
        <v>5</v>
      </c>
      <c r="C132" s="5">
        <v>209.7</v>
      </c>
    </row>
    <row r="133" spans="1:3" x14ac:dyDescent="0.35">
      <c r="A133" s="9">
        <v>39945</v>
      </c>
      <c r="B133">
        <f t="shared" si="3"/>
        <v>5</v>
      </c>
      <c r="C133" s="5">
        <v>204.3</v>
      </c>
    </row>
    <row r="134" spans="1:3" x14ac:dyDescent="0.35">
      <c r="A134" s="9">
        <v>39946</v>
      </c>
      <c r="B134">
        <f t="shared" si="3"/>
        <v>5</v>
      </c>
      <c r="C134" s="5">
        <v>195.2</v>
      </c>
    </row>
    <row r="135" spans="1:3" x14ac:dyDescent="0.35">
      <c r="A135" s="9">
        <v>39947</v>
      </c>
      <c r="B135">
        <f t="shared" si="3"/>
        <v>5</v>
      </c>
      <c r="C135" s="5">
        <v>190.1</v>
      </c>
    </row>
    <row r="136" spans="1:3" x14ac:dyDescent="0.35">
      <c r="A136" s="9">
        <v>39948</v>
      </c>
      <c r="B136">
        <f t="shared" si="3"/>
        <v>5</v>
      </c>
      <c r="C136" s="5">
        <v>190</v>
      </c>
    </row>
    <row r="137" spans="1:3" x14ac:dyDescent="0.35">
      <c r="A137" s="9">
        <v>39949</v>
      </c>
      <c r="B137">
        <f t="shared" si="3"/>
        <v>5</v>
      </c>
      <c r="C137" s="5">
        <v>193.9</v>
      </c>
    </row>
    <row r="138" spans="1:3" x14ac:dyDescent="0.35">
      <c r="A138" s="9">
        <v>39950</v>
      </c>
      <c r="B138">
        <f t="shared" si="3"/>
        <v>5</v>
      </c>
      <c r="C138" s="5">
        <v>196.3</v>
      </c>
    </row>
    <row r="139" spans="1:3" x14ac:dyDescent="0.35">
      <c r="A139" s="9">
        <v>39951</v>
      </c>
      <c r="B139">
        <f t="shared" si="3"/>
        <v>5</v>
      </c>
      <c r="C139" s="5">
        <v>197.8</v>
      </c>
    </row>
    <row r="140" spans="1:3" x14ac:dyDescent="0.35">
      <c r="A140" s="9">
        <v>39952</v>
      </c>
      <c r="B140">
        <f t="shared" si="3"/>
        <v>5</v>
      </c>
      <c r="C140" s="5">
        <v>191.5</v>
      </c>
    </row>
    <row r="141" spans="1:3" x14ac:dyDescent="0.35">
      <c r="A141" s="9">
        <v>39953</v>
      </c>
      <c r="B141">
        <f t="shared" si="3"/>
        <v>5</v>
      </c>
      <c r="C141" s="5">
        <v>178.3</v>
      </c>
    </row>
    <row r="142" spans="1:3" x14ac:dyDescent="0.35">
      <c r="A142" s="9">
        <v>39954</v>
      </c>
      <c r="B142">
        <f t="shared" si="3"/>
        <v>5</v>
      </c>
      <c r="C142" s="5">
        <v>163.69999999999999</v>
      </c>
    </row>
    <row r="143" spans="1:3" x14ac:dyDescent="0.35">
      <c r="A143" s="9">
        <v>39955</v>
      </c>
      <c r="B143">
        <f t="shared" si="3"/>
        <v>5</v>
      </c>
      <c r="C143" s="5">
        <v>150.5</v>
      </c>
    </row>
    <row r="144" spans="1:3" x14ac:dyDescent="0.35">
      <c r="A144" s="9">
        <v>39956</v>
      </c>
      <c r="B144">
        <f t="shared" si="3"/>
        <v>5</v>
      </c>
      <c r="C144" s="5">
        <v>141</v>
      </c>
    </row>
    <row r="145" spans="1:3" x14ac:dyDescent="0.35">
      <c r="A145" s="9">
        <v>39957</v>
      </c>
      <c r="B145">
        <f t="shared" si="3"/>
        <v>5</v>
      </c>
      <c r="C145" s="5">
        <v>135.1</v>
      </c>
    </row>
    <row r="146" spans="1:3" x14ac:dyDescent="0.35">
      <c r="A146" s="9">
        <v>39958</v>
      </c>
      <c r="B146">
        <f t="shared" si="3"/>
        <v>5</v>
      </c>
      <c r="C146" s="5">
        <v>131.30000000000001</v>
      </c>
    </row>
    <row r="147" spans="1:3" x14ac:dyDescent="0.35">
      <c r="A147" s="9">
        <v>39959</v>
      </c>
      <c r="B147">
        <f t="shared" si="3"/>
        <v>5</v>
      </c>
      <c r="C147" s="5">
        <v>128.69999999999999</v>
      </c>
    </row>
    <row r="148" spans="1:3" x14ac:dyDescent="0.35">
      <c r="A148" s="9">
        <v>39960</v>
      </c>
      <c r="B148">
        <f t="shared" si="3"/>
        <v>5</v>
      </c>
      <c r="C148" s="5">
        <v>127.1</v>
      </c>
    </row>
    <row r="149" spans="1:3" x14ac:dyDescent="0.35">
      <c r="A149" s="9">
        <v>39961</v>
      </c>
      <c r="B149">
        <f t="shared" si="3"/>
        <v>5</v>
      </c>
      <c r="C149" s="5">
        <v>126</v>
      </c>
    </row>
    <row r="150" spans="1:3" x14ac:dyDescent="0.35">
      <c r="A150" s="9">
        <v>39962</v>
      </c>
      <c r="B150">
        <f t="shared" si="3"/>
        <v>5</v>
      </c>
      <c r="C150" s="5">
        <v>125.3</v>
      </c>
    </row>
    <row r="151" spans="1:3" x14ac:dyDescent="0.35">
      <c r="A151" s="9">
        <v>39963</v>
      </c>
      <c r="B151">
        <f t="shared" si="3"/>
        <v>5</v>
      </c>
      <c r="C151" s="5">
        <v>124.8</v>
      </c>
    </row>
    <row r="152" spans="1:3" x14ac:dyDescent="0.35">
      <c r="A152" s="9">
        <v>39964</v>
      </c>
      <c r="B152">
        <f t="shared" si="3"/>
        <v>5</v>
      </c>
      <c r="C152" s="5">
        <v>125</v>
      </c>
    </row>
    <row r="153" spans="1:3" x14ac:dyDescent="0.35">
      <c r="A153" s="9">
        <v>39965</v>
      </c>
      <c r="B153">
        <f t="shared" si="3"/>
        <v>6</v>
      </c>
      <c r="C153" s="5">
        <v>126.7</v>
      </c>
    </row>
    <row r="154" spans="1:3" x14ac:dyDescent="0.35">
      <c r="A154" s="9">
        <v>39966</v>
      </c>
      <c r="B154">
        <f t="shared" si="3"/>
        <v>6</v>
      </c>
      <c r="C154" s="5">
        <v>88.8</v>
      </c>
    </row>
    <row r="155" spans="1:3" x14ac:dyDescent="0.35">
      <c r="A155" s="9">
        <v>39967</v>
      </c>
      <c r="B155">
        <f t="shared" si="3"/>
        <v>6</v>
      </c>
      <c r="C155" s="5">
        <v>91.7</v>
      </c>
    </row>
    <row r="156" spans="1:3" x14ac:dyDescent="0.35">
      <c r="A156" s="9">
        <v>39968</v>
      </c>
      <c r="B156">
        <f t="shared" si="3"/>
        <v>6</v>
      </c>
      <c r="C156" s="5">
        <v>92.6</v>
      </c>
    </row>
    <row r="157" spans="1:3" x14ac:dyDescent="0.35">
      <c r="A157" s="9">
        <v>39969</v>
      </c>
      <c r="B157">
        <f t="shared" si="3"/>
        <v>6</v>
      </c>
      <c r="C157" s="5">
        <v>91.7</v>
      </c>
    </row>
    <row r="158" spans="1:3" x14ac:dyDescent="0.35">
      <c r="A158" s="9">
        <v>39970</v>
      </c>
      <c r="B158">
        <f t="shared" si="3"/>
        <v>6</v>
      </c>
      <c r="C158" s="5">
        <v>90.8</v>
      </c>
    </row>
    <row r="159" spans="1:3" x14ac:dyDescent="0.35">
      <c r="A159" s="9">
        <v>39971</v>
      </c>
      <c r="B159">
        <f t="shared" si="3"/>
        <v>6</v>
      </c>
      <c r="C159" s="5">
        <v>92.1</v>
      </c>
    </row>
    <row r="160" spans="1:3" x14ac:dyDescent="0.35">
      <c r="A160" s="9">
        <v>39972</v>
      </c>
      <c r="B160">
        <f t="shared" si="3"/>
        <v>6</v>
      </c>
      <c r="C160" s="5">
        <v>94.8</v>
      </c>
    </row>
    <row r="161" spans="1:3" x14ac:dyDescent="0.35">
      <c r="A161" s="9">
        <v>39973</v>
      </c>
      <c r="B161">
        <f t="shared" si="3"/>
        <v>6</v>
      </c>
      <c r="C161" s="5">
        <v>95.5</v>
      </c>
    </row>
    <row r="162" spans="1:3" x14ac:dyDescent="0.35">
      <c r="A162" s="9">
        <v>39974</v>
      </c>
      <c r="B162">
        <f t="shared" si="3"/>
        <v>6</v>
      </c>
      <c r="C162" s="5">
        <v>94.2</v>
      </c>
    </row>
    <row r="163" spans="1:3" x14ac:dyDescent="0.35">
      <c r="A163" s="9">
        <v>39975</v>
      </c>
      <c r="B163">
        <f t="shared" si="3"/>
        <v>6</v>
      </c>
      <c r="C163" s="5">
        <v>92</v>
      </c>
    </row>
    <row r="164" spans="1:3" x14ac:dyDescent="0.35">
      <c r="A164" s="9">
        <v>39976</v>
      </c>
      <c r="B164">
        <f t="shared" si="3"/>
        <v>6</v>
      </c>
      <c r="C164" s="5">
        <v>90</v>
      </c>
    </row>
    <row r="165" spans="1:3" x14ac:dyDescent="0.35">
      <c r="A165" s="9">
        <v>39977</v>
      </c>
      <c r="B165">
        <f t="shared" si="3"/>
        <v>6</v>
      </c>
      <c r="C165" s="5">
        <v>88.4</v>
      </c>
    </row>
    <row r="166" spans="1:3" x14ac:dyDescent="0.35">
      <c r="A166" s="9">
        <v>39978</v>
      </c>
      <c r="B166">
        <f t="shared" si="3"/>
        <v>6</v>
      </c>
      <c r="C166" s="5">
        <v>86.9</v>
      </c>
    </row>
    <row r="167" spans="1:3" x14ac:dyDescent="0.35">
      <c r="A167" s="9">
        <v>39979</v>
      </c>
      <c r="B167">
        <f t="shared" si="3"/>
        <v>6</v>
      </c>
      <c r="C167" s="5">
        <v>85.6</v>
      </c>
    </row>
    <row r="168" spans="1:3" x14ac:dyDescent="0.35">
      <c r="A168" s="9">
        <v>39980</v>
      </c>
      <c r="B168">
        <f t="shared" si="3"/>
        <v>6</v>
      </c>
      <c r="C168" s="5">
        <v>84.7</v>
      </c>
    </row>
    <row r="169" spans="1:3" x14ac:dyDescent="0.35">
      <c r="A169" s="9">
        <v>39981</v>
      </c>
      <c r="B169">
        <f t="shared" si="3"/>
        <v>6</v>
      </c>
      <c r="C169" s="5">
        <v>84.1</v>
      </c>
    </row>
    <row r="170" spans="1:3" x14ac:dyDescent="0.35">
      <c r="A170" s="9">
        <v>39982</v>
      </c>
      <c r="B170">
        <f t="shared" si="3"/>
        <v>6</v>
      </c>
      <c r="C170" s="5">
        <v>85.3</v>
      </c>
    </row>
    <row r="171" spans="1:3" x14ac:dyDescent="0.35">
      <c r="A171" s="9">
        <v>39983</v>
      </c>
      <c r="B171">
        <f t="shared" si="3"/>
        <v>6</v>
      </c>
      <c r="C171" s="5">
        <v>88.8</v>
      </c>
    </row>
    <row r="172" spans="1:3" x14ac:dyDescent="0.35">
      <c r="A172" s="9">
        <v>39984</v>
      </c>
      <c r="B172">
        <f t="shared" si="3"/>
        <v>6</v>
      </c>
      <c r="C172" s="5">
        <v>92.9</v>
      </c>
    </row>
    <row r="173" spans="1:3" x14ac:dyDescent="0.35">
      <c r="A173" s="9">
        <v>39985</v>
      </c>
      <c r="B173">
        <f t="shared" si="3"/>
        <v>6</v>
      </c>
      <c r="C173" s="5">
        <v>93.7</v>
      </c>
    </row>
    <row r="174" spans="1:3" x14ac:dyDescent="0.35">
      <c r="A174" s="9">
        <v>39986</v>
      </c>
      <c r="B174">
        <f t="shared" si="3"/>
        <v>6</v>
      </c>
      <c r="C174" s="5">
        <v>92.1</v>
      </c>
    </row>
    <row r="175" spans="1:3" x14ac:dyDescent="0.35">
      <c r="A175" s="9">
        <v>39987</v>
      </c>
      <c r="B175">
        <f t="shared" si="3"/>
        <v>6</v>
      </c>
      <c r="C175" s="5">
        <v>89.4</v>
      </c>
    </row>
    <row r="176" spans="1:3" x14ac:dyDescent="0.35">
      <c r="A176" s="9">
        <v>39988</v>
      </c>
      <c r="B176">
        <f t="shared" si="3"/>
        <v>6</v>
      </c>
      <c r="C176" s="5">
        <v>87</v>
      </c>
    </row>
    <row r="177" spans="1:3" x14ac:dyDescent="0.35">
      <c r="A177" s="9">
        <v>39989</v>
      </c>
      <c r="B177">
        <f t="shared" si="3"/>
        <v>6</v>
      </c>
      <c r="C177" s="5">
        <v>85.8</v>
      </c>
    </row>
    <row r="178" spans="1:3" x14ac:dyDescent="0.35">
      <c r="A178" s="9">
        <v>39990</v>
      </c>
      <c r="B178">
        <f t="shared" si="3"/>
        <v>6</v>
      </c>
      <c r="C178" s="5">
        <v>84.9</v>
      </c>
    </row>
    <row r="179" spans="1:3" x14ac:dyDescent="0.35">
      <c r="A179" s="9">
        <v>39991</v>
      </c>
      <c r="B179">
        <f t="shared" si="3"/>
        <v>6</v>
      </c>
      <c r="C179" s="5">
        <v>84.3</v>
      </c>
    </row>
    <row r="180" spans="1:3" x14ac:dyDescent="0.35">
      <c r="A180" s="9">
        <v>39992</v>
      </c>
      <c r="B180">
        <f t="shared" si="3"/>
        <v>6</v>
      </c>
      <c r="C180" s="5">
        <v>83.8</v>
      </c>
    </row>
    <row r="181" spans="1:3" x14ac:dyDescent="0.35">
      <c r="A181" s="9">
        <v>39993</v>
      </c>
      <c r="B181">
        <f t="shared" si="3"/>
        <v>6</v>
      </c>
      <c r="C181" s="5">
        <v>83.6</v>
      </c>
    </row>
    <row r="182" spans="1:3" x14ac:dyDescent="0.35">
      <c r="A182" s="9">
        <v>39994</v>
      </c>
      <c r="B182">
        <f t="shared" si="3"/>
        <v>6</v>
      </c>
      <c r="C182" s="5">
        <v>83.8</v>
      </c>
    </row>
    <row r="183" spans="1:3" x14ac:dyDescent="0.35">
      <c r="A183" s="9">
        <v>39995</v>
      </c>
      <c r="B183">
        <f t="shared" si="3"/>
        <v>7</v>
      </c>
      <c r="C183" s="5">
        <v>84.4</v>
      </c>
    </row>
    <row r="184" spans="1:3" x14ac:dyDescent="0.35">
      <c r="A184" s="9">
        <v>39996</v>
      </c>
      <c r="B184">
        <f t="shared" si="3"/>
        <v>7</v>
      </c>
      <c r="C184" s="5">
        <v>62</v>
      </c>
    </row>
    <row r="185" spans="1:3" x14ac:dyDescent="0.35">
      <c r="A185" s="9">
        <v>39997</v>
      </c>
      <c r="B185">
        <f t="shared" si="3"/>
        <v>7</v>
      </c>
      <c r="C185" s="5">
        <v>62.1</v>
      </c>
    </row>
    <row r="186" spans="1:3" x14ac:dyDescent="0.35">
      <c r="A186" s="9">
        <v>39998</v>
      </c>
      <c r="B186">
        <f t="shared" si="3"/>
        <v>7</v>
      </c>
      <c r="C186" s="5">
        <v>61.7</v>
      </c>
    </row>
    <row r="187" spans="1:3" x14ac:dyDescent="0.35">
      <c r="A187" s="9">
        <v>39999</v>
      </c>
      <c r="B187">
        <f t="shared" si="3"/>
        <v>7</v>
      </c>
      <c r="C187" s="5">
        <v>61.2</v>
      </c>
    </row>
    <row r="188" spans="1:3" x14ac:dyDescent="0.35">
      <c r="A188" s="9">
        <v>40000</v>
      </c>
      <c r="B188">
        <f t="shared" si="3"/>
        <v>7</v>
      </c>
      <c r="C188" s="5">
        <v>60.8</v>
      </c>
    </row>
    <row r="189" spans="1:3" x14ac:dyDescent="0.35">
      <c r="A189" s="9">
        <v>40001</v>
      </c>
      <c r="B189">
        <f t="shared" si="3"/>
        <v>7</v>
      </c>
      <c r="C189" s="5">
        <v>60.7</v>
      </c>
    </row>
    <row r="190" spans="1:3" x14ac:dyDescent="0.35">
      <c r="A190" s="9">
        <v>40002</v>
      </c>
      <c r="B190">
        <f t="shared" si="3"/>
        <v>7</v>
      </c>
      <c r="C190" s="5">
        <v>60.7</v>
      </c>
    </row>
    <row r="191" spans="1:3" x14ac:dyDescent="0.35">
      <c r="A191" s="9">
        <v>40003</v>
      </c>
      <c r="B191">
        <f t="shared" si="3"/>
        <v>7</v>
      </c>
      <c r="C191" s="5">
        <v>60.6</v>
      </c>
    </row>
    <row r="192" spans="1:3" x14ac:dyDescent="0.35">
      <c r="A192" s="9">
        <v>40004</v>
      </c>
      <c r="B192">
        <f t="shared" si="3"/>
        <v>7</v>
      </c>
      <c r="C192" s="5">
        <v>60.5</v>
      </c>
    </row>
    <row r="193" spans="1:3" x14ac:dyDescent="0.35">
      <c r="A193" s="9">
        <v>40005</v>
      </c>
      <c r="B193">
        <f t="shared" si="3"/>
        <v>7</v>
      </c>
      <c r="C193" s="5">
        <v>60.3</v>
      </c>
    </row>
    <row r="194" spans="1:3" x14ac:dyDescent="0.35">
      <c r="A194" s="9">
        <v>40006</v>
      </c>
      <c r="B194">
        <f t="shared" si="3"/>
        <v>7</v>
      </c>
      <c r="C194" s="5">
        <v>60.2</v>
      </c>
    </row>
    <row r="195" spans="1:3" x14ac:dyDescent="0.35">
      <c r="A195" s="9">
        <v>40007</v>
      </c>
      <c r="B195">
        <f t="shared" si="3"/>
        <v>7</v>
      </c>
      <c r="C195" s="5">
        <v>60.3</v>
      </c>
    </row>
    <row r="196" spans="1:3" x14ac:dyDescent="0.35">
      <c r="A196" s="9">
        <v>40008</v>
      </c>
      <c r="B196">
        <f t="shared" ref="B196:B259" si="4">MONTH(A196)</f>
        <v>7</v>
      </c>
      <c r="C196" s="5">
        <v>60.7</v>
      </c>
    </row>
    <row r="197" spans="1:3" x14ac:dyDescent="0.35">
      <c r="A197" s="9">
        <v>40009</v>
      </c>
      <c r="B197">
        <f t="shared" si="4"/>
        <v>7</v>
      </c>
      <c r="C197" s="5">
        <v>61.8</v>
      </c>
    </row>
    <row r="198" spans="1:3" x14ac:dyDescent="0.35">
      <c r="A198" s="9">
        <v>40010</v>
      </c>
      <c r="B198">
        <f t="shared" si="4"/>
        <v>7</v>
      </c>
      <c r="C198" s="5">
        <v>63.7</v>
      </c>
    </row>
    <row r="199" spans="1:3" x14ac:dyDescent="0.35">
      <c r="A199" s="9">
        <v>40011</v>
      </c>
      <c r="B199">
        <f t="shared" si="4"/>
        <v>7</v>
      </c>
      <c r="C199" s="5">
        <v>65.900000000000006</v>
      </c>
    </row>
    <row r="200" spans="1:3" x14ac:dyDescent="0.35">
      <c r="A200" s="9">
        <v>40012</v>
      </c>
      <c r="B200">
        <f t="shared" si="4"/>
        <v>7</v>
      </c>
      <c r="C200" s="5">
        <v>66.8</v>
      </c>
    </row>
    <row r="201" spans="1:3" x14ac:dyDescent="0.35">
      <c r="A201" s="9">
        <v>40013</v>
      </c>
      <c r="B201">
        <f t="shared" si="4"/>
        <v>7</v>
      </c>
      <c r="C201" s="5">
        <v>66.2</v>
      </c>
    </row>
    <row r="202" spans="1:3" x14ac:dyDescent="0.35">
      <c r="A202" s="9">
        <v>40014</v>
      </c>
      <c r="B202">
        <f t="shared" si="4"/>
        <v>7</v>
      </c>
      <c r="C202" s="5">
        <v>64.7</v>
      </c>
    </row>
    <row r="203" spans="1:3" x14ac:dyDescent="0.35">
      <c r="A203" s="9">
        <v>40015</v>
      </c>
      <c r="B203">
        <f t="shared" si="4"/>
        <v>7</v>
      </c>
      <c r="C203" s="5">
        <v>63.1</v>
      </c>
    </row>
    <row r="204" spans="1:3" x14ac:dyDescent="0.35">
      <c r="A204" s="9">
        <v>40016</v>
      </c>
      <c r="B204">
        <f t="shared" si="4"/>
        <v>7</v>
      </c>
      <c r="C204" s="5">
        <v>62</v>
      </c>
    </row>
    <row r="205" spans="1:3" x14ac:dyDescent="0.35">
      <c r="A205" s="9">
        <v>40017</v>
      </c>
      <c r="B205">
        <f t="shared" si="4"/>
        <v>7</v>
      </c>
      <c r="C205" s="5">
        <v>61.3</v>
      </c>
    </row>
    <row r="206" spans="1:3" x14ac:dyDescent="0.35">
      <c r="A206" s="9">
        <v>40018</v>
      </c>
      <c r="B206">
        <f t="shared" si="4"/>
        <v>7</v>
      </c>
      <c r="C206" s="5">
        <v>60.9</v>
      </c>
    </row>
    <row r="207" spans="1:3" x14ac:dyDescent="0.35">
      <c r="A207" s="9">
        <v>40019</v>
      </c>
      <c r="B207">
        <f t="shared" si="4"/>
        <v>7</v>
      </c>
      <c r="C207" s="5">
        <v>60.6</v>
      </c>
    </row>
    <row r="208" spans="1:3" x14ac:dyDescent="0.35">
      <c r="A208" s="9">
        <v>40020</v>
      </c>
      <c r="B208">
        <f t="shared" si="4"/>
        <v>7</v>
      </c>
      <c r="C208" s="5">
        <v>61.7</v>
      </c>
    </row>
    <row r="209" spans="1:3" x14ac:dyDescent="0.35">
      <c r="A209" s="9">
        <v>40021</v>
      </c>
      <c r="B209">
        <f t="shared" si="4"/>
        <v>7</v>
      </c>
      <c r="C209" s="5">
        <v>64.599999999999994</v>
      </c>
    </row>
    <row r="210" spans="1:3" x14ac:dyDescent="0.35">
      <c r="A210" s="9">
        <v>40022</v>
      </c>
      <c r="B210">
        <f t="shared" si="4"/>
        <v>7</v>
      </c>
      <c r="C210" s="5">
        <v>68</v>
      </c>
    </row>
    <row r="211" spans="1:3" x14ac:dyDescent="0.35">
      <c r="A211" s="9">
        <v>40023</v>
      </c>
      <c r="B211">
        <f t="shared" si="4"/>
        <v>7</v>
      </c>
      <c r="C211" s="5">
        <v>68.599999999999994</v>
      </c>
    </row>
    <row r="212" spans="1:3" x14ac:dyDescent="0.35">
      <c r="A212" s="9">
        <v>40024</v>
      </c>
      <c r="B212">
        <f t="shared" si="4"/>
        <v>7</v>
      </c>
      <c r="C212" s="5">
        <v>67.3</v>
      </c>
    </row>
    <row r="213" spans="1:3" x14ac:dyDescent="0.35">
      <c r="A213" s="9">
        <v>40025</v>
      </c>
      <c r="B213">
        <f t="shared" si="4"/>
        <v>7</v>
      </c>
      <c r="C213" s="5">
        <v>65.099999999999994</v>
      </c>
    </row>
    <row r="214" spans="1:3" x14ac:dyDescent="0.35">
      <c r="A214" s="9">
        <v>40026</v>
      </c>
      <c r="B214">
        <f t="shared" si="4"/>
        <v>8</v>
      </c>
      <c r="C214" s="5">
        <v>63.2</v>
      </c>
    </row>
    <row r="215" spans="1:3" x14ac:dyDescent="0.35">
      <c r="A215" s="9">
        <v>40027</v>
      </c>
      <c r="B215">
        <f t="shared" si="4"/>
        <v>8</v>
      </c>
      <c r="C215" s="5">
        <v>69.7</v>
      </c>
    </row>
    <row r="216" spans="1:3" x14ac:dyDescent="0.35">
      <c r="A216" s="9">
        <v>40028</v>
      </c>
      <c r="B216">
        <f t="shared" si="4"/>
        <v>8</v>
      </c>
      <c r="C216" s="5">
        <v>75.2</v>
      </c>
    </row>
    <row r="217" spans="1:3" x14ac:dyDescent="0.35">
      <c r="A217" s="9">
        <v>40029</v>
      </c>
      <c r="B217">
        <f t="shared" si="4"/>
        <v>8</v>
      </c>
      <c r="C217" s="5">
        <v>81.7</v>
      </c>
    </row>
    <row r="218" spans="1:3" x14ac:dyDescent="0.35">
      <c r="A218" s="9">
        <v>40030</v>
      </c>
      <c r="B218">
        <f t="shared" si="4"/>
        <v>8</v>
      </c>
      <c r="C218" s="5">
        <v>83.3</v>
      </c>
    </row>
    <row r="219" spans="1:3" x14ac:dyDescent="0.35">
      <c r="A219" s="9">
        <v>40031</v>
      </c>
      <c r="B219">
        <f t="shared" si="4"/>
        <v>8</v>
      </c>
      <c r="C219" s="5">
        <v>81.599999999999994</v>
      </c>
    </row>
    <row r="220" spans="1:3" x14ac:dyDescent="0.35">
      <c r="A220" s="9">
        <v>40032</v>
      </c>
      <c r="B220">
        <f t="shared" si="4"/>
        <v>8</v>
      </c>
      <c r="C220" s="5">
        <v>78.400000000000006</v>
      </c>
    </row>
    <row r="221" spans="1:3" x14ac:dyDescent="0.35">
      <c r="A221" s="9">
        <v>40033</v>
      </c>
      <c r="B221">
        <f t="shared" si="4"/>
        <v>8</v>
      </c>
      <c r="C221" s="5">
        <v>75</v>
      </c>
    </row>
    <row r="222" spans="1:3" x14ac:dyDescent="0.35">
      <c r="A222" s="9">
        <v>40034</v>
      </c>
      <c r="B222">
        <f t="shared" si="4"/>
        <v>8</v>
      </c>
      <c r="C222" s="5">
        <v>72.7</v>
      </c>
    </row>
    <row r="223" spans="1:3" x14ac:dyDescent="0.35">
      <c r="A223" s="9">
        <v>40035</v>
      </c>
      <c r="B223">
        <f t="shared" si="4"/>
        <v>8</v>
      </c>
      <c r="C223" s="5">
        <v>70.599999999999994</v>
      </c>
    </row>
    <row r="224" spans="1:3" x14ac:dyDescent="0.35">
      <c r="A224" s="9">
        <v>40036</v>
      </c>
      <c r="B224">
        <f t="shared" si="4"/>
        <v>8</v>
      </c>
      <c r="C224" s="5">
        <v>68.8</v>
      </c>
    </row>
    <row r="225" spans="1:3" x14ac:dyDescent="0.35">
      <c r="A225" s="9">
        <v>40037</v>
      </c>
      <c r="B225">
        <f t="shared" si="4"/>
        <v>8</v>
      </c>
      <c r="C225" s="5">
        <v>70.099999999999994</v>
      </c>
    </row>
    <row r="226" spans="1:3" x14ac:dyDescent="0.35">
      <c r="A226" s="9">
        <v>40038</v>
      </c>
      <c r="B226">
        <f t="shared" si="4"/>
        <v>8</v>
      </c>
      <c r="C226" s="5">
        <v>75.3</v>
      </c>
    </row>
    <row r="227" spans="1:3" x14ac:dyDescent="0.35">
      <c r="A227" s="9">
        <v>40039</v>
      </c>
      <c r="B227">
        <f t="shared" si="4"/>
        <v>8</v>
      </c>
      <c r="C227" s="5">
        <v>81.8</v>
      </c>
    </row>
    <row r="228" spans="1:3" x14ac:dyDescent="0.35">
      <c r="A228" s="9">
        <v>40040</v>
      </c>
      <c r="B228">
        <f t="shared" si="4"/>
        <v>8</v>
      </c>
      <c r="C228" s="5">
        <v>86.6</v>
      </c>
    </row>
    <row r="229" spans="1:3" x14ac:dyDescent="0.35">
      <c r="A229" s="9">
        <v>40041</v>
      </c>
      <c r="B229">
        <f t="shared" si="4"/>
        <v>8</v>
      </c>
      <c r="C229" s="5">
        <v>91.6</v>
      </c>
    </row>
    <row r="230" spans="1:3" x14ac:dyDescent="0.35">
      <c r="A230" s="9">
        <v>40042</v>
      </c>
      <c r="B230">
        <f t="shared" si="4"/>
        <v>8</v>
      </c>
      <c r="C230" s="5">
        <v>95.6</v>
      </c>
    </row>
    <row r="231" spans="1:3" x14ac:dyDescent="0.35">
      <c r="A231" s="9">
        <v>40043</v>
      </c>
      <c r="B231">
        <f t="shared" si="4"/>
        <v>8</v>
      </c>
      <c r="C231" s="5">
        <v>93.2</v>
      </c>
    </row>
    <row r="232" spans="1:3" x14ac:dyDescent="0.35">
      <c r="A232" s="9">
        <v>40044</v>
      </c>
      <c r="B232">
        <f t="shared" si="4"/>
        <v>8</v>
      </c>
      <c r="C232" s="5">
        <v>87.8</v>
      </c>
    </row>
    <row r="233" spans="1:3" x14ac:dyDescent="0.35">
      <c r="A233" s="9">
        <v>40045</v>
      </c>
      <c r="B233">
        <f t="shared" si="4"/>
        <v>8</v>
      </c>
      <c r="C233" s="5">
        <v>80.900000000000006</v>
      </c>
    </row>
    <row r="234" spans="1:3" x14ac:dyDescent="0.35">
      <c r="A234" s="9">
        <v>40046</v>
      </c>
      <c r="B234">
        <f t="shared" si="4"/>
        <v>8</v>
      </c>
      <c r="C234" s="5">
        <v>77.900000000000006</v>
      </c>
    </row>
    <row r="235" spans="1:3" x14ac:dyDescent="0.35">
      <c r="A235" s="9">
        <v>40047</v>
      </c>
      <c r="B235">
        <f t="shared" si="4"/>
        <v>8</v>
      </c>
      <c r="C235" s="5">
        <v>83.7</v>
      </c>
    </row>
    <row r="236" spans="1:3" x14ac:dyDescent="0.35">
      <c r="A236" s="9">
        <v>40048</v>
      </c>
      <c r="B236">
        <f t="shared" si="4"/>
        <v>8</v>
      </c>
      <c r="C236" s="5">
        <v>94.8</v>
      </c>
    </row>
    <row r="237" spans="1:3" x14ac:dyDescent="0.35">
      <c r="A237" s="9">
        <v>40049</v>
      </c>
      <c r="B237">
        <f t="shared" si="4"/>
        <v>8</v>
      </c>
      <c r="C237" s="5">
        <v>101.3</v>
      </c>
    </row>
    <row r="238" spans="1:3" x14ac:dyDescent="0.35">
      <c r="A238" s="9">
        <v>40050</v>
      </c>
      <c r="B238">
        <f t="shared" si="4"/>
        <v>8</v>
      </c>
      <c r="C238" s="5">
        <v>99.1</v>
      </c>
    </row>
    <row r="239" spans="1:3" x14ac:dyDescent="0.35">
      <c r="A239" s="9">
        <v>40051</v>
      </c>
      <c r="B239">
        <f t="shared" si="4"/>
        <v>8</v>
      </c>
      <c r="C239" s="5">
        <v>91.5</v>
      </c>
    </row>
    <row r="240" spans="1:3" x14ac:dyDescent="0.35">
      <c r="A240" s="9">
        <v>40052</v>
      </c>
      <c r="B240">
        <f t="shared" si="4"/>
        <v>8</v>
      </c>
      <c r="C240" s="5">
        <v>83.3</v>
      </c>
    </row>
    <row r="241" spans="1:3" x14ac:dyDescent="0.35">
      <c r="A241" s="9">
        <v>40053</v>
      </c>
      <c r="B241">
        <f t="shared" si="4"/>
        <v>8</v>
      </c>
      <c r="C241" s="5">
        <v>78.099999999999994</v>
      </c>
    </row>
    <row r="242" spans="1:3" x14ac:dyDescent="0.35">
      <c r="A242" s="9">
        <v>40054</v>
      </c>
      <c r="B242">
        <f t="shared" si="4"/>
        <v>8</v>
      </c>
      <c r="C242" s="5">
        <v>76.400000000000006</v>
      </c>
    </row>
    <row r="243" spans="1:3" x14ac:dyDescent="0.35">
      <c r="A243" s="9">
        <v>40055</v>
      </c>
      <c r="B243">
        <f t="shared" si="4"/>
        <v>8</v>
      </c>
      <c r="C243" s="5">
        <v>77</v>
      </c>
    </row>
    <row r="244" spans="1:3" x14ac:dyDescent="0.35">
      <c r="A244" s="9">
        <v>40056</v>
      </c>
      <c r="B244">
        <f t="shared" si="4"/>
        <v>8</v>
      </c>
      <c r="C244" s="5">
        <v>81.7</v>
      </c>
    </row>
    <row r="245" spans="1:3" x14ac:dyDescent="0.35">
      <c r="A245" s="9">
        <v>40057</v>
      </c>
      <c r="B245">
        <f t="shared" si="4"/>
        <v>9</v>
      </c>
      <c r="C245" s="5">
        <v>89.1</v>
      </c>
    </row>
    <row r="246" spans="1:3" x14ac:dyDescent="0.35">
      <c r="A246" s="9">
        <v>40058</v>
      </c>
      <c r="B246">
        <f t="shared" si="4"/>
        <v>9</v>
      </c>
      <c r="C246" s="5">
        <v>121.4</v>
      </c>
    </row>
    <row r="247" spans="1:3" x14ac:dyDescent="0.35">
      <c r="A247" s="9">
        <v>40059</v>
      </c>
      <c r="B247">
        <f t="shared" si="4"/>
        <v>9</v>
      </c>
      <c r="C247" s="5">
        <v>120.6</v>
      </c>
    </row>
    <row r="248" spans="1:3" x14ac:dyDescent="0.35">
      <c r="A248" s="9">
        <v>40060</v>
      </c>
      <c r="B248">
        <f t="shared" si="4"/>
        <v>9</v>
      </c>
      <c r="C248" s="5">
        <v>115.2</v>
      </c>
    </row>
    <row r="249" spans="1:3" x14ac:dyDescent="0.35">
      <c r="A249" s="9">
        <v>40061</v>
      </c>
      <c r="B249">
        <f t="shared" si="4"/>
        <v>9</v>
      </c>
      <c r="C249" s="5">
        <v>110.9</v>
      </c>
    </row>
    <row r="250" spans="1:3" x14ac:dyDescent="0.35">
      <c r="A250" s="9">
        <v>40062</v>
      </c>
      <c r="B250">
        <f t="shared" si="4"/>
        <v>9</v>
      </c>
      <c r="C250" s="5">
        <v>114.8</v>
      </c>
    </row>
    <row r="251" spans="1:3" x14ac:dyDescent="0.35">
      <c r="A251" s="9">
        <v>40063</v>
      </c>
      <c r="B251">
        <f t="shared" si="4"/>
        <v>9</v>
      </c>
      <c r="C251" s="5">
        <v>126.3</v>
      </c>
    </row>
    <row r="252" spans="1:3" x14ac:dyDescent="0.35">
      <c r="A252" s="9">
        <v>40064</v>
      </c>
      <c r="B252">
        <f t="shared" si="4"/>
        <v>9</v>
      </c>
      <c r="C252" s="5">
        <v>138</v>
      </c>
    </row>
    <row r="253" spans="1:3" x14ac:dyDescent="0.35">
      <c r="A253" s="9">
        <v>40065</v>
      </c>
      <c r="B253">
        <f t="shared" si="4"/>
        <v>9</v>
      </c>
      <c r="C253" s="5">
        <v>144.4</v>
      </c>
    </row>
    <row r="254" spans="1:3" x14ac:dyDescent="0.35">
      <c r="A254" s="9">
        <v>40066</v>
      </c>
      <c r="B254">
        <f t="shared" si="4"/>
        <v>9</v>
      </c>
      <c r="C254" s="5">
        <v>145.5</v>
      </c>
    </row>
    <row r="255" spans="1:3" x14ac:dyDescent="0.35">
      <c r="A255" s="9">
        <v>40067</v>
      </c>
      <c r="B255">
        <f t="shared" si="4"/>
        <v>9</v>
      </c>
      <c r="C255" s="5">
        <v>142.1</v>
      </c>
    </row>
    <row r="256" spans="1:3" x14ac:dyDescent="0.35">
      <c r="A256" s="9">
        <v>40068</v>
      </c>
      <c r="B256">
        <f t="shared" si="4"/>
        <v>9</v>
      </c>
      <c r="C256" s="5">
        <v>141.9</v>
      </c>
    </row>
    <row r="257" spans="1:3" x14ac:dyDescent="0.35">
      <c r="A257" s="9">
        <v>40069</v>
      </c>
      <c r="B257">
        <f t="shared" si="4"/>
        <v>9</v>
      </c>
      <c r="C257" s="5">
        <v>147.5</v>
      </c>
    </row>
    <row r="258" spans="1:3" x14ac:dyDescent="0.35">
      <c r="A258" s="9">
        <v>40070</v>
      </c>
      <c r="B258">
        <f t="shared" si="4"/>
        <v>9</v>
      </c>
      <c r="C258" s="5">
        <v>152.80000000000001</v>
      </c>
    </row>
    <row r="259" spans="1:3" x14ac:dyDescent="0.35">
      <c r="A259" s="9">
        <v>40071</v>
      </c>
      <c r="B259">
        <f t="shared" si="4"/>
        <v>9</v>
      </c>
      <c r="C259" s="5">
        <v>159.6</v>
      </c>
    </row>
    <row r="260" spans="1:3" x14ac:dyDescent="0.35">
      <c r="A260" s="9">
        <v>40072</v>
      </c>
      <c r="B260">
        <f t="shared" ref="B260:B323" si="5">MONTH(A260)</f>
        <v>9</v>
      </c>
      <c r="C260" s="5">
        <v>161.69999999999999</v>
      </c>
    </row>
    <row r="261" spans="1:3" x14ac:dyDescent="0.35">
      <c r="A261" s="9">
        <v>40073</v>
      </c>
      <c r="B261">
        <f t="shared" si="5"/>
        <v>9</v>
      </c>
      <c r="C261" s="5">
        <v>162.69999999999999</v>
      </c>
    </row>
    <row r="262" spans="1:3" x14ac:dyDescent="0.35">
      <c r="A262" s="9">
        <v>40074</v>
      </c>
      <c r="B262">
        <f t="shared" si="5"/>
        <v>9</v>
      </c>
      <c r="C262" s="5">
        <v>165.3</v>
      </c>
    </row>
    <row r="263" spans="1:3" x14ac:dyDescent="0.35">
      <c r="A263" s="9">
        <v>40075</v>
      </c>
      <c r="B263">
        <f t="shared" si="5"/>
        <v>9</v>
      </c>
      <c r="C263" s="5">
        <v>166.3</v>
      </c>
    </row>
    <row r="264" spans="1:3" x14ac:dyDescent="0.35">
      <c r="A264" s="9">
        <v>40076</v>
      </c>
      <c r="B264">
        <f t="shared" si="5"/>
        <v>9</v>
      </c>
      <c r="C264" s="5">
        <v>166.8</v>
      </c>
    </row>
    <row r="265" spans="1:3" x14ac:dyDescent="0.35">
      <c r="A265" s="9">
        <v>40077</v>
      </c>
      <c r="B265">
        <f t="shared" si="5"/>
        <v>9</v>
      </c>
      <c r="C265" s="5">
        <v>168.7</v>
      </c>
    </row>
    <row r="266" spans="1:3" x14ac:dyDescent="0.35">
      <c r="A266" s="9">
        <v>40078</v>
      </c>
      <c r="B266">
        <f t="shared" si="5"/>
        <v>9</v>
      </c>
      <c r="C266" s="5">
        <v>167.6</v>
      </c>
    </row>
    <row r="267" spans="1:3" x14ac:dyDescent="0.35">
      <c r="A267" s="9">
        <v>40079</v>
      </c>
      <c r="B267">
        <f t="shared" si="5"/>
        <v>9</v>
      </c>
      <c r="C267" s="5">
        <v>162.80000000000001</v>
      </c>
    </row>
    <row r="268" spans="1:3" x14ac:dyDescent="0.35">
      <c r="A268" s="9">
        <v>40080</v>
      </c>
      <c r="B268">
        <f t="shared" si="5"/>
        <v>9</v>
      </c>
      <c r="C268" s="5">
        <v>155.6</v>
      </c>
    </row>
    <row r="269" spans="1:3" x14ac:dyDescent="0.35">
      <c r="A269" s="9">
        <v>40081</v>
      </c>
      <c r="B269">
        <f t="shared" si="5"/>
        <v>9</v>
      </c>
      <c r="C269" s="5">
        <v>145</v>
      </c>
    </row>
    <row r="270" spans="1:3" x14ac:dyDescent="0.35">
      <c r="A270" s="9">
        <v>40082</v>
      </c>
      <c r="B270">
        <f t="shared" si="5"/>
        <v>9</v>
      </c>
      <c r="C270" s="5">
        <v>141.4</v>
      </c>
    </row>
    <row r="271" spans="1:3" x14ac:dyDescent="0.35">
      <c r="A271" s="9">
        <v>40083</v>
      </c>
      <c r="B271">
        <f t="shared" si="5"/>
        <v>9</v>
      </c>
      <c r="C271" s="5">
        <v>145.5</v>
      </c>
    </row>
    <row r="272" spans="1:3" x14ac:dyDescent="0.35">
      <c r="A272" s="9">
        <v>40084</v>
      </c>
      <c r="B272">
        <f t="shared" si="5"/>
        <v>9</v>
      </c>
      <c r="C272" s="5">
        <v>150.9</v>
      </c>
    </row>
    <row r="273" spans="1:3" x14ac:dyDescent="0.35">
      <c r="A273" s="9">
        <v>40085</v>
      </c>
      <c r="B273">
        <f t="shared" si="5"/>
        <v>9</v>
      </c>
      <c r="C273" s="5">
        <v>157.1</v>
      </c>
    </row>
    <row r="274" spans="1:3" x14ac:dyDescent="0.35">
      <c r="A274" s="9">
        <v>40086</v>
      </c>
      <c r="B274">
        <f t="shared" si="5"/>
        <v>9</v>
      </c>
      <c r="C274" s="5">
        <v>165.4</v>
      </c>
    </row>
    <row r="275" spans="1:3" x14ac:dyDescent="0.35">
      <c r="A275" s="9">
        <v>40087</v>
      </c>
      <c r="B275">
        <f t="shared" si="5"/>
        <v>10</v>
      </c>
      <c r="C275" s="5">
        <v>168.1</v>
      </c>
    </row>
    <row r="276" spans="1:3" x14ac:dyDescent="0.35">
      <c r="A276" s="9">
        <v>40088</v>
      </c>
      <c r="B276">
        <f t="shared" si="5"/>
        <v>10</v>
      </c>
      <c r="C276" s="5">
        <v>179.2</v>
      </c>
    </row>
    <row r="277" spans="1:3" x14ac:dyDescent="0.35">
      <c r="A277" s="9">
        <v>40089</v>
      </c>
      <c r="B277">
        <f t="shared" si="5"/>
        <v>10</v>
      </c>
      <c r="C277" s="5">
        <v>176</v>
      </c>
    </row>
    <row r="278" spans="1:3" x14ac:dyDescent="0.35">
      <c r="A278" s="9">
        <v>40090</v>
      </c>
      <c r="B278">
        <f t="shared" si="5"/>
        <v>10</v>
      </c>
      <c r="C278" s="5">
        <v>177.2</v>
      </c>
    </row>
    <row r="279" spans="1:3" x14ac:dyDescent="0.35">
      <c r="A279" s="9">
        <v>40091</v>
      </c>
      <c r="B279">
        <f t="shared" si="5"/>
        <v>10</v>
      </c>
      <c r="C279" s="5">
        <v>183.4</v>
      </c>
    </row>
    <row r="280" spans="1:3" x14ac:dyDescent="0.35">
      <c r="A280" s="9">
        <v>40092</v>
      </c>
      <c r="B280">
        <f t="shared" si="5"/>
        <v>10</v>
      </c>
      <c r="C280" s="5">
        <v>191.2</v>
      </c>
    </row>
    <row r="281" spans="1:3" x14ac:dyDescent="0.35">
      <c r="A281" s="9">
        <v>40093</v>
      </c>
      <c r="B281">
        <f t="shared" si="5"/>
        <v>10</v>
      </c>
      <c r="C281" s="5">
        <v>197.3</v>
      </c>
    </row>
    <row r="282" spans="1:3" x14ac:dyDescent="0.35">
      <c r="A282" s="9">
        <v>40094</v>
      </c>
      <c r="B282">
        <f t="shared" si="5"/>
        <v>10</v>
      </c>
      <c r="C282" s="5">
        <v>194.9</v>
      </c>
    </row>
    <row r="283" spans="1:3" x14ac:dyDescent="0.35">
      <c r="A283" s="9">
        <v>40095</v>
      </c>
      <c r="B283">
        <f t="shared" si="5"/>
        <v>10</v>
      </c>
      <c r="C283" s="5">
        <v>194.1</v>
      </c>
    </row>
    <row r="284" spans="1:3" x14ac:dyDescent="0.35">
      <c r="A284" s="9">
        <v>40096</v>
      </c>
      <c r="B284">
        <f t="shared" si="5"/>
        <v>10</v>
      </c>
      <c r="C284" s="5">
        <v>194.3</v>
      </c>
    </row>
    <row r="285" spans="1:3" x14ac:dyDescent="0.35">
      <c r="A285" s="9">
        <v>40097</v>
      </c>
      <c r="B285">
        <f t="shared" si="5"/>
        <v>10</v>
      </c>
      <c r="C285" s="5">
        <v>190.9</v>
      </c>
    </row>
    <row r="286" spans="1:3" x14ac:dyDescent="0.35">
      <c r="A286" s="9">
        <v>40098</v>
      </c>
      <c r="B286">
        <f t="shared" si="5"/>
        <v>10</v>
      </c>
      <c r="C286" s="5">
        <v>191</v>
      </c>
    </row>
    <row r="287" spans="1:3" x14ac:dyDescent="0.35">
      <c r="A287" s="9">
        <v>40099</v>
      </c>
      <c r="B287">
        <f t="shared" si="5"/>
        <v>10</v>
      </c>
      <c r="C287" s="5">
        <v>194.3</v>
      </c>
    </row>
    <row r="288" spans="1:3" x14ac:dyDescent="0.35">
      <c r="A288" s="9">
        <v>40100</v>
      </c>
      <c r="B288">
        <f t="shared" si="5"/>
        <v>10</v>
      </c>
      <c r="C288" s="5">
        <v>197.3</v>
      </c>
    </row>
    <row r="289" spans="1:3" x14ac:dyDescent="0.35">
      <c r="A289" s="9">
        <v>40101</v>
      </c>
      <c r="B289">
        <f t="shared" si="5"/>
        <v>10</v>
      </c>
      <c r="C289" s="5">
        <v>194.8</v>
      </c>
    </row>
    <row r="290" spans="1:3" x14ac:dyDescent="0.35">
      <c r="A290" s="9">
        <v>40102</v>
      </c>
      <c r="B290">
        <f t="shared" si="5"/>
        <v>10</v>
      </c>
      <c r="C290" s="5">
        <v>190.7</v>
      </c>
    </row>
    <row r="291" spans="1:3" x14ac:dyDescent="0.35">
      <c r="A291" s="9">
        <v>40103</v>
      </c>
      <c r="B291">
        <f t="shared" si="5"/>
        <v>10</v>
      </c>
      <c r="C291" s="5">
        <v>192.2</v>
      </c>
    </row>
    <row r="292" spans="1:3" x14ac:dyDescent="0.35">
      <c r="A292" s="9">
        <v>40104</v>
      </c>
      <c r="B292">
        <f t="shared" si="5"/>
        <v>10</v>
      </c>
      <c r="C292" s="5">
        <v>204.4</v>
      </c>
    </row>
    <row r="293" spans="1:3" x14ac:dyDescent="0.35">
      <c r="A293" s="9">
        <v>40105</v>
      </c>
      <c r="B293">
        <f t="shared" si="5"/>
        <v>10</v>
      </c>
      <c r="C293" s="5">
        <v>216.8</v>
      </c>
    </row>
    <row r="294" spans="1:3" x14ac:dyDescent="0.35">
      <c r="A294" s="9">
        <v>40106</v>
      </c>
      <c r="B294">
        <f t="shared" si="5"/>
        <v>10</v>
      </c>
      <c r="C294" s="5">
        <v>217</v>
      </c>
    </row>
    <row r="295" spans="1:3" x14ac:dyDescent="0.35">
      <c r="A295" s="9">
        <v>40107</v>
      </c>
      <c r="B295">
        <f t="shared" si="5"/>
        <v>10</v>
      </c>
      <c r="C295" s="5">
        <v>207.9</v>
      </c>
    </row>
    <row r="296" spans="1:3" x14ac:dyDescent="0.35">
      <c r="A296" s="9">
        <v>40108</v>
      </c>
      <c r="B296">
        <f t="shared" si="5"/>
        <v>10</v>
      </c>
      <c r="C296" s="5">
        <v>196.5</v>
      </c>
    </row>
    <row r="297" spans="1:3" x14ac:dyDescent="0.35">
      <c r="A297" s="9">
        <v>40109</v>
      </c>
      <c r="B297">
        <f t="shared" si="5"/>
        <v>10</v>
      </c>
      <c r="C297" s="5">
        <v>189.3</v>
      </c>
    </row>
    <row r="298" spans="1:3" x14ac:dyDescent="0.35">
      <c r="A298" s="9">
        <v>40110</v>
      </c>
      <c r="B298">
        <f t="shared" si="5"/>
        <v>10</v>
      </c>
      <c r="C298" s="5">
        <v>192.2</v>
      </c>
    </row>
    <row r="299" spans="1:3" x14ac:dyDescent="0.35">
      <c r="A299" s="9">
        <v>40111</v>
      </c>
      <c r="B299">
        <f t="shared" si="5"/>
        <v>10</v>
      </c>
      <c r="C299" s="5">
        <v>197</v>
      </c>
    </row>
    <row r="300" spans="1:3" x14ac:dyDescent="0.35">
      <c r="A300" s="9">
        <v>40112</v>
      </c>
      <c r="B300">
        <f t="shared" si="5"/>
        <v>10</v>
      </c>
      <c r="C300" s="5">
        <v>200.6</v>
      </c>
    </row>
    <row r="301" spans="1:3" x14ac:dyDescent="0.35">
      <c r="A301" s="9">
        <v>40113</v>
      </c>
      <c r="B301">
        <f t="shared" si="5"/>
        <v>10</v>
      </c>
      <c r="C301" s="5">
        <v>206.2</v>
      </c>
    </row>
    <row r="302" spans="1:3" x14ac:dyDescent="0.35">
      <c r="A302" s="9">
        <v>40114</v>
      </c>
      <c r="B302">
        <f t="shared" si="5"/>
        <v>10</v>
      </c>
      <c r="C302" s="5">
        <v>213.5</v>
      </c>
    </row>
    <row r="303" spans="1:3" x14ac:dyDescent="0.35">
      <c r="A303" s="9">
        <v>40115</v>
      </c>
      <c r="B303">
        <f t="shared" si="5"/>
        <v>10</v>
      </c>
      <c r="C303" s="5">
        <v>215.5</v>
      </c>
    </row>
    <row r="304" spans="1:3" x14ac:dyDescent="0.35">
      <c r="A304" s="9">
        <v>40116</v>
      </c>
      <c r="B304">
        <f t="shared" si="5"/>
        <v>10</v>
      </c>
      <c r="C304" s="5">
        <v>216</v>
      </c>
    </row>
    <row r="305" spans="1:3" x14ac:dyDescent="0.35">
      <c r="A305" s="9">
        <v>40117</v>
      </c>
      <c r="B305">
        <f t="shared" si="5"/>
        <v>10</v>
      </c>
      <c r="C305" s="5">
        <v>218.7</v>
      </c>
    </row>
    <row r="306" spans="1:3" x14ac:dyDescent="0.35">
      <c r="A306" s="9">
        <v>40118</v>
      </c>
      <c r="B306">
        <f t="shared" si="5"/>
        <v>11</v>
      </c>
      <c r="C306" s="5">
        <v>221.1</v>
      </c>
    </row>
    <row r="307" spans="1:3" x14ac:dyDescent="0.35">
      <c r="A307" s="9">
        <v>40119</v>
      </c>
      <c r="B307">
        <f t="shared" si="5"/>
        <v>11</v>
      </c>
      <c r="C307" s="5">
        <v>238.3</v>
      </c>
    </row>
    <row r="308" spans="1:3" x14ac:dyDescent="0.35">
      <c r="A308" s="9">
        <v>40120</v>
      </c>
      <c r="B308">
        <f t="shared" si="5"/>
        <v>11</v>
      </c>
      <c r="C308" s="5">
        <v>243.6</v>
      </c>
    </row>
    <row r="309" spans="1:3" x14ac:dyDescent="0.35">
      <c r="A309" s="9">
        <v>40121</v>
      </c>
      <c r="B309">
        <f t="shared" si="5"/>
        <v>11</v>
      </c>
      <c r="C309" s="5">
        <v>247.6</v>
      </c>
    </row>
    <row r="310" spans="1:3" x14ac:dyDescent="0.35">
      <c r="A310" s="9">
        <v>40122</v>
      </c>
      <c r="B310">
        <f t="shared" si="5"/>
        <v>11</v>
      </c>
      <c r="C310" s="5">
        <v>252.9</v>
      </c>
    </row>
    <row r="311" spans="1:3" x14ac:dyDescent="0.35">
      <c r="A311" s="9">
        <v>40123</v>
      </c>
      <c r="B311">
        <f t="shared" si="5"/>
        <v>11</v>
      </c>
      <c r="C311" s="5">
        <v>253.9</v>
      </c>
    </row>
    <row r="312" spans="1:3" x14ac:dyDescent="0.35">
      <c r="A312" s="9">
        <v>40124</v>
      </c>
      <c r="B312">
        <f t="shared" si="5"/>
        <v>11</v>
      </c>
      <c r="C312" s="5">
        <v>252.4</v>
      </c>
    </row>
    <row r="313" spans="1:3" x14ac:dyDescent="0.35">
      <c r="A313" s="9">
        <v>40125</v>
      </c>
      <c r="B313">
        <f t="shared" si="5"/>
        <v>11</v>
      </c>
      <c r="C313" s="5">
        <v>244</v>
      </c>
    </row>
    <row r="314" spans="1:3" x14ac:dyDescent="0.35">
      <c r="A314" s="9">
        <v>40126</v>
      </c>
      <c r="B314">
        <f t="shared" si="5"/>
        <v>11</v>
      </c>
      <c r="C314" s="5">
        <v>233.7</v>
      </c>
    </row>
    <row r="315" spans="1:3" x14ac:dyDescent="0.35">
      <c r="A315" s="9">
        <v>40127</v>
      </c>
      <c r="B315">
        <f t="shared" si="5"/>
        <v>11</v>
      </c>
      <c r="C315" s="5">
        <v>235</v>
      </c>
    </row>
    <row r="316" spans="1:3" x14ac:dyDescent="0.35">
      <c r="A316" s="9">
        <v>40128</v>
      </c>
      <c r="B316">
        <f t="shared" si="5"/>
        <v>11</v>
      </c>
      <c r="C316" s="5">
        <v>248.9</v>
      </c>
    </row>
    <row r="317" spans="1:3" x14ac:dyDescent="0.35">
      <c r="A317" s="9">
        <v>40129</v>
      </c>
      <c r="B317">
        <f t="shared" si="5"/>
        <v>11</v>
      </c>
      <c r="C317" s="5">
        <v>255.8</v>
      </c>
    </row>
    <row r="318" spans="1:3" x14ac:dyDescent="0.35">
      <c r="A318" s="9">
        <v>40130</v>
      </c>
      <c r="B318">
        <f t="shared" si="5"/>
        <v>11</v>
      </c>
      <c r="C318" s="5">
        <v>246.6</v>
      </c>
    </row>
    <row r="319" spans="1:3" x14ac:dyDescent="0.35">
      <c r="A319" s="9">
        <v>40131</v>
      </c>
      <c r="B319">
        <f t="shared" si="5"/>
        <v>11</v>
      </c>
      <c r="C319" s="5">
        <v>229</v>
      </c>
    </row>
    <row r="320" spans="1:3" x14ac:dyDescent="0.35">
      <c r="A320" s="9">
        <v>40132</v>
      </c>
      <c r="B320">
        <f t="shared" si="5"/>
        <v>11</v>
      </c>
      <c r="C320" s="5">
        <v>212.7</v>
      </c>
    </row>
    <row r="321" spans="1:3" x14ac:dyDescent="0.35">
      <c r="A321" s="9">
        <v>40133</v>
      </c>
      <c r="B321">
        <f t="shared" si="5"/>
        <v>11</v>
      </c>
      <c r="C321" s="5">
        <v>202.9</v>
      </c>
    </row>
    <row r="322" spans="1:3" x14ac:dyDescent="0.35">
      <c r="A322" s="9">
        <v>40134</v>
      </c>
      <c r="B322">
        <f t="shared" si="5"/>
        <v>11</v>
      </c>
      <c r="C322" s="5">
        <v>192.4</v>
      </c>
    </row>
    <row r="323" spans="1:3" x14ac:dyDescent="0.35">
      <c r="A323" s="9">
        <v>40135</v>
      </c>
      <c r="B323">
        <f t="shared" si="5"/>
        <v>11</v>
      </c>
      <c r="C323" s="5">
        <v>186.7</v>
      </c>
    </row>
    <row r="324" spans="1:3" x14ac:dyDescent="0.35">
      <c r="A324" s="9">
        <v>40136</v>
      </c>
      <c r="B324">
        <f t="shared" ref="B324:B387" si="6">MONTH(A324)</f>
        <v>11</v>
      </c>
      <c r="C324" s="5">
        <v>192.4</v>
      </c>
    </row>
    <row r="325" spans="1:3" x14ac:dyDescent="0.35">
      <c r="A325" s="9">
        <v>40137</v>
      </c>
      <c r="B325">
        <f t="shared" si="6"/>
        <v>11</v>
      </c>
      <c r="C325" s="5">
        <v>208</v>
      </c>
    </row>
    <row r="326" spans="1:3" x14ac:dyDescent="0.35">
      <c r="A326" s="9">
        <v>40138</v>
      </c>
      <c r="B326">
        <f t="shared" si="6"/>
        <v>11</v>
      </c>
      <c r="C326" s="5">
        <v>219.4</v>
      </c>
    </row>
    <row r="327" spans="1:3" x14ac:dyDescent="0.35">
      <c r="A327" s="9">
        <v>40139</v>
      </c>
      <c r="B327">
        <f t="shared" si="6"/>
        <v>11</v>
      </c>
      <c r="C327" s="5">
        <v>217.6</v>
      </c>
    </row>
    <row r="328" spans="1:3" x14ac:dyDescent="0.35">
      <c r="A328" s="9">
        <v>40140</v>
      </c>
      <c r="B328">
        <f t="shared" si="6"/>
        <v>11</v>
      </c>
      <c r="C328" s="5">
        <v>207.6</v>
      </c>
    </row>
    <row r="329" spans="1:3" x14ac:dyDescent="0.35">
      <c r="A329" s="9">
        <v>40141</v>
      </c>
      <c r="B329">
        <f t="shared" si="6"/>
        <v>11</v>
      </c>
      <c r="C329" s="5">
        <v>191.1</v>
      </c>
    </row>
    <row r="330" spans="1:3" x14ac:dyDescent="0.35">
      <c r="A330" s="9">
        <v>40142</v>
      </c>
      <c r="B330">
        <f t="shared" si="6"/>
        <v>11</v>
      </c>
      <c r="C330" s="5">
        <v>181.8</v>
      </c>
    </row>
    <row r="331" spans="1:3" x14ac:dyDescent="0.35">
      <c r="A331" s="9">
        <v>40143</v>
      </c>
      <c r="B331">
        <f t="shared" si="6"/>
        <v>11</v>
      </c>
      <c r="C331" s="5">
        <v>186.7</v>
      </c>
    </row>
    <row r="332" spans="1:3" x14ac:dyDescent="0.35">
      <c r="A332" s="9">
        <v>40144</v>
      </c>
      <c r="B332">
        <f t="shared" si="6"/>
        <v>11</v>
      </c>
      <c r="C332" s="5">
        <v>198.6</v>
      </c>
    </row>
    <row r="333" spans="1:3" x14ac:dyDescent="0.35">
      <c r="A333" s="9">
        <v>40145</v>
      </c>
      <c r="B333">
        <f t="shared" si="6"/>
        <v>11</v>
      </c>
      <c r="C333" s="5">
        <v>209.5</v>
      </c>
    </row>
    <row r="334" spans="1:3" x14ac:dyDescent="0.35">
      <c r="A334" s="9">
        <v>40146</v>
      </c>
      <c r="B334">
        <f t="shared" si="6"/>
        <v>11</v>
      </c>
      <c r="C334" s="5">
        <v>216.5</v>
      </c>
    </row>
    <row r="335" spans="1:3" x14ac:dyDescent="0.35">
      <c r="A335" s="9">
        <v>40147</v>
      </c>
      <c r="B335">
        <f t="shared" si="6"/>
        <v>11</v>
      </c>
      <c r="C335" s="5">
        <v>220.2</v>
      </c>
    </row>
    <row r="336" spans="1:3" x14ac:dyDescent="0.35">
      <c r="A336" s="9">
        <v>40148</v>
      </c>
      <c r="B336">
        <f t="shared" si="6"/>
        <v>12</v>
      </c>
      <c r="C336" s="5">
        <v>214.6</v>
      </c>
    </row>
    <row r="337" spans="1:3" x14ac:dyDescent="0.35">
      <c r="A337" s="9">
        <v>40149</v>
      </c>
      <c r="B337">
        <f t="shared" si="6"/>
        <v>12</v>
      </c>
      <c r="C337" s="5">
        <v>220.7</v>
      </c>
    </row>
    <row r="338" spans="1:3" x14ac:dyDescent="0.35">
      <c r="A338" s="9">
        <v>40150</v>
      </c>
      <c r="B338">
        <f t="shared" si="6"/>
        <v>12</v>
      </c>
      <c r="C338" s="5">
        <v>220.7</v>
      </c>
    </row>
    <row r="339" spans="1:3" x14ac:dyDescent="0.35">
      <c r="A339" s="9">
        <v>40151</v>
      </c>
      <c r="B339">
        <f t="shared" si="6"/>
        <v>12</v>
      </c>
      <c r="C339" s="5">
        <v>221.5</v>
      </c>
    </row>
    <row r="340" spans="1:3" x14ac:dyDescent="0.35">
      <c r="A340" s="9">
        <v>40152</v>
      </c>
      <c r="B340">
        <f t="shared" si="6"/>
        <v>12</v>
      </c>
      <c r="C340" s="5">
        <v>220.4</v>
      </c>
    </row>
    <row r="341" spans="1:3" x14ac:dyDescent="0.35">
      <c r="A341" s="9">
        <v>40153</v>
      </c>
      <c r="B341">
        <f t="shared" si="6"/>
        <v>12</v>
      </c>
      <c r="C341" s="5">
        <v>215.1</v>
      </c>
    </row>
    <row r="342" spans="1:3" x14ac:dyDescent="0.35">
      <c r="A342" s="9">
        <v>40154</v>
      </c>
      <c r="B342">
        <f t="shared" si="6"/>
        <v>12</v>
      </c>
      <c r="C342" s="5">
        <v>209.1</v>
      </c>
    </row>
    <row r="343" spans="1:3" x14ac:dyDescent="0.35">
      <c r="A343" s="9">
        <v>40155</v>
      </c>
      <c r="B343">
        <f t="shared" si="6"/>
        <v>12</v>
      </c>
      <c r="C343" s="5">
        <v>211.8</v>
      </c>
    </row>
    <row r="344" spans="1:3" x14ac:dyDescent="0.35">
      <c r="A344" s="9">
        <v>40156</v>
      </c>
      <c r="B344">
        <f t="shared" si="6"/>
        <v>12</v>
      </c>
      <c r="C344" s="5">
        <v>223.7</v>
      </c>
    </row>
    <row r="345" spans="1:3" x14ac:dyDescent="0.35">
      <c r="A345" s="9">
        <v>40157</v>
      </c>
      <c r="B345">
        <f t="shared" si="6"/>
        <v>12</v>
      </c>
      <c r="C345" s="5">
        <v>235.9</v>
      </c>
    </row>
    <row r="346" spans="1:3" x14ac:dyDescent="0.35">
      <c r="A346" s="9">
        <v>40158</v>
      </c>
      <c r="B346">
        <f t="shared" si="6"/>
        <v>12</v>
      </c>
      <c r="C346" s="5">
        <v>243.8</v>
      </c>
    </row>
    <row r="347" spans="1:3" x14ac:dyDescent="0.35">
      <c r="A347" s="9">
        <v>40159</v>
      </c>
      <c r="B347">
        <f t="shared" si="6"/>
        <v>12</v>
      </c>
      <c r="C347" s="5">
        <v>238.1</v>
      </c>
    </row>
    <row r="348" spans="1:3" x14ac:dyDescent="0.35">
      <c r="A348" s="9">
        <v>40160</v>
      </c>
      <c r="B348">
        <f t="shared" si="6"/>
        <v>12</v>
      </c>
      <c r="C348" s="5">
        <v>224.9</v>
      </c>
    </row>
    <row r="349" spans="1:3" x14ac:dyDescent="0.35">
      <c r="A349" s="9">
        <v>40161</v>
      </c>
      <c r="B349">
        <f t="shared" si="6"/>
        <v>12</v>
      </c>
      <c r="C349" s="5">
        <v>211.2</v>
      </c>
    </row>
    <row r="350" spans="1:3" x14ac:dyDescent="0.35">
      <c r="A350" s="9">
        <v>40162</v>
      </c>
      <c r="B350">
        <f t="shared" si="6"/>
        <v>12</v>
      </c>
      <c r="C350" s="5">
        <v>209.4</v>
      </c>
    </row>
    <row r="351" spans="1:3" x14ac:dyDescent="0.35">
      <c r="A351" s="9">
        <v>40163</v>
      </c>
      <c r="B351">
        <f t="shared" si="6"/>
        <v>12</v>
      </c>
      <c r="C351" s="5">
        <v>221.1</v>
      </c>
    </row>
    <row r="352" spans="1:3" x14ac:dyDescent="0.35">
      <c r="A352" s="9">
        <v>40164</v>
      </c>
      <c r="B352">
        <f t="shared" si="6"/>
        <v>12</v>
      </c>
      <c r="C352" s="5">
        <v>237.9</v>
      </c>
    </row>
    <row r="353" spans="1:3" x14ac:dyDescent="0.35">
      <c r="A353" s="9">
        <v>40165</v>
      </c>
      <c r="B353">
        <f t="shared" si="6"/>
        <v>12</v>
      </c>
      <c r="C353" s="5">
        <v>247.8</v>
      </c>
    </row>
    <row r="354" spans="1:3" x14ac:dyDescent="0.35">
      <c r="A354" s="9">
        <v>40166</v>
      </c>
      <c r="B354">
        <f t="shared" si="6"/>
        <v>12</v>
      </c>
      <c r="C354" s="5">
        <v>252.8</v>
      </c>
    </row>
    <row r="355" spans="1:3" x14ac:dyDescent="0.35">
      <c r="A355" s="9">
        <v>40167</v>
      </c>
      <c r="B355">
        <f t="shared" si="6"/>
        <v>12</v>
      </c>
      <c r="C355" s="5">
        <v>249</v>
      </c>
    </row>
    <row r="356" spans="1:3" x14ac:dyDescent="0.35">
      <c r="A356" s="9">
        <v>40168</v>
      </c>
      <c r="B356">
        <f t="shared" si="6"/>
        <v>12</v>
      </c>
      <c r="C356" s="5">
        <v>238.5</v>
      </c>
    </row>
    <row r="357" spans="1:3" x14ac:dyDescent="0.35">
      <c r="A357" s="9">
        <v>40169</v>
      </c>
      <c r="B357">
        <f t="shared" si="6"/>
        <v>12</v>
      </c>
      <c r="C357" s="5">
        <v>232.8</v>
      </c>
    </row>
    <row r="358" spans="1:3" x14ac:dyDescent="0.35">
      <c r="A358" s="9">
        <v>40170</v>
      </c>
      <c r="B358">
        <f t="shared" si="6"/>
        <v>12</v>
      </c>
      <c r="C358" s="5">
        <v>233.9</v>
      </c>
    </row>
    <row r="359" spans="1:3" x14ac:dyDescent="0.35">
      <c r="A359" s="9">
        <v>40171</v>
      </c>
      <c r="B359">
        <f t="shared" si="6"/>
        <v>12</v>
      </c>
      <c r="C359" s="5">
        <v>233.2</v>
      </c>
    </row>
    <row r="360" spans="1:3" x14ac:dyDescent="0.35">
      <c r="A360" s="9">
        <v>40172</v>
      </c>
      <c r="B360">
        <f t="shared" si="6"/>
        <v>12</v>
      </c>
      <c r="C360" s="5">
        <v>230.8</v>
      </c>
    </row>
    <row r="361" spans="1:3" x14ac:dyDescent="0.35">
      <c r="A361" s="9">
        <v>40173</v>
      </c>
      <c r="B361">
        <f t="shared" si="6"/>
        <v>12</v>
      </c>
      <c r="C361" s="5">
        <v>222.7</v>
      </c>
    </row>
    <row r="362" spans="1:3" x14ac:dyDescent="0.35">
      <c r="A362" s="9">
        <v>40174</v>
      </c>
      <c r="B362">
        <f t="shared" si="6"/>
        <v>12</v>
      </c>
      <c r="C362" s="5">
        <v>214.1</v>
      </c>
    </row>
    <row r="363" spans="1:3" x14ac:dyDescent="0.35">
      <c r="A363" s="9">
        <v>40175</v>
      </c>
      <c r="B363">
        <f t="shared" si="6"/>
        <v>12</v>
      </c>
      <c r="C363" s="5">
        <v>214.1</v>
      </c>
    </row>
    <row r="364" spans="1:3" x14ac:dyDescent="0.35">
      <c r="A364" s="9">
        <v>40176</v>
      </c>
      <c r="B364">
        <f t="shared" si="6"/>
        <v>12</v>
      </c>
      <c r="C364" s="5">
        <v>216.1</v>
      </c>
    </row>
    <row r="365" spans="1:3" x14ac:dyDescent="0.35">
      <c r="A365" s="9">
        <v>40177</v>
      </c>
      <c r="B365">
        <f t="shared" si="6"/>
        <v>12</v>
      </c>
      <c r="C365" s="5">
        <v>217.8</v>
      </c>
    </row>
    <row r="366" spans="1:3" x14ac:dyDescent="0.35">
      <c r="A366" s="9">
        <v>40178</v>
      </c>
      <c r="B366">
        <f t="shared" si="6"/>
        <v>12</v>
      </c>
      <c r="C366" s="5">
        <v>225.1</v>
      </c>
    </row>
    <row r="367" spans="1:3" x14ac:dyDescent="0.35">
      <c r="A367" s="9">
        <v>40179</v>
      </c>
      <c r="B367">
        <f t="shared" si="6"/>
        <v>1</v>
      </c>
      <c r="C367" s="5">
        <v>240.3</v>
      </c>
    </row>
    <row r="368" spans="1:3" x14ac:dyDescent="0.35">
      <c r="A368" s="9">
        <v>40180</v>
      </c>
      <c r="B368">
        <f t="shared" si="6"/>
        <v>1</v>
      </c>
      <c r="C368" s="5">
        <v>246.4</v>
      </c>
    </row>
    <row r="369" spans="1:3" x14ac:dyDescent="0.35">
      <c r="A369" s="9">
        <v>40181</v>
      </c>
      <c r="B369">
        <f t="shared" si="6"/>
        <v>1</v>
      </c>
      <c r="C369" s="5">
        <v>245.7</v>
      </c>
    </row>
    <row r="370" spans="1:3" x14ac:dyDescent="0.35">
      <c r="A370" s="9">
        <v>40182</v>
      </c>
      <c r="B370">
        <f t="shared" si="6"/>
        <v>1</v>
      </c>
      <c r="C370" s="5">
        <v>237.3</v>
      </c>
    </row>
    <row r="371" spans="1:3" x14ac:dyDescent="0.35">
      <c r="A371" s="9">
        <v>40183</v>
      </c>
      <c r="B371">
        <f t="shared" si="6"/>
        <v>1</v>
      </c>
      <c r="C371" s="5">
        <v>223.1</v>
      </c>
    </row>
    <row r="372" spans="1:3" x14ac:dyDescent="0.35">
      <c r="A372" s="9">
        <v>40184</v>
      </c>
      <c r="B372">
        <f t="shared" si="6"/>
        <v>1</v>
      </c>
      <c r="C372" s="5">
        <v>207.3</v>
      </c>
    </row>
    <row r="373" spans="1:3" x14ac:dyDescent="0.35">
      <c r="A373" s="9">
        <v>40185</v>
      </c>
      <c r="B373">
        <f t="shared" si="6"/>
        <v>1</v>
      </c>
      <c r="C373" s="5">
        <v>192.1</v>
      </c>
    </row>
    <row r="374" spans="1:3" x14ac:dyDescent="0.35">
      <c r="A374" s="9">
        <v>40186</v>
      </c>
      <c r="B374">
        <f t="shared" si="6"/>
        <v>1</v>
      </c>
      <c r="C374" s="5">
        <v>177.7</v>
      </c>
    </row>
    <row r="375" spans="1:3" x14ac:dyDescent="0.35">
      <c r="A375" s="9">
        <v>40187</v>
      </c>
      <c r="B375">
        <f t="shared" si="6"/>
        <v>1</v>
      </c>
      <c r="C375" s="5">
        <v>167.7</v>
      </c>
    </row>
    <row r="376" spans="1:3" x14ac:dyDescent="0.35">
      <c r="A376" s="9">
        <v>40188</v>
      </c>
      <c r="B376">
        <f t="shared" si="6"/>
        <v>1</v>
      </c>
      <c r="C376" s="5">
        <v>167.6</v>
      </c>
    </row>
    <row r="377" spans="1:3" x14ac:dyDescent="0.35">
      <c r="A377" s="9">
        <v>40189</v>
      </c>
      <c r="B377">
        <f t="shared" si="6"/>
        <v>1</v>
      </c>
      <c r="C377" s="5">
        <v>177</v>
      </c>
    </row>
    <row r="378" spans="1:3" x14ac:dyDescent="0.35">
      <c r="A378" s="9">
        <v>40190</v>
      </c>
      <c r="B378">
        <f t="shared" si="6"/>
        <v>1</v>
      </c>
      <c r="C378" s="5">
        <v>192.6</v>
      </c>
    </row>
    <row r="379" spans="1:3" x14ac:dyDescent="0.35">
      <c r="A379" s="9">
        <v>40191</v>
      </c>
      <c r="B379">
        <f t="shared" si="6"/>
        <v>1</v>
      </c>
      <c r="C379" s="5">
        <v>204.9</v>
      </c>
    </row>
    <row r="380" spans="1:3" x14ac:dyDescent="0.35">
      <c r="A380" s="9">
        <v>40192</v>
      </c>
      <c r="B380">
        <f t="shared" si="6"/>
        <v>1</v>
      </c>
      <c r="C380" s="5">
        <v>214.5</v>
      </c>
    </row>
    <row r="381" spans="1:3" x14ac:dyDescent="0.35">
      <c r="A381" s="9">
        <v>40193</v>
      </c>
      <c r="B381">
        <f t="shared" si="6"/>
        <v>1</v>
      </c>
      <c r="C381" s="5">
        <v>217.3</v>
      </c>
    </row>
    <row r="382" spans="1:3" x14ac:dyDescent="0.35">
      <c r="A382" s="9">
        <v>40194</v>
      </c>
      <c r="B382">
        <f t="shared" si="6"/>
        <v>1</v>
      </c>
      <c r="C382" s="5">
        <v>207.8</v>
      </c>
    </row>
    <row r="383" spans="1:3" x14ac:dyDescent="0.35">
      <c r="A383" s="9">
        <v>40195</v>
      </c>
      <c r="B383">
        <f t="shared" si="6"/>
        <v>1</v>
      </c>
      <c r="C383" s="5">
        <v>195</v>
      </c>
    </row>
    <row r="384" spans="1:3" x14ac:dyDescent="0.35">
      <c r="A384" s="9">
        <v>40196</v>
      </c>
      <c r="B384">
        <f t="shared" si="6"/>
        <v>1</v>
      </c>
      <c r="C384" s="5">
        <v>187.5</v>
      </c>
    </row>
    <row r="385" spans="1:3" x14ac:dyDescent="0.35">
      <c r="A385" s="9">
        <v>40197</v>
      </c>
      <c r="B385">
        <f t="shared" si="6"/>
        <v>1</v>
      </c>
      <c r="C385" s="5">
        <v>188.3</v>
      </c>
    </row>
    <row r="386" spans="1:3" x14ac:dyDescent="0.35">
      <c r="A386" s="9">
        <v>40198</v>
      </c>
      <c r="B386">
        <f t="shared" si="6"/>
        <v>1</v>
      </c>
      <c r="C386" s="5">
        <v>191.1</v>
      </c>
    </row>
    <row r="387" spans="1:3" x14ac:dyDescent="0.35">
      <c r="A387" s="9">
        <v>40199</v>
      </c>
      <c r="B387">
        <f t="shared" si="6"/>
        <v>1</v>
      </c>
      <c r="C387" s="5">
        <v>190.8</v>
      </c>
    </row>
    <row r="388" spans="1:3" x14ac:dyDescent="0.35">
      <c r="A388" s="9">
        <v>40200</v>
      </c>
      <c r="B388">
        <f t="shared" ref="B388:B451" si="7">MONTH(A388)</f>
        <v>1</v>
      </c>
      <c r="C388" s="5">
        <v>185.9</v>
      </c>
    </row>
    <row r="389" spans="1:3" x14ac:dyDescent="0.35">
      <c r="A389" s="9">
        <v>40201</v>
      </c>
      <c r="B389">
        <f t="shared" si="7"/>
        <v>1</v>
      </c>
      <c r="C389" s="5">
        <v>176.7</v>
      </c>
    </row>
    <row r="390" spans="1:3" x14ac:dyDescent="0.35">
      <c r="A390" s="9">
        <v>40202</v>
      </c>
      <c r="B390">
        <f t="shared" si="7"/>
        <v>1</v>
      </c>
      <c r="C390" s="5">
        <v>170.9</v>
      </c>
    </row>
    <row r="391" spans="1:3" x14ac:dyDescent="0.35">
      <c r="A391" s="9">
        <v>40203</v>
      </c>
      <c r="B391">
        <f t="shared" si="7"/>
        <v>1</v>
      </c>
      <c r="C391" s="5">
        <v>170.3</v>
      </c>
    </row>
    <row r="392" spans="1:3" x14ac:dyDescent="0.35">
      <c r="A392" s="9">
        <v>40204</v>
      </c>
      <c r="B392">
        <f t="shared" si="7"/>
        <v>1</v>
      </c>
      <c r="C392" s="5">
        <v>177.7</v>
      </c>
    </row>
    <row r="393" spans="1:3" x14ac:dyDescent="0.35">
      <c r="A393" s="9">
        <v>40205</v>
      </c>
      <c r="B393">
        <f t="shared" si="7"/>
        <v>1</v>
      </c>
      <c r="C393" s="5">
        <v>189.1</v>
      </c>
    </row>
    <row r="394" spans="1:3" x14ac:dyDescent="0.35">
      <c r="A394" s="9">
        <v>40206</v>
      </c>
      <c r="B394">
        <f t="shared" si="7"/>
        <v>1</v>
      </c>
      <c r="C394" s="5">
        <v>203.9</v>
      </c>
    </row>
    <row r="395" spans="1:3" x14ac:dyDescent="0.35">
      <c r="A395" s="9">
        <v>40207</v>
      </c>
      <c r="B395">
        <f t="shared" si="7"/>
        <v>1</v>
      </c>
      <c r="C395" s="5">
        <v>219</v>
      </c>
    </row>
    <row r="396" spans="1:3" x14ac:dyDescent="0.35">
      <c r="A396" s="9">
        <v>40208</v>
      </c>
      <c r="B396">
        <f t="shared" si="7"/>
        <v>1</v>
      </c>
      <c r="C396" s="5">
        <v>227.1</v>
      </c>
    </row>
    <row r="397" spans="1:3" x14ac:dyDescent="0.35">
      <c r="A397" s="9">
        <v>40209</v>
      </c>
      <c r="B397">
        <f t="shared" si="7"/>
        <v>1</v>
      </c>
      <c r="C397" s="5">
        <v>220.8</v>
      </c>
    </row>
    <row r="398" spans="1:3" x14ac:dyDescent="0.35">
      <c r="A398" s="9">
        <v>40210</v>
      </c>
      <c r="B398">
        <f t="shared" si="7"/>
        <v>2</v>
      </c>
      <c r="C398" s="5">
        <v>204.3</v>
      </c>
    </row>
    <row r="399" spans="1:3" x14ac:dyDescent="0.35">
      <c r="A399" s="9">
        <v>40211</v>
      </c>
      <c r="B399">
        <f t="shared" si="7"/>
        <v>2</v>
      </c>
      <c r="C399" s="5">
        <v>173.1</v>
      </c>
    </row>
    <row r="400" spans="1:3" x14ac:dyDescent="0.35">
      <c r="A400" s="9">
        <v>40212</v>
      </c>
      <c r="B400">
        <f t="shared" si="7"/>
        <v>2</v>
      </c>
      <c r="C400" s="5">
        <v>171.8</v>
      </c>
    </row>
    <row r="401" spans="1:3" x14ac:dyDescent="0.35">
      <c r="A401" s="9">
        <v>40213</v>
      </c>
      <c r="B401">
        <f t="shared" si="7"/>
        <v>2</v>
      </c>
      <c r="C401" s="5">
        <v>178.9</v>
      </c>
    </row>
    <row r="402" spans="1:3" x14ac:dyDescent="0.35">
      <c r="A402" s="9">
        <v>40214</v>
      </c>
      <c r="B402">
        <f t="shared" si="7"/>
        <v>2</v>
      </c>
      <c r="C402" s="5">
        <v>178.2</v>
      </c>
    </row>
    <row r="403" spans="1:3" x14ac:dyDescent="0.35">
      <c r="A403" s="9">
        <v>40215</v>
      </c>
      <c r="B403">
        <f t="shared" si="7"/>
        <v>2</v>
      </c>
      <c r="C403" s="5">
        <v>169.9</v>
      </c>
    </row>
    <row r="404" spans="1:3" x14ac:dyDescent="0.35">
      <c r="A404" s="9">
        <v>40216</v>
      </c>
      <c r="B404">
        <f t="shared" si="7"/>
        <v>2</v>
      </c>
      <c r="C404" s="5">
        <v>161.30000000000001</v>
      </c>
    </row>
    <row r="405" spans="1:3" x14ac:dyDescent="0.35">
      <c r="A405" s="9">
        <v>40217</v>
      </c>
      <c r="B405">
        <f t="shared" si="7"/>
        <v>2</v>
      </c>
      <c r="C405" s="5">
        <v>156.19999999999999</v>
      </c>
    </row>
    <row r="406" spans="1:3" x14ac:dyDescent="0.35">
      <c r="A406" s="9">
        <v>40218</v>
      </c>
      <c r="B406">
        <f t="shared" si="7"/>
        <v>2</v>
      </c>
      <c r="C406" s="5">
        <v>158.6</v>
      </c>
    </row>
    <row r="407" spans="1:3" x14ac:dyDescent="0.35">
      <c r="A407" s="9">
        <v>40219</v>
      </c>
      <c r="B407">
        <f t="shared" si="7"/>
        <v>2</v>
      </c>
      <c r="C407" s="5">
        <v>168.9</v>
      </c>
    </row>
    <row r="408" spans="1:3" x14ac:dyDescent="0.35">
      <c r="A408" s="9">
        <v>40220</v>
      </c>
      <c r="B408">
        <f t="shared" si="7"/>
        <v>2</v>
      </c>
      <c r="C408" s="5">
        <v>181.6</v>
      </c>
    </row>
    <row r="409" spans="1:3" x14ac:dyDescent="0.35">
      <c r="A409" s="9">
        <v>40221</v>
      </c>
      <c r="B409">
        <f t="shared" si="7"/>
        <v>2</v>
      </c>
      <c r="C409" s="5">
        <v>183.1</v>
      </c>
    </row>
    <row r="410" spans="1:3" x14ac:dyDescent="0.35">
      <c r="A410" s="9">
        <v>40222</v>
      </c>
      <c r="B410">
        <f t="shared" si="7"/>
        <v>2</v>
      </c>
      <c r="C410" s="5">
        <v>173.6</v>
      </c>
    </row>
    <row r="411" spans="1:3" x14ac:dyDescent="0.35">
      <c r="A411" s="9">
        <v>40223</v>
      </c>
      <c r="B411">
        <f t="shared" si="7"/>
        <v>2</v>
      </c>
      <c r="C411" s="5">
        <v>164.8</v>
      </c>
    </row>
    <row r="412" spans="1:3" x14ac:dyDescent="0.35">
      <c r="A412" s="9">
        <v>40224</v>
      </c>
      <c r="B412">
        <f t="shared" si="7"/>
        <v>2</v>
      </c>
      <c r="C412" s="5">
        <v>169.6</v>
      </c>
    </row>
    <row r="413" spans="1:3" x14ac:dyDescent="0.35">
      <c r="A413" s="9">
        <v>40225</v>
      </c>
      <c r="B413">
        <f t="shared" si="7"/>
        <v>2</v>
      </c>
      <c r="C413" s="5">
        <v>186.4</v>
      </c>
    </row>
    <row r="414" spans="1:3" x14ac:dyDescent="0.35">
      <c r="A414" s="9">
        <v>40226</v>
      </c>
      <c r="B414">
        <f t="shared" si="7"/>
        <v>2</v>
      </c>
      <c r="C414" s="5">
        <v>197.9</v>
      </c>
    </row>
    <row r="415" spans="1:3" x14ac:dyDescent="0.35">
      <c r="A415" s="9">
        <v>40227</v>
      </c>
      <c r="B415">
        <f t="shared" si="7"/>
        <v>2</v>
      </c>
      <c r="C415" s="5">
        <v>190.6</v>
      </c>
    </row>
    <row r="416" spans="1:3" x14ac:dyDescent="0.35">
      <c r="A416" s="9">
        <v>40228</v>
      </c>
      <c r="B416">
        <f t="shared" si="7"/>
        <v>2</v>
      </c>
      <c r="C416" s="5">
        <v>176.8</v>
      </c>
    </row>
    <row r="417" spans="1:3" x14ac:dyDescent="0.35">
      <c r="A417" s="9">
        <v>40229</v>
      </c>
      <c r="B417">
        <f t="shared" si="7"/>
        <v>2</v>
      </c>
      <c r="C417" s="5">
        <v>171.9</v>
      </c>
    </row>
    <row r="418" spans="1:3" x14ac:dyDescent="0.35">
      <c r="A418" s="9">
        <v>40230</v>
      </c>
      <c r="B418">
        <f t="shared" si="7"/>
        <v>2</v>
      </c>
      <c r="C418" s="5">
        <v>183.3</v>
      </c>
    </row>
    <row r="419" spans="1:3" x14ac:dyDescent="0.35">
      <c r="A419" s="9">
        <v>40231</v>
      </c>
      <c r="B419">
        <f t="shared" si="7"/>
        <v>2</v>
      </c>
      <c r="C419" s="5">
        <v>198.1</v>
      </c>
    </row>
    <row r="420" spans="1:3" x14ac:dyDescent="0.35">
      <c r="A420" s="9">
        <v>40232</v>
      </c>
      <c r="B420">
        <f t="shared" si="7"/>
        <v>2</v>
      </c>
      <c r="C420" s="5">
        <v>206.9</v>
      </c>
    </row>
    <row r="421" spans="1:3" x14ac:dyDescent="0.35">
      <c r="A421" s="9">
        <v>40233</v>
      </c>
      <c r="B421">
        <f t="shared" si="7"/>
        <v>2</v>
      </c>
      <c r="C421" s="5">
        <v>213.5</v>
      </c>
    </row>
    <row r="422" spans="1:3" x14ac:dyDescent="0.35">
      <c r="A422" s="9">
        <v>40234</v>
      </c>
      <c r="B422">
        <f t="shared" si="7"/>
        <v>2</v>
      </c>
      <c r="C422" s="5">
        <v>221.5</v>
      </c>
    </row>
    <row r="423" spans="1:3" x14ac:dyDescent="0.35">
      <c r="A423" s="9">
        <v>40235</v>
      </c>
      <c r="B423">
        <f t="shared" si="7"/>
        <v>2</v>
      </c>
      <c r="C423" s="5">
        <v>222.3</v>
      </c>
    </row>
    <row r="424" spans="1:3" x14ac:dyDescent="0.35">
      <c r="A424" s="9">
        <v>40236</v>
      </c>
      <c r="B424">
        <f t="shared" si="7"/>
        <v>2</v>
      </c>
      <c r="C424" s="5">
        <v>211.5</v>
      </c>
    </row>
    <row r="425" spans="1:3" x14ac:dyDescent="0.35">
      <c r="A425" s="9">
        <v>40237</v>
      </c>
      <c r="B425">
        <f t="shared" si="7"/>
        <v>2</v>
      </c>
      <c r="C425" s="5">
        <v>197.1</v>
      </c>
    </row>
    <row r="426" spans="1:3" x14ac:dyDescent="0.35">
      <c r="A426" s="9">
        <v>40238</v>
      </c>
      <c r="B426">
        <f t="shared" si="7"/>
        <v>3</v>
      </c>
      <c r="C426" s="5">
        <v>190.6</v>
      </c>
    </row>
    <row r="427" spans="1:3" x14ac:dyDescent="0.35">
      <c r="A427" s="9">
        <v>40239</v>
      </c>
      <c r="B427">
        <f t="shared" si="7"/>
        <v>3</v>
      </c>
      <c r="C427" s="5">
        <v>201.9</v>
      </c>
    </row>
    <row r="428" spans="1:3" x14ac:dyDescent="0.35">
      <c r="A428" s="9">
        <v>40240</v>
      </c>
      <c r="B428">
        <f t="shared" si="7"/>
        <v>3</v>
      </c>
      <c r="C428" s="5">
        <v>208.7</v>
      </c>
    </row>
    <row r="429" spans="1:3" x14ac:dyDescent="0.35">
      <c r="A429" s="9">
        <v>40241</v>
      </c>
      <c r="B429">
        <f t="shared" si="7"/>
        <v>3</v>
      </c>
      <c r="C429" s="5">
        <v>200.2</v>
      </c>
    </row>
    <row r="430" spans="1:3" x14ac:dyDescent="0.35">
      <c r="A430" s="9">
        <v>40242</v>
      </c>
      <c r="B430">
        <f t="shared" si="7"/>
        <v>3</v>
      </c>
      <c r="C430" s="5">
        <v>184.6</v>
      </c>
    </row>
    <row r="431" spans="1:3" x14ac:dyDescent="0.35">
      <c r="A431" s="9">
        <v>40243</v>
      </c>
      <c r="B431">
        <f t="shared" si="7"/>
        <v>3</v>
      </c>
      <c r="C431" s="5">
        <v>176.3</v>
      </c>
    </row>
    <row r="432" spans="1:3" x14ac:dyDescent="0.35">
      <c r="A432" s="9">
        <v>40244</v>
      </c>
      <c r="B432">
        <f t="shared" si="7"/>
        <v>3</v>
      </c>
      <c r="C432" s="5">
        <v>181.1</v>
      </c>
    </row>
    <row r="433" spans="1:3" x14ac:dyDescent="0.35">
      <c r="A433" s="9">
        <v>40245</v>
      </c>
      <c r="B433">
        <f t="shared" si="7"/>
        <v>3</v>
      </c>
      <c r="C433" s="5">
        <v>192.8</v>
      </c>
    </row>
    <row r="434" spans="1:3" x14ac:dyDescent="0.35">
      <c r="A434" s="9">
        <v>40246</v>
      </c>
      <c r="B434">
        <f t="shared" si="7"/>
        <v>3</v>
      </c>
      <c r="C434" s="5">
        <v>199.2</v>
      </c>
    </row>
    <row r="435" spans="1:3" x14ac:dyDescent="0.35">
      <c r="A435" s="9">
        <v>40247</v>
      </c>
      <c r="B435">
        <f t="shared" si="7"/>
        <v>3</v>
      </c>
      <c r="C435" s="5">
        <v>202</v>
      </c>
    </row>
    <row r="436" spans="1:3" x14ac:dyDescent="0.35">
      <c r="A436" s="9">
        <v>40248</v>
      </c>
      <c r="B436">
        <f t="shared" si="7"/>
        <v>3</v>
      </c>
      <c r="C436" s="5">
        <v>199.8</v>
      </c>
    </row>
    <row r="437" spans="1:3" x14ac:dyDescent="0.35">
      <c r="A437" s="9">
        <v>40249</v>
      </c>
      <c r="B437">
        <f t="shared" si="7"/>
        <v>3</v>
      </c>
      <c r="C437" s="5">
        <v>192</v>
      </c>
    </row>
    <row r="438" spans="1:3" x14ac:dyDescent="0.35">
      <c r="A438" s="9">
        <v>40250</v>
      </c>
      <c r="B438">
        <f t="shared" si="7"/>
        <v>3</v>
      </c>
      <c r="C438" s="5">
        <v>185.6</v>
      </c>
    </row>
    <row r="439" spans="1:3" x14ac:dyDescent="0.35">
      <c r="A439" s="9">
        <v>40251</v>
      </c>
      <c r="B439">
        <f t="shared" si="7"/>
        <v>3</v>
      </c>
      <c r="C439" s="5">
        <v>189.3</v>
      </c>
    </row>
    <row r="440" spans="1:3" x14ac:dyDescent="0.35">
      <c r="A440" s="9">
        <v>40252</v>
      </c>
      <c r="B440">
        <f t="shared" si="7"/>
        <v>3</v>
      </c>
      <c r="C440" s="5">
        <v>200.3</v>
      </c>
    </row>
    <row r="441" spans="1:3" x14ac:dyDescent="0.35">
      <c r="A441" s="9">
        <v>40253</v>
      </c>
      <c r="B441">
        <f t="shared" si="7"/>
        <v>3</v>
      </c>
      <c r="C441" s="5">
        <v>210.6</v>
      </c>
    </row>
    <row r="442" spans="1:3" x14ac:dyDescent="0.35">
      <c r="A442" s="9">
        <v>40254</v>
      </c>
      <c r="B442">
        <f t="shared" si="7"/>
        <v>3</v>
      </c>
      <c r="C442" s="5">
        <v>205.4</v>
      </c>
    </row>
    <row r="443" spans="1:3" x14ac:dyDescent="0.35">
      <c r="A443" s="9">
        <v>40255</v>
      </c>
      <c r="B443">
        <f t="shared" si="7"/>
        <v>3</v>
      </c>
      <c r="C443" s="5">
        <v>198.1</v>
      </c>
    </row>
    <row r="444" spans="1:3" x14ac:dyDescent="0.35">
      <c r="A444" s="9">
        <v>40256</v>
      </c>
      <c r="B444">
        <f t="shared" si="7"/>
        <v>3</v>
      </c>
      <c r="C444" s="5">
        <v>197.8</v>
      </c>
    </row>
    <row r="445" spans="1:3" x14ac:dyDescent="0.35">
      <c r="A445" s="9">
        <v>40257</v>
      </c>
      <c r="B445">
        <f t="shared" si="7"/>
        <v>3</v>
      </c>
      <c r="C445" s="5">
        <v>204.1</v>
      </c>
    </row>
    <row r="446" spans="1:3" x14ac:dyDescent="0.35">
      <c r="A446" s="9">
        <v>40258</v>
      </c>
      <c r="B446">
        <f t="shared" si="7"/>
        <v>3</v>
      </c>
      <c r="C446" s="5">
        <v>204.2</v>
      </c>
    </row>
    <row r="447" spans="1:3" x14ac:dyDescent="0.35">
      <c r="A447" s="9">
        <v>40259</v>
      </c>
      <c r="B447">
        <f t="shared" si="7"/>
        <v>3</v>
      </c>
      <c r="C447" s="5">
        <v>202</v>
      </c>
    </row>
    <row r="448" spans="1:3" x14ac:dyDescent="0.35">
      <c r="A448" s="9">
        <v>40260</v>
      </c>
      <c r="B448">
        <f t="shared" si="7"/>
        <v>3</v>
      </c>
      <c r="C448" s="5">
        <v>206.2</v>
      </c>
    </row>
    <row r="449" spans="1:3" x14ac:dyDescent="0.35">
      <c r="A449" s="9">
        <v>40261</v>
      </c>
      <c r="B449">
        <f t="shared" si="7"/>
        <v>3</v>
      </c>
      <c r="C449" s="5">
        <v>218.7</v>
      </c>
    </row>
    <row r="450" spans="1:3" x14ac:dyDescent="0.35">
      <c r="A450" s="9">
        <v>40262</v>
      </c>
      <c r="B450">
        <f t="shared" si="7"/>
        <v>3</v>
      </c>
      <c r="C450" s="5">
        <v>229.9</v>
      </c>
    </row>
    <row r="451" spans="1:3" x14ac:dyDescent="0.35">
      <c r="A451" s="9">
        <v>40263</v>
      </c>
      <c r="B451">
        <f t="shared" si="7"/>
        <v>3</v>
      </c>
      <c r="C451" s="5">
        <v>232.4</v>
      </c>
    </row>
    <row r="452" spans="1:3" x14ac:dyDescent="0.35">
      <c r="A452" s="9">
        <v>40264</v>
      </c>
      <c r="B452">
        <f t="shared" ref="B452:B515" si="8">MONTH(A452)</f>
        <v>3</v>
      </c>
      <c r="C452" s="5">
        <v>234.8</v>
      </c>
    </row>
    <row r="453" spans="1:3" x14ac:dyDescent="0.35">
      <c r="A453" s="9">
        <v>40265</v>
      </c>
      <c r="B453">
        <f t="shared" si="8"/>
        <v>3</v>
      </c>
      <c r="C453" s="5">
        <v>245.4</v>
      </c>
    </row>
    <row r="454" spans="1:3" x14ac:dyDescent="0.35">
      <c r="A454" s="9">
        <v>40266</v>
      </c>
      <c r="B454">
        <f t="shared" si="8"/>
        <v>3</v>
      </c>
      <c r="C454" s="5">
        <v>257</v>
      </c>
    </row>
    <row r="455" spans="1:3" x14ac:dyDescent="0.35">
      <c r="A455" s="9">
        <v>40267</v>
      </c>
      <c r="B455">
        <f t="shared" si="8"/>
        <v>3</v>
      </c>
      <c r="C455" s="5">
        <v>244.4</v>
      </c>
    </row>
    <row r="456" spans="1:3" x14ac:dyDescent="0.35">
      <c r="A456" s="9">
        <v>40268</v>
      </c>
      <c r="B456">
        <f t="shared" si="8"/>
        <v>3</v>
      </c>
      <c r="C456" s="5">
        <v>223.4</v>
      </c>
    </row>
    <row r="457" spans="1:3" x14ac:dyDescent="0.35">
      <c r="A457" s="9">
        <v>40269</v>
      </c>
      <c r="B457">
        <f t="shared" si="8"/>
        <v>4</v>
      </c>
      <c r="C457" s="5">
        <v>206.3</v>
      </c>
    </row>
    <row r="458" spans="1:3" x14ac:dyDescent="0.35">
      <c r="A458" s="9">
        <v>40270</v>
      </c>
      <c r="B458">
        <f t="shared" si="8"/>
        <v>4</v>
      </c>
      <c r="C458" s="5">
        <v>205.5</v>
      </c>
    </row>
    <row r="459" spans="1:3" x14ac:dyDescent="0.35">
      <c r="A459" s="9">
        <v>40271</v>
      </c>
      <c r="B459">
        <f t="shared" si="8"/>
        <v>4</v>
      </c>
      <c r="C459" s="5">
        <v>199.1</v>
      </c>
    </row>
    <row r="460" spans="1:3" x14ac:dyDescent="0.35">
      <c r="A460" s="9">
        <v>40272</v>
      </c>
      <c r="B460">
        <f t="shared" si="8"/>
        <v>4</v>
      </c>
      <c r="C460" s="5">
        <v>196.7</v>
      </c>
    </row>
    <row r="461" spans="1:3" x14ac:dyDescent="0.35">
      <c r="A461" s="9">
        <v>40273</v>
      </c>
      <c r="B461">
        <f t="shared" si="8"/>
        <v>4</v>
      </c>
      <c r="C461" s="5">
        <v>204.4</v>
      </c>
    </row>
    <row r="462" spans="1:3" x14ac:dyDescent="0.35">
      <c r="A462" s="9">
        <v>40274</v>
      </c>
      <c r="B462">
        <f t="shared" si="8"/>
        <v>4</v>
      </c>
      <c r="C462" s="5">
        <v>217.4</v>
      </c>
    </row>
    <row r="463" spans="1:3" x14ac:dyDescent="0.35">
      <c r="A463" s="9">
        <v>40275</v>
      </c>
      <c r="B463">
        <f t="shared" si="8"/>
        <v>4</v>
      </c>
      <c r="C463" s="5">
        <v>228.7</v>
      </c>
    </row>
    <row r="464" spans="1:3" x14ac:dyDescent="0.35">
      <c r="A464" s="9">
        <v>40276</v>
      </c>
      <c r="B464">
        <f t="shared" si="8"/>
        <v>4</v>
      </c>
      <c r="C464" s="5">
        <v>233.1</v>
      </c>
    </row>
    <row r="465" spans="1:3" x14ac:dyDescent="0.35">
      <c r="A465" s="9">
        <v>40277</v>
      </c>
      <c r="B465">
        <f t="shared" si="8"/>
        <v>4</v>
      </c>
      <c r="C465" s="5">
        <v>231.9</v>
      </c>
    </row>
    <row r="466" spans="1:3" x14ac:dyDescent="0.35">
      <c r="A466" s="9">
        <v>40278</v>
      </c>
      <c r="B466">
        <f t="shared" si="8"/>
        <v>4</v>
      </c>
      <c r="C466" s="5">
        <v>226.9</v>
      </c>
    </row>
    <row r="467" spans="1:3" x14ac:dyDescent="0.35">
      <c r="A467" s="9">
        <v>40279</v>
      </c>
      <c r="B467">
        <f t="shared" si="8"/>
        <v>4</v>
      </c>
      <c r="C467" s="5">
        <v>226</v>
      </c>
    </row>
    <row r="468" spans="1:3" x14ac:dyDescent="0.35">
      <c r="A468" s="9">
        <v>40280</v>
      </c>
      <c r="B468">
        <f t="shared" si="8"/>
        <v>4</v>
      </c>
      <c r="C468" s="5">
        <v>231</v>
      </c>
    </row>
    <row r="469" spans="1:3" x14ac:dyDescent="0.35">
      <c r="A469" s="9">
        <v>40281</v>
      </c>
      <c r="B469">
        <f t="shared" si="8"/>
        <v>4</v>
      </c>
      <c r="C469" s="5">
        <v>233</v>
      </c>
    </row>
    <row r="470" spans="1:3" x14ac:dyDescent="0.35">
      <c r="A470" s="9">
        <v>40282</v>
      </c>
      <c r="B470">
        <f t="shared" si="8"/>
        <v>4</v>
      </c>
      <c r="C470" s="5">
        <v>231.3</v>
      </c>
    </row>
    <row r="471" spans="1:3" x14ac:dyDescent="0.35">
      <c r="A471" s="9">
        <v>40283</v>
      </c>
      <c r="B471">
        <f t="shared" si="8"/>
        <v>4</v>
      </c>
      <c r="C471" s="5">
        <v>229.8</v>
      </c>
    </row>
    <row r="472" spans="1:3" x14ac:dyDescent="0.35">
      <c r="A472" s="9">
        <v>40284</v>
      </c>
      <c r="B472">
        <f t="shared" si="8"/>
        <v>4</v>
      </c>
      <c r="C472" s="5">
        <v>227.3</v>
      </c>
    </row>
    <row r="473" spans="1:3" x14ac:dyDescent="0.35">
      <c r="A473" s="9">
        <v>40285</v>
      </c>
      <c r="B473">
        <f t="shared" si="8"/>
        <v>4</v>
      </c>
      <c r="C473" s="5">
        <v>219</v>
      </c>
    </row>
    <row r="474" spans="1:3" x14ac:dyDescent="0.35">
      <c r="A474" s="9">
        <v>40286</v>
      </c>
      <c r="B474">
        <f t="shared" si="8"/>
        <v>4</v>
      </c>
      <c r="C474" s="5">
        <v>212.6</v>
      </c>
    </row>
    <row r="475" spans="1:3" x14ac:dyDescent="0.35">
      <c r="A475" s="9">
        <v>40287</v>
      </c>
      <c r="B475">
        <f t="shared" si="8"/>
        <v>4</v>
      </c>
      <c r="C475" s="5">
        <v>208.1</v>
      </c>
    </row>
    <row r="476" spans="1:3" x14ac:dyDescent="0.35">
      <c r="A476" s="9">
        <v>40288</v>
      </c>
      <c r="B476">
        <f t="shared" si="8"/>
        <v>4</v>
      </c>
      <c r="C476" s="5">
        <v>204.5</v>
      </c>
    </row>
    <row r="477" spans="1:3" x14ac:dyDescent="0.35">
      <c r="A477" s="9">
        <v>40289</v>
      </c>
      <c r="B477">
        <f t="shared" si="8"/>
        <v>4</v>
      </c>
      <c r="C477" s="5">
        <v>201.4</v>
      </c>
    </row>
    <row r="478" spans="1:3" x14ac:dyDescent="0.35">
      <c r="A478" s="9">
        <v>40290</v>
      </c>
      <c r="B478">
        <f t="shared" si="8"/>
        <v>4</v>
      </c>
      <c r="C478" s="5">
        <v>208.7</v>
      </c>
    </row>
    <row r="479" spans="1:3" x14ac:dyDescent="0.35">
      <c r="A479" s="9">
        <v>40291</v>
      </c>
      <c r="B479">
        <f t="shared" si="8"/>
        <v>4</v>
      </c>
      <c r="C479" s="5">
        <v>227.2</v>
      </c>
    </row>
    <row r="480" spans="1:3" x14ac:dyDescent="0.35">
      <c r="A480" s="9">
        <v>40292</v>
      </c>
      <c r="B480">
        <f t="shared" si="8"/>
        <v>4</v>
      </c>
      <c r="C480" s="5">
        <v>238.4</v>
      </c>
    </row>
    <row r="481" spans="1:3" x14ac:dyDescent="0.35">
      <c r="A481" s="9">
        <v>40293</v>
      </c>
      <c r="B481">
        <f t="shared" si="8"/>
        <v>4</v>
      </c>
      <c r="C481" s="5">
        <v>232.4</v>
      </c>
    </row>
    <row r="482" spans="1:3" x14ac:dyDescent="0.35">
      <c r="A482" s="9">
        <v>40294</v>
      </c>
      <c r="B482">
        <f t="shared" si="8"/>
        <v>4</v>
      </c>
      <c r="C482" s="5">
        <v>214.7</v>
      </c>
    </row>
    <row r="483" spans="1:3" x14ac:dyDescent="0.35">
      <c r="A483" s="9">
        <v>40295</v>
      </c>
      <c r="B483">
        <f t="shared" si="8"/>
        <v>4</v>
      </c>
      <c r="C483" s="5">
        <v>192.9</v>
      </c>
    </row>
    <row r="484" spans="1:3" x14ac:dyDescent="0.35">
      <c r="A484" s="9">
        <v>40296</v>
      </c>
      <c r="B484">
        <f t="shared" si="8"/>
        <v>4</v>
      </c>
      <c r="C484" s="5">
        <v>173.1</v>
      </c>
    </row>
    <row r="485" spans="1:3" x14ac:dyDescent="0.35">
      <c r="A485" s="9">
        <v>40297</v>
      </c>
      <c r="B485">
        <f t="shared" si="8"/>
        <v>4</v>
      </c>
      <c r="C485" s="5">
        <v>158.19999999999999</v>
      </c>
    </row>
    <row r="486" spans="1:3" x14ac:dyDescent="0.35">
      <c r="A486" s="9">
        <v>40298</v>
      </c>
      <c r="B486">
        <f t="shared" si="8"/>
        <v>4</v>
      </c>
      <c r="C486" s="5">
        <v>151.1</v>
      </c>
    </row>
    <row r="487" spans="1:3" x14ac:dyDescent="0.35">
      <c r="A487" s="9">
        <v>40299</v>
      </c>
      <c r="B487">
        <f t="shared" si="8"/>
        <v>5</v>
      </c>
      <c r="C487" s="5">
        <v>154.19999999999999</v>
      </c>
    </row>
    <row r="488" spans="1:3" x14ac:dyDescent="0.35">
      <c r="A488" s="9">
        <v>40300</v>
      </c>
      <c r="B488">
        <f t="shared" si="8"/>
        <v>5</v>
      </c>
      <c r="C488" s="5">
        <v>171.3</v>
      </c>
    </row>
    <row r="489" spans="1:3" x14ac:dyDescent="0.35">
      <c r="A489" s="9">
        <v>40301</v>
      </c>
      <c r="B489">
        <f t="shared" si="8"/>
        <v>5</v>
      </c>
      <c r="C489" s="5">
        <v>194.3</v>
      </c>
    </row>
    <row r="490" spans="1:3" x14ac:dyDescent="0.35">
      <c r="A490" s="9">
        <v>40302</v>
      </c>
      <c r="B490">
        <f t="shared" si="8"/>
        <v>5</v>
      </c>
      <c r="C490" s="5">
        <v>219.6</v>
      </c>
    </row>
    <row r="491" spans="1:3" x14ac:dyDescent="0.35">
      <c r="A491" s="9">
        <v>40303</v>
      </c>
      <c r="B491">
        <f t="shared" si="8"/>
        <v>5</v>
      </c>
      <c r="C491" s="5">
        <v>238.4</v>
      </c>
    </row>
    <row r="492" spans="1:3" x14ac:dyDescent="0.35">
      <c r="A492" s="9">
        <v>40304</v>
      </c>
      <c r="B492">
        <f t="shared" si="8"/>
        <v>5</v>
      </c>
      <c r="C492" s="5">
        <v>253.3</v>
      </c>
    </row>
    <row r="493" spans="1:3" x14ac:dyDescent="0.35">
      <c r="A493" s="9">
        <v>40305</v>
      </c>
      <c r="B493">
        <f t="shared" si="8"/>
        <v>5</v>
      </c>
      <c r="C493" s="5">
        <v>264</v>
      </c>
    </row>
    <row r="494" spans="1:3" x14ac:dyDescent="0.35">
      <c r="A494" s="9">
        <v>40306</v>
      </c>
      <c r="B494">
        <f t="shared" si="8"/>
        <v>5</v>
      </c>
      <c r="C494" s="5">
        <v>257.7</v>
      </c>
    </row>
    <row r="495" spans="1:3" x14ac:dyDescent="0.35">
      <c r="A495" s="9">
        <v>40307</v>
      </c>
      <c r="B495">
        <f t="shared" si="8"/>
        <v>5</v>
      </c>
      <c r="C495" s="5">
        <v>243.9</v>
      </c>
    </row>
    <row r="496" spans="1:3" x14ac:dyDescent="0.35">
      <c r="A496" s="9">
        <v>40308</v>
      </c>
      <c r="B496">
        <f t="shared" si="8"/>
        <v>5</v>
      </c>
      <c r="C496" s="5">
        <v>227.3</v>
      </c>
    </row>
    <row r="497" spans="1:3" x14ac:dyDescent="0.35">
      <c r="A497" s="9">
        <v>40309</v>
      </c>
      <c r="B497">
        <f t="shared" si="8"/>
        <v>5</v>
      </c>
      <c r="C497" s="5">
        <v>208.5</v>
      </c>
    </row>
    <row r="498" spans="1:3" x14ac:dyDescent="0.35">
      <c r="A498" s="9">
        <v>40310</v>
      </c>
      <c r="B498">
        <f t="shared" si="8"/>
        <v>5</v>
      </c>
      <c r="C498" s="5">
        <v>189.1</v>
      </c>
    </row>
    <row r="499" spans="1:3" x14ac:dyDescent="0.35">
      <c r="A499" s="9">
        <v>40311</v>
      </c>
      <c r="B499">
        <f t="shared" si="8"/>
        <v>5</v>
      </c>
      <c r="C499" s="5">
        <v>170.4</v>
      </c>
    </row>
    <row r="500" spans="1:3" x14ac:dyDescent="0.35">
      <c r="A500" s="9">
        <v>40312</v>
      </c>
      <c r="B500">
        <f t="shared" si="8"/>
        <v>5</v>
      </c>
      <c r="C500" s="5">
        <v>154.80000000000001</v>
      </c>
    </row>
    <row r="501" spans="1:3" x14ac:dyDescent="0.35">
      <c r="A501" s="9">
        <v>40313</v>
      </c>
      <c r="B501">
        <f t="shared" si="8"/>
        <v>5</v>
      </c>
      <c r="C501" s="5">
        <v>143.80000000000001</v>
      </c>
    </row>
    <row r="502" spans="1:3" x14ac:dyDescent="0.35">
      <c r="A502" s="9">
        <v>40314</v>
      </c>
      <c r="B502">
        <f t="shared" si="8"/>
        <v>5</v>
      </c>
      <c r="C502" s="5">
        <v>137.1</v>
      </c>
    </row>
    <row r="503" spans="1:3" x14ac:dyDescent="0.35">
      <c r="A503" s="9">
        <v>40315</v>
      </c>
      <c r="B503">
        <f t="shared" si="8"/>
        <v>5</v>
      </c>
      <c r="C503" s="5">
        <v>132.80000000000001</v>
      </c>
    </row>
    <row r="504" spans="1:3" x14ac:dyDescent="0.35">
      <c r="A504" s="9">
        <v>40316</v>
      </c>
      <c r="B504">
        <f t="shared" si="8"/>
        <v>5</v>
      </c>
      <c r="C504" s="5">
        <v>129.9</v>
      </c>
    </row>
    <row r="505" spans="1:3" x14ac:dyDescent="0.35">
      <c r="A505" s="9">
        <v>40317</v>
      </c>
      <c r="B505">
        <f t="shared" si="8"/>
        <v>5</v>
      </c>
      <c r="C505" s="5">
        <v>128</v>
      </c>
    </row>
    <row r="506" spans="1:3" x14ac:dyDescent="0.35">
      <c r="A506" s="9">
        <v>40318</v>
      </c>
      <c r="B506">
        <f t="shared" si="8"/>
        <v>5</v>
      </c>
      <c r="C506" s="5">
        <v>126.6</v>
      </c>
    </row>
    <row r="507" spans="1:3" x14ac:dyDescent="0.35">
      <c r="A507" s="9">
        <v>40319</v>
      </c>
      <c r="B507">
        <f t="shared" si="8"/>
        <v>5</v>
      </c>
      <c r="C507" s="5">
        <v>125.7</v>
      </c>
    </row>
    <row r="508" spans="1:3" x14ac:dyDescent="0.35">
      <c r="A508" s="9">
        <v>40320</v>
      </c>
      <c r="B508">
        <f t="shared" si="8"/>
        <v>5</v>
      </c>
      <c r="C508" s="5">
        <v>125</v>
      </c>
    </row>
    <row r="509" spans="1:3" x14ac:dyDescent="0.35">
      <c r="A509" s="9">
        <v>40321</v>
      </c>
      <c r="B509">
        <f t="shared" si="8"/>
        <v>5</v>
      </c>
      <c r="C509" s="5">
        <v>124.6</v>
      </c>
    </row>
    <row r="510" spans="1:3" x14ac:dyDescent="0.35">
      <c r="A510" s="9">
        <v>40322</v>
      </c>
      <c r="B510">
        <f t="shared" si="8"/>
        <v>5</v>
      </c>
      <c r="C510" s="5">
        <v>124.3</v>
      </c>
    </row>
    <row r="511" spans="1:3" x14ac:dyDescent="0.35">
      <c r="A511" s="9">
        <v>40323</v>
      </c>
      <c r="B511">
        <f t="shared" si="8"/>
        <v>5</v>
      </c>
      <c r="C511" s="5">
        <v>124.2</v>
      </c>
    </row>
    <row r="512" spans="1:3" x14ac:dyDescent="0.35">
      <c r="A512" s="9">
        <v>40324</v>
      </c>
      <c r="B512">
        <f t="shared" si="8"/>
        <v>5</v>
      </c>
      <c r="C512" s="5">
        <v>124.1</v>
      </c>
    </row>
    <row r="513" spans="1:3" x14ac:dyDescent="0.35">
      <c r="A513" s="9">
        <v>40325</v>
      </c>
      <c r="B513">
        <f t="shared" si="8"/>
        <v>5</v>
      </c>
      <c r="C513" s="5">
        <v>124</v>
      </c>
    </row>
    <row r="514" spans="1:3" x14ac:dyDescent="0.35">
      <c r="A514" s="9">
        <v>40326</v>
      </c>
      <c r="B514">
        <f t="shared" si="8"/>
        <v>5</v>
      </c>
      <c r="C514" s="5">
        <v>124</v>
      </c>
    </row>
    <row r="515" spans="1:3" x14ac:dyDescent="0.35">
      <c r="A515" s="9">
        <v>40327</v>
      </c>
      <c r="B515">
        <f t="shared" si="8"/>
        <v>5</v>
      </c>
      <c r="C515" s="5">
        <v>124</v>
      </c>
    </row>
    <row r="516" spans="1:3" x14ac:dyDescent="0.35">
      <c r="A516" s="9">
        <v>40328</v>
      </c>
      <c r="B516">
        <f t="shared" ref="B516:B579" si="9">MONTH(A516)</f>
        <v>5</v>
      </c>
      <c r="C516" s="5">
        <v>124.5</v>
      </c>
    </row>
    <row r="517" spans="1:3" x14ac:dyDescent="0.35">
      <c r="A517" s="9">
        <v>40329</v>
      </c>
      <c r="B517">
        <f t="shared" si="9"/>
        <v>5</v>
      </c>
      <c r="C517" s="5">
        <v>125.8</v>
      </c>
    </row>
    <row r="518" spans="1:3" x14ac:dyDescent="0.35">
      <c r="A518" s="9">
        <v>40330</v>
      </c>
      <c r="B518">
        <f t="shared" si="9"/>
        <v>6</v>
      </c>
      <c r="C518" s="5">
        <v>129</v>
      </c>
    </row>
    <row r="519" spans="1:3" x14ac:dyDescent="0.35">
      <c r="A519" s="9">
        <v>40331</v>
      </c>
      <c r="B519">
        <f t="shared" si="9"/>
        <v>6</v>
      </c>
      <c r="C519" s="5">
        <v>92.5</v>
      </c>
    </row>
    <row r="520" spans="1:3" x14ac:dyDescent="0.35">
      <c r="A520" s="9">
        <v>40332</v>
      </c>
      <c r="B520">
        <f t="shared" si="9"/>
        <v>6</v>
      </c>
      <c r="C520" s="5">
        <v>96.2</v>
      </c>
    </row>
    <row r="521" spans="1:3" x14ac:dyDescent="0.35">
      <c r="A521" s="9">
        <v>40333</v>
      </c>
      <c r="B521">
        <f t="shared" si="9"/>
        <v>6</v>
      </c>
      <c r="C521" s="5">
        <v>96.2</v>
      </c>
    </row>
    <row r="522" spans="1:3" x14ac:dyDescent="0.35">
      <c r="A522" s="9">
        <v>40334</v>
      </c>
      <c r="B522">
        <f t="shared" si="9"/>
        <v>6</v>
      </c>
      <c r="C522" s="5">
        <v>93.8</v>
      </c>
    </row>
    <row r="523" spans="1:3" x14ac:dyDescent="0.35">
      <c r="A523" s="9">
        <v>40335</v>
      </c>
      <c r="B523">
        <f t="shared" si="9"/>
        <v>6</v>
      </c>
      <c r="C523" s="5">
        <v>90.7</v>
      </c>
    </row>
    <row r="524" spans="1:3" x14ac:dyDescent="0.35">
      <c r="A524" s="9">
        <v>40336</v>
      </c>
      <c r="B524">
        <f t="shared" si="9"/>
        <v>6</v>
      </c>
      <c r="C524" s="5">
        <v>88.2</v>
      </c>
    </row>
    <row r="525" spans="1:3" x14ac:dyDescent="0.35">
      <c r="A525" s="9">
        <v>40337</v>
      </c>
      <c r="B525">
        <f t="shared" si="9"/>
        <v>6</v>
      </c>
      <c r="C525" s="5">
        <v>86.7</v>
      </c>
    </row>
    <row r="526" spans="1:3" x14ac:dyDescent="0.35">
      <c r="A526" s="9">
        <v>40338</v>
      </c>
      <c r="B526">
        <f t="shared" si="9"/>
        <v>6</v>
      </c>
      <c r="C526" s="5">
        <v>85.8</v>
      </c>
    </row>
    <row r="527" spans="1:3" x14ac:dyDescent="0.35">
      <c r="A527" s="9">
        <v>40339</v>
      </c>
      <c r="B527">
        <f t="shared" si="9"/>
        <v>6</v>
      </c>
      <c r="C527" s="5">
        <v>85.1</v>
      </c>
    </row>
    <row r="528" spans="1:3" x14ac:dyDescent="0.35">
      <c r="A528" s="9">
        <v>40340</v>
      </c>
      <c r="B528">
        <f t="shared" si="9"/>
        <v>6</v>
      </c>
      <c r="C528" s="5">
        <v>86.6</v>
      </c>
    </row>
    <row r="529" spans="1:3" x14ac:dyDescent="0.35">
      <c r="A529" s="9">
        <v>40341</v>
      </c>
      <c r="B529">
        <f t="shared" si="9"/>
        <v>6</v>
      </c>
      <c r="C529" s="5">
        <v>92</v>
      </c>
    </row>
    <row r="530" spans="1:3" x14ac:dyDescent="0.35">
      <c r="A530" s="9">
        <v>40342</v>
      </c>
      <c r="B530">
        <f t="shared" si="9"/>
        <v>6</v>
      </c>
      <c r="C530" s="5">
        <v>99.2</v>
      </c>
    </row>
    <row r="531" spans="1:3" x14ac:dyDescent="0.35">
      <c r="A531" s="9">
        <v>40343</v>
      </c>
      <c r="B531">
        <f t="shared" si="9"/>
        <v>6</v>
      </c>
      <c r="C531" s="5">
        <v>102.4</v>
      </c>
    </row>
    <row r="532" spans="1:3" x14ac:dyDescent="0.35">
      <c r="A532" s="9">
        <v>40344</v>
      </c>
      <c r="B532">
        <f t="shared" si="9"/>
        <v>6</v>
      </c>
      <c r="C532" s="5">
        <v>101.2</v>
      </c>
    </row>
    <row r="533" spans="1:3" x14ac:dyDescent="0.35">
      <c r="A533" s="9">
        <v>40345</v>
      </c>
      <c r="B533">
        <f t="shared" si="9"/>
        <v>6</v>
      </c>
      <c r="C533" s="5">
        <v>97.5</v>
      </c>
    </row>
    <row r="534" spans="1:3" x14ac:dyDescent="0.35">
      <c r="A534" s="9">
        <v>40346</v>
      </c>
      <c r="B534">
        <f t="shared" si="9"/>
        <v>6</v>
      </c>
      <c r="C534" s="5">
        <v>93.3</v>
      </c>
    </row>
    <row r="535" spans="1:3" x14ac:dyDescent="0.35">
      <c r="A535" s="9">
        <v>40347</v>
      </c>
      <c r="B535">
        <f t="shared" si="9"/>
        <v>6</v>
      </c>
      <c r="C535" s="5">
        <v>90.1</v>
      </c>
    </row>
    <row r="536" spans="1:3" x14ac:dyDescent="0.35">
      <c r="A536" s="9">
        <v>40348</v>
      </c>
      <c r="B536">
        <f t="shared" si="9"/>
        <v>6</v>
      </c>
      <c r="C536" s="5">
        <v>87.8</v>
      </c>
    </row>
    <row r="537" spans="1:3" x14ac:dyDescent="0.35">
      <c r="A537" s="9">
        <v>40349</v>
      </c>
      <c r="B537">
        <f t="shared" si="9"/>
        <v>6</v>
      </c>
      <c r="C537" s="5">
        <v>86.1</v>
      </c>
    </row>
    <row r="538" spans="1:3" x14ac:dyDescent="0.35">
      <c r="A538" s="9">
        <v>40350</v>
      </c>
      <c r="B538">
        <f t="shared" si="9"/>
        <v>6</v>
      </c>
      <c r="C538" s="5">
        <v>85</v>
      </c>
    </row>
    <row r="539" spans="1:3" x14ac:dyDescent="0.35">
      <c r="A539" s="9">
        <v>40351</v>
      </c>
      <c r="B539">
        <f t="shared" si="9"/>
        <v>6</v>
      </c>
      <c r="C539" s="5">
        <v>84.3</v>
      </c>
    </row>
    <row r="540" spans="1:3" x14ac:dyDescent="0.35">
      <c r="A540" s="9">
        <v>40352</v>
      </c>
      <c r="B540">
        <f t="shared" si="9"/>
        <v>6</v>
      </c>
      <c r="C540" s="5">
        <v>83.9</v>
      </c>
    </row>
    <row r="541" spans="1:3" x14ac:dyDescent="0.35">
      <c r="A541" s="9">
        <v>40353</v>
      </c>
      <c r="B541">
        <f t="shared" si="9"/>
        <v>6</v>
      </c>
      <c r="C541" s="5">
        <v>83.7</v>
      </c>
    </row>
    <row r="542" spans="1:3" x14ac:dyDescent="0.35">
      <c r="A542" s="9">
        <v>40354</v>
      </c>
      <c r="B542">
        <f t="shared" si="9"/>
        <v>6</v>
      </c>
      <c r="C542" s="5">
        <v>83.7</v>
      </c>
    </row>
    <row r="543" spans="1:3" x14ac:dyDescent="0.35">
      <c r="A543" s="9">
        <v>40355</v>
      </c>
      <c r="B543">
        <f t="shared" si="9"/>
        <v>6</v>
      </c>
      <c r="C543" s="5">
        <v>83.8</v>
      </c>
    </row>
    <row r="544" spans="1:3" x14ac:dyDescent="0.35">
      <c r="A544" s="9">
        <v>40356</v>
      </c>
      <c r="B544">
        <f t="shared" si="9"/>
        <v>6</v>
      </c>
      <c r="C544" s="5">
        <v>84</v>
      </c>
    </row>
    <row r="545" spans="1:3" x14ac:dyDescent="0.35">
      <c r="A545" s="9">
        <v>40357</v>
      </c>
      <c r="B545">
        <f t="shared" si="9"/>
        <v>6</v>
      </c>
      <c r="C545" s="5">
        <v>84</v>
      </c>
    </row>
    <row r="546" spans="1:3" x14ac:dyDescent="0.35">
      <c r="A546" s="9">
        <v>40358</v>
      </c>
      <c r="B546">
        <f t="shared" si="9"/>
        <v>6</v>
      </c>
      <c r="C546" s="5">
        <v>83.8</v>
      </c>
    </row>
    <row r="547" spans="1:3" x14ac:dyDescent="0.35">
      <c r="A547" s="9">
        <v>40359</v>
      </c>
      <c r="B547">
        <f t="shared" si="9"/>
        <v>6</v>
      </c>
      <c r="C547" s="5">
        <v>83.7</v>
      </c>
    </row>
    <row r="548" spans="1:3" x14ac:dyDescent="0.35">
      <c r="A548" s="9">
        <v>40360</v>
      </c>
      <c r="B548">
        <f t="shared" si="9"/>
        <v>7</v>
      </c>
      <c r="C548" s="5">
        <v>83.5</v>
      </c>
    </row>
    <row r="549" spans="1:3" x14ac:dyDescent="0.35">
      <c r="A549" s="9">
        <v>40361</v>
      </c>
      <c r="B549">
        <f t="shared" si="9"/>
        <v>7</v>
      </c>
      <c r="C549" s="5">
        <v>60.4</v>
      </c>
    </row>
    <row r="550" spans="1:3" x14ac:dyDescent="0.35">
      <c r="A550" s="9">
        <v>40362</v>
      </c>
      <c r="B550">
        <f t="shared" si="9"/>
        <v>7</v>
      </c>
      <c r="C550" s="5">
        <v>60.3</v>
      </c>
    </row>
    <row r="551" spans="1:3" x14ac:dyDescent="0.35">
      <c r="A551" s="9">
        <v>40363</v>
      </c>
      <c r="B551">
        <f t="shared" si="9"/>
        <v>7</v>
      </c>
      <c r="C551" s="5">
        <v>60.3</v>
      </c>
    </row>
    <row r="552" spans="1:3" x14ac:dyDescent="0.35">
      <c r="A552" s="9">
        <v>40364</v>
      </c>
      <c r="B552">
        <f t="shared" si="9"/>
        <v>7</v>
      </c>
      <c r="C552" s="5">
        <v>60.3</v>
      </c>
    </row>
    <row r="553" spans="1:3" x14ac:dyDescent="0.35">
      <c r="A553" s="9">
        <v>40365</v>
      </c>
      <c r="B553">
        <f t="shared" si="9"/>
        <v>7</v>
      </c>
      <c r="C553" s="5">
        <v>60.4</v>
      </c>
    </row>
    <row r="554" spans="1:3" x14ac:dyDescent="0.35">
      <c r="A554" s="9">
        <v>40366</v>
      </c>
      <c r="B554">
        <f t="shared" si="9"/>
        <v>7</v>
      </c>
      <c r="C554" s="5">
        <v>60.4</v>
      </c>
    </row>
    <row r="555" spans="1:3" x14ac:dyDescent="0.35">
      <c r="A555" s="9">
        <v>40367</v>
      </c>
      <c r="B555">
        <f t="shared" si="9"/>
        <v>7</v>
      </c>
      <c r="C555" s="5">
        <v>60.3</v>
      </c>
    </row>
    <row r="556" spans="1:3" x14ac:dyDescent="0.35">
      <c r="A556" s="9">
        <v>40368</v>
      </c>
      <c r="B556">
        <f t="shared" si="9"/>
        <v>7</v>
      </c>
      <c r="C556" s="5">
        <v>60.2</v>
      </c>
    </row>
    <row r="557" spans="1:3" x14ac:dyDescent="0.35">
      <c r="A557" s="9">
        <v>40369</v>
      </c>
      <c r="B557">
        <f t="shared" si="9"/>
        <v>7</v>
      </c>
      <c r="C557" s="5">
        <v>60.1</v>
      </c>
    </row>
    <row r="558" spans="1:3" x14ac:dyDescent="0.35">
      <c r="A558" s="9">
        <v>40370</v>
      </c>
      <c r="B558">
        <f t="shared" si="9"/>
        <v>7</v>
      </c>
      <c r="C558" s="5">
        <v>60.1</v>
      </c>
    </row>
    <row r="559" spans="1:3" x14ac:dyDescent="0.35">
      <c r="A559" s="9">
        <v>40371</v>
      </c>
      <c r="B559">
        <f t="shared" si="9"/>
        <v>7</v>
      </c>
      <c r="C559" s="5">
        <v>60.1</v>
      </c>
    </row>
    <row r="560" spans="1:3" x14ac:dyDescent="0.35">
      <c r="A560" s="9">
        <v>40372</v>
      </c>
      <c r="B560">
        <f t="shared" si="9"/>
        <v>7</v>
      </c>
      <c r="C560" s="5">
        <v>60</v>
      </c>
    </row>
    <row r="561" spans="1:3" x14ac:dyDescent="0.35">
      <c r="A561" s="9">
        <v>40373</v>
      </c>
      <c r="B561">
        <f t="shared" si="9"/>
        <v>7</v>
      </c>
      <c r="C561" s="5">
        <v>60</v>
      </c>
    </row>
    <row r="562" spans="1:3" x14ac:dyDescent="0.35">
      <c r="A562" s="9">
        <v>40374</v>
      </c>
      <c r="B562">
        <f t="shared" si="9"/>
        <v>7</v>
      </c>
      <c r="C562" s="5">
        <v>60</v>
      </c>
    </row>
    <row r="563" spans="1:3" x14ac:dyDescent="0.35">
      <c r="A563" s="9">
        <v>40375</v>
      </c>
      <c r="B563">
        <f t="shared" si="9"/>
        <v>7</v>
      </c>
      <c r="C563" s="5">
        <v>60.3</v>
      </c>
    </row>
    <row r="564" spans="1:3" x14ac:dyDescent="0.35">
      <c r="A564" s="9">
        <v>40376</v>
      </c>
      <c r="B564">
        <f t="shared" si="9"/>
        <v>7</v>
      </c>
      <c r="C564" s="5">
        <v>61.9</v>
      </c>
    </row>
    <row r="565" spans="1:3" x14ac:dyDescent="0.35">
      <c r="A565" s="9">
        <v>40377</v>
      </c>
      <c r="B565">
        <f t="shared" si="9"/>
        <v>7</v>
      </c>
      <c r="C565" s="5">
        <v>65.2</v>
      </c>
    </row>
    <row r="566" spans="1:3" x14ac:dyDescent="0.35">
      <c r="A566" s="9">
        <v>40378</v>
      </c>
      <c r="B566">
        <f t="shared" si="9"/>
        <v>7</v>
      </c>
      <c r="C566" s="5">
        <v>68.5</v>
      </c>
    </row>
    <row r="567" spans="1:3" x14ac:dyDescent="0.35">
      <c r="A567" s="9">
        <v>40379</v>
      </c>
      <c r="B567">
        <f t="shared" si="9"/>
        <v>7</v>
      </c>
      <c r="C567" s="5">
        <v>69.5</v>
      </c>
    </row>
    <row r="568" spans="1:3" x14ac:dyDescent="0.35">
      <c r="A568" s="9">
        <v>40380</v>
      </c>
      <c r="B568">
        <f t="shared" si="9"/>
        <v>7</v>
      </c>
      <c r="C568" s="5">
        <v>68.8</v>
      </c>
    </row>
    <row r="569" spans="1:3" x14ac:dyDescent="0.35">
      <c r="A569" s="9">
        <v>40381</v>
      </c>
      <c r="B569">
        <f t="shared" si="9"/>
        <v>7</v>
      </c>
      <c r="C569" s="5">
        <v>67.8</v>
      </c>
    </row>
    <row r="570" spans="1:3" x14ac:dyDescent="0.35">
      <c r="A570" s="9">
        <v>40382</v>
      </c>
      <c r="B570">
        <f t="shared" si="9"/>
        <v>7</v>
      </c>
      <c r="C570" s="5">
        <v>67.5</v>
      </c>
    </row>
    <row r="571" spans="1:3" x14ac:dyDescent="0.35">
      <c r="A571" s="9">
        <v>40383</v>
      </c>
      <c r="B571">
        <f t="shared" si="9"/>
        <v>7</v>
      </c>
      <c r="C571" s="5">
        <v>67.2</v>
      </c>
    </row>
    <row r="572" spans="1:3" x14ac:dyDescent="0.35">
      <c r="A572" s="9">
        <v>40384</v>
      </c>
      <c r="B572">
        <f t="shared" si="9"/>
        <v>7</v>
      </c>
      <c r="C572" s="5">
        <v>66.099999999999994</v>
      </c>
    </row>
    <row r="573" spans="1:3" x14ac:dyDescent="0.35">
      <c r="A573" s="9">
        <v>40385</v>
      </c>
      <c r="B573">
        <f t="shared" si="9"/>
        <v>7</v>
      </c>
      <c r="C573" s="5">
        <v>64.599999999999994</v>
      </c>
    </row>
    <row r="574" spans="1:3" x14ac:dyDescent="0.35">
      <c r="A574" s="9">
        <v>40386</v>
      </c>
      <c r="B574">
        <f t="shared" si="9"/>
        <v>7</v>
      </c>
      <c r="C574" s="5">
        <v>63.1</v>
      </c>
    </row>
    <row r="575" spans="1:3" x14ac:dyDescent="0.35">
      <c r="A575" s="9">
        <v>40387</v>
      </c>
      <c r="B575">
        <f t="shared" si="9"/>
        <v>7</v>
      </c>
      <c r="C575" s="5">
        <v>62.7</v>
      </c>
    </row>
    <row r="576" spans="1:3" x14ac:dyDescent="0.35">
      <c r="A576" s="9">
        <v>40388</v>
      </c>
      <c r="B576">
        <f t="shared" si="9"/>
        <v>7</v>
      </c>
      <c r="C576" s="5">
        <v>63.9</v>
      </c>
    </row>
    <row r="577" spans="1:3" x14ac:dyDescent="0.35">
      <c r="A577" s="9">
        <v>40389</v>
      </c>
      <c r="B577">
        <f t="shared" si="9"/>
        <v>7</v>
      </c>
      <c r="C577" s="5">
        <v>66.2</v>
      </c>
    </row>
    <row r="578" spans="1:3" x14ac:dyDescent="0.35">
      <c r="A578" s="9">
        <v>40390</v>
      </c>
      <c r="B578">
        <f t="shared" si="9"/>
        <v>7</v>
      </c>
      <c r="C578" s="5">
        <v>68.400000000000006</v>
      </c>
    </row>
    <row r="579" spans="1:3" x14ac:dyDescent="0.35">
      <c r="A579" s="9">
        <v>40391</v>
      </c>
      <c r="B579">
        <f t="shared" si="9"/>
        <v>8</v>
      </c>
      <c r="C579" s="5">
        <v>70.099999999999994</v>
      </c>
    </row>
    <row r="580" spans="1:3" x14ac:dyDescent="0.35">
      <c r="A580" s="9">
        <v>40392</v>
      </c>
      <c r="B580">
        <f t="shared" ref="B580:B643" si="10">MONTH(A580)</f>
        <v>8</v>
      </c>
      <c r="C580" s="5">
        <v>75.599999999999994</v>
      </c>
    </row>
    <row r="581" spans="1:3" x14ac:dyDescent="0.35">
      <c r="A581" s="9">
        <v>40393</v>
      </c>
      <c r="B581">
        <f t="shared" si="10"/>
        <v>8</v>
      </c>
      <c r="C581" s="5">
        <v>74.2</v>
      </c>
    </row>
    <row r="582" spans="1:3" x14ac:dyDescent="0.35">
      <c r="A582" s="9">
        <v>40394</v>
      </c>
      <c r="B582">
        <f t="shared" si="10"/>
        <v>8</v>
      </c>
      <c r="C582" s="5">
        <v>71.900000000000006</v>
      </c>
    </row>
    <row r="583" spans="1:3" x14ac:dyDescent="0.35">
      <c r="A583" s="9">
        <v>40395</v>
      </c>
      <c r="B583">
        <f t="shared" si="10"/>
        <v>8</v>
      </c>
      <c r="C583" s="5">
        <v>69.7</v>
      </c>
    </row>
    <row r="584" spans="1:3" x14ac:dyDescent="0.35">
      <c r="A584" s="9">
        <v>40396</v>
      </c>
      <c r="B584">
        <f t="shared" si="10"/>
        <v>8</v>
      </c>
      <c r="C584" s="5">
        <v>68.099999999999994</v>
      </c>
    </row>
    <row r="585" spans="1:3" x14ac:dyDescent="0.35">
      <c r="A585" s="9">
        <v>40397</v>
      </c>
      <c r="B585">
        <f t="shared" si="10"/>
        <v>8</v>
      </c>
      <c r="C585" s="5">
        <v>67.2</v>
      </c>
    </row>
    <row r="586" spans="1:3" x14ac:dyDescent="0.35">
      <c r="A586" s="9">
        <v>40398</v>
      </c>
      <c r="B586">
        <f t="shared" si="10"/>
        <v>8</v>
      </c>
      <c r="C586" s="5">
        <v>69.900000000000006</v>
      </c>
    </row>
    <row r="587" spans="1:3" x14ac:dyDescent="0.35">
      <c r="A587" s="9">
        <v>40399</v>
      </c>
      <c r="B587">
        <f t="shared" si="10"/>
        <v>8</v>
      </c>
      <c r="C587" s="5">
        <v>76.900000000000006</v>
      </c>
    </row>
    <row r="588" spans="1:3" x14ac:dyDescent="0.35">
      <c r="A588" s="9">
        <v>40400</v>
      </c>
      <c r="B588">
        <f t="shared" si="10"/>
        <v>8</v>
      </c>
      <c r="C588" s="5">
        <v>85</v>
      </c>
    </row>
    <row r="589" spans="1:3" x14ac:dyDescent="0.35">
      <c r="A589" s="9">
        <v>40401</v>
      </c>
      <c r="B589">
        <f t="shared" si="10"/>
        <v>8</v>
      </c>
      <c r="C589" s="5">
        <v>88.3</v>
      </c>
    </row>
    <row r="590" spans="1:3" x14ac:dyDescent="0.35">
      <c r="A590" s="9">
        <v>40402</v>
      </c>
      <c r="B590">
        <f t="shared" si="10"/>
        <v>8</v>
      </c>
      <c r="C590" s="5">
        <v>89.4</v>
      </c>
    </row>
    <row r="591" spans="1:3" x14ac:dyDescent="0.35">
      <c r="A591" s="9">
        <v>40403</v>
      </c>
      <c r="B591">
        <f t="shared" si="10"/>
        <v>8</v>
      </c>
      <c r="C591" s="5">
        <v>88.4</v>
      </c>
    </row>
    <row r="592" spans="1:3" x14ac:dyDescent="0.35">
      <c r="A592" s="9">
        <v>40404</v>
      </c>
      <c r="B592">
        <f t="shared" si="10"/>
        <v>8</v>
      </c>
      <c r="C592" s="5">
        <v>84.4</v>
      </c>
    </row>
    <row r="593" spans="1:3" x14ac:dyDescent="0.35">
      <c r="A593" s="9">
        <v>40405</v>
      </c>
      <c r="B593">
        <f t="shared" si="10"/>
        <v>8</v>
      </c>
      <c r="C593" s="5">
        <v>79.900000000000006</v>
      </c>
    </row>
    <row r="594" spans="1:3" x14ac:dyDescent="0.35">
      <c r="A594" s="9">
        <v>40406</v>
      </c>
      <c r="B594">
        <f t="shared" si="10"/>
        <v>8</v>
      </c>
      <c r="C594" s="5">
        <v>75.099999999999994</v>
      </c>
    </row>
    <row r="595" spans="1:3" x14ac:dyDescent="0.35">
      <c r="A595" s="9">
        <v>40407</v>
      </c>
      <c r="B595">
        <f t="shared" si="10"/>
        <v>8</v>
      </c>
      <c r="C595" s="5">
        <v>71.400000000000006</v>
      </c>
    </row>
    <row r="596" spans="1:3" x14ac:dyDescent="0.35">
      <c r="A596" s="9">
        <v>40408</v>
      </c>
      <c r="B596">
        <f t="shared" si="10"/>
        <v>8</v>
      </c>
      <c r="C596" s="5">
        <v>69.2</v>
      </c>
    </row>
    <row r="597" spans="1:3" x14ac:dyDescent="0.35">
      <c r="A597" s="9">
        <v>40409</v>
      </c>
      <c r="B597">
        <f t="shared" si="10"/>
        <v>8</v>
      </c>
      <c r="C597" s="5">
        <v>67.7</v>
      </c>
    </row>
    <row r="598" spans="1:3" x14ac:dyDescent="0.35">
      <c r="A598" s="9">
        <v>40410</v>
      </c>
      <c r="B598">
        <f t="shared" si="10"/>
        <v>8</v>
      </c>
      <c r="C598" s="5">
        <v>66.8</v>
      </c>
    </row>
    <row r="599" spans="1:3" x14ac:dyDescent="0.35">
      <c r="A599" s="9">
        <v>40411</v>
      </c>
      <c r="B599">
        <f t="shared" si="10"/>
        <v>8</v>
      </c>
      <c r="C599" s="5">
        <v>66.7</v>
      </c>
    </row>
    <row r="600" spans="1:3" x14ac:dyDescent="0.35">
      <c r="A600" s="9">
        <v>40412</v>
      </c>
      <c r="B600">
        <f t="shared" si="10"/>
        <v>8</v>
      </c>
      <c r="C600" s="5">
        <v>68.3</v>
      </c>
    </row>
    <row r="601" spans="1:3" x14ac:dyDescent="0.35">
      <c r="A601" s="9">
        <v>40413</v>
      </c>
      <c r="B601">
        <f t="shared" si="10"/>
        <v>8</v>
      </c>
      <c r="C601" s="5">
        <v>71.099999999999994</v>
      </c>
    </row>
    <row r="602" spans="1:3" x14ac:dyDescent="0.35">
      <c r="A602" s="9">
        <v>40414</v>
      </c>
      <c r="B602">
        <f t="shared" si="10"/>
        <v>8</v>
      </c>
      <c r="C602" s="5">
        <v>73.2</v>
      </c>
    </row>
    <row r="603" spans="1:3" x14ac:dyDescent="0.35">
      <c r="A603" s="9">
        <v>40415</v>
      </c>
      <c r="B603">
        <f t="shared" si="10"/>
        <v>8</v>
      </c>
      <c r="C603" s="5">
        <v>73.3</v>
      </c>
    </row>
    <row r="604" spans="1:3" x14ac:dyDescent="0.35">
      <c r="A604" s="9">
        <v>40416</v>
      </c>
      <c r="B604">
        <f t="shared" si="10"/>
        <v>8</v>
      </c>
      <c r="C604" s="5">
        <v>72.5</v>
      </c>
    </row>
    <row r="605" spans="1:3" x14ac:dyDescent="0.35">
      <c r="A605" s="9">
        <v>40417</v>
      </c>
      <c r="B605">
        <f t="shared" si="10"/>
        <v>8</v>
      </c>
      <c r="C605" s="5">
        <v>71.3</v>
      </c>
    </row>
    <row r="606" spans="1:3" x14ac:dyDescent="0.35">
      <c r="A606" s="9">
        <v>40418</v>
      </c>
      <c r="B606">
        <f t="shared" si="10"/>
        <v>8</v>
      </c>
      <c r="C606" s="5">
        <v>73.3</v>
      </c>
    </row>
    <row r="607" spans="1:3" x14ac:dyDescent="0.35">
      <c r="A607" s="9">
        <v>40419</v>
      </c>
      <c r="B607">
        <f t="shared" si="10"/>
        <v>8</v>
      </c>
      <c r="C607" s="5">
        <v>81.099999999999994</v>
      </c>
    </row>
    <row r="608" spans="1:3" x14ac:dyDescent="0.35">
      <c r="A608" s="9">
        <v>40420</v>
      </c>
      <c r="B608">
        <f t="shared" si="10"/>
        <v>8</v>
      </c>
      <c r="C608" s="5">
        <v>94</v>
      </c>
    </row>
    <row r="609" spans="1:3" x14ac:dyDescent="0.35">
      <c r="A609" s="9">
        <v>40421</v>
      </c>
      <c r="B609">
        <f t="shared" si="10"/>
        <v>8</v>
      </c>
      <c r="C609" s="5">
        <v>105.9</v>
      </c>
    </row>
    <row r="610" spans="1:3" x14ac:dyDescent="0.35">
      <c r="A610" s="9">
        <v>40422</v>
      </c>
      <c r="B610">
        <f t="shared" si="10"/>
        <v>9</v>
      </c>
      <c r="C610" s="5">
        <v>114.5</v>
      </c>
    </row>
    <row r="611" spans="1:3" x14ac:dyDescent="0.35">
      <c r="A611" s="9">
        <v>40423</v>
      </c>
      <c r="B611">
        <f t="shared" si="10"/>
        <v>9</v>
      </c>
      <c r="C611" s="5">
        <v>142.19999999999999</v>
      </c>
    </row>
    <row r="612" spans="1:3" x14ac:dyDescent="0.35">
      <c r="A612" s="9">
        <v>40424</v>
      </c>
      <c r="B612">
        <f t="shared" si="10"/>
        <v>9</v>
      </c>
      <c r="C612" s="5">
        <v>137</v>
      </c>
    </row>
    <row r="613" spans="1:3" x14ac:dyDescent="0.35">
      <c r="A613" s="9">
        <v>40425</v>
      </c>
      <c r="B613">
        <f t="shared" si="10"/>
        <v>9</v>
      </c>
      <c r="C613" s="5">
        <v>131.6</v>
      </c>
    </row>
    <row r="614" spans="1:3" x14ac:dyDescent="0.35">
      <c r="A614" s="9">
        <v>40426</v>
      </c>
      <c r="B614">
        <f t="shared" si="10"/>
        <v>9</v>
      </c>
      <c r="C614" s="5">
        <v>131.5</v>
      </c>
    </row>
    <row r="615" spans="1:3" x14ac:dyDescent="0.35">
      <c r="A615" s="9">
        <v>40427</v>
      </c>
      <c r="B615">
        <f t="shared" si="10"/>
        <v>9</v>
      </c>
      <c r="C615" s="5">
        <v>137.5</v>
      </c>
    </row>
    <row r="616" spans="1:3" x14ac:dyDescent="0.35">
      <c r="A616" s="9">
        <v>40428</v>
      </c>
      <c r="B616">
        <f t="shared" si="10"/>
        <v>9</v>
      </c>
      <c r="C616" s="5">
        <v>146.30000000000001</v>
      </c>
    </row>
    <row r="617" spans="1:3" x14ac:dyDescent="0.35">
      <c r="A617" s="9">
        <v>40429</v>
      </c>
      <c r="B617">
        <f t="shared" si="10"/>
        <v>9</v>
      </c>
      <c r="C617" s="5">
        <v>151.6</v>
      </c>
    </row>
    <row r="618" spans="1:3" x14ac:dyDescent="0.35">
      <c r="A618" s="9">
        <v>40430</v>
      </c>
      <c r="B618">
        <f t="shared" si="10"/>
        <v>9</v>
      </c>
      <c r="C618" s="5">
        <v>155.9</v>
      </c>
    </row>
    <row r="619" spans="1:3" x14ac:dyDescent="0.35">
      <c r="A619" s="9">
        <v>40431</v>
      </c>
      <c r="B619">
        <f t="shared" si="10"/>
        <v>9</v>
      </c>
      <c r="C619" s="5">
        <v>158.1</v>
      </c>
    </row>
    <row r="620" spans="1:3" x14ac:dyDescent="0.35">
      <c r="A620" s="9">
        <v>40432</v>
      </c>
      <c r="B620">
        <f t="shared" si="10"/>
        <v>9</v>
      </c>
      <c r="C620" s="5">
        <v>157.69999999999999</v>
      </c>
    </row>
    <row r="621" spans="1:3" x14ac:dyDescent="0.35">
      <c r="A621" s="9">
        <v>40433</v>
      </c>
      <c r="B621">
        <f t="shared" si="10"/>
        <v>9</v>
      </c>
      <c r="C621" s="5">
        <v>163.4</v>
      </c>
    </row>
    <row r="622" spans="1:3" x14ac:dyDescent="0.35">
      <c r="A622" s="9">
        <v>40434</v>
      </c>
      <c r="B622">
        <f t="shared" si="10"/>
        <v>9</v>
      </c>
      <c r="C622" s="5">
        <v>171.3</v>
      </c>
    </row>
    <row r="623" spans="1:3" x14ac:dyDescent="0.35">
      <c r="A623" s="9">
        <v>40435</v>
      </c>
      <c r="B623">
        <f t="shared" si="10"/>
        <v>9</v>
      </c>
      <c r="C623" s="5">
        <v>167.5</v>
      </c>
    </row>
    <row r="624" spans="1:3" x14ac:dyDescent="0.35">
      <c r="A624" s="9">
        <v>40436</v>
      </c>
      <c r="B624">
        <f t="shared" si="10"/>
        <v>9</v>
      </c>
      <c r="C624" s="5">
        <v>154.9</v>
      </c>
    </row>
    <row r="625" spans="1:3" x14ac:dyDescent="0.35">
      <c r="A625" s="9">
        <v>40437</v>
      </c>
      <c r="B625">
        <f t="shared" si="10"/>
        <v>9</v>
      </c>
      <c r="C625" s="5">
        <v>137.80000000000001</v>
      </c>
    </row>
    <row r="626" spans="1:3" x14ac:dyDescent="0.35">
      <c r="A626" s="9">
        <v>40438</v>
      </c>
      <c r="B626">
        <f t="shared" si="10"/>
        <v>9</v>
      </c>
      <c r="C626" s="5">
        <v>123.8</v>
      </c>
    </row>
    <row r="627" spans="1:3" x14ac:dyDescent="0.35">
      <c r="A627" s="9">
        <v>40439</v>
      </c>
      <c r="B627">
        <f t="shared" si="10"/>
        <v>9</v>
      </c>
      <c r="C627" s="5">
        <v>121.6</v>
      </c>
    </row>
    <row r="628" spans="1:3" x14ac:dyDescent="0.35">
      <c r="A628" s="9">
        <v>40440</v>
      </c>
      <c r="B628">
        <f t="shared" si="10"/>
        <v>9</v>
      </c>
      <c r="C628" s="5">
        <v>130.9</v>
      </c>
    </row>
    <row r="629" spans="1:3" x14ac:dyDescent="0.35">
      <c r="A629" s="9">
        <v>40441</v>
      </c>
      <c r="B629">
        <f t="shared" si="10"/>
        <v>9</v>
      </c>
      <c r="C629" s="5">
        <v>143.6</v>
      </c>
    </row>
    <row r="630" spans="1:3" x14ac:dyDescent="0.35">
      <c r="A630" s="9">
        <v>40442</v>
      </c>
      <c r="B630">
        <f t="shared" si="10"/>
        <v>9</v>
      </c>
      <c r="C630" s="5">
        <v>151.6</v>
      </c>
    </row>
    <row r="631" spans="1:3" x14ac:dyDescent="0.35">
      <c r="A631" s="9">
        <v>40443</v>
      </c>
      <c r="B631">
        <f t="shared" si="10"/>
        <v>9</v>
      </c>
      <c r="C631" s="5">
        <v>154.5</v>
      </c>
    </row>
    <row r="632" spans="1:3" x14ac:dyDescent="0.35">
      <c r="A632" s="9">
        <v>40444</v>
      </c>
      <c r="B632">
        <f t="shared" si="10"/>
        <v>9</v>
      </c>
      <c r="C632" s="5">
        <v>156.30000000000001</v>
      </c>
    </row>
    <row r="633" spans="1:3" x14ac:dyDescent="0.35">
      <c r="A633" s="9">
        <v>40445</v>
      </c>
      <c r="B633">
        <f t="shared" si="10"/>
        <v>9</v>
      </c>
      <c r="C633" s="5">
        <v>156.5</v>
      </c>
    </row>
    <row r="634" spans="1:3" x14ac:dyDescent="0.35">
      <c r="A634" s="9">
        <v>40446</v>
      </c>
      <c r="B634">
        <f t="shared" si="10"/>
        <v>9</v>
      </c>
      <c r="C634" s="5">
        <v>157.69999999999999</v>
      </c>
    </row>
    <row r="635" spans="1:3" x14ac:dyDescent="0.35">
      <c r="A635" s="9">
        <v>40447</v>
      </c>
      <c r="B635">
        <f t="shared" si="10"/>
        <v>9</v>
      </c>
      <c r="C635" s="5">
        <v>153.4</v>
      </c>
    </row>
    <row r="636" spans="1:3" x14ac:dyDescent="0.35">
      <c r="A636" s="9">
        <v>40448</v>
      </c>
      <c r="B636">
        <f t="shared" si="10"/>
        <v>9</v>
      </c>
      <c r="C636" s="5">
        <v>144.69999999999999</v>
      </c>
    </row>
    <row r="637" spans="1:3" x14ac:dyDescent="0.35">
      <c r="A637" s="9">
        <v>40449</v>
      </c>
      <c r="B637">
        <f t="shared" si="10"/>
        <v>9</v>
      </c>
      <c r="C637" s="5">
        <v>137.5</v>
      </c>
    </row>
    <row r="638" spans="1:3" x14ac:dyDescent="0.35">
      <c r="A638" s="9">
        <v>40450</v>
      </c>
      <c r="B638">
        <f t="shared" si="10"/>
        <v>9</v>
      </c>
      <c r="C638" s="5">
        <v>140.4</v>
      </c>
    </row>
    <row r="639" spans="1:3" x14ac:dyDescent="0.35">
      <c r="A639" s="9">
        <v>40451</v>
      </c>
      <c r="B639">
        <f t="shared" si="10"/>
        <v>9</v>
      </c>
      <c r="C639" s="5">
        <v>153.6</v>
      </c>
    </row>
    <row r="640" spans="1:3" x14ac:dyDescent="0.35">
      <c r="A640" s="9">
        <v>40452</v>
      </c>
      <c r="B640">
        <f t="shared" si="10"/>
        <v>10</v>
      </c>
      <c r="C640" s="5">
        <v>163.19999999999999</v>
      </c>
    </row>
    <row r="641" spans="1:3" x14ac:dyDescent="0.35">
      <c r="A641" s="9">
        <v>40453</v>
      </c>
      <c r="B641">
        <f t="shared" si="10"/>
        <v>10</v>
      </c>
      <c r="C641" s="5">
        <v>177.3</v>
      </c>
    </row>
    <row r="642" spans="1:3" x14ac:dyDescent="0.35">
      <c r="A642" s="9">
        <v>40454</v>
      </c>
      <c r="B642">
        <f t="shared" si="10"/>
        <v>10</v>
      </c>
      <c r="C642" s="5">
        <v>166.9</v>
      </c>
    </row>
    <row r="643" spans="1:3" x14ac:dyDescent="0.35">
      <c r="A643" s="9">
        <v>40455</v>
      </c>
      <c r="B643">
        <f t="shared" si="10"/>
        <v>10</v>
      </c>
      <c r="C643" s="5">
        <v>162.69999999999999</v>
      </c>
    </row>
    <row r="644" spans="1:3" x14ac:dyDescent="0.35">
      <c r="A644" s="9">
        <v>40456</v>
      </c>
      <c r="B644">
        <f t="shared" ref="B644:B707" si="11">MONTH(A644)</f>
        <v>10</v>
      </c>
      <c r="C644" s="5">
        <v>174.2</v>
      </c>
    </row>
    <row r="645" spans="1:3" x14ac:dyDescent="0.35">
      <c r="A645" s="9">
        <v>40457</v>
      </c>
      <c r="B645">
        <f t="shared" si="11"/>
        <v>10</v>
      </c>
      <c r="C645" s="5">
        <v>192.1</v>
      </c>
    </row>
    <row r="646" spans="1:3" x14ac:dyDescent="0.35">
      <c r="A646" s="9">
        <v>40458</v>
      </c>
      <c r="B646">
        <f t="shared" si="11"/>
        <v>10</v>
      </c>
      <c r="C646" s="5">
        <v>197.4</v>
      </c>
    </row>
    <row r="647" spans="1:3" x14ac:dyDescent="0.35">
      <c r="A647" s="9">
        <v>40459</v>
      </c>
      <c r="B647">
        <f t="shared" si="11"/>
        <v>10</v>
      </c>
      <c r="C647" s="5">
        <v>197</v>
      </c>
    </row>
    <row r="648" spans="1:3" x14ac:dyDescent="0.35">
      <c r="A648" s="9">
        <v>40460</v>
      </c>
      <c r="B648">
        <f t="shared" si="11"/>
        <v>10</v>
      </c>
      <c r="C648" s="5">
        <v>198.4</v>
      </c>
    </row>
    <row r="649" spans="1:3" x14ac:dyDescent="0.35">
      <c r="A649" s="9">
        <v>40461</v>
      </c>
      <c r="B649">
        <f t="shared" si="11"/>
        <v>10</v>
      </c>
      <c r="C649" s="5">
        <v>200.4</v>
      </c>
    </row>
    <row r="650" spans="1:3" x14ac:dyDescent="0.35">
      <c r="A650" s="9">
        <v>40462</v>
      </c>
      <c r="B650">
        <f t="shared" si="11"/>
        <v>10</v>
      </c>
      <c r="C650" s="5">
        <v>206</v>
      </c>
    </row>
    <row r="651" spans="1:3" x14ac:dyDescent="0.35">
      <c r="A651" s="9">
        <v>40463</v>
      </c>
      <c r="B651">
        <f t="shared" si="11"/>
        <v>10</v>
      </c>
      <c r="C651" s="5">
        <v>200.2</v>
      </c>
    </row>
    <row r="652" spans="1:3" x14ac:dyDescent="0.35">
      <c r="A652" s="9">
        <v>40464</v>
      </c>
      <c r="B652">
        <f t="shared" si="11"/>
        <v>10</v>
      </c>
      <c r="C652" s="5">
        <v>189.8</v>
      </c>
    </row>
    <row r="653" spans="1:3" x14ac:dyDescent="0.35">
      <c r="A653" s="9">
        <v>40465</v>
      </c>
      <c r="B653">
        <f t="shared" si="11"/>
        <v>10</v>
      </c>
      <c r="C653" s="5">
        <v>187.5</v>
      </c>
    </row>
    <row r="654" spans="1:3" x14ac:dyDescent="0.35">
      <c r="A654" s="9">
        <v>40466</v>
      </c>
      <c r="B654">
        <f t="shared" si="11"/>
        <v>10</v>
      </c>
      <c r="C654" s="5">
        <v>193.5</v>
      </c>
    </row>
    <row r="655" spans="1:3" x14ac:dyDescent="0.35">
      <c r="A655" s="9">
        <v>40467</v>
      </c>
      <c r="B655">
        <f t="shared" si="11"/>
        <v>10</v>
      </c>
      <c r="C655" s="5">
        <v>198.4</v>
      </c>
    </row>
    <row r="656" spans="1:3" x14ac:dyDescent="0.35">
      <c r="A656" s="9">
        <v>40468</v>
      </c>
      <c r="B656">
        <f t="shared" si="11"/>
        <v>10</v>
      </c>
      <c r="C656" s="5">
        <v>198.8</v>
      </c>
    </row>
    <row r="657" spans="1:3" x14ac:dyDescent="0.35">
      <c r="A657" s="9">
        <v>40469</v>
      </c>
      <c r="B657">
        <f t="shared" si="11"/>
        <v>10</v>
      </c>
      <c r="C657" s="5">
        <v>194.9</v>
      </c>
    </row>
    <row r="658" spans="1:3" x14ac:dyDescent="0.35">
      <c r="A658" s="9">
        <v>40470</v>
      </c>
      <c r="B658">
        <f t="shared" si="11"/>
        <v>10</v>
      </c>
      <c r="C658" s="5">
        <v>193.4</v>
      </c>
    </row>
    <row r="659" spans="1:3" x14ac:dyDescent="0.35">
      <c r="A659" s="9">
        <v>40471</v>
      </c>
      <c r="B659">
        <f t="shared" si="11"/>
        <v>10</v>
      </c>
      <c r="C659" s="5">
        <v>193.5</v>
      </c>
    </row>
    <row r="660" spans="1:3" x14ac:dyDescent="0.35">
      <c r="A660" s="9">
        <v>40472</v>
      </c>
      <c r="B660">
        <f t="shared" si="11"/>
        <v>10</v>
      </c>
      <c r="C660" s="5">
        <v>194.3</v>
      </c>
    </row>
    <row r="661" spans="1:3" x14ac:dyDescent="0.35">
      <c r="A661" s="9">
        <v>40473</v>
      </c>
      <c r="B661">
        <f t="shared" si="11"/>
        <v>10</v>
      </c>
      <c r="C661" s="5">
        <v>188.4</v>
      </c>
    </row>
    <row r="662" spans="1:3" x14ac:dyDescent="0.35">
      <c r="A662" s="9">
        <v>40474</v>
      </c>
      <c r="B662">
        <f t="shared" si="11"/>
        <v>10</v>
      </c>
      <c r="C662" s="5">
        <v>183.1</v>
      </c>
    </row>
    <row r="663" spans="1:3" x14ac:dyDescent="0.35">
      <c r="A663" s="9">
        <v>40475</v>
      </c>
      <c r="B663">
        <f t="shared" si="11"/>
        <v>10</v>
      </c>
      <c r="C663" s="5">
        <v>184.6</v>
      </c>
    </row>
    <row r="664" spans="1:3" x14ac:dyDescent="0.35">
      <c r="A664" s="9">
        <v>40476</v>
      </c>
      <c r="B664">
        <f t="shared" si="11"/>
        <v>10</v>
      </c>
      <c r="C664" s="5">
        <v>187.3</v>
      </c>
    </row>
    <row r="665" spans="1:3" x14ac:dyDescent="0.35">
      <c r="A665" s="9">
        <v>40477</v>
      </c>
      <c r="B665">
        <f t="shared" si="11"/>
        <v>10</v>
      </c>
      <c r="C665" s="5">
        <v>187.5</v>
      </c>
    </row>
    <row r="666" spans="1:3" x14ac:dyDescent="0.35">
      <c r="A666" s="9">
        <v>40478</v>
      </c>
      <c r="B666">
        <f t="shared" si="11"/>
        <v>10</v>
      </c>
      <c r="C666" s="5">
        <v>185</v>
      </c>
    </row>
    <row r="667" spans="1:3" x14ac:dyDescent="0.35">
      <c r="A667" s="9">
        <v>40479</v>
      </c>
      <c r="B667">
        <f t="shared" si="11"/>
        <v>10</v>
      </c>
      <c r="C667" s="5">
        <v>187.2</v>
      </c>
    </row>
    <row r="668" spans="1:3" x14ac:dyDescent="0.35">
      <c r="A668" s="9">
        <v>40480</v>
      </c>
      <c r="B668">
        <f t="shared" si="11"/>
        <v>10</v>
      </c>
      <c r="C668" s="5">
        <v>195.9</v>
      </c>
    </row>
    <row r="669" spans="1:3" x14ac:dyDescent="0.35">
      <c r="A669" s="9">
        <v>40481</v>
      </c>
      <c r="B669">
        <f t="shared" si="11"/>
        <v>10</v>
      </c>
      <c r="C669" s="5">
        <v>199.3</v>
      </c>
    </row>
    <row r="670" spans="1:3" x14ac:dyDescent="0.35">
      <c r="A670" s="9">
        <v>40482</v>
      </c>
      <c r="B670">
        <f t="shared" si="11"/>
        <v>10</v>
      </c>
      <c r="C670" s="5">
        <v>197.5</v>
      </c>
    </row>
    <row r="671" spans="1:3" x14ac:dyDescent="0.35">
      <c r="A671" s="9">
        <v>40483</v>
      </c>
      <c r="B671">
        <f t="shared" si="11"/>
        <v>11</v>
      </c>
      <c r="C671" s="5">
        <v>197</v>
      </c>
    </row>
    <row r="672" spans="1:3" x14ac:dyDescent="0.35">
      <c r="A672" s="9">
        <v>40484</v>
      </c>
      <c r="B672">
        <f t="shared" si="11"/>
        <v>11</v>
      </c>
      <c r="C672" s="5">
        <v>207.5</v>
      </c>
    </row>
    <row r="673" spans="1:3" x14ac:dyDescent="0.35">
      <c r="A673" s="9">
        <v>40485</v>
      </c>
      <c r="B673">
        <f t="shared" si="11"/>
        <v>11</v>
      </c>
      <c r="C673" s="5">
        <v>203.1</v>
      </c>
    </row>
    <row r="674" spans="1:3" x14ac:dyDescent="0.35">
      <c r="A674" s="9">
        <v>40486</v>
      </c>
      <c r="B674">
        <f t="shared" si="11"/>
        <v>11</v>
      </c>
      <c r="C674" s="5">
        <v>202.4</v>
      </c>
    </row>
    <row r="675" spans="1:3" x14ac:dyDescent="0.35">
      <c r="A675" s="9">
        <v>40487</v>
      </c>
      <c r="B675">
        <f t="shared" si="11"/>
        <v>11</v>
      </c>
      <c r="C675" s="5">
        <v>205.7</v>
      </c>
    </row>
    <row r="676" spans="1:3" x14ac:dyDescent="0.35">
      <c r="A676" s="9">
        <v>40488</v>
      </c>
      <c r="B676">
        <f t="shared" si="11"/>
        <v>11</v>
      </c>
      <c r="C676" s="5">
        <v>207.4</v>
      </c>
    </row>
    <row r="677" spans="1:3" x14ac:dyDescent="0.35">
      <c r="A677" s="9">
        <v>40489</v>
      </c>
      <c r="B677">
        <f t="shared" si="11"/>
        <v>11</v>
      </c>
      <c r="C677" s="5">
        <v>220.2</v>
      </c>
    </row>
    <row r="678" spans="1:3" x14ac:dyDescent="0.35">
      <c r="A678" s="9">
        <v>40490</v>
      </c>
      <c r="B678">
        <f t="shared" si="11"/>
        <v>11</v>
      </c>
      <c r="C678" s="5">
        <v>241.8</v>
      </c>
    </row>
    <row r="679" spans="1:3" x14ac:dyDescent="0.35">
      <c r="A679" s="9">
        <v>40491</v>
      </c>
      <c r="B679">
        <f t="shared" si="11"/>
        <v>11</v>
      </c>
      <c r="C679" s="5">
        <v>260.89999999999998</v>
      </c>
    </row>
    <row r="680" spans="1:3" x14ac:dyDescent="0.35">
      <c r="A680" s="9">
        <v>40492</v>
      </c>
      <c r="B680">
        <f t="shared" si="11"/>
        <v>11</v>
      </c>
      <c r="C680" s="5">
        <v>260.10000000000002</v>
      </c>
    </row>
    <row r="681" spans="1:3" x14ac:dyDescent="0.35">
      <c r="A681" s="9">
        <v>40493</v>
      </c>
      <c r="B681">
        <f t="shared" si="11"/>
        <v>11</v>
      </c>
      <c r="C681" s="5">
        <v>249.3</v>
      </c>
    </row>
    <row r="682" spans="1:3" x14ac:dyDescent="0.35">
      <c r="A682" s="9">
        <v>40494</v>
      </c>
      <c r="B682">
        <f t="shared" si="11"/>
        <v>11</v>
      </c>
      <c r="C682" s="5">
        <v>243.4</v>
      </c>
    </row>
    <row r="683" spans="1:3" x14ac:dyDescent="0.35">
      <c r="A683" s="9">
        <v>40495</v>
      </c>
      <c r="B683">
        <f t="shared" si="11"/>
        <v>11</v>
      </c>
      <c r="C683" s="5">
        <v>246.1</v>
      </c>
    </row>
    <row r="684" spans="1:3" x14ac:dyDescent="0.35">
      <c r="A684" s="9">
        <v>40496</v>
      </c>
      <c r="B684">
        <f t="shared" si="11"/>
        <v>11</v>
      </c>
      <c r="C684" s="5">
        <v>249.3</v>
      </c>
    </row>
    <row r="685" spans="1:3" x14ac:dyDescent="0.35">
      <c r="A685" s="9">
        <v>40497</v>
      </c>
      <c r="B685">
        <f t="shared" si="11"/>
        <v>11</v>
      </c>
      <c r="C685" s="5">
        <v>243.5</v>
      </c>
    </row>
    <row r="686" spans="1:3" x14ac:dyDescent="0.35">
      <c r="A686" s="9">
        <v>40498</v>
      </c>
      <c r="B686">
        <f t="shared" si="11"/>
        <v>11</v>
      </c>
      <c r="C686" s="5">
        <v>235.4</v>
      </c>
    </row>
    <row r="687" spans="1:3" x14ac:dyDescent="0.35">
      <c r="A687" s="9">
        <v>40499</v>
      </c>
      <c r="B687">
        <f t="shared" si="11"/>
        <v>11</v>
      </c>
      <c r="C687" s="5">
        <v>223.6</v>
      </c>
    </row>
    <row r="688" spans="1:3" x14ac:dyDescent="0.35">
      <c r="A688" s="9">
        <v>40500</v>
      </c>
      <c r="B688">
        <f t="shared" si="11"/>
        <v>11</v>
      </c>
      <c r="C688" s="5">
        <v>219</v>
      </c>
    </row>
    <row r="689" spans="1:3" x14ac:dyDescent="0.35">
      <c r="A689" s="9">
        <v>40501</v>
      </c>
      <c r="B689">
        <f t="shared" si="11"/>
        <v>11</v>
      </c>
      <c r="C689" s="5">
        <v>223.2</v>
      </c>
    </row>
    <row r="690" spans="1:3" x14ac:dyDescent="0.35">
      <c r="A690" s="9">
        <v>40502</v>
      </c>
      <c r="B690">
        <f t="shared" si="11"/>
        <v>11</v>
      </c>
      <c r="C690" s="5">
        <v>228.1</v>
      </c>
    </row>
    <row r="691" spans="1:3" x14ac:dyDescent="0.35">
      <c r="A691" s="9">
        <v>40503</v>
      </c>
      <c r="B691">
        <f t="shared" si="11"/>
        <v>11</v>
      </c>
      <c r="C691" s="5">
        <v>221.7</v>
      </c>
    </row>
    <row r="692" spans="1:3" x14ac:dyDescent="0.35">
      <c r="A692" s="9">
        <v>40504</v>
      </c>
      <c r="B692">
        <f t="shared" si="11"/>
        <v>11</v>
      </c>
      <c r="C692" s="5">
        <v>213.5</v>
      </c>
    </row>
    <row r="693" spans="1:3" x14ac:dyDescent="0.35">
      <c r="A693" s="9">
        <v>40505</v>
      </c>
      <c r="B693">
        <f t="shared" si="11"/>
        <v>11</v>
      </c>
      <c r="C693" s="5">
        <v>206.9</v>
      </c>
    </row>
    <row r="694" spans="1:3" x14ac:dyDescent="0.35">
      <c r="A694" s="9">
        <v>40506</v>
      </c>
      <c r="B694">
        <f t="shared" si="11"/>
        <v>11</v>
      </c>
      <c r="C694" s="5">
        <v>204.1</v>
      </c>
    </row>
    <row r="695" spans="1:3" x14ac:dyDescent="0.35">
      <c r="A695" s="9">
        <v>40507</v>
      </c>
      <c r="B695">
        <f t="shared" si="11"/>
        <v>11</v>
      </c>
      <c r="C695" s="5">
        <v>203.2</v>
      </c>
    </row>
    <row r="696" spans="1:3" x14ac:dyDescent="0.35">
      <c r="A696" s="9">
        <v>40508</v>
      </c>
      <c r="B696">
        <f t="shared" si="11"/>
        <v>11</v>
      </c>
      <c r="C696" s="5">
        <v>204.7</v>
      </c>
    </row>
    <row r="697" spans="1:3" x14ac:dyDescent="0.35">
      <c r="A697" s="9">
        <v>40509</v>
      </c>
      <c r="B697">
        <f t="shared" si="11"/>
        <v>11</v>
      </c>
      <c r="C697" s="5">
        <v>207.8</v>
      </c>
    </row>
    <row r="698" spans="1:3" x14ac:dyDescent="0.35">
      <c r="A698" s="9">
        <v>40510</v>
      </c>
      <c r="B698">
        <f t="shared" si="11"/>
        <v>11</v>
      </c>
      <c r="C698" s="5">
        <v>215</v>
      </c>
    </row>
    <row r="699" spans="1:3" x14ac:dyDescent="0.35">
      <c r="A699" s="9">
        <v>40511</v>
      </c>
      <c r="B699">
        <f t="shared" si="11"/>
        <v>11</v>
      </c>
      <c r="C699" s="5">
        <v>225.7</v>
      </c>
    </row>
    <row r="700" spans="1:3" x14ac:dyDescent="0.35">
      <c r="A700" s="9">
        <v>40512</v>
      </c>
      <c r="B700">
        <f t="shared" si="11"/>
        <v>11</v>
      </c>
      <c r="C700" s="5">
        <v>229.5</v>
      </c>
    </row>
    <row r="701" spans="1:3" x14ac:dyDescent="0.35">
      <c r="A701" s="9">
        <v>40513</v>
      </c>
      <c r="B701">
        <f t="shared" si="11"/>
        <v>12</v>
      </c>
      <c r="C701" s="5">
        <v>222.5</v>
      </c>
    </row>
    <row r="702" spans="1:3" x14ac:dyDescent="0.35">
      <c r="A702" s="9">
        <v>40514</v>
      </c>
      <c r="B702">
        <f t="shared" si="11"/>
        <v>12</v>
      </c>
      <c r="C702" s="5">
        <v>218.6</v>
      </c>
    </row>
    <row r="703" spans="1:3" x14ac:dyDescent="0.35">
      <c r="A703" s="9">
        <v>40515</v>
      </c>
      <c r="B703">
        <f t="shared" si="11"/>
        <v>12</v>
      </c>
      <c r="C703" s="5">
        <v>205.9</v>
      </c>
    </row>
    <row r="704" spans="1:3" x14ac:dyDescent="0.35">
      <c r="A704" s="9">
        <v>40516</v>
      </c>
      <c r="B704">
        <f t="shared" si="11"/>
        <v>12</v>
      </c>
      <c r="C704" s="5">
        <v>199.4</v>
      </c>
    </row>
    <row r="705" spans="1:3" x14ac:dyDescent="0.35">
      <c r="A705" s="9">
        <v>40517</v>
      </c>
      <c r="B705">
        <f t="shared" si="11"/>
        <v>12</v>
      </c>
      <c r="C705" s="5">
        <v>202.9</v>
      </c>
    </row>
    <row r="706" spans="1:3" x14ac:dyDescent="0.35">
      <c r="A706" s="9">
        <v>40518</v>
      </c>
      <c r="B706">
        <f t="shared" si="11"/>
        <v>12</v>
      </c>
      <c r="C706" s="5">
        <v>221.6</v>
      </c>
    </row>
    <row r="707" spans="1:3" x14ac:dyDescent="0.35">
      <c r="A707" s="9">
        <v>40519</v>
      </c>
      <c r="B707">
        <f t="shared" si="11"/>
        <v>12</v>
      </c>
      <c r="C707" s="5">
        <v>245</v>
      </c>
    </row>
    <row r="708" spans="1:3" x14ac:dyDescent="0.35">
      <c r="A708" s="9">
        <v>40520</v>
      </c>
      <c r="B708">
        <f t="shared" ref="B708:B771" si="12">MONTH(A708)</f>
        <v>12</v>
      </c>
      <c r="C708" s="5">
        <v>259.89999999999998</v>
      </c>
    </row>
    <row r="709" spans="1:3" x14ac:dyDescent="0.35">
      <c r="A709" s="9">
        <v>40521</v>
      </c>
      <c r="B709">
        <f t="shared" si="12"/>
        <v>12</v>
      </c>
      <c r="C709" s="5">
        <v>256.39999999999998</v>
      </c>
    </row>
    <row r="710" spans="1:3" x14ac:dyDescent="0.35">
      <c r="A710" s="9">
        <v>40522</v>
      </c>
      <c r="B710">
        <f t="shared" si="12"/>
        <v>12</v>
      </c>
      <c r="C710" s="5">
        <v>245</v>
      </c>
    </row>
    <row r="711" spans="1:3" x14ac:dyDescent="0.35">
      <c r="A711" s="9">
        <v>40523</v>
      </c>
      <c r="B711">
        <f t="shared" si="12"/>
        <v>12</v>
      </c>
      <c r="C711" s="5">
        <v>236.4</v>
      </c>
    </row>
    <row r="712" spans="1:3" x14ac:dyDescent="0.35">
      <c r="A712" s="9">
        <v>40524</v>
      </c>
      <c r="B712">
        <f t="shared" si="12"/>
        <v>12</v>
      </c>
      <c r="C712" s="5">
        <v>236.2</v>
      </c>
    </row>
    <row r="713" spans="1:3" x14ac:dyDescent="0.35">
      <c r="A713" s="9">
        <v>40525</v>
      </c>
      <c r="B713">
        <f t="shared" si="12"/>
        <v>12</v>
      </c>
      <c r="C713" s="5">
        <v>240.9</v>
      </c>
    </row>
    <row r="714" spans="1:3" x14ac:dyDescent="0.35">
      <c r="A714" s="9">
        <v>40526</v>
      </c>
      <c r="B714">
        <f t="shared" si="12"/>
        <v>12</v>
      </c>
      <c r="C714" s="5">
        <v>246.5</v>
      </c>
    </row>
    <row r="715" spans="1:3" x14ac:dyDescent="0.35">
      <c r="A715" s="9">
        <v>40527</v>
      </c>
      <c r="B715">
        <f t="shared" si="12"/>
        <v>12</v>
      </c>
      <c r="C715" s="5">
        <v>254</v>
      </c>
    </row>
    <row r="716" spans="1:3" x14ac:dyDescent="0.35">
      <c r="A716" s="9">
        <v>40528</v>
      </c>
      <c r="B716">
        <f t="shared" si="12"/>
        <v>12</v>
      </c>
      <c r="C716" s="5">
        <v>253.2</v>
      </c>
    </row>
    <row r="717" spans="1:3" x14ac:dyDescent="0.35">
      <c r="A717" s="9">
        <v>40529</v>
      </c>
      <c r="B717">
        <f t="shared" si="12"/>
        <v>12</v>
      </c>
      <c r="C717" s="5">
        <v>241.2</v>
      </c>
    </row>
    <row r="718" spans="1:3" x14ac:dyDescent="0.35">
      <c r="A718" s="9">
        <v>40530</v>
      </c>
      <c r="B718">
        <f t="shared" si="12"/>
        <v>12</v>
      </c>
      <c r="C718" s="5">
        <v>220.5</v>
      </c>
    </row>
    <row r="719" spans="1:3" x14ac:dyDescent="0.35">
      <c r="A719" s="9">
        <v>40531</v>
      </c>
      <c r="B719">
        <f t="shared" si="12"/>
        <v>12</v>
      </c>
      <c r="C719" s="5">
        <v>206.4</v>
      </c>
    </row>
    <row r="720" spans="1:3" x14ac:dyDescent="0.35">
      <c r="A720" s="9">
        <v>40532</v>
      </c>
      <c r="B720">
        <f t="shared" si="12"/>
        <v>12</v>
      </c>
      <c r="C720" s="5">
        <v>209.9</v>
      </c>
    </row>
    <row r="721" spans="1:3" x14ac:dyDescent="0.35">
      <c r="A721" s="9">
        <v>40533</v>
      </c>
      <c r="B721">
        <f t="shared" si="12"/>
        <v>12</v>
      </c>
      <c r="C721" s="5">
        <v>223.3</v>
      </c>
    </row>
    <row r="722" spans="1:3" x14ac:dyDescent="0.35">
      <c r="A722" s="9">
        <v>40534</v>
      </c>
      <c r="B722">
        <f t="shared" si="12"/>
        <v>12</v>
      </c>
      <c r="C722" s="5">
        <v>236.9</v>
      </c>
    </row>
    <row r="723" spans="1:3" x14ac:dyDescent="0.35">
      <c r="A723" s="9">
        <v>40535</v>
      </c>
      <c r="B723">
        <f t="shared" si="12"/>
        <v>12</v>
      </c>
      <c r="C723" s="5">
        <v>247.7</v>
      </c>
    </row>
    <row r="724" spans="1:3" x14ac:dyDescent="0.35">
      <c r="A724" s="9">
        <v>40536</v>
      </c>
      <c r="B724">
        <f t="shared" si="12"/>
        <v>12</v>
      </c>
      <c r="C724" s="5">
        <v>252.1</v>
      </c>
    </row>
    <row r="725" spans="1:3" x14ac:dyDescent="0.35">
      <c r="A725" s="9">
        <v>40537</v>
      </c>
      <c r="B725">
        <f t="shared" si="12"/>
        <v>12</v>
      </c>
      <c r="C725" s="5">
        <v>238.7</v>
      </c>
    </row>
    <row r="726" spans="1:3" x14ac:dyDescent="0.35">
      <c r="A726" s="9">
        <v>40538</v>
      </c>
      <c r="B726">
        <f t="shared" si="12"/>
        <v>12</v>
      </c>
      <c r="C726" s="5">
        <v>223</v>
      </c>
    </row>
    <row r="727" spans="1:3" x14ac:dyDescent="0.35">
      <c r="A727" s="9">
        <v>40539</v>
      </c>
      <c r="B727">
        <f t="shared" si="12"/>
        <v>12</v>
      </c>
      <c r="C727" s="5">
        <v>214.2</v>
      </c>
    </row>
    <row r="728" spans="1:3" x14ac:dyDescent="0.35">
      <c r="A728" s="9">
        <v>40540</v>
      </c>
      <c r="B728">
        <f t="shared" si="12"/>
        <v>12</v>
      </c>
      <c r="C728" s="5">
        <v>215</v>
      </c>
    </row>
    <row r="729" spans="1:3" x14ac:dyDescent="0.35">
      <c r="A729" s="9">
        <v>40541</v>
      </c>
      <c r="B729">
        <f t="shared" si="12"/>
        <v>12</v>
      </c>
      <c r="C729" s="5">
        <v>224.3</v>
      </c>
    </row>
    <row r="730" spans="1:3" x14ac:dyDescent="0.35">
      <c r="A730" s="9">
        <v>40542</v>
      </c>
      <c r="B730">
        <f t="shared" si="12"/>
        <v>12</v>
      </c>
      <c r="C730" s="5">
        <v>232.8</v>
      </c>
    </row>
    <row r="731" spans="1:3" x14ac:dyDescent="0.35">
      <c r="A731" s="9">
        <v>40543</v>
      </c>
      <c r="B731">
        <f t="shared" si="12"/>
        <v>12</v>
      </c>
      <c r="C731" s="5">
        <v>239.9</v>
      </c>
    </row>
    <row r="732" spans="1:3" x14ac:dyDescent="0.35">
      <c r="A732" s="9">
        <v>40544</v>
      </c>
      <c r="B732">
        <f t="shared" si="12"/>
        <v>1</v>
      </c>
      <c r="C732" s="5">
        <v>244.5</v>
      </c>
    </row>
    <row r="733" spans="1:3" x14ac:dyDescent="0.35">
      <c r="A733" s="9">
        <v>40545</v>
      </c>
      <c r="B733">
        <f t="shared" si="12"/>
        <v>1</v>
      </c>
      <c r="C733" s="5">
        <v>244.7</v>
      </c>
    </row>
    <row r="734" spans="1:3" x14ac:dyDescent="0.35">
      <c r="A734" s="9">
        <v>40546</v>
      </c>
      <c r="B734">
        <f t="shared" si="12"/>
        <v>1</v>
      </c>
      <c r="C734" s="5">
        <v>243.3</v>
      </c>
    </row>
    <row r="735" spans="1:3" x14ac:dyDescent="0.35">
      <c r="A735" s="9">
        <v>40547</v>
      </c>
      <c r="B735">
        <f t="shared" si="12"/>
        <v>1</v>
      </c>
      <c r="C735" s="5">
        <v>239.8</v>
      </c>
    </row>
    <row r="736" spans="1:3" x14ac:dyDescent="0.35">
      <c r="A736" s="9">
        <v>40548</v>
      </c>
      <c r="B736">
        <f t="shared" si="12"/>
        <v>1</v>
      </c>
      <c r="C736" s="5">
        <v>231.2</v>
      </c>
    </row>
    <row r="737" spans="1:3" x14ac:dyDescent="0.35">
      <c r="A737" s="9">
        <v>40549</v>
      </c>
      <c r="B737">
        <f t="shared" si="12"/>
        <v>1</v>
      </c>
      <c r="C737" s="5">
        <v>227.7</v>
      </c>
    </row>
    <row r="738" spans="1:3" x14ac:dyDescent="0.35">
      <c r="A738" s="9">
        <v>40550</v>
      </c>
      <c r="B738">
        <f t="shared" si="12"/>
        <v>1</v>
      </c>
      <c r="C738" s="5">
        <v>234.8</v>
      </c>
    </row>
    <row r="739" spans="1:3" x14ac:dyDescent="0.35">
      <c r="A739" s="9">
        <v>40551</v>
      </c>
      <c r="B739">
        <f t="shared" si="12"/>
        <v>1</v>
      </c>
      <c r="C739" s="5">
        <v>244.6</v>
      </c>
    </row>
    <row r="740" spans="1:3" x14ac:dyDescent="0.35">
      <c r="A740" s="9">
        <v>40552</v>
      </c>
      <c r="B740">
        <f t="shared" si="12"/>
        <v>1</v>
      </c>
      <c r="C740" s="5">
        <v>247.4</v>
      </c>
    </row>
    <row r="741" spans="1:3" x14ac:dyDescent="0.35">
      <c r="A741" s="9">
        <v>40553</v>
      </c>
      <c r="B741">
        <f t="shared" si="12"/>
        <v>1</v>
      </c>
      <c r="C741" s="5">
        <v>236.7</v>
      </c>
    </row>
    <row r="742" spans="1:3" x14ac:dyDescent="0.35">
      <c r="A742" s="9">
        <v>40554</v>
      </c>
      <c r="B742">
        <f t="shared" si="12"/>
        <v>1</v>
      </c>
      <c r="C742" s="5">
        <v>219.6</v>
      </c>
    </row>
    <row r="743" spans="1:3" x14ac:dyDescent="0.35">
      <c r="A743" s="9">
        <v>40555</v>
      </c>
      <c r="B743">
        <f t="shared" si="12"/>
        <v>1</v>
      </c>
      <c r="C743" s="5">
        <v>210.2</v>
      </c>
    </row>
    <row r="744" spans="1:3" x14ac:dyDescent="0.35">
      <c r="A744" s="9">
        <v>40556</v>
      </c>
      <c r="B744">
        <f t="shared" si="12"/>
        <v>1</v>
      </c>
      <c r="C744" s="5">
        <v>212.9</v>
      </c>
    </row>
    <row r="745" spans="1:3" x14ac:dyDescent="0.35">
      <c r="A745" s="9">
        <v>40557</v>
      </c>
      <c r="B745">
        <f t="shared" si="12"/>
        <v>1</v>
      </c>
      <c r="C745" s="5">
        <v>218.5</v>
      </c>
    </row>
    <row r="746" spans="1:3" x14ac:dyDescent="0.35">
      <c r="A746" s="9">
        <v>40558</v>
      </c>
      <c r="B746">
        <f t="shared" si="12"/>
        <v>1</v>
      </c>
      <c r="C746" s="5">
        <v>219.4</v>
      </c>
    </row>
    <row r="747" spans="1:3" x14ac:dyDescent="0.35">
      <c r="A747" s="9">
        <v>40559</v>
      </c>
      <c r="B747">
        <f t="shared" si="12"/>
        <v>1</v>
      </c>
      <c r="C747" s="5">
        <v>210</v>
      </c>
    </row>
    <row r="748" spans="1:3" x14ac:dyDescent="0.35">
      <c r="A748" s="9">
        <v>40560</v>
      </c>
      <c r="B748">
        <f t="shared" si="12"/>
        <v>1</v>
      </c>
      <c r="C748" s="5">
        <v>196.6</v>
      </c>
    </row>
    <row r="749" spans="1:3" x14ac:dyDescent="0.35">
      <c r="A749" s="9">
        <v>40561</v>
      </c>
      <c r="B749">
        <f t="shared" si="12"/>
        <v>1</v>
      </c>
      <c r="C749" s="5">
        <v>193.5</v>
      </c>
    </row>
    <row r="750" spans="1:3" x14ac:dyDescent="0.35">
      <c r="A750" s="9">
        <v>40562</v>
      </c>
      <c r="B750">
        <f t="shared" si="12"/>
        <v>1</v>
      </c>
      <c r="C750" s="5">
        <v>206.5</v>
      </c>
    </row>
    <row r="751" spans="1:3" x14ac:dyDescent="0.35">
      <c r="A751" s="9">
        <v>40563</v>
      </c>
      <c r="B751">
        <f t="shared" si="12"/>
        <v>1</v>
      </c>
      <c r="C751" s="5">
        <v>224.8</v>
      </c>
    </row>
    <row r="752" spans="1:3" x14ac:dyDescent="0.35">
      <c r="A752" s="9">
        <v>40564</v>
      </c>
      <c r="B752">
        <f t="shared" si="12"/>
        <v>1</v>
      </c>
      <c r="C752" s="5">
        <v>230.3</v>
      </c>
    </row>
    <row r="753" spans="1:3" x14ac:dyDescent="0.35">
      <c r="A753" s="9">
        <v>40565</v>
      </c>
      <c r="B753">
        <f t="shared" si="12"/>
        <v>1</v>
      </c>
      <c r="C753" s="5">
        <v>221.3</v>
      </c>
    </row>
    <row r="754" spans="1:3" x14ac:dyDescent="0.35">
      <c r="A754" s="9">
        <v>40566</v>
      </c>
      <c r="B754">
        <f t="shared" si="12"/>
        <v>1</v>
      </c>
      <c r="C754" s="5">
        <v>212.9</v>
      </c>
    </row>
    <row r="755" spans="1:3" x14ac:dyDescent="0.35">
      <c r="A755" s="9">
        <v>40567</v>
      </c>
      <c r="B755">
        <f t="shared" si="12"/>
        <v>1</v>
      </c>
      <c r="C755" s="5">
        <v>218.9</v>
      </c>
    </row>
    <row r="756" spans="1:3" x14ac:dyDescent="0.35">
      <c r="A756" s="9">
        <v>40568</v>
      </c>
      <c r="B756">
        <f t="shared" si="12"/>
        <v>1</v>
      </c>
      <c r="C756" s="5">
        <v>232.5</v>
      </c>
    </row>
    <row r="757" spans="1:3" x14ac:dyDescent="0.35">
      <c r="A757" s="9">
        <v>40569</v>
      </c>
      <c r="B757">
        <f t="shared" si="12"/>
        <v>1</v>
      </c>
      <c r="C757" s="5">
        <v>241.2</v>
      </c>
    </row>
    <row r="758" spans="1:3" x14ac:dyDescent="0.35">
      <c r="A758" s="9">
        <v>40570</v>
      </c>
      <c r="B758">
        <f t="shared" si="12"/>
        <v>1</v>
      </c>
      <c r="C758" s="5">
        <v>237.5</v>
      </c>
    </row>
    <row r="759" spans="1:3" x14ac:dyDescent="0.35">
      <c r="A759" s="9">
        <v>40571</v>
      </c>
      <c r="B759">
        <f t="shared" si="12"/>
        <v>1</v>
      </c>
      <c r="C759" s="5">
        <v>226.8</v>
      </c>
    </row>
    <row r="760" spans="1:3" x14ac:dyDescent="0.35">
      <c r="A760" s="9">
        <v>40572</v>
      </c>
      <c r="B760">
        <f t="shared" si="12"/>
        <v>1</v>
      </c>
      <c r="C760" s="5">
        <v>209.2</v>
      </c>
    </row>
    <row r="761" spans="1:3" x14ac:dyDescent="0.35">
      <c r="A761" s="9">
        <v>40573</v>
      </c>
      <c r="B761">
        <f t="shared" si="12"/>
        <v>1</v>
      </c>
      <c r="C761" s="5">
        <v>200.1</v>
      </c>
    </row>
    <row r="762" spans="1:3" x14ac:dyDescent="0.35">
      <c r="A762" s="9">
        <v>40574</v>
      </c>
      <c r="B762">
        <f t="shared" si="12"/>
        <v>1</v>
      </c>
      <c r="C762" s="5">
        <v>206.9</v>
      </c>
    </row>
    <row r="763" spans="1:3" x14ac:dyDescent="0.35">
      <c r="A763" s="9">
        <v>40575</v>
      </c>
      <c r="B763">
        <f t="shared" si="12"/>
        <v>2</v>
      </c>
      <c r="C763" s="5">
        <v>220.4</v>
      </c>
    </row>
    <row r="764" spans="1:3" x14ac:dyDescent="0.35">
      <c r="A764" s="9">
        <v>40576</v>
      </c>
      <c r="B764">
        <f t="shared" si="12"/>
        <v>2</v>
      </c>
      <c r="C764" s="5">
        <v>201.3</v>
      </c>
    </row>
    <row r="765" spans="1:3" x14ac:dyDescent="0.35">
      <c r="A765" s="9">
        <v>40577</v>
      </c>
      <c r="B765">
        <f t="shared" si="12"/>
        <v>2</v>
      </c>
      <c r="C765" s="5">
        <v>191.1</v>
      </c>
    </row>
    <row r="766" spans="1:3" x14ac:dyDescent="0.35">
      <c r="A766" s="9">
        <v>40578</v>
      </c>
      <c r="B766">
        <f t="shared" si="12"/>
        <v>2</v>
      </c>
      <c r="C766" s="5">
        <v>178.8</v>
      </c>
    </row>
    <row r="767" spans="1:3" x14ac:dyDescent="0.35">
      <c r="A767" s="9">
        <v>40579</v>
      </c>
      <c r="B767">
        <f t="shared" si="12"/>
        <v>2</v>
      </c>
      <c r="C767" s="5">
        <v>173.1</v>
      </c>
    </row>
    <row r="768" spans="1:3" x14ac:dyDescent="0.35">
      <c r="A768" s="9">
        <v>40580</v>
      </c>
      <c r="B768">
        <f t="shared" si="12"/>
        <v>2</v>
      </c>
      <c r="C768" s="5">
        <v>173.6</v>
      </c>
    </row>
    <row r="769" spans="1:3" x14ac:dyDescent="0.35">
      <c r="A769" s="9">
        <v>40581</v>
      </c>
      <c r="B769">
        <f t="shared" si="12"/>
        <v>2</v>
      </c>
      <c r="C769" s="5">
        <v>178.5</v>
      </c>
    </row>
    <row r="770" spans="1:3" x14ac:dyDescent="0.35">
      <c r="A770" s="9">
        <v>40582</v>
      </c>
      <c r="B770">
        <f t="shared" si="12"/>
        <v>2</v>
      </c>
      <c r="C770" s="5">
        <v>185.1</v>
      </c>
    </row>
    <row r="771" spans="1:3" x14ac:dyDescent="0.35">
      <c r="A771" s="9">
        <v>40583</v>
      </c>
      <c r="B771">
        <f t="shared" si="12"/>
        <v>2</v>
      </c>
      <c r="C771" s="5">
        <v>190.3</v>
      </c>
    </row>
    <row r="772" spans="1:3" x14ac:dyDescent="0.35">
      <c r="A772" s="9">
        <v>40584</v>
      </c>
      <c r="B772">
        <f t="shared" ref="B772:B835" si="13">MONTH(A772)</f>
        <v>2</v>
      </c>
      <c r="C772" s="5">
        <v>190.9</v>
      </c>
    </row>
    <row r="773" spans="1:3" x14ac:dyDescent="0.35">
      <c r="A773" s="9">
        <v>40585</v>
      </c>
      <c r="B773">
        <f t="shared" si="13"/>
        <v>2</v>
      </c>
      <c r="C773" s="5">
        <v>190.2</v>
      </c>
    </row>
    <row r="774" spans="1:3" x14ac:dyDescent="0.35">
      <c r="A774" s="9">
        <v>40586</v>
      </c>
      <c r="B774">
        <f t="shared" si="13"/>
        <v>2</v>
      </c>
      <c r="C774" s="5">
        <v>194.8</v>
      </c>
    </row>
    <row r="775" spans="1:3" x14ac:dyDescent="0.35">
      <c r="A775" s="9">
        <v>40587</v>
      </c>
      <c r="B775">
        <f t="shared" si="13"/>
        <v>2</v>
      </c>
      <c r="C775" s="5">
        <v>196.2</v>
      </c>
    </row>
    <row r="776" spans="1:3" x14ac:dyDescent="0.35">
      <c r="A776" s="9">
        <v>40588</v>
      </c>
      <c r="B776">
        <f t="shared" si="13"/>
        <v>2</v>
      </c>
      <c r="C776" s="5">
        <v>189.5</v>
      </c>
    </row>
    <row r="777" spans="1:3" x14ac:dyDescent="0.35">
      <c r="A777" s="9">
        <v>40589</v>
      </c>
      <c r="B777">
        <f t="shared" si="13"/>
        <v>2</v>
      </c>
      <c r="C777" s="5">
        <v>179.2</v>
      </c>
    </row>
    <row r="778" spans="1:3" x14ac:dyDescent="0.35">
      <c r="A778" s="9">
        <v>40590</v>
      </c>
      <c r="B778">
        <f t="shared" si="13"/>
        <v>2</v>
      </c>
      <c r="C778" s="5">
        <v>170.9</v>
      </c>
    </row>
    <row r="779" spans="1:3" x14ac:dyDescent="0.35">
      <c r="A779" s="9">
        <v>40591</v>
      </c>
      <c r="B779">
        <f t="shared" si="13"/>
        <v>2</v>
      </c>
      <c r="C779" s="5">
        <v>165.7</v>
      </c>
    </row>
    <row r="780" spans="1:3" x14ac:dyDescent="0.35">
      <c r="A780" s="9">
        <v>40592</v>
      </c>
      <c r="B780">
        <f t="shared" si="13"/>
        <v>2</v>
      </c>
      <c r="C780" s="5">
        <v>169.1</v>
      </c>
    </row>
    <row r="781" spans="1:3" x14ac:dyDescent="0.35">
      <c r="A781" s="9">
        <v>40593</v>
      </c>
      <c r="B781">
        <f t="shared" si="13"/>
        <v>2</v>
      </c>
      <c r="C781" s="5">
        <v>177.8</v>
      </c>
    </row>
    <row r="782" spans="1:3" x14ac:dyDescent="0.35">
      <c r="A782" s="9">
        <v>40594</v>
      </c>
      <c r="B782">
        <f t="shared" si="13"/>
        <v>2</v>
      </c>
      <c r="C782" s="5">
        <v>190</v>
      </c>
    </row>
    <row r="783" spans="1:3" x14ac:dyDescent="0.35">
      <c r="A783" s="9">
        <v>40595</v>
      </c>
      <c r="B783">
        <f t="shared" si="13"/>
        <v>2</v>
      </c>
      <c r="C783" s="5">
        <v>194.6</v>
      </c>
    </row>
    <row r="784" spans="1:3" x14ac:dyDescent="0.35">
      <c r="A784" s="9">
        <v>40596</v>
      </c>
      <c r="B784">
        <f t="shared" si="13"/>
        <v>2</v>
      </c>
      <c r="C784" s="5">
        <v>193.1</v>
      </c>
    </row>
    <row r="785" spans="1:3" x14ac:dyDescent="0.35">
      <c r="A785" s="9">
        <v>40597</v>
      </c>
      <c r="B785">
        <f t="shared" si="13"/>
        <v>2</v>
      </c>
      <c r="C785" s="5">
        <v>181.2</v>
      </c>
    </row>
    <row r="786" spans="1:3" x14ac:dyDescent="0.35">
      <c r="A786" s="9">
        <v>40598</v>
      </c>
      <c r="B786">
        <f t="shared" si="13"/>
        <v>2</v>
      </c>
      <c r="C786" s="5">
        <v>167.9</v>
      </c>
    </row>
    <row r="787" spans="1:3" x14ac:dyDescent="0.35">
      <c r="A787" s="9">
        <v>40599</v>
      </c>
      <c r="B787">
        <f t="shared" si="13"/>
        <v>2</v>
      </c>
      <c r="C787" s="5">
        <v>163.80000000000001</v>
      </c>
    </row>
    <row r="788" spans="1:3" x14ac:dyDescent="0.35">
      <c r="A788" s="9">
        <v>40600</v>
      </c>
      <c r="B788">
        <f t="shared" si="13"/>
        <v>2</v>
      </c>
      <c r="C788" s="5">
        <v>166.6</v>
      </c>
    </row>
    <row r="789" spans="1:3" x14ac:dyDescent="0.35">
      <c r="A789" s="9">
        <v>40601</v>
      </c>
      <c r="B789">
        <f t="shared" si="13"/>
        <v>2</v>
      </c>
      <c r="C789" s="5">
        <v>167.5</v>
      </c>
    </row>
    <row r="790" spans="1:3" x14ac:dyDescent="0.35">
      <c r="A790" s="9">
        <v>40602</v>
      </c>
      <c r="B790">
        <f t="shared" si="13"/>
        <v>2</v>
      </c>
      <c r="C790" s="5">
        <v>164.8</v>
      </c>
    </row>
    <row r="791" spans="1:3" x14ac:dyDescent="0.35">
      <c r="A791" s="9">
        <v>40603</v>
      </c>
      <c r="B791">
        <f t="shared" si="13"/>
        <v>3</v>
      </c>
      <c r="C791" s="5">
        <v>163.1</v>
      </c>
    </row>
    <row r="792" spans="1:3" x14ac:dyDescent="0.35">
      <c r="A792" s="9">
        <v>40604</v>
      </c>
      <c r="B792">
        <f t="shared" si="13"/>
        <v>3</v>
      </c>
      <c r="C792" s="5">
        <v>172.8</v>
      </c>
    </row>
    <row r="793" spans="1:3" x14ac:dyDescent="0.35">
      <c r="A793" s="9">
        <v>40605</v>
      </c>
      <c r="B793">
        <f t="shared" si="13"/>
        <v>3</v>
      </c>
      <c r="C793" s="5">
        <v>182.4</v>
      </c>
    </row>
    <row r="794" spans="1:3" x14ac:dyDescent="0.35">
      <c r="A794" s="9">
        <v>40606</v>
      </c>
      <c r="B794">
        <f t="shared" si="13"/>
        <v>3</v>
      </c>
      <c r="C794" s="5">
        <v>200.9</v>
      </c>
    </row>
    <row r="795" spans="1:3" x14ac:dyDescent="0.35">
      <c r="A795" s="9">
        <v>40607</v>
      </c>
      <c r="B795">
        <f t="shared" si="13"/>
        <v>3</v>
      </c>
      <c r="C795" s="5">
        <v>217.2</v>
      </c>
    </row>
    <row r="796" spans="1:3" x14ac:dyDescent="0.35">
      <c r="A796" s="9">
        <v>40608</v>
      </c>
      <c r="B796">
        <f t="shared" si="13"/>
        <v>3</v>
      </c>
      <c r="C796" s="5">
        <v>217.4</v>
      </c>
    </row>
    <row r="797" spans="1:3" x14ac:dyDescent="0.35">
      <c r="A797" s="9">
        <v>40609</v>
      </c>
      <c r="B797">
        <f t="shared" si="13"/>
        <v>3</v>
      </c>
      <c r="C797" s="5">
        <v>207</v>
      </c>
    </row>
    <row r="798" spans="1:3" x14ac:dyDescent="0.35">
      <c r="A798" s="9">
        <v>40610</v>
      </c>
      <c r="B798">
        <f t="shared" si="13"/>
        <v>3</v>
      </c>
      <c r="C798" s="5">
        <v>199.7</v>
      </c>
    </row>
    <row r="799" spans="1:3" x14ac:dyDescent="0.35">
      <c r="A799" s="9">
        <v>40611</v>
      </c>
      <c r="B799">
        <f t="shared" si="13"/>
        <v>3</v>
      </c>
      <c r="C799" s="5">
        <v>205.8</v>
      </c>
    </row>
    <row r="800" spans="1:3" x14ac:dyDescent="0.35">
      <c r="A800" s="9">
        <v>40612</v>
      </c>
      <c r="B800">
        <f t="shared" si="13"/>
        <v>3</v>
      </c>
      <c r="C800" s="5">
        <v>219.9</v>
      </c>
    </row>
    <row r="801" spans="1:3" x14ac:dyDescent="0.35">
      <c r="A801" s="9">
        <v>40613</v>
      </c>
      <c r="B801">
        <f t="shared" si="13"/>
        <v>3</v>
      </c>
      <c r="C801" s="5">
        <v>224.5</v>
      </c>
    </row>
    <row r="802" spans="1:3" x14ac:dyDescent="0.35">
      <c r="A802" s="9">
        <v>40614</v>
      </c>
      <c r="B802">
        <f t="shared" si="13"/>
        <v>3</v>
      </c>
      <c r="C802" s="5">
        <v>218.3</v>
      </c>
    </row>
    <row r="803" spans="1:3" x14ac:dyDescent="0.35">
      <c r="A803" s="9">
        <v>40615</v>
      </c>
      <c r="B803">
        <f t="shared" si="13"/>
        <v>3</v>
      </c>
      <c r="C803" s="5">
        <v>207.1</v>
      </c>
    </row>
    <row r="804" spans="1:3" x14ac:dyDescent="0.35">
      <c r="A804" s="9">
        <v>40616</v>
      </c>
      <c r="B804">
        <f t="shared" si="13"/>
        <v>3</v>
      </c>
      <c r="C804" s="5">
        <v>200.7</v>
      </c>
    </row>
    <row r="805" spans="1:3" x14ac:dyDescent="0.35">
      <c r="A805" s="9">
        <v>40617</v>
      </c>
      <c r="B805">
        <f t="shared" si="13"/>
        <v>3</v>
      </c>
      <c r="C805" s="5">
        <v>200.6</v>
      </c>
    </row>
    <row r="806" spans="1:3" x14ac:dyDescent="0.35">
      <c r="A806" s="9">
        <v>40618</v>
      </c>
      <c r="B806">
        <f t="shared" si="13"/>
        <v>3</v>
      </c>
      <c r="C806" s="5">
        <v>202.3</v>
      </c>
    </row>
    <row r="807" spans="1:3" x14ac:dyDescent="0.35">
      <c r="A807" s="9">
        <v>40619</v>
      </c>
      <c r="B807">
        <f t="shared" si="13"/>
        <v>3</v>
      </c>
      <c r="C807" s="5">
        <v>196.7</v>
      </c>
    </row>
    <row r="808" spans="1:3" x14ac:dyDescent="0.35">
      <c r="A808" s="9">
        <v>40620</v>
      </c>
      <c r="B808">
        <f t="shared" si="13"/>
        <v>3</v>
      </c>
      <c r="C808" s="5">
        <v>190.3</v>
      </c>
    </row>
    <row r="809" spans="1:3" x14ac:dyDescent="0.35">
      <c r="A809" s="9">
        <v>40621</v>
      </c>
      <c r="B809">
        <f t="shared" si="13"/>
        <v>3</v>
      </c>
      <c r="C809" s="5">
        <v>187.6</v>
      </c>
    </row>
    <row r="810" spans="1:3" x14ac:dyDescent="0.35">
      <c r="A810" s="9">
        <v>40622</v>
      </c>
      <c r="B810">
        <f t="shared" si="13"/>
        <v>3</v>
      </c>
      <c r="C810" s="5">
        <v>186.6</v>
      </c>
    </row>
    <row r="811" spans="1:3" x14ac:dyDescent="0.35">
      <c r="A811" s="9">
        <v>40623</v>
      </c>
      <c r="B811">
        <f t="shared" si="13"/>
        <v>3</v>
      </c>
      <c r="C811" s="5">
        <v>186.3</v>
      </c>
    </row>
    <row r="812" spans="1:3" x14ac:dyDescent="0.35">
      <c r="A812" s="9">
        <v>40624</v>
      </c>
      <c r="B812">
        <f t="shared" si="13"/>
        <v>3</v>
      </c>
      <c r="C812" s="5">
        <v>181.4</v>
      </c>
    </row>
    <row r="813" spans="1:3" x14ac:dyDescent="0.35">
      <c r="A813" s="9">
        <v>40625</v>
      </c>
      <c r="B813">
        <f t="shared" si="13"/>
        <v>3</v>
      </c>
      <c r="C813" s="5">
        <v>172.9</v>
      </c>
    </row>
    <row r="814" spans="1:3" x14ac:dyDescent="0.35">
      <c r="A814" s="9">
        <v>40626</v>
      </c>
      <c r="B814">
        <f t="shared" si="13"/>
        <v>3</v>
      </c>
      <c r="C814" s="5">
        <v>166.1</v>
      </c>
    </row>
    <row r="815" spans="1:3" x14ac:dyDescent="0.35">
      <c r="A815" s="9">
        <v>40627</v>
      </c>
      <c r="B815">
        <f t="shared" si="13"/>
        <v>3</v>
      </c>
      <c r="C815" s="5">
        <v>167.6</v>
      </c>
    </row>
    <row r="816" spans="1:3" x14ac:dyDescent="0.35">
      <c r="A816" s="9">
        <v>40628</v>
      </c>
      <c r="B816">
        <f t="shared" si="13"/>
        <v>3</v>
      </c>
      <c r="C816" s="5">
        <v>177</v>
      </c>
    </row>
    <row r="817" spans="1:3" x14ac:dyDescent="0.35">
      <c r="A817" s="9">
        <v>40629</v>
      </c>
      <c r="B817">
        <f t="shared" si="13"/>
        <v>3</v>
      </c>
      <c r="C817" s="5">
        <v>189.1</v>
      </c>
    </row>
    <row r="818" spans="1:3" x14ac:dyDescent="0.35">
      <c r="A818" s="9">
        <v>40630</v>
      </c>
      <c r="B818">
        <f t="shared" si="13"/>
        <v>3</v>
      </c>
      <c r="C818" s="5">
        <v>193.9</v>
      </c>
    </row>
    <row r="819" spans="1:3" x14ac:dyDescent="0.35">
      <c r="A819" s="9">
        <v>40631</v>
      </c>
      <c r="B819">
        <f t="shared" si="13"/>
        <v>3</v>
      </c>
      <c r="C819" s="5">
        <v>194.2</v>
      </c>
    </row>
    <row r="820" spans="1:3" x14ac:dyDescent="0.35">
      <c r="A820" s="9">
        <v>40632</v>
      </c>
      <c r="B820">
        <f t="shared" si="13"/>
        <v>3</v>
      </c>
      <c r="C820" s="5">
        <v>198.8</v>
      </c>
    </row>
    <row r="821" spans="1:3" x14ac:dyDescent="0.35">
      <c r="A821" s="9">
        <v>40633</v>
      </c>
      <c r="B821">
        <f t="shared" si="13"/>
        <v>3</v>
      </c>
      <c r="C821" s="5">
        <v>212.7</v>
      </c>
    </row>
    <row r="822" spans="1:3" x14ac:dyDescent="0.35">
      <c r="A822" s="9">
        <v>40634</v>
      </c>
      <c r="B822">
        <f t="shared" si="13"/>
        <v>4</v>
      </c>
      <c r="C822" s="5">
        <v>223.4</v>
      </c>
    </row>
    <row r="823" spans="1:3" x14ac:dyDescent="0.35">
      <c r="A823" s="9">
        <v>40635</v>
      </c>
      <c r="B823">
        <f t="shared" si="13"/>
        <v>4</v>
      </c>
      <c r="C823" s="5">
        <v>227.9</v>
      </c>
    </row>
    <row r="824" spans="1:3" x14ac:dyDescent="0.35">
      <c r="A824" s="9">
        <v>40636</v>
      </c>
      <c r="B824">
        <f t="shared" si="13"/>
        <v>4</v>
      </c>
      <c r="C824" s="5">
        <v>219.1</v>
      </c>
    </row>
    <row r="825" spans="1:3" x14ac:dyDescent="0.35">
      <c r="A825" s="9">
        <v>40637</v>
      </c>
      <c r="B825">
        <f t="shared" si="13"/>
        <v>4</v>
      </c>
      <c r="C825" s="5">
        <v>212.4</v>
      </c>
    </row>
    <row r="826" spans="1:3" x14ac:dyDescent="0.35">
      <c r="A826" s="9">
        <v>40638</v>
      </c>
      <c r="B826">
        <f t="shared" si="13"/>
        <v>4</v>
      </c>
      <c r="C826" s="5">
        <v>209.1</v>
      </c>
    </row>
    <row r="827" spans="1:3" x14ac:dyDescent="0.35">
      <c r="A827" s="9">
        <v>40639</v>
      </c>
      <c r="B827">
        <f t="shared" si="13"/>
        <v>4</v>
      </c>
      <c r="C827" s="5">
        <v>216.2</v>
      </c>
    </row>
    <row r="828" spans="1:3" x14ac:dyDescent="0.35">
      <c r="A828" s="9">
        <v>40640</v>
      </c>
      <c r="B828">
        <f t="shared" si="13"/>
        <v>4</v>
      </c>
      <c r="C828" s="5">
        <v>227</v>
      </c>
    </row>
    <row r="829" spans="1:3" x14ac:dyDescent="0.35">
      <c r="A829" s="9">
        <v>40641</v>
      </c>
      <c r="B829">
        <f t="shared" si="13"/>
        <v>4</v>
      </c>
      <c r="C829" s="5">
        <v>234.5</v>
      </c>
    </row>
    <row r="830" spans="1:3" x14ac:dyDescent="0.35">
      <c r="A830" s="9">
        <v>40642</v>
      </c>
      <c r="B830">
        <f t="shared" si="13"/>
        <v>4</v>
      </c>
      <c r="C830" s="5">
        <v>232</v>
      </c>
    </row>
    <row r="831" spans="1:3" x14ac:dyDescent="0.35">
      <c r="A831" s="9">
        <v>40643</v>
      </c>
      <c r="B831">
        <f t="shared" si="13"/>
        <v>4</v>
      </c>
      <c r="C831" s="5">
        <v>217.9</v>
      </c>
    </row>
    <row r="832" spans="1:3" x14ac:dyDescent="0.35">
      <c r="A832" s="9">
        <v>40644</v>
      </c>
      <c r="B832">
        <f t="shared" si="13"/>
        <v>4</v>
      </c>
      <c r="C832" s="5">
        <v>196.7</v>
      </c>
    </row>
    <row r="833" spans="1:3" x14ac:dyDescent="0.35">
      <c r="A833" s="9">
        <v>40645</v>
      </c>
      <c r="B833">
        <f t="shared" si="13"/>
        <v>4</v>
      </c>
      <c r="C833" s="5">
        <v>178.9</v>
      </c>
    </row>
    <row r="834" spans="1:3" x14ac:dyDescent="0.35">
      <c r="A834" s="9">
        <v>40646</v>
      </c>
      <c r="B834">
        <f t="shared" si="13"/>
        <v>4</v>
      </c>
      <c r="C834" s="5">
        <v>172.9</v>
      </c>
    </row>
    <row r="835" spans="1:3" x14ac:dyDescent="0.35">
      <c r="A835" s="9">
        <v>40647</v>
      </c>
      <c r="B835">
        <f t="shared" si="13"/>
        <v>4</v>
      </c>
      <c r="C835" s="5">
        <v>178.3</v>
      </c>
    </row>
    <row r="836" spans="1:3" x14ac:dyDescent="0.35">
      <c r="A836" s="9">
        <v>40648</v>
      </c>
      <c r="B836">
        <f t="shared" ref="B836:B899" si="14">MONTH(A836)</f>
        <v>4</v>
      </c>
      <c r="C836" s="5">
        <v>193.5</v>
      </c>
    </row>
    <row r="837" spans="1:3" x14ac:dyDescent="0.35">
      <c r="A837" s="9">
        <v>40649</v>
      </c>
      <c r="B837">
        <f t="shared" si="14"/>
        <v>4</v>
      </c>
      <c r="C837" s="5">
        <v>213.2</v>
      </c>
    </row>
    <row r="838" spans="1:3" x14ac:dyDescent="0.35">
      <c r="A838" s="9">
        <v>40650</v>
      </c>
      <c r="B838">
        <f t="shared" si="14"/>
        <v>4</v>
      </c>
      <c r="C838" s="5">
        <v>235.1</v>
      </c>
    </row>
    <row r="839" spans="1:3" x14ac:dyDescent="0.35">
      <c r="A839" s="9">
        <v>40651</v>
      </c>
      <c r="B839">
        <f t="shared" si="14"/>
        <v>4</v>
      </c>
      <c r="C839" s="5">
        <v>244</v>
      </c>
    </row>
    <row r="840" spans="1:3" x14ac:dyDescent="0.35">
      <c r="A840" s="9">
        <v>40652</v>
      </c>
      <c r="B840">
        <f t="shared" si="14"/>
        <v>4</v>
      </c>
      <c r="C840" s="5">
        <v>237.3</v>
      </c>
    </row>
    <row r="841" spans="1:3" x14ac:dyDescent="0.35">
      <c r="A841" s="9">
        <v>40653</v>
      </c>
      <c r="B841">
        <f t="shared" si="14"/>
        <v>4</v>
      </c>
      <c r="C841" s="5">
        <v>218.1</v>
      </c>
    </row>
    <row r="842" spans="1:3" x14ac:dyDescent="0.35">
      <c r="A842" s="9">
        <v>40654</v>
      </c>
      <c r="B842">
        <f t="shared" si="14"/>
        <v>4</v>
      </c>
      <c r="C842" s="5">
        <v>201.6</v>
      </c>
    </row>
    <row r="843" spans="1:3" x14ac:dyDescent="0.35">
      <c r="A843" s="9">
        <v>40655</v>
      </c>
      <c r="B843">
        <f t="shared" si="14"/>
        <v>4</v>
      </c>
      <c r="C843" s="5">
        <v>199.8</v>
      </c>
    </row>
    <row r="844" spans="1:3" x14ac:dyDescent="0.35">
      <c r="A844" s="9">
        <v>40656</v>
      </c>
      <c r="B844">
        <f t="shared" si="14"/>
        <v>4</v>
      </c>
      <c r="C844" s="5">
        <v>210.2</v>
      </c>
    </row>
    <row r="845" spans="1:3" x14ac:dyDescent="0.35">
      <c r="A845" s="9">
        <v>40657</v>
      </c>
      <c r="B845">
        <f t="shared" si="14"/>
        <v>4</v>
      </c>
      <c r="C845" s="5">
        <v>222</v>
      </c>
    </row>
    <row r="846" spans="1:3" x14ac:dyDescent="0.35">
      <c r="A846" s="9">
        <v>40658</v>
      </c>
      <c r="B846">
        <f t="shared" si="14"/>
        <v>4</v>
      </c>
      <c r="C846" s="5">
        <v>231.2</v>
      </c>
    </row>
    <row r="847" spans="1:3" x14ac:dyDescent="0.35">
      <c r="A847" s="9">
        <v>40659</v>
      </c>
      <c r="B847">
        <f t="shared" si="14"/>
        <v>4</v>
      </c>
      <c r="C847" s="5">
        <v>230.3</v>
      </c>
    </row>
    <row r="848" spans="1:3" x14ac:dyDescent="0.35">
      <c r="A848" s="9">
        <v>40660</v>
      </c>
      <c r="B848">
        <f t="shared" si="14"/>
        <v>4</v>
      </c>
      <c r="C848" s="5">
        <v>222</v>
      </c>
    </row>
    <row r="849" spans="1:3" x14ac:dyDescent="0.35">
      <c r="A849" s="9">
        <v>40661</v>
      </c>
      <c r="B849">
        <f t="shared" si="14"/>
        <v>4</v>
      </c>
      <c r="C849" s="5">
        <v>214.5</v>
      </c>
    </row>
    <row r="850" spans="1:3" x14ac:dyDescent="0.35">
      <c r="A850" s="9">
        <v>40662</v>
      </c>
      <c r="B850">
        <f t="shared" si="14"/>
        <v>4</v>
      </c>
      <c r="C850" s="5">
        <v>218</v>
      </c>
    </row>
    <row r="851" spans="1:3" x14ac:dyDescent="0.35">
      <c r="A851" s="9">
        <v>40663</v>
      </c>
      <c r="B851">
        <f t="shared" si="14"/>
        <v>4</v>
      </c>
      <c r="C851" s="5">
        <v>230.4</v>
      </c>
    </row>
    <row r="852" spans="1:3" x14ac:dyDescent="0.35">
      <c r="A852" s="9">
        <v>40664</v>
      </c>
      <c r="B852">
        <f t="shared" si="14"/>
        <v>5</v>
      </c>
      <c r="C852" s="5">
        <v>234.3</v>
      </c>
    </row>
    <row r="853" spans="1:3" x14ac:dyDescent="0.35">
      <c r="A853" s="9">
        <v>40665</v>
      </c>
      <c r="B853">
        <f t="shared" si="14"/>
        <v>5</v>
      </c>
      <c r="C853" s="5">
        <v>235</v>
      </c>
    </row>
    <row r="854" spans="1:3" x14ac:dyDescent="0.35">
      <c r="A854" s="9">
        <v>40666</v>
      </c>
      <c r="B854">
        <f t="shared" si="14"/>
        <v>5</v>
      </c>
      <c r="C854" s="5">
        <v>232.8</v>
      </c>
    </row>
    <row r="855" spans="1:3" x14ac:dyDescent="0.35">
      <c r="A855" s="9">
        <v>40667</v>
      </c>
      <c r="B855">
        <f t="shared" si="14"/>
        <v>5</v>
      </c>
      <c r="C855" s="5">
        <v>222.6</v>
      </c>
    </row>
    <row r="856" spans="1:3" x14ac:dyDescent="0.35">
      <c r="A856" s="9">
        <v>40668</v>
      </c>
      <c r="B856">
        <f t="shared" si="14"/>
        <v>5</v>
      </c>
      <c r="C856" s="5">
        <v>206.3</v>
      </c>
    </row>
    <row r="857" spans="1:3" x14ac:dyDescent="0.35">
      <c r="A857" s="9">
        <v>40669</v>
      </c>
      <c r="B857">
        <f t="shared" si="14"/>
        <v>5</v>
      </c>
      <c r="C857" s="5">
        <v>185.3</v>
      </c>
    </row>
    <row r="858" spans="1:3" x14ac:dyDescent="0.35">
      <c r="A858" s="9">
        <v>40670</v>
      </c>
      <c r="B858">
        <f t="shared" si="14"/>
        <v>5</v>
      </c>
      <c r="C858" s="5">
        <v>165.2</v>
      </c>
    </row>
    <row r="859" spans="1:3" x14ac:dyDescent="0.35">
      <c r="A859" s="9">
        <v>40671</v>
      </c>
      <c r="B859">
        <f t="shared" si="14"/>
        <v>5</v>
      </c>
      <c r="C859" s="5">
        <v>150.80000000000001</v>
      </c>
    </row>
    <row r="860" spans="1:3" x14ac:dyDescent="0.35">
      <c r="A860" s="9">
        <v>40672</v>
      </c>
      <c r="B860">
        <f t="shared" si="14"/>
        <v>5</v>
      </c>
      <c r="C860" s="5">
        <v>141.4</v>
      </c>
    </row>
    <row r="861" spans="1:3" x14ac:dyDescent="0.35">
      <c r="A861" s="9">
        <v>40673</v>
      </c>
      <c r="B861">
        <f t="shared" si="14"/>
        <v>5</v>
      </c>
      <c r="C861" s="5">
        <v>135.4</v>
      </c>
    </row>
    <row r="862" spans="1:3" x14ac:dyDescent="0.35">
      <c r="A862" s="9">
        <v>40674</v>
      </c>
      <c r="B862">
        <f t="shared" si="14"/>
        <v>5</v>
      </c>
      <c r="C862" s="5">
        <v>137.1</v>
      </c>
    </row>
    <row r="863" spans="1:3" x14ac:dyDescent="0.35">
      <c r="A863" s="9">
        <v>40675</v>
      </c>
      <c r="B863">
        <f t="shared" si="14"/>
        <v>5</v>
      </c>
      <c r="C863" s="5">
        <v>148.1</v>
      </c>
    </row>
    <row r="864" spans="1:3" x14ac:dyDescent="0.35">
      <c r="A864" s="9">
        <v>40676</v>
      </c>
      <c r="B864">
        <f t="shared" si="14"/>
        <v>5</v>
      </c>
      <c r="C864" s="5">
        <v>162</v>
      </c>
    </row>
    <row r="865" spans="1:3" x14ac:dyDescent="0.35">
      <c r="A865" s="9">
        <v>40677</v>
      </c>
      <c r="B865">
        <f t="shared" si="14"/>
        <v>5</v>
      </c>
      <c r="C865" s="5">
        <v>165.1</v>
      </c>
    </row>
    <row r="866" spans="1:3" x14ac:dyDescent="0.35">
      <c r="A866" s="9">
        <v>40678</v>
      </c>
      <c r="B866">
        <f t="shared" si="14"/>
        <v>5</v>
      </c>
      <c r="C866" s="5">
        <v>161.5</v>
      </c>
    </row>
    <row r="867" spans="1:3" x14ac:dyDescent="0.35">
      <c r="A867" s="9">
        <v>40679</v>
      </c>
      <c r="B867">
        <f t="shared" si="14"/>
        <v>5</v>
      </c>
      <c r="C867" s="5">
        <v>160</v>
      </c>
    </row>
    <row r="868" spans="1:3" x14ac:dyDescent="0.35">
      <c r="A868" s="9">
        <v>40680</v>
      </c>
      <c r="B868">
        <f t="shared" si="14"/>
        <v>5</v>
      </c>
      <c r="C868" s="5">
        <v>168.4</v>
      </c>
    </row>
    <row r="869" spans="1:3" x14ac:dyDescent="0.35">
      <c r="A869" s="9">
        <v>40681</v>
      </c>
      <c r="B869">
        <f t="shared" si="14"/>
        <v>5</v>
      </c>
      <c r="C869" s="5">
        <v>183.8</v>
      </c>
    </row>
    <row r="870" spans="1:3" x14ac:dyDescent="0.35">
      <c r="A870" s="9">
        <v>40682</v>
      </c>
      <c r="B870">
        <f t="shared" si="14"/>
        <v>5</v>
      </c>
      <c r="C870" s="5">
        <v>194.1</v>
      </c>
    </row>
    <row r="871" spans="1:3" x14ac:dyDescent="0.35">
      <c r="A871" s="9">
        <v>40683</v>
      </c>
      <c r="B871">
        <f t="shared" si="14"/>
        <v>5</v>
      </c>
      <c r="C871" s="5">
        <v>193</v>
      </c>
    </row>
    <row r="872" spans="1:3" x14ac:dyDescent="0.35">
      <c r="A872" s="9">
        <v>40684</v>
      </c>
      <c r="B872">
        <f t="shared" si="14"/>
        <v>5</v>
      </c>
      <c r="C872" s="5">
        <v>182.9</v>
      </c>
    </row>
    <row r="873" spans="1:3" x14ac:dyDescent="0.35">
      <c r="A873" s="9">
        <v>40685</v>
      </c>
      <c r="B873">
        <f t="shared" si="14"/>
        <v>5</v>
      </c>
      <c r="C873" s="5">
        <v>168.5</v>
      </c>
    </row>
    <row r="874" spans="1:3" x14ac:dyDescent="0.35">
      <c r="A874" s="9">
        <v>40686</v>
      </c>
      <c r="B874">
        <f t="shared" si="14"/>
        <v>5</v>
      </c>
      <c r="C874" s="5">
        <v>154.9</v>
      </c>
    </row>
    <row r="875" spans="1:3" x14ac:dyDescent="0.35">
      <c r="A875" s="9">
        <v>40687</v>
      </c>
      <c r="B875">
        <f t="shared" si="14"/>
        <v>5</v>
      </c>
      <c r="C875" s="5">
        <v>144.5</v>
      </c>
    </row>
    <row r="876" spans="1:3" x14ac:dyDescent="0.35">
      <c r="A876" s="9">
        <v>40688</v>
      </c>
      <c r="B876">
        <f t="shared" si="14"/>
        <v>5</v>
      </c>
      <c r="C876" s="5">
        <v>137.4</v>
      </c>
    </row>
    <row r="877" spans="1:3" x14ac:dyDescent="0.35">
      <c r="A877" s="9">
        <v>40689</v>
      </c>
      <c r="B877">
        <f t="shared" si="14"/>
        <v>5</v>
      </c>
      <c r="C877" s="5">
        <v>138.80000000000001</v>
      </c>
    </row>
    <row r="878" spans="1:3" x14ac:dyDescent="0.35">
      <c r="A878" s="9">
        <v>40690</v>
      </c>
      <c r="B878">
        <f t="shared" si="14"/>
        <v>5</v>
      </c>
      <c r="C878" s="5">
        <v>150.4</v>
      </c>
    </row>
    <row r="879" spans="1:3" x14ac:dyDescent="0.35">
      <c r="A879" s="9">
        <v>40691</v>
      </c>
      <c r="B879">
        <f t="shared" si="14"/>
        <v>5</v>
      </c>
      <c r="C879" s="5">
        <v>166.3</v>
      </c>
    </row>
    <row r="880" spans="1:3" x14ac:dyDescent="0.35">
      <c r="A880" s="9">
        <v>40692</v>
      </c>
      <c r="B880">
        <f t="shared" si="14"/>
        <v>5</v>
      </c>
      <c r="C880" s="5">
        <v>173.8</v>
      </c>
    </row>
    <row r="881" spans="1:3" x14ac:dyDescent="0.35">
      <c r="A881" s="9">
        <v>40693</v>
      </c>
      <c r="B881">
        <f t="shared" si="14"/>
        <v>5</v>
      </c>
      <c r="C881" s="5">
        <v>174.9</v>
      </c>
    </row>
    <row r="882" spans="1:3" x14ac:dyDescent="0.35">
      <c r="A882" s="9">
        <v>40694</v>
      </c>
      <c r="B882">
        <f t="shared" si="14"/>
        <v>5</v>
      </c>
      <c r="C882" s="5">
        <v>170.9</v>
      </c>
    </row>
    <row r="883" spans="1:3" x14ac:dyDescent="0.35">
      <c r="A883" s="9">
        <v>40695</v>
      </c>
      <c r="B883">
        <f t="shared" si="14"/>
        <v>6</v>
      </c>
      <c r="C883" s="5">
        <v>163.30000000000001</v>
      </c>
    </row>
    <row r="884" spans="1:3" x14ac:dyDescent="0.35">
      <c r="A884" s="9">
        <v>40696</v>
      </c>
      <c r="B884">
        <f t="shared" si="14"/>
        <v>6</v>
      </c>
      <c r="C884" s="5">
        <v>115.5</v>
      </c>
    </row>
    <row r="885" spans="1:3" x14ac:dyDescent="0.35">
      <c r="A885" s="9">
        <v>40697</v>
      </c>
      <c r="B885">
        <f t="shared" si="14"/>
        <v>6</v>
      </c>
      <c r="C885" s="5">
        <v>109.1</v>
      </c>
    </row>
    <row r="886" spans="1:3" x14ac:dyDescent="0.35">
      <c r="A886" s="9">
        <v>40698</v>
      </c>
      <c r="B886">
        <f t="shared" si="14"/>
        <v>6</v>
      </c>
      <c r="C886" s="5">
        <v>102.6</v>
      </c>
    </row>
    <row r="887" spans="1:3" x14ac:dyDescent="0.35">
      <c r="A887" s="9">
        <v>40699</v>
      </c>
      <c r="B887">
        <f t="shared" si="14"/>
        <v>6</v>
      </c>
      <c r="C887" s="5">
        <v>97.1</v>
      </c>
    </row>
    <row r="888" spans="1:3" x14ac:dyDescent="0.35">
      <c r="A888" s="9">
        <v>40700</v>
      </c>
      <c r="B888">
        <f t="shared" si="14"/>
        <v>6</v>
      </c>
      <c r="C888" s="5">
        <v>92.5</v>
      </c>
    </row>
    <row r="889" spans="1:3" x14ac:dyDescent="0.35">
      <c r="A889" s="9">
        <v>40701</v>
      </c>
      <c r="B889">
        <f t="shared" si="14"/>
        <v>6</v>
      </c>
      <c r="C889" s="5">
        <v>89.1</v>
      </c>
    </row>
    <row r="890" spans="1:3" x14ac:dyDescent="0.35">
      <c r="A890" s="9">
        <v>40702</v>
      </c>
      <c r="B890">
        <f t="shared" si="14"/>
        <v>6</v>
      </c>
      <c r="C890" s="5">
        <v>87</v>
      </c>
    </row>
    <row r="891" spans="1:3" x14ac:dyDescent="0.35">
      <c r="A891" s="9">
        <v>40703</v>
      </c>
      <c r="B891">
        <f t="shared" si="14"/>
        <v>6</v>
      </c>
      <c r="C891" s="5">
        <v>87.5</v>
      </c>
    </row>
    <row r="892" spans="1:3" x14ac:dyDescent="0.35">
      <c r="A892" s="9">
        <v>40704</v>
      </c>
      <c r="B892">
        <f t="shared" si="14"/>
        <v>6</v>
      </c>
      <c r="C892" s="5">
        <v>93.8</v>
      </c>
    </row>
    <row r="893" spans="1:3" x14ac:dyDescent="0.35">
      <c r="A893" s="9">
        <v>40705</v>
      </c>
      <c r="B893">
        <f t="shared" si="14"/>
        <v>6</v>
      </c>
      <c r="C893" s="5">
        <v>105.4</v>
      </c>
    </row>
    <row r="894" spans="1:3" x14ac:dyDescent="0.35">
      <c r="A894" s="9">
        <v>40706</v>
      </c>
      <c r="B894">
        <f t="shared" si="14"/>
        <v>6</v>
      </c>
      <c r="C894" s="5">
        <v>114.7</v>
      </c>
    </row>
    <row r="895" spans="1:3" x14ac:dyDescent="0.35">
      <c r="A895" s="9">
        <v>40707</v>
      </c>
      <c r="B895">
        <f t="shared" si="14"/>
        <v>6</v>
      </c>
      <c r="C895" s="5">
        <v>115.3</v>
      </c>
    </row>
    <row r="896" spans="1:3" x14ac:dyDescent="0.35">
      <c r="A896" s="9">
        <v>40708</v>
      </c>
      <c r="B896">
        <f t="shared" si="14"/>
        <v>6</v>
      </c>
      <c r="C896" s="5">
        <v>109.5</v>
      </c>
    </row>
    <row r="897" spans="1:3" x14ac:dyDescent="0.35">
      <c r="A897" s="9">
        <v>40709</v>
      </c>
      <c r="B897">
        <f t="shared" si="14"/>
        <v>6</v>
      </c>
      <c r="C897" s="5">
        <v>101.4</v>
      </c>
    </row>
    <row r="898" spans="1:3" x14ac:dyDescent="0.35">
      <c r="A898" s="9">
        <v>40710</v>
      </c>
      <c r="B898">
        <f t="shared" si="14"/>
        <v>6</v>
      </c>
      <c r="C898" s="5">
        <v>94.8</v>
      </c>
    </row>
    <row r="899" spans="1:3" x14ac:dyDescent="0.35">
      <c r="A899" s="9">
        <v>40711</v>
      </c>
      <c r="B899">
        <f t="shared" si="14"/>
        <v>6</v>
      </c>
      <c r="C899" s="5">
        <v>90.9</v>
      </c>
    </row>
    <row r="900" spans="1:3" x14ac:dyDescent="0.35">
      <c r="A900" s="9">
        <v>40712</v>
      </c>
      <c r="B900">
        <f t="shared" ref="B900:B963" si="15">MONTH(A900)</f>
        <v>6</v>
      </c>
      <c r="C900" s="5">
        <v>88.2</v>
      </c>
    </row>
    <row r="901" spans="1:3" x14ac:dyDescent="0.35">
      <c r="A901" s="9">
        <v>40713</v>
      </c>
      <c r="B901">
        <f t="shared" si="15"/>
        <v>6</v>
      </c>
      <c r="C901" s="5">
        <v>86.5</v>
      </c>
    </row>
    <row r="902" spans="1:3" x14ac:dyDescent="0.35">
      <c r="A902" s="9">
        <v>40714</v>
      </c>
      <c r="B902">
        <f t="shared" si="15"/>
        <v>6</v>
      </c>
      <c r="C902" s="5">
        <v>85.3</v>
      </c>
    </row>
    <row r="903" spans="1:3" x14ac:dyDescent="0.35">
      <c r="A903" s="9">
        <v>40715</v>
      </c>
      <c r="B903">
        <f t="shared" si="15"/>
        <v>6</v>
      </c>
      <c r="C903" s="5">
        <v>84.5</v>
      </c>
    </row>
    <row r="904" spans="1:3" x14ac:dyDescent="0.35">
      <c r="A904" s="9">
        <v>40716</v>
      </c>
      <c r="B904">
        <f t="shared" si="15"/>
        <v>6</v>
      </c>
      <c r="C904" s="5">
        <v>84</v>
      </c>
    </row>
    <row r="905" spans="1:3" x14ac:dyDescent="0.35">
      <c r="A905" s="9">
        <v>40717</v>
      </c>
      <c r="B905">
        <f t="shared" si="15"/>
        <v>6</v>
      </c>
      <c r="C905" s="5">
        <v>84</v>
      </c>
    </row>
    <row r="906" spans="1:3" x14ac:dyDescent="0.35">
      <c r="A906" s="9">
        <v>40718</v>
      </c>
      <c r="B906">
        <f t="shared" si="15"/>
        <v>6</v>
      </c>
      <c r="C906" s="5">
        <v>84.6</v>
      </c>
    </row>
    <row r="907" spans="1:3" x14ac:dyDescent="0.35">
      <c r="A907" s="9">
        <v>40719</v>
      </c>
      <c r="B907">
        <f t="shared" si="15"/>
        <v>6</v>
      </c>
      <c r="C907" s="5">
        <v>86.3</v>
      </c>
    </row>
    <row r="908" spans="1:3" x14ac:dyDescent="0.35">
      <c r="A908" s="9">
        <v>40720</v>
      </c>
      <c r="B908">
        <f t="shared" si="15"/>
        <v>6</v>
      </c>
      <c r="C908" s="5">
        <v>88.8</v>
      </c>
    </row>
    <row r="909" spans="1:3" x14ac:dyDescent="0.35">
      <c r="A909" s="9">
        <v>40721</v>
      </c>
      <c r="B909">
        <f t="shared" si="15"/>
        <v>6</v>
      </c>
      <c r="C909" s="5">
        <v>91</v>
      </c>
    </row>
    <row r="910" spans="1:3" x14ac:dyDescent="0.35">
      <c r="A910" s="9">
        <v>40722</v>
      </c>
      <c r="B910">
        <f t="shared" si="15"/>
        <v>6</v>
      </c>
      <c r="C910" s="5">
        <v>90.9</v>
      </c>
    </row>
    <row r="911" spans="1:3" x14ac:dyDescent="0.35">
      <c r="A911" s="9">
        <v>40723</v>
      </c>
      <c r="B911">
        <f t="shared" si="15"/>
        <v>6</v>
      </c>
      <c r="C911" s="5">
        <v>89.5</v>
      </c>
    </row>
    <row r="912" spans="1:3" x14ac:dyDescent="0.35">
      <c r="A912" s="9">
        <v>40724</v>
      </c>
      <c r="B912">
        <f t="shared" si="15"/>
        <v>6</v>
      </c>
      <c r="C912" s="5">
        <v>87.5</v>
      </c>
    </row>
    <row r="913" spans="1:3" x14ac:dyDescent="0.35">
      <c r="A913" s="9">
        <v>40725</v>
      </c>
      <c r="B913">
        <f t="shared" si="15"/>
        <v>7</v>
      </c>
      <c r="C913" s="5">
        <v>85.8</v>
      </c>
    </row>
    <row r="914" spans="1:3" x14ac:dyDescent="0.35">
      <c r="A914" s="9">
        <v>40726</v>
      </c>
      <c r="B914">
        <f t="shared" si="15"/>
        <v>7</v>
      </c>
      <c r="C914" s="5">
        <v>61.9</v>
      </c>
    </row>
    <row r="915" spans="1:3" x14ac:dyDescent="0.35">
      <c r="A915" s="9">
        <v>40727</v>
      </c>
      <c r="B915">
        <f t="shared" si="15"/>
        <v>7</v>
      </c>
      <c r="C915" s="5">
        <v>61.7</v>
      </c>
    </row>
    <row r="916" spans="1:3" x14ac:dyDescent="0.35">
      <c r="A916" s="9">
        <v>40728</v>
      </c>
      <c r="B916">
        <f t="shared" si="15"/>
        <v>7</v>
      </c>
      <c r="C916" s="5">
        <v>62.3</v>
      </c>
    </row>
    <row r="917" spans="1:3" x14ac:dyDescent="0.35">
      <c r="A917" s="9">
        <v>40729</v>
      </c>
      <c r="B917">
        <f t="shared" si="15"/>
        <v>7</v>
      </c>
      <c r="C917" s="5">
        <v>63.2</v>
      </c>
    </row>
    <row r="918" spans="1:3" x14ac:dyDescent="0.35">
      <c r="A918" s="9">
        <v>40730</v>
      </c>
      <c r="B918">
        <f t="shared" si="15"/>
        <v>7</v>
      </c>
      <c r="C918" s="5">
        <v>63.2</v>
      </c>
    </row>
    <row r="919" spans="1:3" x14ac:dyDescent="0.35">
      <c r="A919" s="9">
        <v>40731</v>
      </c>
      <c r="B919">
        <f t="shared" si="15"/>
        <v>7</v>
      </c>
      <c r="C919" s="5">
        <v>62.7</v>
      </c>
    </row>
    <row r="920" spans="1:3" x14ac:dyDescent="0.35">
      <c r="A920" s="9">
        <v>40732</v>
      </c>
      <c r="B920">
        <f t="shared" si="15"/>
        <v>7</v>
      </c>
      <c r="C920" s="5">
        <v>61.9</v>
      </c>
    </row>
    <row r="921" spans="1:3" x14ac:dyDescent="0.35">
      <c r="A921" s="9">
        <v>40733</v>
      </c>
      <c r="B921">
        <f t="shared" si="15"/>
        <v>7</v>
      </c>
      <c r="C921" s="5">
        <v>61.2</v>
      </c>
    </row>
    <row r="922" spans="1:3" x14ac:dyDescent="0.35">
      <c r="A922" s="9">
        <v>40734</v>
      </c>
      <c r="B922">
        <f t="shared" si="15"/>
        <v>7</v>
      </c>
      <c r="C922" s="5">
        <v>60.8</v>
      </c>
    </row>
    <row r="923" spans="1:3" x14ac:dyDescent="0.35">
      <c r="A923" s="9">
        <v>40735</v>
      </c>
      <c r="B923">
        <f t="shared" si="15"/>
        <v>7</v>
      </c>
      <c r="C923" s="5">
        <v>60.5</v>
      </c>
    </row>
    <row r="924" spans="1:3" x14ac:dyDescent="0.35">
      <c r="A924" s="9">
        <v>40736</v>
      </c>
      <c r="B924">
        <f t="shared" si="15"/>
        <v>7</v>
      </c>
      <c r="C924" s="5">
        <v>60.3</v>
      </c>
    </row>
    <row r="925" spans="1:3" x14ac:dyDescent="0.35">
      <c r="A925" s="9">
        <v>40737</v>
      </c>
      <c r="B925">
        <f t="shared" si="15"/>
        <v>7</v>
      </c>
      <c r="C925" s="5">
        <v>60.2</v>
      </c>
    </row>
    <row r="926" spans="1:3" x14ac:dyDescent="0.35">
      <c r="A926" s="9">
        <v>40738</v>
      </c>
      <c r="B926">
        <f t="shared" si="15"/>
        <v>7</v>
      </c>
      <c r="C926" s="5">
        <v>60.1</v>
      </c>
    </row>
    <row r="927" spans="1:3" x14ac:dyDescent="0.35">
      <c r="A927" s="9">
        <v>40739</v>
      </c>
      <c r="B927">
        <f t="shared" si="15"/>
        <v>7</v>
      </c>
      <c r="C927" s="5">
        <v>60.1</v>
      </c>
    </row>
    <row r="928" spans="1:3" x14ac:dyDescent="0.35">
      <c r="A928" s="9">
        <v>40740</v>
      </c>
      <c r="B928">
        <f t="shared" si="15"/>
        <v>7</v>
      </c>
      <c r="C928" s="5">
        <v>60.1</v>
      </c>
    </row>
    <row r="929" spans="1:3" x14ac:dyDescent="0.35">
      <c r="A929" s="9">
        <v>40741</v>
      </c>
      <c r="B929">
        <f t="shared" si="15"/>
        <v>7</v>
      </c>
      <c r="C929" s="5">
        <v>60</v>
      </c>
    </row>
    <row r="930" spans="1:3" x14ac:dyDescent="0.35">
      <c r="A930" s="9">
        <v>40742</v>
      </c>
      <c r="B930">
        <f t="shared" si="15"/>
        <v>7</v>
      </c>
      <c r="C930" s="5">
        <v>60</v>
      </c>
    </row>
    <row r="931" spans="1:3" x14ac:dyDescent="0.35">
      <c r="A931" s="9">
        <v>40743</v>
      </c>
      <c r="B931">
        <f t="shared" si="15"/>
        <v>7</v>
      </c>
      <c r="C931" s="5">
        <v>60</v>
      </c>
    </row>
    <row r="932" spans="1:3" x14ac:dyDescent="0.35">
      <c r="A932" s="9">
        <v>40744</v>
      </c>
      <c r="B932">
        <f t="shared" si="15"/>
        <v>7</v>
      </c>
      <c r="C932" s="5">
        <v>60</v>
      </c>
    </row>
    <row r="933" spans="1:3" x14ac:dyDescent="0.35">
      <c r="A933" s="9">
        <v>40745</v>
      </c>
      <c r="B933">
        <f t="shared" si="15"/>
        <v>7</v>
      </c>
      <c r="C933" s="5">
        <v>60.3</v>
      </c>
    </row>
    <row r="934" spans="1:3" x14ac:dyDescent="0.35">
      <c r="A934" s="9">
        <v>40746</v>
      </c>
      <c r="B934">
        <f t="shared" si="15"/>
        <v>7</v>
      </c>
      <c r="C934" s="5">
        <v>60.9</v>
      </c>
    </row>
    <row r="935" spans="1:3" x14ac:dyDescent="0.35">
      <c r="A935" s="9">
        <v>40747</v>
      </c>
      <c r="B935">
        <f t="shared" si="15"/>
        <v>7</v>
      </c>
      <c r="C935" s="5">
        <v>61.5</v>
      </c>
    </row>
    <row r="936" spans="1:3" x14ac:dyDescent="0.35">
      <c r="A936" s="9">
        <v>40748</v>
      </c>
      <c r="B936">
        <f t="shared" si="15"/>
        <v>7</v>
      </c>
      <c r="C936" s="5">
        <v>61.8</v>
      </c>
    </row>
    <row r="937" spans="1:3" x14ac:dyDescent="0.35">
      <c r="A937" s="9">
        <v>40749</v>
      </c>
      <c r="B937">
        <f t="shared" si="15"/>
        <v>7</v>
      </c>
      <c r="C937" s="5">
        <v>61.8</v>
      </c>
    </row>
    <row r="938" spans="1:3" x14ac:dyDescent="0.35">
      <c r="A938" s="9">
        <v>40750</v>
      </c>
      <c r="B938">
        <f t="shared" si="15"/>
        <v>7</v>
      </c>
      <c r="C938" s="5">
        <v>61.7</v>
      </c>
    </row>
    <row r="939" spans="1:3" x14ac:dyDescent="0.35">
      <c r="A939" s="9">
        <v>40751</v>
      </c>
      <c r="B939">
        <f t="shared" si="15"/>
        <v>7</v>
      </c>
      <c r="C939" s="5">
        <v>62</v>
      </c>
    </row>
    <row r="940" spans="1:3" x14ac:dyDescent="0.35">
      <c r="A940" s="9">
        <v>40752</v>
      </c>
      <c r="B940">
        <f t="shared" si="15"/>
        <v>7</v>
      </c>
      <c r="C940" s="5">
        <v>65.099999999999994</v>
      </c>
    </row>
    <row r="941" spans="1:3" x14ac:dyDescent="0.35">
      <c r="A941" s="9">
        <v>40753</v>
      </c>
      <c r="B941">
        <f t="shared" si="15"/>
        <v>7</v>
      </c>
      <c r="C941" s="5">
        <v>71</v>
      </c>
    </row>
    <row r="942" spans="1:3" x14ac:dyDescent="0.35">
      <c r="A942" s="9">
        <v>40754</v>
      </c>
      <c r="B942">
        <f t="shared" si="15"/>
        <v>7</v>
      </c>
      <c r="C942" s="5">
        <v>76.8</v>
      </c>
    </row>
    <row r="943" spans="1:3" x14ac:dyDescent="0.35">
      <c r="A943" s="9">
        <v>40755</v>
      </c>
      <c r="B943">
        <f t="shared" si="15"/>
        <v>7</v>
      </c>
      <c r="C943" s="5">
        <v>78.2</v>
      </c>
    </row>
    <row r="944" spans="1:3" x14ac:dyDescent="0.35">
      <c r="A944" s="9">
        <v>40756</v>
      </c>
      <c r="B944">
        <f t="shared" si="15"/>
        <v>8</v>
      </c>
      <c r="C944" s="5">
        <v>76.400000000000006</v>
      </c>
    </row>
    <row r="945" spans="1:3" x14ac:dyDescent="0.35">
      <c r="A945" s="9">
        <v>40757</v>
      </c>
      <c r="B945">
        <f t="shared" si="15"/>
        <v>8</v>
      </c>
      <c r="C945" s="5">
        <v>77.5</v>
      </c>
    </row>
    <row r="946" spans="1:3" x14ac:dyDescent="0.35">
      <c r="A946" s="9">
        <v>40758</v>
      </c>
      <c r="B946">
        <f t="shared" si="15"/>
        <v>8</v>
      </c>
      <c r="C946" s="5">
        <v>73.599999999999994</v>
      </c>
    </row>
    <row r="947" spans="1:3" x14ac:dyDescent="0.35">
      <c r="A947" s="9">
        <v>40759</v>
      </c>
      <c r="B947">
        <f t="shared" si="15"/>
        <v>8</v>
      </c>
      <c r="C947" s="5">
        <v>70.900000000000006</v>
      </c>
    </row>
    <row r="948" spans="1:3" x14ac:dyDescent="0.35">
      <c r="A948" s="9">
        <v>40760</v>
      </c>
      <c r="B948">
        <f t="shared" si="15"/>
        <v>8</v>
      </c>
      <c r="C948" s="5">
        <v>69.5</v>
      </c>
    </row>
    <row r="949" spans="1:3" x14ac:dyDescent="0.35">
      <c r="A949" s="9">
        <v>40761</v>
      </c>
      <c r="B949">
        <f t="shared" si="15"/>
        <v>8</v>
      </c>
      <c r="C949" s="5">
        <v>70.2</v>
      </c>
    </row>
    <row r="950" spans="1:3" x14ac:dyDescent="0.35">
      <c r="A950" s="9">
        <v>40762</v>
      </c>
      <c r="B950">
        <f t="shared" si="15"/>
        <v>8</v>
      </c>
      <c r="C950" s="5">
        <v>75.2</v>
      </c>
    </row>
    <row r="951" spans="1:3" x14ac:dyDescent="0.35">
      <c r="A951" s="9">
        <v>40763</v>
      </c>
      <c r="B951">
        <f t="shared" si="15"/>
        <v>8</v>
      </c>
      <c r="C951" s="5">
        <v>83.2</v>
      </c>
    </row>
    <row r="952" spans="1:3" x14ac:dyDescent="0.35">
      <c r="A952" s="9">
        <v>40764</v>
      </c>
      <c r="B952">
        <f t="shared" si="15"/>
        <v>8</v>
      </c>
      <c r="C952" s="5">
        <v>90.3</v>
      </c>
    </row>
    <row r="953" spans="1:3" x14ac:dyDescent="0.35">
      <c r="A953" s="9">
        <v>40765</v>
      </c>
      <c r="B953">
        <f t="shared" si="15"/>
        <v>8</v>
      </c>
      <c r="C953" s="5">
        <v>91</v>
      </c>
    </row>
    <row r="954" spans="1:3" x14ac:dyDescent="0.35">
      <c r="A954" s="9">
        <v>40766</v>
      </c>
      <c r="B954">
        <f t="shared" si="15"/>
        <v>8</v>
      </c>
      <c r="C954" s="5">
        <v>87.8</v>
      </c>
    </row>
    <row r="955" spans="1:3" x14ac:dyDescent="0.35">
      <c r="A955" s="9">
        <v>40767</v>
      </c>
      <c r="B955">
        <f t="shared" si="15"/>
        <v>8</v>
      </c>
      <c r="C955" s="5">
        <v>83.2</v>
      </c>
    </row>
    <row r="956" spans="1:3" x14ac:dyDescent="0.35">
      <c r="A956" s="9">
        <v>40768</v>
      </c>
      <c r="B956">
        <f t="shared" si="15"/>
        <v>8</v>
      </c>
      <c r="C956" s="5">
        <v>78.8</v>
      </c>
    </row>
    <row r="957" spans="1:3" x14ac:dyDescent="0.35">
      <c r="A957" s="9">
        <v>40769</v>
      </c>
      <c r="B957">
        <f t="shared" si="15"/>
        <v>8</v>
      </c>
      <c r="C957" s="5">
        <v>75.5</v>
      </c>
    </row>
    <row r="958" spans="1:3" x14ac:dyDescent="0.35">
      <c r="A958" s="9">
        <v>40770</v>
      </c>
      <c r="B958">
        <f t="shared" si="15"/>
        <v>8</v>
      </c>
      <c r="C958" s="5">
        <v>73.900000000000006</v>
      </c>
    </row>
    <row r="959" spans="1:3" x14ac:dyDescent="0.35">
      <c r="A959" s="9">
        <v>40771</v>
      </c>
      <c r="B959">
        <f t="shared" si="15"/>
        <v>8</v>
      </c>
      <c r="C959" s="5">
        <v>78.900000000000006</v>
      </c>
    </row>
    <row r="960" spans="1:3" x14ac:dyDescent="0.35">
      <c r="A960" s="9">
        <v>40772</v>
      </c>
      <c r="B960">
        <f t="shared" si="15"/>
        <v>8</v>
      </c>
      <c r="C960" s="5">
        <v>90.2</v>
      </c>
    </row>
    <row r="961" spans="1:3" x14ac:dyDescent="0.35">
      <c r="A961" s="9">
        <v>40773</v>
      </c>
      <c r="B961">
        <f t="shared" si="15"/>
        <v>8</v>
      </c>
      <c r="C961" s="5">
        <v>100.3</v>
      </c>
    </row>
    <row r="962" spans="1:3" x14ac:dyDescent="0.35">
      <c r="A962" s="9">
        <v>40774</v>
      </c>
      <c r="B962">
        <f t="shared" si="15"/>
        <v>8</v>
      </c>
      <c r="C962" s="5">
        <v>100.4</v>
      </c>
    </row>
    <row r="963" spans="1:3" x14ac:dyDescent="0.35">
      <c r="A963" s="9">
        <v>40775</v>
      </c>
      <c r="B963">
        <f t="shared" si="15"/>
        <v>8</v>
      </c>
      <c r="C963" s="5">
        <v>93.8</v>
      </c>
    </row>
    <row r="964" spans="1:3" x14ac:dyDescent="0.35">
      <c r="A964" s="9">
        <v>40776</v>
      </c>
      <c r="B964">
        <f t="shared" ref="B964:B1027" si="16">MONTH(A964)</f>
        <v>8</v>
      </c>
      <c r="C964" s="5">
        <v>84.9</v>
      </c>
    </row>
    <row r="965" spans="1:3" x14ac:dyDescent="0.35">
      <c r="A965" s="9">
        <v>40777</v>
      </c>
      <c r="B965">
        <f t="shared" si="16"/>
        <v>8</v>
      </c>
      <c r="C965" s="5">
        <v>77.599999999999994</v>
      </c>
    </row>
    <row r="966" spans="1:3" x14ac:dyDescent="0.35">
      <c r="A966" s="9">
        <v>40778</v>
      </c>
      <c r="B966">
        <f t="shared" si="16"/>
        <v>8</v>
      </c>
      <c r="C966" s="5">
        <v>73.900000000000006</v>
      </c>
    </row>
    <row r="967" spans="1:3" x14ac:dyDescent="0.35">
      <c r="A967" s="9">
        <v>40779</v>
      </c>
      <c r="B967">
        <f t="shared" si="16"/>
        <v>8</v>
      </c>
      <c r="C967" s="5">
        <v>74.7</v>
      </c>
    </row>
    <row r="968" spans="1:3" x14ac:dyDescent="0.35">
      <c r="A968" s="9">
        <v>40780</v>
      </c>
      <c r="B968">
        <f t="shared" si="16"/>
        <v>8</v>
      </c>
      <c r="C968" s="5">
        <v>80.900000000000006</v>
      </c>
    </row>
    <row r="969" spans="1:3" x14ac:dyDescent="0.35">
      <c r="A969" s="9">
        <v>40781</v>
      </c>
      <c r="B969">
        <f t="shared" si="16"/>
        <v>8</v>
      </c>
      <c r="C969" s="5">
        <v>89.2</v>
      </c>
    </row>
    <row r="970" spans="1:3" x14ac:dyDescent="0.35">
      <c r="A970" s="9">
        <v>40782</v>
      </c>
      <c r="B970">
        <f t="shared" si="16"/>
        <v>8</v>
      </c>
      <c r="C970" s="5">
        <v>92.7</v>
      </c>
    </row>
    <row r="971" spans="1:3" x14ac:dyDescent="0.35">
      <c r="A971" s="9">
        <v>40783</v>
      </c>
      <c r="B971">
        <f t="shared" si="16"/>
        <v>8</v>
      </c>
      <c r="C971" s="5">
        <v>94.2</v>
      </c>
    </row>
    <row r="972" spans="1:3" x14ac:dyDescent="0.35">
      <c r="A972" s="9">
        <v>40784</v>
      </c>
      <c r="B972">
        <f t="shared" si="16"/>
        <v>8</v>
      </c>
      <c r="C972" s="5">
        <v>98.3</v>
      </c>
    </row>
    <row r="973" spans="1:3" x14ac:dyDescent="0.35">
      <c r="A973" s="9">
        <v>40785</v>
      </c>
      <c r="B973">
        <f t="shared" si="16"/>
        <v>8</v>
      </c>
      <c r="C973" s="5">
        <v>103.9</v>
      </c>
    </row>
    <row r="974" spans="1:3" x14ac:dyDescent="0.35">
      <c r="A974" s="9">
        <v>40786</v>
      </c>
      <c r="B974">
        <f t="shared" si="16"/>
        <v>8</v>
      </c>
      <c r="C974" s="5">
        <v>103.5</v>
      </c>
    </row>
    <row r="975" spans="1:3" x14ac:dyDescent="0.35">
      <c r="A975" s="9">
        <v>40787</v>
      </c>
      <c r="B975">
        <f t="shared" si="16"/>
        <v>9</v>
      </c>
      <c r="C975" s="5">
        <v>101.9</v>
      </c>
    </row>
    <row r="976" spans="1:3" x14ac:dyDescent="0.35">
      <c r="A976" s="9">
        <v>40788</v>
      </c>
      <c r="B976">
        <f t="shared" si="16"/>
        <v>9</v>
      </c>
      <c r="C976" s="5">
        <v>128.6</v>
      </c>
    </row>
    <row r="977" spans="1:3" x14ac:dyDescent="0.35">
      <c r="A977" s="9">
        <v>40789</v>
      </c>
      <c r="B977">
        <f t="shared" si="16"/>
        <v>9</v>
      </c>
      <c r="C977" s="5">
        <v>130.1</v>
      </c>
    </row>
    <row r="978" spans="1:3" x14ac:dyDescent="0.35">
      <c r="A978" s="9">
        <v>40790</v>
      </c>
      <c r="B978">
        <f t="shared" si="16"/>
        <v>9</v>
      </c>
      <c r="C978" s="5">
        <v>130.6</v>
      </c>
    </row>
    <row r="979" spans="1:3" x14ac:dyDescent="0.35">
      <c r="A979" s="9">
        <v>40791</v>
      </c>
      <c r="B979">
        <f t="shared" si="16"/>
        <v>9</v>
      </c>
      <c r="C979" s="5">
        <v>130.9</v>
      </c>
    </row>
    <row r="980" spans="1:3" x14ac:dyDescent="0.35">
      <c r="A980" s="9">
        <v>40792</v>
      </c>
      <c r="B980">
        <f t="shared" si="16"/>
        <v>9</v>
      </c>
      <c r="C980" s="5">
        <v>129</v>
      </c>
    </row>
    <row r="981" spans="1:3" x14ac:dyDescent="0.35">
      <c r="A981" s="9">
        <v>40793</v>
      </c>
      <c r="B981">
        <f t="shared" si="16"/>
        <v>9</v>
      </c>
      <c r="C981" s="5">
        <v>125.4</v>
      </c>
    </row>
    <row r="982" spans="1:3" x14ac:dyDescent="0.35">
      <c r="A982" s="9">
        <v>40794</v>
      </c>
      <c r="B982">
        <f t="shared" si="16"/>
        <v>9</v>
      </c>
      <c r="C982" s="5">
        <v>120.7</v>
      </c>
    </row>
    <row r="983" spans="1:3" x14ac:dyDescent="0.35">
      <c r="A983" s="9">
        <v>40795</v>
      </c>
      <c r="B983">
        <f t="shared" si="16"/>
        <v>9</v>
      </c>
      <c r="C983" s="5">
        <v>116.2</v>
      </c>
    </row>
    <row r="984" spans="1:3" x14ac:dyDescent="0.35">
      <c r="A984" s="9">
        <v>40796</v>
      </c>
      <c r="B984">
        <f t="shared" si="16"/>
        <v>9</v>
      </c>
      <c r="C984" s="5">
        <v>112.6</v>
      </c>
    </row>
    <row r="985" spans="1:3" x14ac:dyDescent="0.35">
      <c r="A985" s="9">
        <v>40797</v>
      </c>
      <c r="B985">
        <f t="shared" si="16"/>
        <v>9</v>
      </c>
      <c r="C985" s="5">
        <v>113.2</v>
      </c>
    </row>
    <row r="986" spans="1:3" x14ac:dyDescent="0.35">
      <c r="A986" s="9">
        <v>40798</v>
      </c>
      <c r="B986">
        <f t="shared" si="16"/>
        <v>9</v>
      </c>
      <c r="C986" s="5">
        <v>122.5</v>
      </c>
    </row>
    <row r="987" spans="1:3" x14ac:dyDescent="0.35">
      <c r="A987" s="9">
        <v>40799</v>
      </c>
      <c r="B987">
        <f t="shared" si="16"/>
        <v>9</v>
      </c>
      <c r="C987" s="5">
        <v>138.30000000000001</v>
      </c>
    </row>
    <row r="988" spans="1:3" x14ac:dyDescent="0.35">
      <c r="A988" s="9">
        <v>40800</v>
      </c>
      <c r="B988">
        <f t="shared" si="16"/>
        <v>9</v>
      </c>
      <c r="C988" s="5">
        <v>150.4</v>
      </c>
    </row>
    <row r="989" spans="1:3" x14ac:dyDescent="0.35">
      <c r="A989" s="9">
        <v>40801</v>
      </c>
      <c r="B989">
        <f t="shared" si="16"/>
        <v>9</v>
      </c>
      <c r="C989" s="5">
        <v>153.1</v>
      </c>
    </row>
    <row r="990" spans="1:3" x14ac:dyDescent="0.35">
      <c r="A990" s="9">
        <v>40802</v>
      </c>
      <c r="B990">
        <f t="shared" si="16"/>
        <v>9</v>
      </c>
      <c r="C990" s="5">
        <v>151.80000000000001</v>
      </c>
    </row>
    <row r="991" spans="1:3" x14ac:dyDescent="0.35">
      <c r="A991" s="9">
        <v>40803</v>
      </c>
      <c r="B991">
        <f t="shared" si="16"/>
        <v>9</v>
      </c>
      <c r="C991" s="5">
        <v>148.30000000000001</v>
      </c>
    </row>
    <row r="992" spans="1:3" x14ac:dyDescent="0.35">
      <c r="A992" s="9">
        <v>40804</v>
      </c>
      <c r="B992">
        <f t="shared" si="16"/>
        <v>9</v>
      </c>
      <c r="C992" s="5">
        <v>144</v>
      </c>
    </row>
    <row r="993" spans="1:3" x14ac:dyDescent="0.35">
      <c r="A993" s="9">
        <v>40805</v>
      </c>
      <c r="B993">
        <f t="shared" si="16"/>
        <v>9</v>
      </c>
      <c r="C993" s="5">
        <v>143.30000000000001</v>
      </c>
    </row>
    <row r="994" spans="1:3" x14ac:dyDescent="0.35">
      <c r="A994" s="9">
        <v>40806</v>
      </c>
      <c r="B994">
        <f t="shared" si="16"/>
        <v>9</v>
      </c>
      <c r="C994" s="5">
        <v>147.6</v>
      </c>
    </row>
    <row r="995" spans="1:3" x14ac:dyDescent="0.35">
      <c r="A995" s="9">
        <v>40807</v>
      </c>
      <c r="B995">
        <f t="shared" si="16"/>
        <v>9</v>
      </c>
      <c r="C995" s="5">
        <v>157.30000000000001</v>
      </c>
    </row>
    <row r="996" spans="1:3" x14ac:dyDescent="0.35">
      <c r="A996" s="9">
        <v>40808</v>
      </c>
      <c r="B996">
        <f t="shared" si="16"/>
        <v>9</v>
      </c>
      <c r="C996" s="5">
        <v>167.9</v>
      </c>
    </row>
    <row r="997" spans="1:3" x14ac:dyDescent="0.35">
      <c r="A997" s="9">
        <v>40809</v>
      </c>
      <c r="B997">
        <f t="shared" si="16"/>
        <v>9</v>
      </c>
      <c r="C997" s="5">
        <v>167.2</v>
      </c>
    </row>
    <row r="998" spans="1:3" x14ac:dyDescent="0.35">
      <c r="A998" s="9">
        <v>40810</v>
      </c>
      <c r="B998">
        <f t="shared" si="16"/>
        <v>9</v>
      </c>
      <c r="C998" s="5">
        <v>162.9</v>
      </c>
    </row>
    <row r="999" spans="1:3" x14ac:dyDescent="0.35">
      <c r="A999" s="9">
        <v>40811</v>
      </c>
      <c r="B999">
        <f t="shared" si="16"/>
        <v>9</v>
      </c>
      <c r="C999" s="5">
        <v>161.19999999999999</v>
      </c>
    </row>
    <row r="1000" spans="1:3" x14ac:dyDescent="0.35">
      <c r="A1000" s="9">
        <v>40812</v>
      </c>
      <c r="B1000">
        <f t="shared" si="16"/>
        <v>9</v>
      </c>
      <c r="C1000" s="5">
        <v>164.3</v>
      </c>
    </row>
    <row r="1001" spans="1:3" x14ac:dyDescent="0.35">
      <c r="A1001" s="9">
        <v>40813</v>
      </c>
      <c r="B1001">
        <f t="shared" si="16"/>
        <v>9</v>
      </c>
      <c r="C1001" s="5">
        <v>165.1</v>
      </c>
    </row>
    <row r="1002" spans="1:3" x14ac:dyDescent="0.35">
      <c r="A1002" s="9">
        <v>40814</v>
      </c>
      <c r="B1002">
        <f t="shared" si="16"/>
        <v>9</v>
      </c>
      <c r="C1002" s="5">
        <v>164.4</v>
      </c>
    </row>
    <row r="1003" spans="1:3" x14ac:dyDescent="0.35">
      <c r="A1003" s="9">
        <v>40815</v>
      </c>
      <c r="B1003">
        <f t="shared" si="16"/>
        <v>9</v>
      </c>
      <c r="C1003" s="5">
        <v>163.30000000000001</v>
      </c>
    </row>
    <row r="1004" spans="1:3" x14ac:dyDescent="0.35">
      <c r="A1004" s="9">
        <v>40816</v>
      </c>
      <c r="B1004">
        <f t="shared" si="16"/>
        <v>9</v>
      </c>
      <c r="C1004" s="5">
        <v>160.1</v>
      </c>
    </row>
    <row r="1005" spans="1:3" x14ac:dyDescent="0.35">
      <c r="A1005" s="9">
        <v>40817</v>
      </c>
      <c r="B1005">
        <f t="shared" si="16"/>
        <v>10</v>
      </c>
      <c r="C1005" s="5">
        <v>160.1</v>
      </c>
    </row>
    <row r="1006" spans="1:3" x14ac:dyDescent="0.35">
      <c r="A1006" s="9">
        <v>40818</v>
      </c>
      <c r="B1006">
        <f t="shared" si="16"/>
        <v>10</v>
      </c>
      <c r="C1006" s="5">
        <v>181.5</v>
      </c>
    </row>
    <row r="1007" spans="1:3" x14ac:dyDescent="0.35">
      <c r="A1007" s="9">
        <v>40819</v>
      </c>
      <c r="B1007">
        <f t="shared" si="16"/>
        <v>10</v>
      </c>
      <c r="C1007" s="5">
        <v>188.1</v>
      </c>
    </row>
    <row r="1008" spans="1:3" x14ac:dyDescent="0.35">
      <c r="A1008" s="9">
        <v>40820</v>
      </c>
      <c r="B1008">
        <f t="shared" si="16"/>
        <v>10</v>
      </c>
      <c r="C1008" s="5">
        <v>193.3</v>
      </c>
    </row>
    <row r="1009" spans="1:3" x14ac:dyDescent="0.35">
      <c r="A1009" s="9">
        <v>40821</v>
      </c>
      <c r="B1009">
        <f t="shared" si="16"/>
        <v>10</v>
      </c>
      <c r="C1009" s="5">
        <v>196.1</v>
      </c>
    </row>
    <row r="1010" spans="1:3" x14ac:dyDescent="0.35">
      <c r="A1010" s="9">
        <v>40822</v>
      </c>
      <c r="B1010">
        <f t="shared" si="16"/>
        <v>10</v>
      </c>
      <c r="C1010" s="5">
        <v>204.6</v>
      </c>
    </row>
    <row r="1011" spans="1:3" x14ac:dyDescent="0.35">
      <c r="A1011" s="9">
        <v>40823</v>
      </c>
      <c r="B1011">
        <f t="shared" si="16"/>
        <v>10</v>
      </c>
      <c r="C1011" s="5">
        <v>221.8</v>
      </c>
    </row>
    <row r="1012" spans="1:3" x14ac:dyDescent="0.35">
      <c r="A1012" s="9">
        <v>40824</v>
      </c>
      <c r="B1012">
        <f t="shared" si="16"/>
        <v>10</v>
      </c>
      <c r="C1012" s="5">
        <v>240.7</v>
      </c>
    </row>
    <row r="1013" spans="1:3" x14ac:dyDescent="0.35">
      <c r="A1013" s="9">
        <v>40825</v>
      </c>
      <c r="B1013">
        <f t="shared" si="16"/>
        <v>10</v>
      </c>
      <c r="C1013" s="5">
        <v>252.6</v>
      </c>
    </row>
    <row r="1014" spans="1:3" x14ac:dyDescent="0.35">
      <c r="A1014" s="9">
        <v>40826</v>
      </c>
      <c r="B1014">
        <f t="shared" si="16"/>
        <v>10</v>
      </c>
      <c r="C1014" s="5">
        <v>253</v>
      </c>
    </row>
    <row r="1015" spans="1:3" x14ac:dyDescent="0.35">
      <c r="A1015" s="9">
        <v>40827</v>
      </c>
      <c r="B1015">
        <f t="shared" si="16"/>
        <v>10</v>
      </c>
      <c r="C1015" s="5">
        <v>242.8</v>
      </c>
    </row>
    <row r="1016" spans="1:3" x14ac:dyDescent="0.35">
      <c r="A1016" s="9">
        <v>40828</v>
      </c>
      <c r="B1016">
        <f t="shared" si="16"/>
        <v>10</v>
      </c>
      <c r="C1016" s="5">
        <v>229.6</v>
      </c>
    </row>
    <row r="1017" spans="1:3" x14ac:dyDescent="0.35">
      <c r="A1017" s="9">
        <v>40829</v>
      </c>
      <c r="B1017">
        <f t="shared" si="16"/>
        <v>10</v>
      </c>
      <c r="C1017" s="5">
        <v>223.6</v>
      </c>
    </row>
    <row r="1018" spans="1:3" x14ac:dyDescent="0.35">
      <c r="A1018" s="9">
        <v>40830</v>
      </c>
      <c r="B1018">
        <f t="shared" si="16"/>
        <v>10</v>
      </c>
      <c r="C1018" s="5">
        <v>223.6</v>
      </c>
    </row>
    <row r="1019" spans="1:3" x14ac:dyDescent="0.35">
      <c r="A1019" s="9">
        <v>40831</v>
      </c>
      <c r="B1019">
        <f t="shared" si="16"/>
        <v>10</v>
      </c>
      <c r="C1019" s="5">
        <v>216.8</v>
      </c>
    </row>
    <row r="1020" spans="1:3" x14ac:dyDescent="0.35">
      <c r="A1020" s="9">
        <v>40832</v>
      </c>
      <c r="B1020">
        <f t="shared" si="16"/>
        <v>10</v>
      </c>
      <c r="C1020" s="5">
        <v>208</v>
      </c>
    </row>
    <row r="1021" spans="1:3" x14ac:dyDescent="0.35">
      <c r="A1021" s="9">
        <v>40833</v>
      </c>
      <c r="B1021">
        <f t="shared" si="16"/>
        <v>10</v>
      </c>
      <c r="C1021" s="5">
        <v>208.4</v>
      </c>
    </row>
    <row r="1022" spans="1:3" x14ac:dyDescent="0.35">
      <c r="A1022" s="9">
        <v>40834</v>
      </c>
      <c r="B1022">
        <f t="shared" si="16"/>
        <v>10</v>
      </c>
      <c r="C1022" s="5">
        <v>216.2</v>
      </c>
    </row>
    <row r="1023" spans="1:3" x14ac:dyDescent="0.35">
      <c r="A1023" s="9">
        <v>40835</v>
      </c>
      <c r="B1023">
        <f t="shared" si="16"/>
        <v>10</v>
      </c>
      <c r="C1023" s="5">
        <v>218.1</v>
      </c>
    </row>
    <row r="1024" spans="1:3" x14ac:dyDescent="0.35">
      <c r="A1024" s="9">
        <v>40836</v>
      </c>
      <c r="B1024">
        <f t="shared" si="16"/>
        <v>10</v>
      </c>
      <c r="C1024" s="5">
        <v>206.7</v>
      </c>
    </row>
    <row r="1025" spans="1:3" x14ac:dyDescent="0.35">
      <c r="A1025" s="9">
        <v>40837</v>
      </c>
      <c r="B1025">
        <f t="shared" si="16"/>
        <v>10</v>
      </c>
      <c r="C1025" s="5">
        <v>190.3</v>
      </c>
    </row>
    <row r="1026" spans="1:3" x14ac:dyDescent="0.35">
      <c r="A1026" s="9">
        <v>40838</v>
      </c>
      <c r="B1026">
        <f t="shared" si="16"/>
        <v>10</v>
      </c>
      <c r="C1026" s="5">
        <v>185.5</v>
      </c>
    </row>
    <row r="1027" spans="1:3" x14ac:dyDescent="0.35">
      <c r="A1027" s="9">
        <v>40839</v>
      </c>
      <c r="B1027">
        <f t="shared" si="16"/>
        <v>10</v>
      </c>
      <c r="C1027" s="5">
        <v>195.3</v>
      </c>
    </row>
    <row r="1028" spans="1:3" x14ac:dyDescent="0.35">
      <c r="A1028" s="9">
        <v>40840</v>
      </c>
      <c r="B1028">
        <f t="shared" ref="B1028:B1091" si="17">MONTH(A1028)</f>
        <v>10</v>
      </c>
      <c r="C1028" s="5">
        <v>202.6</v>
      </c>
    </row>
    <row r="1029" spans="1:3" x14ac:dyDescent="0.35">
      <c r="A1029" s="9">
        <v>40841</v>
      </c>
      <c r="B1029">
        <f t="shared" si="17"/>
        <v>10</v>
      </c>
      <c r="C1029" s="5">
        <v>197.4</v>
      </c>
    </row>
    <row r="1030" spans="1:3" x14ac:dyDescent="0.35">
      <c r="A1030" s="9">
        <v>40842</v>
      </c>
      <c r="B1030">
        <f t="shared" si="17"/>
        <v>10</v>
      </c>
      <c r="C1030" s="5">
        <v>190.2</v>
      </c>
    </row>
    <row r="1031" spans="1:3" x14ac:dyDescent="0.35">
      <c r="A1031" s="9">
        <v>40843</v>
      </c>
      <c r="B1031">
        <f t="shared" si="17"/>
        <v>10</v>
      </c>
      <c r="C1031" s="5">
        <v>189.2</v>
      </c>
    </row>
    <row r="1032" spans="1:3" x14ac:dyDescent="0.35">
      <c r="A1032" s="9">
        <v>40844</v>
      </c>
      <c r="B1032">
        <f t="shared" si="17"/>
        <v>10</v>
      </c>
      <c r="C1032" s="5">
        <v>193.6</v>
      </c>
    </row>
    <row r="1033" spans="1:3" x14ac:dyDescent="0.35">
      <c r="A1033" s="9">
        <v>40845</v>
      </c>
      <c r="B1033">
        <f t="shared" si="17"/>
        <v>10</v>
      </c>
      <c r="C1033" s="5">
        <v>199.9</v>
      </c>
    </row>
    <row r="1034" spans="1:3" x14ac:dyDescent="0.35">
      <c r="A1034" s="9">
        <v>40846</v>
      </c>
      <c r="B1034">
        <f t="shared" si="17"/>
        <v>10</v>
      </c>
      <c r="C1034" s="5">
        <v>201.8</v>
      </c>
    </row>
    <row r="1035" spans="1:3" x14ac:dyDescent="0.35">
      <c r="A1035" s="9">
        <v>40847</v>
      </c>
      <c r="B1035">
        <f t="shared" si="17"/>
        <v>10</v>
      </c>
      <c r="C1035" s="5">
        <v>196.8</v>
      </c>
    </row>
    <row r="1036" spans="1:3" x14ac:dyDescent="0.35">
      <c r="A1036" s="9">
        <v>40848</v>
      </c>
      <c r="B1036">
        <f t="shared" si="17"/>
        <v>11</v>
      </c>
      <c r="C1036" s="5">
        <v>191.8</v>
      </c>
    </row>
    <row r="1037" spans="1:3" x14ac:dyDescent="0.35">
      <c r="A1037" s="9">
        <v>40849</v>
      </c>
      <c r="B1037">
        <f t="shared" si="17"/>
        <v>11</v>
      </c>
      <c r="C1037" s="5">
        <v>201.7</v>
      </c>
    </row>
    <row r="1038" spans="1:3" x14ac:dyDescent="0.35">
      <c r="A1038" s="9">
        <v>40850</v>
      </c>
      <c r="B1038">
        <f t="shared" si="17"/>
        <v>11</v>
      </c>
      <c r="C1038" s="5">
        <v>201.6</v>
      </c>
    </row>
    <row r="1039" spans="1:3" x14ac:dyDescent="0.35">
      <c r="A1039" s="9">
        <v>40851</v>
      </c>
      <c r="B1039">
        <f t="shared" si="17"/>
        <v>11</v>
      </c>
      <c r="C1039" s="5">
        <v>203.5</v>
      </c>
    </row>
    <row r="1040" spans="1:3" x14ac:dyDescent="0.35">
      <c r="A1040" s="9">
        <v>40852</v>
      </c>
      <c r="B1040">
        <f t="shared" si="17"/>
        <v>11</v>
      </c>
      <c r="C1040" s="5">
        <v>205.5</v>
      </c>
    </row>
    <row r="1041" spans="1:3" x14ac:dyDescent="0.35">
      <c r="A1041" s="9">
        <v>40853</v>
      </c>
      <c r="B1041">
        <f t="shared" si="17"/>
        <v>11</v>
      </c>
      <c r="C1041" s="5">
        <v>202.5</v>
      </c>
    </row>
    <row r="1042" spans="1:3" x14ac:dyDescent="0.35">
      <c r="A1042" s="9">
        <v>40854</v>
      </c>
      <c r="B1042">
        <f t="shared" si="17"/>
        <v>11</v>
      </c>
      <c r="C1042" s="5">
        <v>206.6</v>
      </c>
    </row>
    <row r="1043" spans="1:3" x14ac:dyDescent="0.35">
      <c r="A1043" s="9">
        <v>40855</v>
      </c>
      <c r="B1043">
        <f t="shared" si="17"/>
        <v>11</v>
      </c>
      <c r="C1043" s="5">
        <v>222.7</v>
      </c>
    </row>
    <row r="1044" spans="1:3" x14ac:dyDescent="0.35">
      <c r="A1044" s="9">
        <v>40856</v>
      </c>
      <c r="B1044">
        <f t="shared" si="17"/>
        <v>11</v>
      </c>
      <c r="C1044" s="5">
        <v>243</v>
      </c>
    </row>
    <row r="1045" spans="1:3" x14ac:dyDescent="0.35">
      <c r="A1045" s="9">
        <v>40857</v>
      </c>
      <c r="B1045">
        <f t="shared" si="17"/>
        <v>11</v>
      </c>
      <c r="C1045" s="5">
        <v>258.39999999999998</v>
      </c>
    </row>
    <row r="1046" spans="1:3" x14ac:dyDescent="0.35">
      <c r="A1046" s="9">
        <v>40858</v>
      </c>
      <c r="B1046">
        <f t="shared" si="17"/>
        <v>11</v>
      </c>
      <c r="C1046" s="5">
        <v>256.39999999999998</v>
      </c>
    </row>
    <row r="1047" spans="1:3" x14ac:dyDescent="0.35">
      <c r="A1047" s="9">
        <v>40859</v>
      </c>
      <c r="B1047">
        <f t="shared" si="17"/>
        <v>11</v>
      </c>
      <c r="C1047" s="5">
        <v>243.9</v>
      </c>
    </row>
    <row r="1048" spans="1:3" x14ac:dyDescent="0.35">
      <c r="A1048" s="9">
        <v>40860</v>
      </c>
      <c r="B1048">
        <f t="shared" si="17"/>
        <v>11</v>
      </c>
      <c r="C1048" s="5">
        <v>235.1</v>
      </c>
    </row>
    <row r="1049" spans="1:3" x14ac:dyDescent="0.35">
      <c r="A1049" s="9">
        <v>40861</v>
      </c>
      <c r="B1049">
        <f t="shared" si="17"/>
        <v>11</v>
      </c>
      <c r="C1049" s="5">
        <v>234.1</v>
      </c>
    </row>
    <row r="1050" spans="1:3" x14ac:dyDescent="0.35">
      <c r="A1050" s="9">
        <v>40862</v>
      </c>
      <c r="B1050">
        <f t="shared" si="17"/>
        <v>11</v>
      </c>
      <c r="C1050" s="5">
        <v>234</v>
      </c>
    </row>
    <row r="1051" spans="1:3" x14ac:dyDescent="0.35">
      <c r="A1051" s="9">
        <v>40863</v>
      </c>
      <c r="B1051">
        <f t="shared" si="17"/>
        <v>11</v>
      </c>
      <c r="C1051" s="5">
        <v>227.5</v>
      </c>
    </row>
    <row r="1052" spans="1:3" x14ac:dyDescent="0.35">
      <c r="A1052" s="9">
        <v>40864</v>
      </c>
      <c r="B1052">
        <f t="shared" si="17"/>
        <v>11</v>
      </c>
      <c r="C1052" s="5">
        <v>217</v>
      </c>
    </row>
    <row r="1053" spans="1:3" x14ac:dyDescent="0.35">
      <c r="A1053" s="9">
        <v>40865</v>
      </c>
      <c r="B1053">
        <f t="shared" si="17"/>
        <v>11</v>
      </c>
      <c r="C1053" s="5">
        <v>213.3</v>
      </c>
    </row>
    <row r="1054" spans="1:3" x14ac:dyDescent="0.35">
      <c r="A1054" s="9">
        <v>40866</v>
      </c>
      <c r="B1054">
        <f t="shared" si="17"/>
        <v>11</v>
      </c>
      <c r="C1054" s="5">
        <v>220.9</v>
      </c>
    </row>
    <row r="1055" spans="1:3" x14ac:dyDescent="0.35">
      <c r="A1055" s="9">
        <v>40867</v>
      </c>
      <c r="B1055">
        <f t="shared" si="17"/>
        <v>11</v>
      </c>
      <c r="C1055" s="5">
        <v>231.1</v>
      </c>
    </row>
    <row r="1056" spans="1:3" x14ac:dyDescent="0.35">
      <c r="A1056" s="9">
        <v>40868</v>
      </c>
      <c r="B1056">
        <f t="shared" si="17"/>
        <v>11</v>
      </c>
      <c r="C1056" s="5">
        <v>237.1</v>
      </c>
    </row>
    <row r="1057" spans="1:3" x14ac:dyDescent="0.35">
      <c r="A1057" s="9">
        <v>40869</v>
      </c>
      <c r="B1057">
        <f t="shared" si="17"/>
        <v>11</v>
      </c>
      <c r="C1057" s="5">
        <v>237</v>
      </c>
    </row>
    <row r="1058" spans="1:3" x14ac:dyDescent="0.35">
      <c r="A1058" s="9">
        <v>40870</v>
      </c>
      <c r="B1058">
        <f t="shared" si="17"/>
        <v>11</v>
      </c>
      <c r="C1058" s="5">
        <v>230.1</v>
      </c>
    </row>
    <row r="1059" spans="1:3" x14ac:dyDescent="0.35">
      <c r="A1059" s="9">
        <v>40871</v>
      </c>
      <c r="B1059">
        <f t="shared" si="17"/>
        <v>11</v>
      </c>
      <c r="C1059" s="5">
        <v>227.6</v>
      </c>
    </row>
    <row r="1060" spans="1:3" x14ac:dyDescent="0.35">
      <c r="A1060" s="9">
        <v>40872</v>
      </c>
      <c r="B1060">
        <f t="shared" si="17"/>
        <v>11</v>
      </c>
      <c r="C1060" s="5">
        <v>224.1</v>
      </c>
    </row>
    <row r="1061" spans="1:3" x14ac:dyDescent="0.35">
      <c r="A1061" s="9">
        <v>40873</v>
      </c>
      <c r="B1061">
        <f t="shared" si="17"/>
        <v>11</v>
      </c>
      <c r="C1061" s="5">
        <v>217.1</v>
      </c>
    </row>
    <row r="1062" spans="1:3" x14ac:dyDescent="0.35">
      <c r="A1062" s="9">
        <v>40874</v>
      </c>
      <c r="B1062">
        <f t="shared" si="17"/>
        <v>11</v>
      </c>
      <c r="C1062" s="5">
        <v>213.3</v>
      </c>
    </row>
    <row r="1063" spans="1:3" x14ac:dyDescent="0.35">
      <c r="A1063" s="9">
        <v>40875</v>
      </c>
      <c r="B1063">
        <f t="shared" si="17"/>
        <v>11</v>
      </c>
      <c r="C1063" s="5">
        <v>219.9</v>
      </c>
    </row>
    <row r="1064" spans="1:3" x14ac:dyDescent="0.35">
      <c r="A1064" s="9">
        <v>40876</v>
      </c>
      <c r="B1064">
        <f t="shared" si="17"/>
        <v>11</v>
      </c>
      <c r="C1064" s="5">
        <v>235.8</v>
      </c>
    </row>
    <row r="1065" spans="1:3" x14ac:dyDescent="0.35">
      <c r="A1065" s="9">
        <v>40877</v>
      </c>
      <c r="B1065">
        <f t="shared" si="17"/>
        <v>11</v>
      </c>
      <c r="C1065" s="5">
        <v>253</v>
      </c>
    </row>
    <row r="1066" spans="1:3" x14ac:dyDescent="0.35">
      <c r="A1066" s="9">
        <v>40878</v>
      </c>
      <c r="B1066">
        <f t="shared" si="17"/>
        <v>12</v>
      </c>
      <c r="C1066" s="5">
        <v>256.10000000000002</v>
      </c>
    </row>
    <row r="1067" spans="1:3" x14ac:dyDescent="0.35">
      <c r="A1067" s="9">
        <v>40879</v>
      </c>
      <c r="B1067">
        <f t="shared" si="17"/>
        <v>12</v>
      </c>
      <c r="C1067" s="5">
        <v>249.9</v>
      </c>
    </row>
    <row r="1068" spans="1:3" x14ac:dyDescent="0.35">
      <c r="A1068" s="9">
        <v>40880</v>
      </c>
      <c r="B1068">
        <f t="shared" si="17"/>
        <v>12</v>
      </c>
      <c r="C1068" s="5">
        <v>233.4</v>
      </c>
    </row>
    <row r="1069" spans="1:3" x14ac:dyDescent="0.35">
      <c r="A1069" s="9">
        <v>40881</v>
      </c>
      <c r="B1069">
        <f t="shared" si="17"/>
        <v>12</v>
      </c>
      <c r="C1069" s="5">
        <v>224.8</v>
      </c>
    </row>
    <row r="1070" spans="1:3" x14ac:dyDescent="0.35">
      <c r="A1070" s="9">
        <v>40882</v>
      </c>
      <c r="B1070">
        <f t="shared" si="17"/>
        <v>12</v>
      </c>
      <c r="C1070" s="5">
        <v>228.4</v>
      </c>
    </row>
    <row r="1071" spans="1:3" x14ac:dyDescent="0.35">
      <c r="A1071" s="9">
        <v>40883</v>
      </c>
      <c r="B1071">
        <f t="shared" si="17"/>
        <v>12</v>
      </c>
      <c r="C1071" s="5">
        <v>235.9</v>
      </c>
    </row>
    <row r="1072" spans="1:3" x14ac:dyDescent="0.35">
      <c r="A1072" s="9">
        <v>40884</v>
      </c>
      <c r="B1072">
        <f t="shared" si="17"/>
        <v>12</v>
      </c>
      <c r="C1072" s="5">
        <v>242</v>
      </c>
    </row>
    <row r="1073" spans="1:3" x14ac:dyDescent="0.35">
      <c r="A1073" s="9">
        <v>40885</v>
      </c>
      <c r="B1073">
        <f t="shared" si="17"/>
        <v>12</v>
      </c>
      <c r="C1073" s="5">
        <v>240.1</v>
      </c>
    </row>
    <row r="1074" spans="1:3" x14ac:dyDescent="0.35">
      <c r="A1074" s="9">
        <v>40886</v>
      </c>
      <c r="B1074">
        <f t="shared" si="17"/>
        <v>12</v>
      </c>
      <c r="C1074" s="5">
        <v>233.7</v>
      </c>
    </row>
    <row r="1075" spans="1:3" x14ac:dyDescent="0.35">
      <c r="A1075" s="9">
        <v>40887</v>
      </c>
      <c r="B1075">
        <f t="shared" si="17"/>
        <v>12</v>
      </c>
      <c r="C1075" s="5">
        <v>226.8</v>
      </c>
    </row>
    <row r="1076" spans="1:3" x14ac:dyDescent="0.35">
      <c r="A1076" s="9">
        <v>40888</v>
      </c>
      <c r="B1076">
        <f t="shared" si="17"/>
        <v>12</v>
      </c>
      <c r="C1076" s="5">
        <v>220.3</v>
      </c>
    </row>
    <row r="1077" spans="1:3" x14ac:dyDescent="0.35">
      <c r="A1077" s="9">
        <v>40889</v>
      </c>
      <c r="B1077">
        <f t="shared" si="17"/>
        <v>12</v>
      </c>
      <c r="C1077" s="5">
        <v>214</v>
      </c>
    </row>
    <row r="1078" spans="1:3" x14ac:dyDescent="0.35">
      <c r="A1078" s="9">
        <v>40890</v>
      </c>
      <c r="B1078">
        <f t="shared" si="17"/>
        <v>12</v>
      </c>
      <c r="C1078" s="5">
        <v>212.7</v>
      </c>
    </row>
    <row r="1079" spans="1:3" x14ac:dyDescent="0.35">
      <c r="A1079" s="9">
        <v>40891</v>
      </c>
      <c r="B1079">
        <f t="shared" si="17"/>
        <v>12</v>
      </c>
      <c r="C1079" s="5">
        <v>216.5</v>
      </c>
    </row>
    <row r="1080" spans="1:3" x14ac:dyDescent="0.35">
      <c r="A1080" s="9">
        <v>40892</v>
      </c>
      <c r="B1080">
        <f t="shared" si="17"/>
        <v>12</v>
      </c>
      <c r="C1080" s="5">
        <v>222</v>
      </c>
    </row>
    <row r="1081" spans="1:3" x14ac:dyDescent="0.35">
      <c r="A1081" s="9">
        <v>40893</v>
      </c>
      <c r="B1081">
        <f t="shared" si="17"/>
        <v>12</v>
      </c>
      <c r="C1081" s="5">
        <v>222.3</v>
      </c>
    </row>
    <row r="1082" spans="1:3" x14ac:dyDescent="0.35">
      <c r="A1082" s="9">
        <v>40894</v>
      </c>
      <c r="B1082">
        <f t="shared" si="17"/>
        <v>12</v>
      </c>
      <c r="C1082" s="5">
        <v>215.9</v>
      </c>
    </row>
    <row r="1083" spans="1:3" x14ac:dyDescent="0.35">
      <c r="A1083" s="9">
        <v>40895</v>
      </c>
      <c r="B1083">
        <f t="shared" si="17"/>
        <v>12</v>
      </c>
      <c r="C1083" s="5">
        <v>206.1</v>
      </c>
    </row>
    <row r="1084" spans="1:3" x14ac:dyDescent="0.35">
      <c r="A1084" s="9">
        <v>40896</v>
      </c>
      <c r="B1084">
        <f t="shared" si="17"/>
        <v>12</v>
      </c>
      <c r="C1084" s="5">
        <v>199.5</v>
      </c>
    </row>
    <row r="1085" spans="1:3" x14ac:dyDescent="0.35">
      <c r="A1085" s="9">
        <v>40897</v>
      </c>
      <c r="B1085">
        <f t="shared" si="17"/>
        <v>12</v>
      </c>
      <c r="C1085" s="5">
        <v>200.5</v>
      </c>
    </row>
    <row r="1086" spans="1:3" x14ac:dyDescent="0.35">
      <c r="A1086" s="9">
        <v>40898</v>
      </c>
      <c r="B1086">
        <f t="shared" si="17"/>
        <v>12</v>
      </c>
      <c r="C1086" s="5">
        <v>211.1</v>
      </c>
    </row>
    <row r="1087" spans="1:3" x14ac:dyDescent="0.35">
      <c r="A1087" s="9">
        <v>40899</v>
      </c>
      <c r="B1087">
        <f t="shared" si="17"/>
        <v>12</v>
      </c>
      <c r="C1087" s="5">
        <v>224</v>
      </c>
    </row>
    <row r="1088" spans="1:3" x14ac:dyDescent="0.35">
      <c r="A1088" s="9">
        <v>40900</v>
      </c>
      <c r="B1088">
        <f t="shared" si="17"/>
        <v>12</v>
      </c>
      <c r="C1088" s="5">
        <v>236.9</v>
      </c>
    </row>
    <row r="1089" spans="1:3" x14ac:dyDescent="0.35">
      <c r="A1089" s="9">
        <v>40901</v>
      </c>
      <c r="B1089">
        <f t="shared" si="17"/>
        <v>12</v>
      </c>
      <c r="C1089" s="5">
        <v>239.7</v>
      </c>
    </row>
    <row r="1090" spans="1:3" x14ac:dyDescent="0.35">
      <c r="A1090" s="9">
        <v>40902</v>
      </c>
      <c r="B1090">
        <f t="shared" si="17"/>
        <v>12</v>
      </c>
      <c r="C1090" s="5">
        <v>225.2</v>
      </c>
    </row>
    <row r="1091" spans="1:3" x14ac:dyDescent="0.35">
      <c r="A1091" s="9">
        <v>40903</v>
      </c>
      <c r="B1091">
        <f t="shared" si="17"/>
        <v>12</v>
      </c>
      <c r="C1091" s="5">
        <v>208.6</v>
      </c>
    </row>
    <row r="1092" spans="1:3" x14ac:dyDescent="0.35">
      <c r="A1092" s="9">
        <v>40904</v>
      </c>
      <c r="B1092">
        <f t="shared" ref="B1092:B1155" si="18">MONTH(A1092)</f>
        <v>12</v>
      </c>
      <c r="C1092" s="5">
        <v>203.6</v>
      </c>
    </row>
    <row r="1093" spans="1:3" x14ac:dyDescent="0.35">
      <c r="A1093" s="9">
        <v>40905</v>
      </c>
      <c r="B1093">
        <f t="shared" si="18"/>
        <v>12</v>
      </c>
      <c r="C1093" s="5">
        <v>216</v>
      </c>
    </row>
    <row r="1094" spans="1:3" x14ac:dyDescent="0.35">
      <c r="A1094" s="9">
        <v>40906</v>
      </c>
      <c r="B1094">
        <f t="shared" si="18"/>
        <v>12</v>
      </c>
      <c r="C1094" s="5">
        <v>234.2</v>
      </c>
    </row>
    <row r="1095" spans="1:3" x14ac:dyDescent="0.35">
      <c r="A1095" s="9">
        <v>40907</v>
      </c>
      <c r="B1095">
        <f t="shared" si="18"/>
        <v>12</v>
      </c>
      <c r="C1095" s="5">
        <v>241.2</v>
      </c>
    </row>
    <row r="1096" spans="1:3" x14ac:dyDescent="0.35">
      <c r="A1096" s="9">
        <v>40908</v>
      </c>
      <c r="B1096">
        <f t="shared" si="18"/>
        <v>12</v>
      </c>
      <c r="C1096" s="5">
        <v>230.8</v>
      </c>
    </row>
    <row r="1097" spans="1:3" x14ac:dyDescent="0.35">
      <c r="A1097" s="9">
        <v>40909</v>
      </c>
      <c r="B1097">
        <f t="shared" si="18"/>
        <v>1</v>
      </c>
      <c r="C1097" s="5">
        <v>209.5</v>
      </c>
    </row>
    <row r="1098" spans="1:3" x14ac:dyDescent="0.35">
      <c r="A1098" s="9">
        <v>40910</v>
      </c>
      <c r="B1098">
        <f t="shared" si="18"/>
        <v>1</v>
      </c>
      <c r="C1098" s="5">
        <v>186.1</v>
      </c>
    </row>
    <row r="1099" spans="1:3" x14ac:dyDescent="0.35">
      <c r="A1099" s="9">
        <v>40911</v>
      </c>
      <c r="B1099">
        <f t="shared" si="18"/>
        <v>1</v>
      </c>
      <c r="C1099" s="5">
        <v>175.6</v>
      </c>
    </row>
    <row r="1100" spans="1:3" x14ac:dyDescent="0.35">
      <c r="A1100" s="9">
        <v>40912</v>
      </c>
      <c r="B1100">
        <f t="shared" si="18"/>
        <v>1</v>
      </c>
      <c r="C1100" s="5">
        <v>171.2</v>
      </c>
    </row>
    <row r="1101" spans="1:3" x14ac:dyDescent="0.35">
      <c r="A1101" s="9">
        <v>40913</v>
      </c>
      <c r="B1101">
        <f t="shared" si="18"/>
        <v>1</v>
      </c>
      <c r="C1101" s="5">
        <v>171</v>
      </c>
    </row>
    <row r="1102" spans="1:3" x14ac:dyDescent="0.35">
      <c r="A1102" s="9">
        <v>40914</v>
      </c>
      <c r="B1102">
        <f t="shared" si="18"/>
        <v>1</v>
      </c>
      <c r="C1102" s="5">
        <v>179.6</v>
      </c>
    </row>
    <row r="1103" spans="1:3" x14ac:dyDescent="0.35">
      <c r="A1103" s="9">
        <v>40915</v>
      </c>
      <c r="B1103">
        <f t="shared" si="18"/>
        <v>1</v>
      </c>
      <c r="C1103" s="5">
        <v>196.3</v>
      </c>
    </row>
    <row r="1104" spans="1:3" x14ac:dyDescent="0.35">
      <c r="A1104" s="9">
        <v>40916</v>
      </c>
      <c r="B1104">
        <f t="shared" si="18"/>
        <v>1</v>
      </c>
      <c r="C1104" s="5">
        <v>211.2</v>
      </c>
    </row>
    <row r="1105" spans="1:3" x14ac:dyDescent="0.35">
      <c r="A1105" s="9">
        <v>40917</v>
      </c>
      <c r="B1105">
        <f t="shared" si="18"/>
        <v>1</v>
      </c>
      <c r="C1105" s="5">
        <v>214.7</v>
      </c>
    </row>
    <row r="1106" spans="1:3" x14ac:dyDescent="0.35">
      <c r="A1106" s="9">
        <v>40918</v>
      </c>
      <c r="B1106">
        <f t="shared" si="18"/>
        <v>1</v>
      </c>
      <c r="C1106" s="5">
        <v>213</v>
      </c>
    </row>
    <row r="1107" spans="1:3" x14ac:dyDescent="0.35">
      <c r="A1107" s="9">
        <v>40919</v>
      </c>
      <c r="B1107">
        <f t="shared" si="18"/>
        <v>1</v>
      </c>
      <c r="C1107" s="5">
        <v>212.6</v>
      </c>
    </row>
    <row r="1108" spans="1:3" x14ac:dyDescent="0.35">
      <c r="A1108" s="9">
        <v>40920</v>
      </c>
      <c r="B1108">
        <f t="shared" si="18"/>
        <v>1</v>
      </c>
      <c r="C1108" s="5">
        <v>217</v>
      </c>
    </row>
    <row r="1109" spans="1:3" x14ac:dyDescent="0.35">
      <c r="A1109" s="9">
        <v>40921</v>
      </c>
      <c r="B1109">
        <f t="shared" si="18"/>
        <v>1</v>
      </c>
      <c r="C1109" s="5">
        <v>216</v>
      </c>
    </row>
    <row r="1110" spans="1:3" x14ac:dyDescent="0.35">
      <c r="A1110" s="9">
        <v>40922</v>
      </c>
      <c r="B1110">
        <f t="shared" si="18"/>
        <v>1</v>
      </c>
      <c r="C1110" s="5">
        <v>208.4</v>
      </c>
    </row>
    <row r="1111" spans="1:3" x14ac:dyDescent="0.35">
      <c r="A1111" s="9">
        <v>40923</v>
      </c>
      <c r="B1111">
        <f t="shared" si="18"/>
        <v>1</v>
      </c>
      <c r="C1111" s="5">
        <v>201.1</v>
      </c>
    </row>
    <row r="1112" spans="1:3" x14ac:dyDescent="0.35">
      <c r="A1112" s="9">
        <v>40924</v>
      </c>
      <c r="B1112">
        <f t="shared" si="18"/>
        <v>1</v>
      </c>
      <c r="C1112" s="5">
        <v>197.5</v>
      </c>
    </row>
    <row r="1113" spans="1:3" x14ac:dyDescent="0.35">
      <c r="A1113" s="9">
        <v>40925</v>
      </c>
      <c r="B1113">
        <f t="shared" si="18"/>
        <v>1</v>
      </c>
      <c r="C1113" s="5">
        <v>198.6</v>
      </c>
    </row>
    <row r="1114" spans="1:3" x14ac:dyDescent="0.35">
      <c r="A1114" s="9">
        <v>40926</v>
      </c>
      <c r="B1114">
        <f t="shared" si="18"/>
        <v>1</v>
      </c>
      <c r="C1114" s="5">
        <v>207.2</v>
      </c>
    </row>
    <row r="1115" spans="1:3" x14ac:dyDescent="0.35">
      <c r="A1115" s="9">
        <v>40927</v>
      </c>
      <c r="B1115">
        <f t="shared" si="18"/>
        <v>1</v>
      </c>
      <c r="C1115" s="5">
        <v>216.2</v>
      </c>
    </row>
    <row r="1116" spans="1:3" x14ac:dyDescent="0.35">
      <c r="A1116" s="9">
        <v>40928</v>
      </c>
      <c r="B1116">
        <f t="shared" si="18"/>
        <v>1</v>
      </c>
      <c r="C1116" s="5">
        <v>212.1</v>
      </c>
    </row>
    <row r="1117" spans="1:3" x14ac:dyDescent="0.35">
      <c r="A1117" s="9">
        <v>40929</v>
      </c>
      <c r="B1117">
        <f t="shared" si="18"/>
        <v>1</v>
      </c>
      <c r="C1117" s="5">
        <v>200.3</v>
      </c>
    </row>
    <row r="1118" spans="1:3" x14ac:dyDescent="0.35">
      <c r="A1118" s="9">
        <v>40930</v>
      </c>
      <c r="B1118">
        <f t="shared" si="18"/>
        <v>1</v>
      </c>
      <c r="C1118" s="5">
        <v>192.5</v>
      </c>
    </row>
    <row r="1119" spans="1:3" x14ac:dyDescent="0.35">
      <c r="A1119" s="9">
        <v>40931</v>
      </c>
      <c r="B1119">
        <f t="shared" si="18"/>
        <v>1</v>
      </c>
      <c r="C1119" s="5">
        <v>196</v>
      </c>
    </row>
    <row r="1120" spans="1:3" x14ac:dyDescent="0.35">
      <c r="A1120" s="9">
        <v>40932</v>
      </c>
      <c r="B1120">
        <f t="shared" si="18"/>
        <v>1</v>
      </c>
      <c r="C1120" s="5">
        <v>205.2</v>
      </c>
    </row>
    <row r="1121" spans="1:3" x14ac:dyDescent="0.35">
      <c r="A1121" s="9">
        <v>40933</v>
      </c>
      <c r="B1121">
        <f t="shared" si="18"/>
        <v>1</v>
      </c>
      <c r="C1121" s="5">
        <v>210.2</v>
      </c>
    </row>
    <row r="1122" spans="1:3" x14ac:dyDescent="0.35">
      <c r="A1122" s="9">
        <v>40934</v>
      </c>
      <c r="B1122">
        <f t="shared" si="18"/>
        <v>1</v>
      </c>
      <c r="C1122" s="5">
        <v>210.8</v>
      </c>
    </row>
    <row r="1123" spans="1:3" x14ac:dyDescent="0.35">
      <c r="A1123" s="9">
        <v>40935</v>
      </c>
      <c r="B1123">
        <f t="shared" si="18"/>
        <v>1</v>
      </c>
      <c r="C1123" s="5">
        <v>211.6</v>
      </c>
    </row>
    <row r="1124" spans="1:3" x14ac:dyDescent="0.35">
      <c r="A1124" s="9">
        <v>40936</v>
      </c>
      <c r="B1124">
        <f t="shared" si="18"/>
        <v>1</v>
      </c>
      <c r="C1124" s="5">
        <v>210.2</v>
      </c>
    </row>
    <row r="1125" spans="1:3" x14ac:dyDescent="0.35">
      <c r="A1125" s="9">
        <v>40937</v>
      </c>
      <c r="B1125">
        <f t="shared" si="18"/>
        <v>1</v>
      </c>
      <c r="C1125" s="5">
        <v>212.3</v>
      </c>
    </row>
    <row r="1126" spans="1:3" x14ac:dyDescent="0.35">
      <c r="A1126" s="9">
        <v>40938</v>
      </c>
      <c r="B1126">
        <f t="shared" si="18"/>
        <v>1</v>
      </c>
      <c r="C1126" s="5">
        <v>213.6</v>
      </c>
    </row>
    <row r="1127" spans="1:3" x14ac:dyDescent="0.35">
      <c r="A1127" s="9">
        <v>40939</v>
      </c>
      <c r="B1127">
        <f t="shared" si="18"/>
        <v>1</v>
      </c>
      <c r="C1127" s="5">
        <v>218.2</v>
      </c>
    </row>
    <row r="1128" spans="1:3" x14ac:dyDescent="0.35">
      <c r="A1128" s="9">
        <v>40940</v>
      </c>
      <c r="B1128">
        <f t="shared" si="18"/>
        <v>2</v>
      </c>
      <c r="C1128" s="5">
        <v>218.1</v>
      </c>
    </row>
    <row r="1129" spans="1:3" x14ac:dyDescent="0.35">
      <c r="A1129" s="9">
        <v>40941</v>
      </c>
      <c r="B1129">
        <f t="shared" si="18"/>
        <v>2</v>
      </c>
      <c r="C1129" s="5">
        <v>193.3</v>
      </c>
    </row>
    <row r="1130" spans="1:3" x14ac:dyDescent="0.35">
      <c r="A1130" s="9">
        <v>40942</v>
      </c>
      <c r="B1130">
        <f t="shared" si="18"/>
        <v>2</v>
      </c>
      <c r="C1130" s="5">
        <v>180.9</v>
      </c>
    </row>
    <row r="1131" spans="1:3" x14ac:dyDescent="0.35">
      <c r="A1131" s="9">
        <v>40943</v>
      </c>
      <c r="B1131">
        <f t="shared" si="18"/>
        <v>2</v>
      </c>
      <c r="C1131" s="5">
        <v>170.8</v>
      </c>
    </row>
    <row r="1132" spans="1:3" x14ac:dyDescent="0.35">
      <c r="A1132" s="9">
        <v>40944</v>
      </c>
      <c r="B1132">
        <f t="shared" si="18"/>
        <v>2</v>
      </c>
      <c r="C1132" s="5">
        <v>169.8</v>
      </c>
    </row>
    <row r="1133" spans="1:3" x14ac:dyDescent="0.35">
      <c r="A1133" s="9">
        <v>40945</v>
      </c>
      <c r="B1133">
        <f t="shared" si="18"/>
        <v>2</v>
      </c>
      <c r="C1133" s="5">
        <v>171.6</v>
      </c>
    </row>
    <row r="1134" spans="1:3" x14ac:dyDescent="0.35">
      <c r="A1134" s="9">
        <v>40946</v>
      </c>
      <c r="B1134">
        <f t="shared" si="18"/>
        <v>2</v>
      </c>
      <c r="C1134" s="5">
        <v>178</v>
      </c>
    </row>
    <row r="1135" spans="1:3" x14ac:dyDescent="0.35">
      <c r="A1135" s="9">
        <v>40947</v>
      </c>
      <c r="B1135">
        <f t="shared" si="18"/>
        <v>2</v>
      </c>
      <c r="C1135" s="5">
        <v>186.7</v>
      </c>
    </row>
    <row r="1136" spans="1:3" x14ac:dyDescent="0.35">
      <c r="A1136" s="9">
        <v>40948</v>
      </c>
      <c r="B1136">
        <f t="shared" si="18"/>
        <v>2</v>
      </c>
      <c r="C1136" s="5">
        <v>197.9</v>
      </c>
    </row>
    <row r="1137" spans="1:3" x14ac:dyDescent="0.35">
      <c r="A1137" s="9">
        <v>40949</v>
      </c>
      <c r="B1137">
        <f t="shared" si="18"/>
        <v>2</v>
      </c>
      <c r="C1137" s="5">
        <v>202.3</v>
      </c>
    </row>
    <row r="1138" spans="1:3" x14ac:dyDescent="0.35">
      <c r="A1138" s="9">
        <v>40950</v>
      </c>
      <c r="B1138">
        <f t="shared" si="18"/>
        <v>2</v>
      </c>
      <c r="C1138" s="5">
        <v>197.2</v>
      </c>
    </row>
    <row r="1139" spans="1:3" x14ac:dyDescent="0.35">
      <c r="A1139" s="9">
        <v>40951</v>
      </c>
      <c r="B1139">
        <f t="shared" si="18"/>
        <v>2</v>
      </c>
      <c r="C1139" s="5">
        <v>184.4</v>
      </c>
    </row>
    <row r="1140" spans="1:3" x14ac:dyDescent="0.35">
      <c r="A1140" s="9">
        <v>40952</v>
      </c>
      <c r="B1140">
        <f t="shared" si="18"/>
        <v>2</v>
      </c>
      <c r="C1140" s="5">
        <v>171.9</v>
      </c>
    </row>
    <row r="1141" spans="1:3" x14ac:dyDescent="0.35">
      <c r="A1141" s="9">
        <v>40953</v>
      </c>
      <c r="B1141">
        <f t="shared" si="18"/>
        <v>2</v>
      </c>
      <c r="C1141" s="5">
        <v>169</v>
      </c>
    </row>
    <row r="1142" spans="1:3" x14ac:dyDescent="0.35">
      <c r="A1142" s="9">
        <v>40954</v>
      </c>
      <c r="B1142">
        <f t="shared" si="18"/>
        <v>2</v>
      </c>
      <c r="C1142" s="5">
        <v>174.4</v>
      </c>
    </row>
    <row r="1143" spans="1:3" x14ac:dyDescent="0.35">
      <c r="A1143" s="9">
        <v>40955</v>
      </c>
      <c r="B1143">
        <f t="shared" si="18"/>
        <v>2</v>
      </c>
      <c r="C1143" s="5">
        <v>176.1</v>
      </c>
    </row>
    <row r="1144" spans="1:3" x14ac:dyDescent="0.35">
      <c r="A1144" s="9">
        <v>40956</v>
      </c>
      <c r="B1144">
        <f t="shared" si="18"/>
        <v>2</v>
      </c>
      <c r="C1144" s="5">
        <v>176.6</v>
      </c>
    </row>
    <row r="1145" spans="1:3" x14ac:dyDescent="0.35">
      <c r="A1145" s="9">
        <v>40957</v>
      </c>
      <c r="B1145">
        <f t="shared" si="18"/>
        <v>2</v>
      </c>
      <c r="C1145" s="5">
        <v>180.3</v>
      </c>
    </row>
    <row r="1146" spans="1:3" x14ac:dyDescent="0.35">
      <c r="A1146" s="9">
        <v>40958</v>
      </c>
      <c r="B1146">
        <f t="shared" si="18"/>
        <v>2</v>
      </c>
      <c r="C1146" s="5">
        <v>192.3</v>
      </c>
    </row>
    <row r="1147" spans="1:3" x14ac:dyDescent="0.35">
      <c r="A1147" s="9">
        <v>40959</v>
      </c>
      <c r="B1147">
        <f t="shared" si="18"/>
        <v>2</v>
      </c>
      <c r="C1147" s="5">
        <v>210.3</v>
      </c>
    </row>
    <row r="1148" spans="1:3" x14ac:dyDescent="0.35">
      <c r="A1148" s="9">
        <v>40960</v>
      </c>
      <c r="B1148">
        <f t="shared" si="18"/>
        <v>2</v>
      </c>
      <c r="C1148" s="5">
        <v>217.4</v>
      </c>
    </row>
    <row r="1149" spans="1:3" x14ac:dyDescent="0.35">
      <c r="A1149" s="9">
        <v>40961</v>
      </c>
      <c r="B1149">
        <f t="shared" si="18"/>
        <v>2</v>
      </c>
      <c r="C1149" s="5">
        <v>215.5</v>
      </c>
    </row>
    <row r="1150" spans="1:3" x14ac:dyDescent="0.35">
      <c r="A1150" s="9">
        <v>40962</v>
      </c>
      <c r="B1150">
        <f t="shared" si="18"/>
        <v>2</v>
      </c>
      <c r="C1150" s="5">
        <v>211</v>
      </c>
    </row>
    <row r="1151" spans="1:3" x14ac:dyDescent="0.35">
      <c r="A1151" s="9">
        <v>40963</v>
      </c>
      <c r="B1151">
        <f t="shared" si="18"/>
        <v>2</v>
      </c>
      <c r="C1151" s="5">
        <v>207</v>
      </c>
    </row>
    <row r="1152" spans="1:3" x14ac:dyDescent="0.35">
      <c r="A1152" s="9">
        <v>40964</v>
      </c>
      <c r="B1152">
        <f t="shared" si="18"/>
        <v>2</v>
      </c>
      <c r="C1152" s="5">
        <v>200.9</v>
      </c>
    </row>
    <row r="1153" spans="1:3" x14ac:dyDescent="0.35">
      <c r="A1153" s="9">
        <v>40965</v>
      </c>
      <c r="B1153">
        <f t="shared" si="18"/>
        <v>2</v>
      </c>
      <c r="C1153" s="5">
        <v>188.3</v>
      </c>
    </row>
    <row r="1154" spans="1:3" x14ac:dyDescent="0.35">
      <c r="A1154" s="9">
        <v>40966</v>
      </c>
      <c r="B1154">
        <f t="shared" si="18"/>
        <v>2</v>
      </c>
      <c r="C1154" s="5">
        <v>174.2</v>
      </c>
    </row>
    <row r="1155" spans="1:3" x14ac:dyDescent="0.35">
      <c r="A1155" s="9">
        <v>40967</v>
      </c>
      <c r="B1155">
        <f t="shared" si="18"/>
        <v>2</v>
      </c>
      <c r="C1155" s="5">
        <v>165.1</v>
      </c>
    </row>
    <row r="1156" spans="1:3" x14ac:dyDescent="0.35">
      <c r="A1156" s="9">
        <v>40968</v>
      </c>
      <c r="B1156">
        <f t="shared" ref="B1156:B1219" si="19">MONTH(A1156)</f>
        <v>2</v>
      </c>
      <c r="C1156" s="5">
        <v>161.4</v>
      </c>
    </row>
    <row r="1157" spans="1:3" x14ac:dyDescent="0.35">
      <c r="A1157" s="9">
        <v>40969</v>
      </c>
      <c r="B1157">
        <f t="shared" si="19"/>
        <v>3</v>
      </c>
      <c r="C1157" s="5">
        <v>162</v>
      </c>
    </row>
    <row r="1158" spans="1:3" x14ac:dyDescent="0.35">
      <c r="A1158" s="9">
        <v>40970</v>
      </c>
      <c r="B1158">
        <f t="shared" si="19"/>
        <v>3</v>
      </c>
      <c r="C1158" s="5">
        <v>167.5</v>
      </c>
    </row>
    <row r="1159" spans="1:3" x14ac:dyDescent="0.35">
      <c r="A1159" s="9">
        <v>40971</v>
      </c>
      <c r="B1159">
        <f t="shared" si="19"/>
        <v>3</v>
      </c>
      <c r="C1159" s="5">
        <v>161.9</v>
      </c>
    </row>
    <row r="1160" spans="1:3" x14ac:dyDescent="0.35">
      <c r="A1160" s="9">
        <v>40972</v>
      </c>
      <c r="B1160">
        <f t="shared" si="19"/>
        <v>3</v>
      </c>
      <c r="C1160" s="5">
        <v>153.69999999999999</v>
      </c>
    </row>
    <row r="1161" spans="1:3" x14ac:dyDescent="0.35">
      <c r="A1161" s="9">
        <v>40973</v>
      </c>
      <c r="B1161">
        <f t="shared" si="19"/>
        <v>3</v>
      </c>
      <c r="C1161" s="5">
        <v>154.30000000000001</v>
      </c>
    </row>
    <row r="1162" spans="1:3" x14ac:dyDescent="0.35">
      <c r="A1162" s="9">
        <v>40974</v>
      </c>
      <c r="B1162">
        <f t="shared" si="19"/>
        <v>3</v>
      </c>
      <c r="C1162" s="5">
        <v>169.9</v>
      </c>
    </row>
    <row r="1163" spans="1:3" x14ac:dyDescent="0.35">
      <c r="A1163" s="9">
        <v>40975</v>
      </c>
      <c r="B1163">
        <f t="shared" si="19"/>
        <v>3</v>
      </c>
      <c r="C1163" s="5">
        <v>195.9</v>
      </c>
    </row>
    <row r="1164" spans="1:3" x14ac:dyDescent="0.35">
      <c r="A1164" s="9">
        <v>40976</v>
      </c>
      <c r="B1164">
        <f t="shared" si="19"/>
        <v>3</v>
      </c>
      <c r="C1164" s="5">
        <v>217.1</v>
      </c>
    </row>
    <row r="1165" spans="1:3" x14ac:dyDescent="0.35">
      <c r="A1165" s="9">
        <v>40977</v>
      </c>
      <c r="B1165">
        <f t="shared" si="19"/>
        <v>3</v>
      </c>
      <c r="C1165" s="5">
        <v>232.9</v>
      </c>
    </row>
    <row r="1166" spans="1:3" x14ac:dyDescent="0.35">
      <c r="A1166" s="9">
        <v>40978</v>
      </c>
      <c r="B1166">
        <f t="shared" si="19"/>
        <v>3</v>
      </c>
      <c r="C1166" s="5">
        <v>231.9</v>
      </c>
    </row>
    <row r="1167" spans="1:3" x14ac:dyDescent="0.35">
      <c r="A1167" s="9">
        <v>40979</v>
      </c>
      <c r="B1167">
        <f t="shared" si="19"/>
        <v>3</v>
      </c>
      <c r="C1167" s="5">
        <v>217.2</v>
      </c>
    </row>
    <row r="1168" spans="1:3" x14ac:dyDescent="0.35">
      <c r="A1168" s="9">
        <v>40980</v>
      </c>
      <c r="B1168">
        <f t="shared" si="19"/>
        <v>3</v>
      </c>
      <c r="C1168" s="5">
        <v>204.1</v>
      </c>
    </row>
    <row r="1169" spans="1:3" x14ac:dyDescent="0.35">
      <c r="A1169" s="9">
        <v>40981</v>
      </c>
      <c r="B1169">
        <f t="shared" si="19"/>
        <v>3</v>
      </c>
      <c r="C1169" s="5">
        <v>197.2</v>
      </c>
    </row>
    <row r="1170" spans="1:3" x14ac:dyDescent="0.35">
      <c r="A1170" s="9">
        <v>40982</v>
      </c>
      <c r="B1170">
        <f t="shared" si="19"/>
        <v>3</v>
      </c>
      <c r="C1170" s="5">
        <v>193.9</v>
      </c>
    </row>
    <row r="1171" spans="1:3" x14ac:dyDescent="0.35">
      <c r="A1171" s="9">
        <v>40983</v>
      </c>
      <c r="B1171">
        <f t="shared" si="19"/>
        <v>3</v>
      </c>
      <c r="C1171" s="5">
        <v>185.8</v>
      </c>
    </row>
    <row r="1172" spans="1:3" x14ac:dyDescent="0.35">
      <c r="A1172" s="9">
        <v>40984</v>
      </c>
      <c r="B1172">
        <f t="shared" si="19"/>
        <v>3</v>
      </c>
      <c r="C1172" s="5">
        <v>173.1</v>
      </c>
    </row>
    <row r="1173" spans="1:3" x14ac:dyDescent="0.35">
      <c r="A1173" s="9">
        <v>40985</v>
      </c>
      <c r="B1173">
        <f t="shared" si="19"/>
        <v>3</v>
      </c>
      <c r="C1173" s="5">
        <v>163.4</v>
      </c>
    </row>
    <row r="1174" spans="1:3" x14ac:dyDescent="0.35">
      <c r="A1174" s="9">
        <v>40986</v>
      </c>
      <c r="B1174">
        <f t="shared" si="19"/>
        <v>3</v>
      </c>
      <c r="C1174" s="5">
        <v>164.9</v>
      </c>
    </row>
    <row r="1175" spans="1:3" x14ac:dyDescent="0.35">
      <c r="A1175" s="9">
        <v>40987</v>
      </c>
      <c r="B1175">
        <f t="shared" si="19"/>
        <v>3</v>
      </c>
      <c r="C1175" s="5">
        <v>179.5</v>
      </c>
    </row>
    <row r="1176" spans="1:3" x14ac:dyDescent="0.35">
      <c r="A1176" s="9">
        <v>40988</v>
      </c>
      <c r="B1176">
        <f t="shared" si="19"/>
        <v>3</v>
      </c>
      <c r="C1176" s="5">
        <v>195.2</v>
      </c>
    </row>
    <row r="1177" spans="1:3" x14ac:dyDescent="0.35">
      <c r="A1177" s="9">
        <v>40989</v>
      </c>
      <c r="B1177">
        <f t="shared" si="19"/>
        <v>3</v>
      </c>
      <c r="C1177" s="5">
        <v>202.9</v>
      </c>
    </row>
    <row r="1178" spans="1:3" x14ac:dyDescent="0.35">
      <c r="A1178" s="9">
        <v>40990</v>
      </c>
      <c r="B1178">
        <f t="shared" si="19"/>
        <v>3</v>
      </c>
      <c r="C1178" s="5">
        <v>208.6</v>
      </c>
    </row>
    <row r="1179" spans="1:3" x14ac:dyDescent="0.35">
      <c r="A1179" s="9">
        <v>40991</v>
      </c>
      <c r="B1179">
        <f t="shared" si="19"/>
        <v>3</v>
      </c>
      <c r="C1179" s="5">
        <v>214.8</v>
      </c>
    </row>
    <row r="1180" spans="1:3" x14ac:dyDescent="0.35">
      <c r="A1180" s="9">
        <v>40992</v>
      </c>
      <c r="B1180">
        <f t="shared" si="19"/>
        <v>3</v>
      </c>
      <c r="C1180" s="5">
        <v>221.3</v>
      </c>
    </row>
    <row r="1181" spans="1:3" x14ac:dyDescent="0.35">
      <c r="A1181" s="9">
        <v>40993</v>
      </c>
      <c r="B1181">
        <f t="shared" si="19"/>
        <v>3</v>
      </c>
      <c r="C1181" s="5">
        <v>219.1</v>
      </c>
    </row>
    <row r="1182" spans="1:3" x14ac:dyDescent="0.35">
      <c r="A1182" s="9">
        <v>40994</v>
      </c>
      <c r="B1182">
        <f t="shared" si="19"/>
        <v>3</v>
      </c>
      <c r="C1182" s="5">
        <v>203.9</v>
      </c>
    </row>
    <row r="1183" spans="1:3" x14ac:dyDescent="0.35">
      <c r="A1183" s="9">
        <v>40995</v>
      </c>
      <c r="B1183">
        <f t="shared" si="19"/>
        <v>3</v>
      </c>
      <c r="C1183" s="5">
        <v>187</v>
      </c>
    </row>
    <row r="1184" spans="1:3" x14ac:dyDescent="0.35">
      <c r="A1184" s="9">
        <v>40996</v>
      </c>
      <c r="B1184">
        <f t="shared" si="19"/>
        <v>3</v>
      </c>
      <c r="C1184" s="5">
        <v>179.4</v>
      </c>
    </row>
    <row r="1185" spans="1:3" x14ac:dyDescent="0.35">
      <c r="A1185" s="9">
        <v>40997</v>
      </c>
      <c r="B1185">
        <f t="shared" si="19"/>
        <v>3</v>
      </c>
      <c r="C1185" s="5">
        <v>183.7</v>
      </c>
    </row>
    <row r="1186" spans="1:3" x14ac:dyDescent="0.35">
      <c r="A1186" s="9">
        <v>40998</v>
      </c>
      <c r="B1186">
        <f t="shared" si="19"/>
        <v>3</v>
      </c>
      <c r="C1186" s="5">
        <v>195.6</v>
      </c>
    </row>
    <row r="1187" spans="1:3" x14ac:dyDescent="0.35">
      <c r="A1187" s="9">
        <v>40999</v>
      </c>
      <c r="B1187">
        <f t="shared" si="19"/>
        <v>3</v>
      </c>
      <c r="C1187" s="5">
        <v>210.8</v>
      </c>
    </row>
    <row r="1188" spans="1:3" x14ac:dyDescent="0.35">
      <c r="A1188" s="9">
        <v>41000</v>
      </c>
      <c r="B1188">
        <f t="shared" si="19"/>
        <v>4</v>
      </c>
      <c r="C1188" s="5">
        <v>225.4</v>
      </c>
    </row>
    <row r="1189" spans="1:3" x14ac:dyDescent="0.35">
      <c r="A1189" s="9">
        <v>41001</v>
      </c>
      <c r="B1189">
        <f t="shared" si="19"/>
        <v>4</v>
      </c>
      <c r="C1189" s="5">
        <v>235</v>
      </c>
    </row>
    <row r="1190" spans="1:3" x14ac:dyDescent="0.35">
      <c r="A1190" s="9">
        <v>41002</v>
      </c>
      <c r="B1190">
        <f t="shared" si="19"/>
        <v>4</v>
      </c>
      <c r="C1190" s="5">
        <v>234.4</v>
      </c>
    </row>
    <row r="1191" spans="1:3" x14ac:dyDescent="0.35">
      <c r="A1191" s="9">
        <v>41003</v>
      </c>
      <c r="B1191">
        <f t="shared" si="19"/>
        <v>4</v>
      </c>
      <c r="C1191" s="5">
        <v>236.9</v>
      </c>
    </row>
    <row r="1192" spans="1:3" x14ac:dyDescent="0.35">
      <c r="A1192" s="9">
        <v>41004</v>
      </c>
      <c r="B1192">
        <f t="shared" si="19"/>
        <v>4</v>
      </c>
      <c r="C1192" s="5">
        <v>238.2</v>
      </c>
    </row>
    <row r="1193" spans="1:3" x14ac:dyDescent="0.35">
      <c r="A1193" s="9">
        <v>41005</v>
      </c>
      <c r="B1193">
        <f t="shared" si="19"/>
        <v>4</v>
      </c>
      <c r="C1193" s="5">
        <v>236.3</v>
      </c>
    </row>
    <row r="1194" spans="1:3" x14ac:dyDescent="0.35">
      <c r="A1194" s="9">
        <v>41006</v>
      </c>
      <c r="B1194">
        <f t="shared" si="19"/>
        <v>4</v>
      </c>
      <c r="C1194" s="5">
        <v>234.7</v>
      </c>
    </row>
    <row r="1195" spans="1:3" x14ac:dyDescent="0.35">
      <c r="A1195" s="9">
        <v>41007</v>
      </c>
      <c r="B1195">
        <f t="shared" si="19"/>
        <v>4</v>
      </c>
      <c r="C1195" s="5">
        <v>228.6</v>
      </c>
    </row>
    <row r="1196" spans="1:3" x14ac:dyDescent="0.35">
      <c r="A1196" s="9">
        <v>41008</v>
      </c>
      <c r="B1196">
        <f t="shared" si="19"/>
        <v>4</v>
      </c>
      <c r="C1196" s="5">
        <v>219</v>
      </c>
    </row>
    <row r="1197" spans="1:3" x14ac:dyDescent="0.35">
      <c r="A1197" s="9">
        <v>41009</v>
      </c>
      <c r="B1197">
        <f t="shared" si="19"/>
        <v>4</v>
      </c>
      <c r="C1197" s="5">
        <v>207.4</v>
      </c>
    </row>
    <row r="1198" spans="1:3" x14ac:dyDescent="0.35">
      <c r="A1198" s="9">
        <v>41010</v>
      </c>
      <c r="B1198">
        <f t="shared" si="19"/>
        <v>4</v>
      </c>
      <c r="C1198" s="5">
        <v>201.2</v>
      </c>
    </row>
    <row r="1199" spans="1:3" x14ac:dyDescent="0.35">
      <c r="A1199" s="9">
        <v>41011</v>
      </c>
      <c r="B1199">
        <f t="shared" si="19"/>
        <v>4</v>
      </c>
      <c r="C1199" s="5">
        <v>210.7</v>
      </c>
    </row>
    <row r="1200" spans="1:3" x14ac:dyDescent="0.35">
      <c r="A1200" s="9">
        <v>41012</v>
      </c>
      <c r="B1200">
        <f t="shared" si="19"/>
        <v>4</v>
      </c>
      <c r="C1200" s="5">
        <v>230.1</v>
      </c>
    </row>
    <row r="1201" spans="1:3" x14ac:dyDescent="0.35">
      <c r="A1201" s="9">
        <v>41013</v>
      </c>
      <c r="B1201">
        <f t="shared" si="19"/>
        <v>4</v>
      </c>
      <c r="C1201" s="5">
        <v>240</v>
      </c>
    </row>
    <row r="1202" spans="1:3" x14ac:dyDescent="0.35">
      <c r="A1202" s="9">
        <v>41014</v>
      </c>
      <c r="B1202">
        <f t="shared" si="19"/>
        <v>4</v>
      </c>
      <c r="C1202" s="5">
        <v>243.3</v>
      </c>
    </row>
    <row r="1203" spans="1:3" x14ac:dyDescent="0.35">
      <c r="A1203" s="9">
        <v>41015</v>
      </c>
      <c r="B1203">
        <f t="shared" si="19"/>
        <v>4</v>
      </c>
      <c r="C1203" s="5">
        <v>241.2</v>
      </c>
    </row>
    <row r="1204" spans="1:3" x14ac:dyDescent="0.35">
      <c r="A1204" s="9">
        <v>41016</v>
      </c>
      <c r="B1204">
        <f t="shared" si="19"/>
        <v>4</v>
      </c>
      <c r="C1204" s="5">
        <v>238.2</v>
      </c>
    </row>
    <row r="1205" spans="1:3" x14ac:dyDescent="0.35">
      <c r="A1205" s="9">
        <v>41017</v>
      </c>
      <c r="B1205">
        <f t="shared" si="19"/>
        <v>4</v>
      </c>
      <c r="C1205" s="5">
        <v>237.4</v>
      </c>
    </row>
    <row r="1206" spans="1:3" x14ac:dyDescent="0.35">
      <c r="A1206" s="9">
        <v>41018</v>
      </c>
      <c r="B1206">
        <f t="shared" si="19"/>
        <v>4</v>
      </c>
      <c r="C1206" s="5">
        <v>235.3</v>
      </c>
    </row>
    <row r="1207" spans="1:3" x14ac:dyDescent="0.35">
      <c r="A1207" s="9">
        <v>41019</v>
      </c>
      <c r="B1207">
        <f t="shared" si="19"/>
        <v>4</v>
      </c>
      <c r="C1207" s="5">
        <v>234.8</v>
      </c>
    </row>
    <row r="1208" spans="1:3" x14ac:dyDescent="0.35">
      <c r="A1208" s="9">
        <v>41020</v>
      </c>
      <c r="B1208">
        <f t="shared" si="19"/>
        <v>4</v>
      </c>
      <c r="C1208" s="5">
        <v>227.7</v>
      </c>
    </row>
    <row r="1209" spans="1:3" x14ac:dyDescent="0.35">
      <c r="A1209" s="9">
        <v>41021</v>
      </c>
      <c r="B1209">
        <f t="shared" si="19"/>
        <v>4</v>
      </c>
      <c r="C1209" s="5">
        <v>211.9</v>
      </c>
    </row>
    <row r="1210" spans="1:3" x14ac:dyDescent="0.35">
      <c r="A1210" s="9">
        <v>41022</v>
      </c>
      <c r="B1210">
        <f t="shared" si="19"/>
        <v>4</v>
      </c>
      <c r="C1210" s="5">
        <v>197.6</v>
      </c>
    </row>
    <row r="1211" spans="1:3" x14ac:dyDescent="0.35">
      <c r="A1211" s="9">
        <v>41023</v>
      </c>
      <c r="B1211">
        <f t="shared" si="19"/>
        <v>4</v>
      </c>
      <c r="C1211" s="5">
        <v>189.6</v>
      </c>
    </row>
    <row r="1212" spans="1:3" x14ac:dyDescent="0.35">
      <c r="A1212" s="9">
        <v>41024</v>
      </c>
      <c r="B1212">
        <f t="shared" si="19"/>
        <v>4</v>
      </c>
      <c r="C1212" s="5">
        <v>186.1</v>
      </c>
    </row>
    <row r="1213" spans="1:3" x14ac:dyDescent="0.35">
      <c r="A1213" s="9">
        <v>41025</v>
      </c>
      <c r="B1213">
        <f t="shared" si="19"/>
        <v>4</v>
      </c>
      <c r="C1213" s="5">
        <v>181.5</v>
      </c>
    </row>
    <row r="1214" spans="1:3" x14ac:dyDescent="0.35">
      <c r="A1214" s="9">
        <v>41026</v>
      </c>
      <c r="B1214">
        <f t="shared" si="19"/>
        <v>4</v>
      </c>
      <c r="C1214" s="5">
        <v>171.1</v>
      </c>
    </row>
    <row r="1215" spans="1:3" x14ac:dyDescent="0.35">
      <c r="A1215" s="9">
        <v>41027</v>
      </c>
      <c r="B1215">
        <f t="shared" si="19"/>
        <v>4</v>
      </c>
      <c r="C1215" s="5">
        <v>157.9</v>
      </c>
    </row>
    <row r="1216" spans="1:3" x14ac:dyDescent="0.35">
      <c r="A1216" s="9">
        <v>41028</v>
      </c>
      <c r="B1216">
        <f t="shared" si="19"/>
        <v>4</v>
      </c>
      <c r="C1216" s="5">
        <v>147.80000000000001</v>
      </c>
    </row>
    <row r="1217" spans="1:3" x14ac:dyDescent="0.35">
      <c r="A1217" s="9">
        <v>41029</v>
      </c>
      <c r="B1217">
        <f t="shared" si="19"/>
        <v>4</v>
      </c>
      <c r="C1217" s="5">
        <v>146.19999999999999</v>
      </c>
    </row>
    <row r="1218" spans="1:3" x14ac:dyDescent="0.35">
      <c r="A1218" s="9">
        <v>41030</v>
      </c>
      <c r="B1218">
        <f t="shared" si="19"/>
        <v>5</v>
      </c>
      <c r="C1218" s="5">
        <v>152.6</v>
      </c>
    </row>
    <row r="1219" spans="1:3" x14ac:dyDescent="0.35">
      <c r="A1219" s="9">
        <v>41031</v>
      </c>
      <c r="B1219">
        <f t="shared" si="19"/>
        <v>5</v>
      </c>
      <c r="C1219" s="5">
        <v>162.5</v>
      </c>
    </row>
    <row r="1220" spans="1:3" x14ac:dyDescent="0.35">
      <c r="A1220" s="9">
        <v>41032</v>
      </c>
      <c r="B1220">
        <f t="shared" ref="B1220:B1283" si="20">MONTH(A1220)</f>
        <v>5</v>
      </c>
      <c r="C1220" s="5">
        <v>171.5</v>
      </c>
    </row>
    <row r="1221" spans="1:3" x14ac:dyDescent="0.35">
      <c r="A1221" s="9">
        <v>41033</v>
      </c>
      <c r="B1221">
        <f t="shared" si="20"/>
        <v>5</v>
      </c>
      <c r="C1221" s="5">
        <v>182.5</v>
      </c>
    </row>
    <row r="1222" spans="1:3" x14ac:dyDescent="0.35">
      <c r="A1222" s="9">
        <v>41034</v>
      </c>
      <c r="B1222">
        <f t="shared" si="20"/>
        <v>5</v>
      </c>
      <c r="C1222" s="5">
        <v>193.1</v>
      </c>
    </row>
    <row r="1223" spans="1:3" x14ac:dyDescent="0.35">
      <c r="A1223" s="9">
        <v>41035</v>
      </c>
      <c r="B1223">
        <f t="shared" si="20"/>
        <v>5</v>
      </c>
      <c r="C1223" s="5">
        <v>203.8</v>
      </c>
    </row>
    <row r="1224" spans="1:3" x14ac:dyDescent="0.35">
      <c r="A1224" s="9">
        <v>41036</v>
      </c>
      <c r="B1224">
        <f t="shared" si="20"/>
        <v>5</v>
      </c>
      <c r="C1224" s="5">
        <v>217.3</v>
      </c>
    </row>
    <row r="1225" spans="1:3" x14ac:dyDescent="0.35">
      <c r="A1225" s="9">
        <v>41037</v>
      </c>
      <c r="B1225">
        <f t="shared" si="20"/>
        <v>5</v>
      </c>
      <c r="C1225" s="5">
        <v>230.2</v>
      </c>
    </row>
    <row r="1226" spans="1:3" x14ac:dyDescent="0.35">
      <c r="A1226" s="9">
        <v>41038</v>
      </c>
      <c r="B1226">
        <f t="shared" si="20"/>
        <v>5</v>
      </c>
      <c r="C1226" s="5">
        <v>228.4</v>
      </c>
    </row>
    <row r="1227" spans="1:3" x14ac:dyDescent="0.35">
      <c r="A1227" s="9">
        <v>41039</v>
      </c>
      <c r="B1227">
        <f t="shared" si="20"/>
        <v>5</v>
      </c>
      <c r="C1227" s="5">
        <v>211.8</v>
      </c>
    </row>
    <row r="1228" spans="1:3" x14ac:dyDescent="0.35">
      <c r="A1228" s="9">
        <v>41040</v>
      </c>
      <c r="B1228">
        <f t="shared" si="20"/>
        <v>5</v>
      </c>
      <c r="C1228" s="5">
        <v>188.8</v>
      </c>
    </row>
    <row r="1229" spans="1:3" x14ac:dyDescent="0.35">
      <c r="A1229" s="9">
        <v>41041</v>
      </c>
      <c r="B1229">
        <f t="shared" si="20"/>
        <v>5</v>
      </c>
      <c r="C1229" s="5">
        <v>170</v>
      </c>
    </row>
    <row r="1230" spans="1:3" x14ac:dyDescent="0.35">
      <c r="A1230" s="9">
        <v>41042</v>
      </c>
      <c r="B1230">
        <f t="shared" si="20"/>
        <v>5</v>
      </c>
      <c r="C1230" s="5">
        <v>161.6</v>
      </c>
    </row>
    <row r="1231" spans="1:3" x14ac:dyDescent="0.35">
      <c r="A1231" s="9">
        <v>41043</v>
      </c>
      <c r="B1231">
        <f t="shared" si="20"/>
        <v>5</v>
      </c>
      <c r="C1231" s="5">
        <v>161.30000000000001</v>
      </c>
    </row>
    <row r="1232" spans="1:3" x14ac:dyDescent="0.35">
      <c r="A1232" s="9">
        <v>41044</v>
      </c>
      <c r="B1232">
        <f t="shared" si="20"/>
        <v>5</v>
      </c>
      <c r="C1232" s="5">
        <v>163.69999999999999</v>
      </c>
    </row>
    <row r="1233" spans="1:3" x14ac:dyDescent="0.35">
      <c r="A1233" s="9">
        <v>41045</v>
      </c>
      <c r="B1233">
        <f t="shared" si="20"/>
        <v>5</v>
      </c>
      <c r="C1233" s="5">
        <v>169.7</v>
      </c>
    </row>
    <row r="1234" spans="1:3" x14ac:dyDescent="0.35">
      <c r="A1234" s="9">
        <v>41046</v>
      </c>
      <c r="B1234">
        <f t="shared" si="20"/>
        <v>5</v>
      </c>
      <c r="C1234" s="5">
        <v>173.9</v>
      </c>
    </row>
    <row r="1235" spans="1:3" x14ac:dyDescent="0.35">
      <c r="A1235" s="9">
        <v>41047</v>
      </c>
      <c r="B1235">
        <f t="shared" si="20"/>
        <v>5</v>
      </c>
      <c r="C1235" s="5">
        <v>173.8</v>
      </c>
    </row>
    <row r="1236" spans="1:3" x14ac:dyDescent="0.35">
      <c r="A1236" s="9">
        <v>41048</v>
      </c>
      <c r="B1236">
        <f t="shared" si="20"/>
        <v>5</v>
      </c>
      <c r="C1236" s="5">
        <v>173.3</v>
      </c>
    </row>
    <row r="1237" spans="1:3" x14ac:dyDescent="0.35">
      <c r="A1237" s="9">
        <v>41049</v>
      </c>
      <c r="B1237">
        <f t="shared" si="20"/>
        <v>5</v>
      </c>
      <c r="C1237" s="5">
        <v>173.3</v>
      </c>
    </row>
    <row r="1238" spans="1:3" x14ac:dyDescent="0.35">
      <c r="A1238" s="9">
        <v>41050</v>
      </c>
      <c r="B1238">
        <f t="shared" si="20"/>
        <v>5</v>
      </c>
      <c r="C1238" s="5">
        <v>170.4</v>
      </c>
    </row>
    <row r="1239" spans="1:3" x14ac:dyDescent="0.35">
      <c r="A1239" s="9">
        <v>41051</v>
      </c>
      <c r="B1239">
        <f t="shared" si="20"/>
        <v>5</v>
      </c>
      <c r="C1239" s="5">
        <v>163.4</v>
      </c>
    </row>
    <row r="1240" spans="1:3" x14ac:dyDescent="0.35">
      <c r="A1240" s="9">
        <v>41052</v>
      </c>
      <c r="B1240">
        <f t="shared" si="20"/>
        <v>5</v>
      </c>
      <c r="C1240" s="5">
        <v>156.19999999999999</v>
      </c>
    </row>
    <row r="1241" spans="1:3" x14ac:dyDescent="0.35">
      <c r="A1241" s="9">
        <v>41053</v>
      </c>
      <c r="B1241">
        <f t="shared" si="20"/>
        <v>5</v>
      </c>
      <c r="C1241" s="5">
        <v>153</v>
      </c>
    </row>
    <row r="1242" spans="1:3" x14ac:dyDescent="0.35">
      <c r="A1242" s="9">
        <v>41054</v>
      </c>
      <c r="B1242">
        <f t="shared" si="20"/>
        <v>5</v>
      </c>
      <c r="C1242" s="5">
        <v>155.69999999999999</v>
      </c>
    </row>
    <row r="1243" spans="1:3" x14ac:dyDescent="0.35">
      <c r="A1243" s="9">
        <v>41055</v>
      </c>
      <c r="B1243">
        <f t="shared" si="20"/>
        <v>5</v>
      </c>
      <c r="C1243" s="5">
        <v>157.6</v>
      </c>
    </row>
    <row r="1244" spans="1:3" x14ac:dyDescent="0.35">
      <c r="A1244" s="9">
        <v>41056</v>
      </c>
      <c r="B1244">
        <f t="shared" si="20"/>
        <v>5</v>
      </c>
      <c r="C1244" s="5">
        <v>156.6</v>
      </c>
    </row>
    <row r="1245" spans="1:3" x14ac:dyDescent="0.35">
      <c r="A1245" s="9">
        <v>41057</v>
      </c>
      <c r="B1245">
        <f t="shared" si="20"/>
        <v>5</v>
      </c>
      <c r="C1245" s="5">
        <v>156.4</v>
      </c>
    </row>
    <row r="1246" spans="1:3" x14ac:dyDescent="0.35">
      <c r="A1246" s="9">
        <v>41058</v>
      </c>
      <c r="B1246">
        <f t="shared" si="20"/>
        <v>5</v>
      </c>
      <c r="C1246" s="5">
        <v>159.1</v>
      </c>
    </row>
    <row r="1247" spans="1:3" x14ac:dyDescent="0.35">
      <c r="A1247" s="9">
        <v>41059</v>
      </c>
      <c r="B1247">
        <f t="shared" si="20"/>
        <v>5</v>
      </c>
      <c r="C1247" s="5">
        <v>161.19999999999999</v>
      </c>
    </row>
    <row r="1248" spans="1:3" x14ac:dyDescent="0.35">
      <c r="A1248" s="9">
        <v>41060</v>
      </c>
      <c r="B1248">
        <f t="shared" si="20"/>
        <v>5</v>
      </c>
      <c r="C1248" s="5">
        <v>159.4</v>
      </c>
    </row>
    <row r="1249" spans="1:3" x14ac:dyDescent="0.35">
      <c r="A1249" s="9">
        <v>41061</v>
      </c>
      <c r="B1249">
        <f t="shared" si="20"/>
        <v>6</v>
      </c>
      <c r="C1249" s="5">
        <v>152.9</v>
      </c>
    </row>
    <row r="1250" spans="1:3" x14ac:dyDescent="0.35">
      <c r="A1250" s="9">
        <v>41062</v>
      </c>
      <c r="B1250">
        <f t="shared" si="20"/>
        <v>6</v>
      </c>
      <c r="C1250" s="5">
        <v>103.6</v>
      </c>
    </row>
    <row r="1251" spans="1:3" x14ac:dyDescent="0.35">
      <c r="A1251" s="9">
        <v>41063</v>
      </c>
      <c r="B1251">
        <f t="shared" si="20"/>
        <v>6</v>
      </c>
      <c r="C1251" s="5">
        <v>96.7</v>
      </c>
    </row>
    <row r="1252" spans="1:3" x14ac:dyDescent="0.35">
      <c r="A1252" s="9">
        <v>41064</v>
      </c>
      <c r="B1252">
        <f t="shared" si="20"/>
        <v>6</v>
      </c>
      <c r="C1252" s="5">
        <v>91.9</v>
      </c>
    </row>
    <row r="1253" spans="1:3" x14ac:dyDescent="0.35">
      <c r="A1253" s="9">
        <v>41065</v>
      </c>
      <c r="B1253">
        <f t="shared" si="20"/>
        <v>6</v>
      </c>
      <c r="C1253" s="5">
        <v>89</v>
      </c>
    </row>
    <row r="1254" spans="1:3" x14ac:dyDescent="0.35">
      <c r="A1254" s="9">
        <v>41066</v>
      </c>
      <c r="B1254">
        <f t="shared" si="20"/>
        <v>6</v>
      </c>
      <c r="C1254" s="5">
        <v>87.1</v>
      </c>
    </row>
    <row r="1255" spans="1:3" x14ac:dyDescent="0.35">
      <c r="A1255" s="9">
        <v>41067</v>
      </c>
      <c r="B1255">
        <f t="shared" si="20"/>
        <v>6</v>
      </c>
      <c r="C1255" s="5">
        <v>85.8</v>
      </c>
    </row>
    <row r="1256" spans="1:3" x14ac:dyDescent="0.35">
      <c r="A1256" s="9">
        <v>41068</v>
      </c>
      <c r="B1256">
        <f t="shared" si="20"/>
        <v>6</v>
      </c>
      <c r="C1256" s="5">
        <v>84.9</v>
      </c>
    </row>
    <row r="1257" spans="1:3" x14ac:dyDescent="0.35">
      <c r="A1257" s="9">
        <v>41069</v>
      </c>
      <c r="B1257">
        <f t="shared" si="20"/>
        <v>6</v>
      </c>
      <c r="C1257" s="5">
        <v>84.3</v>
      </c>
    </row>
    <row r="1258" spans="1:3" x14ac:dyDescent="0.35">
      <c r="A1258" s="9">
        <v>41070</v>
      </c>
      <c r="B1258">
        <f t="shared" si="20"/>
        <v>6</v>
      </c>
      <c r="C1258" s="5">
        <v>83.8</v>
      </c>
    </row>
    <row r="1259" spans="1:3" x14ac:dyDescent="0.35">
      <c r="A1259" s="9">
        <v>41071</v>
      </c>
      <c r="B1259">
        <f t="shared" si="20"/>
        <v>6</v>
      </c>
      <c r="C1259" s="5">
        <v>83.5</v>
      </c>
    </row>
    <row r="1260" spans="1:3" x14ac:dyDescent="0.35">
      <c r="A1260" s="9">
        <v>41072</v>
      </c>
      <c r="B1260">
        <f t="shared" si="20"/>
        <v>6</v>
      </c>
      <c r="C1260" s="5">
        <v>83.4</v>
      </c>
    </row>
    <row r="1261" spans="1:3" x14ac:dyDescent="0.35">
      <c r="A1261" s="9">
        <v>41073</v>
      </c>
      <c r="B1261">
        <f t="shared" si="20"/>
        <v>6</v>
      </c>
      <c r="C1261" s="5">
        <v>83.3</v>
      </c>
    </row>
    <row r="1262" spans="1:3" x14ac:dyDescent="0.35">
      <c r="A1262" s="9">
        <v>41074</v>
      </c>
      <c r="B1262">
        <f t="shared" si="20"/>
        <v>6</v>
      </c>
      <c r="C1262" s="5">
        <v>83.2</v>
      </c>
    </row>
    <row r="1263" spans="1:3" x14ac:dyDescent="0.35">
      <c r="A1263" s="9">
        <v>41075</v>
      </c>
      <c r="B1263">
        <f t="shared" si="20"/>
        <v>6</v>
      </c>
      <c r="C1263" s="5">
        <v>83.2</v>
      </c>
    </row>
    <row r="1264" spans="1:3" x14ac:dyDescent="0.35">
      <c r="A1264" s="9">
        <v>41076</v>
      </c>
      <c r="B1264">
        <f t="shared" si="20"/>
        <v>6</v>
      </c>
      <c r="C1264" s="5">
        <v>83.3</v>
      </c>
    </row>
    <row r="1265" spans="1:3" x14ac:dyDescent="0.35">
      <c r="A1265" s="9">
        <v>41077</v>
      </c>
      <c r="B1265">
        <f t="shared" si="20"/>
        <v>6</v>
      </c>
      <c r="C1265" s="5">
        <v>83.2</v>
      </c>
    </row>
    <row r="1266" spans="1:3" x14ac:dyDescent="0.35">
      <c r="A1266" s="9">
        <v>41078</v>
      </c>
      <c r="B1266">
        <f t="shared" si="20"/>
        <v>6</v>
      </c>
      <c r="C1266" s="5">
        <v>83.2</v>
      </c>
    </row>
    <row r="1267" spans="1:3" x14ac:dyDescent="0.35">
      <c r="A1267" s="9">
        <v>41079</v>
      </c>
      <c r="B1267">
        <f t="shared" si="20"/>
        <v>6</v>
      </c>
      <c r="C1267" s="5">
        <v>83.3</v>
      </c>
    </row>
    <row r="1268" spans="1:3" x14ac:dyDescent="0.35">
      <c r="A1268" s="9">
        <v>41080</v>
      </c>
      <c r="B1268">
        <f t="shared" si="20"/>
        <v>6</v>
      </c>
      <c r="C1268" s="5">
        <v>83.5</v>
      </c>
    </row>
    <row r="1269" spans="1:3" x14ac:dyDescent="0.35">
      <c r="A1269" s="9">
        <v>41081</v>
      </c>
      <c r="B1269">
        <f t="shared" si="20"/>
        <v>6</v>
      </c>
      <c r="C1269" s="5">
        <v>83.6</v>
      </c>
    </row>
    <row r="1270" spans="1:3" x14ac:dyDescent="0.35">
      <c r="A1270" s="9">
        <v>41082</v>
      </c>
      <c r="B1270">
        <f t="shared" si="20"/>
        <v>6</v>
      </c>
      <c r="C1270" s="5">
        <v>83.6</v>
      </c>
    </row>
    <row r="1271" spans="1:3" x14ac:dyDescent="0.35">
      <c r="A1271" s="9">
        <v>41083</v>
      </c>
      <c r="B1271">
        <f t="shared" si="20"/>
        <v>6</v>
      </c>
      <c r="C1271" s="5">
        <v>83.6</v>
      </c>
    </row>
    <row r="1272" spans="1:3" x14ac:dyDescent="0.35">
      <c r="A1272" s="9">
        <v>41084</v>
      </c>
      <c r="B1272">
        <f t="shared" si="20"/>
        <v>6</v>
      </c>
      <c r="C1272" s="5">
        <v>83.6</v>
      </c>
    </row>
    <row r="1273" spans="1:3" x14ac:dyDescent="0.35">
      <c r="A1273" s="9">
        <v>41085</v>
      </c>
      <c r="B1273">
        <f t="shared" si="20"/>
        <v>6</v>
      </c>
      <c r="C1273" s="5">
        <v>83.6</v>
      </c>
    </row>
    <row r="1274" spans="1:3" x14ac:dyDescent="0.35">
      <c r="A1274" s="9">
        <v>41086</v>
      </c>
      <c r="B1274">
        <f t="shared" si="20"/>
        <v>6</v>
      </c>
      <c r="C1274" s="5">
        <v>83.8</v>
      </c>
    </row>
    <row r="1275" spans="1:3" x14ac:dyDescent="0.35">
      <c r="A1275" s="9">
        <v>41087</v>
      </c>
      <c r="B1275">
        <f t="shared" si="20"/>
        <v>6</v>
      </c>
      <c r="C1275" s="5">
        <v>86.8</v>
      </c>
    </row>
    <row r="1276" spans="1:3" x14ac:dyDescent="0.35">
      <c r="A1276" s="9">
        <v>41088</v>
      </c>
      <c r="B1276">
        <f t="shared" si="20"/>
        <v>6</v>
      </c>
      <c r="C1276" s="5">
        <v>94.4</v>
      </c>
    </row>
    <row r="1277" spans="1:3" x14ac:dyDescent="0.35">
      <c r="A1277" s="9">
        <v>41089</v>
      </c>
      <c r="B1277">
        <f t="shared" si="20"/>
        <v>6</v>
      </c>
      <c r="C1277" s="5">
        <v>103.5</v>
      </c>
    </row>
    <row r="1278" spans="1:3" x14ac:dyDescent="0.35">
      <c r="A1278" s="9">
        <v>41090</v>
      </c>
      <c r="B1278">
        <f t="shared" si="20"/>
        <v>6</v>
      </c>
      <c r="C1278" s="5">
        <v>106.7</v>
      </c>
    </row>
    <row r="1279" spans="1:3" x14ac:dyDescent="0.35">
      <c r="A1279" s="9">
        <v>41091</v>
      </c>
      <c r="B1279">
        <f t="shared" si="20"/>
        <v>7</v>
      </c>
      <c r="C1279" s="5">
        <v>104.1</v>
      </c>
    </row>
    <row r="1280" spans="1:3" x14ac:dyDescent="0.35">
      <c r="A1280" s="9">
        <v>41092</v>
      </c>
      <c r="B1280">
        <f t="shared" si="20"/>
        <v>7</v>
      </c>
      <c r="C1280" s="5">
        <v>75.400000000000006</v>
      </c>
    </row>
    <row r="1281" spans="1:3" x14ac:dyDescent="0.35">
      <c r="A1281" s="9">
        <v>41093</v>
      </c>
      <c r="B1281">
        <f t="shared" si="20"/>
        <v>7</v>
      </c>
      <c r="C1281" s="5">
        <v>70.900000000000006</v>
      </c>
    </row>
    <row r="1282" spans="1:3" x14ac:dyDescent="0.35">
      <c r="A1282" s="9">
        <v>41094</v>
      </c>
      <c r="B1282">
        <f t="shared" si="20"/>
        <v>7</v>
      </c>
      <c r="C1282" s="5">
        <v>70.8</v>
      </c>
    </row>
    <row r="1283" spans="1:3" x14ac:dyDescent="0.35">
      <c r="A1283" s="9">
        <v>41095</v>
      </c>
      <c r="B1283">
        <f t="shared" si="20"/>
        <v>7</v>
      </c>
      <c r="C1283" s="5">
        <v>73.7</v>
      </c>
    </row>
    <row r="1284" spans="1:3" x14ac:dyDescent="0.35">
      <c r="A1284" s="9">
        <v>41096</v>
      </c>
      <c r="B1284">
        <f t="shared" ref="B1284:B1347" si="21">MONTH(A1284)</f>
        <v>7</v>
      </c>
      <c r="C1284" s="5">
        <v>75.599999999999994</v>
      </c>
    </row>
    <row r="1285" spans="1:3" x14ac:dyDescent="0.35">
      <c r="A1285" s="9">
        <v>41097</v>
      </c>
      <c r="B1285">
        <f t="shared" si="21"/>
        <v>7</v>
      </c>
      <c r="C1285" s="5">
        <v>74.3</v>
      </c>
    </row>
    <row r="1286" spans="1:3" x14ac:dyDescent="0.35">
      <c r="A1286" s="9">
        <v>41098</v>
      </c>
      <c r="B1286">
        <f t="shared" si="21"/>
        <v>7</v>
      </c>
      <c r="C1286" s="5">
        <v>71</v>
      </c>
    </row>
    <row r="1287" spans="1:3" x14ac:dyDescent="0.35">
      <c r="A1287" s="9">
        <v>41099</v>
      </c>
      <c r="B1287">
        <f t="shared" si="21"/>
        <v>7</v>
      </c>
      <c r="C1287" s="5">
        <v>67.400000000000006</v>
      </c>
    </row>
    <row r="1288" spans="1:3" x14ac:dyDescent="0.35">
      <c r="A1288" s="9">
        <v>41100</v>
      </c>
      <c r="B1288">
        <f t="shared" si="21"/>
        <v>7</v>
      </c>
      <c r="C1288" s="5">
        <v>64.7</v>
      </c>
    </row>
    <row r="1289" spans="1:3" x14ac:dyDescent="0.35">
      <c r="A1289" s="9">
        <v>41101</v>
      </c>
      <c r="B1289">
        <f t="shared" si="21"/>
        <v>7</v>
      </c>
      <c r="C1289" s="5">
        <v>63.1</v>
      </c>
    </row>
    <row r="1290" spans="1:3" x14ac:dyDescent="0.35">
      <c r="A1290" s="9">
        <v>41102</v>
      </c>
      <c r="B1290">
        <f t="shared" si="21"/>
        <v>7</v>
      </c>
      <c r="C1290" s="5">
        <v>62</v>
      </c>
    </row>
    <row r="1291" spans="1:3" x14ac:dyDescent="0.35">
      <c r="A1291" s="9">
        <v>41103</v>
      </c>
      <c r="B1291">
        <f t="shared" si="21"/>
        <v>7</v>
      </c>
      <c r="C1291" s="5">
        <v>61.3</v>
      </c>
    </row>
    <row r="1292" spans="1:3" x14ac:dyDescent="0.35">
      <c r="A1292" s="9">
        <v>41104</v>
      </c>
      <c r="B1292">
        <f t="shared" si="21"/>
        <v>7</v>
      </c>
      <c r="C1292" s="5">
        <v>61.1</v>
      </c>
    </row>
    <row r="1293" spans="1:3" x14ac:dyDescent="0.35">
      <c r="A1293" s="9">
        <v>41105</v>
      </c>
      <c r="B1293">
        <f t="shared" si="21"/>
        <v>7</v>
      </c>
      <c r="C1293" s="5">
        <v>61.3</v>
      </c>
    </row>
    <row r="1294" spans="1:3" x14ac:dyDescent="0.35">
      <c r="A1294" s="9">
        <v>41106</v>
      </c>
      <c r="B1294">
        <f t="shared" si="21"/>
        <v>7</v>
      </c>
      <c r="C1294" s="5">
        <v>61.9</v>
      </c>
    </row>
    <row r="1295" spans="1:3" x14ac:dyDescent="0.35">
      <c r="A1295" s="9">
        <v>41107</v>
      </c>
      <c r="B1295">
        <f t="shared" si="21"/>
        <v>7</v>
      </c>
      <c r="C1295" s="5">
        <v>62</v>
      </c>
    </row>
    <row r="1296" spans="1:3" x14ac:dyDescent="0.35">
      <c r="A1296" s="9">
        <v>41108</v>
      </c>
      <c r="B1296">
        <f t="shared" si="21"/>
        <v>7</v>
      </c>
      <c r="C1296" s="5">
        <v>61.8</v>
      </c>
    </row>
    <row r="1297" spans="1:3" x14ac:dyDescent="0.35">
      <c r="A1297" s="9">
        <v>41109</v>
      </c>
      <c r="B1297">
        <f t="shared" si="21"/>
        <v>7</v>
      </c>
      <c r="C1297" s="5">
        <v>61.4</v>
      </c>
    </row>
    <row r="1298" spans="1:3" x14ac:dyDescent="0.35">
      <c r="A1298" s="9">
        <v>41110</v>
      </c>
      <c r="B1298">
        <f t="shared" si="21"/>
        <v>7</v>
      </c>
      <c r="C1298" s="5">
        <v>60.9</v>
      </c>
    </row>
    <row r="1299" spans="1:3" x14ac:dyDescent="0.35">
      <c r="A1299" s="9">
        <v>41111</v>
      </c>
      <c r="B1299">
        <f t="shared" si="21"/>
        <v>7</v>
      </c>
      <c r="C1299" s="5">
        <v>60.6</v>
      </c>
    </row>
    <row r="1300" spans="1:3" x14ac:dyDescent="0.35">
      <c r="A1300" s="9">
        <v>41112</v>
      </c>
      <c r="B1300">
        <f t="shared" si="21"/>
        <v>7</v>
      </c>
      <c r="C1300" s="5">
        <v>60.4</v>
      </c>
    </row>
    <row r="1301" spans="1:3" x14ac:dyDescent="0.35">
      <c r="A1301" s="9">
        <v>41113</v>
      </c>
      <c r="B1301">
        <f t="shared" si="21"/>
        <v>7</v>
      </c>
      <c r="C1301" s="5">
        <v>60.2</v>
      </c>
    </row>
    <row r="1302" spans="1:3" x14ac:dyDescent="0.35">
      <c r="A1302" s="9">
        <v>41114</v>
      </c>
      <c r="B1302">
        <f t="shared" si="21"/>
        <v>7</v>
      </c>
      <c r="C1302" s="5">
        <v>60.2</v>
      </c>
    </row>
    <row r="1303" spans="1:3" x14ac:dyDescent="0.35">
      <c r="A1303" s="9">
        <v>41115</v>
      </c>
      <c r="B1303">
        <f t="shared" si="21"/>
        <v>7</v>
      </c>
      <c r="C1303" s="5">
        <v>60.3</v>
      </c>
    </row>
    <row r="1304" spans="1:3" x14ac:dyDescent="0.35">
      <c r="A1304" s="9">
        <v>41116</v>
      </c>
      <c r="B1304">
        <f t="shared" si="21"/>
        <v>7</v>
      </c>
      <c r="C1304" s="5">
        <v>60.5</v>
      </c>
    </row>
    <row r="1305" spans="1:3" x14ac:dyDescent="0.35">
      <c r="A1305" s="9">
        <v>41117</v>
      </c>
      <c r="B1305">
        <f t="shared" si="21"/>
        <v>7</v>
      </c>
      <c r="C1305" s="5">
        <v>60.6</v>
      </c>
    </row>
    <row r="1306" spans="1:3" x14ac:dyDescent="0.35">
      <c r="A1306" s="9">
        <v>41118</v>
      </c>
      <c r="B1306">
        <f t="shared" si="21"/>
        <v>7</v>
      </c>
      <c r="C1306" s="5">
        <v>60.8</v>
      </c>
    </row>
    <row r="1307" spans="1:3" x14ac:dyDescent="0.35">
      <c r="A1307" s="9">
        <v>41119</v>
      </c>
      <c r="B1307">
        <f t="shared" si="21"/>
        <v>7</v>
      </c>
      <c r="C1307" s="5">
        <v>61</v>
      </c>
    </row>
    <row r="1308" spans="1:3" x14ac:dyDescent="0.35">
      <c r="A1308" s="9">
        <v>41120</v>
      </c>
      <c r="B1308">
        <f t="shared" si="21"/>
        <v>7</v>
      </c>
      <c r="C1308" s="5">
        <v>61.1</v>
      </c>
    </row>
    <row r="1309" spans="1:3" x14ac:dyDescent="0.35">
      <c r="A1309" s="9">
        <v>41121</v>
      </c>
      <c r="B1309">
        <f t="shared" si="21"/>
        <v>7</v>
      </c>
      <c r="C1309" s="5">
        <v>61</v>
      </c>
    </row>
    <row r="1310" spans="1:3" x14ac:dyDescent="0.35">
      <c r="A1310" s="9">
        <v>41122</v>
      </c>
      <c r="B1310">
        <f t="shared" si="21"/>
        <v>8</v>
      </c>
      <c r="C1310" s="5">
        <v>60.7</v>
      </c>
    </row>
    <row r="1311" spans="1:3" x14ac:dyDescent="0.35">
      <c r="A1311" s="9">
        <v>41123</v>
      </c>
      <c r="B1311">
        <f t="shared" si="21"/>
        <v>8</v>
      </c>
      <c r="C1311" s="5">
        <v>65.5</v>
      </c>
    </row>
    <row r="1312" spans="1:3" x14ac:dyDescent="0.35">
      <c r="A1312" s="9">
        <v>41124</v>
      </c>
      <c r="B1312">
        <f t="shared" si="21"/>
        <v>8</v>
      </c>
      <c r="C1312" s="5">
        <v>65.3</v>
      </c>
    </row>
    <row r="1313" spans="1:3" x14ac:dyDescent="0.35">
      <c r="A1313" s="9">
        <v>41125</v>
      </c>
      <c r="B1313">
        <f t="shared" si="21"/>
        <v>8</v>
      </c>
      <c r="C1313" s="5">
        <v>65.3</v>
      </c>
    </row>
    <row r="1314" spans="1:3" x14ac:dyDescent="0.35">
      <c r="A1314" s="9">
        <v>41126</v>
      </c>
      <c r="B1314">
        <f t="shared" si="21"/>
        <v>8</v>
      </c>
      <c r="C1314" s="5">
        <v>65.400000000000006</v>
      </c>
    </row>
    <row r="1315" spans="1:3" x14ac:dyDescent="0.35">
      <c r="A1315" s="9">
        <v>41127</v>
      </c>
      <c r="B1315">
        <f t="shared" si="21"/>
        <v>8</v>
      </c>
      <c r="C1315" s="5">
        <v>65.7</v>
      </c>
    </row>
    <row r="1316" spans="1:3" x14ac:dyDescent="0.35">
      <c r="A1316" s="9">
        <v>41128</v>
      </c>
      <c r="B1316">
        <f t="shared" si="21"/>
        <v>8</v>
      </c>
      <c r="C1316" s="5">
        <v>65.900000000000006</v>
      </c>
    </row>
    <row r="1317" spans="1:3" x14ac:dyDescent="0.35">
      <c r="A1317" s="9">
        <v>41129</v>
      </c>
      <c r="B1317">
        <f t="shared" si="21"/>
        <v>8</v>
      </c>
      <c r="C1317" s="5">
        <v>65.900000000000006</v>
      </c>
    </row>
    <row r="1318" spans="1:3" x14ac:dyDescent="0.35">
      <c r="A1318" s="9">
        <v>41130</v>
      </c>
      <c r="B1318">
        <f t="shared" si="21"/>
        <v>8</v>
      </c>
      <c r="C1318" s="5">
        <v>67.400000000000006</v>
      </c>
    </row>
    <row r="1319" spans="1:3" x14ac:dyDescent="0.35">
      <c r="A1319" s="9">
        <v>41131</v>
      </c>
      <c r="B1319">
        <f t="shared" si="21"/>
        <v>8</v>
      </c>
      <c r="C1319" s="5">
        <v>70.900000000000006</v>
      </c>
    </row>
    <row r="1320" spans="1:3" x14ac:dyDescent="0.35">
      <c r="A1320" s="9">
        <v>41132</v>
      </c>
      <c r="B1320">
        <f t="shared" si="21"/>
        <v>8</v>
      </c>
      <c r="C1320" s="5">
        <v>75.5</v>
      </c>
    </row>
    <row r="1321" spans="1:3" x14ac:dyDescent="0.35">
      <c r="A1321" s="9">
        <v>41133</v>
      </c>
      <c r="B1321">
        <f t="shared" si="21"/>
        <v>8</v>
      </c>
      <c r="C1321" s="5">
        <v>78.400000000000006</v>
      </c>
    </row>
    <row r="1322" spans="1:3" x14ac:dyDescent="0.35">
      <c r="A1322" s="9">
        <v>41134</v>
      </c>
      <c r="B1322">
        <f t="shared" si="21"/>
        <v>8</v>
      </c>
      <c r="C1322" s="5">
        <v>80.8</v>
      </c>
    </row>
    <row r="1323" spans="1:3" x14ac:dyDescent="0.35">
      <c r="A1323" s="9">
        <v>41135</v>
      </c>
      <c r="B1323">
        <f t="shared" si="21"/>
        <v>8</v>
      </c>
      <c r="C1323" s="5">
        <v>82.6</v>
      </c>
    </row>
    <row r="1324" spans="1:3" x14ac:dyDescent="0.35">
      <c r="A1324" s="9">
        <v>41136</v>
      </c>
      <c r="B1324">
        <f t="shared" si="21"/>
        <v>8</v>
      </c>
      <c r="C1324" s="5">
        <v>83.7</v>
      </c>
    </row>
    <row r="1325" spans="1:3" x14ac:dyDescent="0.35">
      <c r="A1325" s="9">
        <v>41137</v>
      </c>
      <c r="B1325">
        <f t="shared" si="21"/>
        <v>8</v>
      </c>
      <c r="C1325" s="5">
        <v>83</v>
      </c>
    </row>
    <row r="1326" spans="1:3" x14ac:dyDescent="0.35">
      <c r="A1326" s="9">
        <v>41138</v>
      </c>
      <c r="B1326">
        <f t="shared" si="21"/>
        <v>8</v>
      </c>
      <c r="C1326" s="5">
        <v>80.400000000000006</v>
      </c>
    </row>
    <row r="1327" spans="1:3" x14ac:dyDescent="0.35">
      <c r="A1327" s="9">
        <v>41139</v>
      </c>
      <c r="B1327">
        <f t="shared" si="21"/>
        <v>8</v>
      </c>
      <c r="C1327" s="5">
        <v>79.7</v>
      </c>
    </row>
    <row r="1328" spans="1:3" x14ac:dyDescent="0.35">
      <c r="A1328" s="9">
        <v>41140</v>
      </c>
      <c r="B1328">
        <f t="shared" si="21"/>
        <v>8</v>
      </c>
      <c r="C1328" s="5">
        <v>82.4</v>
      </c>
    </row>
    <row r="1329" spans="1:3" x14ac:dyDescent="0.35">
      <c r="A1329" s="9">
        <v>41141</v>
      </c>
      <c r="B1329">
        <f t="shared" si="21"/>
        <v>8</v>
      </c>
      <c r="C1329" s="5">
        <v>87.1</v>
      </c>
    </row>
    <row r="1330" spans="1:3" x14ac:dyDescent="0.35">
      <c r="A1330" s="9">
        <v>41142</v>
      </c>
      <c r="B1330">
        <f t="shared" si="21"/>
        <v>8</v>
      </c>
      <c r="C1330" s="5">
        <v>87.9</v>
      </c>
    </row>
    <row r="1331" spans="1:3" x14ac:dyDescent="0.35">
      <c r="A1331" s="9">
        <v>41143</v>
      </c>
      <c r="B1331">
        <f t="shared" si="21"/>
        <v>8</v>
      </c>
      <c r="C1331" s="5">
        <v>86.4</v>
      </c>
    </row>
    <row r="1332" spans="1:3" x14ac:dyDescent="0.35">
      <c r="A1332" s="9">
        <v>41144</v>
      </c>
      <c r="B1332">
        <f t="shared" si="21"/>
        <v>8</v>
      </c>
      <c r="C1332" s="5">
        <v>84</v>
      </c>
    </row>
    <row r="1333" spans="1:3" x14ac:dyDescent="0.35">
      <c r="A1333" s="9">
        <v>41145</v>
      </c>
      <c r="B1333">
        <f t="shared" si="21"/>
        <v>8</v>
      </c>
      <c r="C1333" s="5">
        <v>81.7</v>
      </c>
    </row>
    <row r="1334" spans="1:3" x14ac:dyDescent="0.35">
      <c r="A1334" s="9">
        <v>41146</v>
      </c>
      <c r="B1334">
        <f t="shared" si="21"/>
        <v>8</v>
      </c>
      <c r="C1334" s="5">
        <v>79.7</v>
      </c>
    </row>
    <row r="1335" spans="1:3" x14ac:dyDescent="0.35">
      <c r="A1335" s="9">
        <v>41147</v>
      </c>
      <c r="B1335">
        <f t="shared" si="21"/>
        <v>8</v>
      </c>
      <c r="C1335" s="5">
        <v>77.7</v>
      </c>
    </row>
    <row r="1336" spans="1:3" x14ac:dyDescent="0.35">
      <c r="A1336" s="9">
        <v>41148</v>
      </c>
      <c r="B1336">
        <f t="shared" si="21"/>
        <v>8</v>
      </c>
      <c r="C1336" s="5">
        <v>77.099999999999994</v>
      </c>
    </row>
    <row r="1337" spans="1:3" x14ac:dyDescent="0.35">
      <c r="A1337" s="9">
        <v>41149</v>
      </c>
      <c r="B1337">
        <f t="shared" si="21"/>
        <v>8</v>
      </c>
      <c r="C1337" s="5">
        <v>80.599999999999994</v>
      </c>
    </row>
    <row r="1338" spans="1:3" x14ac:dyDescent="0.35">
      <c r="A1338" s="9">
        <v>41150</v>
      </c>
      <c r="B1338">
        <f t="shared" si="21"/>
        <v>8</v>
      </c>
      <c r="C1338" s="5">
        <v>92.8</v>
      </c>
    </row>
    <row r="1339" spans="1:3" x14ac:dyDescent="0.35">
      <c r="A1339" s="9">
        <v>41151</v>
      </c>
      <c r="B1339">
        <f t="shared" si="21"/>
        <v>8</v>
      </c>
      <c r="C1339" s="5">
        <v>112.6</v>
      </c>
    </row>
    <row r="1340" spans="1:3" x14ac:dyDescent="0.35">
      <c r="A1340" s="9">
        <v>41152</v>
      </c>
      <c r="B1340">
        <f t="shared" si="21"/>
        <v>8</v>
      </c>
      <c r="C1340" s="5">
        <v>128.19999999999999</v>
      </c>
    </row>
    <row r="1341" spans="1:3" x14ac:dyDescent="0.35">
      <c r="A1341" s="9">
        <v>41153</v>
      </c>
      <c r="B1341">
        <f t="shared" si="21"/>
        <v>9</v>
      </c>
      <c r="C1341" s="5">
        <v>131.9</v>
      </c>
    </row>
    <row r="1342" spans="1:3" x14ac:dyDescent="0.35">
      <c r="A1342" s="9">
        <v>41154</v>
      </c>
      <c r="B1342">
        <f t="shared" si="21"/>
        <v>9</v>
      </c>
      <c r="C1342" s="5">
        <v>156.9</v>
      </c>
    </row>
    <row r="1343" spans="1:3" x14ac:dyDescent="0.35">
      <c r="A1343" s="9">
        <v>41155</v>
      </c>
      <c r="B1343">
        <f t="shared" si="21"/>
        <v>9</v>
      </c>
      <c r="C1343" s="5">
        <v>150.30000000000001</v>
      </c>
    </row>
    <row r="1344" spans="1:3" x14ac:dyDescent="0.35">
      <c r="A1344" s="9">
        <v>41156</v>
      </c>
      <c r="B1344">
        <f t="shared" si="21"/>
        <v>9</v>
      </c>
      <c r="C1344" s="5">
        <v>139.6</v>
      </c>
    </row>
    <row r="1345" spans="1:3" x14ac:dyDescent="0.35">
      <c r="A1345" s="9">
        <v>41157</v>
      </c>
      <c r="B1345">
        <f t="shared" si="21"/>
        <v>9</v>
      </c>
      <c r="C1345" s="5">
        <v>131.80000000000001</v>
      </c>
    </row>
    <row r="1346" spans="1:3" x14ac:dyDescent="0.35">
      <c r="A1346" s="9">
        <v>41158</v>
      </c>
      <c r="B1346">
        <f t="shared" si="21"/>
        <v>9</v>
      </c>
      <c r="C1346" s="5">
        <v>127.9</v>
      </c>
    </row>
    <row r="1347" spans="1:3" x14ac:dyDescent="0.35">
      <c r="A1347" s="9">
        <v>41159</v>
      </c>
      <c r="B1347">
        <f t="shared" si="21"/>
        <v>9</v>
      </c>
      <c r="C1347" s="5">
        <v>128.30000000000001</v>
      </c>
    </row>
    <row r="1348" spans="1:3" x14ac:dyDescent="0.35">
      <c r="A1348" s="9">
        <v>41160</v>
      </c>
      <c r="B1348">
        <f t="shared" ref="B1348:B1411" si="22">MONTH(A1348)</f>
        <v>9</v>
      </c>
      <c r="C1348" s="5">
        <v>132.30000000000001</v>
      </c>
    </row>
    <row r="1349" spans="1:3" x14ac:dyDescent="0.35">
      <c r="A1349" s="9">
        <v>41161</v>
      </c>
      <c r="B1349">
        <f t="shared" si="22"/>
        <v>9</v>
      </c>
      <c r="C1349" s="5">
        <v>140.6</v>
      </c>
    </row>
    <row r="1350" spans="1:3" x14ac:dyDescent="0.35">
      <c r="A1350" s="9">
        <v>41162</v>
      </c>
      <c r="B1350">
        <f t="shared" si="22"/>
        <v>9</v>
      </c>
      <c r="C1350" s="5">
        <v>147.80000000000001</v>
      </c>
    </row>
    <row r="1351" spans="1:3" x14ac:dyDescent="0.35">
      <c r="A1351" s="9">
        <v>41163</v>
      </c>
      <c r="B1351">
        <f t="shared" si="22"/>
        <v>9</v>
      </c>
      <c r="C1351" s="5">
        <v>149</v>
      </c>
    </row>
    <row r="1352" spans="1:3" x14ac:dyDescent="0.35">
      <c r="A1352" s="9">
        <v>41164</v>
      </c>
      <c r="B1352">
        <f t="shared" si="22"/>
        <v>9</v>
      </c>
      <c r="C1352" s="5">
        <v>148.30000000000001</v>
      </c>
    </row>
    <row r="1353" spans="1:3" x14ac:dyDescent="0.35">
      <c r="A1353" s="9">
        <v>41165</v>
      </c>
      <c r="B1353">
        <f t="shared" si="22"/>
        <v>9</v>
      </c>
      <c r="C1353" s="5">
        <v>146.5</v>
      </c>
    </row>
    <row r="1354" spans="1:3" x14ac:dyDescent="0.35">
      <c r="A1354" s="9">
        <v>41166</v>
      </c>
      <c r="B1354">
        <f t="shared" si="22"/>
        <v>9</v>
      </c>
      <c r="C1354" s="5">
        <v>144.19999999999999</v>
      </c>
    </row>
    <row r="1355" spans="1:3" x14ac:dyDescent="0.35">
      <c r="A1355" s="9">
        <v>41167</v>
      </c>
      <c r="B1355">
        <f t="shared" si="22"/>
        <v>9</v>
      </c>
      <c r="C1355" s="5">
        <v>146.9</v>
      </c>
    </row>
    <row r="1356" spans="1:3" x14ac:dyDescent="0.35">
      <c r="A1356" s="9">
        <v>41168</v>
      </c>
      <c r="B1356">
        <f t="shared" si="22"/>
        <v>9</v>
      </c>
      <c r="C1356" s="5">
        <v>152.4</v>
      </c>
    </row>
    <row r="1357" spans="1:3" x14ac:dyDescent="0.35">
      <c r="A1357" s="9">
        <v>41169</v>
      </c>
      <c r="B1357">
        <f t="shared" si="22"/>
        <v>9</v>
      </c>
      <c r="C1357" s="5">
        <v>156.80000000000001</v>
      </c>
    </row>
    <row r="1358" spans="1:3" x14ac:dyDescent="0.35">
      <c r="A1358" s="9">
        <v>41170</v>
      </c>
      <c r="B1358">
        <f t="shared" si="22"/>
        <v>9</v>
      </c>
      <c r="C1358" s="5">
        <v>161.1</v>
      </c>
    </row>
    <row r="1359" spans="1:3" x14ac:dyDescent="0.35">
      <c r="A1359" s="9">
        <v>41171</v>
      </c>
      <c r="B1359">
        <f t="shared" si="22"/>
        <v>9</v>
      </c>
      <c r="C1359" s="5">
        <v>162.6</v>
      </c>
    </row>
    <row r="1360" spans="1:3" x14ac:dyDescent="0.35">
      <c r="A1360" s="9">
        <v>41172</v>
      </c>
      <c r="B1360">
        <f t="shared" si="22"/>
        <v>9</v>
      </c>
      <c r="C1360" s="5">
        <v>158.30000000000001</v>
      </c>
    </row>
    <row r="1361" spans="1:3" x14ac:dyDescent="0.35">
      <c r="A1361" s="9">
        <v>41173</v>
      </c>
      <c r="B1361">
        <f t="shared" si="22"/>
        <v>9</v>
      </c>
      <c r="C1361" s="5">
        <v>155.19999999999999</v>
      </c>
    </row>
    <row r="1362" spans="1:3" x14ac:dyDescent="0.35">
      <c r="A1362" s="9">
        <v>41174</v>
      </c>
      <c r="B1362">
        <f t="shared" si="22"/>
        <v>9</v>
      </c>
      <c r="C1362" s="5">
        <v>158.5</v>
      </c>
    </row>
    <row r="1363" spans="1:3" x14ac:dyDescent="0.35">
      <c r="A1363" s="9">
        <v>41175</v>
      </c>
      <c r="B1363">
        <f t="shared" si="22"/>
        <v>9</v>
      </c>
      <c r="C1363" s="5">
        <v>163.1</v>
      </c>
    </row>
    <row r="1364" spans="1:3" x14ac:dyDescent="0.35">
      <c r="A1364" s="9">
        <v>41176</v>
      </c>
      <c r="B1364">
        <f t="shared" si="22"/>
        <v>9</v>
      </c>
      <c r="C1364" s="5">
        <v>160.4</v>
      </c>
    </row>
    <row r="1365" spans="1:3" x14ac:dyDescent="0.35">
      <c r="A1365" s="9">
        <v>41177</v>
      </c>
      <c r="B1365">
        <f t="shared" si="22"/>
        <v>9</v>
      </c>
      <c r="C1365" s="5">
        <v>152.5</v>
      </c>
    </row>
    <row r="1366" spans="1:3" x14ac:dyDescent="0.35">
      <c r="A1366" s="9">
        <v>41178</v>
      </c>
      <c r="B1366">
        <f t="shared" si="22"/>
        <v>9</v>
      </c>
      <c r="C1366" s="5">
        <v>147.1</v>
      </c>
    </row>
    <row r="1367" spans="1:3" x14ac:dyDescent="0.35">
      <c r="A1367" s="9">
        <v>41179</v>
      </c>
      <c r="B1367">
        <f t="shared" si="22"/>
        <v>9</v>
      </c>
      <c r="C1367" s="5">
        <v>148.4</v>
      </c>
    </row>
    <row r="1368" spans="1:3" x14ac:dyDescent="0.35">
      <c r="A1368" s="9">
        <v>41180</v>
      </c>
      <c r="B1368">
        <f t="shared" si="22"/>
        <v>9</v>
      </c>
      <c r="C1368" s="5">
        <v>151.69999999999999</v>
      </c>
    </row>
    <row r="1369" spans="1:3" x14ac:dyDescent="0.35">
      <c r="A1369" s="9">
        <v>41181</v>
      </c>
      <c r="B1369">
        <f t="shared" si="22"/>
        <v>9</v>
      </c>
      <c r="C1369" s="5">
        <v>153.80000000000001</v>
      </c>
    </row>
    <row r="1370" spans="1:3" x14ac:dyDescent="0.35">
      <c r="A1370" s="9">
        <v>41182</v>
      </c>
      <c r="B1370">
        <f t="shared" si="22"/>
        <v>9</v>
      </c>
      <c r="C1370" s="5">
        <v>155.30000000000001</v>
      </c>
    </row>
    <row r="1371" spans="1:3" x14ac:dyDescent="0.35">
      <c r="A1371" s="9">
        <v>41183</v>
      </c>
      <c r="B1371">
        <f t="shared" si="22"/>
        <v>10</v>
      </c>
      <c r="C1371" s="5">
        <v>160.5</v>
      </c>
    </row>
    <row r="1372" spans="1:3" x14ac:dyDescent="0.35">
      <c r="A1372" s="9">
        <v>41184</v>
      </c>
      <c r="B1372">
        <f t="shared" si="22"/>
        <v>10</v>
      </c>
      <c r="C1372" s="5">
        <v>187.5</v>
      </c>
    </row>
    <row r="1373" spans="1:3" x14ac:dyDescent="0.35">
      <c r="A1373" s="9">
        <v>41185</v>
      </c>
      <c r="B1373">
        <f t="shared" si="22"/>
        <v>10</v>
      </c>
      <c r="C1373" s="5">
        <v>190.9</v>
      </c>
    </row>
    <row r="1374" spans="1:3" x14ac:dyDescent="0.35">
      <c r="A1374" s="9">
        <v>41186</v>
      </c>
      <c r="B1374">
        <f t="shared" si="22"/>
        <v>10</v>
      </c>
      <c r="C1374" s="5">
        <v>185.7</v>
      </c>
    </row>
    <row r="1375" spans="1:3" x14ac:dyDescent="0.35">
      <c r="A1375" s="9">
        <v>41187</v>
      </c>
      <c r="B1375">
        <f t="shared" si="22"/>
        <v>10</v>
      </c>
      <c r="C1375" s="5">
        <v>181.5</v>
      </c>
    </row>
    <row r="1376" spans="1:3" x14ac:dyDescent="0.35">
      <c r="A1376" s="9">
        <v>41188</v>
      </c>
      <c r="B1376">
        <f t="shared" si="22"/>
        <v>10</v>
      </c>
      <c r="C1376" s="5">
        <v>181.2</v>
      </c>
    </row>
    <row r="1377" spans="1:3" x14ac:dyDescent="0.35">
      <c r="A1377" s="9">
        <v>41189</v>
      </c>
      <c r="B1377">
        <f t="shared" si="22"/>
        <v>10</v>
      </c>
      <c r="C1377" s="5">
        <v>188.3</v>
      </c>
    </row>
    <row r="1378" spans="1:3" x14ac:dyDescent="0.35">
      <c r="A1378" s="9">
        <v>41190</v>
      </c>
      <c r="B1378">
        <f t="shared" si="22"/>
        <v>10</v>
      </c>
      <c r="C1378" s="5">
        <v>204.6</v>
      </c>
    </row>
    <row r="1379" spans="1:3" x14ac:dyDescent="0.35">
      <c r="A1379" s="9">
        <v>41191</v>
      </c>
      <c r="B1379">
        <f t="shared" si="22"/>
        <v>10</v>
      </c>
      <c r="C1379" s="5">
        <v>224.5</v>
      </c>
    </row>
    <row r="1380" spans="1:3" x14ac:dyDescent="0.35">
      <c r="A1380" s="9">
        <v>41192</v>
      </c>
      <c r="B1380">
        <f t="shared" si="22"/>
        <v>10</v>
      </c>
      <c r="C1380" s="5">
        <v>235.7</v>
      </c>
    </row>
    <row r="1381" spans="1:3" x14ac:dyDescent="0.35">
      <c r="A1381" s="9">
        <v>41193</v>
      </c>
      <c r="B1381">
        <f t="shared" si="22"/>
        <v>10</v>
      </c>
      <c r="C1381" s="5">
        <v>234</v>
      </c>
    </row>
    <row r="1382" spans="1:3" x14ac:dyDescent="0.35">
      <c r="A1382" s="9">
        <v>41194</v>
      </c>
      <c r="B1382">
        <f t="shared" si="22"/>
        <v>10</v>
      </c>
      <c r="C1382" s="5">
        <v>227.4</v>
      </c>
    </row>
    <row r="1383" spans="1:3" x14ac:dyDescent="0.35">
      <c r="A1383" s="9">
        <v>41195</v>
      </c>
      <c r="B1383">
        <f t="shared" si="22"/>
        <v>10</v>
      </c>
      <c r="C1383" s="5">
        <v>219.3</v>
      </c>
    </row>
    <row r="1384" spans="1:3" x14ac:dyDescent="0.35">
      <c r="A1384" s="9">
        <v>41196</v>
      </c>
      <c r="B1384">
        <f t="shared" si="22"/>
        <v>10</v>
      </c>
      <c r="C1384" s="5">
        <v>215.4</v>
      </c>
    </row>
    <row r="1385" spans="1:3" x14ac:dyDescent="0.35">
      <c r="A1385" s="9">
        <v>41197</v>
      </c>
      <c r="B1385">
        <f t="shared" si="22"/>
        <v>10</v>
      </c>
      <c r="C1385" s="5">
        <v>212.6</v>
      </c>
    </row>
    <row r="1386" spans="1:3" x14ac:dyDescent="0.35">
      <c r="A1386" s="9">
        <v>41198</v>
      </c>
      <c r="B1386">
        <f t="shared" si="22"/>
        <v>10</v>
      </c>
      <c r="C1386" s="5">
        <v>199.1</v>
      </c>
    </row>
    <row r="1387" spans="1:3" x14ac:dyDescent="0.35">
      <c r="A1387" s="9">
        <v>41199</v>
      </c>
      <c r="B1387">
        <f t="shared" si="22"/>
        <v>10</v>
      </c>
      <c r="C1387" s="5">
        <v>187.3</v>
      </c>
    </row>
    <row r="1388" spans="1:3" x14ac:dyDescent="0.35">
      <c r="A1388" s="9">
        <v>41200</v>
      </c>
      <c r="B1388">
        <f t="shared" si="22"/>
        <v>10</v>
      </c>
      <c r="C1388" s="5">
        <v>186</v>
      </c>
    </row>
    <row r="1389" spans="1:3" x14ac:dyDescent="0.35">
      <c r="A1389" s="9">
        <v>41201</v>
      </c>
      <c r="B1389">
        <f t="shared" si="22"/>
        <v>10</v>
      </c>
      <c r="C1389" s="5">
        <v>198.8</v>
      </c>
    </row>
    <row r="1390" spans="1:3" x14ac:dyDescent="0.35">
      <c r="A1390" s="9">
        <v>41202</v>
      </c>
      <c r="B1390">
        <f t="shared" si="22"/>
        <v>10</v>
      </c>
      <c r="C1390" s="5">
        <v>217</v>
      </c>
    </row>
    <row r="1391" spans="1:3" x14ac:dyDescent="0.35">
      <c r="A1391" s="9">
        <v>41203</v>
      </c>
      <c r="B1391">
        <f t="shared" si="22"/>
        <v>10</v>
      </c>
      <c r="C1391" s="5">
        <v>232.7</v>
      </c>
    </row>
    <row r="1392" spans="1:3" x14ac:dyDescent="0.35">
      <c r="A1392" s="9">
        <v>41204</v>
      </c>
      <c r="B1392">
        <f t="shared" si="22"/>
        <v>10</v>
      </c>
      <c r="C1392" s="5">
        <v>243</v>
      </c>
    </row>
    <row r="1393" spans="1:3" x14ac:dyDescent="0.35">
      <c r="A1393" s="9">
        <v>41205</v>
      </c>
      <c r="B1393">
        <f t="shared" si="22"/>
        <v>10</v>
      </c>
      <c r="C1393" s="5">
        <v>245.6</v>
      </c>
    </row>
    <row r="1394" spans="1:3" x14ac:dyDescent="0.35">
      <c r="A1394" s="9">
        <v>41206</v>
      </c>
      <c r="B1394">
        <f t="shared" si="22"/>
        <v>10</v>
      </c>
      <c r="C1394" s="5">
        <v>236.5</v>
      </c>
    </row>
    <row r="1395" spans="1:3" x14ac:dyDescent="0.35">
      <c r="A1395" s="9">
        <v>41207</v>
      </c>
      <c r="B1395">
        <f t="shared" si="22"/>
        <v>10</v>
      </c>
      <c r="C1395" s="5">
        <v>225.3</v>
      </c>
    </row>
    <row r="1396" spans="1:3" x14ac:dyDescent="0.35">
      <c r="A1396" s="9">
        <v>41208</v>
      </c>
      <c r="B1396">
        <f t="shared" si="22"/>
        <v>10</v>
      </c>
      <c r="C1396" s="5">
        <v>223.3</v>
      </c>
    </row>
    <row r="1397" spans="1:3" x14ac:dyDescent="0.35">
      <c r="A1397" s="9">
        <v>41209</v>
      </c>
      <c r="B1397">
        <f t="shared" si="22"/>
        <v>10</v>
      </c>
      <c r="C1397" s="5">
        <v>226.5</v>
      </c>
    </row>
    <row r="1398" spans="1:3" x14ac:dyDescent="0.35">
      <c r="A1398" s="9">
        <v>41210</v>
      </c>
      <c r="B1398">
        <f t="shared" si="22"/>
        <v>10</v>
      </c>
      <c r="C1398" s="5">
        <v>225.7</v>
      </c>
    </row>
    <row r="1399" spans="1:3" x14ac:dyDescent="0.35">
      <c r="A1399" s="9">
        <v>41211</v>
      </c>
      <c r="B1399">
        <f t="shared" si="22"/>
        <v>10</v>
      </c>
      <c r="C1399" s="5">
        <v>224.6</v>
      </c>
    </row>
    <row r="1400" spans="1:3" x14ac:dyDescent="0.35">
      <c r="A1400" s="9">
        <v>41212</v>
      </c>
      <c r="B1400">
        <f t="shared" si="22"/>
        <v>10</v>
      </c>
      <c r="C1400" s="5">
        <v>228</v>
      </c>
    </row>
    <row r="1401" spans="1:3" x14ac:dyDescent="0.35">
      <c r="A1401" s="9">
        <v>41213</v>
      </c>
      <c r="B1401">
        <f t="shared" si="22"/>
        <v>10</v>
      </c>
      <c r="C1401" s="5">
        <v>229.3</v>
      </c>
    </row>
    <row r="1402" spans="1:3" x14ac:dyDescent="0.35">
      <c r="A1402" s="9">
        <v>41214</v>
      </c>
      <c r="B1402">
        <f t="shared" si="22"/>
        <v>11</v>
      </c>
      <c r="C1402" s="5">
        <v>225.7</v>
      </c>
    </row>
    <row r="1403" spans="1:3" x14ac:dyDescent="0.35">
      <c r="A1403" s="9">
        <v>41215</v>
      </c>
      <c r="B1403">
        <f t="shared" si="22"/>
        <v>11</v>
      </c>
      <c r="C1403" s="5">
        <v>222.9</v>
      </c>
    </row>
    <row r="1404" spans="1:3" x14ac:dyDescent="0.35">
      <c r="A1404" s="9">
        <v>41216</v>
      </c>
      <c r="B1404">
        <f t="shared" si="22"/>
        <v>11</v>
      </c>
      <c r="C1404" s="5">
        <v>210.2</v>
      </c>
    </row>
    <row r="1405" spans="1:3" x14ac:dyDescent="0.35">
      <c r="A1405" s="9">
        <v>41217</v>
      </c>
      <c r="B1405">
        <f t="shared" si="22"/>
        <v>11</v>
      </c>
      <c r="C1405" s="5">
        <v>214.2</v>
      </c>
    </row>
    <row r="1406" spans="1:3" x14ac:dyDescent="0.35">
      <c r="A1406" s="9">
        <v>41218</v>
      </c>
      <c r="B1406">
        <f t="shared" si="22"/>
        <v>11</v>
      </c>
      <c r="C1406" s="5">
        <v>230.8</v>
      </c>
    </row>
    <row r="1407" spans="1:3" x14ac:dyDescent="0.35">
      <c r="A1407" s="9">
        <v>41219</v>
      </c>
      <c r="B1407">
        <f t="shared" si="22"/>
        <v>11</v>
      </c>
      <c r="C1407" s="5">
        <v>241.2</v>
      </c>
    </row>
    <row r="1408" spans="1:3" x14ac:dyDescent="0.35">
      <c r="A1408" s="9">
        <v>41220</v>
      </c>
      <c r="B1408">
        <f t="shared" si="22"/>
        <v>11</v>
      </c>
      <c r="C1408" s="5">
        <v>241.1</v>
      </c>
    </row>
    <row r="1409" spans="1:3" x14ac:dyDescent="0.35">
      <c r="A1409" s="9">
        <v>41221</v>
      </c>
      <c r="B1409">
        <f t="shared" si="22"/>
        <v>11</v>
      </c>
      <c r="C1409" s="5">
        <v>234.9</v>
      </c>
    </row>
    <row r="1410" spans="1:3" x14ac:dyDescent="0.35">
      <c r="A1410" s="9">
        <v>41222</v>
      </c>
      <c r="B1410">
        <f t="shared" si="22"/>
        <v>11</v>
      </c>
      <c r="C1410" s="5">
        <v>235.6</v>
      </c>
    </row>
    <row r="1411" spans="1:3" x14ac:dyDescent="0.35">
      <c r="A1411" s="9">
        <v>41223</v>
      </c>
      <c r="B1411">
        <f t="shared" si="22"/>
        <v>11</v>
      </c>
      <c r="C1411" s="5">
        <v>244.4</v>
      </c>
    </row>
    <row r="1412" spans="1:3" x14ac:dyDescent="0.35">
      <c r="A1412" s="9">
        <v>41224</v>
      </c>
      <c r="B1412">
        <f t="shared" ref="B1412:B1475" si="23">MONTH(A1412)</f>
        <v>11</v>
      </c>
      <c r="C1412" s="5">
        <v>251.9</v>
      </c>
    </row>
    <row r="1413" spans="1:3" x14ac:dyDescent="0.35">
      <c r="A1413" s="9">
        <v>41225</v>
      </c>
      <c r="B1413">
        <f t="shared" si="23"/>
        <v>11</v>
      </c>
      <c r="C1413" s="5">
        <v>247.3</v>
      </c>
    </row>
    <row r="1414" spans="1:3" x14ac:dyDescent="0.35">
      <c r="A1414" s="9">
        <v>41226</v>
      </c>
      <c r="B1414">
        <f t="shared" si="23"/>
        <v>11</v>
      </c>
      <c r="C1414" s="5">
        <v>240</v>
      </c>
    </row>
    <row r="1415" spans="1:3" x14ac:dyDescent="0.35">
      <c r="A1415" s="9">
        <v>41227</v>
      </c>
      <c r="B1415">
        <f t="shared" si="23"/>
        <v>11</v>
      </c>
      <c r="C1415" s="5">
        <v>231.5</v>
      </c>
    </row>
    <row r="1416" spans="1:3" x14ac:dyDescent="0.35">
      <c r="A1416" s="9">
        <v>41228</v>
      </c>
      <c r="B1416">
        <f t="shared" si="23"/>
        <v>11</v>
      </c>
      <c r="C1416" s="5">
        <v>230.1</v>
      </c>
    </row>
    <row r="1417" spans="1:3" x14ac:dyDescent="0.35">
      <c r="A1417" s="9">
        <v>41229</v>
      </c>
      <c r="B1417">
        <f t="shared" si="23"/>
        <v>11</v>
      </c>
      <c r="C1417" s="5">
        <v>229.1</v>
      </c>
    </row>
    <row r="1418" spans="1:3" x14ac:dyDescent="0.35">
      <c r="A1418" s="9">
        <v>41230</v>
      </c>
      <c r="B1418">
        <f t="shared" si="23"/>
        <v>11</v>
      </c>
      <c r="C1418" s="5">
        <v>225.4</v>
      </c>
    </row>
    <row r="1419" spans="1:3" x14ac:dyDescent="0.35">
      <c r="A1419" s="9">
        <v>41231</v>
      </c>
      <c r="B1419">
        <f t="shared" si="23"/>
        <v>11</v>
      </c>
      <c r="C1419" s="5">
        <v>218.1</v>
      </c>
    </row>
    <row r="1420" spans="1:3" x14ac:dyDescent="0.35">
      <c r="A1420" s="9">
        <v>41232</v>
      </c>
      <c r="B1420">
        <f t="shared" si="23"/>
        <v>11</v>
      </c>
      <c r="C1420" s="5">
        <v>214.5</v>
      </c>
    </row>
    <row r="1421" spans="1:3" x14ac:dyDescent="0.35">
      <c r="A1421" s="9">
        <v>41233</v>
      </c>
      <c r="B1421">
        <f t="shared" si="23"/>
        <v>11</v>
      </c>
      <c r="C1421" s="5">
        <v>220.1</v>
      </c>
    </row>
    <row r="1422" spans="1:3" x14ac:dyDescent="0.35">
      <c r="A1422" s="9">
        <v>41234</v>
      </c>
      <c r="B1422">
        <f t="shared" si="23"/>
        <v>11</v>
      </c>
      <c r="C1422" s="5">
        <v>230.5</v>
      </c>
    </row>
    <row r="1423" spans="1:3" x14ac:dyDescent="0.35">
      <c r="A1423" s="9">
        <v>41235</v>
      </c>
      <c r="B1423">
        <f t="shared" si="23"/>
        <v>11</v>
      </c>
      <c r="C1423" s="5">
        <v>239.9</v>
      </c>
    </row>
    <row r="1424" spans="1:3" x14ac:dyDescent="0.35">
      <c r="A1424" s="9">
        <v>41236</v>
      </c>
      <c r="B1424">
        <f t="shared" si="23"/>
        <v>11</v>
      </c>
      <c r="C1424" s="5">
        <v>242.6</v>
      </c>
    </row>
    <row r="1425" spans="1:3" x14ac:dyDescent="0.35">
      <c r="A1425" s="9">
        <v>41237</v>
      </c>
      <c r="B1425">
        <f t="shared" si="23"/>
        <v>11</v>
      </c>
      <c r="C1425" s="5">
        <v>235.9</v>
      </c>
    </row>
    <row r="1426" spans="1:3" x14ac:dyDescent="0.35">
      <c r="A1426" s="9">
        <v>41238</v>
      </c>
      <c r="B1426">
        <f t="shared" si="23"/>
        <v>11</v>
      </c>
      <c r="C1426" s="5">
        <v>223.2</v>
      </c>
    </row>
    <row r="1427" spans="1:3" x14ac:dyDescent="0.35">
      <c r="A1427" s="9">
        <v>41239</v>
      </c>
      <c r="B1427">
        <f t="shared" si="23"/>
        <v>11</v>
      </c>
      <c r="C1427" s="5">
        <v>211.4</v>
      </c>
    </row>
    <row r="1428" spans="1:3" x14ac:dyDescent="0.35">
      <c r="A1428" s="9">
        <v>41240</v>
      </c>
      <c r="B1428">
        <f t="shared" si="23"/>
        <v>11</v>
      </c>
      <c r="C1428" s="5">
        <v>204.2</v>
      </c>
    </row>
    <row r="1429" spans="1:3" x14ac:dyDescent="0.35">
      <c r="A1429" s="9">
        <v>41241</v>
      </c>
      <c r="B1429">
        <f t="shared" si="23"/>
        <v>11</v>
      </c>
      <c r="C1429" s="5">
        <v>208.3</v>
      </c>
    </row>
    <row r="1430" spans="1:3" x14ac:dyDescent="0.35">
      <c r="A1430" s="9">
        <v>41242</v>
      </c>
      <c r="B1430">
        <f t="shared" si="23"/>
        <v>11</v>
      </c>
      <c r="C1430" s="5">
        <v>217.1</v>
      </c>
    </row>
    <row r="1431" spans="1:3" x14ac:dyDescent="0.35">
      <c r="A1431" s="9">
        <v>41243</v>
      </c>
      <c r="B1431">
        <f t="shared" si="23"/>
        <v>11</v>
      </c>
      <c r="C1431" s="5">
        <v>220.7</v>
      </c>
    </row>
    <row r="1432" spans="1:3" x14ac:dyDescent="0.35">
      <c r="A1432" s="9">
        <v>41244</v>
      </c>
      <c r="B1432">
        <f t="shared" si="23"/>
        <v>12</v>
      </c>
      <c r="C1432" s="5">
        <v>221.1</v>
      </c>
    </row>
    <row r="1433" spans="1:3" x14ac:dyDescent="0.35">
      <c r="A1433" s="9">
        <v>41245</v>
      </c>
      <c r="B1433">
        <f t="shared" si="23"/>
        <v>12</v>
      </c>
      <c r="C1433" s="5">
        <v>231.8</v>
      </c>
    </row>
    <row r="1434" spans="1:3" x14ac:dyDescent="0.35">
      <c r="A1434" s="9">
        <v>41246</v>
      </c>
      <c r="B1434">
        <f t="shared" si="23"/>
        <v>12</v>
      </c>
      <c r="C1434" s="5">
        <v>243.7</v>
      </c>
    </row>
    <row r="1435" spans="1:3" x14ac:dyDescent="0.35">
      <c r="A1435" s="9">
        <v>41247</v>
      </c>
      <c r="B1435">
        <f t="shared" si="23"/>
        <v>12</v>
      </c>
      <c r="C1435" s="5">
        <v>261.60000000000002</v>
      </c>
    </row>
    <row r="1436" spans="1:3" x14ac:dyDescent="0.35">
      <c r="A1436" s="9">
        <v>41248</v>
      </c>
      <c r="B1436">
        <f t="shared" si="23"/>
        <v>12</v>
      </c>
      <c r="C1436" s="5">
        <v>275.60000000000002</v>
      </c>
    </row>
    <row r="1437" spans="1:3" x14ac:dyDescent="0.35">
      <c r="A1437" s="9">
        <v>41249</v>
      </c>
      <c r="B1437">
        <f t="shared" si="23"/>
        <v>12</v>
      </c>
      <c r="C1437" s="5">
        <v>279.10000000000002</v>
      </c>
    </row>
    <row r="1438" spans="1:3" x14ac:dyDescent="0.35">
      <c r="A1438" s="9">
        <v>41250</v>
      </c>
      <c r="B1438">
        <f t="shared" si="23"/>
        <v>12</v>
      </c>
      <c r="C1438" s="5">
        <v>267.5</v>
      </c>
    </row>
    <row r="1439" spans="1:3" x14ac:dyDescent="0.35">
      <c r="A1439" s="9">
        <v>41251</v>
      </c>
      <c r="B1439">
        <f t="shared" si="23"/>
        <v>12</v>
      </c>
      <c r="C1439" s="5">
        <v>252.5</v>
      </c>
    </row>
    <row r="1440" spans="1:3" x14ac:dyDescent="0.35">
      <c r="A1440" s="9">
        <v>41252</v>
      </c>
      <c r="B1440">
        <f t="shared" si="23"/>
        <v>12</v>
      </c>
      <c r="C1440" s="5">
        <v>242.8</v>
      </c>
    </row>
    <row r="1441" spans="1:3" x14ac:dyDescent="0.35">
      <c r="A1441" s="9">
        <v>41253</v>
      </c>
      <c r="B1441">
        <f t="shared" si="23"/>
        <v>12</v>
      </c>
      <c r="C1441" s="5">
        <v>236.7</v>
      </c>
    </row>
    <row r="1442" spans="1:3" x14ac:dyDescent="0.35">
      <c r="A1442" s="9">
        <v>41254</v>
      </c>
      <c r="B1442">
        <f t="shared" si="23"/>
        <v>12</v>
      </c>
      <c r="C1442" s="5">
        <v>231.7</v>
      </c>
    </row>
    <row r="1443" spans="1:3" x14ac:dyDescent="0.35">
      <c r="A1443" s="9">
        <v>41255</v>
      </c>
      <c r="B1443">
        <f t="shared" si="23"/>
        <v>12</v>
      </c>
      <c r="C1443" s="5">
        <v>219.6</v>
      </c>
    </row>
    <row r="1444" spans="1:3" x14ac:dyDescent="0.35">
      <c r="A1444" s="9">
        <v>41256</v>
      </c>
      <c r="B1444">
        <f t="shared" si="23"/>
        <v>12</v>
      </c>
      <c r="C1444" s="5">
        <v>207.6</v>
      </c>
    </row>
    <row r="1445" spans="1:3" x14ac:dyDescent="0.35">
      <c r="A1445" s="9">
        <v>41257</v>
      </c>
      <c r="B1445">
        <f t="shared" si="23"/>
        <v>12</v>
      </c>
      <c r="C1445" s="5">
        <v>204.8</v>
      </c>
    </row>
    <row r="1446" spans="1:3" x14ac:dyDescent="0.35">
      <c r="A1446" s="9">
        <v>41258</v>
      </c>
      <c r="B1446">
        <f t="shared" si="23"/>
        <v>12</v>
      </c>
      <c r="C1446" s="5">
        <v>211.7</v>
      </c>
    </row>
    <row r="1447" spans="1:3" x14ac:dyDescent="0.35">
      <c r="A1447" s="9">
        <v>41259</v>
      </c>
      <c r="B1447">
        <f t="shared" si="23"/>
        <v>12</v>
      </c>
      <c r="C1447" s="5">
        <v>220.7</v>
      </c>
    </row>
    <row r="1448" spans="1:3" x14ac:dyDescent="0.35">
      <c r="A1448" s="9">
        <v>41260</v>
      </c>
      <c r="B1448">
        <f t="shared" si="23"/>
        <v>12</v>
      </c>
      <c r="C1448" s="5">
        <v>218.5</v>
      </c>
    </row>
    <row r="1449" spans="1:3" x14ac:dyDescent="0.35">
      <c r="A1449" s="9">
        <v>41261</v>
      </c>
      <c r="B1449">
        <f t="shared" si="23"/>
        <v>12</v>
      </c>
      <c r="C1449" s="5">
        <v>216</v>
      </c>
    </row>
    <row r="1450" spans="1:3" x14ac:dyDescent="0.35">
      <c r="A1450" s="9">
        <v>41262</v>
      </c>
      <c r="B1450">
        <f t="shared" si="23"/>
        <v>12</v>
      </c>
      <c r="C1450" s="5">
        <v>225.4</v>
      </c>
    </row>
    <row r="1451" spans="1:3" x14ac:dyDescent="0.35">
      <c r="A1451" s="9">
        <v>41263</v>
      </c>
      <c r="B1451">
        <f t="shared" si="23"/>
        <v>12</v>
      </c>
      <c r="C1451" s="5">
        <v>246.6</v>
      </c>
    </row>
    <row r="1452" spans="1:3" x14ac:dyDescent="0.35">
      <c r="A1452" s="9">
        <v>41264</v>
      </c>
      <c r="B1452">
        <f t="shared" si="23"/>
        <v>12</v>
      </c>
      <c r="C1452" s="5">
        <v>265.5</v>
      </c>
    </row>
    <row r="1453" spans="1:3" x14ac:dyDescent="0.35">
      <c r="A1453" s="9">
        <v>41265</v>
      </c>
      <c r="B1453">
        <f t="shared" si="23"/>
        <v>12</v>
      </c>
      <c r="C1453" s="5">
        <v>266.2</v>
      </c>
    </row>
    <row r="1454" spans="1:3" x14ac:dyDescent="0.35">
      <c r="A1454" s="9">
        <v>41266</v>
      </c>
      <c r="B1454">
        <f t="shared" si="23"/>
        <v>12</v>
      </c>
      <c r="C1454" s="5">
        <v>249</v>
      </c>
    </row>
    <row r="1455" spans="1:3" x14ac:dyDescent="0.35">
      <c r="A1455" s="9">
        <v>41267</v>
      </c>
      <c r="B1455">
        <f t="shared" si="23"/>
        <v>12</v>
      </c>
      <c r="C1455" s="5">
        <v>231.8</v>
      </c>
    </row>
    <row r="1456" spans="1:3" x14ac:dyDescent="0.35">
      <c r="A1456" s="9">
        <v>41268</v>
      </c>
      <c r="B1456">
        <f t="shared" si="23"/>
        <v>12</v>
      </c>
      <c r="C1456" s="5">
        <v>223.2</v>
      </c>
    </row>
    <row r="1457" spans="1:3" x14ac:dyDescent="0.35">
      <c r="A1457" s="9">
        <v>41269</v>
      </c>
      <c r="B1457">
        <f t="shared" si="23"/>
        <v>12</v>
      </c>
      <c r="C1457" s="5">
        <v>222.2</v>
      </c>
    </row>
    <row r="1458" spans="1:3" x14ac:dyDescent="0.35">
      <c r="A1458" s="9">
        <v>41270</v>
      </c>
      <c r="B1458">
        <f t="shared" si="23"/>
        <v>12</v>
      </c>
      <c r="C1458" s="5">
        <v>223</v>
      </c>
    </row>
    <row r="1459" spans="1:3" x14ac:dyDescent="0.35">
      <c r="A1459" s="9">
        <v>41271</v>
      </c>
      <c r="B1459">
        <f t="shared" si="23"/>
        <v>12</v>
      </c>
      <c r="C1459" s="5">
        <v>229.1</v>
      </c>
    </row>
    <row r="1460" spans="1:3" x14ac:dyDescent="0.35">
      <c r="A1460" s="9">
        <v>41272</v>
      </c>
      <c r="B1460">
        <f t="shared" si="23"/>
        <v>12</v>
      </c>
      <c r="C1460" s="5">
        <v>238</v>
      </c>
    </row>
    <row r="1461" spans="1:3" x14ac:dyDescent="0.35">
      <c r="A1461" s="9">
        <v>41273</v>
      </c>
      <c r="B1461">
        <f t="shared" si="23"/>
        <v>12</v>
      </c>
      <c r="C1461" s="5">
        <v>251.9</v>
      </c>
    </row>
    <row r="1462" spans="1:3" x14ac:dyDescent="0.35">
      <c r="A1462" s="9">
        <v>41274</v>
      </c>
      <c r="B1462">
        <f t="shared" si="23"/>
        <v>12</v>
      </c>
      <c r="C1462" s="5">
        <v>264.39999999999998</v>
      </c>
    </row>
    <row r="1463" spans="1:3" x14ac:dyDescent="0.35">
      <c r="A1463" s="9">
        <v>41275</v>
      </c>
      <c r="B1463">
        <f t="shared" si="23"/>
        <v>1</v>
      </c>
      <c r="C1463" s="5">
        <v>268.39999999999998</v>
      </c>
    </row>
    <row r="1464" spans="1:3" x14ac:dyDescent="0.35">
      <c r="A1464" s="9">
        <v>41276</v>
      </c>
      <c r="B1464">
        <f t="shared" si="23"/>
        <v>1</v>
      </c>
      <c r="C1464" s="5">
        <v>257.7</v>
      </c>
    </row>
    <row r="1465" spans="1:3" x14ac:dyDescent="0.35">
      <c r="A1465" s="9">
        <v>41277</v>
      </c>
      <c r="B1465">
        <f t="shared" si="23"/>
        <v>1</v>
      </c>
      <c r="C1465" s="5">
        <v>248.1</v>
      </c>
    </row>
    <row r="1466" spans="1:3" x14ac:dyDescent="0.35">
      <c r="A1466" s="9">
        <v>41278</v>
      </c>
      <c r="B1466">
        <f t="shared" si="23"/>
        <v>1</v>
      </c>
      <c r="C1466" s="5">
        <v>238.5</v>
      </c>
    </row>
    <row r="1467" spans="1:3" x14ac:dyDescent="0.35">
      <c r="A1467" s="9">
        <v>41279</v>
      </c>
      <c r="B1467">
        <f t="shared" si="23"/>
        <v>1</v>
      </c>
      <c r="C1467" s="5">
        <v>232.1</v>
      </c>
    </row>
    <row r="1468" spans="1:3" x14ac:dyDescent="0.35">
      <c r="A1468" s="9">
        <v>41280</v>
      </c>
      <c r="B1468">
        <f t="shared" si="23"/>
        <v>1</v>
      </c>
      <c r="C1468" s="5">
        <v>218.6</v>
      </c>
    </row>
    <row r="1469" spans="1:3" x14ac:dyDescent="0.35">
      <c r="A1469" s="9">
        <v>41281</v>
      </c>
      <c r="B1469">
        <f t="shared" si="23"/>
        <v>1</v>
      </c>
      <c r="C1469" s="5">
        <v>199.7</v>
      </c>
    </row>
    <row r="1470" spans="1:3" x14ac:dyDescent="0.35">
      <c r="A1470" s="9">
        <v>41282</v>
      </c>
      <c r="B1470">
        <f t="shared" si="23"/>
        <v>1</v>
      </c>
      <c r="C1470" s="5">
        <v>182.7</v>
      </c>
    </row>
    <row r="1471" spans="1:3" x14ac:dyDescent="0.35">
      <c r="A1471" s="9">
        <v>41283</v>
      </c>
      <c r="B1471">
        <f t="shared" si="23"/>
        <v>1</v>
      </c>
      <c r="C1471" s="5">
        <v>174.5</v>
      </c>
    </row>
    <row r="1472" spans="1:3" x14ac:dyDescent="0.35">
      <c r="A1472" s="9">
        <v>41284</v>
      </c>
      <c r="B1472">
        <f t="shared" si="23"/>
        <v>1</v>
      </c>
      <c r="C1472" s="5">
        <v>178.6</v>
      </c>
    </row>
    <row r="1473" spans="1:3" x14ac:dyDescent="0.35">
      <c r="A1473" s="9">
        <v>41285</v>
      </c>
      <c r="B1473">
        <f t="shared" si="23"/>
        <v>1</v>
      </c>
      <c r="C1473" s="5">
        <v>189.9</v>
      </c>
    </row>
    <row r="1474" spans="1:3" x14ac:dyDescent="0.35">
      <c r="A1474" s="9">
        <v>41286</v>
      </c>
      <c r="B1474">
        <f t="shared" si="23"/>
        <v>1</v>
      </c>
      <c r="C1474" s="5">
        <v>197.9</v>
      </c>
    </row>
    <row r="1475" spans="1:3" x14ac:dyDescent="0.35">
      <c r="A1475" s="9">
        <v>41287</v>
      </c>
      <c r="B1475">
        <f t="shared" si="23"/>
        <v>1</v>
      </c>
      <c r="C1475" s="5">
        <v>200.6</v>
      </c>
    </row>
    <row r="1476" spans="1:3" x14ac:dyDescent="0.35">
      <c r="A1476" s="9">
        <v>41288</v>
      </c>
      <c r="B1476">
        <f t="shared" ref="B1476:B1539" si="24">MONTH(A1476)</f>
        <v>1</v>
      </c>
      <c r="C1476" s="5">
        <v>202.2</v>
      </c>
    </row>
    <row r="1477" spans="1:3" x14ac:dyDescent="0.35">
      <c r="A1477" s="9">
        <v>41289</v>
      </c>
      <c r="B1477">
        <f t="shared" si="24"/>
        <v>1</v>
      </c>
      <c r="C1477" s="5">
        <v>205.1</v>
      </c>
    </row>
    <row r="1478" spans="1:3" x14ac:dyDescent="0.35">
      <c r="A1478" s="9">
        <v>41290</v>
      </c>
      <c r="B1478">
        <f t="shared" si="24"/>
        <v>1</v>
      </c>
      <c r="C1478" s="5">
        <v>208</v>
      </c>
    </row>
    <row r="1479" spans="1:3" x14ac:dyDescent="0.35">
      <c r="A1479" s="9">
        <v>41291</v>
      </c>
      <c r="B1479">
        <f t="shared" si="24"/>
        <v>1</v>
      </c>
      <c r="C1479" s="5">
        <v>204.1</v>
      </c>
    </row>
    <row r="1480" spans="1:3" x14ac:dyDescent="0.35">
      <c r="A1480" s="9">
        <v>41292</v>
      </c>
      <c r="B1480">
        <f t="shared" si="24"/>
        <v>1</v>
      </c>
      <c r="C1480" s="5">
        <v>200.1</v>
      </c>
    </row>
    <row r="1481" spans="1:3" x14ac:dyDescent="0.35">
      <c r="A1481" s="9">
        <v>41293</v>
      </c>
      <c r="B1481">
        <f t="shared" si="24"/>
        <v>1</v>
      </c>
      <c r="C1481" s="5">
        <v>199</v>
      </c>
    </row>
    <row r="1482" spans="1:3" x14ac:dyDescent="0.35">
      <c r="A1482" s="9">
        <v>41294</v>
      </c>
      <c r="B1482">
        <f t="shared" si="24"/>
        <v>1</v>
      </c>
      <c r="C1482" s="5">
        <v>204.9</v>
      </c>
    </row>
    <row r="1483" spans="1:3" x14ac:dyDescent="0.35">
      <c r="A1483" s="9">
        <v>41295</v>
      </c>
      <c r="B1483">
        <f t="shared" si="24"/>
        <v>1</v>
      </c>
      <c r="C1483" s="5">
        <v>209.9</v>
      </c>
    </row>
    <row r="1484" spans="1:3" x14ac:dyDescent="0.35">
      <c r="A1484" s="9">
        <v>41296</v>
      </c>
      <c r="B1484">
        <f t="shared" si="24"/>
        <v>1</v>
      </c>
      <c r="C1484" s="5">
        <v>208.2</v>
      </c>
    </row>
    <row r="1485" spans="1:3" x14ac:dyDescent="0.35">
      <c r="A1485" s="9">
        <v>41297</v>
      </c>
      <c r="B1485">
        <f t="shared" si="24"/>
        <v>1</v>
      </c>
      <c r="C1485" s="5">
        <v>206.2</v>
      </c>
    </row>
    <row r="1486" spans="1:3" x14ac:dyDescent="0.35">
      <c r="A1486" s="9">
        <v>41298</v>
      </c>
      <c r="B1486">
        <f t="shared" si="24"/>
        <v>1</v>
      </c>
      <c r="C1486" s="5">
        <v>209.2</v>
      </c>
    </row>
    <row r="1487" spans="1:3" x14ac:dyDescent="0.35">
      <c r="A1487" s="9">
        <v>41299</v>
      </c>
      <c r="B1487">
        <f t="shared" si="24"/>
        <v>1</v>
      </c>
      <c r="C1487" s="5">
        <v>214</v>
      </c>
    </row>
    <row r="1488" spans="1:3" x14ac:dyDescent="0.35">
      <c r="A1488" s="9">
        <v>41300</v>
      </c>
      <c r="B1488">
        <f t="shared" si="24"/>
        <v>1</v>
      </c>
      <c r="C1488" s="5">
        <v>217.5</v>
      </c>
    </row>
    <row r="1489" spans="1:3" x14ac:dyDescent="0.35">
      <c r="A1489" s="9">
        <v>41301</v>
      </c>
      <c r="B1489">
        <f t="shared" si="24"/>
        <v>1</v>
      </c>
      <c r="C1489" s="5">
        <v>220.4</v>
      </c>
    </row>
    <row r="1490" spans="1:3" x14ac:dyDescent="0.35">
      <c r="A1490" s="9">
        <v>41302</v>
      </c>
      <c r="B1490">
        <f t="shared" si="24"/>
        <v>1</v>
      </c>
      <c r="C1490" s="5">
        <v>222.4</v>
      </c>
    </row>
    <row r="1491" spans="1:3" x14ac:dyDescent="0.35">
      <c r="A1491" s="9">
        <v>41303</v>
      </c>
      <c r="B1491">
        <f t="shared" si="24"/>
        <v>1</v>
      </c>
      <c r="C1491" s="5">
        <v>223.2</v>
      </c>
    </row>
    <row r="1492" spans="1:3" x14ac:dyDescent="0.35">
      <c r="A1492" s="9">
        <v>41304</v>
      </c>
      <c r="B1492">
        <f t="shared" si="24"/>
        <v>1</v>
      </c>
      <c r="C1492" s="5">
        <v>224.5</v>
      </c>
    </row>
    <row r="1493" spans="1:3" x14ac:dyDescent="0.35">
      <c r="A1493" s="9">
        <v>41305</v>
      </c>
      <c r="B1493">
        <f t="shared" si="24"/>
        <v>1</v>
      </c>
      <c r="C1493" s="5">
        <v>218.6</v>
      </c>
    </row>
    <row r="1494" spans="1:3" x14ac:dyDescent="0.35">
      <c r="A1494" s="9">
        <v>41306</v>
      </c>
      <c r="B1494">
        <f t="shared" si="24"/>
        <v>2</v>
      </c>
      <c r="C1494" s="5">
        <v>211.8</v>
      </c>
    </row>
    <row r="1495" spans="1:3" x14ac:dyDescent="0.35">
      <c r="A1495" s="9">
        <v>41307</v>
      </c>
      <c r="B1495">
        <f t="shared" si="24"/>
        <v>2</v>
      </c>
      <c r="C1495" s="5">
        <v>183.6</v>
      </c>
    </row>
    <row r="1496" spans="1:3" x14ac:dyDescent="0.35">
      <c r="A1496" s="9">
        <v>41308</v>
      </c>
      <c r="B1496">
        <f t="shared" si="24"/>
        <v>2</v>
      </c>
      <c r="C1496" s="5">
        <v>170.8</v>
      </c>
    </row>
    <row r="1497" spans="1:3" x14ac:dyDescent="0.35">
      <c r="A1497" s="9">
        <v>41309</v>
      </c>
      <c r="B1497">
        <f t="shared" si="24"/>
        <v>2</v>
      </c>
      <c r="C1497" s="5">
        <v>160.1</v>
      </c>
    </row>
    <row r="1498" spans="1:3" x14ac:dyDescent="0.35">
      <c r="A1498" s="9">
        <v>41310</v>
      </c>
      <c r="B1498">
        <f t="shared" si="24"/>
        <v>2</v>
      </c>
      <c r="C1498" s="5">
        <v>151.1</v>
      </c>
    </row>
    <row r="1499" spans="1:3" x14ac:dyDescent="0.35">
      <c r="A1499" s="9">
        <v>41311</v>
      </c>
      <c r="B1499">
        <f t="shared" si="24"/>
        <v>2</v>
      </c>
      <c r="C1499" s="5">
        <v>143.4</v>
      </c>
    </row>
    <row r="1500" spans="1:3" x14ac:dyDescent="0.35">
      <c r="A1500" s="9">
        <v>41312</v>
      </c>
      <c r="B1500">
        <f t="shared" si="24"/>
        <v>2</v>
      </c>
      <c r="C1500" s="5">
        <v>141.5</v>
      </c>
    </row>
    <row r="1501" spans="1:3" x14ac:dyDescent="0.35">
      <c r="A1501" s="9">
        <v>41313</v>
      </c>
      <c r="B1501">
        <f t="shared" si="24"/>
        <v>2</v>
      </c>
      <c r="C1501" s="5">
        <v>147.4</v>
      </c>
    </row>
    <row r="1502" spans="1:3" x14ac:dyDescent="0.35">
      <c r="A1502" s="9">
        <v>41314</v>
      </c>
      <c r="B1502">
        <f t="shared" si="24"/>
        <v>2</v>
      </c>
      <c r="C1502" s="5">
        <v>156.30000000000001</v>
      </c>
    </row>
    <row r="1503" spans="1:3" x14ac:dyDescent="0.35">
      <c r="A1503" s="9">
        <v>41315</v>
      </c>
      <c r="B1503">
        <f t="shared" si="24"/>
        <v>2</v>
      </c>
      <c r="C1503" s="5">
        <v>161.5</v>
      </c>
    </row>
    <row r="1504" spans="1:3" x14ac:dyDescent="0.35">
      <c r="A1504" s="9">
        <v>41316</v>
      </c>
      <c r="B1504">
        <f t="shared" si="24"/>
        <v>2</v>
      </c>
      <c r="C1504" s="5">
        <v>165.3</v>
      </c>
    </row>
    <row r="1505" spans="1:3" x14ac:dyDescent="0.35">
      <c r="A1505" s="9">
        <v>41317</v>
      </c>
      <c r="B1505">
        <f t="shared" si="24"/>
        <v>2</v>
      </c>
      <c r="C1505" s="5">
        <v>171.5</v>
      </c>
    </row>
    <row r="1506" spans="1:3" x14ac:dyDescent="0.35">
      <c r="A1506" s="9">
        <v>41318</v>
      </c>
      <c r="B1506">
        <f t="shared" si="24"/>
        <v>2</v>
      </c>
      <c r="C1506" s="5">
        <v>178.5</v>
      </c>
    </row>
    <row r="1507" spans="1:3" x14ac:dyDescent="0.35">
      <c r="A1507" s="9">
        <v>41319</v>
      </c>
      <c r="B1507">
        <f t="shared" si="24"/>
        <v>2</v>
      </c>
      <c r="C1507" s="5">
        <v>184.9</v>
      </c>
    </row>
    <row r="1508" spans="1:3" x14ac:dyDescent="0.35">
      <c r="A1508" s="9">
        <v>41320</v>
      </c>
      <c r="B1508">
        <f t="shared" si="24"/>
        <v>2</v>
      </c>
      <c r="C1508" s="5">
        <v>191.2</v>
      </c>
    </row>
    <row r="1509" spans="1:3" x14ac:dyDescent="0.35">
      <c r="A1509" s="9">
        <v>41321</v>
      </c>
      <c r="B1509">
        <f t="shared" si="24"/>
        <v>2</v>
      </c>
      <c r="C1509" s="5">
        <v>191.1</v>
      </c>
    </row>
    <row r="1510" spans="1:3" x14ac:dyDescent="0.35">
      <c r="A1510" s="9">
        <v>41322</v>
      </c>
      <c r="B1510">
        <f t="shared" si="24"/>
        <v>2</v>
      </c>
      <c r="C1510" s="5">
        <v>187.2</v>
      </c>
    </row>
    <row r="1511" spans="1:3" x14ac:dyDescent="0.35">
      <c r="A1511" s="9">
        <v>41323</v>
      </c>
      <c r="B1511">
        <f t="shared" si="24"/>
        <v>2</v>
      </c>
      <c r="C1511" s="5">
        <v>183.1</v>
      </c>
    </row>
    <row r="1512" spans="1:3" x14ac:dyDescent="0.35">
      <c r="A1512" s="9">
        <v>41324</v>
      </c>
      <c r="B1512">
        <f t="shared" si="24"/>
        <v>2</v>
      </c>
      <c r="C1512" s="5">
        <v>184.8</v>
      </c>
    </row>
    <row r="1513" spans="1:3" x14ac:dyDescent="0.35">
      <c r="A1513" s="9">
        <v>41325</v>
      </c>
      <c r="B1513">
        <f t="shared" si="24"/>
        <v>2</v>
      </c>
      <c r="C1513" s="5">
        <v>190.1</v>
      </c>
    </row>
    <row r="1514" spans="1:3" x14ac:dyDescent="0.35">
      <c r="A1514" s="9">
        <v>41326</v>
      </c>
      <c r="B1514">
        <f t="shared" si="24"/>
        <v>2</v>
      </c>
      <c r="C1514" s="5">
        <v>192.3</v>
      </c>
    </row>
    <row r="1515" spans="1:3" x14ac:dyDescent="0.35">
      <c r="A1515" s="9">
        <v>41327</v>
      </c>
      <c r="B1515">
        <f t="shared" si="24"/>
        <v>2</v>
      </c>
      <c r="C1515" s="5">
        <v>185.9</v>
      </c>
    </row>
    <row r="1516" spans="1:3" x14ac:dyDescent="0.35">
      <c r="A1516" s="9">
        <v>41328</v>
      </c>
      <c r="B1516">
        <f t="shared" si="24"/>
        <v>2</v>
      </c>
      <c r="C1516" s="5">
        <v>178</v>
      </c>
    </row>
    <row r="1517" spans="1:3" x14ac:dyDescent="0.35">
      <c r="A1517" s="9">
        <v>41329</v>
      </c>
      <c r="B1517">
        <f t="shared" si="24"/>
        <v>2</v>
      </c>
      <c r="C1517" s="5">
        <v>170.9</v>
      </c>
    </row>
    <row r="1518" spans="1:3" x14ac:dyDescent="0.35">
      <c r="A1518" s="9">
        <v>41330</v>
      </c>
      <c r="B1518">
        <f t="shared" si="24"/>
        <v>2</v>
      </c>
      <c r="C1518" s="5">
        <v>167.8</v>
      </c>
    </row>
    <row r="1519" spans="1:3" x14ac:dyDescent="0.35">
      <c r="A1519" s="9">
        <v>41331</v>
      </c>
      <c r="B1519">
        <f t="shared" si="24"/>
        <v>2</v>
      </c>
      <c r="C1519" s="5">
        <v>177.7</v>
      </c>
    </row>
    <row r="1520" spans="1:3" x14ac:dyDescent="0.35">
      <c r="A1520" s="9">
        <v>41332</v>
      </c>
      <c r="B1520">
        <f t="shared" si="24"/>
        <v>2</v>
      </c>
      <c r="C1520" s="5">
        <v>194.5</v>
      </c>
    </row>
    <row r="1521" spans="1:3" x14ac:dyDescent="0.35">
      <c r="A1521" s="9">
        <v>41333</v>
      </c>
      <c r="B1521">
        <f t="shared" si="24"/>
        <v>2</v>
      </c>
      <c r="C1521" s="5">
        <v>200.2</v>
      </c>
    </row>
    <row r="1522" spans="1:3" x14ac:dyDescent="0.35">
      <c r="A1522" s="9">
        <v>41334</v>
      </c>
      <c r="B1522">
        <f t="shared" si="24"/>
        <v>3</v>
      </c>
      <c r="C1522" s="5">
        <v>190.4</v>
      </c>
    </row>
    <row r="1523" spans="1:3" x14ac:dyDescent="0.35">
      <c r="A1523" s="9">
        <v>41335</v>
      </c>
      <c r="B1523">
        <f t="shared" si="24"/>
        <v>3</v>
      </c>
      <c r="C1523" s="5">
        <v>184.9</v>
      </c>
    </row>
    <row r="1524" spans="1:3" x14ac:dyDescent="0.35">
      <c r="A1524" s="9">
        <v>41336</v>
      </c>
      <c r="B1524">
        <f t="shared" si="24"/>
        <v>3</v>
      </c>
      <c r="C1524" s="5">
        <v>182.2</v>
      </c>
    </row>
    <row r="1525" spans="1:3" x14ac:dyDescent="0.35">
      <c r="A1525" s="9">
        <v>41337</v>
      </c>
      <c r="B1525">
        <f t="shared" si="24"/>
        <v>3</v>
      </c>
      <c r="C1525" s="5">
        <v>194.1</v>
      </c>
    </row>
    <row r="1526" spans="1:3" x14ac:dyDescent="0.35">
      <c r="A1526" s="9">
        <v>41338</v>
      </c>
      <c r="B1526">
        <f t="shared" si="24"/>
        <v>3</v>
      </c>
      <c r="C1526" s="5">
        <v>207.6</v>
      </c>
    </row>
    <row r="1527" spans="1:3" x14ac:dyDescent="0.35">
      <c r="A1527" s="9">
        <v>41339</v>
      </c>
      <c r="B1527">
        <f t="shared" si="24"/>
        <v>3</v>
      </c>
      <c r="C1527" s="5">
        <v>213.6</v>
      </c>
    </row>
    <row r="1528" spans="1:3" x14ac:dyDescent="0.35">
      <c r="A1528" s="9">
        <v>41340</v>
      </c>
      <c r="B1528">
        <f t="shared" si="24"/>
        <v>3</v>
      </c>
      <c r="C1528" s="5">
        <v>216.8</v>
      </c>
    </row>
    <row r="1529" spans="1:3" x14ac:dyDescent="0.35">
      <c r="A1529" s="9">
        <v>41341</v>
      </c>
      <c r="B1529">
        <f t="shared" si="24"/>
        <v>3</v>
      </c>
      <c r="C1529" s="5">
        <v>214.2</v>
      </c>
    </row>
    <row r="1530" spans="1:3" x14ac:dyDescent="0.35">
      <c r="A1530" s="9">
        <v>41342</v>
      </c>
      <c r="B1530">
        <f t="shared" si="24"/>
        <v>3</v>
      </c>
      <c r="C1530" s="5">
        <v>212.4</v>
      </c>
    </row>
    <row r="1531" spans="1:3" x14ac:dyDescent="0.35">
      <c r="A1531" s="9">
        <v>41343</v>
      </c>
      <c r="B1531">
        <f t="shared" si="24"/>
        <v>3</v>
      </c>
      <c r="C1531" s="5">
        <v>206.9</v>
      </c>
    </row>
    <row r="1532" spans="1:3" x14ac:dyDescent="0.35">
      <c r="A1532" s="9">
        <v>41344</v>
      </c>
      <c r="B1532">
        <f t="shared" si="24"/>
        <v>3</v>
      </c>
      <c r="C1532" s="5">
        <v>205.2</v>
      </c>
    </row>
    <row r="1533" spans="1:3" x14ac:dyDescent="0.35">
      <c r="A1533" s="9">
        <v>41345</v>
      </c>
      <c r="B1533">
        <f t="shared" si="24"/>
        <v>3</v>
      </c>
      <c r="C1533" s="5">
        <v>207.5</v>
      </c>
    </row>
    <row r="1534" spans="1:3" x14ac:dyDescent="0.35">
      <c r="A1534" s="9">
        <v>41346</v>
      </c>
      <c r="B1534">
        <f t="shared" si="24"/>
        <v>3</v>
      </c>
      <c r="C1534" s="5">
        <v>209.1</v>
      </c>
    </row>
    <row r="1535" spans="1:3" x14ac:dyDescent="0.35">
      <c r="A1535" s="9">
        <v>41347</v>
      </c>
      <c r="B1535">
        <f t="shared" si="24"/>
        <v>3</v>
      </c>
      <c r="C1535" s="5">
        <v>205.4</v>
      </c>
    </row>
    <row r="1536" spans="1:3" x14ac:dyDescent="0.35">
      <c r="A1536" s="9">
        <v>41348</v>
      </c>
      <c r="B1536">
        <f t="shared" si="24"/>
        <v>3</v>
      </c>
      <c r="C1536" s="5">
        <v>198.6</v>
      </c>
    </row>
    <row r="1537" spans="1:3" x14ac:dyDescent="0.35">
      <c r="A1537" s="9">
        <v>41349</v>
      </c>
      <c r="B1537">
        <f t="shared" si="24"/>
        <v>3</v>
      </c>
      <c r="C1537" s="5">
        <v>199.8</v>
      </c>
    </row>
    <row r="1538" spans="1:3" x14ac:dyDescent="0.35">
      <c r="A1538" s="9">
        <v>41350</v>
      </c>
      <c r="B1538">
        <f t="shared" si="24"/>
        <v>3</v>
      </c>
      <c r="C1538" s="5">
        <v>211.4</v>
      </c>
    </row>
    <row r="1539" spans="1:3" x14ac:dyDescent="0.35">
      <c r="A1539" s="9">
        <v>41351</v>
      </c>
      <c r="B1539">
        <f t="shared" si="24"/>
        <v>3</v>
      </c>
      <c r="C1539" s="5">
        <v>223.4</v>
      </c>
    </row>
    <row r="1540" spans="1:3" x14ac:dyDescent="0.35">
      <c r="A1540" s="9">
        <v>41352</v>
      </c>
      <c r="B1540">
        <f t="shared" ref="B1540:B1603" si="25">MONTH(A1540)</f>
        <v>3</v>
      </c>
      <c r="C1540" s="5">
        <v>227.1</v>
      </c>
    </row>
    <row r="1541" spans="1:3" x14ac:dyDescent="0.35">
      <c r="A1541" s="9">
        <v>41353</v>
      </c>
      <c r="B1541">
        <f t="shared" si="25"/>
        <v>3</v>
      </c>
      <c r="C1541" s="5">
        <v>223.6</v>
      </c>
    </row>
    <row r="1542" spans="1:3" x14ac:dyDescent="0.35">
      <c r="A1542" s="9">
        <v>41354</v>
      </c>
      <c r="B1542">
        <f t="shared" si="25"/>
        <v>3</v>
      </c>
      <c r="C1542" s="5">
        <v>212.8</v>
      </c>
    </row>
    <row r="1543" spans="1:3" x14ac:dyDescent="0.35">
      <c r="A1543" s="9">
        <v>41355</v>
      </c>
      <c r="B1543">
        <f t="shared" si="25"/>
        <v>3</v>
      </c>
      <c r="C1543" s="5">
        <v>205.3</v>
      </c>
    </row>
    <row r="1544" spans="1:3" x14ac:dyDescent="0.35">
      <c r="A1544" s="9">
        <v>41356</v>
      </c>
      <c r="B1544">
        <f t="shared" si="25"/>
        <v>3</v>
      </c>
      <c r="C1544" s="5">
        <v>204.4</v>
      </c>
    </row>
    <row r="1545" spans="1:3" x14ac:dyDescent="0.35">
      <c r="A1545" s="9">
        <v>41357</v>
      </c>
      <c r="B1545">
        <f t="shared" si="25"/>
        <v>3</v>
      </c>
      <c r="C1545" s="5">
        <v>208.5</v>
      </c>
    </row>
    <row r="1546" spans="1:3" x14ac:dyDescent="0.35">
      <c r="A1546" s="9">
        <v>41358</v>
      </c>
      <c r="B1546">
        <f t="shared" si="25"/>
        <v>3</v>
      </c>
      <c r="C1546" s="5">
        <v>210.8</v>
      </c>
    </row>
    <row r="1547" spans="1:3" x14ac:dyDescent="0.35">
      <c r="A1547" s="9">
        <v>41359</v>
      </c>
      <c r="B1547">
        <f t="shared" si="25"/>
        <v>3</v>
      </c>
      <c r="C1547" s="5">
        <v>210</v>
      </c>
    </row>
    <row r="1548" spans="1:3" x14ac:dyDescent="0.35">
      <c r="A1548" s="9">
        <v>41360</v>
      </c>
      <c r="B1548">
        <f t="shared" si="25"/>
        <v>3</v>
      </c>
      <c r="C1548" s="5">
        <v>221.6</v>
      </c>
    </row>
    <row r="1549" spans="1:3" x14ac:dyDescent="0.35">
      <c r="A1549" s="9">
        <v>41361</v>
      </c>
      <c r="B1549">
        <f t="shared" si="25"/>
        <v>3</v>
      </c>
      <c r="C1549" s="5">
        <v>244.1</v>
      </c>
    </row>
    <row r="1550" spans="1:3" x14ac:dyDescent="0.35">
      <c r="A1550" s="9">
        <v>41362</v>
      </c>
      <c r="B1550">
        <f t="shared" si="25"/>
        <v>3</v>
      </c>
      <c r="C1550" s="5">
        <v>259.3</v>
      </c>
    </row>
    <row r="1551" spans="1:3" x14ac:dyDescent="0.35">
      <c r="A1551" s="9">
        <v>41363</v>
      </c>
      <c r="B1551">
        <f t="shared" si="25"/>
        <v>3</v>
      </c>
      <c r="C1551" s="5">
        <v>263.60000000000002</v>
      </c>
    </row>
    <row r="1552" spans="1:3" x14ac:dyDescent="0.35">
      <c r="A1552" s="9">
        <v>41364</v>
      </c>
      <c r="B1552">
        <f t="shared" si="25"/>
        <v>3</v>
      </c>
      <c r="C1552" s="5">
        <v>264.3</v>
      </c>
    </row>
    <row r="1553" spans="1:3" x14ac:dyDescent="0.35">
      <c r="A1553" s="9">
        <v>41365</v>
      </c>
      <c r="B1553">
        <f t="shared" si="25"/>
        <v>4</v>
      </c>
      <c r="C1553" s="5">
        <v>260</v>
      </c>
    </row>
    <row r="1554" spans="1:3" x14ac:dyDescent="0.35">
      <c r="A1554" s="9">
        <v>41366</v>
      </c>
      <c r="B1554">
        <f t="shared" si="25"/>
        <v>4</v>
      </c>
      <c r="C1554" s="5">
        <v>256.7</v>
      </c>
    </row>
    <row r="1555" spans="1:3" x14ac:dyDescent="0.35">
      <c r="A1555" s="9">
        <v>41367</v>
      </c>
      <c r="B1555">
        <f t="shared" si="25"/>
        <v>4</v>
      </c>
      <c r="C1555" s="5">
        <v>235.1</v>
      </c>
    </row>
    <row r="1556" spans="1:3" x14ac:dyDescent="0.35">
      <c r="A1556" s="9">
        <v>41368</v>
      </c>
      <c r="B1556">
        <f t="shared" si="25"/>
        <v>4</v>
      </c>
      <c r="C1556" s="5">
        <v>210.8</v>
      </c>
    </row>
    <row r="1557" spans="1:3" x14ac:dyDescent="0.35">
      <c r="A1557" s="9">
        <v>41369</v>
      </c>
      <c r="B1557">
        <f t="shared" si="25"/>
        <v>4</v>
      </c>
      <c r="C1557" s="5">
        <v>197.9</v>
      </c>
    </row>
    <row r="1558" spans="1:3" x14ac:dyDescent="0.35">
      <c r="A1558" s="9">
        <v>41370</v>
      </c>
      <c r="B1558">
        <f t="shared" si="25"/>
        <v>4</v>
      </c>
      <c r="C1558" s="5">
        <v>198.6</v>
      </c>
    </row>
    <row r="1559" spans="1:3" x14ac:dyDescent="0.35">
      <c r="A1559" s="9">
        <v>41371</v>
      </c>
      <c r="B1559">
        <f t="shared" si="25"/>
        <v>4</v>
      </c>
      <c r="C1559" s="5">
        <v>204.4</v>
      </c>
    </row>
    <row r="1560" spans="1:3" x14ac:dyDescent="0.35">
      <c r="A1560" s="9">
        <v>41372</v>
      </c>
      <c r="B1560">
        <f t="shared" si="25"/>
        <v>4</v>
      </c>
      <c r="C1560" s="5">
        <v>199.4</v>
      </c>
    </row>
    <row r="1561" spans="1:3" x14ac:dyDescent="0.35">
      <c r="A1561" s="9">
        <v>41373</v>
      </c>
      <c r="B1561">
        <f t="shared" si="25"/>
        <v>4</v>
      </c>
      <c r="C1561" s="5">
        <v>189.7</v>
      </c>
    </row>
    <row r="1562" spans="1:3" x14ac:dyDescent="0.35">
      <c r="A1562" s="9">
        <v>41374</v>
      </c>
      <c r="B1562">
        <f t="shared" si="25"/>
        <v>4</v>
      </c>
      <c r="C1562" s="5">
        <v>185.4</v>
      </c>
    </row>
    <row r="1563" spans="1:3" x14ac:dyDescent="0.35">
      <c r="A1563" s="9">
        <v>41375</v>
      </c>
      <c r="B1563">
        <f t="shared" si="25"/>
        <v>4</v>
      </c>
      <c r="C1563" s="5">
        <v>193.5</v>
      </c>
    </row>
    <row r="1564" spans="1:3" x14ac:dyDescent="0.35">
      <c r="A1564" s="9">
        <v>41376</v>
      </c>
      <c r="B1564">
        <f t="shared" si="25"/>
        <v>4</v>
      </c>
      <c r="C1564" s="5">
        <v>209.4</v>
      </c>
    </row>
    <row r="1565" spans="1:3" x14ac:dyDescent="0.35">
      <c r="A1565" s="9">
        <v>41377</v>
      </c>
      <c r="B1565">
        <f t="shared" si="25"/>
        <v>4</v>
      </c>
      <c r="C1565" s="5">
        <v>222.6</v>
      </c>
    </row>
    <row r="1566" spans="1:3" x14ac:dyDescent="0.35">
      <c r="A1566" s="9">
        <v>41378</v>
      </c>
      <c r="B1566">
        <f t="shared" si="25"/>
        <v>4</v>
      </c>
      <c r="C1566" s="5">
        <v>222.1</v>
      </c>
    </row>
    <row r="1567" spans="1:3" x14ac:dyDescent="0.35">
      <c r="A1567" s="9">
        <v>41379</v>
      </c>
      <c r="B1567">
        <f t="shared" si="25"/>
        <v>4</v>
      </c>
      <c r="C1567" s="5">
        <v>207.2</v>
      </c>
    </row>
    <row r="1568" spans="1:3" x14ac:dyDescent="0.35">
      <c r="A1568" s="9">
        <v>41380</v>
      </c>
      <c r="B1568">
        <f t="shared" si="25"/>
        <v>4</v>
      </c>
      <c r="C1568" s="5">
        <v>193.1</v>
      </c>
    </row>
    <row r="1569" spans="1:3" x14ac:dyDescent="0.35">
      <c r="A1569" s="9">
        <v>41381</v>
      </c>
      <c r="B1569">
        <f t="shared" si="25"/>
        <v>4</v>
      </c>
      <c r="C1569" s="5">
        <v>187.5</v>
      </c>
    </row>
    <row r="1570" spans="1:3" x14ac:dyDescent="0.35">
      <c r="A1570" s="9">
        <v>41382</v>
      </c>
      <c r="B1570">
        <f t="shared" si="25"/>
        <v>4</v>
      </c>
      <c r="C1570" s="5">
        <v>189.1</v>
      </c>
    </row>
    <row r="1571" spans="1:3" x14ac:dyDescent="0.35">
      <c r="A1571" s="9">
        <v>41383</v>
      </c>
      <c r="B1571">
        <f t="shared" si="25"/>
        <v>4</v>
      </c>
      <c r="C1571" s="5">
        <v>188.2</v>
      </c>
    </row>
    <row r="1572" spans="1:3" x14ac:dyDescent="0.35">
      <c r="A1572" s="9">
        <v>41384</v>
      </c>
      <c r="B1572">
        <f t="shared" si="25"/>
        <v>4</v>
      </c>
      <c r="C1572" s="5">
        <v>188.7</v>
      </c>
    </row>
    <row r="1573" spans="1:3" x14ac:dyDescent="0.35">
      <c r="A1573" s="9">
        <v>41385</v>
      </c>
      <c r="B1573">
        <f t="shared" si="25"/>
        <v>4</v>
      </c>
      <c r="C1573" s="5">
        <v>194</v>
      </c>
    </row>
    <row r="1574" spans="1:3" x14ac:dyDescent="0.35">
      <c r="A1574" s="9">
        <v>41386</v>
      </c>
      <c r="B1574">
        <f t="shared" si="25"/>
        <v>4</v>
      </c>
      <c r="C1574" s="5">
        <v>204.3</v>
      </c>
    </row>
    <row r="1575" spans="1:3" x14ac:dyDescent="0.35">
      <c r="A1575" s="9">
        <v>41387</v>
      </c>
      <c r="B1575">
        <f t="shared" si="25"/>
        <v>4</v>
      </c>
      <c r="C1575" s="5">
        <v>211.1</v>
      </c>
    </row>
    <row r="1576" spans="1:3" x14ac:dyDescent="0.35">
      <c r="A1576" s="9">
        <v>41388</v>
      </c>
      <c r="B1576">
        <f t="shared" si="25"/>
        <v>4</v>
      </c>
      <c r="C1576" s="5">
        <v>217.3</v>
      </c>
    </row>
    <row r="1577" spans="1:3" x14ac:dyDescent="0.35">
      <c r="A1577" s="9">
        <v>41389</v>
      </c>
      <c r="B1577">
        <f t="shared" si="25"/>
        <v>4</v>
      </c>
      <c r="C1577" s="5">
        <v>226.2</v>
      </c>
    </row>
    <row r="1578" spans="1:3" x14ac:dyDescent="0.35">
      <c r="A1578" s="9">
        <v>41390</v>
      </c>
      <c r="B1578">
        <f t="shared" si="25"/>
        <v>4</v>
      </c>
      <c r="C1578" s="5">
        <v>238.1</v>
      </c>
    </row>
    <row r="1579" spans="1:3" x14ac:dyDescent="0.35">
      <c r="A1579" s="9">
        <v>41391</v>
      </c>
      <c r="B1579">
        <f t="shared" si="25"/>
        <v>4</v>
      </c>
      <c r="C1579" s="5">
        <v>247.4</v>
      </c>
    </row>
    <row r="1580" spans="1:3" x14ac:dyDescent="0.35">
      <c r="A1580" s="9">
        <v>41392</v>
      </c>
      <c r="B1580">
        <f t="shared" si="25"/>
        <v>4</v>
      </c>
      <c r="C1580" s="5">
        <v>240.5</v>
      </c>
    </row>
    <row r="1581" spans="1:3" x14ac:dyDescent="0.35">
      <c r="A1581" s="9">
        <v>41393</v>
      </c>
      <c r="B1581">
        <f t="shared" si="25"/>
        <v>4</v>
      </c>
      <c r="C1581" s="5">
        <v>218.8</v>
      </c>
    </row>
    <row r="1582" spans="1:3" x14ac:dyDescent="0.35">
      <c r="A1582" s="9">
        <v>41394</v>
      </c>
      <c r="B1582">
        <f t="shared" si="25"/>
        <v>4</v>
      </c>
      <c r="C1582" s="5">
        <v>199.9</v>
      </c>
    </row>
    <row r="1583" spans="1:3" x14ac:dyDescent="0.35">
      <c r="A1583" s="9">
        <v>41395</v>
      </c>
      <c r="B1583">
        <f t="shared" si="25"/>
        <v>5</v>
      </c>
      <c r="C1583" s="5">
        <v>194.1</v>
      </c>
    </row>
    <row r="1584" spans="1:3" x14ac:dyDescent="0.35">
      <c r="A1584" s="9">
        <v>41396</v>
      </c>
      <c r="B1584">
        <f t="shared" si="25"/>
        <v>5</v>
      </c>
      <c r="C1584" s="5">
        <v>199.1</v>
      </c>
    </row>
    <row r="1585" spans="1:3" x14ac:dyDescent="0.35">
      <c r="A1585" s="9">
        <v>41397</v>
      </c>
      <c r="B1585">
        <f t="shared" si="25"/>
        <v>5</v>
      </c>
      <c r="C1585" s="5">
        <v>193.5</v>
      </c>
    </row>
    <row r="1586" spans="1:3" x14ac:dyDescent="0.35">
      <c r="A1586" s="9">
        <v>41398</v>
      </c>
      <c r="B1586">
        <f t="shared" si="25"/>
        <v>5</v>
      </c>
      <c r="C1586" s="5">
        <v>179.9</v>
      </c>
    </row>
    <row r="1587" spans="1:3" x14ac:dyDescent="0.35">
      <c r="A1587" s="9">
        <v>41399</v>
      </c>
      <c r="B1587">
        <f t="shared" si="25"/>
        <v>5</v>
      </c>
      <c r="C1587" s="5">
        <v>166.6</v>
      </c>
    </row>
    <row r="1588" spans="1:3" x14ac:dyDescent="0.35">
      <c r="A1588" s="9">
        <v>41400</v>
      </c>
      <c r="B1588">
        <f t="shared" si="25"/>
        <v>5</v>
      </c>
      <c r="C1588" s="5">
        <v>167.2</v>
      </c>
    </row>
    <row r="1589" spans="1:3" x14ac:dyDescent="0.35">
      <c r="A1589" s="9">
        <v>41401</v>
      </c>
      <c r="B1589">
        <f t="shared" si="25"/>
        <v>5</v>
      </c>
      <c r="C1589" s="5">
        <v>186.3</v>
      </c>
    </row>
    <row r="1590" spans="1:3" x14ac:dyDescent="0.35">
      <c r="A1590" s="9">
        <v>41402</v>
      </c>
      <c r="B1590">
        <f t="shared" si="25"/>
        <v>5</v>
      </c>
      <c r="C1590" s="5">
        <v>206.4</v>
      </c>
    </row>
    <row r="1591" spans="1:3" x14ac:dyDescent="0.35">
      <c r="A1591" s="9">
        <v>41403</v>
      </c>
      <c r="B1591">
        <f t="shared" si="25"/>
        <v>5</v>
      </c>
      <c r="C1591" s="5">
        <v>210.1</v>
      </c>
    </row>
    <row r="1592" spans="1:3" x14ac:dyDescent="0.35">
      <c r="A1592" s="9">
        <v>41404</v>
      </c>
      <c r="B1592">
        <f t="shared" si="25"/>
        <v>5</v>
      </c>
      <c r="C1592" s="5">
        <v>201.1</v>
      </c>
    </row>
    <row r="1593" spans="1:3" x14ac:dyDescent="0.35">
      <c r="A1593" s="9">
        <v>41405</v>
      </c>
      <c r="B1593">
        <f t="shared" si="25"/>
        <v>5</v>
      </c>
      <c r="C1593" s="5">
        <v>190.6</v>
      </c>
    </row>
    <row r="1594" spans="1:3" x14ac:dyDescent="0.35">
      <c r="A1594" s="9">
        <v>41406</v>
      </c>
      <c r="B1594">
        <f t="shared" si="25"/>
        <v>5</v>
      </c>
      <c r="C1594" s="5">
        <v>185.9</v>
      </c>
    </row>
    <row r="1595" spans="1:3" x14ac:dyDescent="0.35">
      <c r="A1595" s="9">
        <v>41407</v>
      </c>
      <c r="B1595">
        <f t="shared" si="25"/>
        <v>5</v>
      </c>
      <c r="C1595" s="5">
        <v>182.9</v>
      </c>
    </row>
    <row r="1596" spans="1:3" x14ac:dyDescent="0.35">
      <c r="A1596" s="9">
        <v>41408</v>
      </c>
      <c r="B1596">
        <f t="shared" si="25"/>
        <v>5</v>
      </c>
      <c r="C1596" s="5">
        <v>180.3</v>
      </c>
    </row>
    <row r="1597" spans="1:3" x14ac:dyDescent="0.35">
      <c r="A1597" s="9">
        <v>41409</v>
      </c>
      <c r="B1597">
        <f t="shared" si="25"/>
        <v>5</v>
      </c>
      <c r="C1597" s="5">
        <v>173.2</v>
      </c>
    </row>
    <row r="1598" spans="1:3" x14ac:dyDescent="0.35">
      <c r="A1598" s="9">
        <v>41410</v>
      </c>
      <c r="B1598">
        <f t="shared" si="25"/>
        <v>5</v>
      </c>
      <c r="C1598" s="5">
        <v>162</v>
      </c>
    </row>
    <row r="1599" spans="1:3" x14ac:dyDescent="0.35">
      <c r="A1599" s="9">
        <v>41411</v>
      </c>
      <c r="B1599">
        <f t="shared" si="25"/>
        <v>5</v>
      </c>
      <c r="C1599" s="5">
        <v>151.1</v>
      </c>
    </row>
    <row r="1600" spans="1:3" x14ac:dyDescent="0.35">
      <c r="A1600" s="9">
        <v>41412</v>
      </c>
      <c r="B1600">
        <f t="shared" si="25"/>
        <v>5</v>
      </c>
      <c r="C1600" s="5">
        <v>141.9</v>
      </c>
    </row>
    <row r="1601" spans="1:3" x14ac:dyDescent="0.35">
      <c r="A1601" s="9">
        <v>41413</v>
      </c>
      <c r="B1601">
        <f t="shared" si="25"/>
        <v>5</v>
      </c>
      <c r="C1601" s="5">
        <v>135.5</v>
      </c>
    </row>
    <row r="1602" spans="1:3" x14ac:dyDescent="0.35">
      <c r="A1602" s="9">
        <v>41414</v>
      </c>
      <c r="B1602">
        <f t="shared" si="25"/>
        <v>5</v>
      </c>
      <c r="C1602" s="5">
        <v>131.5</v>
      </c>
    </row>
    <row r="1603" spans="1:3" x14ac:dyDescent="0.35">
      <c r="A1603" s="9">
        <v>41415</v>
      </c>
      <c r="B1603">
        <f t="shared" si="25"/>
        <v>5</v>
      </c>
      <c r="C1603" s="5">
        <v>129</v>
      </c>
    </row>
    <row r="1604" spans="1:3" x14ac:dyDescent="0.35">
      <c r="A1604" s="9">
        <v>41416</v>
      </c>
      <c r="B1604">
        <f t="shared" ref="B1604:B1667" si="26">MONTH(A1604)</f>
        <v>5</v>
      </c>
      <c r="C1604" s="5">
        <v>127.2</v>
      </c>
    </row>
    <row r="1605" spans="1:3" x14ac:dyDescent="0.35">
      <c r="A1605" s="9">
        <v>41417</v>
      </c>
      <c r="B1605">
        <f t="shared" si="26"/>
        <v>5</v>
      </c>
      <c r="C1605" s="5">
        <v>126.1</v>
      </c>
    </row>
    <row r="1606" spans="1:3" x14ac:dyDescent="0.35">
      <c r="A1606" s="9">
        <v>41418</v>
      </c>
      <c r="B1606">
        <f t="shared" si="26"/>
        <v>5</v>
      </c>
      <c r="C1606" s="5">
        <v>125.3</v>
      </c>
    </row>
    <row r="1607" spans="1:3" x14ac:dyDescent="0.35">
      <c r="A1607" s="9">
        <v>41419</v>
      </c>
      <c r="B1607">
        <f t="shared" si="26"/>
        <v>5</v>
      </c>
      <c r="C1607" s="5">
        <v>125</v>
      </c>
    </row>
    <row r="1608" spans="1:3" x14ac:dyDescent="0.35">
      <c r="A1608" s="9">
        <v>41420</v>
      </c>
      <c r="B1608">
        <f t="shared" si="26"/>
        <v>5</v>
      </c>
      <c r="C1608" s="5">
        <v>125.1</v>
      </c>
    </row>
    <row r="1609" spans="1:3" x14ac:dyDescent="0.35">
      <c r="A1609" s="9">
        <v>41421</v>
      </c>
      <c r="B1609">
        <f t="shared" si="26"/>
        <v>5</v>
      </c>
      <c r="C1609" s="5">
        <v>125.6</v>
      </c>
    </row>
    <row r="1610" spans="1:3" x14ac:dyDescent="0.35">
      <c r="A1610" s="9">
        <v>41422</v>
      </c>
      <c r="B1610">
        <f t="shared" si="26"/>
        <v>5</v>
      </c>
      <c r="C1610" s="5">
        <v>126.2</v>
      </c>
    </row>
    <row r="1611" spans="1:3" x14ac:dyDescent="0.35">
      <c r="A1611" s="9">
        <v>41423</v>
      </c>
      <c r="B1611">
        <f t="shared" si="26"/>
        <v>5</v>
      </c>
      <c r="C1611" s="5">
        <v>127.2</v>
      </c>
    </row>
    <row r="1612" spans="1:3" x14ac:dyDescent="0.35">
      <c r="A1612" s="9">
        <v>41424</v>
      </c>
      <c r="B1612">
        <f t="shared" si="26"/>
        <v>5</v>
      </c>
      <c r="C1612" s="5">
        <v>128</v>
      </c>
    </row>
    <row r="1613" spans="1:3" x14ac:dyDescent="0.35">
      <c r="A1613" s="9">
        <v>41425</v>
      </c>
      <c r="B1613">
        <f t="shared" si="26"/>
        <v>5</v>
      </c>
      <c r="C1613" s="5">
        <v>128.30000000000001</v>
      </c>
    </row>
    <row r="1614" spans="1:3" x14ac:dyDescent="0.35">
      <c r="A1614" s="9">
        <v>41426</v>
      </c>
      <c r="B1614">
        <f t="shared" si="26"/>
        <v>6</v>
      </c>
      <c r="C1614" s="5">
        <v>127.8</v>
      </c>
    </row>
    <row r="1615" spans="1:3" x14ac:dyDescent="0.35">
      <c r="A1615" s="9">
        <v>41427</v>
      </c>
      <c r="B1615">
        <f t="shared" si="26"/>
        <v>6</v>
      </c>
      <c r="C1615" s="5">
        <v>85.9</v>
      </c>
    </row>
    <row r="1616" spans="1:3" x14ac:dyDescent="0.35">
      <c r="A1616" s="9">
        <v>41428</v>
      </c>
      <c r="B1616">
        <f t="shared" si="26"/>
        <v>6</v>
      </c>
      <c r="C1616" s="5">
        <v>85.1</v>
      </c>
    </row>
    <row r="1617" spans="1:3" x14ac:dyDescent="0.35">
      <c r="A1617" s="9">
        <v>41429</v>
      </c>
      <c r="B1617">
        <f t="shared" si="26"/>
        <v>6</v>
      </c>
      <c r="C1617" s="5">
        <v>84.4</v>
      </c>
    </row>
    <row r="1618" spans="1:3" x14ac:dyDescent="0.35">
      <c r="A1618" s="9">
        <v>41430</v>
      </c>
      <c r="B1618">
        <f t="shared" si="26"/>
        <v>6</v>
      </c>
      <c r="C1618" s="5">
        <v>84.2</v>
      </c>
    </row>
    <row r="1619" spans="1:3" x14ac:dyDescent="0.35">
      <c r="A1619" s="9">
        <v>41431</v>
      </c>
      <c r="B1619">
        <f t="shared" si="26"/>
        <v>6</v>
      </c>
      <c r="C1619" s="5">
        <v>84.3</v>
      </c>
    </row>
    <row r="1620" spans="1:3" x14ac:dyDescent="0.35">
      <c r="A1620" s="9">
        <v>41432</v>
      </c>
      <c r="B1620">
        <f t="shared" si="26"/>
        <v>6</v>
      </c>
      <c r="C1620" s="5">
        <v>84.6</v>
      </c>
    </row>
    <row r="1621" spans="1:3" x14ac:dyDescent="0.35">
      <c r="A1621" s="9">
        <v>41433</v>
      </c>
      <c r="B1621">
        <f t="shared" si="26"/>
        <v>6</v>
      </c>
      <c r="C1621" s="5">
        <v>84.7</v>
      </c>
    </row>
    <row r="1622" spans="1:3" x14ac:dyDescent="0.35">
      <c r="A1622" s="9">
        <v>41434</v>
      </c>
      <c r="B1622">
        <f t="shared" si="26"/>
        <v>6</v>
      </c>
      <c r="C1622" s="5">
        <v>84.5</v>
      </c>
    </row>
    <row r="1623" spans="1:3" x14ac:dyDescent="0.35">
      <c r="A1623" s="9">
        <v>41435</v>
      </c>
      <c r="B1623">
        <f t="shared" si="26"/>
        <v>6</v>
      </c>
      <c r="C1623" s="5">
        <v>84.3</v>
      </c>
    </row>
    <row r="1624" spans="1:3" x14ac:dyDescent="0.35">
      <c r="A1624" s="9">
        <v>41436</v>
      </c>
      <c r="B1624">
        <f t="shared" si="26"/>
        <v>6</v>
      </c>
      <c r="C1624" s="5">
        <v>84.2</v>
      </c>
    </row>
    <row r="1625" spans="1:3" x14ac:dyDescent="0.35">
      <c r="A1625" s="9">
        <v>41437</v>
      </c>
      <c r="B1625">
        <f t="shared" si="26"/>
        <v>6</v>
      </c>
      <c r="C1625" s="5">
        <v>83.9</v>
      </c>
    </row>
    <row r="1626" spans="1:3" x14ac:dyDescent="0.35">
      <c r="A1626" s="9">
        <v>41438</v>
      </c>
      <c r="B1626">
        <f t="shared" si="26"/>
        <v>6</v>
      </c>
      <c r="C1626" s="5">
        <v>83.7</v>
      </c>
    </row>
    <row r="1627" spans="1:3" x14ac:dyDescent="0.35">
      <c r="A1627" s="9">
        <v>41439</v>
      </c>
      <c r="B1627">
        <f t="shared" si="26"/>
        <v>6</v>
      </c>
      <c r="C1627" s="5">
        <v>83.5</v>
      </c>
    </row>
    <row r="1628" spans="1:3" x14ac:dyDescent="0.35">
      <c r="A1628" s="9">
        <v>41440</v>
      </c>
      <c r="B1628">
        <f t="shared" si="26"/>
        <v>6</v>
      </c>
      <c r="C1628" s="5">
        <v>83.7</v>
      </c>
    </row>
    <row r="1629" spans="1:3" x14ac:dyDescent="0.35">
      <c r="A1629" s="9">
        <v>41441</v>
      </c>
      <c r="B1629">
        <f t="shared" si="26"/>
        <v>6</v>
      </c>
      <c r="C1629" s="5">
        <v>84.6</v>
      </c>
    </row>
    <row r="1630" spans="1:3" x14ac:dyDescent="0.35">
      <c r="A1630" s="9">
        <v>41442</v>
      </c>
      <c r="B1630">
        <f t="shared" si="26"/>
        <v>6</v>
      </c>
      <c r="C1630" s="5">
        <v>85.6</v>
      </c>
    </row>
    <row r="1631" spans="1:3" x14ac:dyDescent="0.35">
      <c r="A1631" s="9">
        <v>41443</v>
      </c>
      <c r="B1631">
        <f t="shared" si="26"/>
        <v>6</v>
      </c>
      <c r="C1631" s="5">
        <v>86.1</v>
      </c>
    </row>
    <row r="1632" spans="1:3" x14ac:dyDescent="0.35">
      <c r="A1632" s="9">
        <v>41444</v>
      </c>
      <c r="B1632">
        <f t="shared" si="26"/>
        <v>6</v>
      </c>
      <c r="C1632" s="5">
        <v>85.9</v>
      </c>
    </row>
    <row r="1633" spans="1:3" x14ac:dyDescent="0.35">
      <c r="A1633" s="9">
        <v>41445</v>
      </c>
      <c r="B1633">
        <f t="shared" si="26"/>
        <v>6</v>
      </c>
      <c r="C1633" s="5">
        <v>85.4</v>
      </c>
    </row>
    <row r="1634" spans="1:3" x14ac:dyDescent="0.35">
      <c r="A1634" s="9">
        <v>41446</v>
      </c>
      <c r="B1634">
        <f t="shared" si="26"/>
        <v>6</v>
      </c>
      <c r="C1634" s="5">
        <v>84.8</v>
      </c>
    </row>
    <row r="1635" spans="1:3" x14ac:dyDescent="0.35">
      <c r="A1635" s="9">
        <v>41447</v>
      </c>
      <c r="B1635">
        <f t="shared" si="26"/>
        <v>6</v>
      </c>
      <c r="C1635" s="5">
        <v>84.3</v>
      </c>
    </row>
    <row r="1636" spans="1:3" x14ac:dyDescent="0.35">
      <c r="A1636" s="9">
        <v>41448</v>
      </c>
      <c r="B1636">
        <f t="shared" si="26"/>
        <v>6</v>
      </c>
      <c r="C1636" s="5">
        <v>85.3</v>
      </c>
    </row>
    <row r="1637" spans="1:3" x14ac:dyDescent="0.35">
      <c r="A1637" s="9">
        <v>41449</v>
      </c>
      <c r="B1637">
        <f t="shared" si="26"/>
        <v>6</v>
      </c>
      <c r="C1637" s="5">
        <v>88.5</v>
      </c>
    </row>
    <row r="1638" spans="1:3" x14ac:dyDescent="0.35">
      <c r="A1638" s="9">
        <v>41450</v>
      </c>
      <c r="B1638">
        <f t="shared" si="26"/>
        <v>6</v>
      </c>
      <c r="C1638" s="5">
        <v>92.1</v>
      </c>
    </row>
    <row r="1639" spans="1:3" x14ac:dyDescent="0.35">
      <c r="A1639" s="9">
        <v>41451</v>
      </c>
      <c r="B1639">
        <f t="shared" si="26"/>
        <v>6</v>
      </c>
      <c r="C1639" s="5">
        <v>92.8</v>
      </c>
    </row>
    <row r="1640" spans="1:3" x14ac:dyDescent="0.35">
      <c r="A1640" s="9">
        <v>41452</v>
      </c>
      <c r="B1640">
        <f t="shared" si="26"/>
        <v>6</v>
      </c>
      <c r="C1640" s="5">
        <v>91.4</v>
      </c>
    </row>
    <row r="1641" spans="1:3" x14ac:dyDescent="0.35">
      <c r="A1641" s="9">
        <v>41453</v>
      </c>
      <c r="B1641">
        <f t="shared" si="26"/>
        <v>6</v>
      </c>
      <c r="C1641" s="5">
        <v>88.9</v>
      </c>
    </row>
    <row r="1642" spans="1:3" x14ac:dyDescent="0.35">
      <c r="A1642" s="9">
        <v>41454</v>
      </c>
      <c r="B1642">
        <f t="shared" si="26"/>
        <v>6</v>
      </c>
      <c r="C1642" s="5">
        <v>86.8</v>
      </c>
    </row>
    <row r="1643" spans="1:3" x14ac:dyDescent="0.35">
      <c r="A1643" s="9">
        <v>41455</v>
      </c>
      <c r="B1643">
        <f t="shared" si="26"/>
        <v>6</v>
      </c>
      <c r="C1643" s="5">
        <v>85.6</v>
      </c>
    </row>
    <row r="1644" spans="1:3" x14ac:dyDescent="0.35">
      <c r="A1644" s="9">
        <v>41456</v>
      </c>
      <c r="B1644">
        <f t="shared" si="26"/>
        <v>7</v>
      </c>
      <c r="C1644" s="5">
        <v>84.8</v>
      </c>
    </row>
    <row r="1645" spans="1:3" x14ac:dyDescent="0.35">
      <c r="A1645" s="9">
        <v>41457</v>
      </c>
      <c r="B1645">
        <f t="shared" si="26"/>
        <v>7</v>
      </c>
      <c r="C1645" s="5">
        <v>61.3</v>
      </c>
    </row>
    <row r="1646" spans="1:3" x14ac:dyDescent="0.35">
      <c r="A1646" s="9">
        <v>41458</v>
      </c>
      <c r="B1646">
        <f t="shared" si="26"/>
        <v>7</v>
      </c>
      <c r="C1646" s="5">
        <v>62</v>
      </c>
    </row>
    <row r="1647" spans="1:3" x14ac:dyDescent="0.35">
      <c r="A1647" s="9">
        <v>41459</v>
      </c>
      <c r="B1647">
        <f t="shared" si="26"/>
        <v>7</v>
      </c>
      <c r="C1647" s="5">
        <v>64.3</v>
      </c>
    </row>
    <row r="1648" spans="1:3" x14ac:dyDescent="0.35">
      <c r="A1648" s="9">
        <v>41460</v>
      </c>
      <c r="B1648">
        <f t="shared" si="26"/>
        <v>7</v>
      </c>
      <c r="C1648" s="5">
        <v>67.099999999999994</v>
      </c>
    </row>
    <row r="1649" spans="1:3" x14ac:dyDescent="0.35">
      <c r="A1649" s="9">
        <v>41461</v>
      </c>
      <c r="B1649">
        <f t="shared" si="26"/>
        <v>7</v>
      </c>
      <c r="C1649" s="5">
        <v>67.900000000000006</v>
      </c>
    </row>
    <row r="1650" spans="1:3" x14ac:dyDescent="0.35">
      <c r="A1650" s="9">
        <v>41462</v>
      </c>
      <c r="B1650">
        <f t="shared" si="26"/>
        <v>7</v>
      </c>
      <c r="C1650" s="5">
        <v>67.5</v>
      </c>
    </row>
    <row r="1651" spans="1:3" x14ac:dyDescent="0.35">
      <c r="A1651" s="9">
        <v>41463</v>
      </c>
      <c r="B1651">
        <f t="shared" si="26"/>
        <v>7</v>
      </c>
      <c r="C1651" s="5">
        <v>66.599999999999994</v>
      </c>
    </row>
    <row r="1652" spans="1:3" x14ac:dyDescent="0.35">
      <c r="A1652" s="9">
        <v>41464</v>
      </c>
      <c r="B1652">
        <f t="shared" si="26"/>
        <v>7</v>
      </c>
      <c r="C1652" s="5">
        <v>65.7</v>
      </c>
    </row>
    <row r="1653" spans="1:3" x14ac:dyDescent="0.35">
      <c r="A1653" s="9">
        <v>41465</v>
      </c>
      <c r="B1653">
        <f t="shared" si="26"/>
        <v>7</v>
      </c>
      <c r="C1653" s="5">
        <v>65</v>
      </c>
    </row>
    <row r="1654" spans="1:3" x14ac:dyDescent="0.35">
      <c r="A1654" s="9">
        <v>41466</v>
      </c>
      <c r="B1654">
        <f t="shared" si="26"/>
        <v>7</v>
      </c>
      <c r="C1654" s="5">
        <v>64</v>
      </c>
    </row>
    <row r="1655" spans="1:3" x14ac:dyDescent="0.35">
      <c r="A1655" s="9">
        <v>41467</v>
      </c>
      <c r="B1655">
        <f t="shared" si="26"/>
        <v>7</v>
      </c>
      <c r="C1655" s="5">
        <v>62.8</v>
      </c>
    </row>
    <row r="1656" spans="1:3" x14ac:dyDescent="0.35">
      <c r="A1656" s="9">
        <v>41468</v>
      </c>
      <c r="B1656">
        <f t="shared" si="26"/>
        <v>7</v>
      </c>
      <c r="C1656" s="5">
        <v>61.9</v>
      </c>
    </row>
    <row r="1657" spans="1:3" x14ac:dyDescent="0.35">
      <c r="A1657" s="9">
        <v>41469</v>
      </c>
      <c r="B1657">
        <f t="shared" si="26"/>
        <v>7</v>
      </c>
      <c r="C1657" s="5">
        <v>61.2</v>
      </c>
    </row>
    <row r="1658" spans="1:3" x14ac:dyDescent="0.35">
      <c r="A1658" s="9">
        <v>41470</v>
      </c>
      <c r="B1658">
        <f t="shared" si="26"/>
        <v>7</v>
      </c>
      <c r="C1658" s="5">
        <v>60.8</v>
      </c>
    </row>
    <row r="1659" spans="1:3" x14ac:dyDescent="0.35">
      <c r="A1659" s="9">
        <v>41471</v>
      </c>
      <c r="B1659">
        <f t="shared" si="26"/>
        <v>7</v>
      </c>
      <c r="C1659" s="5">
        <v>60.6</v>
      </c>
    </row>
    <row r="1660" spans="1:3" x14ac:dyDescent="0.35">
      <c r="A1660" s="9">
        <v>41472</v>
      </c>
      <c r="B1660">
        <f t="shared" si="26"/>
        <v>7</v>
      </c>
      <c r="C1660" s="5">
        <v>60.8</v>
      </c>
    </row>
    <row r="1661" spans="1:3" x14ac:dyDescent="0.35">
      <c r="A1661" s="9">
        <v>41473</v>
      </c>
      <c r="B1661">
        <f t="shared" si="26"/>
        <v>7</v>
      </c>
      <c r="C1661" s="5">
        <v>61</v>
      </c>
    </row>
    <row r="1662" spans="1:3" x14ac:dyDescent="0.35">
      <c r="A1662" s="9">
        <v>41474</v>
      </c>
      <c r="B1662">
        <f t="shared" si="26"/>
        <v>7</v>
      </c>
      <c r="C1662" s="5">
        <v>61.7</v>
      </c>
    </row>
    <row r="1663" spans="1:3" x14ac:dyDescent="0.35">
      <c r="A1663" s="9">
        <v>41475</v>
      </c>
      <c r="B1663">
        <f t="shared" si="26"/>
        <v>7</v>
      </c>
      <c r="C1663" s="5">
        <v>63.1</v>
      </c>
    </row>
    <row r="1664" spans="1:3" x14ac:dyDescent="0.35">
      <c r="A1664" s="9">
        <v>41476</v>
      </c>
      <c r="B1664">
        <f t="shared" si="26"/>
        <v>7</v>
      </c>
      <c r="C1664" s="5">
        <v>64.5</v>
      </c>
    </row>
    <row r="1665" spans="1:3" x14ac:dyDescent="0.35">
      <c r="A1665" s="9">
        <v>41477</v>
      </c>
      <c r="B1665">
        <f t="shared" si="26"/>
        <v>7</v>
      </c>
      <c r="C1665" s="5">
        <v>64.599999999999994</v>
      </c>
    </row>
    <row r="1666" spans="1:3" x14ac:dyDescent="0.35">
      <c r="A1666" s="9">
        <v>41478</v>
      </c>
      <c r="B1666">
        <f t="shared" si="26"/>
        <v>7</v>
      </c>
      <c r="C1666" s="5">
        <v>63.8</v>
      </c>
    </row>
    <row r="1667" spans="1:3" x14ac:dyDescent="0.35">
      <c r="A1667" s="9">
        <v>41479</v>
      </c>
      <c r="B1667">
        <f t="shared" si="26"/>
        <v>7</v>
      </c>
      <c r="C1667" s="5">
        <v>62.6</v>
      </c>
    </row>
    <row r="1668" spans="1:3" x14ac:dyDescent="0.35">
      <c r="A1668" s="9">
        <v>41480</v>
      </c>
      <c r="B1668">
        <f t="shared" ref="B1668:B1731" si="27">MONTH(A1668)</f>
        <v>7</v>
      </c>
      <c r="C1668" s="5">
        <v>61.6</v>
      </c>
    </row>
    <row r="1669" spans="1:3" x14ac:dyDescent="0.35">
      <c r="A1669" s="9">
        <v>41481</v>
      </c>
      <c r="B1669">
        <f t="shared" si="27"/>
        <v>7</v>
      </c>
      <c r="C1669" s="5">
        <v>61.1</v>
      </c>
    </row>
    <row r="1670" spans="1:3" x14ac:dyDescent="0.35">
      <c r="A1670" s="9">
        <v>41482</v>
      </c>
      <c r="B1670">
        <f t="shared" si="27"/>
        <v>7</v>
      </c>
      <c r="C1670" s="5">
        <v>60.7</v>
      </c>
    </row>
    <row r="1671" spans="1:3" x14ac:dyDescent="0.35">
      <c r="A1671" s="9">
        <v>41483</v>
      </c>
      <c r="B1671">
        <f t="shared" si="27"/>
        <v>7</v>
      </c>
      <c r="C1671" s="5">
        <v>60.5</v>
      </c>
    </row>
    <row r="1672" spans="1:3" x14ac:dyDescent="0.35">
      <c r="A1672" s="9">
        <v>41484</v>
      </c>
      <c r="B1672">
        <f t="shared" si="27"/>
        <v>7</v>
      </c>
      <c r="C1672" s="5">
        <v>60.9</v>
      </c>
    </row>
    <row r="1673" spans="1:3" x14ac:dyDescent="0.35">
      <c r="A1673" s="9">
        <v>41485</v>
      </c>
      <c r="B1673">
        <f t="shared" si="27"/>
        <v>7</v>
      </c>
      <c r="C1673" s="5">
        <v>63</v>
      </c>
    </row>
    <row r="1674" spans="1:3" x14ac:dyDescent="0.35">
      <c r="A1674" s="9">
        <v>41486</v>
      </c>
      <c r="B1674">
        <f t="shared" si="27"/>
        <v>7</v>
      </c>
      <c r="C1674" s="5">
        <v>66.3</v>
      </c>
    </row>
    <row r="1675" spans="1:3" x14ac:dyDescent="0.35">
      <c r="A1675" s="9">
        <v>41487</v>
      </c>
      <c r="B1675">
        <f t="shared" si="27"/>
        <v>8</v>
      </c>
      <c r="C1675" s="5">
        <v>68.599999999999994</v>
      </c>
    </row>
    <row r="1676" spans="1:3" x14ac:dyDescent="0.35">
      <c r="A1676" s="9">
        <v>41488</v>
      </c>
      <c r="B1676">
        <f t="shared" si="27"/>
        <v>8</v>
      </c>
      <c r="C1676" s="5">
        <v>73.5</v>
      </c>
    </row>
    <row r="1677" spans="1:3" x14ac:dyDescent="0.35">
      <c r="A1677" s="9">
        <v>41489</v>
      </c>
      <c r="B1677">
        <f t="shared" si="27"/>
        <v>8</v>
      </c>
      <c r="C1677" s="5">
        <v>71.8</v>
      </c>
    </row>
    <row r="1678" spans="1:3" x14ac:dyDescent="0.35">
      <c r="A1678" s="9">
        <v>41490</v>
      </c>
      <c r="B1678">
        <f t="shared" si="27"/>
        <v>8</v>
      </c>
      <c r="C1678" s="5">
        <v>69.599999999999994</v>
      </c>
    </row>
    <row r="1679" spans="1:3" x14ac:dyDescent="0.35">
      <c r="A1679" s="9">
        <v>41491</v>
      </c>
      <c r="B1679">
        <f t="shared" si="27"/>
        <v>8</v>
      </c>
      <c r="C1679" s="5">
        <v>67.900000000000006</v>
      </c>
    </row>
    <row r="1680" spans="1:3" x14ac:dyDescent="0.35">
      <c r="A1680" s="9">
        <v>41492</v>
      </c>
      <c r="B1680">
        <f t="shared" si="27"/>
        <v>8</v>
      </c>
      <c r="C1680" s="5">
        <v>66.900000000000006</v>
      </c>
    </row>
    <row r="1681" spans="1:3" x14ac:dyDescent="0.35">
      <c r="A1681" s="9">
        <v>41493</v>
      </c>
      <c r="B1681">
        <f t="shared" si="27"/>
        <v>8</v>
      </c>
      <c r="C1681" s="5">
        <v>66.3</v>
      </c>
    </row>
    <row r="1682" spans="1:3" x14ac:dyDescent="0.35">
      <c r="A1682" s="9">
        <v>41494</v>
      </c>
      <c r="B1682">
        <f t="shared" si="27"/>
        <v>8</v>
      </c>
      <c r="C1682" s="5">
        <v>66.2</v>
      </c>
    </row>
    <row r="1683" spans="1:3" x14ac:dyDescent="0.35">
      <c r="A1683" s="9">
        <v>41495</v>
      </c>
      <c r="B1683">
        <f t="shared" si="27"/>
        <v>8</v>
      </c>
      <c r="C1683" s="5">
        <v>69.5</v>
      </c>
    </row>
    <row r="1684" spans="1:3" x14ac:dyDescent="0.35">
      <c r="A1684" s="9">
        <v>41496</v>
      </c>
      <c r="B1684">
        <f t="shared" si="27"/>
        <v>8</v>
      </c>
      <c r="C1684" s="5">
        <v>77.599999999999994</v>
      </c>
    </row>
    <row r="1685" spans="1:3" x14ac:dyDescent="0.35">
      <c r="A1685" s="9">
        <v>41497</v>
      </c>
      <c r="B1685">
        <f t="shared" si="27"/>
        <v>8</v>
      </c>
      <c r="C1685" s="5">
        <v>89.1</v>
      </c>
    </row>
    <row r="1686" spans="1:3" x14ac:dyDescent="0.35">
      <c r="A1686" s="9">
        <v>41498</v>
      </c>
      <c r="B1686">
        <f t="shared" si="27"/>
        <v>8</v>
      </c>
      <c r="C1686" s="5">
        <v>96.9</v>
      </c>
    </row>
    <row r="1687" spans="1:3" x14ac:dyDescent="0.35">
      <c r="A1687" s="9">
        <v>41499</v>
      </c>
      <c r="B1687">
        <f t="shared" si="27"/>
        <v>8</v>
      </c>
      <c r="C1687" s="5">
        <v>99.2</v>
      </c>
    </row>
    <row r="1688" spans="1:3" x14ac:dyDescent="0.35">
      <c r="A1688" s="9">
        <v>41500</v>
      </c>
      <c r="B1688">
        <f t="shared" si="27"/>
        <v>8</v>
      </c>
      <c r="C1688" s="5">
        <v>94.5</v>
      </c>
    </row>
    <row r="1689" spans="1:3" x14ac:dyDescent="0.35">
      <c r="A1689" s="9">
        <v>41501</v>
      </c>
      <c r="B1689">
        <f t="shared" si="27"/>
        <v>8</v>
      </c>
      <c r="C1689" s="5">
        <v>87</v>
      </c>
    </row>
    <row r="1690" spans="1:3" x14ac:dyDescent="0.35">
      <c r="A1690" s="9">
        <v>41502</v>
      </c>
      <c r="B1690">
        <f t="shared" si="27"/>
        <v>8</v>
      </c>
      <c r="C1690" s="5">
        <v>80.099999999999994</v>
      </c>
    </row>
    <row r="1691" spans="1:3" x14ac:dyDescent="0.35">
      <c r="A1691" s="9">
        <v>41503</v>
      </c>
      <c r="B1691">
        <f t="shared" si="27"/>
        <v>8</v>
      </c>
      <c r="C1691" s="5">
        <v>74.8</v>
      </c>
    </row>
    <row r="1692" spans="1:3" x14ac:dyDescent="0.35">
      <c r="A1692" s="9">
        <v>41504</v>
      </c>
      <c r="B1692">
        <f t="shared" si="27"/>
        <v>8</v>
      </c>
      <c r="C1692" s="5">
        <v>72.599999999999994</v>
      </c>
    </row>
    <row r="1693" spans="1:3" x14ac:dyDescent="0.35">
      <c r="A1693" s="9">
        <v>41505</v>
      </c>
      <c r="B1693">
        <f t="shared" si="27"/>
        <v>8</v>
      </c>
      <c r="C1693" s="5">
        <v>76.599999999999994</v>
      </c>
    </row>
    <row r="1694" spans="1:3" x14ac:dyDescent="0.35">
      <c r="A1694" s="9">
        <v>41506</v>
      </c>
      <c r="B1694">
        <f t="shared" si="27"/>
        <v>8</v>
      </c>
      <c r="C1694" s="5">
        <v>86.8</v>
      </c>
    </row>
    <row r="1695" spans="1:3" x14ac:dyDescent="0.35">
      <c r="A1695" s="9">
        <v>41507</v>
      </c>
      <c r="B1695">
        <f t="shared" si="27"/>
        <v>8</v>
      </c>
      <c r="C1695" s="5">
        <v>96.5</v>
      </c>
    </row>
    <row r="1696" spans="1:3" x14ac:dyDescent="0.35">
      <c r="A1696" s="9">
        <v>41508</v>
      </c>
      <c r="B1696">
        <f t="shared" si="27"/>
        <v>8</v>
      </c>
      <c r="C1696" s="5">
        <v>98.3</v>
      </c>
    </row>
    <row r="1697" spans="1:3" x14ac:dyDescent="0.35">
      <c r="A1697" s="9">
        <v>41509</v>
      </c>
      <c r="B1697">
        <f t="shared" si="27"/>
        <v>8</v>
      </c>
      <c r="C1697" s="5">
        <v>98.1</v>
      </c>
    </row>
    <row r="1698" spans="1:3" x14ac:dyDescent="0.35">
      <c r="A1698" s="9">
        <v>41510</v>
      </c>
      <c r="B1698">
        <f t="shared" si="27"/>
        <v>8</v>
      </c>
      <c r="C1698" s="5">
        <v>100.3</v>
      </c>
    </row>
    <row r="1699" spans="1:3" x14ac:dyDescent="0.35">
      <c r="A1699" s="9">
        <v>41511</v>
      </c>
      <c r="B1699">
        <f t="shared" si="27"/>
        <v>8</v>
      </c>
      <c r="C1699" s="5">
        <v>104</v>
      </c>
    </row>
    <row r="1700" spans="1:3" x14ac:dyDescent="0.35">
      <c r="A1700" s="9">
        <v>41512</v>
      </c>
      <c r="B1700">
        <f t="shared" si="27"/>
        <v>8</v>
      </c>
      <c r="C1700" s="5">
        <v>103.3</v>
      </c>
    </row>
    <row r="1701" spans="1:3" x14ac:dyDescent="0.35">
      <c r="A1701" s="9">
        <v>41513</v>
      </c>
      <c r="B1701">
        <f t="shared" si="27"/>
        <v>8</v>
      </c>
      <c r="C1701" s="5">
        <v>97.1</v>
      </c>
    </row>
    <row r="1702" spans="1:3" x14ac:dyDescent="0.35">
      <c r="A1702" s="9">
        <v>41514</v>
      </c>
      <c r="B1702">
        <f t="shared" si="27"/>
        <v>8</v>
      </c>
      <c r="C1702" s="5">
        <v>88.3</v>
      </c>
    </row>
    <row r="1703" spans="1:3" x14ac:dyDescent="0.35">
      <c r="A1703" s="9">
        <v>41515</v>
      </c>
      <c r="B1703">
        <f t="shared" si="27"/>
        <v>8</v>
      </c>
      <c r="C1703" s="5">
        <v>80.599999999999994</v>
      </c>
    </row>
    <row r="1704" spans="1:3" x14ac:dyDescent="0.35">
      <c r="A1704" s="9">
        <v>41516</v>
      </c>
      <c r="B1704">
        <f t="shared" si="27"/>
        <v>8</v>
      </c>
      <c r="C1704" s="5">
        <v>76.2</v>
      </c>
    </row>
    <row r="1705" spans="1:3" x14ac:dyDescent="0.35">
      <c r="A1705" s="9">
        <v>41517</v>
      </c>
      <c r="B1705">
        <f t="shared" si="27"/>
        <v>8</v>
      </c>
      <c r="C1705" s="5">
        <v>78.900000000000006</v>
      </c>
    </row>
    <row r="1706" spans="1:3" x14ac:dyDescent="0.35">
      <c r="A1706" s="9">
        <v>41518</v>
      </c>
      <c r="B1706">
        <f t="shared" si="27"/>
        <v>9</v>
      </c>
      <c r="C1706" s="5">
        <v>90.1</v>
      </c>
    </row>
    <row r="1707" spans="1:3" x14ac:dyDescent="0.35">
      <c r="A1707" s="9">
        <v>41519</v>
      </c>
      <c r="B1707">
        <f t="shared" si="27"/>
        <v>9</v>
      </c>
      <c r="C1707" s="5">
        <v>132</v>
      </c>
    </row>
    <row r="1708" spans="1:3" x14ac:dyDescent="0.35">
      <c r="A1708" s="9">
        <v>41520</v>
      </c>
      <c r="B1708">
        <f t="shared" si="27"/>
        <v>9</v>
      </c>
      <c r="C1708" s="5">
        <v>143.1</v>
      </c>
    </row>
    <row r="1709" spans="1:3" x14ac:dyDescent="0.35">
      <c r="A1709" s="9">
        <v>41521</v>
      </c>
      <c r="B1709">
        <f t="shared" si="27"/>
        <v>9</v>
      </c>
      <c r="C1709" s="5">
        <v>152.1</v>
      </c>
    </row>
    <row r="1710" spans="1:3" x14ac:dyDescent="0.35">
      <c r="A1710" s="9">
        <v>41522</v>
      </c>
      <c r="B1710">
        <f t="shared" si="27"/>
        <v>9</v>
      </c>
      <c r="C1710" s="5">
        <v>157.4</v>
      </c>
    </row>
    <row r="1711" spans="1:3" x14ac:dyDescent="0.35">
      <c r="A1711" s="9">
        <v>41523</v>
      </c>
      <c r="B1711">
        <f t="shared" si="27"/>
        <v>9</v>
      </c>
      <c r="C1711" s="5">
        <v>150.9</v>
      </c>
    </row>
    <row r="1712" spans="1:3" x14ac:dyDescent="0.35">
      <c r="A1712" s="9">
        <v>41524</v>
      </c>
      <c r="B1712">
        <f t="shared" si="27"/>
        <v>9</v>
      </c>
      <c r="C1712" s="5">
        <v>142.30000000000001</v>
      </c>
    </row>
    <row r="1713" spans="1:3" x14ac:dyDescent="0.35">
      <c r="A1713" s="9">
        <v>41525</v>
      </c>
      <c r="B1713">
        <f t="shared" si="27"/>
        <v>9</v>
      </c>
      <c r="C1713" s="5">
        <v>136.1</v>
      </c>
    </row>
    <row r="1714" spans="1:3" x14ac:dyDescent="0.35">
      <c r="A1714" s="9">
        <v>41526</v>
      </c>
      <c r="B1714">
        <f t="shared" si="27"/>
        <v>9</v>
      </c>
      <c r="C1714" s="5">
        <v>133.1</v>
      </c>
    </row>
    <row r="1715" spans="1:3" x14ac:dyDescent="0.35">
      <c r="A1715" s="9">
        <v>41527</v>
      </c>
      <c r="B1715">
        <f t="shared" si="27"/>
        <v>9</v>
      </c>
      <c r="C1715" s="5">
        <v>133</v>
      </c>
    </row>
    <row r="1716" spans="1:3" x14ac:dyDescent="0.35">
      <c r="A1716" s="9">
        <v>41528</v>
      </c>
      <c r="B1716">
        <f t="shared" si="27"/>
        <v>9</v>
      </c>
      <c r="C1716" s="5">
        <v>136.69999999999999</v>
      </c>
    </row>
    <row r="1717" spans="1:3" x14ac:dyDescent="0.35">
      <c r="A1717" s="9">
        <v>41529</v>
      </c>
      <c r="B1717">
        <f t="shared" si="27"/>
        <v>9</v>
      </c>
      <c r="C1717" s="5">
        <v>141.80000000000001</v>
      </c>
    </row>
    <row r="1718" spans="1:3" x14ac:dyDescent="0.35">
      <c r="A1718" s="9">
        <v>41530</v>
      </c>
      <c r="B1718">
        <f t="shared" si="27"/>
        <v>9</v>
      </c>
      <c r="C1718" s="5">
        <v>140.6</v>
      </c>
    </row>
    <row r="1719" spans="1:3" x14ac:dyDescent="0.35">
      <c r="A1719" s="9">
        <v>41531</v>
      </c>
      <c r="B1719">
        <f t="shared" si="27"/>
        <v>9</v>
      </c>
      <c r="C1719" s="5">
        <v>137.6</v>
      </c>
    </row>
    <row r="1720" spans="1:3" x14ac:dyDescent="0.35">
      <c r="A1720" s="9">
        <v>41532</v>
      </c>
      <c r="B1720">
        <f t="shared" si="27"/>
        <v>9</v>
      </c>
      <c r="C1720" s="5">
        <v>136.19999999999999</v>
      </c>
    </row>
    <row r="1721" spans="1:3" x14ac:dyDescent="0.35">
      <c r="A1721" s="9">
        <v>41533</v>
      </c>
      <c r="B1721">
        <f t="shared" si="27"/>
        <v>9</v>
      </c>
      <c r="C1721" s="5">
        <v>136.4</v>
      </c>
    </row>
    <row r="1722" spans="1:3" x14ac:dyDescent="0.35">
      <c r="A1722" s="9">
        <v>41534</v>
      </c>
      <c r="B1722">
        <f t="shared" si="27"/>
        <v>9</v>
      </c>
      <c r="C1722" s="5">
        <v>139.4</v>
      </c>
    </row>
    <row r="1723" spans="1:3" x14ac:dyDescent="0.35">
      <c r="A1723" s="9">
        <v>41535</v>
      </c>
      <c r="B1723">
        <f t="shared" si="27"/>
        <v>9</v>
      </c>
      <c r="C1723" s="5">
        <v>146.30000000000001</v>
      </c>
    </row>
    <row r="1724" spans="1:3" x14ac:dyDescent="0.35">
      <c r="A1724" s="9">
        <v>41536</v>
      </c>
      <c r="B1724">
        <f t="shared" si="27"/>
        <v>9</v>
      </c>
      <c r="C1724" s="5">
        <v>152.69999999999999</v>
      </c>
    </row>
    <row r="1725" spans="1:3" x14ac:dyDescent="0.35">
      <c r="A1725" s="9">
        <v>41537</v>
      </c>
      <c r="B1725">
        <f t="shared" si="27"/>
        <v>9</v>
      </c>
      <c r="C1725" s="5">
        <v>153.4</v>
      </c>
    </row>
    <row r="1726" spans="1:3" x14ac:dyDescent="0.35">
      <c r="A1726" s="9">
        <v>41538</v>
      </c>
      <c r="B1726">
        <f t="shared" si="27"/>
        <v>9</v>
      </c>
      <c r="C1726" s="5">
        <v>155.1</v>
      </c>
    </row>
    <row r="1727" spans="1:3" x14ac:dyDescent="0.35">
      <c r="A1727" s="9">
        <v>41539</v>
      </c>
      <c r="B1727">
        <f t="shared" si="27"/>
        <v>9</v>
      </c>
      <c r="C1727" s="5">
        <v>159.30000000000001</v>
      </c>
    </row>
    <row r="1728" spans="1:3" x14ac:dyDescent="0.35">
      <c r="A1728" s="9">
        <v>41540</v>
      </c>
      <c r="B1728">
        <f t="shared" si="27"/>
        <v>9</v>
      </c>
      <c r="C1728" s="5">
        <v>161.80000000000001</v>
      </c>
    </row>
    <row r="1729" spans="1:3" x14ac:dyDescent="0.35">
      <c r="A1729" s="9">
        <v>41541</v>
      </c>
      <c r="B1729">
        <f t="shared" si="27"/>
        <v>9</v>
      </c>
      <c r="C1729" s="5">
        <v>160.5</v>
      </c>
    </row>
    <row r="1730" spans="1:3" x14ac:dyDescent="0.35">
      <c r="A1730" s="9">
        <v>41542</v>
      </c>
      <c r="B1730">
        <f t="shared" si="27"/>
        <v>9</v>
      </c>
      <c r="C1730" s="5">
        <v>157.5</v>
      </c>
    </row>
    <row r="1731" spans="1:3" x14ac:dyDescent="0.35">
      <c r="A1731" s="9">
        <v>41543</v>
      </c>
      <c r="B1731">
        <f t="shared" si="27"/>
        <v>9</v>
      </c>
      <c r="C1731" s="5">
        <v>156.6</v>
      </c>
    </row>
    <row r="1732" spans="1:3" x14ac:dyDescent="0.35">
      <c r="A1732" s="9">
        <v>41544</v>
      </c>
      <c r="B1732">
        <f t="shared" ref="B1732:B1795" si="28">MONTH(A1732)</f>
        <v>9</v>
      </c>
      <c r="C1732" s="5">
        <v>158.4</v>
      </c>
    </row>
    <row r="1733" spans="1:3" x14ac:dyDescent="0.35">
      <c r="A1733" s="9">
        <v>41545</v>
      </c>
      <c r="B1733">
        <f t="shared" si="28"/>
        <v>9</v>
      </c>
      <c r="C1733" s="5">
        <v>162.5</v>
      </c>
    </row>
    <row r="1734" spans="1:3" x14ac:dyDescent="0.35">
      <c r="A1734" s="9">
        <v>41546</v>
      </c>
      <c r="B1734">
        <f t="shared" si="28"/>
        <v>9</v>
      </c>
      <c r="C1734" s="5">
        <v>170.5</v>
      </c>
    </row>
    <row r="1735" spans="1:3" x14ac:dyDescent="0.35">
      <c r="A1735" s="9">
        <v>41547</v>
      </c>
      <c r="B1735">
        <f t="shared" si="28"/>
        <v>9</v>
      </c>
      <c r="C1735" s="5">
        <v>173.9</v>
      </c>
    </row>
    <row r="1736" spans="1:3" x14ac:dyDescent="0.35">
      <c r="A1736" s="9">
        <v>41548</v>
      </c>
      <c r="B1736">
        <f t="shared" si="28"/>
        <v>10</v>
      </c>
      <c r="C1736" s="5">
        <v>167.1</v>
      </c>
    </row>
    <row r="1737" spans="1:3" x14ac:dyDescent="0.35">
      <c r="A1737" s="9">
        <v>41549</v>
      </c>
      <c r="B1737">
        <f t="shared" si="28"/>
        <v>10</v>
      </c>
      <c r="C1737" s="5">
        <v>175.4</v>
      </c>
    </row>
    <row r="1738" spans="1:3" x14ac:dyDescent="0.35">
      <c r="A1738" s="9">
        <v>41550</v>
      </c>
      <c r="B1738">
        <f t="shared" si="28"/>
        <v>10</v>
      </c>
      <c r="C1738" s="5">
        <v>173</v>
      </c>
    </row>
    <row r="1739" spans="1:3" x14ac:dyDescent="0.35">
      <c r="A1739" s="9">
        <v>41551</v>
      </c>
      <c r="B1739">
        <f t="shared" si="28"/>
        <v>10</v>
      </c>
      <c r="C1739" s="5">
        <v>175.4</v>
      </c>
    </row>
    <row r="1740" spans="1:3" x14ac:dyDescent="0.35">
      <c r="A1740" s="9">
        <v>41552</v>
      </c>
      <c r="B1740">
        <f t="shared" si="28"/>
        <v>10</v>
      </c>
      <c r="C1740" s="5">
        <v>180.4</v>
      </c>
    </row>
    <row r="1741" spans="1:3" x14ac:dyDescent="0.35">
      <c r="A1741" s="9">
        <v>41553</v>
      </c>
      <c r="B1741">
        <f t="shared" si="28"/>
        <v>10</v>
      </c>
      <c r="C1741" s="5">
        <v>189.3</v>
      </c>
    </row>
    <row r="1742" spans="1:3" x14ac:dyDescent="0.35">
      <c r="A1742" s="9">
        <v>41554</v>
      </c>
      <c r="B1742">
        <f t="shared" si="28"/>
        <v>10</v>
      </c>
      <c r="C1742" s="5">
        <v>204.6</v>
      </c>
    </row>
    <row r="1743" spans="1:3" x14ac:dyDescent="0.35">
      <c r="A1743" s="9">
        <v>41555</v>
      </c>
      <c r="B1743">
        <f t="shared" si="28"/>
        <v>10</v>
      </c>
      <c r="C1743" s="5">
        <v>220.7</v>
      </c>
    </row>
    <row r="1744" spans="1:3" x14ac:dyDescent="0.35">
      <c r="A1744" s="9">
        <v>41556</v>
      </c>
      <c r="B1744">
        <f t="shared" si="28"/>
        <v>10</v>
      </c>
      <c r="C1744" s="5">
        <v>233.6</v>
      </c>
    </row>
    <row r="1745" spans="1:3" x14ac:dyDescent="0.35">
      <c r="A1745" s="9">
        <v>41557</v>
      </c>
      <c r="B1745">
        <f t="shared" si="28"/>
        <v>10</v>
      </c>
      <c r="C1745" s="5">
        <v>240.6</v>
      </c>
    </row>
    <row r="1746" spans="1:3" x14ac:dyDescent="0.35">
      <c r="A1746" s="9">
        <v>41558</v>
      </c>
      <c r="B1746">
        <f t="shared" si="28"/>
        <v>10</v>
      </c>
      <c r="C1746" s="5">
        <v>243</v>
      </c>
    </row>
    <row r="1747" spans="1:3" x14ac:dyDescent="0.35">
      <c r="A1747" s="9">
        <v>41559</v>
      </c>
      <c r="B1747">
        <f t="shared" si="28"/>
        <v>10</v>
      </c>
      <c r="C1747" s="5">
        <v>244.9</v>
      </c>
    </row>
    <row r="1748" spans="1:3" x14ac:dyDescent="0.35">
      <c r="A1748" s="9">
        <v>41560</v>
      </c>
      <c r="B1748">
        <f t="shared" si="28"/>
        <v>10</v>
      </c>
      <c r="C1748" s="5">
        <v>242.1</v>
      </c>
    </row>
    <row r="1749" spans="1:3" x14ac:dyDescent="0.35">
      <c r="A1749" s="9">
        <v>41561</v>
      </c>
      <c r="B1749">
        <f t="shared" si="28"/>
        <v>10</v>
      </c>
      <c r="C1749" s="5">
        <v>229.8</v>
      </c>
    </row>
    <row r="1750" spans="1:3" x14ac:dyDescent="0.35">
      <c r="A1750" s="9">
        <v>41562</v>
      </c>
      <c r="B1750">
        <f t="shared" si="28"/>
        <v>10</v>
      </c>
      <c r="C1750" s="5">
        <v>215.4</v>
      </c>
    </row>
    <row r="1751" spans="1:3" x14ac:dyDescent="0.35">
      <c r="A1751" s="9">
        <v>41563</v>
      </c>
      <c r="B1751">
        <f t="shared" si="28"/>
        <v>10</v>
      </c>
      <c r="C1751" s="5">
        <v>202.6</v>
      </c>
    </row>
    <row r="1752" spans="1:3" x14ac:dyDescent="0.35">
      <c r="A1752" s="9">
        <v>41564</v>
      </c>
      <c r="B1752">
        <f t="shared" si="28"/>
        <v>10</v>
      </c>
      <c r="C1752" s="5">
        <v>194.8</v>
      </c>
    </row>
    <row r="1753" spans="1:3" x14ac:dyDescent="0.35">
      <c r="A1753" s="9">
        <v>41565</v>
      </c>
      <c r="B1753">
        <f t="shared" si="28"/>
        <v>10</v>
      </c>
      <c r="C1753" s="5">
        <v>197.5</v>
      </c>
    </row>
    <row r="1754" spans="1:3" x14ac:dyDescent="0.35">
      <c r="A1754" s="9">
        <v>41566</v>
      </c>
      <c r="B1754">
        <f t="shared" si="28"/>
        <v>10</v>
      </c>
      <c r="C1754" s="5">
        <v>205.6</v>
      </c>
    </row>
    <row r="1755" spans="1:3" x14ac:dyDescent="0.35">
      <c r="A1755" s="9">
        <v>41567</v>
      </c>
      <c r="B1755">
        <f t="shared" si="28"/>
        <v>10</v>
      </c>
      <c r="C1755" s="5">
        <v>212.1</v>
      </c>
    </row>
    <row r="1756" spans="1:3" x14ac:dyDescent="0.35">
      <c r="A1756" s="9">
        <v>41568</v>
      </c>
      <c r="B1756">
        <f t="shared" si="28"/>
        <v>10</v>
      </c>
      <c r="C1756" s="5">
        <v>216.6</v>
      </c>
    </row>
    <row r="1757" spans="1:3" x14ac:dyDescent="0.35">
      <c r="A1757" s="9">
        <v>41569</v>
      </c>
      <c r="B1757">
        <f t="shared" si="28"/>
        <v>10</v>
      </c>
      <c r="C1757" s="5">
        <v>215.6</v>
      </c>
    </row>
    <row r="1758" spans="1:3" x14ac:dyDescent="0.35">
      <c r="A1758" s="9">
        <v>41570</v>
      </c>
      <c r="B1758">
        <f t="shared" si="28"/>
        <v>10</v>
      </c>
      <c r="C1758" s="5">
        <v>207.8</v>
      </c>
    </row>
    <row r="1759" spans="1:3" x14ac:dyDescent="0.35">
      <c r="A1759" s="9">
        <v>41571</v>
      </c>
      <c r="B1759">
        <f t="shared" si="28"/>
        <v>10</v>
      </c>
      <c r="C1759" s="5">
        <v>202.5</v>
      </c>
    </row>
    <row r="1760" spans="1:3" x14ac:dyDescent="0.35">
      <c r="A1760" s="9">
        <v>41572</v>
      </c>
      <c r="B1760">
        <f t="shared" si="28"/>
        <v>10</v>
      </c>
      <c r="C1760" s="5">
        <v>205</v>
      </c>
    </row>
    <row r="1761" spans="1:3" x14ac:dyDescent="0.35">
      <c r="A1761" s="9">
        <v>41573</v>
      </c>
      <c r="B1761">
        <f t="shared" si="28"/>
        <v>10</v>
      </c>
      <c r="C1761" s="5">
        <v>208.4</v>
      </c>
    </row>
    <row r="1762" spans="1:3" x14ac:dyDescent="0.35">
      <c r="A1762" s="9">
        <v>41574</v>
      </c>
      <c r="B1762">
        <f t="shared" si="28"/>
        <v>10</v>
      </c>
      <c r="C1762" s="5">
        <v>203.4</v>
      </c>
    </row>
    <row r="1763" spans="1:3" x14ac:dyDescent="0.35">
      <c r="A1763" s="9">
        <v>41575</v>
      </c>
      <c r="B1763">
        <f t="shared" si="28"/>
        <v>10</v>
      </c>
      <c r="C1763" s="5">
        <v>196.8</v>
      </c>
    </row>
    <row r="1764" spans="1:3" x14ac:dyDescent="0.35">
      <c r="A1764" s="9">
        <v>41576</v>
      </c>
      <c r="B1764">
        <f t="shared" si="28"/>
        <v>10</v>
      </c>
      <c r="C1764" s="5">
        <v>195.8</v>
      </c>
    </row>
    <row r="1765" spans="1:3" x14ac:dyDescent="0.35">
      <c r="A1765" s="9">
        <v>41577</v>
      </c>
      <c r="B1765">
        <f t="shared" si="28"/>
        <v>10</v>
      </c>
      <c r="C1765" s="5">
        <v>201.9</v>
      </c>
    </row>
    <row r="1766" spans="1:3" x14ac:dyDescent="0.35">
      <c r="A1766" s="9">
        <v>41578</v>
      </c>
      <c r="B1766">
        <f t="shared" si="28"/>
        <v>10</v>
      </c>
      <c r="C1766" s="5">
        <v>205</v>
      </c>
    </row>
    <row r="1767" spans="1:3" x14ac:dyDescent="0.35">
      <c r="A1767" s="9">
        <v>41579</v>
      </c>
      <c r="B1767">
        <f t="shared" si="28"/>
        <v>11</v>
      </c>
      <c r="C1767" s="5">
        <v>194.5</v>
      </c>
    </row>
    <row r="1768" spans="1:3" x14ac:dyDescent="0.35">
      <c r="A1768" s="9">
        <v>41580</v>
      </c>
      <c r="B1768">
        <f t="shared" si="28"/>
        <v>11</v>
      </c>
      <c r="C1768" s="5">
        <v>194.6</v>
      </c>
    </row>
    <row r="1769" spans="1:3" x14ac:dyDescent="0.35">
      <c r="A1769" s="9">
        <v>41581</v>
      </c>
      <c r="B1769">
        <f t="shared" si="28"/>
        <v>11</v>
      </c>
      <c r="C1769" s="5">
        <v>194.8</v>
      </c>
    </row>
    <row r="1770" spans="1:3" x14ac:dyDescent="0.35">
      <c r="A1770" s="9">
        <v>41582</v>
      </c>
      <c r="B1770">
        <f t="shared" si="28"/>
        <v>11</v>
      </c>
      <c r="C1770" s="5">
        <v>211.1</v>
      </c>
    </row>
    <row r="1771" spans="1:3" x14ac:dyDescent="0.35">
      <c r="A1771" s="9">
        <v>41583</v>
      </c>
      <c r="B1771">
        <f t="shared" si="28"/>
        <v>11</v>
      </c>
      <c r="C1771" s="5">
        <v>232.7</v>
      </c>
    </row>
    <row r="1772" spans="1:3" x14ac:dyDescent="0.35">
      <c r="A1772" s="9">
        <v>41584</v>
      </c>
      <c r="B1772">
        <f t="shared" si="28"/>
        <v>11</v>
      </c>
      <c r="C1772" s="5">
        <v>248.4</v>
      </c>
    </row>
    <row r="1773" spans="1:3" x14ac:dyDescent="0.35">
      <c r="A1773" s="9">
        <v>41585</v>
      </c>
      <c r="B1773">
        <f t="shared" si="28"/>
        <v>11</v>
      </c>
      <c r="C1773" s="5">
        <v>251.5</v>
      </c>
    </row>
    <row r="1774" spans="1:3" x14ac:dyDescent="0.35">
      <c r="A1774" s="9">
        <v>41586</v>
      </c>
      <c r="B1774">
        <f t="shared" si="28"/>
        <v>11</v>
      </c>
      <c r="C1774" s="5">
        <v>240</v>
      </c>
    </row>
    <row r="1775" spans="1:3" x14ac:dyDescent="0.35">
      <c r="A1775" s="9">
        <v>41587</v>
      </c>
      <c r="B1775">
        <f t="shared" si="28"/>
        <v>11</v>
      </c>
      <c r="C1775" s="5">
        <v>226.1</v>
      </c>
    </row>
    <row r="1776" spans="1:3" x14ac:dyDescent="0.35">
      <c r="A1776" s="9">
        <v>41588</v>
      </c>
      <c r="B1776">
        <f t="shared" si="28"/>
        <v>11</v>
      </c>
      <c r="C1776" s="5">
        <v>218.7</v>
      </c>
    </row>
    <row r="1777" spans="1:3" x14ac:dyDescent="0.35">
      <c r="A1777" s="9">
        <v>41589</v>
      </c>
      <c r="B1777">
        <f t="shared" si="28"/>
        <v>11</v>
      </c>
      <c r="C1777" s="5">
        <v>219.2</v>
      </c>
    </row>
    <row r="1778" spans="1:3" x14ac:dyDescent="0.35">
      <c r="A1778" s="9">
        <v>41590</v>
      </c>
      <c r="B1778">
        <f t="shared" si="28"/>
        <v>11</v>
      </c>
      <c r="C1778" s="5">
        <v>228.2</v>
      </c>
    </row>
    <row r="1779" spans="1:3" x14ac:dyDescent="0.35">
      <c r="A1779" s="9">
        <v>41591</v>
      </c>
      <c r="B1779">
        <f t="shared" si="28"/>
        <v>11</v>
      </c>
      <c r="C1779" s="5">
        <v>239.1</v>
      </c>
    </row>
    <row r="1780" spans="1:3" x14ac:dyDescent="0.35">
      <c r="A1780" s="9">
        <v>41592</v>
      </c>
      <c r="B1780">
        <f t="shared" si="28"/>
        <v>11</v>
      </c>
      <c r="C1780" s="5">
        <v>248.5</v>
      </c>
    </row>
    <row r="1781" spans="1:3" x14ac:dyDescent="0.35">
      <c r="A1781" s="9">
        <v>41593</v>
      </c>
      <c r="B1781">
        <f t="shared" si="28"/>
        <v>11</v>
      </c>
      <c r="C1781" s="5">
        <v>259.60000000000002</v>
      </c>
    </row>
    <row r="1782" spans="1:3" x14ac:dyDescent="0.35">
      <c r="A1782" s="9">
        <v>41594</v>
      </c>
      <c r="B1782">
        <f t="shared" si="28"/>
        <v>11</v>
      </c>
      <c r="C1782" s="5">
        <v>263.60000000000002</v>
      </c>
    </row>
    <row r="1783" spans="1:3" x14ac:dyDescent="0.35">
      <c r="A1783" s="9">
        <v>41595</v>
      </c>
      <c r="B1783">
        <f t="shared" si="28"/>
        <v>11</v>
      </c>
      <c r="C1783" s="5">
        <v>254.6</v>
      </c>
    </row>
    <row r="1784" spans="1:3" x14ac:dyDescent="0.35">
      <c r="A1784" s="9">
        <v>41596</v>
      </c>
      <c r="B1784">
        <f t="shared" si="28"/>
        <v>11</v>
      </c>
      <c r="C1784" s="5">
        <v>241.5</v>
      </c>
    </row>
    <row r="1785" spans="1:3" x14ac:dyDescent="0.35">
      <c r="A1785" s="9">
        <v>41597</v>
      </c>
      <c r="B1785">
        <f t="shared" si="28"/>
        <v>11</v>
      </c>
      <c r="C1785" s="5">
        <v>230.4</v>
      </c>
    </row>
    <row r="1786" spans="1:3" x14ac:dyDescent="0.35">
      <c r="A1786" s="9">
        <v>41598</v>
      </c>
      <c r="B1786">
        <f t="shared" si="28"/>
        <v>11</v>
      </c>
      <c r="C1786" s="5">
        <v>223.7</v>
      </c>
    </row>
    <row r="1787" spans="1:3" x14ac:dyDescent="0.35">
      <c r="A1787" s="9">
        <v>41599</v>
      </c>
      <c r="B1787">
        <f t="shared" si="28"/>
        <v>11</v>
      </c>
      <c r="C1787" s="5">
        <v>214.9</v>
      </c>
    </row>
    <row r="1788" spans="1:3" x14ac:dyDescent="0.35">
      <c r="A1788" s="9">
        <v>41600</v>
      </c>
      <c r="B1788">
        <f t="shared" si="28"/>
        <v>11</v>
      </c>
      <c r="C1788" s="5">
        <v>205.3</v>
      </c>
    </row>
    <row r="1789" spans="1:3" x14ac:dyDescent="0.35">
      <c r="A1789" s="9">
        <v>41601</v>
      </c>
      <c r="B1789">
        <f t="shared" si="28"/>
        <v>11</v>
      </c>
      <c r="C1789" s="5">
        <v>203.4</v>
      </c>
    </row>
    <row r="1790" spans="1:3" x14ac:dyDescent="0.35">
      <c r="A1790" s="9">
        <v>41602</v>
      </c>
      <c r="B1790">
        <f t="shared" si="28"/>
        <v>11</v>
      </c>
      <c r="C1790" s="5">
        <v>206.8</v>
      </c>
    </row>
    <row r="1791" spans="1:3" x14ac:dyDescent="0.35">
      <c r="A1791" s="9">
        <v>41603</v>
      </c>
      <c r="B1791">
        <f t="shared" si="28"/>
        <v>11</v>
      </c>
      <c r="C1791" s="5">
        <v>211.4</v>
      </c>
    </row>
    <row r="1792" spans="1:3" x14ac:dyDescent="0.35">
      <c r="A1792" s="9">
        <v>41604</v>
      </c>
      <c r="B1792">
        <f t="shared" si="28"/>
        <v>11</v>
      </c>
      <c r="C1792" s="5">
        <v>215.3</v>
      </c>
    </row>
    <row r="1793" spans="1:3" x14ac:dyDescent="0.35">
      <c r="A1793" s="9">
        <v>41605</v>
      </c>
      <c r="B1793">
        <f t="shared" si="28"/>
        <v>11</v>
      </c>
      <c r="C1793" s="5">
        <v>219.3</v>
      </c>
    </row>
    <row r="1794" spans="1:3" x14ac:dyDescent="0.35">
      <c r="A1794" s="9">
        <v>41606</v>
      </c>
      <c r="B1794">
        <f t="shared" si="28"/>
        <v>11</v>
      </c>
      <c r="C1794" s="5">
        <v>216.5</v>
      </c>
    </row>
    <row r="1795" spans="1:3" x14ac:dyDescent="0.35">
      <c r="A1795" s="9">
        <v>41607</v>
      </c>
      <c r="B1795">
        <f t="shared" si="28"/>
        <v>11</v>
      </c>
      <c r="C1795" s="5">
        <v>212.4</v>
      </c>
    </row>
    <row r="1796" spans="1:3" x14ac:dyDescent="0.35">
      <c r="A1796" s="9">
        <v>41608</v>
      </c>
      <c r="B1796">
        <f t="shared" ref="B1796:B1859" si="29">MONTH(A1796)</f>
        <v>11</v>
      </c>
      <c r="C1796" s="5">
        <v>210.2</v>
      </c>
    </row>
    <row r="1797" spans="1:3" x14ac:dyDescent="0.35">
      <c r="A1797" s="9">
        <v>41609</v>
      </c>
      <c r="B1797">
        <f t="shared" si="29"/>
        <v>12</v>
      </c>
      <c r="C1797" s="5">
        <v>210.5</v>
      </c>
    </row>
    <row r="1798" spans="1:3" x14ac:dyDescent="0.35">
      <c r="A1798" s="9">
        <v>41610</v>
      </c>
      <c r="B1798">
        <f t="shared" si="29"/>
        <v>12</v>
      </c>
      <c r="C1798" s="5">
        <v>220.5</v>
      </c>
    </row>
    <row r="1799" spans="1:3" x14ac:dyDescent="0.35">
      <c r="A1799" s="9">
        <v>41611</v>
      </c>
      <c r="B1799">
        <f t="shared" si="29"/>
        <v>12</v>
      </c>
      <c r="C1799" s="5">
        <v>224.9</v>
      </c>
    </row>
    <row r="1800" spans="1:3" x14ac:dyDescent="0.35">
      <c r="A1800" s="9">
        <v>41612</v>
      </c>
      <c r="B1800">
        <f t="shared" si="29"/>
        <v>12</v>
      </c>
      <c r="C1800" s="5">
        <v>231.1</v>
      </c>
    </row>
    <row r="1801" spans="1:3" x14ac:dyDescent="0.35">
      <c r="A1801" s="9">
        <v>41613</v>
      </c>
      <c r="B1801">
        <f t="shared" si="29"/>
        <v>12</v>
      </c>
      <c r="C1801" s="5">
        <v>228</v>
      </c>
    </row>
    <row r="1802" spans="1:3" x14ac:dyDescent="0.35">
      <c r="A1802" s="9">
        <v>41614</v>
      </c>
      <c r="B1802">
        <f t="shared" si="29"/>
        <v>12</v>
      </c>
      <c r="C1802" s="5">
        <v>222.5</v>
      </c>
    </row>
    <row r="1803" spans="1:3" x14ac:dyDescent="0.35">
      <c r="A1803" s="9">
        <v>41615</v>
      </c>
      <c r="B1803">
        <f t="shared" si="29"/>
        <v>12</v>
      </c>
      <c r="C1803" s="5">
        <v>217.5</v>
      </c>
    </row>
    <row r="1804" spans="1:3" x14ac:dyDescent="0.35">
      <c r="A1804" s="9">
        <v>41616</v>
      </c>
      <c r="B1804">
        <f t="shared" si="29"/>
        <v>12</v>
      </c>
      <c r="C1804" s="5">
        <v>208.8</v>
      </c>
    </row>
    <row r="1805" spans="1:3" x14ac:dyDescent="0.35">
      <c r="A1805" s="9">
        <v>41617</v>
      </c>
      <c r="B1805">
        <f t="shared" si="29"/>
        <v>12</v>
      </c>
      <c r="C1805" s="5">
        <v>202.1</v>
      </c>
    </row>
    <row r="1806" spans="1:3" x14ac:dyDescent="0.35">
      <c r="A1806" s="9">
        <v>41618</v>
      </c>
      <c r="B1806">
        <f t="shared" si="29"/>
        <v>12</v>
      </c>
      <c r="C1806" s="5">
        <v>204.4</v>
      </c>
    </row>
    <row r="1807" spans="1:3" x14ac:dyDescent="0.35">
      <c r="A1807" s="9">
        <v>41619</v>
      </c>
      <c r="B1807">
        <f t="shared" si="29"/>
        <v>12</v>
      </c>
      <c r="C1807" s="5">
        <v>215.7</v>
      </c>
    </row>
    <row r="1808" spans="1:3" x14ac:dyDescent="0.35">
      <c r="A1808" s="9">
        <v>41620</v>
      </c>
      <c r="B1808">
        <f t="shared" si="29"/>
        <v>12</v>
      </c>
      <c r="C1808" s="5">
        <v>225.8</v>
      </c>
    </row>
    <row r="1809" spans="1:3" x14ac:dyDescent="0.35">
      <c r="A1809" s="9">
        <v>41621</v>
      </c>
      <c r="B1809">
        <f t="shared" si="29"/>
        <v>12</v>
      </c>
      <c r="C1809" s="5">
        <v>227.9</v>
      </c>
    </row>
    <row r="1810" spans="1:3" x14ac:dyDescent="0.35">
      <c r="A1810" s="9">
        <v>41622</v>
      </c>
      <c r="B1810">
        <f t="shared" si="29"/>
        <v>12</v>
      </c>
      <c r="C1810" s="5">
        <v>218.1</v>
      </c>
    </row>
    <row r="1811" spans="1:3" x14ac:dyDescent="0.35">
      <c r="A1811" s="9">
        <v>41623</v>
      </c>
      <c r="B1811">
        <f t="shared" si="29"/>
        <v>12</v>
      </c>
      <c r="C1811" s="5">
        <v>202.6</v>
      </c>
    </row>
    <row r="1812" spans="1:3" x14ac:dyDescent="0.35">
      <c r="A1812" s="9">
        <v>41624</v>
      </c>
      <c r="B1812">
        <f t="shared" si="29"/>
        <v>12</v>
      </c>
      <c r="C1812" s="5">
        <v>189.5</v>
      </c>
    </row>
    <row r="1813" spans="1:3" x14ac:dyDescent="0.35">
      <c r="A1813" s="9">
        <v>41625</v>
      </c>
      <c r="B1813">
        <f t="shared" si="29"/>
        <v>12</v>
      </c>
      <c r="C1813" s="5">
        <v>178.7</v>
      </c>
    </row>
    <row r="1814" spans="1:3" x14ac:dyDescent="0.35">
      <c r="A1814" s="9">
        <v>41626</v>
      </c>
      <c r="B1814">
        <f t="shared" si="29"/>
        <v>12</v>
      </c>
      <c r="C1814" s="5">
        <v>168.6</v>
      </c>
    </row>
    <row r="1815" spans="1:3" x14ac:dyDescent="0.35">
      <c r="A1815" s="9">
        <v>41627</v>
      </c>
      <c r="B1815">
        <f t="shared" si="29"/>
        <v>12</v>
      </c>
      <c r="C1815" s="5">
        <v>163.9</v>
      </c>
    </row>
    <row r="1816" spans="1:3" x14ac:dyDescent="0.35">
      <c r="A1816" s="9">
        <v>41628</v>
      </c>
      <c r="B1816">
        <f t="shared" si="29"/>
        <v>12</v>
      </c>
      <c r="C1816" s="5">
        <v>171.4</v>
      </c>
    </row>
    <row r="1817" spans="1:3" x14ac:dyDescent="0.35">
      <c r="A1817" s="9">
        <v>41629</v>
      </c>
      <c r="B1817">
        <f t="shared" si="29"/>
        <v>12</v>
      </c>
      <c r="C1817" s="5">
        <v>188.2</v>
      </c>
    </row>
    <row r="1818" spans="1:3" x14ac:dyDescent="0.35">
      <c r="A1818" s="9">
        <v>41630</v>
      </c>
      <c r="B1818">
        <f t="shared" si="29"/>
        <v>12</v>
      </c>
      <c r="C1818" s="5">
        <v>202.1</v>
      </c>
    </row>
    <row r="1819" spans="1:3" x14ac:dyDescent="0.35">
      <c r="A1819" s="9">
        <v>41631</v>
      </c>
      <c r="B1819">
        <f t="shared" si="29"/>
        <v>12</v>
      </c>
      <c r="C1819" s="5">
        <v>207.3</v>
      </c>
    </row>
    <row r="1820" spans="1:3" x14ac:dyDescent="0.35">
      <c r="A1820" s="9">
        <v>41632</v>
      </c>
      <c r="B1820">
        <f t="shared" si="29"/>
        <v>12</v>
      </c>
      <c r="C1820" s="5">
        <v>209.5</v>
      </c>
    </row>
    <row r="1821" spans="1:3" x14ac:dyDescent="0.35">
      <c r="A1821" s="9">
        <v>41633</v>
      </c>
      <c r="B1821">
        <f t="shared" si="29"/>
        <v>12</v>
      </c>
      <c r="C1821" s="5">
        <v>214</v>
      </c>
    </row>
    <row r="1822" spans="1:3" x14ac:dyDescent="0.35">
      <c r="A1822" s="9">
        <v>41634</v>
      </c>
      <c r="B1822">
        <f t="shared" si="29"/>
        <v>12</v>
      </c>
      <c r="C1822" s="5">
        <v>227.7</v>
      </c>
    </row>
    <row r="1823" spans="1:3" x14ac:dyDescent="0.35">
      <c r="A1823" s="9">
        <v>41635</v>
      </c>
      <c r="B1823">
        <f t="shared" si="29"/>
        <v>12</v>
      </c>
      <c r="C1823" s="5">
        <v>242.9</v>
      </c>
    </row>
    <row r="1824" spans="1:3" x14ac:dyDescent="0.35">
      <c r="A1824" s="9">
        <v>41636</v>
      </c>
      <c r="B1824">
        <f t="shared" si="29"/>
        <v>12</v>
      </c>
      <c r="C1824" s="5">
        <v>263.3</v>
      </c>
    </row>
    <row r="1825" spans="1:3" x14ac:dyDescent="0.35">
      <c r="A1825" s="9">
        <v>41637</v>
      </c>
      <c r="B1825">
        <f t="shared" si="29"/>
        <v>12</v>
      </c>
      <c r="C1825" s="5">
        <v>285.7</v>
      </c>
    </row>
    <row r="1826" spans="1:3" x14ac:dyDescent="0.35">
      <c r="A1826" s="9">
        <v>41638</v>
      </c>
      <c r="B1826">
        <f t="shared" si="29"/>
        <v>12</v>
      </c>
      <c r="C1826" s="5">
        <v>299</v>
      </c>
    </row>
    <row r="1827" spans="1:3" x14ac:dyDescent="0.35">
      <c r="A1827" s="9">
        <v>41639</v>
      </c>
      <c r="B1827">
        <f t="shared" si="29"/>
        <v>12</v>
      </c>
      <c r="C1827" s="5">
        <v>299.39999999999998</v>
      </c>
    </row>
    <row r="1828" spans="1:3" x14ac:dyDescent="0.35">
      <c r="A1828" s="9">
        <v>41640</v>
      </c>
      <c r="B1828">
        <f t="shared" si="29"/>
        <v>1</v>
      </c>
      <c r="C1828" s="5">
        <v>291.3</v>
      </c>
    </row>
    <row r="1829" spans="1:3" x14ac:dyDescent="0.35">
      <c r="A1829" s="9">
        <v>41641</v>
      </c>
      <c r="B1829">
        <f t="shared" si="29"/>
        <v>1</v>
      </c>
      <c r="C1829" s="5">
        <v>268.3</v>
      </c>
    </row>
    <row r="1830" spans="1:3" x14ac:dyDescent="0.35">
      <c r="A1830" s="9">
        <v>41642</v>
      </c>
      <c r="B1830">
        <f t="shared" si="29"/>
        <v>1</v>
      </c>
      <c r="C1830" s="5">
        <v>243.1</v>
      </c>
    </row>
    <row r="1831" spans="1:3" x14ac:dyDescent="0.35">
      <c r="A1831" s="9">
        <v>41643</v>
      </c>
      <c r="B1831">
        <f t="shared" si="29"/>
        <v>1</v>
      </c>
      <c r="C1831" s="5">
        <v>228.1</v>
      </c>
    </row>
    <row r="1832" spans="1:3" x14ac:dyDescent="0.35">
      <c r="A1832" s="9">
        <v>41644</v>
      </c>
      <c r="B1832">
        <f t="shared" si="29"/>
        <v>1</v>
      </c>
      <c r="C1832" s="5">
        <v>227.9</v>
      </c>
    </row>
    <row r="1833" spans="1:3" x14ac:dyDescent="0.35">
      <c r="A1833" s="9">
        <v>41645</v>
      </c>
      <c r="B1833">
        <f t="shared" si="29"/>
        <v>1</v>
      </c>
      <c r="C1833" s="5">
        <v>233.4</v>
      </c>
    </row>
    <row r="1834" spans="1:3" x14ac:dyDescent="0.35">
      <c r="A1834" s="9">
        <v>41646</v>
      </c>
      <c r="B1834">
        <f t="shared" si="29"/>
        <v>1</v>
      </c>
      <c r="C1834" s="5">
        <v>232.5</v>
      </c>
    </row>
    <row r="1835" spans="1:3" x14ac:dyDescent="0.35">
      <c r="A1835" s="9">
        <v>41647</v>
      </c>
      <c r="B1835">
        <f t="shared" si="29"/>
        <v>1</v>
      </c>
      <c r="C1835" s="5">
        <v>228.2</v>
      </c>
    </row>
    <row r="1836" spans="1:3" x14ac:dyDescent="0.35">
      <c r="A1836" s="9">
        <v>41648</v>
      </c>
      <c r="B1836">
        <f t="shared" si="29"/>
        <v>1</v>
      </c>
      <c r="C1836" s="5">
        <v>219</v>
      </c>
    </row>
    <row r="1837" spans="1:3" x14ac:dyDescent="0.35">
      <c r="A1837" s="9">
        <v>41649</v>
      </c>
      <c r="B1837">
        <f t="shared" si="29"/>
        <v>1</v>
      </c>
      <c r="C1837" s="5">
        <v>210.8</v>
      </c>
    </row>
    <row r="1838" spans="1:3" x14ac:dyDescent="0.35">
      <c r="A1838" s="9">
        <v>41650</v>
      </c>
      <c r="B1838">
        <f t="shared" si="29"/>
        <v>1</v>
      </c>
      <c r="C1838" s="5">
        <v>208.7</v>
      </c>
    </row>
    <row r="1839" spans="1:3" x14ac:dyDescent="0.35">
      <c r="A1839" s="9">
        <v>41651</v>
      </c>
      <c r="B1839">
        <f t="shared" si="29"/>
        <v>1</v>
      </c>
      <c r="C1839" s="5">
        <v>210.8</v>
      </c>
    </row>
    <row r="1840" spans="1:3" x14ac:dyDescent="0.35">
      <c r="A1840" s="9">
        <v>41652</v>
      </c>
      <c r="B1840">
        <f t="shared" si="29"/>
        <v>1</v>
      </c>
      <c r="C1840" s="5">
        <v>214.2</v>
      </c>
    </row>
    <row r="1841" spans="1:3" x14ac:dyDescent="0.35">
      <c r="A1841" s="9">
        <v>41653</v>
      </c>
      <c r="B1841">
        <f t="shared" si="29"/>
        <v>1</v>
      </c>
      <c r="C1841" s="5">
        <v>225.2</v>
      </c>
    </row>
    <row r="1842" spans="1:3" x14ac:dyDescent="0.35">
      <c r="A1842" s="9">
        <v>41654</v>
      </c>
      <c r="B1842">
        <f t="shared" si="29"/>
        <v>1</v>
      </c>
      <c r="C1842" s="5">
        <v>243.8</v>
      </c>
    </row>
    <row r="1843" spans="1:3" x14ac:dyDescent="0.35">
      <c r="A1843" s="9">
        <v>41655</v>
      </c>
      <c r="B1843">
        <f t="shared" si="29"/>
        <v>1</v>
      </c>
      <c r="C1843" s="5">
        <v>256.3</v>
      </c>
    </row>
    <row r="1844" spans="1:3" x14ac:dyDescent="0.35">
      <c r="A1844" s="9">
        <v>41656</v>
      </c>
      <c r="B1844">
        <f t="shared" si="29"/>
        <v>1</v>
      </c>
      <c r="C1844" s="5">
        <v>255.8</v>
      </c>
    </row>
    <row r="1845" spans="1:3" x14ac:dyDescent="0.35">
      <c r="A1845" s="9">
        <v>41657</v>
      </c>
      <c r="B1845">
        <f t="shared" si="29"/>
        <v>1</v>
      </c>
      <c r="C1845" s="5">
        <v>249.2</v>
      </c>
    </row>
    <row r="1846" spans="1:3" x14ac:dyDescent="0.35">
      <c r="A1846" s="9">
        <v>41658</v>
      </c>
      <c r="B1846">
        <f t="shared" si="29"/>
        <v>1</v>
      </c>
      <c r="C1846" s="5">
        <v>235.9</v>
      </c>
    </row>
    <row r="1847" spans="1:3" x14ac:dyDescent="0.35">
      <c r="A1847" s="9">
        <v>41659</v>
      </c>
      <c r="B1847">
        <f t="shared" si="29"/>
        <v>1</v>
      </c>
      <c r="C1847" s="5">
        <v>221.8</v>
      </c>
    </row>
    <row r="1848" spans="1:3" x14ac:dyDescent="0.35">
      <c r="A1848" s="9">
        <v>41660</v>
      </c>
      <c r="B1848">
        <f t="shared" si="29"/>
        <v>1</v>
      </c>
      <c r="C1848" s="5">
        <v>214.5</v>
      </c>
    </row>
    <row r="1849" spans="1:3" x14ac:dyDescent="0.35">
      <c r="A1849" s="9">
        <v>41661</v>
      </c>
      <c r="B1849">
        <f t="shared" si="29"/>
        <v>1</v>
      </c>
      <c r="C1849" s="5">
        <v>210.9</v>
      </c>
    </row>
    <row r="1850" spans="1:3" x14ac:dyDescent="0.35">
      <c r="A1850" s="9">
        <v>41662</v>
      </c>
      <c r="B1850">
        <f t="shared" si="29"/>
        <v>1</v>
      </c>
      <c r="C1850" s="5">
        <v>209.1</v>
      </c>
    </row>
    <row r="1851" spans="1:3" x14ac:dyDescent="0.35">
      <c r="A1851" s="9">
        <v>41663</v>
      </c>
      <c r="B1851">
        <f t="shared" si="29"/>
        <v>1</v>
      </c>
      <c r="C1851" s="5">
        <v>209.4</v>
      </c>
    </row>
    <row r="1852" spans="1:3" x14ac:dyDescent="0.35">
      <c r="A1852" s="9">
        <v>41664</v>
      </c>
      <c r="B1852">
        <f t="shared" si="29"/>
        <v>1</v>
      </c>
      <c r="C1852" s="5">
        <v>206</v>
      </c>
    </row>
    <row r="1853" spans="1:3" x14ac:dyDescent="0.35">
      <c r="A1853" s="9">
        <v>41665</v>
      </c>
      <c r="B1853">
        <f t="shared" si="29"/>
        <v>1</v>
      </c>
      <c r="C1853" s="5">
        <v>198</v>
      </c>
    </row>
    <row r="1854" spans="1:3" x14ac:dyDescent="0.35">
      <c r="A1854" s="9">
        <v>41666</v>
      </c>
      <c r="B1854">
        <f t="shared" si="29"/>
        <v>1</v>
      </c>
      <c r="C1854" s="5">
        <v>188.8</v>
      </c>
    </row>
    <row r="1855" spans="1:3" x14ac:dyDescent="0.35">
      <c r="A1855" s="9">
        <v>41667</v>
      </c>
      <c r="B1855">
        <f t="shared" si="29"/>
        <v>1</v>
      </c>
      <c r="C1855" s="5">
        <v>180.7</v>
      </c>
    </row>
    <row r="1856" spans="1:3" x14ac:dyDescent="0.35">
      <c r="A1856" s="9">
        <v>41668</v>
      </c>
      <c r="B1856">
        <f t="shared" si="29"/>
        <v>1</v>
      </c>
      <c r="C1856" s="5">
        <v>177.8</v>
      </c>
    </row>
    <row r="1857" spans="1:3" x14ac:dyDescent="0.35">
      <c r="A1857" s="9">
        <v>41669</v>
      </c>
      <c r="B1857">
        <f t="shared" si="29"/>
        <v>1</v>
      </c>
      <c r="C1857" s="5">
        <v>183.6</v>
      </c>
    </row>
    <row r="1858" spans="1:3" x14ac:dyDescent="0.35">
      <c r="A1858" s="9">
        <v>41670</v>
      </c>
      <c r="B1858">
        <f t="shared" si="29"/>
        <v>1</v>
      </c>
      <c r="C1858" s="5">
        <v>198.3</v>
      </c>
    </row>
    <row r="1859" spans="1:3" x14ac:dyDescent="0.35">
      <c r="A1859" s="9">
        <v>41671</v>
      </c>
      <c r="B1859">
        <f t="shared" si="29"/>
        <v>2</v>
      </c>
      <c r="C1859" s="5">
        <v>215.5</v>
      </c>
    </row>
    <row r="1860" spans="1:3" x14ac:dyDescent="0.35">
      <c r="A1860" s="9">
        <v>41672</v>
      </c>
      <c r="B1860">
        <f t="shared" ref="B1860:B1923" si="30">MONTH(A1860)</f>
        <v>2</v>
      </c>
      <c r="C1860" s="5">
        <v>205.4</v>
      </c>
    </row>
    <row r="1861" spans="1:3" x14ac:dyDescent="0.35">
      <c r="A1861" s="9">
        <v>41673</v>
      </c>
      <c r="B1861">
        <f t="shared" si="30"/>
        <v>2</v>
      </c>
      <c r="C1861" s="5">
        <v>206.1</v>
      </c>
    </row>
    <row r="1862" spans="1:3" x14ac:dyDescent="0.35">
      <c r="A1862" s="9">
        <v>41674</v>
      </c>
      <c r="B1862">
        <f t="shared" si="30"/>
        <v>2</v>
      </c>
      <c r="C1862" s="5">
        <v>202.3</v>
      </c>
    </row>
    <row r="1863" spans="1:3" x14ac:dyDescent="0.35">
      <c r="A1863" s="9">
        <v>41675</v>
      </c>
      <c r="B1863">
        <f t="shared" si="30"/>
        <v>2</v>
      </c>
      <c r="C1863" s="5">
        <v>193.4</v>
      </c>
    </row>
    <row r="1864" spans="1:3" x14ac:dyDescent="0.35">
      <c r="A1864" s="9">
        <v>41676</v>
      </c>
      <c r="B1864">
        <f t="shared" si="30"/>
        <v>2</v>
      </c>
      <c r="C1864" s="5">
        <v>186.7</v>
      </c>
    </row>
    <row r="1865" spans="1:3" x14ac:dyDescent="0.35">
      <c r="A1865" s="9">
        <v>41677</v>
      </c>
      <c r="B1865">
        <f t="shared" si="30"/>
        <v>2</v>
      </c>
      <c r="C1865" s="5">
        <v>179.4</v>
      </c>
    </row>
    <row r="1866" spans="1:3" x14ac:dyDescent="0.35">
      <c r="A1866" s="9">
        <v>41678</v>
      </c>
      <c r="B1866">
        <f t="shared" si="30"/>
        <v>2</v>
      </c>
      <c r="C1866" s="5">
        <v>171.9</v>
      </c>
    </row>
    <row r="1867" spans="1:3" x14ac:dyDescent="0.35">
      <c r="A1867" s="9">
        <v>41679</v>
      </c>
      <c r="B1867">
        <f t="shared" si="30"/>
        <v>2</v>
      </c>
      <c r="C1867" s="5">
        <v>164.6</v>
      </c>
    </row>
    <row r="1868" spans="1:3" x14ac:dyDescent="0.35">
      <c r="A1868" s="9">
        <v>41680</v>
      </c>
      <c r="B1868">
        <f t="shared" si="30"/>
        <v>2</v>
      </c>
      <c r="C1868" s="5">
        <v>159.80000000000001</v>
      </c>
    </row>
    <row r="1869" spans="1:3" x14ac:dyDescent="0.35">
      <c r="A1869" s="9">
        <v>41681</v>
      </c>
      <c r="B1869">
        <f t="shared" si="30"/>
        <v>2</v>
      </c>
      <c r="C1869" s="5">
        <v>161.1</v>
      </c>
    </row>
    <row r="1870" spans="1:3" x14ac:dyDescent="0.35">
      <c r="A1870" s="9">
        <v>41682</v>
      </c>
      <c r="B1870">
        <f t="shared" si="30"/>
        <v>2</v>
      </c>
      <c r="C1870" s="5">
        <v>167.7</v>
      </c>
    </row>
    <row r="1871" spans="1:3" x14ac:dyDescent="0.35">
      <c r="A1871" s="9">
        <v>41683</v>
      </c>
      <c r="B1871">
        <f t="shared" si="30"/>
        <v>2</v>
      </c>
      <c r="C1871" s="5">
        <v>177.3</v>
      </c>
    </row>
    <row r="1872" spans="1:3" x14ac:dyDescent="0.35">
      <c r="A1872" s="9">
        <v>41684</v>
      </c>
      <c r="B1872">
        <f t="shared" si="30"/>
        <v>2</v>
      </c>
      <c r="C1872" s="5">
        <v>183.7</v>
      </c>
    </row>
    <row r="1873" spans="1:3" x14ac:dyDescent="0.35">
      <c r="A1873" s="9">
        <v>41685</v>
      </c>
      <c r="B1873">
        <f t="shared" si="30"/>
        <v>2</v>
      </c>
      <c r="C1873" s="5">
        <v>189.1</v>
      </c>
    </row>
    <row r="1874" spans="1:3" x14ac:dyDescent="0.35">
      <c r="A1874" s="9">
        <v>41686</v>
      </c>
      <c r="B1874">
        <f t="shared" si="30"/>
        <v>2</v>
      </c>
      <c r="C1874" s="5">
        <v>195.4</v>
      </c>
    </row>
    <row r="1875" spans="1:3" x14ac:dyDescent="0.35">
      <c r="A1875" s="9">
        <v>41687</v>
      </c>
      <c r="B1875">
        <f t="shared" si="30"/>
        <v>2</v>
      </c>
      <c r="C1875" s="5">
        <v>198.7</v>
      </c>
    </row>
    <row r="1876" spans="1:3" x14ac:dyDescent="0.35">
      <c r="A1876" s="9">
        <v>41688</v>
      </c>
      <c r="B1876">
        <f t="shared" si="30"/>
        <v>2</v>
      </c>
      <c r="C1876" s="5">
        <v>191</v>
      </c>
    </row>
    <row r="1877" spans="1:3" x14ac:dyDescent="0.35">
      <c r="A1877" s="9">
        <v>41689</v>
      </c>
      <c r="B1877">
        <f t="shared" si="30"/>
        <v>2</v>
      </c>
      <c r="C1877" s="5">
        <v>182.4</v>
      </c>
    </row>
    <row r="1878" spans="1:3" x14ac:dyDescent="0.35">
      <c r="A1878" s="9">
        <v>41690</v>
      </c>
      <c r="B1878">
        <f t="shared" si="30"/>
        <v>2</v>
      </c>
      <c r="C1878" s="5">
        <v>180.8</v>
      </c>
    </row>
    <row r="1879" spans="1:3" x14ac:dyDescent="0.35">
      <c r="A1879" s="9">
        <v>41691</v>
      </c>
      <c r="B1879">
        <f t="shared" si="30"/>
        <v>2</v>
      </c>
      <c r="C1879" s="5">
        <v>191.8</v>
      </c>
    </row>
    <row r="1880" spans="1:3" x14ac:dyDescent="0.35">
      <c r="A1880" s="9">
        <v>41692</v>
      </c>
      <c r="B1880">
        <f t="shared" si="30"/>
        <v>2</v>
      </c>
      <c r="C1880" s="5">
        <v>207.5</v>
      </c>
    </row>
    <row r="1881" spans="1:3" x14ac:dyDescent="0.35">
      <c r="A1881" s="9">
        <v>41693</v>
      </c>
      <c r="B1881">
        <f t="shared" si="30"/>
        <v>2</v>
      </c>
      <c r="C1881" s="5">
        <v>217.5</v>
      </c>
    </row>
    <row r="1882" spans="1:3" x14ac:dyDescent="0.35">
      <c r="A1882" s="9">
        <v>41694</v>
      </c>
      <c r="B1882">
        <f t="shared" si="30"/>
        <v>2</v>
      </c>
      <c r="C1882" s="5">
        <v>222.1</v>
      </c>
    </row>
    <row r="1883" spans="1:3" x14ac:dyDescent="0.35">
      <c r="A1883" s="9">
        <v>41695</v>
      </c>
      <c r="B1883">
        <f t="shared" si="30"/>
        <v>2</v>
      </c>
      <c r="C1883" s="5">
        <v>218.4</v>
      </c>
    </row>
    <row r="1884" spans="1:3" x14ac:dyDescent="0.35">
      <c r="A1884" s="9">
        <v>41696</v>
      </c>
      <c r="B1884">
        <f t="shared" si="30"/>
        <v>2</v>
      </c>
      <c r="C1884" s="5">
        <v>212.4</v>
      </c>
    </row>
    <row r="1885" spans="1:3" x14ac:dyDescent="0.35">
      <c r="A1885" s="9">
        <v>41697</v>
      </c>
      <c r="B1885">
        <f t="shared" si="30"/>
        <v>2</v>
      </c>
      <c r="C1885" s="5">
        <v>200.5</v>
      </c>
    </row>
    <row r="1886" spans="1:3" x14ac:dyDescent="0.35">
      <c r="A1886" s="9">
        <v>41698</v>
      </c>
      <c r="B1886">
        <f t="shared" si="30"/>
        <v>2</v>
      </c>
      <c r="C1886" s="5">
        <v>189</v>
      </c>
    </row>
    <row r="1887" spans="1:3" x14ac:dyDescent="0.35">
      <c r="A1887" s="9">
        <v>41699</v>
      </c>
      <c r="B1887">
        <f t="shared" si="30"/>
        <v>3</v>
      </c>
      <c r="C1887" s="5">
        <v>177.1</v>
      </c>
    </row>
    <row r="1888" spans="1:3" x14ac:dyDescent="0.35">
      <c r="A1888" s="9">
        <v>41700</v>
      </c>
      <c r="B1888">
        <f t="shared" si="30"/>
        <v>3</v>
      </c>
      <c r="C1888" s="5">
        <v>175.9</v>
      </c>
    </row>
    <row r="1889" spans="1:3" x14ac:dyDescent="0.35">
      <c r="A1889" s="9">
        <v>41701</v>
      </c>
      <c r="B1889">
        <f t="shared" si="30"/>
        <v>3</v>
      </c>
      <c r="C1889" s="5">
        <v>178.1</v>
      </c>
    </row>
    <row r="1890" spans="1:3" x14ac:dyDescent="0.35">
      <c r="A1890" s="9">
        <v>41702</v>
      </c>
      <c r="B1890">
        <f t="shared" si="30"/>
        <v>3</v>
      </c>
      <c r="C1890" s="5">
        <v>188.7</v>
      </c>
    </row>
    <row r="1891" spans="1:3" x14ac:dyDescent="0.35">
      <c r="A1891" s="9">
        <v>41703</v>
      </c>
      <c r="B1891">
        <f t="shared" si="30"/>
        <v>3</v>
      </c>
      <c r="C1891" s="5">
        <v>198.1</v>
      </c>
    </row>
    <row r="1892" spans="1:3" x14ac:dyDescent="0.35">
      <c r="A1892" s="9">
        <v>41704</v>
      </c>
      <c r="B1892">
        <f t="shared" si="30"/>
        <v>3</v>
      </c>
      <c r="C1892" s="5">
        <v>205.7</v>
      </c>
    </row>
    <row r="1893" spans="1:3" x14ac:dyDescent="0.35">
      <c r="A1893" s="9">
        <v>41705</v>
      </c>
      <c r="B1893">
        <f t="shared" si="30"/>
        <v>3</v>
      </c>
      <c r="C1893" s="5">
        <v>208.1</v>
      </c>
    </row>
    <row r="1894" spans="1:3" x14ac:dyDescent="0.35">
      <c r="A1894" s="9">
        <v>41706</v>
      </c>
      <c r="B1894">
        <f t="shared" si="30"/>
        <v>3</v>
      </c>
      <c r="C1894" s="5">
        <v>201.2</v>
      </c>
    </row>
    <row r="1895" spans="1:3" x14ac:dyDescent="0.35">
      <c r="A1895" s="9">
        <v>41707</v>
      </c>
      <c r="B1895">
        <f t="shared" si="30"/>
        <v>3</v>
      </c>
      <c r="C1895" s="5">
        <v>197</v>
      </c>
    </row>
    <row r="1896" spans="1:3" x14ac:dyDescent="0.35">
      <c r="A1896" s="9">
        <v>41708</v>
      </c>
      <c r="B1896">
        <f t="shared" si="30"/>
        <v>3</v>
      </c>
      <c r="C1896" s="5">
        <v>209.3</v>
      </c>
    </row>
    <row r="1897" spans="1:3" x14ac:dyDescent="0.35">
      <c r="A1897" s="9">
        <v>41709</v>
      </c>
      <c r="B1897">
        <f t="shared" si="30"/>
        <v>3</v>
      </c>
      <c r="C1897" s="5">
        <v>239.8</v>
      </c>
    </row>
    <row r="1898" spans="1:3" x14ac:dyDescent="0.35">
      <c r="A1898" s="9">
        <v>41710</v>
      </c>
      <c r="B1898">
        <f t="shared" si="30"/>
        <v>3</v>
      </c>
      <c r="C1898" s="5">
        <v>269.5</v>
      </c>
    </row>
    <row r="1899" spans="1:3" x14ac:dyDescent="0.35">
      <c r="A1899" s="9">
        <v>41711</v>
      </c>
      <c r="B1899">
        <f t="shared" si="30"/>
        <v>3</v>
      </c>
      <c r="C1899" s="5">
        <v>281.10000000000002</v>
      </c>
    </row>
    <row r="1900" spans="1:3" x14ac:dyDescent="0.35">
      <c r="A1900" s="9">
        <v>41712</v>
      </c>
      <c r="B1900">
        <f t="shared" si="30"/>
        <v>3</v>
      </c>
      <c r="C1900" s="5">
        <v>273.7</v>
      </c>
    </row>
    <row r="1901" spans="1:3" x14ac:dyDescent="0.35">
      <c r="A1901" s="9">
        <v>41713</v>
      </c>
      <c r="B1901">
        <f t="shared" si="30"/>
        <v>3</v>
      </c>
      <c r="C1901" s="5">
        <v>254.1</v>
      </c>
    </row>
    <row r="1902" spans="1:3" x14ac:dyDescent="0.35">
      <c r="A1902" s="9">
        <v>41714</v>
      </c>
      <c r="B1902">
        <f t="shared" si="30"/>
        <v>3</v>
      </c>
      <c r="C1902" s="5">
        <v>232.1</v>
      </c>
    </row>
    <row r="1903" spans="1:3" x14ac:dyDescent="0.35">
      <c r="A1903" s="9">
        <v>41715</v>
      </c>
      <c r="B1903">
        <f t="shared" si="30"/>
        <v>3</v>
      </c>
      <c r="C1903" s="5">
        <v>211.3</v>
      </c>
    </row>
    <row r="1904" spans="1:3" x14ac:dyDescent="0.35">
      <c r="A1904" s="9">
        <v>41716</v>
      </c>
      <c r="B1904">
        <f t="shared" si="30"/>
        <v>3</v>
      </c>
      <c r="C1904" s="5">
        <v>195.4</v>
      </c>
    </row>
    <row r="1905" spans="1:3" x14ac:dyDescent="0.35">
      <c r="A1905" s="9">
        <v>41717</v>
      </c>
      <c r="B1905">
        <f t="shared" si="30"/>
        <v>3</v>
      </c>
      <c r="C1905" s="5">
        <v>193.9</v>
      </c>
    </row>
    <row r="1906" spans="1:3" x14ac:dyDescent="0.35">
      <c r="A1906" s="9">
        <v>41718</v>
      </c>
      <c r="B1906">
        <f t="shared" si="30"/>
        <v>3</v>
      </c>
      <c r="C1906" s="5">
        <v>204.1</v>
      </c>
    </row>
    <row r="1907" spans="1:3" x14ac:dyDescent="0.35">
      <c r="A1907" s="9">
        <v>41719</v>
      </c>
      <c r="B1907">
        <f t="shared" si="30"/>
        <v>3</v>
      </c>
      <c r="C1907" s="5">
        <v>210.3</v>
      </c>
    </row>
    <row r="1908" spans="1:3" x14ac:dyDescent="0.35">
      <c r="A1908" s="9">
        <v>41720</v>
      </c>
      <c r="B1908">
        <f t="shared" si="30"/>
        <v>3</v>
      </c>
      <c r="C1908" s="5">
        <v>208</v>
      </c>
    </row>
    <row r="1909" spans="1:3" x14ac:dyDescent="0.35">
      <c r="A1909" s="9">
        <v>41721</v>
      </c>
      <c r="B1909">
        <f t="shared" si="30"/>
        <v>3</v>
      </c>
      <c r="C1909" s="5">
        <v>205.5</v>
      </c>
    </row>
    <row r="1910" spans="1:3" x14ac:dyDescent="0.35">
      <c r="A1910" s="9">
        <v>41722</v>
      </c>
      <c r="B1910">
        <f t="shared" si="30"/>
        <v>3</v>
      </c>
      <c r="C1910" s="5">
        <v>206.3</v>
      </c>
    </row>
    <row r="1911" spans="1:3" x14ac:dyDescent="0.35">
      <c r="A1911" s="9">
        <v>41723</v>
      </c>
      <c r="B1911">
        <f t="shared" si="30"/>
        <v>3</v>
      </c>
      <c r="C1911" s="5">
        <v>208</v>
      </c>
    </row>
    <row r="1912" spans="1:3" x14ac:dyDescent="0.35">
      <c r="A1912" s="9">
        <v>41724</v>
      </c>
      <c r="B1912">
        <f t="shared" si="30"/>
        <v>3</v>
      </c>
      <c r="C1912" s="5">
        <v>210.4</v>
      </c>
    </row>
    <row r="1913" spans="1:3" x14ac:dyDescent="0.35">
      <c r="A1913" s="9">
        <v>41725</v>
      </c>
      <c r="B1913">
        <f t="shared" si="30"/>
        <v>3</v>
      </c>
      <c r="C1913" s="5">
        <v>215.6</v>
      </c>
    </row>
    <row r="1914" spans="1:3" x14ac:dyDescent="0.35">
      <c r="A1914" s="9">
        <v>41726</v>
      </c>
      <c r="B1914">
        <f t="shared" si="30"/>
        <v>3</v>
      </c>
      <c r="C1914" s="5">
        <v>220.9</v>
      </c>
    </row>
    <row r="1915" spans="1:3" x14ac:dyDescent="0.35">
      <c r="A1915" s="9">
        <v>41727</v>
      </c>
      <c r="B1915">
        <f t="shared" si="30"/>
        <v>3</v>
      </c>
      <c r="C1915" s="5">
        <v>223.7</v>
      </c>
    </row>
    <row r="1916" spans="1:3" x14ac:dyDescent="0.35">
      <c r="A1916" s="9">
        <v>41728</v>
      </c>
      <c r="B1916">
        <f t="shared" si="30"/>
        <v>3</v>
      </c>
      <c r="C1916" s="5">
        <v>225.8</v>
      </c>
    </row>
    <row r="1917" spans="1:3" x14ac:dyDescent="0.35">
      <c r="A1917" s="9">
        <v>41729</v>
      </c>
      <c r="B1917">
        <f t="shared" si="30"/>
        <v>3</v>
      </c>
      <c r="C1917" s="5">
        <v>226.1</v>
      </c>
    </row>
    <row r="1918" spans="1:3" x14ac:dyDescent="0.35">
      <c r="A1918" s="9">
        <v>41730</v>
      </c>
      <c r="B1918">
        <f t="shared" si="30"/>
        <v>4</v>
      </c>
      <c r="C1918" s="5">
        <v>215.6</v>
      </c>
    </row>
    <row r="1919" spans="1:3" x14ac:dyDescent="0.35">
      <c r="A1919" s="9">
        <v>41731</v>
      </c>
      <c r="B1919">
        <f t="shared" si="30"/>
        <v>4</v>
      </c>
      <c r="C1919" s="5">
        <v>209.9</v>
      </c>
    </row>
    <row r="1920" spans="1:3" x14ac:dyDescent="0.35">
      <c r="A1920" s="9">
        <v>41732</v>
      </c>
      <c r="B1920">
        <f t="shared" si="30"/>
        <v>4</v>
      </c>
      <c r="C1920" s="5">
        <v>200.9</v>
      </c>
    </row>
    <row r="1921" spans="1:3" x14ac:dyDescent="0.35">
      <c r="A1921" s="9">
        <v>41733</v>
      </c>
      <c r="B1921">
        <f t="shared" si="30"/>
        <v>4</v>
      </c>
      <c r="C1921" s="5">
        <v>197.9</v>
      </c>
    </row>
    <row r="1922" spans="1:3" x14ac:dyDescent="0.35">
      <c r="A1922" s="9">
        <v>41734</v>
      </c>
      <c r="B1922">
        <f t="shared" si="30"/>
        <v>4</v>
      </c>
      <c r="C1922" s="5">
        <v>200.4</v>
      </c>
    </row>
    <row r="1923" spans="1:3" x14ac:dyDescent="0.35">
      <c r="A1923" s="9">
        <v>41735</v>
      </c>
      <c r="B1923">
        <f t="shared" si="30"/>
        <v>4</v>
      </c>
      <c r="C1923" s="5">
        <v>201.6</v>
      </c>
    </row>
    <row r="1924" spans="1:3" x14ac:dyDescent="0.35">
      <c r="A1924" s="9">
        <v>41736</v>
      </c>
      <c r="B1924">
        <f t="shared" ref="B1924:B1987" si="31">MONTH(A1924)</f>
        <v>4</v>
      </c>
      <c r="C1924" s="5">
        <v>202.5</v>
      </c>
    </row>
    <row r="1925" spans="1:3" x14ac:dyDescent="0.35">
      <c r="A1925" s="9">
        <v>41737</v>
      </c>
      <c r="B1925">
        <f t="shared" si="31"/>
        <v>4</v>
      </c>
      <c r="C1925" s="5">
        <v>204.5</v>
      </c>
    </row>
    <row r="1926" spans="1:3" x14ac:dyDescent="0.35">
      <c r="A1926" s="9">
        <v>41738</v>
      </c>
      <c r="B1926">
        <f t="shared" si="31"/>
        <v>4</v>
      </c>
      <c r="C1926" s="5">
        <v>204.7</v>
      </c>
    </row>
    <row r="1927" spans="1:3" x14ac:dyDescent="0.35">
      <c r="A1927" s="9">
        <v>41739</v>
      </c>
      <c r="B1927">
        <f t="shared" si="31"/>
        <v>4</v>
      </c>
      <c r="C1927" s="5">
        <v>201.1</v>
      </c>
    </row>
    <row r="1928" spans="1:3" x14ac:dyDescent="0.35">
      <c r="A1928" s="9">
        <v>41740</v>
      </c>
      <c r="B1928">
        <f t="shared" si="31"/>
        <v>4</v>
      </c>
      <c r="C1928" s="5">
        <v>199.2</v>
      </c>
    </row>
    <row r="1929" spans="1:3" x14ac:dyDescent="0.35">
      <c r="A1929" s="9">
        <v>41741</v>
      </c>
      <c r="B1929">
        <f t="shared" si="31"/>
        <v>4</v>
      </c>
      <c r="C1929" s="5">
        <v>199.1</v>
      </c>
    </row>
    <row r="1930" spans="1:3" x14ac:dyDescent="0.35">
      <c r="A1930" s="9">
        <v>41742</v>
      </c>
      <c r="B1930">
        <f t="shared" si="31"/>
        <v>4</v>
      </c>
      <c r="C1930" s="5">
        <v>203.8</v>
      </c>
    </row>
    <row r="1931" spans="1:3" x14ac:dyDescent="0.35">
      <c r="A1931" s="9">
        <v>41743</v>
      </c>
      <c r="B1931">
        <f t="shared" si="31"/>
        <v>4</v>
      </c>
      <c r="C1931" s="5">
        <v>205.7</v>
      </c>
    </row>
    <row r="1932" spans="1:3" x14ac:dyDescent="0.35">
      <c r="A1932" s="9">
        <v>41744</v>
      </c>
      <c r="B1932">
        <f t="shared" si="31"/>
        <v>4</v>
      </c>
      <c r="C1932" s="5">
        <v>204.7</v>
      </c>
    </row>
    <row r="1933" spans="1:3" x14ac:dyDescent="0.35">
      <c r="A1933" s="9">
        <v>41745</v>
      </c>
      <c r="B1933">
        <f t="shared" si="31"/>
        <v>4</v>
      </c>
      <c r="C1933" s="5">
        <v>204.5</v>
      </c>
    </row>
    <row r="1934" spans="1:3" x14ac:dyDescent="0.35">
      <c r="A1934" s="9">
        <v>41746</v>
      </c>
      <c r="B1934">
        <f t="shared" si="31"/>
        <v>4</v>
      </c>
      <c r="C1934" s="5">
        <v>207.3</v>
      </c>
    </row>
    <row r="1935" spans="1:3" x14ac:dyDescent="0.35">
      <c r="A1935" s="9">
        <v>41747</v>
      </c>
      <c r="B1935">
        <f t="shared" si="31"/>
        <v>4</v>
      </c>
      <c r="C1935" s="5">
        <v>208.8</v>
      </c>
    </row>
    <row r="1936" spans="1:3" x14ac:dyDescent="0.35">
      <c r="A1936" s="9">
        <v>41748</v>
      </c>
      <c r="B1936">
        <f t="shared" si="31"/>
        <v>4</v>
      </c>
      <c r="C1936" s="5">
        <v>203.8</v>
      </c>
    </row>
    <row r="1937" spans="1:3" x14ac:dyDescent="0.35">
      <c r="A1937" s="9">
        <v>41749</v>
      </c>
      <c r="B1937">
        <f t="shared" si="31"/>
        <v>4</v>
      </c>
      <c r="C1937" s="5">
        <v>195.8</v>
      </c>
    </row>
    <row r="1938" spans="1:3" x14ac:dyDescent="0.35">
      <c r="A1938" s="9">
        <v>41750</v>
      </c>
      <c r="B1938">
        <f t="shared" si="31"/>
        <v>4</v>
      </c>
      <c r="C1938" s="5">
        <v>188.6</v>
      </c>
    </row>
    <row r="1939" spans="1:3" x14ac:dyDescent="0.35">
      <c r="A1939" s="9">
        <v>41751</v>
      </c>
      <c r="B1939">
        <f t="shared" si="31"/>
        <v>4</v>
      </c>
      <c r="C1939" s="5">
        <v>185.4</v>
      </c>
    </row>
    <row r="1940" spans="1:3" x14ac:dyDescent="0.35">
      <c r="A1940" s="9">
        <v>41752</v>
      </c>
      <c r="B1940">
        <f t="shared" si="31"/>
        <v>4</v>
      </c>
      <c r="C1940" s="5">
        <v>187</v>
      </c>
    </row>
    <row r="1941" spans="1:3" x14ac:dyDescent="0.35">
      <c r="A1941" s="9">
        <v>41753</v>
      </c>
      <c r="B1941">
        <f t="shared" si="31"/>
        <v>4</v>
      </c>
      <c r="C1941" s="5">
        <v>191.6</v>
      </c>
    </row>
    <row r="1942" spans="1:3" x14ac:dyDescent="0.35">
      <c r="A1942" s="9">
        <v>41754</v>
      </c>
      <c r="B1942">
        <f t="shared" si="31"/>
        <v>4</v>
      </c>
      <c r="C1942" s="5">
        <v>204.7</v>
      </c>
    </row>
    <row r="1943" spans="1:3" x14ac:dyDescent="0.35">
      <c r="A1943" s="9">
        <v>41755</v>
      </c>
      <c r="B1943">
        <f t="shared" si="31"/>
        <v>4</v>
      </c>
      <c r="C1943" s="5">
        <v>220.8</v>
      </c>
    </row>
    <row r="1944" spans="1:3" x14ac:dyDescent="0.35">
      <c r="A1944" s="9">
        <v>41756</v>
      </c>
      <c r="B1944">
        <f t="shared" si="31"/>
        <v>4</v>
      </c>
      <c r="C1944" s="5">
        <v>231</v>
      </c>
    </row>
    <row r="1945" spans="1:3" x14ac:dyDescent="0.35">
      <c r="A1945" s="9">
        <v>41757</v>
      </c>
      <c r="B1945">
        <f t="shared" si="31"/>
        <v>4</v>
      </c>
      <c r="C1945" s="5">
        <v>226.8</v>
      </c>
    </row>
    <row r="1946" spans="1:3" x14ac:dyDescent="0.35">
      <c r="A1946" s="9">
        <v>41758</v>
      </c>
      <c r="B1946">
        <f t="shared" si="31"/>
        <v>4</v>
      </c>
      <c r="C1946" s="5">
        <v>208.8</v>
      </c>
    </row>
    <row r="1947" spans="1:3" x14ac:dyDescent="0.35">
      <c r="A1947" s="9">
        <v>41759</v>
      </c>
      <c r="B1947">
        <f t="shared" si="31"/>
        <v>4</v>
      </c>
      <c r="C1947" s="5">
        <v>188</v>
      </c>
    </row>
    <row r="1948" spans="1:3" x14ac:dyDescent="0.35">
      <c r="A1948" s="9">
        <v>41760</v>
      </c>
      <c r="B1948">
        <f t="shared" si="31"/>
        <v>5</v>
      </c>
      <c r="C1948" s="5">
        <v>174.1</v>
      </c>
    </row>
    <row r="1949" spans="1:3" x14ac:dyDescent="0.35">
      <c r="A1949" s="9">
        <v>41761</v>
      </c>
      <c r="B1949">
        <f t="shared" si="31"/>
        <v>5</v>
      </c>
      <c r="C1949" s="5">
        <v>170.9</v>
      </c>
    </row>
    <row r="1950" spans="1:3" x14ac:dyDescent="0.35">
      <c r="A1950" s="9">
        <v>41762</v>
      </c>
      <c r="B1950">
        <f t="shared" si="31"/>
        <v>5</v>
      </c>
      <c r="C1950" s="5">
        <v>172.4</v>
      </c>
    </row>
    <row r="1951" spans="1:3" x14ac:dyDescent="0.35">
      <c r="A1951" s="9">
        <v>41763</v>
      </c>
      <c r="B1951">
        <f t="shared" si="31"/>
        <v>5</v>
      </c>
      <c r="C1951" s="5">
        <v>170.1</v>
      </c>
    </row>
    <row r="1952" spans="1:3" x14ac:dyDescent="0.35">
      <c r="A1952" s="9">
        <v>41764</v>
      </c>
      <c r="B1952">
        <f t="shared" si="31"/>
        <v>5</v>
      </c>
      <c r="C1952" s="5">
        <v>162.80000000000001</v>
      </c>
    </row>
    <row r="1953" spans="1:3" x14ac:dyDescent="0.35">
      <c r="A1953" s="9">
        <v>41765</v>
      </c>
      <c r="B1953">
        <f t="shared" si="31"/>
        <v>5</v>
      </c>
      <c r="C1953" s="5">
        <v>153.30000000000001</v>
      </c>
    </row>
    <row r="1954" spans="1:3" x14ac:dyDescent="0.35">
      <c r="A1954" s="9">
        <v>41766</v>
      </c>
      <c r="B1954">
        <f t="shared" si="31"/>
        <v>5</v>
      </c>
      <c r="C1954" s="5">
        <v>145.1</v>
      </c>
    </row>
    <row r="1955" spans="1:3" x14ac:dyDescent="0.35">
      <c r="A1955" s="9">
        <v>41767</v>
      </c>
      <c r="B1955">
        <f t="shared" si="31"/>
        <v>5</v>
      </c>
      <c r="C1955" s="5">
        <v>142.6</v>
      </c>
    </row>
    <row r="1956" spans="1:3" x14ac:dyDescent="0.35">
      <c r="A1956" s="9">
        <v>41768</v>
      </c>
      <c r="B1956">
        <f t="shared" si="31"/>
        <v>5</v>
      </c>
      <c r="C1956" s="5">
        <v>146.4</v>
      </c>
    </row>
    <row r="1957" spans="1:3" x14ac:dyDescent="0.35">
      <c r="A1957" s="9">
        <v>41769</v>
      </c>
      <c r="B1957">
        <f t="shared" si="31"/>
        <v>5</v>
      </c>
      <c r="C1957" s="5">
        <v>153.6</v>
      </c>
    </row>
    <row r="1958" spans="1:3" x14ac:dyDescent="0.35">
      <c r="A1958" s="9">
        <v>41770</v>
      </c>
      <c r="B1958">
        <f t="shared" si="31"/>
        <v>5</v>
      </c>
      <c r="C1958" s="5">
        <v>159.6</v>
      </c>
    </row>
    <row r="1959" spans="1:3" x14ac:dyDescent="0.35">
      <c r="A1959" s="9">
        <v>41771</v>
      </c>
      <c r="B1959">
        <f t="shared" si="31"/>
        <v>5</v>
      </c>
      <c r="C1959" s="5">
        <v>170.9</v>
      </c>
    </row>
    <row r="1960" spans="1:3" x14ac:dyDescent="0.35">
      <c r="A1960" s="9">
        <v>41772</v>
      </c>
      <c r="B1960">
        <f t="shared" si="31"/>
        <v>5</v>
      </c>
      <c r="C1960" s="5">
        <v>189.3</v>
      </c>
    </row>
    <row r="1961" spans="1:3" x14ac:dyDescent="0.35">
      <c r="A1961" s="9">
        <v>41773</v>
      </c>
      <c r="B1961">
        <f t="shared" si="31"/>
        <v>5</v>
      </c>
      <c r="C1961" s="5">
        <v>204.2</v>
      </c>
    </row>
    <row r="1962" spans="1:3" x14ac:dyDescent="0.35">
      <c r="A1962" s="9">
        <v>41774</v>
      </c>
      <c r="B1962">
        <f t="shared" si="31"/>
        <v>5</v>
      </c>
      <c r="C1962" s="5">
        <v>203.2</v>
      </c>
    </row>
    <row r="1963" spans="1:3" x14ac:dyDescent="0.35">
      <c r="A1963" s="9">
        <v>41775</v>
      </c>
      <c r="B1963">
        <f t="shared" si="31"/>
        <v>5</v>
      </c>
      <c r="C1963" s="5">
        <v>191.9</v>
      </c>
    </row>
    <row r="1964" spans="1:3" x14ac:dyDescent="0.35">
      <c r="A1964" s="9">
        <v>41776</v>
      </c>
      <c r="B1964">
        <f t="shared" si="31"/>
        <v>5</v>
      </c>
      <c r="C1964" s="5">
        <v>180.7</v>
      </c>
    </row>
    <row r="1965" spans="1:3" x14ac:dyDescent="0.35">
      <c r="A1965" s="9">
        <v>41777</v>
      </c>
      <c r="B1965">
        <f t="shared" si="31"/>
        <v>5</v>
      </c>
      <c r="C1965" s="5">
        <v>175.7</v>
      </c>
    </row>
    <row r="1966" spans="1:3" x14ac:dyDescent="0.35">
      <c r="A1966" s="9">
        <v>41778</v>
      </c>
      <c r="B1966">
        <f t="shared" si="31"/>
        <v>5</v>
      </c>
      <c r="C1966" s="5">
        <v>172.5</v>
      </c>
    </row>
    <row r="1967" spans="1:3" x14ac:dyDescent="0.35">
      <c r="A1967" s="9">
        <v>41779</v>
      </c>
      <c r="B1967">
        <f t="shared" si="31"/>
        <v>5</v>
      </c>
      <c r="C1967" s="5">
        <v>166.9</v>
      </c>
    </row>
    <row r="1968" spans="1:3" x14ac:dyDescent="0.35">
      <c r="A1968" s="9">
        <v>41780</v>
      </c>
      <c r="B1968">
        <f t="shared" si="31"/>
        <v>5</v>
      </c>
      <c r="C1968" s="5">
        <v>157.5</v>
      </c>
    </row>
    <row r="1969" spans="1:3" x14ac:dyDescent="0.35">
      <c r="A1969" s="9">
        <v>41781</v>
      </c>
      <c r="B1969">
        <f t="shared" si="31"/>
        <v>5</v>
      </c>
      <c r="C1969" s="5">
        <v>147.9</v>
      </c>
    </row>
    <row r="1970" spans="1:3" x14ac:dyDescent="0.35">
      <c r="A1970" s="9">
        <v>41782</v>
      </c>
      <c r="B1970">
        <f t="shared" si="31"/>
        <v>5</v>
      </c>
      <c r="C1970" s="5">
        <v>140.6</v>
      </c>
    </row>
    <row r="1971" spans="1:3" x14ac:dyDescent="0.35">
      <c r="A1971" s="9">
        <v>41783</v>
      </c>
      <c r="B1971">
        <f t="shared" si="31"/>
        <v>5</v>
      </c>
      <c r="C1971" s="5">
        <v>135.9</v>
      </c>
    </row>
    <row r="1972" spans="1:3" x14ac:dyDescent="0.35">
      <c r="A1972" s="9">
        <v>41784</v>
      </c>
      <c r="B1972">
        <f t="shared" si="31"/>
        <v>5</v>
      </c>
      <c r="C1972" s="5">
        <v>133.19999999999999</v>
      </c>
    </row>
    <row r="1973" spans="1:3" x14ac:dyDescent="0.35">
      <c r="A1973" s="9">
        <v>41785</v>
      </c>
      <c r="B1973">
        <f t="shared" si="31"/>
        <v>5</v>
      </c>
      <c r="C1973" s="5">
        <v>131.4</v>
      </c>
    </row>
    <row r="1974" spans="1:3" x14ac:dyDescent="0.35">
      <c r="A1974" s="9">
        <v>41786</v>
      </c>
      <c r="B1974">
        <f t="shared" si="31"/>
        <v>5</v>
      </c>
      <c r="C1974" s="5">
        <v>129.69999999999999</v>
      </c>
    </row>
    <row r="1975" spans="1:3" x14ac:dyDescent="0.35">
      <c r="A1975" s="9">
        <v>41787</v>
      </c>
      <c r="B1975">
        <f t="shared" si="31"/>
        <v>5</v>
      </c>
      <c r="C1975" s="5">
        <v>128.1</v>
      </c>
    </row>
    <row r="1976" spans="1:3" x14ac:dyDescent="0.35">
      <c r="A1976" s="9">
        <v>41788</v>
      </c>
      <c r="B1976">
        <f t="shared" si="31"/>
        <v>5</v>
      </c>
      <c r="C1976" s="5">
        <v>127.5</v>
      </c>
    </row>
    <row r="1977" spans="1:3" x14ac:dyDescent="0.35">
      <c r="A1977" s="9">
        <v>41789</v>
      </c>
      <c r="B1977">
        <f t="shared" si="31"/>
        <v>5</v>
      </c>
      <c r="C1977" s="5">
        <v>130.19999999999999</v>
      </c>
    </row>
    <row r="1978" spans="1:3" x14ac:dyDescent="0.35">
      <c r="A1978" s="9">
        <v>41790</v>
      </c>
      <c r="B1978">
        <f t="shared" si="31"/>
        <v>5</v>
      </c>
      <c r="C1978" s="5">
        <v>135.80000000000001</v>
      </c>
    </row>
    <row r="1979" spans="1:3" x14ac:dyDescent="0.35">
      <c r="A1979" s="9">
        <v>41791</v>
      </c>
      <c r="B1979">
        <f t="shared" si="31"/>
        <v>6</v>
      </c>
      <c r="C1979" s="5">
        <v>140.4</v>
      </c>
    </row>
    <row r="1980" spans="1:3" x14ac:dyDescent="0.35">
      <c r="A1980" s="9">
        <v>41792</v>
      </c>
      <c r="B1980">
        <f t="shared" si="31"/>
        <v>6</v>
      </c>
      <c r="C1980" s="5">
        <v>99.4</v>
      </c>
    </row>
    <row r="1981" spans="1:3" x14ac:dyDescent="0.35">
      <c r="A1981" s="9">
        <v>41793</v>
      </c>
      <c r="B1981">
        <f t="shared" si="31"/>
        <v>6</v>
      </c>
      <c r="C1981" s="5">
        <v>96.2</v>
      </c>
    </row>
    <row r="1982" spans="1:3" x14ac:dyDescent="0.35">
      <c r="A1982" s="9">
        <v>41794</v>
      </c>
      <c r="B1982">
        <f t="shared" si="31"/>
        <v>6</v>
      </c>
      <c r="C1982" s="5">
        <v>92.3</v>
      </c>
    </row>
    <row r="1983" spans="1:3" x14ac:dyDescent="0.35">
      <c r="A1983" s="9">
        <v>41795</v>
      </c>
      <c r="B1983">
        <f t="shared" si="31"/>
        <v>6</v>
      </c>
      <c r="C1983" s="5">
        <v>90.1</v>
      </c>
    </row>
    <row r="1984" spans="1:3" x14ac:dyDescent="0.35">
      <c r="A1984" s="9">
        <v>41796</v>
      </c>
      <c r="B1984">
        <f t="shared" si="31"/>
        <v>6</v>
      </c>
      <c r="C1984" s="5">
        <v>90.1</v>
      </c>
    </row>
    <row r="1985" spans="1:3" x14ac:dyDescent="0.35">
      <c r="A1985" s="9">
        <v>41797</v>
      </c>
      <c r="B1985">
        <f t="shared" si="31"/>
        <v>6</v>
      </c>
      <c r="C1985" s="5">
        <v>90.6</v>
      </c>
    </row>
    <row r="1986" spans="1:3" x14ac:dyDescent="0.35">
      <c r="A1986" s="9">
        <v>41798</v>
      </c>
      <c r="B1986">
        <f t="shared" si="31"/>
        <v>6</v>
      </c>
      <c r="C1986" s="5">
        <v>90</v>
      </c>
    </row>
    <row r="1987" spans="1:3" x14ac:dyDescent="0.35">
      <c r="A1987" s="9">
        <v>41799</v>
      </c>
      <c r="B1987">
        <f t="shared" si="31"/>
        <v>6</v>
      </c>
      <c r="C1987" s="5">
        <v>88.6</v>
      </c>
    </row>
    <row r="1988" spans="1:3" x14ac:dyDescent="0.35">
      <c r="A1988" s="9">
        <v>41800</v>
      </c>
      <c r="B1988">
        <f t="shared" ref="B1988:B2051" si="32">MONTH(A1988)</f>
        <v>6</v>
      </c>
      <c r="C1988" s="5">
        <v>86.9</v>
      </c>
    </row>
    <row r="1989" spans="1:3" x14ac:dyDescent="0.35">
      <c r="A1989" s="9">
        <v>41801</v>
      </c>
      <c r="B1989">
        <f t="shared" si="32"/>
        <v>6</v>
      </c>
      <c r="C1989" s="5">
        <v>85.5</v>
      </c>
    </row>
    <row r="1990" spans="1:3" x14ac:dyDescent="0.35">
      <c r="A1990" s="9">
        <v>41802</v>
      </c>
      <c r="B1990">
        <f t="shared" si="32"/>
        <v>6</v>
      </c>
      <c r="C1990" s="5">
        <v>84.6</v>
      </c>
    </row>
    <row r="1991" spans="1:3" x14ac:dyDescent="0.35">
      <c r="A1991" s="9">
        <v>41803</v>
      </c>
      <c r="B1991">
        <f t="shared" si="32"/>
        <v>6</v>
      </c>
      <c r="C1991" s="5">
        <v>84.1</v>
      </c>
    </row>
    <row r="1992" spans="1:3" x14ac:dyDescent="0.35">
      <c r="A1992" s="9">
        <v>41804</v>
      </c>
      <c r="B1992">
        <f t="shared" si="32"/>
        <v>6</v>
      </c>
      <c r="C1992" s="5">
        <v>83.7</v>
      </c>
    </row>
    <row r="1993" spans="1:3" x14ac:dyDescent="0.35">
      <c r="A1993" s="9">
        <v>41805</v>
      </c>
      <c r="B1993">
        <f t="shared" si="32"/>
        <v>6</v>
      </c>
      <c r="C1993" s="5">
        <v>83.5</v>
      </c>
    </row>
    <row r="1994" spans="1:3" x14ac:dyDescent="0.35">
      <c r="A1994" s="9">
        <v>41806</v>
      </c>
      <c r="B1994">
        <f t="shared" si="32"/>
        <v>6</v>
      </c>
      <c r="C1994" s="5">
        <v>83.3</v>
      </c>
    </row>
    <row r="1995" spans="1:3" x14ac:dyDescent="0.35">
      <c r="A1995" s="9">
        <v>41807</v>
      </c>
      <c r="B1995">
        <f t="shared" si="32"/>
        <v>6</v>
      </c>
      <c r="C1995" s="5">
        <v>83.5</v>
      </c>
    </row>
    <row r="1996" spans="1:3" x14ac:dyDescent="0.35">
      <c r="A1996" s="9">
        <v>41808</v>
      </c>
      <c r="B1996">
        <f t="shared" si="32"/>
        <v>6</v>
      </c>
      <c r="C1996" s="5">
        <v>86.7</v>
      </c>
    </row>
    <row r="1997" spans="1:3" x14ac:dyDescent="0.35">
      <c r="A1997" s="9">
        <v>41809</v>
      </c>
      <c r="B1997">
        <f t="shared" si="32"/>
        <v>6</v>
      </c>
      <c r="C1997" s="5">
        <v>93.5</v>
      </c>
    </row>
    <row r="1998" spans="1:3" x14ac:dyDescent="0.35">
      <c r="A1998" s="9">
        <v>41810</v>
      </c>
      <c r="B1998">
        <f t="shared" si="32"/>
        <v>6</v>
      </c>
      <c r="C1998" s="5">
        <v>100.8</v>
      </c>
    </row>
    <row r="1999" spans="1:3" x14ac:dyDescent="0.35">
      <c r="A1999" s="9">
        <v>41811</v>
      </c>
      <c r="B1999">
        <f t="shared" si="32"/>
        <v>6</v>
      </c>
      <c r="C1999" s="5">
        <v>102.5</v>
      </c>
    </row>
    <row r="2000" spans="1:3" x14ac:dyDescent="0.35">
      <c r="A2000" s="9">
        <v>41812</v>
      </c>
      <c r="B2000">
        <f t="shared" si="32"/>
        <v>6</v>
      </c>
      <c r="C2000" s="5">
        <v>99.8</v>
      </c>
    </row>
    <row r="2001" spans="1:3" x14ac:dyDescent="0.35">
      <c r="A2001" s="9">
        <v>41813</v>
      </c>
      <c r="B2001">
        <f t="shared" si="32"/>
        <v>6</v>
      </c>
      <c r="C2001" s="5">
        <v>94.8</v>
      </c>
    </row>
    <row r="2002" spans="1:3" x14ac:dyDescent="0.35">
      <c r="A2002" s="9">
        <v>41814</v>
      </c>
      <c r="B2002">
        <f t="shared" si="32"/>
        <v>6</v>
      </c>
      <c r="C2002" s="5">
        <v>90.5</v>
      </c>
    </row>
    <row r="2003" spans="1:3" x14ac:dyDescent="0.35">
      <c r="A2003" s="9">
        <v>41815</v>
      </c>
      <c r="B2003">
        <f t="shared" si="32"/>
        <v>6</v>
      </c>
      <c r="C2003" s="5">
        <v>87.9</v>
      </c>
    </row>
    <row r="2004" spans="1:3" x14ac:dyDescent="0.35">
      <c r="A2004" s="9">
        <v>41816</v>
      </c>
      <c r="B2004">
        <f t="shared" si="32"/>
        <v>6</v>
      </c>
      <c r="C2004" s="5">
        <v>86.2</v>
      </c>
    </row>
    <row r="2005" spans="1:3" x14ac:dyDescent="0.35">
      <c r="A2005" s="9">
        <v>41817</v>
      </c>
      <c r="B2005">
        <f t="shared" si="32"/>
        <v>6</v>
      </c>
      <c r="C2005" s="5">
        <v>85.2</v>
      </c>
    </row>
    <row r="2006" spans="1:3" x14ac:dyDescent="0.35">
      <c r="A2006" s="9">
        <v>41818</v>
      </c>
      <c r="B2006">
        <f t="shared" si="32"/>
        <v>6</v>
      </c>
      <c r="C2006" s="5">
        <v>84.9</v>
      </c>
    </row>
    <row r="2007" spans="1:3" x14ac:dyDescent="0.35">
      <c r="A2007" s="9">
        <v>41819</v>
      </c>
      <c r="B2007">
        <f t="shared" si="32"/>
        <v>6</v>
      </c>
      <c r="C2007" s="5">
        <v>84.8</v>
      </c>
    </row>
    <row r="2008" spans="1:3" x14ac:dyDescent="0.35">
      <c r="A2008" s="9">
        <v>41820</v>
      </c>
      <c r="B2008">
        <f t="shared" si="32"/>
        <v>6</v>
      </c>
      <c r="C2008" s="5">
        <v>84.7</v>
      </c>
    </row>
    <row r="2009" spans="1:3" x14ac:dyDescent="0.35">
      <c r="A2009" s="9">
        <v>41821</v>
      </c>
      <c r="B2009">
        <f t="shared" si="32"/>
        <v>7</v>
      </c>
      <c r="C2009" s="5">
        <v>84.4</v>
      </c>
    </row>
    <row r="2010" spans="1:3" x14ac:dyDescent="0.35">
      <c r="A2010" s="9">
        <v>41822</v>
      </c>
      <c r="B2010">
        <f t="shared" si="32"/>
        <v>7</v>
      </c>
      <c r="C2010" s="5">
        <v>61</v>
      </c>
    </row>
    <row r="2011" spans="1:3" x14ac:dyDescent="0.35">
      <c r="A2011" s="9">
        <v>41823</v>
      </c>
      <c r="B2011">
        <f t="shared" si="32"/>
        <v>7</v>
      </c>
      <c r="C2011" s="5">
        <v>60.8</v>
      </c>
    </row>
    <row r="2012" spans="1:3" x14ac:dyDescent="0.35">
      <c r="A2012" s="9">
        <v>41824</v>
      </c>
      <c r="B2012">
        <f t="shared" si="32"/>
        <v>7</v>
      </c>
      <c r="C2012" s="5">
        <v>60.6</v>
      </c>
    </row>
    <row r="2013" spans="1:3" x14ac:dyDescent="0.35">
      <c r="A2013" s="9">
        <v>41825</v>
      </c>
      <c r="B2013">
        <f t="shared" si="32"/>
        <v>7</v>
      </c>
      <c r="C2013" s="5">
        <v>60.5</v>
      </c>
    </row>
    <row r="2014" spans="1:3" x14ac:dyDescent="0.35">
      <c r="A2014" s="9">
        <v>41826</v>
      </c>
      <c r="B2014">
        <f t="shared" si="32"/>
        <v>7</v>
      </c>
      <c r="C2014" s="5">
        <v>60.4</v>
      </c>
    </row>
    <row r="2015" spans="1:3" x14ac:dyDescent="0.35">
      <c r="A2015" s="9">
        <v>41827</v>
      </c>
      <c r="B2015">
        <f t="shared" si="32"/>
        <v>7</v>
      </c>
      <c r="C2015" s="5">
        <v>60.5</v>
      </c>
    </row>
    <row r="2016" spans="1:3" x14ac:dyDescent="0.35">
      <c r="A2016" s="9">
        <v>41828</v>
      </c>
      <c r="B2016">
        <f t="shared" si="32"/>
        <v>7</v>
      </c>
      <c r="C2016" s="5">
        <v>60.5</v>
      </c>
    </row>
    <row r="2017" spans="1:3" x14ac:dyDescent="0.35">
      <c r="A2017" s="9">
        <v>41829</v>
      </c>
      <c r="B2017">
        <f t="shared" si="32"/>
        <v>7</v>
      </c>
      <c r="C2017" s="5">
        <v>62.7</v>
      </c>
    </row>
    <row r="2018" spans="1:3" x14ac:dyDescent="0.35">
      <c r="A2018" s="9">
        <v>41830</v>
      </c>
      <c r="B2018">
        <f t="shared" si="32"/>
        <v>7</v>
      </c>
      <c r="C2018" s="5">
        <v>67.7</v>
      </c>
    </row>
    <row r="2019" spans="1:3" x14ac:dyDescent="0.35">
      <c r="A2019" s="9">
        <v>41831</v>
      </c>
      <c r="B2019">
        <f t="shared" si="32"/>
        <v>7</v>
      </c>
      <c r="C2019" s="5">
        <v>73.2</v>
      </c>
    </row>
    <row r="2020" spans="1:3" x14ac:dyDescent="0.35">
      <c r="A2020" s="9">
        <v>41832</v>
      </c>
      <c r="B2020">
        <f t="shared" si="32"/>
        <v>7</v>
      </c>
      <c r="C2020" s="5">
        <v>74.2</v>
      </c>
    </row>
    <row r="2021" spans="1:3" x14ac:dyDescent="0.35">
      <c r="A2021" s="9">
        <v>41833</v>
      </c>
      <c r="B2021">
        <f t="shared" si="32"/>
        <v>7</v>
      </c>
      <c r="C2021" s="5">
        <v>72.099999999999994</v>
      </c>
    </row>
    <row r="2022" spans="1:3" x14ac:dyDescent="0.35">
      <c r="A2022" s="9">
        <v>41834</v>
      </c>
      <c r="B2022">
        <f t="shared" si="32"/>
        <v>7</v>
      </c>
      <c r="C2022" s="5">
        <v>68.5</v>
      </c>
    </row>
    <row r="2023" spans="1:3" x14ac:dyDescent="0.35">
      <c r="A2023" s="9">
        <v>41835</v>
      </c>
      <c r="B2023">
        <f t="shared" si="32"/>
        <v>7</v>
      </c>
      <c r="C2023" s="5">
        <v>65.3</v>
      </c>
    </row>
    <row r="2024" spans="1:3" x14ac:dyDescent="0.35">
      <c r="A2024" s="9">
        <v>41836</v>
      </c>
      <c r="B2024">
        <f t="shared" si="32"/>
        <v>7</v>
      </c>
      <c r="C2024" s="5">
        <v>63.5</v>
      </c>
    </row>
    <row r="2025" spans="1:3" x14ac:dyDescent="0.35">
      <c r="A2025" s="9">
        <v>41837</v>
      </c>
      <c r="B2025">
        <f t="shared" si="32"/>
        <v>7</v>
      </c>
      <c r="C2025" s="5">
        <v>62.3</v>
      </c>
    </row>
    <row r="2026" spans="1:3" x14ac:dyDescent="0.35">
      <c r="A2026" s="9">
        <v>41838</v>
      </c>
      <c r="B2026">
        <f t="shared" si="32"/>
        <v>7</v>
      </c>
      <c r="C2026" s="5">
        <v>61.5</v>
      </c>
    </row>
    <row r="2027" spans="1:3" x14ac:dyDescent="0.35">
      <c r="A2027" s="9">
        <v>41839</v>
      </c>
      <c r="B2027">
        <f t="shared" si="32"/>
        <v>7</v>
      </c>
      <c r="C2027" s="5">
        <v>61</v>
      </c>
    </row>
    <row r="2028" spans="1:3" x14ac:dyDescent="0.35">
      <c r="A2028" s="9">
        <v>41840</v>
      </c>
      <c r="B2028">
        <f t="shared" si="32"/>
        <v>7</v>
      </c>
      <c r="C2028" s="5">
        <v>60.6</v>
      </c>
    </row>
    <row r="2029" spans="1:3" x14ac:dyDescent="0.35">
      <c r="A2029" s="9">
        <v>41841</v>
      </c>
      <c r="B2029">
        <f t="shared" si="32"/>
        <v>7</v>
      </c>
      <c r="C2029" s="5">
        <v>60.5</v>
      </c>
    </row>
    <row r="2030" spans="1:3" x14ac:dyDescent="0.35">
      <c r="A2030" s="9">
        <v>41842</v>
      </c>
      <c r="B2030">
        <f t="shared" si="32"/>
        <v>7</v>
      </c>
      <c r="C2030" s="5">
        <v>60.4</v>
      </c>
    </row>
    <row r="2031" spans="1:3" x14ac:dyDescent="0.35">
      <c r="A2031" s="9">
        <v>41843</v>
      </c>
      <c r="B2031">
        <f t="shared" si="32"/>
        <v>7</v>
      </c>
      <c r="C2031" s="5">
        <v>60.4</v>
      </c>
    </row>
    <row r="2032" spans="1:3" x14ac:dyDescent="0.35">
      <c r="A2032" s="9">
        <v>41844</v>
      </c>
      <c r="B2032">
        <f t="shared" si="32"/>
        <v>7</v>
      </c>
      <c r="C2032" s="5">
        <v>60.4</v>
      </c>
    </row>
    <row r="2033" spans="1:3" x14ac:dyDescent="0.35">
      <c r="A2033" s="9">
        <v>41845</v>
      </c>
      <c r="B2033">
        <f t="shared" si="32"/>
        <v>7</v>
      </c>
      <c r="C2033" s="5">
        <v>60.3</v>
      </c>
    </row>
    <row r="2034" spans="1:3" x14ac:dyDescent="0.35">
      <c r="A2034" s="9">
        <v>41846</v>
      </c>
      <c r="B2034">
        <f t="shared" si="32"/>
        <v>7</v>
      </c>
      <c r="C2034" s="5">
        <v>60.2</v>
      </c>
    </row>
    <row r="2035" spans="1:3" x14ac:dyDescent="0.35">
      <c r="A2035" s="9">
        <v>41847</v>
      </c>
      <c r="B2035">
        <f t="shared" si="32"/>
        <v>7</v>
      </c>
      <c r="C2035" s="5">
        <v>60.3</v>
      </c>
    </row>
    <row r="2036" spans="1:3" x14ac:dyDescent="0.35">
      <c r="A2036" s="9">
        <v>41848</v>
      </c>
      <c r="B2036">
        <f t="shared" si="32"/>
        <v>7</v>
      </c>
      <c r="C2036" s="5">
        <v>60.6</v>
      </c>
    </row>
    <row r="2037" spans="1:3" x14ac:dyDescent="0.35">
      <c r="A2037" s="9">
        <v>41849</v>
      </c>
      <c r="B2037">
        <f t="shared" si="32"/>
        <v>7</v>
      </c>
      <c r="C2037" s="5">
        <v>61</v>
      </c>
    </row>
    <row r="2038" spans="1:3" x14ac:dyDescent="0.35">
      <c r="A2038" s="9">
        <v>41850</v>
      </c>
      <c r="B2038">
        <f t="shared" si="32"/>
        <v>7</v>
      </c>
      <c r="C2038" s="5">
        <v>61.3</v>
      </c>
    </row>
    <row r="2039" spans="1:3" x14ac:dyDescent="0.35">
      <c r="A2039" s="9">
        <v>41851</v>
      </c>
      <c r="B2039">
        <f t="shared" si="32"/>
        <v>7</v>
      </c>
      <c r="C2039" s="5">
        <v>61.6</v>
      </c>
    </row>
    <row r="2040" spans="1:3" x14ac:dyDescent="0.35">
      <c r="A2040" s="9">
        <v>41852</v>
      </c>
      <c r="B2040">
        <f t="shared" si="32"/>
        <v>8</v>
      </c>
      <c r="C2040" s="5">
        <v>61.7</v>
      </c>
    </row>
    <row r="2041" spans="1:3" x14ac:dyDescent="0.35">
      <c r="A2041" s="9">
        <v>41853</v>
      </c>
      <c r="B2041">
        <f t="shared" si="32"/>
        <v>8</v>
      </c>
      <c r="C2041" s="5">
        <v>66.900000000000006</v>
      </c>
    </row>
    <row r="2042" spans="1:3" x14ac:dyDescent="0.35">
      <c r="A2042" s="9">
        <v>41854</v>
      </c>
      <c r="B2042">
        <f t="shared" si="32"/>
        <v>8</v>
      </c>
      <c r="C2042" s="5">
        <v>67.099999999999994</v>
      </c>
    </row>
    <row r="2043" spans="1:3" x14ac:dyDescent="0.35">
      <c r="A2043" s="9">
        <v>41855</v>
      </c>
      <c r="B2043">
        <f t="shared" si="32"/>
        <v>8</v>
      </c>
      <c r="C2043" s="5">
        <v>68</v>
      </c>
    </row>
    <row r="2044" spans="1:3" x14ac:dyDescent="0.35">
      <c r="A2044" s="9">
        <v>41856</v>
      </c>
      <c r="B2044">
        <f t="shared" si="32"/>
        <v>8</v>
      </c>
      <c r="C2044" s="5">
        <v>70.2</v>
      </c>
    </row>
    <row r="2045" spans="1:3" x14ac:dyDescent="0.35">
      <c r="A2045" s="9">
        <v>41857</v>
      </c>
      <c r="B2045">
        <f t="shared" si="32"/>
        <v>8</v>
      </c>
      <c r="C2045" s="5">
        <v>72.8</v>
      </c>
    </row>
    <row r="2046" spans="1:3" x14ac:dyDescent="0.35">
      <c r="A2046" s="9">
        <v>41858</v>
      </c>
      <c r="B2046">
        <f t="shared" si="32"/>
        <v>8</v>
      </c>
      <c r="C2046" s="5">
        <v>74.8</v>
      </c>
    </row>
    <row r="2047" spans="1:3" x14ac:dyDescent="0.35">
      <c r="A2047" s="9">
        <v>41859</v>
      </c>
      <c r="B2047">
        <f t="shared" si="32"/>
        <v>8</v>
      </c>
      <c r="C2047" s="5">
        <v>78.2</v>
      </c>
    </row>
    <row r="2048" spans="1:3" x14ac:dyDescent="0.35">
      <c r="A2048" s="9">
        <v>41860</v>
      </c>
      <c r="B2048">
        <f t="shared" si="32"/>
        <v>8</v>
      </c>
      <c r="C2048" s="5">
        <v>82.9</v>
      </c>
    </row>
    <row r="2049" spans="1:3" x14ac:dyDescent="0.35">
      <c r="A2049" s="9">
        <v>41861</v>
      </c>
      <c r="B2049">
        <f t="shared" si="32"/>
        <v>8</v>
      </c>
      <c r="C2049" s="5">
        <v>86.4</v>
      </c>
    </row>
    <row r="2050" spans="1:3" x14ac:dyDescent="0.35">
      <c r="A2050" s="9">
        <v>41862</v>
      </c>
      <c r="B2050">
        <f t="shared" si="32"/>
        <v>8</v>
      </c>
      <c r="C2050" s="5">
        <v>90</v>
      </c>
    </row>
    <row r="2051" spans="1:3" x14ac:dyDescent="0.35">
      <c r="A2051" s="9">
        <v>41863</v>
      </c>
      <c r="B2051">
        <f t="shared" si="32"/>
        <v>8</v>
      </c>
      <c r="C2051" s="5">
        <v>94.8</v>
      </c>
    </row>
    <row r="2052" spans="1:3" x14ac:dyDescent="0.35">
      <c r="A2052" s="9">
        <v>41864</v>
      </c>
      <c r="B2052">
        <f t="shared" ref="B2052:B2115" si="33">MONTH(A2052)</f>
        <v>8</v>
      </c>
      <c r="C2052" s="5">
        <v>98.5</v>
      </c>
    </row>
    <row r="2053" spans="1:3" x14ac:dyDescent="0.35">
      <c r="A2053" s="9">
        <v>41865</v>
      </c>
      <c r="B2053">
        <f t="shared" si="33"/>
        <v>8</v>
      </c>
      <c r="C2053" s="5">
        <v>97.7</v>
      </c>
    </row>
    <row r="2054" spans="1:3" x14ac:dyDescent="0.35">
      <c r="A2054" s="9">
        <v>41866</v>
      </c>
      <c r="B2054">
        <f t="shared" si="33"/>
        <v>8</v>
      </c>
      <c r="C2054" s="5">
        <v>95.5</v>
      </c>
    </row>
    <row r="2055" spans="1:3" x14ac:dyDescent="0.35">
      <c r="A2055" s="9">
        <v>41867</v>
      </c>
      <c r="B2055">
        <f t="shared" si="33"/>
        <v>8</v>
      </c>
      <c r="C2055" s="5">
        <v>93.3</v>
      </c>
    </row>
    <row r="2056" spans="1:3" x14ac:dyDescent="0.35">
      <c r="A2056" s="9">
        <v>41868</v>
      </c>
      <c r="B2056">
        <f t="shared" si="33"/>
        <v>8</v>
      </c>
      <c r="C2056" s="5">
        <v>92.4</v>
      </c>
    </row>
    <row r="2057" spans="1:3" x14ac:dyDescent="0.35">
      <c r="A2057" s="9">
        <v>41869</v>
      </c>
      <c r="B2057">
        <f t="shared" si="33"/>
        <v>8</v>
      </c>
      <c r="C2057" s="5">
        <v>95.1</v>
      </c>
    </row>
    <row r="2058" spans="1:3" x14ac:dyDescent="0.35">
      <c r="A2058" s="9">
        <v>41870</v>
      </c>
      <c r="B2058">
        <f t="shared" si="33"/>
        <v>8</v>
      </c>
      <c r="C2058" s="5">
        <v>97.2</v>
      </c>
    </row>
    <row r="2059" spans="1:3" x14ac:dyDescent="0.35">
      <c r="A2059" s="9">
        <v>41871</v>
      </c>
      <c r="B2059">
        <f t="shared" si="33"/>
        <v>8</v>
      </c>
      <c r="C2059" s="5">
        <v>95.4</v>
      </c>
    </row>
    <row r="2060" spans="1:3" x14ac:dyDescent="0.35">
      <c r="A2060" s="9">
        <v>41872</v>
      </c>
      <c r="B2060">
        <f t="shared" si="33"/>
        <v>8</v>
      </c>
      <c r="C2060" s="5">
        <v>93</v>
      </c>
    </row>
    <row r="2061" spans="1:3" x14ac:dyDescent="0.35">
      <c r="A2061" s="9">
        <v>41873</v>
      </c>
      <c r="B2061">
        <f t="shared" si="33"/>
        <v>8</v>
      </c>
      <c r="C2061" s="5">
        <v>90.8</v>
      </c>
    </row>
    <row r="2062" spans="1:3" x14ac:dyDescent="0.35">
      <c r="A2062" s="9">
        <v>41874</v>
      </c>
      <c r="B2062">
        <f t="shared" si="33"/>
        <v>8</v>
      </c>
      <c r="C2062" s="5">
        <v>91.1</v>
      </c>
    </row>
    <row r="2063" spans="1:3" x14ac:dyDescent="0.35">
      <c r="A2063" s="9">
        <v>41875</v>
      </c>
      <c r="B2063">
        <f t="shared" si="33"/>
        <v>8</v>
      </c>
      <c r="C2063" s="5">
        <v>92.7</v>
      </c>
    </row>
    <row r="2064" spans="1:3" x14ac:dyDescent="0.35">
      <c r="A2064" s="9">
        <v>41876</v>
      </c>
      <c r="B2064">
        <f t="shared" si="33"/>
        <v>8</v>
      </c>
      <c r="C2064" s="5">
        <v>93.6</v>
      </c>
    </row>
    <row r="2065" spans="1:3" x14ac:dyDescent="0.35">
      <c r="A2065" s="9">
        <v>41877</v>
      </c>
      <c r="B2065">
        <f t="shared" si="33"/>
        <v>8</v>
      </c>
      <c r="C2065" s="5">
        <v>90.9</v>
      </c>
    </row>
    <row r="2066" spans="1:3" x14ac:dyDescent="0.35">
      <c r="A2066" s="9">
        <v>41878</v>
      </c>
      <c r="B2066">
        <f t="shared" si="33"/>
        <v>8</v>
      </c>
      <c r="C2066" s="5">
        <v>90.5</v>
      </c>
    </row>
    <row r="2067" spans="1:3" x14ac:dyDescent="0.35">
      <c r="A2067" s="9">
        <v>41879</v>
      </c>
      <c r="B2067">
        <f t="shared" si="33"/>
        <v>8</v>
      </c>
      <c r="C2067" s="5">
        <v>98.8</v>
      </c>
    </row>
    <row r="2068" spans="1:3" x14ac:dyDescent="0.35">
      <c r="A2068" s="9">
        <v>41880</v>
      </c>
      <c r="B2068">
        <f t="shared" si="33"/>
        <v>8</v>
      </c>
      <c r="C2068" s="5">
        <v>112.7</v>
      </c>
    </row>
    <row r="2069" spans="1:3" x14ac:dyDescent="0.35">
      <c r="A2069" s="9">
        <v>41881</v>
      </c>
      <c r="B2069">
        <f t="shared" si="33"/>
        <v>8</v>
      </c>
      <c r="C2069" s="5">
        <v>122.6</v>
      </c>
    </row>
    <row r="2070" spans="1:3" x14ac:dyDescent="0.35">
      <c r="A2070" s="9">
        <v>41882</v>
      </c>
      <c r="B2070">
        <f t="shared" si="33"/>
        <v>8</v>
      </c>
      <c r="C2070" s="5">
        <v>124.9</v>
      </c>
    </row>
    <row r="2071" spans="1:3" x14ac:dyDescent="0.35">
      <c r="A2071" s="9">
        <v>41883</v>
      </c>
      <c r="B2071">
        <f t="shared" si="33"/>
        <v>9</v>
      </c>
      <c r="C2071" s="5">
        <v>126.3</v>
      </c>
    </row>
    <row r="2072" spans="1:3" x14ac:dyDescent="0.35">
      <c r="A2072" s="9">
        <v>41884</v>
      </c>
      <c r="B2072">
        <f t="shared" si="33"/>
        <v>9</v>
      </c>
      <c r="C2072" s="5">
        <v>153.9</v>
      </c>
    </row>
    <row r="2073" spans="1:3" x14ac:dyDescent="0.35">
      <c r="A2073" s="9">
        <v>41885</v>
      </c>
      <c r="B2073">
        <f t="shared" si="33"/>
        <v>9</v>
      </c>
      <c r="C2073" s="5">
        <v>150.4</v>
      </c>
    </row>
    <row r="2074" spans="1:3" x14ac:dyDescent="0.35">
      <c r="A2074" s="9">
        <v>41886</v>
      </c>
      <c r="B2074">
        <f t="shared" si="33"/>
        <v>9</v>
      </c>
      <c r="C2074" s="5">
        <v>148.19999999999999</v>
      </c>
    </row>
    <row r="2075" spans="1:3" x14ac:dyDescent="0.35">
      <c r="A2075" s="9">
        <v>41887</v>
      </c>
      <c r="B2075">
        <f t="shared" si="33"/>
        <v>9</v>
      </c>
      <c r="C2075" s="5">
        <v>149.4</v>
      </c>
    </row>
    <row r="2076" spans="1:3" x14ac:dyDescent="0.35">
      <c r="A2076" s="9">
        <v>41888</v>
      </c>
      <c r="B2076">
        <f t="shared" si="33"/>
        <v>9</v>
      </c>
      <c r="C2076" s="5">
        <v>149.69999999999999</v>
      </c>
    </row>
    <row r="2077" spans="1:3" x14ac:dyDescent="0.35">
      <c r="A2077" s="9">
        <v>41889</v>
      </c>
      <c r="B2077">
        <f t="shared" si="33"/>
        <v>9</v>
      </c>
      <c r="C2077" s="5">
        <v>146.69999999999999</v>
      </c>
    </row>
    <row r="2078" spans="1:3" x14ac:dyDescent="0.35">
      <c r="A2078" s="9">
        <v>41890</v>
      </c>
      <c r="B2078">
        <f t="shared" si="33"/>
        <v>9</v>
      </c>
      <c r="C2078" s="5">
        <v>142.9</v>
      </c>
    </row>
    <row r="2079" spans="1:3" x14ac:dyDescent="0.35">
      <c r="A2079" s="9">
        <v>41891</v>
      </c>
      <c r="B2079">
        <f t="shared" si="33"/>
        <v>9</v>
      </c>
      <c r="C2079" s="5">
        <v>141.69999999999999</v>
      </c>
    </row>
    <row r="2080" spans="1:3" x14ac:dyDescent="0.35">
      <c r="A2080" s="9">
        <v>41892</v>
      </c>
      <c r="B2080">
        <f t="shared" si="33"/>
        <v>9</v>
      </c>
      <c r="C2080" s="5">
        <v>145</v>
      </c>
    </row>
    <row r="2081" spans="1:3" x14ac:dyDescent="0.35">
      <c r="A2081" s="9">
        <v>41893</v>
      </c>
      <c r="B2081">
        <f t="shared" si="33"/>
        <v>9</v>
      </c>
      <c r="C2081" s="5">
        <v>151.69999999999999</v>
      </c>
    </row>
    <row r="2082" spans="1:3" x14ac:dyDescent="0.35">
      <c r="A2082" s="9">
        <v>41894</v>
      </c>
      <c r="B2082">
        <f t="shared" si="33"/>
        <v>9</v>
      </c>
      <c r="C2082" s="5">
        <v>154.6</v>
      </c>
    </row>
    <row r="2083" spans="1:3" x14ac:dyDescent="0.35">
      <c r="A2083" s="9">
        <v>41895</v>
      </c>
      <c r="B2083">
        <f t="shared" si="33"/>
        <v>9</v>
      </c>
      <c r="C2083" s="5">
        <v>149.30000000000001</v>
      </c>
    </row>
    <row r="2084" spans="1:3" x14ac:dyDescent="0.35">
      <c r="A2084" s="9">
        <v>41896</v>
      </c>
      <c r="B2084">
        <f t="shared" si="33"/>
        <v>9</v>
      </c>
      <c r="C2084" s="5">
        <v>144.69999999999999</v>
      </c>
    </row>
    <row r="2085" spans="1:3" x14ac:dyDescent="0.35">
      <c r="A2085" s="9">
        <v>41897</v>
      </c>
      <c r="B2085">
        <f t="shared" si="33"/>
        <v>9</v>
      </c>
      <c r="C2085" s="5">
        <v>147.4</v>
      </c>
    </row>
    <row r="2086" spans="1:3" x14ac:dyDescent="0.35">
      <c r="A2086" s="9">
        <v>41898</v>
      </c>
      <c r="B2086">
        <f t="shared" si="33"/>
        <v>9</v>
      </c>
      <c r="C2086" s="5">
        <v>156</v>
      </c>
    </row>
    <row r="2087" spans="1:3" x14ac:dyDescent="0.35">
      <c r="A2087" s="9">
        <v>41899</v>
      </c>
      <c r="B2087">
        <f t="shared" si="33"/>
        <v>9</v>
      </c>
      <c r="C2087" s="5">
        <v>166.8</v>
      </c>
    </row>
    <row r="2088" spans="1:3" x14ac:dyDescent="0.35">
      <c r="A2088" s="9">
        <v>41900</v>
      </c>
      <c r="B2088">
        <f t="shared" si="33"/>
        <v>9</v>
      </c>
      <c r="C2088" s="5">
        <v>174.3</v>
      </c>
    </row>
    <row r="2089" spans="1:3" x14ac:dyDescent="0.35">
      <c r="A2089" s="9">
        <v>41901</v>
      </c>
      <c r="B2089">
        <f t="shared" si="33"/>
        <v>9</v>
      </c>
      <c r="C2089" s="5">
        <v>177.8</v>
      </c>
    </row>
    <row r="2090" spans="1:3" x14ac:dyDescent="0.35">
      <c r="A2090" s="9">
        <v>41902</v>
      </c>
      <c r="B2090">
        <f t="shared" si="33"/>
        <v>9</v>
      </c>
      <c r="C2090" s="5">
        <v>174.7</v>
      </c>
    </row>
    <row r="2091" spans="1:3" x14ac:dyDescent="0.35">
      <c r="A2091" s="9">
        <v>41903</v>
      </c>
      <c r="B2091">
        <f t="shared" si="33"/>
        <v>9</v>
      </c>
      <c r="C2091" s="5">
        <v>168.9</v>
      </c>
    </row>
    <row r="2092" spans="1:3" x14ac:dyDescent="0.35">
      <c r="A2092" s="9">
        <v>41904</v>
      </c>
      <c r="B2092">
        <f t="shared" si="33"/>
        <v>9</v>
      </c>
      <c r="C2092" s="5">
        <v>167.5</v>
      </c>
    </row>
    <row r="2093" spans="1:3" x14ac:dyDescent="0.35">
      <c r="A2093" s="9">
        <v>41905</v>
      </c>
      <c r="B2093">
        <f t="shared" si="33"/>
        <v>9</v>
      </c>
      <c r="C2093" s="5">
        <v>166.9</v>
      </c>
    </row>
    <row r="2094" spans="1:3" x14ac:dyDescent="0.35">
      <c r="A2094" s="9">
        <v>41906</v>
      </c>
      <c r="B2094">
        <f t="shared" si="33"/>
        <v>9</v>
      </c>
      <c r="C2094" s="5">
        <v>159.5</v>
      </c>
    </row>
    <row r="2095" spans="1:3" x14ac:dyDescent="0.35">
      <c r="A2095" s="9">
        <v>41907</v>
      </c>
      <c r="B2095">
        <f t="shared" si="33"/>
        <v>9</v>
      </c>
      <c r="C2095" s="5">
        <v>151.4</v>
      </c>
    </row>
    <row r="2096" spans="1:3" x14ac:dyDescent="0.35">
      <c r="A2096" s="9">
        <v>41908</v>
      </c>
      <c r="B2096">
        <f t="shared" si="33"/>
        <v>9</v>
      </c>
      <c r="C2096" s="5">
        <v>148.4</v>
      </c>
    </row>
    <row r="2097" spans="1:3" x14ac:dyDescent="0.35">
      <c r="A2097" s="9">
        <v>41909</v>
      </c>
      <c r="B2097">
        <f t="shared" si="33"/>
        <v>9</v>
      </c>
      <c r="C2097" s="5">
        <v>152.80000000000001</v>
      </c>
    </row>
    <row r="2098" spans="1:3" x14ac:dyDescent="0.35">
      <c r="A2098" s="9">
        <v>41910</v>
      </c>
      <c r="B2098">
        <f t="shared" si="33"/>
        <v>9</v>
      </c>
      <c r="C2098" s="5">
        <v>160.19999999999999</v>
      </c>
    </row>
    <row r="2099" spans="1:3" x14ac:dyDescent="0.35">
      <c r="A2099" s="9">
        <v>41911</v>
      </c>
      <c r="B2099">
        <f t="shared" si="33"/>
        <v>9</v>
      </c>
      <c r="C2099" s="5">
        <v>159.9</v>
      </c>
    </row>
    <row r="2100" spans="1:3" x14ac:dyDescent="0.35">
      <c r="A2100" s="9">
        <v>41912</v>
      </c>
      <c r="B2100">
        <f t="shared" si="33"/>
        <v>9</v>
      </c>
      <c r="C2100" s="5">
        <v>155.4</v>
      </c>
    </row>
    <row r="2101" spans="1:3" x14ac:dyDescent="0.35">
      <c r="A2101" s="9">
        <v>41913</v>
      </c>
      <c r="B2101">
        <f t="shared" si="33"/>
        <v>10</v>
      </c>
      <c r="C2101" s="5">
        <v>150.9</v>
      </c>
    </row>
    <row r="2102" spans="1:3" x14ac:dyDescent="0.35">
      <c r="A2102" s="9">
        <v>41914</v>
      </c>
      <c r="B2102">
        <f t="shared" si="33"/>
        <v>10</v>
      </c>
      <c r="C2102" s="5">
        <v>161.30000000000001</v>
      </c>
    </row>
    <row r="2103" spans="1:3" x14ac:dyDescent="0.35">
      <c r="A2103" s="9">
        <v>41915</v>
      </c>
      <c r="B2103">
        <f t="shared" si="33"/>
        <v>10</v>
      </c>
      <c r="C2103" s="5">
        <v>158.5</v>
      </c>
    </row>
    <row r="2104" spans="1:3" x14ac:dyDescent="0.35">
      <c r="A2104" s="9">
        <v>41916</v>
      </c>
      <c r="B2104">
        <f t="shared" si="33"/>
        <v>10</v>
      </c>
      <c r="C2104" s="5">
        <v>160.6</v>
      </c>
    </row>
    <row r="2105" spans="1:3" x14ac:dyDescent="0.35">
      <c r="A2105" s="9">
        <v>41917</v>
      </c>
      <c r="B2105">
        <f t="shared" si="33"/>
        <v>10</v>
      </c>
      <c r="C2105" s="5">
        <v>165.7</v>
      </c>
    </row>
    <row r="2106" spans="1:3" x14ac:dyDescent="0.35">
      <c r="A2106" s="9">
        <v>41918</v>
      </c>
      <c r="B2106">
        <f t="shared" si="33"/>
        <v>10</v>
      </c>
      <c r="C2106" s="5">
        <v>169.9</v>
      </c>
    </row>
    <row r="2107" spans="1:3" x14ac:dyDescent="0.35">
      <c r="A2107" s="9">
        <v>41919</v>
      </c>
      <c r="B2107">
        <f t="shared" si="33"/>
        <v>10</v>
      </c>
      <c r="C2107" s="5">
        <v>173.8</v>
      </c>
    </row>
    <row r="2108" spans="1:3" x14ac:dyDescent="0.35">
      <c r="A2108" s="9">
        <v>41920</v>
      </c>
      <c r="B2108">
        <f t="shared" si="33"/>
        <v>10</v>
      </c>
      <c r="C2108" s="5">
        <v>171.7</v>
      </c>
    </row>
    <row r="2109" spans="1:3" x14ac:dyDescent="0.35">
      <c r="A2109" s="9">
        <v>41921</v>
      </c>
      <c r="B2109">
        <f t="shared" si="33"/>
        <v>10</v>
      </c>
      <c r="C2109" s="5">
        <v>173.8</v>
      </c>
    </row>
    <row r="2110" spans="1:3" x14ac:dyDescent="0.35">
      <c r="A2110" s="9">
        <v>41922</v>
      </c>
      <c r="B2110">
        <f t="shared" si="33"/>
        <v>10</v>
      </c>
      <c r="C2110" s="5">
        <v>182.7</v>
      </c>
    </row>
    <row r="2111" spans="1:3" x14ac:dyDescent="0.35">
      <c r="A2111" s="9">
        <v>41923</v>
      </c>
      <c r="B2111">
        <f t="shared" si="33"/>
        <v>10</v>
      </c>
      <c r="C2111" s="5">
        <v>192.5</v>
      </c>
    </row>
    <row r="2112" spans="1:3" x14ac:dyDescent="0.35">
      <c r="A2112" s="9">
        <v>41924</v>
      </c>
      <c r="B2112">
        <f t="shared" si="33"/>
        <v>10</v>
      </c>
      <c r="C2112" s="5">
        <v>191</v>
      </c>
    </row>
    <row r="2113" spans="1:3" x14ac:dyDescent="0.35">
      <c r="A2113" s="9">
        <v>41925</v>
      </c>
      <c r="B2113">
        <f t="shared" si="33"/>
        <v>10</v>
      </c>
      <c r="C2113" s="5">
        <v>183.6</v>
      </c>
    </row>
    <row r="2114" spans="1:3" x14ac:dyDescent="0.35">
      <c r="A2114" s="9">
        <v>41926</v>
      </c>
      <c r="B2114">
        <f t="shared" si="33"/>
        <v>10</v>
      </c>
      <c r="C2114" s="5">
        <v>176.2</v>
      </c>
    </row>
    <row r="2115" spans="1:3" x14ac:dyDescent="0.35">
      <c r="A2115" s="9">
        <v>41927</v>
      </c>
      <c r="B2115">
        <f t="shared" si="33"/>
        <v>10</v>
      </c>
      <c r="C2115" s="5">
        <v>176.4</v>
      </c>
    </row>
    <row r="2116" spans="1:3" x14ac:dyDescent="0.35">
      <c r="A2116" s="9">
        <v>41928</v>
      </c>
      <c r="B2116">
        <f t="shared" ref="B2116:B2179" si="34">MONTH(A2116)</f>
        <v>10</v>
      </c>
      <c r="C2116" s="5">
        <v>188.4</v>
      </c>
    </row>
    <row r="2117" spans="1:3" x14ac:dyDescent="0.35">
      <c r="A2117" s="9">
        <v>41929</v>
      </c>
      <c r="B2117">
        <f t="shared" si="34"/>
        <v>10</v>
      </c>
      <c r="C2117" s="5">
        <v>202.6</v>
      </c>
    </row>
    <row r="2118" spans="1:3" x14ac:dyDescent="0.35">
      <c r="A2118" s="9">
        <v>41930</v>
      </c>
      <c r="B2118">
        <f t="shared" si="34"/>
        <v>10</v>
      </c>
      <c r="C2118" s="5">
        <v>216.5</v>
      </c>
    </row>
    <row r="2119" spans="1:3" x14ac:dyDescent="0.35">
      <c r="A2119" s="9">
        <v>41931</v>
      </c>
      <c r="B2119">
        <f t="shared" si="34"/>
        <v>10</v>
      </c>
      <c r="C2119" s="5">
        <v>230.8</v>
      </c>
    </row>
    <row r="2120" spans="1:3" x14ac:dyDescent="0.35">
      <c r="A2120" s="9">
        <v>41932</v>
      </c>
      <c r="B2120">
        <f t="shared" si="34"/>
        <v>10</v>
      </c>
      <c r="C2120" s="5">
        <v>241.1</v>
      </c>
    </row>
    <row r="2121" spans="1:3" x14ac:dyDescent="0.35">
      <c r="A2121" s="9">
        <v>41933</v>
      </c>
      <c r="B2121">
        <f t="shared" si="34"/>
        <v>10</v>
      </c>
      <c r="C2121" s="5">
        <v>246.6</v>
      </c>
    </row>
    <row r="2122" spans="1:3" x14ac:dyDescent="0.35">
      <c r="A2122" s="9">
        <v>41934</v>
      </c>
      <c r="B2122">
        <f t="shared" si="34"/>
        <v>10</v>
      </c>
      <c r="C2122" s="5">
        <v>246.9</v>
      </c>
    </row>
    <row r="2123" spans="1:3" x14ac:dyDescent="0.35">
      <c r="A2123" s="9">
        <v>41935</v>
      </c>
      <c r="B2123">
        <f t="shared" si="34"/>
        <v>10</v>
      </c>
      <c r="C2123" s="5">
        <v>237.2</v>
      </c>
    </row>
    <row r="2124" spans="1:3" x14ac:dyDescent="0.35">
      <c r="A2124" s="9">
        <v>41936</v>
      </c>
      <c r="B2124">
        <f t="shared" si="34"/>
        <v>10</v>
      </c>
      <c r="C2124" s="5">
        <v>221.2</v>
      </c>
    </row>
    <row r="2125" spans="1:3" x14ac:dyDescent="0.35">
      <c r="A2125" s="9">
        <v>41937</v>
      </c>
      <c r="B2125">
        <f t="shared" si="34"/>
        <v>10</v>
      </c>
      <c r="C2125" s="5">
        <v>206.6</v>
      </c>
    </row>
    <row r="2126" spans="1:3" x14ac:dyDescent="0.35">
      <c r="A2126" s="9">
        <v>41938</v>
      </c>
      <c r="B2126">
        <f t="shared" si="34"/>
        <v>10</v>
      </c>
      <c r="C2126" s="5">
        <v>194.7</v>
      </c>
    </row>
    <row r="2127" spans="1:3" x14ac:dyDescent="0.35">
      <c r="A2127" s="9">
        <v>41939</v>
      </c>
      <c r="B2127">
        <f t="shared" si="34"/>
        <v>10</v>
      </c>
      <c r="C2127" s="5">
        <v>190.9</v>
      </c>
    </row>
    <row r="2128" spans="1:3" x14ac:dyDescent="0.35">
      <c r="A2128" s="9">
        <v>41940</v>
      </c>
      <c r="B2128">
        <f t="shared" si="34"/>
        <v>10</v>
      </c>
      <c r="C2128" s="5">
        <v>195.6</v>
      </c>
    </row>
    <row r="2129" spans="1:3" x14ac:dyDescent="0.35">
      <c r="A2129" s="9">
        <v>41941</v>
      </c>
      <c r="B2129">
        <f t="shared" si="34"/>
        <v>10</v>
      </c>
      <c r="C2129" s="5">
        <v>203.9</v>
      </c>
    </row>
    <row r="2130" spans="1:3" x14ac:dyDescent="0.35">
      <c r="A2130" s="9">
        <v>41942</v>
      </c>
      <c r="B2130">
        <f t="shared" si="34"/>
        <v>10</v>
      </c>
      <c r="C2130" s="5">
        <v>209</v>
      </c>
    </row>
    <row r="2131" spans="1:3" x14ac:dyDescent="0.35">
      <c r="A2131" s="9">
        <v>41943</v>
      </c>
      <c r="B2131">
        <f t="shared" si="34"/>
        <v>10</v>
      </c>
      <c r="C2131" s="5">
        <v>212.8</v>
      </c>
    </row>
    <row r="2132" spans="1:3" x14ac:dyDescent="0.35">
      <c r="A2132" s="9">
        <v>41944</v>
      </c>
      <c r="B2132">
        <f t="shared" si="34"/>
        <v>11</v>
      </c>
      <c r="C2132" s="5">
        <v>217.7</v>
      </c>
    </row>
    <row r="2133" spans="1:3" x14ac:dyDescent="0.35">
      <c r="A2133" s="9">
        <v>41945</v>
      </c>
      <c r="B2133">
        <f t="shared" si="34"/>
        <v>11</v>
      </c>
      <c r="C2133" s="5">
        <v>230.3</v>
      </c>
    </row>
    <row r="2134" spans="1:3" x14ac:dyDescent="0.35">
      <c r="A2134" s="9">
        <v>41946</v>
      </c>
      <c r="B2134">
        <f t="shared" si="34"/>
        <v>11</v>
      </c>
      <c r="C2134" s="5">
        <v>221</v>
      </c>
    </row>
    <row r="2135" spans="1:3" x14ac:dyDescent="0.35">
      <c r="A2135" s="9">
        <v>41947</v>
      </c>
      <c r="B2135">
        <f t="shared" si="34"/>
        <v>11</v>
      </c>
      <c r="C2135" s="5">
        <v>204.2</v>
      </c>
    </row>
    <row r="2136" spans="1:3" x14ac:dyDescent="0.35">
      <c r="A2136" s="9">
        <v>41948</v>
      </c>
      <c r="B2136">
        <f t="shared" si="34"/>
        <v>11</v>
      </c>
      <c r="C2136" s="5">
        <v>190.1</v>
      </c>
    </row>
    <row r="2137" spans="1:3" x14ac:dyDescent="0.35">
      <c r="A2137" s="9">
        <v>41949</v>
      </c>
      <c r="B2137">
        <f t="shared" si="34"/>
        <v>11</v>
      </c>
      <c r="C2137" s="5">
        <v>185.7</v>
      </c>
    </row>
    <row r="2138" spans="1:3" x14ac:dyDescent="0.35">
      <c r="A2138" s="9">
        <v>41950</v>
      </c>
      <c r="B2138">
        <f t="shared" si="34"/>
        <v>11</v>
      </c>
      <c r="C2138" s="5">
        <v>190.2</v>
      </c>
    </row>
    <row r="2139" spans="1:3" x14ac:dyDescent="0.35">
      <c r="A2139" s="9">
        <v>41951</v>
      </c>
      <c r="B2139">
        <f t="shared" si="34"/>
        <v>11</v>
      </c>
      <c r="C2139" s="5">
        <v>193.5</v>
      </c>
    </row>
    <row r="2140" spans="1:3" x14ac:dyDescent="0.35">
      <c r="A2140" s="9">
        <v>41952</v>
      </c>
      <c r="B2140">
        <f t="shared" si="34"/>
        <v>11</v>
      </c>
      <c r="C2140" s="5">
        <v>191.1</v>
      </c>
    </row>
    <row r="2141" spans="1:3" x14ac:dyDescent="0.35">
      <c r="A2141" s="9">
        <v>41953</v>
      </c>
      <c r="B2141">
        <f t="shared" si="34"/>
        <v>11</v>
      </c>
      <c r="C2141" s="5">
        <v>188.3</v>
      </c>
    </row>
    <row r="2142" spans="1:3" x14ac:dyDescent="0.35">
      <c r="A2142" s="9">
        <v>41954</v>
      </c>
      <c r="B2142">
        <f t="shared" si="34"/>
        <v>11</v>
      </c>
      <c r="C2142" s="5">
        <v>197.3</v>
      </c>
    </row>
    <row r="2143" spans="1:3" x14ac:dyDescent="0.35">
      <c r="A2143" s="9">
        <v>41955</v>
      </c>
      <c r="B2143">
        <f t="shared" si="34"/>
        <v>11</v>
      </c>
      <c r="C2143" s="5">
        <v>219.6</v>
      </c>
    </row>
    <row r="2144" spans="1:3" x14ac:dyDescent="0.35">
      <c r="A2144" s="9">
        <v>41956</v>
      </c>
      <c r="B2144">
        <f t="shared" si="34"/>
        <v>11</v>
      </c>
      <c r="C2144" s="5">
        <v>240.4</v>
      </c>
    </row>
    <row r="2145" spans="1:3" x14ac:dyDescent="0.35">
      <c r="A2145" s="9">
        <v>41957</v>
      </c>
      <c r="B2145">
        <f t="shared" si="34"/>
        <v>11</v>
      </c>
      <c r="C2145" s="5">
        <v>252.3</v>
      </c>
    </row>
    <row r="2146" spans="1:3" x14ac:dyDescent="0.35">
      <c r="A2146" s="9">
        <v>41958</v>
      </c>
      <c r="B2146">
        <f t="shared" si="34"/>
        <v>11</v>
      </c>
      <c r="C2146" s="5">
        <v>254.5</v>
      </c>
    </row>
    <row r="2147" spans="1:3" x14ac:dyDescent="0.35">
      <c r="A2147" s="9">
        <v>41959</v>
      </c>
      <c r="B2147">
        <f t="shared" si="34"/>
        <v>11</v>
      </c>
      <c r="C2147" s="5">
        <v>243.9</v>
      </c>
    </row>
    <row r="2148" spans="1:3" x14ac:dyDescent="0.35">
      <c r="A2148" s="9">
        <v>41960</v>
      </c>
      <c r="B2148">
        <f t="shared" si="34"/>
        <v>11</v>
      </c>
      <c r="C2148" s="5">
        <v>221.6</v>
      </c>
    </row>
    <row r="2149" spans="1:3" x14ac:dyDescent="0.35">
      <c r="A2149" s="9">
        <v>41961</v>
      </c>
      <c r="B2149">
        <f t="shared" si="34"/>
        <v>11</v>
      </c>
      <c r="C2149" s="5">
        <v>207</v>
      </c>
    </row>
    <row r="2150" spans="1:3" x14ac:dyDescent="0.35">
      <c r="A2150" s="9">
        <v>41962</v>
      </c>
      <c r="B2150">
        <f t="shared" si="34"/>
        <v>11</v>
      </c>
      <c r="C2150" s="5">
        <v>211</v>
      </c>
    </row>
    <row r="2151" spans="1:3" x14ac:dyDescent="0.35">
      <c r="A2151" s="9">
        <v>41963</v>
      </c>
      <c r="B2151">
        <f t="shared" si="34"/>
        <v>11</v>
      </c>
      <c r="C2151" s="5">
        <v>226.3</v>
      </c>
    </row>
    <row r="2152" spans="1:3" x14ac:dyDescent="0.35">
      <c r="A2152" s="9">
        <v>41964</v>
      </c>
      <c r="B2152">
        <f t="shared" si="34"/>
        <v>11</v>
      </c>
      <c r="C2152" s="5">
        <v>228.9</v>
      </c>
    </row>
    <row r="2153" spans="1:3" x14ac:dyDescent="0.35">
      <c r="A2153" s="9">
        <v>41965</v>
      </c>
      <c r="B2153">
        <f t="shared" si="34"/>
        <v>11</v>
      </c>
      <c r="C2153" s="5">
        <v>217.4</v>
      </c>
    </row>
    <row r="2154" spans="1:3" x14ac:dyDescent="0.35">
      <c r="A2154" s="9">
        <v>41966</v>
      </c>
      <c r="B2154">
        <f t="shared" si="34"/>
        <v>11</v>
      </c>
      <c r="C2154" s="5">
        <v>201.1</v>
      </c>
    </row>
    <row r="2155" spans="1:3" x14ac:dyDescent="0.35">
      <c r="A2155" s="9">
        <v>41967</v>
      </c>
      <c r="B2155">
        <f t="shared" si="34"/>
        <v>11</v>
      </c>
      <c r="C2155" s="5">
        <v>189.6</v>
      </c>
    </row>
    <row r="2156" spans="1:3" x14ac:dyDescent="0.35">
      <c r="A2156" s="9">
        <v>41968</v>
      </c>
      <c r="B2156">
        <f t="shared" si="34"/>
        <v>11</v>
      </c>
      <c r="C2156" s="5">
        <v>187.8</v>
      </c>
    </row>
    <row r="2157" spans="1:3" x14ac:dyDescent="0.35">
      <c r="A2157" s="9">
        <v>41969</v>
      </c>
      <c r="B2157">
        <f t="shared" si="34"/>
        <v>11</v>
      </c>
      <c r="C2157" s="5">
        <v>191.8</v>
      </c>
    </row>
    <row r="2158" spans="1:3" x14ac:dyDescent="0.35">
      <c r="A2158" s="9">
        <v>41970</v>
      </c>
      <c r="B2158">
        <f t="shared" si="34"/>
        <v>11</v>
      </c>
      <c r="C2158" s="5">
        <v>198.1</v>
      </c>
    </row>
    <row r="2159" spans="1:3" x14ac:dyDescent="0.35">
      <c r="A2159" s="9">
        <v>41971</v>
      </c>
      <c r="B2159">
        <f t="shared" si="34"/>
        <v>11</v>
      </c>
      <c r="C2159" s="5">
        <v>206.2</v>
      </c>
    </row>
    <row r="2160" spans="1:3" x14ac:dyDescent="0.35">
      <c r="A2160" s="9">
        <v>41972</v>
      </c>
      <c r="B2160">
        <f t="shared" si="34"/>
        <v>11</v>
      </c>
      <c r="C2160" s="5">
        <v>208.6</v>
      </c>
    </row>
    <row r="2161" spans="1:3" x14ac:dyDescent="0.35">
      <c r="A2161" s="9">
        <v>41973</v>
      </c>
      <c r="B2161">
        <f t="shared" si="34"/>
        <v>11</v>
      </c>
      <c r="C2161" s="5">
        <v>212.9</v>
      </c>
    </row>
    <row r="2162" spans="1:3" x14ac:dyDescent="0.35">
      <c r="A2162" s="9">
        <v>41974</v>
      </c>
      <c r="B2162">
        <f t="shared" si="34"/>
        <v>12</v>
      </c>
      <c r="C2162" s="5">
        <v>218.8</v>
      </c>
    </row>
    <row r="2163" spans="1:3" x14ac:dyDescent="0.35">
      <c r="A2163" s="9">
        <v>41975</v>
      </c>
      <c r="B2163">
        <f t="shared" si="34"/>
        <v>12</v>
      </c>
      <c r="C2163" s="5">
        <v>232.2</v>
      </c>
    </row>
    <row r="2164" spans="1:3" x14ac:dyDescent="0.35">
      <c r="A2164" s="9">
        <v>41976</v>
      </c>
      <c r="B2164">
        <f t="shared" si="34"/>
        <v>12</v>
      </c>
      <c r="C2164" s="5">
        <v>235</v>
      </c>
    </row>
    <row r="2165" spans="1:3" x14ac:dyDescent="0.35">
      <c r="A2165" s="9">
        <v>41977</v>
      </c>
      <c r="B2165">
        <f t="shared" si="34"/>
        <v>12</v>
      </c>
      <c r="C2165" s="5">
        <v>230.5</v>
      </c>
    </row>
    <row r="2166" spans="1:3" x14ac:dyDescent="0.35">
      <c r="A2166" s="9">
        <v>41978</v>
      </c>
      <c r="B2166">
        <f t="shared" si="34"/>
        <v>12</v>
      </c>
      <c r="C2166" s="5">
        <v>227.7</v>
      </c>
    </row>
    <row r="2167" spans="1:3" x14ac:dyDescent="0.35">
      <c r="A2167" s="9">
        <v>41979</v>
      </c>
      <c r="B2167">
        <f t="shared" si="34"/>
        <v>12</v>
      </c>
      <c r="C2167" s="5">
        <v>232.5</v>
      </c>
    </row>
    <row r="2168" spans="1:3" x14ac:dyDescent="0.35">
      <c r="A2168" s="9">
        <v>41980</v>
      </c>
      <c r="B2168">
        <f t="shared" si="34"/>
        <v>12</v>
      </c>
      <c r="C2168" s="5">
        <v>244.6</v>
      </c>
    </row>
    <row r="2169" spans="1:3" x14ac:dyDescent="0.35">
      <c r="A2169" s="9">
        <v>41981</v>
      </c>
      <c r="B2169">
        <f t="shared" si="34"/>
        <v>12</v>
      </c>
      <c r="C2169" s="5">
        <v>249.3</v>
      </c>
    </row>
    <row r="2170" spans="1:3" x14ac:dyDescent="0.35">
      <c r="A2170" s="9">
        <v>41982</v>
      </c>
      <c r="B2170">
        <f t="shared" si="34"/>
        <v>12</v>
      </c>
      <c r="C2170" s="5">
        <v>241.2</v>
      </c>
    </row>
    <row r="2171" spans="1:3" x14ac:dyDescent="0.35">
      <c r="A2171" s="9">
        <v>41983</v>
      </c>
      <c r="B2171">
        <f t="shared" si="34"/>
        <v>12</v>
      </c>
      <c r="C2171" s="5">
        <v>232.8</v>
      </c>
    </row>
    <row r="2172" spans="1:3" x14ac:dyDescent="0.35">
      <c r="A2172" s="9">
        <v>41984</v>
      </c>
      <c r="B2172">
        <f t="shared" si="34"/>
        <v>12</v>
      </c>
      <c r="C2172" s="5">
        <v>227.1</v>
      </c>
    </row>
    <row r="2173" spans="1:3" x14ac:dyDescent="0.35">
      <c r="A2173" s="9">
        <v>41985</v>
      </c>
      <c r="B2173">
        <f t="shared" si="34"/>
        <v>12</v>
      </c>
      <c r="C2173" s="5">
        <v>228.5</v>
      </c>
    </row>
    <row r="2174" spans="1:3" x14ac:dyDescent="0.35">
      <c r="A2174" s="9">
        <v>41986</v>
      </c>
      <c r="B2174">
        <f t="shared" si="34"/>
        <v>12</v>
      </c>
      <c r="C2174" s="5">
        <v>228.4</v>
      </c>
    </row>
    <row r="2175" spans="1:3" x14ac:dyDescent="0.35">
      <c r="A2175" s="9">
        <v>41987</v>
      </c>
      <c r="B2175">
        <f t="shared" si="34"/>
        <v>12</v>
      </c>
      <c r="C2175" s="5">
        <v>230.4</v>
      </c>
    </row>
    <row r="2176" spans="1:3" x14ac:dyDescent="0.35">
      <c r="A2176" s="9">
        <v>41988</v>
      </c>
      <c r="B2176">
        <f t="shared" si="34"/>
        <v>12</v>
      </c>
      <c r="C2176" s="5">
        <v>232</v>
      </c>
    </row>
    <row r="2177" spans="1:3" x14ac:dyDescent="0.35">
      <c r="A2177" s="9">
        <v>41989</v>
      </c>
      <c r="B2177">
        <f t="shared" si="34"/>
        <v>12</v>
      </c>
      <c r="C2177" s="5">
        <v>240.2</v>
      </c>
    </row>
    <row r="2178" spans="1:3" x14ac:dyDescent="0.35">
      <c r="A2178" s="9">
        <v>41990</v>
      </c>
      <c r="B2178">
        <f t="shared" si="34"/>
        <v>12</v>
      </c>
      <c r="C2178" s="5">
        <v>246.7</v>
      </c>
    </row>
    <row r="2179" spans="1:3" x14ac:dyDescent="0.35">
      <c r="A2179" s="9">
        <v>41991</v>
      </c>
      <c r="B2179">
        <f t="shared" si="34"/>
        <v>12</v>
      </c>
      <c r="C2179" s="5">
        <v>252.4</v>
      </c>
    </row>
    <row r="2180" spans="1:3" x14ac:dyDescent="0.35">
      <c r="A2180" s="9">
        <v>41992</v>
      </c>
      <c r="B2180">
        <f t="shared" ref="B2180:B2243" si="35">MONTH(A2180)</f>
        <v>12</v>
      </c>
      <c r="C2180" s="5">
        <v>248.1</v>
      </c>
    </row>
    <row r="2181" spans="1:3" x14ac:dyDescent="0.35">
      <c r="A2181" s="9">
        <v>41993</v>
      </c>
      <c r="B2181">
        <f t="shared" si="35"/>
        <v>12</v>
      </c>
      <c r="C2181" s="5">
        <v>239.5</v>
      </c>
    </row>
    <row r="2182" spans="1:3" x14ac:dyDescent="0.35">
      <c r="A2182" s="9">
        <v>41994</v>
      </c>
      <c r="B2182">
        <f t="shared" si="35"/>
        <v>12</v>
      </c>
      <c r="C2182" s="5">
        <v>227.6</v>
      </c>
    </row>
    <row r="2183" spans="1:3" x14ac:dyDescent="0.35">
      <c r="A2183" s="9">
        <v>41995</v>
      </c>
      <c r="B2183">
        <f t="shared" si="35"/>
        <v>12</v>
      </c>
      <c r="C2183" s="5">
        <v>218.9</v>
      </c>
    </row>
    <row r="2184" spans="1:3" x14ac:dyDescent="0.35">
      <c r="A2184" s="9">
        <v>41996</v>
      </c>
      <c r="B2184">
        <f t="shared" si="35"/>
        <v>12</v>
      </c>
      <c r="C2184" s="5">
        <v>213.3</v>
      </c>
    </row>
    <row r="2185" spans="1:3" x14ac:dyDescent="0.35">
      <c r="A2185" s="9">
        <v>41997</v>
      </c>
      <c r="B2185">
        <f t="shared" si="35"/>
        <v>12</v>
      </c>
      <c r="C2185" s="5">
        <v>212.3</v>
      </c>
    </row>
    <row r="2186" spans="1:3" x14ac:dyDescent="0.35">
      <c r="A2186" s="9">
        <v>41998</v>
      </c>
      <c r="B2186">
        <f t="shared" si="35"/>
        <v>12</v>
      </c>
      <c r="C2186" s="5">
        <v>211.3</v>
      </c>
    </row>
    <row r="2187" spans="1:3" x14ac:dyDescent="0.35">
      <c r="A2187" s="9">
        <v>41999</v>
      </c>
      <c r="B2187">
        <f t="shared" si="35"/>
        <v>12</v>
      </c>
      <c r="C2187" s="5">
        <v>211</v>
      </c>
    </row>
    <row r="2188" spans="1:3" x14ac:dyDescent="0.35">
      <c r="A2188" s="9">
        <v>42000</v>
      </c>
      <c r="B2188">
        <f t="shared" si="35"/>
        <v>12</v>
      </c>
      <c r="C2188" s="5">
        <v>206.8</v>
      </c>
    </row>
    <row r="2189" spans="1:3" x14ac:dyDescent="0.35">
      <c r="A2189" s="9">
        <v>42001</v>
      </c>
      <c r="B2189">
        <f t="shared" si="35"/>
        <v>12</v>
      </c>
      <c r="C2189" s="5">
        <v>197.5</v>
      </c>
    </row>
    <row r="2190" spans="1:3" x14ac:dyDescent="0.35">
      <c r="A2190" s="9">
        <v>42002</v>
      </c>
      <c r="B2190">
        <f t="shared" si="35"/>
        <v>12</v>
      </c>
      <c r="C2190" s="5">
        <v>194.9</v>
      </c>
    </row>
    <row r="2191" spans="1:3" x14ac:dyDescent="0.35">
      <c r="A2191" s="9">
        <v>42003</v>
      </c>
      <c r="B2191">
        <f t="shared" si="35"/>
        <v>12</v>
      </c>
      <c r="C2191" s="5">
        <v>200.4</v>
      </c>
    </row>
    <row r="2192" spans="1:3" x14ac:dyDescent="0.35">
      <c r="A2192" s="9">
        <v>42004</v>
      </c>
      <c r="B2192">
        <f t="shared" si="35"/>
        <v>12</v>
      </c>
      <c r="C2192" s="5">
        <v>209.9</v>
      </c>
    </row>
    <row r="2193" spans="1:3" x14ac:dyDescent="0.35">
      <c r="A2193" s="9">
        <v>42005</v>
      </c>
      <c r="B2193">
        <f t="shared" si="35"/>
        <v>1</v>
      </c>
      <c r="C2193" s="5">
        <v>207.1</v>
      </c>
    </row>
    <row r="2194" spans="1:3" x14ac:dyDescent="0.35">
      <c r="A2194" s="9">
        <v>42006</v>
      </c>
      <c r="B2194">
        <f t="shared" si="35"/>
        <v>1</v>
      </c>
      <c r="C2194" s="5">
        <v>193.7</v>
      </c>
    </row>
    <row r="2195" spans="1:3" x14ac:dyDescent="0.35">
      <c r="A2195" s="9">
        <v>42007</v>
      </c>
      <c r="B2195">
        <f t="shared" si="35"/>
        <v>1</v>
      </c>
      <c r="C2195" s="5">
        <v>183.4</v>
      </c>
    </row>
    <row r="2196" spans="1:3" x14ac:dyDescent="0.35">
      <c r="A2196" s="9">
        <v>42008</v>
      </c>
      <c r="B2196">
        <f t="shared" si="35"/>
        <v>1</v>
      </c>
      <c r="C2196" s="5">
        <v>174.2</v>
      </c>
    </row>
    <row r="2197" spans="1:3" x14ac:dyDescent="0.35">
      <c r="A2197" s="9">
        <v>42009</v>
      </c>
      <c r="B2197">
        <f t="shared" si="35"/>
        <v>1</v>
      </c>
      <c r="C2197" s="5">
        <v>169</v>
      </c>
    </row>
    <row r="2198" spans="1:3" x14ac:dyDescent="0.35">
      <c r="A2198" s="9">
        <v>42010</v>
      </c>
      <c r="B2198">
        <f t="shared" si="35"/>
        <v>1</v>
      </c>
      <c r="C2198" s="5">
        <v>168.7</v>
      </c>
    </row>
    <row r="2199" spans="1:3" x14ac:dyDescent="0.35">
      <c r="A2199" s="9">
        <v>42011</v>
      </c>
      <c r="B2199">
        <f t="shared" si="35"/>
        <v>1</v>
      </c>
      <c r="C2199" s="5">
        <v>174.6</v>
      </c>
    </row>
    <row r="2200" spans="1:3" x14ac:dyDescent="0.35">
      <c r="A2200" s="9">
        <v>42012</v>
      </c>
      <c r="B2200">
        <f t="shared" si="35"/>
        <v>1</v>
      </c>
      <c r="C2200" s="5">
        <v>184</v>
      </c>
    </row>
    <row r="2201" spans="1:3" x14ac:dyDescent="0.35">
      <c r="A2201" s="9">
        <v>42013</v>
      </c>
      <c r="B2201">
        <f t="shared" si="35"/>
        <v>1</v>
      </c>
      <c r="C2201" s="5">
        <v>193</v>
      </c>
    </row>
    <row r="2202" spans="1:3" x14ac:dyDescent="0.35">
      <c r="A2202" s="9">
        <v>42014</v>
      </c>
      <c r="B2202">
        <f t="shared" si="35"/>
        <v>1</v>
      </c>
      <c r="C2202" s="5">
        <v>192.3</v>
      </c>
    </row>
    <row r="2203" spans="1:3" x14ac:dyDescent="0.35">
      <c r="A2203" s="9">
        <v>42015</v>
      </c>
      <c r="B2203">
        <f t="shared" si="35"/>
        <v>1</v>
      </c>
      <c r="C2203" s="5">
        <v>182.8</v>
      </c>
    </row>
    <row r="2204" spans="1:3" x14ac:dyDescent="0.35">
      <c r="A2204" s="9">
        <v>42016</v>
      </c>
      <c r="B2204">
        <f t="shared" si="35"/>
        <v>1</v>
      </c>
      <c r="C2204" s="5">
        <v>168.7</v>
      </c>
    </row>
    <row r="2205" spans="1:3" x14ac:dyDescent="0.35">
      <c r="A2205" s="9">
        <v>42017</v>
      </c>
      <c r="B2205">
        <f t="shared" si="35"/>
        <v>1</v>
      </c>
      <c r="C2205" s="5">
        <v>155.1</v>
      </c>
    </row>
    <row r="2206" spans="1:3" x14ac:dyDescent="0.35">
      <c r="A2206" s="9">
        <v>42018</v>
      </c>
      <c r="B2206">
        <f t="shared" si="35"/>
        <v>1</v>
      </c>
      <c r="C2206" s="5">
        <v>146.69999999999999</v>
      </c>
    </row>
    <row r="2207" spans="1:3" x14ac:dyDescent="0.35">
      <c r="A2207" s="9">
        <v>42019</v>
      </c>
      <c r="B2207">
        <f t="shared" si="35"/>
        <v>1</v>
      </c>
      <c r="C2207" s="5">
        <v>145.80000000000001</v>
      </c>
    </row>
    <row r="2208" spans="1:3" x14ac:dyDescent="0.35">
      <c r="A2208" s="9">
        <v>42020</v>
      </c>
      <c r="B2208">
        <f t="shared" si="35"/>
        <v>1</v>
      </c>
      <c r="C2208" s="5">
        <v>152.30000000000001</v>
      </c>
    </row>
    <row r="2209" spans="1:3" x14ac:dyDescent="0.35">
      <c r="A2209" s="9">
        <v>42021</v>
      </c>
      <c r="B2209">
        <f t="shared" si="35"/>
        <v>1</v>
      </c>
      <c r="C2209" s="5">
        <v>161.4</v>
      </c>
    </row>
    <row r="2210" spans="1:3" x14ac:dyDescent="0.35">
      <c r="A2210" s="9">
        <v>42022</v>
      </c>
      <c r="B2210">
        <f t="shared" si="35"/>
        <v>1</v>
      </c>
      <c r="C2210" s="5">
        <v>169.9</v>
      </c>
    </row>
    <row r="2211" spans="1:3" x14ac:dyDescent="0.35">
      <c r="A2211" s="9">
        <v>42023</v>
      </c>
      <c r="B2211">
        <f t="shared" si="35"/>
        <v>1</v>
      </c>
      <c r="C2211" s="5">
        <v>174.7</v>
      </c>
    </row>
    <row r="2212" spans="1:3" x14ac:dyDescent="0.35">
      <c r="A2212" s="9">
        <v>42024</v>
      </c>
      <c r="B2212">
        <f t="shared" si="35"/>
        <v>1</v>
      </c>
      <c r="C2212" s="5">
        <v>176.3</v>
      </c>
    </row>
    <row r="2213" spans="1:3" x14ac:dyDescent="0.35">
      <c r="A2213" s="9">
        <v>42025</v>
      </c>
      <c r="B2213">
        <f t="shared" si="35"/>
        <v>1</v>
      </c>
      <c r="C2213" s="5">
        <v>174.1</v>
      </c>
    </row>
    <row r="2214" spans="1:3" x14ac:dyDescent="0.35">
      <c r="A2214" s="9">
        <v>42026</v>
      </c>
      <c r="B2214">
        <f t="shared" si="35"/>
        <v>1</v>
      </c>
      <c r="C2214" s="5">
        <v>170.6</v>
      </c>
    </row>
    <row r="2215" spans="1:3" x14ac:dyDescent="0.35">
      <c r="A2215" s="9">
        <v>42027</v>
      </c>
      <c r="B2215">
        <f t="shared" si="35"/>
        <v>1</v>
      </c>
      <c r="C2215" s="5">
        <v>166.5</v>
      </c>
    </row>
    <row r="2216" spans="1:3" x14ac:dyDescent="0.35">
      <c r="A2216" s="9">
        <v>42028</v>
      </c>
      <c r="B2216">
        <f t="shared" si="35"/>
        <v>1</v>
      </c>
      <c r="C2216" s="5">
        <v>169.5</v>
      </c>
    </row>
    <row r="2217" spans="1:3" x14ac:dyDescent="0.35">
      <c r="A2217" s="9">
        <v>42029</v>
      </c>
      <c r="B2217">
        <f t="shared" si="35"/>
        <v>1</v>
      </c>
      <c r="C2217" s="5">
        <v>180.9</v>
      </c>
    </row>
    <row r="2218" spans="1:3" x14ac:dyDescent="0.35">
      <c r="A2218" s="9">
        <v>42030</v>
      </c>
      <c r="B2218">
        <f t="shared" si="35"/>
        <v>1</v>
      </c>
      <c r="C2218" s="5">
        <v>197.8</v>
      </c>
    </row>
    <row r="2219" spans="1:3" x14ac:dyDescent="0.35">
      <c r="A2219" s="9">
        <v>42031</v>
      </c>
      <c r="B2219">
        <f t="shared" si="35"/>
        <v>1</v>
      </c>
      <c r="C2219" s="5">
        <v>213.4</v>
      </c>
    </row>
    <row r="2220" spans="1:3" x14ac:dyDescent="0.35">
      <c r="A2220" s="9">
        <v>42032</v>
      </c>
      <c r="B2220">
        <f t="shared" si="35"/>
        <v>1</v>
      </c>
      <c r="C2220" s="5">
        <v>225.9</v>
      </c>
    </row>
    <row r="2221" spans="1:3" x14ac:dyDescent="0.35">
      <c r="A2221" s="9">
        <v>42033</v>
      </c>
      <c r="B2221">
        <f t="shared" si="35"/>
        <v>1</v>
      </c>
      <c r="C2221" s="5">
        <v>230.5</v>
      </c>
    </row>
    <row r="2222" spans="1:3" x14ac:dyDescent="0.35">
      <c r="A2222" s="9">
        <v>42034</v>
      </c>
      <c r="B2222">
        <f t="shared" si="35"/>
        <v>1</v>
      </c>
      <c r="C2222" s="5">
        <v>228.2</v>
      </c>
    </row>
    <row r="2223" spans="1:3" x14ac:dyDescent="0.35">
      <c r="A2223" s="9">
        <v>42035</v>
      </c>
      <c r="B2223">
        <f t="shared" si="35"/>
        <v>1</v>
      </c>
      <c r="C2223" s="5">
        <v>225.1</v>
      </c>
    </row>
    <row r="2224" spans="1:3" x14ac:dyDescent="0.35">
      <c r="A2224" s="9">
        <v>42036</v>
      </c>
      <c r="B2224">
        <f t="shared" si="35"/>
        <v>2</v>
      </c>
      <c r="C2224" s="5">
        <v>217.2</v>
      </c>
    </row>
    <row r="2225" spans="1:3" x14ac:dyDescent="0.35">
      <c r="A2225" s="9">
        <v>42037</v>
      </c>
      <c r="B2225">
        <f t="shared" si="35"/>
        <v>2</v>
      </c>
      <c r="C2225" s="5">
        <v>190.5</v>
      </c>
    </row>
    <row r="2226" spans="1:3" x14ac:dyDescent="0.35">
      <c r="A2226" s="9">
        <v>42038</v>
      </c>
      <c r="B2226">
        <f t="shared" si="35"/>
        <v>2</v>
      </c>
      <c r="C2226" s="5">
        <v>182.5</v>
      </c>
    </row>
    <row r="2227" spans="1:3" x14ac:dyDescent="0.35">
      <c r="A2227" s="9">
        <v>42039</v>
      </c>
      <c r="B2227">
        <f t="shared" si="35"/>
        <v>2</v>
      </c>
      <c r="C2227" s="5">
        <v>174.5</v>
      </c>
    </row>
    <row r="2228" spans="1:3" x14ac:dyDescent="0.35">
      <c r="A2228" s="9">
        <v>42040</v>
      </c>
      <c r="B2228">
        <f t="shared" si="35"/>
        <v>2</v>
      </c>
      <c r="C2228" s="5">
        <v>171.8</v>
      </c>
    </row>
    <row r="2229" spans="1:3" x14ac:dyDescent="0.35">
      <c r="A2229" s="9">
        <v>42041</v>
      </c>
      <c r="B2229">
        <f t="shared" si="35"/>
        <v>2</v>
      </c>
      <c r="C2229" s="5">
        <v>174.7</v>
      </c>
    </row>
    <row r="2230" spans="1:3" x14ac:dyDescent="0.35">
      <c r="A2230" s="9">
        <v>42042</v>
      </c>
      <c r="B2230">
        <f t="shared" si="35"/>
        <v>2</v>
      </c>
      <c r="C2230" s="5">
        <v>181.2</v>
      </c>
    </row>
    <row r="2231" spans="1:3" x14ac:dyDescent="0.35">
      <c r="A2231" s="9">
        <v>42043</v>
      </c>
      <c r="B2231">
        <f t="shared" si="35"/>
        <v>2</v>
      </c>
      <c r="C2231" s="5">
        <v>190.1</v>
      </c>
    </row>
    <row r="2232" spans="1:3" x14ac:dyDescent="0.35">
      <c r="A2232" s="9">
        <v>42044</v>
      </c>
      <c r="B2232">
        <f t="shared" si="35"/>
        <v>2</v>
      </c>
      <c r="C2232" s="5">
        <v>193.7</v>
      </c>
    </row>
    <row r="2233" spans="1:3" x14ac:dyDescent="0.35">
      <c r="A2233" s="9">
        <v>42045</v>
      </c>
      <c r="B2233">
        <f t="shared" si="35"/>
        <v>2</v>
      </c>
      <c r="C2233" s="5">
        <v>190.3</v>
      </c>
    </row>
    <row r="2234" spans="1:3" x14ac:dyDescent="0.35">
      <c r="A2234" s="9">
        <v>42046</v>
      </c>
      <c r="B2234">
        <f t="shared" si="35"/>
        <v>2</v>
      </c>
      <c r="C2234" s="5">
        <v>181.6</v>
      </c>
    </row>
    <row r="2235" spans="1:3" x14ac:dyDescent="0.35">
      <c r="A2235" s="9">
        <v>42047</v>
      </c>
      <c r="B2235">
        <f t="shared" si="35"/>
        <v>2</v>
      </c>
      <c r="C2235" s="5">
        <v>171.9</v>
      </c>
    </row>
    <row r="2236" spans="1:3" x14ac:dyDescent="0.35">
      <c r="A2236" s="9">
        <v>42048</v>
      </c>
      <c r="B2236">
        <f t="shared" si="35"/>
        <v>2</v>
      </c>
      <c r="C2236" s="5">
        <v>165.9</v>
      </c>
    </row>
    <row r="2237" spans="1:3" x14ac:dyDescent="0.35">
      <c r="A2237" s="9">
        <v>42049</v>
      </c>
      <c r="B2237">
        <f t="shared" si="35"/>
        <v>2</v>
      </c>
      <c r="C2237" s="5">
        <v>167.3</v>
      </c>
    </row>
    <row r="2238" spans="1:3" x14ac:dyDescent="0.35">
      <c r="A2238" s="9">
        <v>42050</v>
      </c>
      <c r="B2238">
        <f t="shared" si="35"/>
        <v>2</v>
      </c>
      <c r="C2238" s="5">
        <v>173.2</v>
      </c>
    </row>
    <row r="2239" spans="1:3" x14ac:dyDescent="0.35">
      <c r="A2239" s="9">
        <v>42051</v>
      </c>
      <c r="B2239">
        <f t="shared" si="35"/>
        <v>2</v>
      </c>
      <c r="C2239" s="5">
        <v>170.9</v>
      </c>
    </row>
    <row r="2240" spans="1:3" x14ac:dyDescent="0.35">
      <c r="A2240" s="9">
        <v>42052</v>
      </c>
      <c r="B2240">
        <f t="shared" si="35"/>
        <v>2</v>
      </c>
      <c r="C2240" s="5">
        <v>164.2</v>
      </c>
    </row>
    <row r="2241" spans="1:3" x14ac:dyDescent="0.35">
      <c r="A2241" s="9">
        <v>42053</v>
      </c>
      <c r="B2241">
        <f t="shared" si="35"/>
        <v>2</v>
      </c>
      <c r="C2241" s="5">
        <v>158.6</v>
      </c>
    </row>
    <row r="2242" spans="1:3" x14ac:dyDescent="0.35">
      <c r="A2242" s="9">
        <v>42054</v>
      </c>
      <c r="B2242">
        <f t="shared" si="35"/>
        <v>2</v>
      </c>
      <c r="C2242" s="5">
        <v>156.5</v>
      </c>
    </row>
    <row r="2243" spans="1:3" x14ac:dyDescent="0.35">
      <c r="A2243" s="9">
        <v>42055</v>
      </c>
      <c r="B2243">
        <f t="shared" si="35"/>
        <v>2</v>
      </c>
      <c r="C2243" s="5">
        <v>158.5</v>
      </c>
    </row>
    <row r="2244" spans="1:3" x14ac:dyDescent="0.35">
      <c r="A2244" s="9">
        <v>42056</v>
      </c>
      <c r="B2244">
        <f t="shared" ref="B2244:B2307" si="36">MONTH(A2244)</f>
        <v>2</v>
      </c>
      <c r="C2244" s="5">
        <v>169.5</v>
      </c>
    </row>
    <row r="2245" spans="1:3" x14ac:dyDescent="0.35">
      <c r="A2245" s="9">
        <v>42057</v>
      </c>
      <c r="B2245">
        <f t="shared" si="36"/>
        <v>2</v>
      </c>
      <c r="C2245" s="5">
        <v>185.2</v>
      </c>
    </row>
    <row r="2246" spans="1:3" x14ac:dyDescent="0.35">
      <c r="A2246" s="9">
        <v>42058</v>
      </c>
      <c r="B2246">
        <f t="shared" si="36"/>
        <v>2</v>
      </c>
      <c r="C2246" s="5">
        <v>197.6</v>
      </c>
    </row>
    <row r="2247" spans="1:3" x14ac:dyDescent="0.35">
      <c r="A2247" s="9">
        <v>42059</v>
      </c>
      <c r="B2247">
        <f t="shared" si="36"/>
        <v>2</v>
      </c>
      <c r="C2247" s="5">
        <v>206.6</v>
      </c>
    </row>
    <row r="2248" spans="1:3" x14ac:dyDescent="0.35">
      <c r="A2248" s="9">
        <v>42060</v>
      </c>
      <c r="B2248">
        <f t="shared" si="36"/>
        <v>2</v>
      </c>
      <c r="C2248" s="5">
        <v>211</v>
      </c>
    </row>
    <row r="2249" spans="1:3" x14ac:dyDescent="0.35">
      <c r="A2249" s="9">
        <v>42061</v>
      </c>
      <c r="B2249">
        <f t="shared" si="36"/>
        <v>2</v>
      </c>
      <c r="C2249" s="5">
        <v>204.8</v>
      </c>
    </row>
    <row r="2250" spans="1:3" x14ac:dyDescent="0.35">
      <c r="A2250" s="9">
        <v>42062</v>
      </c>
      <c r="B2250">
        <f t="shared" si="36"/>
        <v>2</v>
      </c>
      <c r="C2250" s="5">
        <v>192.9</v>
      </c>
    </row>
    <row r="2251" spans="1:3" x14ac:dyDescent="0.35">
      <c r="A2251" s="9">
        <v>42063</v>
      </c>
      <c r="B2251">
        <f t="shared" si="36"/>
        <v>2</v>
      </c>
      <c r="C2251" s="5">
        <v>184.2</v>
      </c>
    </row>
    <row r="2252" spans="1:3" x14ac:dyDescent="0.35">
      <c r="A2252" s="9">
        <v>42064</v>
      </c>
      <c r="B2252">
        <f t="shared" si="36"/>
        <v>3</v>
      </c>
      <c r="C2252" s="5">
        <v>182</v>
      </c>
    </row>
    <row r="2253" spans="1:3" x14ac:dyDescent="0.35">
      <c r="A2253" s="9">
        <v>42065</v>
      </c>
      <c r="B2253">
        <f t="shared" si="36"/>
        <v>3</v>
      </c>
      <c r="C2253" s="5">
        <v>193.2</v>
      </c>
    </row>
    <row r="2254" spans="1:3" x14ac:dyDescent="0.35">
      <c r="A2254" s="9">
        <v>42066</v>
      </c>
      <c r="B2254">
        <f t="shared" si="36"/>
        <v>3</v>
      </c>
      <c r="C2254" s="5">
        <v>199.9</v>
      </c>
    </row>
    <row r="2255" spans="1:3" x14ac:dyDescent="0.35">
      <c r="A2255" s="9">
        <v>42067</v>
      </c>
      <c r="B2255">
        <f t="shared" si="36"/>
        <v>3</v>
      </c>
      <c r="C2255" s="5">
        <v>208.7</v>
      </c>
    </row>
    <row r="2256" spans="1:3" x14ac:dyDescent="0.35">
      <c r="A2256" s="9">
        <v>42068</v>
      </c>
      <c r="B2256">
        <f t="shared" si="36"/>
        <v>3</v>
      </c>
      <c r="C2256" s="5">
        <v>215.7</v>
      </c>
    </row>
    <row r="2257" spans="1:3" x14ac:dyDescent="0.35">
      <c r="A2257" s="9">
        <v>42069</v>
      </c>
      <c r="B2257">
        <f t="shared" si="36"/>
        <v>3</v>
      </c>
      <c r="C2257" s="5">
        <v>224.4</v>
      </c>
    </row>
    <row r="2258" spans="1:3" x14ac:dyDescent="0.35">
      <c r="A2258" s="9">
        <v>42070</v>
      </c>
      <c r="B2258">
        <f t="shared" si="36"/>
        <v>3</v>
      </c>
      <c r="C2258" s="5">
        <v>227.8</v>
      </c>
    </row>
    <row r="2259" spans="1:3" x14ac:dyDescent="0.35">
      <c r="A2259" s="9">
        <v>42071</v>
      </c>
      <c r="B2259">
        <f t="shared" si="36"/>
        <v>3</v>
      </c>
      <c r="C2259" s="5">
        <v>231.6</v>
      </c>
    </row>
    <row r="2260" spans="1:3" x14ac:dyDescent="0.35">
      <c r="A2260" s="9">
        <v>42072</v>
      </c>
      <c r="B2260">
        <f t="shared" si="36"/>
        <v>3</v>
      </c>
      <c r="C2260" s="5">
        <v>236.5</v>
      </c>
    </row>
    <row r="2261" spans="1:3" x14ac:dyDescent="0.35">
      <c r="A2261" s="9">
        <v>42073</v>
      </c>
      <c r="B2261">
        <f t="shared" si="36"/>
        <v>3</v>
      </c>
      <c r="C2261" s="5">
        <v>244.8</v>
      </c>
    </row>
    <row r="2262" spans="1:3" x14ac:dyDescent="0.35">
      <c r="A2262" s="9">
        <v>42074</v>
      </c>
      <c r="B2262">
        <f t="shared" si="36"/>
        <v>3</v>
      </c>
      <c r="C2262" s="5">
        <v>255.3</v>
      </c>
    </row>
    <row r="2263" spans="1:3" x14ac:dyDescent="0.35">
      <c r="A2263" s="9">
        <v>42075</v>
      </c>
      <c r="B2263">
        <f t="shared" si="36"/>
        <v>3</v>
      </c>
      <c r="C2263" s="5">
        <v>251.3</v>
      </c>
    </row>
    <row r="2264" spans="1:3" x14ac:dyDescent="0.35">
      <c r="A2264" s="9">
        <v>42076</v>
      </c>
      <c r="B2264">
        <f t="shared" si="36"/>
        <v>3</v>
      </c>
      <c r="C2264" s="5">
        <v>231.1</v>
      </c>
    </row>
    <row r="2265" spans="1:3" x14ac:dyDescent="0.35">
      <c r="A2265" s="9">
        <v>42077</v>
      </c>
      <c r="B2265">
        <f t="shared" si="36"/>
        <v>3</v>
      </c>
      <c r="C2265" s="5">
        <v>211.4</v>
      </c>
    </row>
    <row r="2266" spans="1:3" x14ac:dyDescent="0.35">
      <c r="A2266" s="9">
        <v>42078</v>
      </c>
      <c r="B2266">
        <f t="shared" si="36"/>
        <v>3</v>
      </c>
      <c r="C2266" s="5">
        <v>201.7</v>
      </c>
    </row>
    <row r="2267" spans="1:3" x14ac:dyDescent="0.35">
      <c r="A2267" s="9">
        <v>42079</v>
      </c>
      <c r="B2267">
        <f t="shared" si="36"/>
        <v>3</v>
      </c>
      <c r="C2267" s="5">
        <v>199.1</v>
      </c>
    </row>
    <row r="2268" spans="1:3" x14ac:dyDescent="0.35">
      <c r="A2268" s="9">
        <v>42080</v>
      </c>
      <c r="B2268">
        <f t="shared" si="36"/>
        <v>3</v>
      </c>
      <c r="C2268" s="5">
        <v>190.7</v>
      </c>
    </row>
    <row r="2269" spans="1:3" x14ac:dyDescent="0.35">
      <c r="A2269" s="9">
        <v>42081</v>
      </c>
      <c r="B2269">
        <f t="shared" si="36"/>
        <v>3</v>
      </c>
      <c r="C2269" s="5">
        <v>184.8</v>
      </c>
    </row>
    <row r="2270" spans="1:3" x14ac:dyDescent="0.35">
      <c r="A2270" s="9">
        <v>42082</v>
      </c>
      <c r="B2270">
        <f t="shared" si="36"/>
        <v>3</v>
      </c>
      <c r="C2270" s="5">
        <v>193</v>
      </c>
    </row>
    <row r="2271" spans="1:3" x14ac:dyDescent="0.35">
      <c r="A2271" s="9">
        <v>42083</v>
      </c>
      <c r="B2271">
        <f t="shared" si="36"/>
        <v>3</v>
      </c>
      <c r="C2271" s="5">
        <v>219</v>
      </c>
    </row>
    <row r="2272" spans="1:3" x14ac:dyDescent="0.35">
      <c r="A2272" s="9">
        <v>42084</v>
      </c>
      <c r="B2272">
        <f t="shared" si="36"/>
        <v>3</v>
      </c>
      <c r="C2272" s="5">
        <v>247.9</v>
      </c>
    </row>
    <row r="2273" spans="1:3" x14ac:dyDescent="0.35">
      <c r="A2273" s="9">
        <v>42085</v>
      </c>
      <c r="B2273">
        <f t="shared" si="36"/>
        <v>3</v>
      </c>
      <c r="C2273" s="5">
        <v>269.89999999999998</v>
      </c>
    </row>
    <row r="2274" spans="1:3" x14ac:dyDescent="0.35">
      <c r="A2274" s="9">
        <v>42086</v>
      </c>
      <c r="B2274">
        <f t="shared" si="36"/>
        <v>3</v>
      </c>
      <c r="C2274" s="5">
        <v>282.60000000000002</v>
      </c>
    </row>
    <row r="2275" spans="1:3" x14ac:dyDescent="0.35">
      <c r="A2275" s="9">
        <v>42087</v>
      </c>
      <c r="B2275">
        <f t="shared" si="36"/>
        <v>3</v>
      </c>
      <c r="C2275" s="5">
        <v>283.8</v>
      </c>
    </row>
    <row r="2276" spans="1:3" x14ac:dyDescent="0.35">
      <c r="A2276" s="9">
        <v>42088</v>
      </c>
      <c r="B2276">
        <f t="shared" si="36"/>
        <v>3</v>
      </c>
      <c r="C2276" s="5">
        <v>274.10000000000002</v>
      </c>
    </row>
    <row r="2277" spans="1:3" x14ac:dyDescent="0.35">
      <c r="A2277" s="9">
        <v>42089</v>
      </c>
      <c r="B2277">
        <f t="shared" si="36"/>
        <v>3</v>
      </c>
      <c r="C2277" s="5">
        <v>255.3</v>
      </c>
    </row>
    <row r="2278" spans="1:3" x14ac:dyDescent="0.35">
      <c r="A2278" s="9">
        <v>42090</v>
      </c>
      <c r="B2278">
        <f t="shared" si="36"/>
        <v>3</v>
      </c>
      <c r="C2278" s="5">
        <v>241.8</v>
      </c>
    </row>
    <row r="2279" spans="1:3" x14ac:dyDescent="0.35">
      <c r="A2279" s="9">
        <v>42091</v>
      </c>
      <c r="B2279">
        <f t="shared" si="36"/>
        <v>3</v>
      </c>
      <c r="C2279" s="5">
        <v>244.9</v>
      </c>
    </row>
    <row r="2280" spans="1:3" x14ac:dyDescent="0.35">
      <c r="A2280" s="9">
        <v>42092</v>
      </c>
      <c r="B2280">
        <f t="shared" si="36"/>
        <v>3</v>
      </c>
      <c r="C2280" s="5">
        <v>254</v>
      </c>
    </row>
    <row r="2281" spans="1:3" x14ac:dyDescent="0.35">
      <c r="A2281" s="9">
        <v>42093</v>
      </c>
      <c r="B2281">
        <f t="shared" si="36"/>
        <v>3</v>
      </c>
      <c r="C2281" s="5">
        <v>258.89999999999998</v>
      </c>
    </row>
    <row r="2282" spans="1:3" x14ac:dyDescent="0.35">
      <c r="A2282" s="9">
        <v>42094</v>
      </c>
      <c r="B2282">
        <f t="shared" si="36"/>
        <v>3</v>
      </c>
      <c r="C2282" s="5">
        <v>248.8</v>
      </c>
    </row>
    <row r="2283" spans="1:3" x14ac:dyDescent="0.35">
      <c r="A2283" s="9">
        <v>42095</v>
      </c>
      <c r="B2283">
        <f t="shared" si="36"/>
        <v>4</v>
      </c>
      <c r="C2283" s="5">
        <v>234</v>
      </c>
    </row>
    <row r="2284" spans="1:3" x14ac:dyDescent="0.35">
      <c r="A2284" s="9">
        <v>42096</v>
      </c>
      <c r="B2284">
        <f t="shared" si="36"/>
        <v>4</v>
      </c>
      <c r="C2284" s="5">
        <v>230</v>
      </c>
    </row>
    <row r="2285" spans="1:3" x14ac:dyDescent="0.35">
      <c r="A2285" s="9">
        <v>42097</v>
      </c>
      <c r="B2285">
        <f t="shared" si="36"/>
        <v>4</v>
      </c>
      <c r="C2285" s="5">
        <v>224.3</v>
      </c>
    </row>
    <row r="2286" spans="1:3" x14ac:dyDescent="0.35">
      <c r="A2286" s="9">
        <v>42098</v>
      </c>
      <c r="B2286">
        <f t="shared" si="36"/>
        <v>4</v>
      </c>
      <c r="C2286" s="5">
        <v>222.5</v>
      </c>
    </row>
    <row r="2287" spans="1:3" x14ac:dyDescent="0.35">
      <c r="A2287" s="9">
        <v>42099</v>
      </c>
      <c r="B2287">
        <f t="shared" si="36"/>
        <v>4</v>
      </c>
      <c r="C2287" s="5">
        <v>220</v>
      </c>
    </row>
    <row r="2288" spans="1:3" x14ac:dyDescent="0.35">
      <c r="A2288" s="9">
        <v>42100</v>
      </c>
      <c r="B2288">
        <f t="shared" si="36"/>
        <v>4</v>
      </c>
      <c r="C2288" s="5">
        <v>213.9</v>
      </c>
    </row>
    <row r="2289" spans="1:3" x14ac:dyDescent="0.35">
      <c r="A2289" s="9">
        <v>42101</v>
      </c>
      <c r="B2289">
        <f t="shared" si="36"/>
        <v>4</v>
      </c>
      <c r="C2289" s="5">
        <v>203.2</v>
      </c>
    </row>
    <row r="2290" spans="1:3" x14ac:dyDescent="0.35">
      <c r="A2290" s="9">
        <v>42102</v>
      </c>
      <c r="B2290">
        <f t="shared" si="36"/>
        <v>4</v>
      </c>
      <c r="C2290" s="5">
        <v>196.2</v>
      </c>
    </row>
    <row r="2291" spans="1:3" x14ac:dyDescent="0.35">
      <c r="A2291" s="9">
        <v>42103</v>
      </c>
      <c r="B2291">
        <f t="shared" si="36"/>
        <v>4</v>
      </c>
      <c r="C2291" s="5">
        <v>195.6</v>
      </c>
    </row>
    <row r="2292" spans="1:3" x14ac:dyDescent="0.35">
      <c r="A2292" s="9">
        <v>42104</v>
      </c>
      <c r="B2292">
        <f t="shared" si="36"/>
        <v>4</v>
      </c>
      <c r="C2292" s="5">
        <v>198.2</v>
      </c>
    </row>
    <row r="2293" spans="1:3" x14ac:dyDescent="0.35">
      <c r="A2293" s="9">
        <v>42105</v>
      </c>
      <c r="B2293">
        <f t="shared" si="36"/>
        <v>4</v>
      </c>
      <c r="C2293" s="5">
        <v>205.5</v>
      </c>
    </row>
    <row r="2294" spans="1:3" x14ac:dyDescent="0.35">
      <c r="A2294" s="9">
        <v>42106</v>
      </c>
      <c r="B2294">
        <f t="shared" si="36"/>
        <v>4</v>
      </c>
      <c r="C2294" s="5">
        <v>210.5</v>
      </c>
    </row>
    <row r="2295" spans="1:3" x14ac:dyDescent="0.35">
      <c r="A2295" s="9">
        <v>42107</v>
      </c>
      <c r="B2295">
        <f t="shared" si="36"/>
        <v>4</v>
      </c>
      <c r="C2295" s="5">
        <v>211.5</v>
      </c>
    </row>
    <row r="2296" spans="1:3" x14ac:dyDescent="0.35">
      <c r="A2296" s="9">
        <v>42108</v>
      </c>
      <c r="B2296">
        <f t="shared" si="36"/>
        <v>4</v>
      </c>
      <c r="C2296" s="5">
        <v>214.4</v>
      </c>
    </row>
    <row r="2297" spans="1:3" x14ac:dyDescent="0.35">
      <c r="A2297" s="9">
        <v>42109</v>
      </c>
      <c r="B2297">
        <f t="shared" si="36"/>
        <v>4</v>
      </c>
      <c r="C2297" s="5">
        <v>212.7</v>
      </c>
    </row>
    <row r="2298" spans="1:3" x14ac:dyDescent="0.35">
      <c r="A2298" s="9">
        <v>42110</v>
      </c>
      <c r="B2298">
        <f t="shared" si="36"/>
        <v>4</v>
      </c>
      <c r="C2298" s="5">
        <v>213</v>
      </c>
    </row>
    <row r="2299" spans="1:3" x14ac:dyDescent="0.35">
      <c r="A2299" s="9">
        <v>42111</v>
      </c>
      <c r="B2299">
        <f t="shared" si="36"/>
        <v>4</v>
      </c>
      <c r="C2299" s="5">
        <v>216.3</v>
      </c>
    </row>
    <row r="2300" spans="1:3" x14ac:dyDescent="0.35">
      <c r="A2300" s="9">
        <v>42112</v>
      </c>
      <c r="B2300">
        <f t="shared" si="36"/>
        <v>4</v>
      </c>
      <c r="C2300" s="5">
        <v>221.9</v>
      </c>
    </row>
    <row r="2301" spans="1:3" x14ac:dyDescent="0.35">
      <c r="A2301" s="9">
        <v>42113</v>
      </c>
      <c r="B2301">
        <f t="shared" si="36"/>
        <v>4</v>
      </c>
      <c r="C2301" s="5">
        <v>223.1</v>
      </c>
    </row>
    <row r="2302" spans="1:3" x14ac:dyDescent="0.35">
      <c r="A2302" s="9">
        <v>42114</v>
      </c>
      <c r="B2302">
        <f t="shared" si="36"/>
        <v>4</v>
      </c>
      <c r="C2302" s="5">
        <v>214.1</v>
      </c>
    </row>
    <row r="2303" spans="1:3" x14ac:dyDescent="0.35">
      <c r="A2303" s="9">
        <v>42115</v>
      </c>
      <c r="B2303">
        <f t="shared" si="36"/>
        <v>4</v>
      </c>
      <c r="C2303" s="5">
        <v>204.2</v>
      </c>
    </row>
    <row r="2304" spans="1:3" x14ac:dyDescent="0.35">
      <c r="A2304" s="9">
        <v>42116</v>
      </c>
      <c r="B2304">
        <f t="shared" si="36"/>
        <v>4</v>
      </c>
      <c r="C2304" s="5">
        <v>196.3</v>
      </c>
    </row>
    <row r="2305" spans="1:3" x14ac:dyDescent="0.35">
      <c r="A2305" s="9">
        <v>42117</v>
      </c>
      <c r="B2305">
        <f t="shared" si="36"/>
        <v>4</v>
      </c>
      <c r="C2305" s="5">
        <v>188.4</v>
      </c>
    </row>
    <row r="2306" spans="1:3" x14ac:dyDescent="0.35">
      <c r="A2306" s="9">
        <v>42118</v>
      </c>
      <c r="B2306">
        <f t="shared" si="36"/>
        <v>4</v>
      </c>
      <c r="C2306" s="5">
        <v>186</v>
      </c>
    </row>
    <row r="2307" spans="1:3" x14ac:dyDescent="0.35">
      <c r="A2307" s="9">
        <v>42119</v>
      </c>
      <c r="B2307">
        <f t="shared" si="36"/>
        <v>4</v>
      </c>
      <c r="C2307" s="5">
        <v>192.1</v>
      </c>
    </row>
    <row r="2308" spans="1:3" x14ac:dyDescent="0.35">
      <c r="A2308" s="9">
        <v>42120</v>
      </c>
      <c r="B2308">
        <f t="shared" ref="B2308:B2371" si="37">MONTH(A2308)</f>
        <v>4</v>
      </c>
      <c r="C2308" s="5">
        <v>205.8</v>
      </c>
    </row>
    <row r="2309" spans="1:3" x14ac:dyDescent="0.35">
      <c r="A2309" s="9">
        <v>42121</v>
      </c>
      <c r="B2309">
        <f t="shared" si="37"/>
        <v>4</v>
      </c>
      <c r="C2309" s="5">
        <v>222.3</v>
      </c>
    </row>
    <row r="2310" spans="1:3" x14ac:dyDescent="0.35">
      <c r="A2310" s="9">
        <v>42122</v>
      </c>
      <c r="B2310">
        <f t="shared" si="37"/>
        <v>4</v>
      </c>
      <c r="C2310" s="5">
        <v>226.8</v>
      </c>
    </row>
    <row r="2311" spans="1:3" x14ac:dyDescent="0.35">
      <c r="A2311" s="9">
        <v>42123</v>
      </c>
      <c r="B2311">
        <f t="shared" si="37"/>
        <v>4</v>
      </c>
      <c r="C2311" s="5">
        <v>219.8</v>
      </c>
    </row>
    <row r="2312" spans="1:3" x14ac:dyDescent="0.35">
      <c r="A2312" s="9">
        <v>42124</v>
      </c>
      <c r="B2312">
        <f t="shared" si="37"/>
        <v>4</v>
      </c>
      <c r="C2312" s="5">
        <v>211.4</v>
      </c>
    </row>
    <row r="2313" spans="1:3" x14ac:dyDescent="0.35">
      <c r="A2313" s="9">
        <v>42125</v>
      </c>
      <c r="B2313">
        <f t="shared" si="37"/>
        <v>5</v>
      </c>
      <c r="C2313" s="5">
        <v>207.9</v>
      </c>
    </row>
    <row r="2314" spans="1:3" x14ac:dyDescent="0.35">
      <c r="A2314" s="9">
        <v>42126</v>
      </c>
      <c r="B2314">
        <f t="shared" si="37"/>
        <v>5</v>
      </c>
      <c r="C2314" s="5">
        <v>203.5</v>
      </c>
    </row>
    <row r="2315" spans="1:3" x14ac:dyDescent="0.35">
      <c r="A2315" s="9">
        <v>42127</v>
      </c>
      <c r="B2315">
        <f t="shared" si="37"/>
        <v>5</v>
      </c>
      <c r="C2315" s="5">
        <v>191.9</v>
      </c>
    </row>
    <row r="2316" spans="1:3" x14ac:dyDescent="0.35">
      <c r="A2316" s="9">
        <v>42128</v>
      </c>
      <c r="B2316">
        <f t="shared" si="37"/>
        <v>5</v>
      </c>
      <c r="C2316" s="5">
        <v>178.1</v>
      </c>
    </row>
    <row r="2317" spans="1:3" x14ac:dyDescent="0.35">
      <c r="A2317" s="9">
        <v>42129</v>
      </c>
      <c r="B2317">
        <f t="shared" si="37"/>
        <v>5</v>
      </c>
      <c r="C2317" s="5">
        <v>167.1</v>
      </c>
    </row>
    <row r="2318" spans="1:3" x14ac:dyDescent="0.35">
      <c r="A2318" s="9">
        <v>42130</v>
      </c>
      <c r="B2318">
        <f t="shared" si="37"/>
        <v>5</v>
      </c>
      <c r="C2318" s="5">
        <v>164</v>
      </c>
    </row>
    <row r="2319" spans="1:3" x14ac:dyDescent="0.35">
      <c r="A2319" s="9">
        <v>42131</v>
      </c>
      <c r="B2319">
        <f t="shared" si="37"/>
        <v>5</v>
      </c>
      <c r="C2319" s="5">
        <v>171.6</v>
      </c>
    </row>
    <row r="2320" spans="1:3" x14ac:dyDescent="0.35">
      <c r="A2320" s="9">
        <v>42132</v>
      </c>
      <c r="B2320">
        <f t="shared" si="37"/>
        <v>5</v>
      </c>
      <c r="C2320" s="5">
        <v>191.3</v>
      </c>
    </row>
    <row r="2321" spans="1:3" x14ac:dyDescent="0.35">
      <c r="A2321" s="9">
        <v>42133</v>
      </c>
      <c r="B2321">
        <f t="shared" si="37"/>
        <v>5</v>
      </c>
      <c r="C2321" s="5">
        <v>211</v>
      </c>
    </row>
    <row r="2322" spans="1:3" x14ac:dyDescent="0.35">
      <c r="A2322" s="9">
        <v>42134</v>
      </c>
      <c r="B2322">
        <f t="shared" si="37"/>
        <v>5</v>
      </c>
      <c r="C2322" s="5">
        <v>215.1</v>
      </c>
    </row>
    <row r="2323" spans="1:3" x14ac:dyDescent="0.35">
      <c r="A2323" s="9">
        <v>42135</v>
      </c>
      <c r="B2323">
        <f t="shared" si="37"/>
        <v>5</v>
      </c>
      <c r="C2323" s="5">
        <v>208.3</v>
      </c>
    </row>
    <row r="2324" spans="1:3" x14ac:dyDescent="0.35">
      <c r="A2324" s="9">
        <v>42136</v>
      </c>
      <c r="B2324">
        <f t="shared" si="37"/>
        <v>5</v>
      </c>
      <c r="C2324" s="5">
        <v>197.2</v>
      </c>
    </row>
    <row r="2325" spans="1:3" x14ac:dyDescent="0.35">
      <c r="A2325" s="9">
        <v>42137</v>
      </c>
      <c r="B2325">
        <f t="shared" si="37"/>
        <v>5</v>
      </c>
      <c r="C2325" s="5">
        <v>191.4</v>
      </c>
    </row>
    <row r="2326" spans="1:3" x14ac:dyDescent="0.35">
      <c r="A2326" s="9">
        <v>42138</v>
      </c>
      <c r="B2326">
        <f t="shared" si="37"/>
        <v>5</v>
      </c>
      <c r="C2326" s="5">
        <v>193.2</v>
      </c>
    </row>
    <row r="2327" spans="1:3" x14ac:dyDescent="0.35">
      <c r="A2327" s="9">
        <v>42139</v>
      </c>
      <c r="B2327">
        <f t="shared" si="37"/>
        <v>5</v>
      </c>
      <c r="C2327" s="5">
        <v>202.5</v>
      </c>
    </row>
    <row r="2328" spans="1:3" x14ac:dyDescent="0.35">
      <c r="A2328" s="9">
        <v>42140</v>
      </c>
      <c r="B2328">
        <f t="shared" si="37"/>
        <v>5</v>
      </c>
      <c r="C2328" s="5">
        <v>212.4</v>
      </c>
    </row>
    <row r="2329" spans="1:3" x14ac:dyDescent="0.35">
      <c r="A2329" s="9">
        <v>42141</v>
      </c>
      <c r="B2329">
        <f t="shared" si="37"/>
        <v>5</v>
      </c>
      <c r="C2329" s="5">
        <v>221.8</v>
      </c>
    </row>
    <row r="2330" spans="1:3" x14ac:dyDescent="0.35">
      <c r="A2330" s="9">
        <v>42142</v>
      </c>
      <c r="B2330">
        <f t="shared" si="37"/>
        <v>5</v>
      </c>
      <c r="C2330" s="5">
        <v>228.1</v>
      </c>
    </row>
    <row r="2331" spans="1:3" x14ac:dyDescent="0.35">
      <c r="A2331" s="9">
        <v>42143</v>
      </c>
      <c r="B2331">
        <f t="shared" si="37"/>
        <v>5</v>
      </c>
      <c r="C2331" s="5">
        <v>226.7</v>
      </c>
    </row>
    <row r="2332" spans="1:3" x14ac:dyDescent="0.35">
      <c r="A2332" s="9">
        <v>42144</v>
      </c>
      <c r="B2332">
        <f t="shared" si="37"/>
        <v>5</v>
      </c>
      <c r="C2332" s="5">
        <v>213.2</v>
      </c>
    </row>
    <row r="2333" spans="1:3" x14ac:dyDescent="0.35">
      <c r="A2333" s="9">
        <v>42145</v>
      </c>
      <c r="B2333">
        <f t="shared" si="37"/>
        <v>5</v>
      </c>
      <c r="C2333" s="5">
        <v>193.2</v>
      </c>
    </row>
    <row r="2334" spans="1:3" x14ac:dyDescent="0.35">
      <c r="A2334" s="9">
        <v>42146</v>
      </c>
      <c r="B2334">
        <f t="shared" si="37"/>
        <v>5</v>
      </c>
      <c r="C2334" s="5">
        <v>172.5</v>
      </c>
    </row>
    <row r="2335" spans="1:3" x14ac:dyDescent="0.35">
      <c r="A2335" s="9">
        <v>42147</v>
      </c>
      <c r="B2335">
        <f t="shared" si="37"/>
        <v>5</v>
      </c>
      <c r="C2335" s="5">
        <v>155.9</v>
      </c>
    </row>
    <row r="2336" spans="1:3" x14ac:dyDescent="0.35">
      <c r="A2336" s="9">
        <v>42148</v>
      </c>
      <c r="B2336">
        <f t="shared" si="37"/>
        <v>5</v>
      </c>
      <c r="C2336" s="5">
        <v>144.80000000000001</v>
      </c>
    </row>
    <row r="2337" spans="1:3" x14ac:dyDescent="0.35">
      <c r="A2337" s="9">
        <v>42149</v>
      </c>
      <c r="B2337">
        <f t="shared" si="37"/>
        <v>5</v>
      </c>
      <c r="C2337" s="5">
        <v>137.5</v>
      </c>
    </row>
    <row r="2338" spans="1:3" x14ac:dyDescent="0.35">
      <c r="A2338" s="9">
        <v>42150</v>
      </c>
      <c r="B2338">
        <f t="shared" si="37"/>
        <v>5</v>
      </c>
      <c r="C2338" s="5">
        <v>132.9</v>
      </c>
    </row>
    <row r="2339" spans="1:3" x14ac:dyDescent="0.35">
      <c r="A2339" s="9">
        <v>42151</v>
      </c>
      <c r="B2339">
        <f t="shared" si="37"/>
        <v>5</v>
      </c>
      <c r="C2339" s="5">
        <v>130.5</v>
      </c>
    </row>
    <row r="2340" spans="1:3" x14ac:dyDescent="0.35">
      <c r="A2340" s="9">
        <v>42152</v>
      </c>
      <c r="B2340">
        <f t="shared" si="37"/>
        <v>5</v>
      </c>
      <c r="C2340" s="5">
        <v>129.9</v>
      </c>
    </row>
    <row r="2341" spans="1:3" x14ac:dyDescent="0.35">
      <c r="A2341" s="9">
        <v>42153</v>
      </c>
      <c r="B2341">
        <f t="shared" si="37"/>
        <v>5</v>
      </c>
      <c r="C2341" s="5">
        <v>129.9</v>
      </c>
    </row>
    <row r="2342" spans="1:3" x14ac:dyDescent="0.35">
      <c r="A2342" s="9">
        <v>42154</v>
      </c>
      <c r="B2342">
        <f t="shared" si="37"/>
        <v>5</v>
      </c>
      <c r="C2342" s="5">
        <v>129.30000000000001</v>
      </c>
    </row>
    <row r="2343" spans="1:3" x14ac:dyDescent="0.35">
      <c r="A2343" s="9">
        <v>42155</v>
      </c>
      <c r="B2343">
        <f t="shared" si="37"/>
        <v>5</v>
      </c>
      <c r="C2343" s="5">
        <v>128.30000000000001</v>
      </c>
    </row>
    <row r="2344" spans="1:3" x14ac:dyDescent="0.35">
      <c r="A2344" s="9">
        <v>42156</v>
      </c>
      <c r="B2344">
        <f t="shared" si="37"/>
        <v>6</v>
      </c>
      <c r="C2344" s="5">
        <v>127</v>
      </c>
    </row>
    <row r="2345" spans="1:3" x14ac:dyDescent="0.35">
      <c r="A2345" s="9">
        <v>42157</v>
      </c>
      <c r="B2345">
        <f t="shared" si="37"/>
        <v>6</v>
      </c>
      <c r="C2345" s="5">
        <v>85.3</v>
      </c>
    </row>
    <row r="2346" spans="1:3" x14ac:dyDescent="0.35">
      <c r="A2346" s="9">
        <v>42158</v>
      </c>
      <c r="B2346">
        <f t="shared" si="37"/>
        <v>6</v>
      </c>
      <c r="C2346" s="5">
        <v>85.7</v>
      </c>
    </row>
    <row r="2347" spans="1:3" x14ac:dyDescent="0.35">
      <c r="A2347" s="9">
        <v>42159</v>
      </c>
      <c r="B2347">
        <f t="shared" si="37"/>
        <v>6</v>
      </c>
      <c r="C2347" s="5">
        <v>88.7</v>
      </c>
    </row>
    <row r="2348" spans="1:3" x14ac:dyDescent="0.35">
      <c r="A2348" s="9">
        <v>42160</v>
      </c>
      <c r="B2348">
        <f t="shared" si="37"/>
        <v>6</v>
      </c>
      <c r="C2348" s="5">
        <v>95.5</v>
      </c>
    </row>
    <row r="2349" spans="1:3" x14ac:dyDescent="0.35">
      <c r="A2349" s="9">
        <v>42161</v>
      </c>
      <c r="B2349">
        <f t="shared" si="37"/>
        <v>6</v>
      </c>
      <c r="C2349" s="5">
        <v>104.1</v>
      </c>
    </row>
    <row r="2350" spans="1:3" x14ac:dyDescent="0.35">
      <c r="A2350" s="9">
        <v>42162</v>
      </c>
      <c r="B2350">
        <f t="shared" si="37"/>
        <v>6</v>
      </c>
      <c r="C2350" s="5">
        <v>108.6</v>
      </c>
    </row>
    <row r="2351" spans="1:3" x14ac:dyDescent="0.35">
      <c r="A2351" s="9">
        <v>42163</v>
      </c>
      <c r="B2351">
        <f t="shared" si="37"/>
        <v>6</v>
      </c>
      <c r="C2351" s="5">
        <v>108.3</v>
      </c>
    </row>
    <row r="2352" spans="1:3" x14ac:dyDescent="0.35">
      <c r="A2352" s="9">
        <v>42164</v>
      </c>
      <c r="B2352">
        <f t="shared" si="37"/>
        <v>6</v>
      </c>
      <c r="C2352" s="5">
        <v>107</v>
      </c>
    </row>
    <row r="2353" spans="1:3" x14ac:dyDescent="0.35">
      <c r="A2353" s="9">
        <v>42165</v>
      </c>
      <c r="B2353">
        <f t="shared" si="37"/>
        <v>6</v>
      </c>
      <c r="C2353" s="5">
        <v>106.5</v>
      </c>
    </row>
    <row r="2354" spans="1:3" x14ac:dyDescent="0.35">
      <c r="A2354" s="9">
        <v>42166</v>
      </c>
      <c r="B2354">
        <f t="shared" si="37"/>
        <v>6</v>
      </c>
      <c r="C2354" s="5">
        <v>104.6</v>
      </c>
    </row>
    <row r="2355" spans="1:3" x14ac:dyDescent="0.35">
      <c r="A2355" s="9">
        <v>42167</v>
      </c>
      <c r="B2355">
        <f t="shared" si="37"/>
        <v>6</v>
      </c>
      <c r="C2355" s="5">
        <v>100.8</v>
      </c>
    </row>
    <row r="2356" spans="1:3" x14ac:dyDescent="0.35">
      <c r="A2356" s="9">
        <v>42168</v>
      </c>
      <c r="B2356">
        <f t="shared" si="37"/>
        <v>6</v>
      </c>
      <c r="C2356" s="5">
        <v>96</v>
      </c>
    </row>
    <row r="2357" spans="1:3" x14ac:dyDescent="0.35">
      <c r="A2357" s="9">
        <v>42169</v>
      </c>
      <c r="B2357">
        <f t="shared" si="37"/>
        <v>6</v>
      </c>
      <c r="C2357" s="5">
        <v>91.4</v>
      </c>
    </row>
    <row r="2358" spans="1:3" x14ac:dyDescent="0.35">
      <c r="A2358" s="9">
        <v>42170</v>
      </c>
      <c r="B2358">
        <f t="shared" si="37"/>
        <v>6</v>
      </c>
      <c r="C2358" s="5">
        <v>88.4</v>
      </c>
    </row>
    <row r="2359" spans="1:3" x14ac:dyDescent="0.35">
      <c r="A2359" s="9">
        <v>42171</v>
      </c>
      <c r="B2359">
        <f t="shared" si="37"/>
        <v>6</v>
      </c>
      <c r="C2359" s="5">
        <v>86.6</v>
      </c>
    </row>
    <row r="2360" spans="1:3" x14ac:dyDescent="0.35">
      <c r="A2360" s="9">
        <v>42172</v>
      </c>
      <c r="B2360">
        <f t="shared" si="37"/>
        <v>6</v>
      </c>
      <c r="C2360" s="5">
        <v>85.5</v>
      </c>
    </row>
    <row r="2361" spans="1:3" x14ac:dyDescent="0.35">
      <c r="A2361" s="9">
        <v>42173</v>
      </c>
      <c r="B2361">
        <f t="shared" si="37"/>
        <v>6</v>
      </c>
      <c r="C2361" s="5">
        <v>84.9</v>
      </c>
    </row>
    <row r="2362" spans="1:3" x14ac:dyDescent="0.35">
      <c r="A2362" s="9">
        <v>42174</v>
      </c>
      <c r="B2362">
        <f t="shared" si="37"/>
        <v>6</v>
      </c>
      <c r="C2362" s="5">
        <v>84.4</v>
      </c>
    </row>
    <row r="2363" spans="1:3" x14ac:dyDescent="0.35">
      <c r="A2363" s="9">
        <v>42175</v>
      </c>
      <c r="B2363">
        <f t="shared" si="37"/>
        <v>6</v>
      </c>
      <c r="C2363" s="5">
        <v>84</v>
      </c>
    </row>
    <row r="2364" spans="1:3" x14ac:dyDescent="0.35">
      <c r="A2364" s="9">
        <v>42176</v>
      </c>
      <c r="B2364">
        <f t="shared" si="37"/>
        <v>6</v>
      </c>
      <c r="C2364" s="5">
        <v>83.6</v>
      </c>
    </row>
    <row r="2365" spans="1:3" x14ac:dyDescent="0.35">
      <c r="A2365" s="9">
        <v>42177</v>
      </c>
      <c r="B2365">
        <f t="shared" si="37"/>
        <v>6</v>
      </c>
      <c r="C2365" s="5">
        <v>83.4</v>
      </c>
    </row>
    <row r="2366" spans="1:3" x14ac:dyDescent="0.35">
      <c r="A2366" s="9">
        <v>42178</v>
      </c>
      <c r="B2366">
        <f t="shared" si="37"/>
        <v>6</v>
      </c>
      <c r="C2366" s="5">
        <v>83.2</v>
      </c>
    </row>
    <row r="2367" spans="1:3" x14ac:dyDescent="0.35">
      <c r="A2367" s="9">
        <v>42179</v>
      </c>
      <c r="B2367">
        <f t="shared" si="37"/>
        <v>6</v>
      </c>
      <c r="C2367" s="5">
        <v>83.1</v>
      </c>
    </row>
    <row r="2368" spans="1:3" x14ac:dyDescent="0.35">
      <c r="A2368" s="9">
        <v>42180</v>
      </c>
      <c r="B2368">
        <f t="shared" si="37"/>
        <v>6</v>
      </c>
      <c r="C2368" s="5">
        <v>83.1</v>
      </c>
    </row>
    <row r="2369" spans="1:3" x14ac:dyDescent="0.35">
      <c r="A2369" s="9">
        <v>42181</v>
      </c>
      <c r="B2369">
        <f t="shared" si="37"/>
        <v>6</v>
      </c>
      <c r="C2369" s="5">
        <v>83.1</v>
      </c>
    </row>
    <row r="2370" spans="1:3" x14ac:dyDescent="0.35">
      <c r="A2370" s="9">
        <v>42182</v>
      </c>
      <c r="B2370">
        <f t="shared" si="37"/>
        <v>6</v>
      </c>
      <c r="C2370" s="5">
        <v>83.3</v>
      </c>
    </row>
    <row r="2371" spans="1:3" x14ac:dyDescent="0.35">
      <c r="A2371" s="9">
        <v>42183</v>
      </c>
      <c r="B2371">
        <f t="shared" si="37"/>
        <v>6</v>
      </c>
      <c r="C2371" s="5">
        <v>83.6</v>
      </c>
    </row>
    <row r="2372" spans="1:3" x14ac:dyDescent="0.35">
      <c r="A2372" s="9">
        <v>42184</v>
      </c>
      <c r="B2372">
        <f t="shared" ref="B2372:B2435" si="38">MONTH(A2372)</f>
        <v>6</v>
      </c>
      <c r="C2372" s="5">
        <v>83.6</v>
      </c>
    </row>
    <row r="2373" spans="1:3" x14ac:dyDescent="0.35">
      <c r="A2373" s="9">
        <v>42185</v>
      </c>
      <c r="B2373">
        <f t="shared" si="38"/>
        <v>6</v>
      </c>
      <c r="C2373" s="5">
        <v>83.5</v>
      </c>
    </row>
    <row r="2374" spans="1:3" x14ac:dyDescent="0.35">
      <c r="A2374" s="9">
        <v>42186</v>
      </c>
      <c r="B2374">
        <f t="shared" si="38"/>
        <v>7</v>
      </c>
      <c r="C2374" s="5">
        <v>83.4</v>
      </c>
    </row>
    <row r="2375" spans="1:3" x14ac:dyDescent="0.35">
      <c r="A2375" s="9">
        <v>42187</v>
      </c>
      <c r="B2375">
        <f t="shared" si="38"/>
        <v>7</v>
      </c>
      <c r="C2375" s="5">
        <v>60.2</v>
      </c>
    </row>
    <row r="2376" spans="1:3" x14ac:dyDescent="0.35">
      <c r="A2376" s="9">
        <v>42188</v>
      </c>
      <c r="B2376">
        <f t="shared" si="38"/>
        <v>7</v>
      </c>
      <c r="C2376" s="5">
        <v>60.2</v>
      </c>
    </row>
    <row r="2377" spans="1:3" x14ac:dyDescent="0.35">
      <c r="A2377" s="9">
        <v>42189</v>
      </c>
      <c r="B2377">
        <f t="shared" si="38"/>
        <v>7</v>
      </c>
      <c r="C2377" s="5">
        <v>60.1</v>
      </c>
    </row>
    <row r="2378" spans="1:3" x14ac:dyDescent="0.35">
      <c r="A2378" s="9">
        <v>42190</v>
      </c>
      <c r="B2378">
        <f t="shared" si="38"/>
        <v>7</v>
      </c>
      <c r="C2378" s="5">
        <v>60.1</v>
      </c>
    </row>
    <row r="2379" spans="1:3" x14ac:dyDescent="0.35">
      <c r="A2379" s="9">
        <v>42191</v>
      </c>
      <c r="B2379">
        <f t="shared" si="38"/>
        <v>7</v>
      </c>
      <c r="C2379" s="5">
        <v>60</v>
      </c>
    </row>
    <row r="2380" spans="1:3" x14ac:dyDescent="0.35">
      <c r="A2380" s="9">
        <v>42192</v>
      </c>
      <c r="B2380">
        <f t="shared" si="38"/>
        <v>7</v>
      </c>
      <c r="C2380" s="5">
        <v>60</v>
      </c>
    </row>
    <row r="2381" spans="1:3" x14ac:dyDescent="0.35">
      <c r="A2381" s="9">
        <v>42193</v>
      </c>
      <c r="B2381">
        <f t="shared" si="38"/>
        <v>7</v>
      </c>
      <c r="C2381" s="5">
        <v>60</v>
      </c>
    </row>
    <row r="2382" spans="1:3" x14ac:dyDescent="0.35">
      <c r="A2382" s="9">
        <v>42194</v>
      </c>
      <c r="B2382">
        <f t="shared" si="38"/>
        <v>7</v>
      </c>
      <c r="C2382" s="5">
        <v>60</v>
      </c>
    </row>
    <row r="2383" spans="1:3" x14ac:dyDescent="0.35">
      <c r="A2383" s="9">
        <v>42195</v>
      </c>
      <c r="B2383">
        <f t="shared" si="38"/>
        <v>7</v>
      </c>
      <c r="C2383" s="5">
        <v>60</v>
      </c>
    </row>
    <row r="2384" spans="1:3" x14ac:dyDescent="0.35">
      <c r="A2384" s="9">
        <v>42196</v>
      </c>
      <c r="B2384">
        <f t="shared" si="38"/>
        <v>7</v>
      </c>
      <c r="C2384" s="5">
        <v>60</v>
      </c>
    </row>
    <row r="2385" spans="1:3" x14ac:dyDescent="0.35">
      <c r="A2385" s="9">
        <v>42197</v>
      </c>
      <c r="B2385">
        <f t="shared" si="38"/>
        <v>7</v>
      </c>
      <c r="C2385" s="5">
        <v>60</v>
      </c>
    </row>
    <row r="2386" spans="1:3" x14ac:dyDescent="0.35">
      <c r="A2386" s="9">
        <v>42198</v>
      </c>
      <c r="B2386">
        <f t="shared" si="38"/>
        <v>7</v>
      </c>
      <c r="C2386" s="5">
        <v>60</v>
      </c>
    </row>
    <row r="2387" spans="1:3" x14ac:dyDescent="0.35">
      <c r="A2387" s="9">
        <v>42199</v>
      </c>
      <c r="B2387">
        <f t="shared" si="38"/>
        <v>7</v>
      </c>
      <c r="C2387" s="5">
        <v>60</v>
      </c>
    </row>
    <row r="2388" spans="1:3" x14ac:dyDescent="0.35">
      <c r="A2388" s="9">
        <v>42200</v>
      </c>
      <c r="B2388">
        <f t="shared" si="38"/>
        <v>7</v>
      </c>
      <c r="C2388" s="5">
        <v>60</v>
      </c>
    </row>
    <row r="2389" spans="1:3" x14ac:dyDescent="0.35">
      <c r="A2389" s="9">
        <v>42201</v>
      </c>
      <c r="B2389">
        <f t="shared" si="38"/>
        <v>7</v>
      </c>
      <c r="C2389" s="5">
        <v>60</v>
      </c>
    </row>
    <row r="2390" spans="1:3" x14ac:dyDescent="0.35">
      <c r="A2390" s="9">
        <v>42202</v>
      </c>
      <c r="B2390">
        <f t="shared" si="38"/>
        <v>7</v>
      </c>
      <c r="C2390" s="5">
        <v>60.1</v>
      </c>
    </row>
    <row r="2391" spans="1:3" x14ac:dyDescent="0.35">
      <c r="A2391" s="9">
        <v>42203</v>
      </c>
      <c r="B2391">
        <f t="shared" si="38"/>
        <v>7</v>
      </c>
      <c r="C2391" s="5">
        <v>60.5</v>
      </c>
    </row>
    <row r="2392" spans="1:3" x14ac:dyDescent="0.35">
      <c r="A2392" s="9">
        <v>42204</v>
      </c>
      <c r="B2392">
        <f t="shared" si="38"/>
        <v>7</v>
      </c>
      <c r="C2392" s="5">
        <v>61.4</v>
      </c>
    </row>
    <row r="2393" spans="1:3" x14ac:dyDescent="0.35">
      <c r="A2393" s="9">
        <v>42205</v>
      </c>
      <c r="B2393">
        <f t="shared" si="38"/>
        <v>7</v>
      </c>
      <c r="C2393" s="5">
        <v>62.5</v>
      </c>
    </row>
    <row r="2394" spans="1:3" x14ac:dyDescent="0.35">
      <c r="A2394" s="9">
        <v>42206</v>
      </c>
      <c r="B2394">
        <f t="shared" si="38"/>
        <v>7</v>
      </c>
      <c r="C2394" s="5">
        <v>63.3</v>
      </c>
    </row>
    <row r="2395" spans="1:3" x14ac:dyDescent="0.35">
      <c r="A2395" s="9">
        <v>42207</v>
      </c>
      <c r="B2395">
        <f t="shared" si="38"/>
        <v>7</v>
      </c>
      <c r="C2395" s="5">
        <v>63.4</v>
      </c>
    </row>
    <row r="2396" spans="1:3" x14ac:dyDescent="0.35">
      <c r="A2396" s="9">
        <v>42208</v>
      </c>
      <c r="B2396">
        <f t="shared" si="38"/>
        <v>7</v>
      </c>
      <c r="C2396" s="5">
        <v>63.4</v>
      </c>
    </row>
    <row r="2397" spans="1:3" x14ac:dyDescent="0.35">
      <c r="A2397" s="9">
        <v>42209</v>
      </c>
      <c r="B2397">
        <f t="shared" si="38"/>
        <v>7</v>
      </c>
      <c r="C2397" s="5">
        <v>63.4</v>
      </c>
    </row>
    <row r="2398" spans="1:3" x14ac:dyDescent="0.35">
      <c r="A2398" s="9">
        <v>42210</v>
      </c>
      <c r="B2398">
        <f t="shared" si="38"/>
        <v>7</v>
      </c>
      <c r="C2398" s="5">
        <v>65</v>
      </c>
    </row>
    <row r="2399" spans="1:3" x14ac:dyDescent="0.35">
      <c r="A2399" s="9">
        <v>42211</v>
      </c>
      <c r="B2399">
        <f t="shared" si="38"/>
        <v>7</v>
      </c>
      <c r="C2399" s="5">
        <v>69.8</v>
      </c>
    </row>
    <row r="2400" spans="1:3" x14ac:dyDescent="0.35">
      <c r="A2400" s="9">
        <v>42212</v>
      </c>
      <c r="B2400">
        <f t="shared" si="38"/>
        <v>7</v>
      </c>
      <c r="C2400" s="5">
        <v>76.5</v>
      </c>
    </row>
    <row r="2401" spans="1:3" x14ac:dyDescent="0.35">
      <c r="A2401" s="9">
        <v>42213</v>
      </c>
      <c r="B2401">
        <f t="shared" si="38"/>
        <v>7</v>
      </c>
      <c r="C2401" s="5">
        <v>79.7</v>
      </c>
    </row>
    <row r="2402" spans="1:3" x14ac:dyDescent="0.35">
      <c r="A2402" s="9">
        <v>42214</v>
      </c>
      <c r="B2402">
        <f t="shared" si="38"/>
        <v>7</v>
      </c>
      <c r="C2402" s="5">
        <v>78.599999999999994</v>
      </c>
    </row>
    <row r="2403" spans="1:3" x14ac:dyDescent="0.35">
      <c r="A2403" s="9">
        <v>42215</v>
      </c>
      <c r="B2403">
        <f t="shared" si="38"/>
        <v>7</v>
      </c>
      <c r="C2403" s="5">
        <v>74.599999999999994</v>
      </c>
    </row>
    <row r="2404" spans="1:3" x14ac:dyDescent="0.35">
      <c r="A2404" s="9">
        <v>42216</v>
      </c>
      <c r="B2404">
        <f t="shared" si="38"/>
        <v>7</v>
      </c>
      <c r="C2404" s="5">
        <v>70.099999999999994</v>
      </c>
    </row>
    <row r="2405" spans="1:3" x14ac:dyDescent="0.35">
      <c r="A2405" s="9">
        <v>42217</v>
      </c>
      <c r="B2405">
        <f t="shared" si="38"/>
        <v>8</v>
      </c>
      <c r="C2405" s="5">
        <v>67.900000000000006</v>
      </c>
    </row>
    <row r="2406" spans="1:3" x14ac:dyDescent="0.35">
      <c r="A2406" s="9">
        <v>42218</v>
      </c>
      <c r="B2406">
        <f t="shared" si="38"/>
        <v>8</v>
      </c>
      <c r="C2406" s="5">
        <v>74.5</v>
      </c>
    </row>
    <row r="2407" spans="1:3" x14ac:dyDescent="0.35">
      <c r="A2407" s="9">
        <v>42219</v>
      </c>
      <c r="B2407">
        <f t="shared" si="38"/>
        <v>8</v>
      </c>
      <c r="C2407" s="5">
        <v>79.599999999999994</v>
      </c>
    </row>
    <row r="2408" spans="1:3" x14ac:dyDescent="0.35">
      <c r="A2408" s="9">
        <v>42220</v>
      </c>
      <c r="B2408">
        <f t="shared" si="38"/>
        <v>8</v>
      </c>
      <c r="C2408" s="5">
        <v>83.7</v>
      </c>
    </row>
    <row r="2409" spans="1:3" x14ac:dyDescent="0.35">
      <c r="A2409" s="9">
        <v>42221</v>
      </c>
      <c r="B2409">
        <f t="shared" si="38"/>
        <v>8</v>
      </c>
      <c r="C2409" s="5">
        <v>83.4</v>
      </c>
    </row>
    <row r="2410" spans="1:3" x14ac:dyDescent="0.35">
      <c r="A2410" s="9">
        <v>42222</v>
      </c>
      <c r="B2410">
        <f t="shared" si="38"/>
        <v>8</v>
      </c>
      <c r="C2410" s="5">
        <v>79.900000000000006</v>
      </c>
    </row>
    <row r="2411" spans="1:3" x14ac:dyDescent="0.35">
      <c r="A2411" s="9">
        <v>42223</v>
      </c>
      <c r="B2411">
        <f t="shared" si="38"/>
        <v>8</v>
      </c>
      <c r="C2411" s="5">
        <v>75.099999999999994</v>
      </c>
    </row>
    <row r="2412" spans="1:3" x14ac:dyDescent="0.35">
      <c r="A2412" s="9">
        <v>42224</v>
      </c>
      <c r="B2412">
        <f t="shared" si="38"/>
        <v>8</v>
      </c>
      <c r="C2412" s="5">
        <v>71.5</v>
      </c>
    </row>
    <row r="2413" spans="1:3" x14ac:dyDescent="0.35">
      <c r="A2413" s="9">
        <v>42225</v>
      </c>
      <c r="B2413">
        <f t="shared" si="38"/>
        <v>8</v>
      </c>
      <c r="C2413" s="5">
        <v>69.3</v>
      </c>
    </row>
    <row r="2414" spans="1:3" x14ac:dyDescent="0.35">
      <c r="A2414" s="9">
        <v>42226</v>
      </c>
      <c r="B2414">
        <f t="shared" si="38"/>
        <v>8</v>
      </c>
      <c r="C2414" s="5">
        <v>68</v>
      </c>
    </row>
    <row r="2415" spans="1:3" x14ac:dyDescent="0.35">
      <c r="A2415" s="9">
        <v>42227</v>
      </c>
      <c r="B2415">
        <f t="shared" si="38"/>
        <v>8</v>
      </c>
      <c r="C2415" s="5">
        <v>67.5</v>
      </c>
    </row>
    <row r="2416" spans="1:3" x14ac:dyDescent="0.35">
      <c r="A2416" s="9">
        <v>42228</v>
      </c>
      <c r="B2416">
        <f t="shared" si="38"/>
        <v>8</v>
      </c>
      <c r="C2416" s="5">
        <v>67.400000000000006</v>
      </c>
    </row>
    <row r="2417" spans="1:3" x14ac:dyDescent="0.35">
      <c r="A2417" s="9">
        <v>42229</v>
      </c>
      <c r="B2417">
        <f t="shared" si="38"/>
        <v>8</v>
      </c>
      <c r="C2417" s="5">
        <v>67.099999999999994</v>
      </c>
    </row>
    <row r="2418" spans="1:3" x14ac:dyDescent="0.35">
      <c r="A2418" s="9">
        <v>42230</v>
      </c>
      <c r="B2418">
        <f t="shared" si="38"/>
        <v>8</v>
      </c>
      <c r="C2418" s="5">
        <v>66.599999999999994</v>
      </c>
    </row>
    <row r="2419" spans="1:3" x14ac:dyDescent="0.35">
      <c r="A2419" s="9">
        <v>42231</v>
      </c>
      <c r="B2419">
        <f t="shared" si="38"/>
        <v>8</v>
      </c>
      <c r="C2419" s="5">
        <v>68.599999999999994</v>
      </c>
    </row>
    <row r="2420" spans="1:3" x14ac:dyDescent="0.35">
      <c r="A2420" s="9">
        <v>42232</v>
      </c>
      <c r="B2420">
        <f t="shared" si="38"/>
        <v>8</v>
      </c>
      <c r="C2420" s="5">
        <v>74.2</v>
      </c>
    </row>
    <row r="2421" spans="1:3" x14ac:dyDescent="0.35">
      <c r="A2421" s="9">
        <v>42233</v>
      </c>
      <c r="B2421">
        <f t="shared" si="38"/>
        <v>8</v>
      </c>
      <c r="C2421" s="5">
        <v>80.8</v>
      </c>
    </row>
    <row r="2422" spans="1:3" x14ac:dyDescent="0.35">
      <c r="A2422" s="9">
        <v>42234</v>
      </c>
      <c r="B2422">
        <f t="shared" si="38"/>
        <v>8</v>
      </c>
      <c r="C2422" s="5">
        <v>82.4</v>
      </c>
    </row>
    <row r="2423" spans="1:3" x14ac:dyDescent="0.35">
      <c r="A2423" s="9">
        <v>42235</v>
      </c>
      <c r="B2423">
        <f t="shared" si="38"/>
        <v>8</v>
      </c>
      <c r="C2423" s="5">
        <v>80</v>
      </c>
    </row>
    <row r="2424" spans="1:3" x14ac:dyDescent="0.35">
      <c r="A2424" s="9">
        <v>42236</v>
      </c>
      <c r="B2424">
        <f t="shared" si="38"/>
        <v>8</v>
      </c>
      <c r="C2424" s="5">
        <v>75.8</v>
      </c>
    </row>
    <row r="2425" spans="1:3" x14ac:dyDescent="0.35">
      <c r="A2425" s="9">
        <v>42237</v>
      </c>
      <c r="B2425">
        <f t="shared" si="38"/>
        <v>8</v>
      </c>
      <c r="C2425" s="5">
        <v>73.7</v>
      </c>
    </row>
    <row r="2426" spans="1:3" x14ac:dyDescent="0.35">
      <c r="A2426" s="9">
        <v>42238</v>
      </c>
      <c r="B2426">
        <f t="shared" si="38"/>
        <v>8</v>
      </c>
      <c r="C2426" s="5">
        <v>76.5</v>
      </c>
    </row>
    <row r="2427" spans="1:3" x14ac:dyDescent="0.35">
      <c r="A2427" s="9">
        <v>42239</v>
      </c>
      <c r="B2427">
        <f t="shared" si="38"/>
        <v>8</v>
      </c>
      <c r="C2427" s="5">
        <v>83.3</v>
      </c>
    </row>
    <row r="2428" spans="1:3" x14ac:dyDescent="0.35">
      <c r="A2428" s="9">
        <v>42240</v>
      </c>
      <c r="B2428">
        <f t="shared" si="38"/>
        <v>8</v>
      </c>
      <c r="C2428" s="5">
        <v>90</v>
      </c>
    </row>
    <row r="2429" spans="1:3" x14ac:dyDescent="0.35">
      <c r="A2429" s="9">
        <v>42241</v>
      </c>
      <c r="B2429">
        <f t="shared" si="38"/>
        <v>8</v>
      </c>
      <c r="C2429" s="5">
        <v>93.2</v>
      </c>
    </row>
    <row r="2430" spans="1:3" x14ac:dyDescent="0.35">
      <c r="A2430" s="9">
        <v>42242</v>
      </c>
      <c r="B2430">
        <f t="shared" si="38"/>
        <v>8</v>
      </c>
      <c r="C2430" s="5">
        <v>90.1</v>
      </c>
    </row>
    <row r="2431" spans="1:3" x14ac:dyDescent="0.35">
      <c r="A2431" s="9">
        <v>42243</v>
      </c>
      <c r="B2431">
        <f t="shared" si="38"/>
        <v>8</v>
      </c>
      <c r="C2431" s="5">
        <v>84.1</v>
      </c>
    </row>
    <row r="2432" spans="1:3" x14ac:dyDescent="0.35">
      <c r="A2432" s="9">
        <v>42244</v>
      </c>
      <c r="B2432">
        <f t="shared" si="38"/>
        <v>8</v>
      </c>
      <c r="C2432" s="5">
        <v>81.3</v>
      </c>
    </row>
    <row r="2433" spans="1:3" x14ac:dyDescent="0.35">
      <c r="A2433" s="9">
        <v>42245</v>
      </c>
      <c r="B2433">
        <f t="shared" si="38"/>
        <v>8</v>
      </c>
      <c r="C2433" s="5">
        <v>84.5</v>
      </c>
    </row>
    <row r="2434" spans="1:3" x14ac:dyDescent="0.35">
      <c r="A2434" s="9">
        <v>42246</v>
      </c>
      <c r="B2434">
        <f t="shared" si="38"/>
        <v>8</v>
      </c>
      <c r="C2434" s="5">
        <v>91.2</v>
      </c>
    </row>
    <row r="2435" spans="1:3" x14ac:dyDescent="0.35">
      <c r="A2435" s="9">
        <v>42247</v>
      </c>
      <c r="B2435">
        <f t="shared" si="38"/>
        <v>8</v>
      </c>
      <c r="C2435" s="5">
        <v>95.4</v>
      </c>
    </row>
    <row r="2436" spans="1:3" x14ac:dyDescent="0.35">
      <c r="A2436" s="9">
        <v>42248</v>
      </c>
      <c r="B2436">
        <f t="shared" ref="B2436:B2499" si="39">MONTH(A2436)</f>
        <v>9</v>
      </c>
      <c r="C2436" s="5">
        <v>99.7</v>
      </c>
    </row>
    <row r="2437" spans="1:3" x14ac:dyDescent="0.35">
      <c r="A2437" s="9">
        <v>42249</v>
      </c>
      <c r="B2437">
        <f t="shared" si="39"/>
        <v>9</v>
      </c>
      <c r="C2437" s="5">
        <v>130.1</v>
      </c>
    </row>
    <row r="2438" spans="1:3" x14ac:dyDescent="0.35">
      <c r="A2438" s="9">
        <v>42250</v>
      </c>
      <c r="B2438">
        <f t="shared" si="39"/>
        <v>9</v>
      </c>
      <c r="C2438" s="5">
        <v>132.69999999999999</v>
      </c>
    </row>
    <row r="2439" spans="1:3" x14ac:dyDescent="0.35">
      <c r="A2439" s="9">
        <v>42251</v>
      </c>
      <c r="B2439">
        <f t="shared" si="39"/>
        <v>9</v>
      </c>
      <c r="C2439" s="5">
        <v>136.6</v>
      </c>
    </row>
    <row r="2440" spans="1:3" x14ac:dyDescent="0.35">
      <c r="A2440" s="9">
        <v>42252</v>
      </c>
      <c r="B2440">
        <f t="shared" si="39"/>
        <v>9</v>
      </c>
      <c r="C2440" s="5">
        <v>139.80000000000001</v>
      </c>
    </row>
    <row r="2441" spans="1:3" x14ac:dyDescent="0.35">
      <c r="A2441" s="9">
        <v>42253</v>
      </c>
      <c r="B2441">
        <f t="shared" si="39"/>
        <v>9</v>
      </c>
      <c r="C2441" s="5">
        <v>138.5</v>
      </c>
    </row>
    <row r="2442" spans="1:3" x14ac:dyDescent="0.35">
      <c r="A2442" s="9">
        <v>42254</v>
      </c>
      <c r="B2442">
        <f t="shared" si="39"/>
        <v>9</v>
      </c>
      <c r="C2442" s="5">
        <v>138.6</v>
      </c>
    </row>
    <row r="2443" spans="1:3" x14ac:dyDescent="0.35">
      <c r="A2443" s="9">
        <v>42255</v>
      </c>
      <c r="B2443">
        <f t="shared" si="39"/>
        <v>9</v>
      </c>
      <c r="C2443" s="5">
        <v>140.30000000000001</v>
      </c>
    </row>
    <row r="2444" spans="1:3" x14ac:dyDescent="0.35">
      <c r="A2444" s="9">
        <v>42256</v>
      </c>
      <c r="B2444">
        <f t="shared" si="39"/>
        <v>9</v>
      </c>
      <c r="C2444" s="5">
        <v>137.6</v>
      </c>
    </row>
    <row r="2445" spans="1:3" x14ac:dyDescent="0.35">
      <c r="A2445" s="9">
        <v>42257</v>
      </c>
      <c r="B2445">
        <f t="shared" si="39"/>
        <v>9</v>
      </c>
      <c r="C2445" s="5">
        <v>136.30000000000001</v>
      </c>
    </row>
    <row r="2446" spans="1:3" x14ac:dyDescent="0.35">
      <c r="A2446" s="9">
        <v>42258</v>
      </c>
      <c r="B2446">
        <f t="shared" si="39"/>
        <v>9</v>
      </c>
      <c r="C2446" s="5">
        <v>137.30000000000001</v>
      </c>
    </row>
    <row r="2447" spans="1:3" x14ac:dyDescent="0.35">
      <c r="A2447" s="9">
        <v>42259</v>
      </c>
      <c r="B2447">
        <f t="shared" si="39"/>
        <v>9</v>
      </c>
      <c r="C2447" s="5">
        <v>140.6</v>
      </c>
    </row>
    <row r="2448" spans="1:3" x14ac:dyDescent="0.35">
      <c r="A2448" s="9">
        <v>42260</v>
      </c>
      <c r="B2448">
        <f t="shared" si="39"/>
        <v>9</v>
      </c>
      <c r="C2448" s="5">
        <v>139.9</v>
      </c>
    </row>
    <row r="2449" spans="1:3" x14ac:dyDescent="0.35">
      <c r="A2449" s="9">
        <v>42261</v>
      </c>
      <c r="B2449">
        <f t="shared" si="39"/>
        <v>9</v>
      </c>
      <c r="C2449" s="5">
        <v>133.69999999999999</v>
      </c>
    </row>
    <row r="2450" spans="1:3" x14ac:dyDescent="0.35">
      <c r="A2450" s="9">
        <v>42262</v>
      </c>
      <c r="B2450">
        <f t="shared" si="39"/>
        <v>9</v>
      </c>
      <c r="C2450" s="5">
        <v>124.1</v>
      </c>
    </row>
    <row r="2451" spans="1:3" x14ac:dyDescent="0.35">
      <c r="A2451" s="9">
        <v>42263</v>
      </c>
      <c r="B2451">
        <f t="shared" si="39"/>
        <v>9</v>
      </c>
      <c r="C2451" s="5">
        <v>118.5</v>
      </c>
    </row>
    <row r="2452" spans="1:3" x14ac:dyDescent="0.35">
      <c r="A2452" s="9">
        <v>42264</v>
      </c>
      <c r="B2452">
        <f t="shared" si="39"/>
        <v>9</v>
      </c>
      <c r="C2452" s="5">
        <v>121.2</v>
      </c>
    </row>
    <row r="2453" spans="1:3" x14ac:dyDescent="0.35">
      <c r="A2453" s="9">
        <v>42265</v>
      </c>
      <c r="B2453">
        <f t="shared" si="39"/>
        <v>9</v>
      </c>
      <c r="C2453" s="5">
        <v>128.6</v>
      </c>
    </row>
    <row r="2454" spans="1:3" x14ac:dyDescent="0.35">
      <c r="A2454" s="9">
        <v>42266</v>
      </c>
      <c r="B2454">
        <f t="shared" si="39"/>
        <v>9</v>
      </c>
      <c r="C2454" s="5">
        <v>133.4</v>
      </c>
    </row>
    <row r="2455" spans="1:3" x14ac:dyDescent="0.35">
      <c r="A2455" s="9">
        <v>42267</v>
      </c>
      <c r="B2455">
        <f t="shared" si="39"/>
        <v>9</v>
      </c>
      <c r="C2455" s="5">
        <v>137.6</v>
      </c>
    </row>
    <row r="2456" spans="1:3" x14ac:dyDescent="0.35">
      <c r="A2456" s="9">
        <v>42268</v>
      </c>
      <c r="B2456">
        <f t="shared" si="39"/>
        <v>9</v>
      </c>
      <c r="C2456" s="5">
        <v>138.80000000000001</v>
      </c>
    </row>
    <row r="2457" spans="1:3" x14ac:dyDescent="0.35">
      <c r="A2457" s="9">
        <v>42269</v>
      </c>
      <c r="B2457">
        <f t="shared" si="39"/>
        <v>9</v>
      </c>
      <c r="C2457" s="5">
        <v>135.30000000000001</v>
      </c>
    </row>
    <row r="2458" spans="1:3" x14ac:dyDescent="0.35">
      <c r="A2458" s="9">
        <v>42270</v>
      </c>
      <c r="B2458">
        <f t="shared" si="39"/>
        <v>9</v>
      </c>
      <c r="C2458" s="5">
        <v>134.1</v>
      </c>
    </row>
    <row r="2459" spans="1:3" x14ac:dyDescent="0.35">
      <c r="A2459" s="9">
        <v>42271</v>
      </c>
      <c r="B2459">
        <f t="shared" si="39"/>
        <v>9</v>
      </c>
      <c r="C2459" s="5">
        <v>140.9</v>
      </c>
    </row>
    <row r="2460" spans="1:3" x14ac:dyDescent="0.35">
      <c r="A2460" s="9">
        <v>42272</v>
      </c>
      <c r="B2460">
        <f t="shared" si="39"/>
        <v>9</v>
      </c>
      <c r="C2460" s="5">
        <v>153.4</v>
      </c>
    </row>
    <row r="2461" spans="1:3" x14ac:dyDescent="0.35">
      <c r="A2461" s="9">
        <v>42273</v>
      </c>
      <c r="B2461">
        <f t="shared" si="39"/>
        <v>9</v>
      </c>
      <c r="C2461" s="5">
        <v>163.80000000000001</v>
      </c>
    </row>
    <row r="2462" spans="1:3" x14ac:dyDescent="0.35">
      <c r="A2462" s="9">
        <v>42274</v>
      </c>
      <c r="B2462">
        <f t="shared" si="39"/>
        <v>9</v>
      </c>
      <c r="C2462" s="5">
        <v>167.2</v>
      </c>
    </row>
    <row r="2463" spans="1:3" x14ac:dyDescent="0.35">
      <c r="A2463" s="9">
        <v>42275</v>
      </c>
      <c r="B2463">
        <f t="shared" si="39"/>
        <v>9</v>
      </c>
      <c r="C2463" s="5">
        <v>166.6</v>
      </c>
    </row>
    <row r="2464" spans="1:3" x14ac:dyDescent="0.35">
      <c r="A2464" s="9">
        <v>42276</v>
      </c>
      <c r="B2464">
        <f t="shared" si="39"/>
        <v>9</v>
      </c>
      <c r="C2464" s="5">
        <v>162.19999999999999</v>
      </c>
    </row>
    <row r="2465" spans="1:3" x14ac:dyDescent="0.35">
      <c r="A2465" s="9">
        <v>42277</v>
      </c>
      <c r="B2465">
        <f t="shared" si="39"/>
        <v>9</v>
      </c>
      <c r="C2465" s="5">
        <v>161.9</v>
      </c>
    </row>
    <row r="2466" spans="1:3" x14ac:dyDescent="0.35">
      <c r="A2466" s="9">
        <v>42278</v>
      </c>
      <c r="B2466">
        <f t="shared" si="39"/>
        <v>10</v>
      </c>
      <c r="C2466" s="5">
        <v>169</v>
      </c>
    </row>
    <row r="2467" spans="1:3" x14ac:dyDescent="0.35">
      <c r="A2467" s="9">
        <v>42279</v>
      </c>
      <c r="B2467">
        <f t="shared" si="39"/>
        <v>10</v>
      </c>
      <c r="C2467" s="5">
        <v>193.5</v>
      </c>
    </row>
    <row r="2468" spans="1:3" x14ac:dyDescent="0.35">
      <c r="A2468" s="9">
        <v>42280</v>
      </c>
      <c r="B2468">
        <f t="shared" si="39"/>
        <v>10</v>
      </c>
      <c r="C2468" s="5">
        <v>197.2</v>
      </c>
    </row>
    <row r="2469" spans="1:3" x14ac:dyDescent="0.35">
      <c r="A2469" s="9">
        <v>42281</v>
      </c>
      <c r="B2469">
        <f t="shared" si="39"/>
        <v>10</v>
      </c>
      <c r="C2469" s="5">
        <v>200.2</v>
      </c>
    </row>
    <row r="2470" spans="1:3" x14ac:dyDescent="0.35">
      <c r="A2470" s="9">
        <v>42282</v>
      </c>
      <c r="B2470">
        <f t="shared" si="39"/>
        <v>10</v>
      </c>
      <c r="C2470" s="5">
        <v>199.7</v>
      </c>
    </row>
    <row r="2471" spans="1:3" x14ac:dyDescent="0.35">
      <c r="A2471" s="9">
        <v>42283</v>
      </c>
      <c r="B2471">
        <f t="shared" si="39"/>
        <v>10</v>
      </c>
      <c r="C2471" s="5">
        <v>206.3</v>
      </c>
    </row>
    <row r="2472" spans="1:3" x14ac:dyDescent="0.35">
      <c r="A2472" s="9">
        <v>42284</v>
      </c>
      <c r="B2472">
        <f t="shared" si="39"/>
        <v>10</v>
      </c>
      <c r="C2472" s="5">
        <v>215.1</v>
      </c>
    </row>
    <row r="2473" spans="1:3" x14ac:dyDescent="0.35">
      <c r="A2473" s="9">
        <v>42285</v>
      </c>
      <c r="B2473">
        <f t="shared" si="39"/>
        <v>10</v>
      </c>
      <c r="C2473" s="5">
        <v>221.2</v>
      </c>
    </row>
    <row r="2474" spans="1:3" x14ac:dyDescent="0.35">
      <c r="A2474" s="9">
        <v>42286</v>
      </c>
      <c r="B2474">
        <f t="shared" si="39"/>
        <v>10</v>
      </c>
      <c r="C2474" s="5">
        <v>221.4</v>
      </c>
    </row>
    <row r="2475" spans="1:3" x14ac:dyDescent="0.35">
      <c r="A2475" s="9">
        <v>42287</v>
      </c>
      <c r="B2475">
        <f t="shared" si="39"/>
        <v>10</v>
      </c>
      <c r="C2475" s="5">
        <v>219.1</v>
      </c>
    </row>
    <row r="2476" spans="1:3" x14ac:dyDescent="0.35">
      <c r="A2476" s="9">
        <v>42288</v>
      </c>
      <c r="B2476">
        <f t="shared" si="39"/>
        <v>10</v>
      </c>
      <c r="C2476" s="5">
        <v>216</v>
      </c>
    </row>
    <row r="2477" spans="1:3" x14ac:dyDescent="0.35">
      <c r="A2477" s="9">
        <v>42289</v>
      </c>
      <c r="B2477">
        <f t="shared" si="39"/>
        <v>10</v>
      </c>
      <c r="C2477" s="5">
        <v>204.2</v>
      </c>
    </row>
    <row r="2478" spans="1:3" x14ac:dyDescent="0.35">
      <c r="A2478" s="9">
        <v>42290</v>
      </c>
      <c r="B2478">
        <f t="shared" si="39"/>
        <v>10</v>
      </c>
      <c r="C2478" s="5">
        <v>193.7</v>
      </c>
    </row>
    <row r="2479" spans="1:3" x14ac:dyDescent="0.35">
      <c r="A2479" s="9">
        <v>42291</v>
      </c>
      <c r="B2479">
        <f t="shared" si="39"/>
        <v>10</v>
      </c>
      <c r="C2479" s="5">
        <v>193.4</v>
      </c>
    </row>
    <row r="2480" spans="1:3" x14ac:dyDescent="0.35">
      <c r="A2480" s="9">
        <v>42292</v>
      </c>
      <c r="B2480">
        <f t="shared" si="39"/>
        <v>10</v>
      </c>
      <c r="C2480" s="5">
        <v>199.1</v>
      </c>
    </row>
    <row r="2481" spans="1:3" x14ac:dyDescent="0.35">
      <c r="A2481" s="9">
        <v>42293</v>
      </c>
      <c r="B2481">
        <f t="shared" si="39"/>
        <v>10</v>
      </c>
      <c r="C2481" s="5">
        <v>198.3</v>
      </c>
    </row>
    <row r="2482" spans="1:3" x14ac:dyDescent="0.35">
      <c r="A2482" s="9">
        <v>42294</v>
      </c>
      <c r="B2482">
        <f t="shared" si="39"/>
        <v>10</v>
      </c>
      <c r="C2482" s="5">
        <v>188.7</v>
      </c>
    </row>
    <row r="2483" spans="1:3" x14ac:dyDescent="0.35">
      <c r="A2483" s="9">
        <v>42295</v>
      </c>
      <c r="B2483">
        <f t="shared" si="39"/>
        <v>10</v>
      </c>
      <c r="C2483" s="5">
        <v>178.3</v>
      </c>
    </row>
    <row r="2484" spans="1:3" x14ac:dyDescent="0.35">
      <c r="A2484" s="9">
        <v>42296</v>
      </c>
      <c r="B2484">
        <f t="shared" si="39"/>
        <v>10</v>
      </c>
      <c r="C2484" s="5">
        <v>175.4</v>
      </c>
    </row>
    <row r="2485" spans="1:3" x14ac:dyDescent="0.35">
      <c r="A2485" s="9">
        <v>42297</v>
      </c>
      <c r="B2485">
        <f t="shared" si="39"/>
        <v>10</v>
      </c>
      <c r="C2485" s="5">
        <v>181.9</v>
      </c>
    </row>
    <row r="2486" spans="1:3" x14ac:dyDescent="0.35">
      <c r="A2486" s="9">
        <v>42298</v>
      </c>
      <c r="B2486">
        <f t="shared" si="39"/>
        <v>10</v>
      </c>
      <c r="C2486" s="5">
        <v>194.5</v>
      </c>
    </row>
    <row r="2487" spans="1:3" x14ac:dyDescent="0.35">
      <c r="A2487" s="9">
        <v>42299</v>
      </c>
      <c r="B2487">
        <f t="shared" si="39"/>
        <v>10</v>
      </c>
      <c r="C2487" s="5">
        <v>204</v>
      </c>
    </row>
    <row r="2488" spans="1:3" x14ac:dyDescent="0.35">
      <c r="A2488" s="9">
        <v>42300</v>
      </c>
      <c r="B2488">
        <f t="shared" si="39"/>
        <v>10</v>
      </c>
      <c r="C2488" s="5">
        <v>208.3</v>
      </c>
    </row>
    <row r="2489" spans="1:3" x14ac:dyDescent="0.35">
      <c r="A2489" s="9">
        <v>42301</v>
      </c>
      <c r="B2489">
        <f t="shared" si="39"/>
        <v>10</v>
      </c>
      <c r="C2489" s="5">
        <v>206.6</v>
      </c>
    </row>
    <row r="2490" spans="1:3" x14ac:dyDescent="0.35">
      <c r="A2490" s="9">
        <v>42302</v>
      </c>
      <c r="B2490">
        <f t="shared" si="39"/>
        <v>10</v>
      </c>
      <c r="C2490" s="5">
        <v>201.4</v>
      </c>
    </row>
    <row r="2491" spans="1:3" x14ac:dyDescent="0.35">
      <c r="A2491" s="9">
        <v>42303</v>
      </c>
      <c r="B2491">
        <f t="shared" si="39"/>
        <v>10</v>
      </c>
      <c r="C2491" s="5">
        <v>196.4</v>
      </c>
    </row>
    <row r="2492" spans="1:3" x14ac:dyDescent="0.35">
      <c r="A2492" s="9">
        <v>42304</v>
      </c>
      <c r="B2492">
        <f t="shared" si="39"/>
        <v>10</v>
      </c>
      <c r="C2492" s="5">
        <v>196.9</v>
      </c>
    </row>
    <row r="2493" spans="1:3" x14ac:dyDescent="0.35">
      <c r="A2493" s="9">
        <v>42305</v>
      </c>
      <c r="B2493">
        <f t="shared" si="39"/>
        <v>10</v>
      </c>
      <c r="C2493" s="5">
        <v>197.6</v>
      </c>
    </row>
    <row r="2494" spans="1:3" x14ac:dyDescent="0.35">
      <c r="A2494" s="9">
        <v>42306</v>
      </c>
      <c r="B2494">
        <f t="shared" si="39"/>
        <v>10</v>
      </c>
      <c r="C2494" s="5">
        <v>193.9</v>
      </c>
    </row>
    <row r="2495" spans="1:3" x14ac:dyDescent="0.35">
      <c r="A2495" s="9">
        <v>42307</v>
      </c>
      <c r="B2495">
        <f t="shared" si="39"/>
        <v>10</v>
      </c>
      <c r="C2495" s="5">
        <v>194.5</v>
      </c>
    </row>
    <row r="2496" spans="1:3" x14ac:dyDescent="0.35">
      <c r="A2496" s="9">
        <v>42308</v>
      </c>
      <c r="B2496">
        <f t="shared" si="39"/>
        <v>10</v>
      </c>
      <c r="C2496" s="5">
        <v>198.1</v>
      </c>
    </row>
    <row r="2497" spans="1:3" x14ac:dyDescent="0.35">
      <c r="A2497" s="9">
        <v>42309</v>
      </c>
      <c r="B2497">
        <f t="shared" si="39"/>
        <v>11</v>
      </c>
      <c r="C2497" s="5">
        <v>198.3</v>
      </c>
    </row>
    <row r="2498" spans="1:3" x14ac:dyDescent="0.35">
      <c r="A2498" s="9">
        <v>42310</v>
      </c>
      <c r="B2498">
        <f t="shared" si="39"/>
        <v>11</v>
      </c>
      <c r="C2498" s="5">
        <v>203.3</v>
      </c>
    </row>
    <row r="2499" spans="1:3" x14ac:dyDescent="0.35">
      <c r="A2499" s="9">
        <v>42311</v>
      </c>
      <c r="B2499">
        <f t="shared" si="39"/>
        <v>11</v>
      </c>
      <c r="C2499" s="5">
        <v>195</v>
      </c>
    </row>
    <row r="2500" spans="1:3" x14ac:dyDescent="0.35">
      <c r="A2500" s="9">
        <v>42312</v>
      </c>
      <c r="B2500">
        <f t="shared" ref="B2500:B2563" si="40">MONTH(A2500)</f>
        <v>11</v>
      </c>
      <c r="C2500" s="5">
        <v>191.2</v>
      </c>
    </row>
    <row r="2501" spans="1:3" x14ac:dyDescent="0.35">
      <c r="A2501" s="9">
        <v>42313</v>
      </c>
      <c r="B2501">
        <f t="shared" si="40"/>
        <v>11</v>
      </c>
      <c r="C2501" s="5">
        <v>196.1</v>
      </c>
    </row>
    <row r="2502" spans="1:3" x14ac:dyDescent="0.35">
      <c r="A2502" s="9">
        <v>42314</v>
      </c>
      <c r="B2502">
        <f t="shared" si="40"/>
        <v>11</v>
      </c>
      <c r="C2502" s="5">
        <v>201.9</v>
      </c>
    </row>
    <row r="2503" spans="1:3" x14ac:dyDescent="0.35">
      <c r="A2503" s="9">
        <v>42315</v>
      </c>
      <c r="B2503">
        <f t="shared" si="40"/>
        <v>11</v>
      </c>
      <c r="C2503" s="5">
        <v>207.3</v>
      </c>
    </row>
    <row r="2504" spans="1:3" x14ac:dyDescent="0.35">
      <c r="A2504" s="9">
        <v>42316</v>
      </c>
      <c r="B2504">
        <f t="shared" si="40"/>
        <v>11</v>
      </c>
      <c r="C2504" s="5">
        <v>208.2</v>
      </c>
    </row>
    <row r="2505" spans="1:3" x14ac:dyDescent="0.35">
      <c r="A2505" s="9">
        <v>42317</v>
      </c>
      <c r="B2505">
        <f t="shared" si="40"/>
        <v>11</v>
      </c>
      <c r="C2505" s="5">
        <v>206.1</v>
      </c>
    </row>
    <row r="2506" spans="1:3" x14ac:dyDescent="0.35">
      <c r="A2506" s="9">
        <v>42318</v>
      </c>
      <c r="B2506">
        <f t="shared" si="40"/>
        <v>11</v>
      </c>
      <c r="C2506" s="5">
        <v>199.7</v>
      </c>
    </row>
    <row r="2507" spans="1:3" x14ac:dyDescent="0.35">
      <c r="A2507" s="9">
        <v>42319</v>
      </c>
      <c r="B2507">
        <f t="shared" si="40"/>
        <v>11</v>
      </c>
      <c r="C2507" s="5">
        <v>195.7</v>
      </c>
    </row>
    <row r="2508" spans="1:3" x14ac:dyDescent="0.35">
      <c r="A2508" s="9">
        <v>42320</v>
      </c>
      <c r="B2508">
        <f t="shared" si="40"/>
        <v>11</v>
      </c>
      <c r="C2508" s="5">
        <v>192.6</v>
      </c>
    </row>
    <row r="2509" spans="1:3" x14ac:dyDescent="0.35">
      <c r="A2509" s="9">
        <v>42321</v>
      </c>
      <c r="B2509">
        <f t="shared" si="40"/>
        <v>11</v>
      </c>
      <c r="C2509" s="5">
        <v>184.9</v>
      </c>
    </row>
    <row r="2510" spans="1:3" x14ac:dyDescent="0.35">
      <c r="A2510" s="9">
        <v>42322</v>
      </c>
      <c r="B2510">
        <f t="shared" si="40"/>
        <v>11</v>
      </c>
      <c r="C2510" s="5">
        <v>179.1</v>
      </c>
    </row>
    <row r="2511" spans="1:3" x14ac:dyDescent="0.35">
      <c r="A2511" s="9">
        <v>42323</v>
      </c>
      <c r="B2511">
        <f t="shared" si="40"/>
        <v>11</v>
      </c>
      <c r="C2511" s="5">
        <v>181.2</v>
      </c>
    </row>
    <row r="2512" spans="1:3" x14ac:dyDescent="0.35">
      <c r="A2512" s="9">
        <v>42324</v>
      </c>
      <c r="B2512">
        <f t="shared" si="40"/>
        <v>11</v>
      </c>
      <c r="C2512" s="5">
        <v>194.2</v>
      </c>
    </row>
    <row r="2513" spans="1:3" x14ac:dyDescent="0.35">
      <c r="A2513" s="9">
        <v>42325</v>
      </c>
      <c r="B2513">
        <f t="shared" si="40"/>
        <v>11</v>
      </c>
      <c r="C2513" s="5">
        <v>210.4</v>
      </c>
    </row>
    <row r="2514" spans="1:3" x14ac:dyDescent="0.35">
      <c r="A2514" s="9">
        <v>42326</v>
      </c>
      <c r="B2514">
        <f t="shared" si="40"/>
        <v>11</v>
      </c>
      <c r="C2514" s="5">
        <v>213.3</v>
      </c>
    </row>
    <row r="2515" spans="1:3" x14ac:dyDescent="0.35">
      <c r="A2515" s="9">
        <v>42327</v>
      </c>
      <c r="B2515">
        <f t="shared" si="40"/>
        <v>11</v>
      </c>
      <c r="C2515" s="5">
        <v>215.4</v>
      </c>
    </row>
    <row r="2516" spans="1:3" x14ac:dyDescent="0.35">
      <c r="A2516" s="9">
        <v>42328</v>
      </c>
      <c r="B2516">
        <f t="shared" si="40"/>
        <v>11</v>
      </c>
      <c r="C2516" s="5">
        <v>221.6</v>
      </c>
    </row>
    <row r="2517" spans="1:3" x14ac:dyDescent="0.35">
      <c r="A2517" s="9">
        <v>42329</v>
      </c>
      <c r="B2517">
        <f t="shared" si="40"/>
        <v>11</v>
      </c>
      <c r="C2517" s="5">
        <v>225.8</v>
      </c>
    </row>
    <row r="2518" spans="1:3" x14ac:dyDescent="0.35">
      <c r="A2518" s="9">
        <v>42330</v>
      </c>
      <c r="B2518">
        <f t="shared" si="40"/>
        <v>11</v>
      </c>
      <c r="C2518" s="5">
        <v>222.6</v>
      </c>
    </row>
    <row r="2519" spans="1:3" x14ac:dyDescent="0.35">
      <c r="A2519" s="9">
        <v>42331</v>
      </c>
      <c r="B2519">
        <f t="shared" si="40"/>
        <v>11</v>
      </c>
      <c r="C2519" s="5">
        <v>213.8</v>
      </c>
    </row>
    <row r="2520" spans="1:3" x14ac:dyDescent="0.35">
      <c r="A2520" s="9">
        <v>42332</v>
      </c>
      <c r="B2520">
        <f t="shared" si="40"/>
        <v>11</v>
      </c>
      <c r="C2520" s="5">
        <v>203.9</v>
      </c>
    </row>
    <row r="2521" spans="1:3" x14ac:dyDescent="0.35">
      <c r="A2521" s="9">
        <v>42333</v>
      </c>
      <c r="B2521">
        <f t="shared" si="40"/>
        <v>11</v>
      </c>
      <c r="C2521" s="5">
        <v>204.9</v>
      </c>
    </row>
    <row r="2522" spans="1:3" x14ac:dyDescent="0.35">
      <c r="A2522" s="9">
        <v>42334</v>
      </c>
      <c r="B2522">
        <f t="shared" si="40"/>
        <v>11</v>
      </c>
      <c r="C2522" s="5">
        <v>220.8</v>
      </c>
    </row>
    <row r="2523" spans="1:3" x14ac:dyDescent="0.35">
      <c r="A2523" s="9">
        <v>42335</v>
      </c>
      <c r="B2523">
        <f t="shared" si="40"/>
        <v>11</v>
      </c>
      <c r="C2523" s="5">
        <v>242.3</v>
      </c>
    </row>
    <row r="2524" spans="1:3" x14ac:dyDescent="0.35">
      <c r="A2524" s="9">
        <v>42336</v>
      </c>
      <c r="B2524">
        <f t="shared" si="40"/>
        <v>11</v>
      </c>
      <c r="C2524" s="5">
        <v>256.2</v>
      </c>
    </row>
    <row r="2525" spans="1:3" x14ac:dyDescent="0.35">
      <c r="A2525" s="9">
        <v>42337</v>
      </c>
      <c r="B2525">
        <f t="shared" si="40"/>
        <v>11</v>
      </c>
      <c r="C2525" s="5">
        <v>261</v>
      </c>
    </row>
    <row r="2526" spans="1:3" x14ac:dyDescent="0.35">
      <c r="A2526" s="9">
        <v>42338</v>
      </c>
      <c r="B2526">
        <f t="shared" si="40"/>
        <v>11</v>
      </c>
      <c r="C2526" s="5">
        <v>255.5</v>
      </c>
    </row>
    <row r="2527" spans="1:3" x14ac:dyDescent="0.35">
      <c r="A2527" s="9">
        <v>42339</v>
      </c>
      <c r="B2527">
        <f t="shared" si="40"/>
        <v>12</v>
      </c>
      <c r="C2527" s="5">
        <v>241</v>
      </c>
    </row>
    <row r="2528" spans="1:3" x14ac:dyDescent="0.35">
      <c r="A2528" s="9">
        <v>42340</v>
      </c>
      <c r="B2528">
        <f t="shared" si="40"/>
        <v>12</v>
      </c>
      <c r="C2528" s="5">
        <v>239.9</v>
      </c>
    </row>
    <row r="2529" spans="1:3" x14ac:dyDescent="0.35">
      <c r="A2529" s="9">
        <v>42341</v>
      </c>
      <c r="B2529">
        <f t="shared" si="40"/>
        <v>12</v>
      </c>
      <c r="C2529" s="5">
        <v>232.1</v>
      </c>
    </row>
    <row r="2530" spans="1:3" x14ac:dyDescent="0.35">
      <c r="A2530" s="9">
        <v>42342</v>
      </c>
      <c r="B2530">
        <f t="shared" si="40"/>
        <v>12</v>
      </c>
      <c r="C2530" s="5">
        <v>228.8</v>
      </c>
    </row>
    <row r="2531" spans="1:3" x14ac:dyDescent="0.35">
      <c r="A2531" s="9">
        <v>42343</v>
      </c>
      <c r="B2531">
        <f t="shared" si="40"/>
        <v>12</v>
      </c>
      <c r="C2531" s="5">
        <v>223</v>
      </c>
    </row>
    <row r="2532" spans="1:3" x14ac:dyDescent="0.35">
      <c r="A2532" s="9">
        <v>42344</v>
      </c>
      <c r="B2532">
        <f t="shared" si="40"/>
        <v>12</v>
      </c>
      <c r="C2532" s="5">
        <v>218.5</v>
      </c>
    </row>
    <row r="2533" spans="1:3" x14ac:dyDescent="0.35">
      <c r="A2533" s="9">
        <v>42345</v>
      </c>
      <c r="B2533">
        <f t="shared" si="40"/>
        <v>12</v>
      </c>
      <c r="C2533" s="5">
        <v>220.2</v>
      </c>
    </row>
    <row r="2534" spans="1:3" x14ac:dyDescent="0.35">
      <c r="A2534" s="9">
        <v>42346</v>
      </c>
      <c r="B2534">
        <f t="shared" si="40"/>
        <v>12</v>
      </c>
      <c r="C2534" s="5">
        <v>227.8</v>
      </c>
    </row>
    <row r="2535" spans="1:3" x14ac:dyDescent="0.35">
      <c r="A2535" s="9">
        <v>42347</v>
      </c>
      <c r="B2535">
        <f t="shared" si="40"/>
        <v>12</v>
      </c>
      <c r="C2535" s="5">
        <v>237.4</v>
      </c>
    </row>
    <row r="2536" spans="1:3" x14ac:dyDescent="0.35">
      <c r="A2536" s="9">
        <v>42348</v>
      </c>
      <c r="B2536">
        <f t="shared" si="40"/>
        <v>12</v>
      </c>
      <c r="C2536" s="5">
        <v>238</v>
      </c>
    </row>
    <row r="2537" spans="1:3" x14ac:dyDescent="0.35">
      <c r="A2537" s="9">
        <v>42349</v>
      </c>
      <c r="B2537">
        <f t="shared" si="40"/>
        <v>12</v>
      </c>
      <c r="C2537" s="5">
        <v>233.4</v>
      </c>
    </row>
    <row r="2538" spans="1:3" x14ac:dyDescent="0.35">
      <c r="A2538" s="9">
        <v>42350</v>
      </c>
      <c r="B2538">
        <f t="shared" si="40"/>
        <v>12</v>
      </c>
      <c r="C2538" s="5">
        <v>222.2</v>
      </c>
    </row>
    <row r="2539" spans="1:3" x14ac:dyDescent="0.35">
      <c r="A2539" s="9">
        <v>42351</v>
      </c>
      <c r="B2539">
        <f t="shared" si="40"/>
        <v>12</v>
      </c>
      <c r="C2539" s="5">
        <v>217.3</v>
      </c>
    </row>
    <row r="2540" spans="1:3" x14ac:dyDescent="0.35">
      <c r="A2540" s="9">
        <v>42352</v>
      </c>
      <c r="B2540">
        <f t="shared" si="40"/>
        <v>12</v>
      </c>
      <c r="C2540" s="5">
        <v>221.3</v>
      </c>
    </row>
    <row r="2541" spans="1:3" x14ac:dyDescent="0.35">
      <c r="A2541" s="9">
        <v>42353</v>
      </c>
      <c r="B2541">
        <f t="shared" si="40"/>
        <v>12</v>
      </c>
      <c r="C2541" s="5">
        <v>228</v>
      </c>
    </row>
    <row r="2542" spans="1:3" x14ac:dyDescent="0.35">
      <c r="A2542" s="9">
        <v>42354</v>
      </c>
      <c r="B2542">
        <f t="shared" si="40"/>
        <v>12</v>
      </c>
      <c r="C2542" s="5">
        <v>228.2</v>
      </c>
    </row>
    <row r="2543" spans="1:3" x14ac:dyDescent="0.35">
      <c r="A2543" s="9">
        <v>42355</v>
      </c>
      <c r="B2543">
        <f t="shared" si="40"/>
        <v>12</v>
      </c>
      <c r="C2543" s="5">
        <v>229.4</v>
      </c>
    </row>
    <row r="2544" spans="1:3" x14ac:dyDescent="0.35">
      <c r="A2544" s="9">
        <v>42356</v>
      </c>
      <c r="B2544">
        <f t="shared" si="40"/>
        <v>12</v>
      </c>
      <c r="C2544" s="5">
        <v>235.3</v>
      </c>
    </row>
    <row r="2545" spans="1:3" x14ac:dyDescent="0.35">
      <c r="A2545" s="9">
        <v>42357</v>
      </c>
      <c r="B2545">
        <f t="shared" si="40"/>
        <v>12</v>
      </c>
      <c r="C2545" s="5">
        <v>241.9</v>
      </c>
    </row>
    <row r="2546" spans="1:3" x14ac:dyDescent="0.35">
      <c r="A2546" s="9">
        <v>42358</v>
      </c>
      <c r="B2546">
        <f t="shared" si="40"/>
        <v>12</v>
      </c>
      <c r="C2546" s="5">
        <v>248.6</v>
      </c>
    </row>
    <row r="2547" spans="1:3" x14ac:dyDescent="0.35">
      <c r="A2547" s="9">
        <v>42359</v>
      </c>
      <c r="B2547">
        <f t="shared" si="40"/>
        <v>12</v>
      </c>
      <c r="C2547" s="5">
        <v>240.2</v>
      </c>
    </row>
    <row r="2548" spans="1:3" x14ac:dyDescent="0.35">
      <c r="A2548" s="9">
        <v>42360</v>
      </c>
      <c r="B2548">
        <f t="shared" si="40"/>
        <v>12</v>
      </c>
      <c r="C2548" s="5">
        <v>222.8</v>
      </c>
    </row>
    <row r="2549" spans="1:3" x14ac:dyDescent="0.35">
      <c r="A2549" s="9">
        <v>42361</v>
      </c>
      <c r="B2549">
        <f t="shared" si="40"/>
        <v>12</v>
      </c>
      <c r="C2549" s="5">
        <v>210.9</v>
      </c>
    </row>
    <row r="2550" spans="1:3" x14ac:dyDescent="0.35">
      <c r="A2550" s="9">
        <v>42362</v>
      </c>
      <c r="B2550">
        <f t="shared" si="40"/>
        <v>12</v>
      </c>
      <c r="C2550" s="5">
        <v>212.6</v>
      </c>
    </row>
    <row r="2551" spans="1:3" x14ac:dyDescent="0.35">
      <c r="A2551" s="9">
        <v>42363</v>
      </c>
      <c r="B2551">
        <f t="shared" si="40"/>
        <v>12</v>
      </c>
      <c r="C2551" s="5">
        <v>223.5</v>
      </c>
    </row>
    <row r="2552" spans="1:3" x14ac:dyDescent="0.35">
      <c r="A2552" s="9">
        <v>42364</v>
      </c>
      <c r="B2552">
        <f t="shared" si="40"/>
        <v>12</v>
      </c>
      <c r="C2552" s="5">
        <v>229.9</v>
      </c>
    </row>
    <row r="2553" spans="1:3" x14ac:dyDescent="0.35">
      <c r="A2553" s="9">
        <v>42365</v>
      </c>
      <c r="B2553">
        <f t="shared" si="40"/>
        <v>12</v>
      </c>
      <c r="C2553" s="5">
        <v>232</v>
      </c>
    </row>
    <row r="2554" spans="1:3" x14ac:dyDescent="0.35">
      <c r="A2554" s="9">
        <v>42366</v>
      </c>
      <c r="B2554">
        <f t="shared" si="40"/>
        <v>12</v>
      </c>
      <c r="C2554" s="5">
        <v>237.1</v>
      </c>
    </row>
    <row r="2555" spans="1:3" x14ac:dyDescent="0.35">
      <c r="A2555" s="9">
        <v>42367</v>
      </c>
      <c r="B2555">
        <f t="shared" si="40"/>
        <v>12</v>
      </c>
      <c r="C2555" s="5">
        <v>252.2</v>
      </c>
    </row>
    <row r="2556" spans="1:3" x14ac:dyDescent="0.35">
      <c r="A2556" s="9">
        <v>42368</v>
      </c>
      <c r="B2556">
        <f t="shared" si="40"/>
        <v>12</v>
      </c>
      <c r="C2556" s="5">
        <v>266.39999999999998</v>
      </c>
    </row>
    <row r="2557" spans="1:3" x14ac:dyDescent="0.35">
      <c r="A2557" s="9">
        <v>42369</v>
      </c>
      <c r="B2557">
        <f t="shared" si="40"/>
        <v>12</v>
      </c>
      <c r="C2557" s="5">
        <v>275</v>
      </c>
    </row>
    <row r="2558" spans="1:3" x14ac:dyDescent="0.35">
      <c r="A2558" s="9">
        <v>42370</v>
      </c>
      <c r="B2558">
        <f t="shared" si="40"/>
        <v>1</v>
      </c>
      <c r="C2558" s="5">
        <v>271.60000000000002</v>
      </c>
    </row>
    <row r="2559" spans="1:3" x14ac:dyDescent="0.35">
      <c r="A2559" s="9">
        <v>42371</v>
      </c>
      <c r="B2559">
        <f t="shared" si="40"/>
        <v>1</v>
      </c>
      <c r="C2559" s="5">
        <v>256.60000000000002</v>
      </c>
    </row>
    <row r="2560" spans="1:3" x14ac:dyDescent="0.35">
      <c r="A2560" s="9">
        <v>42372</v>
      </c>
      <c r="B2560">
        <f t="shared" si="40"/>
        <v>1</v>
      </c>
      <c r="C2560" s="5">
        <v>244.5</v>
      </c>
    </row>
    <row r="2561" spans="1:3" x14ac:dyDescent="0.35">
      <c r="A2561" s="9">
        <v>42373</v>
      </c>
      <c r="B2561">
        <f t="shared" si="40"/>
        <v>1</v>
      </c>
      <c r="C2561" s="5">
        <v>234.3</v>
      </c>
    </row>
    <row r="2562" spans="1:3" x14ac:dyDescent="0.35">
      <c r="A2562" s="9">
        <v>42374</v>
      </c>
      <c r="B2562">
        <f t="shared" si="40"/>
        <v>1</v>
      </c>
      <c r="C2562" s="5">
        <v>228.6</v>
      </c>
    </row>
    <row r="2563" spans="1:3" x14ac:dyDescent="0.35">
      <c r="A2563" s="9">
        <v>42375</v>
      </c>
      <c r="B2563">
        <f t="shared" si="40"/>
        <v>1</v>
      </c>
      <c r="C2563" s="5">
        <v>224.3</v>
      </c>
    </row>
    <row r="2564" spans="1:3" x14ac:dyDescent="0.35">
      <c r="A2564" s="9">
        <v>42376</v>
      </c>
      <c r="B2564">
        <f t="shared" ref="B2564:B2627" si="41">MONTH(A2564)</f>
        <v>1</v>
      </c>
      <c r="C2564" s="5">
        <v>223.2</v>
      </c>
    </row>
    <row r="2565" spans="1:3" x14ac:dyDescent="0.35">
      <c r="A2565" s="9">
        <v>42377</v>
      </c>
      <c r="B2565">
        <f t="shared" si="41"/>
        <v>1</v>
      </c>
      <c r="C2565" s="5">
        <v>220.2</v>
      </c>
    </row>
    <row r="2566" spans="1:3" x14ac:dyDescent="0.35">
      <c r="A2566" s="9">
        <v>42378</v>
      </c>
      <c r="B2566">
        <f t="shared" si="41"/>
        <v>1</v>
      </c>
      <c r="C2566" s="5">
        <v>214.8</v>
      </c>
    </row>
    <row r="2567" spans="1:3" x14ac:dyDescent="0.35">
      <c r="A2567" s="9">
        <v>42379</v>
      </c>
      <c r="B2567">
        <f t="shared" si="41"/>
        <v>1</v>
      </c>
      <c r="C2567" s="5">
        <v>214.6</v>
      </c>
    </row>
    <row r="2568" spans="1:3" x14ac:dyDescent="0.35">
      <c r="A2568" s="9">
        <v>42380</v>
      </c>
      <c r="B2568">
        <f t="shared" si="41"/>
        <v>1</v>
      </c>
      <c r="C2568" s="5">
        <v>220.4</v>
      </c>
    </row>
    <row r="2569" spans="1:3" x14ac:dyDescent="0.35">
      <c r="A2569" s="9">
        <v>42381</v>
      </c>
      <c r="B2569">
        <f t="shared" si="41"/>
        <v>1</v>
      </c>
      <c r="C2569" s="5">
        <v>220</v>
      </c>
    </row>
    <row r="2570" spans="1:3" x14ac:dyDescent="0.35">
      <c r="A2570" s="9">
        <v>42382</v>
      </c>
      <c r="B2570">
        <f t="shared" si="41"/>
        <v>1</v>
      </c>
      <c r="C2570" s="5">
        <v>216.4</v>
      </c>
    </row>
    <row r="2571" spans="1:3" x14ac:dyDescent="0.35">
      <c r="A2571" s="9">
        <v>42383</v>
      </c>
      <c r="B2571">
        <f t="shared" si="41"/>
        <v>1</v>
      </c>
      <c r="C2571" s="5">
        <v>218.8</v>
      </c>
    </row>
    <row r="2572" spans="1:3" x14ac:dyDescent="0.35">
      <c r="A2572" s="9">
        <v>42384</v>
      </c>
      <c r="B2572">
        <f t="shared" si="41"/>
        <v>1</v>
      </c>
      <c r="C2572" s="5">
        <v>227.1</v>
      </c>
    </row>
    <row r="2573" spans="1:3" x14ac:dyDescent="0.35">
      <c r="A2573" s="9">
        <v>42385</v>
      </c>
      <c r="B2573">
        <f t="shared" si="41"/>
        <v>1</v>
      </c>
      <c r="C2573" s="5">
        <v>231.5</v>
      </c>
    </row>
    <row r="2574" spans="1:3" x14ac:dyDescent="0.35">
      <c r="A2574" s="9">
        <v>42386</v>
      </c>
      <c r="B2574">
        <f t="shared" si="41"/>
        <v>1</v>
      </c>
      <c r="C2574" s="5">
        <v>228.7</v>
      </c>
    </row>
    <row r="2575" spans="1:3" x14ac:dyDescent="0.35">
      <c r="A2575" s="9">
        <v>42387</v>
      </c>
      <c r="B2575">
        <f t="shared" si="41"/>
        <v>1</v>
      </c>
      <c r="C2575" s="5">
        <v>226.1</v>
      </c>
    </row>
    <row r="2576" spans="1:3" x14ac:dyDescent="0.35">
      <c r="A2576" s="9">
        <v>42388</v>
      </c>
      <c r="B2576">
        <f t="shared" si="41"/>
        <v>1</v>
      </c>
      <c r="C2576" s="5">
        <v>223.3</v>
      </c>
    </row>
    <row r="2577" spans="1:3" x14ac:dyDescent="0.35">
      <c r="A2577" s="9">
        <v>42389</v>
      </c>
      <c r="B2577">
        <f t="shared" si="41"/>
        <v>1</v>
      </c>
      <c r="C2577" s="5">
        <v>221</v>
      </c>
    </row>
    <row r="2578" spans="1:3" x14ac:dyDescent="0.35">
      <c r="A2578" s="9">
        <v>42390</v>
      </c>
      <c r="B2578">
        <f t="shared" si="41"/>
        <v>1</v>
      </c>
      <c r="C2578" s="5">
        <v>218.3</v>
      </c>
    </row>
    <row r="2579" spans="1:3" x14ac:dyDescent="0.35">
      <c r="A2579" s="9">
        <v>42391</v>
      </c>
      <c r="B2579">
        <f t="shared" si="41"/>
        <v>1</v>
      </c>
      <c r="C2579" s="5">
        <v>215.2</v>
      </c>
    </row>
    <row r="2580" spans="1:3" x14ac:dyDescent="0.35">
      <c r="A2580" s="9">
        <v>42392</v>
      </c>
      <c r="B2580">
        <f t="shared" si="41"/>
        <v>1</v>
      </c>
      <c r="C2580" s="5">
        <v>210.4</v>
      </c>
    </row>
    <row r="2581" spans="1:3" x14ac:dyDescent="0.35">
      <c r="A2581" s="9">
        <v>42393</v>
      </c>
      <c r="B2581">
        <f t="shared" si="41"/>
        <v>1</v>
      </c>
      <c r="C2581" s="5">
        <v>203.8</v>
      </c>
    </row>
    <row r="2582" spans="1:3" x14ac:dyDescent="0.35">
      <c r="A2582" s="9">
        <v>42394</v>
      </c>
      <c r="B2582">
        <f t="shared" si="41"/>
        <v>1</v>
      </c>
      <c r="C2582" s="5">
        <v>194.4</v>
      </c>
    </row>
    <row r="2583" spans="1:3" x14ac:dyDescent="0.35">
      <c r="A2583" s="9">
        <v>42395</v>
      </c>
      <c r="B2583">
        <f t="shared" si="41"/>
        <v>1</v>
      </c>
      <c r="C2583" s="5">
        <v>191.5</v>
      </c>
    </row>
    <row r="2584" spans="1:3" x14ac:dyDescent="0.35">
      <c r="A2584" s="9">
        <v>42396</v>
      </c>
      <c r="B2584">
        <f t="shared" si="41"/>
        <v>1</v>
      </c>
      <c r="C2584" s="5">
        <v>194.9</v>
      </c>
    </row>
    <row r="2585" spans="1:3" x14ac:dyDescent="0.35">
      <c r="A2585" s="9">
        <v>42397</v>
      </c>
      <c r="B2585">
        <f t="shared" si="41"/>
        <v>1</v>
      </c>
      <c r="C2585" s="5">
        <v>193.8</v>
      </c>
    </row>
    <row r="2586" spans="1:3" x14ac:dyDescent="0.35">
      <c r="A2586" s="9">
        <v>42398</v>
      </c>
      <c r="B2586">
        <f t="shared" si="41"/>
        <v>1</v>
      </c>
      <c r="C2586" s="5">
        <v>188</v>
      </c>
    </row>
    <row r="2587" spans="1:3" x14ac:dyDescent="0.35">
      <c r="A2587" s="9">
        <v>42399</v>
      </c>
      <c r="B2587">
        <f t="shared" si="41"/>
        <v>1</v>
      </c>
      <c r="C2587" s="5">
        <v>178.9</v>
      </c>
    </row>
    <row r="2588" spans="1:3" x14ac:dyDescent="0.35">
      <c r="A2588" s="9">
        <v>42400</v>
      </c>
      <c r="B2588">
        <f t="shared" si="41"/>
        <v>1</v>
      </c>
      <c r="C2588" s="5">
        <v>172.2</v>
      </c>
    </row>
    <row r="2589" spans="1:3" x14ac:dyDescent="0.35">
      <c r="A2589" s="9">
        <v>42401</v>
      </c>
      <c r="B2589">
        <f t="shared" si="41"/>
        <v>2</v>
      </c>
      <c r="C2589" s="5">
        <v>176.2</v>
      </c>
    </row>
    <row r="2590" spans="1:3" x14ac:dyDescent="0.35">
      <c r="A2590" s="9">
        <v>42402</v>
      </c>
      <c r="B2590">
        <f t="shared" si="41"/>
        <v>2</v>
      </c>
      <c r="C2590" s="5">
        <v>169.5</v>
      </c>
    </row>
    <row r="2591" spans="1:3" x14ac:dyDescent="0.35">
      <c r="A2591" s="9">
        <v>42403</v>
      </c>
      <c r="B2591">
        <f t="shared" si="41"/>
        <v>2</v>
      </c>
      <c r="C2591" s="5">
        <v>176.9</v>
      </c>
    </row>
    <row r="2592" spans="1:3" x14ac:dyDescent="0.35">
      <c r="A2592" s="9">
        <v>42404</v>
      </c>
      <c r="B2592">
        <f t="shared" si="41"/>
        <v>2</v>
      </c>
      <c r="C2592" s="5">
        <v>175.5</v>
      </c>
    </row>
    <row r="2593" spans="1:3" x14ac:dyDescent="0.35">
      <c r="A2593" s="9">
        <v>42405</v>
      </c>
      <c r="B2593">
        <f t="shared" si="41"/>
        <v>2</v>
      </c>
      <c r="C2593" s="5">
        <v>167.6</v>
      </c>
    </row>
    <row r="2594" spans="1:3" x14ac:dyDescent="0.35">
      <c r="A2594" s="9">
        <v>42406</v>
      </c>
      <c r="B2594">
        <f t="shared" si="41"/>
        <v>2</v>
      </c>
      <c r="C2594" s="5">
        <v>153.9</v>
      </c>
    </row>
    <row r="2595" spans="1:3" x14ac:dyDescent="0.35">
      <c r="A2595" s="9">
        <v>42407</v>
      </c>
      <c r="B2595">
        <f t="shared" si="41"/>
        <v>2</v>
      </c>
      <c r="C2595" s="5">
        <v>145.9</v>
      </c>
    </row>
    <row r="2596" spans="1:3" x14ac:dyDescent="0.35">
      <c r="A2596" s="9">
        <v>42408</v>
      </c>
      <c r="B2596">
        <f t="shared" si="41"/>
        <v>2</v>
      </c>
      <c r="C2596" s="5">
        <v>147.4</v>
      </c>
    </row>
    <row r="2597" spans="1:3" x14ac:dyDescent="0.35">
      <c r="A2597" s="9">
        <v>42409</v>
      </c>
      <c r="B2597">
        <f t="shared" si="41"/>
        <v>2</v>
      </c>
      <c r="C2597" s="5">
        <v>154.19999999999999</v>
      </c>
    </row>
    <row r="2598" spans="1:3" x14ac:dyDescent="0.35">
      <c r="A2598" s="9">
        <v>42410</v>
      </c>
      <c r="B2598">
        <f t="shared" si="41"/>
        <v>2</v>
      </c>
      <c r="C2598" s="5">
        <v>155.30000000000001</v>
      </c>
    </row>
    <row r="2599" spans="1:3" x14ac:dyDescent="0.35">
      <c r="A2599" s="9">
        <v>42411</v>
      </c>
      <c r="B2599">
        <f t="shared" si="41"/>
        <v>2</v>
      </c>
      <c r="C2599" s="5">
        <v>153.30000000000001</v>
      </c>
    </row>
    <row r="2600" spans="1:3" x14ac:dyDescent="0.35">
      <c r="A2600" s="9">
        <v>42412</v>
      </c>
      <c r="B2600">
        <f t="shared" si="41"/>
        <v>2</v>
      </c>
      <c r="C2600" s="5">
        <v>151.4</v>
      </c>
    </row>
    <row r="2601" spans="1:3" x14ac:dyDescent="0.35">
      <c r="A2601" s="9">
        <v>42413</v>
      </c>
      <c r="B2601">
        <f t="shared" si="41"/>
        <v>2</v>
      </c>
      <c r="C2601" s="5">
        <v>154.4</v>
      </c>
    </row>
    <row r="2602" spans="1:3" x14ac:dyDescent="0.35">
      <c r="A2602" s="9">
        <v>42414</v>
      </c>
      <c r="B2602">
        <f t="shared" si="41"/>
        <v>2</v>
      </c>
      <c r="C2602" s="5">
        <v>163</v>
      </c>
    </row>
    <row r="2603" spans="1:3" x14ac:dyDescent="0.35">
      <c r="A2603" s="9">
        <v>42415</v>
      </c>
      <c r="B2603">
        <f t="shared" si="41"/>
        <v>2</v>
      </c>
      <c r="C2603" s="5">
        <v>168.3</v>
      </c>
    </row>
    <row r="2604" spans="1:3" x14ac:dyDescent="0.35">
      <c r="A2604" s="9">
        <v>42416</v>
      </c>
      <c r="B2604">
        <f t="shared" si="41"/>
        <v>2</v>
      </c>
      <c r="C2604" s="5">
        <v>163.9</v>
      </c>
    </row>
    <row r="2605" spans="1:3" x14ac:dyDescent="0.35">
      <c r="A2605" s="9">
        <v>42417</v>
      </c>
      <c r="B2605">
        <f t="shared" si="41"/>
        <v>2</v>
      </c>
      <c r="C2605" s="5">
        <v>158.1</v>
      </c>
    </row>
    <row r="2606" spans="1:3" x14ac:dyDescent="0.35">
      <c r="A2606" s="9">
        <v>42418</v>
      </c>
      <c r="B2606">
        <f t="shared" si="41"/>
        <v>2</v>
      </c>
      <c r="C2606" s="5">
        <v>160.19999999999999</v>
      </c>
    </row>
    <row r="2607" spans="1:3" x14ac:dyDescent="0.35">
      <c r="A2607" s="9">
        <v>42419</v>
      </c>
      <c r="B2607">
        <f t="shared" si="41"/>
        <v>2</v>
      </c>
      <c r="C2607" s="5">
        <v>170.3</v>
      </c>
    </row>
    <row r="2608" spans="1:3" x14ac:dyDescent="0.35">
      <c r="A2608" s="9">
        <v>42420</v>
      </c>
      <c r="B2608">
        <f t="shared" si="41"/>
        <v>2</v>
      </c>
      <c r="C2608" s="5">
        <v>177</v>
      </c>
    </row>
    <row r="2609" spans="1:3" x14ac:dyDescent="0.35">
      <c r="A2609" s="9">
        <v>42421</v>
      </c>
      <c r="B2609">
        <f t="shared" si="41"/>
        <v>2</v>
      </c>
      <c r="C2609" s="5">
        <v>178.1</v>
      </c>
    </row>
    <row r="2610" spans="1:3" x14ac:dyDescent="0.35">
      <c r="A2610" s="9">
        <v>42422</v>
      </c>
      <c r="B2610">
        <f t="shared" si="41"/>
        <v>2</v>
      </c>
      <c r="C2610" s="5">
        <v>179.5</v>
      </c>
    </row>
    <row r="2611" spans="1:3" x14ac:dyDescent="0.35">
      <c r="A2611" s="9">
        <v>42423</v>
      </c>
      <c r="B2611">
        <f t="shared" si="41"/>
        <v>2</v>
      </c>
      <c r="C2611" s="5">
        <v>185.9</v>
      </c>
    </row>
    <row r="2612" spans="1:3" x14ac:dyDescent="0.35">
      <c r="A2612" s="9">
        <v>42424</v>
      </c>
      <c r="B2612">
        <f t="shared" si="41"/>
        <v>2</v>
      </c>
      <c r="C2612" s="5">
        <v>193.9</v>
      </c>
    </row>
    <row r="2613" spans="1:3" x14ac:dyDescent="0.35">
      <c r="A2613" s="9">
        <v>42425</v>
      </c>
      <c r="B2613">
        <f t="shared" si="41"/>
        <v>2</v>
      </c>
      <c r="C2613" s="5">
        <v>196.1</v>
      </c>
    </row>
    <row r="2614" spans="1:3" x14ac:dyDescent="0.35">
      <c r="A2614" s="9">
        <v>42426</v>
      </c>
      <c r="B2614">
        <f t="shared" si="41"/>
        <v>2</v>
      </c>
      <c r="C2614" s="5">
        <v>193.7</v>
      </c>
    </row>
    <row r="2615" spans="1:3" x14ac:dyDescent="0.35">
      <c r="A2615" s="9">
        <v>42427</v>
      </c>
      <c r="B2615">
        <f t="shared" si="41"/>
        <v>2</v>
      </c>
      <c r="C2615" s="5">
        <v>186.5</v>
      </c>
    </row>
    <row r="2616" spans="1:3" x14ac:dyDescent="0.35">
      <c r="A2616" s="9">
        <v>42428</v>
      </c>
      <c r="B2616">
        <f t="shared" si="41"/>
        <v>2</v>
      </c>
      <c r="C2616" s="5">
        <v>177.6</v>
      </c>
    </row>
    <row r="2617" spans="1:3" x14ac:dyDescent="0.35">
      <c r="A2617" s="9">
        <v>42429</v>
      </c>
      <c r="B2617">
        <f t="shared" si="41"/>
        <v>2</v>
      </c>
      <c r="C2617" s="5">
        <v>169</v>
      </c>
    </row>
    <row r="2618" spans="1:3" x14ac:dyDescent="0.35">
      <c r="A2618" s="9">
        <v>42430</v>
      </c>
      <c r="B2618">
        <f t="shared" si="41"/>
        <v>3</v>
      </c>
      <c r="C2618" s="5">
        <v>166.4</v>
      </c>
    </row>
    <row r="2619" spans="1:3" x14ac:dyDescent="0.35">
      <c r="A2619" s="9">
        <v>42431</v>
      </c>
      <c r="B2619">
        <f t="shared" si="41"/>
        <v>3</v>
      </c>
      <c r="C2619" s="5">
        <v>185.5</v>
      </c>
    </row>
    <row r="2620" spans="1:3" x14ac:dyDescent="0.35">
      <c r="A2620" s="9">
        <v>42432</v>
      </c>
      <c r="B2620">
        <f t="shared" si="41"/>
        <v>3</v>
      </c>
      <c r="C2620" s="5">
        <v>204.3</v>
      </c>
    </row>
    <row r="2621" spans="1:3" x14ac:dyDescent="0.35">
      <c r="A2621" s="9">
        <v>42433</v>
      </c>
      <c r="B2621">
        <f t="shared" si="41"/>
        <v>3</v>
      </c>
      <c r="C2621" s="5">
        <v>223.4</v>
      </c>
    </row>
    <row r="2622" spans="1:3" x14ac:dyDescent="0.35">
      <c r="A2622" s="9">
        <v>42434</v>
      </c>
      <c r="B2622">
        <f t="shared" si="41"/>
        <v>3</v>
      </c>
      <c r="C2622" s="5">
        <v>235.3</v>
      </c>
    </row>
    <row r="2623" spans="1:3" x14ac:dyDescent="0.35">
      <c r="A2623" s="9">
        <v>42435</v>
      </c>
      <c r="B2623">
        <f t="shared" si="41"/>
        <v>3</v>
      </c>
      <c r="C2623" s="5">
        <v>240</v>
      </c>
    </row>
    <row r="2624" spans="1:3" x14ac:dyDescent="0.35">
      <c r="A2624" s="9">
        <v>42436</v>
      </c>
      <c r="B2624">
        <f t="shared" si="41"/>
        <v>3</v>
      </c>
      <c r="C2624" s="5">
        <v>245.1</v>
      </c>
    </row>
    <row r="2625" spans="1:3" x14ac:dyDescent="0.35">
      <c r="A2625" s="9">
        <v>42437</v>
      </c>
      <c r="B2625">
        <f t="shared" si="41"/>
        <v>3</v>
      </c>
      <c r="C2625" s="5">
        <v>260.7</v>
      </c>
    </row>
    <row r="2626" spans="1:3" x14ac:dyDescent="0.35">
      <c r="A2626" s="9">
        <v>42438</v>
      </c>
      <c r="B2626">
        <f t="shared" si="41"/>
        <v>3</v>
      </c>
      <c r="C2626" s="5">
        <v>282.7</v>
      </c>
    </row>
    <row r="2627" spans="1:3" x14ac:dyDescent="0.35">
      <c r="A2627" s="9">
        <v>42439</v>
      </c>
      <c r="B2627">
        <f t="shared" si="41"/>
        <v>3</v>
      </c>
      <c r="C2627" s="5">
        <v>287.39999999999998</v>
      </c>
    </row>
    <row r="2628" spans="1:3" x14ac:dyDescent="0.35">
      <c r="A2628" s="9">
        <v>42440</v>
      </c>
      <c r="B2628">
        <f t="shared" ref="B2628:B2691" si="42">MONTH(A2628)</f>
        <v>3</v>
      </c>
      <c r="C2628" s="5">
        <v>274.60000000000002</v>
      </c>
    </row>
    <row r="2629" spans="1:3" x14ac:dyDescent="0.35">
      <c r="A2629" s="9">
        <v>42441</v>
      </c>
      <c r="B2629">
        <f t="shared" si="42"/>
        <v>3</v>
      </c>
      <c r="C2629" s="5">
        <v>256.2</v>
      </c>
    </row>
    <row r="2630" spans="1:3" x14ac:dyDescent="0.35">
      <c r="A2630" s="9">
        <v>42442</v>
      </c>
      <c r="B2630">
        <f t="shared" si="42"/>
        <v>3</v>
      </c>
      <c r="C2630" s="5">
        <v>240.5</v>
      </c>
    </row>
    <row r="2631" spans="1:3" x14ac:dyDescent="0.35">
      <c r="A2631" s="9">
        <v>42443</v>
      </c>
      <c r="B2631">
        <f t="shared" si="42"/>
        <v>3</v>
      </c>
      <c r="C2631" s="5">
        <v>235.1</v>
      </c>
    </row>
    <row r="2632" spans="1:3" x14ac:dyDescent="0.35">
      <c r="A2632" s="9">
        <v>42444</v>
      </c>
      <c r="B2632">
        <f t="shared" si="42"/>
        <v>3</v>
      </c>
      <c r="C2632" s="5">
        <v>238.1</v>
      </c>
    </row>
    <row r="2633" spans="1:3" x14ac:dyDescent="0.35">
      <c r="A2633" s="9">
        <v>42445</v>
      </c>
      <c r="B2633">
        <f t="shared" si="42"/>
        <v>3</v>
      </c>
      <c r="C2633" s="5">
        <v>242.9</v>
      </c>
    </row>
    <row r="2634" spans="1:3" x14ac:dyDescent="0.35">
      <c r="A2634" s="9">
        <v>42446</v>
      </c>
      <c r="B2634">
        <f t="shared" si="42"/>
        <v>3</v>
      </c>
      <c r="C2634" s="5">
        <v>245.6</v>
      </c>
    </row>
    <row r="2635" spans="1:3" x14ac:dyDescent="0.35">
      <c r="A2635" s="9">
        <v>42447</v>
      </c>
      <c r="B2635">
        <f t="shared" si="42"/>
        <v>3</v>
      </c>
      <c r="C2635" s="5">
        <v>240.4</v>
      </c>
    </row>
    <row r="2636" spans="1:3" x14ac:dyDescent="0.35">
      <c r="A2636" s="9">
        <v>42448</v>
      </c>
      <c r="B2636">
        <f t="shared" si="42"/>
        <v>3</v>
      </c>
      <c r="C2636" s="5">
        <v>231.5</v>
      </c>
    </row>
    <row r="2637" spans="1:3" x14ac:dyDescent="0.35">
      <c r="A2637" s="9">
        <v>42449</v>
      </c>
      <c r="B2637">
        <f t="shared" si="42"/>
        <v>3</v>
      </c>
      <c r="C2637" s="5">
        <v>219.9</v>
      </c>
    </row>
    <row r="2638" spans="1:3" x14ac:dyDescent="0.35">
      <c r="A2638" s="9">
        <v>42450</v>
      </c>
      <c r="B2638">
        <f t="shared" si="42"/>
        <v>3</v>
      </c>
      <c r="C2638" s="5">
        <v>217.4</v>
      </c>
    </row>
    <row r="2639" spans="1:3" x14ac:dyDescent="0.35">
      <c r="A2639" s="9">
        <v>42451</v>
      </c>
      <c r="B2639">
        <f t="shared" si="42"/>
        <v>3</v>
      </c>
      <c r="C2639" s="5">
        <v>221.2</v>
      </c>
    </row>
    <row r="2640" spans="1:3" x14ac:dyDescent="0.35">
      <c r="A2640" s="9">
        <v>42452</v>
      </c>
      <c r="B2640">
        <f t="shared" si="42"/>
        <v>3</v>
      </c>
      <c r="C2640" s="5">
        <v>221.3</v>
      </c>
    </row>
    <row r="2641" spans="1:3" x14ac:dyDescent="0.35">
      <c r="A2641" s="9">
        <v>42453</v>
      </c>
      <c r="B2641">
        <f t="shared" si="42"/>
        <v>3</v>
      </c>
      <c r="C2641" s="5">
        <v>215.5</v>
      </c>
    </row>
    <row r="2642" spans="1:3" x14ac:dyDescent="0.35">
      <c r="A2642" s="9">
        <v>42454</v>
      </c>
      <c r="B2642">
        <f t="shared" si="42"/>
        <v>3</v>
      </c>
      <c r="C2642" s="5">
        <v>207.7</v>
      </c>
    </row>
    <row r="2643" spans="1:3" x14ac:dyDescent="0.35">
      <c r="A2643" s="9">
        <v>42455</v>
      </c>
      <c r="B2643">
        <f t="shared" si="42"/>
        <v>3</v>
      </c>
      <c r="C2643" s="5">
        <v>205.2</v>
      </c>
    </row>
    <row r="2644" spans="1:3" x14ac:dyDescent="0.35">
      <c r="A2644" s="9">
        <v>42456</v>
      </c>
      <c r="B2644">
        <f t="shared" si="42"/>
        <v>3</v>
      </c>
      <c r="C2644" s="5">
        <v>209.9</v>
      </c>
    </row>
    <row r="2645" spans="1:3" x14ac:dyDescent="0.35">
      <c r="A2645" s="9">
        <v>42457</v>
      </c>
      <c r="B2645">
        <f t="shared" si="42"/>
        <v>3</v>
      </c>
      <c r="C2645" s="5">
        <v>213.8</v>
      </c>
    </row>
    <row r="2646" spans="1:3" x14ac:dyDescent="0.35">
      <c r="A2646" s="9">
        <v>42458</v>
      </c>
      <c r="B2646">
        <f t="shared" si="42"/>
        <v>3</v>
      </c>
      <c r="C2646" s="5">
        <v>208.7</v>
      </c>
    </row>
    <row r="2647" spans="1:3" x14ac:dyDescent="0.35">
      <c r="A2647" s="9">
        <v>42459</v>
      </c>
      <c r="B2647">
        <f t="shared" si="42"/>
        <v>3</v>
      </c>
      <c r="C2647" s="5">
        <v>200.8</v>
      </c>
    </row>
    <row r="2648" spans="1:3" x14ac:dyDescent="0.35">
      <c r="A2648" s="9">
        <v>42460</v>
      </c>
      <c r="B2648">
        <f t="shared" si="42"/>
        <v>3</v>
      </c>
      <c r="C2648" s="5">
        <v>205.7</v>
      </c>
    </row>
    <row r="2649" spans="1:3" x14ac:dyDescent="0.35">
      <c r="A2649" s="9">
        <v>42461</v>
      </c>
      <c r="B2649">
        <f t="shared" si="42"/>
        <v>4</v>
      </c>
      <c r="C2649" s="5">
        <v>227.8</v>
      </c>
    </row>
    <row r="2650" spans="1:3" x14ac:dyDescent="0.35">
      <c r="A2650" s="9">
        <v>42462</v>
      </c>
      <c r="B2650">
        <f t="shared" si="42"/>
        <v>4</v>
      </c>
      <c r="C2650" s="5">
        <v>263.10000000000002</v>
      </c>
    </row>
    <row r="2651" spans="1:3" x14ac:dyDescent="0.35">
      <c r="A2651" s="9">
        <v>42463</v>
      </c>
      <c r="B2651">
        <f t="shared" si="42"/>
        <v>4</v>
      </c>
      <c r="C2651" s="5">
        <v>270.89999999999998</v>
      </c>
    </row>
    <row r="2652" spans="1:3" x14ac:dyDescent="0.35">
      <c r="A2652" s="9">
        <v>42464</v>
      </c>
      <c r="B2652">
        <f t="shared" si="42"/>
        <v>4</v>
      </c>
      <c r="C2652" s="5">
        <v>256</v>
      </c>
    </row>
    <row r="2653" spans="1:3" x14ac:dyDescent="0.35">
      <c r="A2653" s="9">
        <v>42465</v>
      </c>
      <c r="B2653">
        <f t="shared" si="42"/>
        <v>4</v>
      </c>
      <c r="C2653" s="5">
        <v>232</v>
      </c>
    </row>
    <row r="2654" spans="1:3" x14ac:dyDescent="0.35">
      <c r="A2654" s="9">
        <v>42466</v>
      </c>
      <c r="B2654">
        <f t="shared" si="42"/>
        <v>4</v>
      </c>
      <c r="C2654" s="5">
        <v>211.3</v>
      </c>
    </row>
    <row r="2655" spans="1:3" x14ac:dyDescent="0.35">
      <c r="A2655" s="9">
        <v>42467</v>
      </c>
      <c r="B2655">
        <f t="shared" si="42"/>
        <v>4</v>
      </c>
      <c r="C2655" s="5">
        <v>208.3</v>
      </c>
    </row>
    <row r="2656" spans="1:3" x14ac:dyDescent="0.35">
      <c r="A2656" s="9">
        <v>42468</v>
      </c>
      <c r="B2656">
        <f t="shared" si="42"/>
        <v>4</v>
      </c>
      <c r="C2656" s="5">
        <v>222.4</v>
      </c>
    </row>
    <row r="2657" spans="1:3" x14ac:dyDescent="0.35">
      <c r="A2657" s="9">
        <v>42469</v>
      </c>
      <c r="B2657">
        <f t="shared" si="42"/>
        <v>4</v>
      </c>
      <c r="C2657" s="5">
        <v>236.3</v>
      </c>
    </row>
    <row r="2658" spans="1:3" x14ac:dyDescent="0.35">
      <c r="A2658" s="9">
        <v>42470</v>
      </c>
      <c r="B2658">
        <f t="shared" si="42"/>
        <v>4</v>
      </c>
      <c r="C2658" s="5">
        <v>235</v>
      </c>
    </row>
    <row r="2659" spans="1:3" x14ac:dyDescent="0.35">
      <c r="A2659" s="9">
        <v>42471</v>
      </c>
      <c r="B2659">
        <f t="shared" si="42"/>
        <v>4</v>
      </c>
      <c r="C2659" s="5">
        <v>218.4</v>
      </c>
    </row>
    <row r="2660" spans="1:3" x14ac:dyDescent="0.35">
      <c r="A2660" s="9">
        <v>42472</v>
      </c>
      <c r="B2660">
        <f t="shared" si="42"/>
        <v>4</v>
      </c>
      <c r="C2660" s="5">
        <v>198.6</v>
      </c>
    </row>
    <row r="2661" spans="1:3" x14ac:dyDescent="0.35">
      <c r="A2661" s="9">
        <v>42473</v>
      </c>
      <c r="B2661">
        <f t="shared" si="42"/>
        <v>4</v>
      </c>
      <c r="C2661" s="5">
        <v>186.3</v>
      </c>
    </row>
    <row r="2662" spans="1:3" x14ac:dyDescent="0.35">
      <c r="A2662" s="9">
        <v>42474</v>
      </c>
      <c r="B2662">
        <f t="shared" si="42"/>
        <v>4</v>
      </c>
      <c r="C2662" s="5">
        <v>182.1</v>
      </c>
    </row>
    <row r="2663" spans="1:3" x14ac:dyDescent="0.35">
      <c r="A2663" s="9">
        <v>42475</v>
      </c>
      <c r="B2663">
        <f t="shared" si="42"/>
        <v>4</v>
      </c>
      <c r="C2663" s="5">
        <v>180.8</v>
      </c>
    </row>
    <row r="2664" spans="1:3" x14ac:dyDescent="0.35">
      <c r="A2664" s="9">
        <v>42476</v>
      </c>
      <c r="B2664">
        <f t="shared" si="42"/>
        <v>4</v>
      </c>
      <c r="C2664" s="5">
        <v>181.2</v>
      </c>
    </row>
    <row r="2665" spans="1:3" x14ac:dyDescent="0.35">
      <c r="A2665" s="9">
        <v>42477</v>
      </c>
      <c r="B2665">
        <f t="shared" si="42"/>
        <v>4</v>
      </c>
      <c r="C2665" s="5">
        <v>194</v>
      </c>
    </row>
    <row r="2666" spans="1:3" x14ac:dyDescent="0.35">
      <c r="A2666" s="9">
        <v>42478</v>
      </c>
      <c r="B2666">
        <f t="shared" si="42"/>
        <v>4</v>
      </c>
      <c r="C2666" s="5">
        <v>220.4</v>
      </c>
    </row>
    <row r="2667" spans="1:3" x14ac:dyDescent="0.35">
      <c r="A2667" s="9">
        <v>42479</v>
      </c>
      <c r="B2667">
        <f t="shared" si="42"/>
        <v>4</v>
      </c>
      <c r="C2667" s="5">
        <v>250.9</v>
      </c>
    </row>
    <row r="2668" spans="1:3" x14ac:dyDescent="0.35">
      <c r="A2668" s="9">
        <v>42480</v>
      </c>
      <c r="B2668">
        <f t="shared" si="42"/>
        <v>4</v>
      </c>
      <c r="C2668" s="5">
        <v>264.5</v>
      </c>
    </row>
    <row r="2669" spans="1:3" x14ac:dyDescent="0.35">
      <c r="A2669" s="9">
        <v>42481</v>
      </c>
      <c r="B2669">
        <f t="shared" si="42"/>
        <v>4</v>
      </c>
      <c r="C2669" s="5">
        <v>259.2</v>
      </c>
    </row>
    <row r="2670" spans="1:3" x14ac:dyDescent="0.35">
      <c r="A2670" s="9">
        <v>42482</v>
      </c>
      <c r="B2670">
        <f t="shared" si="42"/>
        <v>4</v>
      </c>
      <c r="C2670" s="5">
        <v>238.5</v>
      </c>
    </row>
    <row r="2671" spans="1:3" x14ac:dyDescent="0.35">
      <c r="A2671" s="9">
        <v>42483</v>
      </c>
      <c r="B2671">
        <f t="shared" si="42"/>
        <v>4</v>
      </c>
      <c r="C2671" s="5">
        <v>226.5</v>
      </c>
    </row>
    <row r="2672" spans="1:3" x14ac:dyDescent="0.35">
      <c r="A2672" s="9">
        <v>42484</v>
      </c>
      <c r="B2672">
        <f t="shared" si="42"/>
        <v>4</v>
      </c>
      <c r="C2672" s="5">
        <v>234.2</v>
      </c>
    </row>
    <row r="2673" spans="1:3" x14ac:dyDescent="0.35">
      <c r="A2673" s="9">
        <v>42485</v>
      </c>
      <c r="B2673">
        <f t="shared" si="42"/>
        <v>4</v>
      </c>
      <c r="C2673" s="5">
        <v>246</v>
      </c>
    </row>
    <row r="2674" spans="1:3" x14ac:dyDescent="0.35">
      <c r="A2674" s="9">
        <v>42486</v>
      </c>
      <c r="B2674">
        <f t="shared" si="42"/>
        <v>4</v>
      </c>
      <c r="C2674" s="5">
        <v>249</v>
      </c>
    </row>
    <row r="2675" spans="1:3" x14ac:dyDescent="0.35">
      <c r="A2675" s="9">
        <v>42487</v>
      </c>
      <c r="B2675">
        <f t="shared" si="42"/>
        <v>4</v>
      </c>
      <c r="C2675" s="5">
        <v>244.9</v>
      </c>
    </row>
    <row r="2676" spans="1:3" x14ac:dyDescent="0.35">
      <c r="A2676" s="9">
        <v>42488</v>
      </c>
      <c r="B2676">
        <f t="shared" si="42"/>
        <v>4</v>
      </c>
      <c r="C2676" s="5">
        <v>237.3</v>
      </c>
    </row>
    <row r="2677" spans="1:3" x14ac:dyDescent="0.35">
      <c r="A2677" s="9">
        <v>42489</v>
      </c>
      <c r="B2677">
        <f t="shared" si="42"/>
        <v>4</v>
      </c>
      <c r="C2677" s="5">
        <v>224.5</v>
      </c>
    </row>
    <row r="2678" spans="1:3" x14ac:dyDescent="0.35">
      <c r="A2678" s="9">
        <v>42490</v>
      </c>
      <c r="B2678">
        <f t="shared" si="42"/>
        <v>4</v>
      </c>
      <c r="C2678" s="5">
        <v>211.3</v>
      </c>
    </row>
    <row r="2679" spans="1:3" x14ac:dyDescent="0.35">
      <c r="A2679" s="9">
        <v>42491</v>
      </c>
      <c r="B2679">
        <f t="shared" si="42"/>
        <v>5</v>
      </c>
      <c r="C2679" s="5">
        <v>199.7</v>
      </c>
    </row>
    <row r="2680" spans="1:3" x14ac:dyDescent="0.35">
      <c r="A2680" s="9">
        <v>42492</v>
      </c>
      <c r="B2680">
        <f t="shared" si="42"/>
        <v>5</v>
      </c>
      <c r="C2680" s="5">
        <v>195.1</v>
      </c>
    </row>
    <row r="2681" spans="1:3" x14ac:dyDescent="0.35">
      <c r="A2681" s="9">
        <v>42493</v>
      </c>
      <c r="B2681">
        <f t="shared" si="42"/>
        <v>5</v>
      </c>
      <c r="C2681" s="5">
        <v>196.6</v>
      </c>
    </row>
    <row r="2682" spans="1:3" x14ac:dyDescent="0.35">
      <c r="A2682" s="9">
        <v>42494</v>
      </c>
      <c r="B2682">
        <f t="shared" si="42"/>
        <v>5</v>
      </c>
      <c r="C2682" s="5">
        <v>202.3</v>
      </c>
    </row>
    <row r="2683" spans="1:3" x14ac:dyDescent="0.35">
      <c r="A2683" s="9">
        <v>42495</v>
      </c>
      <c r="B2683">
        <f t="shared" si="42"/>
        <v>5</v>
      </c>
      <c r="C2683" s="5">
        <v>215.6</v>
      </c>
    </row>
    <row r="2684" spans="1:3" x14ac:dyDescent="0.35">
      <c r="A2684" s="9">
        <v>42496</v>
      </c>
      <c r="B2684">
        <f t="shared" si="42"/>
        <v>5</v>
      </c>
      <c r="C2684" s="5">
        <v>238.1</v>
      </c>
    </row>
    <row r="2685" spans="1:3" x14ac:dyDescent="0.35">
      <c r="A2685" s="9">
        <v>42497</v>
      </c>
      <c r="B2685">
        <f t="shared" si="42"/>
        <v>5</v>
      </c>
      <c r="C2685" s="5">
        <v>257.10000000000002</v>
      </c>
    </row>
    <row r="2686" spans="1:3" x14ac:dyDescent="0.35">
      <c r="A2686" s="9">
        <v>42498</v>
      </c>
      <c r="B2686">
        <f t="shared" si="42"/>
        <v>5</v>
      </c>
      <c r="C2686" s="5">
        <v>255.5</v>
      </c>
    </row>
    <row r="2687" spans="1:3" x14ac:dyDescent="0.35">
      <c r="A2687" s="9">
        <v>42499</v>
      </c>
      <c r="B2687">
        <f t="shared" si="42"/>
        <v>5</v>
      </c>
      <c r="C2687" s="5">
        <v>237.5</v>
      </c>
    </row>
    <row r="2688" spans="1:3" x14ac:dyDescent="0.35">
      <c r="A2688" s="9">
        <v>42500</v>
      </c>
      <c r="B2688">
        <f t="shared" si="42"/>
        <v>5</v>
      </c>
      <c r="C2688" s="5">
        <v>211.6</v>
      </c>
    </row>
    <row r="2689" spans="1:3" x14ac:dyDescent="0.35">
      <c r="A2689" s="9">
        <v>42501</v>
      </c>
      <c r="B2689">
        <f t="shared" si="42"/>
        <v>5</v>
      </c>
      <c r="C2689" s="5">
        <v>188.1</v>
      </c>
    </row>
    <row r="2690" spans="1:3" x14ac:dyDescent="0.35">
      <c r="A2690" s="9">
        <v>42502</v>
      </c>
      <c r="B2690">
        <f t="shared" si="42"/>
        <v>5</v>
      </c>
      <c r="C2690" s="5">
        <v>169.7</v>
      </c>
    </row>
    <row r="2691" spans="1:3" x14ac:dyDescent="0.35">
      <c r="A2691" s="9">
        <v>42503</v>
      </c>
      <c r="B2691">
        <f t="shared" si="42"/>
        <v>5</v>
      </c>
      <c r="C2691" s="5">
        <v>155.69999999999999</v>
      </c>
    </row>
    <row r="2692" spans="1:3" x14ac:dyDescent="0.35">
      <c r="A2692" s="9">
        <v>42504</v>
      </c>
      <c r="B2692">
        <f t="shared" ref="B2692:B2755" si="43">MONTH(A2692)</f>
        <v>5</v>
      </c>
      <c r="C2692" s="5">
        <v>145.19999999999999</v>
      </c>
    </row>
    <row r="2693" spans="1:3" x14ac:dyDescent="0.35">
      <c r="A2693" s="9">
        <v>42505</v>
      </c>
      <c r="B2693">
        <f t="shared" si="43"/>
        <v>5</v>
      </c>
      <c r="C2693" s="5">
        <v>138.5</v>
      </c>
    </row>
    <row r="2694" spans="1:3" x14ac:dyDescent="0.35">
      <c r="A2694" s="9">
        <v>42506</v>
      </c>
      <c r="B2694">
        <f t="shared" si="43"/>
        <v>5</v>
      </c>
      <c r="C2694" s="5">
        <v>136.9</v>
      </c>
    </row>
    <row r="2695" spans="1:3" x14ac:dyDescent="0.35">
      <c r="A2695" s="9">
        <v>42507</v>
      </c>
      <c r="B2695">
        <f t="shared" si="43"/>
        <v>5</v>
      </c>
      <c r="C2695" s="5">
        <v>138.6</v>
      </c>
    </row>
    <row r="2696" spans="1:3" x14ac:dyDescent="0.35">
      <c r="A2696" s="9">
        <v>42508</v>
      </c>
      <c r="B2696">
        <f t="shared" si="43"/>
        <v>5</v>
      </c>
      <c r="C2696" s="5">
        <v>140</v>
      </c>
    </row>
    <row r="2697" spans="1:3" x14ac:dyDescent="0.35">
      <c r="A2697" s="9">
        <v>42509</v>
      </c>
      <c r="B2697">
        <f t="shared" si="43"/>
        <v>5</v>
      </c>
      <c r="C2697" s="5">
        <v>138.5</v>
      </c>
    </row>
    <row r="2698" spans="1:3" x14ac:dyDescent="0.35">
      <c r="A2698" s="9">
        <v>42510</v>
      </c>
      <c r="B2698">
        <f t="shared" si="43"/>
        <v>5</v>
      </c>
      <c r="C2698" s="5">
        <v>135.19999999999999</v>
      </c>
    </row>
    <row r="2699" spans="1:3" x14ac:dyDescent="0.35">
      <c r="A2699" s="9">
        <v>42511</v>
      </c>
      <c r="B2699">
        <f t="shared" si="43"/>
        <v>5</v>
      </c>
      <c r="C2699" s="5">
        <v>131.5</v>
      </c>
    </row>
    <row r="2700" spans="1:3" x14ac:dyDescent="0.35">
      <c r="A2700" s="9">
        <v>42512</v>
      </c>
      <c r="B2700">
        <f t="shared" si="43"/>
        <v>5</v>
      </c>
      <c r="C2700" s="5">
        <v>128.69999999999999</v>
      </c>
    </row>
    <row r="2701" spans="1:3" x14ac:dyDescent="0.35">
      <c r="A2701" s="9">
        <v>42513</v>
      </c>
      <c r="B2701">
        <f t="shared" si="43"/>
        <v>5</v>
      </c>
      <c r="C2701" s="5">
        <v>127</v>
      </c>
    </row>
    <row r="2702" spans="1:3" x14ac:dyDescent="0.35">
      <c r="A2702" s="9">
        <v>42514</v>
      </c>
      <c r="B2702">
        <f t="shared" si="43"/>
        <v>5</v>
      </c>
      <c r="C2702" s="5">
        <v>125.9</v>
      </c>
    </row>
    <row r="2703" spans="1:3" x14ac:dyDescent="0.35">
      <c r="A2703" s="9">
        <v>42515</v>
      </c>
      <c r="B2703">
        <f t="shared" si="43"/>
        <v>5</v>
      </c>
      <c r="C2703" s="5">
        <v>125.2</v>
      </c>
    </row>
    <row r="2704" spans="1:3" x14ac:dyDescent="0.35">
      <c r="A2704" s="9">
        <v>42516</v>
      </c>
      <c r="B2704">
        <f t="shared" si="43"/>
        <v>5</v>
      </c>
      <c r="C2704" s="5">
        <v>124.8</v>
      </c>
    </row>
    <row r="2705" spans="1:3" x14ac:dyDescent="0.35">
      <c r="A2705" s="9">
        <v>42517</v>
      </c>
      <c r="B2705">
        <f t="shared" si="43"/>
        <v>5</v>
      </c>
      <c r="C2705" s="5">
        <v>124.5</v>
      </c>
    </row>
    <row r="2706" spans="1:3" x14ac:dyDescent="0.35">
      <c r="A2706" s="9">
        <v>42518</v>
      </c>
      <c r="B2706">
        <f t="shared" si="43"/>
        <v>5</v>
      </c>
      <c r="C2706" s="5">
        <v>124.3</v>
      </c>
    </row>
    <row r="2707" spans="1:3" x14ac:dyDescent="0.35">
      <c r="A2707" s="9">
        <v>42519</v>
      </c>
      <c r="B2707">
        <f t="shared" si="43"/>
        <v>5</v>
      </c>
      <c r="C2707" s="5">
        <v>124.2</v>
      </c>
    </row>
    <row r="2708" spans="1:3" x14ac:dyDescent="0.35">
      <c r="A2708" s="9">
        <v>42520</v>
      </c>
      <c r="B2708">
        <f t="shared" si="43"/>
        <v>5</v>
      </c>
      <c r="C2708" s="5">
        <v>124.5</v>
      </c>
    </row>
    <row r="2709" spans="1:3" x14ac:dyDescent="0.35">
      <c r="A2709" s="9">
        <v>42521</v>
      </c>
      <c r="B2709">
        <f t="shared" si="43"/>
        <v>5</v>
      </c>
      <c r="C2709" s="5">
        <v>125.3</v>
      </c>
    </row>
    <row r="2710" spans="1:3" x14ac:dyDescent="0.35">
      <c r="A2710" s="9">
        <v>42522</v>
      </c>
      <c r="B2710">
        <f t="shared" si="43"/>
        <v>6</v>
      </c>
      <c r="C2710" s="5">
        <v>126.3</v>
      </c>
    </row>
    <row r="2711" spans="1:3" x14ac:dyDescent="0.35">
      <c r="A2711" s="9">
        <v>42523</v>
      </c>
      <c r="B2711">
        <f t="shared" si="43"/>
        <v>6</v>
      </c>
      <c r="C2711" s="5">
        <v>85.8</v>
      </c>
    </row>
    <row r="2712" spans="1:3" x14ac:dyDescent="0.35">
      <c r="A2712" s="9">
        <v>42524</v>
      </c>
      <c r="B2712">
        <f t="shared" si="43"/>
        <v>6</v>
      </c>
      <c r="C2712" s="5">
        <v>85.7</v>
      </c>
    </row>
    <row r="2713" spans="1:3" x14ac:dyDescent="0.35">
      <c r="A2713" s="9">
        <v>42525</v>
      </c>
      <c r="B2713">
        <f t="shared" si="43"/>
        <v>6</v>
      </c>
      <c r="C2713" s="5">
        <v>85.1</v>
      </c>
    </row>
    <row r="2714" spans="1:3" x14ac:dyDescent="0.35">
      <c r="A2714" s="9">
        <v>42526</v>
      </c>
      <c r="B2714">
        <f t="shared" si="43"/>
        <v>6</v>
      </c>
      <c r="C2714" s="5">
        <v>84.4</v>
      </c>
    </row>
    <row r="2715" spans="1:3" x14ac:dyDescent="0.35">
      <c r="A2715" s="9">
        <v>42527</v>
      </c>
      <c r="B2715">
        <f t="shared" si="43"/>
        <v>6</v>
      </c>
      <c r="C2715" s="5">
        <v>83.9</v>
      </c>
    </row>
    <row r="2716" spans="1:3" x14ac:dyDescent="0.35">
      <c r="A2716" s="9">
        <v>42528</v>
      </c>
      <c r="B2716">
        <f t="shared" si="43"/>
        <v>6</v>
      </c>
      <c r="C2716" s="5">
        <v>83.6</v>
      </c>
    </row>
    <row r="2717" spans="1:3" x14ac:dyDescent="0.35">
      <c r="A2717" s="9">
        <v>42529</v>
      </c>
      <c r="B2717">
        <f t="shared" si="43"/>
        <v>6</v>
      </c>
      <c r="C2717" s="5">
        <v>83.4</v>
      </c>
    </row>
    <row r="2718" spans="1:3" x14ac:dyDescent="0.35">
      <c r="A2718" s="9">
        <v>42530</v>
      </c>
      <c r="B2718">
        <f t="shared" si="43"/>
        <v>6</v>
      </c>
      <c r="C2718" s="5">
        <v>83.3</v>
      </c>
    </row>
    <row r="2719" spans="1:3" x14ac:dyDescent="0.35">
      <c r="A2719" s="9">
        <v>42531</v>
      </c>
      <c r="B2719">
        <f t="shared" si="43"/>
        <v>6</v>
      </c>
      <c r="C2719" s="5">
        <v>83.2</v>
      </c>
    </row>
    <row r="2720" spans="1:3" x14ac:dyDescent="0.35">
      <c r="A2720" s="9">
        <v>42532</v>
      </c>
      <c r="B2720">
        <f t="shared" si="43"/>
        <v>6</v>
      </c>
      <c r="C2720" s="5">
        <v>83.1</v>
      </c>
    </row>
    <row r="2721" spans="1:3" x14ac:dyDescent="0.35">
      <c r="A2721" s="9">
        <v>42533</v>
      </c>
      <c r="B2721">
        <f t="shared" si="43"/>
        <v>6</v>
      </c>
      <c r="C2721" s="5">
        <v>83.1</v>
      </c>
    </row>
    <row r="2722" spans="1:3" x14ac:dyDescent="0.35">
      <c r="A2722" s="9">
        <v>42534</v>
      </c>
      <c r="B2722">
        <f t="shared" si="43"/>
        <v>6</v>
      </c>
      <c r="C2722" s="5">
        <v>83</v>
      </c>
    </row>
    <row r="2723" spans="1:3" x14ac:dyDescent="0.35">
      <c r="A2723" s="9">
        <v>42535</v>
      </c>
      <c r="B2723">
        <f t="shared" si="43"/>
        <v>6</v>
      </c>
      <c r="C2723" s="5">
        <v>83</v>
      </c>
    </row>
    <row r="2724" spans="1:3" x14ac:dyDescent="0.35">
      <c r="A2724" s="9">
        <v>42536</v>
      </c>
      <c r="B2724">
        <f t="shared" si="43"/>
        <v>6</v>
      </c>
      <c r="C2724" s="5">
        <v>83</v>
      </c>
    </row>
    <row r="2725" spans="1:3" x14ac:dyDescent="0.35">
      <c r="A2725" s="9">
        <v>42537</v>
      </c>
      <c r="B2725">
        <f t="shared" si="43"/>
        <v>6</v>
      </c>
      <c r="C2725" s="5">
        <v>83</v>
      </c>
    </row>
    <row r="2726" spans="1:3" x14ac:dyDescent="0.35">
      <c r="A2726" s="9">
        <v>42538</v>
      </c>
      <c r="B2726">
        <f t="shared" si="43"/>
        <v>6</v>
      </c>
      <c r="C2726" s="5">
        <v>83</v>
      </c>
    </row>
    <row r="2727" spans="1:3" x14ac:dyDescent="0.35">
      <c r="A2727" s="9">
        <v>42539</v>
      </c>
      <c r="B2727">
        <f t="shared" si="43"/>
        <v>6</v>
      </c>
      <c r="C2727" s="5">
        <v>83.5</v>
      </c>
    </row>
    <row r="2728" spans="1:3" x14ac:dyDescent="0.35">
      <c r="A2728" s="9">
        <v>42540</v>
      </c>
      <c r="B2728">
        <f t="shared" si="43"/>
        <v>6</v>
      </c>
      <c r="C2728" s="5">
        <v>84.7</v>
      </c>
    </row>
    <row r="2729" spans="1:3" x14ac:dyDescent="0.35">
      <c r="A2729" s="9">
        <v>42541</v>
      </c>
      <c r="B2729">
        <f t="shared" si="43"/>
        <v>6</v>
      </c>
      <c r="C2729" s="5">
        <v>86</v>
      </c>
    </row>
    <row r="2730" spans="1:3" x14ac:dyDescent="0.35">
      <c r="A2730" s="9">
        <v>42542</v>
      </c>
      <c r="B2730">
        <f t="shared" si="43"/>
        <v>6</v>
      </c>
      <c r="C2730" s="5">
        <v>86.4</v>
      </c>
    </row>
    <row r="2731" spans="1:3" x14ac:dyDescent="0.35">
      <c r="A2731" s="9">
        <v>42543</v>
      </c>
      <c r="B2731">
        <f t="shared" si="43"/>
        <v>6</v>
      </c>
      <c r="C2731" s="5">
        <v>87.3</v>
      </c>
    </row>
    <row r="2732" spans="1:3" x14ac:dyDescent="0.35">
      <c r="A2732" s="9">
        <v>42544</v>
      </c>
      <c r="B2732">
        <f t="shared" si="43"/>
        <v>6</v>
      </c>
      <c r="C2732" s="5">
        <v>89.4</v>
      </c>
    </row>
    <row r="2733" spans="1:3" x14ac:dyDescent="0.35">
      <c r="A2733" s="9">
        <v>42545</v>
      </c>
      <c r="B2733">
        <f t="shared" si="43"/>
        <v>6</v>
      </c>
      <c r="C2733" s="5">
        <v>91.9</v>
      </c>
    </row>
    <row r="2734" spans="1:3" x14ac:dyDescent="0.35">
      <c r="A2734" s="9">
        <v>42546</v>
      </c>
      <c r="B2734">
        <f t="shared" si="43"/>
        <v>6</v>
      </c>
      <c r="C2734" s="5">
        <v>92.2</v>
      </c>
    </row>
    <row r="2735" spans="1:3" x14ac:dyDescent="0.35">
      <c r="A2735" s="9">
        <v>42547</v>
      </c>
      <c r="B2735">
        <f t="shared" si="43"/>
        <v>6</v>
      </c>
      <c r="C2735" s="5">
        <v>90.7</v>
      </c>
    </row>
    <row r="2736" spans="1:3" x14ac:dyDescent="0.35">
      <c r="A2736" s="9">
        <v>42548</v>
      </c>
      <c r="B2736">
        <f t="shared" si="43"/>
        <v>6</v>
      </c>
      <c r="C2736" s="5">
        <v>88.3</v>
      </c>
    </row>
    <row r="2737" spans="1:3" x14ac:dyDescent="0.35">
      <c r="A2737" s="9">
        <v>42549</v>
      </c>
      <c r="B2737">
        <f t="shared" si="43"/>
        <v>6</v>
      </c>
      <c r="C2737" s="5">
        <v>86.8</v>
      </c>
    </row>
    <row r="2738" spans="1:3" x14ac:dyDescent="0.35">
      <c r="A2738" s="9">
        <v>42550</v>
      </c>
      <c r="B2738">
        <f t="shared" si="43"/>
        <v>6</v>
      </c>
      <c r="C2738" s="5">
        <v>87.1</v>
      </c>
    </row>
    <row r="2739" spans="1:3" x14ac:dyDescent="0.35">
      <c r="A2739" s="9">
        <v>42551</v>
      </c>
      <c r="B2739">
        <f t="shared" si="43"/>
        <v>6</v>
      </c>
      <c r="C2739" s="5">
        <v>88.2</v>
      </c>
    </row>
    <row r="2740" spans="1:3" x14ac:dyDescent="0.35">
      <c r="A2740" s="9">
        <v>42552</v>
      </c>
      <c r="B2740">
        <f t="shared" si="43"/>
        <v>7</v>
      </c>
      <c r="C2740" s="5">
        <v>88.6</v>
      </c>
    </row>
    <row r="2741" spans="1:3" x14ac:dyDescent="0.35">
      <c r="A2741" s="9">
        <v>42553</v>
      </c>
      <c r="B2741">
        <f t="shared" si="43"/>
        <v>7</v>
      </c>
      <c r="C2741" s="5">
        <v>64.900000000000006</v>
      </c>
    </row>
    <row r="2742" spans="1:3" x14ac:dyDescent="0.35">
      <c r="A2742" s="9">
        <v>42554</v>
      </c>
      <c r="B2742">
        <f t="shared" si="43"/>
        <v>7</v>
      </c>
      <c r="C2742" s="5">
        <v>63.6</v>
      </c>
    </row>
    <row r="2743" spans="1:3" x14ac:dyDescent="0.35">
      <c r="A2743" s="9">
        <v>42555</v>
      </c>
      <c r="B2743">
        <f t="shared" si="43"/>
        <v>7</v>
      </c>
      <c r="C2743" s="5">
        <v>62.4</v>
      </c>
    </row>
    <row r="2744" spans="1:3" x14ac:dyDescent="0.35">
      <c r="A2744" s="9">
        <v>42556</v>
      </c>
      <c r="B2744">
        <f t="shared" si="43"/>
        <v>7</v>
      </c>
      <c r="C2744" s="5">
        <v>61.7</v>
      </c>
    </row>
    <row r="2745" spans="1:3" x14ac:dyDescent="0.35">
      <c r="A2745" s="9">
        <v>42557</v>
      </c>
      <c r="B2745">
        <f t="shared" si="43"/>
        <v>7</v>
      </c>
      <c r="C2745" s="5">
        <v>61.2</v>
      </c>
    </row>
    <row r="2746" spans="1:3" x14ac:dyDescent="0.35">
      <c r="A2746" s="9">
        <v>42558</v>
      </c>
      <c r="B2746">
        <f t="shared" si="43"/>
        <v>7</v>
      </c>
      <c r="C2746" s="5">
        <v>60.8</v>
      </c>
    </row>
    <row r="2747" spans="1:3" x14ac:dyDescent="0.35">
      <c r="A2747" s="9">
        <v>42559</v>
      </c>
      <c r="B2747">
        <f t="shared" si="43"/>
        <v>7</v>
      </c>
      <c r="C2747" s="5">
        <v>60.5</v>
      </c>
    </row>
    <row r="2748" spans="1:3" x14ac:dyDescent="0.35">
      <c r="A2748" s="9">
        <v>42560</v>
      </c>
      <c r="B2748">
        <f t="shared" si="43"/>
        <v>7</v>
      </c>
      <c r="C2748" s="5">
        <v>60.3</v>
      </c>
    </row>
    <row r="2749" spans="1:3" x14ac:dyDescent="0.35">
      <c r="A2749" s="9">
        <v>42561</v>
      </c>
      <c r="B2749">
        <f t="shared" si="43"/>
        <v>7</v>
      </c>
      <c r="C2749" s="5">
        <v>60.2</v>
      </c>
    </row>
    <row r="2750" spans="1:3" x14ac:dyDescent="0.35">
      <c r="A2750" s="9">
        <v>42562</v>
      </c>
      <c r="B2750">
        <f t="shared" si="43"/>
        <v>7</v>
      </c>
      <c r="C2750" s="5">
        <v>60.1</v>
      </c>
    </row>
    <row r="2751" spans="1:3" x14ac:dyDescent="0.35">
      <c r="A2751" s="9">
        <v>42563</v>
      </c>
      <c r="B2751">
        <f t="shared" si="43"/>
        <v>7</v>
      </c>
      <c r="C2751" s="5">
        <v>60.1</v>
      </c>
    </row>
    <row r="2752" spans="1:3" x14ac:dyDescent="0.35">
      <c r="A2752" s="9">
        <v>42564</v>
      </c>
      <c r="B2752">
        <f t="shared" si="43"/>
        <v>7</v>
      </c>
      <c r="C2752" s="5">
        <v>60.2</v>
      </c>
    </row>
    <row r="2753" spans="1:3" x14ac:dyDescent="0.35">
      <c r="A2753" s="9">
        <v>42565</v>
      </c>
      <c r="B2753">
        <f t="shared" si="43"/>
        <v>7</v>
      </c>
      <c r="C2753" s="5">
        <v>60.2</v>
      </c>
    </row>
    <row r="2754" spans="1:3" x14ac:dyDescent="0.35">
      <c r="A2754" s="9">
        <v>42566</v>
      </c>
      <c r="B2754">
        <f t="shared" si="43"/>
        <v>7</v>
      </c>
      <c r="C2754" s="5">
        <v>60.2</v>
      </c>
    </row>
    <row r="2755" spans="1:3" x14ac:dyDescent="0.35">
      <c r="A2755" s="9">
        <v>42567</v>
      </c>
      <c r="B2755">
        <f t="shared" si="43"/>
        <v>7</v>
      </c>
      <c r="C2755" s="5">
        <v>60.2</v>
      </c>
    </row>
    <row r="2756" spans="1:3" x14ac:dyDescent="0.35">
      <c r="A2756" s="9">
        <v>42568</v>
      </c>
      <c r="B2756">
        <f t="shared" ref="B2756:B2819" si="44">MONTH(A2756)</f>
        <v>7</v>
      </c>
      <c r="C2756" s="5">
        <v>60.1</v>
      </c>
    </row>
    <row r="2757" spans="1:3" x14ac:dyDescent="0.35">
      <c r="A2757" s="9">
        <v>42569</v>
      </c>
      <c r="B2757">
        <f t="shared" si="44"/>
        <v>7</v>
      </c>
      <c r="C2757" s="5">
        <v>60.1</v>
      </c>
    </row>
    <row r="2758" spans="1:3" x14ac:dyDescent="0.35">
      <c r="A2758" s="9">
        <v>42570</v>
      </c>
      <c r="B2758">
        <f t="shared" si="44"/>
        <v>7</v>
      </c>
      <c r="C2758" s="5">
        <v>60</v>
      </c>
    </row>
    <row r="2759" spans="1:3" x14ac:dyDescent="0.35">
      <c r="A2759" s="9">
        <v>42571</v>
      </c>
      <c r="B2759">
        <f t="shared" si="44"/>
        <v>7</v>
      </c>
      <c r="C2759" s="5">
        <v>60</v>
      </c>
    </row>
    <row r="2760" spans="1:3" x14ac:dyDescent="0.35">
      <c r="A2760" s="9">
        <v>42572</v>
      </c>
      <c r="B2760">
        <f t="shared" si="44"/>
        <v>7</v>
      </c>
      <c r="C2760" s="5">
        <v>60</v>
      </c>
    </row>
    <row r="2761" spans="1:3" x14ac:dyDescent="0.35">
      <c r="A2761" s="9">
        <v>42573</v>
      </c>
      <c r="B2761">
        <f t="shared" si="44"/>
        <v>7</v>
      </c>
      <c r="C2761" s="5">
        <v>60.1</v>
      </c>
    </row>
    <row r="2762" spans="1:3" x14ac:dyDescent="0.35">
      <c r="A2762" s="9">
        <v>42574</v>
      </c>
      <c r="B2762">
        <f t="shared" si="44"/>
        <v>7</v>
      </c>
      <c r="C2762" s="5">
        <v>60.3</v>
      </c>
    </row>
    <row r="2763" spans="1:3" x14ac:dyDescent="0.35">
      <c r="A2763" s="9">
        <v>42575</v>
      </c>
      <c r="B2763">
        <f t="shared" si="44"/>
        <v>7</v>
      </c>
      <c r="C2763" s="5">
        <v>60.5</v>
      </c>
    </row>
    <row r="2764" spans="1:3" x14ac:dyDescent="0.35">
      <c r="A2764" s="9">
        <v>42576</v>
      </c>
      <c r="B2764">
        <f t="shared" si="44"/>
        <v>7</v>
      </c>
      <c r="C2764" s="5">
        <v>61.2</v>
      </c>
    </row>
    <row r="2765" spans="1:3" x14ac:dyDescent="0.35">
      <c r="A2765" s="9">
        <v>42577</v>
      </c>
      <c r="B2765">
        <f t="shared" si="44"/>
        <v>7</v>
      </c>
      <c r="C2765" s="5">
        <v>64.2</v>
      </c>
    </row>
    <row r="2766" spans="1:3" x14ac:dyDescent="0.35">
      <c r="A2766" s="9">
        <v>42578</v>
      </c>
      <c r="B2766">
        <f t="shared" si="44"/>
        <v>7</v>
      </c>
      <c r="C2766" s="5">
        <v>69.2</v>
      </c>
    </row>
    <row r="2767" spans="1:3" x14ac:dyDescent="0.35">
      <c r="A2767" s="9">
        <v>42579</v>
      </c>
      <c r="B2767">
        <f t="shared" si="44"/>
        <v>7</v>
      </c>
      <c r="C2767" s="5">
        <v>73.3</v>
      </c>
    </row>
    <row r="2768" spans="1:3" x14ac:dyDescent="0.35">
      <c r="A2768" s="9">
        <v>42580</v>
      </c>
      <c r="B2768">
        <f t="shared" si="44"/>
        <v>7</v>
      </c>
      <c r="C2768" s="5">
        <v>75.599999999999994</v>
      </c>
    </row>
    <row r="2769" spans="1:3" x14ac:dyDescent="0.35">
      <c r="A2769" s="9">
        <v>42581</v>
      </c>
      <c r="B2769">
        <f t="shared" si="44"/>
        <v>7</v>
      </c>
      <c r="C2769" s="5">
        <v>77.8</v>
      </c>
    </row>
    <row r="2770" spans="1:3" x14ac:dyDescent="0.35">
      <c r="A2770" s="9">
        <v>42582</v>
      </c>
      <c r="B2770">
        <f t="shared" si="44"/>
        <v>7</v>
      </c>
      <c r="C2770" s="5">
        <v>79.599999999999994</v>
      </c>
    </row>
    <row r="2771" spans="1:3" x14ac:dyDescent="0.35">
      <c r="A2771" s="9">
        <v>42583</v>
      </c>
      <c r="B2771">
        <f t="shared" si="44"/>
        <v>8</v>
      </c>
      <c r="C2771" s="5">
        <v>78.099999999999994</v>
      </c>
    </row>
    <row r="2772" spans="1:3" x14ac:dyDescent="0.35">
      <c r="A2772" s="9">
        <v>42584</v>
      </c>
      <c r="B2772">
        <f t="shared" si="44"/>
        <v>8</v>
      </c>
      <c r="C2772" s="5">
        <v>79.599999999999994</v>
      </c>
    </row>
    <row r="2773" spans="1:3" x14ac:dyDescent="0.35">
      <c r="A2773" s="9">
        <v>42585</v>
      </c>
      <c r="B2773">
        <f t="shared" si="44"/>
        <v>8</v>
      </c>
      <c r="C2773" s="5">
        <v>75.2</v>
      </c>
    </row>
    <row r="2774" spans="1:3" x14ac:dyDescent="0.35">
      <c r="A2774" s="9">
        <v>42586</v>
      </c>
      <c r="B2774">
        <f t="shared" si="44"/>
        <v>8</v>
      </c>
      <c r="C2774" s="5">
        <v>71.400000000000006</v>
      </c>
    </row>
    <row r="2775" spans="1:3" x14ac:dyDescent="0.35">
      <c r="A2775" s="9">
        <v>42587</v>
      </c>
      <c r="B2775">
        <f t="shared" si="44"/>
        <v>8</v>
      </c>
      <c r="C2775" s="5">
        <v>69.2</v>
      </c>
    </row>
    <row r="2776" spans="1:3" x14ac:dyDescent="0.35">
      <c r="A2776" s="9">
        <v>42588</v>
      </c>
      <c r="B2776">
        <f t="shared" si="44"/>
        <v>8</v>
      </c>
      <c r="C2776" s="5">
        <v>67.8</v>
      </c>
    </row>
    <row r="2777" spans="1:3" x14ac:dyDescent="0.35">
      <c r="A2777" s="9">
        <v>42589</v>
      </c>
      <c r="B2777">
        <f t="shared" si="44"/>
        <v>8</v>
      </c>
      <c r="C2777" s="5">
        <v>66.8</v>
      </c>
    </row>
    <row r="2778" spans="1:3" x14ac:dyDescent="0.35">
      <c r="A2778" s="9">
        <v>42590</v>
      </c>
      <c r="B2778">
        <f t="shared" si="44"/>
        <v>8</v>
      </c>
      <c r="C2778" s="5">
        <v>66.3</v>
      </c>
    </row>
    <row r="2779" spans="1:3" x14ac:dyDescent="0.35">
      <c r="A2779" s="9">
        <v>42591</v>
      </c>
      <c r="B2779">
        <f t="shared" si="44"/>
        <v>8</v>
      </c>
      <c r="C2779" s="5">
        <v>66.2</v>
      </c>
    </row>
    <row r="2780" spans="1:3" x14ac:dyDescent="0.35">
      <c r="A2780" s="9">
        <v>42592</v>
      </c>
      <c r="B2780">
        <f t="shared" si="44"/>
        <v>8</v>
      </c>
      <c r="C2780" s="5">
        <v>66.599999999999994</v>
      </c>
    </row>
    <row r="2781" spans="1:3" x14ac:dyDescent="0.35">
      <c r="A2781" s="9">
        <v>42593</v>
      </c>
      <c r="B2781">
        <f t="shared" si="44"/>
        <v>8</v>
      </c>
      <c r="C2781" s="5">
        <v>68.900000000000006</v>
      </c>
    </row>
    <row r="2782" spans="1:3" x14ac:dyDescent="0.35">
      <c r="A2782" s="9">
        <v>42594</v>
      </c>
      <c r="B2782">
        <f t="shared" si="44"/>
        <v>8</v>
      </c>
      <c r="C2782" s="5">
        <v>73</v>
      </c>
    </row>
    <row r="2783" spans="1:3" x14ac:dyDescent="0.35">
      <c r="A2783" s="9">
        <v>42595</v>
      </c>
      <c r="B2783">
        <f t="shared" si="44"/>
        <v>8</v>
      </c>
      <c r="C2783" s="5">
        <v>77</v>
      </c>
    </row>
    <row r="2784" spans="1:3" x14ac:dyDescent="0.35">
      <c r="A2784" s="9">
        <v>42596</v>
      </c>
      <c r="B2784">
        <f t="shared" si="44"/>
        <v>8</v>
      </c>
      <c r="C2784" s="5">
        <v>80.400000000000006</v>
      </c>
    </row>
    <row r="2785" spans="1:3" x14ac:dyDescent="0.35">
      <c r="A2785" s="9">
        <v>42597</v>
      </c>
      <c r="B2785">
        <f t="shared" si="44"/>
        <v>8</v>
      </c>
      <c r="C2785" s="5">
        <v>86.8</v>
      </c>
    </row>
    <row r="2786" spans="1:3" x14ac:dyDescent="0.35">
      <c r="A2786" s="9">
        <v>42598</v>
      </c>
      <c r="B2786">
        <f t="shared" si="44"/>
        <v>8</v>
      </c>
      <c r="C2786" s="5">
        <v>95.2</v>
      </c>
    </row>
    <row r="2787" spans="1:3" x14ac:dyDescent="0.35">
      <c r="A2787" s="9">
        <v>42599</v>
      </c>
      <c r="B2787">
        <f t="shared" si="44"/>
        <v>8</v>
      </c>
      <c r="C2787" s="5">
        <v>98.5</v>
      </c>
    </row>
    <row r="2788" spans="1:3" x14ac:dyDescent="0.35">
      <c r="A2788" s="9">
        <v>42600</v>
      </c>
      <c r="B2788">
        <f t="shared" si="44"/>
        <v>8</v>
      </c>
      <c r="C2788" s="5">
        <v>97.3</v>
      </c>
    </row>
    <row r="2789" spans="1:3" x14ac:dyDescent="0.35">
      <c r="A2789" s="9">
        <v>42601</v>
      </c>
      <c r="B2789">
        <f t="shared" si="44"/>
        <v>8</v>
      </c>
      <c r="C2789" s="5">
        <v>94.4</v>
      </c>
    </row>
    <row r="2790" spans="1:3" x14ac:dyDescent="0.35">
      <c r="A2790" s="9">
        <v>42602</v>
      </c>
      <c r="B2790">
        <f t="shared" si="44"/>
        <v>8</v>
      </c>
      <c r="C2790" s="5">
        <v>92.4</v>
      </c>
    </row>
    <row r="2791" spans="1:3" x14ac:dyDescent="0.35">
      <c r="A2791" s="9">
        <v>42603</v>
      </c>
      <c r="B2791">
        <f t="shared" si="44"/>
        <v>8</v>
      </c>
      <c r="C2791" s="5">
        <v>92.5</v>
      </c>
    </row>
    <row r="2792" spans="1:3" x14ac:dyDescent="0.35">
      <c r="A2792" s="9">
        <v>42604</v>
      </c>
      <c r="B2792">
        <f t="shared" si="44"/>
        <v>8</v>
      </c>
      <c r="C2792" s="5">
        <v>96.1</v>
      </c>
    </row>
    <row r="2793" spans="1:3" x14ac:dyDescent="0.35">
      <c r="A2793" s="9">
        <v>42605</v>
      </c>
      <c r="B2793">
        <f t="shared" si="44"/>
        <v>8</v>
      </c>
      <c r="C2793" s="5">
        <v>102</v>
      </c>
    </row>
    <row r="2794" spans="1:3" x14ac:dyDescent="0.35">
      <c r="A2794" s="9">
        <v>42606</v>
      </c>
      <c r="B2794">
        <f t="shared" si="44"/>
        <v>8</v>
      </c>
      <c r="C2794" s="5">
        <v>109.6</v>
      </c>
    </row>
    <row r="2795" spans="1:3" x14ac:dyDescent="0.35">
      <c r="A2795" s="9">
        <v>42607</v>
      </c>
      <c r="B2795">
        <f t="shared" si="44"/>
        <v>8</v>
      </c>
      <c r="C2795" s="5">
        <v>117.7</v>
      </c>
    </row>
    <row r="2796" spans="1:3" x14ac:dyDescent="0.35">
      <c r="A2796" s="9">
        <v>42608</v>
      </c>
      <c r="B2796">
        <f t="shared" si="44"/>
        <v>8</v>
      </c>
      <c r="C2796" s="5">
        <v>123.4</v>
      </c>
    </row>
    <row r="2797" spans="1:3" x14ac:dyDescent="0.35">
      <c r="A2797" s="9">
        <v>42609</v>
      </c>
      <c r="B2797">
        <f t="shared" si="44"/>
        <v>8</v>
      </c>
      <c r="C2797" s="5">
        <v>121.7</v>
      </c>
    </row>
    <row r="2798" spans="1:3" x14ac:dyDescent="0.35">
      <c r="A2798" s="9">
        <v>42610</v>
      </c>
      <c r="B2798">
        <f t="shared" si="44"/>
        <v>8</v>
      </c>
      <c r="C2798" s="5">
        <v>115.9</v>
      </c>
    </row>
    <row r="2799" spans="1:3" x14ac:dyDescent="0.35">
      <c r="A2799" s="9">
        <v>42611</v>
      </c>
      <c r="B2799">
        <f t="shared" si="44"/>
        <v>8</v>
      </c>
      <c r="C2799" s="5">
        <v>105.3</v>
      </c>
    </row>
    <row r="2800" spans="1:3" x14ac:dyDescent="0.35">
      <c r="A2800" s="9">
        <v>42612</v>
      </c>
      <c r="B2800">
        <f t="shared" si="44"/>
        <v>8</v>
      </c>
      <c r="C2800" s="5">
        <v>95.1</v>
      </c>
    </row>
    <row r="2801" spans="1:3" x14ac:dyDescent="0.35">
      <c r="A2801" s="9">
        <v>42613</v>
      </c>
      <c r="B2801">
        <f t="shared" si="44"/>
        <v>8</v>
      </c>
      <c r="C2801" s="5">
        <v>87.4</v>
      </c>
    </row>
    <row r="2802" spans="1:3" x14ac:dyDescent="0.35">
      <c r="A2802" s="9">
        <v>42614</v>
      </c>
      <c r="B2802">
        <f t="shared" si="44"/>
        <v>9</v>
      </c>
      <c r="C2802" s="5">
        <v>81.400000000000006</v>
      </c>
    </row>
    <row r="2803" spans="1:3" x14ac:dyDescent="0.35">
      <c r="A2803" s="9">
        <v>42615</v>
      </c>
      <c r="B2803">
        <f t="shared" si="44"/>
        <v>9</v>
      </c>
      <c r="C2803" s="5">
        <v>105.8</v>
      </c>
    </row>
    <row r="2804" spans="1:3" x14ac:dyDescent="0.35">
      <c r="A2804" s="9">
        <v>42616</v>
      </c>
      <c r="B2804">
        <f t="shared" si="44"/>
        <v>9</v>
      </c>
      <c r="C2804" s="5">
        <v>106.3</v>
      </c>
    </row>
    <row r="2805" spans="1:3" x14ac:dyDescent="0.35">
      <c r="A2805" s="9">
        <v>42617</v>
      </c>
      <c r="B2805">
        <f t="shared" si="44"/>
        <v>9</v>
      </c>
      <c r="C2805" s="5">
        <v>108.6</v>
      </c>
    </row>
    <row r="2806" spans="1:3" x14ac:dyDescent="0.35">
      <c r="A2806" s="9">
        <v>42618</v>
      </c>
      <c r="B2806">
        <f t="shared" si="44"/>
        <v>9</v>
      </c>
      <c r="C2806" s="5">
        <v>111.6</v>
      </c>
    </row>
    <row r="2807" spans="1:3" x14ac:dyDescent="0.35">
      <c r="A2807" s="9">
        <v>42619</v>
      </c>
      <c r="B2807">
        <f t="shared" si="44"/>
        <v>9</v>
      </c>
      <c r="C2807" s="5">
        <v>117.8</v>
      </c>
    </row>
    <row r="2808" spans="1:3" x14ac:dyDescent="0.35">
      <c r="A2808" s="9">
        <v>42620</v>
      </c>
      <c r="B2808">
        <f t="shared" si="44"/>
        <v>9</v>
      </c>
      <c r="C2808" s="5">
        <v>124.8</v>
      </c>
    </row>
    <row r="2809" spans="1:3" x14ac:dyDescent="0.35">
      <c r="A2809" s="9">
        <v>42621</v>
      </c>
      <c r="B2809">
        <f t="shared" si="44"/>
        <v>9</v>
      </c>
      <c r="C2809" s="5">
        <v>128.4</v>
      </c>
    </row>
    <row r="2810" spans="1:3" x14ac:dyDescent="0.35">
      <c r="A2810" s="9">
        <v>42622</v>
      </c>
      <c r="B2810">
        <f t="shared" si="44"/>
        <v>9</v>
      </c>
      <c r="C2810" s="5">
        <v>127.4</v>
      </c>
    </row>
    <row r="2811" spans="1:3" x14ac:dyDescent="0.35">
      <c r="A2811" s="9">
        <v>42623</v>
      </c>
      <c r="B2811">
        <f t="shared" si="44"/>
        <v>9</v>
      </c>
      <c r="C2811" s="5">
        <v>127.6</v>
      </c>
    </row>
    <row r="2812" spans="1:3" x14ac:dyDescent="0.35">
      <c r="A2812" s="9">
        <v>42624</v>
      </c>
      <c r="B2812">
        <f t="shared" si="44"/>
        <v>9</v>
      </c>
      <c r="C2812" s="5">
        <v>130.80000000000001</v>
      </c>
    </row>
    <row r="2813" spans="1:3" x14ac:dyDescent="0.35">
      <c r="A2813" s="9">
        <v>42625</v>
      </c>
      <c r="B2813">
        <f t="shared" si="44"/>
        <v>9</v>
      </c>
      <c r="C2813" s="5">
        <v>135.69999999999999</v>
      </c>
    </row>
    <row r="2814" spans="1:3" x14ac:dyDescent="0.35">
      <c r="A2814" s="9">
        <v>42626</v>
      </c>
      <c r="B2814">
        <f t="shared" si="44"/>
        <v>9</v>
      </c>
      <c r="C2814" s="5">
        <v>133.9</v>
      </c>
    </row>
    <row r="2815" spans="1:3" x14ac:dyDescent="0.35">
      <c r="A2815" s="9">
        <v>42627</v>
      </c>
      <c r="B2815">
        <f t="shared" si="44"/>
        <v>9</v>
      </c>
      <c r="C2815" s="5">
        <v>131.69999999999999</v>
      </c>
    </row>
    <row r="2816" spans="1:3" x14ac:dyDescent="0.35">
      <c r="A2816" s="9">
        <v>42628</v>
      </c>
      <c r="B2816">
        <f t="shared" si="44"/>
        <v>9</v>
      </c>
      <c r="C2816" s="5">
        <v>133.4</v>
      </c>
    </row>
    <row r="2817" spans="1:3" x14ac:dyDescent="0.35">
      <c r="A2817" s="9">
        <v>42629</v>
      </c>
      <c r="B2817">
        <f t="shared" si="44"/>
        <v>9</v>
      </c>
      <c r="C2817" s="5">
        <v>136.1</v>
      </c>
    </row>
    <row r="2818" spans="1:3" x14ac:dyDescent="0.35">
      <c r="A2818" s="9">
        <v>42630</v>
      </c>
      <c r="B2818">
        <f t="shared" si="44"/>
        <v>9</v>
      </c>
      <c r="C2818" s="5">
        <v>134</v>
      </c>
    </row>
    <row r="2819" spans="1:3" x14ac:dyDescent="0.35">
      <c r="A2819" s="9">
        <v>42631</v>
      </c>
      <c r="B2819">
        <f t="shared" si="44"/>
        <v>9</v>
      </c>
      <c r="C2819" s="5">
        <v>130.80000000000001</v>
      </c>
    </row>
    <row r="2820" spans="1:3" x14ac:dyDescent="0.35">
      <c r="A2820" s="9">
        <v>42632</v>
      </c>
      <c r="B2820">
        <f t="shared" ref="B2820:B2883" si="45">MONTH(A2820)</f>
        <v>9</v>
      </c>
      <c r="C2820" s="5">
        <v>133.9</v>
      </c>
    </row>
    <row r="2821" spans="1:3" x14ac:dyDescent="0.35">
      <c r="A2821" s="9">
        <v>42633</v>
      </c>
      <c r="B2821">
        <f t="shared" si="45"/>
        <v>9</v>
      </c>
      <c r="C2821" s="5">
        <v>143.19999999999999</v>
      </c>
    </row>
    <row r="2822" spans="1:3" x14ac:dyDescent="0.35">
      <c r="A2822" s="9">
        <v>42634</v>
      </c>
      <c r="B2822">
        <f t="shared" si="45"/>
        <v>9</v>
      </c>
      <c r="C2822" s="5">
        <v>150.4</v>
      </c>
    </row>
    <row r="2823" spans="1:3" x14ac:dyDescent="0.35">
      <c r="A2823" s="9">
        <v>42635</v>
      </c>
      <c r="B2823">
        <f t="shared" si="45"/>
        <v>9</v>
      </c>
      <c r="C2823" s="5">
        <v>152.80000000000001</v>
      </c>
    </row>
    <row r="2824" spans="1:3" x14ac:dyDescent="0.35">
      <c r="A2824" s="9">
        <v>42636</v>
      </c>
      <c r="B2824">
        <f t="shared" si="45"/>
        <v>9</v>
      </c>
      <c r="C2824" s="5">
        <v>151.19999999999999</v>
      </c>
    </row>
    <row r="2825" spans="1:3" x14ac:dyDescent="0.35">
      <c r="A2825" s="9">
        <v>42637</v>
      </c>
      <c r="B2825">
        <f t="shared" si="45"/>
        <v>9</v>
      </c>
      <c r="C2825" s="5">
        <v>144.1</v>
      </c>
    </row>
    <row r="2826" spans="1:3" x14ac:dyDescent="0.35">
      <c r="A2826" s="9">
        <v>42638</v>
      </c>
      <c r="B2826">
        <f t="shared" si="45"/>
        <v>9</v>
      </c>
      <c r="C2826" s="5">
        <v>139.6</v>
      </c>
    </row>
    <row r="2827" spans="1:3" x14ac:dyDescent="0.35">
      <c r="A2827" s="9">
        <v>42639</v>
      </c>
      <c r="B2827">
        <f t="shared" si="45"/>
        <v>9</v>
      </c>
      <c r="C2827" s="5">
        <v>137.5</v>
      </c>
    </row>
    <row r="2828" spans="1:3" x14ac:dyDescent="0.35">
      <c r="A2828" s="9">
        <v>42640</v>
      </c>
      <c r="B2828">
        <f t="shared" si="45"/>
        <v>9</v>
      </c>
      <c r="C2828" s="5">
        <v>136.5</v>
      </c>
    </row>
    <row r="2829" spans="1:3" x14ac:dyDescent="0.35">
      <c r="A2829" s="9">
        <v>42641</v>
      </c>
      <c r="B2829">
        <f t="shared" si="45"/>
        <v>9</v>
      </c>
      <c r="C2829" s="5">
        <v>136.9</v>
      </c>
    </row>
    <row r="2830" spans="1:3" x14ac:dyDescent="0.35">
      <c r="A2830" s="9">
        <v>42642</v>
      </c>
      <c r="B2830">
        <f t="shared" si="45"/>
        <v>9</v>
      </c>
      <c r="C2830" s="5">
        <v>136.80000000000001</v>
      </c>
    </row>
    <row r="2831" spans="1:3" x14ac:dyDescent="0.35">
      <c r="A2831" s="9">
        <v>42643</v>
      </c>
      <c r="B2831">
        <f t="shared" si="45"/>
        <v>9</v>
      </c>
      <c r="C2831" s="5">
        <v>136.19999999999999</v>
      </c>
    </row>
    <row r="2832" spans="1:3" x14ac:dyDescent="0.35">
      <c r="A2832" s="9">
        <v>42644</v>
      </c>
      <c r="B2832">
        <f t="shared" si="45"/>
        <v>10</v>
      </c>
      <c r="C2832" s="5">
        <v>143.6</v>
      </c>
    </row>
    <row r="2833" spans="1:3" x14ac:dyDescent="0.35">
      <c r="A2833" s="9">
        <v>42645</v>
      </c>
      <c r="B2833">
        <f t="shared" si="45"/>
        <v>10</v>
      </c>
      <c r="C2833" s="5">
        <v>173.6</v>
      </c>
    </row>
    <row r="2834" spans="1:3" x14ac:dyDescent="0.35">
      <c r="A2834" s="9">
        <v>42646</v>
      </c>
      <c r="B2834">
        <f t="shared" si="45"/>
        <v>10</v>
      </c>
      <c r="C2834" s="5">
        <v>180.5</v>
      </c>
    </row>
    <row r="2835" spans="1:3" x14ac:dyDescent="0.35">
      <c r="A2835" s="9">
        <v>42647</v>
      </c>
      <c r="B2835">
        <f t="shared" si="45"/>
        <v>10</v>
      </c>
      <c r="C2835" s="5">
        <v>182.3</v>
      </c>
    </row>
    <row r="2836" spans="1:3" x14ac:dyDescent="0.35">
      <c r="A2836" s="9">
        <v>42648</v>
      </c>
      <c r="B2836">
        <f t="shared" si="45"/>
        <v>10</v>
      </c>
      <c r="C2836" s="5">
        <v>185.1</v>
      </c>
    </row>
    <row r="2837" spans="1:3" x14ac:dyDescent="0.35">
      <c r="A2837" s="9">
        <v>42649</v>
      </c>
      <c r="B2837">
        <f t="shared" si="45"/>
        <v>10</v>
      </c>
      <c r="C2837" s="5">
        <v>188.3</v>
      </c>
    </row>
    <row r="2838" spans="1:3" x14ac:dyDescent="0.35">
      <c r="A2838" s="9">
        <v>42650</v>
      </c>
      <c r="B2838">
        <f t="shared" si="45"/>
        <v>10</v>
      </c>
      <c r="C2838" s="5">
        <v>185.7</v>
      </c>
    </row>
    <row r="2839" spans="1:3" x14ac:dyDescent="0.35">
      <c r="A2839" s="9">
        <v>42651</v>
      </c>
      <c r="B2839">
        <f t="shared" si="45"/>
        <v>10</v>
      </c>
      <c r="C2839" s="5">
        <v>183.5</v>
      </c>
    </row>
    <row r="2840" spans="1:3" x14ac:dyDescent="0.35">
      <c r="A2840" s="9">
        <v>42652</v>
      </c>
      <c r="B2840">
        <f t="shared" si="45"/>
        <v>10</v>
      </c>
      <c r="C2840" s="5">
        <v>187.6</v>
      </c>
    </row>
    <row r="2841" spans="1:3" x14ac:dyDescent="0.35">
      <c r="A2841" s="9">
        <v>42653</v>
      </c>
      <c r="B2841">
        <f t="shared" si="45"/>
        <v>10</v>
      </c>
      <c r="C2841" s="5">
        <v>197.6</v>
      </c>
    </row>
    <row r="2842" spans="1:3" x14ac:dyDescent="0.35">
      <c r="A2842" s="9">
        <v>42654</v>
      </c>
      <c r="B2842">
        <f t="shared" si="45"/>
        <v>10</v>
      </c>
      <c r="C2842" s="5">
        <v>211.5</v>
      </c>
    </row>
    <row r="2843" spans="1:3" x14ac:dyDescent="0.35">
      <c r="A2843" s="9">
        <v>42655</v>
      </c>
      <c r="B2843">
        <f t="shared" si="45"/>
        <v>10</v>
      </c>
      <c r="C2843" s="5">
        <v>215.6</v>
      </c>
    </row>
    <row r="2844" spans="1:3" x14ac:dyDescent="0.35">
      <c r="A2844" s="9">
        <v>42656</v>
      </c>
      <c r="B2844">
        <f t="shared" si="45"/>
        <v>10</v>
      </c>
      <c r="C2844" s="5">
        <v>212</v>
      </c>
    </row>
    <row r="2845" spans="1:3" x14ac:dyDescent="0.35">
      <c r="A2845" s="9">
        <v>42657</v>
      </c>
      <c r="B2845">
        <f t="shared" si="45"/>
        <v>10</v>
      </c>
      <c r="C2845" s="5">
        <v>208.6</v>
      </c>
    </row>
    <row r="2846" spans="1:3" x14ac:dyDescent="0.35">
      <c r="A2846" s="9">
        <v>42658</v>
      </c>
      <c r="B2846">
        <f t="shared" si="45"/>
        <v>10</v>
      </c>
      <c r="C2846" s="5">
        <v>205.6</v>
      </c>
    </row>
    <row r="2847" spans="1:3" x14ac:dyDescent="0.35">
      <c r="A2847" s="9">
        <v>42659</v>
      </c>
      <c r="B2847">
        <f t="shared" si="45"/>
        <v>10</v>
      </c>
      <c r="C2847" s="5">
        <v>207.3</v>
      </c>
    </row>
    <row r="2848" spans="1:3" x14ac:dyDescent="0.35">
      <c r="A2848" s="9">
        <v>42660</v>
      </c>
      <c r="B2848">
        <f t="shared" si="45"/>
        <v>10</v>
      </c>
      <c r="C2848" s="5">
        <v>208.1</v>
      </c>
    </row>
    <row r="2849" spans="1:3" x14ac:dyDescent="0.35">
      <c r="A2849" s="9">
        <v>42661</v>
      </c>
      <c r="B2849">
        <f t="shared" si="45"/>
        <v>10</v>
      </c>
      <c r="C2849" s="5">
        <v>205.8</v>
      </c>
    </row>
    <row r="2850" spans="1:3" x14ac:dyDescent="0.35">
      <c r="A2850" s="9">
        <v>42662</v>
      </c>
      <c r="B2850">
        <f t="shared" si="45"/>
        <v>10</v>
      </c>
      <c r="C2850" s="5">
        <v>208.9</v>
      </c>
    </row>
    <row r="2851" spans="1:3" x14ac:dyDescent="0.35">
      <c r="A2851" s="9">
        <v>42663</v>
      </c>
      <c r="B2851">
        <f t="shared" si="45"/>
        <v>10</v>
      </c>
      <c r="C2851" s="5">
        <v>216.2</v>
      </c>
    </row>
    <row r="2852" spans="1:3" x14ac:dyDescent="0.35">
      <c r="A2852" s="9">
        <v>42664</v>
      </c>
      <c r="B2852">
        <f t="shared" si="45"/>
        <v>10</v>
      </c>
      <c r="C2852" s="5">
        <v>216.4</v>
      </c>
    </row>
    <row r="2853" spans="1:3" x14ac:dyDescent="0.35">
      <c r="A2853" s="9">
        <v>42665</v>
      </c>
      <c r="B2853">
        <f t="shared" si="45"/>
        <v>10</v>
      </c>
      <c r="C2853" s="5">
        <v>207.4</v>
      </c>
    </row>
    <row r="2854" spans="1:3" x14ac:dyDescent="0.35">
      <c r="A2854" s="9">
        <v>42666</v>
      </c>
      <c r="B2854">
        <f t="shared" si="45"/>
        <v>10</v>
      </c>
      <c r="C2854" s="5">
        <v>188.7</v>
      </c>
    </row>
    <row r="2855" spans="1:3" x14ac:dyDescent="0.35">
      <c r="A2855" s="9">
        <v>42667</v>
      </c>
      <c r="B2855">
        <f t="shared" si="45"/>
        <v>10</v>
      </c>
      <c r="C2855" s="5">
        <v>167.5</v>
      </c>
    </row>
    <row r="2856" spans="1:3" x14ac:dyDescent="0.35">
      <c r="A2856" s="9">
        <v>42668</v>
      </c>
      <c r="B2856">
        <f t="shared" si="45"/>
        <v>10</v>
      </c>
      <c r="C2856" s="5">
        <v>156.1</v>
      </c>
    </row>
    <row r="2857" spans="1:3" x14ac:dyDescent="0.35">
      <c r="A2857" s="9">
        <v>42669</v>
      </c>
      <c r="B2857">
        <f t="shared" si="45"/>
        <v>10</v>
      </c>
      <c r="C2857" s="5">
        <v>158</v>
      </c>
    </row>
    <row r="2858" spans="1:3" x14ac:dyDescent="0.35">
      <c r="A2858" s="9">
        <v>42670</v>
      </c>
      <c r="B2858">
        <f t="shared" si="45"/>
        <v>10</v>
      </c>
      <c r="C2858" s="5">
        <v>171.4</v>
      </c>
    </row>
    <row r="2859" spans="1:3" x14ac:dyDescent="0.35">
      <c r="A2859" s="9">
        <v>42671</v>
      </c>
      <c r="B2859">
        <f t="shared" si="45"/>
        <v>10</v>
      </c>
      <c r="C2859" s="5">
        <v>184.1</v>
      </c>
    </row>
    <row r="2860" spans="1:3" x14ac:dyDescent="0.35">
      <c r="A2860" s="9">
        <v>42672</v>
      </c>
      <c r="B2860">
        <f t="shared" si="45"/>
        <v>10</v>
      </c>
      <c r="C2860" s="5">
        <v>193.7</v>
      </c>
    </row>
    <row r="2861" spans="1:3" x14ac:dyDescent="0.35">
      <c r="A2861" s="9">
        <v>42673</v>
      </c>
      <c r="B2861">
        <f t="shared" si="45"/>
        <v>10</v>
      </c>
      <c r="C2861" s="5">
        <v>190.3</v>
      </c>
    </row>
    <row r="2862" spans="1:3" x14ac:dyDescent="0.35">
      <c r="A2862" s="9">
        <v>42674</v>
      </c>
      <c r="B2862">
        <f t="shared" si="45"/>
        <v>10</v>
      </c>
      <c r="C2862" s="5">
        <v>179.3</v>
      </c>
    </row>
    <row r="2863" spans="1:3" x14ac:dyDescent="0.35">
      <c r="A2863" s="9">
        <v>42675</v>
      </c>
      <c r="B2863">
        <f t="shared" si="45"/>
        <v>11</v>
      </c>
      <c r="C2863" s="5">
        <v>170.7</v>
      </c>
    </row>
    <row r="2864" spans="1:3" x14ac:dyDescent="0.35">
      <c r="A2864" s="9">
        <v>42676</v>
      </c>
      <c r="B2864">
        <f t="shared" si="45"/>
        <v>11</v>
      </c>
      <c r="C2864" s="5">
        <v>186.8</v>
      </c>
    </row>
    <row r="2865" spans="1:3" x14ac:dyDescent="0.35">
      <c r="A2865" s="9">
        <v>42677</v>
      </c>
      <c r="B2865">
        <f t="shared" si="45"/>
        <v>11</v>
      </c>
      <c r="C2865" s="5">
        <v>204.8</v>
      </c>
    </row>
    <row r="2866" spans="1:3" x14ac:dyDescent="0.35">
      <c r="A2866" s="9">
        <v>42678</v>
      </c>
      <c r="B2866">
        <f t="shared" si="45"/>
        <v>11</v>
      </c>
      <c r="C2866" s="5">
        <v>220.8</v>
      </c>
    </row>
    <row r="2867" spans="1:3" x14ac:dyDescent="0.35">
      <c r="A2867" s="9">
        <v>42679</v>
      </c>
      <c r="B2867">
        <f t="shared" si="45"/>
        <v>11</v>
      </c>
      <c r="C2867" s="5">
        <v>217.2</v>
      </c>
    </row>
    <row r="2868" spans="1:3" x14ac:dyDescent="0.35">
      <c r="A2868" s="9">
        <v>42680</v>
      </c>
      <c r="B2868">
        <f t="shared" si="45"/>
        <v>11</v>
      </c>
      <c r="C2868" s="5">
        <v>209.6</v>
      </c>
    </row>
    <row r="2869" spans="1:3" x14ac:dyDescent="0.35">
      <c r="A2869" s="9">
        <v>42681</v>
      </c>
      <c r="B2869">
        <f t="shared" si="45"/>
        <v>11</v>
      </c>
      <c r="C2869" s="5">
        <v>207.3</v>
      </c>
    </row>
    <row r="2870" spans="1:3" x14ac:dyDescent="0.35">
      <c r="A2870" s="9">
        <v>42682</v>
      </c>
      <c r="B2870">
        <f t="shared" si="45"/>
        <v>11</v>
      </c>
      <c r="C2870" s="5">
        <v>210.5</v>
      </c>
    </row>
    <row r="2871" spans="1:3" x14ac:dyDescent="0.35">
      <c r="A2871" s="9">
        <v>42683</v>
      </c>
      <c r="B2871">
        <f t="shared" si="45"/>
        <v>11</v>
      </c>
      <c r="C2871" s="5">
        <v>212.3</v>
      </c>
    </row>
    <row r="2872" spans="1:3" x14ac:dyDescent="0.35">
      <c r="A2872" s="9">
        <v>42684</v>
      </c>
      <c r="B2872">
        <f t="shared" si="45"/>
        <v>11</v>
      </c>
      <c r="C2872" s="5">
        <v>211.1</v>
      </c>
    </row>
    <row r="2873" spans="1:3" x14ac:dyDescent="0.35">
      <c r="A2873" s="9">
        <v>42685</v>
      </c>
      <c r="B2873">
        <f t="shared" si="45"/>
        <v>11</v>
      </c>
      <c r="C2873" s="5">
        <v>204.5</v>
      </c>
    </row>
    <row r="2874" spans="1:3" x14ac:dyDescent="0.35">
      <c r="A2874" s="9">
        <v>42686</v>
      </c>
      <c r="B2874">
        <f t="shared" si="45"/>
        <v>11</v>
      </c>
      <c r="C2874" s="5">
        <v>198.2</v>
      </c>
    </row>
    <row r="2875" spans="1:3" x14ac:dyDescent="0.35">
      <c r="A2875" s="9">
        <v>42687</v>
      </c>
      <c r="B2875">
        <f t="shared" si="45"/>
        <v>11</v>
      </c>
      <c r="C2875" s="5">
        <v>191.3</v>
      </c>
    </row>
    <row r="2876" spans="1:3" x14ac:dyDescent="0.35">
      <c r="A2876" s="9">
        <v>42688</v>
      </c>
      <c r="B2876">
        <f t="shared" si="45"/>
        <v>11</v>
      </c>
      <c r="C2876" s="5">
        <v>185.5</v>
      </c>
    </row>
    <row r="2877" spans="1:3" x14ac:dyDescent="0.35">
      <c r="A2877" s="9">
        <v>42689</v>
      </c>
      <c r="B2877">
        <f t="shared" si="45"/>
        <v>11</v>
      </c>
      <c r="C2877" s="5">
        <v>190.2</v>
      </c>
    </row>
    <row r="2878" spans="1:3" x14ac:dyDescent="0.35">
      <c r="A2878" s="9">
        <v>42690</v>
      </c>
      <c r="B2878">
        <f t="shared" si="45"/>
        <v>11</v>
      </c>
      <c r="C2878" s="5">
        <v>207.9</v>
      </c>
    </row>
    <row r="2879" spans="1:3" x14ac:dyDescent="0.35">
      <c r="A2879" s="9">
        <v>42691</v>
      </c>
      <c r="B2879">
        <f t="shared" si="45"/>
        <v>11</v>
      </c>
      <c r="C2879" s="5">
        <v>234.9</v>
      </c>
    </row>
    <row r="2880" spans="1:3" x14ac:dyDescent="0.35">
      <c r="A2880" s="9">
        <v>42692</v>
      </c>
      <c r="B2880">
        <f t="shared" si="45"/>
        <v>11</v>
      </c>
      <c r="C2880" s="5">
        <v>250.8</v>
      </c>
    </row>
    <row r="2881" spans="1:3" x14ac:dyDescent="0.35">
      <c r="A2881" s="9">
        <v>42693</v>
      </c>
      <c r="B2881">
        <f t="shared" si="45"/>
        <v>11</v>
      </c>
      <c r="C2881" s="5">
        <v>244.2</v>
      </c>
    </row>
    <row r="2882" spans="1:3" x14ac:dyDescent="0.35">
      <c r="A2882" s="9">
        <v>42694</v>
      </c>
      <c r="B2882">
        <f t="shared" si="45"/>
        <v>11</v>
      </c>
      <c r="C2882" s="5">
        <v>226.1</v>
      </c>
    </row>
    <row r="2883" spans="1:3" x14ac:dyDescent="0.35">
      <c r="A2883" s="9">
        <v>42695</v>
      </c>
      <c r="B2883">
        <f t="shared" si="45"/>
        <v>11</v>
      </c>
      <c r="C2883" s="5">
        <v>218</v>
      </c>
    </row>
    <row r="2884" spans="1:3" x14ac:dyDescent="0.35">
      <c r="A2884" s="9">
        <v>42696</v>
      </c>
      <c r="B2884">
        <f t="shared" ref="B2884:B2947" si="46">MONTH(A2884)</f>
        <v>11</v>
      </c>
      <c r="C2884" s="5">
        <v>232.1</v>
      </c>
    </row>
    <row r="2885" spans="1:3" x14ac:dyDescent="0.35">
      <c r="A2885" s="9">
        <v>42697</v>
      </c>
      <c r="B2885">
        <f t="shared" si="46"/>
        <v>11</v>
      </c>
      <c r="C2885" s="5">
        <v>253.1</v>
      </c>
    </row>
    <row r="2886" spans="1:3" x14ac:dyDescent="0.35">
      <c r="A2886" s="9">
        <v>42698</v>
      </c>
      <c r="B2886">
        <f t="shared" si="46"/>
        <v>11</v>
      </c>
      <c r="C2886" s="5">
        <v>259.8</v>
      </c>
    </row>
    <row r="2887" spans="1:3" x14ac:dyDescent="0.35">
      <c r="A2887" s="9">
        <v>42699</v>
      </c>
      <c r="B2887">
        <f t="shared" si="46"/>
        <v>11</v>
      </c>
      <c r="C2887" s="5">
        <v>248.7</v>
      </c>
    </row>
    <row r="2888" spans="1:3" x14ac:dyDescent="0.35">
      <c r="A2888" s="9">
        <v>42700</v>
      </c>
      <c r="B2888">
        <f t="shared" si="46"/>
        <v>11</v>
      </c>
      <c r="C2888" s="5">
        <v>232.1</v>
      </c>
    </row>
    <row r="2889" spans="1:3" x14ac:dyDescent="0.35">
      <c r="A2889" s="9">
        <v>42701</v>
      </c>
      <c r="B2889">
        <f t="shared" si="46"/>
        <v>11</v>
      </c>
      <c r="C2889" s="5">
        <v>221</v>
      </c>
    </row>
    <row r="2890" spans="1:3" x14ac:dyDescent="0.35">
      <c r="A2890" s="9">
        <v>42702</v>
      </c>
      <c r="B2890">
        <f t="shared" si="46"/>
        <v>11</v>
      </c>
      <c r="C2890" s="5">
        <v>215.7</v>
      </c>
    </row>
    <row r="2891" spans="1:3" x14ac:dyDescent="0.35">
      <c r="A2891" s="9">
        <v>42703</v>
      </c>
      <c r="B2891">
        <f t="shared" si="46"/>
        <v>11</v>
      </c>
      <c r="C2891" s="5">
        <v>217.3</v>
      </c>
    </row>
    <row r="2892" spans="1:3" x14ac:dyDescent="0.35">
      <c r="A2892" s="9">
        <v>42704</v>
      </c>
      <c r="B2892">
        <f t="shared" si="46"/>
        <v>11</v>
      </c>
      <c r="C2892" s="5">
        <v>223.7</v>
      </c>
    </row>
    <row r="2893" spans="1:3" x14ac:dyDescent="0.35">
      <c r="A2893" s="9">
        <v>42705</v>
      </c>
      <c r="B2893">
        <f t="shared" si="46"/>
        <v>12</v>
      </c>
      <c r="C2893" s="5">
        <v>233.5</v>
      </c>
    </row>
    <row r="2894" spans="1:3" x14ac:dyDescent="0.35">
      <c r="A2894" s="9">
        <v>42706</v>
      </c>
      <c r="B2894">
        <f t="shared" si="46"/>
        <v>12</v>
      </c>
      <c r="C2894" s="5">
        <v>253.8</v>
      </c>
    </row>
    <row r="2895" spans="1:3" x14ac:dyDescent="0.35">
      <c r="A2895" s="9">
        <v>42707</v>
      </c>
      <c r="B2895">
        <f t="shared" si="46"/>
        <v>12</v>
      </c>
      <c r="C2895" s="5">
        <v>256.5</v>
      </c>
    </row>
    <row r="2896" spans="1:3" x14ac:dyDescent="0.35">
      <c r="A2896" s="9">
        <v>42708</v>
      </c>
      <c r="B2896">
        <f t="shared" si="46"/>
        <v>12</v>
      </c>
      <c r="C2896" s="5">
        <v>246.1</v>
      </c>
    </row>
    <row r="2897" spans="1:3" x14ac:dyDescent="0.35">
      <c r="A2897" s="9">
        <v>42709</v>
      </c>
      <c r="B2897">
        <f t="shared" si="46"/>
        <v>12</v>
      </c>
      <c r="C2897" s="5">
        <v>236</v>
      </c>
    </row>
    <row r="2898" spans="1:3" x14ac:dyDescent="0.35">
      <c r="A2898" s="9">
        <v>42710</v>
      </c>
      <c r="B2898">
        <f t="shared" si="46"/>
        <v>12</v>
      </c>
      <c r="C2898" s="5">
        <v>231.3</v>
      </c>
    </row>
    <row r="2899" spans="1:3" x14ac:dyDescent="0.35">
      <c r="A2899" s="9">
        <v>42711</v>
      </c>
      <c r="B2899">
        <f t="shared" si="46"/>
        <v>12</v>
      </c>
      <c r="C2899" s="5">
        <v>230.7</v>
      </c>
    </row>
    <row r="2900" spans="1:3" x14ac:dyDescent="0.35">
      <c r="A2900" s="9">
        <v>42712</v>
      </c>
      <c r="B2900">
        <f t="shared" si="46"/>
        <v>12</v>
      </c>
      <c r="C2900" s="5">
        <v>223.6</v>
      </c>
    </row>
    <row r="2901" spans="1:3" x14ac:dyDescent="0.35">
      <c r="A2901" s="9">
        <v>42713</v>
      </c>
      <c r="B2901">
        <f t="shared" si="46"/>
        <v>12</v>
      </c>
      <c r="C2901" s="5">
        <v>219.1</v>
      </c>
    </row>
    <row r="2902" spans="1:3" x14ac:dyDescent="0.35">
      <c r="A2902" s="9">
        <v>42714</v>
      </c>
      <c r="B2902">
        <f t="shared" si="46"/>
        <v>12</v>
      </c>
      <c r="C2902" s="5">
        <v>221.3</v>
      </c>
    </row>
    <row r="2903" spans="1:3" x14ac:dyDescent="0.35">
      <c r="A2903" s="9">
        <v>42715</v>
      </c>
      <c r="B2903">
        <f t="shared" si="46"/>
        <v>12</v>
      </c>
      <c r="C2903" s="5">
        <v>220.3</v>
      </c>
    </row>
    <row r="2904" spans="1:3" x14ac:dyDescent="0.35">
      <c r="A2904" s="9">
        <v>42716</v>
      </c>
      <c r="B2904">
        <f t="shared" si="46"/>
        <v>12</v>
      </c>
      <c r="C2904" s="5">
        <v>213.9</v>
      </c>
    </row>
    <row r="2905" spans="1:3" x14ac:dyDescent="0.35">
      <c r="A2905" s="9">
        <v>42717</v>
      </c>
      <c r="B2905">
        <f t="shared" si="46"/>
        <v>12</v>
      </c>
      <c r="C2905" s="5">
        <v>214</v>
      </c>
    </row>
    <row r="2906" spans="1:3" x14ac:dyDescent="0.35">
      <c r="A2906" s="9">
        <v>42718</v>
      </c>
      <c r="B2906">
        <f t="shared" si="46"/>
        <v>12</v>
      </c>
      <c r="C2906" s="5">
        <v>225.3</v>
      </c>
    </row>
    <row r="2907" spans="1:3" x14ac:dyDescent="0.35">
      <c r="A2907" s="9">
        <v>42719</v>
      </c>
      <c r="B2907">
        <f t="shared" si="46"/>
        <v>12</v>
      </c>
      <c r="C2907" s="5">
        <v>235.9</v>
      </c>
    </row>
    <row r="2908" spans="1:3" x14ac:dyDescent="0.35">
      <c r="A2908" s="9">
        <v>42720</v>
      </c>
      <c r="B2908">
        <f t="shared" si="46"/>
        <v>12</v>
      </c>
      <c r="C2908" s="5">
        <v>233.4</v>
      </c>
    </row>
    <row r="2909" spans="1:3" x14ac:dyDescent="0.35">
      <c r="A2909" s="9">
        <v>42721</v>
      </c>
      <c r="B2909">
        <f t="shared" si="46"/>
        <v>12</v>
      </c>
      <c r="C2909" s="5">
        <v>222.2</v>
      </c>
    </row>
    <row r="2910" spans="1:3" x14ac:dyDescent="0.35">
      <c r="A2910" s="9">
        <v>42722</v>
      </c>
      <c r="B2910">
        <f t="shared" si="46"/>
        <v>12</v>
      </c>
      <c r="C2910" s="5">
        <v>213</v>
      </c>
    </row>
    <row r="2911" spans="1:3" x14ac:dyDescent="0.35">
      <c r="A2911" s="9">
        <v>42723</v>
      </c>
      <c r="B2911">
        <f t="shared" si="46"/>
        <v>12</v>
      </c>
      <c r="C2911" s="5">
        <v>210.7</v>
      </c>
    </row>
    <row r="2912" spans="1:3" x14ac:dyDescent="0.35">
      <c r="A2912" s="9">
        <v>42724</v>
      </c>
      <c r="B2912">
        <f t="shared" si="46"/>
        <v>12</v>
      </c>
      <c r="C2912" s="5">
        <v>216.9</v>
      </c>
    </row>
    <row r="2913" spans="1:3" x14ac:dyDescent="0.35">
      <c r="A2913" s="9">
        <v>42725</v>
      </c>
      <c r="B2913">
        <f t="shared" si="46"/>
        <v>12</v>
      </c>
      <c r="C2913" s="5">
        <v>225.7</v>
      </c>
    </row>
    <row r="2914" spans="1:3" x14ac:dyDescent="0.35">
      <c r="A2914" s="9">
        <v>42726</v>
      </c>
      <c r="B2914">
        <f t="shared" si="46"/>
        <v>12</v>
      </c>
      <c r="C2914" s="5">
        <v>239.2</v>
      </c>
    </row>
    <row r="2915" spans="1:3" x14ac:dyDescent="0.35">
      <c r="A2915" s="9">
        <v>42727</v>
      </c>
      <c r="B2915">
        <f t="shared" si="46"/>
        <v>12</v>
      </c>
      <c r="C2915" s="5">
        <v>247.9</v>
      </c>
    </row>
    <row r="2916" spans="1:3" x14ac:dyDescent="0.35">
      <c r="A2916" s="9">
        <v>42728</v>
      </c>
      <c r="B2916">
        <f t="shared" si="46"/>
        <v>12</v>
      </c>
      <c r="C2916" s="5">
        <v>255.7</v>
      </c>
    </row>
    <row r="2917" spans="1:3" x14ac:dyDescent="0.35">
      <c r="A2917" s="9">
        <v>42729</v>
      </c>
      <c r="B2917">
        <f t="shared" si="46"/>
        <v>12</v>
      </c>
      <c r="C2917" s="5">
        <v>260.39999999999998</v>
      </c>
    </row>
    <row r="2918" spans="1:3" x14ac:dyDescent="0.35">
      <c r="A2918" s="9">
        <v>42730</v>
      </c>
      <c r="B2918">
        <f t="shared" si="46"/>
        <v>12</v>
      </c>
      <c r="C2918" s="5">
        <v>265.10000000000002</v>
      </c>
    </row>
    <row r="2919" spans="1:3" x14ac:dyDescent="0.35">
      <c r="A2919" s="9">
        <v>42731</v>
      </c>
      <c r="B2919">
        <f t="shared" si="46"/>
        <v>12</v>
      </c>
      <c r="C2919" s="5">
        <v>270.10000000000002</v>
      </c>
    </row>
    <row r="2920" spans="1:3" x14ac:dyDescent="0.35">
      <c r="A2920" s="9">
        <v>42732</v>
      </c>
      <c r="B2920">
        <f t="shared" si="46"/>
        <v>12</v>
      </c>
      <c r="C2920" s="5">
        <v>276.60000000000002</v>
      </c>
    </row>
    <row r="2921" spans="1:3" x14ac:dyDescent="0.35">
      <c r="A2921" s="9">
        <v>42733</v>
      </c>
      <c r="B2921">
        <f t="shared" si="46"/>
        <v>12</v>
      </c>
      <c r="C2921" s="5">
        <v>281.5</v>
      </c>
    </row>
    <row r="2922" spans="1:3" x14ac:dyDescent="0.35">
      <c r="A2922" s="9">
        <v>42734</v>
      </c>
      <c r="B2922">
        <f t="shared" si="46"/>
        <v>12</v>
      </c>
      <c r="C2922" s="5">
        <v>275.60000000000002</v>
      </c>
    </row>
    <row r="2923" spans="1:3" x14ac:dyDescent="0.35">
      <c r="A2923" s="9">
        <v>42735</v>
      </c>
      <c r="B2923">
        <f t="shared" si="46"/>
        <v>12</v>
      </c>
      <c r="C2923" s="5">
        <v>266.5</v>
      </c>
    </row>
    <row r="2924" spans="1:3" x14ac:dyDescent="0.35">
      <c r="A2924" s="9">
        <v>42736</v>
      </c>
      <c r="B2924">
        <f t="shared" si="46"/>
        <v>1</v>
      </c>
      <c r="C2924" s="5">
        <v>255.3</v>
      </c>
    </row>
    <row r="2925" spans="1:3" x14ac:dyDescent="0.35">
      <c r="A2925" s="9">
        <v>42737</v>
      </c>
      <c r="B2925">
        <f t="shared" si="46"/>
        <v>1</v>
      </c>
      <c r="C2925" s="5">
        <v>236.6</v>
      </c>
    </row>
    <row r="2926" spans="1:3" x14ac:dyDescent="0.35">
      <c r="A2926" s="9">
        <v>42738</v>
      </c>
      <c r="B2926">
        <f t="shared" si="46"/>
        <v>1</v>
      </c>
      <c r="C2926" s="5">
        <v>216.2</v>
      </c>
    </row>
    <row r="2927" spans="1:3" x14ac:dyDescent="0.35">
      <c r="A2927" s="9">
        <v>42739</v>
      </c>
      <c r="B2927">
        <f t="shared" si="46"/>
        <v>1</v>
      </c>
      <c r="C2927" s="5">
        <v>199.8</v>
      </c>
    </row>
    <row r="2928" spans="1:3" x14ac:dyDescent="0.35">
      <c r="A2928" s="9">
        <v>42740</v>
      </c>
      <c r="B2928">
        <f t="shared" si="46"/>
        <v>1</v>
      </c>
      <c r="C2928" s="5">
        <v>198</v>
      </c>
    </row>
    <row r="2929" spans="1:3" x14ac:dyDescent="0.35">
      <c r="A2929" s="9">
        <v>42741</v>
      </c>
      <c r="B2929">
        <f t="shared" si="46"/>
        <v>1</v>
      </c>
      <c r="C2929" s="5">
        <v>211.4</v>
      </c>
    </row>
    <row r="2930" spans="1:3" x14ac:dyDescent="0.35">
      <c r="A2930" s="9">
        <v>42742</v>
      </c>
      <c r="B2930">
        <f t="shared" si="46"/>
        <v>1</v>
      </c>
      <c r="C2930" s="5">
        <v>227.2</v>
      </c>
    </row>
    <row r="2931" spans="1:3" x14ac:dyDescent="0.35">
      <c r="A2931" s="9">
        <v>42743</v>
      </c>
      <c r="B2931">
        <f t="shared" si="46"/>
        <v>1</v>
      </c>
      <c r="C2931" s="5">
        <v>233.5</v>
      </c>
    </row>
    <row r="2932" spans="1:3" x14ac:dyDescent="0.35">
      <c r="A2932" s="9">
        <v>42744</v>
      </c>
      <c r="B2932">
        <f t="shared" si="46"/>
        <v>1</v>
      </c>
      <c r="C2932" s="5">
        <v>227.4</v>
      </c>
    </row>
    <row r="2933" spans="1:3" x14ac:dyDescent="0.35">
      <c r="A2933" s="9">
        <v>42745</v>
      </c>
      <c r="B2933">
        <f t="shared" si="46"/>
        <v>1</v>
      </c>
      <c r="C2933" s="5">
        <v>209.3</v>
      </c>
    </row>
    <row r="2934" spans="1:3" x14ac:dyDescent="0.35">
      <c r="A2934" s="9">
        <v>42746</v>
      </c>
      <c r="B2934">
        <f t="shared" si="46"/>
        <v>1</v>
      </c>
      <c r="C2934" s="5">
        <v>190.7</v>
      </c>
    </row>
    <row r="2935" spans="1:3" x14ac:dyDescent="0.35">
      <c r="A2935" s="9">
        <v>42747</v>
      </c>
      <c r="B2935">
        <f t="shared" si="46"/>
        <v>1</v>
      </c>
      <c r="C2935" s="5">
        <v>179.2</v>
      </c>
    </row>
    <row r="2936" spans="1:3" x14ac:dyDescent="0.35">
      <c r="A2936" s="9">
        <v>42748</v>
      </c>
      <c r="B2936">
        <f t="shared" si="46"/>
        <v>1</v>
      </c>
      <c r="C2936" s="5">
        <v>177.9</v>
      </c>
    </row>
    <row r="2937" spans="1:3" x14ac:dyDescent="0.35">
      <c r="A2937" s="9">
        <v>42749</v>
      </c>
      <c r="B2937">
        <f t="shared" si="46"/>
        <v>1</v>
      </c>
      <c r="C2937" s="5">
        <v>183.8</v>
      </c>
    </row>
    <row r="2938" spans="1:3" x14ac:dyDescent="0.35">
      <c r="A2938" s="9">
        <v>42750</v>
      </c>
      <c r="B2938">
        <f t="shared" si="46"/>
        <v>1</v>
      </c>
      <c r="C2938" s="5">
        <v>185.1</v>
      </c>
    </row>
    <row r="2939" spans="1:3" x14ac:dyDescent="0.35">
      <c r="A2939" s="9">
        <v>42751</v>
      </c>
      <c r="B2939">
        <f t="shared" si="46"/>
        <v>1</v>
      </c>
      <c r="C2939" s="5">
        <v>179.3</v>
      </c>
    </row>
    <row r="2940" spans="1:3" x14ac:dyDescent="0.35">
      <c r="A2940" s="9">
        <v>42752</v>
      </c>
      <c r="B2940">
        <f t="shared" si="46"/>
        <v>1</v>
      </c>
      <c r="C2940" s="5">
        <v>175</v>
      </c>
    </row>
    <row r="2941" spans="1:3" x14ac:dyDescent="0.35">
      <c r="A2941" s="9">
        <v>42753</v>
      </c>
      <c r="B2941">
        <f t="shared" si="46"/>
        <v>1</v>
      </c>
      <c r="C2941" s="5">
        <v>178.1</v>
      </c>
    </row>
    <row r="2942" spans="1:3" x14ac:dyDescent="0.35">
      <c r="A2942" s="9">
        <v>42754</v>
      </c>
      <c r="B2942">
        <f t="shared" si="46"/>
        <v>1</v>
      </c>
      <c r="C2942" s="5">
        <v>187.4</v>
      </c>
    </row>
    <row r="2943" spans="1:3" x14ac:dyDescent="0.35">
      <c r="A2943" s="9">
        <v>42755</v>
      </c>
      <c r="B2943">
        <f t="shared" si="46"/>
        <v>1</v>
      </c>
      <c r="C2943" s="5">
        <v>198.1</v>
      </c>
    </row>
    <row r="2944" spans="1:3" x14ac:dyDescent="0.35">
      <c r="A2944" s="9">
        <v>42756</v>
      </c>
      <c r="B2944">
        <f t="shared" si="46"/>
        <v>1</v>
      </c>
      <c r="C2944" s="5">
        <v>207</v>
      </c>
    </row>
    <row r="2945" spans="1:3" x14ac:dyDescent="0.35">
      <c r="A2945" s="9">
        <v>42757</v>
      </c>
      <c r="B2945">
        <f t="shared" si="46"/>
        <v>1</v>
      </c>
      <c r="C2945" s="5">
        <v>212.8</v>
      </c>
    </row>
    <row r="2946" spans="1:3" x14ac:dyDescent="0.35">
      <c r="A2946" s="9">
        <v>42758</v>
      </c>
      <c r="B2946">
        <f t="shared" si="46"/>
        <v>1</v>
      </c>
      <c r="C2946" s="5">
        <v>216.5</v>
      </c>
    </row>
    <row r="2947" spans="1:3" x14ac:dyDescent="0.35">
      <c r="A2947" s="9">
        <v>42759</v>
      </c>
      <c r="B2947">
        <f t="shared" si="46"/>
        <v>1</v>
      </c>
      <c r="C2947" s="5">
        <v>222.4</v>
      </c>
    </row>
    <row r="2948" spans="1:3" x14ac:dyDescent="0.35">
      <c r="A2948" s="9">
        <v>42760</v>
      </c>
      <c r="B2948">
        <f t="shared" ref="B2948:B3011" si="47">MONTH(A2948)</f>
        <v>1</v>
      </c>
      <c r="C2948" s="5">
        <v>223.2</v>
      </c>
    </row>
    <row r="2949" spans="1:3" x14ac:dyDescent="0.35">
      <c r="A2949" s="9">
        <v>42761</v>
      </c>
      <c r="B2949">
        <f t="shared" si="47"/>
        <v>1</v>
      </c>
      <c r="C2949" s="5">
        <v>221.2</v>
      </c>
    </row>
    <row r="2950" spans="1:3" x14ac:dyDescent="0.35">
      <c r="A2950" s="9">
        <v>42762</v>
      </c>
      <c r="B2950">
        <f t="shared" si="47"/>
        <v>1</v>
      </c>
      <c r="C2950" s="5">
        <v>216.9</v>
      </c>
    </row>
    <row r="2951" spans="1:3" x14ac:dyDescent="0.35">
      <c r="A2951" s="9">
        <v>42763</v>
      </c>
      <c r="B2951">
        <f t="shared" si="47"/>
        <v>1</v>
      </c>
      <c r="C2951" s="5">
        <v>215.1</v>
      </c>
    </row>
    <row r="2952" spans="1:3" x14ac:dyDescent="0.35">
      <c r="A2952" s="9">
        <v>42764</v>
      </c>
      <c r="B2952">
        <f t="shared" si="47"/>
        <v>1</v>
      </c>
      <c r="C2952" s="5">
        <v>213.2</v>
      </c>
    </row>
    <row r="2953" spans="1:3" x14ac:dyDescent="0.35">
      <c r="A2953" s="9">
        <v>42765</v>
      </c>
      <c r="B2953">
        <f t="shared" si="47"/>
        <v>1</v>
      </c>
      <c r="C2953" s="5">
        <v>212.9</v>
      </c>
    </row>
    <row r="2954" spans="1:3" x14ac:dyDescent="0.35">
      <c r="A2954" s="9">
        <v>42766</v>
      </c>
      <c r="B2954">
        <f t="shared" si="47"/>
        <v>1</v>
      </c>
      <c r="C2954" s="5">
        <v>214.5</v>
      </c>
    </row>
    <row r="2955" spans="1:3" x14ac:dyDescent="0.35">
      <c r="A2955" s="9">
        <v>42767</v>
      </c>
      <c r="B2955">
        <f t="shared" si="47"/>
        <v>2</v>
      </c>
      <c r="C2955" s="5">
        <v>212.6</v>
      </c>
    </row>
    <row r="2956" spans="1:3" x14ac:dyDescent="0.35">
      <c r="A2956" s="9">
        <v>42768</v>
      </c>
      <c r="B2956">
        <f t="shared" si="47"/>
        <v>2</v>
      </c>
      <c r="C2956" s="5">
        <v>190.1</v>
      </c>
    </row>
    <row r="2957" spans="1:3" x14ac:dyDescent="0.35">
      <c r="A2957" s="9">
        <v>42769</v>
      </c>
      <c r="B2957">
        <f t="shared" si="47"/>
        <v>2</v>
      </c>
      <c r="C2957" s="5">
        <v>188.8</v>
      </c>
    </row>
    <row r="2958" spans="1:3" x14ac:dyDescent="0.35">
      <c r="A2958" s="9">
        <v>42770</v>
      </c>
      <c r="B2958">
        <f t="shared" si="47"/>
        <v>2</v>
      </c>
      <c r="C2958" s="5">
        <v>186.4</v>
      </c>
    </row>
    <row r="2959" spans="1:3" x14ac:dyDescent="0.35">
      <c r="A2959" s="9">
        <v>42771</v>
      </c>
      <c r="B2959">
        <f t="shared" si="47"/>
        <v>2</v>
      </c>
      <c r="C2959" s="5">
        <v>177</v>
      </c>
    </row>
    <row r="2960" spans="1:3" x14ac:dyDescent="0.35">
      <c r="A2960" s="9">
        <v>42772</v>
      </c>
      <c r="B2960">
        <f t="shared" si="47"/>
        <v>2</v>
      </c>
      <c r="C2960" s="5">
        <v>167.1</v>
      </c>
    </row>
    <row r="2961" spans="1:3" x14ac:dyDescent="0.35">
      <c r="A2961" s="9">
        <v>42773</v>
      </c>
      <c r="B2961">
        <f t="shared" si="47"/>
        <v>2</v>
      </c>
      <c r="C2961" s="5">
        <v>158.1</v>
      </c>
    </row>
    <row r="2962" spans="1:3" x14ac:dyDescent="0.35">
      <c r="A2962" s="9">
        <v>42774</v>
      </c>
      <c r="B2962">
        <f t="shared" si="47"/>
        <v>2</v>
      </c>
      <c r="C2962" s="5">
        <v>152.80000000000001</v>
      </c>
    </row>
    <row r="2963" spans="1:3" x14ac:dyDescent="0.35">
      <c r="A2963" s="9">
        <v>42775</v>
      </c>
      <c r="B2963">
        <f t="shared" si="47"/>
        <v>2</v>
      </c>
      <c r="C2963" s="5">
        <v>154</v>
      </c>
    </row>
    <row r="2964" spans="1:3" x14ac:dyDescent="0.35">
      <c r="A2964" s="9">
        <v>42776</v>
      </c>
      <c r="B2964">
        <f t="shared" si="47"/>
        <v>2</v>
      </c>
      <c r="C2964" s="5">
        <v>161.30000000000001</v>
      </c>
    </row>
    <row r="2965" spans="1:3" x14ac:dyDescent="0.35">
      <c r="A2965" s="9">
        <v>42777</v>
      </c>
      <c r="B2965">
        <f t="shared" si="47"/>
        <v>2</v>
      </c>
      <c r="C2965" s="5">
        <v>168.7</v>
      </c>
    </row>
    <row r="2966" spans="1:3" x14ac:dyDescent="0.35">
      <c r="A2966" s="9">
        <v>42778</v>
      </c>
      <c r="B2966">
        <f t="shared" si="47"/>
        <v>2</v>
      </c>
      <c r="C2966" s="5">
        <v>178</v>
      </c>
    </row>
    <row r="2967" spans="1:3" x14ac:dyDescent="0.35">
      <c r="A2967" s="9">
        <v>42779</v>
      </c>
      <c r="B2967">
        <f t="shared" si="47"/>
        <v>2</v>
      </c>
      <c r="C2967" s="5">
        <v>179.9</v>
      </c>
    </row>
    <row r="2968" spans="1:3" x14ac:dyDescent="0.35">
      <c r="A2968" s="9">
        <v>42780</v>
      </c>
      <c r="B2968">
        <f t="shared" si="47"/>
        <v>2</v>
      </c>
      <c r="C2968" s="5">
        <v>176.5</v>
      </c>
    </row>
    <row r="2969" spans="1:3" x14ac:dyDescent="0.35">
      <c r="A2969" s="9">
        <v>42781</v>
      </c>
      <c r="B2969">
        <f t="shared" si="47"/>
        <v>2</v>
      </c>
      <c r="C2969" s="5">
        <v>176.4</v>
      </c>
    </row>
    <row r="2970" spans="1:3" x14ac:dyDescent="0.35">
      <c r="A2970" s="9">
        <v>42782</v>
      </c>
      <c r="B2970">
        <f t="shared" si="47"/>
        <v>2</v>
      </c>
      <c r="C2970" s="5">
        <v>192.3</v>
      </c>
    </row>
    <row r="2971" spans="1:3" x14ac:dyDescent="0.35">
      <c r="A2971" s="9">
        <v>42783</v>
      </c>
      <c r="B2971">
        <f t="shared" si="47"/>
        <v>2</v>
      </c>
      <c r="C2971" s="5">
        <v>220.9</v>
      </c>
    </row>
    <row r="2972" spans="1:3" x14ac:dyDescent="0.35">
      <c r="A2972" s="9">
        <v>42784</v>
      </c>
      <c r="B2972">
        <f t="shared" si="47"/>
        <v>2</v>
      </c>
      <c r="C2972" s="5">
        <v>237.1</v>
      </c>
    </row>
    <row r="2973" spans="1:3" x14ac:dyDescent="0.35">
      <c r="A2973" s="9">
        <v>42785</v>
      </c>
      <c r="B2973">
        <f t="shared" si="47"/>
        <v>2</v>
      </c>
      <c r="C2973" s="5">
        <v>231.2</v>
      </c>
    </row>
    <row r="2974" spans="1:3" x14ac:dyDescent="0.35">
      <c r="A2974" s="9">
        <v>42786</v>
      </c>
      <c r="B2974">
        <f t="shared" si="47"/>
        <v>2</v>
      </c>
      <c r="C2974" s="5">
        <v>218.5</v>
      </c>
    </row>
    <row r="2975" spans="1:3" x14ac:dyDescent="0.35">
      <c r="A2975" s="9">
        <v>42787</v>
      </c>
      <c r="B2975">
        <f t="shared" si="47"/>
        <v>2</v>
      </c>
      <c r="C2975" s="5">
        <v>213.1</v>
      </c>
    </row>
    <row r="2976" spans="1:3" x14ac:dyDescent="0.35">
      <c r="A2976" s="9">
        <v>42788</v>
      </c>
      <c r="B2976">
        <f t="shared" si="47"/>
        <v>2</v>
      </c>
      <c r="C2976" s="5">
        <v>217.9</v>
      </c>
    </row>
    <row r="2977" spans="1:3" x14ac:dyDescent="0.35">
      <c r="A2977" s="9">
        <v>42789</v>
      </c>
      <c r="B2977">
        <f t="shared" si="47"/>
        <v>2</v>
      </c>
      <c r="C2977" s="5">
        <v>218.6</v>
      </c>
    </row>
    <row r="2978" spans="1:3" x14ac:dyDescent="0.35">
      <c r="A2978" s="9">
        <v>42790</v>
      </c>
      <c r="B2978">
        <f t="shared" si="47"/>
        <v>2</v>
      </c>
      <c r="C2978" s="5">
        <v>214.2</v>
      </c>
    </row>
    <row r="2979" spans="1:3" x14ac:dyDescent="0.35">
      <c r="A2979" s="9">
        <v>42791</v>
      </c>
      <c r="B2979">
        <f t="shared" si="47"/>
        <v>2</v>
      </c>
      <c r="C2979" s="5">
        <v>203.6</v>
      </c>
    </row>
    <row r="2980" spans="1:3" x14ac:dyDescent="0.35">
      <c r="A2980" s="9">
        <v>42792</v>
      </c>
      <c r="B2980">
        <f t="shared" si="47"/>
        <v>2</v>
      </c>
      <c r="C2980" s="5">
        <v>190.7</v>
      </c>
    </row>
    <row r="2981" spans="1:3" x14ac:dyDescent="0.35">
      <c r="A2981" s="9">
        <v>42793</v>
      </c>
      <c r="B2981">
        <f t="shared" si="47"/>
        <v>2</v>
      </c>
      <c r="C2981" s="5">
        <v>180.8</v>
      </c>
    </row>
    <row r="2982" spans="1:3" x14ac:dyDescent="0.35">
      <c r="A2982" s="9">
        <v>42794</v>
      </c>
      <c r="B2982">
        <f t="shared" si="47"/>
        <v>2</v>
      </c>
      <c r="C2982" s="5">
        <v>171.8</v>
      </c>
    </row>
    <row r="2983" spans="1:3" x14ac:dyDescent="0.35">
      <c r="A2983" s="9">
        <v>42795</v>
      </c>
      <c r="B2983">
        <f t="shared" si="47"/>
        <v>3</v>
      </c>
      <c r="C2983" s="5">
        <v>168.8</v>
      </c>
    </row>
    <row r="2984" spans="1:3" x14ac:dyDescent="0.35">
      <c r="A2984" s="9">
        <v>42796</v>
      </c>
      <c r="B2984">
        <f t="shared" si="47"/>
        <v>3</v>
      </c>
      <c r="C2984" s="5">
        <v>176.7</v>
      </c>
    </row>
    <row r="2985" spans="1:3" x14ac:dyDescent="0.35">
      <c r="A2985" s="9">
        <v>42797</v>
      </c>
      <c r="B2985">
        <f t="shared" si="47"/>
        <v>3</v>
      </c>
      <c r="C2985" s="5">
        <v>176.6</v>
      </c>
    </row>
    <row r="2986" spans="1:3" x14ac:dyDescent="0.35">
      <c r="A2986" s="9">
        <v>42798</v>
      </c>
      <c r="B2986">
        <f t="shared" si="47"/>
        <v>3</v>
      </c>
      <c r="C2986" s="5">
        <v>178.9</v>
      </c>
    </row>
    <row r="2987" spans="1:3" x14ac:dyDescent="0.35">
      <c r="A2987" s="9">
        <v>42799</v>
      </c>
      <c r="B2987">
        <f t="shared" si="47"/>
        <v>3</v>
      </c>
      <c r="C2987" s="5">
        <v>187.7</v>
      </c>
    </row>
    <row r="2988" spans="1:3" x14ac:dyDescent="0.35">
      <c r="A2988" s="9">
        <v>42800</v>
      </c>
      <c r="B2988">
        <f t="shared" si="47"/>
        <v>3</v>
      </c>
      <c r="C2988" s="5">
        <v>197.2</v>
      </c>
    </row>
    <row r="2989" spans="1:3" x14ac:dyDescent="0.35">
      <c r="A2989" s="9">
        <v>42801</v>
      </c>
      <c r="B2989">
        <f t="shared" si="47"/>
        <v>3</v>
      </c>
      <c r="C2989" s="5">
        <v>199.7</v>
      </c>
    </row>
    <row r="2990" spans="1:3" x14ac:dyDescent="0.35">
      <c r="A2990" s="9">
        <v>42802</v>
      </c>
      <c r="B2990">
        <f t="shared" si="47"/>
        <v>3</v>
      </c>
      <c r="C2990" s="5">
        <v>201.9</v>
      </c>
    </row>
    <row r="2991" spans="1:3" x14ac:dyDescent="0.35">
      <c r="A2991" s="9">
        <v>42803</v>
      </c>
      <c r="B2991">
        <f t="shared" si="47"/>
        <v>3</v>
      </c>
      <c r="C2991" s="5">
        <v>199.4</v>
      </c>
    </row>
    <row r="2992" spans="1:3" x14ac:dyDescent="0.35">
      <c r="A2992" s="9">
        <v>42804</v>
      </c>
      <c r="B2992">
        <f t="shared" si="47"/>
        <v>3</v>
      </c>
      <c r="C2992" s="5">
        <v>188.7</v>
      </c>
    </row>
    <row r="2993" spans="1:3" x14ac:dyDescent="0.35">
      <c r="A2993" s="9">
        <v>42805</v>
      </c>
      <c r="B2993">
        <f t="shared" si="47"/>
        <v>3</v>
      </c>
      <c r="C2993" s="5">
        <v>181.2</v>
      </c>
    </row>
    <row r="2994" spans="1:3" x14ac:dyDescent="0.35">
      <c r="A2994" s="9">
        <v>42806</v>
      </c>
      <c r="B2994">
        <f t="shared" si="47"/>
        <v>3</v>
      </c>
      <c r="C2994" s="5">
        <v>183</v>
      </c>
    </row>
    <row r="2995" spans="1:3" x14ac:dyDescent="0.35">
      <c r="A2995" s="9">
        <v>42807</v>
      </c>
      <c r="B2995">
        <f t="shared" si="47"/>
        <v>3</v>
      </c>
      <c r="C2995" s="5">
        <v>199.1</v>
      </c>
    </row>
    <row r="2996" spans="1:3" x14ac:dyDescent="0.35">
      <c r="A2996" s="9">
        <v>42808</v>
      </c>
      <c r="B2996">
        <f t="shared" si="47"/>
        <v>3</v>
      </c>
      <c r="C2996" s="5">
        <v>224.3</v>
      </c>
    </row>
    <row r="2997" spans="1:3" x14ac:dyDescent="0.35">
      <c r="A2997" s="9">
        <v>42809</v>
      </c>
      <c r="B2997">
        <f t="shared" si="47"/>
        <v>3</v>
      </c>
      <c r="C2997" s="5">
        <v>244.4</v>
      </c>
    </row>
    <row r="2998" spans="1:3" x14ac:dyDescent="0.35">
      <c r="A2998" s="9">
        <v>42810</v>
      </c>
      <c r="B2998">
        <f t="shared" si="47"/>
        <v>3</v>
      </c>
      <c r="C2998" s="5">
        <v>247.2</v>
      </c>
    </row>
    <row r="2999" spans="1:3" x14ac:dyDescent="0.35">
      <c r="A2999" s="9">
        <v>42811</v>
      </c>
      <c r="B2999">
        <f t="shared" si="47"/>
        <v>3</v>
      </c>
      <c r="C2999" s="5">
        <v>233.9</v>
      </c>
    </row>
    <row r="3000" spans="1:3" x14ac:dyDescent="0.35">
      <c r="A3000" s="9">
        <v>42812</v>
      </c>
      <c r="B3000">
        <f t="shared" si="47"/>
        <v>3</v>
      </c>
      <c r="C3000" s="5">
        <v>213.1</v>
      </c>
    </row>
    <row r="3001" spans="1:3" x14ac:dyDescent="0.35">
      <c r="A3001" s="9">
        <v>42813</v>
      </c>
      <c r="B3001">
        <f t="shared" si="47"/>
        <v>3</v>
      </c>
      <c r="C3001" s="5">
        <v>205</v>
      </c>
    </row>
    <row r="3002" spans="1:3" x14ac:dyDescent="0.35">
      <c r="A3002" s="9">
        <v>42814</v>
      </c>
      <c r="B3002">
        <f t="shared" si="47"/>
        <v>3</v>
      </c>
      <c r="C3002" s="5">
        <v>216.1</v>
      </c>
    </row>
    <row r="3003" spans="1:3" x14ac:dyDescent="0.35">
      <c r="A3003" s="9">
        <v>42815</v>
      </c>
      <c r="B3003">
        <f t="shared" si="47"/>
        <v>3</v>
      </c>
      <c r="C3003" s="5">
        <v>232.1</v>
      </c>
    </row>
    <row r="3004" spans="1:3" x14ac:dyDescent="0.35">
      <c r="A3004" s="9">
        <v>42816</v>
      </c>
      <c r="B3004">
        <f t="shared" si="47"/>
        <v>3</v>
      </c>
      <c r="C3004" s="5">
        <v>240.8</v>
      </c>
    </row>
    <row r="3005" spans="1:3" x14ac:dyDescent="0.35">
      <c r="A3005" s="9">
        <v>42817</v>
      </c>
      <c r="B3005">
        <f t="shared" si="47"/>
        <v>3</v>
      </c>
      <c r="C3005" s="5">
        <v>244.1</v>
      </c>
    </row>
    <row r="3006" spans="1:3" x14ac:dyDescent="0.35">
      <c r="A3006" s="9">
        <v>42818</v>
      </c>
      <c r="B3006">
        <f t="shared" si="47"/>
        <v>3</v>
      </c>
      <c r="C3006" s="5">
        <v>242</v>
      </c>
    </row>
    <row r="3007" spans="1:3" x14ac:dyDescent="0.35">
      <c r="A3007" s="9">
        <v>42819</v>
      </c>
      <c r="B3007">
        <f t="shared" si="47"/>
        <v>3</v>
      </c>
      <c r="C3007" s="5">
        <v>233.4</v>
      </c>
    </row>
    <row r="3008" spans="1:3" x14ac:dyDescent="0.35">
      <c r="A3008" s="9">
        <v>42820</v>
      </c>
      <c r="B3008">
        <f t="shared" si="47"/>
        <v>3</v>
      </c>
      <c r="C3008" s="5">
        <v>221.1</v>
      </c>
    </row>
    <row r="3009" spans="1:3" x14ac:dyDescent="0.35">
      <c r="A3009" s="9">
        <v>42821</v>
      </c>
      <c r="B3009">
        <f t="shared" si="47"/>
        <v>3</v>
      </c>
      <c r="C3009" s="5">
        <v>210.7</v>
      </c>
    </row>
    <row r="3010" spans="1:3" x14ac:dyDescent="0.35">
      <c r="A3010" s="9">
        <v>42822</v>
      </c>
      <c r="B3010">
        <f t="shared" si="47"/>
        <v>3</v>
      </c>
      <c r="C3010" s="5">
        <v>203.9</v>
      </c>
    </row>
    <row r="3011" spans="1:3" x14ac:dyDescent="0.35">
      <c r="A3011" s="9">
        <v>42823</v>
      </c>
      <c r="B3011">
        <f t="shared" si="47"/>
        <v>3</v>
      </c>
      <c r="C3011" s="5">
        <v>201.9</v>
      </c>
    </row>
    <row r="3012" spans="1:3" x14ac:dyDescent="0.35">
      <c r="A3012" s="9">
        <v>42824</v>
      </c>
      <c r="B3012">
        <f t="shared" ref="B3012:B3075" si="48">MONTH(A3012)</f>
        <v>3</v>
      </c>
      <c r="C3012" s="5">
        <v>210.2</v>
      </c>
    </row>
    <row r="3013" spans="1:3" x14ac:dyDescent="0.35">
      <c r="A3013" s="9">
        <v>42825</v>
      </c>
      <c r="B3013">
        <f t="shared" si="48"/>
        <v>3</v>
      </c>
      <c r="C3013" s="5">
        <v>218.7</v>
      </c>
    </row>
    <row r="3014" spans="1:3" x14ac:dyDescent="0.35">
      <c r="A3014" s="9">
        <v>42826</v>
      </c>
      <c r="B3014">
        <f t="shared" si="48"/>
        <v>4</v>
      </c>
      <c r="C3014" s="5">
        <v>211.7</v>
      </c>
    </row>
    <row r="3015" spans="1:3" x14ac:dyDescent="0.35">
      <c r="A3015" s="9">
        <v>42827</v>
      </c>
      <c r="B3015">
        <f t="shared" si="48"/>
        <v>4</v>
      </c>
      <c r="C3015" s="5">
        <v>204.1</v>
      </c>
    </row>
    <row r="3016" spans="1:3" x14ac:dyDescent="0.35">
      <c r="A3016" s="9">
        <v>42828</v>
      </c>
      <c r="B3016">
        <f t="shared" si="48"/>
        <v>4</v>
      </c>
      <c r="C3016" s="5">
        <v>189.7</v>
      </c>
    </row>
    <row r="3017" spans="1:3" x14ac:dyDescent="0.35">
      <c r="A3017" s="9">
        <v>42829</v>
      </c>
      <c r="B3017">
        <f t="shared" si="48"/>
        <v>4</v>
      </c>
      <c r="C3017" s="5">
        <v>183.7</v>
      </c>
    </row>
    <row r="3018" spans="1:3" x14ac:dyDescent="0.35">
      <c r="A3018" s="9">
        <v>42830</v>
      </c>
      <c r="B3018">
        <f t="shared" si="48"/>
        <v>4</v>
      </c>
      <c r="C3018" s="5">
        <v>181.4</v>
      </c>
    </row>
    <row r="3019" spans="1:3" x14ac:dyDescent="0.35">
      <c r="A3019" s="9">
        <v>42831</v>
      </c>
      <c r="B3019">
        <f t="shared" si="48"/>
        <v>4</v>
      </c>
      <c r="C3019" s="5">
        <v>173.4</v>
      </c>
    </row>
    <row r="3020" spans="1:3" x14ac:dyDescent="0.35">
      <c r="A3020" s="9">
        <v>42832</v>
      </c>
      <c r="B3020">
        <f t="shared" si="48"/>
        <v>4</v>
      </c>
      <c r="C3020" s="5">
        <v>163.6</v>
      </c>
    </row>
    <row r="3021" spans="1:3" x14ac:dyDescent="0.35">
      <c r="A3021" s="9">
        <v>42833</v>
      </c>
      <c r="B3021">
        <f t="shared" si="48"/>
        <v>4</v>
      </c>
      <c r="C3021" s="5">
        <v>161.5</v>
      </c>
    </row>
    <row r="3022" spans="1:3" x14ac:dyDescent="0.35">
      <c r="A3022" s="9">
        <v>42834</v>
      </c>
      <c r="B3022">
        <f t="shared" si="48"/>
        <v>4</v>
      </c>
      <c r="C3022" s="5">
        <v>174.5</v>
      </c>
    </row>
    <row r="3023" spans="1:3" x14ac:dyDescent="0.35">
      <c r="A3023" s="9">
        <v>42835</v>
      </c>
      <c r="B3023">
        <f t="shared" si="48"/>
        <v>4</v>
      </c>
      <c r="C3023" s="5">
        <v>196.7</v>
      </c>
    </row>
    <row r="3024" spans="1:3" x14ac:dyDescent="0.35">
      <c r="A3024" s="9">
        <v>42836</v>
      </c>
      <c r="B3024">
        <f t="shared" si="48"/>
        <v>4</v>
      </c>
      <c r="C3024" s="5">
        <v>216.4</v>
      </c>
    </row>
    <row r="3025" spans="1:3" x14ac:dyDescent="0.35">
      <c r="A3025" s="9">
        <v>42837</v>
      </c>
      <c r="B3025">
        <f t="shared" si="48"/>
        <v>4</v>
      </c>
      <c r="C3025" s="5">
        <v>236</v>
      </c>
    </row>
    <row r="3026" spans="1:3" x14ac:dyDescent="0.35">
      <c r="A3026" s="9">
        <v>42838</v>
      </c>
      <c r="B3026">
        <f t="shared" si="48"/>
        <v>4</v>
      </c>
      <c r="C3026" s="5">
        <v>251.5</v>
      </c>
    </row>
    <row r="3027" spans="1:3" x14ac:dyDescent="0.35">
      <c r="A3027" s="9">
        <v>42839</v>
      </c>
      <c r="B3027">
        <f t="shared" si="48"/>
        <v>4</v>
      </c>
      <c r="C3027" s="5">
        <v>261.8</v>
      </c>
    </row>
    <row r="3028" spans="1:3" x14ac:dyDescent="0.35">
      <c r="A3028" s="9">
        <v>42840</v>
      </c>
      <c r="B3028">
        <f t="shared" si="48"/>
        <v>4</v>
      </c>
      <c r="C3028" s="5">
        <v>267</v>
      </c>
    </row>
    <row r="3029" spans="1:3" x14ac:dyDescent="0.35">
      <c r="A3029" s="9">
        <v>42841</v>
      </c>
      <c r="B3029">
        <f t="shared" si="48"/>
        <v>4</v>
      </c>
      <c r="C3029" s="5">
        <v>272.5</v>
      </c>
    </row>
    <row r="3030" spans="1:3" x14ac:dyDescent="0.35">
      <c r="A3030" s="9">
        <v>42842</v>
      </c>
      <c r="B3030">
        <f t="shared" si="48"/>
        <v>4</v>
      </c>
      <c r="C3030" s="5">
        <v>265.3</v>
      </c>
    </row>
    <row r="3031" spans="1:3" x14ac:dyDescent="0.35">
      <c r="A3031" s="9">
        <v>42843</v>
      </c>
      <c r="B3031">
        <f t="shared" si="48"/>
        <v>4</v>
      </c>
      <c r="C3031" s="5">
        <v>251.9</v>
      </c>
    </row>
    <row r="3032" spans="1:3" x14ac:dyDescent="0.35">
      <c r="A3032" s="9">
        <v>42844</v>
      </c>
      <c r="B3032">
        <f t="shared" si="48"/>
        <v>4</v>
      </c>
      <c r="C3032" s="5">
        <v>229.6</v>
      </c>
    </row>
    <row r="3033" spans="1:3" x14ac:dyDescent="0.35">
      <c r="A3033" s="9">
        <v>42845</v>
      </c>
      <c r="B3033">
        <f t="shared" si="48"/>
        <v>4</v>
      </c>
      <c r="C3033" s="5">
        <v>208.6</v>
      </c>
    </row>
    <row r="3034" spans="1:3" x14ac:dyDescent="0.35">
      <c r="A3034" s="9">
        <v>42846</v>
      </c>
      <c r="B3034">
        <f t="shared" si="48"/>
        <v>4</v>
      </c>
      <c r="C3034" s="5">
        <v>200.2</v>
      </c>
    </row>
    <row r="3035" spans="1:3" x14ac:dyDescent="0.35">
      <c r="A3035" s="9">
        <v>42847</v>
      </c>
      <c r="B3035">
        <f t="shared" si="48"/>
        <v>4</v>
      </c>
      <c r="C3035" s="5">
        <v>202.6</v>
      </c>
    </row>
    <row r="3036" spans="1:3" x14ac:dyDescent="0.35">
      <c r="A3036" s="9">
        <v>42848</v>
      </c>
      <c r="B3036">
        <f t="shared" si="48"/>
        <v>4</v>
      </c>
      <c r="C3036" s="5">
        <v>217.3</v>
      </c>
    </row>
    <row r="3037" spans="1:3" x14ac:dyDescent="0.35">
      <c r="A3037" s="9">
        <v>42849</v>
      </c>
      <c r="B3037">
        <f t="shared" si="48"/>
        <v>4</v>
      </c>
      <c r="C3037" s="5">
        <v>233.5</v>
      </c>
    </row>
    <row r="3038" spans="1:3" x14ac:dyDescent="0.35">
      <c r="A3038" s="9">
        <v>42850</v>
      </c>
      <c r="B3038">
        <f t="shared" si="48"/>
        <v>4</v>
      </c>
      <c r="C3038" s="5">
        <v>242.1</v>
      </c>
    </row>
    <row r="3039" spans="1:3" x14ac:dyDescent="0.35">
      <c r="A3039" s="9">
        <v>42851</v>
      </c>
      <c r="B3039">
        <f t="shared" si="48"/>
        <v>4</v>
      </c>
      <c r="C3039" s="5">
        <v>240.2</v>
      </c>
    </row>
    <row r="3040" spans="1:3" x14ac:dyDescent="0.35">
      <c r="A3040" s="9">
        <v>42852</v>
      </c>
      <c r="B3040">
        <f t="shared" si="48"/>
        <v>4</v>
      </c>
      <c r="C3040" s="5">
        <v>236.3</v>
      </c>
    </row>
    <row r="3041" spans="1:3" x14ac:dyDescent="0.35">
      <c r="A3041" s="9">
        <v>42853</v>
      </c>
      <c r="B3041">
        <f t="shared" si="48"/>
        <v>4</v>
      </c>
      <c r="C3041" s="5">
        <v>230.6</v>
      </c>
    </row>
    <row r="3042" spans="1:3" x14ac:dyDescent="0.35">
      <c r="A3042" s="9">
        <v>42854</v>
      </c>
      <c r="B3042">
        <f t="shared" si="48"/>
        <v>4</v>
      </c>
      <c r="C3042" s="5">
        <v>216.5</v>
      </c>
    </row>
    <row r="3043" spans="1:3" x14ac:dyDescent="0.35">
      <c r="A3043" s="9">
        <v>42855</v>
      </c>
      <c r="B3043">
        <f t="shared" si="48"/>
        <v>4</v>
      </c>
      <c r="C3043" s="5">
        <v>196.5</v>
      </c>
    </row>
    <row r="3044" spans="1:3" x14ac:dyDescent="0.35">
      <c r="A3044" s="9">
        <v>42856</v>
      </c>
      <c r="B3044">
        <f t="shared" si="48"/>
        <v>5</v>
      </c>
      <c r="C3044" s="5">
        <v>175.2</v>
      </c>
    </row>
    <row r="3045" spans="1:3" x14ac:dyDescent="0.35">
      <c r="A3045" s="9">
        <v>42857</v>
      </c>
      <c r="B3045">
        <f t="shared" si="48"/>
        <v>5</v>
      </c>
      <c r="C3045" s="5">
        <v>158.1</v>
      </c>
    </row>
    <row r="3046" spans="1:3" x14ac:dyDescent="0.35">
      <c r="A3046" s="9">
        <v>42858</v>
      </c>
      <c r="B3046">
        <f t="shared" si="48"/>
        <v>5</v>
      </c>
      <c r="C3046" s="5">
        <v>146.30000000000001</v>
      </c>
    </row>
    <row r="3047" spans="1:3" x14ac:dyDescent="0.35">
      <c r="A3047" s="9">
        <v>42859</v>
      </c>
      <c r="B3047">
        <f t="shared" si="48"/>
        <v>5</v>
      </c>
      <c r="C3047" s="5">
        <v>138.80000000000001</v>
      </c>
    </row>
    <row r="3048" spans="1:3" x14ac:dyDescent="0.35">
      <c r="A3048" s="9">
        <v>42860</v>
      </c>
      <c r="B3048">
        <f t="shared" si="48"/>
        <v>5</v>
      </c>
      <c r="C3048" s="5">
        <v>133.69999999999999</v>
      </c>
    </row>
    <row r="3049" spans="1:3" x14ac:dyDescent="0.35">
      <c r="A3049" s="9">
        <v>42861</v>
      </c>
      <c r="B3049">
        <f t="shared" si="48"/>
        <v>5</v>
      </c>
      <c r="C3049" s="5">
        <v>133.4</v>
      </c>
    </row>
    <row r="3050" spans="1:3" x14ac:dyDescent="0.35">
      <c r="A3050" s="9">
        <v>42862</v>
      </c>
      <c r="B3050">
        <f t="shared" si="48"/>
        <v>5</v>
      </c>
      <c r="C3050" s="5">
        <v>145.19999999999999</v>
      </c>
    </row>
    <row r="3051" spans="1:3" x14ac:dyDescent="0.35">
      <c r="A3051" s="9">
        <v>42863</v>
      </c>
      <c r="B3051">
        <f t="shared" si="48"/>
        <v>5</v>
      </c>
      <c r="C3051" s="5">
        <v>169</v>
      </c>
    </row>
    <row r="3052" spans="1:3" x14ac:dyDescent="0.35">
      <c r="A3052" s="9">
        <v>42864</v>
      </c>
      <c r="B3052">
        <f t="shared" si="48"/>
        <v>5</v>
      </c>
      <c r="C3052" s="5">
        <v>190.1</v>
      </c>
    </row>
    <row r="3053" spans="1:3" x14ac:dyDescent="0.35">
      <c r="A3053" s="9">
        <v>42865</v>
      </c>
      <c r="B3053">
        <f t="shared" si="48"/>
        <v>5</v>
      </c>
      <c r="C3053" s="5">
        <v>192.6</v>
      </c>
    </row>
    <row r="3054" spans="1:3" x14ac:dyDescent="0.35">
      <c r="A3054" s="9">
        <v>42866</v>
      </c>
      <c r="B3054">
        <f t="shared" si="48"/>
        <v>5</v>
      </c>
      <c r="C3054" s="5">
        <v>181.4</v>
      </c>
    </row>
    <row r="3055" spans="1:3" x14ac:dyDescent="0.35">
      <c r="A3055" s="9">
        <v>42867</v>
      </c>
      <c r="B3055">
        <f t="shared" si="48"/>
        <v>5</v>
      </c>
      <c r="C3055" s="5">
        <v>166</v>
      </c>
    </row>
    <row r="3056" spans="1:3" x14ac:dyDescent="0.35">
      <c r="A3056" s="9">
        <v>42868</v>
      </c>
      <c r="B3056">
        <f t="shared" si="48"/>
        <v>5</v>
      </c>
      <c r="C3056" s="5">
        <v>156.4</v>
      </c>
    </row>
    <row r="3057" spans="1:3" x14ac:dyDescent="0.35">
      <c r="A3057" s="9">
        <v>42869</v>
      </c>
      <c r="B3057">
        <f t="shared" si="48"/>
        <v>5</v>
      </c>
      <c r="C3057" s="5">
        <v>157.9</v>
      </c>
    </row>
    <row r="3058" spans="1:3" x14ac:dyDescent="0.35">
      <c r="A3058" s="9">
        <v>42870</v>
      </c>
      <c r="B3058">
        <f t="shared" si="48"/>
        <v>5</v>
      </c>
      <c r="C3058" s="5">
        <v>165</v>
      </c>
    </row>
    <row r="3059" spans="1:3" x14ac:dyDescent="0.35">
      <c r="A3059" s="9">
        <v>42871</v>
      </c>
      <c r="B3059">
        <f t="shared" si="48"/>
        <v>5</v>
      </c>
      <c r="C3059" s="5">
        <v>174.8</v>
      </c>
    </row>
    <row r="3060" spans="1:3" x14ac:dyDescent="0.35">
      <c r="A3060" s="9">
        <v>42872</v>
      </c>
      <c r="B3060">
        <f t="shared" si="48"/>
        <v>5</v>
      </c>
      <c r="C3060" s="5">
        <v>182.3</v>
      </c>
    </row>
    <row r="3061" spans="1:3" x14ac:dyDescent="0.35">
      <c r="A3061" s="9">
        <v>42873</v>
      </c>
      <c r="B3061">
        <f t="shared" si="48"/>
        <v>5</v>
      </c>
      <c r="C3061" s="5">
        <v>190.2</v>
      </c>
    </row>
    <row r="3062" spans="1:3" x14ac:dyDescent="0.35">
      <c r="A3062" s="9">
        <v>42874</v>
      </c>
      <c r="B3062">
        <f t="shared" si="48"/>
        <v>5</v>
      </c>
      <c r="C3062" s="5">
        <v>192.5</v>
      </c>
    </row>
    <row r="3063" spans="1:3" x14ac:dyDescent="0.35">
      <c r="A3063" s="9">
        <v>42875</v>
      </c>
      <c r="B3063">
        <f t="shared" si="48"/>
        <v>5</v>
      </c>
      <c r="C3063" s="5">
        <v>186.5</v>
      </c>
    </row>
    <row r="3064" spans="1:3" x14ac:dyDescent="0.35">
      <c r="A3064" s="9">
        <v>42876</v>
      </c>
      <c r="B3064">
        <f t="shared" si="48"/>
        <v>5</v>
      </c>
      <c r="C3064" s="5">
        <v>174.1</v>
      </c>
    </row>
    <row r="3065" spans="1:3" x14ac:dyDescent="0.35">
      <c r="A3065" s="9">
        <v>42877</v>
      </c>
      <c r="B3065">
        <f t="shared" si="48"/>
        <v>5</v>
      </c>
      <c r="C3065" s="5">
        <v>159.69999999999999</v>
      </c>
    </row>
    <row r="3066" spans="1:3" x14ac:dyDescent="0.35">
      <c r="A3066" s="9">
        <v>42878</v>
      </c>
      <c r="B3066">
        <f t="shared" si="48"/>
        <v>5</v>
      </c>
      <c r="C3066" s="5">
        <v>147.69999999999999</v>
      </c>
    </row>
    <row r="3067" spans="1:3" x14ac:dyDescent="0.35">
      <c r="A3067" s="9">
        <v>42879</v>
      </c>
      <c r="B3067">
        <f t="shared" si="48"/>
        <v>5</v>
      </c>
      <c r="C3067" s="5">
        <v>139.19999999999999</v>
      </c>
    </row>
    <row r="3068" spans="1:3" x14ac:dyDescent="0.35">
      <c r="A3068" s="9">
        <v>42880</v>
      </c>
      <c r="B3068">
        <f t="shared" si="48"/>
        <v>5</v>
      </c>
      <c r="C3068" s="5">
        <v>133.9</v>
      </c>
    </row>
    <row r="3069" spans="1:3" x14ac:dyDescent="0.35">
      <c r="A3069" s="9">
        <v>42881</v>
      </c>
      <c r="B3069">
        <f t="shared" si="48"/>
        <v>5</v>
      </c>
      <c r="C3069" s="5">
        <v>130.5</v>
      </c>
    </row>
    <row r="3070" spans="1:3" x14ac:dyDescent="0.35">
      <c r="A3070" s="9">
        <v>42882</v>
      </c>
      <c r="B3070">
        <f t="shared" si="48"/>
        <v>5</v>
      </c>
      <c r="C3070" s="5">
        <v>128.4</v>
      </c>
    </row>
    <row r="3071" spans="1:3" x14ac:dyDescent="0.35">
      <c r="A3071" s="9">
        <v>42883</v>
      </c>
      <c r="B3071">
        <f t="shared" si="48"/>
        <v>5</v>
      </c>
      <c r="C3071" s="5">
        <v>127.1</v>
      </c>
    </row>
    <row r="3072" spans="1:3" x14ac:dyDescent="0.35">
      <c r="A3072" s="9">
        <v>42884</v>
      </c>
      <c r="B3072">
        <f t="shared" si="48"/>
        <v>5</v>
      </c>
      <c r="C3072" s="5">
        <v>126.9</v>
      </c>
    </row>
    <row r="3073" spans="1:3" x14ac:dyDescent="0.35">
      <c r="A3073" s="9">
        <v>42885</v>
      </c>
      <c r="B3073">
        <f t="shared" si="48"/>
        <v>5</v>
      </c>
      <c r="C3073" s="5">
        <v>127.6</v>
      </c>
    </row>
    <row r="3074" spans="1:3" x14ac:dyDescent="0.35">
      <c r="A3074" s="9">
        <v>42886</v>
      </c>
      <c r="B3074">
        <f t="shared" si="48"/>
        <v>5</v>
      </c>
      <c r="C3074" s="5">
        <v>128.5</v>
      </c>
    </row>
    <row r="3075" spans="1:3" x14ac:dyDescent="0.35">
      <c r="A3075" s="9">
        <v>42887</v>
      </c>
      <c r="B3075">
        <f t="shared" si="48"/>
        <v>6</v>
      </c>
      <c r="C3075" s="5">
        <v>128.4</v>
      </c>
    </row>
    <row r="3076" spans="1:3" x14ac:dyDescent="0.35">
      <c r="A3076" s="9">
        <v>42888</v>
      </c>
      <c r="B3076">
        <f t="shared" ref="B3076:B3139" si="49">MONTH(A3076)</f>
        <v>6</v>
      </c>
      <c r="C3076" s="5">
        <v>86.5</v>
      </c>
    </row>
    <row r="3077" spans="1:3" x14ac:dyDescent="0.35">
      <c r="A3077" s="9">
        <v>42889</v>
      </c>
      <c r="B3077">
        <f t="shared" si="49"/>
        <v>6</v>
      </c>
      <c r="C3077" s="5">
        <v>85.4</v>
      </c>
    </row>
    <row r="3078" spans="1:3" x14ac:dyDescent="0.35">
      <c r="A3078" s="9">
        <v>42890</v>
      </c>
      <c r="B3078">
        <f t="shared" si="49"/>
        <v>6</v>
      </c>
      <c r="C3078" s="5">
        <v>84.4</v>
      </c>
    </row>
    <row r="3079" spans="1:3" x14ac:dyDescent="0.35">
      <c r="A3079" s="9">
        <v>42891</v>
      </c>
      <c r="B3079">
        <f t="shared" si="49"/>
        <v>6</v>
      </c>
      <c r="C3079" s="5">
        <v>83.9</v>
      </c>
    </row>
    <row r="3080" spans="1:3" x14ac:dyDescent="0.35">
      <c r="A3080" s="9">
        <v>42892</v>
      </c>
      <c r="B3080">
        <f t="shared" si="49"/>
        <v>6</v>
      </c>
      <c r="C3080" s="5">
        <v>83.7</v>
      </c>
    </row>
    <row r="3081" spans="1:3" x14ac:dyDescent="0.35">
      <c r="A3081" s="9">
        <v>42893</v>
      </c>
      <c r="B3081">
        <f t="shared" si="49"/>
        <v>6</v>
      </c>
      <c r="C3081" s="5">
        <v>83.6</v>
      </c>
    </row>
    <row r="3082" spans="1:3" x14ac:dyDescent="0.35">
      <c r="A3082" s="9">
        <v>42894</v>
      </c>
      <c r="B3082">
        <f t="shared" si="49"/>
        <v>6</v>
      </c>
      <c r="C3082" s="5">
        <v>83.5</v>
      </c>
    </row>
    <row r="3083" spans="1:3" x14ac:dyDescent="0.35">
      <c r="A3083" s="9">
        <v>42895</v>
      </c>
      <c r="B3083">
        <f t="shared" si="49"/>
        <v>6</v>
      </c>
      <c r="C3083" s="5">
        <v>83.4</v>
      </c>
    </row>
    <row r="3084" spans="1:3" x14ac:dyDescent="0.35">
      <c r="A3084" s="9">
        <v>42896</v>
      </c>
      <c r="B3084">
        <f t="shared" si="49"/>
        <v>6</v>
      </c>
      <c r="C3084" s="5">
        <v>83.3</v>
      </c>
    </row>
    <row r="3085" spans="1:3" x14ac:dyDescent="0.35">
      <c r="A3085" s="9">
        <v>42897</v>
      </c>
      <c r="B3085">
        <f t="shared" si="49"/>
        <v>6</v>
      </c>
      <c r="C3085" s="5">
        <v>83.3</v>
      </c>
    </row>
    <row r="3086" spans="1:3" x14ac:dyDescent="0.35">
      <c r="A3086" s="9">
        <v>42898</v>
      </c>
      <c r="B3086">
        <f t="shared" si="49"/>
        <v>6</v>
      </c>
      <c r="C3086" s="5">
        <v>83.3</v>
      </c>
    </row>
    <row r="3087" spans="1:3" x14ac:dyDescent="0.35">
      <c r="A3087" s="9">
        <v>42899</v>
      </c>
      <c r="B3087">
        <f t="shared" si="49"/>
        <v>6</v>
      </c>
      <c r="C3087" s="5">
        <v>83.3</v>
      </c>
    </row>
    <row r="3088" spans="1:3" x14ac:dyDescent="0.35">
      <c r="A3088" s="9">
        <v>42900</v>
      </c>
      <c r="B3088">
        <f t="shared" si="49"/>
        <v>6</v>
      </c>
      <c r="C3088" s="5">
        <v>83.2</v>
      </c>
    </row>
    <row r="3089" spans="1:3" x14ac:dyDescent="0.35">
      <c r="A3089" s="9">
        <v>42901</v>
      </c>
      <c r="B3089">
        <f t="shared" si="49"/>
        <v>6</v>
      </c>
      <c r="C3089" s="5">
        <v>83.1</v>
      </c>
    </row>
    <row r="3090" spans="1:3" x14ac:dyDescent="0.35">
      <c r="A3090" s="9">
        <v>42902</v>
      </c>
      <c r="B3090">
        <f t="shared" si="49"/>
        <v>6</v>
      </c>
      <c r="C3090" s="5">
        <v>83.1</v>
      </c>
    </row>
    <row r="3091" spans="1:3" x14ac:dyDescent="0.35">
      <c r="A3091" s="9">
        <v>42903</v>
      </c>
      <c r="B3091">
        <f t="shared" si="49"/>
        <v>6</v>
      </c>
      <c r="C3091" s="5">
        <v>83.2</v>
      </c>
    </row>
    <row r="3092" spans="1:3" x14ac:dyDescent="0.35">
      <c r="A3092" s="9">
        <v>42904</v>
      </c>
      <c r="B3092">
        <f t="shared" si="49"/>
        <v>6</v>
      </c>
      <c r="C3092" s="5">
        <v>83.6</v>
      </c>
    </row>
    <row r="3093" spans="1:3" x14ac:dyDescent="0.35">
      <c r="A3093" s="9">
        <v>42905</v>
      </c>
      <c r="B3093">
        <f t="shared" si="49"/>
        <v>6</v>
      </c>
      <c r="C3093" s="5">
        <v>84.4</v>
      </c>
    </row>
    <row r="3094" spans="1:3" x14ac:dyDescent="0.35">
      <c r="A3094" s="9">
        <v>42906</v>
      </c>
      <c r="B3094">
        <f t="shared" si="49"/>
        <v>6</v>
      </c>
      <c r="C3094" s="5">
        <v>85.3</v>
      </c>
    </row>
    <row r="3095" spans="1:3" x14ac:dyDescent="0.35">
      <c r="A3095" s="9">
        <v>42907</v>
      </c>
      <c r="B3095">
        <f t="shared" si="49"/>
        <v>6</v>
      </c>
      <c r="C3095" s="5">
        <v>85.5</v>
      </c>
    </row>
    <row r="3096" spans="1:3" x14ac:dyDescent="0.35">
      <c r="A3096" s="9">
        <v>42908</v>
      </c>
      <c r="B3096">
        <f t="shared" si="49"/>
        <v>6</v>
      </c>
      <c r="C3096" s="5">
        <v>86</v>
      </c>
    </row>
    <row r="3097" spans="1:3" x14ac:dyDescent="0.35">
      <c r="A3097" s="9">
        <v>42909</v>
      </c>
      <c r="B3097">
        <f t="shared" si="49"/>
        <v>6</v>
      </c>
      <c r="C3097" s="5">
        <v>87.3</v>
      </c>
    </row>
    <row r="3098" spans="1:3" x14ac:dyDescent="0.35">
      <c r="A3098" s="9">
        <v>42910</v>
      </c>
      <c r="B3098">
        <f t="shared" si="49"/>
        <v>6</v>
      </c>
      <c r="C3098" s="5">
        <v>88.9</v>
      </c>
    </row>
    <row r="3099" spans="1:3" x14ac:dyDescent="0.35">
      <c r="A3099" s="9">
        <v>42911</v>
      </c>
      <c r="B3099">
        <f t="shared" si="49"/>
        <v>6</v>
      </c>
      <c r="C3099" s="5">
        <v>89</v>
      </c>
    </row>
    <row r="3100" spans="1:3" x14ac:dyDescent="0.35">
      <c r="A3100" s="9">
        <v>42912</v>
      </c>
      <c r="B3100">
        <f t="shared" si="49"/>
        <v>6</v>
      </c>
      <c r="C3100" s="5">
        <v>87.9</v>
      </c>
    </row>
    <row r="3101" spans="1:3" x14ac:dyDescent="0.35">
      <c r="A3101" s="9">
        <v>42913</v>
      </c>
      <c r="B3101">
        <f t="shared" si="49"/>
        <v>6</v>
      </c>
      <c r="C3101" s="5">
        <v>86.4</v>
      </c>
    </row>
    <row r="3102" spans="1:3" x14ac:dyDescent="0.35">
      <c r="A3102" s="9">
        <v>42914</v>
      </c>
      <c r="B3102">
        <f t="shared" si="49"/>
        <v>6</v>
      </c>
      <c r="C3102" s="5">
        <v>85.5</v>
      </c>
    </row>
    <row r="3103" spans="1:3" x14ac:dyDescent="0.35">
      <c r="A3103" s="9">
        <v>42915</v>
      </c>
      <c r="B3103">
        <f t="shared" si="49"/>
        <v>6</v>
      </c>
      <c r="C3103" s="5">
        <v>85.6</v>
      </c>
    </row>
    <row r="3104" spans="1:3" x14ac:dyDescent="0.35">
      <c r="A3104" s="9">
        <v>42916</v>
      </c>
      <c r="B3104">
        <f t="shared" si="49"/>
        <v>6</v>
      </c>
      <c r="C3104" s="5">
        <v>86.6</v>
      </c>
    </row>
    <row r="3105" spans="1:3" x14ac:dyDescent="0.35">
      <c r="A3105" s="9">
        <v>42917</v>
      </c>
      <c r="B3105">
        <f t="shared" si="49"/>
        <v>7</v>
      </c>
      <c r="C3105" s="5">
        <v>88.1</v>
      </c>
    </row>
    <row r="3106" spans="1:3" x14ac:dyDescent="0.35">
      <c r="A3106" s="9">
        <v>42918</v>
      </c>
      <c r="B3106">
        <f t="shared" si="49"/>
        <v>7</v>
      </c>
      <c r="C3106" s="5">
        <v>66.5</v>
      </c>
    </row>
    <row r="3107" spans="1:3" x14ac:dyDescent="0.35">
      <c r="A3107" s="9">
        <v>42919</v>
      </c>
      <c r="B3107">
        <f t="shared" si="49"/>
        <v>7</v>
      </c>
      <c r="C3107" s="5">
        <v>66.3</v>
      </c>
    </row>
    <row r="3108" spans="1:3" x14ac:dyDescent="0.35">
      <c r="A3108" s="9">
        <v>42920</v>
      </c>
      <c r="B3108">
        <f t="shared" si="49"/>
        <v>7</v>
      </c>
      <c r="C3108" s="5">
        <v>65.400000000000006</v>
      </c>
    </row>
    <row r="3109" spans="1:3" x14ac:dyDescent="0.35">
      <c r="A3109" s="9">
        <v>42921</v>
      </c>
      <c r="B3109">
        <f t="shared" si="49"/>
        <v>7</v>
      </c>
      <c r="C3109" s="5">
        <v>64.2</v>
      </c>
    </row>
    <row r="3110" spans="1:3" x14ac:dyDescent="0.35">
      <c r="A3110" s="9">
        <v>42922</v>
      </c>
      <c r="B3110">
        <f t="shared" si="49"/>
        <v>7</v>
      </c>
      <c r="C3110" s="5">
        <v>63.5</v>
      </c>
    </row>
    <row r="3111" spans="1:3" x14ac:dyDescent="0.35">
      <c r="A3111" s="9">
        <v>42923</v>
      </c>
      <c r="B3111">
        <f t="shared" si="49"/>
        <v>7</v>
      </c>
      <c r="C3111" s="5">
        <v>64</v>
      </c>
    </row>
    <row r="3112" spans="1:3" x14ac:dyDescent="0.35">
      <c r="A3112" s="9">
        <v>42924</v>
      </c>
      <c r="B3112">
        <f t="shared" si="49"/>
        <v>7</v>
      </c>
      <c r="C3112" s="5">
        <v>65.5</v>
      </c>
    </row>
    <row r="3113" spans="1:3" x14ac:dyDescent="0.35">
      <c r="A3113" s="9">
        <v>42925</v>
      </c>
      <c r="B3113">
        <f t="shared" si="49"/>
        <v>7</v>
      </c>
      <c r="C3113" s="5">
        <v>66.8</v>
      </c>
    </row>
    <row r="3114" spans="1:3" x14ac:dyDescent="0.35">
      <c r="A3114" s="9">
        <v>42926</v>
      </c>
      <c r="B3114">
        <f t="shared" si="49"/>
        <v>7</v>
      </c>
      <c r="C3114" s="5">
        <v>66.400000000000006</v>
      </c>
    </row>
    <row r="3115" spans="1:3" x14ac:dyDescent="0.35">
      <c r="A3115" s="9">
        <v>42927</v>
      </c>
      <c r="B3115">
        <f t="shared" si="49"/>
        <v>7</v>
      </c>
      <c r="C3115" s="5">
        <v>65.099999999999994</v>
      </c>
    </row>
    <row r="3116" spans="1:3" x14ac:dyDescent="0.35">
      <c r="A3116" s="9">
        <v>42928</v>
      </c>
      <c r="B3116">
        <f t="shared" si="49"/>
        <v>7</v>
      </c>
      <c r="C3116" s="5">
        <v>63.5</v>
      </c>
    </row>
    <row r="3117" spans="1:3" x14ac:dyDescent="0.35">
      <c r="A3117" s="9">
        <v>42929</v>
      </c>
      <c r="B3117">
        <f t="shared" si="49"/>
        <v>7</v>
      </c>
      <c r="C3117" s="5">
        <v>62.3</v>
      </c>
    </row>
    <row r="3118" spans="1:3" x14ac:dyDescent="0.35">
      <c r="A3118" s="9">
        <v>42930</v>
      </c>
      <c r="B3118">
        <f t="shared" si="49"/>
        <v>7</v>
      </c>
      <c r="C3118" s="5">
        <v>61.6</v>
      </c>
    </row>
    <row r="3119" spans="1:3" x14ac:dyDescent="0.35">
      <c r="A3119" s="9">
        <v>42931</v>
      </c>
      <c r="B3119">
        <f t="shared" si="49"/>
        <v>7</v>
      </c>
      <c r="C3119" s="5">
        <v>61.1</v>
      </c>
    </row>
    <row r="3120" spans="1:3" x14ac:dyDescent="0.35">
      <c r="A3120" s="9">
        <v>42932</v>
      </c>
      <c r="B3120">
        <f t="shared" si="49"/>
        <v>7</v>
      </c>
      <c r="C3120" s="5">
        <v>60.8</v>
      </c>
    </row>
    <row r="3121" spans="1:3" x14ac:dyDescent="0.35">
      <c r="A3121" s="9">
        <v>42933</v>
      </c>
      <c r="B3121">
        <f t="shared" si="49"/>
        <v>7</v>
      </c>
      <c r="C3121" s="5">
        <v>60.6</v>
      </c>
    </row>
    <row r="3122" spans="1:3" x14ac:dyDescent="0.35">
      <c r="A3122" s="9">
        <v>42934</v>
      </c>
      <c r="B3122">
        <f t="shared" si="49"/>
        <v>7</v>
      </c>
      <c r="C3122" s="5">
        <v>60.5</v>
      </c>
    </row>
    <row r="3123" spans="1:3" x14ac:dyDescent="0.35">
      <c r="A3123" s="9">
        <v>42935</v>
      </c>
      <c r="B3123">
        <f t="shared" si="49"/>
        <v>7</v>
      </c>
      <c r="C3123" s="5">
        <v>60.3</v>
      </c>
    </row>
    <row r="3124" spans="1:3" x14ac:dyDescent="0.35">
      <c r="A3124" s="9">
        <v>42936</v>
      </c>
      <c r="B3124">
        <f t="shared" si="49"/>
        <v>7</v>
      </c>
      <c r="C3124" s="5">
        <v>60.2</v>
      </c>
    </row>
    <row r="3125" spans="1:3" x14ac:dyDescent="0.35">
      <c r="A3125" s="9">
        <v>42937</v>
      </c>
      <c r="B3125">
        <f t="shared" si="49"/>
        <v>7</v>
      </c>
      <c r="C3125" s="5">
        <v>60.3</v>
      </c>
    </row>
    <row r="3126" spans="1:3" x14ac:dyDescent="0.35">
      <c r="A3126" s="9">
        <v>42938</v>
      </c>
      <c r="B3126">
        <f t="shared" si="49"/>
        <v>7</v>
      </c>
      <c r="C3126" s="5">
        <v>61.6</v>
      </c>
    </row>
    <row r="3127" spans="1:3" x14ac:dyDescent="0.35">
      <c r="A3127" s="9">
        <v>42939</v>
      </c>
      <c r="B3127">
        <f t="shared" si="49"/>
        <v>7</v>
      </c>
      <c r="C3127" s="5">
        <v>64.400000000000006</v>
      </c>
    </row>
    <row r="3128" spans="1:3" x14ac:dyDescent="0.35">
      <c r="A3128" s="9">
        <v>42940</v>
      </c>
      <c r="B3128">
        <f t="shared" si="49"/>
        <v>7</v>
      </c>
      <c r="C3128" s="5">
        <v>67.8</v>
      </c>
    </row>
    <row r="3129" spans="1:3" x14ac:dyDescent="0.35">
      <c r="A3129" s="9">
        <v>42941</v>
      </c>
      <c r="B3129">
        <f t="shared" si="49"/>
        <v>7</v>
      </c>
      <c r="C3129" s="5">
        <v>70.099999999999994</v>
      </c>
    </row>
    <row r="3130" spans="1:3" x14ac:dyDescent="0.35">
      <c r="A3130" s="9">
        <v>42942</v>
      </c>
      <c r="B3130">
        <f t="shared" si="49"/>
        <v>7</v>
      </c>
      <c r="C3130" s="5">
        <v>72</v>
      </c>
    </row>
    <row r="3131" spans="1:3" x14ac:dyDescent="0.35">
      <c r="A3131" s="9">
        <v>42943</v>
      </c>
      <c r="B3131">
        <f t="shared" si="49"/>
        <v>7</v>
      </c>
      <c r="C3131" s="5">
        <v>73.7</v>
      </c>
    </row>
    <row r="3132" spans="1:3" x14ac:dyDescent="0.35">
      <c r="A3132" s="9">
        <v>42944</v>
      </c>
      <c r="B3132">
        <f t="shared" si="49"/>
        <v>7</v>
      </c>
      <c r="C3132" s="5">
        <v>74.8</v>
      </c>
    </row>
    <row r="3133" spans="1:3" x14ac:dyDescent="0.35">
      <c r="A3133" s="9">
        <v>42945</v>
      </c>
      <c r="B3133">
        <f t="shared" si="49"/>
        <v>7</v>
      </c>
      <c r="C3133" s="5">
        <v>73.3</v>
      </c>
    </row>
    <row r="3134" spans="1:3" x14ac:dyDescent="0.35">
      <c r="A3134" s="9">
        <v>42946</v>
      </c>
      <c r="B3134">
        <f t="shared" si="49"/>
        <v>7</v>
      </c>
      <c r="C3134" s="5">
        <v>70.3</v>
      </c>
    </row>
    <row r="3135" spans="1:3" x14ac:dyDescent="0.35">
      <c r="A3135" s="9">
        <v>42947</v>
      </c>
      <c r="B3135">
        <f t="shared" si="49"/>
        <v>7</v>
      </c>
      <c r="C3135" s="5">
        <v>67.099999999999994</v>
      </c>
    </row>
    <row r="3136" spans="1:3" x14ac:dyDescent="0.35">
      <c r="A3136" s="9">
        <v>42948</v>
      </c>
      <c r="B3136">
        <f t="shared" si="49"/>
        <v>8</v>
      </c>
      <c r="C3136" s="5">
        <v>64.5</v>
      </c>
    </row>
    <row r="3137" spans="1:3" x14ac:dyDescent="0.35">
      <c r="A3137" s="9">
        <v>42949</v>
      </c>
      <c r="B3137">
        <f t="shared" si="49"/>
        <v>8</v>
      </c>
      <c r="C3137" s="5">
        <v>69</v>
      </c>
    </row>
    <row r="3138" spans="1:3" x14ac:dyDescent="0.35">
      <c r="A3138" s="9">
        <v>42950</v>
      </c>
      <c r="B3138">
        <f t="shared" si="49"/>
        <v>8</v>
      </c>
      <c r="C3138" s="5">
        <v>72</v>
      </c>
    </row>
    <row r="3139" spans="1:3" x14ac:dyDescent="0.35">
      <c r="A3139" s="9">
        <v>42951</v>
      </c>
      <c r="B3139">
        <f t="shared" si="49"/>
        <v>8</v>
      </c>
      <c r="C3139" s="5">
        <v>78.099999999999994</v>
      </c>
    </row>
    <row r="3140" spans="1:3" x14ac:dyDescent="0.35">
      <c r="A3140" s="9">
        <v>42952</v>
      </c>
      <c r="B3140">
        <f t="shared" ref="B3140:B3203" si="50">MONTH(A3140)</f>
        <v>8</v>
      </c>
      <c r="C3140" s="5">
        <v>86.9</v>
      </c>
    </row>
    <row r="3141" spans="1:3" x14ac:dyDescent="0.35">
      <c r="A3141" s="9">
        <v>42953</v>
      </c>
      <c r="B3141">
        <f t="shared" si="50"/>
        <v>8</v>
      </c>
      <c r="C3141" s="5">
        <v>95.9</v>
      </c>
    </row>
    <row r="3142" spans="1:3" x14ac:dyDescent="0.35">
      <c r="A3142" s="9">
        <v>42954</v>
      </c>
      <c r="B3142">
        <f t="shared" si="50"/>
        <v>8</v>
      </c>
      <c r="C3142" s="5">
        <v>103.1</v>
      </c>
    </row>
    <row r="3143" spans="1:3" x14ac:dyDescent="0.35">
      <c r="A3143" s="9">
        <v>42955</v>
      </c>
      <c r="B3143">
        <f t="shared" si="50"/>
        <v>8</v>
      </c>
      <c r="C3143" s="5">
        <v>101.7</v>
      </c>
    </row>
    <row r="3144" spans="1:3" x14ac:dyDescent="0.35">
      <c r="A3144" s="9">
        <v>42956</v>
      </c>
      <c r="B3144">
        <f t="shared" si="50"/>
        <v>8</v>
      </c>
      <c r="C3144" s="5">
        <v>95.8</v>
      </c>
    </row>
    <row r="3145" spans="1:3" x14ac:dyDescent="0.35">
      <c r="A3145" s="9">
        <v>42957</v>
      </c>
      <c r="B3145">
        <f t="shared" si="50"/>
        <v>8</v>
      </c>
      <c r="C3145" s="5">
        <v>89.6</v>
      </c>
    </row>
    <row r="3146" spans="1:3" x14ac:dyDescent="0.35">
      <c r="A3146" s="9">
        <v>42958</v>
      </c>
      <c r="B3146">
        <f t="shared" si="50"/>
        <v>8</v>
      </c>
      <c r="C3146" s="5">
        <v>84.8</v>
      </c>
    </row>
    <row r="3147" spans="1:3" x14ac:dyDescent="0.35">
      <c r="A3147" s="9">
        <v>42959</v>
      </c>
      <c r="B3147">
        <f t="shared" si="50"/>
        <v>8</v>
      </c>
      <c r="C3147" s="5">
        <v>80.7</v>
      </c>
    </row>
    <row r="3148" spans="1:3" x14ac:dyDescent="0.35">
      <c r="A3148" s="9">
        <v>42960</v>
      </c>
      <c r="B3148">
        <f t="shared" si="50"/>
        <v>8</v>
      </c>
      <c r="C3148" s="5">
        <v>76.8</v>
      </c>
    </row>
    <row r="3149" spans="1:3" x14ac:dyDescent="0.35">
      <c r="A3149" s="9">
        <v>42961</v>
      </c>
      <c r="B3149">
        <f t="shared" si="50"/>
        <v>8</v>
      </c>
      <c r="C3149" s="5">
        <v>74.099999999999994</v>
      </c>
    </row>
    <row r="3150" spans="1:3" x14ac:dyDescent="0.35">
      <c r="A3150" s="9">
        <v>42962</v>
      </c>
      <c r="B3150">
        <f t="shared" si="50"/>
        <v>8</v>
      </c>
      <c r="C3150" s="5">
        <v>73.400000000000006</v>
      </c>
    </row>
    <row r="3151" spans="1:3" x14ac:dyDescent="0.35">
      <c r="A3151" s="9">
        <v>42963</v>
      </c>
      <c r="B3151">
        <f t="shared" si="50"/>
        <v>8</v>
      </c>
      <c r="C3151" s="5">
        <v>74.2</v>
      </c>
    </row>
    <row r="3152" spans="1:3" x14ac:dyDescent="0.35">
      <c r="A3152" s="9">
        <v>42964</v>
      </c>
      <c r="B3152">
        <f t="shared" si="50"/>
        <v>8</v>
      </c>
      <c r="C3152" s="5">
        <v>74.3</v>
      </c>
    </row>
    <row r="3153" spans="1:3" x14ac:dyDescent="0.35">
      <c r="A3153" s="9">
        <v>42965</v>
      </c>
      <c r="B3153">
        <f t="shared" si="50"/>
        <v>8</v>
      </c>
      <c r="C3153" s="5">
        <v>74.400000000000006</v>
      </c>
    </row>
    <row r="3154" spans="1:3" x14ac:dyDescent="0.35">
      <c r="A3154" s="9">
        <v>42966</v>
      </c>
      <c r="B3154">
        <f t="shared" si="50"/>
        <v>8</v>
      </c>
      <c r="C3154" s="5">
        <v>77.2</v>
      </c>
    </row>
    <row r="3155" spans="1:3" x14ac:dyDescent="0.35">
      <c r="A3155" s="9">
        <v>42967</v>
      </c>
      <c r="B3155">
        <f t="shared" si="50"/>
        <v>8</v>
      </c>
      <c r="C3155" s="5">
        <v>83.5</v>
      </c>
    </row>
    <row r="3156" spans="1:3" x14ac:dyDescent="0.35">
      <c r="A3156" s="9">
        <v>42968</v>
      </c>
      <c r="B3156">
        <f t="shared" si="50"/>
        <v>8</v>
      </c>
      <c r="C3156" s="5">
        <v>89.7</v>
      </c>
    </row>
    <row r="3157" spans="1:3" x14ac:dyDescent="0.35">
      <c r="A3157" s="9">
        <v>42969</v>
      </c>
      <c r="B3157">
        <f t="shared" si="50"/>
        <v>8</v>
      </c>
      <c r="C3157" s="5">
        <v>90.2</v>
      </c>
    </row>
    <row r="3158" spans="1:3" x14ac:dyDescent="0.35">
      <c r="A3158" s="9">
        <v>42970</v>
      </c>
      <c r="B3158">
        <f t="shared" si="50"/>
        <v>8</v>
      </c>
      <c r="C3158" s="5">
        <v>86.3</v>
      </c>
    </row>
    <row r="3159" spans="1:3" x14ac:dyDescent="0.35">
      <c r="A3159" s="9">
        <v>42971</v>
      </c>
      <c r="B3159">
        <f t="shared" si="50"/>
        <v>8</v>
      </c>
      <c r="C3159" s="5">
        <v>81.3</v>
      </c>
    </row>
    <row r="3160" spans="1:3" x14ac:dyDescent="0.35">
      <c r="A3160" s="9">
        <v>42972</v>
      </c>
      <c r="B3160">
        <f t="shared" si="50"/>
        <v>8</v>
      </c>
      <c r="C3160" s="5">
        <v>79.599999999999994</v>
      </c>
    </row>
    <row r="3161" spans="1:3" x14ac:dyDescent="0.35">
      <c r="A3161" s="9">
        <v>42973</v>
      </c>
      <c r="B3161">
        <f t="shared" si="50"/>
        <v>8</v>
      </c>
      <c r="C3161" s="5">
        <v>83.4</v>
      </c>
    </row>
    <row r="3162" spans="1:3" x14ac:dyDescent="0.35">
      <c r="A3162" s="9">
        <v>42974</v>
      </c>
      <c r="B3162">
        <f t="shared" si="50"/>
        <v>8</v>
      </c>
      <c r="C3162" s="5">
        <v>89.1</v>
      </c>
    </row>
    <row r="3163" spans="1:3" x14ac:dyDescent="0.35">
      <c r="A3163" s="9">
        <v>42975</v>
      </c>
      <c r="B3163">
        <f t="shared" si="50"/>
        <v>8</v>
      </c>
      <c r="C3163" s="5">
        <v>91.4</v>
      </c>
    </row>
    <row r="3164" spans="1:3" x14ac:dyDescent="0.35">
      <c r="A3164" s="9">
        <v>42976</v>
      </c>
      <c r="B3164">
        <f t="shared" si="50"/>
        <v>8</v>
      </c>
      <c r="C3164" s="5">
        <v>88.9</v>
      </c>
    </row>
    <row r="3165" spans="1:3" x14ac:dyDescent="0.35">
      <c r="A3165" s="9">
        <v>42977</v>
      </c>
      <c r="B3165">
        <f t="shared" si="50"/>
        <v>8</v>
      </c>
      <c r="C3165" s="5">
        <v>83.8</v>
      </c>
    </row>
    <row r="3166" spans="1:3" x14ac:dyDescent="0.35">
      <c r="A3166" s="9">
        <v>42978</v>
      </c>
      <c r="B3166">
        <f t="shared" si="50"/>
        <v>8</v>
      </c>
      <c r="C3166" s="5">
        <v>78.8</v>
      </c>
    </row>
    <row r="3167" spans="1:3" x14ac:dyDescent="0.35">
      <c r="A3167" s="9">
        <v>42979</v>
      </c>
      <c r="B3167">
        <f t="shared" si="50"/>
        <v>9</v>
      </c>
      <c r="C3167" s="5">
        <v>77.5</v>
      </c>
    </row>
    <row r="3168" spans="1:3" x14ac:dyDescent="0.35">
      <c r="A3168" s="9">
        <v>42980</v>
      </c>
      <c r="B3168">
        <f t="shared" si="50"/>
        <v>9</v>
      </c>
      <c r="C3168" s="5">
        <v>108.8</v>
      </c>
    </row>
    <row r="3169" spans="1:3" x14ac:dyDescent="0.35">
      <c r="A3169" s="9">
        <v>42981</v>
      </c>
      <c r="B3169">
        <f t="shared" si="50"/>
        <v>9</v>
      </c>
      <c r="C3169" s="5">
        <v>116.1</v>
      </c>
    </row>
    <row r="3170" spans="1:3" x14ac:dyDescent="0.35">
      <c r="A3170" s="9">
        <v>42982</v>
      </c>
      <c r="B3170">
        <f t="shared" si="50"/>
        <v>9</v>
      </c>
      <c r="C3170" s="5">
        <v>122.6</v>
      </c>
    </row>
    <row r="3171" spans="1:3" x14ac:dyDescent="0.35">
      <c r="A3171" s="9">
        <v>42983</v>
      </c>
      <c r="B3171">
        <f t="shared" si="50"/>
        <v>9</v>
      </c>
      <c r="C3171" s="5">
        <v>127.3</v>
      </c>
    </row>
    <row r="3172" spans="1:3" x14ac:dyDescent="0.35">
      <c r="A3172" s="9">
        <v>42984</v>
      </c>
      <c r="B3172">
        <f t="shared" si="50"/>
        <v>9</v>
      </c>
      <c r="C3172" s="5">
        <v>128.80000000000001</v>
      </c>
    </row>
    <row r="3173" spans="1:3" x14ac:dyDescent="0.35">
      <c r="A3173" s="9">
        <v>42985</v>
      </c>
      <c r="B3173">
        <f t="shared" si="50"/>
        <v>9</v>
      </c>
      <c r="C3173" s="5">
        <v>127.9</v>
      </c>
    </row>
    <row r="3174" spans="1:3" x14ac:dyDescent="0.35">
      <c r="A3174" s="9">
        <v>42986</v>
      </c>
      <c r="B3174">
        <f t="shared" si="50"/>
        <v>9</v>
      </c>
      <c r="C3174" s="5">
        <v>132.69999999999999</v>
      </c>
    </row>
    <row r="3175" spans="1:3" x14ac:dyDescent="0.35">
      <c r="A3175" s="9">
        <v>42987</v>
      </c>
      <c r="B3175">
        <f t="shared" si="50"/>
        <v>9</v>
      </c>
      <c r="C3175" s="5">
        <v>146.80000000000001</v>
      </c>
    </row>
    <row r="3176" spans="1:3" x14ac:dyDescent="0.35">
      <c r="A3176" s="9">
        <v>42988</v>
      </c>
      <c r="B3176">
        <f t="shared" si="50"/>
        <v>9</v>
      </c>
      <c r="C3176" s="5">
        <v>161.30000000000001</v>
      </c>
    </row>
    <row r="3177" spans="1:3" x14ac:dyDescent="0.35">
      <c r="A3177" s="9">
        <v>42989</v>
      </c>
      <c r="B3177">
        <f t="shared" si="50"/>
        <v>9</v>
      </c>
      <c r="C3177" s="5">
        <v>165.8</v>
      </c>
    </row>
    <row r="3178" spans="1:3" x14ac:dyDescent="0.35">
      <c r="A3178" s="9">
        <v>42990</v>
      </c>
      <c r="B3178">
        <f t="shared" si="50"/>
        <v>9</v>
      </c>
      <c r="C3178" s="5">
        <v>162.5</v>
      </c>
    </row>
    <row r="3179" spans="1:3" x14ac:dyDescent="0.35">
      <c r="A3179" s="9">
        <v>42991</v>
      </c>
      <c r="B3179">
        <f t="shared" si="50"/>
        <v>9</v>
      </c>
      <c r="C3179" s="5">
        <v>160.9</v>
      </c>
    </row>
    <row r="3180" spans="1:3" x14ac:dyDescent="0.35">
      <c r="A3180" s="9">
        <v>42992</v>
      </c>
      <c r="B3180">
        <f t="shared" si="50"/>
        <v>9</v>
      </c>
      <c r="C3180" s="5">
        <v>162.19999999999999</v>
      </c>
    </row>
    <row r="3181" spans="1:3" x14ac:dyDescent="0.35">
      <c r="A3181" s="9">
        <v>42993</v>
      </c>
      <c r="B3181">
        <f t="shared" si="50"/>
        <v>9</v>
      </c>
      <c r="C3181" s="5">
        <v>158.9</v>
      </c>
    </row>
    <row r="3182" spans="1:3" x14ac:dyDescent="0.35">
      <c r="A3182" s="9">
        <v>42994</v>
      </c>
      <c r="B3182">
        <f t="shared" si="50"/>
        <v>9</v>
      </c>
      <c r="C3182" s="5">
        <v>149.69999999999999</v>
      </c>
    </row>
    <row r="3183" spans="1:3" x14ac:dyDescent="0.35">
      <c r="A3183" s="9">
        <v>42995</v>
      </c>
      <c r="B3183">
        <f t="shared" si="50"/>
        <v>9</v>
      </c>
      <c r="C3183" s="5">
        <v>138.5</v>
      </c>
    </row>
    <row r="3184" spans="1:3" x14ac:dyDescent="0.35">
      <c r="A3184" s="9">
        <v>42996</v>
      </c>
      <c r="B3184">
        <f t="shared" si="50"/>
        <v>9</v>
      </c>
      <c r="C3184" s="5">
        <v>130.1</v>
      </c>
    </row>
    <row r="3185" spans="1:3" x14ac:dyDescent="0.35">
      <c r="A3185" s="9">
        <v>42997</v>
      </c>
      <c r="B3185">
        <f t="shared" si="50"/>
        <v>9</v>
      </c>
      <c r="C3185" s="5">
        <v>130.30000000000001</v>
      </c>
    </row>
    <row r="3186" spans="1:3" x14ac:dyDescent="0.35">
      <c r="A3186" s="9">
        <v>42998</v>
      </c>
      <c r="B3186">
        <f t="shared" si="50"/>
        <v>9</v>
      </c>
      <c r="C3186" s="5">
        <v>140.80000000000001</v>
      </c>
    </row>
    <row r="3187" spans="1:3" x14ac:dyDescent="0.35">
      <c r="A3187" s="9">
        <v>42999</v>
      </c>
      <c r="B3187">
        <f t="shared" si="50"/>
        <v>9</v>
      </c>
      <c r="C3187" s="5">
        <v>153.4</v>
      </c>
    </row>
    <row r="3188" spans="1:3" x14ac:dyDescent="0.35">
      <c r="A3188" s="9">
        <v>43000</v>
      </c>
      <c r="B3188">
        <f t="shared" si="50"/>
        <v>9</v>
      </c>
      <c r="C3188" s="5">
        <v>156.9</v>
      </c>
    </row>
    <row r="3189" spans="1:3" x14ac:dyDescent="0.35">
      <c r="A3189" s="9">
        <v>43001</v>
      </c>
      <c r="B3189">
        <f t="shared" si="50"/>
        <v>9</v>
      </c>
      <c r="C3189" s="5">
        <v>150.1</v>
      </c>
    </row>
    <row r="3190" spans="1:3" x14ac:dyDescent="0.35">
      <c r="A3190" s="9">
        <v>43002</v>
      </c>
      <c r="B3190">
        <f t="shared" si="50"/>
        <v>9</v>
      </c>
      <c r="C3190" s="5">
        <v>138.30000000000001</v>
      </c>
    </row>
    <row r="3191" spans="1:3" x14ac:dyDescent="0.35">
      <c r="A3191" s="9">
        <v>43003</v>
      </c>
      <c r="B3191">
        <f t="shared" si="50"/>
        <v>9</v>
      </c>
      <c r="C3191" s="5">
        <v>127.6</v>
      </c>
    </row>
    <row r="3192" spans="1:3" x14ac:dyDescent="0.35">
      <c r="A3192" s="9">
        <v>43004</v>
      </c>
      <c r="B3192">
        <f t="shared" si="50"/>
        <v>9</v>
      </c>
      <c r="C3192" s="5">
        <v>122.7</v>
      </c>
    </row>
    <row r="3193" spans="1:3" x14ac:dyDescent="0.35">
      <c r="A3193" s="9">
        <v>43005</v>
      </c>
      <c r="B3193">
        <f t="shared" si="50"/>
        <v>9</v>
      </c>
      <c r="C3193" s="5">
        <v>122.7</v>
      </c>
    </row>
    <row r="3194" spans="1:3" x14ac:dyDescent="0.35">
      <c r="A3194" s="9">
        <v>43006</v>
      </c>
      <c r="B3194">
        <f t="shared" si="50"/>
        <v>9</v>
      </c>
      <c r="C3194" s="5">
        <v>128</v>
      </c>
    </row>
    <row r="3195" spans="1:3" x14ac:dyDescent="0.35">
      <c r="A3195" s="9">
        <v>43007</v>
      </c>
      <c r="B3195">
        <f t="shared" si="50"/>
        <v>9</v>
      </c>
      <c r="C3195" s="5">
        <v>139.30000000000001</v>
      </c>
    </row>
    <row r="3196" spans="1:3" x14ac:dyDescent="0.35">
      <c r="A3196" s="9">
        <v>43008</v>
      </c>
      <c r="B3196">
        <f t="shared" si="50"/>
        <v>9</v>
      </c>
      <c r="C3196" s="5">
        <v>151.9</v>
      </c>
    </row>
    <row r="3197" spans="1:3" x14ac:dyDescent="0.35">
      <c r="A3197" s="9">
        <v>43009</v>
      </c>
      <c r="B3197">
        <f t="shared" si="50"/>
        <v>10</v>
      </c>
      <c r="C3197" s="5">
        <v>153.6</v>
      </c>
    </row>
    <row r="3198" spans="1:3" x14ac:dyDescent="0.35">
      <c r="A3198" s="9">
        <v>43010</v>
      </c>
      <c r="B3198">
        <f t="shared" si="50"/>
        <v>10</v>
      </c>
      <c r="C3198" s="5">
        <v>165.7</v>
      </c>
    </row>
    <row r="3199" spans="1:3" x14ac:dyDescent="0.35">
      <c r="A3199" s="9">
        <v>43011</v>
      </c>
      <c r="B3199">
        <f t="shared" si="50"/>
        <v>10</v>
      </c>
      <c r="C3199" s="5">
        <v>169</v>
      </c>
    </row>
    <row r="3200" spans="1:3" x14ac:dyDescent="0.35">
      <c r="A3200" s="9">
        <v>43012</v>
      </c>
      <c r="B3200">
        <f t="shared" si="50"/>
        <v>10</v>
      </c>
      <c r="C3200" s="5">
        <v>183.2</v>
      </c>
    </row>
    <row r="3201" spans="1:3" x14ac:dyDescent="0.35">
      <c r="A3201" s="9">
        <v>43013</v>
      </c>
      <c r="B3201">
        <f t="shared" si="50"/>
        <v>10</v>
      </c>
      <c r="C3201" s="5">
        <v>198.1</v>
      </c>
    </row>
    <row r="3202" spans="1:3" x14ac:dyDescent="0.35">
      <c r="A3202" s="9">
        <v>43014</v>
      </c>
      <c r="B3202">
        <f t="shared" si="50"/>
        <v>10</v>
      </c>
      <c r="C3202" s="5">
        <v>200</v>
      </c>
    </row>
    <row r="3203" spans="1:3" x14ac:dyDescent="0.35">
      <c r="A3203" s="9">
        <v>43015</v>
      </c>
      <c r="B3203">
        <f t="shared" si="50"/>
        <v>10</v>
      </c>
      <c r="C3203" s="5">
        <v>197.9</v>
      </c>
    </row>
    <row r="3204" spans="1:3" x14ac:dyDescent="0.35">
      <c r="A3204" s="9">
        <v>43016</v>
      </c>
      <c r="B3204">
        <f t="shared" ref="B3204:B3267" si="51">MONTH(A3204)</f>
        <v>10</v>
      </c>
      <c r="C3204" s="5">
        <v>204</v>
      </c>
    </row>
    <row r="3205" spans="1:3" x14ac:dyDescent="0.35">
      <c r="A3205" s="9">
        <v>43017</v>
      </c>
      <c r="B3205">
        <f t="shared" si="51"/>
        <v>10</v>
      </c>
      <c r="C3205" s="5">
        <v>213.9</v>
      </c>
    </row>
    <row r="3206" spans="1:3" x14ac:dyDescent="0.35">
      <c r="A3206" s="9">
        <v>43018</v>
      </c>
      <c r="B3206">
        <f t="shared" si="51"/>
        <v>10</v>
      </c>
      <c r="C3206" s="5">
        <v>221.4</v>
      </c>
    </row>
    <row r="3207" spans="1:3" x14ac:dyDescent="0.35">
      <c r="A3207" s="9">
        <v>43019</v>
      </c>
      <c r="B3207">
        <f t="shared" si="51"/>
        <v>10</v>
      </c>
      <c r="C3207" s="5">
        <v>221.4</v>
      </c>
    </row>
    <row r="3208" spans="1:3" x14ac:dyDescent="0.35">
      <c r="A3208" s="9">
        <v>43020</v>
      </c>
      <c r="B3208">
        <f t="shared" si="51"/>
        <v>10</v>
      </c>
      <c r="C3208" s="5">
        <v>222.1</v>
      </c>
    </row>
    <row r="3209" spans="1:3" x14ac:dyDescent="0.35">
      <c r="A3209" s="9">
        <v>43021</v>
      </c>
      <c r="B3209">
        <f t="shared" si="51"/>
        <v>10</v>
      </c>
      <c r="C3209" s="5">
        <v>222.1</v>
      </c>
    </row>
    <row r="3210" spans="1:3" x14ac:dyDescent="0.35">
      <c r="A3210" s="9">
        <v>43022</v>
      </c>
      <c r="B3210">
        <f t="shared" si="51"/>
        <v>10</v>
      </c>
      <c r="C3210" s="5">
        <v>223.1</v>
      </c>
    </row>
    <row r="3211" spans="1:3" x14ac:dyDescent="0.35">
      <c r="A3211" s="9">
        <v>43023</v>
      </c>
      <c r="B3211">
        <f t="shared" si="51"/>
        <v>10</v>
      </c>
      <c r="C3211" s="5">
        <v>217.8</v>
      </c>
    </row>
    <row r="3212" spans="1:3" x14ac:dyDescent="0.35">
      <c r="A3212" s="9">
        <v>43024</v>
      </c>
      <c r="B3212">
        <f t="shared" si="51"/>
        <v>10</v>
      </c>
      <c r="C3212" s="5">
        <v>204.7</v>
      </c>
    </row>
    <row r="3213" spans="1:3" x14ac:dyDescent="0.35">
      <c r="A3213" s="9">
        <v>43025</v>
      </c>
      <c r="B3213">
        <f t="shared" si="51"/>
        <v>10</v>
      </c>
      <c r="C3213" s="5">
        <v>187.5</v>
      </c>
    </row>
    <row r="3214" spans="1:3" x14ac:dyDescent="0.35">
      <c r="A3214" s="9">
        <v>43026</v>
      </c>
      <c r="B3214">
        <f t="shared" si="51"/>
        <v>10</v>
      </c>
      <c r="C3214" s="5">
        <v>171.1</v>
      </c>
    </row>
    <row r="3215" spans="1:3" x14ac:dyDescent="0.35">
      <c r="A3215" s="9">
        <v>43027</v>
      </c>
      <c r="B3215">
        <f t="shared" si="51"/>
        <v>10</v>
      </c>
      <c r="C3215" s="5">
        <v>159.69999999999999</v>
      </c>
    </row>
    <row r="3216" spans="1:3" x14ac:dyDescent="0.35">
      <c r="A3216" s="9">
        <v>43028</v>
      </c>
      <c r="B3216">
        <f t="shared" si="51"/>
        <v>10</v>
      </c>
      <c r="C3216" s="5">
        <v>152.19999999999999</v>
      </c>
    </row>
    <row r="3217" spans="1:3" x14ac:dyDescent="0.35">
      <c r="A3217" s="9">
        <v>43029</v>
      </c>
      <c r="B3217">
        <f t="shared" si="51"/>
        <v>10</v>
      </c>
      <c r="C3217" s="5">
        <v>151.1</v>
      </c>
    </row>
    <row r="3218" spans="1:3" x14ac:dyDescent="0.35">
      <c r="A3218" s="9">
        <v>43030</v>
      </c>
      <c r="B3218">
        <f t="shared" si="51"/>
        <v>10</v>
      </c>
      <c r="C3218" s="5">
        <v>154.5</v>
      </c>
    </row>
    <row r="3219" spans="1:3" x14ac:dyDescent="0.35">
      <c r="A3219" s="9">
        <v>43031</v>
      </c>
      <c r="B3219">
        <f t="shared" si="51"/>
        <v>10</v>
      </c>
      <c r="C3219" s="5">
        <v>157.69999999999999</v>
      </c>
    </row>
    <row r="3220" spans="1:3" x14ac:dyDescent="0.35">
      <c r="A3220" s="9">
        <v>43032</v>
      </c>
      <c r="B3220">
        <f t="shared" si="51"/>
        <v>10</v>
      </c>
      <c r="C3220" s="5">
        <v>164.1</v>
      </c>
    </row>
    <row r="3221" spans="1:3" x14ac:dyDescent="0.35">
      <c r="A3221" s="9">
        <v>43033</v>
      </c>
      <c r="B3221">
        <f t="shared" si="51"/>
        <v>10</v>
      </c>
      <c r="C3221" s="5">
        <v>175.5</v>
      </c>
    </row>
    <row r="3222" spans="1:3" x14ac:dyDescent="0.35">
      <c r="A3222" s="9">
        <v>43034</v>
      </c>
      <c r="B3222">
        <f t="shared" si="51"/>
        <v>10</v>
      </c>
      <c r="C3222" s="5">
        <v>199.7</v>
      </c>
    </row>
    <row r="3223" spans="1:3" x14ac:dyDescent="0.35">
      <c r="A3223" s="9">
        <v>43035</v>
      </c>
      <c r="B3223">
        <f t="shared" si="51"/>
        <v>10</v>
      </c>
      <c r="C3223" s="5">
        <v>227.5</v>
      </c>
    </row>
    <row r="3224" spans="1:3" x14ac:dyDescent="0.35">
      <c r="A3224" s="9">
        <v>43036</v>
      </c>
      <c r="B3224">
        <f t="shared" si="51"/>
        <v>10</v>
      </c>
      <c r="C3224" s="5">
        <v>245.8</v>
      </c>
    </row>
    <row r="3225" spans="1:3" x14ac:dyDescent="0.35">
      <c r="A3225" s="9">
        <v>43037</v>
      </c>
      <c r="B3225">
        <f t="shared" si="51"/>
        <v>10</v>
      </c>
      <c r="C3225" s="5">
        <v>245.1</v>
      </c>
    </row>
    <row r="3226" spans="1:3" x14ac:dyDescent="0.35">
      <c r="A3226" s="9">
        <v>43038</v>
      </c>
      <c r="B3226">
        <f t="shared" si="51"/>
        <v>10</v>
      </c>
      <c r="C3226" s="5">
        <v>238.7</v>
      </c>
    </row>
    <row r="3227" spans="1:3" x14ac:dyDescent="0.35">
      <c r="A3227" s="9">
        <v>43039</v>
      </c>
      <c r="B3227">
        <f t="shared" si="51"/>
        <v>10</v>
      </c>
      <c r="C3227" s="5">
        <v>234.9</v>
      </c>
    </row>
    <row r="3228" spans="1:3" x14ac:dyDescent="0.35">
      <c r="A3228" s="9">
        <v>43040</v>
      </c>
      <c r="B3228">
        <f t="shared" si="51"/>
        <v>11</v>
      </c>
      <c r="C3228" s="5">
        <v>230.8</v>
      </c>
    </row>
    <row r="3229" spans="1:3" x14ac:dyDescent="0.35">
      <c r="A3229" s="9">
        <v>43041</v>
      </c>
      <c r="B3229">
        <f t="shared" si="51"/>
        <v>11</v>
      </c>
      <c r="C3229" s="5">
        <v>244.1</v>
      </c>
    </row>
    <row r="3230" spans="1:3" x14ac:dyDescent="0.35">
      <c r="A3230" s="9">
        <v>43042</v>
      </c>
      <c r="B3230">
        <f t="shared" si="51"/>
        <v>11</v>
      </c>
      <c r="C3230" s="5">
        <v>247.2</v>
      </c>
    </row>
    <row r="3231" spans="1:3" x14ac:dyDescent="0.35">
      <c r="A3231" s="9">
        <v>43043</v>
      </c>
      <c r="B3231">
        <f t="shared" si="51"/>
        <v>11</v>
      </c>
      <c r="C3231" s="5">
        <v>255.1</v>
      </c>
    </row>
    <row r="3232" spans="1:3" x14ac:dyDescent="0.35">
      <c r="A3232" s="9">
        <v>43044</v>
      </c>
      <c r="B3232">
        <f t="shared" si="51"/>
        <v>11</v>
      </c>
      <c r="C3232" s="5">
        <v>260.7</v>
      </c>
    </row>
    <row r="3233" spans="1:3" x14ac:dyDescent="0.35">
      <c r="A3233" s="9">
        <v>43045</v>
      </c>
      <c r="B3233">
        <f t="shared" si="51"/>
        <v>11</v>
      </c>
      <c r="C3233" s="5">
        <v>263.60000000000002</v>
      </c>
    </row>
    <row r="3234" spans="1:3" x14ac:dyDescent="0.35">
      <c r="A3234" s="9">
        <v>43046</v>
      </c>
      <c r="B3234">
        <f t="shared" si="51"/>
        <v>11</v>
      </c>
      <c r="C3234" s="5">
        <v>257.7</v>
      </c>
    </row>
    <row r="3235" spans="1:3" x14ac:dyDescent="0.35">
      <c r="A3235" s="9">
        <v>43047</v>
      </c>
      <c r="B3235">
        <f t="shared" si="51"/>
        <v>11</v>
      </c>
      <c r="C3235" s="5">
        <v>251.8</v>
      </c>
    </row>
    <row r="3236" spans="1:3" x14ac:dyDescent="0.35">
      <c r="A3236" s="9">
        <v>43048</v>
      </c>
      <c r="B3236">
        <f t="shared" si="51"/>
        <v>11</v>
      </c>
      <c r="C3236" s="5">
        <v>248.9</v>
      </c>
    </row>
    <row r="3237" spans="1:3" x14ac:dyDescent="0.35">
      <c r="A3237" s="9">
        <v>43049</v>
      </c>
      <c r="B3237">
        <f t="shared" si="51"/>
        <v>11</v>
      </c>
      <c r="C3237" s="5">
        <v>250.6</v>
      </c>
    </row>
    <row r="3238" spans="1:3" x14ac:dyDescent="0.35">
      <c r="A3238" s="9">
        <v>43050</v>
      </c>
      <c r="B3238">
        <f t="shared" si="51"/>
        <v>11</v>
      </c>
      <c r="C3238" s="5">
        <v>255.7</v>
      </c>
    </row>
    <row r="3239" spans="1:3" x14ac:dyDescent="0.35">
      <c r="A3239" s="9">
        <v>43051</v>
      </c>
      <c r="B3239">
        <f t="shared" si="51"/>
        <v>11</v>
      </c>
      <c r="C3239" s="5">
        <v>256.89999999999998</v>
      </c>
    </row>
    <row r="3240" spans="1:3" x14ac:dyDescent="0.35">
      <c r="A3240" s="9">
        <v>43052</v>
      </c>
      <c r="B3240">
        <f t="shared" si="51"/>
        <v>11</v>
      </c>
      <c r="C3240" s="5">
        <v>257.60000000000002</v>
      </c>
    </row>
    <row r="3241" spans="1:3" x14ac:dyDescent="0.35">
      <c r="A3241" s="9">
        <v>43053</v>
      </c>
      <c r="B3241">
        <f t="shared" si="51"/>
        <v>11</v>
      </c>
      <c r="C3241" s="5">
        <v>262.3</v>
      </c>
    </row>
    <row r="3242" spans="1:3" x14ac:dyDescent="0.35">
      <c r="A3242" s="9">
        <v>43054</v>
      </c>
      <c r="B3242">
        <f t="shared" si="51"/>
        <v>11</v>
      </c>
      <c r="C3242" s="5">
        <v>268.89999999999998</v>
      </c>
    </row>
    <row r="3243" spans="1:3" x14ac:dyDescent="0.35">
      <c r="A3243" s="9">
        <v>43055</v>
      </c>
      <c r="B3243">
        <f t="shared" si="51"/>
        <v>11</v>
      </c>
      <c r="C3243" s="5">
        <v>274</v>
      </c>
    </row>
    <row r="3244" spans="1:3" x14ac:dyDescent="0.35">
      <c r="A3244" s="9">
        <v>43056</v>
      </c>
      <c r="B3244">
        <f t="shared" si="51"/>
        <v>11</v>
      </c>
      <c r="C3244" s="5">
        <v>275.60000000000002</v>
      </c>
    </row>
    <row r="3245" spans="1:3" x14ac:dyDescent="0.35">
      <c r="A3245" s="9">
        <v>43057</v>
      </c>
      <c r="B3245">
        <f t="shared" si="51"/>
        <v>11</v>
      </c>
      <c r="C3245" s="5">
        <v>270.3</v>
      </c>
    </row>
    <row r="3246" spans="1:3" x14ac:dyDescent="0.35">
      <c r="A3246" s="9">
        <v>43058</v>
      </c>
      <c r="B3246">
        <f t="shared" si="51"/>
        <v>11</v>
      </c>
      <c r="C3246" s="5">
        <v>266.5</v>
      </c>
    </row>
    <row r="3247" spans="1:3" x14ac:dyDescent="0.35">
      <c r="A3247" s="9">
        <v>43059</v>
      </c>
      <c r="B3247">
        <f t="shared" si="51"/>
        <v>11</v>
      </c>
      <c r="C3247" s="5">
        <v>258</v>
      </c>
    </row>
    <row r="3248" spans="1:3" x14ac:dyDescent="0.35">
      <c r="A3248" s="9">
        <v>43060</v>
      </c>
      <c r="B3248">
        <f t="shared" si="51"/>
        <v>11</v>
      </c>
      <c r="C3248" s="5">
        <v>247.7</v>
      </c>
    </row>
    <row r="3249" spans="1:3" x14ac:dyDescent="0.35">
      <c r="A3249" s="9">
        <v>43061</v>
      </c>
      <c r="B3249">
        <f t="shared" si="51"/>
        <v>11</v>
      </c>
      <c r="C3249" s="5">
        <v>234.4</v>
      </c>
    </row>
    <row r="3250" spans="1:3" x14ac:dyDescent="0.35">
      <c r="A3250" s="9">
        <v>43062</v>
      </c>
      <c r="B3250">
        <f t="shared" si="51"/>
        <v>11</v>
      </c>
      <c r="C3250" s="5">
        <v>220.4</v>
      </c>
    </row>
    <row r="3251" spans="1:3" x14ac:dyDescent="0.35">
      <c r="A3251" s="9">
        <v>43063</v>
      </c>
      <c r="B3251">
        <f t="shared" si="51"/>
        <v>11</v>
      </c>
      <c r="C3251" s="5">
        <v>208.1</v>
      </c>
    </row>
    <row r="3252" spans="1:3" x14ac:dyDescent="0.35">
      <c r="A3252" s="9">
        <v>43064</v>
      </c>
      <c r="B3252">
        <f t="shared" si="51"/>
        <v>11</v>
      </c>
      <c r="C3252" s="5">
        <v>199.1</v>
      </c>
    </row>
    <row r="3253" spans="1:3" x14ac:dyDescent="0.35">
      <c r="A3253" s="9">
        <v>43065</v>
      </c>
      <c r="B3253">
        <f t="shared" si="51"/>
        <v>11</v>
      </c>
      <c r="C3253" s="5">
        <v>194.5</v>
      </c>
    </row>
    <row r="3254" spans="1:3" x14ac:dyDescent="0.35">
      <c r="A3254" s="9">
        <v>43066</v>
      </c>
      <c r="B3254">
        <f t="shared" si="51"/>
        <v>11</v>
      </c>
      <c r="C3254" s="5">
        <v>194.2</v>
      </c>
    </row>
    <row r="3255" spans="1:3" x14ac:dyDescent="0.35">
      <c r="A3255" s="9">
        <v>43067</v>
      </c>
      <c r="B3255">
        <f t="shared" si="51"/>
        <v>11</v>
      </c>
      <c r="C3255" s="5">
        <v>198.8</v>
      </c>
    </row>
    <row r="3256" spans="1:3" x14ac:dyDescent="0.35">
      <c r="A3256" s="9">
        <v>43068</v>
      </c>
      <c r="B3256">
        <f t="shared" si="51"/>
        <v>11</v>
      </c>
      <c r="C3256" s="5">
        <v>210.3</v>
      </c>
    </row>
    <row r="3257" spans="1:3" x14ac:dyDescent="0.35">
      <c r="A3257" s="9">
        <v>43069</v>
      </c>
      <c r="B3257">
        <f t="shared" si="51"/>
        <v>11</v>
      </c>
      <c r="C3257" s="5">
        <v>220.1</v>
      </c>
    </row>
    <row r="3258" spans="1:3" x14ac:dyDescent="0.35">
      <c r="A3258" s="9">
        <v>43070</v>
      </c>
      <c r="B3258">
        <f t="shared" si="51"/>
        <v>12</v>
      </c>
      <c r="C3258" s="5">
        <v>220.6</v>
      </c>
    </row>
    <row r="3259" spans="1:3" x14ac:dyDescent="0.35">
      <c r="A3259" s="9">
        <v>43071</v>
      </c>
      <c r="B3259">
        <f t="shared" si="51"/>
        <v>12</v>
      </c>
      <c r="C3259" s="5">
        <v>226.4</v>
      </c>
    </row>
    <row r="3260" spans="1:3" x14ac:dyDescent="0.35">
      <c r="A3260" s="9">
        <v>43072</v>
      </c>
      <c r="B3260">
        <f t="shared" si="51"/>
        <v>12</v>
      </c>
      <c r="C3260" s="5">
        <v>223.9</v>
      </c>
    </row>
    <row r="3261" spans="1:3" x14ac:dyDescent="0.35">
      <c r="A3261" s="9">
        <v>43073</v>
      </c>
      <c r="B3261">
        <f t="shared" si="51"/>
        <v>12</v>
      </c>
      <c r="C3261" s="5">
        <v>225.2</v>
      </c>
    </row>
    <row r="3262" spans="1:3" x14ac:dyDescent="0.35">
      <c r="A3262" s="9">
        <v>43074</v>
      </c>
      <c r="B3262">
        <f t="shared" si="51"/>
        <v>12</v>
      </c>
      <c r="C3262" s="5">
        <v>226.3</v>
      </c>
    </row>
    <row r="3263" spans="1:3" x14ac:dyDescent="0.35">
      <c r="A3263" s="9">
        <v>43075</v>
      </c>
      <c r="B3263">
        <f t="shared" si="51"/>
        <v>12</v>
      </c>
      <c r="C3263" s="5">
        <v>229.4</v>
      </c>
    </row>
    <row r="3264" spans="1:3" x14ac:dyDescent="0.35">
      <c r="A3264" s="9">
        <v>43076</v>
      </c>
      <c r="B3264">
        <f t="shared" si="51"/>
        <v>12</v>
      </c>
      <c r="C3264" s="5">
        <v>237.5</v>
      </c>
    </row>
    <row r="3265" spans="1:3" x14ac:dyDescent="0.35">
      <c r="A3265" s="9">
        <v>43077</v>
      </c>
      <c r="B3265">
        <f t="shared" si="51"/>
        <v>12</v>
      </c>
      <c r="C3265" s="5">
        <v>251.2</v>
      </c>
    </row>
    <row r="3266" spans="1:3" x14ac:dyDescent="0.35">
      <c r="A3266" s="9">
        <v>43078</v>
      </c>
      <c r="B3266">
        <f t="shared" si="51"/>
        <v>12</v>
      </c>
      <c r="C3266" s="5">
        <v>265.7</v>
      </c>
    </row>
    <row r="3267" spans="1:3" x14ac:dyDescent="0.35">
      <c r="A3267" s="9">
        <v>43079</v>
      </c>
      <c r="B3267">
        <f t="shared" si="51"/>
        <v>12</v>
      </c>
      <c r="C3267" s="5">
        <v>274.5</v>
      </c>
    </row>
    <row r="3268" spans="1:3" x14ac:dyDescent="0.35">
      <c r="A3268" s="9">
        <v>43080</v>
      </c>
      <c r="B3268">
        <f t="shared" ref="B3268:B3331" si="52">MONTH(A3268)</f>
        <v>12</v>
      </c>
      <c r="C3268" s="5">
        <v>278.5</v>
      </c>
    </row>
    <row r="3269" spans="1:3" x14ac:dyDescent="0.35">
      <c r="A3269" s="9">
        <v>43081</v>
      </c>
      <c r="B3269">
        <f t="shared" si="52"/>
        <v>12</v>
      </c>
      <c r="C3269" s="5">
        <v>279.7</v>
      </c>
    </row>
    <row r="3270" spans="1:3" x14ac:dyDescent="0.35">
      <c r="A3270" s="9">
        <v>43082</v>
      </c>
      <c r="B3270">
        <f t="shared" si="52"/>
        <v>12</v>
      </c>
      <c r="C3270" s="5">
        <v>276.60000000000002</v>
      </c>
    </row>
    <row r="3271" spans="1:3" x14ac:dyDescent="0.35">
      <c r="A3271" s="9">
        <v>43083</v>
      </c>
      <c r="B3271">
        <f t="shared" si="52"/>
        <v>12</v>
      </c>
      <c r="C3271" s="5">
        <v>271.60000000000002</v>
      </c>
    </row>
    <row r="3272" spans="1:3" x14ac:dyDescent="0.35">
      <c r="A3272" s="9">
        <v>43084</v>
      </c>
      <c r="B3272">
        <f t="shared" si="52"/>
        <v>12</v>
      </c>
      <c r="C3272" s="5">
        <v>258.89999999999998</v>
      </c>
    </row>
    <row r="3273" spans="1:3" x14ac:dyDescent="0.35">
      <c r="A3273" s="9">
        <v>43085</v>
      </c>
      <c r="B3273">
        <f t="shared" si="52"/>
        <v>12</v>
      </c>
      <c r="C3273" s="5">
        <v>242.2</v>
      </c>
    </row>
    <row r="3274" spans="1:3" x14ac:dyDescent="0.35">
      <c r="A3274" s="9">
        <v>43086</v>
      </c>
      <c r="B3274">
        <f t="shared" si="52"/>
        <v>12</v>
      </c>
      <c r="C3274" s="5">
        <v>226.5</v>
      </c>
    </row>
    <row r="3275" spans="1:3" x14ac:dyDescent="0.35">
      <c r="A3275" s="9">
        <v>43087</v>
      </c>
      <c r="B3275">
        <f t="shared" si="52"/>
        <v>12</v>
      </c>
      <c r="C3275" s="5">
        <v>219</v>
      </c>
    </row>
    <row r="3276" spans="1:3" x14ac:dyDescent="0.35">
      <c r="A3276" s="9">
        <v>43088</v>
      </c>
      <c r="B3276">
        <f t="shared" si="52"/>
        <v>12</v>
      </c>
      <c r="C3276" s="5">
        <v>228.1</v>
      </c>
    </row>
    <row r="3277" spans="1:3" x14ac:dyDescent="0.35">
      <c r="A3277" s="9">
        <v>43089</v>
      </c>
      <c r="B3277">
        <f t="shared" si="52"/>
        <v>12</v>
      </c>
      <c r="C3277" s="5">
        <v>245.7</v>
      </c>
    </row>
    <row r="3278" spans="1:3" x14ac:dyDescent="0.35">
      <c r="A3278" s="9">
        <v>43090</v>
      </c>
      <c r="B3278">
        <f t="shared" si="52"/>
        <v>12</v>
      </c>
      <c r="C3278" s="5">
        <v>252.1</v>
      </c>
    </row>
    <row r="3279" spans="1:3" x14ac:dyDescent="0.35">
      <c r="A3279" s="9">
        <v>43091</v>
      </c>
      <c r="B3279">
        <f t="shared" si="52"/>
        <v>12</v>
      </c>
      <c r="C3279" s="5">
        <v>248.5</v>
      </c>
    </row>
    <row r="3280" spans="1:3" x14ac:dyDescent="0.35">
      <c r="A3280" s="9">
        <v>43092</v>
      </c>
      <c r="B3280">
        <f t="shared" si="52"/>
        <v>12</v>
      </c>
      <c r="C3280" s="5">
        <v>240.5</v>
      </c>
    </row>
    <row r="3281" spans="1:3" x14ac:dyDescent="0.35">
      <c r="A3281" s="9">
        <v>43093</v>
      </c>
      <c r="B3281">
        <f t="shared" si="52"/>
        <v>12</v>
      </c>
      <c r="C3281" s="5">
        <v>234.5</v>
      </c>
    </row>
    <row r="3282" spans="1:3" x14ac:dyDescent="0.35">
      <c r="A3282" s="9">
        <v>43094</v>
      </c>
      <c r="B3282">
        <f t="shared" si="52"/>
        <v>12</v>
      </c>
      <c r="C3282" s="5">
        <v>227.3</v>
      </c>
    </row>
    <row r="3283" spans="1:3" x14ac:dyDescent="0.35">
      <c r="A3283" s="9">
        <v>43095</v>
      </c>
      <c r="B3283">
        <f t="shared" si="52"/>
        <v>12</v>
      </c>
      <c r="C3283" s="5">
        <v>221.8</v>
      </c>
    </row>
    <row r="3284" spans="1:3" x14ac:dyDescent="0.35">
      <c r="A3284" s="9">
        <v>43096</v>
      </c>
      <c r="B3284">
        <f t="shared" si="52"/>
        <v>12</v>
      </c>
      <c r="C3284" s="5">
        <v>227.5</v>
      </c>
    </row>
    <row r="3285" spans="1:3" x14ac:dyDescent="0.35">
      <c r="A3285" s="9">
        <v>43097</v>
      </c>
      <c r="B3285">
        <f t="shared" si="52"/>
        <v>12</v>
      </c>
      <c r="C3285" s="5">
        <v>243.6</v>
      </c>
    </row>
    <row r="3286" spans="1:3" x14ac:dyDescent="0.35">
      <c r="A3286" s="9">
        <v>43098</v>
      </c>
      <c r="B3286">
        <f t="shared" si="52"/>
        <v>12</v>
      </c>
      <c r="C3286" s="5">
        <v>268.89999999999998</v>
      </c>
    </row>
    <row r="3287" spans="1:3" x14ac:dyDescent="0.35">
      <c r="A3287" s="9">
        <v>43099</v>
      </c>
      <c r="B3287">
        <f t="shared" si="52"/>
        <v>12</v>
      </c>
      <c r="C3287" s="5">
        <v>284.2</v>
      </c>
    </row>
    <row r="3288" spans="1:3" x14ac:dyDescent="0.35">
      <c r="A3288" s="9">
        <v>43100</v>
      </c>
      <c r="B3288">
        <f t="shared" si="52"/>
        <v>12</v>
      </c>
      <c r="C3288" s="5">
        <v>284.39999999999998</v>
      </c>
    </row>
    <row r="3289" spans="1:3" x14ac:dyDescent="0.35">
      <c r="A3289" s="9">
        <v>43101</v>
      </c>
      <c r="B3289">
        <f t="shared" si="52"/>
        <v>1</v>
      </c>
      <c r="C3289" s="5">
        <v>267</v>
      </c>
    </row>
    <row r="3290" spans="1:3" x14ac:dyDescent="0.35">
      <c r="A3290" s="9">
        <v>43102</v>
      </c>
      <c r="B3290">
        <f t="shared" si="52"/>
        <v>1</v>
      </c>
      <c r="C3290" s="5">
        <v>240.6</v>
      </c>
    </row>
    <row r="3291" spans="1:3" x14ac:dyDescent="0.35">
      <c r="A3291" s="9">
        <v>43103</v>
      </c>
      <c r="B3291">
        <f t="shared" si="52"/>
        <v>1</v>
      </c>
      <c r="C3291" s="5">
        <v>218.6</v>
      </c>
    </row>
    <row r="3292" spans="1:3" x14ac:dyDescent="0.35">
      <c r="A3292" s="9">
        <v>43104</v>
      </c>
      <c r="B3292">
        <f t="shared" si="52"/>
        <v>1</v>
      </c>
      <c r="C3292" s="5">
        <v>201.8</v>
      </c>
    </row>
    <row r="3293" spans="1:3" x14ac:dyDescent="0.35">
      <c r="A3293" s="9">
        <v>43105</v>
      </c>
      <c r="B3293">
        <f t="shared" si="52"/>
        <v>1</v>
      </c>
      <c r="C3293" s="5">
        <v>192.3</v>
      </c>
    </row>
    <row r="3294" spans="1:3" x14ac:dyDescent="0.35">
      <c r="A3294" s="9">
        <v>43106</v>
      </c>
      <c r="B3294">
        <f t="shared" si="52"/>
        <v>1</v>
      </c>
      <c r="C3294" s="5">
        <v>190.3</v>
      </c>
    </row>
    <row r="3295" spans="1:3" x14ac:dyDescent="0.35">
      <c r="A3295" s="9">
        <v>43107</v>
      </c>
      <c r="B3295">
        <f t="shared" si="52"/>
        <v>1</v>
      </c>
      <c r="C3295" s="5">
        <v>190.2</v>
      </c>
    </row>
    <row r="3296" spans="1:3" x14ac:dyDescent="0.35">
      <c r="A3296" s="9">
        <v>43108</v>
      </c>
      <c r="B3296">
        <f t="shared" si="52"/>
        <v>1</v>
      </c>
      <c r="C3296" s="5">
        <v>186.6</v>
      </c>
    </row>
    <row r="3297" spans="1:3" x14ac:dyDescent="0.35">
      <c r="A3297" s="9">
        <v>43109</v>
      </c>
      <c r="B3297">
        <f t="shared" si="52"/>
        <v>1</v>
      </c>
      <c r="C3297" s="5">
        <v>178.1</v>
      </c>
    </row>
    <row r="3298" spans="1:3" x14ac:dyDescent="0.35">
      <c r="A3298" s="9">
        <v>43110</v>
      </c>
      <c r="B3298">
        <f t="shared" si="52"/>
        <v>1</v>
      </c>
      <c r="C3298" s="5">
        <v>173.9</v>
      </c>
    </row>
    <row r="3299" spans="1:3" x14ac:dyDescent="0.35">
      <c r="A3299" s="9">
        <v>43111</v>
      </c>
      <c r="B3299">
        <f t="shared" si="52"/>
        <v>1</v>
      </c>
      <c r="C3299" s="5">
        <v>181.2</v>
      </c>
    </row>
    <row r="3300" spans="1:3" x14ac:dyDescent="0.35">
      <c r="A3300" s="9">
        <v>43112</v>
      </c>
      <c r="B3300">
        <f t="shared" si="52"/>
        <v>1</v>
      </c>
      <c r="C3300" s="5">
        <v>196.5</v>
      </c>
    </row>
    <row r="3301" spans="1:3" x14ac:dyDescent="0.35">
      <c r="A3301" s="9">
        <v>43113</v>
      </c>
      <c r="B3301">
        <f t="shared" si="52"/>
        <v>1</v>
      </c>
      <c r="C3301" s="5">
        <v>210.4</v>
      </c>
    </row>
    <row r="3302" spans="1:3" x14ac:dyDescent="0.35">
      <c r="A3302" s="9">
        <v>43114</v>
      </c>
      <c r="B3302">
        <f t="shared" si="52"/>
        <v>1</v>
      </c>
      <c r="C3302" s="5">
        <v>216.5</v>
      </c>
    </row>
    <row r="3303" spans="1:3" x14ac:dyDescent="0.35">
      <c r="A3303" s="9">
        <v>43115</v>
      </c>
      <c r="B3303">
        <f t="shared" si="52"/>
        <v>1</v>
      </c>
      <c r="C3303" s="5">
        <v>211.7</v>
      </c>
    </row>
    <row r="3304" spans="1:3" x14ac:dyDescent="0.35">
      <c r="A3304" s="9">
        <v>43116</v>
      </c>
      <c r="B3304">
        <f t="shared" si="52"/>
        <v>1</v>
      </c>
      <c r="C3304" s="5">
        <v>196.2</v>
      </c>
    </row>
    <row r="3305" spans="1:3" x14ac:dyDescent="0.35">
      <c r="A3305" s="9">
        <v>43117</v>
      </c>
      <c r="B3305">
        <f t="shared" si="52"/>
        <v>1</v>
      </c>
      <c r="C3305" s="5">
        <v>181.2</v>
      </c>
    </row>
    <row r="3306" spans="1:3" x14ac:dyDescent="0.35">
      <c r="A3306" s="9">
        <v>43118</v>
      </c>
      <c r="B3306">
        <f t="shared" si="52"/>
        <v>1</v>
      </c>
      <c r="C3306" s="5">
        <v>177.1</v>
      </c>
    </row>
    <row r="3307" spans="1:3" x14ac:dyDescent="0.35">
      <c r="A3307" s="9">
        <v>43119</v>
      </c>
      <c r="B3307">
        <f t="shared" si="52"/>
        <v>1</v>
      </c>
      <c r="C3307" s="5">
        <v>185.7</v>
      </c>
    </row>
    <row r="3308" spans="1:3" x14ac:dyDescent="0.35">
      <c r="A3308" s="9">
        <v>43120</v>
      </c>
      <c r="B3308">
        <f t="shared" si="52"/>
        <v>1</v>
      </c>
      <c r="C3308" s="5">
        <v>194.8</v>
      </c>
    </row>
    <row r="3309" spans="1:3" x14ac:dyDescent="0.35">
      <c r="A3309" s="9">
        <v>43121</v>
      </c>
      <c r="B3309">
        <f t="shared" si="52"/>
        <v>1</v>
      </c>
      <c r="C3309" s="5">
        <v>196.2</v>
      </c>
    </row>
    <row r="3310" spans="1:3" x14ac:dyDescent="0.35">
      <c r="A3310" s="9">
        <v>43122</v>
      </c>
      <c r="B3310">
        <f t="shared" si="52"/>
        <v>1</v>
      </c>
      <c r="C3310" s="5">
        <v>196.2</v>
      </c>
    </row>
    <row r="3311" spans="1:3" x14ac:dyDescent="0.35">
      <c r="A3311" s="9">
        <v>43123</v>
      </c>
      <c r="B3311">
        <f t="shared" si="52"/>
        <v>1</v>
      </c>
      <c r="C3311" s="5">
        <v>198.5</v>
      </c>
    </row>
    <row r="3312" spans="1:3" x14ac:dyDescent="0.35">
      <c r="A3312" s="9">
        <v>43124</v>
      </c>
      <c r="B3312">
        <f t="shared" si="52"/>
        <v>1</v>
      </c>
      <c r="C3312" s="5">
        <v>199.4</v>
      </c>
    </row>
    <row r="3313" spans="1:3" x14ac:dyDescent="0.35">
      <c r="A3313" s="9">
        <v>43125</v>
      </c>
      <c r="B3313">
        <f t="shared" si="52"/>
        <v>1</v>
      </c>
      <c r="C3313" s="5">
        <v>196.5</v>
      </c>
    </row>
    <row r="3314" spans="1:3" x14ac:dyDescent="0.35">
      <c r="A3314" s="9">
        <v>43126</v>
      </c>
      <c r="B3314">
        <f t="shared" si="52"/>
        <v>1</v>
      </c>
      <c r="C3314" s="5">
        <v>191.4</v>
      </c>
    </row>
    <row r="3315" spans="1:3" x14ac:dyDescent="0.35">
      <c r="A3315" s="9">
        <v>43127</v>
      </c>
      <c r="B3315">
        <f t="shared" si="52"/>
        <v>1</v>
      </c>
      <c r="C3315" s="5">
        <v>183.2</v>
      </c>
    </row>
    <row r="3316" spans="1:3" x14ac:dyDescent="0.35">
      <c r="A3316" s="9">
        <v>43128</v>
      </c>
      <c r="B3316">
        <f t="shared" si="52"/>
        <v>1</v>
      </c>
      <c r="C3316" s="5">
        <v>176.7</v>
      </c>
    </row>
    <row r="3317" spans="1:3" x14ac:dyDescent="0.35">
      <c r="A3317" s="9">
        <v>43129</v>
      </c>
      <c r="B3317">
        <f t="shared" si="52"/>
        <v>1</v>
      </c>
      <c r="C3317" s="5">
        <v>177.5</v>
      </c>
    </row>
    <row r="3318" spans="1:3" x14ac:dyDescent="0.35">
      <c r="A3318" s="9">
        <v>43130</v>
      </c>
      <c r="B3318">
        <f t="shared" si="52"/>
        <v>1</v>
      </c>
      <c r="C3318" s="5">
        <v>186.4</v>
      </c>
    </row>
    <row r="3319" spans="1:3" x14ac:dyDescent="0.35">
      <c r="A3319" s="9">
        <v>43131</v>
      </c>
      <c r="B3319">
        <f t="shared" si="52"/>
        <v>1</v>
      </c>
      <c r="C3319" s="5">
        <v>201.6</v>
      </c>
    </row>
    <row r="3320" spans="1:3" x14ac:dyDescent="0.35">
      <c r="A3320" s="9">
        <v>43132</v>
      </c>
      <c r="B3320">
        <f t="shared" si="52"/>
        <v>2</v>
      </c>
      <c r="C3320" s="5">
        <v>206.3</v>
      </c>
    </row>
    <row r="3321" spans="1:3" x14ac:dyDescent="0.35">
      <c r="A3321" s="9">
        <v>43133</v>
      </c>
      <c r="B3321">
        <f t="shared" si="52"/>
        <v>2</v>
      </c>
      <c r="C3321" s="5">
        <v>190.3</v>
      </c>
    </row>
    <row r="3322" spans="1:3" x14ac:dyDescent="0.35">
      <c r="A3322" s="9">
        <v>43134</v>
      </c>
      <c r="B3322">
        <f t="shared" si="52"/>
        <v>2</v>
      </c>
      <c r="C3322" s="5">
        <v>193.4</v>
      </c>
    </row>
    <row r="3323" spans="1:3" x14ac:dyDescent="0.35">
      <c r="A3323" s="9">
        <v>43135</v>
      </c>
      <c r="B3323">
        <f t="shared" si="52"/>
        <v>2</v>
      </c>
      <c r="C3323" s="5">
        <v>198.1</v>
      </c>
    </row>
    <row r="3324" spans="1:3" x14ac:dyDescent="0.35">
      <c r="A3324" s="9">
        <v>43136</v>
      </c>
      <c r="B3324">
        <f t="shared" si="52"/>
        <v>2</v>
      </c>
      <c r="C3324" s="5">
        <v>195.8</v>
      </c>
    </row>
    <row r="3325" spans="1:3" x14ac:dyDescent="0.35">
      <c r="A3325" s="9">
        <v>43137</v>
      </c>
      <c r="B3325">
        <f t="shared" si="52"/>
        <v>2</v>
      </c>
      <c r="C3325" s="5">
        <v>187.3</v>
      </c>
    </row>
    <row r="3326" spans="1:3" x14ac:dyDescent="0.35">
      <c r="A3326" s="9">
        <v>43138</v>
      </c>
      <c r="B3326">
        <f t="shared" si="52"/>
        <v>2</v>
      </c>
      <c r="C3326" s="5">
        <v>173.4</v>
      </c>
    </row>
    <row r="3327" spans="1:3" x14ac:dyDescent="0.35">
      <c r="A3327" s="9">
        <v>43139</v>
      </c>
      <c r="B3327">
        <f t="shared" si="52"/>
        <v>2</v>
      </c>
      <c r="C3327" s="5">
        <v>162.6</v>
      </c>
    </row>
    <row r="3328" spans="1:3" x14ac:dyDescent="0.35">
      <c r="A3328" s="9">
        <v>43140</v>
      </c>
      <c r="B3328">
        <f t="shared" si="52"/>
        <v>2</v>
      </c>
      <c r="C3328" s="5">
        <v>161.9</v>
      </c>
    </row>
    <row r="3329" spans="1:3" x14ac:dyDescent="0.35">
      <c r="A3329" s="9">
        <v>43141</v>
      </c>
      <c r="B3329">
        <f t="shared" si="52"/>
        <v>2</v>
      </c>
      <c r="C3329" s="5">
        <v>168.9</v>
      </c>
    </row>
    <row r="3330" spans="1:3" x14ac:dyDescent="0.35">
      <c r="A3330" s="9">
        <v>43142</v>
      </c>
      <c r="B3330">
        <f t="shared" si="52"/>
        <v>2</v>
      </c>
      <c r="C3330" s="5">
        <v>174.9</v>
      </c>
    </row>
    <row r="3331" spans="1:3" x14ac:dyDescent="0.35">
      <c r="A3331" s="9">
        <v>43143</v>
      </c>
      <c r="B3331">
        <f t="shared" si="52"/>
        <v>2</v>
      </c>
      <c r="C3331" s="5">
        <v>174.3</v>
      </c>
    </row>
    <row r="3332" spans="1:3" x14ac:dyDescent="0.35">
      <c r="A3332" s="9">
        <v>43144</v>
      </c>
      <c r="B3332">
        <f t="shared" ref="B3332:B3395" si="53">MONTH(A3332)</f>
        <v>2</v>
      </c>
      <c r="C3332" s="5">
        <v>172</v>
      </c>
    </row>
    <row r="3333" spans="1:3" x14ac:dyDescent="0.35">
      <c r="A3333" s="9">
        <v>43145</v>
      </c>
      <c r="B3333">
        <f t="shared" si="53"/>
        <v>2</v>
      </c>
      <c r="C3333" s="5">
        <v>173.6</v>
      </c>
    </row>
    <row r="3334" spans="1:3" x14ac:dyDescent="0.35">
      <c r="A3334" s="9">
        <v>43146</v>
      </c>
      <c r="B3334">
        <f t="shared" si="53"/>
        <v>2</v>
      </c>
      <c r="C3334" s="5">
        <v>178.7</v>
      </c>
    </row>
    <row r="3335" spans="1:3" x14ac:dyDescent="0.35">
      <c r="A3335" s="9">
        <v>43147</v>
      </c>
      <c r="B3335">
        <f t="shared" si="53"/>
        <v>2</v>
      </c>
      <c r="C3335" s="5">
        <v>189.8</v>
      </c>
    </row>
    <row r="3336" spans="1:3" x14ac:dyDescent="0.35">
      <c r="A3336" s="9">
        <v>43148</v>
      </c>
      <c r="B3336">
        <f t="shared" si="53"/>
        <v>2</v>
      </c>
      <c r="C3336" s="5">
        <v>204.9</v>
      </c>
    </row>
    <row r="3337" spans="1:3" x14ac:dyDescent="0.35">
      <c r="A3337" s="9">
        <v>43149</v>
      </c>
      <c r="B3337">
        <f t="shared" si="53"/>
        <v>2</v>
      </c>
      <c r="C3337" s="5">
        <v>222.3</v>
      </c>
    </row>
    <row r="3338" spans="1:3" x14ac:dyDescent="0.35">
      <c r="A3338" s="9">
        <v>43150</v>
      </c>
      <c r="B3338">
        <f t="shared" si="53"/>
        <v>2</v>
      </c>
      <c r="C3338" s="5">
        <v>232.2</v>
      </c>
    </row>
    <row r="3339" spans="1:3" x14ac:dyDescent="0.35">
      <c r="A3339" s="9">
        <v>43151</v>
      </c>
      <c r="B3339">
        <f t="shared" si="53"/>
        <v>2</v>
      </c>
      <c r="C3339" s="5">
        <v>233.3</v>
      </c>
    </row>
    <row r="3340" spans="1:3" x14ac:dyDescent="0.35">
      <c r="A3340" s="9">
        <v>43152</v>
      </c>
      <c r="B3340">
        <f t="shared" si="53"/>
        <v>2</v>
      </c>
      <c r="C3340" s="5">
        <v>221.1</v>
      </c>
    </row>
    <row r="3341" spans="1:3" x14ac:dyDescent="0.35">
      <c r="A3341" s="9">
        <v>43153</v>
      </c>
      <c r="B3341">
        <f t="shared" si="53"/>
        <v>2</v>
      </c>
      <c r="C3341" s="5">
        <v>207.7</v>
      </c>
    </row>
    <row r="3342" spans="1:3" x14ac:dyDescent="0.35">
      <c r="A3342" s="9">
        <v>43154</v>
      </c>
      <c r="B3342">
        <f t="shared" si="53"/>
        <v>2</v>
      </c>
      <c r="C3342" s="5">
        <v>201.9</v>
      </c>
    </row>
    <row r="3343" spans="1:3" x14ac:dyDescent="0.35">
      <c r="A3343" s="9">
        <v>43155</v>
      </c>
      <c r="B3343">
        <f t="shared" si="53"/>
        <v>2</v>
      </c>
      <c r="C3343" s="5">
        <v>207.6</v>
      </c>
    </row>
    <row r="3344" spans="1:3" x14ac:dyDescent="0.35">
      <c r="A3344" s="9">
        <v>43156</v>
      </c>
      <c r="B3344">
        <f t="shared" si="53"/>
        <v>2</v>
      </c>
      <c r="C3344" s="5">
        <v>215.5</v>
      </c>
    </row>
    <row r="3345" spans="1:3" x14ac:dyDescent="0.35">
      <c r="A3345" s="9">
        <v>43157</v>
      </c>
      <c r="B3345">
        <f t="shared" si="53"/>
        <v>2</v>
      </c>
      <c r="C3345" s="5">
        <v>213.9</v>
      </c>
    </row>
    <row r="3346" spans="1:3" x14ac:dyDescent="0.35">
      <c r="A3346" s="9">
        <v>43158</v>
      </c>
      <c r="B3346">
        <f t="shared" si="53"/>
        <v>2</v>
      </c>
      <c r="C3346" s="5">
        <v>204.3</v>
      </c>
    </row>
    <row r="3347" spans="1:3" x14ac:dyDescent="0.35">
      <c r="A3347" s="9">
        <v>43159</v>
      </c>
      <c r="B3347">
        <f t="shared" si="53"/>
        <v>2</v>
      </c>
      <c r="C3347" s="5">
        <v>194</v>
      </c>
    </row>
    <row r="3348" spans="1:3" x14ac:dyDescent="0.35">
      <c r="A3348" s="9">
        <v>43160</v>
      </c>
      <c r="B3348">
        <f t="shared" si="53"/>
        <v>3</v>
      </c>
      <c r="C3348" s="5">
        <v>188.5</v>
      </c>
    </row>
    <row r="3349" spans="1:3" x14ac:dyDescent="0.35">
      <c r="A3349" s="9">
        <v>43161</v>
      </c>
      <c r="B3349">
        <f t="shared" si="53"/>
        <v>3</v>
      </c>
      <c r="C3349" s="5">
        <v>194.5</v>
      </c>
    </row>
    <row r="3350" spans="1:3" x14ac:dyDescent="0.35">
      <c r="A3350" s="9">
        <v>43162</v>
      </c>
      <c r="B3350">
        <f t="shared" si="53"/>
        <v>3</v>
      </c>
      <c r="C3350" s="5">
        <v>200.3</v>
      </c>
    </row>
    <row r="3351" spans="1:3" x14ac:dyDescent="0.35">
      <c r="A3351" s="9">
        <v>43163</v>
      </c>
      <c r="B3351">
        <f t="shared" si="53"/>
        <v>3</v>
      </c>
      <c r="C3351" s="5">
        <v>209.7</v>
      </c>
    </row>
    <row r="3352" spans="1:3" x14ac:dyDescent="0.35">
      <c r="A3352" s="9">
        <v>43164</v>
      </c>
      <c r="B3352">
        <f t="shared" si="53"/>
        <v>3</v>
      </c>
      <c r="C3352" s="5">
        <v>213.9</v>
      </c>
    </row>
    <row r="3353" spans="1:3" x14ac:dyDescent="0.35">
      <c r="A3353" s="9">
        <v>43165</v>
      </c>
      <c r="B3353">
        <f t="shared" si="53"/>
        <v>3</v>
      </c>
      <c r="C3353" s="5">
        <v>207.9</v>
      </c>
    </row>
    <row r="3354" spans="1:3" x14ac:dyDescent="0.35">
      <c r="A3354" s="9">
        <v>43166</v>
      </c>
      <c r="B3354">
        <f t="shared" si="53"/>
        <v>3</v>
      </c>
      <c r="C3354" s="5">
        <v>201.2</v>
      </c>
    </row>
    <row r="3355" spans="1:3" x14ac:dyDescent="0.35">
      <c r="A3355" s="9">
        <v>43167</v>
      </c>
      <c r="B3355">
        <f t="shared" si="53"/>
        <v>3</v>
      </c>
      <c r="C3355" s="5">
        <v>197.6</v>
      </c>
    </row>
    <row r="3356" spans="1:3" x14ac:dyDescent="0.35">
      <c r="A3356" s="9">
        <v>43168</v>
      </c>
      <c r="B3356">
        <f t="shared" si="53"/>
        <v>3</v>
      </c>
      <c r="C3356" s="5">
        <v>198.3</v>
      </c>
    </row>
    <row r="3357" spans="1:3" x14ac:dyDescent="0.35">
      <c r="A3357" s="9">
        <v>43169</v>
      </c>
      <c r="B3357">
        <f t="shared" si="53"/>
        <v>3</v>
      </c>
      <c r="C3357" s="5">
        <v>202.2</v>
      </c>
    </row>
    <row r="3358" spans="1:3" x14ac:dyDescent="0.35">
      <c r="A3358" s="9">
        <v>43170</v>
      </c>
      <c r="B3358">
        <f t="shared" si="53"/>
        <v>3</v>
      </c>
      <c r="C3358" s="5">
        <v>206.9</v>
      </c>
    </row>
    <row r="3359" spans="1:3" x14ac:dyDescent="0.35">
      <c r="A3359" s="9">
        <v>43171</v>
      </c>
      <c r="B3359">
        <f t="shared" si="53"/>
        <v>3</v>
      </c>
      <c r="C3359" s="5">
        <v>205.5</v>
      </c>
    </row>
    <row r="3360" spans="1:3" x14ac:dyDescent="0.35">
      <c r="A3360" s="9">
        <v>43172</v>
      </c>
      <c r="B3360">
        <f t="shared" si="53"/>
        <v>3</v>
      </c>
      <c r="C3360" s="5">
        <v>195.2</v>
      </c>
    </row>
    <row r="3361" spans="1:3" x14ac:dyDescent="0.35">
      <c r="A3361" s="9">
        <v>43173</v>
      </c>
      <c r="B3361">
        <f t="shared" si="53"/>
        <v>3</v>
      </c>
      <c r="C3361" s="5">
        <v>183.9</v>
      </c>
    </row>
    <row r="3362" spans="1:3" x14ac:dyDescent="0.35">
      <c r="A3362" s="9">
        <v>43174</v>
      </c>
      <c r="B3362">
        <f t="shared" si="53"/>
        <v>3</v>
      </c>
      <c r="C3362" s="5">
        <v>175.3</v>
      </c>
    </row>
    <row r="3363" spans="1:3" x14ac:dyDescent="0.35">
      <c r="A3363" s="9">
        <v>43175</v>
      </c>
      <c r="B3363">
        <f t="shared" si="53"/>
        <v>3</v>
      </c>
      <c r="C3363" s="5">
        <v>173</v>
      </c>
    </row>
    <row r="3364" spans="1:3" x14ac:dyDescent="0.35">
      <c r="A3364" s="9">
        <v>43176</v>
      </c>
      <c r="B3364">
        <f t="shared" si="53"/>
        <v>3</v>
      </c>
      <c r="C3364" s="5">
        <v>181.4</v>
      </c>
    </row>
    <row r="3365" spans="1:3" x14ac:dyDescent="0.35">
      <c r="A3365" s="9">
        <v>43177</v>
      </c>
      <c r="B3365">
        <f t="shared" si="53"/>
        <v>3</v>
      </c>
      <c r="C3365" s="5">
        <v>196.8</v>
      </c>
    </row>
    <row r="3366" spans="1:3" x14ac:dyDescent="0.35">
      <c r="A3366" s="9">
        <v>43178</v>
      </c>
      <c r="B3366">
        <f t="shared" si="53"/>
        <v>3</v>
      </c>
      <c r="C3366" s="5">
        <v>209.1</v>
      </c>
    </row>
    <row r="3367" spans="1:3" x14ac:dyDescent="0.35">
      <c r="A3367" s="9">
        <v>43179</v>
      </c>
      <c r="B3367">
        <f t="shared" si="53"/>
        <v>3</v>
      </c>
      <c r="C3367" s="5">
        <v>217.9</v>
      </c>
    </row>
    <row r="3368" spans="1:3" x14ac:dyDescent="0.35">
      <c r="A3368" s="9">
        <v>43180</v>
      </c>
      <c r="B3368">
        <f t="shared" si="53"/>
        <v>3</v>
      </c>
      <c r="C3368" s="5">
        <v>226.7</v>
      </c>
    </row>
    <row r="3369" spans="1:3" x14ac:dyDescent="0.35">
      <c r="A3369" s="9">
        <v>43181</v>
      </c>
      <c r="B3369">
        <f t="shared" si="53"/>
        <v>3</v>
      </c>
      <c r="C3369" s="5">
        <v>231.1</v>
      </c>
    </row>
    <row r="3370" spans="1:3" x14ac:dyDescent="0.35">
      <c r="A3370" s="9">
        <v>43182</v>
      </c>
      <c r="B3370">
        <f t="shared" si="53"/>
        <v>3</v>
      </c>
      <c r="C3370" s="5">
        <v>225.3</v>
      </c>
    </row>
    <row r="3371" spans="1:3" x14ac:dyDescent="0.35">
      <c r="A3371" s="9">
        <v>43183</v>
      </c>
      <c r="B3371">
        <f t="shared" si="53"/>
        <v>3</v>
      </c>
      <c r="C3371" s="5">
        <v>216.2</v>
      </c>
    </row>
    <row r="3372" spans="1:3" x14ac:dyDescent="0.35">
      <c r="A3372" s="9">
        <v>43184</v>
      </c>
      <c r="B3372">
        <f t="shared" si="53"/>
        <v>3</v>
      </c>
      <c r="C3372" s="5">
        <v>205.7</v>
      </c>
    </row>
    <row r="3373" spans="1:3" x14ac:dyDescent="0.35">
      <c r="A3373" s="9">
        <v>43185</v>
      </c>
      <c r="B3373">
        <f t="shared" si="53"/>
        <v>3</v>
      </c>
      <c r="C3373" s="5">
        <v>192.3</v>
      </c>
    </row>
    <row r="3374" spans="1:3" x14ac:dyDescent="0.35">
      <c r="A3374" s="9">
        <v>43186</v>
      </c>
      <c r="B3374">
        <f t="shared" si="53"/>
        <v>3</v>
      </c>
      <c r="C3374" s="5">
        <v>183.4</v>
      </c>
    </row>
    <row r="3375" spans="1:3" x14ac:dyDescent="0.35">
      <c r="A3375" s="9">
        <v>43187</v>
      </c>
      <c r="B3375">
        <f t="shared" si="53"/>
        <v>3</v>
      </c>
      <c r="C3375" s="5">
        <v>190.7</v>
      </c>
    </row>
    <row r="3376" spans="1:3" x14ac:dyDescent="0.35">
      <c r="A3376" s="9">
        <v>43188</v>
      </c>
      <c r="B3376">
        <f t="shared" si="53"/>
        <v>3</v>
      </c>
      <c r="C3376" s="5">
        <v>213.7</v>
      </c>
    </row>
    <row r="3377" spans="1:3" x14ac:dyDescent="0.35">
      <c r="A3377" s="9">
        <v>43189</v>
      </c>
      <c r="B3377">
        <f t="shared" si="53"/>
        <v>3</v>
      </c>
      <c r="C3377" s="5">
        <v>231.1</v>
      </c>
    </row>
    <row r="3378" spans="1:3" x14ac:dyDescent="0.35">
      <c r="A3378" s="9">
        <v>43190</v>
      </c>
      <c r="B3378">
        <f t="shared" si="53"/>
        <v>3</v>
      </c>
      <c r="C3378" s="5">
        <v>226.4</v>
      </c>
    </row>
    <row r="3379" spans="1:3" x14ac:dyDescent="0.35">
      <c r="A3379" s="9">
        <v>43191</v>
      </c>
      <c r="B3379">
        <f t="shared" si="53"/>
        <v>4</v>
      </c>
      <c r="C3379" s="5">
        <v>208.2</v>
      </c>
    </row>
    <row r="3380" spans="1:3" x14ac:dyDescent="0.35">
      <c r="A3380" s="9">
        <v>43192</v>
      </c>
      <c r="B3380">
        <f t="shared" si="53"/>
        <v>4</v>
      </c>
      <c r="C3380" s="5">
        <v>201.2</v>
      </c>
    </row>
    <row r="3381" spans="1:3" x14ac:dyDescent="0.35">
      <c r="A3381" s="9">
        <v>43193</v>
      </c>
      <c r="B3381">
        <f t="shared" si="53"/>
        <v>4</v>
      </c>
      <c r="C3381" s="5">
        <v>198.1</v>
      </c>
    </row>
    <row r="3382" spans="1:3" x14ac:dyDescent="0.35">
      <c r="A3382" s="9">
        <v>43194</v>
      </c>
      <c r="B3382">
        <f t="shared" si="53"/>
        <v>4</v>
      </c>
      <c r="C3382" s="5">
        <v>202.1</v>
      </c>
    </row>
    <row r="3383" spans="1:3" x14ac:dyDescent="0.35">
      <c r="A3383" s="9">
        <v>43195</v>
      </c>
      <c r="B3383">
        <f t="shared" si="53"/>
        <v>4</v>
      </c>
      <c r="C3383" s="5">
        <v>205.3</v>
      </c>
    </row>
    <row r="3384" spans="1:3" x14ac:dyDescent="0.35">
      <c r="A3384" s="9">
        <v>43196</v>
      </c>
      <c r="B3384">
        <f t="shared" si="53"/>
        <v>4</v>
      </c>
      <c r="C3384" s="5">
        <v>209.9</v>
      </c>
    </row>
    <row r="3385" spans="1:3" x14ac:dyDescent="0.35">
      <c r="A3385" s="9">
        <v>43197</v>
      </c>
      <c r="B3385">
        <f t="shared" si="53"/>
        <v>4</v>
      </c>
      <c r="C3385" s="5">
        <v>212.5</v>
      </c>
    </row>
    <row r="3386" spans="1:3" x14ac:dyDescent="0.35">
      <c r="A3386" s="9">
        <v>43198</v>
      </c>
      <c r="B3386">
        <f t="shared" si="53"/>
        <v>4</v>
      </c>
      <c r="C3386" s="5">
        <v>212.7</v>
      </c>
    </row>
    <row r="3387" spans="1:3" x14ac:dyDescent="0.35">
      <c r="A3387" s="9">
        <v>43199</v>
      </c>
      <c r="B3387">
        <f t="shared" si="53"/>
        <v>4</v>
      </c>
      <c r="C3387" s="5">
        <v>216.4</v>
      </c>
    </row>
    <row r="3388" spans="1:3" x14ac:dyDescent="0.35">
      <c r="A3388" s="9">
        <v>43200</v>
      </c>
      <c r="B3388">
        <f t="shared" si="53"/>
        <v>4</v>
      </c>
      <c r="C3388" s="5">
        <v>221.3</v>
      </c>
    </row>
    <row r="3389" spans="1:3" x14ac:dyDescent="0.35">
      <c r="A3389" s="9">
        <v>43201</v>
      </c>
      <c r="B3389">
        <f t="shared" si="53"/>
        <v>4</v>
      </c>
      <c r="C3389" s="5">
        <v>228.2</v>
      </c>
    </row>
    <row r="3390" spans="1:3" x14ac:dyDescent="0.35">
      <c r="A3390" s="9">
        <v>43202</v>
      </c>
      <c r="B3390">
        <f t="shared" si="53"/>
        <v>4</v>
      </c>
      <c r="C3390" s="5">
        <v>239.4</v>
      </c>
    </row>
    <row r="3391" spans="1:3" x14ac:dyDescent="0.35">
      <c r="A3391" s="9">
        <v>43203</v>
      </c>
      <c r="B3391">
        <f t="shared" si="53"/>
        <v>4</v>
      </c>
      <c r="C3391" s="5">
        <v>255.9</v>
      </c>
    </row>
    <row r="3392" spans="1:3" x14ac:dyDescent="0.35">
      <c r="A3392" s="9">
        <v>43204</v>
      </c>
      <c r="B3392">
        <f t="shared" si="53"/>
        <v>4</v>
      </c>
      <c r="C3392" s="5">
        <v>270</v>
      </c>
    </row>
    <row r="3393" spans="1:3" x14ac:dyDescent="0.35">
      <c r="A3393" s="9">
        <v>43205</v>
      </c>
      <c r="B3393">
        <f t="shared" si="53"/>
        <v>4</v>
      </c>
      <c r="C3393" s="5">
        <v>271.60000000000002</v>
      </c>
    </row>
    <row r="3394" spans="1:3" x14ac:dyDescent="0.35">
      <c r="A3394" s="9">
        <v>43206</v>
      </c>
      <c r="B3394">
        <f t="shared" si="53"/>
        <v>4</v>
      </c>
      <c r="C3394" s="5">
        <v>257</v>
      </c>
    </row>
    <row r="3395" spans="1:3" x14ac:dyDescent="0.35">
      <c r="A3395" s="9">
        <v>43207</v>
      </c>
      <c r="B3395">
        <f t="shared" si="53"/>
        <v>4</v>
      </c>
      <c r="C3395" s="5">
        <v>236</v>
      </c>
    </row>
    <row r="3396" spans="1:3" x14ac:dyDescent="0.35">
      <c r="A3396" s="9">
        <v>43208</v>
      </c>
      <c r="B3396">
        <f t="shared" ref="B3396:B3459" si="54">MONTH(A3396)</f>
        <v>4</v>
      </c>
      <c r="C3396" s="5">
        <v>217.5</v>
      </c>
    </row>
    <row r="3397" spans="1:3" x14ac:dyDescent="0.35">
      <c r="A3397" s="9">
        <v>43209</v>
      </c>
      <c r="B3397">
        <f t="shared" si="54"/>
        <v>4</v>
      </c>
      <c r="C3397" s="5">
        <v>202.7</v>
      </c>
    </row>
    <row r="3398" spans="1:3" x14ac:dyDescent="0.35">
      <c r="A3398" s="9">
        <v>43210</v>
      </c>
      <c r="B3398">
        <f t="shared" si="54"/>
        <v>4</v>
      </c>
      <c r="C3398" s="5">
        <v>189.1</v>
      </c>
    </row>
    <row r="3399" spans="1:3" x14ac:dyDescent="0.35">
      <c r="A3399" s="9">
        <v>43211</v>
      </c>
      <c r="B3399">
        <f t="shared" si="54"/>
        <v>4</v>
      </c>
      <c r="C3399" s="5">
        <v>178.7</v>
      </c>
    </row>
    <row r="3400" spans="1:3" x14ac:dyDescent="0.35">
      <c r="A3400" s="9">
        <v>43212</v>
      </c>
      <c r="B3400">
        <f t="shared" si="54"/>
        <v>4</v>
      </c>
      <c r="C3400" s="5">
        <v>173.7</v>
      </c>
    </row>
    <row r="3401" spans="1:3" x14ac:dyDescent="0.35">
      <c r="A3401" s="9">
        <v>43213</v>
      </c>
      <c r="B3401">
        <f t="shared" si="54"/>
        <v>4</v>
      </c>
      <c r="C3401" s="5">
        <v>171.9</v>
      </c>
    </row>
    <row r="3402" spans="1:3" x14ac:dyDescent="0.35">
      <c r="A3402" s="9">
        <v>43214</v>
      </c>
      <c r="B3402">
        <f t="shared" si="54"/>
        <v>4</v>
      </c>
      <c r="C3402" s="5">
        <v>171.4</v>
      </c>
    </row>
    <row r="3403" spans="1:3" x14ac:dyDescent="0.35">
      <c r="A3403" s="9">
        <v>43215</v>
      </c>
      <c r="B3403">
        <f t="shared" si="54"/>
        <v>4</v>
      </c>
      <c r="C3403" s="5">
        <v>164.4</v>
      </c>
    </row>
    <row r="3404" spans="1:3" x14ac:dyDescent="0.35">
      <c r="A3404" s="9">
        <v>43216</v>
      </c>
      <c r="B3404">
        <f t="shared" si="54"/>
        <v>4</v>
      </c>
      <c r="C3404" s="5">
        <v>154.80000000000001</v>
      </c>
    </row>
    <row r="3405" spans="1:3" x14ac:dyDescent="0.35">
      <c r="A3405" s="9">
        <v>43217</v>
      </c>
      <c r="B3405">
        <f t="shared" si="54"/>
        <v>4</v>
      </c>
      <c r="C3405" s="5">
        <v>145.30000000000001</v>
      </c>
    </row>
    <row r="3406" spans="1:3" x14ac:dyDescent="0.35">
      <c r="A3406" s="9">
        <v>43218</v>
      </c>
      <c r="B3406">
        <f t="shared" si="54"/>
        <v>4</v>
      </c>
      <c r="C3406" s="5">
        <v>142.9</v>
      </c>
    </row>
    <row r="3407" spans="1:3" x14ac:dyDescent="0.35">
      <c r="A3407" s="9">
        <v>43219</v>
      </c>
      <c r="B3407">
        <f t="shared" si="54"/>
        <v>4</v>
      </c>
      <c r="C3407" s="5">
        <v>156</v>
      </c>
    </row>
    <row r="3408" spans="1:3" x14ac:dyDescent="0.35">
      <c r="A3408" s="9">
        <v>43220</v>
      </c>
      <c r="B3408">
        <f t="shared" si="54"/>
        <v>4</v>
      </c>
      <c r="C3408" s="5">
        <v>186.2</v>
      </c>
    </row>
    <row r="3409" spans="1:3" x14ac:dyDescent="0.35">
      <c r="A3409" s="9">
        <v>43221</v>
      </c>
      <c r="B3409">
        <f t="shared" si="54"/>
        <v>5</v>
      </c>
      <c r="C3409" s="5">
        <v>217.9</v>
      </c>
    </row>
    <row r="3410" spans="1:3" x14ac:dyDescent="0.35">
      <c r="A3410" s="9">
        <v>43222</v>
      </c>
      <c r="B3410">
        <f t="shared" si="54"/>
        <v>5</v>
      </c>
      <c r="C3410" s="5">
        <v>236.5</v>
      </c>
    </row>
    <row r="3411" spans="1:3" x14ac:dyDescent="0.35">
      <c r="A3411" s="9">
        <v>43223</v>
      </c>
      <c r="B3411">
        <f t="shared" si="54"/>
        <v>5</v>
      </c>
      <c r="C3411" s="5">
        <v>230.3</v>
      </c>
    </row>
    <row r="3412" spans="1:3" x14ac:dyDescent="0.35">
      <c r="A3412" s="9">
        <v>43224</v>
      </c>
      <c r="B3412">
        <f t="shared" si="54"/>
        <v>5</v>
      </c>
      <c r="C3412" s="5">
        <v>213.9</v>
      </c>
    </row>
    <row r="3413" spans="1:3" x14ac:dyDescent="0.35">
      <c r="A3413" s="9">
        <v>43225</v>
      </c>
      <c r="B3413">
        <f t="shared" si="54"/>
        <v>5</v>
      </c>
      <c r="C3413" s="5">
        <v>201.3</v>
      </c>
    </row>
    <row r="3414" spans="1:3" x14ac:dyDescent="0.35">
      <c r="A3414" s="9">
        <v>43226</v>
      </c>
      <c r="B3414">
        <f t="shared" si="54"/>
        <v>5</v>
      </c>
      <c r="C3414" s="5">
        <v>198.9</v>
      </c>
    </row>
    <row r="3415" spans="1:3" x14ac:dyDescent="0.35">
      <c r="A3415" s="9">
        <v>43227</v>
      </c>
      <c r="B3415">
        <f t="shared" si="54"/>
        <v>5</v>
      </c>
      <c r="C3415" s="5">
        <v>198.7</v>
      </c>
    </row>
    <row r="3416" spans="1:3" x14ac:dyDescent="0.35">
      <c r="A3416" s="9">
        <v>43228</v>
      </c>
      <c r="B3416">
        <f t="shared" si="54"/>
        <v>5</v>
      </c>
      <c r="C3416" s="5">
        <v>192.9</v>
      </c>
    </row>
    <row r="3417" spans="1:3" x14ac:dyDescent="0.35">
      <c r="A3417" s="9">
        <v>43229</v>
      </c>
      <c r="B3417">
        <f t="shared" si="54"/>
        <v>5</v>
      </c>
      <c r="C3417" s="5">
        <v>183.3</v>
      </c>
    </row>
    <row r="3418" spans="1:3" x14ac:dyDescent="0.35">
      <c r="A3418" s="9">
        <v>43230</v>
      </c>
      <c r="B3418">
        <f t="shared" si="54"/>
        <v>5</v>
      </c>
      <c r="C3418" s="5">
        <v>180.9</v>
      </c>
    </row>
    <row r="3419" spans="1:3" x14ac:dyDescent="0.35">
      <c r="A3419" s="9">
        <v>43231</v>
      </c>
      <c r="B3419">
        <f t="shared" si="54"/>
        <v>5</v>
      </c>
      <c r="C3419" s="5">
        <v>193.7</v>
      </c>
    </row>
    <row r="3420" spans="1:3" x14ac:dyDescent="0.35">
      <c r="A3420" s="9">
        <v>43232</v>
      </c>
      <c r="B3420">
        <f t="shared" si="54"/>
        <v>5</v>
      </c>
      <c r="C3420" s="5">
        <v>214.6</v>
      </c>
    </row>
    <row r="3421" spans="1:3" x14ac:dyDescent="0.35">
      <c r="A3421" s="9">
        <v>43233</v>
      </c>
      <c r="B3421">
        <f t="shared" si="54"/>
        <v>5</v>
      </c>
      <c r="C3421" s="5">
        <v>225.6</v>
      </c>
    </row>
    <row r="3422" spans="1:3" x14ac:dyDescent="0.35">
      <c r="A3422" s="9">
        <v>43234</v>
      </c>
      <c r="B3422">
        <f t="shared" si="54"/>
        <v>5</v>
      </c>
      <c r="C3422" s="5">
        <v>226.9</v>
      </c>
    </row>
    <row r="3423" spans="1:3" x14ac:dyDescent="0.35">
      <c r="A3423" s="9">
        <v>43235</v>
      </c>
      <c r="B3423">
        <f t="shared" si="54"/>
        <v>5</v>
      </c>
      <c r="C3423" s="5">
        <v>227.7</v>
      </c>
    </row>
    <row r="3424" spans="1:3" x14ac:dyDescent="0.35">
      <c r="A3424" s="9">
        <v>43236</v>
      </c>
      <c r="B3424">
        <f t="shared" si="54"/>
        <v>5</v>
      </c>
      <c r="C3424" s="5">
        <v>235.7</v>
      </c>
    </row>
    <row r="3425" spans="1:3" x14ac:dyDescent="0.35">
      <c r="A3425" s="9">
        <v>43237</v>
      </c>
      <c r="B3425">
        <f t="shared" si="54"/>
        <v>5</v>
      </c>
      <c r="C3425" s="5">
        <v>241.2</v>
      </c>
    </row>
    <row r="3426" spans="1:3" x14ac:dyDescent="0.35">
      <c r="A3426" s="9">
        <v>43238</v>
      </c>
      <c r="B3426">
        <f t="shared" si="54"/>
        <v>5</v>
      </c>
      <c r="C3426" s="5">
        <v>238.5</v>
      </c>
    </row>
    <row r="3427" spans="1:3" x14ac:dyDescent="0.35">
      <c r="A3427" s="9">
        <v>43239</v>
      </c>
      <c r="B3427">
        <f t="shared" si="54"/>
        <v>5</v>
      </c>
      <c r="C3427" s="5">
        <v>229.6</v>
      </c>
    </row>
    <row r="3428" spans="1:3" x14ac:dyDescent="0.35">
      <c r="A3428" s="9">
        <v>43240</v>
      </c>
      <c r="B3428">
        <f t="shared" si="54"/>
        <v>5</v>
      </c>
      <c r="C3428" s="5">
        <v>223.3</v>
      </c>
    </row>
    <row r="3429" spans="1:3" x14ac:dyDescent="0.35">
      <c r="A3429" s="9">
        <v>43241</v>
      </c>
      <c r="B3429">
        <f t="shared" si="54"/>
        <v>5</v>
      </c>
      <c r="C3429" s="5">
        <v>224.1</v>
      </c>
    </row>
    <row r="3430" spans="1:3" x14ac:dyDescent="0.35">
      <c r="A3430" s="9">
        <v>43242</v>
      </c>
      <c r="B3430">
        <f t="shared" si="54"/>
        <v>5</v>
      </c>
      <c r="C3430" s="5">
        <v>221</v>
      </c>
    </row>
    <row r="3431" spans="1:3" x14ac:dyDescent="0.35">
      <c r="A3431" s="9">
        <v>43243</v>
      </c>
      <c r="B3431">
        <f t="shared" si="54"/>
        <v>5</v>
      </c>
      <c r="C3431" s="5">
        <v>214.2</v>
      </c>
    </row>
    <row r="3432" spans="1:3" x14ac:dyDescent="0.35">
      <c r="A3432" s="9">
        <v>43244</v>
      </c>
      <c r="B3432">
        <f t="shared" si="54"/>
        <v>5</v>
      </c>
      <c r="C3432" s="5">
        <v>201.9</v>
      </c>
    </row>
    <row r="3433" spans="1:3" x14ac:dyDescent="0.35">
      <c r="A3433" s="9">
        <v>43245</v>
      </c>
      <c r="B3433">
        <f t="shared" si="54"/>
        <v>5</v>
      </c>
      <c r="C3433" s="5">
        <v>184.6</v>
      </c>
    </row>
    <row r="3434" spans="1:3" x14ac:dyDescent="0.35">
      <c r="A3434" s="9">
        <v>43246</v>
      </c>
      <c r="B3434">
        <f t="shared" si="54"/>
        <v>5</v>
      </c>
      <c r="C3434" s="5">
        <v>168.5</v>
      </c>
    </row>
    <row r="3435" spans="1:3" x14ac:dyDescent="0.35">
      <c r="A3435" s="9">
        <v>43247</v>
      </c>
      <c r="B3435">
        <f t="shared" si="54"/>
        <v>5</v>
      </c>
      <c r="C3435" s="5">
        <v>154.4</v>
      </c>
    </row>
    <row r="3436" spans="1:3" x14ac:dyDescent="0.35">
      <c r="A3436" s="9">
        <v>43248</v>
      </c>
      <c r="B3436">
        <f t="shared" si="54"/>
        <v>5</v>
      </c>
      <c r="C3436" s="5">
        <v>143.80000000000001</v>
      </c>
    </row>
    <row r="3437" spans="1:3" x14ac:dyDescent="0.35">
      <c r="A3437" s="9">
        <v>43249</v>
      </c>
      <c r="B3437">
        <f t="shared" si="54"/>
        <v>5</v>
      </c>
      <c r="C3437" s="5">
        <v>137</v>
      </c>
    </row>
    <row r="3438" spans="1:3" x14ac:dyDescent="0.35">
      <c r="A3438" s="9">
        <v>43250</v>
      </c>
      <c r="B3438">
        <f t="shared" si="54"/>
        <v>5</v>
      </c>
      <c r="C3438" s="5">
        <v>132.4</v>
      </c>
    </row>
    <row r="3439" spans="1:3" x14ac:dyDescent="0.35">
      <c r="A3439" s="9">
        <v>43251</v>
      </c>
      <c r="B3439">
        <f t="shared" si="54"/>
        <v>5</v>
      </c>
      <c r="C3439" s="5">
        <v>129.5</v>
      </c>
    </row>
    <row r="3440" spans="1:3" x14ac:dyDescent="0.35">
      <c r="A3440" s="9">
        <v>43252</v>
      </c>
      <c r="B3440">
        <f t="shared" si="54"/>
        <v>6</v>
      </c>
      <c r="C3440" s="5">
        <v>127.5</v>
      </c>
    </row>
    <row r="3441" spans="1:3" x14ac:dyDescent="0.35">
      <c r="A3441" s="9">
        <v>43253</v>
      </c>
      <c r="B3441">
        <f t="shared" si="54"/>
        <v>6</v>
      </c>
      <c r="C3441" s="5">
        <v>85.2</v>
      </c>
    </row>
    <row r="3442" spans="1:3" x14ac:dyDescent="0.35">
      <c r="A3442" s="9">
        <v>43254</v>
      </c>
      <c r="B3442">
        <f t="shared" si="54"/>
        <v>6</v>
      </c>
      <c r="C3442" s="5">
        <v>84.5</v>
      </c>
    </row>
    <row r="3443" spans="1:3" x14ac:dyDescent="0.35">
      <c r="A3443" s="9">
        <v>43255</v>
      </c>
      <c r="B3443">
        <f t="shared" si="54"/>
        <v>6</v>
      </c>
      <c r="C3443" s="5">
        <v>84.3</v>
      </c>
    </row>
    <row r="3444" spans="1:3" x14ac:dyDescent="0.35">
      <c r="A3444" s="9">
        <v>43256</v>
      </c>
      <c r="B3444">
        <f t="shared" si="54"/>
        <v>6</v>
      </c>
      <c r="C3444" s="5">
        <v>84.3</v>
      </c>
    </row>
    <row r="3445" spans="1:3" x14ac:dyDescent="0.35">
      <c r="A3445" s="9">
        <v>43257</v>
      </c>
      <c r="B3445">
        <f t="shared" si="54"/>
        <v>6</v>
      </c>
      <c r="C3445" s="5">
        <v>84.1</v>
      </c>
    </row>
    <row r="3446" spans="1:3" x14ac:dyDescent="0.35">
      <c r="A3446" s="9">
        <v>43258</v>
      </c>
      <c r="B3446">
        <f t="shared" si="54"/>
        <v>6</v>
      </c>
      <c r="C3446" s="5">
        <v>83.8</v>
      </c>
    </row>
    <row r="3447" spans="1:3" x14ac:dyDescent="0.35">
      <c r="A3447" s="9">
        <v>43259</v>
      </c>
      <c r="B3447">
        <f t="shared" si="54"/>
        <v>6</v>
      </c>
      <c r="C3447" s="5">
        <v>83.5</v>
      </c>
    </row>
    <row r="3448" spans="1:3" x14ac:dyDescent="0.35">
      <c r="A3448" s="9">
        <v>43260</v>
      </c>
      <c r="B3448">
        <f t="shared" si="54"/>
        <v>6</v>
      </c>
      <c r="C3448" s="5">
        <v>83.3</v>
      </c>
    </row>
    <row r="3449" spans="1:3" x14ac:dyDescent="0.35">
      <c r="A3449" s="9">
        <v>43261</v>
      </c>
      <c r="B3449">
        <f t="shared" si="54"/>
        <v>6</v>
      </c>
      <c r="C3449" s="5">
        <v>83.2</v>
      </c>
    </row>
    <row r="3450" spans="1:3" x14ac:dyDescent="0.35">
      <c r="A3450" s="9">
        <v>43262</v>
      </c>
      <c r="B3450">
        <f t="shared" si="54"/>
        <v>6</v>
      </c>
      <c r="C3450" s="5">
        <v>83.1</v>
      </c>
    </row>
    <row r="3451" spans="1:3" x14ac:dyDescent="0.35">
      <c r="A3451" s="9">
        <v>43263</v>
      </c>
      <c r="B3451">
        <f t="shared" si="54"/>
        <v>6</v>
      </c>
      <c r="C3451" s="5">
        <v>83.2</v>
      </c>
    </row>
    <row r="3452" spans="1:3" x14ac:dyDescent="0.35">
      <c r="A3452" s="9">
        <v>43264</v>
      </c>
      <c r="B3452">
        <f t="shared" si="54"/>
        <v>6</v>
      </c>
      <c r="C3452" s="5">
        <v>83.2</v>
      </c>
    </row>
    <row r="3453" spans="1:3" x14ac:dyDescent="0.35">
      <c r="A3453" s="9">
        <v>43265</v>
      </c>
      <c r="B3453">
        <f t="shared" si="54"/>
        <v>6</v>
      </c>
      <c r="C3453" s="5">
        <v>83.2</v>
      </c>
    </row>
    <row r="3454" spans="1:3" x14ac:dyDescent="0.35">
      <c r="A3454" s="9">
        <v>43266</v>
      </c>
      <c r="B3454">
        <f t="shared" si="54"/>
        <v>6</v>
      </c>
      <c r="C3454" s="5">
        <v>83.2</v>
      </c>
    </row>
    <row r="3455" spans="1:3" x14ac:dyDescent="0.35">
      <c r="A3455" s="9">
        <v>43267</v>
      </c>
      <c r="B3455">
        <f t="shared" si="54"/>
        <v>6</v>
      </c>
      <c r="C3455" s="5">
        <v>83.2</v>
      </c>
    </row>
    <row r="3456" spans="1:3" x14ac:dyDescent="0.35">
      <c r="A3456" s="9">
        <v>43268</v>
      </c>
      <c r="B3456">
        <f t="shared" si="54"/>
        <v>6</v>
      </c>
      <c r="C3456" s="5">
        <v>83.5</v>
      </c>
    </row>
    <row r="3457" spans="1:3" x14ac:dyDescent="0.35">
      <c r="A3457" s="9">
        <v>43269</v>
      </c>
      <c r="B3457">
        <f t="shared" si="54"/>
        <v>6</v>
      </c>
      <c r="C3457" s="5">
        <v>84</v>
      </c>
    </row>
    <row r="3458" spans="1:3" x14ac:dyDescent="0.35">
      <c r="A3458" s="9">
        <v>43270</v>
      </c>
      <c r="B3458">
        <f t="shared" si="54"/>
        <v>6</v>
      </c>
      <c r="C3458" s="5">
        <v>84.2</v>
      </c>
    </row>
    <row r="3459" spans="1:3" x14ac:dyDescent="0.35">
      <c r="A3459" s="9">
        <v>43271</v>
      </c>
      <c r="B3459">
        <f t="shared" si="54"/>
        <v>6</v>
      </c>
      <c r="C3459" s="5">
        <v>84.3</v>
      </c>
    </row>
    <row r="3460" spans="1:3" x14ac:dyDescent="0.35">
      <c r="A3460" s="9">
        <v>43272</v>
      </c>
      <c r="B3460">
        <f t="shared" ref="B3460:B3523" si="55">MONTH(A3460)</f>
        <v>6</v>
      </c>
      <c r="C3460" s="5">
        <v>84.5</v>
      </c>
    </row>
    <row r="3461" spans="1:3" x14ac:dyDescent="0.35">
      <c r="A3461" s="9">
        <v>43273</v>
      </c>
      <c r="B3461">
        <f t="shared" si="55"/>
        <v>6</v>
      </c>
      <c r="C3461" s="5">
        <v>84.9</v>
      </c>
    </row>
    <row r="3462" spans="1:3" x14ac:dyDescent="0.35">
      <c r="A3462" s="9">
        <v>43274</v>
      </c>
      <c r="B3462">
        <f t="shared" si="55"/>
        <v>6</v>
      </c>
      <c r="C3462" s="5">
        <v>85.4</v>
      </c>
    </row>
    <row r="3463" spans="1:3" x14ac:dyDescent="0.35">
      <c r="A3463" s="9">
        <v>43275</v>
      </c>
      <c r="B3463">
        <f t="shared" si="55"/>
        <v>6</v>
      </c>
      <c r="C3463" s="5">
        <v>86.4</v>
      </c>
    </row>
    <row r="3464" spans="1:3" x14ac:dyDescent="0.35">
      <c r="A3464" s="9">
        <v>43276</v>
      </c>
      <c r="B3464">
        <f t="shared" si="55"/>
        <v>6</v>
      </c>
      <c r="C3464" s="5">
        <v>87.6</v>
      </c>
    </row>
    <row r="3465" spans="1:3" x14ac:dyDescent="0.35">
      <c r="A3465" s="9">
        <v>43277</v>
      </c>
      <c r="B3465">
        <f t="shared" si="55"/>
        <v>6</v>
      </c>
      <c r="C3465" s="5">
        <v>88.5</v>
      </c>
    </row>
    <row r="3466" spans="1:3" x14ac:dyDescent="0.35">
      <c r="A3466" s="9">
        <v>43278</v>
      </c>
      <c r="B3466">
        <f t="shared" si="55"/>
        <v>6</v>
      </c>
      <c r="C3466" s="5">
        <v>88.9</v>
      </c>
    </row>
    <row r="3467" spans="1:3" x14ac:dyDescent="0.35">
      <c r="A3467" s="9">
        <v>43279</v>
      </c>
      <c r="B3467">
        <f t="shared" si="55"/>
        <v>6</v>
      </c>
      <c r="C3467" s="5">
        <v>90.7</v>
      </c>
    </row>
    <row r="3468" spans="1:3" x14ac:dyDescent="0.35">
      <c r="A3468" s="9">
        <v>43280</v>
      </c>
      <c r="B3468">
        <f t="shared" si="55"/>
        <v>6</v>
      </c>
      <c r="C3468" s="5">
        <v>93.6</v>
      </c>
    </row>
    <row r="3469" spans="1:3" x14ac:dyDescent="0.35">
      <c r="A3469" s="9">
        <v>43281</v>
      </c>
      <c r="B3469">
        <f t="shared" si="55"/>
        <v>6</v>
      </c>
      <c r="C3469" s="5">
        <v>95.6</v>
      </c>
    </row>
    <row r="3470" spans="1:3" x14ac:dyDescent="0.35">
      <c r="A3470" s="9">
        <v>43282</v>
      </c>
      <c r="B3470">
        <f t="shared" si="55"/>
        <v>7</v>
      </c>
      <c r="C3470" s="5">
        <v>94.8</v>
      </c>
    </row>
    <row r="3471" spans="1:3" x14ac:dyDescent="0.35">
      <c r="A3471" s="9">
        <v>43283</v>
      </c>
      <c r="B3471">
        <f t="shared" si="55"/>
        <v>7</v>
      </c>
      <c r="C3471" s="5">
        <v>69.2</v>
      </c>
    </row>
    <row r="3472" spans="1:3" x14ac:dyDescent="0.35">
      <c r="A3472" s="9">
        <v>43284</v>
      </c>
      <c r="B3472">
        <f t="shared" si="55"/>
        <v>7</v>
      </c>
      <c r="C3472" s="5">
        <v>67.7</v>
      </c>
    </row>
    <row r="3473" spans="1:3" x14ac:dyDescent="0.35">
      <c r="A3473" s="9">
        <v>43285</v>
      </c>
      <c r="B3473">
        <f t="shared" si="55"/>
        <v>7</v>
      </c>
      <c r="C3473" s="5">
        <v>68.900000000000006</v>
      </c>
    </row>
    <row r="3474" spans="1:3" x14ac:dyDescent="0.35">
      <c r="A3474" s="9">
        <v>43286</v>
      </c>
      <c r="B3474">
        <f t="shared" si="55"/>
        <v>7</v>
      </c>
      <c r="C3474" s="5">
        <v>71.3</v>
      </c>
    </row>
    <row r="3475" spans="1:3" x14ac:dyDescent="0.35">
      <c r="A3475" s="9">
        <v>43287</v>
      </c>
      <c r="B3475">
        <f t="shared" si="55"/>
        <v>7</v>
      </c>
      <c r="C3475" s="5">
        <v>71.2</v>
      </c>
    </row>
    <row r="3476" spans="1:3" x14ac:dyDescent="0.35">
      <c r="A3476" s="9">
        <v>43288</v>
      </c>
      <c r="B3476">
        <f t="shared" si="55"/>
        <v>7</v>
      </c>
      <c r="C3476" s="5">
        <v>69.2</v>
      </c>
    </row>
    <row r="3477" spans="1:3" x14ac:dyDescent="0.35">
      <c r="A3477" s="9">
        <v>43289</v>
      </c>
      <c r="B3477">
        <f t="shared" si="55"/>
        <v>7</v>
      </c>
      <c r="C3477" s="5">
        <v>66.3</v>
      </c>
    </row>
    <row r="3478" spans="1:3" x14ac:dyDescent="0.35">
      <c r="A3478" s="9">
        <v>43290</v>
      </c>
      <c r="B3478">
        <f t="shared" si="55"/>
        <v>7</v>
      </c>
      <c r="C3478" s="5">
        <v>64</v>
      </c>
    </row>
    <row r="3479" spans="1:3" x14ac:dyDescent="0.35">
      <c r="A3479" s="9">
        <v>43291</v>
      </c>
      <c r="B3479">
        <f t="shared" si="55"/>
        <v>7</v>
      </c>
      <c r="C3479" s="5">
        <v>62.6</v>
      </c>
    </row>
    <row r="3480" spans="1:3" x14ac:dyDescent="0.35">
      <c r="A3480" s="9">
        <v>43292</v>
      </c>
      <c r="B3480">
        <f t="shared" si="55"/>
        <v>7</v>
      </c>
      <c r="C3480" s="5">
        <v>61.7</v>
      </c>
    </row>
    <row r="3481" spans="1:3" x14ac:dyDescent="0.35">
      <c r="A3481" s="9">
        <v>43293</v>
      </c>
      <c r="B3481">
        <f t="shared" si="55"/>
        <v>7</v>
      </c>
      <c r="C3481" s="5">
        <v>61.1</v>
      </c>
    </row>
    <row r="3482" spans="1:3" x14ac:dyDescent="0.35">
      <c r="A3482" s="9">
        <v>43294</v>
      </c>
      <c r="B3482">
        <f t="shared" si="55"/>
        <v>7</v>
      </c>
      <c r="C3482" s="5">
        <v>60.7</v>
      </c>
    </row>
    <row r="3483" spans="1:3" x14ac:dyDescent="0.35">
      <c r="A3483" s="9">
        <v>43295</v>
      </c>
      <c r="B3483">
        <f t="shared" si="55"/>
        <v>7</v>
      </c>
      <c r="C3483" s="5">
        <v>60.5</v>
      </c>
    </row>
    <row r="3484" spans="1:3" x14ac:dyDescent="0.35">
      <c r="A3484" s="9">
        <v>43296</v>
      </c>
      <c r="B3484">
        <f t="shared" si="55"/>
        <v>7</v>
      </c>
      <c r="C3484" s="5">
        <v>60.3</v>
      </c>
    </row>
    <row r="3485" spans="1:3" x14ac:dyDescent="0.35">
      <c r="A3485" s="9">
        <v>43297</v>
      </c>
      <c r="B3485">
        <f t="shared" si="55"/>
        <v>7</v>
      </c>
      <c r="C3485" s="5">
        <v>60.2</v>
      </c>
    </row>
    <row r="3486" spans="1:3" x14ac:dyDescent="0.35">
      <c r="A3486" s="9">
        <v>43298</v>
      </c>
      <c r="B3486">
        <f t="shared" si="55"/>
        <v>7</v>
      </c>
      <c r="C3486" s="5">
        <v>60.1</v>
      </c>
    </row>
    <row r="3487" spans="1:3" x14ac:dyDescent="0.35">
      <c r="A3487" s="9">
        <v>43299</v>
      </c>
      <c r="B3487">
        <f t="shared" si="55"/>
        <v>7</v>
      </c>
      <c r="C3487" s="5">
        <v>60.1</v>
      </c>
    </row>
    <row r="3488" spans="1:3" x14ac:dyDescent="0.35">
      <c r="A3488" s="9">
        <v>43300</v>
      </c>
      <c r="B3488">
        <f t="shared" si="55"/>
        <v>7</v>
      </c>
      <c r="C3488" s="5">
        <v>60.1</v>
      </c>
    </row>
    <row r="3489" spans="1:3" x14ac:dyDescent="0.35">
      <c r="A3489" s="9">
        <v>43301</v>
      </c>
      <c r="B3489">
        <f t="shared" si="55"/>
        <v>7</v>
      </c>
      <c r="C3489" s="5">
        <v>60</v>
      </c>
    </row>
    <row r="3490" spans="1:3" x14ac:dyDescent="0.35">
      <c r="A3490" s="9">
        <v>43302</v>
      </c>
      <c r="B3490">
        <f t="shared" si="55"/>
        <v>7</v>
      </c>
      <c r="C3490" s="5">
        <v>60</v>
      </c>
    </row>
    <row r="3491" spans="1:3" x14ac:dyDescent="0.35">
      <c r="A3491" s="9">
        <v>43303</v>
      </c>
      <c r="B3491">
        <f t="shared" si="55"/>
        <v>7</v>
      </c>
      <c r="C3491" s="5">
        <v>60</v>
      </c>
    </row>
    <row r="3492" spans="1:3" x14ac:dyDescent="0.35">
      <c r="A3492" s="9">
        <v>43304</v>
      </c>
      <c r="B3492">
        <f t="shared" si="55"/>
        <v>7</v>
      </c>
      <c r="C3492" s="5">
        <v>60</v>
      </c>
    </row>
    <row r="3493" spans="1:3" x14ac:dyDescent="0.35">
      <c r="A3493" s="9">
        <v>43305</v>
      </c>
      <c r="B3493">
        <f t="shared" si="55"/>
        <v>7</v>
      </c>
      <c r="C3493" s="5">
        <v>60</v>
      </c>
    </row>
    <row r="3494" spans="1:3" x14ac:dyDescent="0.35">
      <c r="A3494" s="9">
        <v>43306</v>
      </c>
      <c r="B3494">
        <f t="shared" si="55"/>
        <v>7</v>
      </c>
      <c r="C3494" s="5">
        <v>60</v>
      </c>
    </row>
    <row r="3495" spans="1:3" x14ac:dyDescent="0.35">
      <c r="A3495" s="9">
        <v>43307</v>
      </c>
      <c r="B3495">
        <f t="shared" si="55"/>
        <v>7</v>
      </c>
      <c r="C3495" s="5">
        <v>60</v>
      </c>
    </row>
    <row r="3496" spans="1:3" x14ac:dyDescent="0.35">
      <c r="A3496" s="9">
        <v>43308</v>
      </c>
      <c r="B3496">
        <f t="shared" si="55"/>
        <v>7</v>
      </c>
      <c r="C3496" s="5">
        <v>60</v>
      </c>
    </row>
    <row r="3497" spans="1:3" x14ac:dyDescent="0.35">
      <c r="A3497" s="9">
        <v>43309</v>
      </c>
      <c r="B3497">
        <f t="shared" si="55"/>
        <v>7</v>
      </c>
      <c r="C3497" s="5">
        <v>60</v>
      </c>
    </row>
    <row r="3498" spans="1:3" x14ac:dyDescent="0.35">
      <c r="A3498" s="9">
        <v>43310</v>
      </c>
      <c r="B3498">
        <f t="shared" si="55"/>
        <v>7</v>
      </c>
      <c r="C3498" s="5">
        <v>60</v>
      </c>
    </row>
    <row r="3499" spans="1:3" x14ac:dyDescent="0.35">
      <c r="A3499" s="9">
        <v>43311</v>
      </c>
      <c r="B3499">
        <f t="shared" si="55"/>
        <v>7</v>
      </c>
      <c r="C3499" s="5">
        <v>60.1</v>
      </c>
    </row>
    <row r="3500" spans="1:3" x14ac:dyDescent="0.35">
      <c r="A3500" s="9">
        <v>43312</v>
      </c>
      <c r="B3500">
        <f t="shared" si="55"/>
        <v>7</v>
      </c>
      <c r="C3500" s="5">
        <v>62</v>
      </c>
    </row>
    <row r="3501" spans="1:3" x14ac:dyDescent="0.35">
      <c r="A3501" s="9">
        <v>43313</v>
      </c>
      <c r="B3501">
        <f t="shared" si="55"/>
        <v>8</v>
      </c>
      <c r="C3501" s="5">
        <v>66.3</v>
      </c>
    </row>
    <row r="3502" spans="1:3" x14ac:dyDescent="0.35">
      <c r="A3502" s="9">
        <v>43314</v>
      </c>
      <c r="B3502">
        <f t="shared" si="55"/>
        <v>8</v>
      </c>
      <c r="C3502" s="5">
        <v>76</v>
      </c>
    </row>
    <row r="3503" spans="1:3" x14ac:dyDescent="0.35">
      <c r="A3503" s="9">
        <v>43315</v>
      </c>
      <c r="B3503">
        <f t="shared" si="55"/>
        <v>8</v>
      </c>
      <c r="C3503" s="5">
        <v>77</v>
      </c>
    </row>
    <row r="3504" spans="1:3" x14ac:dyDescent="0.35">
      <c r="A3504" s="9">
        <v>43316</v>
      </c>
      <c r="B3504">
        <f t="shared" si="55"/>
        <v>8</v>
      </c>
      <c r="C3504" s="5">
        <v>75.3</v>
      </c>
    </row>
    <row r="3505" spans="1:3" x14ac:dyDescent="0.35">
      <c r="A3505" s="9">
        <v>43317</v>
      </c>
      <c r="B3505">
        <f t="shared" si="55"/>
        <v>8</v>
      </c>
      <c r="C3505" s="5">
        <v>72.400000000000006</v>
      </c>
    </row>
    <row r="3506" spans="1:3" x14ac:dyDescent="0.35">
      <c r="A3506" s="9">
        <v>43318</v>
      </c>
      <c r="B3506">
        <f t="shared" si="55"/>
        <v>8</v>
      </c>
      <c r="C3506" s="5">
        <v>69.7</v>
      </c>
    </row>
    <row r="3507" spans="1:3" x14ac:dyDescent="0.35">
      <c r="A3507" s="9">
        <v>43319</v>
      </c>
      <c r="B3507">
        <f t="shared" si="55"/>
        <v>8</v>
      </c>
      <c r="C3507" s="5">
        <v>68.2</v>
      </c>
    </row>
    <row r="3508" spans="1:3" x14ac:dyDescent="0.35">
      <c r="A3508" s="9">
        <v>43320</v>
      </c>
      <c r="B3508">
        <f t="shared" si="55"/>
        <v>8</v>
      </c>
      <c r="C3508" s="5">
        <v>67.3</v>
      </c>
    </row>
    <row r="3509" spans="1:3" x14ac:dyDescent="0.35">
      <c r="A3509" s="9">
        <v>43321</v>
      </c>
      <c r="B3509">
        <f t="shared" si="55"/>
        <v>8</v>
      </c>
      <c r="C3509" s="5">
        <v>66.7</v>
      </c>
    </row>
    <row r="3510" spans="1:3" x14ac:dyDescent="0.35">
      <c r="A3510" s="9">
        <v>43322</v>
      </c>
      <c r="B3510">
        <f t="shared" si="55"/>
        <v>8</v>
      </c>
      <c r="C3510" s="5">
        <v>68.2</v>
      </c>
    </row>
    <row r="3511" spans="1:3" x14ac:dyDescent="0.35">
      <c r="A3511" s="9">
        <v>43323</v>
      </c>
      <c r="B3511">
        <f t="shared" si="55"/>
        <v>8</v>
      </c>
      <c r="C3511" s="5">
        <v>72.099999999999994</v>
      </c>
    </row>
    <row r="3512" spans="1:3" x14ac:dyDescent="0.35">
      <c r="A3512" s="9">
        <v>43324</v>
      </c>
      <c r="B3512">
        <f t="shared" si="55"/>
        <v>8</v>
      </c>
      <c r="C3512" s="5">
        <v>77</v>
      </c>
    </row>
    <row r="3513" spans="1:3" x14ac:dyDescent="0.35">
      <c r="A3513" s="9">
        <v>43325</v>
      </c>
      <c r="B3513">
        <f t="shared" si="55"/>
        <v>8</v>
      </c>
      <c r="C3513" s="5">
        <v>80</v>
      </c>
    </row>
    <row r="3514" spans="1:3" x14ac:dyDescent="0.35">
      <c r="A3514" s="9">
        <v>43326</v>
      </c>
      <c r="B3514">
        <f t="shared" si="55"/>
        <v>8</v>
      </c>
      <c r="C3514" s="5">
        <v>81.900000000000006</v>
      </c>
    </row>
    <row r="3515" spans="1:3" x14ac:dyDescent="0.35">
      <c r="A3515" s="9">
        <v>43327</v>
      </c>
      <c r="B3515">
        <f t="shared" si="55"/>
        <v>8</v>
      </c>
      <c r="C3515" s="5">
        <v>81.8</v>
      </c>
    </row>
    <row r="3516" spans="1:3" x14ac:dyDescent="0.35">
      <c r="A3516" s="9">
        <v>43328</v>
      </c>
      <c r="B3516">
        <f t="shared" si="55"/>
        <v>8</v>
      </c>
      <c r="C3516" s="5">
        <v>79</v>
      </c>
    </row>
    <row r="3517" spans="1:3" x14ac:dyDescent="0.35">
      <c r="A3517" s="9">
        <v>43329</v>
      </c>
      <c r="B3517">
        <f t="shared" si="55"/>
        <v>8</v>
      </c>
      <c r="C3517" s="5">
        <v>75.7</v>
      </c>
    </row>
    <row r="3518" spans="1:3" x14ac:dyDescent="0.35">
      <c r="A3518" s="9">
        <v>43330</v>
      </c>
      <c r="B3518">
        <f t="shared" si="55"/>
        <v>8</v>
      </c>
      <c r="C3518" s="5">
        <v>72.3</v>
      </c>
    </row>
    <row r="3519" spans="1:3" x14ac:dyDescent="0.35">
      <c r="A3519" s="9">
        <v>43331</v>
      </c>
      <c r="B3519">
        <f t="shared" si="55"/>
        <v>8</v>
      </c>
      <c r="C3519" s="5">
        <v>70.099999999999994</v>
      </c>
    </row>
    <row r="3520" spans="1:3" x14ac:dyDescent="0.35">
      <c r="A3520" s="9">
        <v>43332</v>
      </c>
      <c r="B3520">
        <f t="shared" si="55"/>
        <v>8</v>
      </c>
      <c r="C3520" s="5">
        <v>71.7</v>
      </c>
    </row>
    <row r="3521" spans="1:3" x14ac:dyDescent="0.35">
      <c r="A3521" s="9">
        <v>43333</v>
      </c>
      <c r="B3521">
        <f t="shared" si="55"/>
        <v>8</v>
      </c>
      <c r="C3521" s="5">
        <v>76.900000000000006</v>
      </c>
    </row>
    <row r="3522" spans="1:3" x14ac:dyDescent="0.35">
      <c r="A3522" s="9">
        <v>43334</v>
      </c>
      <c r="B3522">
        <f t="shared" si="55"/>
        <v>8</v>
      </c>
      <c r="C3522" s="5">
        <v>84.5</v>
      </c>
    </row>
    <row r="3523" spans="1:3" x14ac:dyDescent="0.35">
      <c r="A3523" s="9">
        <v>43335</v>
      </c>
      <c r="B3523">
        <f t="shared" si="55"/>
        <v>8</v>
      </c>
      <c r="C3523" s="5">
        <v>93.2</v>
      </c>
    </row>
    <row r="3524" spans="1:3" x14ac:dyDescent="0.35">
      <c r="A3524" s="9">
        <v>43336</v>
      </c>
      <c r="B3524">
        <f t="shared" ref="B3524:B3587" si="56">MONTH(A3524)</f>
        <v>8</v>
      </c>
      <c r="C3524" s="5">
        <v>105.7</v>
      </c>
    </row>
    <row r="3525" spans="1:3" x14ac:dyDescent="0.35">
      <c r="A3525" s="9">
        <v>43337</v>
      </c>
      <c r="B3525">
        <f t="shared" si="56"/>
        <v>8</v>
      </c>
      <c r="C3525" s="5">
        <v>116.6</v>
      </c>
    </row>
    <row r="3526" spans="1:3" x14ac:dyDescent="0.35">
      <c r="A3526" s="9">
        <v>43338</v>
      </c>
      <c r="B3526">
        <f t="shared" si="56"/>
        <v>8</v>
      </c>
      <c r="C3526" s="5">
        <v>120.6</v>
      </c>
    </row>
    <row r="3527" spans="1:3" x14ac:dyDescent="0.35">
      <c r="A3527" s="9">
        <v>43339</v>
      </c>
      <c r="B3527">
        <f t="shared" si="56"/>
        <v>8</v>
      </c>
      <c r="C3527" s="5">
        <v>117.4</v>
      </c>
    </row>
    <row r="3528" spans="1:3" x14ac:dyDescent="0.35">
      <c r="A3528" s="9">
        <v>43340</v>
      </c>
      <c r="B3528">
        <f t="shared" si="56"/>
        <v>8</v>
      </c>
      <c r="C3528" s="5">
        <v>112.9</v>
      </c>
    </row>
    <row r="3529" spans="1:3" x14ac:dyDescent="0.35">
      <c r="A3529" s="9">
        <v>43341</v>
      </c>
      <c r="B3529">
        <f t="shared" si="56"/>
        <v>8</v>
      </c>
      <c r="C3529" s="5">
        <v>112.4</v>
      </c>
    </row>
    <row r="3530" spans="1:3" x14ac:dyDescent="0.35">
      <c r="A3530" s="9">
        <v>43342</v>
      </c>
      <c r="B3530">
        <f t="shared" si="56"/>
        <v>8</v>
      </c>
      <c r="C3530" s="5">
        <v>118.4</v>
      </c>
    </row>
    <row r="3531" spans="1:3" x14ac:dyDescent="0.35">
      <c r="A3531" s="9">
        <v>43343</v>
      </c>
      <c r="B3531">
        <f t="shared" si="56"/>
        <v>8</v>
      </c>
      <c r="C3531" s="5">
        <v>122</v>
      </c>
    </row>
    <row r="3532" spans="1:3" x14ac:dyDescent="0.35">
      <c r="A3532" s="9">
        <v>43344</v>
      </c>
      <c r="B3532">
        <f t="shared" si="56"/>
        <v>9</v>
      </c>
      <c r="C3532" s="5">
        <v>117.5</v>
      </c>
    </row>
    <row r="3533" spans="1:3" x14ac:dyDescent="0.35">
      <c r="A3533" s="9">
        <v>43345</v>
      </c>
      <c r="B3533">
        <f t="shared" si="56"/>
        <v>9</v>
      </c>
      <c r="C3533" s="5">
        <v>138.19999999999999</v>
      </c>
    </row>
    <row r="3534" spans="1:3" x14ac:dyDescent="0.35">
      <c r="A3534" s="9">
        <v>43346</v>
      </c>
      <c r="B3534">
        <f t="shared" si="56"/>
        <v>9</v>
      </c>
      <c r="C3534" s="5">
        <v>135.30000000000001</v>
      </c>
    </row>
    <row r="3535" spans="1:3" x14ac:dyDescent="0.35">
      <c r="A3535" s="9">
        <v>43347</v>
      </c>
      <c r="B3535">
        <f t="shared" si="56"/>
        <v>9</v>
      </c>
      <c r="C3535" s="5">
        <v>136.4</v>
      </c>
    </row>
    <row r="3536" spans="1:3" x14ac:dyDescent="0.35">
      <c r="A3536" s="9">
        <v>43348</v>
      </c>
      <c r="B3536">
        <f t="shared" si="56"/>
        <v>9</v>
      </c>
      <c r="C3536" s="5">
        <v>140.4</v>
      </c>
    </row>
    <row r="3537" spans="1:3" x14ac:dyDescent="0.35">
      <c r="A3537" s="9">
        <v>43349</v>
      </c>
      <c r="B3537">
        <f t="shared" si="56"/>
        <v>9</v>
      </c>
      <c r="C3537" s="5">
        <v>142.1</v>
      </c>
    </row>
    <row r="3538" spans="1:3" x14ac:dyDescent="0.35">
      <c r="A3538" s="9">
        <v>43350</v>
      </c>
      <c r="B3538">
        <f t="shared" si="56"/>
        <v>9</v>
      </c>
      <c r="C3538" s="5">
        <v>145.80000000000001</v>
      </c>
    </row>
    <row r="3539" spans="1:3" x14ac:dyDescent="0.35">
      <c r="A3539" s="9">
        <v>43351</v>
      </c>
      <c r="B3539">
        <f t="shared" si="56"/>
        <v>9</v>
      </c>
      <c r="C3539" s="5">
        <v>153.9</v>
      </c>
    </row>
    <row r="3540" spans="1:3" x14ac:dyDescent="0.35">
      <c r="A3540" s="9">
        <v>43352</v>
      </c>
      <c r="B3540">
        <f t="shared" si="56"/>
        <v>9</v>
      </c>
      <c r="C3540" s="5">
        <v>164.6</v>
      </c>
    </row>
    <row r="3541" spans="1:3" x14ac:dyDescent="0.35">
      <c r="A3541" s="9">
        <v>43353</v>
      </c>
      <c r="B3541">
        <f t="shared" si="56"/>
        <v>9</v>
      </c>
      <c r="C3541" s="5">
        <v>170.2</v>
      </c>
    </row>
    <row r="3542" spans="1:3" x14ac:dyDescent="0.35">
      <c r="A3542" s="9">
        <v>43354</v>
      </c>
      <c r="B3542">
        <f t="shared" si="56"/>
        <v>9</v>
      </c>
      <c r="C3542" s="5">
        <v>168.3</v>
      </c>
    </row>
    <row r="3543" spans="1:3" x14ac:dyDescent="0.35">
      <c r="A3543" s="9">
        <v>43355</v>
      </c>
      <c r="B3543">
        <f t="shared" si="56"/>
        <v>9</v>
      </c>
      <c r="C3543" s="5">
        <v>165.5</v>
      </c>
    </row>
    <row r="3544" spans="1:3" x14ac:dyDescent="0.35">
      <c r="A3544" s="9">
        <v>43356</v>
      </c>
      <c r="B3544">
        <f t="shared" si="56"/>
        <v>9</v>
      </c>
      <c r="C3544" s="5">
        <v>163.6</v>
      </c>
    </row>
    <row r="3545" spans="1:3" x14ac:dyDescent="0.35">
      <c r="A3545" s="9">
        <v>43357</v>
      </c>
      <c r="B3545">
        <f t="shared" si="56"/>
        <v>9</v>
      </c>
      <c r="C3545" s="5">
        <v>156</v>
      </c>
    </row>
    <row r="3546" spans="1:3" x14ac:dyDescent="0.35">
      <c r="A3546" s="9">
        <v>43358</v>
      </c>
      <c r="B3546">
        <f t="shared" si="56"/>
        <v>9</v>
      </c>
      <c r="C3546" s="5">
        <v>148</v>
      </c>
    </row>
    <row r="3547" spans="1:3" x14ac:dyDescent="0.35">
      <c r="A3547" s="9">
        <v>43359</v>
      </c>
      <c r="B3547">
        <f t="shared" si="56"/>
        <v>9</v>
      </c>
      <c r="C3547" s="5">
        <v>147.5</v>
      </c>
    </row>
    <row r="3548" spans="1:3" x14ac:dyDescent="0.35">
      <c r="A3548" s="9">
        <v>43360</v>
      </c>
      <c r="B3548">
        <f t="shared" si="56"/>
        <v>9</v>
      </c>
      <c r="C3548" s="5">
        <v>157.9</v>
      </c>
    </row>
    <row r="3549" spans="1:3" x14ac:dyDescent="0.35">
      <c r="A3549" s="9">
        <v>43361</v>
      </c>
      <c r="B3549">
        <f t="shared" si="56"/>
        <v>9</v>
      </c>
      <c r="C3549" s="5">
        <v>169.3</v>
      </c>
    </row>
    <row r="3550" spans="1:3" x14ac:dyDescent="0.35">
      <c r="A3550" s="9">
        <v>43362</v>
      </c>
      <c r="B3550">
        <f t="shared" si="56"/>
        <v>9</v>
      </c>
      <c r="C3550" s="5">
        <v>168.8</v>
      </c>
    </row>
    <row r="3551" spans="1:3" x14ac:dyDescent="0.35">
      <c r="A3551" s="9">
        <v>43363</v>
      </c>
      <c r="B3551">
        <f t="shared" si="56"/>
        <v>9</v>
      </c>
      <c r="C3551" s="5">
        <v>160.1</v>
      </c>
    </row>
    <row r="3552" spans="1:3" x14ac:dyDescent="0.35">
      <c r="A3552" s="9">
        <v>43364</v>
      </c>
      <c r="B3552">
        <f t="shared" si="56"/>
        <v>9</v>
      </c>
      <c r="C3552" s="5">
        <v>150.4</v>
      </c>
    </row>
    <row r="3553" spans="1:3" x14ac:dyDescent="0.35">
      <c r="A3553" s="9">
        <v>43365</v>
      </c>
      <c r="B3553">
        <f t="shared" si="56"/>
        <v>9</v>
      </c>
      <c r="C3553" s="5">
        <v>145.69999999999999</v>
      </c>
    </row>
    <row r="3554" spans="1:3" x14ac:dyDescent="0.35">
      <c r="A3554" s="9">
        <v>43366</v>
      </c>
      <c r="B3554">
        <f t="shared" si="56"/>
        <v>9</v>
      </c>
      <c r="C3554" s="5">
        <v>149.4</v>
      </c>
    </row>
    <row r="3555" spans="1:3" x14ac:dyDescent="0.35">
      <c r="A3555" s="9">
        <v>43367</v>
      </c>
      <c r="B3555">
        <f t="shared" si="56"/>
        <v>9</v>
      </c>
      <c r="C3555" s="5">
        <v>161.6</v>
      </c>
    </row>
    <row r="3556" spans="1:3" x14ac:dyDescent="0.35">
      <c r="A3556" s="9">
        <v>43368</v>
      </c>
      <c r="B3556">
        <f t="shared" si="56"/>
        <v>9</v>
      </c>
      <c r="C3556" s="5">
        <v>171.3</v>
      </c>
    </row>
    <row r="3557" spans="1:3" x14ac:dyDescent="0.35">
      <c r="A3557" s="9">
        <v>43369</v>
      </c>
      <c r="B3557">
        <f t="shared" si="56"/>
        <v>9</v>
      </c>
      <c r="C3557" s="5">
        <v>169.7</v>
      </c>
    </row>
    <row r="3558" spans="1:3" x14ac:dyDescent="0.35">
      <c r="A3558" s="9">
        <v>43370</v>
      </c>
      <c r="B3558">
        <f t="shared" si="56"/>
        <v>9</v>
      </c>
      <c r="C3558" s="5">
        <v>162.5</v>
      </c>
    </row>
    <row r="3559" spans="1:3" x14ac:dyDescent="0.35">
      <c r="A3559" s="9">
        <v>43371</v>
      </c>
      <c r="B3559">
        <f t="shared" si="56"/>
        <v>9</v>
      </c>
      <c r="C3559" s="5">
        <v>161.1</v>
      </c>
    </row>
    <row r="3560" spans="1:3" x14ac:dyDescent="0.35">
      <c r="A3560" s="9">
        <v>43372</v>
      </c>
      <c r="B3560">
        <f t="shared" si="56"/>
        <v>9</v>
      </c>
      <c r="C3560" s="5">
        <v>168.5</v>
      </c>
    </row>
    <row r="3561" spans="1:3" x14ac:dyDescent="0.35">
      <c r="A3561" s="9">
        <v>43373</v>
      </c>
      <c r="B3561">
        <f t="shared" si="56"/>
        <v>9</v>
      </c>
      <c r="C3561" s="5">
        <v>178.4</v>
      </c>
    </row>
    <row r="3562" spans="1:3" x14ac:dyDescent="0.35">
      <c r="A3562" s="9">
        <v>43374</v>
      </c>
      <c r="B3562">
        <f t="shared" si="56"/>
        <v>10</v>
      </c>
      <c r="C3562" s="5">
        <v>185.4</v>
      </c>
    </row>
    <row r="3563" spans="1:3" x14ac:dyDescent="0.35">
      <c r="A3563" s="9">
        <v>43375</v>
      </c>
      <c r="B3563">
        <f t="shared" si="56"/>
        <v>10</v>
      </c>
      <c r="C3563" s="5">
        <v>203.9</v>
      </c>
    </row>
    <row r="3564" spans="1:3" x14ac:dyDescent="0.35">
      <c r="A3564" s="9">
        <v>43376</v>
      </c>
      <c r="B3564">
        <f t="shared" si="56"/>
        <v>10</v>
      </c>
      <c r="C3564" s="5">
        <v>195.2</v>
      </c>
    </row>
    <row r="3565" spans="1:3" x14ac:dyDescent="0.35">
      <c r="A3565" s="9">
        <v>43377</v>
      </c>
      <c r="B3565">
        <f t="shared" si="56"/>
        <v>10</v>
      </c>
      <c r="C3565" s="5">
        <v>181.6</v>
      </c>
    </row>
    <row r="3566" spans="1:3" x14ac:dyDescent="0.35">
      <c r="A3566" s="9">
        <v>43378</v>
      </c>
      <c r="B3566">
        <f t="shared" si="56"/>
        <v>10</v>
      </c>
      <c r="C3566" s="5">
        <v>173.5</v>
      </c>
    </row>
    <row r="3567" spans="1:3" x14ac:dyDescent="0.35">
      <c r="A3567" s="9">
        <v>43379</v>
      </c>
      <c r="B3567">
        <f t="shared" si="56"/>
        <v>10</v>
      </c>
      <c r="C3567" s="5">
        <v>174.7</v>
      </c>
    </row>
    <row r="3568" spans="1:3" x14ac:dyDescent="0.35">
      <c r="A3568" s="9">
        <v>43380</v>
      </c>
      <c r="B3568">
        <f t="shared" si="56"/>
        <v>10</v>
      </c>
      <c r="C3568" s="5">
        <v>185.6</v>
      </c>
    </row>
    <row r="3569" spans="1:3" x14ac:dyDescent="0.35">
      <c r="A3569" s="9">
        <v>43381</v>
      </c>
      <c r="B3569">
        <f t="shared" si="56"/>
        <v>10</v>
      </c>
      <c r="C3569" s="5">
        <v>198</v>
      </c>
    </row>
    <row r="3570" spans="1:3" x14ac:dyDescent="0.35">
      <c r="A3570" s="9">
        <v>43382</v>
      </c>
      <c r="B3570">
        <f t="shared" si="56"/>
        <v>10</v>
      </c>
      <c r="C3570" s="5">
        <v>209.3</v>
      </c>
    </row>
    <row r="3571" spans="1:3" x14ac:dyDescent="0.35">
      <c r="A3571" s="9">
        <v>43383</v>
      </c>
      <c r="B3571">
        <f t="shared" si="56"/>
        <v>10</v>
      </c>
      <c r="C3571" s="5">
        <v>212.9</v>
      </c>
    </row>
    <row r="3572" spans="1:3" x14ac:dyDescent="0.35">
      <c r="A3572" s="9">
        <v>43384</v>
      </c>
      <c r="B3572">
        <f t="shared" si="56"/>
        <v>10</v>
      </c>
      <c r="C3572" s="5">
        <v>218.2</v>
      </c>
    </row>
    <row r="3573" spans="1:3" x14ac:dyDescent="0.35">
      <c r="A3573" s="9">
        <v>43385</v>
      </c>
      <c r="B3573">
        <f t="shared" si="56"/>
        <v>10</v>
      </c>
      <c r="C3573" s="5">
        <v>225.8</v>
      </c>
    </row>
    <row r="3574" spans="1:3" x14ac:dyDescent="0.35">
      <c r="A3574" s="9">
        <v>43386</v>
      </c>
      <c r="B3574">
        <f t="shared" si="56"/>
        <v>10</v>
      </c>
      <c r="C3574" s="5">
        <v>223.1</v>
      </c>
    </row>
    <row r="3575" spans="1:3" x14ac:dyDescent="0.35">
      <c r="A3575" s="9">
        <v>43387</v>
      </c>
      <c r="B3575">
        <f t="shared" si="56"/>
        <v>10</v>
      </c>
      <c r="C3575" s="5">
        <v>208.9</v>
      </c>
    </row>
    <row r="3576" spans="1:3" x14ac:dyDescent="0.35">
      <c r="A3576" s="9">
        <v>43388</v>
      </c>
      <c r="B3576">
        <f t="shared" si="56"/>
        <v>10</v>
      </c>
      <c r="C3576" s="5">
        <v>193</v>
      </c>
    </row>
    <row r="3577" spans="1:3" x14ac:dyDescent="0.35">
      <c r="A3577" s="9">
        <v>43389</v>
      </c>
      <c r="B3577">
        <f t="shared" si="56"/>
        <v>10</v>
      </c>
      <c r="C3577" s="5">
        <v>182.1</v>
      </c>
    </row>
    <row r="3578" spans="1:3" x14ac:dyDescent="0.35">
      <c r="A3578" s="9">
        <v>43390</v>
      </c>
      <c r="B3578">
        <f t="shared" si="56"/>
        <v>10</v>
      </c>
      <c r="C3578" s="5">
        <v>184.1</v>
      </c>
    </row>
    <row r="3579" spans="1:3" x14ac:dyDescent="0.35">
      <c r="A3579" s="9">
        <v>43391</v>
      </c>
      <c r="B3579">
        <f t="shared" si="56"/>
        <v>10</v>
      </c>
      <c r="C3579" s="5">
        <v>200.1</v>
      </c>
    </row>
    <row r="3580" spans="1:3" x14ac:dyDescent="0.35">
      <c r="A3580" s="9">
        <v>43392</v>
      </c>
      <c r="B3580">
        <f t="shared" si="56"/>
        <v>10</v>
      </c>
      <c r="C3580" s="5">
        <v>218.6</v>
      </c>
    </row>
    <row r="3581" spans="1:3" x14ac:dyDescent="0.35">
      <c r="A3581" s="9">
        <v>43393</v>
      </c>
      <c r="B3581">
        <f t="shared" si="56"/>
        <v>10</v>
      </c>
      <c r="C3581" s="5">
        <v>221.6</v>
      </c>
    </row>
    <row r="3582" spans="1:3" x14ac:dyDescent="0.35">
      <c r="A3582" s="9">
        <v>43394</v>
      </c>
      <c r="B3582">
        <f t="shared" si="56"/>
        <v>10</v>
      </c>
      <c r="C3582" s="5">
        <v>211.2</v>
      </c>
    </row>
    <row r="3583" spans="1:3" x14ac:dyDescent="0.35">
      <c r="A3583" s="9">
        <v>43395</v>
      </c>
      <c r="B3583">
        <f t="shared" si="56"/>
        <v>10</v>
      </c>
      <c r="C3583" s="5">
        <v>198.3</v>
      </c>
    </row>
    <row r="3584" spans="1:3" x14ac:dyDescent="0.35">
      <c r="A3584" s="9">
        <v>43396</v>
      </c>
      <c r="B3584">
        <f t="shared" si="56"/>
        <v>10</v>
      </c>
      <c r="C3584" s="5">
        <v>187.7</v>
      </c>
    </row>
    <row r="3585" spans="1:3" x14ac:dyDescent="0.35">
      <c r="A3585" s="9">
        <v>43397</v>
      </c>
      <c r="B3585">
        <f t="shared" si="56"/>
        <v>10</v>
      </c>
      <c r="C3585" s="5">
        <v>182.8</v>
      </c>
    </row>
    <row r="3586" spans="1:3" x14ac:dyDescent="0.35">
      <c r="A3586" s="9">
        <v>43398</v>
      </c>
      <c r="B3586">
        <f t="shared" si="56"/>
        <v>10</v>
      </c>
      <c r="C3586" s="5">
        <v>177.5</v>
      </c>
    </row>
    <row r="3587" spans="1:3" x14ac:dyDescent="0.35">
      <c r="A3587" s="9">
        <v>43399</v>
      </c>
      <c r="B3587">
        <f t="shared" si="56"/>
        <v>10</v>
      </c>
      <c r="C3587" s="5">
        <v>173.9</v>
      </c>
    </row>
    <row r="3588" spans="1:3" x14ac:dyDescent="0.35">
      <c r="A3588" s="9">
        <v>43400</v>
      </c>
      <c r="B3588">
        <f t="shared" ref="B3588:B3651" si="57">MONTH(A3588)</f>
        <v>10</v>
      </c>
      <c r="C3588" s="5">
        <v>177.7</v>
      </c>
    </row>
    <row r="3589" spans="1:3" x14ac:dyDescent="0.35">
      <c r="A3589" s="9">
        <v>43401</v>
      </c>
      <c r="B3589">
        <f t="shared" si="57"/>
        <v>10</v>
      </c>
      <c r="C3589" s="5">
        <v>188.2</v>
      </c>
    </row>
    <row r="3590" spans="1:3" x14ac:dyDescent="0.35">
      <c r="A3590" s="9">
        <v>43402</v>
      </c>
      <c r="B3590">
        <f t="shared" si="57"/>
        <v>10</v>
      </c>
      <c r="C3590" s="5">
        <v>209.8</v>
      </c>
    </row>
    <row r="3591" spans="1:3" x14ac:dyDescent="0.35">
      <c r="A3591" s="9">
        <v>43403</v>
      </c>
      <c r="B3591">
        <f t="shared" si="57"/>
        <v>10</v>
      </c>
      <c r="C3591" s="5">
        <v>229.4</v>
      </c>
    </row>
    <row r="3592" spans="1:3" x14ac:dyDescent="0.35">
      <c r="A3592" s="9">
        <v>43404</v>
      </c>
      <c r="B3592">
        <f t="shared" si="57"/>
        <v>10</v>
      </c>
      <c r="C3592" s="5">
        <v>239.1</v>
      </c>
    </row>
    <row r="3593" spans="1:3" x14ac:dyDescent="0.35">
      <c r="A3593" s="9">
        <v>43405</v>
      </c>
      <c r="B3593">
        <f t="shared" si="57"/>
        <v>11</v>
      </c>
      <c r="C3593" s="5">
        <v>232.4</v>
      </c>
    </row>
    <row r="3594" spans="1:3" x14ac:dyDescent="0.35">
      <c r="A3594" s="9">
        <v>43406</v>
      </c>
      <c r="B3594">
        <f t="shared" si="57"/>
        <v>11</v>
      </c>
      <c r="C3594" s="5">
        <v>228.2</v>
      </c>
    </row>
    <row r="3595" spans="1:3" x14ac:dyDescent="0.35">
      <c r="A3595" s="9">
        <v>43407</v>
      </c>
      <c r="B3595">
        <f t="shared" si="57"/>
        <v>11</v>
      </c>
      <c r="C3595" s="5">
        <v>216.8</v>
      </c>
    </row>
    <row r="3596" spans="1:3" x14ac:dyDescent="0.35">
      <c r="A3596" s="9">
        <v>43408</v>
      </c>
      <c r="B3596">
        <f t="shared" si="57"/>
        <v>11</v>
      </c>
      <c r="C3596" s="5">
        <v>220</v>
      </c>
    </row>
    <row r="3597" spans="1:3" x14ac:dyDescent="0.35">
      <c r="A3597" s="9">
        <v>43409</v>
      </c>
      <c r="B3597">
        <f t="shared" si="57"/>
        <v>11</v>
      </c>
      <c r="C3597" s="5">
        <v>229.9</v>
      </c>
    </row>
    <row r="3598" spans="1:3" x14ac:dyDescent="0.35">
      <c r="A3598" s="9">
        <v>43410</v>
      </c>
      <c r="B3598">
        <f t="shared" si="57"/>
        <v>11</v>
      </c>
      <c r="C3598" s="5">
        <v>226.6</v>
      </c>
    </row>
    <row r="3599" spans="1:3" x14ac:dyDescent="0.35">
      <c r="A3599" s="9">
        <v>43411</v>
      </c>
      <c r="B3599">
        <f t="shared" si="57"/>
        <v>11</v>
      </c>
      <c r="C3599" s="5">
        <v>215.3</v>
      </c>
    </row>
    <row r="3600" spans="1:3" x14ac:dyDescent="0.35">
      <c r="A3600" s="9">
        <v>43412</v>
      </c>
      <c r="B3600">
        <f t="shared" si="57"/>
        <v>11</v>
      </c>
      <c r="C3600" s="5">
        <v>212.3</v>
      </c>
    </row>
    <row r="3601" spans="1:3" x14ac:dyDescent="0.35">
      <c r="A3601" s="9">
        <v>43413</v>
      </c>
      <c r="B3601">
        <f t="shared" si="57"/>
        <v>11</v>
      </c>
      <c r="C3601" s="5">
        <v>222.7</v>
      </c>
    </row>
    <row r="3602" spans="1:3" x14ac:dyDescent="0.35">
      <c r="A3602" s="9">
        <v>43414</v>
      </c>
      <c r="B3602">
        <f t="shared" si="57"/>
        <v>11</v>
      </c>
      <c r="C3602" s="5">
        <v>233.9</v>
      </c>
    </row>
    <row r="3603" spans="1:3" x14ac:dyDescent="0.35">
      <c r="A3603" s="9">
        <v>43415</v>
      </c>
      <c r="B3603">
        <f t="shared" si="57"/>
        <v>11</v>
      </c>
      <c r="C3603" s="5">
        <v>232.6</v>
      </c>
    </row>
    <row r="3604" spans="1:3" x14ac:dyDescent="0.35">
      <c r="A3604" s="9">
        <v>43416</v>
      </c>
      <c r="B3604">
        <f t="shared" si="57"/>
        <v>11</v>
      </c>
      <c r="C3604" s="5">
        <v>222.7</v>
      </c>
    </row>
    <row r="3605" spans="1:3" x14ac:dyDescent="0.35">
      <c r="A3605" s="9">
        <v>43417</v>
      </c>
      <c r="B3605">
        <f t="shared" si="57"/>
        <v>11</v>
      </c>
      <c r="C3605" s="5">
        <v>212.5</v>
      </c>
    </row>
    <row r="3606" spans="1:3" x14ac:dyDescent="0.35">
      <c r="A3606" s="9">
        <v>43418</v>
      </c>
      <c r="B3606">
        <f t="shared" si="57"/>
        <v>11</v>
      </c>
      <c r="C3606" s="5">
        <v>217.8</v>
      </c>
    </row>
    <row r="3607" spans="1:3" x14ac:dyDescent="0.35">
      <c r="A3607" s="9">
        <v>43419</v>
      </c>
      <c r="B3607">
        <f t="shared" si="57"/>
        <v>11</v>
      </c>
      <c r="C3607" s="5">
        <v>240.7</v>
      </c>
    </row>
    <row r="3608" spans="1:3" x14ac:dyDescent="0.35">
      <c r="A3608" s="9">
        <v>43420</v>
      </c>
      <c r="B3608">
        <f t="shared" si="57"/>
        <v>11</v>
      </c>
      <c r="C3608" s="5">
        <v>262</v>
      </c>
    </row>
    <row r="3609" spans="1:3" x14ac:dyDescent="0.35">
      <c r="A3609" s="9">
        <v>43421</v>
      </c>
      <c r="B3609">
        <f t="shared" si="57"/>
        <v>11</v>
      </c>
      <c r="C3609" s="5">
        <v>268.10000000000002</v>
      </c>
    </row>
    <row r="3610" spans="1:3" x14ac:dyDescent="0.35">
      <c r="A3610" s="9">
        <v>43422</v>
      </c>
      <c r="B3610">
        <f t="shared" si="57"/>
        <v>11</v>
      </c>
      <c r="C3610" s="5">
        <v>265.60000000000002</v>
      </c>
    </row>
    <row r="3611" spans="1:3" x14ac:dyDescent="0.35">
      <c r="A3611" s="9">
        <v>43423</v>
      </c>
      <c r="B3611">
        <f t="shared" si="57"/>
        <v>11</v>
      </c>
      <c r="C3611" s="5">
        <v>257.10000000000002</v>
      </c>
    </row>
    <row r="3612" spans="1:3" x14ac:dyDescent="0.35">
      <c r="A3612" s="9">
        <v>43424</v>
      </c>
      <c r="B3612">
        <f t="shared" si="57"/>
        <v>11</v>
      </c>
      <c r="C3612" s="5">
        <v>243</v>
      </c>
    </row>
    <row r="3613" spans="1:3" x14ac:dyDescent="0.35">
      <c r="A3613" s="9">
        <v>43425</v>
      </c>
      <c r="B3613">
        <f t="shared" si="57"/>
        <v>11</v>
      </c>
      <c r="C3613" s="5">
        <v>231.7</v>
      </c>
    </row>
    <row r="3614" spans="1:3" x14ac:dyDescent="0.35">
      <c r="A3614" s="9">
        <v>43426</v>
      </c>
      <c r="B3614">
        <f t="shared" si="57"/>
        <v>11</v>
      </c>
      <c r="C3614" s="5">
        <v>231.6</v>
      </c>
    </row>
    <row r="3615" spans="1:3" x14ac:dyDescent="0.35">
      <c r="A3615" s="9">
        <v>43427</v>
      </c>
      <c r="B3615">
        <f t="shared" si="57"/>
        <v>11</v>
      </c>
      <c r="C3615" s="5">
        <v>238.2</v>
      </c>
    </row>
    <row r="3616" spans="1:3" x14ac:dyDescent="0.35">
      <c r="A3616" s="9">
        <v>43428</v>
      </c>
      <c r="B3616">
        <f t="shared" si="57"/>
        <v>11</v>
      </c>
      <c r="C3616" s="5">
        <v>241.6</v>
      </c>
    </row>
    <row r="3617" spans="1:3" x14ac:dyDescent="0.35">
      <c r="A3617" s="9">
        <v>43429</v>
      </c>
      <c r="B3617">
        <f t="shared" si="57"/>
        <v>11</v>
      </c>
      <c r="C3617" s="5">
        <v>245.1</v>
      </c>
    </row>
    <row r="3618" spans="1:3" x14ac:dyDescent="0.35">
      <c r="A3618" s="9">
        <v>43430</v>
      </c>
      <c r="B3618">
        <f t="shared" si="57"/>
        <v>11</v>
      </c>
      <c r="C3618" s="5">
        <v>251.1</v>
      </c>
    </row>
    <row r="3619" spans="1:3" x14ac:dyDescent="0.35">
      <c r="A3619" s="9">
        <v>43431</v>
      </c>
      <c r="B3619">
        <f t="shared" si="57"/>
        <v>11</v>
      </c>
      <c r="C3619" s="5">
        <v>262.10000000000002</v>
      </c>
    </row>
    <row r="3620" spans="1:3" x14ac:dyDescent="0.35">
      <c r="A3620" s="9">
        <v>43432</v>
      </c>
      <c r="B3620">
        <f t="shared" si="57"/>
        <v>11</v>
      </c>
      <c r="C3620" s="5">
        <v>278.2</v>
      </c>
    </row>
    <row r="3621" spans="1:3" x14ac:dyDescent="0.35">
      <c r="A3621" s="9">
        <v>43433</v>
      </c>
      <c r="B3621">
        <f t="shared" si="57"/>
        <v>11</v>
      </c>
      <c r="C3621" s="5">
        <v>282.39999999999998</v>
      </c>
    </row>
    <row r="3622" spans="1:3" x14ac:dyDescent="0.35">
      <c r="A3622" s="9">
        <v>43434</v>
      </c>
      <c r="B3622">
        <f t="shared" si="57"/>
        <v>11</v>
      </c>
      <c r="C3622" s="5">
        <v>273.8</v>
      </c>
    </row>
    <row r="3623" spans="1:3" x14ac:dyDescent="0.35">
      <c r="A3623" s="9">
        <v>43435</v>
      </c>
      <c r="B3623">
        <f t="shared" si="57"/>
        <v>12</v>
      </c>
      <c r="C3623" s="5">
        <v>273.39999999999998</v>
      </c>
    </row>
    <row r="3624" spans="1:3" x14ac:dyDescent="0.35">
      <c r="A3624" s="9">
        <v>43436</v>
      </c>
      <c r="B3624">
        <f t="shared" si="57"/>
        <v>12</v>
      </c>
      <c r="C3624" s="5">
        <v>292.39999999999998</v>
      </c>
    </row>
    <row r="3625" spans="1:3" x14ac:dyDescent="0.35">
      <c r="A3625" s="9">
        <v>43437</v>
      </c>
      <c r="B3625">
        <f t="shared" si="57"/>
        <v>12</v>
      </c>
      <c r="C3625" s="5">
        <v>298.3</v>
      </c>
    </row>
    <row r="3626" spans="1:3" x14ac:dyDescent="0.35">
      <c r="A3626" s="9">
        <v>43438</v>
      </c>
      <c r="B3626">
        <f t="shared" si="57"/>
        <v>12</v>
      </c>
      <c r="C3626" s="5">
        <v>298.60000000000002</v>
      </c>
    </row>
    <row r="3627" spans="1:3" x14ac:dyDescent="0.35">
      <c r="A3627" s="9">
        <v>43439</v>
      </c>
      <c r="B3627">
        <f t="shared" si="57"/>
        <v>12</v>
      </c>
      <c r="C3627" s="5">
        <v>295.8</v>
      </c>
    </row>
    <row r="3628" spans="1:3" x14ac:dyDescent="0.35">
      <c r="A3628" s="9">
        <v>43440</v>
      </c>
      <c r="B3628">
        <f t="shared" si="57"/>
        <v>12</v>
      </c>
      <c r="C3628" s="5">
        <v>287.10000000000002</v>
      </c>
    </row>
    <row r="3629" spans="1:3" x14ac:dyDescent="0.35">
      <c r="A3629" s="9">
        <v>43441</v>
      </c>
      <c r="B3629">
        <f t="shared" si="57"/>
        <v>12</v>
      </c>
      <c r="C3629" s="5">
        <v>268.39999999999998</v>
      </c>
    </row>
    <row r="3630" spans="1:3" x14ac:dyDescent="0.35">
      <c r="A3630" s="9">
        <v>43442</v>
      </c>
      <c r="B3630">
        <f t="shared" si="57"/>
        <v>12</v>
      </c>
      <c r="C3630" s="5">
        <v>260.2</v>
      </c>
    </row>
    <row r="3631" spans="1:3" x14ac:dyDescent="0.35">
      <c r="A3631" s="9">
        <v>43443</v>
      </c>
      <c r="B3631">
        <f t="shared" si="57"/>
        <v>12</v>
      </c>
      <c r="C3631" s="5">
        <v>271.39999999999998</v>
      </c>
    </row>
    <row r="3632" spans="1:3" x14ac:dyDescent="0.35">
      <c r="A3632" s="9">
        <v>43444</v>
      </c>
      <c r="B3632">
        <f t="shared" si="57"/>
        <v>12</v>
      </c>
      <c r="C3632" s="5">
        <v>289.7</v>
      </c>
    </row>
    <row r="3633" spans="1:3" x14ac:dyDescent="0.35">
      <c r="A3633" s="9">
        <v>43445</v>
      </c>
      <c r="B3633">
        <f t="shared" si="57"/>
        <v>12</v>
      </c>
      <c r="C3633" s="5">
        <v>299.8</v>
      </c>
    </row>
    <row r="3634" spans="1:3" x14ac:dyDescent="0.35">
      <c r="A3634" s="9">
        <v>43446</v>
      </c>
      <c r="B3634">
        <f t="shared" si="57"/>
        <v>12</v>
      </c>
      <c r="C3634" s="5">
        <v>299.39999999999998</v>
      </c>
    </row>
    <row r="3635" spans="1:3" x14ac:dyDescent="0.35">
      <c r="A3635" s="9">
        <v>43447</v>
      </c>
      <c r="B3635">
        <f t="shared" si="57"/>
        <v>12</v>
      </c>
      <c r="C3635" s="5">
        <v>292.8</v>
      </c>
    </row>
    <row r="3636" spans="1:3" x14ac:dyDescent="0.35">
      <c r="A3636" s="9">
        <v>43448</v>
      </c>
      <c r="B3636">
        <f t="shared" si="57"/>
        <v>12</v>
      </c>
      <c r="C3636" s="5">
        <v>286.60000000000002</v>
      </c>
    </row>
    <row r="3637" spans="1:3" x14ac:dyDescent="0.35">
      <c r="A3637" s="9">
        <v>43449</v>
      </c>
      <c r="B3637">
        <f t="shared" si="57"/>
        <v>12</v>
      </c>
      <c r="C3637" s="5">
        <v>276.10000000000002</v>
      </c>
    </row>
    <row r="3638" spans="1:3" x14ac:dyDescent="0.35">
      <c r="A3638" s="9">
        <v>43450</v>
      </c>
      <c r="B3638">
        <f t="shared" si="57"/>
        <v>12</v>
      </c>
      <c r="C3638" s="5">
        <v>271.3</v>
      </c>
    </row>
    <row r="3639" spans="1:3" x14ac:dyDescent="0.35">
      <c r="A3639" s="9">
        <v>43451</v>
      </c>
      <c r="B3639">
        <f t="shared" si="57"/>
        <v>12</v>
      </c>
      <c r="C3639" s="5">
        <v>272.7</v>
      </c>
    </row>
    <row r="3640" spans="1:3" x14ac:dyDescent="0.35">
      <c r="A3640" s="9">
        <v>43452</v>
      </c>
      <c r="B3640">
        <f t="shared" si="57"/>
        <v>12</v>
      </c>
      <c r="C3640" s="5">
        <v>277.3</v>
      </c>
    </row>
    <row r="3641" spans="1:3" x14ac:dyDescent="0.35">
      <c r="A3641" s="9">
        <v>43453</v>
      </c>
      <c r="B3641">
        <f t="shared" si="57"/>
        <v>12</v>
      </c>
      <c r="C3641" s="5">
        <v>276.39999999999998</v>
      </c>
    </row>
    <row r="3642" spans="1:3" x14ac:dyDescent="0.35">
      <c r="A3642" s="9">
        <v>43454</v>
      </c>
      <c r="B3642">
        <f t="shared" si="57"/>
        <v>12</v>
      </c>
      <c r="C3642" s="5">
        <v>267.2</v>
      </c>
    </row>
    <row r="3643" spans="1:3" x14ac:dyDescent="0.35">
      <c r="A3643" s="9">
        <v>43455</v>
      </c>
      <c r="B3643">
        <f t="shared" si="57"/>
        <v>12</v>
      </c>
      <c r="C3643" s="5">
        <v>256.5</v>
      </c>
    </row>
    <row r="3644" spans="1:3" x14ac:dyDescent="0.35">
      <c r="A3644" s="9">
        <v>43456</v>
      </c>
      <c r="B3644">
        <f t="shared" si="57"/>
        <v>12</v>
      </c>
      <c r="C3644" s="5">
        <v>246</v>
      </c>
    </row>
    <row r="3645" spans="1:3" x14ac:dyDescent="0.35">
      <c r="A3645" s="9">
        <v>43457</v>
      </c>
      <c r="B3645">
        <f t="shared" si="57"/>
        <v>12</v>
      </c>
      <c r="C3645" s="5">
        <v>240.2</v>
      </c>
    </row>
    <row r="3646" spans="1:3" x14ac:dyDescent="0.35">
      <c r="A3646" s="9">
        <v>43458</v>
      </c>
      <c r="B3646">
        <f t="shared" si="57"/>
        <v>12</v>
      </c>
      <c r="C3646" s="5">
        <v>233.5</v>
      </c>
    </row>
    <row r="3647" spans="1:3" x14ac:dyDescent="0.35">
      <c r="A3647" s="9">
        <v>43459</v>
      </c>
      <c r="B3647">
        <f t="shared" si="57"/>
        <v>12</v>
      </c>
      <c r="C3647" s="5">
        <v>224.5</v>
      </c>
    </row>
    <row r="3648" spans="1:3" x14ac:dyDescent="0.35">
      <c r="A3648" s="9">
        <v>43460</v>
      </c>
      <c r="B3648">
        <f t="shared" si="57"/>
        <v>12</v>
      </c>
      <c r="C3648" s="5">
        <v>222.2</v>
      </c>
    </row>
    <row r="3649" spans="1:3" x14ac:dyDescent="0.35">
      <c r="A3649" s="9">
        <v>43461</v>
      </c>
      <c r="B3649">
        <f t="shared" si="57"/>
        <v>12</v>
      </c>
      <c r="C3649" s="5">
        <v>228</v>
      </c>
    </row>
    <row r="3650" spans="1:3" x14ac:dyDescent="0.35">
      <c r="A3650" s="9">
        <v>43462</v>
      </c>
      <c r="B3650">
        <f t="shared" si="57"/>
        <v>12</v>
      </c>
      <c r="C3650" s="5">
        <v>235</v>
      </c>
    </row>
    <row r="3651" spans="1:3" x14ac:dyDescent="0.35">
      <c r="A3651" s="9">
        <v>43463</v>
      </c>
      <c r="B3651">
        <f t="shared" si="57"/>
        <v>12</v>
      </c>
      <c r="C3651" s="5">
        <v>236</v>
      </c>
    </row>
    <row r="3652" spans="1:3" x14ac:dyDescent="0.35">
      <c r="A3652" s="9">
        <v>43464</v>
      </c>
      <c r="B3652">
        <f t="shared" ref="B3652:B3715" si="58">MONTH(A3652)</f>
        <v>12</v>
      </c>
      <c r="C3652" s="5">
        <v>230.5</v>
      </c>
    </row>
    <row r="3653" spans="1:3" x14ac:dyDescent="0.35">
      <c r="A3653" s="9">
        <v>43465</v>
      </c>
      <c r="B3653">
        <f t="shared" si="58"/>
        <v>12</v>
      </c>
      <c r="C3653" s="5">
        <v>236.7</v>
      </c>
    </row>
    <row r="3654" spans="1:3" x14ac:dyDescent="0.35">
      <c r="A3654" s="9">
        <v>43466</v>
      </c>
      <c r="B3654">
        <f t="shared" si="58"/>
        <v>1</v>
      </c>
      <c r="C3654" s="5">
        <v>259.2</v>
      </c>
    </row>
    <row r="3655" spans="1:3" x14ac:dyDescent="0.35">
      <c r="A3655" s="9">
        <v>43467</v>
      </c>
      <c r="B3655">
        <f t="shared" si="58"/>
        <v>1</v>
      </c>
      <c r="C3655" s="5">
        <v>275.2</v>
      </c>
    </row>
    <row r="3656" spans="1:3" x14ac:dyDescent="0.35">
      <c r="A3656" s="9">
        <v>43468</v>
      </c>
      <c r="B3656">
        <f t="shared" si="58"/>
        <v>1</v>
      </c>
      <c r="C3656" s="5">
        <v>276.7</v>
      </c>
    </row>
    <row r="3657" spans="1:3" x14ac:dyDescent="0.35">
      <c r="A3657" s="9">
        <v>43469</v>
      </c>
      <c r="B3657">
        <f t="shared" si="58"/>
        <v>1</v>
      </c>
      <c r="C3657" s="5">
        <v>261.10000000000002</v>
      </c>
    </row>
    <row r="3658" spans="1:3" x14ac:dyDescent="0.35">
      <c r="A3658" s="9">
        <v>43470</v>
      </c>
      <c r="B3658">
        <f t="shared" si="58"/>
        <v>1</v>
      </c>
      <c r="C3658" s="5">
        <v>241.4</v>
      </c>
    </row>
    <row r="3659" spans="1:3" x14ac:dyDescent="0.35">
      <c r="A3659" s="9">
        <v>43471</v>
      </c>
      <c r="B3659">
        <f t="shared" si="58"/>
        <v>1</v>
      </c>
      <c r="C3659" s="5">
        <v>220.7</v>
      </c>
    </row>
    <row r="3660" spans="1:3" x14ac:dyDescent="0.35">
      <c r="A3660" s="9">
        <v>43472</v>
      </c>
      <c r="B3660">
        <f t="shared" si="58"/>
        <v>1</v>
      </c>
      <c r="C3660" s="5">
        <v>204.5</v>
      </c>
    </row>
    <row r="3661" spans="1:3" x14ac:dyDescent="0.35">
      <c r="A3661" s="9">
        <v>43473</v>
      </c>
      <c r="B3661">
        <f t="shared" si="58"/>
        <v>1</v>
      </c>
      <c r="C3661" s="5">
        <v>192.5</v>
      </c>
    </row>
    <row r="3662" spans="1:3" x14ac:dyDescent="0.35">
      <c r="A3662" s="9">
        <v>43474</v>
      </c>
      <c r="B3662">
        <f t="shared" si="58"/>
        <v>1</v>
      </c>
      <c r="C3662" s="5">
        <v>185.1</v>
      </c>
    </row>
    <row r="3663" spans="1:3" x14ac:dyDescent="0.35">
      <c r="A3663" s="9">
        <v>43475</v>
      </c>
      <c r="B3663">
        <f t="shared" si="58"/>
        <v>1</v>
      </c>
      <c r="C3663" s="5">
        <v>181.8</v>
      </c>
    </row>
    <row r="3664" spans="1:3" x14ac:dyDescent="0.35">
      <c r="A3664" s="9">
        <v>43476</v>
      </c>
      <c r="B3664">
        <f t="shared" si="58"/>
        <v>1</v>
      </c>
      <c r="C3664" s="5">
        <v>179.9</v>
      </c>
    </row>
    <row r="3665" spans="1:3" x14ac:dyDescent="0.35">
      <c r="A3665" s="9">
        <v>43477</v>
      </c>
      <c r="B3665">
        <f t="shared" si="58"/>
        <v>1</v>
      </c>
      <c r="C3665" s="5">
        <v>179</v>
      </c>
    </row>
    <row r="3666" spans="1:3" x14ac:dyDescent="0.35">
      <c r="A3666" s="9">
        <v>43478</v>
      </c>
      <c r="B3666">
        <f t="shared" si="58"/>
        <v>1</v>
      </c>
      <c r="C3666" s="5">
        <v>183.3</v>
      </c>
    </row>
    <row r="3667" spans="1:3" x14ac:dyDescent="0.35">
      <c r="A3667" s="9">
        <v>43479</v>
      </c>
      <c r="B3667">
        <f t="shared" si="58"/>
        <v>1</v>
      </c>
      <c r="C3667" s="5">
        <v>191.2</v>
      </c>
    </row>
    <row r="3668" spans="1:3" x14ac:dyDescent="0.35">
      <c r="A3668" s="9">
        <v>43480</v>
      </c>
      <c r="B3668">
        <f t="shared" si="58"/>
        <v>1</v>
      </c>
      <c r="C3668" s="5">
        <v>201</v>
      </c>
    </row>
    <row r="3669" spans="1:3" x14ac:dyDescent="0.35">
      <c r="A3669" s="9">
        <v>43481</v>
      </c>
      <c r="B3669">
        <f t="shared" si="58"/>
        <v>1</v>
      </c>
      <c r="C3669" s="5">
        <v>207.3</v>
      </c>
    </row>
    <row r="3670" spans="1:3" x14ac:dyDescent="0.35">
      <c r="A3670" s="9">
        <v>43482</v>
      </c>
      <c r="B3670">
        <f t="shared" si="58"/>
        <v>1</v>
      </c>
      <c r="C3670" s="5">
        <v>209.7</v>
      </c>
    </row>
    <row r="3671" spans="1:3" x14ac:dyDescent="0.35">
      <c r="A3671" s="9">
        <v>43483</v>
      </c>
      <c r="B3671">
        <f t="shared" si="58"/>
        <v>1</v>
      </c>
      <c r="C3671" s="5">
        <v>207.2</v>
      </c>
    </row>
    <row r="3672" spans="1:3" x14ac:dyDescent="0.35">
      <c r="A3672" s="9">
        <v>43484</v>
      </c>
      <c r="B3672">
        <f t="shared" si="58"/>
        <v>1</v>
      </c>
      <c r="C3672" s="5">
        <v>198.6</v>
      </c>
    </row>
    <row r="3673" spans="1:3" x14ac:dyDescent="0.35">
      <c r="A3673" s="9">
        <v>43485</v>
      </c>
      <c r="B3673">
        <f t="shared" si="58"/>
        <v>1</v>
      </c>
      <c r="C3673" s="5">
        <v>193.5</v>
      </c>
    </row>
    <row r="3674" spans="1:3" x14ac:dyDescent="0.35">
      <c r="A3674" s="9">
        <v>43486</v>
      </c>
      <c r="B3674">
        <f t="shared" si="58"/>
        <v>1</v>
      </c>
      <c r="C3674" s="5">
        <v>191.2</v>
      </c>
    </row>
    <row r="3675" spans="1:3" x14ac:dyDescent="0.35">
      <c r="A3675" s="9">
        <v>43487</v>
      </c>
      <c r="B3675">
        <f t="shared" si="58"/>
        <v>1</v>
      </c>
      <c r="C3675" s="5">
        <v>187.1</v>
      </c>
    </row>
    <row r="3676" spans="1:3" x14ac:dyDescent="0.35">
      <c r="A3676" s="9">
        <v>43488</v>
      </c>
      <c r="B3676">
        <f t="shared" si="58"/>
        <v>1</v>
      </c>
      <c r="C3676" s="5">
        <v>189.4</v>
      </c>
    </row>
    <row r="3677" spans="1:3" x14ac:dyDescent="0.35">
      <c r="A3677" s="9">
        <v>43489</v>
      </c>
      <c r="B3677">
        <f t="shared" si="58"/>
        <v>1</v>
      </c>
      <c r="C3677" s="5">
        <v>197.4</v>
      </c>
    </row>
    <row r="3678" spans="1:3" x14ac:dyDescent="0.35">
      <c r="A3678" s="9">
        <v>43490</v>
      </c>
      <c r="B3678">
        <f t="shared" si="58"/>
        <v>1</v>
      </c>
      <c r="C3678" s="5">
        <v>201.3</v>
      </c>
    </row>
    <row r="3679" spans="1:3" x14ac:dyDescent="0.35">
      <c r="A3679" s="9">
        <v>43491</v>
      </c>
      <c r="B3679">
        <f t="shared" si="58"/>
        <v>1</v>
      </c>
      <c r="C3679" s="5">
        <v>197.6</v>
      </c>
    </row>
    <row r="3680" spans="1:3" x14ac:dyDescent="0.35">
      <c r="A3680" s="9">
        <v>43492</v>
      </c>
      <c r="B3680">
        <f t="shared" si="58"/>
        <v>1</v>
      </c>
      <c r="C3680" s="5">
        <v>194.3</v>
      </c>
    </row>
    <row r="3681" spans="1:3" x14ac:dyDescent="0.35">
      <c r="A3681" s="9">
        <v>43493</v>
      </c>
      <c r="B3681">
        <f t="shared" si="58"/>
        <v>1</v>
      </c>
      <c r="C3681" s="5">
        <v>197.6</v>
      </c>
    </row>
    <row r="3682" spans="1:3" x14ac:dyDescent="0.35">
      <c r="A3682" s="9">
        <v>43494</v>
      </c>
      <c r="B3682">
        <f t="shared" si="58"/>
        <v>1</v>
      </c>
      <c r="C3682" s="5">
        <v>210.8</v>
      </c>
    </row>
    <row r="3683" spans="1:3" x14ac:dyDescent="0.35">
      <c r="A3683" s="9">
        <v>43495</v>
      </c>
      <c r="B3683">
        <f t="shared" si="58"/>
        <v>1</v>
      </c>
      <c r="C3683" s="5">
        <v>226.6</v>
      </c>
    </row>
    <row r="3684" spans="1:3" x14ac:dyDescent="0.35">
      <c r="A3684" s="9">
        <v>43496</v>
      </c>
      <c r="B3684">
        <f t="shared" si="58"/>
        <v>1</v>
      </c>
      <c r="C3684" s="5">
        <v>238.9</v>
      </c>
    </row>
    <row r="3685" spans="1:3" x14ac:dyDescent="0.35">
      <c r="A3685" s="9">
        <v>43497</v>
      </c>
      <c r="B3685">
        <f t="shared" si="58"/>
        <v>2</v>
      </c>
      <c r="C3685" s="5">
        <v>242.7</v>
      </c>
    </row>
    <row r="3686" spans="1:3" x14ac:dyDescent="0.35">
      <c r="A3686" s="9">
        <v>43498</v>
      </c>
      <c r="B3686">
        <f t="shared" si="58"/>
        <v>2</v>
      </c>
      <c r="C3686" s="5">
        <v>226.3</v>
      </c>
    </row>
    <row r="3687" spans="1:3" x14ac:dyDescent="0.35">
      <c r="A3687" s="9">
        <v>43499</v>
      </c>
      <c r="B3687">
        <f t="shared" si="58"/>
        <v>2</v>
      </c>
      <c r="C3687" s="5">
        <v>221.3</v>
      </c>
    </row>
    <row r="3688" spans="1:3" x14ac:dyDescent="0.35">
      <c r="A3688" s="9">
        <v>43500</v>
      </c>
      <c r="B3688">
        <f t="shared" si="58"/>
        <v>2</v>
      </c>
      <c r="C3688" s="5">
        <v>210.2</v>
      </c>
    </row>
    <row r="3689" spans="1:3" x14ac:dyDescent="0.35">
      <c r="A3689" s="9">
        <v>43501</v>
      </c>
      <c r="B3689">
        <f t="shared" si="58"/>
        <v>2</v>
      </c>
      <c r="C3689" s="5">
        <v>201.1</v>
      </c>
    </row>
    <row r="3690" spans="1:3" x14ac:dyDescent="0.35">
      <c r="A3690" s="9">
        <v>43502</v>
      </c>
      <c r="B3690">
        <f t="shared" si="58"/>
        <v>2</v>
      </c>
      <c r="C3690" s="5">
        <v>197.7</v>
      </c>
    </row>
    <row r="3691" spans="1:3" x14ac:dyDescent="0.35">
      <c r="A3691" s="9">
        <v>43503</v>
      </c>
      <c r="B3691">
        <f t="shared" si="58"/>
        <v>2</v>
      </c>
      <c r="C3691" s="5">
        <v>194.8</v>
      </c>
    </row>
    <row r="3692" spans="1:3" x14ac:dyDescent="0.35">
      <c r="A3692" s="9">
        <v>43504</v>
      </c>
      <c r="B3692">
        <f t="shared" si="58"/>
        <v>2</v>
      </c>
      <c r="C3692" s="5">
        <v>185.5</v>
      </c>
    </row>
    <row r="3693" spans="1:3" x14ac:dyDescent="0.35">
      <c r="A3693" s="9">
        <v>43505</v>
      </c>
      <c r="B3693">
        <f t="shared" si="58"/>
        <v>2</v>
      </c>
      <c r="C3693" s="5">
        <v>179.3</v>
      </c>
    </row>
    <row r="3694" spans="1:3" x14ac:dyDescent="0.35">
      <c r="A3694" s="9">
        <v>43506</v>
      </c>
      <c r="B3694">
        <f t="shared" si="58"/>
        <v>2</v>
      </c>
      <c r="C3694" s="5">
        <v>183.8</v>
      </c>
    </row>
    <row r="3695" spans="1:3" x14ac:dyDescent="0.35">
      <c r="A3695" s="9">
        <v>43507</v>
      </c>
      <c r="B3695">
        <f t="shared" si="58"/>
        <v>2</v>
      </c>
      <c r="C3695" s="5">
        <v>194.6</v>
      </c>
    </row>
    <row r="3696" spans="1:3" x14ac:dyDescent="0.35">
      <c r="A3696" s="9">
        <v>43508</v>
      </c>
      <c r="B3696">
        <f t="shared" si="58"/>
        <v>2</v>
      </c>
      <c r="C3696" s="5">
        <v>199.3</v>
      </c>
    </row>
    <row r="3697" spans="1:3" x14ac:dyDescent="0.35">
      <c r="A3697" s="9">
        <v>43509</v>
      </c>
      <c r="B3697">
        <f t="shared" si="58"/>
        <v>2</v>
      </c>
      <c r="C3697" s="5">
        <v>196.4</v>
      </c>
    </row>
    <row r="3698" spans="1:3" x14ac:dyDescent="0.35">
      <c r="A3698" s="9">
        <v>43510</v>
      </c>
      <c r="B3698">
        <f t="shared" si="58"/>
        <v>2</v>
      </c>
      <c r="C3698" s="5">
        <v>195.7</v>
      </c>
    </row>
    <row r="3699" spans="1:3" x14ac:dyDescent="0.35">
      <c r="A3699" s="9">
        <v>43511</v>
      </c>
      <c r="B3699">
        <f t="shared" si="58"/>
        <v>2</v>
      </c>
      <c r="C3699" s="5">
        <v>199.5</v>
      </c>
    </row>
    <row r="3700" spans="1:3" x14ac:dyDescent="0.35">
      <c r="A3700" s="9">
        <v>43512</v>
      </c>
      <c r="B3700">
        <f t="shared" si="58"/>
        <v>2</v>
      </c>
      <c r="C3700" s="5">
        <v>198.4</v>
      </c>
    </row>
    <row r="3701" spans="1:3" x14ac:dyDescent="0.35">
      <c r="A3701" s="9">
        <v>43513</v>
      </c>
      <c r="B3701">
        <f t="shared" si="58"/>
        <v>2</v>
      </c>
      <c r="C3701" s="5">
        <v>199.7</v>
      </c>
    </row>
    <row r="3702" spans="1:3" x14ac:dyDescent="0.35">
      <c r="A3702" s="9">
        <v>43514</v>
      </c>
      <c r="B3702">
        <f t="shared" si="58"/>
        <v>2</v>
      </c>
      <c r="C3702" s="5">
        <v>207.3</v>
      </c>
    </row>
    <row r="3703" spans="1:3" x14ac:dyDescent="0.35">
      <c r="A3703" s="9">
        <v>43515</v>
      </c>
      <c r="B3703">
        <f t="shared" si="58"/>
        <v>2</v>
      </c>
      <c r="C3703" s="5">
        <v>215.2</v>
      </c>
    </row>
    <row r="3704" spans="1:3" x14ac:dyDescent="0.35">
      <c r="A3704" s="9">
        <v>43516</v>
      </c>
      <c r="B3704">
        <f t="shared" si="58"/>
        <v>2</v>
      </c>
      <c r="C3704" s="5">
        <v>217.3</v>
      </c>
    </row>
    <row r="3705" spans="1:3" x14ac:dyDescent="0.35">
      <c r="A3705" s="9">
        <v>43517</v>
      </c>
      <c r="B3705">
        <f t="shared" si="58"/>
        <v>2</v>
      </c>
      <c r="C3705" s="5">
        <v>212.3</v>
      </c>
    </row>
    <row r="3706" spans="1:3" x14ac:dyDescent="0.35">
      <c r="A3706" s="9">
        <v>43518</v>
      </c>
      <c r="B3706">
        <f t="shared" si="58"/>
        <v>2</v>
      </c>
      <c r="C3706" s="5">
        <v>214.4</v>
      </c>
    </row>
    <row r="3707" spans="1:3" x14ac:dyDescent="0.35">
      <c r="A3707" s="9">
        <v>43519</v>
      </c>
      <c r="B3707">
        <f t="shared" si="58"/>
        <v>2</v>
      </c>
      <c r="C3707" s="5">
        <v>231.9</v>
      </c>
    </row>
    <row r="3708" spans="1:3" x14ac:dyDescent="0.35">
      <c r="A3708" s="9">
        <v>43520</v>
      </c>
      <c r="B3708">
        <f t="shared" si="58"/>
        <v>2</v>
      </c>
      <c r="C3708" s="5">
        <v>247.8</v>
      </c>
    </row>
    <row r="3709" spans="1:3" x14ac:dyDescent="0.35">
      <c r="A3709" s="9">
        <v>43521</v>
      </c>
      <c r="B3709">
        <f t="shared" si="58"/>
        <v>2</v>
      </c>
      <c r="C3709" s="5">
        <v>241.9</v>
      </c>
    </row>
    <row r="3710" spans="1:3" x14ac:dyDescent="0.35">
      <c r="A3710" s="9">
        <v>43522</v>
      </c>
      <c r="B3710">
        <f t="shared" si="58"/>
        <v>2</v>
      </c>
      <c r="C3710" s="5">
        <v>219.4</v>
      </c>
    </row>
    <row r="3711" spans="1:3" x14ac:dyDescent="0.35">
      <c r="A3711" s="9">
        <v>43523</v>
      </c>
      <c r="B3711">
        <f t="shared" si="58"/>
        <v>2</v>
      </c>
      <c r="C3711" s="5">
        <v>195.2</v>
      </c>
    </row>
    <row r="3712" spans="1:3" x14ac:dyDescent="0.35">
      <c r="A3712" s="9">
        <v>43524</v>
      </c>
      <c r="B3712">
        <f t="shared" si="58"/>
        <v>2</v>
      </c>
      <c r="C3712" s="5">
        <v>181.7</v>
      </c>
    </row>
    <row r="3713" spans="1:3" x14ac:dyDescent="0.35">
      <c r="A3713" s="9">
        <v>43525</v>
      </c>
      <c r="B3713">
        <f t="shared" si="58"/>
        <v>3</v>
      </c>
      <c r="C3713" s="5">
        <v>180.9</v>
      </c>
    </row>
    <row r="3714" spans="1:3" x14ac:dyDescent="0.35">
      <c r="A3714" s="9">
        <v>43526</v>
      </c>
      <c r="B3714">
        <f t="shared" si="58"/>
        <v>3</v>
      </c>
      <c r="C3714" s="5">
        <v>190.9</v>
      </c>
    </row>
    <row r="3715" spans="1:3" x14ac:dyDescent="0.35">
      <c r="A3715" s="9">
        <v>43527</v>
      </c>
      <c r="B3715">
        <f t="shared" si="58"/>
        <v>3</v>
      </c>
      <c r="C3715" s="5">
        <v>195.7</v>
      </c>
    </row>
    <row r="3716" spans="1:3" x14ac:dyDescent="0.35">
      <c r="A3716" s="9">
        <v>43528</v>
      </c>
      <c r="B3716">
        <f t="shared" ref="B3716:B3779" si="59">MONTH(A3716)</f>
        <v>3</v>
      </c>
      <c r="C3716" s="5">
        <v>203.4</v>
      </c>
    </row>
    <row r="3717" spans="1:3" x14ac:dyDescent="0.35">
      <c r="A3717" s="9">
        <v>43529</v>
      </c>
      <c r="B3717">
        <f t="shared" si="59"/>
        <v>3</v>
      </c>
      <c r="C3717" s="5">
        <v>219</v>
      </c>
    </row>
    <row r="3718" spans="1:3" x14ac:dyDescent="0.35">
      <c r="A3718" s="9">
        <v>43530</v>
      </c>
      <c r="B3718">
        <f t="shared" si="59"/>
        <v>3</v>
      </c>
      <c r="C3718" s="5">
        <v>233.2</v>
      </c>
    </row>
    <row r="3719" spans="1:3" x14ac:dyDescent="0.35">
      <c r="A3719" s="9">
        <v>43531</v>
      </c>
      <c r="B3719">
        <f t="shared" si="59"/>
        <v>3</v>
      </c>
      <c r="C3719" s="5">
        <v>242.9</v>
      </c>
    </row>
    <row r="3720" spans="1:3" x14ac:dyDescent="0.35">
      <c r="A3720" s="9">
        <v>43532</v>
      </c>
      <c r="B3720">
        <f t="shared" si="59"/>
        <v>3</v>
      </c>
      <c r="C3720" s="5">
        <v>244</v>
      </c>
    </row>
    <row r="3721" spans="1:3" x14ac:dyDescent="0.35">
      <c r="A3721" s="9">
        <v>43533</v>
      </c>
      <c r="B3721">
        <f t="shared" si="59"/>
        <v>3</v>
      </c>
      <c r="C3721" s="5">
        <v>244.4</v>
      </c>
    </row>
    <row r="3722" spans="1:3" x14ac:dyDescent="0.35">
      <c r="A3722" s="9">
        <v>43534</v>
      </c>
      <c r="B3722">
        <f t="shared" si="59"/>
        <v>3</v>
      </c>
      <c r="C3722" s="5">
        <v>240.7</v>
      </c>
    </row>
    <row r="3723" spans="1:3" x14ac:dyDescent="0.35">
      <c r="A3723" s="9">
        <v>43535</v>
      </c>
      <c r="B3723">
        <f t="shared" si="59"/>
        <v>3</v>
      </c>
      <c r="C3723" s="5">
        <v>234.3</v>
      </c>
    </row>
    <row r="3724" spans="1:3" x14ac:dyDescent="0.35">
      <c r="A3724" s="9">
        <v>43536</v>
      </c>
      <c r="B3724">
        <f t="shared" si="59"/>
        <v>3</v>
      </c>
      <c r="C3724" s="5">
        <v>233.7</v>
      </c>
    </row>
    <row r="3725" spans="1:3" x14ac:dyDescent="0.35">
      <c r="A3725" s="9">
        <v>43537</v>
      </c>
      <c r="B3725">
        <f t="shared" si="59"/>
        <v>3</v>
      </c>
      <c r="C3725" s="5">
        <v>232.9</v>
      </c>
    </row>
    <row r="3726" spans="1:3" x14ac:dyDescent="0.35">
      <c r="A3726" s="9">
        <v>43538</v>
      </c>
      <c r="B3726">
        <f t="shared" si="59"/>
        <v>3</v>
      </c>
      <c r="C3726" s="5">
        <v>229.1</v>
      </c>
    </row>
    <row r="3727" spans="1:3" x14ac:dyDescent="0.35">
      <c r="A3727" s="9">
        <v>43539</v>
      </c>
      <c r="B3727">
        <f t="shared" si="59"/>
        <v>3</v>
      </c>
      <c r="C3727" s="5">
        <v>224.7</v>
      </c>
    </row>
    <row r="3728" spans="1:3" x14ac:dyDescent="0.35">
      <c r="A3728" s="9">
        <v>43540</v>
      </c>
      <c r="B3728">
        <f t="shared" si="59"/>
        <v>3</v>
      </c>
      <c r="C3728" s="5">
        <v>214.8</v>
      </c>
    </row>
    <row r="3729" spans="1:3" x14ac:dyDescent="0.35">
      <c r="A3729" s="9">
        <v>43541</v>
      </c>
      <c r="B3729">
        <f t="shared" si="59"/>
        <v>3</v>
      </c>
      <c r="C3729" s="5">
        <v>207.5</v>
      </c>
    </row>
    <row r="3730" spans="1:3" x14ac:dyDescent="0.35">
      <c r="A3730" s="9">
        <v>43542</v>
      </c>
      <c r="B3730">
        <f t="shared" si="59"/>
        <v>3</v>
      </c>
      <c r="C3730" s="5">
        <v>207.2</v>
      </c>
    </row>
    <row r="3731" spans="1:3" x14ac:dyDescent="0.35">
      <c r="A3731" s="9">
        <v>43543</v>
      </c>
      <c r="B3731">
        <f t="shared" si="59"/>
        <v>3</v>
      </c>
      <c r="C3731" s="5">
        <v>212.4</v>
      </c>
    </row>
    <row r="3732" spans="1:3" x14ac:dyDescent="0.35">
      <c r="A3732" s="9">
        <v>43544</v>
      </c>
      <c r="B3732">
        <f t="shared" si="59"/>
        <v>3</v>
      </c>
      <c r="C3732" s="5">
        <v>225.3</v>
      </c>
    </row>
    <row r="3733" spans="1:3" x14ac:dyDescent="0.35">
      <c r="A3733" s="9">
        <v>43545</v>
      </c>
      <c r="B3733">
        <f t="shared" si="59"/>
        <v>3</v>
      </c>
      <c r="C3733" s="5">
        <v>238.6</v>
      </c>
    </row>
    <row r="3734" spans="1:3" x14ac:dyDescent="0.35">
      <c r="A3734" s="9">
        <v>43546</v>
      </c>
      <c r="B3734">
        <f t="shared" si="59"/>
        <v>3</v>
      </c>
      <c r="C3734" s="5">
        <v>239.2</v>
      </c>
    </row>
    <row r="3735" spans="1:3" x14ac:dyDescent="0.35">
      <c r="A3735" s="9">
        <v>43547</v>
      </c>
      <c r="B3735">
        <f t="shared" si="59"/>
        <v>3</v>
      </c>
      <c r="C3735" s="5">
        <v>231.9</v>
      </c>
    </row>
    <row r="3736" spans="1:3" x14ac:dyDescent="0.35">
      <c r="A3736" s="9">
        <v>43548</v>
      </c>
      <c r="B3736">
        <f t="shared" si="59"/>
        <v>3</v>
      </c>
      <c r="C3736" s="5">
        <v>229.1</v>
      </c>
    </row>
    <row r="3737" spans="1:3" x14ac:dyDescent="0.35">
      <c r="A3737" s="9">
        <v>43549</v>
      </c>
      <c r="B3737">
        <f t="shared" si="59"/>
        <v>3</v>
      </c>
      <c r="C3737" s="5">
        <v>232.9</v>
      </c>
    </row>
    <row r="3738" spans="1:3" x14ac:dyDescent="0.35">
      <c r="A3738" s="9">
        <v>43550</v>
      </c>
      <c r="B3738">
        <f t="shared" si="59"/>
        <v>3</v>
      </c>
      <c r="C3738" s="5">
        <v>238.4</v>
      </c>
    </row>
    <row r="3739" spans="1:3" x14ac:dyDescent="0.35">
      <c r="A3739" s="9">
        <v>43551</v>
      </c>
      <c r="B3739">
        <f t="shared" si="59"/>
        <v>3</v>
      </c>
      <c r="C3739" s="5">
        <v>248.5</v>
      </c>
    </row>
    <row r="3740" spans="1:3" x14ac:dyDescent="0.35">
      <c r="A3740" s="9">
        <v>43552</v>
      </c>
      <c r="B3740">
        <f t="shared" si="59"/>
        <v>3</v>
      </c>
      <c r="C3740" s="5">
        <v>261.3</v>
      </c>
    </row>
    <row r="3741" spans="1:3" x14ac:dyDescent="0.35">
      <c r="A3741" s="9">
        <v>43553</v>
      </c>
      <c r="B3741">
        <f t="shared" si="59"/>
        <v>3</v>
      </c>
      <c r="C3741" s="5">
        <v>265.8</v>
      </c>
    </row>
    <row r="3742" spans="1:3" x14ac:dyDescent="0.35">
      <c r="A3742" s="9">
        <v>43554</v>
      </c>
      <c r="B3742">
        <f t="shared" si="59"/>
        <v>3</v>
      </c>
      <c r="C3742" s="5">
        <v>263.8</v>
      </c>
    </row>
    <row r="3743" spans="1:3" x14ac:dyDescent="0.35">
      <c r="A3743" s="9">
        <v>43555</v>
      </c>
      <c r="B3743">
        <f t="shared" si="59"/>
        <v>3</v>
      </c>
      <c r="C3743" s="5">
        <v>257.10000000000002</v>
      </c>
    </row>
    <row r="3744" spans="1:3" x14ac:dyDescent="0.35">
      <c r="A3744" s="9">
        <v>43556</v>
      </c>
      <c r="B3744">
        <f t="shared" si="59"/>
        <v>4</v>
      </c>
      <c r="C3744" s="5">
        <v>247.3</v>
      </c>
    </row>
    <row r="3745" spans="1:3" x14ac:dyDescent="0.35">
      <c r="A3745" s="9">
        <v>43557</v>
      </c>
      <c r="B3745">
        <f t="shared" si="59"/>
        <v>4</v>
      </c>
      <c r="C3745" s="5">
        <v>238.4</v>
      </c>
    </row>
    <row r="3746" spans="1:3" x14ac:dyDescent="0.35">
      <c r="A3746" s="9">
        <v>43558</v>
      </c>
      <c r="B3746">
        <f t="shared" si="59"/>
        <v>4</v>
      </c>
      <c r="C3746" s="5">
        <v>219.1</v>
      </c>
    </row>
    <row r="3747" spans="1:3" x14ac:dyDescent="0.35">
      <c r="A3747" s="9">
        <v>43559</v>
      </c>
      <c r="B3747">
        <f t="shared" si="59"/>
        <v>4</v>
      </c>
      <c r="C3747" s="5">
        <v>202.4</v>
      </c>
    </row>
    <row r="3748" spans="1:3" x14ac:dyDescent="0.35">
      <c r="A3748" s="9">
        <v>43560</v>
      </c>
      <c r="B3748">
        <f t="shared" si="59"/>
        <v>4</v>
      </c>
      <c r="C3748" s="5">
        <v>196.1</v>
      </c>
    </row>
    <row r="3749" spans="1:3" x14ac:dyDescent="0.35">
      <c r="A3749" s="9">
        <v>43561</v>
      </c>
      <c r="B3749">
        <f t="shared" si="59"/>
        <v>4</v>
      </c>
      <c r="C3749" s="5">
        <v>199.1</v>
      </c>
    </row>
    <row r="3750" spans="1:3" x14ac:dyDescent="0.35">
      <c r="A3750" s="9">
        <v>43562</v>
      </c>
      <c r="B3750">
        <f t="shared" si="59"/>
        <v>4</v>
      </c>
      <c r="C3750" s="5">
        <v>209.5</v>
      </c>
    </row>
    <row r="3751" spans="1:3" x14ac:dyDescent="0.35">
      <c r="A3751" s="9">
        <v>43563</v>
      </c>
      <c r="B3751">
        <f t="shared" si="59"/>
        <v>4</v>
      </c>
      <c r="C3751" s="5">
        <v>221.1</v>
      </c>
    </row>
    <row r="3752" spans="1:3" x14ac:dyDescent="0.35">
      <c r="A3752" s="9">
        <v>43564</v>
      </c>
      <c r="B3752">
        <f t="shared" si="59"/>
        <v>4</v>
      </c>
      <c r="C3752" s="5">
        <v>231.4</v>
      </c>
    </row>
    <row r="3753" spans="1:3" x14ac:dyDescent="0.35">
      <c r="A3753" s="9">
        <v>43565</v>
      </c>
      <c r="B3753">
        <f t="shared" si="59"/>
        <v>4</v>
      </c>
      <c r="C3753" s="5">
        <v>233.5</v>
      </c>
    </row>
    <row r="3754" spans="1:3" x14ac:dyDescent="0.35">
      <c r="A3754" s="9">
        <v>43566</v>
      </c>
      <c r="B3754">
        <f t="shared" si="59"/>
        <v>4</v>
      </c>
      <c r="C3754" s="5">
        <v>229.4</v>
      </c>
    </row>
    <row r="3755" spans="1:3" x14ac:dyDescent="0.35">
      <c r="A3755" s="9">
        <v>43567</v>
      </c>
      <c r="B3755">
        <f t="shared" si="59"/>
        <v>4</v>
      </c>
      <c r="C3755" s="5">
        <v>225.1</v>
      </c>
    </row>
    <row r="3756" spans="1:3" x14ac:dyDescent="0.35">
      <c r="A3756" s="9">
        <v>43568</v>
      </c>
      <c r="B3756">
        <f t="shared" si="59"/>
        <v>4</v>
      </c>
      <c r="C3756" s="5">
        <v>214.3</v>
      </c>
    </row>
    <row r="3757" spans="1:3" x14ac:dyDescent="0.35">
      <c r="A3757" s="9">
        <v>43569</v>
      </c>
      <c r="B3757">
        <f t="shared" si="59"/>
        <v>4</v>
      </c>
      <c r="C3757" s="5">
        <v>211.4</v>
      </c>
    </row>
    <row r="3758" spans="1:3" x14ac:dyDescent="0.35">
      <c r="A3758" s="9">
        <v>43570</v>
      </c>
      <c r="B3758">
        <f t="shared" si="59"/>
        <v>4</v>
      </c>
      <c r="C3758" s="5">
        <v>214.9</v>
      </c>
    </row>
    <row r="3759" spans="1:3" x14ac:dyDescent="0.35">
      <c r="A3759" s="9">
        <v>43571</v>
      </c>
      <c r="B3759">
        <f t="shared" si="59"/>
        <v>4</v>
      </c>
      <c r="C3759" s="5">
        <v>219.6</v>
      </c>
    </row>
    <row r="3760" spans="1:3" x14ac:dyDescent="0.35">
      <c r="A3760" s="9">
        <v>43572</v>
      </c>
      <c r="B3760">
        <f t="shared" si="59"/>
        <v>4</v>
      </c>
      <c r="C3760" s="5">
        <v>215.2</v>
      </c>
    </row>
    <row r="3761" spans="1:3" x14ac:dyDescent="0.35">
      <c r="A3761" s="9">
        <v>43573</v>
      </c>
      <c r="B3761">
        <f t="shared" si="59"/>
        <v>4</v>
      </c>
      <c r="C3761" s="5">
        <v>207.4</v>
      </c>
    </row>
    <row r="3762" spans="1:3" x14ac:dyDescent="0.35">
      <c r="A3762" s="9">
        <v>43574</v>
      </c>
      <c r="B3762">
        <f t="shared" si="59"/>
        <v>4</v>
      </c>
      <c r="C3762" s="5">
        <v>199</v>
      </c>
    </row>
    <row r="3763" spans="1:3" x14ac:dyDescent="0.35">
      <c r="A3763" s="9">
        <v>43575</v>
      </c>
      <c r="B3763">
        <f t="shared" si="59"/>
        <v>4</v>
      </c>
      <c r="C3763" s="5">
        <v>184.7</v>
      </c>
    </row>
    <row r="3764" spans="1:3" x14ac:dyDescent="0.35">
      <c r="A3764" s="9">
        <v>43576</v>
      </c>
      <c r="B3764">
        <f t="shared" si="59"/>
        <v>4</v>
      </c>
      <c r="C3764" s="5">
        <v>174.8</v>
      </c>
    </row>
    <row r="3765" spans="1:3" x14ac:dyDescent="0.35">
      <c r="A3765" s="9">
        <v>43577</v>
      </c>
      <c r="B3765">
        <f t="shared" si="59"/>
        <v>4</v>
      </c>
      <c r="C3765" s="5">
        <v>175.8</v>
      </c>
    </row>
    <row r="3766" spans="1:3" x14ac:dyDescent="0.35">
      <c r="A3766" s="9">
        <v>43578</v>
      </c>
      <c r="B3766">
        <f t="shared" si="59"/>
        <v>4</v>
      </c>
      <c r="C3766" s="5">
        <v>190.5</v>
      </c>
    </row>
    <row r="3767" spans="1:3" x14ac:dyDescent="0.35">
      <c r="A3767" s="9">
        <v>43579</v>
      </c>
      <c r="B3767">
        <f t="shared" si="59"/>
        <v>4</v>
      </c>
      <c r="C3767" s="5">
        <v>208</v>
      </c>
    </row>
    <row r="3768" spans="1:3" x14ac:dyDescent="0.35">
      <c r="A3768" s="9">
        <v>43580</v>
      </c>
      <c r="B3768">
        <f t="shared" si="59"/>
        <v>4</v>
      </c>
      <c r="C3768" s="5">
        <v>219.8</v>
      </c>
    </row>
    <row r="3769" spans="1:3" x14ac:dyDescent="0.35">
      <c r="A3769" s="9">
        <v>43581</v>
      </c>
      <c r="B3769">
        <f t="shared" si="59"/>
        <v>4</v>
      </c>
      <c r="C3769" s="5">
        <v>224.8</v>
      </c>
    </row>
    <row r="3770" spans="1:3" x14ac:dyDescent="0.35">
      <c r="A3770" s="9">
        <v>43582</v>
      </c>
      <c r="B3770">
        <f t="shared" si="59"/>
        <v>4</v>
      </c>
      <c r="C3770" s="5">
        <v>224.9</v>
      </c>
    </row>
    <row r="3771" spans="1:3" x14ac:dyDescent="0.35">
      <c r="A3771" s="9">
        <v>43583</v>
      </c>
      <c r="B3771">
        <f t="shared" si="59"/>
        <v>4</v>
      </c>
      <c r="C3771" s="5">
        <v>215.8</v>
      </c>
    </row>
    <row r="3772" spans="1:3" x14ac:dyDescent="0.35">
      <c r="A3772" s="9">
        <v>43584</v>
      </c>
      <c r="B3772">
        <f t="shared" si="59"/>
        <v>4</v>
      </c>
      <c r="C3772" s="5">
        <v>200.4</v>
      </c>
    </row>
    <row r="3773" spans="1:3" x14ac:dyDescent="0.35">
      <c r="A3773" s="9">
        <v>43585</v>
      </c>
      <c r="B3773">
        <f t="shared" si="59"/>
        <v>4</v>
      </c>
      <c r="C3773" s="5">
        <v>186.3</v>
      </c>
    </row>
    <row r="3774" spans="1:3" x14ac:dyDescent="0.35">
      <c r="A3774" s="9">
        <v>43586</v>
      </c>
      <c r="B3774">
        <f t="shared" si="59"/>
        <v>5</v>
      </c>
      <c r="C3774" s="5">
        <v>184.4</v>
      </c>
    </row>
    <row r="3775" spans="1:3" x14ac:dyDescent="0.35">
      <c r="A3775" s="9">
        <v>43587</v>
      </c>
      <c r="B3775">
        <f t="shared" si="59"/>
        <v>5</v>
      </c>
      <c r="C3775" s="5">
        <v>195.2</v>
      </c>
    </row>
    <row r="3776" spans="1:3" x14ac:dyDescent="0.35">
      <c r="A3776" s="9">
        <v>43588</v>
      </c>
      <c r="B3776">
        <f t="shared" si="59"/>
        <v>5</v>
      </c>
      <c r="C3776" s="5">
        <v>199.9</v>
      </c>
    </row>
    <row r="3777" spans="1:3" x14ac:dyDescent="0.35">
      <c r="A3777" s="9">
        <v>43589</v>
      </c>
      <c r="B3777">
        <f t="shared" si="59"/>
        <v>5</v>
      </c>
      <c r="C3777" s="5">
        <v>192.5</v>
      </c>
    </row>
    <row r="3778" spans="1:3" x14ac:dyDescent="0.35">
      <c r="A3778" s="9">
        <v>43590</v>
      </c>
      <c r="B3778">
        <f t="shared" si="59"/>
        <v>5</v>
      </c>
      <c r="C3778" s="5">
        <v>177</v>
      </c>
    </row>
    <row r="3779" spans="1:3" x14ac:dyDescent="0.35">
      <c r="A3779" s="9">
        <v>43591</v>
      </c>
      <c r="B3779">
        <f t="shared" si="59"/>
        <v>5</v>
      </c>
      <c r="C3779" s="5">
        <v>161.1</v>
      </c>
    </row>
    <row r="3780" spans="1:3" x14ac:dyDescent="0.35">
      <c r="A3780" s="9">
        <v>43592</v>
      </c>
      <c r="B3780">
        <f t="shared" ref="B3780:B3843" si="60">MONTH(A3780)</f>
        <v>5</v>
      </c>
      <c r="C3780" s="5">
        <v>153.69999999999999</v>
      </c>
    </row>
    <row r="3781" spans="1:3" x14ac:dyDescent="0.35">
      <c r="A3781" s="9">
        <v>43593</v>
      </c>
      <c r="B3781">
        <f t="shared" si="60"/>
        <v>5</v>
      </c>
      <c r="C3781" s="5">
        <v>156</v>
      </c>
    </row>
    <row r="3782" spans="1:3" x14ac:dyDescent="0.35">
      <c r="A3782" s="9">
        <v>43594</v>
      </c>
      <c r="B3782">
        <f t="shared" si="60"/>
        <v>5</v>
      </c>
      <c r="C3782" s="5">
        <v>161.4</v>
      </c>
    </row>
    <row r="3783" spans="1:3" x14ac:dyDescent="0.35">
      <c r="A3783" s="9">
        <v>43595</v>
      </c>
      <c r="B3783">
        <f t="shared" si="60"/>
        <v>5</v>
      </c>
      <c r="C3783" s="5">
        <v>161.4</v>
      </c>
    </row>
    <row r="3784" spans="1:3" x14ac:dyDescent="0.35">
      <c r="A3784" s="9">
        <v>43596</v>
      </c>
      <c r="B3784">
        <f t="shared" si="60"/>
        <v>5</v>
      </c>
      <c r="C3784" s="5">
        <v>160.4</v>
      </c>
    </row>
    <row r="3785" spans="1:3" x14ac:dyDescent="0.35">
      <c r="A3785" s="9">
        <v>43597</v>
      </c>
      <c r="B3785">
        <f t="shared" si="60"/>
        <v>5</v>
      </c>
      <c r="C3785" s="5">
        <v>167</v>
      </c>
    </row>
    <row r="3786" spans="1:3" x14ac:dyDescent="0.35">
      <c r="A3786" s="9">
        <v>43598</v>
      </c>
      <c r="B3786">
        <f t="shared" si="60"/>
        <v>5</v>
      </c>
      <c r="C3786" s="5">
        <v>181.8</v>
      </c>
    </row>
    <row r="3787" spans="1:3" x14ac:dyDescent="0.35">
      <c r="A3787" s="9">
        <v>43599</v>
      </c>
      <c r="B3787">
        <f t="shared" si="60"/>
        <v>5</v>
      </c>
      <c r="C3787" s="5">
        <v>197.3</v>
      </c>
    </row>
    <row r="3788" spans="1:3" x14ac:dyDescent="0.35">
      <c r="A3788" s="9">
        <v>43600</v>
      </c>
      <c r="B3788">
        <f t="shared" si="60"/>
        <v>5</v>
      </c>
      <c r="C3788" s="5">
        <v>210.8</v>
      </c>
    </row>
    <row r="3789" spans="1:3" x14ac:dyDescent="0.35">
      <c r="A3789" s="9">
        <v>43601</v>
      </c>
      <c r="B3789">
        <f t="shared" si="60"/>
        <v>5</v>
      </c>
      <c r="C3789" s="5">
        <v>222.3</v>
      </c>
    </row>
    <row r="3790" spans="1:3" x14ac:dyDescent="0.35">
      <c r="A3790" s="9">
        <v>43602</v>
      </c>
      <c r="B3790">
        <f t="shared" si="60"/>
        <v>5</v>
      </c>
      <c r="C3790" s="5">
        <v>226.4</v>
      </c>
    </row>
    <row r="3791" spans="1:3" x14ac:dyDescent="0.35">
      <c r="A3791" s="9">
        <v>43603</v>
      </c>
      <c r="B3791">
        <f t="shared" si="60"/>
        <v>5</v>
      </c>
      <c r="C3791" s="5">
        <v>224.3</v>
      </c>
    </row>
    <row r="3792" spans="1:3" x14ac:dyDescent="0.35">
      <c r="A3792" s="9">
        <v>43604</v>
      </c>
      <c r="B3792">
        <f t="shared" si="60"/>
        <v>5</v>
      </c>
      <c r="C3792" s="5">
        <v>222.4</v>
      </c>
    </row>
    <row r="3793" spans="1:3" x14ac:dyDescent="0.35">
      <c r="A3793" s="9">
        <v>43605</v>
      </c>
      <c r="B3793">
        <f t="shared" si="60"/>
        <v>5</v>
      </c>
      <c r="C3793" s="5">
        <v>217.8</v>
      </c>
    </row>
    <row r="3794" spans="1:3" x14ac:dyDescent="0.35">
      <c r="A3794" s="9">
        <v>43606</v>
      </c>
      <c r="B3794">
        <f t="shared" si="60"/>
        <v>5</v>
      </c>
      <c r="C3794" s="5">
        <v>211.2</v>
      </c>
    </row>
    <row r="3795" spans="1:3" x14ac:dyDescent="0.35">
      <c r="A3795" s="9">
        <v>43607</v>
      </c>
      <c r="B3795">
        <f t="shared" si="60"/>
        <v>5</v>
      </c>
      <c r="C3795" s="5">
        <v>208.4</v>
      </c>
    </row>
    <row r="3796" spans="1:3" x14ac:dyDescent="0.35">
      <c r="A3796" s="9">
        <v>43608</v>
      </c>
      <c r="B3796">
        <f t="shared" si="60"/>
        <v>5</v>
      </c>
      <c r="C3796" s="5">
        <v>213</v>
      </c>
    </row>
    <row r="3797" spans="1:3" x14ac:dyDescent="0.35">
      <c r="A3797" s="9">
        <v>43609</v>
      </c>
      <c r="B3797">
        <f t="shared" si="60"/>
        <v>5</v>
      </c>
      <c r="C3797" s="5">
        <v>220.6</v>
      </c>
    </row>
    <row r="3798" spans="1:3" x14ac:dyDescent="0.35">
      <c r="A3798" s="9">
        <v>43610</v>
      </c>
      <c r="B3798">
        <f t="shared" si="60"/>
        <v>5</v>
      </c>
      <c r="C3798" s="5">
        <v>215.1</v>
      </c>
    </row>
    <row r="3799" spans="1:3" x14ac:dyDescent="0.35">
      <c r="A3799" s="9">
        <v>43611</v>
      </c>
      <c r="B3799">
        <f t="shared" si="60"/>
        <v>5</v>
      </c>
      <c r="C3799" s="5">
        <v>198.8</v>
      </c>
    </row>
    <row r="3800" spans="1:3" x14ac:dyDescent="0.35">
      <c r="A3800" s="9">
        <v>43612</v>
      </c>
      <c r="B3800">
        <f t="shared" si="60"/>
        <v>5</v>
      </c>
      <c r="C3800" s="5">
        <v>178.8</v>
      </c>
    </row>
    <row r="3801" spans="1:3" x14ac:dyDescent="0.35">
      <c r="A3801" s="9">
        <v>43613</v>
      </c>
      <c r="B3801">
        <f t="shared" si="60"/>
        <v>5</v>
      </c>
      <c r="C3801" s="5">
        <v>165.9</v>
      </c>
    </row>
    <row r="3802" spans="1:3" x14ac:dyDescent="0.35">
      <c r="A3802" s="9">
        <v>43614</v>
      </c>
      <c r="B3802">
        <f t="shared" si="60"/>
        <v>5</v>
      </c>
      <c r="C3802" s="5">
        <v>167.3</v>
      </c>
    </row>
    <row r="3803" spans="1:3" x14ac:dyDescent="0.35">
      <c r="A3803" s="9">
        <v>43615</v>
      </c>
      <c r="B3803">
        <f t="shared" si="60"/>
        <v>5</v>
      </c>
      <c r="C3803" s="5">
        <v>178.4</v>
      </c>
    </row>
    <row r="3804" spans="1:3" x14ac:dyDescent="0.35">
      <c r="A3804" s="9">
        <v>43616</v>
      </c>
      <c r="B3804">
        <f t="shared" si="60"/>
        <v>5</v>
      </c>
      <c r="C3804" s="5">
        <v>186.9</v>
      </c>
    </row>
    <row r="3805" spans="1:3" x14ac:dyDescent="0.35">
      <c r="A3805" s="9">
        <v>43617</v>
      </c>
      <c r="B3805">
        <f t="shared" si="60"/>
        <v>6</v>
      </c>
      <c r="C3805" s="5">
        <v>187.7</v>
      </c>
    </row>
    <row r="3806" spans="1:3" x14ac:dyDescent="0.35">
      <c r="A3806" s="9">
        <v>43618</v>
      </c>
      <c r="B3806">
        <f t="shared" si="60"/>
        <v>6</v>
      </c>
      <c r="C3806" s="5">
        <v>141.80000000000001</v>
      </c>
    </row>
    <row r="3807" spans="1:3" x14ac:dyDescent="0.35">
      <c r="A3807" s="9">
        <v>43619</v>
      </c>
      <c r="B3807">
        <f t="shared" si="60"/>
        <v>6</v>
      </c>
      <c r="C3807" s="5">
        <v>134.30000000000001</v>
      </c>
    </row>
    <row r="3808" spans="1:3" x14ac:dyDescent="0.35">
      <c r="A3808" s="9">
        <v>43620</v>
      </c>
      <c r="B3808">
        <f t="shared" si="60"/>
        <v>6</v>
      </c>
      <c r="C3808" s="5">
        <v>125.7</v>
      </c>
    </row>
    <row r="3809" spans="1:3" x14ac:dyDescent="0.35">
      <c r="A3809" s="9">
        <v>43621</v>
      </c>
      <c r="B3809">
        <f t="shared" si="60"/>
        <v>6</v>
      </c>
      <c r="C3809" s="5">
        <v>115.8</v>
      </c>
    </row>
    <row r="3810" spans="1:3" x14ac:dyDescent="0.35">
      <c r="A3810" s="9">
        <v>43622</v>
      </c>
      <c r="B3810">
        <f t="shared" si="60"/>
        <v>6</v>
      </c>
      <c r="C3810" s="5">
        <v>106.3</v>
      </c>
    </row>
    <row r="3811" spans="1:3" x14ac:dyDescent="0.35">
      <c r="A3811" s="9">
        <v>43623</v>
      </c>
      <c r="B3811">
        <f t="shared" si="60"/>
        <v>6</v>
      </c>
      <c r="C3811" s="5">
        <v>98.3</v>
      </c>
    </row>
    <row r="3812" spans="1:3" x14ac:dyDescent="0.35">
      <c r="A3812" s="9">
        <v>43624</v>
      </c>
      <c r="B3812">
        <f t="shared" si="60"/>
        <v>6</v>
      </c>
      <c r="C3812" s="5">
        <v>92.8</v>
      </c>
    </row>
    <row r="3813" spans="1:3" x14ac:dyDescent="0.35">
      <c r="A3813" s="9">
        <v>43625</v>
      </c>
      <c r="B3813">
        <f t="shared" si="60"/>
        <v>6</v>
      </c>
      <c r="C3813" s="5">
        <v>89.4</v>
      </c>
    </row>
    <row r="3814" spans="1:3" x14ac:dyDescent="0.35">
      <c r="A3814" s="9">
        <v>43626</v>
      </c>
      <c r="B3814">
        <f t="shared" si="60"/>
        <v>6</v>
      </c>
      <c r="C3814" s="5">
        <v>87.1</v>
      </c>
    </row>
    <row r="3815" spans="1:3" x14ac:dyDescent="0.35">
      <c r="A3815" s="9">
        <v>43627</v>
      </c>
      <c r="B3815">
        <f t="shared" si="60"/>
        <v>6</v>
      </c>
      <c r="C3815" s="5">
        <v>85.7</v>
      </c>
    </row>
    <row r="3816" spans="1:3" x14ac:dyDescent="0.35">
      <c r="A3816" s="9">
        <v>43628</v>
      </c>
      <c r="B3816">
        <f t="shared" si="60"/>
        <v>6</v>
      </c>
      <c r="C3816" s="5">
        <v>84.9</v>
      </c>
    </row>
    <row r="3817" spans="1:3" x14ac:dyDescent="0.35">
      <c r="A3817" s="9">
        <v>43629</v>
      </c>
      <c r="B3817">
        <f t="shared" si="60"/>
        <v>6</v>
      </c>
      <c r="C3817" s="5">
        <v>84.6</v>
      </c>
    </row>
    <row r="3818" spans="1:3" x14ac:dyDescent="0.35">
      <c r="A3818" s="9">
        <v>43630</v>
      </c>
      <c r="B3818">
        <f t="shared" si="60"/>
        <v>6</v>
      </c>
      <c r="C3818" s="5">
        <v>85.2</v>
      </c>
    </row>
    <row r="3819" spans="1:3" x14ac:dyDescent="0.35">
      <c r="A3819" s="9">
        <v>43631</v>
      </c>
      <c r="B3819">
        <f t="shared" si="60"/>
        <v>6</v>
      </c>
      <c r="C3819" s="5">
        <v>86.6</v>
      </c>
    </row>
    <row r="3820" spans="1:3" x14ac:dyDescent="0.35">
      <c r="A3820" s="9">
        <v>43632</v>
      </c>
      <c r="B3820">
        <f t="shared" si="60"/>
        <v>6</v>
      </c>
      <c r="C3820" s="5">
        <v>87.8</v>
      </c>
    </row>
    <row r="3821" spans="1:3" x14ac:dyDescent="0.35">
      <c r="A3821" s="9">
        <v>43633</v>
      </c>
      <c r="B3821">
        <f t="shared" si="60"/>
        <v>6</v>
      </c>
      <c r="C3821" s="5">
        <v>87.9</v>
      </c>
    </row>
    <row r="3822" spans="1:3" x14ac:dyDescent="0.35">
      <c r="A3822" s="9">
        <v>43634</v>
      </c>
      <c r="B3822">
        <f t="shared" si="60"/>
        <v>6</v>
      </c>
      <c r="C3822" s="5">
        <v>87.1</v>
      </c>
    </row>
    <row r="3823" spans="1:3" x14ac:dyDescent="0.35">
      <c r="A3823" s="9">
        <v>43635</v>
      </c>
      <c r="B3823">
        <f t="shared" si="60"/>
        <v>6</v>
      </c>
      <c r="C3823" s="5">
        <v>85.8</v>
      </c>
    </row>
    <row r="3824" spans="1:3" x14ac:dyDescent="0.35">
      <c r="A3824" s="9">
        <v>43636</v>
      </c>
      <c r="B3824">
        <f t="shared" si="60"/>
        <v>6</v>
      </c>
      <c r="C3824" s="5">
        <v>84.8</v>
      </c>
    </row>
    <row r="3825" spans="1:3" x14ac:dyDescent="0.35">
      <c r="A3825" s="9">
        <v>43637</v>
      </c>
      <c r="B3825">
        <f t="shared" si="60"/>
        <v>6</v>
      </c>
      <c r="C3825" s="5">
        <v>84.2</v>
      </c>
    </row>
    <row r="3826" spans="1:3" x14ac:dyDescent="0.35">
      <c r="A3826" s="9">
        <v>43638</v>
      </c>
      <c r="B3826">
        <f t="shared" si="60"/>
        <v>6</v>
      </c>
      <c r="C3826" s="5">
        <v>83.8</v>
      </c>
    </row>
    <row r="3827" spans="1:3" x14ac:dyDescent="0.35">
      <c r="A3827" s="9">
        <v>43639</v>
      </c>
      <c r="B3827">
        <f t="shared" si="60"/>
        <v>6</v>
      </c>
      <c r="C3827" s="5">
        <v>83.5</v>
      </c>
    </row>
    <row r="3828" spans="1:3" x14ac:dyDescent="0.35">
      <c r="A3828" s="9">
        <v>43640</v>
      </c>
      <c r="B3828">
        <f t="shared" si="60"/>
        <v>6</v>
      </c>
      <c r="C3828" s="5">
        <v>83.3</v>
      </c>
    </row>
    <row r="3829" spans="1:3" x14ac:dyDescent="0.35">
      <c r="A3829" s="9">
        <v>43641</v>
      </c>
      <c r="B3829">
        <f t="shared" si="60"/>
        <v>6</v>
      </c>
      <c r="C3829" s="5">
        <v>83.2</v>
      </c>
    </row>
    <row r="3830" spans="1:3" x14ac:dyDescent="0.35">
      <c r="A3830" s="9">
        <v>43642</v>
      </c>
      <c r="B3830">
        <f t="shared" si="60"/>
        <v>6</v>
      </c>
      <c r="C3830" s="5">
        <v>83.1</v>
      </c>
    </row>
    <row r="3831" spans="1:3" x14ac:dyDescent="0.35">
      <c r="A3831" s="9">
        <v>43643</v>
      </c>
      <c r="B3831">
        <f t="shared" si="60"/>
        <v>6</v>
      </c>
      <c r="C3831" s="5">
        <v>83.6</v>
      </c>
    </row>
    <row r="3832" spans="1:3" x14ac:dyDescent="0.35">
      <c r="A3832" s="9">
        <v>43644</v>
      </c>
      <c r="B3832">
        <f t="shared" si="60"/>
        <v>6</v>
      </c>
      <c r="C3832" s="5">
        <v>84.6</v>
      </c>
    </row>
    <row r="3833" spans="1:3" x14ac:dyDescent="0.35">
      <c r="A3833" s="9">
        <v>43645</v>
      </c>
      <c r="B3833">
        <f t="shared" si="60"/>
        <v>6</v>
      </c>
      <c r="C3833" s="5">
        <v>85.8</v>
      </c>
    </row>
    <row r="3834" spans="1:3" x14ac:dyDescent="0.35">
      <c r="A3834" s="9">
        <v>43646</v>
      </c>
      <c r="B3834">
        <f t="shared" si="60"/>
        <v>6</v>
      </c>
      <c r="C3834" s="5">
        <v>86</v>
      </c>
    </row>
    <row r="3835" spans="1:3" x14ac:dyDescent="0.35">
      <c r="A3835" s="9">
        <v>43647</v>
      </c>
      <c r="B3835">
        <f t="shared" si="60"/>
        <v>7</v>
      </c>
      <c r="C3835" s="5">
        <v>85.5</v>
      </c>
    </row>
    <row r="3836" spans="1:3" x14ac:dyDescent="0.35">
      <c r="A3836" s="9">
        <v>43648</v>
      </c>
      <c r="B3836">
        <f t="shared" si="60"/>
        <v>7</v>
      </c>
      <c r="C3836" s="5">
        <v>61.7</v>
      </c>
    </row>
    <row r="3837" spans="1:3" x14ac:dyDescent="0.35">
      <c r="A3837" s="9">
        <v>43649</v>
      </c>
      <c r="B3837">
        <f t="shared" si="60"/>
        <v>7</v>
      </c>
      <c r="C3837" s="5">
        <v>61.1</v>
      </c>
    </row>
    <row r="3838" spans="1:3" x14ac:dyDescent="0.35">
      <c r="A3838" s="9">
        <v>43650</v>
      </c>
      <c r="B3838">
        <f t="shared" si="60"/>
        <v>7</v>
      </c>
      <c r="C3838" s="5">
        <v>60.8</v>
      </c>
    </row>
    <row r="3839" spans="1:3" x14ac:dyDescent="0.35">
      <c r="A3839" s="9">
        <v>43651</v>
      </c>
      <c r="B3839">
        <f t="shared" si="60"/>
        <v>7</v>
      </c>
      <c r="C3839" s="5">
        <v>60.6</v>
      </c>
    </row>
    <row r="3840" spans="1:3" x14ac:dyDescent="0.35">
      <c r="A3840" s="9">
        <v>43652</v>
      </c>
      <c r="B3840">
        <f t="shared" si="60"/>
        <v>7</v>
      </c>
      <c r="C3840" s="5">
        <v>60.5</v>
      </c>
    </row>
    <row r="3841" spans="1:3" x14ac:dyDescent="0.35">
      <c r="A3841" s="9">
        <v>43653</v>
      </c>
      <c r="B3841">
        <f t="shared" si="60"/>
        <v>7</v>
      </c>
      <c r="C3841" s="5">
        <v>60.4</v>
      </c>
    </row>
    <row r="3842" spans="1:3" x14ac:dyDescent="0.35">
      <c r="A3842" s="9">
        <v>43654</v>
      </c>
      <c r="B3842">
        <f t="shared" si="60"/>
        <v>7</v>
      </c>
      <c r="C3842" s="5">
        <v>60.4</v>
      </c>
    </row>
    <row r="3843" spans="1:3" x14ac:dyDescent="0.35">
      <c r="A3843" s="9">
        <v>43655</v>
      </c>
      <c r="B3843">
        <f t="shared" si="60"/>
        <v>7</v>
      </c>
      <c r="C3843" s="5">
        <v>60.4</v>
      </c>
    </row>
    <row r="3844" spans="1:3" x14ac:dyDescent="0.35">
      <c r="A3844" s="9">
        <v>43656</v>
      </c>
      <c r="B3844">
        <f t="shared" ref="B3844:B3907" si="61">MONTH(A3844)</f>
        <v>7</v>
      </c>
      <c r="C3844" s="5">
        <v>60.4</v>
      </c>
    </row>
    <row r="3845" spans="1:3" x14ac:dyDescent="0.35">
      <c r="A3845" s="9">
        <v>43657</v>
      </c>
      <c r="B3845">
        <f t="shared" si="61"/>
        <v>7</v>
      </c>
      <c r="C3845" s="5">
        <v>60.4</v>
      </c>
    </row>
    <row r="3846" spans="1:3" x14ac:dyDescent="0.35">
      <c r="A3846" s="9">
        <v>43658</v>
      </c>
      <c r="B3846">
        <f t="shared" si="61"/>
        <v>7</v>
      </c>
      <c r="C3846" s="5">
        <v>60.4</v>
      </c>
    </row>
    <row r="3847" spans="1:3" x14ac:dyDescent="0.35">
      <c r="A3847" s="9">
        <v>43659</v>
      </c>
      <c r="B3847">
        <f t="shared" si="61"/>
        <v>7</v>
      </c>
      <c r="C3847" s="5">
        <v>60.4</v>
      </c>
    </row>
    <row r="3848" spans="1:3" x14ac:dyDescent="0.35">
      <c r="A3848" s="9">
        <v>43660</v>
      </c>
      <c r="B3848">
        <f t="shared" si="61"/>
        <v>7</v>
      </c>
      <c r="C3848" s="5">
        <v>60.4</v>
      </c>
    </row>
    <row r="3849" spans="1:3" x14ac:dyDescent="0.35">
      <c r="A3849" s="9">
        <v>43661</v>
      </c>
      <c r="B3849">
        <f t="shared" si="61"/>
        <v>7</v>
      </c>
      <c r="C3849" s="5">
        <v>60.4</v>
      </c>
    </row>
    <row r="3850" spans="1:3" x14ac:dyDescent="0.35">
      <c r="A3850" s="9">
        <v>43662</v>
      </c>
      <c r="B3850">
        <f t="shared" si="61"/>
        <v>7</v>
      </c>
      <c r="C3850" s="5">
        <v>60.6</v>
      </c>
    </row>
    <row r="3851" spans="1:3" x14ac:dyDescent="0.35">
      <c r="A3851" s="9">
        <v>43663</v>
      </c>
      <c r="B3851">
        <f t="shared" si="61"/>
        <v>7</v>
      </c>
      <c r="C3851" s="5">
        <v>61.4</v>
      </c>
    </row>
    <row r="3852" spans="1:3" x14ac:dyDescent="0.35">
      <c r="A3852" s="9">
        <v>43664</v>
      </c>
      <c r="B3852">
        <f t="shared" si="61"/>
        <v>7</v>
      </c>
      <c r="C3852" s="5">
        <v>62.3</v>
      </c>
    </row>
    <row r="3853" spans="1:3" x14ac:dyDescent="0.35">
      <c r="A3853" s="9">
        <v>43665</v>
      </c>
      <c r="B3853">
        <f t="shared" si="61"/>
        <v>7</v>
      </c>
      <c r="C3853" s="5">
        <v>62.5</v>
      </c>
    </row>
    <row r="3854" spans="1:3" x14ac:dyDescent="0.35">
      <c r="A3854" s="9">
        <v>43666</v>
      </c>
      <c r="B3854">
        <f t="shared" si="61"/>
        <v>7</v>
      </c>
      <c r="C3854" s="5">
        <v>62.1</v>
      </c>
    </row>
    <row r="3855" spans="1:3" x14ac:dyDescent="0.35">
      <c r="A3855" s="9">
        <v>43667</v>
      </c>
      <c r="B3855">
        <f t="shared" si="61"/>
        <v>7</v>
      </c>
      <c r="C3855" s="5">
        <v>61.5</v>
      </c>
    </row>
    <row r="3856" spans="1:3" x14ac:dyDescent="0.35">
      <c r="A3856" s="9">
        <v>43668</v>
      </c>
      <c r="B3856">
        <f t="shared" si="61"/>
        <v>7</v>
      </c>
      <c r="C3856" s="5">
        <v>60.9</v>
      </c>
    </row>
    <row r="3857" spans="1:3" x14ac:dyDescent="0.35">
      <c r="A3857" s="9">
        <v>43669</v>
      </c>
      <c r="B3857">
        <f t="shared" si="61"/>
        <v>7</v>
      </c>
      <c r="C3857" s="5">
        <v>60.6</v>
      </c>
    </row>
    <row r="3858" spans="1:3" x14ac:dyDescent="0.35">
      <c r="A3858" s="9">
        <v>43670</v>
      </c>
      <c r="B3858">
        <f t="shared" si="61"/>
        <v>7</v>
      </c>
      <c r="C3858" s="5">
        <v>60.4</v>
      </c>
    </row>
    <row r="3859" spans="1:3" x14ac:dyDescent="0.35">
      <c r="A3859" s="9">
        <v>43671</v>
      </c>
      <c r="B3859">
        <f t="shared" si="61"/>
        <v>7</v>
      </c>
      <c r="C3859" s="5">
        <v>60.3</v>
      </c>
    </row>
    <row r="3860" spans="1:3" x14ac:dyDescent="0.35">
      <c r="A3860" s="9">
        <v>43672</v>
      </c>
      <c r="B3860">
        <f t="shared" si="61"/>
        <v>7</v>
      </c>
      <c r="C3860" s="5">
        <v>60.2</v>
      </c>
    </row>
    <row r="3861" spans="1:3" x14ac:dyDescent="0.35">
      <c r="A3861" s="9">
        <v>43673</v>
      </c>
      <c r="B3861">
        <f t="shared" si="61"/>
        <v>7</v>
      </c>
      <c r="C3861" s="5">
        <v>60.1</v>
      </c>
    </row>
    <row r="3862" spans="1:3" x14ac:dyDescent="0.35">
      <c r="A3862" s="9">
        <v>43674</v>
      </c>
      <c r="B3862">
        <f t="shared" si="61"/>
        <v>7</v>
      </c>
      <c r="C3862" s="5">
        <v>60.1</v>
      </c>
    </row>
    <row r="3863" spans="1:3" x14ac:dyDescent="0.35">
      <c r="A3863" s="9">
        <v>43675</v>
      </c>
      <c r="B3863">
        <f t="shared" si="61"/>
        <v>7</v>
      </c>
      <c r="C3863" s="5">
        <v>60.3</v>
      </c>
    </row>
    <row r="3864" spans="1:3" x14ac:dyDescent="0.35">
      <c r="A3864" s="9">
        <v>43676</v>
      </c>
      <c r="B3864">
        <f t="shared" si="61"/>
        <v>7</v>
      </c>
      <c r="C3864" s="5">
        <v>60.5</v>
      </c>
    </row>
    <row r="3865" spans="1:3" x14ac:dyDescent="0.35">
      <c r="A3865" s="9">
        <v>43677</v>
      </c>
      <c r="B3865">
        <f t="shared" si="61"/>
        <v>7</v>
      </c>
      <c r="C3865" s="5">
        <v>61</v>
      </c>
    </row>
    <row r="3866" spans="1:3" x14ac:dyDescent="0.35">
      <c r="A3866" s="9">
        <v>43678</v>
      </c>
      <c r="B3866">
        <f t="shared" si="61"/>
        <v>8</v>
      </c>
      <c r="C3866" s="5">
        <v>61.6</v>
      </c>
    </row>
    <row r="3867" spans="1:3" x14ac:dyDescent="0.35">
      <c r="A3867" s="9">
        <v>43679</v>
      </c>
      <c r="B3867">
        <f t="shared" si="61"/>
        <v>8</v>
      </c>
      <c r="C3867" s="5">
        <v>72.2</v>
      </c>
    </row>
    <row r="3868" spans="1:3" x14ac:dyDescent="0.35">
      <c r="A3868" s="9">
        <v>43680</v>
      </c>
      <c r="B3868">
        <f t="shared" si="61"/>
        <v>8</v>
      </c>
      <c r="C3868" s="5">
        <v>84.3</v>
      </c>
    </row>
    <row r="3869" spans="1:3" x14ac:dyDescent="0.35">
      <c r="A3869" s="9">
        <v>43681</v>
      </c>
      <c r="B3869">
        <f t="shared" si="61"/>
        <v>8</v>
      </c>
      <c r="C3869" s="5">
        <v>98.1</v>
      </c>
    </row>
    <row r="3870" spans="1:3" x14ac:dyDescent="0.35">
      <c r="A3870" s="9">
        <v>43682</v>
      </c>
      <c r="B3870">
        <f t="shared" si="61"/>
        <v>8</v>
      </c>
      <c r="C3870" s="5">
        <v>101.6</v>
      </c>
    </row>
    <row r="3871" spans="1:3" x14ac:dyDescent="0.35">
      <c r="A3871" s="9">
        <v>43683</v>
      </c>
      <c r="B3871">
        <f t="shared" si="61"/>
        <v>8</v>
      </c>
      <c r="C3871" s="5">
        <v>98.4</v>
      </c>
    </row>
    <row r="3872" spans="1:3" x14ac:dyDescent="0.35">
      <c r="A3872" s="9">
        <v>43684</v>
      </c>
      <c r="B3872">
        <f t="shared" si="61"/>
        <v>8</v>
      </c>
      <c r="C3872" s="5">
        <v>93.8</v>
      </c>
    </row>
    <row r="3873" spans="1:3" x14ac:dyDescent="0.35">
      <c r="A3873" s="9">
        <v>43685</v>
      </c>
      <c r="B3873">
        <f t="shared" si="61"/>
        <v>8</v>
      </c>
      <c r="C3873" s="5">
        <v>92.7</v>
      </c>
    </row>
    <row r="3874" spans="1:3" x14ac:dyDescent="0.35">
      <c r="A3874" s="9">
        <v>43686</v>
      </c>
      <c r="B3874">
        <f t="shared" si="61"/>
        <v>8</v>
      </c>
      <c r="C3874" s="5">
        <v>96.3</v>
      </c>
    </row>
    <row r="3875" spans="1:3" x14ac:dyDescent="0.35">
      <c r="A3875" s="9">
        <v>43687</v>
      </c>
      <c r="B3875">
        <f t="shared" si="61"/>
        <v>8</v>
      </c>
      <c r="C3875" s="5">
        <v>102.2</v>
      </c>
    </row>
    <row r="3876" spans="1:3" x14ac:dyDescent="0.35">
      <c r="A3876" s="9">
        <v>43688</v>
      </c>
      <c r="B3876">
        <f t="shared" si="61"/>
        <v>8</v>
      </c>
      <c r="C3876" s="5">
        <v>107.9</v>
      </c>
    </row>
    <row r="3877" spans="1:3" x14ac:dyDescent="0.35">
      <c r="A3877" s="9">
        <v>43689</v>
      </c>
      <c r="B3877">
        <f t="shared" si="61"/>
        <v>8</v>
      </c>
      <c r="C3877" s="5">
        <v>110.1</v>
      </c>
    </row>
    <row r="3878" spans="1:3" x14ac:dyDescent="0.35">
      <c r="A3878" s="9">
        <v>43690</v>
      </c>
      <c r="B3878">
        <f t="shared" si="61"/>
        <v>8</v>
      </c>
      <c r="C3878" s="5">
        <v>106</v>
      </c>
    </row>
    <row r="3879" spans="1:3" x14ac:dyDescent="0.35">
      <c r="A3879" s="9">
        <v>43691</v>
      </c>
      <c r="B3879">
        <f t="shared" si="61"/>
        <v>8</v>
      </c>
      <c r="C3879" s="5">
        <v>99</v>
      </c>
    </row>
    <row r="3880" spans="1:3" x14ac:dyDescent="0.35">
      <c r="A3880" s="9">
        <v>43692</v>
      </c>
      <c r="B3880">
        <f t="shared" si="61"/>
        <v>8</v>
      </c>
      <c r="C3880" s="5">
        <v>91.1</v>
      </c>
    </row>
    <row r="3881" spans="1:3" x14ac:dyDescent="0.35">
      <c r="A3881" s="9">
        <v>43693</v>
      </c>
      <c r="B3881">
        <f t="shared" si="61"/>
        <v>8</v>
      </c>
      <c r="C3881" s="5">
        <v>83.7</v>
      </c>
    </row>
    <row r="3882" spans="1:3" x14ac:dyDescent="0.35">
      <c r="A3882" s="9">
        <v>43694</v>
      </c>
      <c r="B3882">
        <f t="shared" si="61"/>
        <v>8</v>
      </c>
      <c r="C3882" s="5">
        <v>78.099999999999994</v>
      </c>
    </row>
    <row r="3883" spans="1:3" x14ac:dyDescent="0.35">
      <c r="A3883" s="9">
        <v>43695</v>
      </c>
      <c r="B3883">
        <f t="shared" si="61"/>
        <v>8</v>
      </c>
      <c r="C3883" s="5">
        <v>73.8</v>
      </c>
    </row>
    <row r="3884" spans="1:3" x14ac:dyDescent="0.35">
      <c r="A3884" s="9">
        <v>43696</v>
      </c>
      <c r="B3884">
        <f t="shared" si="61"/>
        <v>8</v>
      </c>
      <c r="C3884" s="5">
        <v>71</v>
      </c>
    </row>
    <row r="3885" spans="1:3" x14ac:dyDescent="0.35">
      <c r="A3885" s="9">
        <v>43697</v>
      </c>
      <c r="B3885">
        <f t="shared" si="61"/>
        <v>8</v>
      </c>
      <c r="C3885" s="5">
        <v>70.400000000000006</v>
      </c>
    </row>
    <row r="3886" spans="1:3" x14ac:dyDescent="0.35">
      <c r="A3886" s="9">
        <v>43698</v>
      </c>
      <c r="B3886">
        <f t="shared" si="61"/>
        <v>8</v>
      </c>
      <c r="C3886" s="5">
        <v>71.8</v>
      </c>
    </row>
    <row r="3887" spans="1:3" x14ac:dyDescent="0.35">
      <c r="A3887" s="9">
        <v>43699</v>
      </c>
      <c r="B3887">
        <f t="shared" si="61"/>
        <v>8</v>
      </c>
      <c r="C3887" s="5">
        <v>73.3</v>
      </c>
    </row>
    <row r="3888" spans="1:3" x14ac:dyDescent="0.35">
      <c r="A3888" s="9">
        <v>43700</v>
      </c>
      <c r="B3888">
        <f t="shared" si="61"/>
        <v>8</v>
      </c>
      <c r="C3888" s="5">
        <v>73</v>
      </c>
    </row>
    <row r="3889" spans="1:3" x14ac:dyDescent="0.35">
      <c r="A3889" s="9">
        <v>43701</v>
      </c>
      <c r="B3889">
        <f t="shared" si="61"/>
        <v>8</v>
      </c>
      <c r="C3889" s="5">
        <v>71.3</v>
      </c>
    </row>
    <row r="3890" spans="1:3" x14ac:dyDescent="0.35">
      <c r="A3890" s="9">
        <v>43702</v>
      </c>
      <c r="B3890">
        <f t="shared" si="61"/>
        <v>8</v>
      </c>
      <c r="C3890" s="5">
        <v>70.7</v>
      </c>
    </row>
    <row r="3891" spans="1:3" x14ac:dyDescent="0.35">
      <c r="A3891" s="9">
        <v>43703</v>
      </c>
      <c r="B3891">
        <f t="shared" si="61"/>
        <v>8</v>
      </c>
      <c r="C3891" s="5">
        <v>72.2</v>
      </c>
    </row>
    <row r="3892" spans="1:3" x14ac:dyDescent="0.35">
      <c r="A3892" s="9">
        <v>43704</v>
      </c>
      <c r="B3892">
        <f t="shared" si="61"/>
        <v>8</v>
      </c>
      <c r="C3892" s="5">
        <v>75.400000000000006</v>
      </c>
    </row>
    <row r="3893" spans="1:3" x14ac:dyDescent="0.35">
      <c r="A3893" s="9">
        <v>43705</v>
      </c>
      <c r="B3893">
        <f t="shared" si="61"/>
        <v>8</v>
      </c>
      <c r="C3893" s="5">
        <v>77.3</v>
      </c>
    </row>
    <row r="3894" spans="1:3" x14ac:dyDescent="0.35">
      <c r="A3894" s="9">
        <v>43706</v>
      </c>
      <c r="B3894">
        <f t="shared" si="61"/>
        <v>8</v>
      </c>
      <c r="C3894" s="5">
        <v>79.400000000000006</v>
      </c>
    </row>
    <row r="3895" spans="1:3" x14ac:dyDescent="0.35">
      <c r="A3895" s="9">
        <v>43707</v>
      </c>
      <c r="B3895">
        <f t="shared" si="61"/>
        <v>8</v>
      </c>
      <c r="C3895" s="5">
        <v>81.8</v>
      </c>
    </row>
    <row r="3896" spans="1:3" x14ac:dyDescent="0.35">
      <c r="A3896" s="9">
        <v>43708</v>
      </c>
      <c r="B3896">
        <f t="shared" si="61"/>
        <v>8</v>
      </c>
      <c r="C3896" s="5">
        <v>84</v>
      </c>
    </row>
    <row r="3897" spans="1:3" x14ac:dyDescent="0.35">
      <c r="A3897" s="9">
        <v>43709</v>
      </c>
      <c r="B3897">
        <f t="shared" si="61"/>
        <v>9</v>
      </c>
      <c r="C3897" s="5">
        <v>84.8</v>
      </c>
    </row>
    <row r="3898" spans="1:3" x14ac:dyDescent="0.35">
      <c r="A3898" s="9">
        <v>43710</v>
      </c>
      <c r="B3898">
        <f t="shared" si="61"/>
        <v>9</v>
      </c>
      <c r="C3898" s="5">
        <v>110</v>
      </c>
    </row>
    <row r="3899" spans="1:3" x14ac:dyDescent="0.35">
      <c r="A3899" s="9">
        <v>43711</v>
      </c>
      <c r="B3899">
        <f t="shared" si="61"/>
        <v>9</v>
      </c>
      <c r="C3899" s="5">
        <v>111.2</v>
      </c>
    </row>
    <row r="3900" spans="1:3" x14ac:dyDescent="0.35">
      <c r="A3900" s="9">
        <v>43712</v>
      </c>
      <c r="B3900">
        <f t="shared" si="61"/>
        <v>9</v>
      </c>
      <c r="C3900" s="5">
        <v>117.7</v>
      </c>
    </row>
    <row r="3901" spans="1:3" x14ac:dyDescent="0.35">
      <c r="A3901" s="9">
        <v>43713</v>
      </c>
      <c r="B3901">
        <f t="shared" si="61"/>
        <v>9</v>
      </c>
      <c r="C3901" s="5">
        <v>126.1</v>
      </c>
    </row>
    <row r="3902" spans="1:3" x14ac:dyDescent="0.35">
      <c r="A3902" s="9">
        <v>43714</v>
      </c>
      <c r="B3902">
        <f t="shared" si="61"/>
        <v>9</v>
      </c>
      <c r="C3902" s="5">
        <v>129.5</v>
      </c>
    </row>
    <row r="3903" spans="1:3" x14ac:dyDescent="0.35">
      <c r="A3903" s="9">
        <v>43715</v>
      </c>
      <c r="B3903">
        <f t="shared" si="61"/>
        <v>9</v>
      </c>
      <c r="C3903" s="5">
        <v>131.80000000000001</v>
      </c>
    </row>
    <row r="3904" spans="1:3" x14ac:dyDescent="0.35">
      <c r="A3904" s="9">
        <v>43716</v>
      </c>
      <c r="B3904">
        <f t="shared" si="61"/>
        <v>9</v>
      </c>
      <c r="C3904" s="5">
        <v>133.4</v>
      </c>
    </row>
    <row r="3905" spans="1:3" x14ac:dyDescent="0.35">
      <c r="A3905" s="9">
        <v>43717</v>
      </c>
      <c r="B3905">
        <f t="shared" si="61"/>
        <v>9</v>
      </c>
      <c r="C3905" s="5">
        <v>130.6</v>
      </c>
    </row>
    <row r="3906" spans="1:3" x14ac:dyDescent="0.35">
      <c r="A3906" s="9">
        <v>43718</v>
      </c>
      <c r="B3906">
        <f t="shared" si="61"/>
        <v>9</v>
      </c>
      <c r="C3906" s="5">
        <v>124.7</v>
      </c>
    </row>
    <row r="3907" spans="1:3" x14ac:dyDescent="0.35">
      <c r="A3907" s="9">
        <v>43719</v>
      </c>
      <c r="B3907">
        <f t="shared" si="61"/>
        <v>9</v>
      </c>
      <c r="C3907" s="5">
        <v>116.7</v>
      </c>
    </row>
    <row r="3908" spans="1:3" x14ac:dyDescent="0.35">
      <c r="A3908" s="9">
        <v>43720</v>
      </c>
      <c r="B3908">
        <f t="shared" ref="B3908:B3971" si="62">MONTH(A3908)</f>
        <v>9</v>
      </c>
      <c r="C3908" s="5">
        <v>112.2</v>
      </c>
    </row>
    <row r="3909" spans="1:3" x14ac:dyDescent="0.35">
      <c r="A3909" s="9">
        <v>43721</v>
      </c>
      <c r="B3909">
        <f t="shared" si="62"/>
        <v>9</v>
      </c>
      <c r="C3909" s="5">
        <v>115.3</v>
      </c>
    </row>
    <row r="3910" spans="1:3" x14ac:dyDescent="0.35">
      <c r="A3910" s="9">
        <v>43722</v>
      </c>
      <c r="B3910">
        <f t="shared" si="62"/>
        <v>9</v>
      </c>
      <c r="C3910" s="5">
        <v>122.9</v>
      </c>
    </row>
    <row r="3911" spans="1:3" x14ac:dyDescent="0.35">
      <c r="A3911" s="9">
        <v>43723</v>
      </c>
      <c r="B3911">
        <f t="shared" si="62"/>
        <v>9</v>
      </c>
      <c r="C3911" s="5">
        <v>130.6</v>
      </c>
    </row>
    <row r="3912" spans="1:3" x14ac:dyDescent="0.35">
      <c r="A3912" s="9">
        <v>43724</v>
      </c>
      <c r="B3912">
        <f t="shared" si="62"/>
        <v>9</v>
      </c>
      <c r="C3912" s="5">
        <v>140.19999999999999</v>
      </c>
    </row>
    <row r="3913" spans="1:3" x14ac:dyDescent="0.35">
      <c r="A3913" s="9">
        <v>43725</v>
      </c>
      <c r="B3913">
        <f t="shared" si="62"/>
        <v>9</v>
      </c>
      <c r="C3913" s="5">
        <v>150.30000000000001</v>
      </c>
    </row>
    <row r="3914" spans="1:3" x14ac:dyDescent="0.35">
      <c r="A3914" s="9">
        <v>43726</v>
      </c>
      <c r="B3914">
        <f t="shared" si="62"/>
        <v>9</v>
      </c>
      <c r="C3914" s="5">
        <v>153.1</v>
      </c>
    </row>
    <row r="3915" spans="1:3" x14ac:dyDescent="0.35">
      <c r="A3915" s="9">
        <v>43727</v>
      </c>
      <c r="B3915">
        <f t="shared" si="62"/>
        <v>9</v>
      </c>
      <c r="C3915" s="5">
        <v>152.5</v>
      </c>
    </row>
    <row r="3916" spans="1:3" x14ac:dyDescent="0.35">
      <c r="A3916" s="9">
        <v>43728</v>
      </c>
      <c r="B3916">
        <f t="shared" si="62"/>
        <v>9</v>
      </c>
      <c r="C3916" s="5">
        <v>153.9</v>
      </c>
    </row>
    <row r="3917" spans="1:3" x14ac:dyDescent="0.35">
      <c r="A3917" s="9">
        <v>43729</v>
      </c>
      <c r="B3917">
        <f t="shared" si="62"/>
        <v>9</v>
      </c>
      <c r="C3917" s="5">
        <v>159.19999999999999</v>
      </c>
    </row>
    <row r="3918" spans="1:3" x14ac:dyDescent="0.35">
      <c r="A3918" s="9">
        <v>43730</v>
      </c>
      <c r="B3918">
        <f t="shared" si="62"/>
        <v>9</v>
      </c>
      <c r="C3918" s="5">
        <v>161.4</v>
      </c>
    </row>
    <row r="3919" spans="1:3" x14ac:dyDescent="0.35">
      <c r="A3919" s="9">
        <v>43731</v>
      </c>
      <c r="B3919">
        <f t="shared" si="62"/>
        <v>9</v>
      </c>
      <c r="C3919" s="5">
        <v>155.80000000000001</v>
      </c>
    </row>
    <row r="3920" spans="1:3" x14ac:dyDescent="0.35">
      <c r="A3920" s="9">
        <v>43732</v>
      </c>
      <c r="B3920">
        <f t="shared" si="62"/>
        <v>9</v>
      </c>
      <c r="C3920" s="5">
        <v>151.1</v>
      </c>
    </row>
    <row r="3921" spans="1:3" x14ac:dyDescent="0.35">
      <c r="A3921" s="9">
        <v>43733</v>
      </c>
      <c r="B3921">
        <f t="shared" si="62"/>
        <v>9</v>
      </c>
      <c r="C3921" s="5">
        <v>153.5</v>
      </c>
    </row>
    <row r="3922" spans="1:3" x14ac:dyDescent="0.35">
      <c r="A3922" s="9">
        <v>43734</v>
      </c>
      <c r="B3922">
        <f t="shared" si="62"/>
        <v>9</v>
      </c>
      <c r="C3922" s="5">
        <v>160.4</v>
      </c>
    </row>
    <row r="3923" spans="1:3" x14ac:dyDescent="0.35">
      <c r="A3923" s="9">
        <v>43735</v>
      </c>
      <c r="B3923">
        <f t="shared" si="62"/>
        <v>9</v>
      </c>
      <c r="C3923" s="5">
        <v>160.4</v>
      </c>
    </row>
    <row r="3924" spans="1:3" x14ac:dyDescent="0.35">
      <c r="A3924" s="9">
        <v>43736</v>
      </c>
      <c r="B3924">
        <f t="shared" si="62"/>
        <v>9</v>
      </c>
      <c r="C3924" s="5">
        <v>156.19999999999999</v>
      </c>
    </row>
    <row r="3925" spans="1:3" x14ac:dyDescent="0.35">
      <c r="A3925" s="9">
        <v>43737</v>
      </c>
      <c r="B3925">
        <f t="shared" si="62"/>
        <v>9</v>
      </c>
      <c r="C3925" s="5">
        <v>153.9</v>
      </c>
    </row>
    <row r="3926" spans="1:3" x14ac:dyDescent="0.35">
      <c r="A3926" s="9">
        <v>43738</v>
      </c>
      <c r="B3926">
        <f t="shared" si="62"/>
        <v>9</v>
      </c>
      <c r="C3926" s="5">
        <v>161.1</v>
      </c>
    </row>
    <row r="3927" spans="1:3" x14ac:dyDescent="0.35">
      <c r="A3927" s="9">
        <v>43739</v>
      </c>
      <c r="B3927">
        <f t="shared" si="62"/>
        <v>10</v>
      </c>
      <c r="C3927" s="5">
        <v>177.3</v>
      </c>
    </row>
    <row r="3928" spans="1:3" x14ac:dyDescent="0.35">
      <c r="A3928" s="9">
        <v>43740</v>
      </c>
      <c r="B3928">
        <f t="shared" si="62"/>
        <v>10</v>
      </c>
      <c r="C3928" s="5">
        <v>210.7</v>
      </c>
    </row>
    <row r="3929" spans="1:3" x14ac:dyDescent="0.35">
      <c r="A3929" s="9">
        <v>43741</v>
      </c>
      <c r="B3929">
        <f t="shared" si="62"/>
        <v>10</v>
      </c>
      <c r="C3929" s="5">
        <v>223.9</v>
      </c>
    </row>
    <row r="3930" spans="1:3" x14ac:dyDescent="0.35">
      <c r="A3930" s="9">
        <v>43742</v>
      </c>
      <c r="B3930">
        <f t="shared" si="62"/>
        <v>10</v>
      </c>
      <c r="C3930" s="5">
        <v>225.2</v>
      </c>
    </row>
    <row r="3931" spans="1:3" x14ac:dyDescent="0.35">
      <c r="A3931" s="9">
        <v>43743</v>
      </c>
      <c r="B3931">
        <f t="shared" si="62"/>
        <v>10</v>
      </c>
      <c r="C3931" s="5">
        <v>214.7</v>
      </c>
    </row>
    <row r="3932" spans="1:3" x14ac:dyDescent="0.35">
      <c r="A3932" s="9">
        <v>43744</v>
      </c>
      <c r="B3932">
        <f t="shared" si="62"/>
        <v>10</v>
      </c>
      <c r="C3932" s="5">
        <v>195.7</v>
      </c>
    </row>
    <row r="3933" spans="1:3" x14ac:dyDescent="0.35">
      <c r="A3933" s="9">
        <v>43745</v>
      </c>
      <c r="B3933">
        <f t="shared" si="62"/>
        <v>10</v>
      </c>
      <c r="C3933" s="5">
        <v>179.9</v>
      </c>
    </row>
    <row r="3934" spans="1:3" x14ac:dyDescent="0.35">
      <c r="A3934" s="9">
        <v>43746</v>
      </c>
      <c r="B3934">
        <f t="shared" si="62"/>
        <v>10</v>
      </c>
      <c r="C3934" s="5">
        <v>176.4</v>
      </c>
    </row>
    <row r="3935" spans="1:3" x14ac:dyDescent="0.35">
      <c r="A3935" s="9">
        <v>43747</v>
      </c>
      <c r="B3935">
        <f t="shared" si="62"/>
        <v>10</v>
      </c>
      <c r="C3935" s="5">
        <v>182.1</v>
      </c>
    </row>
    <row r="3936" spans="1:3" x14ac:dyDescent="0.35">
      <c r="A3936" s="9">
        <v>43748</v>
      </c>
      <c r="B3936">
        <f t="shared" si="62"/>
        <v>10</v>
      </c>
      <c r="C3936" s="5">
        <v>192.3</v>
      </c>
    </row>
    <row r="3937" spans="1:3" x14ac:dyDescent="0.35">
      <c r="A3937" s="9">
        <v>43749</v>
      </c>
      <c r="B3937">
        <f t="shared" si="62"/>
        <v>10</v>
      </c>
      <c r="C3937" s="5">
        <v>202.2</v>
      </c>
    </row>
    <row r="3938" spans="1:3" x14ac:dyDescent="0.35">
      <c r="A3938" s="9">
        <v>43750</v>
      </c>
      <c r="B3938">
        <f t="shared" si="62"/>
        <v>10</v>
      </c>
      <c r="C3938" s="5">
        <v>216.3</v>
      </c>
    </row>
    <row r="3939" spans="1:3" x14ac:dyDescent="0.35">
      <c r="A3939" s="9">
        <v>43751</v>
      </c>
      <c r="B3939">
        <f t="shared" si="62"/>
        <v>10</v>
      </c>
      <c r="C3939" s="5">
        <v>225.8</v>
      </c>
    </row>
    <row r="3940" spans="1:3" x14ac:dyDescent="0.35">
      <c r="A3940" s="9">
        <v>43752</v>
      </c>
      <c r="B3940">
        <f t="shared" si="62"/>
        <v>10</v>
      </c>
      <c r="C3940" s="5">
        <v>225.2</v>
      </c>
    </row>
    <row r="3941" spans="1:3" x14ac:dyDescent="0.35">
      <c r="A3941" s="9">
        <v>43753</v>
      </c>
      <c r="B3941">
        <f t="shared" si="62"/>
        <v>10</v>
      </c>
      <c r="C3941" s="5">
        <v>217.5</v>
      </c>
    </row>
    <row r="3942" spans="1:3" x14ac:dyDescent="0.35">
      <c r="A3942" s="9">
        <v>43754</v>
      </c>
      <c r="B3942">
        <f t="shared" si="62"/>
        <v>10</v>
      </c>
      <c r="C3942" s="5">
        <v>214.1</v>
      </c>
    </row>
    <row r="3943" spans="1:3" x14ac:dyDescent="0.35">
      <c r="A3943" s="9">
        <v>43755</v>
      </c>
      <c r="B3943">
        <f t="shared" si="62"/>
        <v>10</v>
      </c>
      <c r="C3943" s="5">
        <v>217.9</v>
      </c>
    </row>
    <row r="3944" spans="1:3" x14ac:dyDescent="0.35">
      <c r="A3944" s="9">
        <v>43756</v>
      </c>
      <c r="B3944">
        <f t="shared" si="62"/>
        <v>10</v>
      </c>
      <c r="C3944" s="5">
        <v>221.9</v>
      </c>
    </row>
    <row r="3945" spans="1:3" x14ac:dyDescent="0.35">
      <c r="A3945" s="9">
        <v>43757</v>
      </c>
      <c r="B3945">
        <f t="shared" si="62"/>
        <v>10</v>
      </c>
      <c r="C3945" s="5">
        <v>218.9</v>
      </c>
    </row>
    <row r="3946" spans="1:3" x14ac:dyDescent="0.35">
      <c r="A3946" s="9">
        <v>43758</v>
      </c>
      <c r="B3946">
        <f t="shared" si="62"/>
        <v>10</v>
      </c>
      <c r="C3946" s="5">
        <v>215.5</v>
      </c>
    </row>
    <row r="3947" spans="1:3" x14ac:dyDescent="0.35">
      <c r="A3947" s="9">
        <v>43759</v>
      </c>
      <c r="B3947">
        <f t="shared" si="62"/>
        <v>10</v>
      </c>
      <c r="C3947" s="5">
        <v>211</v>
      </c>
    </row>
    <row r="3948" spans="1:3" x14ac:dyDescent="0.35">
      <c r="A3948" s="9">
        <v>43760</v>
      </c>
      <c r="B3948">
        <f t="shared" si="62"/>
        <v>10</v>
      </c>
      <c r="C3948" s="5">
        <v>209.2</v>
      </c>
    </row>
    <row r="3949" spans="1:3" x14ac:dyDescent="0.35">
      <c r="A3949" s="9">
        <v>43761</v>
      </c>
      <c r="B3949">
        <f t="shared" si="62"/>
        <v>10</v>
      </c>
      <c r="C3949" s="5">
        <v>211.3</v>
      </c>
    </row>
    <row r="3950" spans="1:3" x14ac:dyDescent="0.35">
      <c r="A3950" s="9">
        <v>43762</v>
      </c>
      <c r="B3950">
        <f t="shared" si="62"/>
        <v>10</v>
      </c>
      <c r="C3950" s="5">
        <v>211.5</v>
      </c>
    </row>
    <row r="3951" spans="1:3" x14ac:dyDescent="0.35">
      <c r="A3951" s="9">
        <v>43763</v>
      </c>
      <c r="B3951">
        <f t="shared" si="62"/>
        <v>10</v>
      </c>
      <c r="C3951" s="5">
        <v>208.3</v>
      </c>
    </row>
    <row r="3952" spans="1:3" x14ac:dyDescent="0.35">
      <c r="A3952" s="9">
        <v>43764</v>
      </c>
      <c r="B3952">
        <f t="shared" si="62"/>
        <v>10</v>
      </c>
      <c r="C3952" s="5">
        <v>204.5</v>
      </c>
    </row>
    <row r="3953" spans="1:3" x14ac:dyDescent="0.35">
      <c r="A3953" s="9">
        <v>43765</v>
      </c>
      <c r="B3953">
        <f t="shared" si="62"/>
        <v>10</v>
      </c>
      <c r="C3953" s="5">
        <v>196.1</v>
      </c>
    </row>
    <row r="3954" spans="1:3" x14ac:dyDescent="0.35">
      <c r="A3954" s="9">
        <v>43766</v>
      </c>
      <c r="B3954">
        <f t="shared" si="62"/>
        <v>10</v>
      </c>
      <c r="C3954" s="5">
        <v>180.4</v>
      </c>
    </row>
    <row r="3955" spans="1:3" x14ac:dyDescent="0.35">
      <c r="A3955" s="9">
        <v>43767</v>
      </c>
      <c r="B3955">
        <f t="shared" si="62"/>
        <v>10</v>
      </c>
      <c r="C3955" s="5">
        <v>167.1</v>
      </c>
    </row>
    <row r="3956" spans="1:3" x14ac:dyDescent="0.35">
      <c r="A3956" s="9">
        <v>43768</v>
      </c>
      <c r="B3956">
        <f t="shared" si="62"/>
        <v>10</v>
      </c>
      <c r="C3956" s="5">
        <v>166.2</v>
      </c>
    </row>
    <row r="3957" spans="1:3" x14ac:dyDescent="0.35">
      <c r="A3957" s="9">
        <v>43769</v>
      </c>
      <c r="B3957">
        <f t="shared" si="62"/>
        <v>10</v>
      </c>
      <c r="C3957" s="5">
        <v>178.6</v>
      </c>
    </row>
    <row r="3958" spans="1:3" x14ac:dyDescent="0.35">
      <c r="A3958" s="9">
        <v>43770</v>
      </c>
      <c r="B3958">
        <f t="shared" si="62"/>
        <v>11</v>
      </c>
      <c r="C3958" s="5">
        <v>191.6</v>
      </c>
    </row>
    <row r="3959" spans="1:3" x14ac:dyDescent="0.35">
      <c r="A3959" s="9">
        <v>43771</v>
      </c>
      <c r="B3959">
        <f t="shared" si="62"/>
        <v>11</v>
      </c>
      <c r="C3959" s="5">
        <v>206.4</v>
      </c>
    </row>
    <row r="3960" spans="1:3" x14ac:dyDescent="0.35">
      <c r="A3960" s="9">
        <v>43772</v>
      </c>
      <c r="B3960">
        <f t="shared" si="62"/>
        <v>11</v>
      </c>
      <c r="C3960" s="5">
        <v>205.6</v>
      </c>
    </row>
    <row r="3961" spans="1:3" x14ac:dyDescent="0.35">
      <c r="A3961" s="9">
        <v>43773</v>
      </c>
      <c r="B3961">
        <f t="shared" si="62"/>
        <v>11</v>
      </c>
      <c r="C3961" s="5">
        <v>206.6</v>
      </c>
    </row>
    <row r="3962" spans="1:3" x14ac:dyDescent="0.35">
      <c r="A3962" s="9">
        <v>43774</v>
      </c>
      <c r="B3962">
        <f t="shared" si="62"/>
        <v>11</v>
      </c>
      <c r="C3962" s="5">
        <v>215.6</v>
      </c>
    </row>
    <row r="3963" spans="1:3" x14ac:dyDescent="0.35">
      <c r="A3963" s="9">
        <v>43775</v>
      </c>
      <c r="B3963">
        <f t="shared" si="62"/>
        <v>11</v>
      </c>
      <c r="C3963" s="5">
        <v>229.7</v>
      </c>
    </row>
    <row r="3964" spans="1:3" x14ac:dyDescent="0.35">
      <c r="A3964" s="9">
        <v>43776</v>
      </c>
      <c r="B3964">
        <f t="shared" si="62"/>
        <v>11</v>
      </c>
      <c r="C3964" s="5">
        <v>235.9</v>
      </c>
    </row>
    <row r="3965" spans="1:3" x14ac:dyDescent="0.35">
      <c r="A3965" s="9">
        <v>43777</v>
      </c>
      <c r="B3965">
        <f t="shared" si="62"/>
        <v>11</v>
      </c>
      <c r="C3965" s="5">
        <v>231.9</v>
      </c>
    </row>
    <row r="3966" spans="1:3" x14ac:dyDescent="0.35">
      <c r="A3966" s="9">
        <v>43778</v>
      </c>
      <c r="B3966">
        <f t="shared" si="62"/>
        <v>11</v>
      </c>
      <c r="C3966" s="5">
        <v>225.3</v>
      </c>
    </row>
    <row r="3967" spans="1:3" x14ac:dyDescent="0.35">
      <c r="A3967" s="9">
        <v>43779</v>
      </c>
      <c r="B3967">
        <f t="shared" si="62"/>
        <v>11</v>
      </c>
      <c r="C3967" s="5">
        <v>220.5</v>
      </c>
    </row>
    <row r="3968" spans="1:3" x14ac:dyDescent="0.35">
      <c r="A3968" s="9">
        <v>43780</v>
      </c>
      <c r="B3968">
        <f t="shared" si="62"/>
        <v>11</v>
      </c>
      <c r="C3968" s="5">
        <v>224.3</v>
      </c>
    </row>
    <row r="3969" spans="1:3" x14ac:dyDescent="0.35">
      <c r="A3969" s="9">
        <v>43781</v>
      </c>
      <c r="B3969">
        <f t="shared" si="62"/>
        <v>11</v>
      </c>
      <c r="C3969" s="5">
        <v>237.9</v>
      </c>
    </row>
    <row r="3970" spans="1:3" x14ac:dyDescent="0.35">
      <c r="A3970" s="9">
        <v>43782</v>
      </c>
      <c r="B3970">
        <f t="shared" si="62"/>
        <v>11</v>
      </c>
      <c r="C3970" s="5">
        <v>247</v>
      </c>
    </row>
    <row r="3971" spans="1:3" x14ac:dyDescent="0.35">
      <c r="A3971" s="9">
        <v>43783</v>
      </c>
      <c r="B3971">
        <f t="shared" si="62"/>
        <v>11</v>
      </c>
      <c r="C3971" s="5">
        <v>249</v>
      </c>
    </row>
    <row r="3972" spans="1:3" x14ac:dyDescent="0.35">
      <c r="A3972" s="9">
        <v>43784</v>
      </c>
      <c r="B3972">
        <f t="shared" ref="B3972:B4035" si="63">MONTH(A3972)</f>
        <v>11</v>
      </c>
      <c r="C3972" s="5">
        <v>247</v>
      </c>
    </row>
    <row r="3973" spans="1:3" x14ac:dyDescent="0.35">
      <c r="A3973" s="9">
        <v>43785</v>
      </c>
      <c r="B3973">
        <f t="shared" si="63"/>
        <v>11</v>
      </c>
      <c r="C3973" s="5">
        <v>244.9</v>
      </c>
    </row>
    <row r="3974" spans="1:3" x14ac:dyDescent="0.35">
      <c r="A3974" s="9">
        <v>43786</v>
      </c>
      <c r="B3974">
        <f t="shared" si="63"/>
        <v>11</v>
      </c>
      <c r="C3974" s="5">
        <v>254.3</v>
      </c>
    </row>
    <row r="3975" spans="1:3" x14ac:dyDescent="0.35">
      <c r="A3975" s="9">
        <v>43787</v>
      </c>
      <c r="B3975">
        <f t="shared" si="63"/>
        <v>11</v>
      </c>
      <c r="C3975" s="5">
        <v>269.89999999999998</v>
      </c>
    </row>
    <row r="3976" spans="1:3" x14ac:dyDescent="0.35">
      <c r="A3976" s="9">
        <v>43788</v>
      </c>
      <c r="B3976">
        <f t="shared" si="63"/>
        <v>11</v>
      </c>
      <c r="C3976" s="5">
        <v>277.2</v>
      </c>
    </row>
    <row r="3977" spans="1:3" x14ac:dyDescent="0.35">
      <c r="A3977" s="9">
        <v>43789</v>
      </c>
      <c r="B3977">
        <f t="shared" si="63"/>
        <v>11</v>
      </c>
      <c r="C3977" s="5">
        <v>269.8</v>
      </c>
    </row>
    <row r="3978" spans="1:3" x14ac:dyDescent="0.35">
      <c r="A3978" s="9">
        <v>43790</v>
      </c>
      <c r="B3978">
        <f t="shared" si="63"/>
        <v>11</v>
      </c>
      <c r="C3978" s="5">
        <v>247.8</v>
      </c>
    </row>
    <row r="3979" spans="1:3" x14ac:dyDescent="0.35">
      <c r="A3979" s="9">
        <v>43791</v>
      </c>
      <c r="B3979">
        <f t="shared" si="63"/>
        <v>11</v>
      </c>
      <c r="C3979" s="5">
        <v>227.7</v>
      </c>
    </row>
    <row r="3980" spans="1:3" x14ac:dyDescent="0.35">
      <c r="A3980" s="9">
        <v>43792</v>
      </c>
      <c r="B3980">
        <f t="shared" si="63"/>
        <v>11</v>
      </c>
      <c r="C3980" s="5">
        <v>226.1</v>
      </c>
    </row>
    <row r="3981" spans="1:3" x14ac:dyDescent="0.35">
      <c r="A3981" s="9">
        <v>43793</v>
      </c>
      <c r="B3981">
        <f t="shared" si="63"/>
        <v>11</v>
      </c>
      <c r="C3981" s="5">
        <v>243.7</v>
      </c>
    </row>
    <row r="3982" spans="1:3" x14ac:dyDescent="0.35">
      <c r="A3982" s="9">
        <v>43794</v>
      </c>
      <c r="B3982">
        <f t="shared" si="63"/>
        <v>11</v>
      </c>
      <c r="C3982" s="5">
        <v>258</v>
      </c>
    </row>
    <row r="3983" spans="1:3" x14ac:dyDescent="0.35">
      <c r="A3983" s="9">
        <v>43795</v>
      </c>
      <c r="B3983">
        <f t="shared" si="63"/>
        <v>11</v>
      </c>
      <c r="C3983" s="5">
        <v>252.5</v>
      </c>
    </row>
    <row r="3984" spans="1:3" x14ac:dyDescent="0.35">
      <c r="A3984" s="9">
        <v>43796</v>
      </c>
      <c r="B3984">
        <f t="shared" si="63"/>
        <v>11</v>
      </c>
      <c r="C3984" s="5">
        <v>243.9</v>
      </c>
    </row>
    <row r="3985" spans="1:3" x14ac:dyDescent="0.35">
      <c r="A3985" s="9">
        <v>43797</v>
      </c>
      <c r="B3985">
        <f t="shared" si="63"/>
        <v>11</v>
      </c>
      <c r="C3985" s="5">
        <v>239.9</v>
      </c>
    </row>
    <row r="3986" spans="1:3" x14ac:dyDescent="0.35">
      <c r="A3986" s="9">
        <v>43798</v>
      </c>
      <c r="B3986">
        <f t="shared" si="63"/>
        <v>11</v>
      </c>
      <c r="C3986" s="5">
        <v>237.2</v>
      </c>
    </row>
    <row r="3987" spans="1:3" x14ac:dyDescent="0.35">
      <c r="A3987" s="9">
        <v>43799</v>
      </c>
      <c r="B3987">
        <f t="shared" si="63"/>
        <v>11</v>
      </c>
      <c r="C3987" s="5">
        <v>236.2</v>
      </c>
    </row>
    <row r="3988" spans="1:3" x14ac:dyDescent="0.35">
      <c r="A3988" s="9">
        <v>43800</v>
      </c>
      <c r="B3988">
        <f t="shared" si="63"/>
        <v>12</v>
      </c>
      <c r="C3988" s="5">
        <v>234.7</v>
      </c>
    </row>
    <row r="3989" spans="1:3" x14ac:dyDescent="0.35">
      <c r="A3989" s="9">
        <v>43801</v>
      </c>
      <c r="B3989">
        <f t="shared" si="63"/>
        <v>12</v>
      </c>
      <c r="C3989" s="5">
        <v>240.7</v>
      </c>
    </row>
    <row r="3990" spans="1:3" x14ac:dyDescent="0.35">
      <c r="A3990" s="9">
        <v>43802</v>
      </c>
      <c r="B3990">
        <f t="shared" si="63"/>
        <v>12</v>
      </c>
      <c r="C3990" s="5">
        <v>235.9</v>
      </c>
    </row>
    <row r="3991" spans="1:3" x14ac:dyDescent="0.35">
      <c r="A3991" s="9">
        <v>43803</v>
      </c>
      <c r="B3991">
        <f t="shared" si="63"/>
        <v>12</v>
      </c>
      <c r="C3991" s="5">
        <v>234.9</v>
      </c>
    </row>
    <row r="3992" spans="1:3" x14ac:dyDescent="0.35">
      <c r="A3992" s="9">
        <v>43804</v>
      </c>
      <c r="B3992">
        <f t="shared" si="63"/>
        <v>12</v>
      </c>
      <c r="C3992" s="5">
        <v>237.1</v>
      </c>
    </row>
    <row r="3993" spans="1:3" x14ac:dyDescent="0.35">
      <c r="A3993" s="9">
        <v>43805</v>
      </c>
      <c r="B3993">
        <f t="shared" si="63"/>
        <v>12</v>
      </c>
      <c r="C3993" s="5">
        <v>244.4</v>
      </c>
    </row>
    <row r="3994" spans="1:3" x14ac:dyDescent="0.35">
      <c r="A3994" s="9">
        <v>43806</v>
      </c>
      <c r="B3994">
        <f t="shared" si="63"/>
        <v>12</v>
      </c>
      <c r="C3994" s="5">
        <v>251</v>
      </c>
    </row>
    <row r="3995" spans="1:3" x14ac:dyDescent="0.35">
      <c r="A3995" s="9">
        <v>43807</v>
      </c>
      <c r="B3995">
        <f t="shared" si="63"/>
        <v>12</v>
      </c>
      <c r="C3995" s="5">
        <v>249.9</v>
      </c>
    </row>
    <row r="3996" spans="1:3" x14ac:dyDescent="0.35">
      <c r="A3996" s="9">
        <v>43808</v>
      </c>
      <c r="B3996">
        <f t="shared" si="63"/>
        <v>12</v>
      </c>
      <c r="C3996" s="5">
        <v>243.4</v>
      </c>
    </row>
    <row r="3997" spans="1:3" x14ac:dyDescent="0.35">
      <c r="A3997" s="9">
        <v>43809</v>
      </c>
      <c r="B3997">
        <f t="shared" si="63"/>
        <v>12</v>
      </c>
      <c r="C3997" s="5">
        <v>234.4</v>
      </c>
    </row>
    <row r="3998" spans="1:3" x14ac:dyDescent="0.35">
      <c r="A3998" s="9">
        <v>43810</v>
      </c>
      <c r="B3998">
        <f t="shared" si="63"/>
        <v>12</v>
      </c>
      <c r="C3998" s="5">
        <v>218.6</v>
      </c>
    </row>
    <row r="3999" spans="1:3" x14ac:dyDescent="0.35">
      <c r="A3999" s="9">
        <v>43811</v>
      </c>
      <c r="B3999">
        <f t="shared" si="63"/>
        <v>12</v>
      </c>
      <c r="C3999" s="5">
        <v>201.3</v>
      </c>
    </row>
    <row r="4000" spans="1:3" x14ac:dyDescent="0.35">
      <c r="A4000" s="9">
        <v>43812</v>
      </c>
      <c r="B4000">
        <f t="shared" si="63"/>
        <v>12</v>
      </c>
      <c r="C4000" s="5">
        <v>185.6</v>
      </c>
    </row>
    <row r="4001" spans="1:3" x14ac:dyDescent="0.35">
      <c r="A4001" s="9">
        <v>43813</v>
      </c>
      <c r="B4001">
        <f t="shared" si="63"/>
        <v>12</v>
      </c>
      <c r="C4001" s="5">
        <v>176</v>
      </c>
    </row>
    <row r="4002" spans="1:3" x14ac:dyDescent="0.35">
      <c r="A4002" s="9">
        <v>43814</v>
      </c>
      <c r="B4002">
        <f t="shared" si="63"/>
        <v>12</v>
      </c>
      <c r="C4002" s="5">
        <v>178.6</v>
      </c>
    </row>
    <row r="4003" spans="1:3" x14ac:dyDescent="0.35">
      <c r="A4003" s="9">
        <v>43815</v>
      </c>
      <c r="B4003">
        <f t="shared" si="63"/>
        <v>12</v>
      </c>
      <c r="C4003" s="5">
        <v>189.5</v>
      </c>
    </row>
    <row r="4004" spans="1:3" x14ac:dyDescent="0.35">
      <c r="A4004" s="9">
        <v>43816</v>
      </c>
      <c r="B4004">
        <f t="shared" si="63"/>
        <v>12</v>
      </c>
      <c r="C4004" s="5">
        <v>198.5</v>
      </c>
    </row>
    <row r="4005" spans="1:3" x14ac:dyDescent="0.35">
      <c r="A4005" s="9">
        <v>43817</v>
      </c>
      <c r="B4005">
        <f t="shared" si="63"/>
        <v>12</v>
      </c>
      <c r="C4005" s="5">
        <v>206.2</v>
      </c>
    </row>
    <row r="4006" spans="1:3" x14ac:dyDescent="0.35">
      <c r="A4006" s="9">
        <v>43818</v>
      </c>
      <c r="B4006">
        <f t="shared" si="63"/>
        <v>12</v>
      </c>
      <c r="C4006" s="5">
        <v>220.9</v>
      </c>
    </row>
    <row r="4007" spans="1:3" x14ac:dyDescent="0.35">
      <c r="A4007" s="9">
        <v>43819</v>
      </c>
      <c r="B4007">
        <f t="shared" si="63"/>
        <v>12</v>
      </c>
      <c r="C4007" s="5">
        <v>238</v>
      </c>
    </row>
    <row r="4008" spans="1:3" x14ac:dyDescent="0.35">
      <c r="A4008" s="9">
        <v>43820</v>
      </c>
      <c r="B4008">
        <f t="shared" si="63"/>
        <v>12</v>
      </c>
      <c r="C4008" s="5">
        <v>249.2</v>
      </c>
    </row>
    <row r="4009" spans="1:3" x14ac:dyDescent="0.35">
      <c r="A4009" s="9">
        <v>43821</v>
      </c>
      <c r="B4009">
        <f t="shared" si="63"/>
        <v>12</v>
      </c>
      <c r="C4009" s="5">
        <v>251.1</v>
      </c>
    </row>
    <row r="4010" spans="1:3" x14ac:dyDescent="0.35">
      <c r="A4010" s="9">
        <v>43822</v>
      </c>
      <c r="B4010">
        <f t="shared" si="63"/>
        <v>12</v>
      </c>
      <c r="C4010" s="5">
        <v>248.6</v>
      </c>
    </row>
    <row r="4011" spans="1:3" x14ac:dyDescent="0.35">
      <c r="A4011" s="9">
        <v>43823</v>
      </c>
      <c r="B4011">
        <f t="shared" si="63"/>
        <v>12</v>
      </c>
      <c r="C4011" s="5">
        <v>236.9</v>
      </c>
    </row>
    <row r="4012" spans="1:3" x14ac:dyDescent="0.35">
      <c r="A4012" s="9">
        <v>43824</v>
      </c>
      <c r="B4012">
        <f t="shared" si="63"/>
        <v>12</v>
      </c>
      <c r="C4012" s="5">
        <v>222.8</v>
      </c>
    </row>
    <row r="4013" spans="1:3" x14ac:dyDescent="0.35">
      <c r="A4013" s="9">
        <v>43825</v>
      </c>
      <c r="B4013">
        <f t="shared" si="63"/>
        <v>12</v>
      </c>
      <c r="C4013" s="5">
        <v>206.6</v>
      </c>
    </row>
    <row r="4014" spans="1:3" x14ac:dyDescent="0.35">
      <c r="A4014" s="9">
        <v>43826</v>
      </c>
      <c r="B4014">
        <f t="shared" si="63"/>
        <v>12</v>
      </c>
      <c r="C4014" s="5">
        <v>190.5</v>
      </c>
    </row>
    <row r="4015" spans="1:3" x14ac:dyDescent="0.35">
      <c r="A4015" s="9">
        <v>43827</v>
      </c>
      <c r="B4015">
        <f t="shared" si="63"/>
        <v>12</v>
      </c>
      <c r="C4015" s="5">
        <v>177.4</v>
      </c>
    </row>
    <row r="4016" spans="1:3" x14ac:dyDescent="0.35">
      <c r="A4016" s="9">
        <v>43828</v>
      </c>
      <c r="B4016">
        <f t="shared" si="63"/>
        <v>12</v>
      </c>
      <c r="C4016" s="5">
        <v>175.5</v>
      </c>
    </row>
    <row r="4017" spans="1:3" x14ac:dyDescent="0.35">
      <c r="A4017" s="9">
        <v>43829</v>
      </c>
      <c r="B4017">
        <f t="shared" si="63"/>
        <v>12</v>
      </c>
      <c r="C4017" s="5">
        <v>187.7</v>
      </c>
    </row>
    <row r="4018" spans="1:3" x14ac:dyDescent="0.35">
      <c r="A4018" s="9">
        <v>43830</v>
      </c>
      <c r="B4018">
        <f t="shared" si="63"/>
        <v>12</v>
      </c>
      <c r="C4018" s="5">
        <v>207.8</v>
      </c>
    </row>
    <row r="4019" spans="1:3" x14ac:dyDescent="0.35">
      <c r="A4019" s="9">
        <v>43831</v>
      </c>
      <c r="B4019">
        <f t="shared" si="63"/>
        <v>1</v>
      </c>
      <c r="C4019" s="5">
        <v>219.2</v>
      </c>
    </row>
    <row r="4020" spans="1:3" x14ac:dyDescent="0.35">
      <c r="A4020" s="9">
        <v>43832</v>
      </c>
      <c r="B4020">
        <f t="shared" si="63"/>
        <v>1</v>
      </c>
      <c r="C4020" s="5">
        <v>221.4</v>
      </c>
    </row>
    <row r="4021" spans="1:3" x14ac:dyDescent="0.35">
      <c r="A4021" s="9">
        <v>43833</v>
      </c>
      <c r="B4021">
        <f t="shared" si="63"/>
        <v>1</v>
      </c>
      <c r="C4021" s="5">
        <v>225.3</v>
      </c>
    </row>
    <row r="4022" spans="1:3" x14ac:dyDescent="0.35">
      <c r="A4022" s="9">
        <v>43834</v>
      </c>
      <c r="B4022">
        <f t="shared" si="63"/>
        <v>1</v>
      </c>
      <c r="C4022" s="5">
        <v>236.1</v>
      </c>
    </row>
    <row r="4023" spans="1:3" x14ac:dyDescent="0.35">
      <c r="A4023" s="9">
        <v>43835</v>
      </c>
      <c r="B4023">
        <f t="shared" si="63"/>
        <v>1</v>
      </c>
      <c r="C4023" s="5">
        <v>251</v>
      </c>
    </row>
    <row r="4024" spans="1:3" x14ac:dyDescent="0.35">
      <c r="A4024" s="9">
        <v>43836</v>
      </c>
      <c r="B4024">
        <f t="shared" si="63"/>
        <v>1</v>
      </c>
      <c r="C4024" s="5">
        <v>256.60000000000002</v>
      </c>
    </row>
    <row r="4025" spans="1:3" x14ac:dyDescent="0.35">
      <c r="A4025" s="9">
        <v>43837</v>
      </c>
      <c r="B4025">
        <f t="shared" si="63"/>
        <v>1</v>
      </c>
      <c r="C4025" s="5">
        <v>257.5</v>
      </c>
    </row>
    <row r="4026" spans="1:3" x14ac:dyDescent="0.35">
      <c r="A4026" s="9">
        <v>43838</v>
      </c>
      <c r="B4026">
        <f t="shared" si="63"/>
        <v>1</v>
      </c>
      <c r="C4026" s="5">
        <v>253.6</v>
      </c>
    </row>
    <row r="4027" spans="1:3" x14ac:dyDescent="0.35">
      <c r="A4027" s="9">
        <v>43839</v>
      </c>
      <c r="B4027">
        <f t="shared" si="63"/>
        <v>1</v>
      </c>
      <c r="C4027" s="5">
        <v>249.1</v>
      </c>
    </row>
    <row r="4028" spans="1:3" x14ac:dyDescent="0.35">
      <c r="A4028" s="9">
        <v>43840</v>
      </c>
      <c r="B4028">
        <f t="shared" si="63"/>
        <v>1</v>
      </c>
      <c r="C4028" s="5">
        <v>241.3</v>
      </c>
    </row>
    <row r="4029" spans="1:3" x14ac:dyDescent="0.35">
      <c r="A4029" s="9">
        <v>43841</v>
      </c>
      <c r="B4029">
        <f t="shared" si="63"/>
        <v>1</v>
      </c>
      <c r="C4029" s="5">
        <v>229.7</v>
      </c>
    </row>
    <row r="4030" spans="1:3" x14ac:dyDescent="0.35">
      <c r="A4030" s="9">
        <v>43842</v>
      </c>
      <c r="B4030">
        <f t="shared" si="63"/>
        <v>1</v>
      </c>
      <c r="C4030" s="5">
        <v>216</v>
      </c>
    </row>
    <row r="4031" spans="1:3" x14ac:dyDescent="0.35">
      <c r="A4031" s="9">
        <v>43843</v>
      </c>
      <c r="B4031">
        <f t="shared" si="63"/>
        <v>1</v>
      </c>
      <c r="C4031" s="5">
        <v>196.6</v>
      </c>
    </row>
    <row r="4032" spans="1:3" x14ac:dyDescent="0.35">
      <c r="A4032" s="9">
        <v>43844</v>
      </c>
      <c r="B4032">
        <f t="shared" si="63"/>
        <v>1</v>
      </c>
      <c r="C4032" s="5">
        <v>179</v>
      </c>
    </row>
    <row r="4033" spans="1:3" x14ac:dyDescent="0.35">
      <c r="A4033" s="9">
        <v>43845</v>
      </c>
      <c r="B4033">
        <f t="shared" si="63"/>
        <v>1</v>
      </c>
      <c r="C4033" s="5">
        <v>172.8</v>
      </c>
    </row>
    <row r="4034" spans="1:3" x14ac:dyDescent="0.35">
      <c r="A4034" s="9">
        <v>43846</v>
      </c>
      <c r="B4034">
        <f t="shared" si="63"/>
        <v>1</v>
      </c>
      <c r="C4034" s="5">
        <v>180.4</v>
      </c>
    </row>
    <row r="4035" spans="1:3" x14ac:dyDescent="0.35">
      <c r="A4035" s="9">
        <v>43847</v>
      </c>
      <c r="B4035">
        <f t="shared" si="63"/>
        <v>1</v>
      </c>
      <c r="C4035" s="5">
        <v>195.3</v>
      </c>
    </row>
    <row r="4036" spans="1:3" x14ac:dyDescent="0.35">
      <c r="A4036" s="9">
        <v>43848</v>
      </c>
      <c r="B4036">
        <f t="shared" ref="B4036:B4099" si="64">MONTH(A4036)</f>
        <v>1</v>
      </c>
      <c r="C4036" s="5">
        <v>203.6</v>
      </c>
    </row>
    <row r="4037" spans="1:3" x14ac:dyDescent="0.35">
      <c r="A4037" s="9">
        <v>43849</v>
      </c>
      <c r="B4037">
        <f t="shared" si="64"/>
        <v>1</v>
      </c>
      <c r="C4037" s="5">
        <v>205.8</v>
      </c>
    </row>
    <row r="4038" spans="1:3" x14ac:dyDescent="0.35">
      <c r="A4038" s="9">
        <v>43850</v>
      </c>
      <c r="B4038">
        <f t="shared" si="64"/>
        <v>1</v>
      </c>
      <c r="C4038" s="5">
        <v>197.2</v>
      </c>
    </row>
    <row r="4039" spans="1:3" x14ac:dyDescent="0.35">
      <c r="A4039" s="9">
        <v>43851</v>
      </c>
      <c r="B4039">
        <f t="shared" si="64"/>
        <v>1</v>
      </c>
      <c r="C4039" s="5">
        <v>189.5</v>
      </c>
    </row>
    <row r="4040" spans="1:3" x14ac:dyDescent="0.35">
      <c r="A4040" s="9">
        <v>43852</v>
      </c>
      <c r="B4040">
        <f t="shared" si="64"/>
        <v>1</v>
      </c>
      <c r="C4040" s="5">
        <v>191.4</v>
      </c>
    </row>
    <row r="4041" spans="1:3" x14ac:dyDescent="0.35">
      <c r="A4041" s="9">
        <v>43853</v>
      </c>
      <c r="B4041">
        <f t="shared" si="64"/>
        <v>1</v>
      </c>
      <c r="C4041" s="5">
        <v>198.5</v>
      </c>
    </row>
    <row r="4042" spans="1:3" x14ac:dyDescent="0.35">
      <c r="A4042" s="9">
        <v>43854</v>
      </c>
      <c r="B4042">
        <f t="shared" si="64"/>
        <v>1</v>
      </c>
      <c r="C4042" s="5">
        <v>199.8</v>
      </c>
    </row>
    <row r="4043" spans="1:3" x14ac:dyDescent="0.35">
      <c r="A4043" s="9">
        <v>43855</v>
      </c>
      <c r="B4043">
        <f t="shared" si="64"/>
        <v>1</v>
      </c>
      <c r="C4043" s="5">
        <v>192.8</v>
      </c>
    </row>
    <row r="4044" spans="1:3" x14ac:dyDescent="0.35">
      <c r="A4044" s="9">
        <v>43856</v>
      </c>
      <c r="B4044">
        <f t="shared" si="64"/>
        <v>1</v>
      </c>
      <c r="C4044" s="5">
        <v>179.4</v>
      </c>
    </row>
    <row r="4045" spans="1:3" x14ac:dyDescent="0.35">
      <c r="A4045" s="9">
        <v>43857</v>
      </c>
      <c r="B4045">
        <f t="shared" si="64"/>
        <v>1</v>
      </c>
      <c r="C4045" s="5">
        <v>173.6</v>
      </c>
    </row>
    <row r="4046" spans="1:3" x14ac:dyDescent="0.35">
      <c r="A4046" s="9">
        <v>43858</v>
      </c>
      <c r="B4046">
        <f t="shared" si="64"/>
        <v>1</v>
      </c>
      <c r="C4046" s="5">
        <v>182.4</v>
      </c>
    </row>
    <row r="4047" spans="1:3" x14ac:dyDescent="0.35">
      <c r="A4047" s="9">
        <v>43859</v>
      </c>
      <c r="B4047">
        <f t="shared" si="64"/>
        <v>1</v>
      </c>
      <c r="C4047" s="5">
        <v>197.3</v>
      </c>
    </row>
    <row r="4048" spans="1:3" x14ac:dyDescent="0.35">
      <c r="A4048" s="9">
        <v>43860</v>
      </c>
      <c r="B4048">
        <f t="shared" si="64"/>
        <v>1</v>
      </c>
      <c r="C4048" s="5">
        <v>200.6</v>
      </c>
    </row>
    <row r="4049" spans="1:3" x14ac:dyDescent="0.35">
      <c r="A4049" s="9">
        <v>43861</v>
      </c>
      <c r="B4049">
        <f t="shared" si="64"/>
        <v>1</v>
      </c>
      <c r="C4049" s="5">
        <v>193.4</v>
      </c>
    </row>
    <row r="4050" spans="1:3" x14ac:dyDescent="0.35">
      <c r="A4050" s="9">
        <v>43862</v>
      </c>
      <c r="B4050">
        <f t="shared" si="64"/>
        <v>2</v>
      </c>
      <c r="C4050" s="5">
        <v>180.6</v>
      </c>
    </row>
    <row r="4051" spans="1:3" x14ac:dyDescent="0.35">
      <c r="A4051" s="9">
        <v>43863</v>
      </c>
      <c r="B4051">
        <f t="shared" si="64"/>
        <v>2</v>
      </c>
      <c r="C4051" s="5">
        <v>153.1</v>
      </c>
    </row>
    <row r="4052" spans="1:3" x14ac:dyDescent="0.35">
      <c r="A4052" s="9">
        <v>43864</v>
      </c>
      <c r="B4052">
        <f t="shared" si="64"/>
        <v>2</v>
      </c>
      <c r="C4052" s="5">
        <v>149.6</v>
      </c>
    </row>
    <row r="4053" spans="1:3" x14ac:dyDescent="0.35">
      <c r="A4053" s="9">
        <v>43865</v>
      </c>
      <c r="B4053">
        <f t="shared" si="64"/>
        <v>2</v>
      </c>
      <c r="C4053" s="5">
        <v>149.6</v>
      </c>
    </row>
    <row r="4054" spans="1:3" x14ac:dyDescent="0.35">
      <c r="A4054" s="9">
        <v>43866</v>
      </c>
      <c r="B4054">
        <f t="shared" si="64"/>
        <v>2</v>
      </c>
      <c r="C4054" s="5">
        <v>155.6</v>
      </c>
    </row>
    <row r="4055" spans="1:3" x14ac:dyDescent="0.35">
      <c r="A4055" s="9">
        <v>43867</v>
      </c>
      <c r="B4055">
        <f t="shared" si="64"/>
        <v>2</v>
      </c>
      <c r="C4055" s="5">
        <v>162.80000000000001</v>
      </c>
    </row>
    <row r="4056" spans="1:3" x14ac:dyDescent="0.35">
      <c r="A4056" s="9">
        <v>43868</v>
      </c>
      <c r="B4056">
        <f t="shared" si="64"/>
        <v>2</v>
      </c>
      <c r="C4056" s="5">
        <v>160.6</v>
      </c>
    </row>
    <row r="4057" spans="1:3" x14ac:dyDescent="0.35">
      <c r="A4057" s="9">
        <v>43869</v>
      </c>
      <c r="B4057">
        <f t="shared" si="64"/>
        <v>2</v>
      </c>
      <c r="C4057" s="5">
        <v>157.9</v>
      </c>
    </row>
    <row r="4058" spans="1:3" x14ac:dyDescent="0.35">
      <c r="A4058" s="9">
        <v>43870</v>
      </c>
      <c r="B4058">
        <f t="shared" si="64"/>
        <v>2</v>
      </c>
      <c r="C4058" s="5">
        <v>157.80000000000001</v>
      </c>
    </row>
    <row r="4059" spans="1:3" x14ac:dyDescent="0.35">
      <c r="A4059" s="9">
        <v>43871</v>
      </c>
      <c r="B4059">
        <f t="shared" si="64"/>
        <v>2</v>
      </c>
      <c r="C4059" s="5">
        <v>160.69999999999999</v>
      </c>
    </row>
    <row r="4060" spans="1:3" x14ac:dyDescent="0.35">
      <c r="A4060" s="9">
        <v>43872</v>
      </c>
      <c r="B4060">
        <f t="shared" si="64"/>
        <v>2</v>
      </c>
      <c r="C4060" s="5">
        <v>162.80000000000001</v>
      </c>
    </row>
    <row r="4061" spans="1:3" x14ac:dyDescent="0.35">
      <c r="A4061" s="9">
        <v>43873</v>
      </c>
      <c r="B4061">
        <f t="shared" si="64"/>
        <v>2</v>
      </c>
      <c r="C4061" s="5">
        <v>161.4</v>
      </c>
    </row>
    <row r="4062" spans="1:3" x14ac:dyDescent="0.35">
      <c r="A4062" s="9">
        <v>43874</v>
      </c>
      <c r="B4062">
        <f t="shared" si="64"/>
        <v>2</v>
      </c>
      <c r="C4062" s="5">
        <v>154.4</v>
      </c>
    </row>
    <row r="4063" spans="1:3" x14ac:dyDescent="0.35">
      <c r="A4063" s="9">
        <v>43875</v>
      </c>
      <c r="B4063">
        <f t="shared" si="64"/>
        <v>2</v>
      </c>
      <c r="C4063" s="5">
        <v>147.5</v>
      </c>
    </row>
    <row r="4064" spans="1:3" x14ac:dyDescent="0.35">
      <c r="A4064" s="9">
        <v>43876</v>
      </c>
      <c r="B4064">
        <f t="shared" si="64"/>
        <v>2</v>
      </c>
      <c r="C4064" s="5">
        <v>144.9</v>
      </c>
    </row>
    <row r="4065" spans="1:3" x14ac:dyDescent="0.35">
      <c r="A4065" s="9">
        <v>43877</v>
      </c>
      <c r="B4065">
        <f t="shared" si="64"/>
        <v>2</v>
      </c>
      <c r="C4065" s="5">
        <v>145.6</v>
      </c>
    </row>
    <row r="4066" spans="1:3" x14ac:dyDescent="0.35">
      <c r="A4066" s="9">
        <v>43878</v>
      </c>
      <c r="B4066">
        <f t="shared" si="64"/>
        <v>2</v>
      </c>
      <c r="C4066" s="5">
        <v>154.4</v>
      </c>
    </row>
    <row r="4067" spans="1:3" x14ac:dyDescent="0.35">
      <c r="A4067" s="9">
        <v>43879</v>
      </c>
      <c r="B4067">
        <f t="shared" si="64"/>
        <v>2</v>
      </c>
      <c r="C4067" s="5">
        <v>165.2</v>
      </c>
    </row>
    <row r="4068" spans="1:3" x14ac:dyDescent="0.35">
      <c r="A4068" s="9">
        <v>43880</v>
      </c>
      <c r="B4068">
        <f t="shared" si="64"/>
        <v>2</v>
      </c>
      <c r="C4068" s="5">
        <v>172.2</v>
      </c>
    </row>
    <row r="4069" spans="1:3" x14ac:dyDescent="0.35">
      <c r="A4069" s="9">
        <v>43881</v>
      </c>
      <c r="B4069">
        <f t="shared" si="64"/>
        <v>2</v>
      </c>
      <c r="C4069" s="5">
        <v>171.1</v>
      </c>
    </row>
    <row r="4070" spans="1:3" x14ac:dyDescent="0.35">
      <c r="A4070" s="9">
        <v>43882</v>
      </c>
      <c r="B4070">
        <f t="shared" si="64"/>
        <v>2</v>
      </c>
      <c r="C4070" s="5">
        <v>164.2</v>
      </c>
    </row>
    <row r="4071" spans="1:3" x14ac:dyDescent="0.35">
      <c r="A4071" s="9">
        <v>43883</v>
      </c>
      <c r="B4071">
        <f t="shared" si="64"/>
        <v>2</v>
      </c>
      <c r="C4071" s="5">
        <v>152.80000000000001</v>
      </c>
    </row>
    <row r="4072" spans="1:3" x14ac:dyDescent="0.35">
      <c r="A4072" s="9">
        <v>43884</v>
      </c>
      <c r="B4072">
        <f t="shared" si="64"/>
        <v>2</v>
      </c>
      <c r="C4072" s="5">
        <v>150.6</v>
      </c>
    </row>
    <row r="4073" spans="1:3" x14ac:dyDescent="0.35">
      <c r="A4073" s="9">
        <v>43885</v>
      </c>
      <c r="B4073">
        <f t="shared" si="64"/>
        <v>2</v>
      </c>
      <c r="C4073" s="5">
        <v>165.9</v>
      </c>
    </row>
    <row r="4074" spans="1:3" x14ac:dyDescent="0.35">
      <c r="A4074" s="9">
        <v>43886</v>
      </c>
      <c r="B4074">
        <f t="shared" si="64"/>
        <v>2</v>
      </c>
      <c r="C4074" s="5">
        <v>190.9</v>
      </c>
    </row>
    <row r="4075" spans="1:3" x14ac:dyDescent="0.35">
      <c r="A4075" s="9">
        <v>43887</v>
      </c>
      <c r="B4075">
        <f t="shared" si="64"/>
        <v>2</v>
      </c>
      <c r="C4075" s="5">
        <v>202.5</v>
      </c>
    </row>
    <row r="4076" spans="1:3" x14ac:dyDescent="0.35">
      <c r="A4076" s="9">
        <v>43888</v>
      </c>
      <c r="B4076">
        <f t="shared" si="64"/>
        <v>2</v>
      </c>
      <c r="C4076" s="5">
        <v>203.9</v>
      </c>
    </row>
    <row r="4077" spans="1:3" x14ac:dyDescent="0.35">
      <c r="A4077" s="9">
        <v>43889</v>
      </c>
      <c r="B4077">
        <f t="shared" si="64"/>
        <v>2</v>
      </c>
      <c r="C4077" s="5">
        <v>199.1</v>
      </c>
    </row>
    <row r="4078" spans="1:3" x14ac:dyDescent="0.35">
      <c r="A4078" s="9">
        <v>43890</v>
      </c>
      <c r="B4078">
        <f t="shared" si="64"/>
        <v>2</v>
      </c>
      <c r="C4078" s="5">
        <v>190.8</v>
      </c>
    </row>
    <row r="4079" spans="1:3" x14ac:dyDescent="0.35">
      <c r="A4079" s="9">
        <v>43891</v>
      </c>
      <c r="B4079">
        <f t="shared" si="64"/>
        <v>3</v>
      </c>
      <c r="C4079" s="5">
        <v>181.4</v>
      </c>
    </row>
    <row r="4080" spans="1:3" x14ac:dyDescent="0.35">
      <c r="A4080" s="9">
        <v>43892</v>
      </c>
      <c r="B4080">
        <f t="shared" si="64"/>
        <v>3</v>
      </c>
      <c r="C4080" s="5">
        <v>182.3</v>
      </c>
    </row>
    <row r="4081" spans="1:3" x14ac:dyDescent="0.35">
      <c r="A4081" s="9">
        <v>43893</v>
      </c>
      <c r="B4081">
        <f t="shared" si="64"/>
        <v>3</v>
      </c>
      <c r="C4081" s="5">
        <v>178.2</v>
      </c>
    </row>
    <row r="4082" spans="1:3" x14ac:dyDescent="0.35">
      <c r="A4082" s="9">
        <v>43894</v>
      </c>
      <c r="B4082">
        <f t="shared" si="64"/>
        <v>3</v>
      </c>
      <c r="C4082" s="5">
        <v>174.2</v>
      </c>
    </row>
    <row r="4083" spans="1:3" x14ac:dyDescent="0.35">
      <c r="A4083" s="9">
        <v>43895</v>
      </c>
      <c r="B4083">
        <f t="shared" si="64"/>
        <v>3</v>
      </c>
      <c r="C4083" s="5">
        <v>169.7</v>
      </c>
    </row>
    <row r="4084" spans="1:3" x14ac:dyDescent="0.35">
      <c r="A4084" s="9">
        <v>43896</v>
      </c>
      <c r="B4084">
        <f t="shared" si="64"/>
        <v>3</v>
      </c>
      <c r="C4084" s="5">
        <v>162.80000000000001</v>
      </c>
    </row>
    <row r="4085" spans="1:3" x14ac:dyDescent="0.35">
      <c r="A4085" s="9">
        <v>43897</v>
      </c>
      <c r="B4085">
        <f t="shared" si="64"/>
        <v>3</v>
      </c>
      <c r="C4085" s="5">
        <v>157.5</v>
      </c>
    </row>
    <row r="4086" spans="1:3" x14ac:dyDescent="0.35">
      <c r="A4086" s="9">
        <v>43898</v>
      </c>
      <c r="B4086">
        <f t="shared" si="64"/>
        <v>3</v>
      </c>
      <c r="C4086" s="5">
        <v>161.30000000000001</v>
      </c>
    </row>
    <row r="4087" spans="1:3" x14ac:dyDescent="0.35">
      <c r="A4087" s="9">
        <v>43899</v>
      </c>
      <c r="B4087">
        <f t="shared" si="64"/>
        <v>3</v>
      </c>
      <c r="C4087" s="5">
        <v>178</v>
      </c>
    </row>
    <row r="4088" spans="1:3" x14ac:dyDescent="0.35">
      <c r="A4088" s="9">
        <v>43900</v>
      </c>
      <c r="B4088">
        <f t="shared" si="64"/>
        <v>3</v>
      </c>
      <c r="C4088" s="5">
        <v>201.6</v>
      </c>
    </row>
    <row r="4089" spans="1:3" x14ac:dyDescent="0.35">
      <c r="A4089" s="9">
        <v>43901</v>
      </c>
      <c r="B4089">
        <f t="shared" si="64"/>
        <v>3</v>
      </c>
      <c r="C4089" s="5">
        <v>216.9</v>
      </c>
    </row>
    <row r="4090" spans="1:3" x14ac:dyDescent="0.35">
      <c r="A4090" s="9">
        <v>43902</v>
      </c>
      <c r="B4090">
        <f t="shared" si="64"/>
        <v>3</v>
      </c>
      <c r="C4090" s="5">
        <v>227.4</v>
      </c>
    </row>
    <row r="4091" spans="1:3" x14ac:dyDescent="0.35">
      <c r="A4091" s="9">
        <v>43903</v>
      </c>
      <c r="B4091">
        <f t="shared" si="64"/>
        <v>3</v>
      </c>
      <c r="C4091" s="5">
        <v>230.5</v>
      </c>
    </row>
    <row r="4092" spans="1:3" x14ac:dyDescent="0.35">
      <c r="A4092" s="9">
        <v>43904</v>
      </c>
      <c r="B4092">
        <f t="shared" si="64"/>
        <v>3</v>
      </c>
      <c r="C4092" s="5">
        <v>224.6</v>
      </c>
    </row>
    <row r="4093" spans="1:3" x14ac:dyDescent="0.35">
      <c r="A4093" s="9">
        <v>43905</v>
      </c>
      <c r="B4093">
        <f t="shared" si="64"/>
        <v>3</v>
      </c>
      <c r="C4093" s="5">
        <v>216.4</v>
      </c>
    </row>
    <row r="4094" spans="1:3" x14ac:dyDescent="0.35">
      <c r="A4094" s="9">
        <v>43906</v>
      </c>
      <c r="B4094">
        <f t="shared" si="64"/>
        <v>3</v>
      </c>
      <c r="C4094" s="5">
        <v>209.8</v>
      </c>
    </row>
    <row r="4095" spans="1:3" x14ac:dyDescent="0.35">
      <c r="A4095" s="9">
        <v>43907</v>
      </c>
      <c r="B4095">
        <f t="shared" si="64"/>
        <v>3</v>
      </c>
      <c r="C4095" s="5">
        <v>204.8</v>
      </c>
    </row>
    <row r="4096" spans="1:3" x14ac:dyDescent="0.35">
      <c r="A4096" s="9">
        <v>43908</v>
      </c>
      <c r="B4096">
        <f t="shared" si="64"/>
        <v>3</v>
      </c>
      <c r="C4096" s="5">
        <v>202.8</v>
      </c>
    </row>
    <row r="4097" spans="1:3" x14ac:dyDescent="0.35">
      <c r="A4097" s="9">
        <v>43909</v>
      </c>
      <c r="B4097">
        <f t="shared" si="64"/>
        <v>3</v>
      </c>
      <c r="C4097" s="5">
        <v>194.3</v>
      </c>
    </row>
    <row r="4098" spans="1:3" x14ac:dyDescent="0.35">
      <c r="A4098" s="9">
        <v>43910</v>
      </c>
      <c r="B4098">
        <f t="shared" si="64"/>
        <v>3</v>
      </c>
      <c r="C4098" s="5">
        <v>184.5</v>
      </c>
    </row>
    <row r="4099" spans="1:3" x14ac:dyDescent="0.35">
      <c r="A4099" s="9">
        <v>43911</v>
      </c>
      <c r="B4099">
        <f t="shared" si="64"/>
        <v>3</v>
      </c>
      <c r="C4099" s="5">
        <v>185.2</v>
      </c>
    </row>
    <row r="4100" spans="1:3" x14ac:dyDescent="0.35">
      <c r="A4100" s="9">
        <v>43912</v>
      </c>
      <c r="B4100">
        <f t="shared" ref="B4100:B4163" si="65">MONTH(A4100)</f>
        <v>3</v>
      </c>
      <c r="C4100" s="5">
        <v>196.5</v>
      </c>
    </row>
    <row r="4101" spans="1:3" x14ac:dyDescent="0.35">
      <c r="A4101" s="9">
        <v>43913</v>
      </c>
      <c r="B4101">
        <f t="shared" si="65"/>
        <v>3</v>
      </c>
      <c r="C4101" s="5">
        <v>206</v>
      </c>
    </row>
    <row r="4102" spans="1:3" x14ac:dyDescent="0.35">
      <c r="A4102" s="9">
        <v>43914</v>
      </c>
      <c r="B4102">
        <f t="shared" si="65"/>
        <v>3</v>
      </c>
      <c r="C4102" s="5">
        <v>206.5</v>
      </c>
    </row>
    <row r="4103" spans="1:3" x14ac:dyDescent="0.35">
      <c r="A4103" s="9">
        <v>43915</v>
      </c>
      <c r="B4103">
        <f t="shared" si="65"/>
        <v>3</v>
      </c>
      <c r="C4103" s="5">
        <v>203</v>
      </c>
    </row>
    <row r="4104" spans="1:3" x14ac:dyDescent="0.35">
      <c r="A4104" s="9">
        <v>43916</v>
      </c>
      <c r="B4104">
        <f t="shared" si="65"/>
        <v>3</v>
      </c>
      <c r="C4104" s="5">
        <v>203.7</v>
      </c>
    </row>
    <row r="4105" spans="1:3" x14ac:dyDescent="0.35">
      <c r="A4105" s="9">
        <v>43917</v>
      </c>
      <c r="B4105">
        <f t="shared" si="65"/>
        <v>3</v>
      </c>
      <c r="C4105" s="5">
        <v>205.8</v>
      </c>
    </row>
    <row r="4106" spans="1:3" x14ac:dyDescent="0.35">
      <c r="A4106" s="9">
        <v>43918</v>
      </c>
      <c r="B4106">
        <f t="shared" si="65"/>
        <v>3</v>
      </c>
      <c r="C4106" s="5">
        <v>202.1</v>
      </c>
    </row>
    <row r="4107" spans="1:3" x14ac:dyDescent="0.35">
      <c r="A4107" s="9">
        <v>43919</v>
      </c>
      <c r="B4107">
        <f t="shared" si="65"/>
        <v>3</v>
      </c>
      <c r="C4107" s="5">
        <v>193.6</v>
      </c>
    </row>
    <row r="4108" spans="1:3" x14ac:dyDescent="0.35">
      <c r="A4108" s="9">
        <v>43920</v>
      </c>
      <c r="B4108">
        <f t="shared" si="65"/>
        <v>3</v>
      </c>
      <c r="C4108" s="5">
        <v>183.6</v>
      </c>
    </row>
    <row r="4109" spans="1:3" x14ac:dyDescent="0.35">
      <c r="A4109" s="9">
        <v>43921</v>
      </c>
      <c r="B4109">
        <f t="shared" si="65"/>
        <v>3</v>
      </c>
      <c r="C4109" s="5">
        <v>176.3</v>
      </c>
    </row>
    <row r="4110" spans="1:3" x14ac:dyDescent="0.35">
      <c r="A4110" s="9">
        <v>43922</v>
      </c>
      <c r="B4110">
        <f t="shared" si="65"/>
        <v>4</v>
      </c>
      <c r="C4110" s="5">
        <v>169</v>
      </c>
    </row>
    <row r="4111" spans="1:3" x14ac:dyDescent="0.35">
      <c r="A4111" s="9">
        <v>43923</v>
      </c>
      <c r="B4111">
        <f t="shared" si="65"/>
        <v>4</v>
      </c>
      <c r="C4111" s="5">
        <v>177.3</v>
      </c>
    </row>
    <row r="4112" spans="1:3" x14ac:dyDescent="0.35">
      <c r="A4112" s="9">
        <v>43924</v>
      </c>
      <c r="B4112">
        <f t="shared" si="65"/>
        <v>4</v>
      </c>
      <c r="C4112" s="5">
        <v>184.8</v>
      </c>
    </row>
    <row r="4113" spans="1:3" x14ac:dyDescent="0.35">
      <c r="A4113" s="9">
        <v>43925</v>
      </c>
      <c r="B4113">
        <f t="shared" si="65"/>
        <v>4</v>
      </c>
      <c r="C4113" s="5">
        <v>192.4</v>
      </c>
    </row>
    <row r="4114" spans="1:3" x14ac:dyDescent="0.35">
      <c r="A4114" s="9">
        <v>43926</v>
      </c>
      <c r="B4114">
        <f t="shared" si="65"/>
        <v>4</v>
      </c>
      <c r="C4114" s="5">
        <v>192.7</v>
      </c>
    </row>
    <row r="4115" spans="1:3" x14ac:dyDescent="0.35">
      <c r="A4115" s="9">
        <v>43927</v>
      </c>
      <c r="B4115">
        <f t="shared" si="65"/>
        <v>4</v>
      </c>
      <c r="C4115" s="5">
        <v>192.1</v>
      </c>
    </row>
    <row r="4116" spans="1:3" x14ac:dyDescent="0.35">
      <c r="A4116" s="9">
        <v>43928</v>
      </c>
      <c r="B4116">
        <f t="shared" si="65"/>
        <v>4</v>
      </c>
      <c r="C4116" s="5">
        <v>193.8</v>
      </c>
    </row>
    <row r="4117" spans="1:3" x14ac:dyDescent="0.35">
      <c r="A4117" s="9">
        <v>43929</v>
      </c>
      <c r="B4117">
        <f t="shared" si="65"/>
        <v>4</v>
      </c>
      <c r="C4117" s="5">
        <v>193.1</v>
      </c>
    </row>
    <row r="4118" spans="1:3" x14ac:dyDescent="0.35">
      <c r="A4118" s="9">
        <v>43930</v>
      </c>
      <c r="B4118">
        <f t="shared" si="65"/>
        <v>4</v>
      </c>
      <c r="C4118" s="5">
        <v>193.2</v>
      </c>
    </row>
    <row r="4119" spans="1:3" x14ac:dyDescent="0.35">
      <c r="A4119" s="9">
        <v>43931</v>
      </c>
      <c r="B4119">
        <f t="shared" si="65"/>
        <v>4</v>
      </c>
      <c r="C4119" s="5">
        <v>196.1</v>
      </c>
    </row>
    <row r="4120" spans="1:3" x14ac:dyDescent="0.35">
      <c r="A4120" s="9">
        <v>43932</v>
      </c>
      <c r="B4120">
        <f t="shared" si="65"/>
        <v>4</v>
      </c>
      <c r="C4120" s="5">
        <v>200.1</v>
      </c>
    </row>
    <row r="4121" spans="1:3" x14ac:dyDescent="0.35">
      <c r="A4121" s="9">
        <v>43933</v>
      </c>
      <c r="B4121">
        <f t="shared" si="65"/>
        <v>4</v>
      </c>
      <c r="C4121" s="5">
        <v>199.6</v>
      </c>
    </row>
    <row r="4122" spans="1:3" x14ac:dyDescent="0.35">
      <c r="A4122" s="9">
        <v>43934</v>
      </c>
      <c r="B4122">
        <f t="shared" si="65"/>
        <v>4</v>
      </c>
      <c r="C4122" s="5">
        <v>200.3</v>
      </c>
    </row>
    <row r="4123" spans="1:3" x14ac:dyDescent="0.35">
      <c r="A4123" s="9">
        <v>43935</v>
      </c>
      <c r="B4123">
        <f t="shared" si="65"/>
        <v>4</v>
      </c>
      <c r="C4123" s="5">
        <v>207.3</v>
      </c>
    </row>
    <row r="4124" spans="1:3" x14ac:dyDescent="0.35">
      <c r="A4124" s="9">
        <v>43936</v>
      </c>
      <c r="B4124">
        <f t="shared" si="65"/>
        <v>4</v>
      </c>
      <c r="C4124" s="5">
        <v>213.1</v>
      </c>
    </row>
    <row r="4125" spans="1:3" x14ac:dyDescent="0.35">
      <c r="A4125" s="9">
        <v>43937</v>
      </c>
      <c r="B4125">
        <f t="shared" si="65"/>
        <v>4</v>
      </c>
      <c r="C4125" s="5">
        <v>211.6</v>
      </c>
    </row>
    <row r="4126" spans="1:3" x14ac:dyDescent="0.35">
      <c r="A4126" s="9">
        <v>43938</v>
      </c>
      <c r="B4126">
        <f t="shared" si="65"/>
        <v>4</v>
      </c>
      <c r="C4126" s="5">
        <v>215.8</v>
      </c>
    </row>
    <row r="4127" spans="1:3" x14ac:dyDescent="0.35">
      <c r="A4127" s="9">
        <v>43939</v>
      </c>
      <c r="B4127">
        <f t="shared" si="65"/>
        <v>4</v>
      </c>
      <c r="C4127" s="5">
        <v>232.4</v>
      </c>
    </row>
    <row r="4128" spans="1:3" x14ac:dyDescent="0.35">
      <c r="A4128" s="9">
        <v>43940</v>
      </c>
      <c r="B4128">
        <f t="shared" si="65"/>
        <v>4</v>
      </c>
      <c r="C4128" s="5">
        <v>251.2</v>
      </c>
    </row>
    <row r="4129" spans="1:3" x14ac:dyDescent="0.35">
      <c r="A4129" s="9">
        <v>43941</v>
      </c>
      <c r="B4129">
        <f t="shared" si="65"/>
        <v>4</v>
      </c>
      <c r="C4129" s="5">
        <v>260.89999999999998</v>
      </c>
    </row>
    <row r="4130" spans="1:3" x14ac:dyDescent="0.35">
      <c r="A4130" s="9">
        <v>43942</v>
      </c>
      <c r="B4130">
        <f t="shared" si="65"/>
        <v>4</v>
      </c>
      <c r="C4130" s="5">
        <v>256.7</v>
      </c>
    </row>
    <row r="4131" spans="1:3" x14ac:dyDescent="0.35">
      <c r="A4131" s="9">
        <v>43943</v>
      </c>
      <c r="B4131">
        <f t="shared" si="65"/>
        <v>4</v>
      </c>
      <c r="C4131" s="5">
        <v>247.8</v>
      </c>
    </row>
    <row r="4132" spans="1:3" x14ac:dyDescent="0.35">
      <c r="A4132" s="9">
        <v>43944</v>
      </c>
      <c r="B4132">
        <f t="shared" si="65"/>
        <v>4</v>
      </c>
      <c r="C4132" s="5">
        <v>240.7</v>
      </c>
    </row>
    <row r="4133" spans="1:3" x14ac:dyDescent="0.35">
      <c r="A4133" s="9">
        <v>43945</v>
      </c>
      <c r="B4133">
        <f t="shared" si="65"/>
        <v>4</v>
      </c>
      <c r="C4133" s="5">
        <v>225.8</v>
      </c>
    </row>
    <row r="4134" spans="1:3" x14ac:dyDescent="0.35">
      <c r="A4134" s="9">
        <v>43946</v>
      </c>
      <c r="B4134">
        <f t="shared" si="65"/>
        <v>4</v>
      </c>
      <c r="C4134" s="5">
        <v>205.3</v>
      </c>
    </row>
    <row r="4135" spans="1:3" x14ac:dyDescent="0.35">
      <c r="A4135" s="9">
        <v>43947</v>
      </c>
      <c r="B4135">
        <f t="shared" si="65"/>
        <v>4</v>
      </c>
      <c r="C4135" s="5">
        <v>184.1</v>
      </c>
    </row>
    <row r="4136" spans="1:3" x14ac:dyDescent="0.35">
      <c r="A4136" s="9">
        <v>43948</v>
      </c>
      <c r="B4136">
        <f t="shared" si="65"/>
        <v>4</v>
      </c>
      <c r="C4136" s="5">
        <v>170.9</v>
      </c>
    </row>
    <row r="4137" spans="1:3" x14ac:dyDescent="0.35">
      <c r="A4137" s="9">
        <v>43949</v>
      </c>
      <c r="B4137">
        <f t="shared" si="65"/>
        <v>4</v>
      </c>
      <c r="C4137" s="5">
        <v>171.4</v>
      </c>
    </row>
    <row r="4138" spans="1:3" x14ac:dyDescent="0.35">
      <c r="A4138" s="9">
        <v>43950</v>
      </c>
      <c r="B4138">
        <f t="shared" si="65"/>
        <v>4</v>
      </c>
      <c r="C4138" s="5">
        <v>179.6</v>
      </c>
    </row>
    <row r="4139" spans="1:3" x14ac:dyDescent="0.35">
      <c r="A4139" s="9">
        <v>43951</v>
      </c>
      <c r="B4139">
        <f t="shared" si="65"/>
        <v>4</v>
      </c>
      <c r="C4139" s="5">
        <v>186.5</v>
      </c>
    </row>
    <row r="4140" spans="1:3" x14ac:dyDescent="0.35">
      <c r="A4140" s="9">
        <v>43952</v>
      </c>
      <c r="B4140">
        <f t="shared" si="65"/>
        <v>5</v>
      </c>
      <c r="C4140" s="5">
        <v>192.3</v>
      </c>
    </row>
    <row r="4141" spans="1:3" x14ac:dyDescent="0.35">
      <c r="A4141" s="9">
        <v>43953</v>
      </c>
      <c r="B4141">
        <f t="shared" si="65"/>
        <v>5</v>
      </c>
      <c r="C4141" s="5">
        <v>204.2</v>
      </c>
    </row>
    <row r="4142" spans="1:3" x14ac:dyDescent="0.35">
      <c r="A4142" s="9">
        <v>43954</v>
      </c>
      <c r="B4142">
        <f t="shared" si="65"/>
        <v>5</v>
      </c>
      <c r="C4142" s="5">
        <v>215.1</v>
      </c>
    </row>
    <row r="4143" spans="1:3" x14ac:dyDescent="0.35">
      <c r="A4143" s="9">
        <v>43955</v>
      </c>
      <c r="B4143">
        <f t="shared" si="65"/>
        <v>5</v>
      </c>
      <c r="C4143" s="5">
        <v>218.3</v>
      </c>
    </row>
    <row r="4144" spans="1:3" x14ac:dyDescent="0.35">
      <c r="A4144" s="9">
        <v>43956</v>
      </c>
      <c r="B4144">
        <f t="shared" si="65"/>
        <v>5</v>
      </c>
      <c r="C4144" s="5">
        <v>208.6</v>
      </c>
    </row>
    <row r="4145" spans="1:3" x14ac:dyDescent="0.35">
      <c r="A4145" s="9">
        <v>43957</v>
      </c>
      <c r="B4145">
        <f t="shared" si="65"/>
        <v>5</v>
      </c>
      <c r="C4145" s="5">
        <v>195.5</v>
      </c>
    </row>
    <row r="4146" spans="1:3" x14ac:dyDescent="0.35">
      <c r="A4146" s="9">
        <v>43958</v>
      </c>
      <c r="B4146">
        <f t="shared" si="65"/>
        <v>5</v>
      </c>
      <c r="C4146" s="5">
        <v>185.2</v>
      </c>
    </row>
    <row r="4147" spans="1:3" x14ac:dyDescent="0.35">
      <c r="A4147" s="9">
        <v>43959</v>
      </c>
      <c r="B4147">
        <f t="shared" si="65"/>
        <v>5</v>
      </c>
      <c r="C4147" s="5">
        <v>175.1</v>
      </c>
    </row>
    <row r="4148" spans="1:3" x14ac:dyDescent="0.35">
      <c r="A4148" s="9">
        <v>43960</v>
      </c>
      <c r="B4148">
        <f t="shared" si="65"/>
        <v>5</v>
      </c>
      <c r="C4148" s="5">
        <v>165.1</v>
      </c>
    </row>
    <row r="4149" spans="1:3" x14ac:dyDescent="0.35">
      <c r="A4149" s="9">
        <v>43961</v>
      </c>
      <c r="B4149">
        <f t="shared" si="65"/>
        <v>5</v>
      </c>
      <c r="C4149" s="5">
        <v>155.1</v>
      </c>
    </row>
    <row r="4150" spans="1:3" x14ac:dyDescent="0.35">
      <c r="A4150" s="9">
        <v>43962</v>
      </c>
      <c r="B4150">
        <f t="shared" si="65"/>
        <v>5</v>
      </c>
      <c r="C4150" s="5">
        <v>146.30000000000001</v>
      </c>
    </row>
    <row r="4151" spans="1:3" x14ac:dyDescent="0.35">
      <c r="A4151" s="9">
        <v>43963</v>
      </c>
      <c r="B4151">
        <f t="shared" si="65"/>
        <v>5</v>
      </c>
      <c r="C4151" s="5">
        <v>141.19999999999999</v>
      </c>
    </row>
    <row r="4152" spans="1:3" x14ac:dyDescent="0.35">
      <c r="A4152" s="9">
        <v>43964</v>
      </c>
      <c r="B4152">
        <f t="shared" si="65"/>
        <v>5</v>
      </c>
      <c r="C4152" s="5">
        <v>142.4</v>
      </c>
    </row>
    <row r="4153" spans="1:3" x14ac:dyDescent="0.35">
      <c r="A4153" s="9">
        <v>43965</v>
      </c>
      <c r="B4153">
        <f t="shared" si="65"/>
        <v>5</v>
      </c>
      <c r="C4153" s="5">
        <v>149</v>
      </c>
    </row>
    <row r="4154" spans="1:3" x14ac:dyDescent="0.35">
      <c r="A4154" s="9">
        <v>43966</v>
      </c>
      <c r="B4154">
        <f t="shared" si="65"/>
        <v>5</v>
      </c>
      <c r="C4154" s="5">
        <v>156.1</v>
      </c>
    </row>
    <row r="4155" spans="1:3" x14ac:dyDescent="0.35">
      <c r="A4155" s="9">
        <v>43967</v>
      </c>
      <c r="B4155">
        <f t="shared" si="65"/>
        <v>5</v>
      </c>
      <c r="C4155" s="5">
        <v>158</v>
      </c>
    </row>
    <row r="4156" spans="1:3" x14ac:dyDescent="0.35">
      <c r="A4156" s="9">
        <v>43968</v>
      </c>
      <c r="B4156">
        <f t="shared" si="65"/>
        <v>5</v>
      </c>
      <c r="C4156" s="5">
        <v>155</v>
      </c>
    </row>
    <row r="4157" spans="1:3" x14ac:dyDescent="0.35">
      <c r="A4157" s="9">
        <v>43969</v>
      </c>
      <c r="B4157">
        <f t="shared" si="65"/>
        <v>5</v>
      </c>
      <c r="C4157" s="5">
        <v>148.30000000000001</v>
      </c>
    </row>
    <row r="4158" spans="1:3" x14ac:dyDescent="0.35">
      <c r="A4158" s="9">
        <v>43970</v>
      </c>
      <c r="B4158">
        <f t="shared" si="65"/>
        <v>5</v>
      </c>
      <c r="C4158" s="5">
        <v>141.30000000000001</v>
      </c>
    </row>
    <row r="4159" spans="1:3" x14ac:dyDescent="0.35">
      <c r="A4159" s="9">
        <v>43971</v>
      </c>
      <c r="B4159">
        <f t="shared" si="65"/>
        <v>5</v>
      </c>
      <c r="C4159" s="5">
        <v>135.80000000000001</v>
      </c>
    </row>
    <row r="4160" spans="1:3" x14ac:dyDescent="0.35">
      <c r="A4160" s="9">
        <v>43972</v>
      </c>
      <c r="B4160">
        <f t="shared" si="65"/>
        <v>5</v>
      </c>
      <c r="C4160" s="5">
        <v>131.9</v>
      </c>
    </row>
    <row r="4161" spans="1:3" x14ac:dyDescent="0.35">
      <c r="A4161" s="9">
        <v>43973</v>
      </c>
      <c r="B4161">
        <f t="shared" si="65"/>
        <v>5</v>
      </c>
      <c r="C4161" s="5">
        <v>130.19999999999999</v>
      </c>
    </row>
    <row r="4162" spans="1:3" x14ac:dyDescent="0.35">
      <c r="A4162" s="9">
        <v>43974</v>
      </c>
      <c r="B4162">
        <f t="shared" si="65"/>
        <v>5</v>
      </c>
      <c r="C4162" s="5">
        <v>130.1</v>
      </c>
    </row>
    <row r="4163" spans="1:3" x14ac:dyDescent="0.35">
      <c r="A4163" s="9">
        <v>43975</v>
      </c>
      <c r="B4163">
        <f t="shared" si="65"/>
        <v>5</v>
      </c>
      <c r="C4163" s="5">
        <v>130.5</v>
      </c>
    </row>
    <row r="4164" spans="1:3" x14ac:dyDescent="0.35">
      <c r="A4164" s="9">
        <v>43976</v>
      </c>
      <c r="B4164">
        <f t="shared" ref="B4164:B4227" si="66">MONTH(A4164)</f>
        <v>5</v>
      </c>
      <c r="C4164" s="5">
        <v>130</v>
      </c>
    </row>
    <row r="4165" spans="1:3" x14ac:dyDescent="0.35">
      <c r="A4165" s="9">
        <v>43977</v>
      </c>
      <c r="B4165">
        <f t="shared" si="66"/>
        <v>5</v>
      </c>
      <c r="C4165" s="5">
        <v>128.80000000000001</v>
      </c>
    </row>
    <row r="4166" spans="1:3" x14ac:dyDescent="0.35">
      <c r="A4166" s="9">
        <v>43978</v>
      </c>
      <c r="B4166">
        <f t="shared" si="66"/>
        <v>5</v>
      </c>
      <c r="C4166" s="5">
        <v>127.3</v>
      </c>
    </row>
    <row r="4167" spans="1:3" x14ac:dyDescent="0.35">
      <c r="A4167" s="9">
        <v>43979</v>
      </c>
      <c r="B4167">
        <f t="shared" si="66"/>
        <v>5</v>
      </c>
      <c r="C4167" s="5">
        <v>126.1</v>
      </c>
    </row>
    <row r="4168" spans="1:3" x14ac:dyDescent="0.35">
      <c r="A4168" s="9">
        <v>43980</v>
      </c>
      <c r="B4168">
        <f t="shared" si="66"/>
        <v>5</v>
      </c>
      <c r="C4168" s="5">
        <v>125.5</v>
      </c>
    </row>
    <row r="4169" spans="1:3" x14ac:dyDescent="0.35">
      <c r="A4169" s="9">
        <v>43981</v>
      </c>
      <c r="B4169">
        <f t="shared" si="66"/>
        <v>5</v>
      </c>
      <c r="C4169" s="5">
        <v>125.1</v>
      </c>
    </row>
    <row r="4170" spans="1:3" x14ac:dyDescent="0.35">
      <c r="A4170" s="9">
        <v>43982</v>
      </c>
      <c r="B4170">
        <f t="shared" si="66"/>
        <v>5</v>
      </c>
      <c r="C4170" s="5">
        <v>126.8</v>
      </c>
    </row>
    <row r="4171" spans="1:3" x14ac:dyDescent="0.35">
      <c r="A4171" s="9">
        <v>43983</v>
      </c>
      <c r="B4171">
        <f t="shared" si="66"/>
        <v>6</v>
      </c>
      <c r="C4171" s="5">
        <v>131.30000000000001</v>
      </c>
    </row>
    <row r="4172" spans="1:3" x14ac:dyDescent="0.35">
      <c r="A4172" s="9">
        <v>43984</v>
      </c>
      <c r="B4172">
        <f t="shared" si="66"/>
        <v>6</v>
      </c>
      <c r="C4172" s="5">
        <v>95.5</v>
      </c>
    </row>
    <row r="4173" spans="1:3" x14ac:dyDescent="0.35">
      <c r="A4173" s="9">
        <v>43985</v>
      </c>
      <c r="B4173">
        <f t="shared" si="66"/>
        <v>6</v>
      </c>
      <c r="C4173" s="5">
        <v>96.5</v>
      </c>
    </row>
    <row r="4174" spans="1:3" x14ac:dyDescent="0.35">
      <c r="A4174" s="9">
        <v>43986</v>
      </c>
      <c r="B4174">
        <f t="shared" si="66"/>
        <v>6</v>
      </c>
      <c r="C4174" s="5">
        <v>94.5</v>
      </c>
    </row>
    <row r="4175" spans="1:3" x14ac:dyDescent="0.35">
      <c r="A4175" s="9">
        <v>43987</v>
      </c>
      <c r="B4175">
        <f t="shared" si="66"/>
        <v>6</v>
      </c>
      <c r="C4175" s="5">
        <v>91.7</v>
      </c>
    </row>
    <row r="4176" spans="1:3" x14ac:dyDescent="0.35">
      <c r="A4176" s="9">
        <v>43988</v>
      </c>
      <c r="B4176">
        <f t="shared" si="66"/>
        <v>6</v>
      </c>
      <c r="C4176" s="5">
        <v>89.9</v>
      </c>
    </row>
    <row r="4177" spans="1:3" x14ac:dyDescent="0.35">
      <c r="A4177" s="9">
        <v>43989</v>
      </c>
      <c r="B4177">
        <f t="shared" si="66"/>
        <v>6</v>
      </c>
      <c r="C4177" s="5">
        <v>89.7</v>
      </c>
    </row>
    <row r="4178" spans="1:3" x14ac:dyDescent="0.35">
      <c r="A4178" s="9">
        <v>43990</v>
      </c>
      <c r="B4178">
        <f t="shared" si="66"/>
        <v>6</v>
      </c>
      <c r="C4178" s="5">
        <v>89.4</v>
      </c>
    </row>
    <row r="4179" spans="1:3" x14ac:dyDescent="0.35">
      <c r="A4179" s="9">
        <v>43991</v>
      </c>
      <c r="B4179">
        <f t="shared" si="66"/>
        <v>6</v>
      </c>
      <c r="C4179" s="5">
        <v>89.3</v>
      </c>
    </row>
    <row r="4180" spans="1:3" x14ac:dyDescent="0.35">
      <c r="A4180" s="9">
        <v>43992</v>
      </c>
      <c r="B4180">
        <f t="shared" si="66"/>
        <v>6</v>
      </c>
      <c r="C4180" s="5">
        <v>89.1</v>
      </c>
    </row>
    <row r="4181" spans="1:3" x14ac:dyDescent="0.35">
      <c r="A4181" s="9">
        <v>43993</v>
      </c>
      <c r="B4181">
        <f t="shared" si="66"/>
        <v>6</v>
      </c>
      <c r="C4181" s="5">
        <v>88.1</v>
      </c>
    </row>
    <row r="4182" spans="1:3" x14ac:dyDescent="0.35">
      <c r="A4182" s="9">
        <v>43994</v>
      </c>
      <c r="B4182">
        <f t="shared" si="66"/>
        <v>6</v>
      </c>
      <c r="C4182" s="5">
        <v>88.7</v>
      </c>
    </row>
    <row r="4183" spans="1:3" x14ac:dyDescent="0.35">
      <c r="A4183" s="9">
        <v>43995</v>
      </c>
      <c r="B4183">
        <f t="shared" si="66"/>
        <v>6</v>
      </c>
      <c r="C4183" s="5">
        <v>92.3</v>
      </c>
    </row>
    <row r="4184" spans="1:3" x14ac:dyDescent="0.35">
      <c r="A4184" s="9">
        <v>43996</v>
      </c>
      <c r="B4184">
        <f t="shared" si="66"/>
        <v>6</v>
      </c>
      <c r="C4184" s="5">
        <v>97.5</v>
      </c>
    </row>
    <row r="4185" spans="1:3" x14ac:dyDescent="0.35">
      <c r="A4185" s="9">
        <v>43997</v>
      </c>
      <c r="B4185">
        <f t="shared" si="66"/>
        <v>6</v>
      </c>
      <c r="C4185" s="5">
        <v>99.6</v>
      </c>
    </row>
    <row r="4186" spans="1:3" x14ac:dyDescent="0.35">
      <c r="A4186" s="9">
        <v>43998</v>
      </c>
      <c r="B4186">
        <f t="shared" si="66"/>
        <v>6</v>
      </c>
      <c r="C4186" s="5">
        <v>97.9</v>
      </c>
    </row>
    <row r="4187" spans="1:3" x14ac:dyDescent="0.35">
      <c r="A4187" s="9">
        <v>43999</v>
      </c>
      <c r="B4187">
        <f t="shared" si="66"/>
        <v>6</v>
      </c>
      <c r="C4187" s="5">
        <v>94.1</v>
      </c>
    </row>
    <row r="4188" spans="1:3" x14ac:dyDescent="0.35">
      <c r="A4188" s="9">
        <v>44000</v>
      </c>
      <c r="B4188">
        <f t="shared" si="66"/>
        <v>6</v>
      </c>
      <c r="C4188" s="5">
        <v>90.2</v>
      </c>
    </row>
    <row r="4189" spans="1:3" x14ac:dyDescent="0.35">
      <c r="A4189" s="9">
        <v>44001</v>
      </c>
      <c r="B4189">
        <f t="shared" si="66"/>
        <v>6</v>
      </c>
      <c r="C4189" s="5">
        <v>87.6</v>
      </c>
    </row>
    <row r="4190" spans="1:3" x14ac:dyDescent="0.35">
      <c r="A4190" s="9">
        <v>44002</v>
      </c>
      <c r="B4190">
        <f t="shared" si="66"/>
        <v>6</v>
      </c>
      <c r="C4190" s="5">
        <v>86</v>
      </c>
    </row>
    <row r="4191" spans="1:3" x14ac:dyDescent="0.35">
      <c r="A4191" s="9">
        <v>44003</v>
      </c>
      <c r="B4191">
        <f t="shared" si="66"/>
        <v>6</v>
      </c>
      <c r="C4191" s="5">
        <v>85</v>
      </c>
    </row>
    <row r="4192" spans="1:3" x14ac:dyDescent="0.35">
      <c r="A4192" s="9">
        <v>44004</v>
      </c>
      <c r="B4192">
        <f t="shared" si="66"/>
        <v>6</v>
      </c>
      <c r="C4192" s="5">
        <v>84.4</v>
      </c>
    </row>
    <row r="4193" spans="1:3" x14ac:dyDescent="0.35">
      <c r="A4193" s="9">
        <v>44005</v>
      </c>
      <c r="B4193">
        <f t="shared" si="66"/>
        <v>6</v>
      </c>
      <c r="C4193" s="5">
        <v>84.3</v>
      </c>
    </row>
    <row r="4194" spans="1:3" x14ac:dyDescent="0.35">
      <c r="A4194" s="9">
        <v>44006</v>
      </c>
      <c r="B4194">
        <f t="shared" si="66"/>
        <v>6</v>
      </c>
      <c r="C4194" s="5">
        <v>84.4</v>
      </c>
    </row>
    <row r="4195" spans="1:3" x14ac:dyDescent="0.35">
      <c r="A4195" s="9">
        <v>44007</v>
      </c>
      <c r="B4195">
        <f t="shared" si="66"/>
        <v>6</v>
      </c>
      <c r="C4195" s="5">
        <v>84.3</v>
      </c>
    </row>
    <row r="4196" spans="1:3" x14ac:dyDescent="0.35">
      <c r="A4196" s="9">
        <v>44008</v>
      </c>
      <c r="B4196">
        <f t="shared" si="66"/>
        <v>6</v>
      </c>
      <c r="C4196" s="5">
        <v>84</v>
      </c>
    </row>
    <row r="4197" spans="1:3" x14ac:dyDescent="0.35">
      <c r="A4197" s="9">
        <v>44009</v>
      </c>
      <c r="B4197">
        <f t="shared" si="66"/>
        <v>6</v>
      </c>
      <c r="C4197" s="5">
        <v>83.9</v>
      </c>
    </row>
    <row r="4198" spans="1:3" x14ac:dyDescent="0.35">
      <c r="A4198" s="9">
        <v>44010</v>
      </c>
      <c r="B4198">
        <f t="shared" si="66"/>
        <v>6</v>
      </c>
      <c r="C4198" s="5">
        <v>84.9</v>
      </c>
    </row>
    <row r="4199" spans="1:3" x14ac:dyDescent="0.35">
      <c r="A4199" s="9">
        <v>44011</v>
      </c>
      <c r="B4199">
        <f t="shared" si="66"/>
        <v>6</v>
      </c>
      <c r="C4199" s="5">
        <v>87.2</v>
      </c>
    </row>
    <row r="4200" spans="1:3" x14ac:dyDescent="0.35">
      <c r="A4200" s="9">
        <v>44012</v>
      </c>
      <c r="B4200">
        <f t="shared" si="66"/>
        <v>6</v>
      </c>
      <c r="C4200" s="5">
        <v>89.5</v>
      </c>
    </row>
    <row r="4201" spans="1:3" x14ac:dyDescent="0.35">
      <c r="A4201" s="9">
        <v>44013</v>
      </c>
      <c r="B4201">
        <f t="shared" si="66"/>
        <v>7</v>
      </c>
      <c r="C4201" s="5">
        <v>90</v>
      </c>
    </row>
    <row r="4202" spans="1:3" x14ac:dyDescent="0.35">
      <c r="A4202" s="9">
        <v>44014</v>
      </c>
      <c r="B4202">
        <f t="shared" si="66"/>
        <v>7</v>
      </c>
      <c r="C4202" s="5">
        <v>66.3</v>
      </c>
    </row>
    <row r="4203" spans="1:3" x14ac:dyDescent="0.35">
      <c r="A4203" s="9">
        <v>44015</v>
      </c>
      <c r="B4203">
        <f t="shared" si="66"/>
        <v>7</v>
      </c>
      <c r="C4203" s="5">
        <v>65</v>
      </c>
    </row>
    <row r="4204" spans="1:3" x14ac:dyDescent="0.35">
      <c r="A4204" s="9">
        <v>44016</v>
      </c>
      <c r="B4204">
        <f t="shared" si="66"/>
        <v>7</v>
      </c>
      <c r="C4204" s="5">
        <v>63.7</v>
      </c>
    </row>
    <row r="4205" spans="1:3" x14ac:dyDescent="0.35">
      <c r="A4205" s="9">
        <v>44017</v>
      </c>
      <c r="B4205">
        <f t="shared" si="66"/>
        <v>7</v>
      </c>
      <c r="C4205" s="5">
        <v>62.7</v>
      </c>
    </row>
    <row r="4206" spans="1:3" x14ac:dyDescent="0.35">
      <c r="A4206" s="9">
        <v>44018</v>
      </c>
      <c r="B4206">
        <f t="shared" si="66"/>
        <v>7</v>
      </c>
      <c r="C4206" s="5">
        <v>61.8</v>
      </c>
    </row>
    <row r="4207" spans="1:3" x14ac:dyDescent="0.35">
      <c r="A4207" s="9">
        <v>44019</v>
      </c>
      <c r="B4207">
        <f t="shared" si="66"/>
        <v>7</v>
      </c>
      <c r="C4207" s="5">
        <v>61.1</v>
      </c>
    </row>
    <row r="4208" spans="1:3" x14ac:dyDescent="0.35">
      <c r="A4208" s="9">
        <v>44020</v>
      </c>
      <c r="B4208">
        <f t="shared" si="66"/>
        <v>7</v>
      </c>
      <c r="C4208" s="5">
        <v>60.7</v>
      </c>
    </row>
    <row r="4209" spans="1:3" x14ac:dyDescent="0.35">
      <c r="A4209" s="9">
        <v>44021</v>
      </c>
      <c r="B4209">
        <f t="shared" si="66"/>
        <v>7</v>
      </c>
      <c r="C4209" s="5">
        <v>60.5</v>
      </c>
    </row>
    <row r="4210" spans="1:3" x14ac:dyDescent="0.35">
      <c r="A4210" s="9">
        <v>44022</v>
      </c>
      <c r="B4210">
        <f t="shared" si="66"/>
        <v>7</v>
      </c>
      <c r="C4210" s="5">
        <v>60.3</v>
      </c>
    </row>
    <row r="4211" spans="1:3" x14ac:dyDescent="0.35">
      <c r="A4211" s="9">
        <v>44023</v>
      </c>
      <c r="B4211">
        <f t="shared" si="66"/>
        <v>7</v>
      </c>
      <c r="C4211" s="5">
        <v>60.2</v>
      </c>
    </row>
    <row r="4212" spans="1:3" x14ac:dyDescent="0.35">
      <c r="A4212" s="9">
        <v>44024</v>
      </c>
      <c r="B4212">
        <f t="shared" si="66"/>
        <v>7</v>
      </c>
      <c r="C4212" s="5">
        <v>60.2</v>
      </c>
    </row>
    <row r="4213" spans="1:3" x14ac:dyDescent="0.35">
      <c r="A4213" s="9">
        <v>44025</v>
      </c>
      <c r="B4213">
        <f t="shared" si="66"/>
        <v>7</v>
      </c>
      <c r="C4213" s="5">
        <v>60.4</v>
      </c>
    </row>
    <row r="4214" spans="1:3" x14ac:dyDescent="0.35">
      <c r="A4214" s="9">
        <v>44026</v>
      </c>
      <c r="B4214">
        <f t="shared" si="66"/>
        <v>7</v>
      </c>
      <c r="C4214" s="5">
        <v>61.1</v>
      </c>
    </row>
    <row r="4215" spans="1:3" x14ac:dyDescent="0.35">
      <c r="A4215" s="9">
        <v>44027</v>
      </c>
      <c r="B4215">
        <f t="shared" si="66"/>
        <v>7</v>
      </c>
      <c r="C4215" s="5">
        <v>62.3</v>
      </c>
    </row>
    <row r="4216" spans="1:3" x14ac:dyDescent="0.35">
      <c r="A4216" s="9">
        <v>44028</v>
      </c>
      <c r="B4216">
        <f t="shared" si="66"/>
        <v>7</v>
      </c>
      <c r="C4216" s="5">
        <v>63.6</v>
      </c>
    </row>
    <row r="4217" spans="1:3" x14ac:dyDescent="0.35">
      <c r="A4217" s="9">
        <v>44029</v>
      </c>
      <c r="B4217">
        <f t="shared" si="66"/>
        <v>7</v>
      </c>
      <c r="C4217" s="5">
        <v>63.9</v>
      </c>
    </row>
    <row r="4218" spans="1:3" x14ac:dyDescent="0.35">
      <c r="A4218" s="9">
        <v>44030</v>
      </c>
      <c r="B4218">
        <f t="shared" si="66"/>
        <v>7</v>
      </c>
      <c r="C4218" s="5">
        <v>63.9</v>
      </c>
    </row>
    <row r="4219" spans="1:3" x14ac:dyDescent="0.35">
      <c r="A4219" s="9">
        <v>44031</v>
      </c>
      <c r="B4219">
        <f t="shared" si="66"/>
        <v>7</v>
      </c>
      <c r="C4219" s="5">
        <v>63.9</v>
      </c>
    </row>
    <row r="4220" spans="1:3" x14ac:dyDescent="0.35">
      <c r="A4220" s="9">
        <v>44032</v>
      </c>
      <c r="B4220">
        <f t="shared" si="66"/>
        <v>7</v>
      </c>
      <c r="C4220" s="5">
        <v>64</v>
      </c>
    </row>
    <row r="4221" spans="1:3" x14ac:dyDescent="0.35">
      <c r="A4221" s="9">
        <v>44033</v>
      </c>
      <c r="B4221">
        <f t="shared" si="66"/>
        <v>7</v>
      </c>
      <c r="C4221" s="5">
        <v>63.9</v>
      </c>
    </row>
    <row r="4222" spans="1:3" x14ac:dyDescent="0.35">
      <c r="A4222" s="9">
        <v>44034</v>
      </c>
      <c r="B4222">
        <f t="shared" si="66"/>
        <v>7</v>
      </c>
      <c r="C4222" s="5">
        <v>63.5</v>
      </c>
    </row>
    <row r="4223" spans="1:3" x14ac:dyDescent="0.35">
      <c r="A4223" s="9">
        <v>44035</v>
      </c>
      <c r="B4223">
        <f t="shared" si="66"/>
        <v>7</v>
      </c>
      <c r="C4223" s="5">
        <v>62.7</v>
      </c>
    </row>
    <row r="4224" spans="1:3" x14ac:dyDescent="0.35">
      <c r="A4224" s="9">
        <v>44036</v>
      </c>
      <c r="B4224">
        <f t="shared" si="66"/>
        <v>7</v>
      </c>
      <c r="C4224" s="5">
        <v>62</v>
      </c>
    </row>
    <row r="4225" spans="1:3" x14ac:dyDescent="0.35">
      <c r="A4225" s="9">
        <v>44037</v>
      </c>
      <c r="B4225">
        <f t="shared" si="66"/>
        <v>7</v>
      </c>
      <c r="C4225" s="5">
        <v>61.4</v>
      </c>
    </row>
    <row r="4226" spans="1:3" x14ac:dyDescent="0.35">
      <c r="A4226" s="9">
        <v>44038</v>
      </c>
      <c r="B4226">
        <f t="shared" si="66"/>
        <v>7</v>
      </c>
      <c r="C4226" s="5">
        <v>61</v>
      </c>
    </row>
    <row r="4227" spans="1:3" x14ac:dyDescent="0.35">
      <c r="A4227" s="9">
        <v>44039</v>
      </c>
      <c r="B4227">
        <f t="shared" si="66"/>
        <v>7</v>
      </c>
      <c r="C4227" s="5">
        <v>60.9</v>
      </c>
    </row>
    <row r="4228" spans="1:3" x14ac:dyDescent="0.35">
      <c r="A4228" s="9">
        <v>44040</v>
      </c>
      <c r="B4228">
        <f t="shared" ref="B4228:B4291" si="67">MONTH(A4228)</f>
        <v>7</v>
      </c>
      <c r="C4228" s="5">
        <v>60.8</v>
      </c>
    </row>
    <row r="4229" spans="1:3" x14ac:dyDescent="0.35">
      <c r="A4229" s="9">
        <v>44041</v>
      </c>
      <c r="B4229">
        <f t="shared" si="67"/>
        <v>7</v>
      </c>
      <c r="C4229" s="5">
        <v>60.7</v>
      </c>
    </row>
    <row r="4230" spans="1:3" x14ac:dyDescent="0.35">
      <c r="A4230" s="9">
        <v>44042</v>
      </c>
      <c r="B4230">
        <f t="shared" si="67"/>
        <v>7</v>
      </c>
      <c r="C4230" s="5">
        <v>60.5</v>
      </c>
    </row>
    <row r="4231" spans="1:3" x14ac:dyDescent="0.35">
      <c r="A4231" s="9">
        <v>44043</v>
      </c>
      <c r="B4231">
        <f t="shared" si="67"/>
        <v>7</v>
      </c>
      <c r="C4231" s="5">
        <v>60.5</v>
      </c>
    </row>
    <row r="4232" spans="1:3" x14ac:dyDescent="0.35">
      <c r="A4232" s="9">
        <v>44044</v>
      </c>
      <c r="B4232">
        <f t="shared" si="67"/>
        <v>8</v>
      </c>
      <c r="C4232" s="5">
        <v>60.4</v>
      </c>
    </row>
    <row r="4233" spans="1:3" x14ac:dyDescent="0.35">
      <c r="A4233" s="9">
        <v>44045</v>
      </c>
      <c r="B4233">
        <f t="shared" si="67"/>
        <v>8</v>
      </c>
      <c r="C4233" s="5">
        <v>66.5</v>
      </c>
    </row>
    <row r="4234" spans="1:3" x14ac:dyDescent="0.35">
      <c r="A4234" s="9">
        <v>44046</v>
      </c>
      <c r="B4234">
        <f t="shared" si="67"/>
        <v>8</v>
      </c>
      <c r="C4234" s="5">
        <v>69.3</v>
      </c>
    </row>
    <row r="4235" spans="1:3" x14ac:dyDescent="0.35">
      <c r="A4235" s="9">
        <v>44047</v>
      </c>
      <c r="B4235">
        <f t="shared" si="67"/>
        <v>8</v>
      </c>
      <c r="C4235" s="5">
        <v>72.3</v>
      </c>
    </row>
    <row r="4236" spans="1:3" x14ac:dyDescent="0.35">
      <c r="A4236" s="9">
        <v>44048</v>
      </c>
      <c r="B4236">
        <f t="shared" si="67"/>
        <v>8</v>
      </c>
      <c r="C4236" s="5">
        <v>73</v>
      </c>
    </row>
    <row r="4237" spans="1:3" x14ac:dyDescent="0.35">
      <c r="A4237" s="9">
        <v>44049</v>
      </c>
      <c r="B4237">
        <f t="shared" si="67"/>
        <v>8</v>
      </c>
      <c r="C4237" s="5">
        <v>72.400000000000006</v>
      </c>
    </row>
    <row r="4238" spans="1:3" x14ac:dyDescent="0.35">
      <c r="A4238" s="9">
        <v>44050</v>
      </c>
      <c r="B4238">
        <f t="shared" si="67"/>
        <v>8</v>
      </c>
      <c r="C4238" s="5">
        <v>71.400000000000006</v>
      </c>
    </row>
    <row r="4239" spans="1:3" x14ac:dyDescent="0.35">
      <c r="A4239" s="9">
        <v>44051</v>
      </c>
      <c r="B4239">
        <f t="shared" si="67"/>
        <v>8</v>
      </c>
      <c r="C4239" s="5">
        <v>73.3</v>
      </c>
    </row>
    <row r="4240" spans="1:3" x14ac:dyDescent="0.35">
      <c r="A4240" s="9">
        <v>44052</v>
      </c>
      <c r="B4240">
        <f t="shared" si="67"/>
        <v>8</v>
      </c>
      <c r="C4240" s="5">
        <v>79.900000000000006</v>
      </c>
    </row>
    <row r="4241" spans="1:3" x14ac:dyDescent="0.35">
      <c r="A4241" s="9">
        <v>44053</v>
      </c>
      <c r="B4241">
        <f t="shared" si="67"/>
        <v>8</v>
      </c>
      <c r="C4241" s="5">
        <v>88</v>
      </c>
    </row>
    <row r="4242" spans="1:3" x14ac:dyDescent="0.35">
      <c r="A4242" s="9">
        <v>44054</v>
      </c>
      <c r="B4242">
        <f t="shared" si="67"/>
        <v>8</v>
      </c>
      <c r="C4242" s="5">
        <v>91.3</v>
      </c>
    </row>
    <row r="4243" spans="1:3" x14ac:dyDescent="0.35">
      <c r="A4243" s="9">
        <v>44055</v>
      </c>
      <c r="B4243">
        <f t="shared" si="67"/>
        <v>8</v>
      </c>
      <c r="C4243" s="5">
        <v>90.1</v>
      </c>
    </row>
    <row r="4244" spans="1:3" x14ac:dyDescent="0.35">
      <c r="A4244" s="9">
        <v>44056</v>
      </c>
      <c r="B4244">
        <f t="shared" si="67"/>
        <v>8</v>
      </c>
      <c r="C4244" s="5">
        <v>86.8</v>
      </c>
    </row>
    <row r="4245" spans="1:3" x14ac:dyDescent="0.35">
      <c r="A4245" s="9">
        <v>44057</v>
      </c>
      <c r="B4245">
        <f t="shared" si="67"/>
        <v>8</v>
      </c>
      <c r="C4245" s="5">
        <v>82.5</v>
      </c>
    </row>
    <row r="4246" spans="1:3" x14ac:dyDescent="0.35">
      <c r="A4246" s="9">
        <v>44058</v>
      </c>
      <c r="B4246">
        <f t="shared" si="67"/>
        <v>8</v>
      </c>
      <c r="C4246" s="5">
        <v>79.099999999999994</v>
      </c>
    </row>
    <row r="4247" spans="1:3" x14ac:dyDescent="0.35">
      <c r="A4247" s="9">
        <v>44059</v>
      </c>
      <c r="B4247">
        <f t="shared" si="67"/>
        <v>8</v>
      </c>
      <c r="C4247" s="5">
        <v>75.8</v>
      </c>
    </row>
    <row r="4248" spans="1:3" x14ac:dyDescent="0.35">
      <c r="A4248" s="9">
        <v>44060</v>
      </c>
      <c r="B4248">
        <f t="shared" si="67"/>
        <v>8</v>
      </c>
      <c r="C4248" s="5">
        <v>72.900000000000006</v>
      </c>
    </row>
    <row r="4249" spans="1:3" x14ac:dyDescent="0.35">
      <c r="A4249" s="9">
        <v>44061</v>
      </c>
      <c r="B4249">
        <f t="shared" si="67"/>
        <v>8</v>
      </c>
      <c r="C4249" s="5">
        <v>71.599999999999994</v>
      </c>
    </row>
    <row r="4250" spans="1:3" x14ac:dyDescent="0.35">
      <c r="A4250" s="9">
        <v>44062</v>
      </c>
      <c r="B4250">
        <f t="shared" si="67"/>
        <v>8</v>
      </c>
      <c r="C4250" s="5">
        <v>74.5</v>
      </c>
    </row>
    <row r="4251" spans="1:3" x14ac:dyDescent="0.35">
      <c r="A4251" s="9">
        <v>44063</v>
      </c>
      <c r="B4251">
        <f t="shared" si="67"/>
        <v>8</v>
      </c>
      <c r="C4251" s="5">
        <v>81.900000000000006</v>
      </c>
    </row>
    <row r="4252" spans="1:3" x14ac:dyDescent="0.35">
      <c r="A4252" s="9">
        <v>44064</v>
      </c>
      <c r="B4252">
        <f t="shared" si="67"/>
        <v>8</v>
      </c>
      <c r="C4252" s="5">
        <v>91.2</v>
      </c>
    </row>
    <row r="4253" spans="1:3" x14ac:dyDescent="0.35">
      <c r="A4253" s="9">
        <v>44065</v>
      </c>
      <c r="B4253">
        <f t="shared" si="67"/>
        <v>8</v>
      </c>
      <c r="C4253" s="5">
        <v>97.6</v>
      </c>
    </row>
    <row r="4254" spans="1:3" x14ac:dyDescent="0.35">
      <c r="A4254" s="9">
        <v>44066</v>
      </c>
      <c r="B4254">
        <f t="shared" si="67"/>
        <v>8</v>
      </c>
      <c r="C4254" s="5">
        <v>99.9</v>
      </c>
    </row>
    <row r="4255" spans="1:3" x14ac:dyDescent="0.35">
      <c r="A4255" s="9">
        <v>44067</v>
      </c>
      <c r="B4255">
        <f t="shared" si="67"/>
        <v>8</v>
      </c>
      <c r="C4255" s="5">
        <v>96</v>
      </c>
    </row>
    <row r="4256" spans="1:3" x14ac:dyDescent="0.35">
      <c r="A4256" s="9">
        <v>44068</v>
      </c>
      <c r="B4256">
        <f t="shared" si="67"/>
        <v>8</v>
      </c>
      <c r="C4256" s="5">
        <v>90.2</v>
      </c>
    </row>
    <row r="4257" spans="1:3" x14ac:dyDescent="0.35">
      <c r="A4257" s="9">
        <v>44069</v>
      </c>
      <c r="B4257">
        <f t="shared" si="67"/>
        <v>8</v>
      </c>
      <c r="C4257" s="5">
        <v>88.5</v>
      </c>
    </row>
    <row r="4258" spans="1:3" x14ac:dyDescent="0.35">
      <c r="A4258" s="9">
        <v>44070</v>
      </c>
      <c r="B4258">
        <f t="shared" si="67"/>
        <v>8</v>
      </c>
      <c r="C4258" s="5">
        <v>94.2</v>
      </c>
    </row>
    <row r="4259" spans="1:3" x14ac:dyDescent="0.35">
      <c r="A4259" s="9">
        <v>44071</v>
      </c>
      <c r="B4259">
        <f t="shared" si="67"/>
        <v>8</v>
      </c>
      <c r="C4259" s="5">
        <v>103.5</v>
      </c>
    </row>
    <row r="4260" spans="1:3" x14ac:dyDescent="0.35">
      <c r="A4260" s="9">
        <v>44072</v>
      </c>
      <c r="B4260">
        <f t="shared" si="67"/>
        <v>8</v>
      </c>
      <c r="C4260" s="5">
        <v>106.7</v>
      </c>
    </row>
    <row r="4261" spans="1:3" x14ac:dyDescent="0.35">
      <c r="A4261" s="9">
        <v>44073</v>
      </c>
      <c r="B4261">
        <f t="shared" si="67"/>
        <v>8</v>
      </c>
      <c r="C4261" s="5">
        <v>105.7</v>
      </c>
    </row>
    <row r="4262" spans="1:3" x14ac:dyDescent="0.35">
      <c r="A4262" s="9">
        <v>44074</v>
      </c>
      <c r="B4262">
        <f t="shared" si="67"/>
        <v>8</v>
      </c>
      <c r="C4262" s="5">
        <v>107.6</v>
      </c>
    </row>
    <row r="4263" spans="1:3" x14ac:dyDescent="0.35">
      <c r="A4263" s="9">
        <v>44075</v>
      </c>
      <c r="B4263">
        <f t="shared" si="67"/>
        <v>9</v>
      </c>
      <c r="C4263" s="5">
        <v>116.3</v>
      </c>
    </row>
    <row r="4264" spans="1:3" x14ac:dyDescent="0.35">
      <c r="A4264" s="9">
        <v>44076</v>
      </c>
      <c r="B4264">
        <f t="shared" si="67"/>
        <v>9</v>
      </c>
      <c r="C4264" s="5">
        <v>154.1</v>
      </c>
    </row>
    <row r="4265" spans="1:3" x14ac:dyDescent="0.35">
      <c r="A4265" s="9">
        <v>44077</v>
      </c>
      <c r="B4265">
        <f t="shared" si="67"/>
        <v>9</v>
      </c>
      <c r="C4265" s="5">
        <v>159.4</v>
      </c>
    </row>
    <row r="4266" spans="1:3" x14ac:dyDescent="0.35">
      <c r="A4266" s="9">
        <v>44078</v>
      </c>
      <c r="B4266">
        <f t="shared" si="67"/>
        <v>9</v>
      </c>
      <c r="C4266" s="5">
        <v>156</v>
      </c>
    </row>
    <row r="4267" spans="1:3" x14ac:dyDescent="0.35">
      <c r="A4267" s="9">
        <v>44079</v>
      </c>
      <c r="B4267">
        <f t="shared" si="67"/>
        <v>9</v>
      </c>
      <c r="C4267" s="5">
        <v>143.69999999999999</v>
      </c>
    </row>
    <row r="4268" spans="1:3" x14ac:dyDescent="0.35">
      <c r="A4268" s="9">
        <v>44080</v>
      </c>
      <c r="B4268">
        <f t="shared" si="67"/>
        <v>9</v>
      </c>
      <c r="C4268" s="5">
        <v>130.80000000000001</v>
      </c>
    </row>
    <row r="4269" spans="1:3" x14ac:dyDescent="0.35">
      <c r="A4269" s="9">
        <v>44081</v>
      </c>
      <c r="B4269">
        <f t="shared" si="67"/>
        <v>9</v>
      </c>
      <c r="C4269" s="5">
        <v>124.4</v>
      </c>
    </row>
    <row r="4270" spans="1:3" x14ac:dyDescent="0.35">
      <c r="A4270" s="9">
        <v>44082</v>
      </c>
      <c r="B4270">
        <f t="shared" si="67"/>
        <v>9</v>
      </c>
      <c r="C4270" s="5">
        <v>127.6</v>
      </c>
    </row>
    <row r="4271" spans="1:3" x14ac:dyDescent="0.35">
      <c r="A4271" s="9">
        <v>44083</v>
      </c>
      <c r="B4271">
        <f t="shared" si="67"/>
        <v>9</v>
      </c>
      <c r="C4271" s="5">
        <v>135.80000000000001</v>
      </c>
    </row>
    <row r="4272" spans="1:3" x14ac:dyDescent="0.35">
      <c r="A4272" s="9">
        <v>44084</v>
      </c>
      <c r="B4272">
        <f t="shared" si="67"/>
        <v>9</v>
      </c>
      <c r="C4272" s="5">
        <v>139.4</v>
      </c>
    </row>
    <row r="4273" spans="1:3" x14ac:dyDescent="0.35">
      <c r="A4273" s="9">
        <v>44085</v>
      </c>
      <c r="B4273">
        <f t="shared" si="67"/>
        <v>9</v>
      </c>
      <c r="C4273" s="5">
        <v>134.80000000000001</v>
      </c>
    </row>
    <row r="4274" spans="1:3" x14ac:dyDescent="0.35">
      <c r="A4274" s="9">
        <v>44086</v>
      </c>
      <c r="B4274">
        <f t="shared" si="67"/>
        <v>9</v>
      </c>
      <c r="C4274" s="5">
        <v>127.2</v>
      </c>
    </row>
    <row r="4275" spans="1:3" x14ac:dyDescent="0.35">
      <c r="A4275" s="9">
        <v>44087</v>
      </c>
      <c r="B4275">
        <f t="shared" si="67"/>
        <v>9</v>
      </c>
      <c r="C4275" s="5">
        <v>122.3</v>
      </c>
    </row>
    <row r="4276" spans="1:3" x14ac:dyDescent="0.35">
      <c r="A4276" s="9">
        <v>44088</v>
      </c>
      <c r="B4276">
        <f t="shared" si="67"/>
        <v>9</v>
      </c>
      <c r="C4276" s="5">
        <v>124.3</v>
      </c>
    </row>
    <row r="4277" spans="1:3" x14ac:dyDescent="0.35">
      <c r="A4277" s="9">
        <v>44089</v>
      </c>
      <c r="B4277">
        <f t="shared" si="67"/>
        <v>9</v>
      </c>
      <c r="C4277" s="5">
        <v>132.4</v>
      </c>
    </row>
    <row r="4278" spans="1:3" x14ac:dyDescent="0.35">
      <c r="A4278" s="9">
        <v>44090</v>
      </c>
      <c r="B4278">
        <f t="shared" si="67"/>
        <v>9</v>
      </c>
      <c r="C4278" s="5">
        <v>140.19999999999999</v>
      </c>
    </row>
    <row r="4279" spans="1:3" x14ac:dyDescent="0.35">
      <c r="A4279" s="9">
        <v>44091</v>
      </c>
      <c r="B4279">
        <f t="shared" si="67"/>
        <v>9</v>
      </c>
      <c r="C4279" s="5">
        <v>144.30000000000001</v>
      </c>
    </row>
    <row r="4280" spans="1:3" x14ac:dyDescent="0.35">
      <c r="A4280" s="9">
        <v>44092</v>
      </c>
      <c r="B4280">
        <f t="shared" si="67"/>
        <v>9</v>
      </c>
      <c r="C4280" s="5">
        <v>147.69999999999999</v>
      </c>
    </row>
    <row r="4281" spans="1:3" x14ac:dyDescent="0.35">
      <c r="A4281" s="9">
        <v>44093</v>
      </c>
      <c r="B4281">
        <f t="shared" si="67"/>
        <v>9</v>
      </c>
      <c r="C4281" s="5">
        <v>150.19999999999999</v>
      </c>
    </row>
    <row r="4282" spans="1:3" x14ac:dyDescent="0.35">
      <c r="A4282" s="9">
        <v>44094</v>
      </c>
      <c r="B4282">
        <f t="shared" si="67"/>
        <v>9</v>
      </c>
      <c r="C4282" s="5">
        <v>152.1</v>
      </c>
    </row>
    <row r="4283" spans="1:3" x14ac:dyDescent="0.35">
      <c r="A4283" s="9">
        <v>44095</v>
      </c>
      <c r="B4283">
        <f t="shared" si="67"/>
        <v>9</v>
      </c>
      <c r="C4283" s="5">
        <v>155.1</v>
      </c>
    </row>
    <row r="4284" spans="1:3" x14ac:dyDescent="0.35">
      <c r="A4284" s="9">
        <v>44096</v>
      </c>
      <c r="B4284">
        <f t="shared" si="67"/>
        <v>9</v>
      </c>
      <c r="C4284" s="5">
        <v>159.9</v>
      </c>
    </row>
    <row r="4285" spans="1:3" x14ac:dyDescent="0.35">
      <c r="A4285" s="9">
        <v>44097</v>
      </c>
      <c r="B4285">
        <f t="shared" si="67"/>
        <v>9</v>
      </c>
      <c r="C4285" s="5">
        <v>163.69999999999999</v>
      </c>
    </row>
    <row r="4286" spans="1:3" x14ac:dyDescent="0.35">
      <c r="A4286" s="9">
        <v>44098</v>
      </c>
      <c r="B4286">
        <f t="shared" si="67"/>
        <v>9</v>
      </c>
      <c r="C4286" s="5">
        <v>161.19999999999999</v>
      </c>
    </row>
    <row r="4287" spans="1:3" x14ac:dyDescent="0.35">
      <c r="A4287" s="9">
        <v>44099</v>
      </c>
      <c r="B4287">
        <f t="shared" si="67"/>
        <v>9</v>
      </c>
      <c r="C4287" s="5">
        <v>158.9</v>
      </c>
    </row>
    <row r="4288" spans="1:3" x14ac:dyDescent="0.35">
      <c r="A4288" s="9">
        <v>44100</v>
      </c>
      <c r="B4288">
        <f t="shared" si="67"/>
        <v>9</v>
      </c>
      <c r="C4288" s="5">
        <v>157.5</v>
      </c>
    </row>
    <row r="4289" spans="1:3" x14ac:dyDescent="0.35">
      <c r="A4289" s="9">
        <v>44101</v>
      </c>
      <c r="B4289">
        <f t="shared" si="67"/>
        <v>9</v>
      </c>
      <c r="C4289" s="5">
        <v>157.80000000000001</v>
      </c>
    </row>
    <row r="4290" spans="1:3" x14ac:dyDescent="0.35">
      <c r="A4290" s="9">
        <v>44102</v>
      </c>
      <c r="B4290">
        <f t="shared" si="67"/>
        <v>9</v>
      </c>
      <c r="C4290" s="5">
        <v>161.69999999999999</v>
      </c>
    </row>
    <row r="4291" spans="1:3" x14ac:dyDescent="0.35">
      <c r="A4291" s="9">
        <v>44103</v>
      </c>
      <c r="B4291">
        <f t="shared" si="67"/>
        <v>9</v>
      </c>
      <c r="C4291" s="5">
        <v>170.6</v>
      </c>
    </row>
    <row r="4292" spans="1:3" x14ac:dyDescent="0.35">
      <c r="A4292" s="9">
        <v>44104</v>
      </c>
      <c r="B4292">
        <f t="shared" ref="B4292:B4355" si="68">MONTH(A4292)</f>
        <v>9</v>
      </c>
      <c r="C4292" s="5">
        <v>176.2</v>
      </c>
    </row>
    <row r="4293" spans="1:3" x14ac:dyDescent="0.35">
      <c r="A4293" s="9">
        <v>44105</v>
      </c>
      <c r="B4293">
        <f t="shared" si="68"/>
        <v>10</v>
      </c>
      <c r="C4293" s="5">
        <v>181.6</v>
      </c>
    </row>
    <row r="4294" spans="1:3" x14ac:dyDescent="0.35">
      <c r="A4294" s="9">
        <v>44106</v>
      </c>
      <c r="B4294">
        <f t="shared" si="68"/>
        <v>10</v>
      </c>
      <c r="C4294" s="5">
        <v>197.5</v>
      </c>
    </row>
    <row r="4295" spans="1:3" x14ac:dyDescent="0.35">
      <c r="A4295" s="9">
        <v>44107</v>
      </c>
      <c r="B4295">
        <f t="shared" si="68"/>
        <v>10</v>
      </c>
      <c r="C4295" s="5">
        <v>198.3</v>
      </c>
    </row>
    <row r="4296" spans="1:3" x14ac:dyDescent="0.35">
      <c r="A4296" s="9">
        <v>44108</v>
      </c>
      <c r="B4296">
        <f t="shared" si="68"/>
        <v>10</v>
      </c>
      <c r="C4296" s="5">
        <v>196.6</v>
      </c>
    </row>
    <row r="4297" spans="1:3" x14ac:dyDescent="0.35">
      <c r="A4297" s="9">
        <v>44109</v>
      </c>
      <c r="B4297">
        <f t="shared" si="68"/>
        <v>10</v>
      </c>
      <c r="C4297" s="5">
        <v>191.9</v>
      </c>
    </row>
    <row r="4298" spans="1:3" x14ac:dyDescent="0.35">
      <c r="A4298" s="9">
        <v>44110</v>
      </c>
      <c r="B4298">
        <f t="shared" si="68"/>
        <v>10</v>
      </c>
      <c r="C4298" s="5">
        <v>183.6</v>
      </c>
    </row>
    <row r="4299" spans="1:3" x14ac:dyDescent="0.35">
      <c r="A4299" s="9">
        <v>44111</v>
      </c>
      <c r="B4299">
        <f t="shared" si="68"/>
        <v>10</v>
      </c>
      <c r="C4299" s="5">
        <v>176.3</v>
      </c>
    </row>
    <row r="4300" spans="1:3" x14ac:dyDescent="0.35">
      <c r="A4300" s="9">
        <v>44112</v>
      </c>
      <c r="B4300">
        <f t="shared" si="68"/>
        <v>10</v>
      </c>
      <c r="C4300" s="5">
        <v>177.1</v>
      </c>
    </row>
    <row r="4301" spans="1:3" x14ac:dyDescent="0.35">
      <c r="A4301" s="9">
        <v>44113</v>
      </c>
      <c r="B4301">
        <f t="shared" si="68"/>
        <v>10</v>
      </c>
      <c r="C4301" s="5">
        <v>186.7</v>
      </c>
    </row>
    <row r="4302" spans="1:3" x14ac:dyDescent="0.35">
      <c r="A4302" s="9">
        <v>44114</v>
      </c>
      <c r="B4302">
        <f t="shared" si="68"/>
        <v>10</v>
      </c>
      <c r="C4302" s="5">
        <v>197.8</v>
      </c>
    </row>
    <row r="4303" spans="1:3" x14ac:dyDescent="0.35">
      <c r="A4303" s="9">
        <v>44115</v>
      </c>
      <c r="B4303">
        <f t="shared" si="68"/>
        <v>10</v>
      </c>
      <c r="C4303" s="5">
        <v>199.2</v>
      </c>
    </row>
    <row r="4304" spans="1:3" x14ac:dyDescent="0.35">
      <c r="A4304" s="9">
        <v>44116</v>
      </c>
      <c r="B4304">
        <f t="shared" si="68"/>
        <v>10</v>
      </c>
      <c r="C4304" s="5">
        <v>191.9</v>
      </c>
    </row>
    <row r="4305" spans="1:3" x14ac:dyDescent="0.35">
      <c r="A4305" s="9">
        <v>44117</v>
      </c>
      <c r="B4305">
        <f t="shared" si="68"/>
        <v>10</v>
      </c>
      <c r="C4305" s="5">
        <v>188.9</v>
      </c>
    </row>
    <row r="4306" spans="1:3" x14ac:dyDescent="0.35">
      <c r="A4306" s="9">
        <v>44118</v>
      </c>
      <c r="B4306">
        <f t="shared" si="68"/>
        <v>10</v>
      </c>
      <c r="C4306" s="5">
        <v>192.6</v>
      </c>
    </row>
    <row r="4307" spans="1:3" x14ac:dyDescent="0.35">
      <c r="A4307" s="9">
        <v>44119</v>
      </c>
      <c r="B4307">
        <f t="shared" si="68"/>
        <v>10</v>
      </c>
      <c r="C4307" s="5">
        <v>195.6</v>
      </c>
    </row>
    <row r="4308" spans="1:3" x14ac:dyDescent="0.35">
      <c r="A4308" s="9">
        <v>44120</v>
      </c>
      <c r="B4308">
        <f t="shared" si="68"/>
        <v>10</v>
      </c>
      <c r="C4308" s="5">
        <v>197.9</v>
      </c>
    </row>
    <row r="4309" spans="1:3" x14ac:dyDescent="0.35">
      <c r="A4309" s="9">
        <v>44121</v>
      </c>
      <c r="B4309">
        <f t="shared" si="68"/>
        <v>10</v>
      </c>
      <c r="C4309" s="5">
        <v>199.4</v>
      </c>
    </row>
    <row r="4310" spans="1:3" x14ac:dyDescent="0.35">
      <c r="A4310" s="9">
        <v>44122</v>
      </c>
      <c r="B4310">
        <f t="shared" si="68"/>
        <v>10</v>
      </c>
      <c r="C4310" s="5">
        <v>199.5</v>
      </c>
    </row>
    <row r="4311" spans="1:3" x14ac:dyDescent="0.35">
      <c r="A4311" s="9">
        <v>44123</v>
      </c>
      <c r="B4311">
        <f t="shared" si="68"/>
        <v>10</v>
      </c>
      <c r="C4311" s="5">
        <v>199.6</v>
      </c>
    </row>
    <row r="4312" spans="1:3" x14ac:dyDescent="0.35">
      <c r="A4312" s="9">
        <v>44124</v>
      </c>
      <c r="B4312">
        <f t="shared" si="68"/>
        <v>10</v>
      </c>
      <c r="C4312" s="5">
        <v>201</v>
      </c>
    </row>
    <row r="4313" spans="1:3" x14ac:dyDescent="0.35">
      <c r="A4313" s="9">
        <v>44125</v>
      </c>
      <c r="B4313">
        <f t="shared" si="68"/>
        <v>10</v>
      </c>
      <c r="C4313" s="5">
        <v>197.6</v>
      </c>
    </row>
    <row r="4314" spans="1:3" x14ac:dyDescent="0.35">
      <c r="A4314" s="9">
        <v>44126</v>
      </c>
      <c r="B4314">
        <f t="shared" si="68"/>
        <v>10</v>
      </c>
      <c r="C4314" s="5">
        <v>195.8</v>
      </c>
    </row>
    <row r="4315" spans="1:3" x14ac:dyDescent="0.35">
      <c r="A4315" s="9">
        <v>44127</v>
      </c>
      <c r="B4315">
        <f t="shared" si="68"/>
        <v>10</v>
      </c>
      <c r="C4315" s="5">
        <v>198</v>
      </c>
    </row>
    <row r="4316" spans="1:3" x14ac:dyDescent="0.35">
      <c r="A4316" s="9">
        <v>44128</v>
      </c>
      <c r="B4316">
        <f t="shared" si="68"/>
        <v>10</v>
      </c>
      <c r="C4316" s="5">
        <v>201.5</v>
      </c>
    </row>
    <row r="4317" spans="1:3" x14ac:dyDescent="0.35">
      <c r="A4317" s="9">
        <v>44129</v>
      </c>
      <c r="B4317">
        <f t="shared" si="68"/>
        <v>10</v>
      </c>
      <c r="C4317" s="5">
        <v>197.5</v>
      </c>
    </row>
    <row r="4318" spans="1:3" x14ac:dyDescent="0.35">
      <c r="A4318" s="9">
        <v>44130</v>
      </c>
      <c r="B4318">
        <f t="shared" si="68"/>
        <v>10</v>
      </c>
      <c r="C4318" s="5">
        <v>195</v>
      </c>
    </row>
    <row r="4319" spans="1:3" x14ac:dyDescent="0.35">
      <c r="A4319" s="9">
        <v>44131</v>
      </c>
      <c r="B4319">
        <f t="shared" si="68"/>
        <v>10</v>
      </c>
      <c r="C4319" s="5">
        <v>198.1</v>
      </c>
    </row>
    <row r="4320" spans="1:3" x14ac:dyDescent="0.35">
      <c r="A4320" s="9">
        <v>44132</v>
      </c>
      <c r="B4320">
        <f t="shared" si="68"/>
        <v>10</v>
      </c>
      <c r="C4320" s="5">
        <v>201.1</v>
      </c>
    </row>
    <row r="4321" spans="1:3" x14ac:dyDescent="0.35">
      <c r="A4321" s="9">
        <v>44133</v>
      </c>
      <c r="B4321">
        <f t="shared" si="68"/>
        <v>10</v>
      </c>
      <c r="C4321" s="5">
        <v>203.7</v>
      </c>
    </row>
    <row r="4322" spans="1:3" x14ac:dyDescent="0.35">
      <c r="A4322" s="9">
        <v>44134</v>
      </c>
      <c r="B4322">
        <f t="shared" si="68"/>
        <v>10</v>
      </c>
      <c r="C4322" s="5">
        <v>203.5</v>
      </c>
    </row>
    <row r="4323" spans="1:3" x14ac:dyDescent="0.35">
      <c r="A4323" s="9">
        <v>44135</v>
      </c>
      <c r="B4323">
        <f t="shared" si="68"/>
        <v>10</v>
      </c>
      <c r="C4323" s="5">
        <v>202.5</v>
      </c>
    </row>
    <row r="4324" spans="1:3" x14ac:dyDescent="0.35">
      <c r="A4324" s="9">
        <v>44136</v>
      </c>
      <c r="B4324">
        <f t="shared" si="68"/>
        <v>11</v>
      </c>
      <c r="C4324" s="5">
        <v>200.1</v>
      </c>
    </row>
    <row r="4325" spans="1:3" x14ac:dyDescent="0.35">
      <c r="A4325" s="9">
        <v>44137</v>
      </c>
      <c r="B4325">
        <f t="shared" si="68"/>
        <v>11</v>
      </c>
      <c r="C4325" s="5">
        <v>206.4</v>
      </c>
    </row>
    <row r="4326" spans="1:3" x14ac:dyDescent="0.35">
      <c r="A4326" s="9">
        <v>44138</v>
      </c>
      <c r="B4326">
        <f t="shared" si="68"/>
        <v>11</v>
      </c>
      <c r="C4326" s="5">
        <v>206.2</v>
      </c>
    </row>
    <row r="4327" spans="1:3" x14ac:dyDescent="0.35">
      <c r="A4327" s="9">
        <v>44139</v>
      </c>
      <c r="B4327">
        <f t="shared" si="68"/>
        <v>11</v>
      </c>
      <c r="C4327" s="5">
        <v>215.8</v>
      </c>
    </row>
    <row r="4328" spans="1:3" x14ac:dyDescent="0.35">
      <c r="A4328" s="9">
        <v>44140</v>
      </c>
      <c r="B4328">
        <f t="shared" si="68"/>
        <v>11</v>
      </c>
      <c r="C4328" s="5">
        <v>231.9</v>
      </c>
    </row>
    <row r="4329" spans="1:3" x14ac:dyDescent="0.35">
      <c r="A4329" s="9">
        <v>44141</v>
      </c>
      <c r="B4329">
        <f t="shared" si="68"/>
        <v>11</v>
      </c>
      <c r="C4329" s="5">
        <v>250.4</v>
      </c>
    </row>
    <row r="4330" spans="1:3" x14ac:dyDescent="0.35">
      <c r="A4330" s="9">
        <v>44142</v>
      </c>
      <c r="B4330">
        <f t="shared" si="68"/>
        <v>11</v>
      </c>
      <c r="C4330" s="5">
        <v>262.3</v>
      </c>
    </row>
    <row r="4331" spans="1:3" x14ac:dyDescent="0.35">
      <c r="A4331" s="9">
        <v>44143</v>
      </c>
      <c r="B4331">
        <f t="shared" si="68"/>
        <v>11</v>
      </c>
      <c r="C4331" s="5">
        <v>258.89999999999998</v>
      </c>
    </row>
    <row r="4332" spans="1:3" x14ac:dyDescent="0.35">
      <c r="A4332" s="9">
        <v>44144</v>
      </c>
      <c r="B4332">
        <f t="shared" si="68"/>
        <v>11</v>
      </c>
      <c r="C4332" s="5">
        <v>249.2</v>
      </c>
    </row>
    <row r="4333" spans="1:3" x14ac:dyDescent="0.35">
      <c r="A4333" s="9">
        <v>44145</v>
      </c>
      <c r="B4333">
        <f t="shared" si="68"/>
        <v>11</v>
      </c>
      <c r="C4333" s="5">
        <v>245.4</v>
      </c>
    </row>
    <row r="4334" spans="1:3" x14ac:dyDescent="0.35">
      <c r="A4334" s="9">
        <v>44146</v>
      </c>
      <c r="B4334">
        <f t="shared" si="68"/>
        <v>11</v>
      </c>
      <c r="C4334" s="5">
        <v>242.8</v>
      </c>
    </row>
    <row r="4335" spans="1:3" x14ac:dyDescent="0.35">
      <c r="A4335" s="9">
        <v>44147</v>
      </c>
      <c r="B4335">
        <f t="shared" si="68"/>
        <v>11</v>
      </c>
      <c r="C4335" s="5">
        <v>231.8</v>
      </c>
    </row>
    <row r="4336" spans="1:3" x14ac:dyDescent="0.35">
      <c r="A4336" s="9">
        <v>44148</v>
      </c>
      <c r="B4336">
        <f t="shared" si="68"/>
        <v>11</v>
      </c>
      <c r="C4336" s="5">
        <v>219.9</v>
      </c>
    </row>
    <row r="4337" spans="1:3" x14ac:dyDescent="0.35">
      <c r="A4337" s="9">
        <v>44149</v>
      </c>
      <c r="B4337">
        <f t="shared" si="68"/>
        <v>11</v>
      </c>
      <c r="C4337" s="5">
        <v>213.4</v>
      </c>
    </row>
    <row r="4338" spans="1:3" x14ac:dyDescent="0.35">
      <c r="A4338" s="9">
        <v>44150</v>
      </c>
      <c r="B4338">
        <f t="shared" si="68"/>
        <v>11</v>
      </c>
      <c r="C4338" s="5">
        <v>212.2</v>
      </c>
    </row>
    <row r="4339" spans="1:3" x14ac:dyDescent="0.35">
      <c r="A4339" s="9">
        <v>44151</v>
      </c>
      <c r="B4339">
        <f t="shared" si="68"/>
        <v>11</v>
      </c>
      <c r="C4339" s="5">
        <v>210.3</v>
      </c>
    </row>
    <row r="4340" spans="1:3" x14ac:dyDescent="0.35">
      <c r="A4340" s="9">
        <v>44152</v>
      </c>
      <c r="B4340">
        <f t="shared" si="68"/>
        <v>11</v>
      </c>
      <c r="C4340" s="5">
        <v>210.4</v>
      </c>
    </row>
    <row r="4341" spans="1:3" x14ac:dyDescent="0.35">
      <c r="A4341" s="9">
        <v>44153</v>
      </c>
      <c r="B4341">
        <f t="shared" si="68"/>
        <v>11</v>
      </c>
      <c r="C4341" s="5">
        <v>213.9</v>
      </c>
    </row>
    <row r="4342" spans="1:3" x14ac:dyDescent="0.35">
      <c r="A4342" s="9">
        <v>44154</v>
      </c>
      <c r="B4342">
        <f t="shared" si="68"/>
        <v>11</v>
      </c>
      <c r="C4342" s="5">
        <v>213.9</v>
      </c>
    </row>
    <row r="4343" spans="1:3" x14ac:dyDescent="0.35">
      <c r="A4343" s="9">
        <v>44155</v>
      </c>
      <c r="B4343">
        <f t="shared" si="68"/>
        <v>11</v>
      </c>
      <c r="C4343" s="5">
        <v>213.6</v>
      </c>
    </row>
    <row r="4344" spans="1:3" x14ac:dyDescent="0.35">
      <c r="A4344" s="9">
        <v>44156</v>
      </c>
      <c r="B4344">
        <f t="shared" si="68"/>
        <v>11</v>
      </c>
      <c r="C4344" s="5">
        <v>219.3</v>
      </c>
    </row>
    <row r="4345" spans="1:3" x14ac:dyDescent="0.35">
      <c r="A4345" s="9">
        <v>44157</v>
      </c>
      <c r="B4345">
        <f t="shared" si="68"/>
        <v>11</v>
      </c>
      <c r="C4345" s="5">
        <v>229.7</v>
      </c>
    </row>
    <row r="4346" spans="1:3" x14ac:dyDescent="0.35">
      <c r="A4346" s="9">
        <v>44158</v>
      </c>
      <c r="B4346">
        <f t="shared" si="68"/>
        <v>11</v>
      </c>
      <c r="C4346" s="5">
        <v>237.7</v>
      </c>
    </row>
    <row r="4347" spans="1:3" x14ac:dyDescent="0.35">
      <c r="A4347" s="9">
        <v>44159</v>
      </c>
      <c r="B4347">
        <f t="shared" si="68"/>
        <v>11</v>
      </c>
      <c r="C4347" s="5">
        <v>250.7</v>
      </c>
    </row>
    <row r="4348" spans="1:3" x14ac:dyDescent="0.35">
      <c r="A4348" s="9">
        <v>44160</v>
      </c>
      <c r="B4348">
        <f t="shared" si="68"/>
        <v>11</v>
      </c>
      <c r="C4348" s="5">
        <v>272</v>
      </c>
    </row>
    <row r="4349" spans="1:3" x14ac:dyDescent="0.35">
      <c r="A4349" s="9">
        <v>44161</v>
      </c>
      <c r="B4349">
        <f t="shared" si="68"/>
        <v>11</v>
      </c>
      <c r="C4349" s="5">
        <v>292.39999999999998</v>
      </c>
    </row>
    <row r="4350" spans="1:3" x14ac:dyDescent="0.35">
      <c r="A4350" s="9">
        <v>44162</v>
      </c>
      <c r="B4350">
        <f t="shared" si="68"/>
        <v>11</v>
      </c>
      <c r="C4350" s="5">
        <v>299.39999999999998</v>
      </c>
    </row>
    <row r="4351" spans="1:3" x14ac:dyDescent="0.35">
      <c r="A4351" s="9">
        <v>44163</v>
      </c>
      <c r="B4351">
        <f t="shared" si="68"/>
        <v>11</v>
      </c>
      <c r="C4351" s="5">
        <v>296.7</v>
      </c>
    </row>
    <row r="4352" spans="1:3" x14ac:dyDescent="0.35">
      <c r="A4352" s="9">
        <v>44164</v>
      </c>
      <c r="B4352">
        <f t="shared" si="68"/>
        <v>11</v>
      </c>
      <c r="C4352" s="5">
        <v>292.7</v>
      </c>
    </row>
    <row r="4353" spans="1:3" x14ac:dyDescent="0.35">
      <c r="A4353" s="9">
        <v>44165</v>
      </c>
      <c r="B4353">
        <f t="shared" si="68"/>
        <v>11</v>
      </c>
      <c r="C4353" s="5">
        <v>282.7</v>
      </c>
    </row>
    <row r="4354" spans="1:3" x14ac:dyDescent="0.35">
      <c r="A4354" s="9">
        <v>44166</v>
      </c>
      <c r="B4354">
        <f t="shared" si="68"/>
        <v>12</v>
      </c>
      <c r="C4354" s="5">
        <v>268</v>
      </c>
    </row>
    <row r="4355" spans="1:3" x14ac:dyDescent="0.35">
      <c r="A4355" s="9">
        <v>44167</v>
      </c>
      <c r="B4355">
        <f t="shared" si="68"/>
        <v>12</v>
      </c>
      <c r="C4355" s="5">
        <v>256.7</v>
      </c>
    </row>
    <row r="4356" spans="1:3" x14ac:dyDescent="0.35">
      <c r="A4356" s="9">
        <v>44168</v>
      </c>
      <c r="B4356">
        <f t="shared" ref="B4356:B4419" si="69">MONTH(A4356)</f>
        <v>12</v>
      </c>
      <c r="C4356" s="5">
        <v>240.8</v>
      </c>
    </row>
    <row r="4357" spans="1:3" x14ac:dyDescent="0.35">
      <c r="A4357" s="9">
        <v>44169</v>
      </c>
      <c r="B4357">
        <f t="shared" si="69"/>
        <v>12</v>
      </c>
      <c r="C4357" s="5">
        <v>233.9</v>
      </c>
    </row>
    <row r="4358" spans="1:3" x14ac:dyDescent="0.35">
      <c r="A4358" s="9">
        <v>44170</v>
      </c>
      <c r="B4358">
        <f t="shared" si="69"/>
        <v>12</v>
      </c>
      <c r="C4358" s="5">
        <v>236.3</v>
      </c>
    </row>
    <row r="4359" spans="1:3" x14ac:dyDescent="0.35">
      <c r="A4359" s="9">
        <v>44171</v>
      </c>
      <c r="B4359">
        <f t="shared" si="69"/>
        <v>12</v>
      </c>
      <c r="C4359" s="5">
        <v>236.7</v>
      </c>
    </row>
    <row r="4360" spans="1:3" x14ac:dyDescent="0.35">
      <c r="A4360" s="9">
        <v>44172</v>
      </c>
      <c r="B4360">
        <f t="shared" si="69"/>
        <v>12</v>
      </c>
      <c r="C4360" s="5">
        <v>230.8</v>
      </c>
    </row>
    <row r="4361" spans="1:3" x14ac:dyDescent="0.35">
      <c r="A4361" s="9">
        <v>44173</v>
      </c>
      <c r="B4361">
        <f t="shared" si="69"/>
        <v>12</v>
      </c>
      <c r="C4361" s="5">
        <v>222.4</v>
      </c>
    </row>
    <row r="4362" spans="1:3" x14ac:dyDescent="0.35">
      <c r="A4362" s="9">
        <v>44174</v>
      </c>
      <c r="B4362">
        <f t="shared" si="69"/>
        <v>12</v>
      </c>
      <c r="C4362" s="5">
        <v>217.9</v>
      </c>
    </row>
    <row r="4363" spans="1:3" x14ac:dyDescent="0.35">
      <c r="A4363" s="9">
        <v>44175</v>
      </c>
      <c r="B4363">
        <f t="shared" si="69"/>
        <v>12</v>
      </c>
      <c r="C4363" s="5">
        <v>216.7</v>
      </c>
    </row>
    <row r="4364" spans="1:3" x14ac:dyDescent="0.35">
      <c r="A4364" s="9">
        <v>44176</v>
      </c>
      <c r="B4364">
        <f t="shared" si="69"/>
        <v>12</v>
      </c>
      <c r="C4364" s="5">
        <v>220.1</v>
      </c>
    </row>
    <row r="4365" spans="1:3" x14ac:dyDescent="0.35">
      <c r="A4365" s="9">
        <v>44177</v>
      </c>
      <c r="B4365">
        <f t="shared" si="69"/>
        <v>12</v>
      </c>
      <c r="C4365" s="5">
        <v>224</v>
      </c>
    </row>
    <row r="4366" spans="1:3" x14ac:dyDescent="0.35">
      <c r="A4366" s="9">
        <v>44178</v>
      </c>
      <c r="B4366">
        <f t="shared" si="69"/>
        <v>12</v>
      </c>
      <c r="C4366" s="5">
        <v>229.8</v>
      </c>
    </row>
    <row r="4367" spans="1:3" x14ac:dyDescent="0.35">
      <c r="A4367" s="9">
        <v>44179</v>
      </c>
      <c r="B4367">
        <f t="shared" si="69"/>
        <v>12</v>
      </c>
      <c r="C4367" s="5">
        <v>227.1</v>
      </c>
    </row>
    <row r="4368" spans="1:3" x14ac:dyDescent="0.35">
      <c r="A4368" s="9">
        <v>44180</v>
      </c>
      <c r="B4368">
        <f t="shared" si="69"/>
        <v>12</v>
      </c>
      <c r="C4368" s="5">
        <v>214.5</v>
      </c>
    </row>
    <row r="4369" spans="1:3" x14ac:dyDescent="0.35">
      <c r="A4369" s="9">
        <v>44181</v>
      </c>
      <c r="B4369">
        <f t="shared" si="69"/>
        <v>12</v>
      </c>
      <c r="C4369" s="5">
        <v>201</v>
      </c>
    </row>
    <row r="4370" spans="1:3" x14ac:dyDescent="0.35">
      <c r="A4370" s="9">
        <v>44182</v>
      </c>
      <c r="B4370">
        <f t="shared" si="69"/>
        <v>12</v>
      </c>
      <c r="C4370" s="5">
        <v>196.8</v>
      </c>
    </row>
    <row r="4371" spans="1:3" x14ac:dyDescent="0.35">
      <c r="A4371" s="9">
        <v>44183</v>
      </c>
      <c r="B4371">
        <f t="shared" si="69"/>
        <v>12</v>
      </c>
      <c r="C4371" s="5">
        <v>208.6</v>
      </c>
    </row>
    <row r="4372" spans="1:3" x14ac:dyDescent="0.35">
      <c r="A4372" s="9">
        <v>44184</v>
      </c>
      <c r="B4372">
        <f t="shared" si="69"/>
        <v>12</v>
      </c>
      <c r="C4372" s="5">
        <v>231.6</v>
      </c>
    </row>
    <row r="4373" spans="1:3" x14ac:dyDescent="0.35">
      <c r="A4373" s="9">
        <v>44185</v>
      </c>
      <c r="B4373">
        <f t="shared" si="69"/>
        <v>12</v>
      </c>
      <c r="C4373" s="5">
        <v>247.2</v>
      </c>
    </row>
    <row r="4374" spans="1:3" x14ac:dyDescent="0.35">
      <c r="A4374" s="9">
        <v>44186</v>
      </c>
      <c r="B4374">
        <f t="shared" si="69"/>
        <v>12</v>
      </c>
      <c r="C4374" s="5">
        <v>248.9</v>
      </c>
    </row>
    <row r="4375" spans="1:3" x14ac:dyDescent="0.35">
      <c r="A4375" s="9">
        <v>44187</v>
      </c>
      <c r="B4375">
        <f t="shared" si="69"/>
        <v>12</v>
      </c>
      <c r="C4375" s="5">
        <v>237.5</v>
      </c>
    </row>
    <row r="4376" spans="1:3" x14ac:dyDescent="0.35">
      <c r="A4376" s="9">
        <v>44188</v>
      </c>
      <c r="B4376">
        <f t="shared" si="69"/>
        <v>12</v>
      </c>
      <c r="C4376" s="5">
        <v>229.6</v>
      </c>
    </row>
    <row r="4377" spans="1:3" x14ac:dyDescent="0.35">
      <c r="A4377" s="9">
        <v>44189</v>
      </c>
      <c r="B4377">
        <f t="shared" si="69"/>
        <v>12</v>
      </c>
      <c r="C4377" s="5">
        <v>230</v>
      </c>
    </row>
    <row r="4378" spans="1:3" x14ac:dyDescent="0.35">
      <c r="A4378" s="9">
        <v>44190</v>
      </c>
      <c r="B4378">
        <f t="shared" si="69"/>
        <v>12</v>
      </c>
      <c r="C4378" s="5">
        <v>225.6</v>
      </c>
    </row>
    <row r="4379" spans="1:3" x14ac:dyDescent="0.35">
      <c r="A4379" s="9">
        <v>44191</v>
      </c>
      <c r="B4379">
        <f t="shared" si="69"/>
        <v>12</v>
      </c>
      <c r="C4379" s="5">
        <v>214.9</v>
      </c>
    </row>
    <row r="4380" spans="1:3" x14ac:dyDescent="0.35">
      <c r="A4380" s="9">
        <v>44192</v>
      </c>
      <c r="B4380">
        <f t="shared" si="69"/>
        <v>12</v>
      </c>
      <c r="C4380" s="5">
        <v>202.3</v>
      </c>
    </row>
    <row r="4381" spans="1:3" x14ac:dyDescent="0.35">
      <c r="A4381" s="9">
        <v>44193</v>
      </c>
      <c r="B4381">
        <f t="shared" si="69"/>
        <v>12</v>
      </c>
      <c r="C4381" s="5">
        <v>197.4</v>
      </c>
    </row>
    <row r="4382" spans="1:3" x14ac:dyDescent="0.35">
      <c r="A4382" s="9">
        <v>44194</v>
      </c>
      <c r="B4382">
        <f t="shared" si="69"/>
        <v>12</v>
      </c>
      <c r="C4382" s="5">
        <v>207.5</v>
      </c>
    </row>
    <row r="4383" spans="1:3" x14ac:dyDescent="0.35">
      <c r="A4383" s="9">
        <v>44195</v>
      </c>
      <c r="B4383">
        <f t="shared" si="69"/>
        <v>12</v>
      </c>
      <c r="C4383" s="5">
        <v>229.5</v>
      </c>
    </row>
    <row r="4384" spans="1:3" x14ac:dyDescent="0.35">
      <c r="A4384" s="9">
        <v>44196</v>
      </c>
      <c r="B4384">
        <f t="shared" si="69"/>
        <v>12</v>
      </c>
      <c r="C4384" s="5">
        <v>245.5</v>
      </c>
    </row>
    <row r="4385" spans="1:3" x14ac:dyDescent="0.35">
      <c r="A4385" s="9">
        <v>44197</v>
      </c>
      <c r="B4385">
        <f t="shared" si="69"/>
        <v>1</v>
      </c>
      <c r="C4385" s="5">
        <v>256</v>
      </c>
    </row>
    <row r="4386" spans="1:3" x14ac:dyDescent="0.35">
      <c r="A4386" s="9">
        <v>44198</v>
      </c>
      <c r="B4386">
        <f t="shared" si="69"/>
        <v>1</v>
      </c>
      <c r="C4386" s="5">
        <v>254.6</v>
      </c>
    </row>
    <row r="4387" spans="1:3" x14ac:dyDescent="0.35">
      <c r="A4387" s="9">
        <v>44199</v>
      </c>
      <c r="B4387">
        <f t="shared" si="69"/>
        <v>1</v>
      </c>
      <c r="C4387" s="5">
        <v>251.9</v>
      </c>
    </row>
    <row r="4388" spans="1:3" x14ac:dyDescent="0.35">
      <c r="A4388" s="9">
        <v>44200</v>
      </c>
      <c r="B4388">
        <f t="shared" si="69"/>
        <v>1</v>
      </c>
      <c r="C4388" s="5">
        <v>239.2</v>
      </c>
    </row>
    <row r="4389" spans="1:3" x14ac:dyDescent="0.35">
      <c r="A4389" s="9">
        <v>44201</v>
      </c>
      <c r="B4389">
        <f t="shared" si="69"/>
        <v>1</v>
      </c>
      <c r="C4389" s="5">
        <v>225</v>
      </c>
    </row>
    <row r="4390" spans="1:3" x14ac:dyDescent="0.35">
      <c r="A4390" s="9">
        <v>44202</v>
      </c>
      <c r="B4390">
        <f t="shared" si="69"/>
        <v>1</v>
      </c>
      <c r="C4390" s="5">
        <v>216.3</v>
      </c>
    </row>
    <row r="4391" spans="1:3" x14ac:dyDescent="0.35">
      <c r="A4391" s="9">
        <v>44203</v>
      </c>
      <c r="B4391">
        <f t="shared" si="69"/>
        <v>1</v>
      </c>
      <c r="C4391" s="5">
        <v>217</v>
      </c>
    </row>
    <row r="4392" spans="1:3" x14ac:dyDescent="0.35">
      <c r="A4392" s="9">
        <v>44204</v>
      </c>
      <c r="B4392">
        <f t="shared" si="69"/>
        <v>1</v>
      </c>
      <c r="C4392" s="5">
        <v>225.7</v>
      </c>
    </row>
    <row r="4393" spans="1:3" x14ac:dyDescent="0.35">
      <c r="A4393" s="9">
        <v>44205</v>
      </c>
      <c r="B4393">
        <f t="shared" si="69"/>
        <v>1</v>
      </c>
      <c r="C4393" s="5">
        <v>232.7</v>
      </c>
    </row>
    <row r="4394" spans="1:3" x14ac:dyDescent="0.35">
      <c r="A4394" s="9">
        <v>44206</v>
      </c>
      <c r="B4394">
        <f t="shared" si="69"/>
        <v>1</v>
      </c>
      <c r="C4394" s="5">
        <v>229.1</v>
      </c>
    </row>
    <row r="4395" spans="1:3" x14ac:dyDescent="0.35">
      <c r="A4395" s="9">
        <v>44207</v>
      </c>
      <c r="B4395">
        <f t="shared" si="69"/>
        <v>1</v>
      </c>
      <c r="C4395" s="5">
        <v>220.9</v>
      </c>
    </row>
    <row r="4396" spans="1:3" x14ac:dyDescent="0.35">
      <c r="A4396" s="9">
        <v>44208</v>
      </c>
      <c r="B4396">
        <f t="shared" si="69"/>
        <v>1</v>
      </c>
      <c r="C4396" s="5">
        <v>217.6</v>
      </c>
    </row>
    <row r="4397" spans="1:3" x14ac:dyDescent="0.35">
      <c r="A4397" s="9">
        <v>44209</v>
      </c>
      <c r="B4397">
        <f t="shared" si="69"/>
        <v>1</v>
      </c>
      <c r="C4397" s="5">
        <v>218.3</v>
      </c>
    </row>
    <row r="4398" spans="1:3" x14ac:dyDescent="0.35">
      <c r="A4398" s="9">
        <v>44210</v>
      </c>
      <c r="B4398">
        <f t="shared" si="69"/>
        <v>1</v>
      </c>
      <c r="C4398" s="5">
        <v>220.2</v>
      </c>
    </row>
    <row r="4399" spans="1:3" x14ac:dyDescent="0.35">
      <c r="A4399" s="9">
        <v>44211</v>
      </c>
      <c r="B4399">
        <f t="shared" si="69"/>
        <v>1</v>
      </c>
      <c r="C4399" s="5">
        <v>215.1</v>
      </c>
    </row>
    <row r="4400" spans="1:3" x14ac:dyDescent="0.35">
      <c r="A4400" s="9">
        <v>44212</v>
      </c>
      <c r="B4400">
        <f t="shared" si="69"/>
        <v>1</v>
      </c>
      <c r="C4400" s="5">
        <v>200.9</v>
      </c>
    </row>
    <row r="4401" spans="1:3" x14ac:dyDescent="0.35">
      <c r="A4401" s="9">
        <v>44213</v>
      </c>
      <c r="B4401">
        <f t="shared" si="69"/>
        <v>1</v>
      </c>
      <c r="C4401" s="5">
        <v>184.3</v>
      </c>
    </row>
    <row r="4402" spans="1:3" x14ac:dyDescent="0.35">
      <c r="A4402" s="9">
        <v>44214</v>
      </c>
      <c r="B4402">
        <f t="shared" si="69"/>
        <v>1</v>
      </c>
      <c r="C4402" s="5">
        <v>171.3</v>
      </c>
    </row>
    <row r="4403" spans="1:3" x14ac:dyDescent="0.35">
      <c r="A4403" s="9">
        <v>44215</v>
      </c>
      <c r="B4403">
        <f t="shared" si="69"/>
        <v>1</v>
      </c>
      <c r="C4403" s="5">
        <v>165.1</v>
      </c>
    </row>
    <row r="4404" spans="1:3" x14ac:dyDescent="0.35">
      <c r="A4404" s="9">
        <v>44216</v>
      </c>
      <c r="B4404">
        <f t="shared" si="69"/>
        <v>1</v>
      </c>
      <c r="C4404" s="5">
        <v>164.4</v>
      </c>
    </row>
    <row r="4405" spans="1:3" x14ac:dyDescent="0.35">
      <c r="A4405" s="9">
        <v>44217</v>
      </c>
      <c r="B4405">
        <f t="shared" si="69"/>
        <v>1</v>
      </c>
      <c r="C4405" s="5">
        <v>164.2</v>
      </c>
    </row>
    <row r="4406" spans="1:3" x14ac:dyDescent="0.35">
      <c r="A4406" s="9">
        <v>44218</v>
      </c>
      <c r="B4406">
        <f t="shared" si="69"/>
        <v>1</v>
      </c>
      <c r="C4406" s="5">
        <v>166.5</v>
      </c>
    </row>
    <row r="4407" spans="1:3" x14ac:dyDescent="0.35">
      <c r="A4407" s="9">
        <v>44219</v>
      </c>
      <c r="B4407">
        <f t="shared" si="69"/>
        <v>1</v>
      </c>
      <c r="C4407" s="5">
        <v>168.8</v>
      </c>
    </row>
    <row r="4408" spans="1:3" x14ac:dyDescent="0.35">
      <c r="A4408" s="9">
        <v>44220</v>
      </c>
      <c r="B4408">
        <f t="shared" si="69"/>
        <v>1</v>
      </c>
      <c r="C4408" s="5">
        <v>176.4</v>
      </c>
    </row>
    <row r="4409" spans="1:3" x14ac:dyDescent="0.35">
      <c r="A4409" s="9">
        <v>44221</v>
      </c>
      <c r="B4409">
        <f t="shared" si="69"/>
        <v>1</v>
      </c>
      <c r="C4409" s="5">
        <v>185.2</v>
      </c>
    </row>
    <row r="4410" spans="1:3" x14ac:dyDescent="0.35">
      <c r="A4410" s="9">
        <v>44222</v>
      </c>
      <c r="B4410">
        <f t="shared" si="69"/>
        <v>1</v>
      </c>
      <c r="C4410" s="5">
        <v>194.6</v>
      </c>
    </row>
    <row r="4411" spans="1:3" x14ac:dyDescent="0.35">
      <c r="A4411" s="9">
        <v>44223</v>
      </c>
      <c r="B4411">
        <f t="shared" si="69"/>
        <v>1</v>
      </c>
      <c r="C4411" s="5">
        <v>201.4</v>
      </c>
    </row>
    <row r="4412" spans="1:3" x14ac:dyDescent="0.35">
      <c r="A4412" s="9">
        <v>44224</v>
      </c>
      <c r="B4412">
        <f t="shared" si="69"/>
        <v>1</v>
      </c>
      <c r="C4412" s="5">
        <v>208.6</v>
      </c>
    </row>
    <row r="4413" spans="1:3" x14ac:dyDescent="0.35">
      <c r="A4413" s="9">
        <v>44225</v>
      </c>
      <c r="B4413">
        <f t="shared" si="69"/>
        <v>1</v>
      </c>
      <c r="C4413" s="5">
        <v>210.5</v>
      </c>
    </row>
    <row r="4414" spans="1:3" x14ac:dyDescent="0.35">
      <c r="A4414" s="9">
        <v>44226</v>
      </c>
      <c r="B4414">
        <f t="shared" si="69"/>
        <v>1</v>
      </c>
      <c r="C4414" s="5">
        <v>202.8</v>
      </c>
    </row>
    <row r="4415" spans="1:3" x14ac:dyDescent="0.35">
      <c r="A4415" s="9">
        <v>44227</v>
      </c>
      <c r="B4415">
        <f t="shared" si="69"/>
        <v>1</v>
      </c>
      <c r="C4415" s="5">
        <v>196.6</v>
      </c>
    </row>
    <row r="4416" spans="1:3" x14ac:dyDescent="0.35">
      <c r="A4416" s="9">
        <v>44228</v>
      </c>
      <c r="B4416">
        <f t="shared" si="69"/>
        <v>2</v>
      </c>
      <c r="C4416" s="5">
        <v>199</v>
      </c>
    </row>
    <row r="4417" spans="1:3" x14ac:dyDescent="0.35">
      <c r="A4417" s="9">
        <v>44229</v>
      </c>
      <c r="B4417">
        <f t="shared" si="69"/>
        <v>2</v>
      </c>
      <c r="C4417" s="5">
        <v>187.6</v>
      </c>
    </row>
    <row r="4418" spans="1:3" x14ac:dyDescent="0.35">
      <c r="A4418" s="9">
        <v>44230</v>
      </c>
      <c r="B4418">
        <f t="shared" si="69"/>
        <v>2</v>
      </c>
      <c r="C4418" s="5">
        <v>186.3</v>
      </c>
    </row>
    <row r="4419" spans="1:3" x14ac:dyDescent="0.35">
      <c r="A4419" s="9">
        <v>44231</v>
      </c>
      <c r="B4419">
        <f t="shared" si="69"/>
        <v>2</v>
      </c>
      <c r="C4419" s="5">
        <v>176</v>
      </c>
    </row>
    <row r="4420" spans="1:3" x14ac:dyDescent="0.35">
      <c r="A4420" s="9">
        <v>44232</v>
      </c>
      <c r="B4420">
        <f t="shared" ref="B4420:B4483" si="70">MONTH(A4420)</f>
        <v>2</v>
      </c>
      <c r="C4420" s="5">
        <v>165.2</v>
      </c>
    </row>
    <row r="4421" spans="1:3" x14ac:dyDescent="0.35">
      <c r="A4421" s="9">
        <v>44233</v>
      </c>
      <c r="B4421">
        <f t="shared" si="70"/>
        <v>2</v>
      </c>
      <c r="C4421" s="5">
        <v>160.9</v>
      </c>
    </row>
    <row r="4422" spans="1:3" x14ac:dyDescent="0.35">
      <c r="A4422" s="9">
        <v>44234</v>
      </c>
      <c r="B4422">
        <f t="shared" si="70"/>
        <v>2</v>
      </c>
      <c r="C4422" s="5">
        <v>163.6</v>
      </c>
    </row>
    <row r="4423" spans="1:3" x14ac:dyDescent="0.35">
      <c r="A4423" s="9">
        <v>44235</v>
      </c>
      <c r="B4423">
        <f t="shared" si="70"/>
        <v>2</v>
      </c>
      <c r="C4423" s="5">
        <v>162.5</v>
      </c>
    </row>
    <row r="4424" spans="1:3" x14ac:dyDescent="0.35">
      <c r="A4424" s="9">
        <v>44236</v>
      </c>
      <c r="B4424">
        <f t="shared" si="70"/>
        <v>2</v>
      </c>
      <c r="C4424" s="5">
        <v>155.80000000000001</v>
      </c>
    </row>
    <row r="4425" spans="1:3" x14ac:dyDescent="0.35">
      <c r="A4425" s="9">
        <v>44237</v>
      </c>
      <c r="B4425">
        <f t="shared" si="70"/>
        <v>2</v>
      </c>
      <c r="C4425" s="5">
        <v>145.69999999999999</v>
      </c>
    </row>
    <row r="4426" spans="1:3" x14ac:dyDescent="0.35">
      <c r="A4426" s="9">
        <v>44238</v>
      </c>
      <c r="B4426">
        <f t="shared" si="70"/>
        <v>2</v>
      </c>
      <c r="C4426" s="5">
        <v>141.6</v>
      </c>
    </row>
    <row r="4427" spans="1:3" x14ac:dyDescent="0.35">
      <c r="A4427" s="9">
        <v>44239</v>
      </c>
      <c r="B4427">
        <f t="shared" si="70"/>
        <v>2</v>
      </c>
      <c r="C4427" s="5">
        <v>149.80000000000001</v>
      </c>
    </row>
    <row r="4428" spans="1:3" x14ac:dyDescent="0.35">
      <c r="A4428" s="9">
        <v>44240</v>
      </c>
      <c r="B4428">
        <f t="shared" si="70"/>
        <v>2</v>
      </c>
      <c r="C4428" s="5">
        <v>164.5</v>
      </c>
    </row>
    <row r="4429" spans="1:3" x14ac:dyDescent="0.35">
      <c r="A4429" s="9">
        <v>44241</v>
      </c>
      <c r="B4429">
        <f t="shared" si="70"/>
        <v>2</v>
      </c>
      <c r="C4429" s="5">
        <v>169.9</v>
      </c>
    </row>
    <row r="4430" spans="1:3" x14ac:dyDescent="0.35">
      <c r="A4430" s="9">
        <v>44242</v>
      </c>
      <c r="B4430">
        <f t="shared" si="70"/>
        <v>2</v>
      </c>
      <c r="C4430" s="5">
        <v>164.4</v>
      </c>
    </row>
    <row r="4431" spans="1:3" x14ac:dyDescent="0.35">
      <c r="A4431" s="9">
        <v>44243</v>
      </c>
      <c r="B4431">
        <f t="shared" si="70"/>
        <v>2</v>
      </c>
      <c r="C4431" s="5">
        <v>154.80000000000001</v>
      </c>
    </row>
    <row r="4432" spans="1:3" x14ac:dyDescent="0.35">
      <c r="A4432" s="9">
        <v>44244</v>
      </c>
      <c r="B4432">
        <f t="shared" si="70"/>
        <v>2</v>
      </c>
      <c r="C4432" s="5">
        <v>153.80000000000001</v>
      </c>
    </row>
    <row r="4433" spans="1:3" x14ac:dyDescent="0.35">
      <c r="A4433" s="9">
        <v>44245</v>
      </c>
      <c r="B4433">
        <f t="shared" si="70"/>
        <v>2</v>
      </c>
      <c r="C4433" s="5">
        <v>167.8</v>
      </c>
    </row>
    <row r="4434" spans="1:3" x14ac:dyDescent="0.35">
      <c r="A4434" s="9">
        <v>44246</v>
      </c>
      <c r="B4434">
        <f t="shared" si="70"/>
        <v>2</v>
      </c>
      <c r="C4434" s="5">
        <v>191.7</v>
      </c>
    </row>
    <row r="4435" spans="1:3" x14ac:dyDescent="0.35">
      <c r="A4435" s="9">
        <v>44247</v>
      </c>
      <c r="B4435">
        <f t="shared" si="70"/>
        <v>2</v>
      </c>
      <c r="C4435" s="5">
        <v>209.6</v>
      </c>
    </row>
    <row r="4436" spans="1:3" x14ac:dyDescent="0.35">
      <c r="A4436" s="9">
        <v>44248</v>
      </c>
      <c r="B4436">
        <f t="shared" si="70"/>
        <v>2</v>
      </c>
      <c r="C4436" s="5">
        <v>220.1</v>
      </c>
    </row>
    <row r="4437" spans="1:3" x14ac:dyDescent="0.35">
      <c r="A4437" s="9">
        <v>44249</v>
      </c>
      <c r="B4437">
        <f t="shared" si="70"/>
        <v>2</v>
      </c>
      <c r="C4437" s="5">
        <v>223.5</v>
      </c>
    </row>
    <row r="4438" spans="1:3" x14ac:dyDescent="0.35">
      <c r="A4438" s="9">
        <v>44250</v>
      </c>
      <c r="B4438">
        <f t="shared" si="70"/>
        <v>2</v>
      </c>
      <c r="C4438" s="5">
        <v>223.3</v>
      </c>
    </row>
    <row r="4439" spans="1:3" x14ac:dyDescent="0.35">
      <c r="A4439" s="9">
        <v>44251</v>
      </c>
      <c r="B4439">
        <f t="shared" si="70"/>
        <v>2</v>
      </c>
      <c r="C4439" s="5">
        <v>223.5</v>
      </c>
    </row>
    <row r="4440" spans="1:3" x14ac:dyDescent="0.35">
      <c r="A4440" s="9">
        <v>44252</v>
      </c>
      <c r="B4440">
        <f t="shared" si="70"/>
        <v>2</v>
      </c>
      <c r="C4440" s="5">
        <v>216.5</v>
      </c>
    </row>
    <row r="4441" spans="1:3" x14ac:dyDescent="0.35">
      <c r="A4441" s="9">
        <v>44253</v>
      </c>
      <c r="B4441">
        <f t="shared" si="70"/>
        <v>2</v>
      </c>
      <c r="C4441" s="5">
        <v>202.8</v>
      </c>
    </row>
    <row r="4442" spans="1:3" x14ac:dyDescent="0.35">
      <c r="A4442" s="9">
        <v>44254</v>
      </c>
      <c r="B4442">
        <f t="shared" si="70"/>
        <v>2</v>
      </c>
      <c r="C4442" s="5">
        <v>190.8</v>
      </c>
    </row>
    <row r="4443" spans="1:3" x14ac:dyDescent="0.35">
      <c r="A4443" s="9">
        <v>44255</v>
      </c>
      <c r="B4443">
        <f t="shared" si="70"/>
        <v>2</v>
      </c>
      <c r="C4443" s="5">
        <v>182.1</v>
      </c>
    </row>
    <row r="4444" spans="1:3" x14ac:dyDescent="0.35">
      <c r="A4444" s="9">
        <v>44256</v>
      </c>
      <c r="B4444">
        <f t="shared" si="70"/>
        <v>3</v>
      </c>
      <c r="C4444" s="5">
        <v>172.5</v>
      </c>
    </row>
    <row r="4445" spans="1:3" x14ac:dyDescent="0.35">
      <c r="A4445" s="9">
        <v>44257</v>
      </c>
      <c r="B4445">
        <f t="shared" si="70"/>
        <v>3</v>
      </c>
      <c r="C4445" s="5">
        <v>179.9</v>
      </c>
    </row>
    <row r="4446" spans="1:3" x14ac:dyDescent="0.35">
      <c r="A4446" s="9">
        <v>44258</v>
      </c>
      <c r="B4446">
        <f t="shared" si="70"/>
        <v>3</v>
      </c>
      <c r="C4446" s="5">
        <v>193.8</v>
      </c>
    </row>
    <row r="4447" spans="1:3" x14ac:dyDescent="0.35">
      <c r="A4447" s="9">
        <v>44259</v>
      </c>
      <c r="B4447">
        <f t="shared" si="70"/>
        <v>3</v>
      </c>
      <c r="C4447" s="5">
        <v>217.4</v>
      </c>
    </row>
    <row r="4448" spans="1:3" x14ac:dyDescent="0.35">
      <c r="A4448" s="9">
        <v>44260</v>
      </c>
      <c r="B4448">
        <f t="shared" si="70"/>
        <v>3</v>
      </c>
      <c r="C4448" s="5">
        <v>233.3</v>
      </c>
    </row>
    <row r="4449" spans="1:3" x14ac:dyDescent="0.35">
      <c r="A4449" s="9">
        <v>44261</v>
      </c>
      <c r="B4449">
        <f t="shared" si="70"/>
        <v>3</v>
      </c>
      <c r="C4449" s="5">
        <v>237.2</v>
      </c>
    </row>
    <row r="4450" spans="1:3" x14ac:dyDescent="0.35">
      <c r="A4450" s="9">
        <v>44262</v>
      </c>
      <c r="B4450">
        <f t="shared" si="70"/>
        <v>3</v>
      </c>
      <c r="C4450" s="5">
        <v>242.5</v>
      </c>
    </row>
    <row r="4451" spans="1:3" x14ac:dyDescent="0.35">
      <c r="A4451" s="9">
        <v>44263</v>
      </c>
      <c r="B4451">
        <f t="shared" si="70"/>
        <v>3</v>
      </c>
      <c r="C4451" s="5">
        <v>247.8</v>
      </c>
    </row>
    <row r="4452" spans="1:3" x14ac:dyDescent="0.35">
      <c r="A4452" s="9">
        <v>44264</v>
      </c>
      <c r="B4452">
        <f t="shared" si="70"/>
        <v>3</v>
      </c>
      <c r="C4452" s="5">
        <v>251.8</v>
      </c>
    </row>
    <row r="4453" spans="1:3" x14ac:dyDescent="0.35">
      <c r="A4453" s="9">
        <v>44265</v>
      </c>
      <c r="B4453">
        <f t="shared" si="70"/>
        <v>3</v>
      </c>
      <c r="C4453" s="5">
        <v>235.2</v>
      </c>
    </row>
    <row r="4454" spans="1:3" x14ac:dyDescent="0.35">
      <c r="A4454" s="9">
        <v>44266</v>
      </c>
      <c r="B4454">
        <f t="shared" si="70"/>
        <v>3</v>
      </c>
      <c r="C4454" s="5">
        <v>207.7</v>
      </c>
    </row>
    <row r="4455" spans="1:3" x14ac:dyDescent="0.35">
      <c r="A4455" s="9">
        <v>44267</v>
      </c>
      <c r="B4455">
        <f t="shared" si="70"/>
        <v>3</v>
      </c>
      <c r="C4455" s="5">
        <v>182.4</v>
      </c>
    </row>
    <row r="4456" spans="1:3" x14ac:dyDescent="0.35">
      <c r="A4456" s="9">
        <v>44268</v>
      </c>
      <c r="B4456">
        <f t="shared" si="70"/>
        <v>3</v>
      </c>
      <c r="C4456" s="5">
        <v>168.6</v>
      </c>
    </row>
    <row r="4457" spans="1:3" x14ac:dyDescent="0.35">
      <c r="A4457" s="9">
        <v>44269</v>
      </c>
      <c r="B4457">
        <f t="shared" si="70"/>
        <v>3</v>
      </c>
      <c r="C4457" s="5">
        <v>170.2</v>
      </c>
    </row>
    <row r="4458" spans="1:3" x14ac:dyDescent="0.35">
      <c r="A4458" s="9">
        <v>44270</v>
      </c>
      <c r="B4458">
        <f t="shared" si="70"/>
        <v>3</v>
      </c>
      <c r="C4458" s="5">
        <v>177.5</v>
      </c>
    </row>
    <row r="4459" spans="1:3" x14ac:dyDescent="0.35">
      <c r="A4459" s="9">
        <v>44271</v>
      </c>
      <c r="B4459">
        <f t="shared" si="70"/>
        <v>3</v>
      </c>
      <c r="C4459" s="5">
        <v>185.3</v>
      </c>
    </row>
    <row r="4460" spans="1:3" x14ac:dyDescent="0.35">
      <c r="A4460" s="9">
        <v>44272</v>
      </c>
      <c r="B4460">
        <f t="shared" si="70"/>
        <v>3</v>
      </c>
      <c r="C4460" s="5">
        <v>192.7</v>
      </c>
    </row>
    <row r="4461" spans="1:3" x14ac:dyDescent="0.35">
      <c r="A4461" s="9">
        <v>44273</v>
      </c>
      <c r="B4461">
        <f t="shared" si="70"/>
        <v>3</v>
      </c>
      <c r="C4461" s="5">
        <v>199.3</v>
      </c>
    </row>
    <row r="4462" spans="1:3" x14ac:dyDescent="0.35">
      <c r="A4462" s="9">
        <v>44274</v>
      </c>
      <c r="B4462">
        <f t="shared" si="70"/>
        <v>3</v>
      </c>
      <c r="C4462" s="5">
        <v>203.4</v>
      </c>
    </row>
    <row r="4463" spans="1:3" x14ac:dyDescent="0.35">
      <c r="A4463" s="9">
        <v>44275</v>
      </c>
      <c r="B4463">
        <f t="shared" si="70"/>
        <v>3</v>
      </c>
      <c r="C4463" s="5">
        <v>204.3</v>
      </c>
    </row>
    <row r="4464" spans="1:3" x14ac:dyDescent="0.35">
      <c r="A4464" s="9">
        <v>44276</v>
      </c>
      <c r="B4464">
        <f t="shared" si="70"/>
        <v>3</v>
      </c>
      <c r="C4464" s="5">
        <v>208.7</v>
      </c>
    </row>
    <row r="4465" spans="1:3" x14ac:dyDescent="0.35">
      <c r="A4465" s="9">
        <v>44277</v>
      </c>
      <c r="B4465">
        <f t="shared" si="70"/>
        <v>3</v>
      </c>
      <c r="C4465" s="5">
        <v>214.5</v>
      </c>
    </row>
    <row r="4466" spans="1:3" x14ac:dyDescent="0.35">
      <c r="A4466" s="9">
        <v>44278</v>
      </c>
      <c r="B4466">
        <f t="shared" si="70"/>
        <v>3</v>
      </c>
      <c r="C4466" s="5">
        <v>219.4</v>
      </c>
    </row>
    <row r="4467" spans="1:3" x14ac:dyDescent="0.35">
      <c r="A4467" s="9">
        <v>44279</v>
      </c>
      <c r="B4467">
        <f t="shared" si="70"/>
        <v>3</v>
      </c>
      <c r="C4467" s="5">
        <v>216.4</v>
      </c>
    </row>
    <row r="4468" spans="1:3" x14ac:dyDescent="0.35">
      <c r="A4468" s="9">
        <v>44280</v>
      </c>
      <c r="B4468">
        <f t="shared" si="70"/>
        <v>3</v>
      </c>
      <c r="C4468" s="5">
        <v>206.9</v>
      </c>
    </row>
    <row r="4469" spans="1:3" x14ac:dyDescent="0.35">
      <c r="A4469" s="9">
        <v>44281</v>
      </c>
      <c r="B4469">
        <f t="shared" si="70"/>
        <v>3</v>
      </c>
      <c r="C4469" s="5">
        <v>195.5</v>
      </c>
    </row>
    <row r="4470" spans="1:3" x14ac:dyDescent="0.35">
      <c r="A4470" s="9">
        <v>44282</v>
      </c>
      <c r="B4470">
        <f t="shared" si="70"/>
        <v>3</v>
      </c>
      <c r="C4470" s="5">
        <v>182.6</v>
      </c>
    </row>
    <row r="4471" spans="1:3" x14ac:dyDescent="0.35">
      <c r="A4471" s="9">
        <v>44283</v>
      </c>
      <c r="B4471">
        <f t="shared" si="70"/>
        <v>3</v>
      </c>
      <c r="C4471" s="5">
        <v>173.2</v>
      </c>
    </row>
    <row r="4472" spans="1:3" x14ac:dyDescent="0.35">
      <c r="A4472" s="9">
        <v>44284</v>
      </c>
      <c r="B4472">
        <f t="shared" si="70"/>
        <v>3</v>
      </c>
      <c r="C4472" s="5">
        <v>174.3</v>
      </c>
    </row>
    <row r="4473" spans="1:3" x14ac:dyDescent="0.35">
      <c r="A4473" s="9">
        <v>44285</v>
      </c>
      <c r="B4473">
        <f t="shared" si="70"/>
        <v>3</v>
      </c>
      <c r="C4473" s="5">
        <v>187</v>
      </c>
    </row>
    <row r="4474" spans="1:3" x14ac:dyDescent="0.35">
      <c r="A4474" s="9">
        <v>44286</v>
      </c>
      <c r="B4474">
        <f t="shared" si="70"/>
        <v>3</v>
      </c>
      <c r="C4474" s="5">
        <v>198.5</v>
      </c>
    </row>
    <row r="4475" spans="1:3" x14ac:dyDescent="0.35">
      <c r="A4475" s="9">
        <v>44287</v>
      </c>
      <c r="B4475">
        <f t="shared" si="70"/>
        <v>4</v>
      </c>
      <c r="C4475" s="5">
        <v>205</v>
      </c>
    </row>
    <row r="4476" spans="1:3" x14ac:dyDescent="0.35">
      <c r="A4476" s="9">
        <v>44288</v>
      </c>
      <c r="B4476">
        <f t="shared" si="70"/>
        <v>4</v>
      </c>
      <c r="C4476" s="5">
        <v>214.7</v>
      </c>
    </row>
    <row r="4477" spans="1:3" x14ac:dyDescent="0.35">
      <c r="A4477" s="9">
        <v>44289</v>
      </c>
      <c r="B4477">
        <f t="shared" si="70"/>
        <v>4</v>
      </c>
      <c r="C4477" s="5">
        <v>214.6</v>
      </c>
    </row>
    <row r="4478" spans="1:3" x14ac:dyDescent="0.35">
      <c r="A4478" s="9">
        <v>44290</v>
      </c>
      <c r="B4478">
        <f t="shared" si="70"/>
        <v>4</v>
      </c>
      <c r="C4478" s="5">
        <v>213.6</v>
      </c>
    </row>
    <row r="4479" spans="1:3" x14ac:dyDescent="0.35">
      <c r="A4479" s="9">
        <v>44291</v>
      </c>
      <c r="B4479">
        <f t="shared" si="70"/>
        <v>4</v>
      </c>
      <c r="C4479" s="5">
        <v>216.4</v>
      </c>
    </row>
    <row r="4480" spans="1:3" x14ac:dyDescent="0.35">
      <c r="A4480" s="9">
        <v>44292</v>
      </c>
      <c r="B4480">
        <f t="shared" si="70"/>
        <v>4</v>
      </c>
      <c r="C4480" s="5">
        <v>223.5</v>
      </c>
    </row>
    <row r="4481" spans="1:3" x14ac:dyDescent="0.35">
      <c r="A4481" s="9">
        <v>44293</v>
      </c>
      <c r="B4481">
        <f t="shared" si="70"/>
        <v>4</v>
      </c>
      <c r="C4481" s="5">
        <v>228.4</v>
      </c>
    </row>
    <row r="4482" spans="1:3" x14ac:dyDescent="0.35">
      <c r="A4482" s="9">
        <v>44294</v>
      </c>
      <c r="B4482">
        <f t="shared" si="70"/>
        <v>4</v>
      </c>
      <c r="C4482" s="5">
        <v>229.1</v>
      </c>
    </row>
    <row r="4483" spans="1:3" x14ac:dyDescent="0.35">
      <c r="A4483" s="9">
        <v>44295</v>
      </c>
      <c r="B4483">
        <f t="shared" si="70"/>
        <v>4</v>
      </c>
      <c r="C4483" s="5">
        <v>225.9</v>
      </c>
    </row>
    <row r="4484" spans="1:3" x14ac:dyDescent="0.35">
      <c r="A4484" s="9">
        <v>44296</v>
      </c>
      <c r="B4484">
        <f t="shared" ref="B4484:B4547" si="71">MONTH(A4484)</f>
        <v>4</v>
      </c>
      <c r="C4484" s="5">
        <v>212.9</v>
      </c>
    </row>
    <row r="4485" spans="1:3" x14ac:dyDescent="0.35">
      <c r="A4485" s="9">
        <v>44297</v>
      </c>
      <c r="B4485">
        <f t="shared" si="71"/>
        <v>4</v>
      </c>
      <c r="C4485" s="5">
        <v>197.8</v>
      </c>
    </row>
    <row r="4486" spans="1:3" x14ac:dyDescent="0.35">
      <c r="A4486" s="9">
        <v>44298</v>
      </c>
      <c r="B4486">
        <f t="shared" si="71"/>
        <v>4</v>
      </c>
      <c r="C4486" s="5">
        <v>186.4</v>
      </c>
    </row>
    <row r="4487" spans="1:3" x14ac:dyDescent="0.35">
      <c r="A4487" s="9">
        <v>44299</v>
      </c>
      <c r="B4487">
        <f t="shared" si="71"/>
        <v>4</v>
      </c>
      <c r="C4487" s="5">
        <v>182.4</v>
      </c>
    </row>
    <row r="4488" spans="1:3" x14ac:dyDescent="0.35">
      <c r="A4488" s="9">
        <v>44300</v>
      </c>
      <c r="B4488">
        <f t="shared" si="71"/>
        <v>4</v>
      </c>
      <c r="C4488" s="5">
        <v>185.6</v>
      </c>
    </row>
    <row r="4489" spans="1:3" x14ac:dyDescent="0.35">
      <c r="A4489" s="9">
        <v>44301</v>
      </c>
      <c r="B4489">
        <f t="shared" si="71"/>
        <v>4</v>
      </c>
      <c r="C4489" s="5">
        <v>191</v>
      </c>
    </row>
    <row r="4490" spans="1:3" x14ac:dyDescent="0.35">
      <c r="A4490" s="9">
        <v>44302</v>
      </c>
      <c r="B4490">
        <f t="shared" si="71"/>
        <v>4</v>
      </c>
      <c r="C4490" s="5">
        <v>190.6</v>
      </c>
    </row>
    <row r="4491" spans="1:3" x14ac:dyDescent="0.35">
      <c r="A4491" s="9">
        <v>44303</v>
      </c>
      <c r="B4491">
        <f t="shared" si="71"/>
        <v>4</v>
      </c>
      <c r="C4491" s="5">
        <v>182.8</v>
      </c>
    </row>
    <row r="4492" spans="1:3" x14ac:dyDescent="0.35">
      <c r="A4492" s="9">
        <v>44304</v>
      </c>
      <c r="B4492">
        <f t="shared" si="71"/>
        <v>4</v>
      </c>
      <c r="C4492" s="5">
        <v>171.7</v>
      </c>
    </row>
    <row r="4493" spans="1:3" x14ac:dyDescent="0.35">
      <c r="A4493" s="9">
        <v>44305</v>
      </c>
      <c r="B4493">
        <f t="shared" si="71"/>
        <v>4</v>
      </c>
      <c r="C4493" s="5">
        <v>160.4</v>
      </c>
    </row>
    <row r="4494" spans="1:3" x14ac:dyDescent="0.35">
      <c r="A4494" s="9">
        <v>44306</v>
      </c>
      <c r="B4494">
        <f t="shared" si="71"/>
        <v>4</v>
      </c>
      <c r="C4494" s="5">
        <v>153.5</v>
      </c>
    </row>
    <row r="4495" spans="1:3" x14ac:dyDescent="0.35">
      <c r="A4495" s="9">
        <v>44307</v>
      </c>
      <c r="B4495">
        <f t="shared" si="71"/>
        <v>4</v>
      </c>
      <c r="C4495" s="5">
        <v>154.4</v>
      </c>
    </row>
    <row r="4496" spans="1:3" x14ac:dyDescent="0.35">
      <c r="A4496" s="9">
        <v>44308</v>
      </c>
      <c r="B4496">
        <f t="shared" si="71"/>
        <v>4</v>
      </c>
      <c r="C4496" s="5">
        <v>161.19999999999999</v>
      </c>
    </row>
    <row r="4497" spans="1:3" x14ac:dyDescent="0.35">
      <c r="A4497" s="9">
        <v>44309</v>
      </c>
      <c r="B4497">
        <f t="shared" si="71"/>
        <v>4</v>
      </c>
      <c r="C4497" s="5">
        <v>170.3</v>
      </c>
    </row>
    <row r="4498" spans="1:3" x14ac:dyDescent="0.35">
      <c r="A4498" s="9">
        <v>44310</v>
      </c>
      <c r="B4498">
        <f t="shared" si="71"/>
        <v>4</v>
      </c>
      <c r="C4498" s="5">
        <v>182.9</v>
      </c>
    </row>
    <row r="4499" spans="1:3" x14ac:dyDescent="0.35">
      <c r="A4499" s="9">
        <v>44311</v>
      </c>
      <c r="B4499">
        <f t="shared" si="71"/>
        <v>4</v>
      </c>
      <c r="C4499" s="5">
        <v>200.4</v>
      </c>
    </row>
    <row r="4500" spans="1:3" x14ac:dyDescent="0.35">
      <c r="A4500" s="9">
        <v>44312</v>
      </c>
      <c r="B4500">
        <f t="shared" si="71"/>
        <v>4</v>
      </c>
      <c r="C4500" s="5">
        <v>216.9</v>
      </c>
    </row>
    <row r="4501" spans="1:3" x14ac:dyDescent="0.35">
      <c r="A4501" s="9">
        <v>44313</v>
      </c>
      <c r="B4501">
        <f t="shared" si="71"/>
        <v>4</v>
      </c>
      <c r="C4501" s="5">
        <v>226.2</v>
      </c>
    </row>
    <row r="4502" spans="1:3" x14ac:dyDescent="0.35">
      <c r="A4502" s="9">
        <v>44314</v>
      </c>
      <c r="B4502">
        <f t="shared" si="71"/>
        <v>4</v>
      </c>
      <c r="C4502" s="5">
        <v>232.5</v>
      </c>
    </row>
    <row r="4503" spans="1:3" x14ac:dyDescent="0.35">
      <c r="A4503" s="9">
        <v>44315</v>
      </c>
      <c r="B4503">
        <f t="shared" si="71"/>
        <v>4</v>
      </c>
      <c r="C4503" s="5">
        <v>236.7</v>
      </c>
    </row>
    <row r="4504" spans="1:3" x14ac:dyDescent="0.35">
      <c r="A4504" s="9">
        <v>44316</v>
      </c>
      <c r="B4504">
        <f t="shared" si="71"/>
        <v>4</v>
      </c>
      <c r="C4504" s="5">
        <v>253.2</v>
      </c>
    </row>
    <row r="4505" spans="1:3" x14ac:dyDescent="0.35">
      <c r="A4505" s="9">
        <v>44317</v>
      </c>
      <c r="B4505">
        <f t="shared" si="71"/>
        <v>5</v>
      </c>
      <c r="C4505" s="5">
        <v>275.39999999999998</v>
      </c>
    </row>
    <row r="4506" spans="1:3" x14ac:dyDescent="0.35">
      <c r="A4506" s="9">
        <v>44318</v>
      </c>
      <c r="B4506">
        <f t="shared" si="71"/>
        <v>5</v>
      </c>
      <c r="C4506" s="5">
        <v>285.8</v>
      </c>
    </row>
    <row r="4507" spans="1:3" x14ac:dyDescent="0.35">
      <c r="A4507" s="9">
        <v>44319</v>
      </c>
      <c r="B4507">
        <f t="shared" si="71"/>
        <v>5</v>
      </c>
      <c r="C4507" s="5">
        <v>281.8</v>
      </c>
    </row>
    <row r="4508" spans="1:3" x14ac:dyDescent="0.35">
      <c r="A4508" s="9">
        <v>44320</v>
      </c>
      <c r="B4508">
        <f t="shared" si="71"/>
        <v>5</v>
      </c>
      <c r="C4508" s="5">
        <v>267.60000000000002</v>
      </c>
    </row>
    <row r="4509" spans="1:3" x14ac:dyDescent="0.35">
      <c r="A4509" s="9">
        <v>44321</v>
      </c>
      <c r="B4509">
        <f t="shared" si="71"/>
        <v>5</v>
      </c>
      <c r="C4509" s="5">
        <v>253.2</v>
      </c>
    </row>
    <row r="4510" spans="1:3" x14ac:dyDescent="0.35">
      <c r="A4510" s="9">
        <v>44322</v>
      </c>
      <c r="B4510">
        <f t="shared" si="71"/>
        <v>5</v>
      </c>
      <c r="C4510" s="5">
        <v>234.2</v>
      </c>
    </row>
    <row r="4511" spans="1:3" x14ac:dyDescent="0.35">
      <c r="A4511" s="9">
        <v>44323</v>
      </c>
      <c r="B4511">
        <f t="shared" si="71"/>
        <v>5</v>
      </c>
      <c r="C4511" s="5">
        <v>219.4</v>
      </c>
    </row>
    <row r="4512" spans="1:3" x14ac:dyDescent="0.35">
      <c r="A4512" s="9">
        <v>44324</v>
      </c>
      <c r="B4512">
        <f t="shared" si="71"/>
        <v>5</v>
      </c>
      <c r="C4512" s="5">
        <v>209.7</v>
      </c>
    </row>
    <row r="4513" spans="1:3" x14ac:dyDescent="0.35">
      <c r="A4513" s="9">
        <v>44325</v>
      </c>
      <c r="B4513">
        <f t="shared" si="71"/>
        <v>5</v>
      </c>
      <c r="C4513" s="5">
        <v>206.6</v>
      </c>
    </row>
    <row r="4514" spans="1:3" x14ac:dyDescent="0.35">
      <c r="A4514" s="9">
        <v>44326</v>
      </c>
      <c r="B4514">
        <f t="shared" si="71"/>
        <v>5</v>
      </c>
      <c r="C4514" s="5">
        <v>204.8</v>
      </c>
    </row>
    <row r="4515" spans="1:3" x14ac:dyDescent="0.35">
      <c r="A4515" s="9">
        <v>44327</v>
      </c>
      <c r="B4515">
        <f t="shared" si="71"/>
        <v>5</v>
      </c>
      <c r="C4515" s="5">
        <v>199.7</v>
      </c>
    </row>
    <row r="4516" spans="1:3" x14ac:dyDescent="0.35">
      <c r="A4516" s="9">
        <v>44328</v>
      </c>
      <c r="B4516">
        <f t="shared" si="71"/>
        <v>5</v>
      </c>
      <c r="C4516" s="5">
        <v>186.1</v>
      </c>
    </row>
    <row r="4517" spans="1:3" x14ac:dyDescent="0.35">
      <c r="A4517" s="9">
        <v>44329</v>
      </c>
      <c r="B4517">
        <f t="shared" si="71"/>
        <v>5</v>
      </c>
      <c r="C4517" s="5">
        <v>169.5</v>
      </c>
    </row>
    <row r="4518" spans="1:3" x14ac:dyDescent="0.35">
      <c r="A4518" s="9">
        <v>44330</v>
      </c>
      <c r="B4518">
        <f t="shared" si="71"/>
        <v>5</v>
      </c>
      <c r="C4518" s="5">
        <v>155</v>
      </c>
    </row>
    <row r="4519" spans="1:3" x14ac:dyDescent="0.35">
      <c r="A4519" s="9">
        <v>44331</v>
      </c>
      <c r="B4519">
        <f t="shared" si="71"/>
        <v>5</v>
      </c>
      <c r="C4519" s="5">
        <v>143.80000000000001</v>
      </c>
    </row>
    <row r="4520" spans="1:3" x14ac:dyDescent="0.35">
      <c r="A4520" s="9">
        <v>44332</v>
      </c>
      <c r="B4520">
        <f t="shared" si="71"/>
        <v>5</v>
      </c>
      <c r="C4520" s="5">
        <v>137.1</v>
      </c>
    </row>
    <row r="4521" spans="1:3" x14ac:dyDescent="0.35">
      <c r="A4521" s="9">
        <v>44333</v>
      </c>
      <c r="B4521">
        <f t="shared" si="71"/>
        <v>5</v>
      </c>
      <c r="C4521" s="5">
        <v>133.1</v>
      </c>
    </row>
    <row r="4522" spans="1:3" x14ac:dyDescent="0.35">
      <c r="A4522" s="9">
        <v>44334</v>
      </c>
      <c r="B4522">
        <f t="shared" si="71"/>
        <v>5</v>
      </c>
      <c r="C4522" s="5">
        <v>130.69999999999999</v>
      </c>
    </row>
    <row r="4523" spans="1:3" x14ac:dyDescent="0.35">
      <c r="A4523" s="9">
        <v>44335</v>
      </c>
      <c r="B4523">
        <f t="shared" si="71"/>
        <v>5</v>
      </c>
      <c r="C4523" s="5">
        <v>129</v>
      </c>
    </row>
    <row r="4524" spans="1:3" x14ac:dyDescent="0.35">
      <c r="A4524" s="9">
        <v>44336</v>
      </c>
      <c r="B4524">
        <f t="shared" si="71"/>
        <v>5</v>
      </c>
      <c r="C4524" s="5">
        <v>127.6</v>
      </c>
    </row>
    <row r="4525" spans="1:3" x14ac:dyDescent="0.35">
      <c r="A4525" s="9">
        <v>44337</v>
      </c>
      <c r="B4525">
        <f t="shared" si="71"/>
        <v>5</v>
      </c>
      <c r="C4525" s="5">
        <v>126.5</v>
      </c>
    </row>
    <row r="4526" spans="1:3" x14ac:dyDescent="0.35">
      <c r="A4526" s="9">
        <v>44338</v>
      </c>
      <c r="B4526">
        <f t="shared" si="71"/>
        <v>5</v>
      </c>
      <c r="C4526" s="5">
        <v>126.1</v>
      </c>
    </row>
    <row r="4527" spans="1:3" x14ac:dyDescent="0.35">
      <c r="A4527" s="9">
        <v>44339</v>
      </c>
      <c r="B4527">
        <f t="shared" si="71"/>
        <v>5</v>
      </c>
      <c r="C4527" s="5">
        <v>126.6</v>
      </c>
    </row>
    <row r="4528" spans="1:3" x14ac:dyDescent="0.35">
      <c r="A4528" s="9">
        <v>44340</v>
      </c>
      <c r="B4528">
        <f t="shared" si="71"/>
        <v>5</v>
      </c>
      <c r="C4528" s="5">
        <v>127.5</v>
      </c>
    </row>
    <row r="4529" spans="1:3" x14ac:dyDescent="0.35">
      <c r="A4529" s="9">
        <v>44341</v>
      </c>
      <c r="B4529">
        <f t="shared" si="71"/>
        <v>5</v>
      </c>
      <c r="C4529" s="5">
        <v>127.5</v>
      </c>
    </row>
    <row r="4530" spans="1:3" x14ac:dyDescent="0.35">
      <c r="A4530" s="9">
        <v>44342</v>
      </c>
      <c r="B4530">
        <f t="shared" si="71"/>
        <v>5</v>
      </c>
      <c r="C4530" s="5">
        <v>126.9</v>
      </c>
    </row>
    <row r="4531" spans="1:3" x14ac:dyDescent="0.35">
      <c r="A4531" s="9">
        <v>44343</v>
      </c>
      <c r="B4531">
        <f t="shared" si="71"/>
        <v>5</v>
      </c>
      <c r="C4531" s="5">
        <v>126</v>
      </c>
    </row>
    <row r="4532" spans="1:3" x14ac:dyDescent="0.35">
      <c r="A4532" s="9">
        <v>44344</v>
      </c>
      <c r="B4532">
        <f t="shared" si="71"/>
        <v>5</v>
      </c>
      <c r="C4532" s="5">
        <v>125.2</v>
      </c>
    </row>
    <row r="4533" spans="1:3" x14ac:dyDescent="0.35">
      <c r="A4533" s="9">
        <v>44345</v>
      </c>
      <c r="B4533">
        <f t="shared" si="71"/>
        <v>5</v>
      </c>
      <c r="C4533" s="5">
        <v>124.8</v>
      </c>
    </row>
    <row r="4534" spans="1:3" x14ac:dyDescent="0.35">
      <c r="A4534" s="9">
        <v>44346</v>
      </c>
      <c r="B4534">
        <f t="shared" si="71"/>
        <v>5</v>
      </c>
      <c r="C4534" s="5">
        <v>124.6</v>
      </c>
    </row>
    <row r="4535" spans="1:3" x14ac:dyDescent="0.35">
      <c r="A4535" s="9">
        <v>44347</v>
      </c>
      <c r="B4535">
        <f t="shared" si="71"/>
        <v>5</v>
      </c>
      <c r="C4535" s="5">
        <v>124.5</v>
      </c>
    </row>
    <row r="4536" spans="1:3" x14ac:dyDescent="0.35">
      <c r="A4536" s="9">
        <v>44348</v>
      </c>
      <c r="B4536">
        <f t="shared" si="71"/>
        <v>6</v>
      </c>
      <c r="C4536" s="5">
        <v>124.4</v>
      </c>
    </row>
    <row r="4537" spans="1:3" x14ac:dyDescent="0.35">
      <c r="A4537" s="9">
        <v>44349</v>
      </c>
      <c r="B4537">
        <f t="shared" si="71"/>
        <v>6</v>
      </c>
      <c r="C4537" s="5">
        <v>83.3</v>
      </c>
    </row>
    <row r="4538" spans="1:3" x14ac:dyDescent="0.35">
      <c r="A4538" s="9">
        <v>44350</v>
      </c>
      <c r="B4538">
        <f t="shared" si="71"/>
        <v>6</v>
      </c>
      <c r="C4538" s="5">
        <v>85.1</v>
      </c>
    </row>
    <row r="4539" spans="1:3" x14ac:dyDescent="0.35">
      <c r="A4539" s="9">
        <v>44351</v>
      </c>
      <c r="B4539">
        <f t="shared" si="71"/>
        <v>6</v>
      </c>
      <c r="C4539" s="5">
        <v>89.5</v>
      </c>
    </row>
    <row r="4540" spans="1:3" x14ac:dyDescent="0.35">
      <c r="A4540" s="9">
        <v>44352</v>
      </c>
      <c r="B4540">
        <f t="shared" si="71"/>
        <v>6</v>
      </c>
      <c r="C4540" s="5">
        <v>94.5</v>
      </c>
    </row>
    <row r="4541" spans="1:3" x14ac:dyDescent="0.35">
      <c r="A4541" s="9">
        <v>44353</v>
      </c>
      <c r="B4541">
        <f t="shared" si="71"/>
        <v>6</v>
      </c>
      <c r="C4541" s="5">
        <v>96.8</v>
      </c>
    </row>
    <row r="4542" spans="1:3" x14ac:dyDescent="0.35">
      <c r="A4542" s="9">
        <v>44354</v>
      </c>
      <c r="B4542">
        <f t="shared" si="71"/>
        <v>6</v>
      </c>
      <c r="C4542" s="5">
        <v>97.5</v>
      </c>
    </row>
    <row r="4543" spans="1:3" x14ac:dyDescent="0.35">
      <c r="A4543" s="9">
        <v>44355</v>
      </c>
      <c r="B4543">
        <f t="shared" si="71"/>
        <v>6</v>
      </c>
      <c r="C4543" s="5">
        <v>96.9</v>
      </c>
    </row>
    <row r="4544" spans="1:3" x14ac:dyDescent="0.35">
      <c r="A4544" s="9">
        <v>44356</v>
      </c>
      <c r="B4544">
        <f t="shared" si="71"/>
        <v>6</v>
      </c>
      <c r="C4544" s="5">
        <v>94.4</v>
      </c>
    </row>
    <row r="4545" spans="1:3" x14ac:dyDescent="0.35">
      <c r="A4545" s="9">
        <v>44357</v>
      </c>
      <c r="B4545">
        <f t="shared" si="71"/>
        <v>6</v>
      </c>
      <c r="C4545" s="5">
        <v>91.7</v>
      </c>
    </row>
    <row r="4546" spans="1:3" x14ac:dyDescent="0.35">
      <c r="A4546" s="9">
        <v>44358</v>
      </c>
      <c r="B4546">
        <f t="shared" si="71"/>
        <v>6</v>
      </c>
      <c r="C4546" s="5">
        <v>88.9</v>
      </c>
    </row>
    <row r="4547" spans="1:3" x14ac:dyDescent="0.35">
      <c r="A4547" s="9">
        <v>44359</v>
      </c>
      <c r="B4547">
        <f t="shared" si="71"/>
        <v>6</v>
      </c>
      <c r="C4547" s="5">
        <v>86.7</v>
      </c>
    </row>
    <row r="4548" spans="1:3" x14ac:dyDescent="0.35">
      <c r="A4548" s="9">
        <v>44360</v>
      </c>
      <c r="B4548">
        <f t="shared" ref="B4548:B4611" si="72">MONTH(A4548)</f>
        <v>6</v>
      </c>
      <c r="C4548" s="5">
        <v>85.4</v>
      </c>
    </row>
    <row r="4549" spans="1:3" x14ac:dyDescent="0.35">
      <c r="A4549" s="9">
        <v>44361</v>
      </c>
      <c r="B4549">
        <f t="shared" si="72"/>
        <v>6</v>
      </c>
      <c r="C4549" s="5">
        <v>84.6</v>
      </c>
    </row>
    <row r="4550" spans="1:3" x14ac:dyDescent="0.35">
      <c r="A4550" s="9">
        <v>44362</v>
      </c>
      <c r="B4550">
        <f t="shared" si="72"/>
        <v>6</v>
      </c>
      <c r="C4550" s="5">
        <v>84</v>
      </c>
    </row>
    <row r="4551" spans="1:3" x14ac:dyDescent="0.35">
      <c r="A4551" s="9">
        <v>44363</v>
      </c>
      <c r="B4551">
        <f t="shared" si="72"/>
        <v>6</v>
      </c>
      <c r="C4551" s="5">
        <v>83.7</v>
      </c>
    </row>
    <row r="4552" spans="1:3" x14ac:dyDescent="0.35">
      <c r="A4552" s="9">
        <v>44364</v>
      </c>
      <c r="B4552">
        <f t="shared" si="72"/>
        <v>6</v>
      </c>
      <c r="C4552" s="5">
        <v>83.4</v>
      </c>
    </row>
    <row r="4553" spans="1:3" x14ac:dyDescent="0.35">
      <c r="A4553" s="9">
        <v>44365</v>
      </c>
      <c r="B4553">
        <f t="shared" si="72"/>
        <v>6</v>
      </c>
      <c r="C4553" s="5">
        <v>84.2</v>
      </c>
    </row>
    <row r="4554" spans="1:3" x14ac:dyDescent="0.35">
      <c r="A4554" s="9">
        <v>44366</v>
      </c>
      <c r="B4554">
        <f t="shared" si="72"/>
        <v>6</v>
      </c>
      <c r="C4554" s="5">
        <v>86.2</v>
      </c>
    </row>
    <row r="4555" spans="1:3" x14ac:dyDescent="0.35">
      <c r="A4555" s="9">
        <v>44367</v>
      </c>
      <c r="B4555">
        <f t="shared" si="72"/>
        <v>6</v>
      </c>
      <c r="C4555" s="5">
        <v>88.5</v>
      </c>
    </row>
    <row r="4556" spans="1:3" x14ac:dyDescent="0.35">
      <c r="A4556" s="9">
        <v>44368</v>
      </c>
      <c r="B4556">
        <f t="shared" si="72"/>
        <v>6</v>
      </c>
      <c r="C4556" s="5">
        <v>88.9</v>
      </c>
    </row>
    <row r="4557" spans="1:3" x14ac:dyDescent="0.35">
      <c r="A4557" s="9">
        <v>44369</v>
      </c>
      <c r="B4557">
        <f t="shared" si="72"/>
        <v>6</v>
      </c>
      <c r="C4557" s="5">
        <v>88</v>
      </c>
    </row>
    <row r="4558" spans="1:3" x14ac:dyDescent="0.35">
      <c r="A4558" s="9">
        <v>44370</v>
      </c>
      <c r="B4558">
        <f t="shared" si="72"/>
        <v>6</v>
      </c>
      <c r="C4558" s="5">
        <v>86.5</v>
      </c>
    </row>
    <row r="4559" spans="1:3" x14ac:dyDescent="0.35">
      <c r="A4559" s="9">
        <v>44371</v>
      </c>
      <c r="B4559">
        <f t="shared" si="72"/>
        <v>6</v>
      </c>
      <c r="C4559" s="5">
        <v>85.1</v>
      </c>
    </row>
    <row r="4560" spans="1:3" x14ac:dyDescent="0.35">
      <c r="A4560" s="9">
        <v>44372</v>
      </c>
      <c r="B4560">
        <f t="shared" si="72"/>
        <v>6</v>
      </c>
      <c r="C4560" s="5">
        <v>84.4</v>
      </c>
    </row>
    <row r="4561" spans="1:3" x14ac:dyDescent="0.35">
      <c r="A4561" s="9">
        <v>44373</v>
      </c>
      <c r="B4561">
        <f t="shared" si="72"/>
        <v>6</v>
      </c>
      <c r="C4561" s="5">
        <v>83.9</v>
      </c>
    </row>
    <row r="4562" spans="1:3" x14ac:dyDescent="0.35">
      <c r="A4562" s="9">
        <v>44374</v>
      </c>
      <c r="B4562">
        <f t="shared" si="72"/>
        <v>6</v>
      </c>
      <c r="C4562" s="5">
        <v>83.6</v>
      </c>
    </row>
    <row r="4563" spans="1:3" x14ac:dyDescent="0.35">
      <c r="A4563" s="9">
        <v>44375</v>
      </c>
      <c r="B4563">
        <f t="shared" si="72"/>
        <v>6</v>
      </c>
      <c r="C4563" s="5">
        <v>83.4</v>
      </c>
    </row>
    <row r="4564" spans="1:3" x14ac:dyDescent="0.35">
      <c r="A4564" s="9">
        <v>44376</v>
      </c>
      <c r="B4564">
        <f t="shared" si="72"/>
        <v>6</v>
      </c>
      <c r="C4564" s="5">
        <v>83.3</v>
      </c>
    </row>
    <row r="4565" spans="1:3" x14ac:dyDescent="0.35">
      <c r="A4565" s="9">
        <v>44377</v>
      </c>
      <c r="B4565">
        <f t="shared" si="72"/>
        <v>6</v>
      </c>
      <c r="C4565" s="5">
        <v>83.4</v>
      </c>
    </row>
    <row r="4566" spans="1:3" x14ac:dyDescent="0.35">
      <c r="A4566" s="9">
        <v>44378</v>
      </c>
      <c r="B4566">
        <f t="shared" si="72"/>
        <v>7</v>
      </c>
      <c r="C4566" s="5">
        <v>83.5</v>
      </c>
    </row>
    <row r="4567" spans="1:3" x14ac:dyDescent="0.35">
      <c r="A4567" s="9">
        <v>44379</v>
      </c>
      <c r="B4567">
        <f t="shared" si="72"/>
        <v>7</v>
      </c>
      <c r="C4567" s="5">
        <v>60.4</v>
      </c>
    </row>
    <row r="4568" spans="1:3" x14ac:dyDescent="0.35">
      <c r="A4568" s="9">
        <v>44380</v>
      </c>
      <c r="B4568">
        <f t="shared" si="72"/>
        <v>7</v>
      </c>
      <c r="C4568" s="5">
        <v>60.4</v>
      </c>
    </row>
    <row r="4569" spans="1:3" x14ac:dyDescent="0.35">
      <c r="A4569" s="9">
        <v>44381</v>
      </c>
      <c r="B4569">
        <f t="shared" si="72"/>
        <v>7</v>
      </c>
      <c r="C4569" s="5">
        <v>60.2</v>
      </c>
    </row>
    <row r="4570" spans="1:3" x14ac:dyDescent="0.35">
      <c r="A4570" s="9">
        <v>44382</v>
      </c>
      <c r="B4570">
        <f t="shared" si="72"/>
        <v>7</v>
      </c>
      <c r="C4570" s="5">
        <v>60.2</v>
      </c>
    </row>
    <row r="4571" spans="1:3" x14ac:dyDescent="0.35">
      <c r="A4571" s="9">
        <v>44383</v>
      </c>
      <c r="B4571">
        <f t="shared" si="72"/>
        <v>7</v>
      </c>
      <c r="C4571" s="5">
        <v>60.2</v>
      </c>
    </row>
    <row r="4572" spans="1:3" x14ac:dyDescent="0.35">
      <c r="A4572" s="9">
        <v>44384</v>
      </c>
      <c r="B4572">
        <f t="shared" si="72"/>
        <v>7</v>
      </c>
      <c r="C4572" s="5">
        <v>60.3</v>
      </c>
    </row>
    <row r="4573" spans="1:3" x14ac:dyDescent="0.35">
      <c r="A4573" s="9">
        <v>44385</v>
      </c>
      <c r="B4573">
        <f t="shared" si="72"/>
        <v>7</v>
      </c>
      <c r="C4573" s="5">
        <v>60.4</v>
      </c>
    </row>
    <row r="4574" spans="1:3" x14ac:dyDescent="0.35">
      <c r="A4574" s="9">
        <v>44386</v>
      </c>
      <c r="B4574">
        <f t="shared" si="72"/>
        <v>7</v>
      </c>
      <c r="C4574" s="5">
        <v>60.4</v>
      </c>
    </row>
    <row r="4575" spans="1:3" x14ac:dyDescent="0.35">
      <c r="A4575" s="9">
        <v>44387</v>
      </c>
      <c r="B4575">
        <f t="shared" si="72"/>
        <v>7</v>
      </c>
      <c r="C4575" s="5">
        <v>60.3</v>
      </c>
    </row>
    <row r="4576" spans="1:3" x14ac:dyDescent="0.35">
      <c r="A4576" s="9">
        <v>44388</v>
      </c>
      <c r="B4576">
        <f t="shared" si="72"/>
        <v>7</v>
      </c>
      <c r="C4576" s="5">
        <v>60.2</v>
      </c>
    </row>
    <row r="4577" spans="1:3" x14ac:dyDescent="0.35">
      <c r="A4577" s="9">
        <v>44389</v>
      </c>
      <c r="B4577">
        <f t="shared" si="72"/>
        <v>7</v>
      </c>
      <c r="C4577" s="5">
        <v>60.1</v>
      </c>
    </row>
    <row r="4578" spans="1:3" x14ac:dyDescent="0.35">
      <c r="A4578" s="9">
        <v>44390</v>
      </c>
      <c r="B4578">
        <f t="shared" si="72"/>
        <v>7</v>
      </c>
      <c r="C4578" s="5">
        <v>60.1</v>
      </c>
    </row>
    <row r="4579" spans="1:3" x14ac:dyDescent="0.35">
      <c r="A4579" s="9">
        <v>44391</v>
      </c>
      <c r="B4579">
        <f t="shared" si="72"/>
        <v>7</v>
      </c>
      <c r="C4579" s="5">
        <v>60.1</v>
      </c>
    </row>
    <row r="4580" spans="1:3" x14ac:dyDescent="0.35">
      <c r="A4580" s="9">
        <v>44392</v>
      </c>
      <c r="B4580">
        <f t="shared" si="72"/>
        <v>7</v>
      </c>
      <c r="C4580" s="5">
        <v>60</v>
      </c>
    </row>
    <row r="4581" spans="1:3" x14ac:dyDescent="0.35">
      <c r="A4581" s="9">
        <v>44393</v>
      </c>
      <c r="B4581">
        <f t="shared" si="72"/>
        <v>7</v>
      </c>
      <c r="C4581" s="5">
        <v>60</v>
      </c>
    </row>
    <row r="4582" spans="1:3" x14ac:dyDescent="0.35">
      <c r="A4582" s="9">
        <v>44394</v>
      </c>
      <c r="B4582">
        <f t="shared" si="72"/>
        <v>7</v>
      </c>
      <c r="C4582" s="5">
        <v>60</v>
      </c>
    </row>
    <row r="4583" spans="1:3" x14ac:dyDescent="0.35">
      <c r="A4583" s="9">
        <v>44395</v>
      </c>
      <c r="B4583">
        <f t="shared" si="72"/>
        <v>7</v>
      </c>
      <c r="C4583" s="5">
        <v>60</v>
      </c>
    </row>
    <row r="4584" spans="1:3" x14ac:dyDescent="0.35">
      <c r="A4584" s="9">
        <v>44396</v>
      </c>
      <c r="B4584">
        <f t="shared" si="72"/>
        <v>7</v>
      </c>
      <c r="C4584" s="5">
        <v>60</v>
      </c>
    </row>
    <row r="4585" spans="1:3" x14ac:dyDescent="0.35">
      <c r="A4585" s="9">
        <v>44397</v>
      </c>
      <c r="B4585">
        <f t="shared" si="72"/>
        <v>7</v>
      </c>
      <c r="C4585" s="5">
        <v>60</v>
      </c>
    </row>
    <row r="4586" spans="1:3" x14ac:dyDescent="0.35">
      <c r="A4586" s="9">
        <v>44398</v>
      </c>
      <c r="B4586">
        <f t="shared" si="72"/>
        <v>7</v>
      </c>
      <c r="C4586" s="5">
        <v>60</v>
      </c>
    </row>
    <row r="4587" spans="1:3" x14ac:dyDescent="0.35">
      <c r="A4587" s="9">
        <v>44399</v>
      </c>
      <c r="B4587">
        <f t="shared" si="72"/>
        <v>7</v>
      </c>
      <c r="C4587" s="5">
        <v>60</v>
      </c>
    </row>
    <row r="4588" spans="1:3" x14ac:dyDescent="0.35">
      <c r="A4588" s="9">
        <v>44400</v>
      </c>
      <c r="B4588">
        <f t="shared" si="72"/>
        <v>7</v>
      </c>
      <c r="C4588" s="5">
        <v>60</v>
      </c>
    </row>
    <row r="4589" spans="1:3" x14ac:dyDescent="0.35">
      <c r="A4589" s="9">
        <v>44401</v>
      </c>
      <c r="B4589">
        <f t="shared" si="72"/>
        <v>7</v>
      </c>
      <c r="C4589" s="5">
        <v>60</v>
      </c>
    </row>
    <row r="4590" spans="1:3" x14ac:dyDescent="0.35">
      <c r="A4590" s="9">
        <v>44402</v>
      </c>
      <c r="B4590">
        <f t="shared" si="72"/>
        <v>7</v>
      </c>
      <c r="C4590" s="5">
        <v>60</v>
      </c>
    </row>
    <row r="4591" spans="1:3" x14ac:dyDescent="0.35">
      <c r="A4591" s="9">
        <v>44403</v>
      </c>
      <c r="B4591">
        <f t="shared" si="72"/>
        <v>7</v>
      </c>
      <c r="C4591" s="5">
        <v>60</v>
      </c>
    </row>
    <row r="4592" spans="1:3" x14ac:dyDescent="0.35">
      <c r="A4592" s="9">
        <v>44404</v>
      </c>
      <c r="B4592">
        <f t="shared" si="72"/>
        <v>7</v>
      </c>
      <c r="C4592" s="5">
        <v>60</v>
      </c>
    </row>
    <row r="4593" spans="1:3" x14ac:dyDescent="0.35">
      <c r="A4593" s="9">
        <v>44405</v>
      </c>
      <c r="B4593">
        <f t="shared" si="72"/>
        <v>7</v>
      </c>
      <c r="C4593" s="5">
        <v>60</v>
      </c>
    </row>
    <row r="4594" spans="1:3" x14ac:dyDescent="0.35">
      <c r="A4594" s="9">
        <v>44406</v>
      </c>
      <c r="B4594">
        <f t="shared" si="72"/>
        <v>7</v>
      </c>
      <c r="C4594" s="5">
        <v>60</v>
      </c>
    </row>
    <row r="4595" spans="1:3" x14ac:dyDescent="0.35">
      <c r="A4595" s="9">
        <v>44407</v>
      </c>
      <c r="B4595">
        <f t="shared" si="72"/>
        <v>7</v>
      </c>
      <c r="C4595" s="5">
        <v>60</v>
      </c>
    </row>
    <row r="4596" spans="1:3" x14ac:dyDescent="0.35">
      <c r="A4596" s="9">
        <v>44408</v>
      </c>
      <c r="B4596">
        <f t="shared" si="72"/>
        <v>7</v>
      </c>
      <c r="C4596" s="5">
        <v>60</v>
      </c>
    </row>
    <row r="4597" spans="1:3" x14ac:dyDescent="0.35">
      <c r="A4597" s="9">
        <v>44409</v>
      </c>
      <c r="B4597">
        <f t="shared" si="72"/>
        <v>8</v>
      </c>
      <c r="C4597" s="5">
        <v>60</v>
      </c>
    </row>
    <row r="4598" spans="1:3" x14ac:dyDescent="0.35">
      <c r="A4598" s="9">
        <v>44410</v>
      </c>
      <c r="B4598">
        <f t="shared" si="72"/>
        <v>8</v>
      </c>
      <c r="C4598" s="5">
        <v>65</v>
      </c>
    </row>
    <row r="4599" spans="1:3" x14ac:dyDescent="0.35">
      <c r="A4599" s="9">
        <v>44411</v>
      </c>
      <c r="B4599">
        <f t="shared" si="72"/>
        <v>8</v>
      </c>
      <c r="C4599" s="5">
        <v>65</v>
      </c>
    </row>
    <row r="4600" spans="1:3" x14ac:dyDescent="0.35">
      <c r="A4600" s="9">
        <v>44412</v>
      </c>
      <c r="B4600">
        <f t="shared" si="72"/>
        <v>8</v>
      </c>
      <c r="C4600" s="5">
        <v>65.3</v>
      </c>
    </row>
    <row r="4601" spans="1:3" x14ac:dyDescent="0.35">
      <c r="A4601" s="9">
        <v>44413</v>
      </c>
      <c r="B4601">
        <f t="shared" si="72"/>
        <v>8</v>
      </c>
      <c r="C4601" s="5">
        <v>65.900000000000006</v>
      </c>
    </row>
    <row r="4602" spans="1:3" x14ac:dyDescent="0.35">
      <c r="A4602" s="9">
        <v>44414</v>
      </c>
      <c r="B4602">
        <f t="shared" si="72"/>
        <v>8</v>
      </c>
      <c r="C4602" s="5">
        <v>67.3</v>
      </c>
    </row>
    <row r="4603" spans="1:3" x14ac:dyDescent="0.35">
      <c r="A4603" s="9">
        <v>44415</v>
      </c>
      <c r="B4603">
        <f t="shared" si="72"/>
        <v>8</v>
      </c>
      <c r="C4603" s="5">
        <v>69</v>
      </c>
    </row>
    <row r="4604" spans="1:3" x14ac:dyDescent="0.35">
      <c r="A4604" s="9">
        <v>44416</v>
      </c>
      <c r="B4604">
        <f t="shared" si="72"/>
        <v>8</v>
      </c>
      <c r="C4604" s="5">
        <v>70.599999999999994</v>
      </c>
    </row>
    <row r="4605" spans="1:3" x14ac:dyDescent="0.35">
      <c r="A4605" s="9">
        <v>44417</v>
      </c>
      <c r="B4605">
        <f t="shared" si="72"/>
        <v>8</v>
      </c>
      <c r="C4605" s="5">
        <v>70.5</v>
      </c>
    </row>
    <row r="4606" spans="1:3" x14ac:dyDescent="0.35">
      <c r="A4606" s="9">
        <v>44418</v>
      </c>
      <c r="B4606">
        <f t="shared" si="72"/>
        <v>8</v>
      </c>
      <c r="C4606" s="5">
        <v>69.400000000000006</v>
      </c>
    </row>
    <row r="4607" spans="1:3" x14ac:dyDescent="0.35">
      <c r="A4607" s="9">
        <v>44419</v>
      </c>
      <c r="B4607">
        <f t="shared" si="72"/>
        <v>8</v>
      </c>
      <c r="C4607" s="5">
        <v>68.400000000000006</v>
      </c>
    </row>
    <row r="4608" spans="1:3" x14ac:dyDescent="0.35">
      <c r="A4608" s="9">
        <v>44420</v>
      </c>
      <c r="B4608">
        <f t="shared" si="72"/>
        <v>8</v>
      </c>
      <c r="C4608" s="5">
        <v>71</v>
      </c>
    </row>
    <row r="4609" spans="1:3" x14ac:dyDescent="0.35">
      <c r="A4609" s="9">
        <v>44421</v>
      </c>
      <c r="B4609">
        <f t="shared" si="72"/>
        <v>8</v>
      </c>
      <c r="C4609" s="5">
        <v>78.5</v>
      </c>
    </row>
    <row r="4610" spans="1:3" x14ac:dyDescent="0.35">
      <c r="A4610" s="9">
        <v>44422</v>
      </c>
      <c r="B4610">
        <f t="shared" si="72"/>
        <v>8</v>
      </c>
      <c r="C4610" s="5">
        <v>86.6</v>
      </c>
    </row>
    <row r="4611" spans="1:3" x14ac:dyDescent="0.35">
      <c r="A4611" s="9">
        <v>44423</v>
      </c>
      <c r="B4611">
        <f t="shared" si="72"/>
        <v>8</v>
      </c>
      <c r="C4611" s="5">
        <v>88</v>
      </c>
    </row>
    <row r="4612" spans="1:3" x14ac:dyDescent="0.35">
      <c r="A4612" s="9">
        <v>44424</v>
      </c>
      <c r="B4612">
        <f t="shared" ref="B4612:B4675" si="73">MONTH(A4612)</f>
        <v>8</v>
      </c>
      <c r="C4612" s="5">
        <v>84.7</v>
      </c>
    </row>
    <row r="4613" spans="1:3" x14ac:dyDescent="0.35">
      <c r="A4613" s="9">
        <v>44425</v>
      </c>
      <c r="B4613">
        <f t="shared" si="73"/>
        <v>8</v>
      </c>
      <c r="C4613" s="5">
        <v>79.2</v>
      </c>
    </row>
    <row r="4614" spans="1:3" x14ac:dyDescent="0.35">
      <c r="A4614" s="9">
        <v>44426</v>
      </c>
      <c r="B4614">
        <f t="shared" si="73"/>
        <v>8</v>
      </c>
      <c r="C4614" s="5">
        <v>76</v>
      </c>
    </row>
    <row r="4615" spans="1:3" x14ac:dyDescent="0.35">
      <c r="A4615" s="9">
        <v>44427</v>
      </c>
      <c r="B4615">
        <f t="shared" si="73"/>
        <v>8</v>
      </c>
      <c r="C4615" s="5">
        <v>77.7</v>
      </c>
    </row>
    <row r="4616" spans="1:3" x14ac:dyDescent="0.35">
      <c r="A4616" s="9">
        <v>44428</v>
      </c>
      <c r="B4616">
        <f t="shared" si="73"/>
        <v>8</v>
      </c>
      <c r="C4616" s="5">
        <v>82.8</v>
      </c>
    </row>
    <row r="4617" spans="1:3" x14ac:dyDescent="0.35">
      <c r="A4617" s="9">
        <v>44429</v>
      </c>
      <c r="B4617">
        <f t="shared" si="73"/>
        <v>8</v>
      </c>
      <c r="C4617" s="5">
        <v>88.7</v>
      </c>
    </row>
    <row r="4618" spans="1:3" x14ac:dyDescent="0.35">
      <c r="A4618" s="9">
        <v>44430</v>
      </c>
      <c r="B4618">
        <f t="shared" si="73"/>
        <v>8</v>
      </c>
      <c r="C4618" s="5">
        <v>94.4</v>
      </c>
    </row>
    <row r="4619" spans="1:3" x14ac:dyDescent="0.35">
      <c r="A4619" s="9">
        <v>44431</v>
      </c>
      <c r="B4619">
        <f t="shared" si="73"/>
        <v>8</v>
      </c>
      <c r="C4619" s="5">
        <v>97.9</v>
      </c>
    </row>
    <row r="4620" spans="1:3" x14ac:dyDescent="0.35">
      <c r="A4620" s="9">
        <v>44432</v>
      </c>
      <c r="B4620">
        <f t="shared" si="73"/>
        <v>8</v>
      </c>
      <c r="C4620" s="5">
        <v>100.1</v>
      </c>
    </row>
    <row r="4621" spans="1:3" x14ac:dyDescent="0.35">
      <c r="A4621" s="9">
        <v>44433</v>
      </c>
      <c r="B4621">
        <f t="shared" si="73"/>
        <v>8</v>
      </c>
      <c r="C4621" s="5">
        <v>103.1</v>
      </c>
    </row>
    <row r="4622" spans="1:3" x14ac:dyDescent="0.35">
      <c r="A4622" s="9">
        <v>44434</v>
      </c>
      <c r="B4622">
        <f t="shared" si="73"/>
        <v>8</v>
      </c>
      <c r="C4622" s="5">
        <v>103.8</v>
      </c>
    </row>
    <row r="4623" spans="1:3" x14ac:dyDescent="0.35">
      <c r="A4623" s="9">
        <v>44435</v>
      </c>
      <c r="B4623">
        <f t="shared" si="73"/>
        <v>8</v>
      </c>
      <c r="C4623" s="5">
        <v>102.8</v>
      </c>
    </row>
    <row r="4624" spans="1:3" x14ac:dyDescent="0.35">
      <c r="A4624" s="9">
        <v>44436</v>
      </c>
      <c r="B4624">
        <f t="shared" si="73"/>
        <v>8</v>
      </c>
      <c r="C4624" s="5">
        <v>103.7</v>
      </c>
    </row>
    <row r="4625" spans="1:3" x14ac:dyDescent="0.35">
      <c r="A4625" s="9">
        <v>44437</v>
      </c>
      <c r="B4625">
        <f t="shared" si="73"/>
        <v>8</v>
      </c>
      <c r="C4625" s="5">
        <v>105.3</v>
      </c>
    </row>
    <row r="4626" spans="1:3" x14ac:dyDescent="0.35">
      <c r="A4626" s="9">
        <v>44438</v>
      </c>
      <c r="B4626">
        <f t="shared" si="73"/>
        <v>8</v>
      </c>
      <c r="C4626" s="5">
        <v>106.5</v>
      </c>
    </row>
    <row r="4627" spans="1:3" x14ac:dyDescent="0.35">
      <c r="A4627" s="9">
        <v>44439</v>
      </c>
      <c r="B4627">
        <f t="shared" si="73"/>
        <v>8</v>
      </c>
      <c r="C4627" s="5">
        <v>108.2</v>
      </c>
    </row>
    <row r="4628" spans="1:3" x14ac:dyDescent="0.35">
      <c r="A4628" s="9">
        <v>44440</v>
      </c>
      <c r="B4628">
        <f t="shared" si="73"/>
        <v>9</v>
      </c>
      <c r="C4628" s="5">
        <v>108.5</v>
      </c>
    </row>
    <row r="4629" spans="1:3" x14ac:dyDescent="0.35">
      <c r="A4629" s="9">
        <v>44441</v>
      </c>
      <c r="B4629">
        <f t="shared" si="73"/>
        <v>9</v>
      </c>
      <c r="C4629" s="5">
        <v>131.19999999999999</v>
      </c>
    </row>
    <row r="4630" spans="1:3" x14ac:dyDescent="0.35">
      <c r="A4630" s="9">
        <v>44442</v>
      </c>
      <c r="B4630">
        <f t="shared" si="73"/>
        <v>9</v>
      </c>
      <c r="C4630" s="5">
        <v>127.9</v>
      </c>
    </row>
    <row r="4631" spans="1:3" x14ac:dyDescent="0.35">
      <c r="A4631" s="9">
        <v>44443</v>
      </c>
      <c r="B4631">
        <f t="shared" si="73"/>
        <v>9</v>
      </c>
      <c r="C4631" s="5">
        <v>126.7</v>
      </c>
    </row>
    <row r="4632" spans="1:3" x14ac:dyDescent="0.35">
      <c r="A4632" s="9">
        <v>44444</v>
      </c>
      <c r="B4632">
        <f t="shared" si="73"/>
        <v>9</v>
      </c>
      <c r="C4632" s="5">
        <v>128.30000000000001</v>
      </c>
    </row>
    <row r="4633" spans="1:3" x14ac:dyDescent="0.35">
      <c r="A4633" s="9">
        <v>44445</v>
      </c>
      <c r="B4633">
        <f t="shared" si="73"/>
        <v>9</v>
      </c>
      <c r="C4633" s="5">
        <v>133.5</v>
      </c>
    </row>
    <row r="4634" spans="1:3" x14ac:dyDescent="0.35">
      <c r="A4634" s="9">
        <v>44446</v>
      </c>
      <c r="B4634">
        <f t="shared" si="73"/>
        <v>9</v>
      </c>
      <c r="C4634" s="5">
        <v>141.9</v>
      </c>
    </row>
    <row r="4635" spans="1:3" x14ac:dyDescent="0.35">
      <c r="A4635" s="9">
        <v>44447</v>
      </c>
      <c r="B4635">
        <f t="shared" si="73"/>
        <v>9</v>
      </c>
      <c r="C4635" s="5">
        <v>149.30000000000001</v>
      </c>
    </row>
    <row r="4636" spans="1:3" x14ac:dyDescent="0.35">
      <c r="A4636" s="9">
        <v>44448</v>
      </c>
      <c r="B4636">
        <f t="shared" si="73"/>
        <v>9</v>
      </c>
      <c r="C4636" s="5">
        <v>156.9</v>
      </c>
    </row>
    <row r="4637" spans="1:3" x14ac:dyDescent="0.35">
      <c r="A4637" s="9">
        <v>44449</v>
      </c>
      <c r="B4637">
        <f t="shared" si="73"/>
        <v>9</v>
      </c>
      <c r="C4637" s="5">
        <v>156.6</v>
      </c>
    </row>
    <row r="4638" spans="1:3" x14ac:dyDescent="0.35">
      <c r="A4638" s="9">
        <v>44450</v>
      </c>
      <c r="B4638">
        <f t="shared" si="73"/>
        <v>9</v>
      </c>
      <c r="C4638" s="5">
        <v>151.9</v>
      </c>
    </row>
    <row r="4639" spans="1:3" x14ac:dyDescent="0.35">
      <c r="A4639" s="9">
        <v>44451</v>
      </c>
      <c r="B4639">
        <f t="shared" si="73"/>
        <v>9</v>
      </c>
      <c r="C4639" s="5">
        <v>143.4</v>
      </c>
    </row>
    <row r="4640" spans="1:3" x14ac:dyDescent="0.35">
      <c r="A4640" s="9">
        <v>44452</v>
      </c>
      <c r="B4640">
        <f t="shared" si="73"/>
        <v>9</v>
      </c>
      <c r="C4640" s="5">
        <v>133.1</v>
      </c>
    </row>
    <row r="4641" spans="1:3" x14ac:dyDescent="0.35">
      <c r="A4641" s="9">
        <v>44453</v>
      </c>
      <c r="B4641">
        <f t="shared" si="73"/>
        <v>9</v>
      </c>
      <c r="C4641" s="5">
        <v>123.4</v>
      </c>
    </row>
    <row r="4642" spans="1:3" x14ac:dyDescent="0.35">
      <c r="A4642" s="9">
        <v>44454</v>
      </c>
      <c r="B4642">
        <f t="shared" si="73"/>
        <v>9</v>
      </c>
      <c r="C4642" s="5">
        <v>121.8</v>
      </c>
    </row>
    <row r="4643" spans="1:3" x14ac:dyDescent="0.35">
      <c r="A4643" s="9">
        <v>44455</v>
      </c>
      <c r="B4643">
        <f t="shared" si="73"/>
        <v>9</v>
      </c>
      <c r="C4643" s="5">
        <v>131</v>
      </c>
    </row>
    <row r="4644" spans="1:3" x14ac:dyDescent="0.35">
      <c r="A4644" s="9">
        <v>44456</v>
      </c>
      <c r="B4644">
        <f t="shared" si="73"/>
        <v>9</v>
      </c>
      <c r="C4644" s="5">
        <v>143.1</v>
      </c>
    </row>
    <row r="4645" spans="1:3" x14ac:dyDescent="0.35">
      <c r="A4645" s="9">
        <v>44457</v>
      </c>
      <c r="B4645">
        <f t="shared" si="73"/>
        <v>9</v>
      </c>
      <c r="C4645" s="5">
        <v>146.9</v>
      </c>
    </row>
    <row r="4646" spans="1:3" x14ac:dyDescent="0.35">
      <c r="A4646" s="9">
        <v>44458</v>
      </c>
      <c r="B4646">
        <f t="shared" si="73"/>
        <v>9</v>
      </c>
      <c r="C4646" s="5">
        <v>148</v>
      </c>
    </row>
    <row r="4647" spans="1:3" x14ac:dyDescent="0.35">
      <c r="A4647" s="9">
        <v>44459</v>
      </c>
      <c r="B4647">
        <f t="shared" si="73"/>
        <v>9</v>
      </c>
      <c r="C4647" s="5">
        <v>148.1</v>
      </c>
    </row>
    <row r="4648" spans="1:3" x14ac:dyDescent="0.35">
      <c r="A4648" s="9">
        <v>44460</v>
      </c>
      <c r="B4648">
        <f t="shared" si="73"/>
        <v>9</v>
      </c>
      <c r="C4648" s="5">
        <v>143.9</v>
      </c>
    </row>
    <row r="4649" spans="1:3" x14ac:dyDescent="0.35">
      <c r="A4649" s="9">
        <v>44461</v>
      </c>
      <c r="B4649">
        <f t="shared" si="73"/>
        <v>9</v>
      </c>
      <c r="C4649" s="5">
        <v>142.6</v>
      </c>
    </row>
    <row r="4650" spans="1:3" x14ac:dyDescent="0.35">
      <c r="A4650" s="9">
        <v>44462</v>
      </c>
      <c r="B4650">
        <f t="shared" si="73"/>
        <v>9</v>
      </c>
      <c r="C4650" s="5">
        <v>150.4</v>
      </c>
    </row>
    <row r="4651" spans="1:3" x14ac:dyDescent="0.35">
      <c r="A4651" s="9">
        <v>44463</v>
      </c>
      <c r="B4651">
        <f t="shared" si="73"/>
        <v>9</v>
      </c>
      <c r="C4651" s="5">
        <v>164.9</v>
      </c>
    </row>
    <row r="4652" spans="1:3" x14ac:dyDescent="0.35">
      <c r="A4652" s="9">
        <v>44464</v>
      </c>
      <c r="B4652">
        <f t="shared" si="73"/>
        <v>9</v>
      </c>
      <c r="C4652" s="5">
        <v>172.9</v>
      </c>
    </row>
    <row r="4653" spans="1:3" x14ac:dyDescent="0.35">
      <c r="A4653" s="9">
        <v>44465</v>
      </c>
      <c r="B4653">
        <f t="shared" si="73"/>
        <v>9</v>
      </c>
      <c r="C4653" s="5">
        <v>168</v>
      </c>
    </row>
    <row r="4654" spans="1:3" x14ac:dyDescent="0.35">
      <c r="A4654" s="9">
        <v>44466</v>
      </c>
      <c r="B4654">
        <f t="shared" si="73"/>
        <v>9</v>
      </c>
      <c r="C4654" s="5">
        <v>159.30000000000001</v>
      </c>
    </row>
    <row r="4655" spans="1:3" x14ac:dyDescent="0.35">
      <c r="A4655" s="9">
        <v>44467</v>
      </c>
      <c r="B4655">
        <f t="shared" si="73"/>
        <v>9</v>
      </c>
      <c r="C4655" s="5">
        <v>155.30000000000001</v>
      </c>
    </row>
    <row r="4656" spans="1:3" x14ac:dyDescent="0.35">
      <c r="A4656" s="9">
        <v>44468</v>
      </c>
      <c r="B4656">
        <f t="shared" si="73"/>
        <v>9</v>
      </c>
      <c r="C4656" s="5">
        <v>157.6</v>
      </c>
    </row>
    <row r="4657" spans="1:3" x14ac:dyDescent="0.35">
      <c r="A4657" s="9">
        <v>44469</v>
      </c>
      <c r="B4657">
        <f t="shared" si="73"/>
        <v>9</v>
      </c>
      <c r="C4657" s="5">
        <v>160.5</v>
      </c>
    </row>
    <row r="4658" spans="1:3" x14ac:dyDescent="0.35">
      <c r="A4658" s="9">
        <v>44470</v>
      </c>
      <c r="B4658">
        <f t="shared" si="73"/>
        <v>10</v>
      </c>
      <c r="C4658" s="5">
        <v>164.9</v>
      </c>
    </row>
    <row r="4659" spans="1:3" x14ac:dyDescent="0.35">
      <c r="A4659" s="9">
        <v>44471</v>
      </c>
      <c r="B4659">
        <f t="shared" si="73"/>
        <v>10</v>
      </c>
      <c r="C4659" s="5">
        <v>182.9</v>
      </c>
    </row>
    <row r="4660" spans="1:3" x14ac:dyDescent="0.35">
      <c r="A4660" s="9">
        <v>44472</v>
      </c>
      <c r="B4660">
        <f t="shared" si="73"/>
        <v>10</v>
      </c>
      <c r="C4660" s="5">
        <v>186</v>
      </c>
    </row>
    <row r="4661" spans="1:3" x14ac:dyDescent="0.35">
      <c r="A4661" s="9">
        <v>44473</v>
      </c>
      <c r="B4661">
        <f t="shared" si="73"/>
        <v>10</v>
      </c>
      <c r="C4661" s="5">
        <v>193</v>
      </c>
    </row>
    <row r="4662" spans="1:3" x14ac:dyDescent="0.35">
      <c r="A4662" s="9">
        <v>44474</v>
      </c>
      <c r="B4662">
        <f t="shared" si="73"/>
        <v>10</v>
      </c>
      <c r="C4662" s="5">
        <v>206.2</v>
      </c>
    </row>
    <row r="4663" spans="1:3" x14ac:dyDescent="0.35">
      <c r="A4663" s="9">
        <v>44475</v>
      </c>
      <c r="B4663">
        <f t="shared" si="73"/>
        <v>10</v>
      </c>
      <c r="C4663" s="5">
        <v>217.6</v>
      </c>
    </row>
    <row r="4664" spans="1:3" x14ac:dyDescent="0.35">
      <c r="A4664" s="9">
        <v>44476</v>
      </c>
      <c r="B4664">
        <f t="shared" si="73"/>
        <v>10</v>
      </c>
      <c r="C4664" s="5">
        <v>223.3</v>
      </c>
    </row>
    <row r="4665" spans="1:3" x14ac:dyDescent="0.35">
      <c r="A4665" s="9">
        <v>44477</v>
      </c>
      <c r="B4665">
        <f t="shared" si="73"/>
        <v>10</v>
      </c>
      <c r="C4665" s="5">
        <v>211.7</v>
      </c>
    </row>
    <row r="4666" spans="1:3" x14ac:dyDescent="0.35">
      <c r="A4666" s="9">
        <v>44478</v>
      </c>
      <c r="B4666">
        <f t="shared" si="73"/>
        <v>10</v>
      </c>
      <c r="C4666" s="5">
        <v>192</v>
      </c>
    </row>
    <row r="4667" spans="1:3" x14ac:dyDescent="0.35">
      <c r="A4667" s="9">
        <v>44479</v>
      </c>
      <c r="B4667">
        <f t="shared" si="73"/>
        <v>10</v>
      </c>
      <c r="C4667" s="5">
        <v>180.2</v>
      </c>
    </row>
    <row r="4668" spans="1:3" x14ac:dyDescent="0.35">
      <c r="A4668" s="9">
        <v>44480</v>
      </c>
      <c r="B4668">
        <f t="shared" si="73"/>
        <v>10</v>
      </c>
      <c r="C4668" s="5">
        <v>187.9</v>
      </c>
    </row>
    <row r="4669" spans="1:3" x14ac:dyDescent="0.35">
      <c r="A4669" s="9">
        <v>44481</v>
      </c>
      <c r="B4669">
        <f t="shared" si="73"/>
        <v>10</v>
      </c>
      <c r="C4669" s="5">
        <v>212.2</v>
      </c>
    </row>
    <row r="4670" spans="1:3" x14ac:dyDescent="0.35">
      <c r="A4670" s="9">
        <v>44482</v>
      </c>
      <c r="B4670">
        <f t="shared" si="73"/>
        <v>10</v>
      </c>
      <c r="C4670" s="5">
        <v>226.2</v>
      </c>
    </row>
    <row r="4671" spans="1:3" x14ac:dyDescent="0.35">
      <c r="A4671" s="9">
        <v>44483</v>
      </c>
      <c r="B4671">
        <f t="shared" si="73"/>
        <v>10</v>
      </c>
      <c r="C4671" s="5">
        <v>217.3</v>
      </c>
    </row>
    <row r="4672" spans="1:3" x14ac:dyDescent="0.35">
      <c r="A4672" s="9">
        <v>44484</v>
      </c>
      <c r="B4672">
        <f t="shared" si="73"/>
        <v>10</v>
      </c>
      <c r="C4672" s="5">
        <v>200.9</v>
      </c>
    </row>
    <row r="4673" spans="1:3" x14ac:dyDescent="0.35">
      <c r="A4673" s="9">
        <v>44485</v>
      </c>
      <c r="B4673">
        <f t="shared" si="73"/>
        <v>10</v>
      </c>
      <c r="C4673" s="5">
        <v>190.4</v>
      </c>
    </row>
    <row r="4674" spans="1:3" x14ac:dyDescent="0.35">
      <c r="A4674" s="9">
        <v>44486</v>
      </c>
      <c r="B4674">
        <f t="shared" si="73"/>
        <v>10</v>
      </c>
      <c r="C4674" s="5">
        <v>189.8</v>
      </c>
    </row>
    <row r="4675" spans="1:3" x14ac:dyDescent="0.35">
      <c r="A4675" s="9">
        <v>44487</v>
      </c>
      <c r="B4675">
        <f t="shared" si="73"/>
        <v>10</v>
      </c>
      <c r="C4675" s="5">
        <v>192.6</v>
      </c>
    </row>
    <row r="4676" spans="1:3" x14ac:dyDescent="0.35">
      <c r="A4676" s="9">
        <v>44488</v>
      </c>
      <c r="B4676">
        <f t="shared" ref="B4676:B4739" si="74">MONTH(A4676)</f>
        <v>10</v>
      </c>
      <c r="C4676" s="5">
        <v>194.9</v>
      </c>
    </row>
    <row r="4677" spans="1:3" x14ac:dyDescent="0.35">
      <c r="A4677" s="9">
        <v>44489</v>
      </c>
      <c r="B4677">
        <f t="shared" si="74"/>
        <v>10</v>
      </c>
      <c r="C4677" s="5">
        <v>196.8</v>
      </c>
    </row>
    <row r="4678" spans="1:3" x14ac:dyDescent="0.35">
      <c r="A4678" s="9">
        <v>44490</v>
      </c>
      <c r="B4678">
        <f t="shared" si="74"/>
        <v>10</v>
      </c>
      <c r="C4678" s="5">
        <v>196.2</v>
      </c>
    </row>
    <row r="4679" spans="1:3" x14ac:dyDescent="0.35">
      <c r="A4679" s="9">
        <v>44491</v>
      </c>
      <c r="B4679">
        <f t="shared" si="74"/>
        <v>10</v>
      </c>
      <c r="C4679" s="5">
        <v>194.7</v>
      </c>
    </row>
    <row r="4680" spans="1:3" x14ac:dyDescent="0.35">
      <c r="A4680" s="9">
        <v>44492</v>
      </c>
      <c r="B4680">
        <f t="shared" si="74"/>
        <v>10</v>
      </c>
      <c r="C4680" s="5">
        <v>189.8</v>
      </c>
    </row>
    <row r="4681" spans="1:3" x14ac:dyDescent="0.35">
      <c r="A4681" s="9">
        <v>44493</v>
      </c>
      <c r="B4681">
        <f t="shared" si="74"/>
        <v>10</v>
      </c>
      <c r="C4681" s="5">
        <v>182.1</v>
      </c>
    </row>
    <row r="4682" spans="1:3" x14ac:dyDescent="0.35">
      <c r="A4682" s="9">
        <v>44494</v>
      </c>
      <c r="B4682">
        <f t="shared" si="74"/>
        <v>10</v>
      </c>
      <c r="C4682" s="5">
        <v>182.8</v>
      </c>
    </row>
    <row r="4683" spans="1:3" x14ac:dyDescent="0.35">
      <c r="A4683" s="9">
        <v>44495</v>
      </c>
      <c r="B4683">
        <f t="shared" si="74"/>
        <v>10</v>
      </c>
      <c r="C4683" s="5">
        <v>193.8</v>
      </c>
    </row>
    <row r="4684" spans="1:3" x14ac:dyDescent="0.35">
      <c r="A4684" s="9">
        <v>44496</v>
      </c>
      <c r="B4684">
        <f t="shared" si="74"/>
        <v>10</v>
      </c>
      <c r="C4684" s="5">
        <v>201.1</v>
      </c>
    </row>
    <row r="4685" spans="1:3" x14ac:dyDescent="0.35">
      <c r="A4685" s="9">
        <v>44497</v>
      </c>
      <c r="B4685">
        <f t="shared" si="74"/>
        <v>10</v>
      </c>
      <c r="C4685" s="5">
        <v>202</v>
      </c>
    </row>
    <row r="4686" spans="1:3" x14ac:dyDescent="0.35">
      <c r="A4686" s="9">
        <v>44498</v>
      </c>
      <c r="B4686">
        <f t="shared" si="74"/>
        <v>10</v>
      </c>
      <c r="C4686" s="5">
        <v>202.6</v>
      </c>
    </row>
    <row r="4687" spans="1:3" x14ac:dyDescent="0.35">
      <c r="A4687" s="9">
        <v>44499</v>
      </c>
      <c r="B4687">
        <f t="shared" si="74"/>
        <v>10</v>
      </c>
      <c r="C4687" s="5">
        <v>202.9</v>
      </c>
    </row>
    <row r="4688" spans="1:3" x14ac:dyDescent="0.35">
      <c r="A4688" s="9">
        <v>44500</v>
      </c>
      <c r="B4688">
        <f t="shared" si="74"/>
        <v>10</v>
      </c>
      <c r="C4688" s="5">
        <v>194.3</v>
      </c>
    </row>
    <row r="4689" spans="1:3" x14ac:dyDescent="0.35">
      <c r="A4689" s="9">
        <v>44501</v>
      </c>
      <c r="B4689">
        <f t="shared" si="74"/>
        <v>11</v>
      </c>
      <c r="C4689" s="5">
        <v>189</v>
      </c>
    </row>
    <row r="4690" spans="1:3" x14ac:dyDescent="0.35">
      <c r="A4690" s="9">
        <v>44502</v>
      </c>
      <c r="B4690">
        <f t="shared" si="74"/>
        <v>11</v>
      </c>
      <c r="C4690" s="5">
        <v>203.2</v>
      </c>
    </row>
    <row r="4691" spans="1:3" x14ac:dyDescent="0.35">
      <c r="A4691" s="9">
        <v>44503</v>
      </c>
      <c r="B4691">
        <f t="shared" si="74"/>
        <v>11</v>
      </c>
      <c r="C4691" s="5">
        <v>206.8</v>
      </c>
    </row>
    <row r="4692" spans="1:3" x14ac:dyDescent="0.35">
      <c r="A4692" s="9">
        <v>44504</v>
      </c>
      <c r="B4692">
        <f t="shared" si="74"/>
        <v>11</v>
      </c>
      <c r="C4692" s="5">
        <v>199.8</v>
      </c>
    </row>
    <row r="4693" spans="1:3" x14ac:dyDescent="0.35">
      <c r="A4693" s="9">
        <v>44505</v>
      </c>
      <c r="B4693">
        <f t="shared" si="74"/>
        <v>11</v>
      </c>
      <c r="C4693" s="5">
        <v>188.8</v>
      </c>
    </row>
    <row r="4694" spans="1:3" x14ac:dyDescent="0.35">
      <c r="A4694" s="9">
        <v>44506</v>
      </c>
      <c r="B4694">
        <f t="shared" si="74"/>
        <v>11</v>
      </c>
      <c r="C4694" s="5">
        <v>179.3</v>
      </c>
    </row>
    <row r="4695" spans="1:3" x14ac:dyDescent="0.35">
      <c r="A4695" s="9">
        <v>44507</v>
      </c>
      <c r="B4695">
        <f t="shared" si="74"/>
        <v>11</v>
      </c>
      <c r="C4695" s="5">
        <v>176.5</v>
      </c>
    </row>
    <row r="4696" spans="1:3" x14ac:dyDescent="0.35">
      <c r="A4696" s="9">
        <v>44508</v>
      </c>
      <c r="B4696">
        <f t="shared" si="74"/>
        <v>11</v>
      </c>
      <c r="C4696" s="5">
        <v>174.1</v>
      </c>
    </row>
    <row r="4697" spans="1:3" x14ac:dyDescent="0.35">
      <c r="A4697" s="9">
        <v>44509</v>
      </c>
      <c r="B4697">
        <f t="shared" si="74"/>
        <v>11</v>
      </c>
      <c r="C4697" s="5">
        <v>170.1</v>
      </c>
    </row>
    <row r="4698" spans="1:3" x14ac:dyDescent="0.35">
      <c r="A4698" s="9">
        <v>44510</v>
      </c>
      <c r="B4698">
        <f t="shared" si="74"/>
        <v>11</v>
      </c>
      <c r="C4698" s="5">
        <v>162.6</v>
      </c>
    </row>
    <row r="4699" spans="1:3" x14ac:dyDescent="0.35">
      <c r="A4699" s="9">
        <v>44511</v>
      </c>
      <c r="B4699">
        <f t="shared" si="74"/>
        <v>11</v>
      </c>
      <c r="C4699" s="5">
        <v>158.9</v>
      </c>
    </row>
    <row r="4700" spans="1:3" x14ac:dyDescent="0.35">
      <c r="A4700" s="9">
        <v>44512</v>
      </c>
      <c r="B4700">
        <f t="shared" si="74"/>
        <v>11</v>
      </c>
      <c r="C4700" s="5">
        <v>166.2</v>
      </c>
    </row>
    <row r="4701" spans="1:3" x14ac:dyDescent="0.35">
      <c r="A4701" s="9">
        <v>44513</v>
      </c>
      <c r="B4701">
        <f t="shared" si="74"/>
        <v>11</v>
      </c>
      <c r="C4701" s="5">
        <v>182.3</v>
      </c>
    </row>
    <row r="4702" spans="1:3" x14ac:dyDescent="0.35">
      <c r="A4702" s="9">
        <v>44514</v>
      </c>
      <c r="B4702">
        <f t="shared" si="74"/>
        <v>11</v>
      </c>
      <c r="C4702" s="5">
        <v>195.8</v>
      </c>
    </row>
    <row r="4703" spans="1:3" x14ac:dyDescent="0.35">
      <c r="A4703" s="9">
        <v>44515</v>
      </c>
      <c r="B4703">
        <f t="shared" si="74"/>
        <v>11</v>
      </c>
      <c r="C4703" s="5">
        <v>202</v>
      </c>
    </row>
    <row r="4704" spans="1:3" x14ac:dyDescent="0.35">
      <c r="A4704" s="9">
        <v>44516</v>
      </c>
      <c r="B4704">
        <f t="shared" si="74"/>
        <v>11</v>
      </c>
      <c r="C4704" s="5">
        <v>210.2</v>
      </c>
    </row>
    <row r="4705" spans="1:3" x14ac:dyDescent="0.35">
      <c r="A4705" s="9">
        <v>44517</v>
      </c>
      <c r="B4705">
        <f t="shared" si="74"/>
        <v>11</v>
      </c>
      <c r="C4705" s="5">
        <v>220.8</v>
      </c>
    </row>
    <row r="4706" spans="1:3" x14ac:dyDescent="0.35">
      <c r="A4706" s="9">
        <v>44518</v>
      </c>
      <c r="B4706">
        <f t="shared" si="74"/>
        <v>11</v>
      </c>
      <c r="C4706" s="5">
        <v>223.2</v>
      </c>
    </row>
    <row r="4707" spans="1:3" x14ac:dyDescent="0.35">
      <c r="A4707" s="9">
        <v>44519</v>
      </c>
      <c r="B4707">
        <f t="shared" si="74"/>
        <v>11</v>
      </c>
      <c r="C4707" s="5">
        <v>214</v>
      </c>
    </row>
    <row r="4708" spans="1:3" x14ac:dyDescent="0.35">
      <c r="A4708" s="9">
        <v>44520</v>
      </c>
      <c r="B4708">
        <f t="shared" si="74"/>
        <v>11</v>
      </c>
      <c r="C4708" s="5">
        <v>197.4</v>
      </c>
    </row>
    <row r="4709" spans="1:3" x14ac:dyDescent="0.35">
      <c r="A4709" s="9">
        <v>44521</v>
      </c>
      <c r="B4709">
        <f t="shared" si="74"/>
        <v>11</v>
      </c>
      <c r="C4709" s="5">
        <v>181.9</v>
      </c>
    </row>
    <row r="4710" spans="1:3" x14ac:dyDescent="0.35">
      <c r="A4710" s="9">
        <v>44522</v>
      </c>
      <c r="B4710">
        <f t="shared" si="74"/>
        <v>11</v>
      </c>
      <c r="C4710" s="5">
        <v>175.2</v>
      </c>
    </row>
    <row r="4711" spans="1:3" x14ac:dyDescent="0.35">
      <c r="A4711" s="9">
        <v>44523</v>
      </c>
      <c r="B4711">
        <f t="shared" si="74"/>
        <v>11</v>
      </c>
      <c r="C4711" s="5">
        <v>177.8</v>
      </c>
    </row>
    <row r="4712" spans="1:3" x14ac:dyDescent="0.35">
      <c r="A4712" s="9">
        <v>44524</v>
      </c>
      <c r="B4712">
        <f t="shared" si="74"/>
        <v>11</v>
      </c>
      <c r="C4712" s="5">
        <v>185.9</v>
      </c>
    </row>
    <row r="4713" spans="1:3" x14ac:dyDescent="0.35">
      <c r="A4713" s="9">
        <v>44525</v>
      </c>
      <c r="B4713">
        <f t="shared" si="74"/>
        <v>11</v>
      </c>
      <c r="C4713" s="5">
        <v>202.8</v>
      </c>
    </row>
    <row r="4714" spans="1:3" x14ac:dyDescent="0.35">
      <c r="A4714" s="9">
        <v>44526</v>
      </c>
      <c r="B4714">
        <f t="shared" si="74"/>
        <v>11</v>
      </c>
      <c r="C4714" s="5">
        <v>217.3</v>
      </c>
    </row>
    <row r="4715" spans="1:3" x14ac:dyDescent="0.35">
      <c r="A4715" s="9">
        <v>44527</v>
      </c>
      <c r="B4715">
        <f t="shared" si="74"/>
        <v>11</v>
      </c>
      <c r="C4715" s="5">
        <v>220.7</v>
      </c>
    </row>
    <row r="4716" spans="1:3" x14ac:dyDescent="0.35">
      <c r="A4716" s="9">
        <v>44528</v>
      </c>
      <c r="B4716">
        <f t="shared" si="74"/>
        <v>11</v>
      </c>
      <c r="C4716" s="5">
        <v>216.2</v>
      </c>
    </row>
    <row r="4717" spans="1:3" x14ac:dyDescent="0.35">
      <c r="A4717" s="9">
        <v>44529</v>
      </c>
      <c r="B4717">
        <f t="shared" si="74"/>
        <v>11</v>
      </c>
      <c r="C4717" s="5">
        <v>214.6</v>
      </c>
    </row>
    <row r="4718" spans="1:3" x14ac:dyDescent="0.35">
      <c r="A4718" s="9">
        <v>44530</v>
      </c>
      <c r="B4718">
        <f t="shared" si="74"/>
        <v>11</v>
      </c>
      <c r="C4718" s="5">
        <v>220.7</v>
      </c>
    </row>
    <row r="4719" spans="1:3" x14ac:dyDescent="0.35">
      <c r="A4719" s="9">
        <v>44531</v>
      </c>
      <c r="B4719">
        <f t="shared" si="74"/>
        <v>12</v>
      </c>
      <c r="C4719" s="5">
        <v>233.9</v>
      </c>
    </row>
    <row r="4720" spans="1:3" x14ac:dyDescent="0.35">
      <c r="A4720" s="9">
        <v>44532</v>
      </c>
      <c r="B4720">
        <f t="shared" si="74"/>
        <v>12</v>
      </c>
      <c r="C4720" s="5">
        <v>250.4</v>
      </c>
    </row>
    <row r="4721" spans="1:3" x14ac:dyDescent="0.35">
      <c r="A4721" s="9">
        <v>44533</v>
      </c>
      <c r="B4721">
        <f t="shared" si="74"/>
        <v>12</v>
      </c>
      <c r="C4721" s="5">
        <v>247.6</v>
      </c>
    </row>
    <row r="4722" spans="1:3" x14ac:dyDescent="0.35">
      <c r="A4722" s="9">
        <v>44534</v>
      </c>
      <c r="B4722">
        <f t="shared" si="74"/>
        <v>12</v>
      </c>
      <c r="C4722" s="5">
        <v>238.1</v>
      </c>
    </row>
    <row r="4723" spans="1:3" x14ac:dyDescent="0.35">
      <c r="A4723" s="9">
        <v>44535</v>
      </c>
      <c r="B4723">
        <f t="shared" si="74"/>
        <v>12</v>
      </c>
      <c r="C4723" s="5">
        <v>230.3</v>
      </c>
    </row>
    <row r="4724" spans="1:3" x14ac:dyDescent="0.35">
      <c r="A4724" s="9">
        <v>44536</v>
      </c>
      <c r="B4724">
        <f t="shared" si="74"/>
        <v>12</v>
      </c>
      <c r="C4724" s="5">
        <v>229.5</v>
      </c>
    </row>
    <row r="4725" spans="1:3" x14ac:dyDescent="0.35">
      <c r="A4725" s="9">
        <v>44537</v>
      </c>
      <c r="B4725">
        <f t="shared" si="74"/>
        <v>12</v>
      </c>
      <c r="C4725" s="5">
        <v>229.4</v>
      </c>
    </row>
    <row r="4726" spans="1:3" x14ac:dyDescent="0.35">
      <c r="A4726" s="9">
        <v>44538</v>
      </c>
      <c r="B4726">
        <f t="shared" si="74"/>
        <v>12</v>
      </c>
      <c r="C4726" s="5">
        <v>227.2</v>
      </c>
    </row>
    <row r="4727" spans="1:3" x14ac:dyDescent="0.35">
      <c r="A4727" s="9">
        <v>44539</v>
      </c>
      <c r="B4727">
        <f t="shared" si="74"/>
        <v>12</v>
      </c>
      <c r="C4727" s="5">
        <v>226.1</v>
      </c>
    </row>
    <row r="4728" spans="1:3" x14ac:dyDescent="0.35">
      <c r="A4728" s="9">
        <v>44540</v>
      </c>
      <c r="B4728">
        <f t="shared" si="74"/>
        <v>12</v>
      </c>
      <c r="C4728" s="5">
        <v>225.3</v>
      </c>
    </row>
    <row r="4729" spans="1:3" x14ac:dyDescent="0.35">
      <c r="A4729" s="9">
        <v>44541</v>
      </c>
      <c r="B4729">
        <f t="shared" si="74"/>
        <v>12</v>
      </c>
      <c r="C4729" s="5">
        <v>218.3</v>
      </c>
    </row>
    <row r="4730" spans="1:3" x14ac:dyDescent="0.35">
      <c r="A4730" s="9">
        <v>44542</v>
      </c>
      <c r="B4730">
        <f t="shared" si="74"/>
        <v>12</v>
      </c>
      <c r="C4730" s="5">
        <v>219.3</v>
      </c>
    </row>
    <row r="4731" spans="1:3" x14ac:dyDescent="0.35">
      <c r="A4731" s="9">
        <v>44543</v>
      </c>
      <c r="B4731">
        <f t="shared" si="74"/>
        <v>12</v>
      </c>
      <c r="C4731" s="5">
        <v>234.4</v>
      </c>
    </row>
    <row r="4732" spans="1:3" x14ac:dyDescent="0.35">
      <c r="A4732" s="9">
        <v>44544</v>
      </c>
      <c r="B4732">
        <f t="shared" si="74"/>
        <v>12</v>
      </c>
      <c r="C4732" s="5">
        <v>255.7</v>
      </c>
    </row>
    <row r="4733" spans="1:3" x14ac:dyDescent="0.35">
      <c r="A4733" s="9">
        <v>44545</v>
      </c>
      <c r="B4733">
        <f t="shared" si="74"/>
        <v>12</v>
      </c>
      <c r="C4733" s="5">
        <v>267</v>
      </c>
    </row>
    <row r="4734" spans="1:3" x14ac:dyDescent="0.35">
      <c r="A4734" s="9">
        <v>44546</v>
      </c>
      <c r="B4734">
        <f t="shared" si="74"/>
        <v>12</v>
      </c>
      <c r="C4734" s="5">
        <v>262.10000000000002</v>
      </c>
    </row>
    <row r="4735" spans="1:3" x14ac:dyDescent="0.35">
      <c r="A4735" s="9">
        <v>44547</v>
      </c>
      <c r="B4735">
        <f t="shared" si="74"/>
        <v>12</v>
      </c>
      <c r="C4735" s="5">
        <v>254.6</v>
      </c>
    </row>
    <row r="4736" spans="1:3" x14ac:dyDescent="0.35">
      <c r="A4736" s="9">
        <v>44548</v>
      </c>
      <c r="B4736">
        <f t="shared" si="74"/>
        <v>12</v>
      </c>
      <c r="C4736" s="5">
        <v>248.1</v>
      </c>
    </row>
    <row r="4737" spans="1:3" x14ac:dyDescent="0.35">
      <c r="A4737" s="9">
        <v>44549</v>
      </c>
      <c r="B4737">
        <f t="shared" si="74"/>
        <v>12</v>
      </c>
      <c r="C4737" s="5">
        <v>243.7</v>
      </c>
    </row>
    <row r="4738" spans="1:3" x14ac:dyDescent="0.35">
      <c r="A4738" s="9">
        <v>44550</v>
      </c>
      <c r="B4738">
        <f t="shared" si="74"/>
        <v>12</v>
      </c>
      <c r="C4738" s="5">
        <v>243.3</v>
      </c>
    </row>
    <row r="4739" spans="1:3" x14ac:dyDescent="0.35">
      <c r="A4739" s="9">
        <v>44551</v>
      </c>
      <c r="B4739">
        <f t="shared" si="74"/>
        <v>12</v>
      </c>
      <c r="C4739" s="5">
        <v>250.9</v>
      </c>
    </row>
    <row r="4740" spans="1:3" x14ac:dyDescent="0.35">
      <c r="A4740" s="9">
        <v>44552</v>
      </c>
      <c r="B4740">
        <f t="shared" ref="B4740:B4803" si="75">MONTH(A4740)</f>
        <v>12</v>
      </c>
      <c r="C4740" s="5">
        <v>264.3</v>
      </c>
    </row>
    <row r="4741" spans="1:3" x14ac:dyDescent="0.35">
      <c r="A4741" s="9">
        <v>44553</v>
      </c>
      <c r="B4741">
        <f t="shared" si="75"/>
        <v>12</v>
      </c>
      <c r="C4741" s="5">
        <v>287.5</v>
      </c>
    </row>
    <row r="4742" spans="1:3" x14ac:dyDescent="0.35">
      <c r="A4742" s="9">
        <v>44554</v>
      </c>
      <c r="B4742">
        <f t="shared" si="75"/>
        <v>12</v>
      </c>
      <c r="C4742" s="5">
        <v>306.10000000000002</v>
      </c>
    </row>
    <row r="4743" spans="1:3" x14ac:dyDescent="0.35">
      <c r="A4743" s="9">
        <v>44555</v>
      </c>
      <c r="B4743">
        <f t="shared" si="75"/>
        <v>12</v>
      </c>
      <c r="C4743" s="5">
        <v>309.39999999999998</v>
      </c>
    </row>
    <row r="4744" spans="1:3" x14ac:dyDescent="0.35">
      <c r="A4744" s="9">
        <v>44556</v>
      </c>
      <c r="B4744">
        <f t="shared" si="75"/>
        <v>12</v>
      </c>
      <c r="C4744" s="5">
        <v>300.39999999999998</v>
      </c>
    </row>
    <row r="4745" spans="1:3" x14ac:dyDescent="0.35">
      <c r="A4745" s="9">
        <v>44557</v>
      </c>
      <c r="B4745">
        <f t="shared" si="75"/>
        <v>12</v>
      </c>
      <c r="C4745" s="5">
        <v>292.39999999999998</v>
      </c>
    </row>
    <row r="4746" spans="1:3" x14ac:dyDescent="0.35">
      <c r="A4746" s="9">
        <v>44558</v>
      </c>
      <c r="B4746">
        <f t="shared" si="75"/>
        <v>12</v>
      </c>
      <c r="C4746" s="5">
        <v>283.2</v>
      </c>
    </row>
    <row r="4747" spans="1:3" x14ac:dyDescent="0.35">
      <c r="A4747" s="9">
        <v>44559</v>
      </c>
      <c r="B4747">
        <f t="shared" si="75"/>
        <v>12</v>
      </c>
      <c r="C4747" s="5">
        <v>280.8</v>
      </c>
    </row>
    <row r="4748" spans="1:3" x14ac:dyDescent="0.35">
      <c r="A4748" s="9">
        <v>44560</v>
      </c>
      <c r="B4748">
        <f t="shared" si="75"/>
        <v>12</v>
      </c>
      <c r="C4748" s="5">
        <v>278.10000000000002</v>
      </c>
    </row>
    <row r="4749" spans="1:3" x14ac:dyDescent="0.35">
      <c r="A4749" s="9">
        <v>44561</v>
      </c>
      <c r="B4749">
        <f t="shared" si="75"/>
        <v>12</v>
      </c>
      <c r="C4749" s="5">
        <v>280.7</v>
      </c>
    </row>
    <row r="4750" spans="1:3" x14ac:dyDescent="0.35">
      <c r="A4750" s="9">
        <v>44562</v>
      </c>
      <c r="B4750">
        <f t="shared" si="75"/>
        <v>1</v>
      </c>
      <c r="C4750" s="5">
        <v>277.60000000000002</v>
      </c>
    </row>
    <row r="4751" spans="1:3" x14ac:dyDescent="0.35">
      <c r="A4751" s="9">
        <v>44563</v>
      </c>
      <c r="B4751">
        <f t="shared" si="75"/>
        <v>1</v>
      </c>
      <c r="C4751" s="5">
        <v>258.89999999999998</v>
      </c>
    </row>
    <row r="4752" spans="1:3" x14ac:dyDescent="0.35">
      <c r="A4752" s="9">
        <v>44564</v>
      </c>
      <c r="B4752">
        <f t="shared" si="75"/>
        <v>1</v>
      </c>
      <c r="C4752" s="5">
        <v>242.8</v>
      </c>
    </row>
    <row r="4753" spans="1:3" x14ac:dyDescent="0.35">
      <c r="A4753" s="9">
        <v>44565</v>
      </c>
      <c r="B4753">
        <f t="shared" si="75"/>
        <v>1</v>
      </c>
      <c r="C4753" s="5">
        <v>232.3</v>
      </c>
    </row>
    <row r="4754" spans="1:3" x14ac:dyDescent="0.35">
      <c r="A4754" s="9">
        <v>44566</v>
      </c>
      <c r="B4754">
        <f t="shared" si="75"/>
        <v>1</v>
      </c>
      <c r="C4754" s="5">
        <v>228.2</v>
      </c>
    </row>
    <row r="4755" spans="1:3" x14ac:dyDescent="0.35">
      <c r="A4755" s="9">
        <v>44567</v>
      </c>
      <c r="B4755">
        <f t="shared" si="75"/>
        <v>1</v>
      </c>
      <c r="C4755" s="5">
        <v>224.9</v>
      </c>
    </row>
    <row r="4756" spans="1:3" x14ac:dyDescent="0.35">
      <c r="A4756" s="9">
        <v>44568</v>
      </c>
      <c r="B4756">
        <f t="shared" si="75"/>
        <v>1</v>
      </c>
      <c r="C4756" s="5">
        <v>223.4</v>
      </c>
    </row>
    <row r="4757" spans="1:3" x14ac:dyDescent="0.35">
      <c r="A4757" s="9">
        <v>44569</v>
      </c>
      <c r="B4757">
        <f t="shared" si="75"/>
        <v>1</v>
      </c>
      <c r="C4757" s="5">
        <v>223.3</v>
      </c>
    </row>
    <row r="4758" spans="1:3" x14ac:dyDescent="0.35">
      <c r="A4758" s="9">
        <v>44570</v>
      </c>
      <c r="B4758">
        <f t="shared" si="75"/>
        <v>1</v>
      </c>
      <c r="C4758" s="5">
        <v>225.4</v>
      </c>
    </row>
    <row r="4759" spans="1:3" x14ac:dyDescent="0.35">
      <c r="A4759" s="9">
        <v>44571</v>
      </c>
      <c r="B4759">
        <f t="shared" si="75"/>
        <v>1</v>
      </c>
      <c r="C4759" s="5">
        <v>225.2</v>
      </c>
    </row>
    <row r="4760" spans="1:3" x14ac:dyDescent="0.35">
      <c r="A4760" s="9">
        <v>44572</v>
      </c>
      <c r="B4760">
        <f t="shared" si="75"/>
        <v>1</v>
      </c>
      <c r="C4760" s="5">
        <v>221.9</v>
      </c>
    </row>
    <row r="4761" spans="1:3" x14ac:dyDescent="0.35">
      <c r="A4761" s="9">
        <v>44573</v>
      </c>
      <c r="B4761">
        <f t="shared" si="75"/>
        <v>1</v>
      </c>
      <c r="C4761" s="5">
        <v>215.7</v>
      </c>
    </row>
    <row r="4762" spans="1:3" x14ac:dyDescent="0.35">
      <c r="A4762" s="9">
        <v>44574</v>
      </c>
      <c r="B4762">
        <f t="shared" si="75"/>
        <v>1</v>
      </c>
      <c r="C4762" s="5">
        <v>217.8</v>
      </c>
    </row>
    <row r="4763" spans="1:3" x14ac:dyDescent="0.35">
      <c r="A4763" s="9">
        <v>44575</v>
      </c>
      <c r="B4763">
        <f t="shared" si="75"/>
        <v>1</v>
      </c>
      <c r="C4763" s="5">
        <v>225.5</v>
      </c>
    </row>
    <row r="4764" spans="1:3" x14ac:dyDescent="0.35">
      <c r="A4764" s="9">
        <v>44576</v>
      </c>
      <c r="B4764">
        <f t="shared" si="75"/>
        <v>1</v>
      </c>
      <c r="C4764" s="5">
        <v>229.4</v>
      </c>
    </row>
    <row r="4765" spans="1:3" x14ac:dyDescent="0.35">
      <c r="A4765" s="9">
        <v>44577</v>
      </c>
      <c r="B4765">
        <f t="shared" si="75"/>
        <v>1</v>
      </c>
      <c r="C4765" s="5">
        <v>232.3</v>
      </c>
    </row>
    <row r="4766" spans="1:3" x14ac:dyDescent="0.35">
      <c r="A4766" s="9">
        <v>44578</v>
      </c>
      <c r="B4766">
        <f t="shared" si="75"/>
        <v>1</v>
      </c>
      <c r="C4766" s="5">
        <v>237.8</v>
      </c>
    </row>
    <row r="4767" spans="1:3" x14ac:dyDescent="0.35">
      <c r="A4767" s="9">
        <v>44579</v>
      </c>
      <c r="B4767">
        <f t="shared" si="75"/>
        <v>1</v>
      </c>
      <c r="C4767" s="5">
        <v>239.6</v>
      </c>
    </row>
    <row r="4768" spans="1:3" x14ac:dyDescent="0.35">
      <c r="A4768" s="9">
        <v>44580</v>
      </c>
      <c r="B4768">
        <f t="shared" si="75"/>
        <v>1</v>
      </c>
      <c r="C4768" s="5">
        <v>235.9</v>
      </c>
    </row>
    <row r="4769" spans="1:3" x14ac:dyDescent="0.35">
      <c r="A4769" s="9">
        <v>44581</v>
      </c>
      <c r="B4769">
        <f t="shared" si="75"/>
        <v>1</v>
      </c>
      <c r="C4769" s="5">
        <v>227.6</v>
      </c>
    </row>
    <row r="4770" spans="1:3" x14ac:dyDescent="0.35">
      <c r="A4770" s="9">
        <v>44582</v>
      </c>
      <c r="B4770">
        <f t="shared" si="75"/>
        <v>1</v>
      </c>
      <c r="C4770" s="5">
        <v>219.6</v>
      </c>
    </row>
    <row r="4771" spans="1:3" x14ac:dyDescent="0.35">
      <c r="A4771" s="9">
        <v>44583</v>
      </c>
      <c r="B4771">
        <f t="shared" si="75"/>
        <v>1</v>
      </c>
      <c r="C4771" s="5">
        <v>219.6</v>
      </c>
    </row>
    <row r="4772" spans="1:3" x14ac:dyDescent="0.35">
      <c r="A4772" s="9">
        <v>44584</v>
      </c>
      <c r="B4772">
        <f t="shared" si="75"/>
        <v>1</v>
      </c>
      <c r="C4772" s="5">
        <v>223.2</v>
      </c>
    </row>
    <row r="4773" spans="1:3" x14ac:dyDescent="0.35">
      <c r="A4773" s="9">
        <v>44585</v>
      </c>
      <c r="B4773">
        <f t="shared" si="75"/>
        <v>1</v>
      </c>
      <c r="C4773" s="5">
        <v>222.4</v>
      </c>
    </row>
    <row r="4774" spans="1:3" x14ac:dyDescent="0.35">
      <c r="A4774" s="9">
        <v>44586</v>
      </c>
      <c r="B4774">
        <f t="shared" si="75"/>
        <v>1</v>
      </c>
      <c r="C4774" s="5">
        <v>221.8</v>
      </c>
    </row>
    <row r="4775" spans="1:3" x14ac:dyDescent="0.35">
      <c r="A4775" s="9">
        <v>44587</v>
      </c>
      <c r="B4775">
        <f t="shared" si="75"/>
        <v>1</v>
      </c>
      <c r="C4775" s="5">
        <v>218.3</v>
      </c>
    </row>
    <row r="4776" spans="1:3" x14ac:dyDescent="0.35">
      <c r="A4776" s="9">
        <v>44588</v>
      </c>
      <c r="B4776">
        <f t="shared" si="75"/>
        <v>1</v>
      </c>
      <c r="C4776" s="5">
        <v>211.8</v>
      </c>
    </row>
    <row r="4777" spans="1:3" x14ac:dyDescent="0.35">
      <c r="A4777" s="9">
        <v>44589</v>
      </c>
      <c r="B4777">
        <f t="shared" si="75"/>
        <v>1</v>
      </c>
      <c r="C4777" s="5">
        <v>206.2</v>
      </c>
    </row>
    <row r="4778" spans="1:3" x14ac:dyDescent="0.35">
      <c r="A4778" s="9">
        <v>44590</v>
      </c>
      <c r="B4778">
        <f t="shared" si="75"/>
        <v>1</v>
      </c>
      <c r="C4778" s="5">
        <v>204.2</v>
      </c>
    </row>
    <row r="4779" spans="1:3" x14ac:dyDescent="0.35">
      <c r="A4779" s="9">
        <v>44591</v>
      </c>
      <c r="B4779">
        <f t="shared" si="75"/>
        <v>1</v>
      </c>
      <c r="C4779" s="5">
        <v>205.4</v>
      </c>
    </row>
    <row r="4780" spans="1:3" x14ac:dyDescent="0.35">
      <c r="A4780" s="9">
        <v>44592</v>
      </c>
      <c r="B4780">
        <f t="shared" si="75"/>
        <v>1</v>
      </c>
      <c r="C4780" s="5">
        <v>217.8</v>
      </c>
    </row>
    <row r="4781" spans="1:3" x14ac:dyDescent="0.35">
      <c r="A4781" s="9">
        <v>44593</v>
      </c>
      <c r="B4781">
        <f t="shared" si="75"/>
        <v>2</v>
      </c>
      <c r="C4781" s="5">
        <v>232.3</v>
      </c>
    </row>
    <row r="4782" spans="1:3" x14ac:dyDescent="0.35">
      <c r="A4782" s="9">
        <v>44594</v>
      </c>
      <c r="B4782">
        <f t="shared" si="75"/>
        <v>2</v>
      </c>
      <c r="C4782" s="5">
        <v>220.7</v>
      </c>
    </row>
    <row r="4783" spans="1:3" x14ac:dyDescent="0.35">
      <c r="A4783" s="9">
        <v>44595</v>
      </c>
      <c r="B4783">
        <f t="shared" si="75"/>
        <v>2</v>
      </c>
      <c r="C4783" s="5">
        <v>216.7</v>
      </c>
    </row>
    <row r="4784" spans="1:3" x14ac:dyDescent="0.35">
      <c r="A4784" s="9">
        <v>44596</v>
      </c>
      <c r="B4784">
        <f t="shared" si="75"/>
        <v>2</v>
      </c>
      <c r="C4784" s="5">
        <v>208.7</v>
      </c>
    </row>
    <row r="4785" spans="1:3" x14ac:dyDescent="0.35">
      <c r="A4785" s="9">
        <v>44597</v>
      </c>
      <c r="B4785">
        <f t="shared" si="75"/>
        <v>2</v>
      </c>
      <c r="C4785" s="5">
        <v>197.2</v>
      </c>
    </row>
    <row r="4786" spans="1:3" x14ac:dyDescent="0.35">
      <c r="A4786" s="9">
        <v>44598</v>
      </c>
      <c r="B4786">
        <f t="shared" si="75"/>
        <v>2</v>
      </c>
      <c r="C4786" s="5">
        <v>182.1</v>
      </c>
    </row>
    <row r="4787" spans="1:3" x14ac:dyDescent="0.35">
      <c r="A4787" s="9">
        <v>44599</v>
      </c>
      <c r="B4787">
        <f t="shared" si="75"/>
        <v>2</v>
      </c>
      <c r="C4787" s="5">
        <v>169.6</v>
      </c>
    </row>
    <row r="4788" spans="1:3" x14ac:dyDescent="0.35">
      <c r="A4788" s="9">
        <v>44600</v>
      </c>
      <c r="B4788">
        <f t="shared" si="75"/>
        <v>2</v>
      </c>
      <c r="C4788" s="5">
        <v>160.6</v>
      </c>
    </row>
    <row r="4789" spans="1:3" x14ac:dyDescent="0.35">
      <c r="A4789" s="9">
        <v>44601</v>
      </c>
      <c r="B4789">
        <f t="shared" si="75"/>
        <v>2</v>
      </c>
      <c r="C4789" s="5">
        <v>154.1</v>
      </c>
    </row>
    <row r="4790" spans="1:3" x14ac:dyDescent="0.35">
      <c r="A4790" s="9">
        <v>44602</v>
      </c>
      <c r="B4790">
        <f t="shared" si="75"/>
        <v>2</v>
      </c>
      <c r="C4790" s="5">
        <v>152.80000000000001</v>
      </c>
    </row>
    <row r="4791" spans="1:3" x14ac:dyDescent="0.35">
      <c r="A4791" s="9">
        <v>44603</v>
      </c>
      <c r="B4791">
        <f t="shared" si="75"/>
        <v>2</v>
      </c>
      <c r="C4791" s="5">
        <v>155.4</v>
      </c>
    </row>
    <row r="4792" spans="1:3" x14ac:dyDescent="0.35">
      <c r="A4792" s="9">
        <v>44604</v>
      </c>
      <c r="B4792">
        <f t="shared" si="75"/>
        <v>2</v>
      </c>
      <c r="C4792" s="5">
        <v>163</v>
      </c>
    </row>
    <row r="4793" spans="1:3" x14ac:dyDescent="0.35">
      <c r="A4793" s="9">
        <v>44605</v>
      </c>
      <c r="B4793">
        <f t="shared" si="75"/>
        <v>2</v>
      </c>
      <c r="C4793" s="5">
        <v>170.8</v>
      </c>
    </row>
    <row r="4794" spans="1:3" x14ac:dyDescent="0.35">
      <c r="A4794" s="9">
        <v>44606</v>
      </c>
      <c r="B4794">
        <f t="shared" si="75"/>
        <v>2</v>
      </c>
      <c r="C4794" s="5">
        <v>176.1</v>
      </c>
    </row>
    <row r="4795" spans="1:3" x14ac:dyDescent="0.35">
      <c r="A4795" s="9">
        <v>44607</v>
      </c>
      <c r="B4795">
        <f t="shared" si="75"/>
        <v>2</v>
      </c>
      <c r="C4795" s="5">
        <v>179.3</v>
      </c>
    </row>
    <row r="4796" spans="1:3" x14ac:dyDescent="0.35">
      <c r="A4796" s="9">
        <v>44608</v>
      </c>
      <c r="B4796">
        <f t="shared" si="75"/>
        <v>2</v>
      </c>
      <c r="C4796" s="5">
        <v>180.1</v>
      </c>
    </row>
    <row r="4797" spans="1:3" x14ac:dyDescent="0.35">
      <c r="A4797" s="9">
        <v>44609</v>
      </c>
      <c r="B4797">
        <f t="shared" si="75"/>
        <v>2</v>
      </c>
      <c r="C4797" s="5">
        <v>181.7</v>
      </c>
    </row>
    <row r="4798" spans="1:3" x14ac:dyDescent="0.35">
      <c r="A4798" s="9">
        <v>44610</v>
      </c>
      <c r="B4798">
        <f t="shared" si="75"/>
        <v>2</v>
      </c>
      <c r="C4798" s="5">
        <v>179.9</v>
      </c>
    </row>
    <row r="4799" spans="1:3" x14ac:dyDescent="0.35">
      <c r="A4799" s="9">
        <v>44611</v>
      </c>
      <c r="B4799">
        <f t="shared" si="75"/>
        <v>2</v>
      </c>
      <c r="C4799" s="5">
        <v>177.9</v>
      </c>
    </row>
    <row r="4800" spans="1:3" x14ac:dyDescent="0.35">
      <c r="A4800" s="9">
        <v>44612</v>
      </c>
      <c r="B4800">
        <f t="shared" si="75"/>
        <v>2</v>
      </c>
      <c r="C4800" s="5">
        <v>177.7</v>
      </c>
    </row>
    <row r="4801" spans="1:3" x14ac:dyDescent="0.35">
      <c r="A4801" s="9">
        <v>44613</v>
      </c>
      <c r="B4801">
        <f t="shared" si="75"/>
        <v>2</v>
      </c>
      <c r="C4801" s="5">
        <v>175.1</v>
      </c>
    </row>
    <row r="4802" spans="1:3" x14ac:dyDescent="0.35">
      <c r="A4802" s="9">
        <v>44614</v>
      </c>
      <c r="B4802">
        <f t="shared" si="75"/>
        <v>2</v>
      </c>
      <c r="C4802" s="5">
        <v>174.7</v>
      </c>
    </row>
    <row r="4803" spans="1:3" x14ac:dyDescent="0.35">
      <c r="A4803" s="9">
        <v>44615</v>
      </c>
      <c r="B4803">
        <f t="shared" si="75"/>
        <v>2</v>
      </c>
      <c r="C4803" s="5">
        <v>181.2</v>
      </c>
    </row>
    <row r="4804" spans="1:3" x14ac:dyDescent="0.35">
      <c r="A4804" s="9">
        <v>44616</v>
      </c>
      <c r="B4804">
        <f t="shared" ref="B4804:B4867" si="76">MONTH(A4804)</f>
        <v>2</v>
      </c>
      <c r="C4804" s="5">
        <v>195.7</v>
      </c>
    </row>
    <row r="4805" spans="1:3" x14ac:dyDescent="0.35">
      <c r="A4805" s="9">
        <v>44617</v>
      </c>
      <c r="B4805">
        <f t="shared" si="76"/>
        <v>2</v>
      </c>
      <c r="C4805" s="5">
        <v>207.8</v>
      </c>
    </row>
    <row r="4806" spans="1:3" x14ac:dyDescent="0.35">
      <c r="A4806" s="9">
        <v>44618</v>
      </c>
      <c r="B4806">
        <f t="shared" si="76"/>
        <v>2</v>
      </c>
      <c r="C4806" s="5">
        <v>206.8</v>
      </c>
    </row>
    <row r="4807" spans="1:3" x14ac:dyDescent="0.35">
      <c r="A4807" s="9">
        <v>44619</v>
      </c>
      <c r="B4807">
        <f t="shared" si="76"/>
        <v>2</v>
      </c>
      <c r="C4807" s="5">
        <v>195</v>
      </c>
    </row>
    <row r="4808" spans="1:3" x14ac:dyDescent="0.35">
      <c r="A4808" s="9">
        <v>44620</v>
      </c>
      <c r="B4808">
        <f t="shared" si="76"/>
        <v>2</v>
      </c>
      <c r="C4808" s="5">
        <v>182.3</v>
      </c>
    </row>
    <row r="4809" spans="1:3" x14ac:dyDescent="0.35">
      <c r="A4809" s="9">
        <v>44621</v>
      </c>
      <c r="B4809">
        <f t="shared" si="76"/>
        <v>3</v>
      </c>
      <c r="C4809" s="5">
        <v>180</v>
      </c>
    </row>
    <row r="4810" spans="1:3" x14ac:dyDescent="0.35">
      <c r="A4810" s="9">
        <v>44622</v>
      </c>
      <c r="B4810">
        <f t="shared" si="76"/>
        <v>3</v>
      </c>
      <c r="C4810" s="5">
        <v>194.1</v>
      </c>
    </row>
    <row r="4811" spans="1:3" x14ac:dyDescent="0.35">
      <c r="A4811" s="9">
        <v>44623</v>
      </c>
      <c r="B4811">
        <f t="shared" si="76"/>
        <v>3</v>
      </c>
      <c r="C4811" s="5">
        <v>201.7</v>
      </c>
    </row>
    <row r="4812" spans="1:3" x14ac:dyDescent="0.35">
      <c r="A4812" s="9">
        <v>44624</v>
      </c>
      <c r="B4812">
        <f t="shared" si="76"/>
        <v>3</v>
      </c>
      <c r="C4812" s="5">
        <v>200.3</v>
      </c>
    </row>
    <row r="4813" spans="1:3" x14ac:dyDescent="0.35">
      <c r="A4813" s="9">
        <v>44625</v>
      </c>
      <c r="B4813">
        <f t="shared" si="76"/>
        <v>3</v>
      </c>
      <c r="C4813" s="5">
        <v>195.4</v>
      </c>
    </row>
    <row r="4814" spans="1:3" x14ac:dyDescent="0.35">
      <c r="A4814" s="9">
        <v>44626</v>
      </c>
      <c r="B4814">
        <f t="shared" si="76"/>
        <v>3</v>
      </c>
      <c r="C4814" s="5">
        <v>192.7</v>
      </c>
    </row>
    <row r="4815" spans="1:3" x14ac:dyDescent="0.35">
      <c r="A4815" s="9">
        <v>44627</v>
      </c>
      <c r="B4815">
        <f t="shared" si="76"/>
        <v>3</v>
      </c>
      <c r="C4815" s="5">
        <v>190.8</v>
      </c>
    </row>
    <row r="4816" spans="1:3" x14ac:dyDescent="0.35">
      <c r="A4816" s="9">
        <v>44628</v>
      </c>
      <c r="B4816">
        <f t="shared" si="76"/>
        <v>3</v>
      </c>
      <c r="C4816" s="5">
        <v>189.3</v>
      </c>
    </row>
    <row r="4817" spans="1:3" x14ac:dyDescent="0.35">
      <c r="A4817" s="9">
        <v>44629</v>
      </c>
      <c r="B4817">
        <f t="shared" si="76"/>
        <v>3</v>
      </c>
      <c r="C4817" s="5">
        <v>188.5</v>
      </c>
    </row>
    <row r="4818" spans="1:3" x14ac:dyDescent="0.35">
      <c r="A4818" s="9">
        <v>44630</v>
      </c>
      <c r="B4818">
        <f t="shared" si="76"/>
        <v>3</v>
      </c>
      <c r="C4818" s="5">
        <v>188.7</v>
      </c>
    </row>
    <row r="4819" spans="1:3" x14ac:dyDescent="0.35">
      <c r="A4819" s="9">
        <v>44631</v>
      </c>
      <c r="B4819">
        <f t="shared" si="76"/>
        <v>3</v>
      </c>
      <c r="C4819" s="5">
        <v>194.5</v>
      </c>
    </row>
    <row r="4820" spans="1:3" x14ac:dyDescent="0.35">
      <c r="A4820" s="9">
        <v>44632</v>
      </c>
      <c r="B4820">
        <f t="shared" si="76"/>
        <v>3</v>
      </c>
      <c r="C4820" s="5">
        <v>203.7</v>
      </c>
    </row>
    <row r="4821" spans="1:3" x14ac:dyDescent="0.35">
      <c r="A4821" s="9">
        <v>44633</v>
      </c>
      <c r="B4821">
        <f t="shared" si="76"/>
        <v>3</v>
      </c>
      <c r="C4821" s="5">
        <v>218.4</v>
      </c>
    </row>
    <row r="4822" spans="1:3" x14ac:dyDescent="0.35">
      <c r="A4822" s="9">
        <v>44634</v>
      </c>
      <c r="B4822">
        <f t="shared" si="76"/>
        <v>3</v>
      </c>
      <c r="C4822" s="5">
        <v>228.9</v>
      </c>
    </row>
    <row r="4823" spans="1:3" x14ac:dyDescent="0.35">
      <c r="A4823" s="9">
        <v>44635</v>
      </c>
      <c r="B4823">
        <f t="shared" si="76"/>
        <v>3</v>
      </c>
      <c r="C4823" s="5">
        <v>222.5</v>
      </c>
    </row>
    <row r="4824" spans="1:3" x14ac:dyDescent="0.35">
      <c r="A4824" s="9">
        <v>44636</v>
      </c>
      <c r="B4824">
        <f t="shared" si="76"/>
        <v>3</v>
      </c>
      <c r="C4824" s="5">
        <v>213.3</v>
      </c>
    </row>
    <row r="4825" spans="1:3" x14ac:dyDescent="0.35">
      <c r="A4825" s="9">
        <v>44637</v>
      </c>
      <c r="B4825">
        <f t="shared" si="76"/>
        <v>3</v>
      </c>
      <c r="C4825" s="5">
        <v>214.6</v>
      </c>
    </row>
    <row r="4826" spans="1:3" x14ac:dyDescent="0.35">
      <c r="A4826" s="9">
        <v>44638</v>
      </c>
      <c r="B4826">
        <f t="shared" si="76"/>
        <v>3</v>
      </c>
      <c r="C4826" s="5">
        <v>225.4</v>
      </c>
    </row>
    <row r="4827" spans="1:3" x14ac:dyDescent="0.35">
      <c r="A4827" s="9">
        <v>44639</v>
      </c>
      <c r="B4827">
        <f t="shared" si="76"/>
        <v>3</v>
      </c>
      <c r="C4827" s="5">
        <v>226.7</v>
      </c>
    </row>
    <row r="4828" spans="1:3" x14ac:dyDescent="0.35">
      <c r="A4828" s="9">
        <v>44640</v>
      </c>
      <c r="B4828">
        <f t="shared" si="76"/>
        <v>3</v>
      </c>
      <c r="C4828" s="5">
        <v>213.2</v>
      </c>
    </row>
    <row r="4829" spans="1:3" x14ac:dyDescent="0.35">
      <c r="A4829" s="9">
        <v>44641</v>
      </c>
      <c r="B4829">
        <f t="shared" si="76"/>
        <v>3</v>
      </c>
      <c r="C4829" s="5">
        <v>202.3</v>
      </c>
    </row>
    <row r="4830" spans="1:3" x14ac:dyDescent="0.35">
      <c r="A4830" s="9">
        <v>44642</v>
      </c>
      <c r="B4830">
        <f t="shared" si="76"/>
        <v>3</v>
      </c>
      <c r="C4830" s="5">
        <v>204.8</v>
      </c>
    </row>
    <row r="4831" spans="1:3" x14ac:dyDescent="0.35">
      <c r="A4831" s="9">
        <v>44643</v>
      </c>
      <c r="B4831">
        <f t="shared" si="76"/>
        <v>3</v>
      </c>
      <c r="C4831" s="5">
        <v>214.2</v>
      </c>
    </row>
    <row r="4832" spans="1:3" x14ac:dyDescent="0.35">
      <c r="A4832" s="9">
        <v>44644</v>
      </c>
      <c r="B4832">
        <f t="shared" si="76"/>
        <v>3</v>
      </c>
      <c r="C4832" s="5">
        <v>209</v>
      </c>
    </row>
    <row r="4833" spans="1:3" x14ac:dyDescent="0.35">
      <c r="A4833" s="9">
        <v>44645</v>
      </c>
      <c r="B4833">
        <f t="shared" si="76"/>
        <v>3</v>
      </c>
      <c r="C4833" s="5">
        <v>192.4</v>
      </c>
    </row>
    <row r="4834" spans="1:3" x14ac:dyDescent="0.35">
      <c r="A4834" s="9">
        <v>44646</v>
      </c>
      <c r="B4834">
        <f t="shared" si="76"/>
        <v>3</v>
      </c>
      <c r="C4834" s="5">
        <v>172.8</v>
      </c>
    </row>
    <row r="4835" spans="1:3" x14ac:dyDescent="0.35">
      <c r="A4835" s="9">
        <v>44647</v>
      </c>
      <c r="B4835">
        <f t="shared" si="76"/>
        <v>3</v>
      </c>
      <c r="C4835" s="5">
        <v>158.80000000000001</v>
      </c>
    </row>
    <row r="4836" spans="1:3" x14ac:dyDescent="0.35">
      <c r="A4836" s="9">
        <v>44648</v>
      </c>
      <c r="B4836">
        <f t="shared" si="76"/>
        <v>3</v>
      </c>
      <c r="C4836" s="5">
        <v>158.80000000000001</v>
      </c>
    </row>
    <row r="4837" spans="1:3" x14ac:dyDescent="0.35">
      <c r="A4837" s="9">
        <v>44649</v>
      </c>
      <c r="B4837">
        <f t="shared" si="76"/>
        <v>3</v>
      </c>
      <c r="C4837" s="5">
        <v>172.1</v>
      </c>
    </row>
    <row r="4838" spans="1:3" x14ac:dyDescent="0.35">
      <c r="A4838" s="9">
        <v>44650</v>
      </c>
      <c r="B4838">
        <f t="shared" si="76"/>
        <v>3</v>
      </c>
      <c r="C4838" s="5">
        <v>193.6</v>
      </c>
    </row>
    <row r="4839" spans="1:3" x14ac:dyDescent="0.35">
      <c r="A4839" s="9">
        <v>44651</v>
      </c>
      <c r="B4839">
        <f t="shared" si="76"/>
        <v>3</v>
      </c>
      <c r="C4839" s="5">
        <v>210.3</v>
      </c>
    </row>
    <row r="4840" spans="1:3" x14ac:dyDescent="0.35">
      <c r="A4840" s="9">
        <v>44652</v>
      </c>
      <c r="B4840">
        <f t="shared" si="76"/>
        <v>4</v>
      </c>
      <c r="C4840" s="5">
        <v>214.8</v>
      </c>
    </row>
    <row r="4841" spans="1:3" x14ac:dyDescent="0.35">
      <c r="A4841" s="9">
        <v>44653</v>
      </c>
      <c r="B4841">
        <f t="shared" si="76"/>
        <v>4</v>
      </c>
      <c r="C4841" s="5">
        <v>220.2</v>
      </c>
    </row>
    <row r="4842" spans="1:3" x14ac:dyDescent="0.35">
      <c r="A4842" s="9">
        <v>44654</v>
      </c>
      <c r="B4842">
        <f t="shared" si="76"/>
        <v>4</v>
      </c>
      <c r="C4842" s="5">
        <v>219.7</v>
      </c>
    </row>
    <row r="4843" spans="1:3" x14ac:dyDescent="0.35">
      <c r="A4843" s="9">
        <v>44655</v>
      </c>
      <c r="B4843">
        <f t="shared" si="76"/>
        <v>4</v>
      </c>
      <c r="C4843" s="5">
        <v>223.4</v>
      </c>
    </row>
    <row r="4844" spans="1:3" x14ac:dyDescent="0.35">
      <c r="A4844" s="9">
        <v>44656</v>
      </c>
      <c r="B4844">
        <f t="shared" si="76"/>
        <v>4</v>
      </c>
      <c r="C4844" s="5">
        <v>219.1</v>
      </c>
    </row>
    <row r="4845" spans="1:3" x14ac:dyDescent="0.35">
      <c r="A4845" s="9">
        <v>44657</v>
      </c>
      <c r="B4845">
        <f t="shared" si="76"/>
        <v>4</v>
      </c>
      <c r="C4845" s="5">
        <v>205.5</v>
      </c>
    </row>
    <row r="4846" spans="1:3" x14ac:dyDescent="0.35">
      <c r="A4846" s="9">
        <v>44658</v>
      </c>
      <c r="B4846">
        <f t="shared" si="76"/>
        <v>4</v>
      </c>
      <c r="C4846" s="5">
        <v>191.6</v>
      </c>
    </row>
    <row r="4847" spans="1:3" x14ac:dyDescent="0.35">
      <c r="A4847" s="9">
        <v>44659</v>
      </c>
      <c r="B4847">
        <f t="shared" si="76"/>
        <v>4</v>
      </c>
      <c r="C4847" s="5">
        <v>184.4</v>
      </c>
    </row>
    <row r="4848" spans="1:3" x14ac:dyDescent="0.35">
      <c r="A4848" s="9">
        <v>44660</v>
      </c>
      <c r="B4848">
        <f t="shared" si="76"/>
        <v>4</v>
      </c>
      <c r="C4848" s="5">
        <v>183.1</v>
      </c>
    </row>
    <row r="4849" spans="1:3" x14ac:dyDescent="0.35">
      <c r="A4849" s="9">
        <v>44661</v>
      </c>
      <c r="B4849">
        <f t="shared" si="76"/>
        <v>4</v>
      </c>
      <c r="C4849" s="5">
        <v>180.3</v>
      </c>
    </row>
    <row r="4850" spans="1:3" x14ac:dyDescent="0.35">
      <c r="A4850" s="9">
        <v>44662</v>
      </c>
      <c r="B4850">
        <f t="shared" si="76"/>
        <v>4</v>
      </c>
      <c r="C4850" s="5">
        <v>177.2</v>
      </c>
    </row>
    <row r="4851" spans="1:3" x14ac:dyDescent="0.35">
      <c r="A4851" s="9">
        <v>44663</v>
      </c>
      <c r="B4851">
        <f t="shared" si="76"/>
        <v>4</v>
      </c>
      <c r="C4851" s="5">
        <v>173</v>
      </c>
    </row>
    <row r="4852" spans="1:3" x14ac:dyDescent="0.35">
      <c r="A4852" s="9">
        <v>44664</v>
      </c>
      <c r="B4852">
        <f t="shared" si="76"/>
        <v>4</v>
      </c>
      <c r="C4852" s="5">
        <v>168.1</v>
      </c>
    </row>
    <row r="4853" spans="1:3" x14ac:dyDescent="0.35">
      <c r="A4853" s="9">
        <v>44665</v>
      </c>
      <c r="B4853">
        <f t="shared" si="76"/>
        <v>4</v>
      </c>
      <c r="C4853" s="5">
        <v>169.5</v>
      </c>
    </row>
    <row r="4854" spans="1:3" x14ac:dyDescent="0.35">
      <c r="A4854" s="9">
        <v>44666</v>
      </c>
      <c r="B4854">
        <f t="shared" si="76"/>
        <v>4</v>
      </c>
      <c r="C4854" s="5">
        <v>177.9</v>
      </c>
    </row>
    <row r="4855" spans="1:3" x14ac:dyDescent="0.35">
      <c r="A4855" s="9">
        <v>44667</v>
      </c>
      <c r="B4855">
        <f t="shared" si="76"/>
        <v>4</v>
      </c>
      <c r="C4855" s="5">
        <v>189.5</v>
      </c>
    </row>
    <row r="4856" spans="1:3" x14ac:dyDescent="0.35">
      <c r="A4856" s="9">
        <v>44668</v>
      </c>
      <c r="B4856">
        <f t="shared" si="76"/>
        <v>4</v>
      </c>
      <c r="C4856" s="5">
        <v>190.5</v>
      </c>
    </row>
    <row r="4857" spans="1:3" x14ac:dyDescent="0.35">
      <c r="A4857" s="9">
        <v>44669</v>
      </c>
      <c r="B4857">
        <f t="shared" si="76"/>
        <v>4</v>
      </c>
      <c r="C4857" s="5">
        <v>188.1</v>
      </c>
    </row>
    <row r="4858" spans="1:3" x14ac:dyDescent="0.35">
      <c r="A4858" s="9">
        <v>44670</v>
      </c>
      <c r="B4858">
        <f t="shared" si="76"/>
        <v>4</v>
      </c>
      <c r="C4858" s="5">
        <v>188.5</v>
      </c>
    </row>
    <row r="4859" spans="1:3" x14ac:dyDescent="0.35">
      <c r="A4859" s="9">
        <v>44671</v>
      </c>
      <c r="B4859">
        <f t="shared" si="76"/>
        <v>4</v>
      </c>
      <c r="C4859" s="5">
        <v>198.4</v>
      </c>
    </row>
    <row r="4860" spans="1:3" x14ac:dyDescent="0.35">
      <c r="A4860" s="9">
        <v>44672</v>
      </c>
      <c r="B4860">
        <f t="shared" si="76"/>
        <v>4</v>
      </c>
      <c r="C4860" s="5">
        <v>213.7</v>
      </c>
    </row>
    <row r="4861" spans="1:3" x14ac:dyDescent="0.35">
      <c r="A4861" s="9">
        <v>44673</v>
      </c>
      <c r="B4861">
        <f t="shared" si="76"/>
        <v>4</v>
      </c>
      <c r="C4861" s="5">
        <v>220.6</v>
      </c>
    </row>
    <row r="4862" spans="1:3" x14ac:dyDescent="0.35">
      <c r="A4862" s="9">
        <v>44674</v>
      </c>
      <c r="B4862">
        <f t="shared" si="76"/>
        <v>4</v>
      </c>
      <c r="C4862" s="5">
        <v>218.4</v>
      </c>
    </row>
    <row r="4863" spans="1:3" x14ac:dyDescent="0.35">
      <c r="A4863" s="9">
        <v>44675</v>
      </c>
      <c r="B4863">
        <f t="shared" si="76"/>
        <v>4</v>
      </c>
      <c r="C4863" s="5">
        <v>219.1</v>
      </c>
    </row>
    <row r="4864" spans="1:3" x14ac:dyDescent="0.35">
      <c r="A4864" s="9">
        <v>44676</v>
      </c>
      <c r="B4864">
        <f t="shared" si="76"/>
        <v>4</v>
      </c>
      <c r="C4864" s="5">
        <v>223.5</v>
      </c>
    </row>
    <row r="4865" spans="1:3" x14ac:dyDescent="0.35">
      <c r="A4865" s="9">
        <v>44677</v>
      </c>
      <c r="B4865">
        <f t="shared" si="76"/>
        <v>4</v>
      </c>
      <c r="C4865" s="5">
        <v>224.1</v>
      </c>
    </row>
    <row r="4866" spans="1:3" x14ac:dyDescent="0.35">
      <c r="A4866" s="9">
        <v>44678</v>
      </c>
      <c r="B4866">
        <f t="shared" si="76"/>
        <v>4</v>
      </c>
      <c r="C4866" s="5">
        <v>227.4</v>
      </c>
    </row>
    <row r="4867" spans="1:3" x14ac:dyDescent="0.35">
      <c r="A4867" s="9">
        <v>44679</v>
      </c>
      <c r="B4867">
        <f t="shared" si="76"/>
        <v>4</v>
      </c>
      <c r="C4867" s="5">
        <v>232.1</v>
      </c>
    </row>
    <row r="4868" spans="1:3" x14ac:dyDescent="0.35">
      <c r="A4868" s="9">
        <v>44680</v>
      </c>
      <c r="B4868">
        <f t="shared" ref="B4868:B4931" si="77">MONTH(A4868)</f>
        <v>4</v>
      </c>
      <c r="C4868" s="5">
        <v>236.3</v>
      </c>
    </row>
    <row r="4869" spans="1:3" x14ac:dyDescent="0.35">
      <c r="A4869" s="9">
        <v>44681</v>
      </c>
      <c r="B4869">
        <f t="shared" si="77"/>
        <v>4</v>
      </c>
      <c r="C4869" s="5">
        <v>242.7</v>
      </c>
    </row>
    <row r="4870" spans="1:3" x14ac:dyDescent="0.35">
      <c r="A4870" s="9">
        <v>44682</v>
      </c>
      <c r="B4870">
        <f t="shared" si="77"/>
        <v>5</v>
      </c>
      <c r="C4870" s="5">
        <v>248.3</v>
      </c>
    </row>
    <row r="4871" spans="1:3" x14ac:dyDescent="0.35">
      <c r="A4871" s="9">
        <v>44683</v>
      </c>
      <c r="B4871">
        <f t="shared" si="77"/>
        <v>5</v>
      </c>
      <c r="C4871" s="5">
        <v>249.8</v>
      </c>
    </row>
    <row r="4872" spans="1:3" x14ac:dyDescent="0.35">
      <c r="A4872" s="9">
        <v>44684</v>
      </c>
      <c r="B4872">
        <f t="shared" si="77"/>
        <v>5</v>
      </c>
      <c r="C4872" s="5">
        <v>240.7</v>
      </c>
    </row>
    <row r="4873" spans="1:3" x14ac:dyDescent="0.35">
      <c r="A4873" s="9">
        <v>44685</v>
      </c>
      <c r="B4873">
        <f t="shared" si="77"/>
        <v>5</v>
      </c>
      <c r="C4873" s="5">
        <v>220.2</v>
      </c>
    </row>
    <row r="4874" spans="1:3" x14ac:dyDescent="0.35">
      <c r="A4874" s="9">
        <v>44686</v>
      </c>
      <c r="B4874">
        <f t="shared" si="77"/>
        <v>5</v>
      </c>
      <c r="C4874" s="5">
        <v>195</v>
      </c>
    </row>
    <row r="4875" spans="1:3" x14ac:dyDescent="0.35">
      <c r="A4875" s="9">
        <v>44687</v>
      </c>
      <c r="B4875">
        <f t="shared" si="77"/>
        <v>5</v>
      </c>
      <c r="C4875" s="5">
        <v>172.3</v>
      </c>
    </row>
    <row r="4876" spans="1:3" x14ac:dyDescent="0.35">
      <c r="A4876" s="9">
        <v>44688</v>
      </c>
      <c r="B4876">
        <f t="shared" si="77"/>
        <v>5</v>
      </c>
      <c r="C4876" s="5">
        <v>156.80000000000001</v>
      </c>
    </row>
    <row r="4877" spans="1:3" x14ac:dyDescent="0.35">
      <c r="A4877" s="9">
        <v>44689</v>
      </c>
      <c r="B4877">
        <f t="shared" si="77"/>
        <v>5</v>
      </c>
      <c r="C4877" s="5">
        <v>152</v>
      </c>
    </row>
    <row r="4878" spans="1:3" x14ac:dyDescent="0.35">
      <c r="A4878" s="9">
        <v>44690</v>
      </c>
      <c r="B4878">
        <f t="shared" si="77"/>
        <v>5</v>
      </c>
      <c r="C4878" s="5">
        <v>157.19999999999999</v>
      </c>
    </row>
    <row r="4879" spans="1:3" x14ac:dyDescent="0.35">
      <c r="A4879" s="9">
        <v>44691</v>
      </c>
      <c r="B4879">
        <f t="shared" si="77"/>
        <v>5</v>
      </c>
      <c r="C4879" s="5">
        <v>166.9</v>
      </c>
    </row>
    <row r="4880" spans="1:3" x14ac:dyDescent="0.35">
      <c r="A4880" s="9">
        <v>44692</v>
      </c>
      <c r="B4880">
        <f t="shared" si="77"/>
        <v>5</v>
      </c>
      <c r="C4880" s="5">
        <v>171.7</v>
      </c>
    </row>
    <row r="4881" spans="1:3" x14ac:dyDescent="0.35">
      <c r="A4881" s="9">
        <v>44693</v>
      </c>
      <c r="B4881">
        <f t="shared" si="77"/>
        <v>5</v>
      </c>
      <c r="C4881" s="5">
        <v>169.9</v>
      </c>
    </row>
    <row r="4882" spans="1:3" x14ac:dyDescent="0.35">
      <c r="A4882" s="9">
        <v>44694</v>
      </c>
      <c r="B4882">
        <f t="shared" si="77"/>
        <v>5</v>
      </c>
      <c r="C4882" s="5">
        <v>163.80000000000001</v>
      </c>
    </row>
    <row r="4883" spans="1:3" x14ac:dyDescent="0.35">
      <c r="A4883" s="9">
        <v>44695</v>
      </c>
      <c r="B4883">
        <f t="shared" si="77"/>
        <v>5</v>
      </c>
      <c r="C4883" s="5">
        <v>156.69999999999999</v>
      </c>
    </row>
    <row r="4884" spans="1:3" x14ac:dyDescent="0.35">
      <c r="A4884" s="9">
        <v>44696</v>
      </c>
      <c r="B4884">
        <f t="shared" si="77"/>
        <v>5</v>
      </c>
      <c r="C4884" s="5">
        <v>149.19999999999999</v>
      </c>
    </row>
    <row r="4885" spans="1:3" x14ac:dyDescent="0.35">
      <c r="A4885" s="9">
        <v>44697</v>
      </c>
      <c r="B4885">
        <f t="shared" si="77"/>
        <v>5</v>
      </c>
      <c r="C4885" s="5">
        <v>142.4</v>
      </c>
    </row>
    <row r="4886" spans="1:3" x14ac:dyDescent="0.35">
      <c r="A4886" s="9">
        <v>44698</v>
      </c>
      <c r="B4886">
        <f t="shared" si="77"/>
        <v>5</v>
      </c>
      <c r="C4886" s="5">
        <v>136.6</v>
      </c>
    </row>
    <row r="4887" spans="1:3" x14ac:dyDescent="0.35">
      <c r="A4887" s="9">
        <v>44699</v>
      </c>
      <c r="B4887">
        <f t="shared" si="77"/>
        <v>5</v>
      </c>
      <c r="C4887" s="5">
        <v>132</v>
      </c>
    </row>
    <row r="4888" spans="1:3" x14ac:dyDescent="0.35">
      <c r="A4888" s="9">
        <v>44700</v>
      </c>
      <c r="B4888">
        <f t="shared" si="77"/>
        <v>5</v>
      </c>
      <c r="C4888" s="5">
        <v>129.19999999999999</v>
      </c>
    </row>
    <row r="4889" spans="1:3" x14ac:dyDescent="0.35">
      <c r="A4889" s="9">
        <v>44701</v>
      </c>
      <c r="B4889">
        <f t="shared" si="77"/>
        <v>5</v>
      </c>
      <c r="C4889" s="5">
        <v>127.6</v>
      </c>
    </row>
    <row r="4890" spans="1:3" x14ac:dyDescent="0.35">
      <c r="A4890" s="9">
        <v>44702</v>
      </c>
      <c r="B4890">
        <f t="shared" si="77"/>
        <v>5</v>
      </c>
      <c r="C4890" s="5">
        <v>128.4</v>
      </c>
    </row>
    <row r="4891" spans="1:3" x14ac:dyDescent="0.35">
      <c r="A4891" s="9">
        <v>44703</v>
      </c>
      <c r="B4891">
        <f t="shared" si="77"/>
        <v>5</v>
      </c>
      <c r="C4891" s="5">
        <v>132.30000000000001</v>
      </c>
    </row>
    <row r="4892" spans="1:3" x14ac:dyDescent="0.35">
      <c r="A4892" s="9">
        <v>44704</v>
      </c>
      <c r="B4892">
        <f t="shared" si="77"/>
        <v>5</v>
      </c>
      <c r="C4892" s="5">
        <v>139.69999999999999</v>
      </c>
    </row>
    <row r="4893" spans="1:3" x14ac:dyDescent="0.35">
      <c r="A4893" s="9">
        <v>44705</v>
      </c>
      <c r="B4893">
        <f t="shared" si="77"/>
        <v>5</v>
      </c>
      <c r="C4893" s="5">
        <v>147.19999999999999</v>
      </c>
    </row>
    <row r="4894" spans="1:3" x14ac:dyDescent="0.35">
      <c r="A4894" s="9">
        <v>44706</v>
      </c>
      <c r="B4894">
        <f t="shared" si="77"/>
        <v>5</v>
      </c>
      <c r="C4894" s="5">
        <v>152.5</v>
      </c>
    </row>
    <row r="4895" spans="1:3" x14ac:dyDescent="0.35">
      <c r="A4895" s="9">
        <v>44707</v>
      </c>
      <c r="B4895">
        <f t="shared" si="77"/>
        <v>5</v>
      </c>
      <c r="C4895" s="5">
        <v>152.69999999999999</v>
      </c>
    </row>
    <row r="4896" spans="1:3" x14ac:dyDescent="0.35">
      <c r="A4896" s="9">
        <v>44708</v>
      </c>
      <c r="B4896">
        <f t="shared" si="77"/>
        <v>5</v>
      </c>
      <c r="C4896" s="5">
        <v>150</v>
      </c>
    </row>
    <row r="4897" spans="1:3" x14ac:dyDescent="0.35">
      <c r="A4897" s="9">
        <v>44709</v>
      </c>
      <c r="B4897">
        <f t="shared" si="77"/>
        <v>5</v>
      </c>
      <c r="C4897" s="5">
        <v>146.4</v>
      </c>
    </row>
    <row r="4898" spans="1:3" x14ac:dyDescent="0.35">
      <c r="A4898" s="9">
        <v>44710</v>
      </c>
      <c r="B4898">
        <f t="shared" si="77"/>
        <v>5</v>
      </c>
      <c r="C4898" s="5">
        <v>144.9</v>
      </c>
    </row>
    <row r="4899" spans="1:3" x14ac:dyDescent="0.35">
      <c r="A4899" s="9">
        <v>44711</v>
      </c>
      <c r="B4899">
        <f t="shared" si="77"/>
        <v>5</v>
      </c>
      <c r="C4899" s="5">
        <v>144.80000000000001</v>
      </c>
    </row>
    <row r="4900" spans="1:3" x14ac:dyDescent="0.35">
      <c r="A4900" s="9">
        <v>44712</v>
      </c>
      <c r="B4900">
        <f t="shared" si="77"/>
        <v>5</v>
      </c>
      <c r="C4900" s="5">
        <v>144.19999999999999</v>
      </c>
    </row>
    <row r="4901" spans="1:3" x14ac:dyDescent="0.35">
      <c r="A4901" s="9">
        <v>44713</v>
      </c>
      <c r="B4901">
        <f t="shared" si="77"/>
        <v>6</v>
      </c>
      <c r="C4901" s="5">
        <v>143.1</v>
      </c>
    </row>
    <row r="4902" spans="1:3" x14ac:dyDescent="0.35">
      <c r="A4902" s="9">
        <v>44714</v>
      </c>
      <c r="B4902">
        <f t="shared" si="77"/>
        <v>6</v>
      </c>
      <c r="C4902" s="5">
        <v>100.2</v>
      </c>
    </row>
    <row r="4903" spans="1:3" x14ac:dyDescent="0.35">
      <c r="A4903" s="9">
        <v>44715</v>
      </c>
      <c r="B4903">
        <f t="shared" si="77"/>
        <v>6</v>
      </c>
      <c r="C4903" s="5">
        <v>97.2</v>
      </c>
    </row>
    <row r="4904" spans="1:3" x14ac:dyDescent="0.35">
      <c r="A4904" s="9">
        <v>44716</v>
      </c>
      <c r="B4904">
        <f t="shared" si="77"/>
        <v>6</v>
      </c>
      <c r="C4904" s="5">
        <v>93.7</v>
      </c>
    </row>
    <row r="4905" spans="1:3" x14ac:dyDescent="0.35">
      <c r="A4905" s="9">
        <v>44717</v>
      </c>
      <c r="B4905">
        <f t="shared" si="77"/>
        <v>6</v>
      </c>
      <c r="C4905" s="5">
        <v>90.4</v>
      </c>
    </row>
    <row r="4906" spans="1:3" x14ac:dyDescent="0.35">
      <c r="A4906" s="9">
        <v>44718</v>
      </c>
      <c r="B4906">
        <f t="shared" si="77"/>
        <v>6</v>
      </c>
      <c r="C4906" s="5">
        <v>87.8</v>
      </c>
    </row>
    <row r="4907" spans="1:3" x14ac:dyDescent="0.35">
      <c r="A4907" s="9">
        <v>44719</v>
      </c>
      <c r="B4907">
        <f t="shared" si="77"/>
        <v>6</v>
      </c>
      <c r="C4907" s="5">
        <v>86.1</v>
      </c>
    </row>
    <row r="4908" spans="1:3" x14ac:dyDescent="0.35">
      <c r="A4908" s="9">
        <v>44720</v>
      </c>
      <c r="B4908">
        <f t="shared" si="77"/>
        <v>6</v>
      </c>
      <c r="C4908" s="5">
        <v>85.1</v>
      </c>
    </row>
    <row r="4909" spans="1:3" x14ac:dyDescent="0.35">
      <c r="A4909" s="9">
        <v>44721</v>
      </c>
      <c r="B4909">
        <f t="shared" si="77"/>
        <v>6</v>
      </c>
      <c r="C4909" s="5">
        <v>84.5</v>
      </c>
    </row>
    <row r="4910" spans="1:3" x14ac:dyDescent="0.35">
      <c r="A4910" s="9">
        <v>44722</v>
      </c>
      <c r="B4910">
        <f t="shared" si="77"/>
        <v>6</v>
      </c>
      <c r="C4910" s="5">
        <v>84.2</v>
      </c>
    </row>
    <row r="4911" spans="1:3" x14ac:dyDescent="0.35">
      <c r="A4911" s="9">
        <v>44723</v>
      </c>
      <c r="B4911">
        <f t="shared" si="77"/>
        <v>6</v>
      </c>
      <c r="C4911" s="5">
        <v>83.9</v>
      </c>
    </row>
    <row r="4912" spans="1:3" x14ac:dyDescent="0.35">
      <c r="A4912" s="9">
        <v>44724</v>
      </c>
      <c r="B4912">
        <f t="shared" si="77"/>
        <v>6</v>
      </c>
      <c r="C4912" s="5">
        <v>83.7</v>
      </c>
    </row>
    <row r="4913" spans="1:3" x14ac:dyDescent="0.35">
      <c r="A4913" s="9">
        <v>44725</v>
      </c>
      <c r="B4913">
        <f t="shared" si="77"/>
        <v>6</v>
      </c>
      <c r="C4913" s="5">
        <v>83.4</v>
      </c>
    </row>
    <row r="4914" spans="1:3" x14ac:dyDescent="0.35">
      <c r="A4914" s="9">
        <v>44726</v>
      </c>
      <c r="B4914">
        <f t="shared" si="77"/>
        <v>6</v>
      </c>
      <c r="C4914" s="5">
        <v>83.3</v>
      </c>
    </row>
    <row r="4915" spans="1:3" x14ac:dyDescent="0.35">
      <c r="A4915" s="9">
        <v>44727</v>
      </c>
      <c r="B4915">
        <f t="shared" si="77"/>
        <v>6</v>
      </c>
      <c r="C4915" s="5">
        <v>84</v>
      </c>
    </row>
    <row r="4916" spans="1:3" x14ac:dyDescent="0.35">
      <c r="A4916" s="9">
        <v>44728</v>
      </c>
      <c r="B4916">
        <f t="shared" si="77"/>
        <v>6</v>
      </c>
      <c r="C4916" s="5">
        <v>85.4</v>
      </c>
    </row>
    <row r="4917" spans="1:3" x14ac:dyDescent="0.35">
      <c r="A4917" s="9">
        <v>44729</v>
      </c>
      <c r="B4917">
        <f t="shared" si="77"/>
        <v>6</v>
      </c>
      <c r="C4917" s="5">
        <v>87</v>
      </c>
    </row>
    <row r="4918" spans="1:3" x14ac:dyDescent="0.35">
      <c r="A4918" s="9">
        <v>44730</v>
      </c>
      <c r="B4918">
        <f t="shared" si="77"/>
        <v>6</v>
      </c>
      <c r="C4918" s="5">
        <v>87.3</v>
      </c>
    </row>
    <row r="4919" spans="1:3" x14ac:dyDescent="0.35">
      <c r="A4919" s="9">
        <v>44731</v>
      </c>
      <c r="B4919">
        <f t="shared" si="77"/>
        <v>6</v>
      </c>
      <c r="C4919" s="5">
        <v>86.9</v>
      </c>
    </row>
    <row r="4920" spans="1:3" x14ac:dyDescent="0.35">
      <c r="A4920" s="9">
        <v>44732</v>
      </c>
      <c r="B4920">
        <f t="shared" si="77"/>
        <v>6</v>
      </c>
      <c r="C4920" s="5">
        <v>87.1</v>
      </c>
    </row>
    <row r="4921" spans="1:3" x14ac:dyDescent="0.35">
      <c r="A4921" s="9">
        <v>44733</v>
      </c>
      <c r="B4921">
        <f t="shared" si="77"/>
        <v>6</v>
      </c>
      <c r="C4921" s="5">
        <v>89.3</v>
      </c>
    </row>
    <row r="4922" spans="1:3" x14ac:dyDescent="0.35">
      <c r="A4922" s="9">
        <v>44734</v>
      </c>
      <c r="B4922">
        <f t="shared" si="77"/>
        <v>6</v>
      </c>
      <c r="C4922" s="5">
        <v>92.4</v>
      </c>
    </row>
    <row r="4923" spans="1:3" x14ac:dyDescent="0.35">
      <c r="A4923" s="9">
        <v>44735</v>
      </c>
      <c r="B4923">
        <f t="shared" si="77"/>
        <v>6</v>
      </c>
      <c r="C4923" s="5">
        <v>93.6</v>
      </c>
    </row>
    <row r="4924" spans="1:3" x14ac:dyDescent="0.35">
      <c r="A4924" s="9">
        <v>44736</v>
      </c>
      <c r="B4924">
        <f t="shared" si="77"/>
        <v>6</v>
      </c>
      <c r="C4924" s="5">
        <v>92.5</v>
      </c>
    </row>
    <row r="4925" spans="1:3" x14ac:dyDescent="0.35">
      <c r="A4925" s="9">
        <v>44737</v>
      </c>
      <c r="B4925">
        <f t="shared" si="77"/>
        <v>6</v>
      </c>
      <c r="C4925" s="5">
        <v>90</v>
      </c>
    </row>
    <row r="4926" spans="1:3" x14ac:dyDescent="0.35">
      <c r="A4926" s="9">
        <v>44738</v>
      </c>
      <c r="B4926">
        <f t="shared" si="77"/>
        <v>6</v>
      </c>
      <c r="C4926" s="5">
        <v>87.7</v>
      </c>
    </row>
    <row r="4927" spans="1:3" x14ac:dyDescent="0.35">
      <c r="A4927" s="9">
        <v>44739</v>
      </c>
      <c r="B4927">
        <f t="shared" si="77"/>
        <v>6</v>
      </c>
      <c r="C4927" s="5">
        <v>86.3</v>
      </c>
    </row>
    <row r="4928" spans="1:3" x14ac:dyDescent="0.35">
      <c r="A4928" s="9">
        <v>44740</v>
      </c>
      <c r="B4928">
        <f t="shared" si="77"/>
        <v>6</v>
      </c>
      <c r="C4928" s="5">
        <v>85.5</v>
      </c>
    </row>
    <row r="4929" spans="1:3" x14ac:dyDescent="0.35">
      <c r="A4929" s="9">
        <v>44741</v>
      </c>
      <c r="B4929">
        <f t="shared" si="77"/>
        <v>6</v>
      </c>
      <c r="C4929" s="5">
        <v>85</v>
      </c>
    </row>
    <row r="4930" spans="1:3" x14ac:dyDescent="0.35">
      <c r="A4930" s="9">
        <v>44742</v>
      </c>
      <c r="B4930">
        <f t="shared" si="77"/>
        <v>6</v>
      </c>
      <c r="C4930" s="5">
        <v>84.5</v>
      </c>
    </row>
    <row r="4931" spans="1:3" x14ac:dyDescent="0.35">
      <c r="A4931" s="9">
        <v>44743</v>
      </c>
      <c r="B4931">
        <f t="shared" si="77"/>
        <v>7</v>
      </c>
      <c r="C4931" s="5">
        <v>84.1</v>
      </c>
    </row>
    <row r="4932" spans="1:3" x14ac:dyDescent="0.35">
      <c r="A4932" s="9">
        <v>44744</v>
      </c>
      <c r="B4932">
        <f t="shared" ref="B4932:B4995" si="78">MONTH(A4932)</f>
        <v>7</v>
      </c>
      <c r="C4932" s="5">
        <v>60.7</v>
      </c>
    </row>
    <row r="4933" spans="1:3" x14ac:dyDescent="0.35">
      <c r="A4933" s="9">
        <v>44745</v>
      </c>
      <c r="B4933">
        <f t="shared" si="78"/>
        <v>7</v>
      </c>
      <c r="C4933" s="5">
        <v>60.5</v>
      </c>
    </row>
    <row r="4934" spans="1:3" x14ac:dyDescent="0.35">
      <c r="A4934" s="9">
        <v>44746</v>
      </c>
      <c r="B4934">
        <f t="shared" si="78"/>
        <v>7</v>
      </c>
      <c r="C4934" s="5">
        <v>60.3</v>
      </c>
    </row>
    <row r="4935" spans="1:3" x14ac:dyDescent="0.35">
      <c r="A4935" s="9">
        <v>44747</v>
      </c>
      <c r="B4935">
        <f t="shared" si="78"/>
        <v>7</v>
      </c>
      <c r="C4935" s="5">
        <v>60.2</v>
      </c>
    </row>
    <row r="4936" spans="1:3" x14ac:dyDescent="0.35">
      <c r="A4936" s="9">
        <v>44748</v>
      </c>
      <c r="B4936">
        <f t="shared" si="78"/>
        <v>7</v>
      </c>
      <c r="C4936" s="5">
        <v>60.1</v>
      </c>
    </row>
    <row r="4937" spans="1:3" x14ac:dyDescent="0.35">
      <c r="A4937" s="9">
        <v>44749</v>
      </c>
      <c r="B4937">
        <f t="shared" si="78"/>
        <v>7</v>
      </c>
      <c r="C4937" s="5">
        <v>60.1</v>
      </c>
    </row>
    <row r="4938" spans="1:3" x14ac:dyDescent="0.35">
      <c r="A4938" s="9">
        <v>44750</v>
      </c>
      <c r="B4938">
        <f t="shared" si="78"/>
        <v>7</v>
      </c>
      <c r="C4938" s="5">
        <v>60</v>
      </c>
    </row>
    <row r="4939" spans="1:3" x14ac:dyDescent="0.35">
      <c r="A4939" s="9">
        <v>44751</v>
      </c>
      <c r="B4939">
        <f t="shared" si="78"/>
        <v>7</v>
      </c>
      <c r="C4939" s="5">
        <v>60</v>
      </c>
    </row>
    <row r="4940" spans="1:3" x14ac:dyDescent="0.35">
      <c r="A4940" s="9">
        <v>44752</v>
      </c>
      <c r="B4940">
        <f t="shared" si="78"/>
        <v>7</v>
      </c>
      <c r="C4940" s="5">
        <v>60</v>
      </c>
    </row>
    <row r="4941" spans="1:3" x14ac:dyDescent="0.35">
      <c r="A4941" s="9">
        <v>44753</v>
      </c>
      <c r="B4941">
        <f t="shared" si="78"/>
        <v>7</v>
      </c>
      <c r="C4941" s="5">
        <v>60</v>
      </c>
    </row>
    <row r="4942" spans="1:3" x14ac:dyDescent="0.35">
      <c r="A4942" s="9">
        <v>44754</v>
      </c>
      <c r="B4942">
        <f t="shared" si="78"/>
        <v>7</v>
      </c>
      <c r="C4942" s="5">
        <v>60</v>
      </c>
    </row>
    <row r="4943" spans="1:3" x14ac:dyDescent="0.35">
      <c r="A4943" s="9">
        <v>44755</v>
      </c>
      <c r="B4943">
        <f t="shared" si="78"/>
        <v>7</v>
      </c>
      <c r="C4943" s="5">
        <v>60</v>
      </c>
    </row>
    <row r="4944" spans="1:3" x14ac:dyDescent="0.35">
      <c r="A4944" s="9">
        <v>44756</v>
      </c>
      <c r="B4944">
        <f t="shared" si="78"/>
        <v>7</v>
      </c>
      <c r="C4944" s="5">
        <v>60</v>
      </c>
    </row>
    <row r="4945" spans="1:3" x14ac:dyDescent="0.35">
      <c r="A4945" s="9">
        <v>44757</v>
      </c>
      <c r="B4945">
        <f t="shared" si="78"/>
        <v>7</v>
      </c>
      <c r="C4945" s="5">
        <v>60</v>
      </c>
    </row>
    <row r="4946" spans="1:3" x14ac:dyDescent="0.35">
      <c r="A4946" s="9">
        <v>44758</v>
      </c>
      <c r="B4946">
        <f t="shared" si="78"/>
        <v>7</v>
      </c>
      <c r="C4946" s="5">
        <v>60</v>
      </c>
    </row>
    <row r="4947" spans="1:3" x14ac:dyDescent="0.35">
      <c r="A4947" s="9">
        <v>44759</v>
      </c>
      <c r="B4947">
        <f t="shared" si="78"/>
        <v>7</v>
      </c>
      <c r="C4947" s="5">
        <v>60</v>
      </c>
    </row>
    <row r="4948" spans="1:3" x14ac:dyDescent="0.35">
      <c r="A4948" s="9">
        <v>44760</v>
      </c>
      <c r="B4948">
        <f t="shared" si="78"/>
        <v>7</v>
      </c>
      <c r="C4948" s="5">
        <v>60</v>
      </c>
    </row>
    <row r="4949" spans="1:3" x14ac:dyDescent="0.35">
      <c r="A4949" s="9">
        <v>44761</v>
      </c>
      <c r="B4949">
        <f t="shared" si="78"/>
        <v>7</v>
      </c>
      <c r="C4949" s="5">
        <v>60</v>
      </c>
    </row>
    <row r="4950" spans="1:3" x14ac:dyDescent="0.35">
      <c r="A4950" s="9">
        <v>44762</v>
      </c>
      <c r="B4950">
        <f t="shared" si="78"/>
        <v>7</v>
      </c>
      <c r="C4950" s="5">
        <v>60</v>
      </c>
    </row>
    <row r="4951" spans="1:3" x14ac:dyDescent="0.35">
      <c r="A4951" s="9">
        <v>44763</v>
      </c>
      <c r="B4951">
        <f t="shared" si="78"/>
        <v>7</v>
      </c>
      <c r="C4951" s="5">
        <v>60.2</v>
      </c>
    </row>
    <row r="4952" spans="1:3" x14ac:dyDescent="0.35">
      <c r="A4952" s="9">
        <v>44764</v>
      </c>
      <c r="B4952">
        <f t="shared" si="78"/>
        <v>7</v>
      </c>
      <c r="C4952" s="5">
        <v>60.6</v>
      </c>
    </row>
    <row r="4953" spans="1:3" x14ac:dyDescent="0.35">
      <c r="A4953" s="9">
        <v>44765</v>
      </c>
      <c r="B4953">
        <f t="shared" si="78"/>
        <v>7</v>
      </c>
      <c r="C4953" s="5">
        <v>61</v>
      </c>
    </row>
    <row r="4954" spans="1:3" x14ac:dyDescent="0.35">
      <c r="A4954" s="9">
        <v>44766</v>
      </c>
      <c r="B4954">
        <f t="shared" si="78"/>
        <v>7</v>
      </c>
      <c r="C4954" s="5">
        <v>61.1</v>
      </c>
    </row>
    <row r="4955" spans="1:3" x14ac:dyDescent="0.35">
      <c r="A4955" s="9">
        <v>44767</v>
      </c>
      <c r="B4955">
        <f t="shared" si="78"/>
        <v>7</v>
      </c>
      <c r="C4955" s="5">
        <v>61</v>
      </c>
    </row>
    <row r="4956" spans="1:3" x14ac:dyDescent="0.35">
      <c r="A4956" s="9">
        <v>44768</v>
      </c>
      <c r="B4956">
        <f t="shared" si="78"/>
        <v>7</v>
      </c>
      <c r="C4956" s="5">
        <v>60.8</v>
      </c>
    </row>
    <row r="4957" spans="1:3" x14ac:dyDescent="0.35">
      <c r="A4957" s="9">
        <v>44769</v>
      </c>
      <c r="B4957">
        <f t="shared" si="78"/>
        <v>7</v>
      </c>
      <c r="C4957" s="5">
        <v>60.6</v>
      </c>
    </row>
    <row r="4958" spans="1:3" x14ac:dyDescent="0.35">
      <c r="A4958" s="9">
        <v>44770</v>
      </c>
      <c r="B4958">
        <f t="shared" si="78"/>
        <v>7</v>
      </c>
      <c r="C4958" s="5">
        <v>60.4</v>
      </c>
    </row>
    <row r="4959" spans="1:3" x14ac:dyDescent="0.35">
      <c r="A4959" s="9">
        <v>44771</v>
      </c>
      <c r="B4959">
        <f t="shared" si="78"/>
        <v>7</v>
      </c>
      <c r="C4959" s="5">
        <v>60.3</v>
      </c>
    </row>
    <row r="4960" spans="1:3" x14ac:dyDescent="0.35">
      <c r="A4960" s="9">
        <v>44772</v>
      </c>
      <c r="B4960">
        <f t="shared" si="78"/>
        <v>7</v>
      </c>
      <c r="C4960" s="5">
        <v>60.3</v>
      </c>
    </row>
    <row r="4961" spans="1:3" x14ac:dyDescent="0.35">
      <c r="A4961" s="9">
        <v>44773</v>
      </c>
      <c r="B4961">
        <f t="shared" si="78"/>
        <v>7</v>
      </c>
      <c r="C4961" s="5">
        <v>62.3</v>
      </c>
    </row>
    <row r="4962" spans="1:3" x14ac:dyDescent="0.35">
      <c r="A4962" s="9">
        <v>44774</v>
      </c>
      <c r="B4962">
        <f t="shared" si="78"/>
        <v>8</v>
      </c>
      <c r="C4962" s="5">
        <v>66.8</v>
      </c>
    </row>
    <row r="4963" spans="1:3" x14ac:dyDescent="0.35">
      <c r="A4963" s="9">
        <v>44775</v>
      </c>
      <c r="B4963">
        <f t="shared" si="78"/>
        <v>8</v>
      </c>
      <c r="C4963" s="5">
        <v>76.599999999999994</v>
      </c>
    </row>
    <row r="4964" spans="1:3" x14ac:dyDescent="0.35">
      <c r="A4964" s="9">
        <v>44776</v>
      </c>
      <c r="B4964">
        <f t="shared" si="78"/>
        <v>8</v>
      </c>
      <c r="C4964" s="5">
        <v>77.7</v>
      </c>
    </row>
    <row r="4965" spans="1:3" x14ac:dyDescent="0.35">
      <c r="A4965" s="9">
        <v>44777</v>
      </c>
      <c r="B4965">
        <f t="shared" si="78"/>
        <v>8</v>
      </c>
      <c r="C4965" s="5">
        <v>75.900000000000006</v>
      </c>
    </row>
    <row r="4966" spans="1:3" x14ac:dyDescent="0.35">
      <c r="A4966" s="9">
        <v>44778</v>
      </c>
      <c r="B4966">
        <f t="shared" si="78"/>
        <v>8</v>
      </c>
      <c r="C4966" s="5">
        <v>72.8</v>
      </c>
    </row>
    <row r="4967" spans="1:3" x14ac:dyDescent="0.35">
      <c r="A4967" s="9">
        <v>44779</v>
      </c>
      <c r="B4967">
        <f t="shared" si="78"/>
        <v>8</v>
      </c>
      <c r="C4967" s="5">
        <v>70</v>
      </c>
    </row>
    <row r="4968" spans="1:3" x14ac:dyDescent="0.35">
      <c r="A4968" s="9">
        <v>44780</v>
      </c>
      <c r="B4968">
        <f t="shared" si="78"/>
        <v>8</v>
      </c>
      <c r="C4968" s="5">
        <v>68.400000000000006</v>
      </c>
    </row>
    <row r="4969" spans="1:3" x14ac:dyDescent="0.35">
      <c r="A4969" s="9">
        <v>44781</v>
      </c>
      <c r="B4969">
        <f t="shared" si="78"/>
        <v>8</v>
      </c>
      <c r="C4969" s="5">
        <v>67.7</v>
      </c>
    </row>
    <row r="4970" spans="1:3" x14ac:dyDescent="0.35">
      <c r="A4970" s="9">
        <v>44782</v>
      </c>
      <c r="B4970">
        <f t="shared" si="78"/>
        <v>8</v>
      </c>
      <c r="C4970" s="5">
        <v>67.3</v>
      </c>
    </row>
    <row r="4971" spans="1:3" x14ac:dyDescent="0.35">
      <c r="A4971" s="9">
        <v>44783</v>
      </c>
      <c r="B4971">
        <f t="shared" si="78"/>
        <v>8</v>
      </c>
      <c r="C4971" s="5">
        <v>67.400000000000006</v>
      </c>
    </row>
    <row r="4972" spans="1:3" x14ac:dyDescent="0.35">
      <c r="A4972" s="9">
        <v>44784</v>
      </c>
      <c r="B4972">
        <f t="shared" si="78"/>
        <v>8</v>
      </c>
      <c r="C4972" s="5">
        <v>68.3</v>
      </c>
    </row>
    <row r="4973" spans="1:3" x14ac:dyDescent="0.35">
      <c r="A4973" s="9">
        <v>44785</v>
      </c>
      <c r="B4973">
        <f t="shared" si="78"/>
        <v>8</v>
      </c>
      <c r="C4973" s="5">
        <v>69.5</v>
      </c>
    </row>
    <row r="4974" spans="1:3" x14ac:dyDescent="0.35">
      <c r="A4974" s="9">
        <v>44786</v>
      </c>
      <c r="B4974">
        <f t="shared" si="78"/>
        <v>8</v>
      </c>
      <c r="C4974" s="5">
        <v>69.8</v>
      </c>
    </row>
    <row r="4975" spans="1:3" x14ac:dyDescent="0.35">
      <c r="A4975" s="9">
        <v>44787</v>
      </c>
      <c r="B4975">
        <f t="shared" si="78"/>
        <v>8</v>
      </c>
      <c r="C4975" s="5">
        <v>69.599999999999994</v>
      </c>
    </row>
    <row r="4976" spans="1:3" x14ac:dyDescent="0.35">
      <c r="A4976" s="9">
        <v>44788</v>
      </c>
      <c r="B4976">
        <f t="shared" si="78"/>
        <v>8</v>
      </c>
      <c r="C4976" s="5">
        <v>69.7</v>
      </c>
    </row>
    <row r="4977" spans="1:3" x14ac:dyDescent="0.35">
      <c r="A4977" s="9">
        <v>44789</v>
      </c>
      <c r="B4977">
        <f t="shared" si="78"/>
        <v>8</v>
      </c>
      <c r="C4977" s="5">
        <v>70.7</v>
      </c>
    </row>
    <row r="4978" spans="1:3" x14ac:dyDescent="0.35">
      <c r="A4978" s="9">
        <v>44790</v>
      </c>
      <c r="B4978">
        <f t="shared" si="78"/>
        <v>8</v>
      </c>
      <c r="C4978" s="5">
        <v>73.099999999999994</v>
      </c>
    </row>
    <row r="4979" spans="1:3" x14ac:dyDescent="0.35">
      <c r="A4979" s="9">
        <v>44791</v>
      </c>
      <c r="B4979">
        <f t="shared" si="78"/>
        <v>8</v>
      </c>
      <c r="C4979" s="5">
        <v>76.099999999999994</v>
      </c>
    </row>
    <row r="4980" spans="1:3" x14ac:dyDescent="0.35">
      <c r="A4980" s="9">
        <v>44792</v>
      </c>
      <c r="B4980">
        <f t="shared" si="78"/>
        <v>8</v>
      </c>
      <c r="C4980" s="5">
        <v>78.099999999999994</v>
      </c>
    </row>
    <row r="4981" spans="1:3" x14ac:dyDescent="0.35">
      <c r="A4981" s="9">
        <v>44793</v>
      </c>
      <c r="B4981">
        <f t="shared" si="78"/>
        <v>8</v>
      </c>
      <c r="C4981" s="5">
        <v>80.2</v>
      </c>
    </row>
    <row r="4982" spans="1:3" x14ac:dyDescent="0.35">
      <c r="A4982" s="9">
        <v>44794</v>
      </c>
      <c r="B4982">
        <f t="shared" si="78"/>
        <v>8</v>
      </c>
      <c r="C4982" s="5">
        <v>87.7</v>
      </c>
    </row>
    <row r="4983" spans="1:3" x14ac:dyDescent="0.35">
      <c r="A4983" s="9">
        <v>44795</v>
      </c>
      <c r="B4983">
        <f t="shared" si="78"/>
        <v>8</v>
      </c>
      <c r="C4983" s="5">
        <v>102</v>
      </c>
    </row>
    <row r="4984" spans="1:3" x14ac:dyDescent="0.35">
      <c r="A4984" s="9">
        <v>44796</v>
      </c>
      <c r="B4984">
        <f t="shared" si="78"/>
        <v>8</v>
      </c>
      <c r="C4984" s="5">
        <v>114.2</v>
      </c>
    </row>
    <row r="4985" spans="1:3" x14ac:dyDescent="0.35">
      <c r="A4985" s="9">
        <v>44797</v>
      </c>
      <c r="B4985">
        <f t="shared" si="78"/>
        <v>8</v>
      </c>
      <c r="C4985" s="5">
        <v>117.3</v>
      </c>
    </row>
    <row r="4986" spans="1:3" x14ac:dyDescent="0.35">
      <c r="A4986" s="9">
        <v>44798</v>
      </c>
      <c r="B4986">
        <f t="shared" si="78"/>
        <v>8</v>
      </c>
      <c r="C4986" s="5">
        <v>109.8</v>
      </c>
    </row>
    <row r="4987" spans="1:3" x14ac:dyDescent="0.35">
      <c r="A4987" s="9">
        <v>44799</v>
      </c>
      <c r="B4987">
        <f t="shared" si="78"/>
        <v>8</v>
      </c>
      <c r="C4987" s="5">
        <v>98.8</v>
      </c>
    </row>
    <row r="4988" spans="1:3" x14ac:dyDescent="0.35">
      <c r="A4988" s="9">
        <v>44800</v>
      </c>
      <c r="B4988">
        <f t="shared" si="78"/>
        <v>8</v>
      </c>
      <c r="C4988" s="5">
        <v>90.6</v>
      </c>
    </row>
    <row r="4989" spans="1:3" x14ac:dyDescent="0.35">
      <c r="A4989" s="9">
        <v>44801</v>
      </c>
      <c r="B4989">
        <f t="shared" si="78"/>
        <v>8</v>
      </c>
      <c r="C4989" s="5">
        <v>88.5</v>
      </c>
    </row>
    <row r="4990" spans="1:3" x14ac:dyDescent="0.35">
      <c r="A4990" s="9">
        <v>44802</v>
      </c>
      <c r="B4990">
        <f t="shared" si="78"/>
        <v>8</v>
      </c>
      <c r="C4990" s="5">
        <v>95.5</v>
      </c>
    </row>
    <row r="4991" spans="1:3" x14ac:dyDescent="0.35">
      <c r="A4991" s="9">
        <v>44803</v>
      </c>
      <c r="B4991">
        <f t="shared" si="78"/>
        <v>8</v>
      </c>
      <c r="C4991" s="5">
        <v>110.1</v>
      </c>
    </row>
    <row r="4992" spans="1:3" x14ac:dyDescent="0.35">
      <c r="A4992" s="9">
        <v>44804</v>
      </c>
      <c r="B4992">
        <f t="shared" si="78"/>
        <v>8</v>
      </c>
      <c r="C4992" s="5">
        <v>122.1</v>
      </c>
    </row>
    <row r="4993" spans="1:3" x14ac:dyDescent="0.35">
      <c r="A4993" s="9">
        <v>44805</v>
      </c>
      <c r="B4993">
        <f t="shared" si="78"/>
        <v>9</v>
      </c>
      <c r="C4993" s="5">
        <v>124.8</v>
      </c>
    </row>
    <row r="4994" spans="1:3" x14ac:dyDescent="0.35">
      <c r="A4994" s="9">
        <v>44806</v>
      </c>
      <c r="B4994">
        <f t="shared" si="78"/>
        <v>9</v>
      </c>
      <c r="C4994" s="5">
        <v>152.19999999999999</v>
      </c>
    </row>
    <row r="4995" spans="1:3" x14ac:dyDescent="0.35">
      <c r="A4995" s="9">
        <v>44807</v>
      </c>
      <c r="B4995">
        <f t="shared" si="78"/>
        <v>9</v>
      </c>
      <c r="C4995" s="5">
        <v>151.69999999999999</v>
      </c>
    </row>
    <row r="4996" spans="1:3" x14ac:dyDescent="0.35">
      <c r="A4996" s="9">
        <v>44808</v>
      </c>
      <c r="B4996">
        <f t="shared" ref="B4996:B5059" si="79">MONTH(A4996)</f>
        <v>9</v>
      </c>
      <c r="C4996" s="5">
        <v>145.6</v>
      </c>
    </row>
    <row r="4997" spans="1:3" x14ac:dyDescent="0.35">
      <c r="A4997" s="9">
        <v>44809</v>
      </c>
      <c r="B4997">
        <f t="shared" si="79"/>
        <v>9</v>
      </c>
      <c r="C4997" s="5">
        <v>138.80000000000001</v>
      </c>
    </row>
    <row r="4998" spans="1:3" x14ac:dyDescent="0.35">
      <c r="A4998" s="9">
        <v>44810</v>
      </c>
      <c r="B4998">
        <f t="shared" si="79"/>
        <v>9</v>
      </c>
      <c r="C4998" s="5">
        <v>130.80000000000001</v>
      </c>
    </row>
    <row r="4999" spans="1:3" x14ac:dyDescent="0.35">
      <c r="A4999" s="9">
        <v>44811</v>
      </c>
      <c r="B4999">
        <f t="shared" si="79"/>
        <v>9</v>
      </c>
      <c r="C4999" s="5">
        <v>126.3</v>
      </c>
    </row>
    <row r="5000" spans="1:3" x14ac:dyDescent="0.35">
      <c r="A5000" s="9">
        <v>44812</v>
      </c>
      <c r="B5000">
        <f t="shared" si="79"/>
        <v>9</v>
      </c>
      <c r="C5000" s="5">
        <v>129.4</v>
      </c>
    </row>
    <row r="5001" spans="1:3" x14ac:dyDescent="0.35">
      <c r="A5001" s="9">
        <v>44813</v>
      </c>
      <c r="B5001">
        <f t="shared" si="79"/>
        <v>9</v>
      </c>
      <c r="C5001" s="5">
        <v>135.80000000000001</v>
      </c>
    </row>
    <row r="5002" spans="1:3" x14ac:dyDescent="0.35">
      <c r="A5002" s="9">
        <v>44814</v>
      </c>
      <c r="B5002">
        <f t="shared" si="79"/>
        <v>9</v>
      </c>
      <c r="C5002" s="5">
        <v>139.6</v>
      </c>
    </row>
    <row r="5003" spans="1:3" x14ac:dyDescent="0.35">
      <c r="A5003" s="9">
        <v>44815</v>
      </c>
      <c r="B5003">
        <f t="shared" si="79"/>
        <v>9</v>
      </c>
      <c r="C5003" s="5">
        <v>141.19999999999999</v>
      </c>
    </row>
    <row r="5004" spans="1:3" x14ac:dyDescent="0.35">
      <c r="A5004" s="9">
        <v>44816</v>
      </c>
      <c r="B5004">
        <f t="shared" si="79"/>
        <v>9</v>
      </c>
      <c r="C5004" s="5">
        <v>140.1</v>
      </c>
    </row>
    <row r="5005" spans="1:3" x14ac:dyDescent="0.35">
      <c r="A5005" s="9">
        <v>44817</v>
      </c>
      <c r="B5005">
        <f t="shared" si="79"/>
        <v>9</v>
      </c>
      <c r="C5005" s="5">
        <v>134</v>
      </c>
    </row>
    <row r="5006" spans="1:3" x14ac:dyDescent="0.35">
      <c r="A5006" s="9">
        <v>44818</v>
      </c>
      <c r="B5006">
        <f t="shared" si="79"/>
        <v>9</v>
      </c>
      <c r="C5006" s="5">
        <v>131.80000000000001</v>
      </c>
    </row>
    <row r="5007" spans="1:3" x14ac:dyDescent="0.35">
      <c r="A5007" s="9">
        <v>44819</v>
      </c>
      <c r="B5007">
        <f t="shared" si="79"/>
        <v>9</v>
      </c>
      <c r="C5007" s="5">
        <v>137.30000000000001</v>
      </c>
    </row>
    <row r="5008" spans="1:3" x14ac:dyDescent="0.35">
      <c r="A5008" s="9">
        <v>44820</v>
      </c>
      <c r="B5008">
        <f t="shared" si="79"/>
        <v>9</v>
      </c>
      <c r="C5008" s="5">
        <v>147.80000000000001</v>
      </c>
    </row>
    <row r="5009" spans="1:3" x14ac:dyDescent="0.35">
      <c r="A5009" s="9">
        <v>44821</v>
      </c>
      <c r="B5009">
        <f t="shared" si="79"/>
        <v>9</v>
      </c>
      <c r="C5009" s="5">
        <v>154.9</v>
      </c>
    </row>
    <row r="5010" spans="1:3" x14ac:dyDescent="0.35">
      <c r="A5010" s="9">
        <v>44822</v>
      </c>
      <c r="B5010">
        <f t="shared" si="79"/>
        <v>9</v>
      </c>
      <c r="C5010" s="5">
        <v>162.4</v>
      </c>
    </row>
    <row r="5011" spans="1:3" x14ac:dyDescent="0.35">
      <c r="A5011" s="9">
        <v>44823</v>
      </c>
      <c r="B5011">
        <f t="shared" si="79"/>
        <v>9</v>
      </c>
      <c r="C5011" s="5">
        <v>170</v>
      </c>
    </row>
    <row r="5012" spans="1:3" x14ac:dyDescent="0.35">
      <c r="A5012" s="9">
        <v>44824</v>
      </c>
      <c r="B5012">
        <f t="shared" si="79"/>
        <v>9</v>
      </c>
      <c r="C5012" s="5">
        <v>171.2</v>
      </c>
    </row>
    <row r="5013" spans="1:3" x14ac:dyDescent="0.35">
      <c r="A5013" s="9">
        <v>44825</v>
      </c>
      <c r="B5013">
        <f t="shared" si="79"/>
        <v>9</v>
      </c>
      <c r="C5013" s="5">
        <v>170.8</v>
      </c>
    </row>
    <row r="5014" spans="1:3" x14ac:dyDescent="0.35">
      <c r="A5014" s="9">
        <v>44826</v>
      </c>
      <c r="B5014">
        <f t="shared" si="79"/>
        <v>9</v>
      </c>
      <c r="C5014" s="5">
        <v>174.5</v>
      </c>
    </row>
    <row r="5015" spans="1:3" x14ac:dyDescent="0.35">
      <c r="A5015" s="9">
        <v>44827</v>
      </c>
      <c r="B5015">
        <f t="shared" si="79"/>
        <v>9</v>
      </c>
      <c r="C5015" s="5">
        <v>178.9</v>
      </c>
    </row>
    <row r="5016" spans="1:3" x14ac:dyDescent="0.35">
      <c r="A5016" s="9">
        <v>44828</v>
      </c>
      <c r="B5016">
        <f t="shared" si="79"/>
        <v>9</v>
      </c>
      <c r="C5016" s="5">
        <v>180</v>
      </c>
    </row>
    <row r="5017" spans="1:3" x14ac:dyDescent="0.35">
      <c r="A5017" s="9">
        <v>44829</v>
      </c>
      <c r="B5017">
        <f t="shared" si="79"/>
        <v>9</v>
      </c>
      <c r="C5017" s="5">
        <v>176.5</v>
      </c>
    </row>
    <row r="5018" spans="1:3" x14ac:dyDescent="0.35">
      <c r="A5018" s="9">
        <v>44830</v>
      </c>
      <c r="B5018">
        <f t="shared" si="79"/>
        <v>9</v>
      </c>
      <c r="C5018" s="5">
        <v>170.4</v>
      </c>
    </row>
    <row r="5019" spans="1:3" x14ac:dyDescent="0.35">
      <c r="A5019" s="9">
        <v>44831</v>
      </c>
      <c r="B5019">
        <f t="shared" si="79"/>
        <v>9</v>
      </c>
      <c r="C5019" s="5">
        <v>158.19999999999999</v>
      </c>
    </row>
    <row r="5020" spans="1:3" x14ac:dyDescent="0.35">
      <c r="A5020" s="9">
        <v>44832</v>
      </c>
      <c r="B5020">
        <f t="shared" si="79"/>
        <v>9</v>
      </c>
      <c r="C5020" s="5">
        <v>148.4</v>
      </c>
    </row>
    <row r="5021" spans="1:3" x14ac:dyDescent="0.35">
      <c r="A5021" s="9">
        <v>44833</v>
      </c>
      <c r="B5021">
        <f t="shared" si="79"/>
        <v>9</v>
      </c>
      <c r="C5021" s="5">
        <v>146.1</v>
      </c>
    </row>
    <row r="5022" spans="1:3" x14ac:dyDescent="0.35">
      <c r="A5022" s="9">
        <v>44834</v>
      </c>
      <c r="B5022">
        <f t="shared" si="79"/>
        <v>9</v>
      </c>
      <c r="C5022" s="5">
        <v>151.30000000000001</v>
      </c>
    </row>
    <row r="5023" spans="1:3" x14ac:dyDescent="0.35">
      <c r="A5023" s="9">
        <v>44835</v>
      </c>
      <c r="B5023">
        <f t="shared" si="79"/>
        <v>10</v>
      </c>
      <c r="C5023" s="5">
        <v>155.6</v>
      </c>
    </row>
    <row r="5024" spans="1:3" x14ac:dyDescent="0.35">
      <c r="A5024" s="9">
        <v>44836</v>
      </c>
      <c r="B5024">
        <f t="shared" si="79"/>
        <v>10</v>
      </c>
      <c r="C5024" s="5">
        <v>171.8</v>
      </c>
    </row>
    <row r="5025" spans="1:3" x14ac:dyDescent="0.35">
      <c r="A5025" s="9">
        <v>44837</v>
      </c>
      <c r="B5025">
        <f t="shared" si="79"/>
        <v>10</v>
      </c>
      <c r="C5025" s="5">
        <v>169.8</v>
      </c>
    </row>
    <row r="5026" spans="1:3" x14ac:dyDescent="0.35">
      <c r="A5026" s="9">
        <v>44838</v>
      </c>
      <c r="B5026">
        <f t="shared" si="79"/>
        <v>10</v>
      </c>
      <c r="C5026" s="5">
        <v>165.5</v>
      </c>
    </row>
    <row r="5027" spans="1:3" x14ac:dyDescent="0.35">
      <c r="A5027" s="9">
        <v>44839</v>
      </c>
      <c r="B5027">
        <f t="shared" si="79"/>
        <v>10</v>
      </c>
      <c r="C5027" s="5">
        <v>159.4</v>
      </c>
    </row>
    <row r="5028" spans="1:3" x14ac:dyDescent="0.35">
      <c r="A5028" s="9">
        <v>44840</v>
      </c>
      <c r="B5028">
        <f t="shared" si="79"/>
        <v>10</v>
      </c>
      <c r="C5028" s="5">
        <v>159</v>
      </c>
    </row>
    <row r="5029" spans="1:3" x14ac:dyDescent="0.35">
      <c r="A5029" s="9">
        <v>44841</v>
      </c>
      <c r="B5029">
        <f t="shared" si="79"/>
        <v>10</v>
      </c>
      <c r="C5029" s="5">
        <v>165.2</v>
      </c>
    </row>
    <row r="5030" spans="1:3" x14ac:dyDescent="0.35">
      <c r="A5030" s="9">
        <v>44842</v>
      </c>
      <c r="B5030">
        <f t="shared" si="79"/>
        <v>10</v>
      </c>
      <c r="C5030" s="5">
        <v>174.1</v>
      </c>
    </row>
    <row r="5031" spans="1:3" x14ac:dyDescent="0.35">
      <c r="A5031" s="9">
        <v>44843</v>
      </c>
      <c r="B5031">
        <f t="shared" si="79"/>
        <v>10</v>
      </c>
      <c r="C5031" s="5">
        <v>182.1</v>
      </c>
    </row>
    <row r="5032" spans="1:3" x14ac:dyDescent="0.35">
      <c r="A5032" s="9">
        <v>44844</v>
      </c>
      <c r="B5032">
        <f t="shared" si="79"/>
        <v>10</v>
      </c>
      <c r="C5032" s="5">
        <v>186.1</v>
      </c>
    </row>
    <row r="5033" spans="1:3" x14ac:dyDescent="0.35">
      <c r="A5033" s="9">
        <v>44845</v>
      </c>
      <c r="B5033">
        <f t="shared" si="79"/>
        <v>10</v>
      </c>
      <c r="C5033" s="5">
        <v>181.5</v>
      </c>
    </row>
    <row r="5034" spans="1:3" x14ac:dyDescent="0.35">
      <c r="A5034" s="9">
        <v>44846</v>
      </c>
      <c r="B5034">
        <f t="shared" si="79"/>
        <v>10</v>
      </c>
      <c r="C5034" s="5">
        <v>173.7</v>
      </c>
    </row>
    <row r="5035" spans="1:3" x14ac:dyDescent="0.35">
      <c r="A5035" s="9">
        <v>44847</v>
      </c>
      <c r="B5035">
        <f t="shared" si="79"/>
        <v>10</v>
      </c>
      <c r="C5035" s="5">
        <v>161.9</v>
      </c>
    </row>
    <row r="5036" spans="1:3" x14ac:dyDescent="0.35">
      <c r="A5036" s="9">
        <v>44848</v>
      </c>
      <c r="B5036">
        <f t="shared" si="79"/>
        <v>10</v>
      </c>
      <c r="C5036" s="5">
        <v>152.80000000000001</v>
      </c>
    </row>
    <row r="5037" spans="1:3" x14ac:dyDescent="0.35">
      <c r="A5037" s="9">
        <v>44849</v>
      </c>
      <c r="B5037">
        <f t="shared" si="79"/>
        <v>10</v>
      </c>
      <c r="C5037" s="5">
        <v>155.4</v>
      </c>
    </row>
    <row r="5038" spans="1:3" x14ac:dyDescent="0.35">
      <c r="A5038" s="9">
        <v>44850</v>
      </c>
      <c r="B5038">
        <f t="shared" si="79"/>
        <v>10</v>
      </c>
      <c r="C5038" s="5">
        <v>172.3</v>
      </c>
    </row>
    <row r="5039" spans="1:3" x14ac:dyDescent="0.35">
      <c r="A5039" s="9">
        <v>44851</v>
      </c>
      <c r="B5039">
        <f t="shared" si="79"/>
        <v>10</v>
      </c>
      <c r="C5039" s="5">
        <v>191.4</v>
      </c>
    </row>
    <row r="5040" spans="1:3" x14ac:dyDescent="0.35">
      <c r="A5040" s="9">
        <v>44852</v>
      </c>
      <c r="B5040">
        <f t="shared" si="79"/>
        <v>10</v>
      </c>
      <c r="C5040" s="5">
        <v>199.4</v>
      </c>
    </row>
    <row r="5041" spans="1:3" x14ac:dyDescent="0.35">
      <c r="A5041" s="9">
        <v>44853</v>
      </c>
      <c r="B5041">
        <f t="shared" si="79"/>
        <v>10</v>
      </c>
      <c r="C5041" s="5">
        <v>198.8</v>
      </c>
    </row>
    <row r="5042" spans="1:3" x14ac:dyDescent="0.35">
      <c r="A5042" s="9">
        <v>44854</v>
      </c>
      <c r="B5042">
        <f t="shared" si="79"/>
        <v>10</v>
      </c>
      <c r="C5042" s="5">
        <v>202.6</v>
      </c>
    </row>
    <row r="5043" spans="1:3" x14ac:dyDescent="0.35">
      <c r="A5043" s="9">
        <v>44855</v>
      </c>
      <c r="B5043">
        <f t="shared" si="79"/>
        <v>10</v>
      </c>
      <c r="C5043" s="5">
        <v>212.9</v>
      </c>
    </row>
    <row r="5044" spans="1:3" x14ac:dyDescent="0.35">
      <c r="A5044" s="9">
        <v>44856</v>
      </c>
      <c r="B5044">
        <f t="shared" si="79"/>
        <v>10</v>
      </c>
      <c r="C5044" s="5">
        <v>218</v>
      </c>
    </row>
    <row r="5045" spans="1:3" x14ac:dyDescent="0.35">
      <c r="A5045" s="9">
        <v>44857</v>
      </c>
      <c r="B5045">
        <f t="shared" si="79"/>
        <v>10</v>
      </c>
      <c r="C5045" s="5">
        <v>215.5</v>
      </c>
    </row>
    <row r="5046" spans="1:3" x14ac:dyDescent="0.35">
      <c r="A5046" s="9">
        <v>44858</v>
      </c>
      <c r="B5046">
        <f t="shared" si="79"/>
        <v>10</v>
      </c>
      <c r="C5046" s="5">
        <v>205.6</v>
      </c>
    </row>
    <row r="5047" spans="1:3" x14ac:dyDescent="0.35">
      <c r="A5047" s="9">
        <v>44859</v>
      </c>
      <c r="B5047">
        <f t="shared" si="79"/>
        <v>10</v>
      </c>
      <c r="C5047" s="5">
        <v>190.5</v>
      </c>
    </row>
    <row r="5048" spans="1:3" x14ac:dyDescent="0.35">
      <c r="A5048" s="9">
        <v>44860</v>
      </c>
      <c r="B5048">
        <f t="shared" si="79"/>
        <v>10</v>
      </c>
      <c r="C5048" s="5">
        <v>183.8</v>
      </c>
    </row>
    <row r="5049" spans="1:3" x14ac:dyDescent="0.35">
      <c r="A5049" s="9">
        <v>44861</v>
      </c>
      <c r="B5049">
        <f t="shared" si="79"/>
        <v>10</v>
      </c>
      <c r="C5049" s="5">
        <v>187</v>
      </c>
    </row>
    <row r="5050" spans="1:3" x14ac:dyDescent="0.35">
      <c r="A5050" s="9">
        <v>44862</v>
      </c>
      <c r="B5050">
        <f t="shared" si="79"/>
        <v>10</v>
      </c>
      <c r="C5050" s="5">
        <v>193</v>
      </c>
    </row>
    <row r="5051" spans="1:3" x14ac:dyDescent="0.35">
      <c r="A5051" s="9">
        <v>44863</v>
      </c>
      <c r="B5051">
        <f t="shared" si="79"/>
        <v>10</v>
      </c>
      <c r="C5051" s="5">
        <v>193.7</v>
      </c>
    </row>
    <row r="5052" spans="1:3" x14ac:dyDescent="0.35">
      <c r="A5052" s="9">
        <v>44864</v>
      </c>
      <c r="B5052">
        <f t="shared" si="79"/>
        <v>10</v>
      </c>
      <c r="C5052" s="5">
        <v>193.5</v>
      </c>
    </row>
    <row r="5053" spans="1:3" x14ac:dyDescent="0.35">
      <c r="A5053" s="9">
        <v>44865</v>
      </c>
      <c r="B5053">
        <f t="shared" si="79"/>
        <v>10</v>
      </c>
      <c r="C5053" s="5">
        <v>195.7</v>
      </c>
    </row>
    <row r="5054" spans="1:3" x14ac:dyDescent="0.35">
      <c r="A5054" s="9">
        <v>44866</v>
      </c>
      <c r="B5054">
        <f t="shared" si="79"/>
        <v>11</v>
      </c>
      <c r="C5054" s="5">
        <v>197.1</v>
      </c>
    </row>
    <row r="5055" spans="1:3" x14ac:dyDescent="0.35">
      <c r="A5055" s="9">
        <v>44867</v>
      </c>
      <c r="B5055">
        <f t="shared" si="79"/>
        <v>11</v>
      </c>
      <c r="C5055" s="5">
        <v>213.8</v>
      </c>
    </row>
    <row r="5056" spans="1:3" x14ac:dyDescent="0.35">
      <c r="A5056" s="9">
        <v>44868</v>
      </c>
      <c r="B5056">
        <f t="shared" si="79"/>
        <v>11</v>
      </c>
      <c r="C5056" s="5">
        <v>220.4</v>
      </c>
    </row>
    <row r="5057" spans="1:3" x14ac:dyDescent="0.35">
      <c r="A5057" s="9">
        <v>44869</v>
      </c>
      <c r="B5057">
        <f t="shared" si="79"/>
        <v>11</v>
      </c>
      <c r="C5057" s="5">
        <v>219.9</v>
      </c>
    </row>
    <row r="5058" spans="1:3" x14ac:dyDescent="0.35">
      <c r="A5058" s="9">
        <v>44870</v>
      </c>
      <c r="B5058">
        <f t="shared" si="79"/>
        <v>11</v>
      </c>
      <c r="C5058" s="5">
        <v>215.1</v>
      </c>
    </row>
    <row r="5059" spans="1:3" x14ac:dyDescent="0.35">
      <c r="A5059" s="9">
        <v>44871</v>
      </c>
      <c r="B5059">
        <f t="shared" si="79"/>
        <v>11</v>
      </c>
      <c r="C5059" s="5">
        <v>213.4</v>
      </c>
    </row>
    <row r="5060" spans="1:3" x14ac:dyDescent="0.35">
      <c r="A5060" s="9">
        <v>44872</v>
      </c>
      <c r="B5060">
        <f t="shared" ref="B5060:B5114" si="80">MONTH(A5060)</f>
        <v>11</v>
      </c>
      <c r="C5060" s="5">
        <v>216.6</v>
      </c>
    </row>
    <row r="5061" spans="1:3" x14ac:dyDescent="0.35">
      <c r="A5061" s="9">
        <v>44873</v>
      </c>
      <c r="B5061">
        <f t="shared" si="80"/>
        <v>11</v>
      </c>
      <c r="C5061" s="5">
        <v>221.1</v>
      </c>
    </row>
    <row r="5062" spans="1:3" x14ac:dyDescent="0.35">
      <c r="A5062" s="9">
        <v>44874</v>
      </c>
      <c r="B5062">
        <f t="shared" si="80"/>
        <v>11</v>
      </c>
      <c r="C5062" s="5">
        <v>232.3</v>
      </c>
    </row>
    <row r="5063" spans="1:3" x14ac:dyDescent="0.35">
      <c r="A5063" s="9">
        <v>44875</v>
      </c>
      <c r="B5063">
        <f t="shared" si="80"/>
        <v>11</v>
      </c>
      <c r="C5063" s="5">
        <v>248.9</v>
      </c>
    </row>
    <row r="5064" spans="1:3" x14ac:dyDescent="0.35">
      <c r="A5064" s="9">
        <v>44876</v>
      </c>
      <c r="B5064">
        <f t="shared" si="80"/>
        <v>11</v>
      </c>
      <c r="C5064" s="5">
        <v>260.39999999999998</v>
      </c>
    </row>
    <row r="5065" spans="1:3" x14ac:dyDescent="0.35">
      <c r="A5065" s="9">
        <v>44877</v>
      </c>
      <c r="B5065">
        <f t="shared" si="80"/>
        <v>11</v>
      </c>
      <c r="C5065" s="5">
        <v>263</v>
      </c>
    </row>
    <row r="5066" spans="1:3" x14ac:dyDescent="0.35">
      <c r="A5066" s="9">
        <v>44878</v>
      </c>
      <c r="B5066">
        <f t="shared" si="80"/>
        <v>11</v>
      </c>
      <c r="C5066" s="5">
        <v>254.1</v>
      </c>
    </row>
    <row r="5067" spans="1:3" x14ac:dyDescent="0.35">
      <c r="A5067" s="9">
        <v>44879</v>
      </c>
      <c r="B5067">
        <f t="shared" si="80"/>
        <v>11</v>
      </c>
      <c r="C5067" s="5">
        <v>238.5</v>
      </c>
    </row>
    <row r="5068" spans="1:3" x14ac:dyDescent="0.35">
      <c r="A5068" s="9">
        <v>44880</v>
      </c>
      <c r="B5068">
        <f t="shared" si="80"/>
        <v>11</v>
      </c>
      <c r="C5068" s="5">
        <v>229.1</v>
      </c>
    </row>
    <row r="5069" spans="1:3" x14ac:dyDescent="0.35">
      <c r="A5069" s="9">
        <v>44881</v>
      </c>
      <c r="B5069">
        <f t="shared" si="80"/>
        <v>11</v>
      </c>
      <c r="C5069" s="5">
        <v>225</v>
      </c>
    </row>
    <row r="5070" spans="1:3" x14ac:dyDescent="0.35">
      <c r="A5070" s="9">
        <v>44882</v>
      </c>
      <c r="B5070">
        <f t="shared" si="80"/>
        <v>11</v>
      </c>
      <c r="C5070" s="5">
        <v>226.7</v>
      </c>
    </row>
    <row r="5071" spans="1:3" x14ac:dyDescent="0.35">
      <c r="A5071" s="9">
        <v>44883</v>
      </c>
      <c r="B5071">
        <f t="shared" si="80"/>
        <v>11</v>
      </c>
      <c r="C5071" s="5">
        <v>225.7</v>
      </c>
    </row>
    <row r="5072" spans="1:3" x14ac:dyDescent="0.35">
      <c r="A5072" s="9">
        <v>44884</v>
      </c>
      <c r="B5072">
        <f t="shared" si="80"/>
        <v>11</v>
      </c>
      <c r="C5072" s="5">
        <v>218</v>
      </c>
    </row>
    <row r="5073" spans="1:3" x14ac:dyDescent="0.35">
      <c r="A5073" s="9">
        <v>44885</v>
      </c>
      <c r="B5073">
        <f t="shared" si="80"/>
        <v>11</v>
      </c>
      <c r="C5073" s="5">
        <v>206.8</v>
      </c>
    </row>
    <row r="5074" spans="1:3" x14ac:dyDescent="0.35">
      <c r="A5074" s="9">
        <v>44886</v>
      </c>
      <c r="B5074">
        <f t="shared" si="80"/>
        <v>11</v>
      </c>
      <c r="C5074" s="5">
        <v>195.3</v>
      </c>
    </row>
    <row r="5075" spans="1:3" x14ac:dyDescent="0.35">
      <c r="A5075" s="9">
        <v>44887</v>
      </c>
      <c r="B5075">
        <f t="shared" si="80"/>
        <v>11</v>
      </c>
      <c r="C5075" s="5">
        <v>193</v>
      </c>
    </row>
    <row r="5076" spans="1:3" x14ac:dyDescent="0.35">
      <c r="A5076" s="9">
        <v>44888</v>
      </c>
      <c r="B5076">
        <f t="shared" si="80"/>
        <v>11</v>
      </c>
      <c r="C5076" s="5">
        <v>195.5</v>
      </c>
    </row>
    <row r="5077" spans="1:3" x14ac:dyDescent="0.35">
      <c r="A5077" s="9">
        <v>44889</v>
      </c>
      <c r="B5077">
        <f t="shared" si="80"/>
        <v>11</v>
      </c>
      <c r="C5077" s="5">
        <v>187.6</v>
      </c>
    </row>
    <row r="5078" spans="1:3" x14ac:dyDescent="0.35">
      <c r="A5078" s="9">
        <v>44890</v>
      </c>
      <c r="B5078">
        <f t="shared" si="80"/>
        <v>11</v>
      </c>
      <c r="C5078" s="5">
        <v>180</v>
      </c>
    </row>
    <row r="5079" spans="1:3" x14ac:dyDescent="0.35">
      <c r="A5079" s="9">
        <v>44891</v>
      </c>
      <c r="B5079">
        <f t="shared" si="80"/>
        <v>11</v>
      </c>
      <c r="C5079" s="5">
        <v>184.1</v>
      </c>
    </row>
    <row r="5080" spans="1:3" x14ac:dyDescent="0.35">
      <c r="A5080" s="9">
        <v>44892</v>
      </c>
      <c r="B5080">
        <f t="shared" si="80"/>
        <v>11</v>
      </c>
      <c r="C5080" s="5">
        <v>202.8</v>
      </c>
    </row>
    <row r="5081" spans="1:3" x14ac:dyDescent="0.35">
      <c r="A5081" s="9">
        <v>44893</v>
      </c>
      <c r="B5081">
        <f t="shared" si="80"/>
        <v>11</v>
      </c>
      <c r="C5081" s="5">
        <v>223.4</v>
      </c>
    </row>
    <row r="5082" spans="1:3" x14ac:dyDescent="0.35">
      <c r="A5082" s="9">
        <v>44894</v>
      </c>
      <c r="B5082">
        <f t="shared" si="80"/>
        <v>11</v>
      </c>
      <c r="C5082" s="5">
        <v>235.8</v>
      </c>
    </row>
    <row r="5083" spans="1:3" x14ac:dyDescent="0.35">
      <c r="A5083" s="9">
        <v>44895</v>
      </c>
      <c r="B5083">
        <f t="shared" si="80"/>
        <v>11</v>
      </c>
      <c r="C5083" s="5">
        <v>245.2</v>
      </c>
    </row>
    <row r="5084" spans="1:3" x14ac:dyDescent="0.35">
      <c r="A5084" s="9">
        <v>44896</v>
      </c>
      <c r="B5084">
        <f t="shared" si="80"/>
        <v>12</v>
      </c>
      <c r="C5084" s="5">
        <v>252.3</v>
      </c>
    </row>
    <row r="5085" spans="1:3" x14ac:dyDescent="0.35">
      <c r="A5085" s="9">
        <v>44897</v>
      </c>
      <c r="B5085">
        <f t="shared" si="80"/>
        <v>12</v>
      </c>
      <c r="C5085" s="5">
        <v>261.39999999999998</v>
      </c>
    </row>
    <row r="5086" spans="1:3" x14ac:dyDescent="0.35">
      <c r="A5086" s="9">
        <v>44898</v>
      </c>
      <c r="B5086">
        <f t="shared" si="80"/>
        <v>12</v>
      </c>
      <c r="C5086" s="5">
        <v>251.8</v>
      </c>
    </row>
    <row r="5087" spans="1:3" x14ac:dyDescent="0.35">
      <c r="A5087" s="9">
        <v>44899</v>
      </c>
      <c r="B5087">
        <f t="shared" si="80"/>
        <v>12</v>
      </c>
      <c r="C5087" s="5">
        <v>238.6</v>
      </c>
    </row>
    <row r="5088" spans="1:3" x14ac:dyDescent="0.35">
      <c r="A5088" s="9">
        <v>44900</v>
      </c>
      <c r="B5088">
        <f t="shared" si="80"/>
        <v>12</v>
      </c>
      <c r="C5088" s="5">
        <v>234.3</v>
      </c>
    </row>
    <row r="5089" spans="1:3" x14ac:dyDescent="0.35">
      <c r="A5089" s="9">
        <v>44901</v>
      </c>
      <c r="B5089">
        <f t="shared" si="80"/>
        <v>12</v>
      </c>
      <c r="C5089" s="5">
        <v>236.1</v>
      </c>
    </row>
    <row r="5090" spans="1:3" x14ac:dyDescent="0.35">
      <c r="A5090" s="9">
        <v>44902</v>
      </c>
      <c r="B5090">
        <f t="shared" si="80"/>
        <v>12</v>
      </c>
      <c r="C5090" s="5">
        <v>232.9</v>
      </c>
    </row>
    <row r="5091" spans="1:3" x14ac:dyDescent="0.35">
      <c r="A5091" s="9">
        <v>44903</v>
      </c>
      <c r="B5091">
        <f t="shared" si="80"/>
        <v>12</v>
      </c>
      <c r="C5091" s="5">
        <v>230.5</v>
      </c>
    </row>
    <row r="5092" spans="1:3" x14ac:dyDescent="0.35">
      <c r="A5092" s="9">
        <v>44904</v>
      </c>
      <c r="B5092">
        <f t="shared" si="80"/>
        <v>12</v>
      </c>
      <c r="C5092" s="5">
        <v>236.1</v>
      </c>
    </row>
    <row r="5093" spans="1:3" x14ac:dyDescent="0.35">
      <c r="A5093" s="9">
        <v>44905</v>
      </c>
      <c r="B5093">
        <f t="shared" si="80"/>
        <v>12</v>
      </c>
      <c r="C5093" s="5">
        <v>245.4</v>
      </c>
    </row>
    <row r="5094" spans="1:3" x14ac:dyDescent="0.35">
      <c r="A5094" s="9">
        <v>44906</v>
      </c>
      <c r="B5094">
        <f t="shared" si="80"/>
        <v>12</v>
      </c>
      <c r="C5094" s="5">
        <v>246.8</v>
      </c>
    </row>
    <row r="5095" spans="1:3" x14ac:dyDescent="0.35">
      <c r="A5095" s="9">
        <v>44907</v>
      </c>
      <c r="B5095">
        <f t="shared" si="80"/>
        <v>12</v>
      </c>
      <c r="C5095" s="5">
        <v>247.6</v>
      </c>
    </row>
    <row r="5096" spans="1:3" x14ac:dyDescent="0.35">
      <c r="A5096" s="9">
        <v>44908</v>
      </c>
      <c r="B5096">
        <f t="shared" si="80"/>
        <v>12</v>
      </c>
      <c r="C5096" s="5">
        <v>255.3</v>
      </c>
    </row>
    <row r="5097" spans="1:3" x14ac:dyDescent="0.35">
      <c r="A5097" s="9">
        <v>44909</v>
      </c>
      <c r="B5097">
        <f t="shared" si="80"/>
        <v>12</v>
      </c>
      <c r="C5097" s="5">
        <v>266.8</v>
      </c>
    </row>
    <row r="5098" spans="1:3" x14ac:dyDescent="0.35">
      <c r="A5098" s="9">
        <v>44910</v>
      </c>
      <c r="B5098">
        <f t="shared" si="80"/>
        <v>12</v>
      </c>
      <c r="C5098" s="5">
        <v>274.39999999999998</v>
      </c>
    </row>
    <row r="5099" spans="1:3" x14ac:dyDescent="0.35">
      <c r="A5099" s="9">
        <v>44911</v>
      </c>
      <c r="B5099">
        <f t="shared" si="80"/>
        <v>12</v>
      </c>
      <c r="C5099" s="5">
        <v>268.39999999999998</v>
      </c>
    </row>
    <row r="5100" spans="1:3" x14ac:dyDescent="0.35">
      <c r="A5100" s="9">
        <v>44912</v>
      </c>
      <c r="B5100">
        <f t="shared" si="80"/>
        <v>12</v>
      </c>
      <c r="C5100" s="5">
        <v>250.5</v>
      </c>
    </row>
    <row r="5101" spans="1:3" x14ac:dyDescent="0.35">
      <c r="A5101" s="9">
        <v>44913</v>
      </c>
      <c r="B5101">
        <f t="shared" si="80"/>
        <v>12</v>
      </c>
      <c r="C5101" s="5">
        <v>237.2</v>
      </c>
    </row>
    <row r="5102" spans="1:3" x14ac:dyDescent="0.35">
      <c r="A5102" s="9">
        <v>44914</v>
      </c>
      <c r="B5102">
        <f t="shared" si="80"/>
        <v>12</v>
      </c>
      <c r="C5102" s="5">
        <v>232.1</v>
      </c>
    </row>
    <row r="5103" spans="1:3" x14ac:dyDescent="0.35">
      <c r="A5103" s="9">
        <v>44915</v>
      </c>
      <c r="B5103">
        <f t="shared" si="80"/>
        <v>12</v>
      </c>
      <c r="C5103" s="5">
        <v>226.5</v>
      </c>
    </row>
    <row r="5104" spans="1:3" x14ac:dyDescent="0.35">
      <c r="A5104" s="9">
        <v>44916</v>
      </c>
      <c r="B5104">
        <f t="shared" si="80"/>
        <v>12</v>
      </c>
      <c r="C5104" s="5">
        <v>221.8</v>
      </c>
    </row>
    <row r="5105" spans="1:3" x14ac:dyDescent="0.35">
      <c r="A5105" s="9">
        <v>44917</v>
      </c>
      <c r="B5105">
        <f t="shared" si="80"/>
        <v>12</v>
      </c>
      <c r="C5105" s="5">
        <v>218.7</v>
      </c>
    </row>
    <row r="5106" spans="1:3" x14ac:dyDescent="0.35">
      <c r="A5106" s="9">
        <v>44918</v>
      </c>
      <c r="B5106">
        <f t="shared" si="80"/>
        <v>12</v>
      </c>
      <c r="C5106" s="5">
        <v>219</v>
      </c>
    </row>
    <row r="5107" spans="1:3" x14ac:dyDescent="0.35">
      <c r="A5107" s="9">
        <v>44919</v>
      </c>
      <c r="B5107">
        <f t="shared" si="80"/>
        <v>12</v>
      </c>
      <c r="C5107" s="5">
        <v>214.3</v>
      </c>
    </row>
    <row r="5108" spans="1:3" x14ac:dyDescent="0.35">
      <c r="A5108" s="9">
        <v>44920</v>
      </c>
      <c r="B5108">
        <f t="shared" si="80"/>
        <v>12</v>
      </c>
      <c r="C5108" s="5">
        <v>207.3</v>
      </c>
    </row>
    <row r="5109" spans="1:3" x14ac:dyDescent="0.35">
      <c r="A5109" s="9">
        <v>44921</v>
      </c>
      <c r="B5109">
        <f t="shared" si="80"/>
        <v>12</v>
      </c>
      <c r="C5109" s="5">
        <v>202.7</v>
      </c>
    </row>
    <row r="5110" spans="1:3" x14ac:dyDescent="0.35">
      <c r="A5110" s="9">
        <v>44922</v>
      </c>
      <c r="B5110">
        <f t="shared" si="80"/>
        <v>12</v>
      </c>
      <c r="C5110" s="5">
        <v>200.9</v>
      </c>
    </row>
    <row r="5111" spans="1:3" x14ac:dyDescent="0.35">
      <c r="A5111" s="9">
        <v>44923</v>
      </c>
      <c r="B5111">
        <f t="shared" si="80"/>
        <v>12</v>
      </c>
      <c r="C5111" s="5">
        <v>202.3</v>
      </c>
    </row>
    <row r="5112" spans="1:3" x14ac:dyDescent="0.35">
      <c r="A5112" s="9">
        <v>44924</v>
      </c>
      <c r="B5112">
        <f t="shared" si="80"/>
        <v>12</v>
      </c>
      <c r="C5112" s="5">
        <v>216.2</v>
      </c>
    </row>
    <row r="5113" spans="1:3" x14ac:dyDescent="0.35">
      <c r="A5113" s="9">
        <v>44925</v>
      </c>
      <c r="B5113">
        <f t="shared" si="80"/>
        <v>12</v>
      </c>
      <c r="C5113" s="5">
        <v>239.2</v>
      </c>
    </row>
    <row r="5114" spans="1:3" x14ac:dyDescent="0.35">
      <c r="A5114" s="9">
        <v>44926</v>
      </c>
      <c r="B5114">
        <f t="shared" si="80"/>
        <v>12</v>
      </c>
      <c r="C5114" s="5">
        <v>259</v>
      </c>
    </row>
    <row r="5116" spans="1:3" x14ac:dyDescent="0.35">
      <c r="C5116" s="5">
        <f>MIN(C2:C5114)</f>
        <v>60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116"/>
  <sheetViews>
    <sheetView workbookViewId="0">
      <selection activeCell="B3" sqref="B3"/>
    </sheetView>
  </sheetViews>
  <sheetFormatPr baseColWidth="10" defaultRowHeight="14.5" x14ac:dyDescent="0.35"/>
  <cols>
    <col min="1" max="1" width="6.453125" bestFit="1" customWidth="1"/>
    <col min="2" max="2" width="11.81640625" bestFit="1" customWidth="1"/>
    <col min="3" max="3" width="4.36328125" bestFit="1" customWidth="1"/>
    <col min="4" max="4" width="20" bestFit="1" customWidth="1"/>
    <col min="5" max="5" width="28.26953125" bestFit="1" customWidth="1"/>
    <col min="6" max="6" width="9" customWidth="1"/>
    <col min="7" max="7" width="11.81640625" bestFit="1" customWidth="1"/>
    <col min="8" max="8" width="19.54296875" bestFit="1" customWidth="1"/>
    <col min="9" max="9" width="6.6328125" bestFit="1" customWidth="1"/>
    <col min="10" max="10" width="4.90625" bestFit="1" customWidth="1"/>
    <col min="11" max="11" width="9.7265625" bestFit="1" customWidth="1"/>
  </cols>
  <sheetData>
    <row r="1" spans="1:11" x14ac:dyDescent="0.35">
      <c r="A1" t="s">
        <v>5924</v>
      </c>
      <c r="B1" t="s">
        <v>5925</v>
      </c>
      <c r="C1" t="s">
        <v>5925</v>
      </c>
      <c r="E1" t="s">
        <v>5042</v>
      </c>
      <c r="F1" t="s">
        <v>5878</v>
      </c>
      <c r="I1" t="s">
        <v>5889</v>
      </c>
      <c r="J1" t="s">
        <v>5890</v>
      </c>
      <c r="K1" t="s">
        <v>5891</v>
      </c>
    </row>
    <row r="2" spans="1:11" x14ac:dyDescent="0.35">
      <c r="A2">
        <v>1.3</v>
      </c>
      <c r="B2">
        <f>28*65*(A2)^(5/3)*(0.000625)^(1/2)</f>
        <v>70.455837850368994</v>
      </c>
      <c r="C2">
        <v>71</v>
      </c>
      <c r="D2" t="s">
        <v>5858</v>
      </c>
      <c r="E2" s="9">
        <v>39814</v>
      </c>
      <c r="F2">
        <v>125</v>
      </c>
      <c r="G2">
        <f>AVERAGE(F2:F32)</f>
        <v>184.83225806451611</v>
      </c>
      <c r="H2" s="8">
        <v>39814</v>
      </c>
      <c r="I2">
        <f t="shared" ref="I2:I33" si="0">COUNTIFS(F:F, "&gt;71", E:E, "&gt;="&amp;H2, E:E, "&lt;="&amp;EOMONTH(H2,0))</f>
        <v>31</v>
      </c>
      <c r="J2">
        <f t="shared" ref="J2:J33" si="1">COUNTIFS(F:F, "&gt;90", E:E, "&gt;="&amp;H2, E:E, "&lt;="&amp;EOMONTH(H2,0))</f>
        <v>31</v>
      </c>
      <c r="K2">
        <f>COUNTIFS(F:F, "&gt;62", E:E, "&gt;="&amp;H2, E:E, "&lt;="&amp;EOMONTH(H2,0))</f>
        <v>31</v>
      </c>
    </row>
    <row r="3" spans="1:11" x14ac:dyDescent="0.35">
      <c r="A3" s="6">
        <v>1.5</v>
      </c>
      <c r="B3">
        <f>28*65*(A3)^(5/3)*(0.000625)^(1/2)</f>
        <v>89.432800077378602</v>
      </c>
      <c r="C3" s="7">
        <v>90</v>
      </c>
      <c r="D3" t="s">
        <v>5859</v>
      </c>
      <c r="E3" s="9">
        <v>39815</v>
      </c>
      <c r="F3">
        <v>125.1</v>
      </c>
      <c r="G3" t="s">
        <v>5877</v>
      </c>
      <c r="H3" s="8">
        <v>39845</v>
      </c>
      <c r="I3">
        <f t="shared" si="0"/>
        <v>28</v>
      </c>
      <c r="J3">
        <f t="shared" si="1"/>
        <v>28</v>
      </c>
      <c r="K3">
        <f t="shared" ref="K3:K66" si="2">COUNTIFS(F:F, "&gt;62", E:E, "&gt;="&amp;H3, E:E, "&lt;="&amp;EOMONTH(H3,0))</f>
        <v>28</v>
      </c>
    </row>
    <row r="4" spans="1:11" x14ac:dyDescent="0.35">
      <c r="A4" s="6">
        <v>1.2</v>
      </c>
      <c r="B4">
        <f>28*65*(A4)^(5/3)*(0.000625)^(1/2)</f>
        <v>61.656680612284987</v>
      </c>
      <c r="C4" s="7">
        <v>62</v>
      </c>
      <c r="D4" t="s">
        <v>5857</v>
      </c>
      <c r="E4" s="9">
        <v>39816</v>
      </c>
      <c r="F4">
        <v>127.7</v>
      </c>
      <c r="G4" t="s">
        <v>5877</v>
      </c>
      <c r="H4" s="8">
        <v>39873</v>
      </c>
      <c r="I4">
        <f t="shared" si="0"/>
        <v>31</v>
      </c>
      <c r="J4">
        <f t="shared" si="1"/>
        <v>31</v>
      </c>
      <c r="K4">
        <f t="shared" si="2"/>
        <v>31</v>
      </c>
    </row>
    <row r="5" spans="1:11" x14ac:dyDescent="0.35">
      <c r="E5" s="9">
        <v>39817</v>
      </c>
      <c r="F5">
        <v>134</v>
      </c>
      <c r="G5" t="s">
        <v>5877</v>
      </c>
      <c r="H5" s="8">
        <v>39904</v>
      </c>
      <c r="I5">
        <f t="shared" si="0"/>
        <v>30</v>
      </c>
      <c r="J5">
        <f t="shared" si="1"/>
        <v>30</v>
      </c>
      <c r="K5">
        <f t="shared" si="2"/>
        <v>30</v>
      </c>
    </row>
    <row r="6" spans="1:11" x14ac:dyDescent="0.35">
      <c r="E6" s="9">
        <v>39818</v>
      </c>
      <c r="F6">
        <v>143.5</v>
      </c>
      <c r="G6" t="s">
        <v>5877</v>
      </c>
      <c r="H6" s="8">
        <v>39934</v>
      </c>
      <c r="I6">
        <f t="shared" si="0"/>
        <v>31</v>
      </c>
      <c r="J6">
        <f t="shared" si="1"/>
        <v>31</v>
      </c>
      <c r="K6">
        <f t="shared" si="2"/>
        <v>31</v>
      </c>
    </row>
    <row r="7" spans="1:11" x14ac:dyDescent="0.35">
      <c r="E7" s="9">
        <v>39819</v>
      </c>
      <c r="F7">
        <v>151.19999999999999</v>
      </c>
      <c r="G7" t="s">
        <v>5877</v>
      </c>
      <c r="H7" s="10">
        <v>39965</v>
      </c>
      <c r="I7" s="11">
        <f t="shared" si="0"/>
        <v>30</v>
      </c>
      <c r="J7" s="11">
        <f t="shared" si="1"/>
        <v>13</v>
      </c>
      <c r="K7">
        <f t="shared" si="2"/>
        <v>30</v>
      </c>
    </row>
    <row r="8" spans="1:11" x14ac:dyDescent="0.35">
      <c r="E8" s="9">
        <v>39820</v>
      </c>
      <c r="F8">
        <v>156.69999999999999</v>
      </c>
      <c r="G8" t="s">
        <v>5877</v>
      </c>
      <c r="H8" s="10">
        <v>39995</v>
      </c>
      <c r="I8" s="11">
        <f t="shared" si="0"/>
        <v>1</v>
      </c>
      <c r="J8" s="11">
        <f t="shared" si="1"/>
        <v>0</v>
      </c>
      <c r="K8">
        <f t="shared" si="2"/>
        <v>13</v>
      </c>
    </row>
    <row r="9" spans="1:11" x14ac:dyDescent="0.35">
      <c r="E9" s="9">
        <v>39821</v>
      </c>
      <c r="F9">
        <v>156.80000000000001</v>
      </c>
      <c r="G9" t="s">
        <v>5877</v>
      </c>
      <c r="H9" s="10">
        <v>40026</v>
      </c>
      <c r="I9" s="11">
        <f t="shared" si="0"/>
        <v>26</v>
      </c>
      <c r="J9" s="11">
        <f t="shared" si="1"/>
        <v>7</v>
      </c>
      <c r="K9">
        <f t="shared" si="2"/>
        <v>31</v>
      </c>
    </row>
    <row r="10" spans="1:11" x14ac:dyDescent="0.35">
      <c r="E10" s="9">
        <v>39822</v>
      </c>
      <c r="F10">
        <v>154.9</v>
      </c>
      <c r="G10" t="s">
        <v>5877</v>
      </c>
      <c r="H10" s="8">
        <v>40057</v>
      </c>
      <c r="I10">
        <f t="shared" si="0"/>
        <v>30</v>
      </c>
      <c r="J10">
        <f t="shared" si="1"/>
        <v>29</v>
      </c>
      <c r="K10">
        <f t="shared" si="2"/>
        <v>30</v>
      </c>
    </row>
    <row r="11" spans="1:11" x14ac:dyDescent="0.35">
      <c r="E11" s="9">
        <v>39823</v>
      </c>
      <c r="F11">
        <v>158.6</v>
      </c>
      <c r="G11" t="s">
        <v>5877</v>
      </c>
      <c r="H11" s="8">
        <v>40087</v>
      </c>
      <c r="I11">
        <f t="shared" si="0"/>
        <v>31</v>
      </c>
      <c r="J11">
        <f t="shared" si="1"/>
        <v>31</v>
      </c>
      <c r="K11">
        <f t="shared" si="2"/>
        <v>31</v>
      </c>
    </row>
    <row r="12" spans="1:11" x14ac:dyDescent="0.35">
      <c r="E12" s="9">
        <v>39824</v>
      </c>
      <c r="F12">
        <v>175</v>
      </c>
      <c r="G12" t="s">
        <v>5877</v>
      </c>
      <c r="H12" s="8">
        <v>40118</v>
      </c>
      <c r="I12">
        <f t="shared" si="0"/>
        <v>30</v>
      </c>
      <c r="J12">
        <f t="shared" si="1"/>
        <v>30</v>
      </c>
      <c r="K12">
        <f t="shared" si="2"/>
        <v>30</v>
      </c>
    </row>
    <row r="13" spans="1:11" x14ac:dyDescent="0.35">
      <c r="E13" s="9">
        <v>39825</v>
      </c>
      <c r="F13">
        <v>199.8</v>
      </c>
      <c r="G13" t="s">
        <v>5877</v>
      </c>
      <c r="H13" s="8">
        <v>40148</v>
      </c>
      <c r="I13">
        <f t="shared" si="0"/>
        <v>31</v>
      </c>
      <c r="J13">
        <f t="shared" si="1"/>
        <v>31</v>
      </c>
      <c r="K13">
        <f t="shared" si="2"/>
        <v>31</v>
      </c>
    </row>
    <row r="14" spans="1:11" x14ac:dyDescent="0.35">
      <c r="E14" s="9">
        <v>39826</v>
      </c>
      <c r="F14">
        <v>218.5</v>
      </c>
      <c r="G14" t="s">
        <v>5877</v>
      </c>
      <c r="H14" s="8">
        <v>40179</v>
      </c>
      <c r="I14">
        <f t="shared" si="0"/>
        <v>31</v>
      </c>
      <c r="J14">
        <f t="shared" si="1"/>
        <v>31</v>
      </c>
      <c r="K14">
        <f t="shared" si="2"/>
        <v>31</v>
      </c>
    </row>
    <row r="15" spans="1:11" x14ac:dyDescent="0.35">
      <c r="E15" s="9">
        <v>39827</v>
      </c>
      <c r="F15">
        <v>218.3</v>
      </c>
      <c r="G15" t="s">
        <v>5877</v>
      </c>
      <c r="H15" s="8">
        <v>40210</v>
      </c>
      <c r="I15">
        <f t="shared" si="0"/>
        <v>28</v>
      </c>
      <c r="J15">
        <f t="shared" si="1"/>
        <v>28</v>
      </c>
      <c r="K15">
        <f t="shared" si="2"/>
        <v>28</v>
      </c>
    </row>
    <row r="16" spans="1:11" x14ac:dyDescent="0.35">
      <c r="E16" s="9">
        <v>39828</v>
      </c>
      <c r="F16">
        <v>203.8</v>
      </c>
      <c r="G16" t="s">
        <v>5877</v>
      </c>
      <c r="H16" s="8">
        <v>40238</v>
      </c>
      <c r="I16">
        <f t="shared" si="0"/>
        <v>31</v>
      </c>
      <c r="J16">
        <f t="shared" si="1"/>
        <v>31</v>
      </c>
      <c r="K16">
        <f t="shared" si="2"/>
        <v>31</v>
      </c>
    </row>
    <row r="17" spans="5:11" x14ac:dyDescent="0.35">
      <c r="E17" s="9">
        <v>39829</v>
      </c>
      <c r="F17">
        <v>188.2</v>
      </c>
      <c r="G17" t="s">
        <v>5877</v>
      </c>
      <c r="H17" s="8">
        <v>40269</v>
      </c>
      <c r="I17">
        <f t="shared" si="0"/>
        <v>30</v>
      </c>
      <c r="J17">
        <f t="shared" si="1"/>
        <v>30</v>
      </c>
      <c r="K17">
        <f t="shared" si="2"/>
        <v>30</v>
      </c>
    </row>
    <row r="18" spans="5:11" x14ac:dyDescent="0.35">
      <c r="E18" s="9">
        <v>39830</v>
      </c>
      <c r="F18">
        <v>185</v>
      </c>
      <c r="G18" t="s">
        <v>5877</v>
      </c>
      <c r="H18" s="8">
        <v>40299</v>
      </c>
      <c r="I18">
        <f t="shared" si="0"/>
        <v>31</v>
      </c>
      <c r="J18">
        <f t="shared" si="1"/>
        <v>31</v>
      </c>
      <c r="K18">
        <f t="shared" si="2"/>
        <v>31</v>
      </c>
    </row>
    <row r="19" spans="5:11" x14ac:dyDescent="0.35">
      <c r="E19" s="9">
        <v>39831</v>
      </c>
      <c r="F19">
        <v>194.9</v>
      </c>
      <c r="G19" t="s">
        <v>5877</v>
      </c>
      <c r="H19" s="8">
        <v>40330</v>
      </c>
      <c r="I19">
        <f t="shared" si="0"/>
        <v>30</v>
      </c>
      <c r="J19">
        <f t="shared" si="1"/>
        <v>13</v>
      </c>
      <c r="K19">
        <f t="shared" si="2"/>
        <v>30</v>
      </c>
    </row>
    <row r="20" spans="5:11" x14ac:dyDescent="0.35">
      <c r="E20" s="9">
        <v>39832</v>
      </c>
      <c r="F20">
        <v>207.1</v>
      </c>
      <c r="G20" t="s">
        <v>5877</v>
      </c>
      <c r="H20" s="8">
        <v>40360</v>
      </c>
      <c r="I20">
        <f t="shared" si="0"/>
        <v>1</v>
      </c>
      <c r="J20">
        <f t="shared" si="1"/>
        <v>0</v>
      </c>
      <c r="K20">
        <f t="shared" si="2"/>
        <v>15</v>
      </c>
    </row>
    <row r="21" spans="5:11" x14ac:dyDescent="0.35">
      <c r="E21" s="9">
        <v>39833</v>
      </c>
      <c r="F21">
        <v>209.6</v>
      </c>
      <c r="G21" t="s">
        <v>5877</v>
      </c>
      <c r="H21" s="8">
        <v>40391</v>
      </c>
      <c r="I21">
        <f t="shared" si="0"/>
        <v>21</v>
      </c>
      <c r="J21">
        <f t="shared" si="1"/>
        <v>2</v>
      </c>
      <c r="K21">
        <f t="shared" si="2"/>
        <v>31</v>
      </c>
    </row>
    <row r="22" spans="5:11" x14ac:dyDescent="0.35">
      <c r="E22" s="9">
        <v>39834</v>
      </c>
      <c r="F22">
        <v>207.8</v>
      </c>
      <c r="G22" t="s">
        <v>5877</v>
      </c>
      <c r="H22" s="8">
        <v>40422</v>
      </c>
      <c r="I22">
        <f t="shared" si="0"/>
        <v>30</v>
      </c>
      <c r="J22">
        <f t="shared" si="1"/>
        <v>30</v>
      </c>
      <c r="K22">
        <f t="shared" si="2"/>
        <v>30</v>
      </c>
    </row>
    <row r="23" spans="5:11" x14ac:dyDescent="0.35">
      <c r="E23" s="9">
        <v>39835</v>
      </c>
      <c r="F23">
        <v>205.4</v>
      </c>
      <c r="G23" t="s">
        <v>5877</v>
      </c>
      <c r="H23" s="8">
        <v>40452</v>
      </c>
      <c r="I23">
        <f t="shared" si="0"/>
        <v>31</v>
      </c>
      <c r="J23">
        <f t="shared" si="1"/>
        <v>31</v>
      </c>
      <c r="K23">
        <f t="shared" si="2"/>
        <v>31</v>
      </c>
    </row>
    <row r="24" spans="5:11" x14ac:dyDescent="0.35">
      <c r="E24" s="9">
        <v>39836</v>
      </c>
      <c r="F24">
        <v>205.5</v>
      </c>
      <c r="G24" t="s">
        <v>5877</v>
      </c>
      <c r="H24" s="8">
        <v>40483</v>
      </c>
      <c r="I24">
        <f t="shared" si="0"/>
        <v>30</v>
      </c>
      <c r="J24">
        <f t="shared" si="1"/>
        <v>30</v>
      </c>
      <c r="K24">
        <f t="shared" si="2"/>
        <v>30</v>
      </c>
    </row>
    <row r="25" spans="5:11" x14ac:dyDescent="0.35">
      <c r="E25" s="9">
        <v>39837</v>
      </c>
      <c r="F25">
        <v>206.9</v>
      </c>
      <c r="G25" t="s">
        <v>5877</v>
      </c>
      <c r="H25" s="8">
        <v>40513</v>
      </c>
      <c r="I25">
        <f t="shared" si="0"/>
        <v>31</v>
      </c>
      <c r="J25">
        <f t="shared" si="1"/>
        <v>31</v>
      </c>
      <c r="K25">
        <f t="shared" si="2"/>
        <v>31</v>
      </c>
    </row>
    <row r="26" spans="5:11" x14ac:dyDescent="0.35">
      <c r="E26" s="9">
        <v>39838</v>
      </c>
      <c r="F26">
        <v>205.7</v>
      </c>
      <c r="G26" t="s">
        <v>5877</v>
      </c>
      <c r="H26" s="8">
        <v>40544</v>
      </c>
      <c r="I26">
        <f t="shared" si="0"/>
        <v>31</v>
      </c>
      <c r="J26">
        <f t="shared" si="1"/>
        <v>31</v>
      </c>
      <c r="K26">
        <f t="shared" si="2"/>
        <v>31</v>
      </c>
    </row>
    <row r="27" spans="5:11" x14ac:dyDescent="0.35">
      <c r="E27" s="9">
        <v>39839</v>
      </c>
      <c r="F27">
        <v>201.7</v>
      </c>
      <c r="G27" t="s">
        <v>5877</v>
      </c>
      <c r="H27" s="8">
        <v>40575</v>
      </c>
      <c r="I27">
        <f t="shared" si="0"/>
        <v>28</v>
      </c>
      <c r="J27">
        <f t="shared" si="1"/>
        <v>28</v>
      </c>
      <c r="K27">
        <f t="shared" si="2"/>
        <v>28</v>
      </c>
    </row>
    <row r="28" spans="5:11" x14ac:dyDescent="0.35">
      <c r="E28" s="9">
        <v>39840</v>
      </c>
      <c r="F28">
        <v>197.3</v>
      </c>
      <c r="G28" t="s">
        <v>5877</v>
      </c>
      <c r="H28" s="8">
        <v>40603</v>
      </c>
      <c r="I28">
        <f t="shared" si="0"/>
        <v>31</v>
      </c>
      <c r="J28">
        <f t="shared" si="1"/>
        <v>31</v>
      </c>
      <c r="K28">
        <f t="shared" si="2"/>
        <v>31</v>
      </c>
    </row>
    <row r="29" spans="5:11" x14ac:dyDescent="0.35">
      <c r="E29" s="9">
        <v>39841</v>
      </c>
      <c r="F29">
        <v>198.7</v>
      </c>
      <c r="G29" t="s">
        <v>5877</v>
      </c>
      <c r="H29" s="8">
        <v>40634</v>
      </c>
      <c r="I29">
        <f t="shared" si="0"/>
        <v>30</v>
      </c>
      <c r="J29">
        <f t="shared" si="1"/>
        <v>30</v>
      </c>
      <c r="K29">
        <f t="shared" si="2"/>
        <v>30</v>
      </c>
    </row>
    <row r="30" spans="5:11" x14ac:dyDescent="0.35">
      <c r="E30" s="9">
        <v>39842</v>
      </c>
      <c r="F30">
        <v>209.5</v>
      </c>
      <c r="G30" t="s">
        <v>5877</v>
      </c>
      <c r="H30" s="8">
        <v>40664</v>
      </c>
      <c r="I30">
        <f t="shared" si="0"/>
        <v>31</v>
      </c>
      <c r="J30">
        <f t="shared" si="1"/>
        <v>31</v>
      </c>
      <c r="K30">
        <f t="shared" si="2"/>
        <v>31</v>
      </c>
    </row>
    <row r="31" spans="5:11" x14ac:dyDescent="0.35">
      <c r="E31" s="9">
        <v>39843</v>
      </c>
      <c r="F31">
        <v>222.9</v>
      </c>
      <c r="G31" t="s">
        <v>5877</v>
      </c>
      <c r="H31" s="10">
        <v>40695</v>
      </c>
      <c r="I31" s="11">
        <f t="shared" si="0"/>
        <v>30</v>
      </c>
      <c r="J31" s="11">
        <f t="shared" si="1"/>
        <v>16</v>
      </c>
      <c r="K31">
        <f t="shared" si="2"/>
        <v>30</v>
      </c>
    </row>
    <row r="32" spans="5:11" x14ac:dyDescent="0.35">
      <c r="E32" s="9">
        <v>39844</v>
      </c>
      <c r="F32">
        <v>234.7</v>
      </c>
      <c r="G32" t="s">
        <v>5877</v>
      </c>
      <c r="H32" s="10">
        <v>40725</v>
      </c>
      <c r="I32" s="11">
        <f t="shared" si="0"/>
        <v>3</v>
      </c>
      <c r="J32" s="11">
        <f t="shared" si="1"/>
        <v>0</v>
      </c>
      <c r="K32">
        <f t="shared" si="2"/>
        <v>9</v>
      </c>
    </row>
    <row r="33" spans="5:11" x14ac:dyDescent="0.35">
      <c r="E33" s="9">
        <v>39845</v>
      </c>
      <c r="F33">
        <v>235.4</v>
      </c>
      <c r="G33">
        <f>AVERAGE(F33:F60)</f>
        <v>181.21428571428572</v>
      </c>
      <c r="H33" s="10">
        <v>40756</v>
      </c>
      <c r="I33" s="11">
        <f t="shared" si="0"/>
        <v>28</v>
      </c>
      <c r="J33" s="11">
        <f t="shared" si="1"/>
        <v>11</v>
      </c>
      <c r="K33">
        <f t="shared" si="2"/>
        <v>31</v>
      </c>
    </row>
    <row r="34" spans="5:11" x14ac:dyDescent="0.35">
      <c r="E34" s="9">
        <v>39846</v>
      </c>
      <c r="F34">
        <v>212.8</v>
      </c>
      <c r="G34" t="s">
        <v>5877</v>
      </c>
      <c r="H34" s="8">
        <v>40787</v>
      </c>
      <c r="I34">
        <f t="shared" ref="I34:I65" si="3">COUNTIFS(F:F, "&gt;71", E:E, "&gt;="&amp;H34, E:E, "&lt;="&amp;EOMONTH(H34,0))</f>
        <v>30</v>
      </c>
      <c r="J34">
        <f t="shared" ref="J34:J65" si="4">COUNTIFS(F:F, "&gt;90", E:E, "&gt;="&amp;H34, E:E, "&lt;="&amp;EOMONTH(H34,0))</f>
        <v>30</v>
      </c>
      <c r="K34">
        <f t="shared" si="2"/>
        <v>30</v>
      </c>
    </row>
    <row r="35" spans="5:11" x14ac:dyDescent="0.35">
      <c r="E35" s="9">
        <v>39847</v>
      </c>
      <c r="F35">
        <v>208.1</v>
      </c>
      <c r="G35" t="s">
        <v>5877</v>
      </c>
      <c r="H35" s="8">
        <v>40817</v>
      </c>
      <c r="I35">
        <f t="shared" si="3"/>
        <v>31</v>
      </c>
      <c r="J35">
        <f t="shared" si="4"/>
        <v>31</v>
      </c>
      <c r="K35">
        <f t="shared" si="2"/>
        <v>31</v>
      </c>
    </row>
    <row r="36" spans="5:11" x14ac:dyDescent="0.35">
      <c r="E36" s="9">
        <v>39848</v>
      </c>
      <c r="F36">
        <v>204.6</v>
      </c>
      <c r="G36" t="s">
        <v>5877</v>
      </c>
      <c r="H36" s="8">
        <v>40848</v>
      </c>
      <c r="I36">
        <f t="shared" si="3"/>
        <v>30</v>
      </c>
      <c r="J36">
        <f t="shared" si="4"/>
        <v>30</v>
      </c>
      <c r="K36">
        <f t="shared" si="2"/>
        <v>30</v>
      </c>
    </row>
    <row r="37" spans="5:11" x14ac:dyDescent="0.35">
      <c r="E37" s="9">
        <v>39849</v>
      </c>
      <c r="F37">
        <v>203.7</v>
      </c>
      <c r="G37" t="s">
        <v>5877</v>
      </c>
      <c r="H37" s="8">
        <v>40878</v>
      </c>
      <c r="I37">
        <f t="shared" si="3"/>
        <v>31</v>
      </c>
      <c r="J37">
        <f t="shared" si="4"/>
        <v>31</v>
      </c>
      <c r="K37">
        <f t="shared" si="2"/>
        <v>31</v>
      </c>
    </row>
    <row r="38" spans="5:11" x14ac:dyDescent="0.35">
      <c r="E38" s="9">
        <v>39850</v>
      </c>
      <c r="F38">
        <v>197</v>
      </c>
      <c r="G38" t="s">
        <v>5877</v>
      </c>
      <c r="H38" s="8">
        <v>40909</v>
      </c>
      <c r="I38">
        <f t="shared" si="3"/>
        <v>31</v>
      </c>
      <c r="J38">
        <f t="shared" si="4"/>
        <v>31</v>
      </c>
      <c r="K38">
        <f t="shared" si="2"/>
        <v>31</v>
      </c>
    </row>
    <row r="39" spans="5:11" x14ac:dyDescent="0.35">
      <c r="E39" s="9">
        <v>39851</v>
      </c>
      <c r="F39">
        <v>187.8</v>
      </c>
      <c r="G39" t="s">
        <v>5877</v>
      </c>
      <c r="H39" s="8">
        <v>40940</v>
      </c>
      <c r="I39">
        <f t="shared" si="3"/>
        <v>29</v>
      </c>
      <c r="J39">
        <f t="shared" si="4"/>
        <v>29</v>
      </c>
      <c r="K39">
        <f t="shared" si="2"/>
        <v>29</v>
      </c>
    </row>
    <row r="40" spans="5:11" x14ac:dyDescent="0.35">
      <c r="E40" s="9">
        <v>39852</v>
      </c>
      <c r="F40">
        <v>180.7</v>
      </c>
      <c r="G40" t="s">
        <v>5877</v>
      </c>
      <c r="H40" s="8">
        <v>40969</v>
      </c>
      <c r="I40">
        <f t="shared" si="3"/>
        <v>31</v>
      </c>
      <c r="J40">
        <f t="shared" si="4"/>
        <v>31</v>
      </c>
      <c r="K40">
        <f t="shared" si="2"/>
        <v>31</v>
      </c>
    </row>
    <row r="41" spans="5:11" x14ac:dyDescent="0.35">
      <c r="E41" s="9">
        <v>39853</v>
      </c>
      <c r="F41">
        <v>180.9</v>
      </c>
      <c r="G41" t="s">
        <v>5877</v>
      </c>
      <c r="H41" s="8">
        <v>41000</v>
      </c>
      <c r="I41">
        <f t="shared" si="3"/>
        <v>30</v>
      </c>
      <c r="J41">
        <f t="shared" si="4"/>
        <v>30</v>
      </c>
      <c r="K41">
        <f t="shared" si="2"/>
        <v>30</v>
      </c>
    </row>
    <row r="42" spans="5:11" x14ac:dyDescent="0.35">
      <c r="E42" s="9">
        <v>39854</v>
      </c>
      <c r="F42">
        <v>183.3</v>
      </c>
      <c r="G42" t="s">
        <v>5877</v>
      </c>
      <c r="H42" s="8">
        <v>41030</v>
      </c>
      <c r="I42">
        <f t="shared" si="3"/>
        <v>31</v>
      </c>
      <c r="J42">
        <f t="shared" si="4"/>
        <v>31</v>
      </c>
      <c r="K42">
        <f t="shared" si="2"/>
        <v>31</v>
      </c>
    </row>
    <row r="43" spans="5:11" x14ac:dyDescent="0.35">
      <c r="E43" s="9">
        <v>39855</v>
      </c>
      <c r="F43">
        <v>181.2</v>
      </c>
      <c r="G43" t="s">
        <v>5877</v>
      </c>
      <c r="H43" s="10">
        <v>41061</v>
      </c>
      <c r="I43" s="11">
        <f t="shared" si="3"/>
        <v>30</v>
      </c>
      <c r="J43" s="11">
        <f t="shared" si="4"/>
        <v>7</v>
      </c>
      <c r="K43">
        <f t="shared" si="2"/>
        <v>30</v>
      </c>
    </row>
    <row r="44" spans="5:11" x14ac:dyDescent="0.35">
      <c r="E44" s="9">
        <v>39856</v>
      </c>
      <c r="F44">
        <v>169.8</v>
      </c>
      <c r="G44" t="s">
        <v>5877</v>
      </c>
      <c r="H44" s="10">
        <v>41091</v>
      </c>
      <c r="I44" s="11">
        <f t="shared" si="3"/>
        <v>5</v>
      </c>
      <c r="J44" s="11">
        <f t="shared" si="4"/>
        <v>1</v>
      </c>
      <c r="K44">
        <f t="shared" si="2"/>
        <v>11</v>
      </c>
    </row>
    <row r="45" spans="5:11" x14ac:dyDescent="0.35">
      <c r="E45" s="9">
        <v>39857</v>
      </c>
      <c r="F45">
        <v>158.30000000000001</v>
      </c>
      <c r="G45" t="s">
        <v>5877</v>
      </c>
      <c r="H45" s="10">
        <v>41122</v>
      </c>
      <c r="I45" s="11">
        <f t="shared" si="3"/>
        <v>21</v>
      </c>
      <c r="J45" s="11">
        <f t="shared" si="4"/>
        <v>3</v>
      </c>
      <c r="K45">
        <f t="shared" si="2"/>
        <v>30</v>
      </c>
    </row>
    <row r="46" spans="5:11" x14ac:dyDescent="0.35">
      <c r="E46" s="9">
        <v>39858</v>
      </c>
      <c r="F46">
        <v>156.1</v>
      </c>
      <c r="G46" t="s">
        <v>5877</v>
      </c>
      <c r="H46" s="8">
        <v>41153</v>
      </c>
      <c r="I46">
        <f t="shared" si="3"/>
        <v>30</v>
      </c>
      <c r="J46">
        <f t="shared" si="4"/>
        <v>30</v>
      </c>
      <c r="K46">
        <f t="shared" si="2"/>
        <v>30</v>
      </c>
    </row>
    <row r="47" spans="5:11" x14ac:dyDescent="0.35">
      <c r="E47" s="9">
        <v>39859</v>
      </c>
      <c r="F47">
        <v>162.80000000000001</v>
      </c>
      <c r="G47" t="s">
        <v>5877</v>
      </c>
      <c r="H47" s="8">
        <v>41183</v>
      </c>
      <c r="I47">
        <f t="shared" si="3"/>
        <v>31</v>
      </c>
      <c r="J47">
        <f t="shared" si="4"/>
        <v>31</v>
      </c>
      <c r="K47">
        <f t="shared" si="2"/>
        <v>31</v>
      </c>
    </row>
    <row r="48" spans="5:11" x14ac:dyDescent="0.35">
      <c r="E48" s="9">
        <v>39860</v>
      </c>
      <c r="F48">
        <v>167.2</v>
      </c>
      <c r="G48" t="s">
        <v>5877</v>
      </c>
      <c r="H48" s="8">
        <v>41214</v>
      </c>
      <c r="I48">
        <f t="shared" si="3"/>
        <v>30</v>
      </c>
      <c r="J48">
        <f t="shared" si="4"/>
        <v>30</v>
      </c>
      <c r="K48">
        <f t="shared" si="2"/>
        <v>30</v>
      </c>
    </row>
    <row r="49" spans="5:11" x14ac:dyDescent="0.35">
      <c r="E49" s="9">
        <v>39861</v>
      </c>
      <c r="F49">
        <v>166.4</v>
      </c>
      <c r="G49" t="s">
        <v>5877</v>
      </c>
      <c r="H49" s="8">
        <v>41244</v>
      </c>
      <c r="I49">
        <f t="shared" si="3"/>
        <v>31</v>
      </c>
      <c r="J49">
        <f t="shared" si="4"/>
        <v>31</v>
      </c>
      <c r="K49">
        <f t="shared" si="2"/>
        <v>31</v>
      </c>
    </row>
    <row r="50" spans="5:11" x14ac:dyDescent="0.35">
      <c r="E50" s="9">
        <v>39862</v>
      </c>
      <c r="F50">
        <v>164.5</v>
      </c>
      <c r="G50" t="s">
        <v>5877</v>
      </c>
      <c r="H50" s="8">
        <v>41275</v>
      </c>
      <c r="I50">
        <f t="shared" si="3"/>
        <v>31</v>
      </c>
      <c r="J50">
        <f t="shared" si="4"/>
        <v>31</v>
      </c>
      <c r="K50">
        <f t="shared" si="2"/>
        <v>31</v>
      </c>
    </row>
    <row r="51" spans="5:11" x14ac:dyDescent="0.35">
      <c r="E51" s="9">
        <v>39863</v>
      </c>
      <c r="F51">
        <v>163</v>
      </c>
      <c r="G51" t="s">
        <v>5877</v>
      </c>
      <c r="H51" s="8">
        <v>41306</v>
      </c>
      <c r="I51">
        <f t="shared" si="3"/>
        <v>28</v>
      </c>
      <c r="J51">
        <f t="shared" si="4"/>
        <v>28</v>
      </c>
      <c r="K51">
        <f t="shared" si="2"/>
        <v>28</v>
      </c>
    </row>
    <row r="52" spans="5:11" x14ac:dyDescent="0.35">
      <c r="E52" s="9">
        <v>39864</v>
      </c>
      <c r="F52">
        <v>160.1</v>
      </c>
      <c r="G52" t="s">
        <v>5877</v>
      </c>
      <c r="H52" s="8">
        <v>41334</v>
      </c>
      <c r="I52">
        <f t="shared" si="3"/>
        <v>31</v>
      </c>
      <c r="J52">
        <f t="shared" si="4"/>
        <v>31</v>
      </c>
      <c r="K52">
        <f t="shared" si="2"/>
        <v>31</v>
      </c>
    </row>
    <row r="53" spans="5:11" x14ac:dyDescent="0.35">
      <c r="E53" s="9">
        <v>39865</v>
      </c>
      <c r="F53">
        <v>161.9</v>
      </c>
      <c r="G53" t="s">
        <v>5877</v>
      </c>
      <c r="H53" s="8">
        <v>41365</v>
      </c>
      <c r="I53">
        <f t="shared" si="3"/>
        <v>30</v>
      </c>
      <c r="J53">
        <f t="shared" si="4"/>
        <v>30</v>
      </c>
      <c r="K53">
        <f t="shared" si="2"/>
        <v>30</v>
      </c>
    </row>
    <row r="54" spans="5:11" x14ac:dyDescent="0.35">
      <c r="E54" s="9">
        <v>39866</v>
      </c>
      <c r="F54">
        <v>170.8</v>
      </c>
      <c r="G54" t="s">
        <v>5877</v>
      </c>
      <c r="H54" s="8">
        <v>41395</v>
      </c>
      <c r="I54">
        <f t="shared" si="3"/>
        <v>31</v>
      </c>
      <c r="J54">
        <f t="shared" si="4"/>
        <v>31</v>
      </c>
      <c r="K54">
        <f t="shared" si="2"/>
        <v>31</v>
      </c>
    </row>
    <row r="55" spans="5:11" x14ac:dyDescent="0.35">
      <c r="E55" s="9">
        <v>39867</v>
      </c>
      <c r="F55">
        <v>182.8</v>
      </c>
      <c r="G55" t="s">
        <v>5877</v>
      </c>
      <c r="H55" s="10">
        <v>41426</v>
      </c>
      <c r="I55" s="11">
        <f t="shared" si="3"/>
        <v>30</v>
      </c>
      <c r="J55" s="11">
        <f t="shared" si="4"/>
        <v>4</v>
      </c>
      <c r="K55">
        <f t="shared" si="2"/>
        <v>30</v>
      </c>
    </row>
    <row r="56" spans="5:11" x14ac:dyDescent="0.35">
      <c r="E56" s="9">
        <v>39868</v>
      </c>
      <c r="F56">
        <v>193.2</v>
      </c>
      <c r="G56" t="s">
        <v>5877</v>
      </c>
      <c r="H56" s="10">
        <v>41456</v>
      </c>
      <c r="I56" s="11">
        <f t="shared" si="3"/>
        <v>1</v>
      </c>
      <c r="J56" s="11">
        <f t="shared" si="4"/>
        <v>0</v>
      </c>
      <c r="K56">
        <f t="shared" si="2"/>
        <v>17</v>
      </c>
    </row>
    <row r="57" spans="5:11" x14ac:dyDescent="0.35">
      <c r="E57" s="9">
        <v>39869</v>
      </c>
      <c r="F57">
        <v>193.4</v>
      </c>
      <c r="G57" t="s">
        <v>5877</v>
      </c>
      <c r="H57" s="10">
        <v>41487</v>
      </c>
      <c r="I57" s="11">
        <f t="shared" si="3"/>
        <v>24</v>
      </c>
      <c r="J57" s="11">
        <f t="shared" si="4"/>
        <v>10</v>
      </c>
      <c r="K57">
        <f t="shared" si="2"/>
        <v>31</v>
      </c>
    </row>
    <row r="58" spans="5:11" x14ac:dyDescent="0.35">
      <c r="E58" s="9">
        <v>39870</v>
      </c>
      <c r="F58">
        <v>182.3</v>
      </c>
      <c r="G58" t="s">
        <v>5877</v>
      </c>
      <c r="H58" s="8">
        <v>41518</v>
      </c>
      <c r="I58">
        <f t="shared" si="3"/>
        <v>30</v>
      </c>
      <c r="J58">
        <f t="shared" si="4"/>
        <v>30</v>
      </c>
      <c r="K58">
        <f t="shared" si="2"/>
        <v>30</v>
      </c>
    </row>
    <row r="59" spans="5:11" x14ac:dyDescent="0.35">
      <c r="E59" s="9">
        <v>39871</v>
      </c>
      <c r="F59">
        <v>173.4</v>
      </c>
      <c r="G59" t="s">
        <v>5877</v>
      </c>
      <c r="H59" s="8">
        <v>41548</v>
      </c>
      <c r="I59">
        <f t="shared" si="3"/>
        <v>31</v>
      </c>
      <c r="J59">
        <f t="shared" si="4"/>
        <v>31</v>
      </c>
      <c r="K59">
        <f t="shared" si="2"/>
        <v>31</v>
      </c>
    </row>
    <row r="60" spans="5:11" x14ac:dyDescent="0.35">
      <c r="E60" s="9">
        <v>39872</v>
      </c>
      <c r="F60">
        <v>172.5</v>
      </c>
      <c r="G60" t="s">
        <v>5877</v>
      </c>
      <c r="H60" s="8">
        <v>41579</v>
      </c>
      <c r="I60">
        <f t="shared" si="3"/>
        <v>30</v>
      </c>
      <c r="J60">
        <f t="shared" si="4"/>
        <v>30</v>
      </c>
      <c r="K60">
        <f t="shared" si="2"/>
        <v>30</v>
      </c>
    </row>
    <row r="61" spans="5:11" x14ac:dyDescent="0.35">
      <c r="E61" s="9">
        <v>39873</v>
      </c>
      <c r="F61">
        <v>174.8</v>
      </c>
      <c r="G61" t="s">
        <v>5877</v>
      </c>
      <c r="H61" s="8">
        <v>41609</v>
      </c>
      <c r="I61">
        <f t="shared" si="3"/>
        <v>31</v>
      </c>
      <c r="J61">
        <f t="shared" si="4"/>
        <v>31</v>
      </c>
      <c r="K61">
        <f t="shared" si="2"/>
        <v>31</v>
      </c>
    </row>
    <row r="62" spans="5:11" x14ac:dyDescent="0.35">
      <c r="E62" s="9">
        <v>39874</v>
      </c>
      <c r="F62">
        <v>184.2</v>
      </c>
      <c r="G62" t="s">
        <v>5877</v>
      </c>
      <c r="H62" s="8">
        <v>41640</v>
      </c>
      <c r="I62">
        <f t="shared" si="3"/>
        <v>31</v>
      </c>
      <c r="J62">
        <f t="shared" si="4"/>
        <v>31</v>
      </c>
      <c r="K62">
        <f t="shared" si="2"/>
        <v>31</v>
      </c>
    </row>
    <row r="63" spans="5:11" x14ac:dyDescent="0.35">
      <c r="E63" s="9">
        <v>39875</v>
      </c>
      <c r="F63">
        <v>185.5</v>
      </c>
      <c r="G63" t="s">
        <v>5877</v>
      </c>
      <c r="H63" s="8">
        <v>41671</v>
      </c>
      <c r="I63">
        <f t="shared" si="3"/>
        <v>28</v>
      </c>
      <c r="J63">
        <f t="shared" si="4"/>
        <v>28</v>
      </c>
      <c r="K63">
        <f t="shared" si="2"/>
        <v>28</v>
      </c>
    </row>
    <row r="64" spans="5:11" x14ac:dyDescent="0.35">
      <c r="E64" s="9">
        <v>39876</v>
      </c>
      <c r="F64">
        <v>194.2</v>
      </c>
      <c r="G64" t="s">
        <v>5877</v>
      </c>
      <c r="H64" s="8">
        <v>41699</v>
      </c>
      <c r="I64">
        <f t="shared" si="3"/>
        <v>31</v>
      </c>
      <c r="J64">
        <f t="shared" si="4"/>
        <v>31</v>
      </c>
      <c r="K64">
        <f t="shared" si="2"/>
        <v>31</v>
      </c>
    </row>
    <row r="65" spans="5:11" x14ac:dyDescent="0.35">
      <c r="E65" s="9">
        <v>39877</v>
      </c>
      <c r="F65">
        <v>209.6</v>
      </c>
      <c r="G65" t="s">
        <v>5877</v>
      </c>
      <c r="H65" s="8">
        <v>41730</v>
      </c>
      <c r="I65">
        <f t="shared" si="3"/>
        <v>30</v>
      </c>
      <c r="J65">
        <f t="shared" si="4"/>
        <v>30</v>
      </c>
      <c r="K65">
        <f t="shared" si="2"/>
        <v>30</v>
      </c>
    </row>
    <row r="66" spans="5:11" x14ac:dyDescent="0.35">
      <c r="E66" s="9">
        <v>39878</v>
      </c>
      <c r="F66">
        <v>230.2</v>
      </c>
      <c r="G66" t="s">
        <v>5877</v>
      </c>
      <c r="H66" s="8">
        <v>41760</v>
      </c>
      <c r="I66">
        <f t="shared" ref="I66:I97" si="5">COUNTIFS(F:F, "&gt;71", E:E, "&gt;="&amp;H66, E:E, "&lt;="&amp;EOMONTH(H66,0))</f>
        <v>31</v>
      </c>
      <c r="J66">
        <f t="shared" ref="J66:J97" si="6">COUNTIFS(F:F, "&gt;90", E:E, "&gt;="&amp;H66, E:E, "&lt;="&amp;EOMONTH(H66,0))</f>
        <v>31</v>
      </c>
      <c r="K66">
        <f t="shared" si="2"/>
        <v>31</v>
      </c>
    </row>
    <row r="67" spans="5:11" x14ac:dyDescent="0.35">
      <c r="E67" s="9">
        <v>39879</v>
      </c>
      <c r="F67">
        <v>242.5</v>
      </c>
      <c r="G67" t="s">
        <v>5877</v>
      </c>
      <c r="H67" s="10">
        <v>41791</v>
      </c>
      <c r="I67" s="11">
        <f t="shared" si="5"/>
        <v>30</v>
      </c>
      <c r="J67" s="11">
        <f t="shared" si="6"/>
        <v>13</v>
      </c>
      <c r="K67">
        <f t="shared" ref="K67:K130" si="7">COUNTIFS(F:F, "&gt;62", E:E, "&gt;="&amp;H67, E:E, "&lt;="&amp;EOMONTH(H67,0))</f>
        <v>30</v>
      </c>
    </row>
    <row r="68" spans="5:11" x14ac:dyDescent="0.35">
      <c r="E68" s="9">
        <v>39880</v>
      </c>
      <c r="F68">
        <v>242.2</v>
      </c>
      <c r="G68" t="s">
        <v>5877</v>
      </c>
      <c r="H68" s="10">
        <v>41821</v>
      </c>
      <c r="I68" s="11">
        <f t="shared" si="5"/>
        <v>4</v>
      </c>
      <c r="J68" s="11">
        <f t="shared" si="6"/>
        <v>0</v>
      </c>
      <c r="K68">
        <f t="shared" si="7"/>
        <v>10</v>
      </c>
    </row>
    <row r="69" spans="5:11" x14ac:dyDescent="0.35">
      <c r="E69" s="9">
        <v>39881</v>
      </c>
      <c r="F69">
        <v>228.2</v>
      </c>
      <c r="G69" t="s">
        <v>5877</v>
      </c>
      <c r="H69" s="10">
        <v>41852</v>
      </c>
      <c r="I69" s="11">
        <f t="shared" si="5"/>
        <v>26</v>
      </c>
      <c r="J69" s="11">
        <f t="shared" si="6"/>
        <v>20</v>
      </c>
      <c r="K69">
        <f t="shared" si="7"/>
        <v>30</v>
      </c>
    </row>
    <row r="70" spans="5:11" x14ac:dyDescent="0.35">
      <c r="E70" s="9">
        <v>39882</v>
      </c>
      <c r="F70">
        <v>203.9</v>
      </c>
      <c r="G70" t="s">
        <v>5877</v>
      </c>
      <c r="H70" s="8">
        <v>41883</v>
      </c>
      <c r="I70">
        <f t="shared" si="5"/>
        <v>30</v>
      </c>
      <c r="J70">
        <f t="shared" si="6"/>
        <v>30</v>
      </c>
      <c r="K70">
        <f t="shared" si="7"/>
        <v>30</v>
      </c>
    </row>
    <row r="71" spans="5:11" x14ac:dyDescent="0.35">
      <c r="E71" s="9">
        <v>39883</v>
      </c>
      <c r="F71">
        <v>182.4</v>
      </c>
      <c r="G71" t="s">
        <v>5877</v>
      </c>
      <c r="H71" s="8">
        <v>41913</v>
      </c>
      <c r="I71">
        <f t="shared" si="5"/>
        <v>31</v>
      </c>
      <c r="J71">
        <f t="shared" si="6"/>
        <v>31</v>
      </c>
      <c r="K71">
        <f t="shared" si="7"/>
        <v>31</v>
      </c>
    </row>
    <row r="72" spans="5:11" x14ac:dyDescent="0.35">
      <c r="E72" s="9">
        <v>39884</v>
      </c>
      <c r="F72">
        <v>171.7</v>
      </c>
      <c r="G72" t="s">
        <v>5877</v>
      </c>
      <c r="H72" s="8">
        <v>41944</v>
      </c>
      <c r="I72">
        <f t="shared" si="5"/>
        <v>30</v>
      </c>
      <c r="J72">
        <f t="shared" si="6"/>
        <v>30</v>
      </c>
      <c r="K72">
        <f t="shared" si="7"/>
        <v>30</v>
      </c>
    </row>
    <row r="73" spans="5:11" x14ac:dyDescent="0.35">
      <c r="E73" s="9">
        <v>39885</v>
      </c>
      <c r="F73">
        <v>180.9</v>
      </c>
      <c r="G73" t="s">
        <v>5877</v>
      </c>
      <c r="H73" s="8">
        <v>41974</v>
      </c>
      <c r="I73">
        <f t="shared" si="5"/>
        <v>31</v>
      </c>
      <c r="J73">
        <f t="shared" si="6"/>
        <v>31</v>
      </c>
      <c r="K73">
        <f t="shared" si="7"/>
        <v>31</v>
      </c>
    </row>
    <row r="74" spans="5:11" x14ac:dyDescent="0.35">
      <c r="E74" s="9">
        <v>39886</v>
      </c>
      <c r="F74">
        <v>201.8</v>
      </c>
      <c r="G74" t="s">
        <v>5877</v>
      </c>
      <c r="H74" s="8">
        <v>42005</v>
      </c>
      <c r="I74">
        <f t="shared" si="5"/>
        <v>31</v>
      </c>
      <c r="J74">
        <f t="shared" si="6"/>
        <v>31</v>
      </c>
      <c r="K74">
        <f t="shared" si="7"/>
        <v>31</v>
      </c>
    </row>
    <row r="75" spans="5:11" x14ac:dyDescent="0.35">
      <c r="E75" s="9">
        <v>39887</v>
      </c>
      <c r="F75">
        <v>219.6</v>
      </c>
      <c r="G75" t="s">
        <v>5877</v>
      </c>
      <c r="H75" s="8">
        <v>42036</v>
      </c>
      <c r="I75">
        <f t="shared" si="5"/>
        <v>28</v>
      </c>
      <c r="J75">
        <f t="shared" si="6"/>
        <v>28</v>
      </c>
      <c r="K75">
        <f t="shared" si="7"/>
        <v>28</v>
      </c>
    </row>
    <row r="76" spans="5:11" x14ac:dyDescent="0.35">
      <c r="E76" s="9">
        <v>39888</v>
      </c>
      <c r="F76">
        <v>221.4</v>
      </c>
      <c r="G76" t="s">
        <v>5877</v>
      </c>
      <c r="H76" s="8">
        <v>42064</v>
      </c>
      <c r="I76">
        <f t="shared" si="5"/>
        <v>31</v>
      </c>
      <c r="J76">
        <f t="shared" si="6"/>
        <v>31</v>
      </c>
      <c r="K76">
        <f t="shared" si="7"/>
        <v>31</v>
      </c>
    </row>
    <row r="77" spans="5:11" x14ac:dyDescent="0.35">
      <c r="E77" s="9">
        <v>39889</v>
      </c>
      <c r="F77">
        <v>212.9</v>
      </c>
      <c r="G77" t="s">
        <v>5877</v>
      </c>
      <c r="H77" s="8">
        <v>42095</v>
      </c>
      <c r="I77">
        <f t="shared" si="5"/>
        <v>30</v>
      </c>
      <c r="J77">
        <f t="shared" si="6"/>
        <v>30</v>
      </c>
      <c r="K77">
        <f t="shared" si="7"/>
        <v>30</v>
      </c>
    </row>
    <row r="78" spans="5:11" x14ac:dyDescent="0.35">
      <c r="E78" s="9">
        <v>39890</v>
      </c>
      <c r="F78">
        <v>196.9</v>
      </c>
      <c r="G78" t="s">
        <v>5877</v>
      </c>
      <c r="H78" s="8">
        <v>42125</v>
      </c>
      <c r="I78">
        <f t="shared" si="5"/>
        <v>31</v>
      </c>
      <c r="J78">
        <f t="shared" si="6"/>
        <v>31</v>
      </c>
      <c r="K78">
        <f t="shared" si="7"/>
        <v>31</v>
      </c>
    </row>
    <row r="79" spans="5:11" x14ac:dyDescent="0.35">
      <c r="E79" s="9">
        <v>39891</v>
      </c>
      <c r="F79">
        <v>181.2</v>
      </c>
      <c r="G79" t="s">
        <v>5877</v>
      </c>
      <c r="H79" s="10">
        <v>42156</v>
      </c>
      <c r="I79" s="11">
        <f t="shared" si="5"/>
        <v>30</v>
      </c>
      <c r="J79" s="11">
        <f t="shared" si="6"/>
        <v>11</v>
      </c>
      <c r="K79">
        <f t="shared" si="7"/>
        <v>30</v>
      </c>
    </row>
    <row r="80" spans="5:11" x14ac:dyDescent="0.35">
      <c r="E80" s="9">
        <v>39892</v>
      </c>
      <c r="F80">
        <v>180</v>
      </c>
      <c r="G80" t="s">
        <v>5877</v>
      </c>
      <c r="H80" s="10">
        <v>42186</v>
      </c>
      <c r="I80" s="11">
        <f t="shared" si="5"/>
        <v>5</v>
      </c>
      <c r="J80" s="11">
        <f t="shared" si="6"/>
        <v>0</v>
      </c>
      <c r="K80">
        <f t="shared" si="7"/>
        <v>13</v>
      </c>
    </row>
    <row r="81" spans="5:11" x14ac:dyDescent="0.35">
      <c r="E81" s="9">
        <v>39893</v>
      </c>
      <c r="F81">
        <v>193.5</v>
      </c>
      <c r="G81" t="s">
        <v>5877</v>
      </c>
      <c r="H81" s="10">
        <v>42217</v>
      </c>
      <c r="I81" s="11">
        <f t="shared" si="5"/>
        <v>23</v>
      </c>
      <c r="J81" s="11">
        <f t="shared" si="6"/>
        <v>4</v>
      </c>
      <c r="K81">
        <f t="shared" si="7"/>
        <v>31</v>
      </c>
    </row>
    <row r="82" spans="5:11" x14ac:dyDescent="0.35">
      <c r="E82" s="9">
        <v>39894</v>
      </c>
      <c r="F82">
        <v>212.8</v>
      </c>
      <c r="G82" t="s">
        <v>5877</v>
      </c>
      <c r="H82" s="8">
        <v>42248</v>
      </c>
      <c r="I82">
        <f t="shared" si="5"/>
        <v>30</v>
      </c>
      <c r="J82">
        <f t="shared" si="6"/>
        <v>30</v>
      </c>
      <c r="K82">
        <f t="shared" si="7"/>
        <v>30</v>
      </c>
    </row>
    <row r="83" spans="5:11" x14ac:dyDescent="0.35">
      <c r="E83" s="9">
        <v>39895</v>
      </c>
      <c r="F83">
        <v>223.6</v>
      </c>
      <c r="G83" t="s">
        <v>5877</v>
      </c>
      <c r="H83" s="8">
        <v>42278</v>
      </c>
      <c r="I83">
        <f t="shared" si="5"/>
        <v>31</v>
      </c>
      <c r="J83">
        <f t="shared" si="6"/>
        <v>31</v>
      </c>
      <c r="K83">
        <f t="shared" si="7"/>
        <v>31</v>
      </c>
    </row>
    <row r="84" spans="5:11" x14ac:dyDescent="0.35">
      <c r="E84" s="9">
        <v>39896</v>
      </c>
      <c r="F84">
        <v>226.1</v>
      </c>
      <c r="G84" t="s">
        <v>5877</v>
      </c>
      <c r="H84" s="8">
        <v>42309</v>
      </c>
      <c r="I84">
        <f t="shared" si="5"/>
        <v>30</v>
      </c>
      <c r="J84">
        <f t="shared" si="6"/>
        <v>30</v>
      </c>
      <c r="K84">
        <f t="shared" si="7"/>
        <v>30</v>
      </c>
    </row>
    <row r="85" spans="5:11" x14ac:dyDescent="0.35">
      <c r="E85" s="9">
        <v>39897</v>
      </c>
      <c r="F85">
        <v>219.4</v>
      </c>
      <c r="G85" t="s">
        <v>5877</v>
      </c>
      <c r="H85" s="8">
        <v>42339</v>
      </c>
      <c r="I85">
        <f t="shared" si="5"/>
        <v>31</v>
      </c>
      <c r="J85">
        <f t="shared" si="6"/>
        <v>31</v>
      </c>
      <c r="K85">
        <f t="shared" si="7"/>
        <v>31</v>
      </c>
    </row>
    <row r="86" spans="5:11" x14ac:dyDescent="0.35">
      <c r="E86" s="9">
        <v>39898</v>
      </c>
      <c r="F86">
        <v>207</v>
      </c>
      <c r="G86" t="s">
        <v>5877</v>
      </c>
      <c r="H86" s="8">
        <v>42370</v>
      </c>
      <c r="I86">
        <f t="shared" si="5"/>
        <v>31</v>
      </c>
      <c r="J86">
        <f t="shared" si="6"/>
        <v>31</v>
      </c>
      <c r="K86">
        <f t="shared" si="7"/>
        <v>31</v>
      </c>
    </row>
    <row r="87" spans="5:11" x14ac:dyDescent="0.35">
      <c r="E87" s="9">
        <v>39899</v>
      </c>
      <c r="F87">
        <v>198.6</v>
      </c>
      <c r="G87" t="s">
        <v>5877</v>
      </c>
      <c r="H87" s="8">
        <v>42401</v>
      </c>
      <c r="I87">
        <f t="shared" si="5"/>
        <v>29</v>
      </c>
      <c r="J87">
        <f t="shared" si="6"/>
        <v>29</v>
      </c>
      <c r="K87">
        <f t="shared" si="7"/>
        <v>29</v>
      </c>
    </row>
    <row r="88" spans="5:11" x14ac:dyDescent="0.35">
      <c r="E88" s="9">
        <v>39900</v>
      </c>
      <c r="F88">
        <v>195</v>
      </c>
      <c r="G88" t="s">
        <v>5877</v>
      </c>
      <c r="H88" s="8">
        <v>42430</v>
      </c>
      <c r="I88">
        <f t="shared" si="5"/>
        <v>31</v>
      </c>
      <c r="J88">
        <f t="shared" si="6"/>
        <v>31</v>
      </c>
      <c r="K88">
        <f t="shared" si="7"/>
        <v>31</v>
      </c>
    </row>
    <row r="89" spans="5:11" x14ac:dyDescent="0.35">
      <c r="E89" s="9">
        <v>39901</v>
      </c>
      <c r="F89">
        <v>198.3</v>
      </c>
      <c r="G89" t="s">
        <v>5877</v>
      </c>
      <c r="H89" s="8">
        <v>42461</v>
      </c>
      <c r="I89">
        <f t="shared" si="5"/>
        <v>30</v>
      </c>
      <c r="J89">
        <f t="shared" si="6"/>
        <v>30</v>
      </c>
      <c r="K89">
        <f t="shared" si="7"/>
        <v>30</v>
      </c>
    </row>
    <row r="90" spans="5:11" x14ac:dyDescent="0.35">
      <c r="E90" s="9">
        <v>39902</v>
      </c>
      <c r="F90">
        <v>219.7</v>
      </c>
      <c r="G90" t="s">
        <v>5877</v>
      </c>
      <c r="H90" s="8">
        <v>42491</v>
      </c>
      <c r="I90">
        <f t="shared" si="5"/>
        <v>31</v>
      </c>
      <c r="J90">
        <f t="shared" si="6"/>
        <v>31</v>
      </c>
      <c r="K90">
        <f t="shared" si="7"/>
        <v>31</v>
      </c>
    </row>
    <row r="91" spans="5:11" x14ac:dyDescent="0.35">
      <c r="E91" s="9">
        <v>39903</v>
      </c>
      <c r="F91">
        <v>254.1</v>
      </c>
      <c r="G91" t="s">
        <v>5877</v>
      </c>
      <c r="H91" s="10">
        <v>42522</v>
      </c>
      <c r="I91" s="11">
        <f t="shared" si="5"/>
        <v>30</v>
      </c>
      <c r="J91" s="11">
        <f t="shared" si="6"/>
        <v>4</v>
      </c>
      <c r="K91">
        <f t="shared" si="7"/>
        <v>30</v>
      </c>
    </row>
    <row r="92" spans="5:11" x14ac:dyDescent="0.35">
      <c r="E92" s="9">
        <v>39904</v>
      </c>
      <c r="F92">
        <v>289.3</v>
      </c>
      <c r="G92" t="s">
        <v>5877</v>
      </c>
      <c r="H92" s="10">
        <v>42552</v>
      </c>
      <c r="I92" s="11">
        <f t="shared" si="5"/>
        <v>5</v>
      </c>
      <c r="J92" s="11">
        <f t="shared" si="6"/>
        <v>0</v>
      </c>
      <c r="K92">
        <f t="shared" si="7"/>
        <v>10</v>
      </c>
    </row>
    <row r="93" spans="5:11" x14ac:dyDescent="0.35">
      <c r="E93" s="9">
        <v>39905</v>
      </c>
      <c r="F93">
        <v>311.5</v>
      </c>
      <c r="G93" t="s">
        <v>5877</v>
      </c>
      <c r="H93" s="10">
        <v>42583</v>
      </c>
      <c r="I93" s="11">
        <f t="shared" si="5"/>
        <v>24</v>
      </c>
      <c r="J93" s="11">
        <f t="shared" si="6"/>
        <v>15</v>
      </c>
      <c r="K93">
        <f t="shared" si="7"/>
        <v>31</v>
      </c>
    </row>
    <row r="94" spans="5:11" x14ac:dyDescent="0.35">
      <c r="E94" s="9">
        <v>39906</v>
      </c>
      <c r="F94">
        <v>298.89999999999998</v>
      </c>
      <c r="G94" t="s">
        <v>5877</v>
      </c>
      <c r="H94" s="8">
        <v>42614</v>
      </c>
      <c r="I94">
        <f t="shared" si="5"/>
        <v>30</v>
      </c>
      <c r="J94">
        <f t="shared" si="6"/>
        <v>29</v>
      </c>
      <c r="K94">
        <f t="shared" si="7"/>
        <v>30</v>
      </c>
    </row>
    <row r="95" spans="5:11" x14ac:dyDescent="0.35">
      <c r="E95" s="9">
        <v>39907</v>
      </c>
      <c r="F95">
        <v>269.7</v>
      </c>
      <c r="G95" t="s">
        <v>5877</v>
      </c>
      <c r="H95" s="8">
        <v>42644</v>
      </c>
      <c r="I95">
        <f t="shared" si="5"/>
        <v>31</v>
      </c>
      <c r="J95">
        <f t="shared" si="6"/>
        <v>31</v>
      </c>
      <c r="K95">
        <f t="shared" si="7"/>
        <v>31</v>
      </c>
    </row>
    <row r="96" spans="5:11" x14ac:dyDescent="0.35">
      <c r="E96" s="9">
        <v>39908</v>
      </c>
      <c r="F96">
        <v>242.2</v>
      </c>
      <c r="G96" t="s">
        <v>5877</v>
      </c>
      <c r="H96" s="8">
        <v>42675</v>
      </c>
      <c r="I96">
        <f t="shared" si="5"/>
        <v>30</v>
      </c>
      <c r="J96">
        <f t="shared" si="6"/>
        <v>30</v>
      </c>
      <c r="K96">
        <f t="shared" si="7"/>
        <v>30</v>
      </c>
    </row>
    <row r="97" spans="5:11" x14ac:dyDescent="0.35">
      <c r="E97" s="9">
        <v>39909</v>
      </c>
      <c r="F97">
        <v>228.9</v>
      </c>
      <c r="G97" t="s">
        <v>5877</v>
      </c>
      <c r="H97" s="8">
        <v>42705</v>
      </c>
      <c r="I97">
        <f t="shared" si="5"/>
        <v>31</v>
      </c>
      <c r="J97">
        <f t="shared" si="6"/>
        <v>31</v>
      </c>
      <c r="K97">
        <f t="shared" si="7"/>
        <v>31</v>
      </c>
    </row>
    <row r="98" spans="5:11" x14ac:dyDescent="0.35">
      <c r="E98" s="9">
        <v>39910</v>
      </c>
      <c r="F98">
        <v>229.2</v>
      </c>
      <c r="G98" t="s">
        <v>5877</v>
      </c>
      <c r="H98" s="8">
        <v>42736</v>
      </c>
      <c r="I98">
        <f t="shared" ref="I98:I129" si="8">COUNTIFS(F:F, "&gt;71", E:E, "&gt;="&amp;H98, E:E, "&lt;="&amp;EOMONTH(H98,0))</f>
        <v>31</v>
      </c>
      <c r="J98">
        <f t="shared" ref="J98:J129" si="9">COUNTIFS(F:F, "&gt;90", E:E, "&gt;="&amp;H98, E:E, "&lt;="&amp;EOMONTH(H98,0))</f>
        <v>31</v>
      </c>
      <c r="K98">
        <f t="shared" si="7"/>
        <v>31</v>
      </c>
    </row>
    <row r="99" spans="5:11" x14ac:dyDescent="0.35">
      <c r="E99" s="9">
        <v>39911</v>
      </c>
      <c r="F99">
        <v>237.5</v>
      </c>
      <c r="G99" t="s">
        <v>5877</v>
      </c>
      <c r="H99" s="8">
        <v>42767</v>
      </c>
      <c r="I99">
        <f t="shared" si="8"/>
        <v>28</v>
      </c>
      <c r="J99">
        <f t="shared" si="9"/>
        <v>28</v>
      </c>
      <c r="K99">
        <f t="shared" si="7"/>
        <v>28</v>
      </c>
    </row>
    <row r="100" spans="5:11" x14ac:dyDescent="0.35">
      <c r="E100" s="9">
        <v>39912</v>
      </c>
      <c r="F100">
        <v>241.8</v>
      </c>
      <c r="G100" t="s">
        <v>5877</v>
      </c>
      <c r="H100" s="8">
        <v>42795</v>
      </c>
      <c r="I100">
        <f t="shared" si="8"/>
        <v>31</v>
      </c>
      <c r="J100">
        <f t="shared" si="9"/>
        <v>31</v>
      </c>
      <c r="K100">
        <f t="shared" si="7"/>
        <v>31</v>
      </c>
    </row>
    <row r="101" spans="5:11" x14ac:dyDescent="0.35">
      <c r="E101" s="9">
        <v>39913</v>
      </c>
      <c r="F101">
        <v>235.2</v>
      </c>
      <c r="G101" t="s">
        <v>5877</v>
      </c>
      <c r="H101" s="8">
        <v>42826</v>
      </c>
      <c r="I101">
        <f t="shared" si="8"/>
        <v>30</v>
      </c>
      <c r="J101">
        <f t="shared" si="9"/>
        <v>30</v>
      </c>
      <c r="K101">
        <f t="shared" si="7"/>
        <v>30</v>
      </c>
    </row>
    <row r="102" spans="5:11" x14ac:dyDescent="0.35">
      <c r="E102" s="9">
        <v>39914</v>
      </c>
      <c r="F102">
        <v>228.5</v>
      </c>
      <c r="G102" t="s">
        <v>5877</v>
      </c>
      <c r="H102" s="8">
        <v>42856</v>
      </c>
      <c r="I102">
        <f t="shared" si="8"/>
        <v>31</v>
      </c>
      <c r="J102">
        <f t="shared" si="9"/>
        <v>31</v>
      </c>
      <c r="K102">
        <f t="shared" si="7"/>
        <v>31</v>
      </c>
    </row>
    <row r="103" spans="5:11" x14ac:dyDescent="0.35">
      <c r="E103" s="9">
        <v>39915</v>
      </c>
      <c r="F103">
        <v>225.2</v>
      </c>
      <c r="G103" t="s">
        <v>5877</v>
      </c>
      <c r="H103" s="10">
        <v>42887</v>
      </c>
      <c r="I103" s="11">
        <f t="shared" si="8"/>
        <v>30</v>
      </c>
      <c r="J103" s="11">
        <f t="shared" si="9"/>
        <v>1</v>
      </c>
      <c r="K103">
        <f t="shared" si="7"/>
        <v>30</v>
      </c>
    </row>
    <row r="104" spans="5:11" x14ac:dyDescent="0.35">
      <c r="E104" s="9">
        <v>39916</v>
      </c>
      <c r="F104">
        <v>219.8</v>
      </c>
      <c r="G104" t="s">
        <v>5877</v>
      </c>
      <c r="H104" s="10">
        <v>42917</v>
      </c>
      <c r="I104" s="11">
        <f t="shared" si="8"/>
        <v>5</v>
      </c>
      <c r="J104" s="11">
        <f t="shared" si="9"/>
        <v>0</v>
      </c>
      <c r="K104">
        <f t="shared" si="7"/>
        <v>22</v>
      </c>
    </row>
    <row r="105" spans="5:11" x14ac:dyDescent="0.35">
      <c r="E105" s="9">
        <v>39917</v>
      </c>
      <c r="F105">
        <v>211.2</v>
      </c>
      <c r="G105" t="s">
        <v>5877</v>
      </c>
      <c r="H105" s="10">
        <v>42948</v>
      </c>
      <c r="I105" s="11">
        <f t="shared" si="8"/>
        <v>29</v>
      </c>
      <c r="J105" s="11">
        <f t="shared" si="9"/>
        <v>6</v>
      </c>
      <c r="K105">
        <f t="shared" si="7"/>
        <v>31</v>
      </c>
    </row>
    <row r="106" spans="5:11" x14ac:dyDescent="0.35">
      <c r="E106" s="9">
        <v>39918</v>
      </c>
      <c r="F106">
        <v>205.8</v>
      </c>
      <c r="G106" t="s">
        <v>5877</v>
      </c>
      <c r="H106" s="8">
        <v>42979</v>
      </c>
      <c r="I106">
        <f t="shared" si="8"/>
        <v>30</v>
      </c>
      <c r="J106">
        <f t="shared" si="9"/>
        <v>29</v>
      </c>
      <c r="K106">
        <f t="shared" si="7"/>
        <v>30</v>
      </c>
    </row>
    <row r="107" spans="5:11" x14ac:dyDescent="0.35">
      <c r="E107" s="9">
        <v>39919</v>
      </c>
      <c r="F107">
        <v>207.1</v>
      </c>
      <c r="G107" t="s">
        <v>5877</v>
      </c>
      <c r="H107" s="8">
        <v>43009</v>
      </c>
      <c r="I107">
        <f t="shared" si="8"/>
        <v>31</v>
      </c>
      <c r="J107">
        <f t="shared" si="9"/>
        <v>31</v>
      </c>
      <c r="K107">
        <f t="shared" si="7"/>
        <v>31</v>
      </c>
    </row>
    <row r="108" spans="5:11" x14ac:dyDescent="0.35">
      <c r="E108" s="9">
        <v>39920</v>
      </c>
      <c r="F108">
        <v>209.9</v>
      </c>
      <c r="G108" t="s">
        <v>5877</v>
      </c>
      <c r="H108" s="8">
        <v>43040</v>
      </c>
      <c r="I108">
        <f t="shared" si="8"/>
        <v>30</v>
      </c>
      <c r="J108">
        <f t="shared" si="9"/>
        <v>30</v>
      </c>
      <c r="K108">
        <f t="shared" si="7"/>
        <v>30</v>
      </c>
    </row>
    <row r="109" spans="5:11" x14ac:dyDescent="0.35">
      <c r="E109" s="9">
        <v>39921</v>
      </c>
      <c r="F109">
        <v>205.4</v>
      </c>
      <c r="G109" t="s">
        <v>5877</v>
      </c>
      <c r="H109" s="8">
        <v>43070</v>
      </c>
      <c r="I109">
        <f t="shared" si="8"/>
        <v>31</v>
      </c>
      <c r="J109">
        <f t="shared" si="9"/>
        <v>31</v>
      </c>
      <c r="K109">
        <f t="shared" si="7"/>
        <v>31</v>
      </c>
    </row>
    <row r="110" spans="5:11" x14ac:dyDescent="0.35">
      <c r="E110" s="9">
        <v>39922</v>
      </c>
      <c r="F110">
        <v>194.8</v>
      </c>
      <c r="G110" t="s">
        <v>5877</v>
      </c>
      <c r="H110" s="8">
        <v>43101</v>
      </c>
      <c r="I110">
        <f t="shared" si="8"/>
        <v>31</v>
      </c>
      <c r="J110">
        <f t="shared" si="9"/>
        <v>31</v>
      </c>
      <c r="K110">
        <f t="shared" si="7"/>
        <v>31</v>
      </c>
    </row>
    <row r="111" spans="5:11" x14ac:dyDescent="0.35">
      <c r="E111" s="9">
        <v>39923</v>
      </c>
      <c r="F111">
        <v>178.7</v>
      </c>
      <c r="G111" t="s">
        <v>5877</v>
      </c>
      <c r="H111" s="8">
        <v>43132</v>
      </c>
      <c r="I111">
        <f t="shared" si="8"/>
        <v>28</v>
      </c>
      <c r="J111">
        <f t="shared" si="9"/>
        <v>28</v>
      </c>
      <c r="K111">
        <f t="shared" si="7"/>
        <v>28</v>
      </c>
    </row>
    <row r="112" spans="5:11" x14ac:dyDescent="0.35">
      <c r="E112" s="9">
        <v>39924</v>
      </c>
      <c r="F112">
        <v>163.9</v>
      </c>
      <c r="G112" t="s">
        <v>5877</v>
      </c>
      <c r="H112" s="8">
        <v>43160</v>
      </c>
      <c r="I112">
        <f t="shared" si="8"/>
        <v>31</v>
      </c>
      <c r="J112">
        <f t="shared" si="9"/>
        <v>31</v>
      </c>
      <c r="K112">
        <f t="shared" si="7"/>
        <v>31</v>
      </c>
    </row>
    <row r="113" spans="5:11" x14ac:dyDescent="0.35">
      <c r="E113" s="9">
        <v>39925</v>
      </c>
      <c r="F113">
        <v>152.6</v>
      </c>
      <c r="G113" t="s">
        <v>5877</v>
      </c>
      <c r="H113" s="8">
        <v>43191</v>
      </c>
      <c r="I113">
        <f t="shared" si="8"/>
        <v>30</v>
      </c>
      <c r="J113">
        <f t="shared" si="9"/>
        <v>30</v>
      </c>
      <c r="K113">
        <f t="shared" si="7"/>
        <v>30</v>
      </c>
    </row>
    <row r="114" spans="5:11" x14ac:dyDescent="0.35">
      <c r="E114" s="9">
        <v>39926</v>
      </c>
      <c r="F114">
        <v>144.30000000000001</v>
      </c>
      <c r="G114" t="s">
        <v>5877</v>
      </c>
      <c r="H114" s="8">
        <v>43221</v>
      </c>
      <c r="I114">
        <f t="shared" si="8"/>
        <v>31</v>
      </c>
      <c r="J114">
        <f t="shared" si="9"/>
        <v>31</v>
      </c>
      <c r="K114">
        <f t="shared" si="7"/>
        <v>31</v>
      </c>
    </row>
    <row r="115" spans="5:11" x14ac:dyDescent="0.35">
      <c r="E115" s="9">
        <v>39927</v>
      </c>
      <c r="F115">
        <v>138.19999999999999</v>
      </c>
      <c r="G115" t="s">
        <v>5877</v>
      </c>
      <c r="H115" s="10">
        <v>43252</v>
      </c>
      <c r="I115" s="11">
        <f t="shared" si="8"/>
        <v>30</v>
      </c>
      <c r="J115" s="11">
        <f t="shared" si="9"/>
        <v>4</v>
      </c>
      <c r="K115">
        <f t="shared" si="7"/>
        <v>30</v>
      </c>
    </row>
    <row r="116" spans="5:11" x14ac:dyDescent="0.35">
      <c r="E116" s="9">
        <v>39928</v>
      </c>
      <c r="F116">
        <v>133.5</v>
      </c>
      <c r="G116" t="s">
        <v>5877</v>
      </c>
      <c r="H116" s="10">
        <v>43282</v>
      </c>
      <c r="I116" s="11">
        <f t="shared" si="8"/>
        <v>3</v>
      </c>
      <c r="J116" s="11">
        <f t="shared" si="9"/>
        <v>1</v>
      </c>
      <c r="K116">
        <f t="shared" si="7"/>
        <v>10</v>
      </c>
    </row>
    <row r="117" spans="5:11" x14ac:dyDescent="0.35">
      <c r="E117" s="9">
        <v>39929</v>
      </c>
      <c r="F117">
        <v>130.30000000000001</v>
      </c>
      <c r="G117" t="s">
        <v>5877</v>
      </c>
      <c r="H117" s="10">
        <v>43313</v>
      </c>
      <c r="I117" s="11">
        <f t="shared" si="8"/>
        <v>24</v>
      </c>
      <c r="J117" s="11">
        <f t="shared" si="9"/>
        <v>9</v>
      </c>
      <c r="K117">
        <f t="shared" si="7"/>
        <v>31</v>
      </c>
    </row>
    <row r="118" spans="5:11" x14ac:dyDescent="0.35">
      <c r="E118" s="9">
        <v>39930</v>
      </c>
      <c r="F118">
        <v>132</v>
      </c>
      <c r="G118" t="s">
        <v>5877</v>
      </c>
      <c r="H118" s="8">
        <v>43344</v>
      </c>
      <c r="I118">
        <f t="shared" si="8"/>
        <v>30</v>
      </c>
      <c r="J118">
        <f t="shared" si="9"/>
        <v>30</v>
      </c>
      <c r="K118">
        <f t="shared" si="7"/>
        <v>30</v>
      </c>
    </row>
    <row r="119" spans="5:11" x14ac:dyDescent="0.35">
      <c r="E119" s="9">
        <v>39931</v>
      </c>
      <c r="F119">
        <v>140.69999999999999</v>
      </c>
      <c r="G119" t="s">
        <v>5877</v>
      </c>
      <c r="H119" s="8">
        <v>43374</v>
      </c>
      <c r="I119">
        <f t="shared" si="8"/>
        <v>31</v>
      </c>
      <c r="J119">
        <f t="shared" si="9"/>
        <v>31</v>
      </c>
      <c r="K119">
        <f t="shared" si="7"/>
        <v>31</v>
      </c>
    </row>
    <row r="120" spans="5:11" x14ac:dyDescent="0.35">
      <c r="E120" s="9">
        <v>39932</v>
      </c>
      <c r="F120">
        <v>156.1</v>
      </c>
      <c r="G120" t="s">
        <v>5877</v>
      </c>
      <c r="H120" s="8">
        <v>43405</v>
      </c>
      <c r="I120">
        <f t="shared" si="8"/>
        <v>30</v>
      </c>
      <c r="J120">
        <f t="shared" si="9"/>
        <v>30</v>
      </c>
      <c r="K120">
        <f t="shared" si="7"/>
        <v>30</v>
      </c>
    </row>
    <row r="121" spans="5:11" x14ac:dyDescent="0.35">
      <c r="E121" s="9">
        <v>39933</v>
      </c>
      <c r="F121">
        <v>174.2</v>
      </c>
      <c r="G121" t="s">
        <v>5877</v>
      </c>
      <c r="H121" s="8">
        <v>43435</v>
      </c>
      <c r="I121">
        <f t="shared" si="8"/>
        <v>31</v>
      </c>
      <c r="J121">
        <f t="shared" si="9"/>
        <v>31</v>
      </c>
      <c r="K121">
        <f t="shared" si="7"/>
        <v>31</v>
      </c>
    </row>
    <row r="122" spans="5:11" x14ac:dyDescent="0.35">
      <c r="E122" s="9">
        <v>39934</v>
      </c>
      <c r="F122">
        <v>191.3</v>
      </c>
      <c r="G122" t="s">
        <v>5877</v>
      </c>
      <c r="H122" s="8">
        <v>43466</v>
      </c>
      <c r="I122">
        <f t="shared" si="8"/>
        <v>31</v>
      </c>
      <c r="J122">
        <f t="shared" si="9"/>
        <v>31</v>
      </c>
      <c r="K122">
        <f t="shared" si="7"/>
        <v>31</v>
      </c>
    </row>
    <row r="123" spans="5:11" x14ac:dyDescent="0.35">
      <c r="E123" s="9">
        <v>39935</v>
      </c>
      <c r="F123">
        <v>199.7</v>
      </c>
      <c r="G123" t="s">
        <v>5877</v>
      </c>
      <c r="H123" s="8">
        <v>43497</v>
      </c>
      <c r="I123">
        <f t="shared" si="8"/>
        <v>28</v>
      </c>
      <c r="J123">
        <f t="shared" si="9"/>
        <v>28</v>
      </c>
      <c r="K123">
        <f t="shared" si="7"/>
        <v>28</v>
      </c>
    </row>
    <row r="124" spans="5:11" x14ac:dyDescent="0.35">
      <c r="E124" s="9">
        <v>39936</v>
      </c>
      <c r="F124">
        <v>195.3</v>
      </c>
      <c r="G124" t="s">
        <v>5877</v>
      </c>
      <c r="H124" s="8">
        <v>43525</v>
      </c>
      <c r="I124">
        <f t="shared" si="8"/>
        <v>31</v>
      </c>
      <c r="J124">
        <f t="shared" si="9"/>
        <v>31</v>
      </c>
      <c r="K124">
        <f t="shared" si="7"/>
        <v>31</v>
      </c>
    </row>
    <row r="125" spans="5:11" x14ac:dyDescent="0.35">
      <c r="E125" s="9">
        <v>39937</v>
      </c>
      <c r="F125">
        <v>188.2</v>
      </c>
      <c r="G125" t="s">
        <v>5877</v>
      </c>
      <c r="H125" s="8">
        <v>43556</v>
      </c>
      <c r="I125">
        <f t="shared" si="8"/>
        <v>30</v>
      </c>
      <c r="J125">
        <f t="shared" si="9"/>
        <v>30</v>
      </c>
      <c r="K125">
        <f t="shared" si="7"/>
        <v>30</v>
      </c>
    </row>
    <row r="126" spans="5:11" x14ac:dyDescent="0.35">
      <c r="E126" s="9">
        <v>39938</v>
      </c>
      <c r="F126">
        <v>180.1</v>
      </c>
      <c r="G126" t="s">
        <v>5877</v>
      </c>
      <c r="H126" s="8">
        <v>43586</v>
      </c>
      <c r="I126">
        <f t="shared" si="8"/>
        <v>31</v>
      </c>
      <c r="J126">
        <f t="shared" si="9"/>
        <v>31</v>
      </c>
      <c r="K126">
        <f t="shared" si="7"/>
        <v>31</v>
      </c>
    </row>
    <row r="127" spans="5:11" x14ac:dyDescent="0.35">
      <c r="E127" s="9">
        <v>39939</v>
      </c>
      <c r="F127">
        <v>173.5</v>
      </c>
      <c r="G127" t="s">
        <v>5877</v>
      </c>
      <c r="H127" s="10">
        <v>43617</v>
      </c>
      <c r="I127" s="11">
        <f t="shared" si="8"/>
        <v>30</v>
      </c>
      <c r="J127" s="11">
        <f t="shared" si="9"/>
        <v>8</v>
      </c>
      <c r="K127">
        <f t="shared" si="7"/>
        <v>30</v>
      </c>
    </row>
    <row r="128" spans="5:11" x14ac:dyDescent="0.35">
      <c r="E128" s="9">
        <v>39940</v>
      </c>
      <c r="F128">
        <v>176.8</v>
      </c>
      <c r="G128" t="s">
        <v>5877</v>
      </c>
      <c r="H128" s="10">
        <v>43647</v>
      </c>
      <c r="I128" s="11">
        <f t="shared" si="8"/>
        <v>1</v>
      </c>
      <c r="J128" s="11">
        <f t="shared" si="9"/>
        <v>0</v>
      </c>
      <c r="K128">
        <f t="shared" si="7"/>
        <v>4</v>
      </c>
    </row>
    <row r="129" spans="5:11" x14ac:dyDescent="0.35">
      <c r="E129" s="9">
        <v>39941</v>
      </c>
      <c r="F129">
        <v>190.7</v>
      </c>
      <c r="G129" t="s">
        <v>5877</v>
      </c>
      <c r="H129" s="10">
        <v>43678</v>
      </c>
      <c r="I129" s="11">
        <f t="shared" si="8"/>
        <v>27</v>
      </c>
      <c r="J129" s="11">
        <f t="shared" si="9"/>
        <v>12</v>
      </c>
      <c r="K129">
        <f t="shared" si="7"/>
        <v>30</v>
      </c>
    </row>
    <row r="130" spans="5:11" x14ac:dyDescent="0.35">
      <c r="E130" s="9">
        <v>39942</v>
      </c>
      <c r="F130">
        <v>205.7</v>
      </c>
      <c r="G130" t="s">
        <v>5877</v>
      </c>
      <c r="H130" s="8">
        <v>43709</v>
      </c>
      <c r="I130">
        <f t="shared" ref="I130:I161" si="10">COUNTIFS(F:F, "&gt;71", E:E, "&gt;="&amp;H130, E:E, "&lt;="&amp;EOMONTH(H130,0))</f>
        <v>30</v>
      </c>
      <c r="J130">
        <f t="shared" ref="J130:J161" si="11">COUNTIFS(F:F, "&gt;90", E:E, "&gt;="&amp;H130, E:E, "&lt;="&amp;EOMONTH(H130,0))</f>
        <v>29</v>
      </c>
      <c r="K130">
        <f t="shared" si="7"/>
        <v>30</v>
      </c>
    </row>
    <row r="131" spans="5:11" x14ac:dyDescent="0.35">
      <c r="E131" s="9">
        <v>39943</v>
      </c>
      <c r="F131">
        <v>211.8</v>
      </c>
      <c r="G131" t="s">
        <v>5877</v>
      </c>
      <c r="H131" s="8">
        <v>43739</v>
      </c>
      <c r="I131">
        <f t="shared" si="10"/>
        <v>31</v>
      </c>
      <c r="J131">
        <f t="shared" si="11"/>
        <v>31</v>
      </c>
      <c r="K131">
        <f t="shared" ref="K131:K169" si="12">COUNTIFS(F:F, "&gt;62", E:E, "&gt;="&amp;H131, E:E, "&lt;="&amp;EOMONTH(H131,0))</f>
        <v>31</v>
      </c>
    </row>
    <row r="132" spans="5:11" x14ac:dyDescent="0.35">
      <c r="E132" s="9">
        <v>39944</v>
      </c>
      <c r="F132">
        <v>209.7</v>
      </c>
      <c r="G132" t="s">
        <v>5877</v>
      </c>
      <c r="H132" s="8">
        <v>43770</v>
      </c>
      <c r="I132">
        <f t="shared" si="10"/>
        <v>30</v>
      </c>
      <c r="J132">
        <f t="shared" si="11"/>
        <v>30</v>
      </c>
      <c r="K132">
        <f t="shared" si="12"/>
        <v>30</v>
      </c>
    </row>
    <row r="133" spans="5:11" x14ac:dyDescent="0.35">
      <c r="E133" s="9">
        <v>39945</v>
      </c>
      <c r="F133">
        <v>204.3</v>
      </c>
      <c r="G133" t="s">
        <v>5877</v>
      </c>
      <c r="H133" s="8">
        <v>43800</v>
      </c>
      <c r="I133">
        <f t="shared" si="10"/>
        <v>31</v>
      </c>
      <c r="J133">
        <f t="shared" si="11"/>
        <v>31</v>
      </c>
      <c r="K133">
        <f t="shared" si="12"/>
        <v>31</v>
      </c>
    </row>
    <row r="134" spans="5:11" x14ac:dyDescent="0.35">
      <c r="E134" s="9">
        <v>39946</v>
      </c>
      <c r="F134">
        <v>195.2</v>
      </c>
      <c r="G134" t="s">
        <v>5877</v>
      </c>
      <c r="H134" s="8">
        <v>43831</v>
      </c>
      <c r="I134">
        <f t="shared" si="10"/>
        <v>31</v>
      </c>
      <c r="J134">
        <f t="shared" si="11"/>
        <v>31</v>
      </c>
      <c r="K134">
        <f t="shared" si="12"/>
        <v>31</v>
      </c>
    </row>
    <row r="135" spans="5:11" x14ac:dyDescent="0.35">
      <c r="E135" s="9">
        <v>39947</v>
      </c>
      <c r="F135">
        <v>190.1</v>
      </c>
      <c r="G135" t="s">
        <v>5877</v>
      </c>
      <c r="H135" s="8">
        <v>43862</v>
      </c>
      <c r="I135">
        <f t="shared" si="10"/>
        <v>29</v>
      </c>
      <c r="J135">
        <f t="shared" si="11"/>
        <v>29</v>
      </c>
      <c r="K135">
        <f t="shared" si="12"/>
        <v>29</v>
      </c>
    </row>
    <row r="136" spans="5:11" x14ac:dyDescent="0.35">
      <c r="E136" s="9">
        <v>39948</v>
      </c>
      <c r="F136">
        <v>190</v>
      </c>
      <c r="G136" t="s">
        <v>5877</v>
      </c>
      <c r="H136" s="8">
        <v>43891</v>
      </c>
      <c r="I136">
        <f t="shared" si="10"/>
        <v>31</v>
      </c>
      <c r="J136">
        <f t="shared" si="11"/>
        <v>31</v>
      </c>
      <c r="K136">
        <f t="shared" si="12"/>
        <v>31</v>
      </c>
    </row>
    <row r="137" spans="5:11" x14ac:dyDescent="0.35">
      <c r="E137" s="9">
        <v>39949</v>
      </c>
      <c r="F137">
        <v>193.9</v>
      </c>
      <c r="G137" t="s">
        <v>5877</v>
      </c>
      <c r="H137" s="8">
        <v>43922</v>
      </c>
      <c r="I137">
        <f t="shared" si="10"/>
        <v>30</v>
      </c>
      <c r="J137">
        <f t="shared" si="11"/>
        <v>30</v>
      </c>
      <c r="K137">
        <f t="shared" si="12"/>
        <v>30</v>
      </c>
    </row>
    <row r="138" spans="5:11" x14ac:dyDescent="0.35">
      <c r="E138" s="9">
        <v>39950</v>
      </c>
      <c r="F138">
        <v>196.3</v>
      </c>
      <c r="G138" t="s">
        <v>5877</v>
      </c>
      <c r="H138" s="8">
        <v>43952</v>
      </c>
      <c r="I138">
        <f t="shared" si="10"/>
        <v>31</v>
      </c>
      <c r="J138">
        <f t="shared" si="11"/>
        <v>31</v>
      </c>
      <c r="K138">
        <f t="shared" si="12"/>
        <v>31</v>
      </c>
    </row>
    <row r="139" spans="5:11" x14ac:dyDescent="0.35">
      <c r="E139" s="9">
        <v>39951</v>
      </c>
      <c r="F139">
        <v>197.8</v>
      </c>
      <c r="G139" t="s">
        <v>5877</v>
      </c>
      <c r="H139" s="10">
        <v>43983</v>
      </c>
      <c r="I139" s="11">
        <f t="shared" si="10"/>
        <v>30</v>
      </c>
      <c r="J139" s="11">
        <f t="shared" si="11"/>
        <v>11</v>
      </c>
      <c r="K139">
        <f t="shared" si="12"/>
        <v>30</v>
      </c>
    </row>
    <row r="140" spans="5:11" x14ac:dyDescent="0.35">
      <c r="E140" s="9">
        <v>39952</v>
      </c>
      <c r="F140">
        <v>191.5</v>
      </c>
      <c r="G140" t="s">
        <v>5877</v>
      </c>
      <c r="H140" s="10">
        <v>44013</v>
      </c>
      <c r="I140" s="11">
        <f t="shared" si="10"/>
        <v>1</v>
      </c>
      <c r="J140" s="11">
        <f t="shared" si="11"/>
        <v>0</v>
      </c>
      <c r="K140">
        <f t="shared" si="12"/>
        <v>14</v>
      </c>
    </row>
    <row r="141" spans="5:11" x14ac:dyDescent="0.35">
      <c r="E141" s="9">
        <v>39953</v>
      </c>
      <c r="F141">
        <v>178.3</v>
      </c>
      <c r="G141" t="s">
        <v>5877</v>
      </c>
      <c r="H141" s="10">
        <v>44044</v>
      </c>
      <c r="I141" s="11">
        <f t="shared" si="10"/>
        <v>28</v>
      </c>
      <c r="J141" s="11">
        <f t="shared" si="11"/>
        <v>12</v>
      </c>
      <c r="K141">
        <f t="shared" si="12"/>
        <v>30</v>
      </c>
    </row>
    <row r="142" spans="5:11" x14ac:dyDescent="0.35">
      <c r="E142" s="9">
        <v>39954</v>
      </c>
      <c r="F142">
        <v>163.69999999999999</v>
      </c>
      <c r="G142" t="s">
        <v>5877</v>
      </c>
      <c r="H142" s="8">
        <v>44075</v>
      </c>
      <c r="I142">
        <f t="shared" si="10"/>
        <v>30</v>
      </c>
      <c r="J142">
        <f t="shared" si="11"/>
        <v>30</v>
      </c>
      <c r="K142">
        <f t="shared" si="12"/>
        <v>30</v>
      </c>
    </row>
    <row r="143" spans="5:11" x14ac:dyDescent="0.35">
      <c r="E143" s="9">
        <v>39955</v>
      </c>
      <c r="F143">
        <v>150.5</v>
      </c>
      <c r="G143" t="s">
        <v>5877</v>
      </c>
      <c r="H143" s="8">
        <v>44105</v>
      </c>
      <c r="I143">
        <f t="shared" si="10"/>
        <v>31</v>
      </c>
      <c r="J143">
        <f t="shared" si="11"/>
        <v>31</v>
      </c>
      <c r="K143">
        <f t="shared" si="12"/>
        <v>31</v>
      </c>
    </row>
    <row r="144" spans="5:11" x14ac:dyDescent="0.35">
      <c r="E144" s="9">
        <v>39956</v>
      </c>
      <c r="F144">
        <v>141</v>
      </c>
      <c r="G144" t="s">
        <v>5877</v>
      </c>
      <c r="H144" s="8">
        <v>44136</v>
      </c>
      <c r="I144">
        <f t="shared" si="10"/>
        <v>30</v>
      </c>
      <c r="J144">
        <f t="shared" si="11"/>
        <v>30</v>
      </c>
      <c r="K144">
        <f t="shared" si="12"/>
        <v>30</v>
      </c>
    </row>
    <row r="145" spans="5:11" x14ac:dyDescent="0.35">
      <c r="E145" s="9">
        <v>39957</v>
      </c>
      <c r="F145">
        <v>135.1</v>
      </c>
      <c r="G145" t="s">
        <v>5877</v>
      </c>
      <c r="H145" s="8">
        <v>44166</v>
      </c>
      <c r="I145">
        <f t="shared" si="10"/>
        <v>31</v>
      </c>
      <c r="J145">
        <f t="shared" si="11"/>
        <v>31</v>
      </c>
      <c r="K145">
        <f t="shared" si="12"/>
        <v>31</v>
      </c>
    </row>
    <row r="146" spans="5:11" x14ac:dyDescent="0.35">
      <c r="E146" s="9">
        <v>39958</v>
      </c>
      <c r="F146">
        <v>131.30000000000001</v>
      </c>
      <c r="G146" t="s">
        <v>5877</v>
      </c>
      <c r="H146" s="8">
        <v>44197</v>
      </c>
      <c r="I146">
        <f t="shared" si="10"/>
        <v>31</v>
      </c>
      <c r="J146">
        <f t="shared" si="11"/>
        <v>31</v>
      </c>
      <c r="K146">
        <f t="shared" si="12"/>
        <v>31</v>
      </c>
    </row>
    <row r="147" spans="5:11" x14ac:dyDescent="0.35">
      <c r="E147" s="9">
        <v>39959</v>
      </c>
      <c r="F147">
        <v>128.69999999999999</v>
      </c>
      <c r="G147" t="s">
        <v>5877</v>
      </c>
      <c r="H147" s="8">
        <v>44228</v>
      </c>
      <c r="I147">
        <f t="shared" si="10"/>
        <v>28</v>
      </c>
      <c r="J147">
        <f t="shared" si="11"/>
        <v>28</v>
      </c>
      <c r="K147">
        <f t="shared" si="12"/>
        <v>28</v>
      </c>
    </row>
    <row r="148" spans="5:11" x14ac:dyDescent="0.35">
      <c r="E148" s="9">
        <v>39960</v>
      </c>
      <c r="F148">
        <v>127.1</v>
      </c>
      <c r="G148" t="s">
        <v>5877</v>
      </c>
      <c r="H148" s="8">
        <v>44256</v>
      </c>
      <c r="I148">
        <f t="shared" si="10"/>
        <v>31</v>
      </c>
      <c r="J148">
        <f t="shared" si="11"/>
        <v>31</v>
      </c>
      <c r="K148">
        <f t="shared" si="12"/>
        <v>31</v>
      </c>
    </row>
    <row r="149" spans="5:11" x14ac:dyDescent="0.35">
      <c r="E149" s="9">
        <v>39961</v>
      </c>
      <c r="F149">
        <v>126</v>
      </c>
      <c r="G149" t="s">
        <v>5877</v>
      </c>
      <c r="H149" s="8">
        <v>44287</v>
      </c>
      <c r="I149">
        <f t="shared" si="10"/>
        <v>30</v>
      </c>
      <c r="J149">
        <f t="shared" si="11"/>
        <v>30</v>
      </c>
      <c r="K149">
        <f t="shared" si="12"/>
        <v>30</v>
      </c>
    </row>
    <row r="150" spans="5:11" x14ac:dyDescent="0.35">
      <c r="E150" s="9">
        <v>39962</v>
      </c>
      <c r="F150">
        <v>125.3</v>
      </c>
      <c r="G150" t="s">
        <v>5877</v>
      </c>
      <c r="H150" s="8">
        <v>44317</v>
      </c>
      <c r="I150">
        <f t="shared" si="10"/>
        <v>31</v>
      </c>
      <c r="J150">
        <f t="shared" si="11"/>
        <v>31</v>
      </c>
      <c r="K150">
        <f t="shared" si="12"/>
        <v>31</v>
      </c>
    </row>
    <row r="151" spans="5:11" x14ac:dyDescent="0.35">
      <c r="E151" s="9">
        <v>39963</v>
      </c>
      <c r="F151">
        <v>124.8</v>
      </c>
      <c r="G151" t="s">
        <v>5877</v>
      </c>
      <c r="H151" s="10">
        <v>44348</v>
      </c>
      <c r="I151" s="11">
        <f t="shared" si="10"/>
        <v>30</v>
      </c>
      <c r="J151" s="11">
        <f t="shared" si="11"/>
        <v>7</v>
      </c>
      <c r="K151">
        <f t="shared" si="12"/>
        <v>30</v>
      </c>
    </row>
    <row r="152" spans="5:11" x14ac:dyDescent="0.35">
      <c r="E152" s="9">
        <v>39964</v>
      </c>
      <c r="F152">
        <v>125</v>
      </c>
      <c r="G152" t="s">
        <v>5877</v>
      </c>
      <c r="H152" s="10">
        <v>44378</v>
      </c>
      <c r="I152" s="11">
        <f t="shared" si="10"/>
        <v>1</v>
      </c>
      <c r="J152" s="11">
        <f t="shared" si="11"/>
        <v>0</v>
      </c>
      <c r="K152">
        <f t="shared" si="12"/>
        <v>1</v>
      </c>
    </row>
    <row r="153" spans="5:11" x14ac:dyDescent="0.35">
      <c r="E153" s="9">
        <v>39965</v>
      </c>
      <c r="F153">
        <v>126.7</v>
      </c>
      <c r="G153" t="s">
        <v>5877</v>
      </c>
      <c r="H153" s="10">
        <v>44409</v>
      </c>
      <c r="I153" s="11">
        <f t="shared" si="10"/>
        <v>19</v>
      </c>
      <c r="J153" s="11">
        <f t="shared" si="11"/>
        <v>10</v>
      </c>
      <c r="K153">
        <f t="shared" si="12"/>
        <v>30</v>
      </c>
    </row>
    <row r="154" spans="5:11" x14ac:dyDescent="0.35">
      <c r="E154" s="9">
        <v>39966</v>
      </c>
      <c r="F154">
        <v>88.8</v>
      </c>
      <c r="G154" t="s">
        <v>5877</v>
      </c>
      <c r="H154" s="8">
        <v>44440</v>
      </c>
      <c r="I154">
        <f t="shared" si="10"/>
        <v>30</v>
      </c>
      <c r="J154">
        <f t="shared" si="11"/>
        <v>30</v>
      </c>
      <c r="K154">
        <f t="shared" si="12"/>
        <v>30</v>
      </c>
    </row>
    <row r="155" spans="5:11" x14ac:dyDescent="0.35">
      <c r="E155" s="9">
        <v>39967</v>
      </c>
      <c r="F155">
        <v>91.7</v>
      </c>
      <c r="G155" t="s">
        <v>5877</v>
      </c>
      <c r="H155" s="8">
        <v>44470</v>
      </c>
      <c r="I155">
        <f t="shared" si="10"/>
        <v>31</v>
      </c>
      <c r="J155">
        <f t="shared" si="11"/>
        <v>31</v>
      </c>
      <c r="K155">
        <f t="shared" si="12"/>
        <v>31</v>
      </c>
    </row>
    <row r="156" spans="5:11" x14ac:dyDescent="0.35">
      <c r="E156" s="9">
        <v>39968</v>
      </c>
      <c r="F156">
        <v>92.6</v>
      </c>
      <c r="G156" t="s">
        <v>5877</v>
      </c>
      <c r="H156" s="8">
        <v>44501</v>
      </c>
      <c r="I156">
        <f t="shared" si="10"/>
        <v>30</v>
      </c>
      <c r="J156">
        <f t="shared" si="11"/>
        <v>30</v>
      </c>
      <c r="K156">
        <f t="shared" si="12"/>
        <v>30</v>
      </c>
    </row>
    <row r="157" spans="5:11" x14ac:dyDescent="0.35">
      <c r="E157" s="9">
        <v>39969</v>
      </c>
      <c r="F157">
        <v>91.7</v>
      </c>
      <c r="G157" t="s">
        <v>5877</v>
      </c>
      <c r="H157" s="8">
        <v>44531</v>
      </c>
      <c r="I157">
        <f t="shared" si="10"/>
        <v>31</v>
      </c>
      <c r="J157">
        <f t="shared" si="11"/>
        <v>31</v>
      </c>
      <c r="K157">
        <f t="shared" si="12"/>
        <v>31</v>
      </c>
    </row>
    <row r="158" spans="5:11" x14ac:dyDescent="0.35">
      <c r="E158" s="9">
        <v>39970</v>
      </c>
      <c r="F158">
        <v>90.8</v>
      </c>
      <c r="G158" t="s">
        <v>5877</v>
      </c>
      <c r="H158" s="8">
        <v>44562</v>
      </c>
      <c r="I158">
        <f t="shared" si="10"/>
        <v>31</v>
      </c>
      <c r="J158">
        <f t="shared" si="11"/>
        <v>31</v>
      </c>
      <c r="K158">
        <f t="shared" si="12"/>
        <v>31</v>
      </c>
    </row>
    <row r="159" spans="5:11" x14ac:dyDescent="0.35">
      <c r="E159" s="9">
        <v>39971</v>
      </c>
      <c r="F159">
        <v>92.1</v>
      </c>
      <c r="G159" t="s">
        <v>5877</v>
      </c>
      <c r="H159" s="8">
        <v>44593</v>
      </c>
      <c r="I159">
        <f t="shared" si="10"/>
        <v>28</v>
      </c>
      <c r="J159">
        <f t="shared" si="11"/>
        <v>28</v>
      </c>
      <c r="K159">
        <f t="shared" si="12"/>
        <v>28</v>
      </c>
    </row>
    <row r="160" spans="5:11" x14ac:dyDescent="0.35">
      <c r="E160" s="9">
        <v>39972</v>
      </c>
      <c r="F160">
        <v>94.8</v>
      </c>
      <c r="G160" t="s">
        <v>5877</v>
      </c>
      <c r="H160" s="8">
        <v>44621</v>
      </c>
      <c r="I160">
        <f t="shared" si="10"/>
        <v>31</v>
      </c>
      <c r="J160">
        <f t="shared" si="11"/>
        <v>31</v>
      </c>
      <c r="K160">
        <f t="shared" si="12"/>
        <v>31</v>
      </c>
    </row>
    <row r="161" spans="5:11" x14ac:dyDescent="0.35">
      <c r="E161" s="9">
        <v>39973</v>
      </c>
      <c r="F161">
        <v>95.5</v>
      </c>
      <c r="G161" t="s">
        <v>5877</v>
      </c>
      <c r="H161" s="8">
        <v>44652</v>
      </c>
      <c r="I161">
        <f t="shared" si="10"/>
        <v>30</v>
      </c>
      <c r="J161">
        <f t="shared" si="11"/>
        <v>30</v>
      </c>
      <c r="K161">
        <f t="shared" si="12"/>
        <v>30</v>
      </c>
    </row>
    <row r="162" spans="5:11" x14ac:dyDescent="0.35">
      <c r="E162" s="9">
        <v>39974</v>
      </c>
      <c r="F162">
        <v>94.2</v>
      </c>
      <c r="G162" t="s">
        <v>5877</v>
      </c>
      <c r="H162" s="8">
        <v>44682</v>
      </c>
      <c r="I162">
        <f t="shared" ref="I162:I169" si="13">COUNTIFS(F:F, "&gt;71", E:E, "&gt;="&amp;H162, E:E, "&lt;="&amp;EOMONTH(H162,0))</f>
        <v>31</v>
      </c>
      <c r="J162">
        <f t="shared" ref="J162:J169" si="14">COUNTIFS(F:F, "&gt;90", E:E, "&gt;="&amp;H162, E:E, "&lt;="&amp;EOMONTH(H162,0))</f>
        <v>31</v>
      </c>
      <c r="K162">
        <f t="shared" si="12"/>
        <v>31</v>
      </c>
    </row>
    <row r="163" spans="5:11" x14ac:dyDescent="0.35">
      <c r="E163" s="9">
        <v>39975</v>
      </c>
      <c r="F163">
        <v>92</v>
      </c>
      <c r="G163" t="s">
        <v>5877</v>
      </c>
      <c r="H163" s="10">
        <v>44713</v>
      </c>
      <c r="I163" s="11">
        <f t="shared" si="13"/>
        <v>30</v>
      </c>
      <c r="J163" s="11">
        <f t="shared" si="14"/>
        <v>8</v>
      </c>
      <c r="K163">
        <f t="shared" si="12"/>
        <v>30</v>
      </c>
    </row>
    <row r="164" spans="5:11" x14ac:dyDescent="0.35">
      <c r="E164" s="9">
        <v>39976</v>
      </c>
      <c r="F164">
        <v>90</v>
      </c>
      <c r="G164" t="s">
        <v>5877</v>
      </c>
      <c r="H164" s="10">
        <v>44743</v>
      </c>
      <c r="I164" s="11">
        <f t="shared" si="13"/>
        <v>1</v>
      </c>
      <c r="J164" s="11">
        <f t="shared" si="14"/>
        <v>0</v>
      </c>
      <c r="K164">
        <f t="shared" si="12"/>
        <v>2</v>
      </c>
    </row>
    <row r="165" spans="5:11" x14ac:dyDescent="0.35">
      <c r="E165" s="9">
        <v>39977</v>
      </c>
      <c r="F165">
        <v>88.4</v>
      </c>
      <c r="G165" t="s">
        <v>5877</v>
      </c>
      <c r="H165" s="10">
        <v>44774</v>
      </c>
      <c r="I165" s="11">
        <f t="shared" si="13"/>
        <v>19</v>
      </c>
      <c r="J165" s="11">
        <f t="shared" si="14"/>
        <v>9</v>
      </c>
      <c r="K165">
        <f t="shared" si="12"/>
        <v>31</v>
      </c>
    </row>
    <row r="166" spans="5:11" x14ac:dyDescent="0.35">
      <c r="E166" s="9">
        <v>39978</v>
      </c>
      <c r="F166">
        <v>86.9</v>
      </c>
      <c r="G166" t="s">
        <v>5877</v>
      </c>
      <c r="H166" s="8">
        <v>44805</v>
      </c>
      <c r="I166">
        <f t="shared" si="13"/>
        <v>30</v>
      </c>
      <c r="J166">
        <f t="shared" si="14"/>
        <v>30</v>
      </c>
      <c r="K166">
        <f t="shared" si="12"/>
        <v>30</v>
      </c>
    </row>
    <row r="167" spans="5:11" x14ac:dyDescent="0.35">
      <c r="E167" s="9">
        <v>39979</v>
      </c>
      <c r="F167">
        <v>85.6</v>
      </c>
      <c r="G167" t="s">
        <v>5877</v>
      </c>
      <c r="H167" s="8">
        <v>44835</v>
      </c>
      <c r="I167">
        <f t="shared" si="13"/>
        <v>31</v>
      </c>
      <c r="J167">
        <f t="shared" si="14"/>
        <v>31</v>
      </c>
      <c r="K167">
        <f t="shared" si="12"/>
        <v>31</v>
      </c>
    </row>
    <row r="168" spans="5:11" x14ac:dyDescent="0.35">
      <c r="E168" s="9">
        <v>39980</v>
      </c>
      <c r="F168">
        <v>84.7</v>
      </c>
      <c r="G168" t="s">
        <v>5877</v>
      </c>
      <c r="H168" s="8">
        <v>44866</v>
      </c>
      <c r="I168">
        <f t="shared" si="13"/>
        <v>30</v>
      </c>
      <c r="J168">
        <f t="shared" si="14"/>
        <v>30</v>
      </c>
      <c r="K168">
        <f t="shared" si="12"/>
        <v>30</v>
      </c>
    </row>
    <row r="169" spans="5:11" x14ac:dyDescent="0.35">
      <c r="E169" s="9">
        <v>39981</v>
      </c>
      <c r="F169">
        <v>84.1</v>
      </c>
      <c r="G169" t="s">
        <v>5877</v>
      </c>
      <c r="H169" s="8">
        <v>44896</v>
      </c>
      <c r="I169">
        <f t="shared" si="13"/>
        <v>31</v>
      </c>
      <c r="J169">
        <f t="shared" si="14"/>
        <v>31</v>
      </c>
      <c r="K169">
        <f t="shared" si="12"/>
        <v>31</v>
      </c>
    </row>
    <row r="170" spans="5:11" x14ac:dyDescent="0.35">
      <c r="E170" s="9">
        <v>39982</v>
      </c>
      <c r="F170">
        <v>85.3</v>
      </c>
      <c r="G170" t="s">
        <v>5877</v>
      </c>
    </row>
    <row r="171" spans="5:11" x14ac:dyDescent="0.35">
      <c r="E171" s="9">
        <v>39983</v>
      </c>
      <c r="F171">
        <v>88.8</v>
      </c>
      <c r="G171" t="s">
        <v>5877</v>
      </c>
    </row>
    <row r="172" spans="5:11" x14ac:dyDescent="0.35">
      <c r="E172" s="9">
        <v>39984</v>
      </c>
      <c r="F172">
        <v>92.9</v>
      </c>
      <c r="G172" t="s">
        <v>5877</v>
      </c>
    </row>
    <row r="173" spans="5:11" x14ac:dyDescent="0.35">
      <c r="E173" s="9">
        <v>39985</v>
      </c>
      <c r="F173">
        <v>93.7</v>
      </c>
      <c r="G173" t="s">
        <v>5877</v>
      </c>
    </row>
    <row r="174" spans="5:11" x14ac:dyDescent="0.35">
      <c r="E174" s="9">
        <v>39986</v>
      </c>
      <c r="F174">
        <v>92.1</v>
      </c>
      <c r="G174" t="s">
        <v>5877</v>
      </c>
    </row>
    <row r="175" spans="5:11" x14ac:dyDescent="0.35">
      <c r="E175" s="9">
        <v>39987</v>
      </c>
      <c r="F175">
        <v>89.4</v>
      </c>
      <c r="G175" t="s">
        <v>5877</v>
      </c>
    </row>
    <row r="176" spans="5:11" x14ac:dyDescent="0.35">
      <c r="E176" s="9">
        <v>39988</v>
      </c>
      <c r="F176">
        <v>87</v>
      </c>
      <c r="G176" t="s">
        <v>5877</v>
      </c>
    </row>
    <row r="177" spans="5:7" x14ac:dyDescent="0.35">
      <c r="E177" s="9">
        <v>39989</v>
      </c>
      <c r="F177">
        <v>85.8</v>
      </c>
      <c r="G177" t="s">
        <v>5877</v>
      </c>
    </row>
    <row r="178" spans="5:7" x14ac:dyDescent="0.35">
      <c r="E178" s="9">
        <v>39990</v>
      </c>
      <c r="F178">
        <v>84.9</v>
      </c>
      <c r="G178" t="s">
        <v>5877</v>
      </c>
    </row>
    <row r="179" spans="5:7" x14ac:dyDescent="0.35">
      <c r="E179" s="9">
        <v>39991</v>
      </c>
      <c r="F179">
        <v>84.3</v>
      </c>
      <c r="G179" t="s">
        <v>5877</v>
      </c>
    </row>
    <row r="180" spans="5:7" x14ac:dyDescent="0.35">
      <c r="E180" s="9">
        <v>39992</v>
      </c>
      <c r="F180">
        <v>83.8</v>
      </c>
      <c r="G180" t="s">
        <v>5877</v>
      </c>
    </row>
    <row r="181" spans="5:7" x14ac:dyDescent="0.35">
      <c r="E181" s="9">
        <v>39993</v>
      </c>
      <c r="F181">
        <v>83.6</v>
      </c>
      <c r="G181" t="s">
        <v>5877</v>
      </c>
    </row>
    <row r="182" spans="5:7" x14ac:dyDescent="0.35">
      <c r="E182" s="9">
        <v>39994</v>
      </c>
      <c r="F182">
        <v>83.8</v>
      </c>
      <c r="G182" t="s">
        <v>5877</v>
      </c>
    </row>
    <row r="183" spans="5:7" x14ac:dyDescent="0.35">
      <c r="E183" s="9">
        <v>39995</v>
      </c>
      <c r="F183">
        <v>84.4</v>
      </c>
      <c r="G183" t="s">
        <v>5877</v>
      </c>
    </row>
    <row r="184" spans="5:7" x14ac:dyDescent="0.35">
      <c r="E184" s="9">
        <v>39996</v>
      </c>
      <c r="F184">
        <v>62</v>
      </c>
      <c r="G184" t="s">
        <v>5877</v>
      </c>
    </row>
    <row r="185" spans="5:7" x14ac:dyDescent="0.35">
      <c r="E185" s="9">
        <v>39997</v>
      </c>
      <c r="F185">
        <v>62.1</v>
      </c>
      <c r="G185" t="s">
        <v>5877</v>
      </c>
    </row>
    <row r="186" spans="5:7" x14ac:dyDescent="0.35">
      <c r="E186" s="9">
        <v>39998</v>
      </c>
      <c r="F186">
        <v>61.7</v>
      </c>
      <c r="G186" t="s">
        <v>5877</v>
      </c>
    </row>
    <row r="187" spans="5:7" x14ac:dyDescent="0.35">
      <c r="E187" s="9">
        <v>39999</v>
      </c>
      <c r="F187">
        <v>61.2</v>
      </c>
      <c r="G187" t="s">
        <v>5877</v>
      </c>
    </row>
    <row r="188" spans="5:7" x14ac:dyDescent="0.35">
      <c r="E188" s="9">
        <v>40000</v>
      </c>
      <c r="F188">
        <v>60.8</v>
      </c>
      <c r="G188" t="s">
        <v>5877</v>
      </c>
    </row>
    <row r="189" spans="5:7" x14ac:dyDescent="0.35">
      <c r="E189" s="9">
        <v>40001</v>
      </c>
      <c r="F189">
        <v>60.7</v>
      </c>
      <c r="G189" t="s">
        <v>5877</v>
      </c>
    </row>
    <row r="190" spans="5:7" x14ac:dyDescent="0.35">
      <c r="E190" s="9">
        <v>40002</v>
      </c>
      <c r="F190">
        <v>60.7</v>
      </c>
      <c r="G190" t="s">
        <v>5877</v>
      </c>
    </row>
    <row r="191" spans="5:7" x14ac:dyDescent="0.35">
      <c r="E191" s="9">
        <v>40003</v>
      </c>
      <c r="F191">
        <v>60.6</v>
      </c>
      <c r="G191" t="s">
        <v>5877</v>
      </c>
    </row>
    <row r="192" spans="5:7" x14ac:dyDescent="0.35">
      <c r="E192" s="9">
        <v>40004</v>
      </c>
      <c r="F192">
        <v>60.5</v>
      </c>
      <c r="G192" t="s">
        <v>5877</v>
      </c>
    </row>
    <row r="193" spans="5:7" x14ac:dyDescent="0.35">
      <c r="E193" s="9">
        <v>40005</v>
      </c>
      <c r="F193">
        <v>60.3</v>
      </c>
      <c r="G193" t="s">
        <v>5877</v>
      </c>
    </row>
    <row r="194" spans="5:7" x14ac:dyDescent="0.35">
      <c r="E194" s="9">
        <v>40006</v>
      </c>
      <c r="F194">
        <v>60.2</v>
      </c>
      <c r="G194" t="s">
        <v>5877</v>
      </c>
    </row>
    <row r="195" spans="5:7" x14ac:dyDescent="0.35">
      <c r="E195" s="9">
        <v>40007</v>
      </c>
      <c r="F195">
        <v>60.3</v>
      </c>
      <c r="G195" t="s">
        <v>5877</v>
      </c>
    </row>
    <row r="196" spans="5:7" x14ac:dyDescent="0.35">
      <c r="E196" s="9">
        <v>40008</v>
      </c>
      <c r="F196">
        <v>60.7</v>
      </c>
      <c r="G196" t="s">
        <v>5877</v>
      </c>
    </row>
    <row r="197" spans="5:7" x14ac:dyDescent="0.35">
      <c r="E197" s="9">
        <v>40009</v>
      </c>
      <c r="F197">
        <v>61.8</v>
      </c>
      <c r="G197" t="s">
        <v>5877</v>
      </c>
    </row>
    <row r="198" spans="5:7" x14ac:dyDescent="0.35">
      <c r="E198" s="9">
        <v>40010</v>
      </c>
      <c r="F198">
        <v>63.7</v>
      </c>
      <c r="G198" t="s">
        <v>5877</v>
      </c>
    </row>
    <row r="199" spans="5:7" x14ac:dyDescent="0.35">
      <c r="E199" s="9">
        <v>40011</v>
      </c>
      <c r="F199">
        <v>65.900000000000006</v>
      </c>
      <c r="G199" t="s">
        <v>5877</v>
      </c>
    </row>
    <row r="200" spans="5:7" x14ac:dyDescent="0.35">
      <c r="E200" s="9">
        <v>40012</v>
      </c>
      <c r="F200">
        <v>66.8</v>
      </c>
      <c r="G200" t="s">
        <v>5877</v>
      </c>
    </row>
    <row r="201" spans="5:7" x14ac:dyDescent="0.35">
      <c r="E201" s="9">
        <v>40013</v>
      </c>
      <c r="F201">
        <v>66.2</v>
      </c>
      <c r="G201" t="s">
        <v>5877</v>
      </c>
    </row>
    <row r="202" spans="5:7" x14ac:dyDescent="0.35">
      <c r="E202" s="9">
        <v>40014</v>
      </c>
      <c r="F202">
        <v>64.7</v>
      </c>
      <c r="G202" t="s">
        <v>5877</v>
      </c>
    </row>
    <row r="203" spans="5:7" x14ac:dyDescent="0.35">
      <c r="E203" s="9">
        <v>40015</v>
      </c>
      <c r="F203">
        <v>63.1</v>
      </c>
      <c r="G203" t="s">
        <v>5877</v>
      </c>
    </row>
    <row r="204" spans="5:7" x14ac:dyDescent="0.35">
      <c r="E204" s="9">
        <v>40016</v>
      </c>
      <c r="F204">
        <v>62</v>
      </c>
      <c r="G204" t="s">
        <v>5877</v>
      </c>
    </row>
    <row r="205" spans="5:7" x14ac:dyDescent="0.35">
      <c r="E205" s="9">
        <v>40017</v>
      </c>
      <c r="F205">
        <v>61.3</v>
      </c>
      <c r="G205" t="s">
        <v>5877</v>
      </c>
    </row>
    <row r="206" spans="5:7" x14ac:dyDescent="0.35">
      <c r="E206" s="9">
        <v>40018</v>
      </c>
      <c r="F206">
        <v>60.9</v>
      </c>
      <c r="G206" t="s">
        <v>5877</v>
      </c>
    </row>
    <row r="207" spans="5:7" x14ac:dyDescent="0.35">
      <c r="E207" s="9">
        <v>40019</v>
      </c>
      <c r="F207">
        <v>60.6</v>
      </c>
      <c r="G207" t="s">
        <v>5877</v>
      </c>
    </row>
    <row r="208" spans="5:7" x14ac:dyDescent="0.35">
      <c r="E208" s="9">
        <v>40020</v>
      </c>
      <c r="F208">
        <v>61.7</v>
      </c>
      <c r="G208" t="s">
        <v>5877</v>
      </c>
    </row>
    <row r="209" spans="5:7" x14ac:dyDescent="0.35">
      <c r="E209" s="9">
        <v>40021</v>
      </c>
      <c r="F209">
        <v>64.599999999999994</v>
      </c>
      <c r="G209" t="s">
        <v>5877</v>
      </c>
    </row>
    <row r="210" spans="5:7" x14ac:dyDescent="0.35">
      <c r="E210" s="9">
        <v>40022</v>
      </c>
      <c r="F210">
        <v>68</v>
      </c>
      <c r="G210" t="s">
        <v>5877</v>
      </c>
    </row>
    <row r="211" spans="5:7" x14ac:dyDescent="0.35">
      <c r="E211" s="9">
        <v>40023</v>
      </c>
      <c r="F211">
        <v>68.599999999999994</v>
      </c>
      <c r="G211" t="s">
        <v>5877</v>
      </c>
    </row>
    <row r="212" spans="5:7" x14ac:dyDescent="0.35">
      <c r="E212" s="9">
        <v>40024</v>
      </c>
      <c r="F212">
        <v>67.3</v>
      </c>
      <c r="G212" t="s">
        <v>5877</v>
      </c>
    </row>
    <row r="213" spans="5:7" x14ac:dyDescent="0.35">
      <c r="E213" s="9">
        <v>40025</v>
      </c>
      <c r="F213">
        <v>65.099999999999994</v>
      </c>
      <c r="G213" t="s">
        <v>5877</v>
      </c>
    </row>
    <row r="214" spans="5:7" x14ac:dyDescent="0.35">
      <c r="E214" s="9">
        <v>40026</v>
      </c>
      <c r="F214">
        <v>63.2</v>
      </c>
      <c r="G214" t="s">
        <v>5877</v>
      </c>
    </row>
    <row r="215" spans="5:7" x14ac:dyDescent="0.35">
      <c r="E215" s="9">
        <v>40027</v>
      </c>
      <c r="F215">
        <v>69.7</v>
      </c>
      <c r="G215" t="s">
        <v>5877</v>
      </c>
    </row>
    <row r="216" spans="5:7" x14ac:dyDescent="0.35">
      <c r="E216" s="9">
        <v>40028</v>
      </c>
      <c r="F216">
        <v>75.2</v>
      </c>
      <c r="G216" t="s">
        <v>5877</v>
      </c>
    </row>
    <row r="217" spans="5:7" x14ac:dyDescent="0.35">
      <c r="E217" s="9">
        <v>40029</v>
      </c>
      <c r="F217">
        <v>81.7</v>
      </c>
      <c r="G217" t="s">
        <v>5877</v>
      </c>
    </row>
    <row r="218" spans="5:7" x14ac:dyDescent="0.35">
      <c r="E218" s="9">
        <v>40030</v>
      </c>
      <c r="F218">
        <v>83.3</v>
      </c>
      <c r="G218" t="s">
        <v>5877</v>
      </c>
    </row>
    <row r="219" spans="5:7" x14ac:dyDescent="0.35">
      <c r="E219" s="9">
        <v>40031</v>
      </c>
      <c r="F219">
        <v>81.599999999999994</v>
      </c>
      <c r="G219" t="s">
        <v>5877</v>
      </c>
    </row>
    <row r="220" spans="5:7" x14ac:dyDescent="0.35">
      <c r="E220" s="9">
        <v>40032</v>
      </c>
      <c r="F220">
        <v>78.400000000000006</v>
      </c>
      <c r="G220" t="s">
        <v>5877</v>
      </c>
    </row>
    <row r="221" spans="5:7" x14ac:dyDescent="0.35">
      <c r="E221" s="9">
        <v>40033</v>
      </c>
      <c r="F221">
        <v>75</v>
      </c>
      <c r="G221" t="s">
        <v>5877</v>
      </c>
    </row>
    <row r="222" spans="5:7" x14ac:dyDescent="0.35">
      <c r="E222" s="9">
        <v>40034</v>
      </c>
      <c r="F222">
        <v>72.7</v>
      </c>
      <c r="G222" t="s">
        <v>5877</v>
      </c>
    </row>
    <row r="223" spans="5:7" x14ac:dyDescent="0.35">
      <c r="E223" s="9">
        <v>40035</v>
      </c>
      <c r="F223">
        <v>70.599999999999994</v>
      </c>
      <c r="G223" t="s">
        <v>5877</v>
      </c>
    </row>
    <row r="224" spans="5:7" x14ac:dyDescent="0.35">
      <c r="E224" s="9">
        <v>40036</v>
      </c>
      <c r="F224">
        <v>68.8</v>
      </c>
      <c r="G224" t="s">
        <v>5877</v>
      </c>
    </row>
    <row r="225" spans="5:7" x14ac:dyDescent="0.35">
      <c r="E225" s="9">
        <v>40037</v>
      </c>
      <c r="F225">
        <v>70.099999999999994</v>
      </c>
      <c r="G225" t="s">
        <v>5877</v>
      </c>
    </row>
    <row r="226" spans="5:7" x14ac:dyDescent="0.35">
      <c r="E226" s="9">
        <v>40038</v>
      </c>
      <c r="F226">
        <v>75.3</v>
      </c>
      <c r="G226" t="s">
        <v>5877</v>
      </c>
    </row>
    <row r="227" spans="5:7" x14ac:dyDescent="0.35">
      <c r="E227" s="9">
        <v>40039</v>
      </c>
      <c r="F227">
        <v>81.8</v>
      </c>
      <c r="G227" t="s">
        <v>5877</v>
      </c>
    </row>
    <row r="228" spans="5:7" x14ac:dyDescent="0.35">
      <c r="E228" s="9">
        <v>40040</v>
      </c>
      <c r="F228">
        <v>86.6</v>
      </c>
      <c r="G228" t="s">
        <v>5877</v>
      </c>
    </row>
    <row r="229" spans="5:7" x14ac:dyDescent="0.35">
      <c r="E229" s="9">
        <v>40041</v>
      </c>
      <c r="F229">
        <v>91.6</v>
      </c>
      <c r="G229" t="s">
        <v>5877</v>
      </c>
    </row>
    <row r="230" spans="5:7" x14ac:dyDescent="0.35">
      <c r="E230" s="9">
        <v>40042</v>
      </c>
      <c r="F230">
        <v>95.6</v>
      </c>
      <c r="G230" t="s">
        <v>5877</v>
      </c>
    </row>
    <row r="231" spans="5:7" x14ac:dyDescent="0.35">
      <c r="E231" s="9">
        <v>40043</v>
      </c>
      <c r="F231">
        <v>93.2</v>
      </c>
      <c r="G231" t="s">
        <v>5877</v>
      </c>
    </row>
    <row r="232" spans="5:7" x14ac:dyDescent="0.35">
      <c r="E232" s="9">
        <v>40044</v>
      </c>
      <c r="F232">
        <v>87.8</v>
      </c>
      <c r="G232" t="s">
        <v>5877</v>
      </c>
    </row>
    <row r="233" spans="5:7" x14ac:dyDescent="0.35">
      <c r="E233" s="9">
        <v>40045</v>
      </c>
      <c r="F233">
        <v>80.900000000000006</v>
      </c>
      <c r="G233" t="s">
        <v>5877</v>
      </c>
    </row>
    <row r="234" spans="5:7" x14ac:dyDescent="0.35">
      <c r="E234" s="9">
        <v>40046</v>
      </c>
      <c r="F234">
        <v>77.900000000000006</v>
      </c>
      <c r="G234" t="s">
        <v>5877</v>
      </c>
    </row>
    <row r="235" spans="5:7" x14ac:dyDescent="0.35">
      <c r="E235" s="9">
        <v>40047</v>
      </c>
      <c r="F235">
        <v>83.7</v>
      </c>
      <c r="G235" t="s">
        <v>5877</v>
      </c>
    </row>
    <row r="236" spans="5:7" x14ac:dyDescent="0.35">
      <c r="E236" s="9">
        <v>40048</v>
      </c>
      <c r="F236">
        <v>94.8</v>
      </c>
      <c r="G236" t="s">
        <v>5877</v>
      </c>
    </row>
    <row r="237" spans="5:7" x14ac:dyDescent="0.35">
      <c r="E237" s="9">
        <v>40049</v>
      </c>
      <c r="F237">
        <v>101.3</v>
      </c>
      <c r="G237" t="s">
        <v>5877</v>
      </c>
    </row>
    <row r="238" spans="5:7" x14ac:dyDescent="0.35">
      <c r="E238" s="9">
        <v>40050</v>
      </c>
      <c r="F238">
        <v>99.1</v>
      </c>
      <c r="G238" t="s">
        <v>5877</v>
      </c>
    </row>
    <row r="239" spans="5:7" x14ac:dyDescent="0.35">
      <c r="E239" s="9">
        <v>40051</v>
      </c>
      <c r="F239">
        <v>91.5</v>
      </c>
      <c r="G239" t="s">
        <v>5877</v>
      </c>
    </row>
    <row r="240" spans="5:7" x14ac:dyDescent="0.35">
      <c r="E240" s="9">
        <v>40052</v>
      </c>
      <c r="F240">
        <v>83.3</v>
      </c>
      <c r="G240" t="s">
        <v>5877</v>
      </c>
    </row>
    <row r="241" spans="5:7" x14ac:dyDescent="0.35">
      <c r="E241" s="9">
        <v>40053</v>
      </c>
      <c r="F241">
        <v>78.099999999999994</v>
      </c>
      <c r="G241" t="s">
        <v>5877</v>
      </c>
    </row>
    <row r="242" spans="5:7" x14ac:dyDescent="0.35">
      <c r="E242" s="9">
        <v>40054</v>
      </c>
      <c r="F242">
        <v>76.400000000000006</v>
      </c>
      <c r="G242" t="s">
        <v>5877</v>
      </c>
    </row>
    <row r="243" spans="5:7" x14ac:dyDescent="0.35">
      <c r="E243" s="9">
        <v>40055</v>
      </c>
      <c r="F243">
        <v>77</v>
      </c>
      <c r="G243" t="s">
        <v>5877</v>
      </c>
    </row>
    <row r="244" spans="5:7" x14ac:dyDescent="0.35">
      <c r="E244" s="9">
        <v>40056</v>
      </c>
      <c r="F244">
        <v>81.7</v>
      </c>
      <c r="G244" t="s">
        <v>5877</v>
      </c>
    </row>
    <row r="245" spans="5:7" x14ac:dyDescent="0.35">
      <c r="E245" s="9">
        <v>40057</v>
      </c>
      <c r="F245">
        <v>89.1</v>
      </c>
      <c r="G245" t="s">
        <v>5877</v>
      </c>
    </row>
    <row r="246" spans="5:7" x14ac:dyDescent="0.35">
      <c r="E246" s="9">
        <v>40058</v>
      </c>
      <c r="F246">
        <v>121.4</v>
      </c>
      <c r="G246" t="s">
        <v>5877</v>
      </c>
    </row>
    <row r="247" spans="5:7" x14ac:dyDescent="0.35">
      <c r="E247" s="9">
        <v>40059</v>
      </c>
      <c r="F247">
        <v>120.6</v>
      </c>
      <c r="G247" t="s">
        <v>5877</v>
      </c>
    </row>
    <row r="248" spans="5:7" x14ac:dyDescent="0.35">
      <c r="E248" s="9">
        <v>40060</v>
      </c>
      <c r="F248">
        <v>115.2</v>
      </c>
      <c r="G248" t="s">
        <v>5877</v>
      </c>
    </row>
    <row r="249" spans="5:7" x14ac:dyDescent="0.35">
      <c r="E249" s="9">
        <v>40061</v>
      </c>
      <c r="F249">
        <v>110.9</v>
      </c>
      <c r="G249" t="s">
        <v>5877</v>
      </c>
    </row>
    <row r="250" spans="5:7" x14ac:dyDescent="0.35">
      <c r="E250" s="9">
        <v>40062</v>
      </c>
      <c r="F250">
        <v>114.8</v>
      </c>
      <c r="G250" t="s">
        <v>5877</v>
      </c>
    </row>
    <row r="251" spans="5:7" x14ac:dyDescent="0.35">
      <c r="E251" s="9">
        <v>40063</v>
      </c>
      <c r="F251">
        <v>126.3</v>
      </c>
      <c r="G251" t="s">
        <v>5877</v>
      </c>
    </row>
    <row r="252" spans="5:7" x14ac:dyDescent="0.35">
      <c r="E252" s="9">
        <v>40064</v>
      </c>
      <c r="F252">
        <v>138</v>
      </c>
      <c r="G252" t="s">
        <v>5877</v>
      </c>
    </row>
    <row r="253" spans="5:7" x14ac:dyDescent="0.35">
      <c r="E253" s="9">
        <v>40065</v>
      </c>
      <c r="F253">
        <v>144.4</v>
      </c>
      <c r="G253" t="s">
        <v>5877</v>
      </c>
    </row>
    <row r="254" spans="5:7" x14ac:dyDescent="0.35">
      <c r="E254" s="9">
        <v>40066</v>
      </c>
      <c r="F254">
        <v>145.5</v>
      </c>
      <c r="G254" t="s">
        <v>5877</v>
      </c>
    </row>
    <row r="255" spans="5:7" x14ac:dyDescent="0.35">
      <c r="E255" s="9">
        <v>40067</v>
      </c>
      <c r="F255">
        <v>142.1</v>
      </c>
      <c r="G255" t="s">
        <v>5877</v>
      </c>
    </row>
    <row r="256" spans="5:7" x14ac:dyDescent="0.35">
      <c r="E256" s="9">
        <v>40068</v>
      </c>
      <c r="F256">
        <v>141.9</v>
      </c>
      <c r="G256" t="s">
        <v>5877</v>
      </c>
    </row>
    <row r="257" spans="5:7" x14ac:dyDescent="0.35">
      <c r="E257" s="9">
        <v>40069</v>
      </c>
      <c r="F257">
        <v>147.5</v>
      </c>
      <c r="G257" t="s">
        <v>5877</v>
      </c>
    </row>
    <row r="258" spans="5:7" x14ac:dyDescent="0.35">
      <c r="E258" s="9">
        <v>40070</v>
      </c>
      <c r="F258">
        <v>152.80000000000001</v>
      </c>
      <c r="G258" t="s">
        <v>5877</v>
      </c>
    </row>
    <row r="259" spans="5:7" x14ac:dyDescent="0.35">
      <c r="E259" s="9">
        <v>40071</v>
      </c>
      <c r="F259">
        <v>159.6</v>
      </c>
      <c r="G259" t="s">
        <v>5877</v>
      </c>
    </row>
    <row r="260" spans="5:7" x14ac:dyDescent="0.35">
      <c r="E260" s="9">
        <v>40072</v>
      </c>
      <c r="F260">
        <v>161.69999999999999</v>
      </c>
      <c r="G260" t="s">
        <v>5877</v>
      </c>
    </row>
    <row r="261" spans="5:7" x14ac:dyDescent="0.35">
      <c r="E261" s="9">
        <v>40073</v>
      </c>
      <c r="F261">
        <v>162.69999999999999</v>
      </c>
      <c r="G261" t="s">
        <v>5877</v>
      </c>
    </row>
    <row r="262" spans="5:7" x14ac:dyDescent="0.35">
      <c r="E262" s="9">
        <v>40074</v>
      </c>
      <c r="F262">
        <v>165.3</v>
      </c>
      <c r="G262" t="s">
        <v>5877</v>
      </c>
    </row>
    <row r="263" spans="5:7" x14ac:dyDescent="0.35">
      <c r="E263" s="9">
        <v>40075</v>
      </c>
      <c r="F263">
        <v>166.3</v>
      </c>
      <c r="G263" t="s">
        <v>5877</v>
      </c>
    </row>
    <row r="264" spans="5:7" x14ac:dyDescent="0.35">
      <c r="E264" s="9">
        <v>40076</v>
      </c>
      <c r="F264">
        <v>166.8</v>
      </c>
      <c r="G264" t="s">
        <v>5877</v>
      </c>
    </row>
    <row r="265" spans="5:7" x14ac:dyDescent="0.35">
      <c r="E265" s="9">
        <v>40077</v>
      </c>
      <c r="F265">
        <v>168.7</v>
      </c>
      <c r="G265" t="s">
        <v>5877</v>
      </c>
    </row>
    <row r="266" spans="5:7" x14ac:dyDescent="0.35">
      <c r="E266" s="9">
        <v>40078</v>
      </c>
      <c r="F266">
        <v>167.6</v>
      </c>
      <c r="G266" t="s">
        <v>5877</v>
      </c>
    </row>
    <row r="267" spans="5:7" x14ac:dyDescent="0.35">
      <c r="E267" s="9">
        <v>40079</v>
      </c>
      <c r="F267">
        <v>162.80000000000001</v>
      </c>
      <c r="G267" t="s">
        <v>5877</v>
      </c>
    </row>
    <row r="268" spans="5:7" x14ac:dyDescent="0.35">
      <c r="E268" s="9">
        <v>40080</v>
      </c>
      <c r="F268">
        <v>155.6</v>
      </c>
      <c r="G268" t="s">
        <v>5877</v>
      </c>
    </row>
    <row r="269" spans="5:7" x14ac:dyDescent="0.35">
      <c r="E269" s="9">
        <v>40081</v>
      </c>
      <c r="F269">
        <v>145</v>
      </c>
      <c r="G269" t="s">
        <v>5877</v>
      </c>
    </row>
    <row r="270" spans="5:7" x14ac:dyDescent="0.35">
      <c r="E270" s="9">
        <v>40082</v>
      </c>
      <c r="F270">
        <v>141.4</v>
      </c>
      <c r="G270" t="s">
        <v>5877</v>
      </c>
    </row>
    <row r="271" spans="5:7" x14ac:dyDescent="0.35">
      <c r="E271" s="9">
        <v>40083</v>
      </c>
      <c r="F271">
        <v>145.5</v>
      </c>
      <c r="G271" t="s">
        <v>5877</v>
      </c>
    </row>
    <row r="272" spans="5:7" x14ac:dyDescent="0.35">
      <c r="E272" s="9">
        <v>40084</v>
      </c>
      <c r="F272">
        <v>150.9</v>
      </c>
      <c r="G272" t="s">
        <v>5877</v>
      </c>
    </row>
    <row r="273" spans="5:7" x14ac:dyDescent="0.35">
      <c r="E273" s="9">
        <v>40085</v>
      </c>
      <c r="F273">
        <v>157.1</v>
      </c>
      <c r="G273" t="s">
        <v>5877</v>
      </c>
    </row>
    <row r="274" spans="5:7" x14ac:dyDescent="0.35">
      <c r="E274" s="9">
        <v>40086</v>
      </c>
      <c r="F274">
        <v>165.4</v>
      </c>
      <c r="G274" t="s">
        <v>5877</v>
      </c>
    </row>
    <row r="275" spans="5:7" x14ac:dyDescent="0.35">
      <c r="E275" s="9">
        <v>40087</v>
      </c>
      <c r="F275">
        <v>168.1</v>
      </c>
      <c r="G275" t="s">
        <v>5877</v>
      </c>
    </row>
    <row r="276" spans="5:7" x14ac:dyDescent="0.35">
      <c r="E276" s="9">
        <v>40088</v>
      </c>
      <c r="F276">
        <v>179.2</v>
      </c>
      <c r="G276" t="s">
        <v>5877</v>
      </c>
    </row>
    <row r="277" spans="5:7" x14ac:dyDescent="0.35">
      <c r="E277" s="9">
        <v>40089</v>
      </c>
      <c r="F277">
        <v>176</v>
      </c>
      <c r="G277" t="s">
        <v>5877</v>
      </c>
    </row>
    <row r="278" spans="5:7" x14ac:dyDescent="0.35">
      <c r="E278" s="9">
        <v>40090</v>
      </c>
      <c r="F278">
        <v>177.2</v>
      </c>
      <c r="G278" t="s">
        <v>5877</v>
      </c>
    </row>
    <row r="279" spans="5:7" x14ac:dyDescent="0.35">
      <c r="E279" s="9">
        <v>40091</v>
      </c>
      <c r="F279">
        <v>183.4</v>
      </c>
      <c r="G279" t="s">
        <v>5877</v>
      </c>
    </row>
    <row r="280" spans="5:7" x14ac:dyDescent="0.35">
      <c r="E280" s="9">
        <v>40092</v>
      </c>
      <c r="F280">
        <v>191.2</v>
      </c>
      <c r="G280" t="s">
        <v>5877</v>
      </c>
    </row>
    <row r="281" spans="5:7" x14ac:dyDescent="0.35">
      <c r="E281" s="9">
        <v>40093</v>
      </c>
      <c r="F281">
        <v>197.3</v>
      </c>
      <c r="G281" t="s">
        <v>5877</v>
      </c>
    </row>
    <row r="282" spans="5:7" x14ac:dyDescent="0.35">
      <c r="E282" s="9">
        <v>40094</v>
      </c>
      <c r="F282">
        <v>194.9</v>
      </c>
      <c r="G282" t="s">
        <v>5877</v>
      </c>
    </row>
    <row r="283" spans="5:7" x14ac:dyDescent="0.35">
      <c r="E283" s="9">
        <v>40095</v>
      </c>
      <c r="F283">
        <v>194.1</v>
      </c>
      <c r="G283" t="s">
        <v>5877</v>
      </c>
    </row>
    <row r="284" spans="5:7" x14ac:dyDescent="0.35">
      <c r="E284" s="9">
        <v>40096</v>
      </c>
      <c r="F284">
        <v>194.3</v>
      </c>
      <c r="G284" t="s">
        <v>5877</v>
      </c>
    </row>
    <row r="285" spans="5:7" x14ac:dyDescent="0.35">
      <c r="E285" s="9">
        <v>40097</v>
      </c>
      <c r="F285">
        <v>190.9</v>
      </c>
      <c r="G285" t="s">
        <v>5877</v>
      </c>
    </row>
    <row r="286" spans="5:7" x14ac:dyDescent="0.35">
      <c r="E286" s="9">
        <v>40098</v>
      </c>
      <c r="F286">
        <v>191</v>
      </c>
      <c r="G286" t="s">
        <v>5877</v>
      </c>
    </row>
    <row r="287" spans="5:7" x14ac:dyDescent="0.35">
      <c r="E287" s="9">
        <v>40099</v>
      </c>
      <c r="F287">
        <v>194.3</v>
      </c>
      <c r="G287" t="s">
        <v>5877</v>
      </c>
    </row>
    <row r="288" spans="5:7" x14ac:dyDescent="0.35">
      <c r="E288" s="9">
        <v>40100</v>
      </c>
      <c r="F288">
        <v>197.3</v>
      </c>
      <c r="G288" t="s">
        <v>5877</v>
      </c>
    </row>
    <row r="289" spans="5:7" x14ac:dyDescent="0.35">
      <c r="E289" s="9">
        <v>40101</v>
      </c>
      <c r="F289">
        <v>194.8</v>
      </c>
      <c r="G289" t="s">
        <v>5877</v>
      </c>
    </row>
    <row r="290" spans="5:7" x14ac:dyDescent="0.35">
      <c r="E290" s="9">
        <v>40102</v>
      </c>
      <c r="F290">
        <v>190.7</v>
      </c>
      <c r="G290" t="s">
        <v>5877</v>
      </c>
    </row>
    <row r="291" spans="5:7" x14ac:dyDescent="0.35">
      <c r="E291" s="9">
        <v>40103</v>
      </c>
      <c r="F291">
        <v>192.2</v>
      </c>
      <c r="G291" t="s">
        <v>5877</v>
      </c>
    </row>
    <row r="292" spans="5:7" x14ac:dyDescent="0.35">
      <c r="E292" s="9">
        <v>40104</v>
      </c>
      <c r="F292">
        <v>204.4</v>
      </c>
      <c r="G292" t="s">
        <v>5877</v>
      </c>
    </row>
    <row r="293" spans="5:7" x14ac:dyDescent="0.35">
      <c r="E293" s="9">
        <v>40105</v>
      </c>
      <c r="F293">
        <v>216.8</v>
      </c>
      <c r="G293" t="s">
        <v>5877</v>
      </c>
    </row>
    <row r="294" spans="5:7" x14ac:dyDescent="0.35">
      <c r="E294" s="9">
        <v>40106</v>
      </c>
      <c r="F294">
        <v>217</v>
      </c>
      <c r="G294" t="s">
        <v>5877</v>
      </c>
    </row>
    <row r="295" spans="5:7" x14ac:dyDescent="0.35">
      <c r="E295" s="9">
        <v>40107</v>
      </c>
      <c r="F295">
        <v>207.9</v>
      </c>
      <c r="G295" t="s">
        <v>5877</v>
      </c>
    </row>
    <row r="296" spans="5:7" x14ac:dyDescent="0.35">
      <c r="E296" s="9">
        <v>40108</v>
      </c>
      <c r="F296">
        <v>196.5</v>
      </c>
      <c r="G296" t="s">
        <v>5877</v>
      </c>
    </row>
    <row r="297" spans="5:7" x14ac:dyDescent="0.35">
      <c r="E297" s="9">
        <v>40109</v>
      </c>
      <c r="F297">
        <v>189.3</v>
      </c>
      <c r="G297" t="s">
        <v>5877</v>
      </c>
    </row>
    <row r="298" spans="5:7" x14ac:dyDescent="0.35">
      <c r="E298" s="9">
        <v>40110</v>
      </c>
      <c r="F298">
        <v>192.2</v>
      </c>
      <c r="G298" t="s">
        <v>5877</v>
      </c>
    </row>
    <row r="299" spans="5:7" x14ac:dyDescent="0.35">
      <c r="E299" s="9">
        <v>40111</v>
      </c>
      <c r="F299">
        <v>197</v>
      </c>
      <c r="G299" t="s">
        <v>5877</v>
      </c>
    </row>
    <row r="300" spans="5:7" x14ac:dyDescent="0.35">
      <c r="E300" s="9">
        <v>40112</v>
      </c>
      <c r="F300">
        <v>200.6</v>
      </c>
      <c r="G300" t="s">
        <v>5877</v>
      </c>
    </row>
    <row r="301" spans="5:7" x14ac:dyDescent="0.35">
      <c r="E301" s="9">
        <v>40113</v>
      </c>
      <c r="F301">
        <v>206.2</v>
      </c>
      <c r="G301" t="s">
        <v>5877</v>
      </c>
    </row>
    <row r="302" spans="5:7" x14ac:dyDescent="0.35">
      <c r="E302" s="9">
        <v>40114</v>
      </c>
      <c r="F302">
        <v>213.5</v>
      </c>
      <c r="G302" t="s">
        <v>5877</v>
      </c>
    </row>
    <row r="303" spans="5:7" x14ac:dyDescent="0.35">
      <c r="E303" s="9">
        <v>40115</v>
      </c>
      <c r="F303">
        <v>215.5</v>
      </c>
      <c r="G303" t="s">
        <v>5877</v>
      </c>
    </row>
    <row r="304" spans="5:7" x14ac:dyDescent="0.35">
      <c r="E304" s="9">
        <v>40116</v>
      </c>
      <c r="F304">
        <v>216</v>
      </c>
      <c r="G304" t="s">
        <v>5877</v>
      </c>
    </row>
    <row r="305" spans="5:7" x14ac:dyDescent="0.35">
      <c r="E305" s="9">
        <v>40117</v>
      </c>
      <c r="F305">
        <v>218.7</v>
      </c>
      <c r="G305" t="s">
        <v>5877</v>
      </c>
    </row>
    <row r="306" spans="5:7" x14ac:dyDescent="0.35">
      <c r="E306" s="9">
        <v>40118</v>
      </c>
      <c r="F306">
        <v>221.1</v>
      </c>
      <c r="G306" t="s">
        <v>5877</v>
      </c>
    </row>
    <row r="307" spans="5:7" x14ac:dyDescent="0.35">
      <c r="E307" s="9">
        <v>40119</v>
      </c>
      <c r="F307">
        <v>238.3</v>
      </c>
      <c r="G307" t="s">
        <v>5877</v>
      </c>
    </row>
    <row r="308" spans="5:7" x14ac:dyDescent="0.35">
      <c r="E308" s="9">
        <v>40120</v>
      </c>
      <c r="F308">
        <v>243.6</v>
      </c>
      <c r="G308" t="s">
        <v>5877</v>
      </c>
    </row>
    <row r="309" spans="5:7" x14ac:dyDescent="0.35">
      <c r="E309" s="9">
        <v>40121</v>
      </c>
      <c r="F309">
        <v>247.6</v>
      </c>
      <c r="G309" t="s">
        <v>5877</v>
      </c>
    </row>
    <row r="310" spans="5:7" x14ac:dyDescent="0.35">
      <c r="E310" s="9">
        <v>40122</v>
      </c>
      <c r="F310">
        <v>252.9</v>
      </c>
      <c r="G310" t="s">
        <v>5877</v>
      </c>
    </row>
    <row r="311" spans="5:7" x14ac:dyDescent="0.35">
      <c r="E311" s="9">
        <v>40123</v>
      </c>
      <c r="F311">
        <v>253.9</v>
      </c>
      <c r="G311" t="s">
        <v>5877</v>
      </c>
    </row>
    <row r="312" spans="5:7" x14ac:dyDescent="0.35">
      <c r="E312" s="9">
        <v>40124</v>
      </c>
      <c r="F312">
        <v>252.4</v>
      </c>
      <c r="G312" t="s">
        <v>5877</v>
      </c>
    </row>
    <row r="313" spans="5:7" x14ac:dyDescent="0.35">
      <c r="E313" s="9">
        <v>40125</v>
      </c>
      <c r="F313">
        <v>244</v>
      </c>
      <c r="G313" t="s">
        <v>5877</v>
      </c>
    </row>
    <row r="314" spans="5:7" x14ac:dyDescent="0.35">
      <c r="E314" s="9">
        <v>40126</v>
      </c>
      <c r="F314">
        <v>233.7</v>
      </c>
      <c r="G314" t="s">
        <v>5877</v>
      </c>
    </row>
    <row r="315" spans="5:7" x14ac:dyDescent="0.35">
      <c r="E315" s="9">
        <v>40127</v>
      </c>
      <c r="F315">
        <v>235</v>
      </c>
      <c r="G315" t="s">
        <v>5877</v>
      </c>
    </row>
    <row r="316" spans="5:7" x14ac:dyDescent="0.35">
      <c r="E316" s="9">
        <v>40128</v>
      </c>
      <c r="F316">
        <v>248.9</v>
      </c>
      <c r="G316" t="s">
        <v>5877</v>
      </c>
    </row>
    <row r="317" spans="5:7" x14ac:dyDescent="0.35">
      <c r="E317" s="9">
        <v>40129</v>
      </c>
      <c r="F317">
        <v>255.8</v>
      </c>
      <c r="G317" t="s">
        <v>5877</v>
      </c>
    </row>
    <row r="318" spans="5:7" x14ac:dyDescent="0.35">
      <c r="E318" s="9">
        <v>40130</v>
      </c>
      <c r="F318">
        <v>246.6</v>
      </c>
      <c r="G318" t="s">
        <v>5877</v>
      </c>
    </row>
    <row r="319" spans="5:7" x14ac:dyDescent="0.35">
      <c r="E319" s="9">
        <v>40131</v>
      </c>
      <c r="F319">
        <v>229</v>
      </c>
      <c r="G319" t="s">
        <v>5877</v>
      </c>
    </row>
    <row r="320" spans="5:7" x14ac:dyDescent="0.35">
      <c r="E320" s="9">
        <v>40132</v>
      </c>
      <c r="F320">
        <v>212.7</v>
      </c>
      <c r="G320" t="s">
        <v>5877</v>
      </c>
    </row>
    <row r="321" spans="5:7" x14ac:dyDescent="0.35">
      <c r="E321" s="9">
        <v>40133</v>
      </c>
      <c r="F321">
        <v>202.9</v>
      </c>
      <c r="G321" t="s">
        <v>5877</v>
      </c>
    </row>
    <row r="322" spans="5:7" x14ac:dyDescent="0.35">
      <c r="E322" s="9">
        <v>40134</v>
      </c>
      <c r="F322">
        <v>192.4</v>
      </c>
      <c r="G322" t="s">
        <v>5877</v>
      </c>
    </row>
    <row r="323" spans="5:7" x14ac:dyDescent="0.35">
      <c r="E323" s="9">
        <v>40135</v>
      </c>
      <c r="F323">
        <v>186.7</v>
      </c>
      <c r="G323" t="s">
        <v>5877</v>
      </c>
    </row>
    <row r="324" spans="5:7" x14ac:dyDescent="0.35">
      <c r="E324" s="9">
        <v>40136</v>
      </c>
      <c r="F324">
        <v>192.4</v>
      </c>
      <c r="G324" t="s">
        <v>5877</v>
      </c>
    </row>
    <row r="325" spans="5:7" x14ac:dyDescent="0.35">
      <c r="E325" s="9">
        <v>40137</v>
      </c>
      <c r="F325">
        <v>208</v>
      </c>
      <c r="G325" t="s">
        <v>5877</v>
      </c>
    </row>
    <row r="326" spans="5:7" x14ac:dyDescent="0.35">
      <c r="E326" s="9">
        <v>40138</v>
      </c>
      <c r="F326">
        <v>219.4</v>
      </c>
      <c r="G326" t="s">
        <v>5877</v>
      </c>
    </row>
    <row r="327" spans="5:7" x14ac:dyDescent="0.35">
      <c r="E327" s="9">
        <v>40139</v>
      </c>
      <c r="F327">
        <v>217.6</v>
      </c>
      <c r="G327" t="s">
        <v>5877</v>
      </c>
    </row>
    <row r="328" spans="5:7" x14ac:dyDescent="0.35">
      <c r="E328" s="9">
        <v>40140</v>
      </c>
      <c r="F328">
        <v>207.6</v>
      </c>
      <c r="G328" t="s">
        <v>5877</v>
      </c>
    </row>
    <row r="329" spans="5:7" x14ac:dyDescent="0.35">
      <c r="E329" s="9">
        <v>40141</v>
      </c>
      <c r="F329">
        <v>191.1</v>
      </c>
      <c r="G329" t="s">
        <v>5877</v>
      </c>
    </row>
    <row r="330" spans="5:7" x14ac:dyDescent="0.35">
      <c r="E330" s="9">
        <v>40142</v>
      </c>
      <c r="F330">
        <v>181.8</v>
      </c>
      <c r="G330" t="s">
        <v>5877</v>
      </c>
    </row>
    <row r="331" spans="5:7" x14ac:dyDescent="0.35">
      <c r="E331" s="9">
        <v>40143</v>
      </c>
      <c r="F331">
        <v>186.7</v>
      </c>
      <c r="G331" t="s">
        <v>5877</v>
      </c>
    </row>
    <row r="332" spans="5:7" x14ac:dyDescent="0.35">
      <c r="E332" s="9">
        <v>40144</v>
      </c>
      <c r="F332">
        <v>198.6</v>
      </c>
      <c r="G332" t="s">
        <v>5877</v>
      </c>
    </row>
    <row r="333" spans="5:7" x14ac:dyDescent="0.35">
      <c r="E333" s="9">
        <v>40145</v>
      </c>
      <c r="F333">
        <v>209.5</v>
      </c>
      <c r="G333" t="s">
        <v>5877</v>
      </c>
    </row>
    <row r="334" spans="5:7" x14ac:dyDescent="0.35">
      <c r="E334" s="9">
        <v>40146</v>
      </c>
      <c r="F334">
        <v>216.5</v>
      </c>
      <c r="G334" t="s">
        <v>5877</v>
      </c>
    </row>
    <row r="335" spans="5:7" x14ac:dyDescent="0.35">
      <c r="E335" s="9">
        <v>40147</v>
      </c>
      <c r="F335">
        <v>220.2</v>
      </c>
      <c r="G335" t="s">
        <v>5877</v>
      </c>
    </row>
    <row r="336" spans="5:7" x14ac:dyDescent="0.35">
      <c r="E336" s="9">
        <v>40148</v>
      </c>
      <c r="F336">
        <v>214.6</v>
      </c>
      <c r="G336" t="s">
        <v>5877</v>
      </c>
    </row>
    <row r="337" spans="5:7" x14ac:dyDescent="0.35">
      <c r="E337" s="9">
        <v>40149</v>
      </c>
      <c r="F337">
        <v>220.7</v>
      </c>
      <c r="G337" t="s">
        <v>5877</v>
      </c>
    </row>
    <row r="338" spans="5:7" x14ac:dyDescent="0.35">
      <c r="E338" s="9">
        <v>40150</v>
      </c>
      <c r="F338">
        <v>220.7</v>
      </c>
      <c r="G338" t="s">
        <v>5877</v>
      </c>
    </row>
    <row r="339" spans="5:7" x14ac:dyDescent="0.35">
      <c r="E339" s="9">
        <v>40151</v>
      </c>
      <c r="F339">
        <v>221.5</v>
      </c>
      <c r="G339" t="s">
        <v>5877</v>
      </c>
    </row>
    <row r="340" spans="5:7" x14ac:dyDescent="0.35">
      <c r="E340" s="9">
        <v>40152</v>
      </c>
      <c r="F340">
        <v>220.4</v>
      </c>
      <c r="G340" t="s">
        <v>5877</v>
      </c>
    </row>
    <row r="341" spans="5:7" x14ac:dyDescent="0.35">
      <c r="E341" s="9">
        <v>40153</v>
      </c>
      <c r="F341">
        <v>215.1</v>
      </c>
      <c r="G341" t="s">
        <v>5877</v>
      </c>
    </row>
    <row r="342" spans="5:7" x14ac:dyDescent="0.35">
      <c r="E342" s="9">
        <v>40154</v>
      </c>
      <c r="F342">
        <v>209.1</v>
      </c>
      <c r="G342" t="s">
        <v>5877</v>
      </c>
    </row>
    <row r="343" spans="5:7" x14ac:dyDescent="0.35">
      <c r="E343" s="9">
        <v>40155</v>
      </c>
      <c r="F343">
        <v>211.8</v>
      </c>
      <c r="G343" t="s">
        <v>5877</v>
      </c>
    </row>
    <row r="344" spans="5:7" x14ac:dyDescent="0.35">
      <c r="E344" s="9">
        <v>40156</v>
      </c>
      <c r="F344">
        <v>223.7</v>
      </c>
      <c r="G344" t="s">
        <v>5877</v>
      </c>
    </row>
    <row r="345" spans="5:7" x14ac:dyDescent="0.35">
      <c r="E345" s="9">
        <v>40157</v>
      </c>
      <c r="F345">
        <v>235.9</v>
      </c>
      <c r="G345" t="s">
        <v>5877</v>
      </c>
    </row>
    <row r="346" spans="5:7" x14ac:dyDescent="0.35">
      <c r="E346" s="9">
        <v>40158</v>
      </c>
      <c r="F346">
        <v>243.8</v>
      </c>
      <c r="G346" t="s">
        <v>5877</v>
      </c>
    </row>
    <row r="347" spans="5:7" x14ac:dyDescent="0.35">
      <c r="E347" s="9">
        <v>40159</v>
      </c>
      <c r="F347">
        <v>238.1</v>
      </c>
      <c r="G347" t="s">
        <v>5877</v>
      </c>
    </row>
    <row r="348" spans="5:7" x14ac:dyDescent="0.35">
      <c r="E348" s="9">
        <v>40160</v>
      </c>
      <c r="F348">
        <v>224.9</v>
      </c>
      <c r="G348" t="s">
        <v>5877</v>
      </c>
    </row>
    <row r="349" spans="5:7" x14ac:dyDescent="0.35">
      <c r="E349" s="9">
        <v>40161</v>
      </c>
      <c r="F349">
        <v>211.2</v>
      </c>
      <c r="G349" t="s">
        <v>5877</v>
      </c>
    </row>
    <row r="350" spans="5:7" x14ac:dyDescent="0.35">
      <c r="E350" s="9">
        <v>40162</v>
      </c>
      <c r="F350">
        <v>209.4</v>
      </c>
      <c r="G350" t="s">
        <v>5877</v>
      </c>
    </row>
    <row r="351" spans="5:7" x14ac:dyDescent="0.35">
      <c r="E351" s="9">
        <v>40163</v>
      </c>
      <c r="F351">
        <v>221.1</v>
      </c>
      <c r="G351" t="s">
        <v>5877</v>
      </c>
    </row>
    <row r="352" spans="5:7" x14ac:dyDescent="0.35">
      <c r="E352" s="9">
        <v>40164</v>
      </c>
      <c r="F352">
        <v>237.9</v>
      </c>
      <c r="G352" t="s">
        <v>5877</v>
      </c>
    </row>
    <row r="353" spans="5:7" x14ac:dyDescent="0.35">
      <c r="E353" s="9">
        <v>40165</v>
      </c>
      <c r="F353">
        <v>247.8</v>
      </c>
      <c r="G353" t="s">
        <v>5877</v>
      </c>
    </row>
    <row r="354" spans="5:7" x14ac:dyDescent="0.35">
      <c r="E354" s="9">
        <v>40166</v>
      </c>
      <c r="F354">
        <v>252.8</v>
      </c>
      <c r="G354" t="s">
        <v>5877</v>
      </c>
    </row>
    <row r="355" spans="5:7" x14ac:dyDescent="0.35">
      <c r="E355" s="9">
        <v>40167</v>
      </c>
      <c r="F355">
        <v>249</v>
      </c>
      <c r="G355" t="s">
        <v>5877</v>
      </c>
    </row>
    <row r="356" spans="5:7" x14ac:dyDescent="0.35">
      <c r="E356" s="9">
        <v>40168</v>
      </c>
      <c r="F356">
        <v>238.5</v>
      </c>
      <c r="G356" t="s">
        <v>5877</v>
      </c>
    </row>
    <row r="357" spans="5:7" x14ac:dyDescent="0.35">
      <c r="E357" s="9">
        <v>40169</v>
      </c>
      <c r="F357">
        <v>232.8</v>
      </c>
      <c r="G357" t="s">
        <v>5877</v>
      </c>
    </row>
    <row r="358" spans="5:7" x14ac:dyDescent="0.35">
      <c r="E358" s="9">
        <v>40170</v>
      </c>
      <c r="F358">
        <v>233.9</v>
      </c>
      <c r="G358" t="s">
        <v>5877</v>
      </c>
    </row>
    <row r="359" spans="5:7" x14ac:dyDescent="0.35">
      <c r="E359" s="9">
        <v>40171</v>
      </c>
      <c r="F359">
        <v>233.2</v>
      </c>
      <c r="G359" t="s">
        <v>5877</v>
      </c>
    </row>
    <row r="360" spans="5:7" x14ac:dyDescent="0.35">
      <c r="E360" s="9">
        <v>40172</v>
      </c>
      <c r="F360">
        <v>230.8</v>
      </c>
      <c r="G360" t="s">
        <v>5877</v>
      </c>
    </row>
    <row r="361" spans="5:7" x14ac:dyDescent="0.35">
      <c r="E361" s="9">
        <v>40173</v>
      </c>
      <c r="F361">
        <v>222.7</v>
      </c>
      <c r="G361" t="s">
        <v>5877</v>
      </c>
    </row>
    <row r="362" spans="5:7" x14ac:dyDescent="0.35">
      <c r="E362" s="9">
        <v>40174</v>
      </c>
      <c r="F362">
        <v>214.1</v>
      </c>
      <c r="G362" t="s">
        <v>5877</v>
      </c>
    </row>
    <row r="363" spans="5:7" x14ac:dyDescent="0.35">
      <c r="E363" s="9">
        <v>40175</v>
      </c>
      <c r="F363">
        <v>214.1</v>
      </c>
      <c r="G363" t="s">
        <v>5877</v>
      </c>
    </row>
    <row r="364" spans="5:7" x14ac:dyDescent="0.35">
      <c r="E364" s="9">
        <v>40176</v>
      </c>
      <c r="F364">
        <v>216.1</v>
      </c>
      <c r="G364" t="s">
        <v>5877</v>
      </c>
    </row>
    <row r="365" spans="5:7" x14ac:dyDescent="0.35">
      <c r="E365" s="9">
        <v>40177</v>
      </c>
      <c r="F365">
        <v>217.8</v>
      </c>
      <c r="G365" t="s">
        <v>5877</v>
      </c>
    </row>
    <row r="366" spans="5:7" x14ac:dyDescent="0.35">
      <c r="E366" s="9">
        <v>40178</v>
      </c>
      <c r="F366">
        <v>225.1</v>
      </c>
      <c r="G366" t="s">
        <v>5877</v>
      </c>
    </row>
    <row r="367" spans="5:7" x14ac:dyDescent="0.35">
      <c r="E367" s="9">
        <v>40179</v>
      </c>
      <c r="F367">
        <v>240.3</v>
      </c>
      <c r="G367" t="s">
        <v>5877</v>
      </c>
    </row>
    <row r="368" spans="5:7" x14ac:dyDescent="0.35">
      <c r="E368" s="9">
        <v>40180</v>
      </c>
      <c r="F368">
        <v>246.4</v>
      </c>
      <c r="G368" t="s">
        <v>5877</v>
      </c>
    </row>
    <row r="369" spans="5:7" x14ac:dyDescent="0.35">
      <c r="E369" s="9">
        <v>40181</v>
      </c>
      <c r="F369">
        <v>245.7</v>
      </c>
      <c r="G369" t="s">
        <v>5877</v>
      </c>
    </row>
    <row r="370" spans="5:7" x14ac:dyDescent="0.35">
      <c r="E370" s="9">
        <v>40182</v>
      </c>
      <c r="F370">
        <v>237.3</v>
      </c>
      <c r="G370" t="s">
        <v>5877</v>
      </c>
    </row>
    <row r="371" spans="5:7" x14ac:dyDescent="0.35">
      <c r="E371" s="9">
        <v>40183</v>
      </c>
      <c r="F371">
        <v>223.1</v>
      </c>
      <c r="G371" t="s">
        <v>5877</v>
      </c>
    </row>
    <row r="372" spans="5:7" x14ac:dyDescent="0.35">
      <c r="E372" s="9">
        <v>40184</v>
      </c>
      <c r="F372">
        <v>207.3</v>
      </c>
      <c r="G372" t="s">
        <v>5877</v>
      </c>
    </row>
    <row r="373" spans="5:7" x14ac:dyDescent="0.35">
      <c r="E373" s="9">
        <v>40185</v>
      </c>
      <c r="F373">
        <v>192.1</v>
      </c>
      <c r="G373" t="s">
        <v>5877</v>
      </c>
    </row>
    <row r="374" spans="5:7" x14ac:dyDescent="0.35">
      <c r="E374" s="9">
        <v>40186</v>
      </c>
      <c r="F374">
        <v>177.7</v>
      </c>
      <c r="G374" t="s">
        <v>5877</v>
      </c>
    </row>
    <row r="375" spans="5:7" x14ac:dyDescent="0.35">
      <c r="E375" s="9">
        <v>40187</v>
      </c>
      <c r="F375">
        <v>167.7</v>
      </c>
      <c r="G375" t="s">
        <v>5877</v>
      </c>
    </row>
    <row r="376" spans="5:7" x14ac:dyDescent="0.35">
      <c r="E376" s="9">
        <v>40188</v>
      </c>
      <c r="F376">
        <v>167.6</v>
      </c>
      <c r="G376" t="s">
        <v>5877</v>
      </c>
    </row>
    <row r="377" spans="5:7" x14ac:dyDescent="0.35">
      <c r="E377" s="9">
        <v>40189</v>
      </c>
      <c r="F377">
        <v>177</v>
      </c>
      <c r="G377" t="s">
        <v>5877</v>
      </c>
    </row>
    <row r="378" spans="5:7" x14ac:dyDescent="0.35">
      <c r="E378" s="9">
        <v>40190</v>
      </c>
      <c r="F378">
        <v>192.6</v>
      </c>
      <c r="G378" t="s">
        <v>5877</v>
      </c>
    </row>
    <row r="379" spans="5:7" x14ac:dyDescent="0.35">
      <c r="E379" s="9">
        <v>40191</v>
      </c>
      <c r="F379">
        <v>204.9</v>
      </c>
      <c r="G379" t="s">
        <v>5877</v>
      </c>
    </row>
    <row r="380" spans="5:7" x14ac:dyDescent="0.35">
      <c r="E380" s="9">
        <v>40192</v>
      </c>
      <c r="F380">
        <v>214.5</v>
      </c>
      <c r="G380" t="s">
        <v>5877</v>
      </c>
    </row>
    <row r="381" spans="5:7" x14ac:dyDescent="0.35">
      <c r="E381" s="9">
        <v>40193</v>
      </c>
      <c r="F381">
        <v>217.3</v>
      </c>
      <c r="G381" t="s">
        <v>5877</v>
      </c>
    </row>
    <row r="382" spans="5:7" x14ac:dyDescent="0.35">
      <c r="E382" s="9">
        <v>40194</v>
      </c>
      <c r="F382">
        <v>207.8</v>
      </c>
      <c r="G382" t="s">
        <v>5877</v>
      </c>
    </row>
    <row r="383" spans="5:7" x14ac:dyDescent="0.35">
      <c r="E383" s="9">
        <v>40195</v>
      </c>
      <c r="F383">
        <v>195</v>
      </c>
      <c r="G383" t="s">
        <v>5877</v>
      </c>
    </row>
    <row r="384" spans="5:7" x14ac:dyDescent="0.35">
      <c r="E384" s="9">
        <v>40196</v>
      </c>
      <c r="F384">
        <v>187.5</v>
      </c>
      <c r="G384" t="s">
        <v>5877</v>
      </c>
    </row>
    <row r="385" spans="5:7" x14ac:dyDescent="0.35">
      <c r="E385" s="9">
        <v>40197</v>
      </c>
      <c r="F385">
        <v>188.3</v>
      </c>
      <c r="G385" t="s">
        <v>5877</v>
      </c>
    </row>
    <row r="386" spans="5:7" x14ac:dyDescent="0.35">
      <c r="E386" s="9">
        <v>40198</v>
      </c>
      <c r="F386">
        <v>191.1</v>
      </c>
      <c r="G386" t="s">
        <v>5877</v>
      </c>
    </row>
    <row r="387" spans="5:7" x14ac:dyDescent="0.35">
      <c r="E387" s="9">
        <v>40199</v>
      </c>
      <c r="F387">
        <v>190.8</v>
      </c>
      <c r="G387" t="s">
        <v>5877</v>
      </c>
    </row>
    <row r="388" spans="5:7" x14ac:dyDescent="0.35">
      <c r="E388" s="9">
        <v>40200</v>
      </c>
      <c r="F388">
        <v>185.9</v>
      </c>
      <c r="G388" t="s">
        <v>5877</v>
      </c>
    </row>
    <row r="389" spans="5:7" x14ac:dyDescent="0.35">
      <c r="E389" s="9">
        <v>40201</v>
      </c>
      <c r="F389">
        <v>176.7</v>
      </c>
      <c r="G389" t="s">
        <v>5877</v>
      </c>
    </row>
    <row r="390" spans="5:7" x14ac:dyDescent="0.35">
      <c r="E390" s="9">
        <v>40202</v>
      </c>
      <c r="F390">
        <v>170.9</v>
      </c>
      <c r="G390" t="s">
        <v>5877</v>
      </c>
    </row>
    <row r="391" spans="5:7" x14ac:dyDescent="0.35">
      <c r="E391" s="9">
        <v>40203</v>
      </c>
      <c r="F391">
        <v>170.3</v>
      </c>
      <c r="G391" t="s">
        <v>5877</v>
      </c>
    </row>
    <row r="392" spans="5:7" x14ac:dyDescent="0.35">
      <c r="E392" s="9">
        <v>40204</v>
      </c>
      <c r="F392">
        <v>177.7</v>
      </c>
      <c r="G392" t="s">
        <v>5877</v>
      </c>
    </row>
    <row r="393" spans="5:7" x14ac:dyDescent="0.35">
      <c r="E393" s="9">
        <v>40205</v>
      </c>
      <c r="F393">
        <v>189.1</v>
      </c>
      <c r="G393" t="s">
        <v>5877</v>
      </c>
    </row>
    <row r="394" spans="5:7" x14ac:dyDescent="0.35">
      <c r="E394" s="9">
        <v>40206</v>
      </c>
      <c r="F394">
        <v>203.9</v>
      </c>
      <c r="G394" t="s">
        <v>5877</v>
      </c>
    </row>
    <row r="395" spans="5:7" x14ac:dyDescent="0.35">
      <c r="E395" s="9">
        <v>40207</v>
      </c>
      <c r="F395">
        <v>219</v>
      </c>
      <c r="G395" t="s">
        <v>5877</v>
      </c>
    </row>
    <row r="396" spans="5:7" x14ac:dyDescent="0.35">
      <c r="E396" s="9">
        <v>40208</v>
      </c>
      <c r="F396">
        <v>227.1</v>
      </c>
      <c r="G396" t="s">
        <v>5877</v>
      </c>
    </row>
    <row r="397" spans="5:7" x14ac:dyDescent="0.35">
      <c r="E397" s="9">
        <v>40209</v>
      </c>
      <c r="F397">
        <v>220.8</v>
      </c>
      <c r="G397" t="s">
        <v>5877</v>
      </c>
    </row>
    <row r="398" spans="5:7" x14ac:dyDescent="0.35">
      <c r="E398" s="9">
        <v>40210</v>
      </c>
      <c r="F398">
        <v>204.3</v>
      </c>
      <c r="G398" t="s">
        <v>5877</v>
      </c>
    </row>
    <row r="399" spans="5:7" x14ac:dyDescent="0.35">
      <c r="E399" s="9">
        <v>40211</v>
      </c>
      <c r="F399">
        <v>173.1</v>
      </c>
      <c r="G399" t="s">
        <v>5877</v>
      </c>
    </row>
    <row r="400" spans="5:7" x14ac:dyDescent="0.35">
      <c r="E400" s="9">
        <v>40212</v>
      </c>
      <c r="F400">
        <v>171.8</v>
      </c>
      <c r="G400" t="s">
        <v>5877</v>
      </c>
    </row>
    <row r="401" spans="5:7" x14ac:dyDescent="0.35">
      <c r="E401" s="9">
        <v>40213</v>
      </c>
      <c r="F401">
        <v>178.9</v>
      </c>
      <c r="G401" t="s">
        <v>5877</v>
      </c>
    </row>
    <row r="402" spans="5:7" x14ac:dyDescent="0.35">
      <c r="E402" s="9">
        <v>40214</v>
      </c>
      <c r="F402">
        <v>178.2</v>
      </c>
      <c r="G402" t="s">
        <v>5877</v>
      </c>
    </row>
    <row r="403" spans="5:7" x14ac:dyDescent="0.35">
      <c r="E403" s="9">
        <v>40215</v>
      </c>
      <c r="F403">
        <v>169.9</v>
      </c>
      <c r="G403" t="s">
        <v>5877</v>
      </c>
    </row>
    <row r="404" spans="5:7" x14ac:dyDescent="0.35">
      <c r="E404" s="9">
        <v>40216</v>
      </c>
      <c r="F404">
        <v>161.30000000000001</v>
      </c>
      <c r="G404" t="s">
        <v>5877</v>
      </c>
    </row>
    <row r="405" spans="5:7" x14ac:dyDescent="0.35">
      <c r="E405" s="9">
        <v>40217</v>
      </c>
      <c r="F405">
        <v>156.19999999999999</v>
      </c>
      <c r="G405" t="s">
        <v>5877</v>
      </c>
    </row>
    <row r="406" spans="5:7" x14ac:dyDescent="0.35">
      <c r="E406" s="9">
        <v>40218</v>
      </c>
      <c r="F406">
        <v>158.6</v>
      </c>
      <c r="G406" t="s">
        <v>5877</v>
      </c>
    </row>
    <row r="407" spans="5:7" x14ac:dyDescent="0.35">
      <c r="E407" s="9">
        <v>40219</v>
      </c>
      <c r="F407">
        <v>168.9</v>
      </c>
      <c r="G407" t="s">
        <v>5877</v>
      </c>
    </row>
    <row r="408" spans="5:7" x14ac:dyDescent="0.35">
      <c r="E408" s="9">
        <v>40220</v>
      </c>
      <c r="F408">
        <v>181.6</v>
      </c>
      <c r="G408" t="s">
        <v>5877</v>
      </c>
    </row>
    <row r="409" spans="5:7" x14ac:dyDescent="0.35">
      <c r="E409" s="9">
        <v>40221</v>
      </c>
      <c r="F409">
        <v>183.1</v>
      </c>
      <c r="G409" t="s">
        <v>5877</v>
      </c>
    </row>
    <row r="410" spans="5:7" x14ac:dyDescent="0.35">
      <c r="E410" s="9">
        <v>40222</v>
      </c>
      <c r="F410">
        <v>173.6</v>
      </c>
      <c r="G410" t="s">
        <v>5877</v>
      </c>
    </row>
    <row r="411" spans="5:7" x14ac:dyDescent="0.35">
      <c r="E411" s="9">
        <v>40223</v>
      </c>
      <c r="F411">
        <v>164.8</v>
      </c>
      <c r="G411" t="s">
        <v>5877</v>
      </c>
    </row>
    <row r="412" spans="5:7" x14ac:dyDescent="0.35">
      <c r="E412" s="9">
        <v>40224</v>
      </c>
      <c r="F412">
        <v>169.6</v>
      </c>
      <c r="G412" t="s">
        <v>5877</v>
      </c>
    </row>
    <row r="413" spans="5:7" x14ac:dyDescent="0.35">
      <c r="E413" s="9">
        <v>40225</v>
      </c>
      <c r="F413">
        <v>186.4</v>
      </c>
      <c r="G413" t="s">
        <v>5877</v>
      </c>
    </row>
    <row r="414" spans="5:7" x14ac:dyDescent="0.35">
      <c r="E414" s="9">
        <v>40226</v>
      </c>
      <c r="F414">
        <v>197.9</v>
      </c>
      <c r="G414" t="s">
        <v>5877</v>
      </c>
    </row>
    <row r="415" spans="5:7" x14ac:dyDescent="0.35">
      <c r="E415" s="9">
        <v>40227</v>
      </c>
      <c r="F415">
        <v>190.6</v>
      </c>
      <c r="G415" t="s">
        <v>5877</v>
      </c>
    </row>
    <row r="416" spans="5:7" x14ac:dyDescent="0.35">
      <c r="E416" s="9">
        <v>40228</v>
      </c>
      <c r="F416">
        <v>176.8</v>
      </c>
      <c r="G416" t="s">
        <v>5877</v>
      </c>
    </row>
    <row r="417" spans="5:7" x14ac:dyDescent="0.35">
      <c r="E417" s="9">
        <v>40229</v>
      </c>
      <c r="F417">
        <v>171.9</v>
      </c>
      <c r="G417" t="s">
        <v>5877</v>
      </c>
    </row>
    <row r="418" spans="5:7" x14ac:dyDescent="0.35">
      <c r="E418" s="9">
        <v>40230</v>
      </c>
      <c r="F418">
        <v>183.3</v>
      </c>
      <c r="G418" t="s">
        <v>5877</v>
      </c>
    </row>
    <row r="419" spans="5:7" x14ac:dyDescent="0.35">
      <c r="E419" s="9">
        <v>40231</v>
      </c>
      <c r="F419">
        <v>198.1</v>
      </c>
      <c r="G419" t="s">
        <v>5877</v>
      </c>
    </row>
    <row r="420" spans="5:7" x14ac:dyDescent="0.35">
      <c r="E420" s="9">
        <v>40232</v>
      </c>
      <c r="F420">
        <v>206.9</v>
      </c>
      <c r="G420" t="s">
        <v>5877</v>
      </c>
    </row>
    <row r="421" spans="5:7" x14ac:dyDescent="0.35">
      <c r="E421" s="9">
        <v>40233</v>
      </c>
      <c r="F421">
        <v>213.5</v>
      </c>
      <c r="G421" t="s">
        <v>5877</v>
      </c>
    </row>
    <row r="422" spans="5:7" x14ac:dyDescent="0.35">
      <c r="E422" s="9">
        <v>40234</v>
      </c>
      <c r="F422">
        <v>221.5</v>
      </c>
      <c r="G422" t="s">
        <v>5877</v>
      </c>
    </row>
    <row r="423" spans="5:7" x14ac:dyDescent="0.35">
      <c r="E423" s="9">
        <v>40235</v>
      </c>
      <c r="F423">
        <v>222.3</v>
      </c>
      <c r="G423" t="s">
        <v>5877</v>
      </c>
    </row>
    <row r="424" spans="5:7" x14ac:dyDescent="0.35">
      <c r="E424" s="9">
        <v>40236</v>
      </c>
      <c r="F424">
        <v>211.5</v>
      </c>
      <c r="G424" t="s">
        <v>5877</v>
      </c>
    </row>
    <row r="425" spans="5:7" x14ac:dyDescent="0.35">
      <c r="E425" s="9">
        <v>40237</v>
      </c>
      <c r="F425">
        <v>197.1</v>
      </c>
      <c r="G425" t="s">
        <v>5877</v>
      </c>
    </row>
    <row r="426" spans="5:7" x14ac:dyDescent="0.35">
      <c r="E426" s="9">
        <v>40238</v>
      </c>
      <c r="F426">
        <v>190.6</v>
      </c>
      <c r="G426" t="s">
        <v>5877</v>
      </c>
    </row>
    <row r="427" spans="5:7" x14ac:dyDescent="0.35">
      <c r="E427" s="9">
        <v>40239</v>
      </c>
      <c r="F427">
        <v>201.9</v>
      </c>
      <c r="G427" t="s">
        <v>5877</v>
      </c>
    </row>
    <row r="428" spans="5:7" x14ac:dyDescent="0.35">
      <c r="E428" s="9">
        <v>40240</v>
      </c>
      <c r="F428">
        <v>208.7</v>
      </c>
      <c r="G428" t="s">
        <v>5877</v>
      </c>
    </row>
    <row r="429" spans="5:7" x14ac:dyDescent="0.35">
      <c r="E429" s="9">
        <v>40241</v>
      </c>
      <c r="F429">
        <v>200.2</v>
      </c>
      <c r="G429" t="s">
        <v>5877</v>
      </c>
    </row>
    <row r="430" spans="5:7" x14ac:dyDescent="0.35">
      <c r="E430" s="9">
        <v>40242</v>
      </c>
      <c r="F430">
        <v>184.6</v>
      </c>
      <c r="G430" t="s">
        <v>5877</v>
      </c>
    </row>
    <row r="431" spans="5:7" x14ac:dyDescent="0.35">
      <c r="E431" s="9">
        <v>40243</v>
      </c>
      <c r="F431">
        <v>176.3</v>
      </c>
      <c r="G431" t="s">
        <v>5877</v>
      </c>
    </row>
    <row r="432" spans="5:7" x14ac:dyDescent="0.35">
      <c r="E432" s="9">
        <v>40244</v>
      </c>
      <c r="F432">
        <v>181.1</v>
      </c>
      <c r="G432" t="s">
        <v>5877</v>
      </c>
    </row>
    <row r="433" spans="5:7" x14ac:dyDescent="0.35">
      <c r="E433" s="9">
        <v>40245</v>
      </c>
      <c r="F433">
        <v>192.8</v>
      </c>
      <c r="G433" t="s">
        <v>5877</v>
      </c>
    </row>
    <row r="434" spans="5:7" x14ac:dyDescent="0.35">
      <c r="E434" s="9">
        <v>40246</v>
      </c>
      <c r="F434">
        <v>199.2</v>
      </c>
      <c r="G434" t="s">
        <v>5877</v>
      </c>
    </row>
    <row r="435" spans="5:7" x14ac:dyDescent="0.35">
      <c r="E435" s="9">
        <v>40247</v>
      </c>
      <c r="F435">
        <v>202</v>
      </c>
      <c r="G435" t="s">
        <v>5877</v>
      </c>
    </row>
    <row r="436" spans="5:7" x14ac:dyDescent="0.35">
      <c r="E436" s="9">
        <v>40248</v>
      </c>
      <c r="F436">
        <v>199.8</v>
      </c>
      <c r="G436" t="s">
        <v>5877</v>
      </c>
    </row>
    <row r="437" spans="5:7" x14ac:dyDescent="0.35">
      <c r="E437" s="9">
        <v>40249</v>
      </c>
      <c r="F437">
        <v>192</v>
      </c>
      <c r="G437" t="s">
        <v>5877</v>
      </c>
    </row>
    <row r="438" spans="5:7" x14ac:dyDescent="0.35">
      <c r="E438" s="9">
        <v>40250</v>
      </c>
      <c r="F438">
        <v>185.6</v>
      </c>
      <c r="G438" t="s">
        <v>5877</v>
      </c>
    </row>
    <row r="439" spans="5:7" x14ac:dyDescent="0.35">
      <c r="E439" s="9">
        <v>40251</v>
      </c>
      <c r="F439">
        <v>189.3</v>
      </c>
      <c r="G439" t="s">
        <v>5877</v>
      </c>
    </row>
    <row r="440" spans="5:7" x14ac:dyDescent="0.35">
      <c r="E440" s="9">
        <v>40252</v>
      </c>
      <c r="F440">
        <v>200.3</v>
      </c>
      <c r="G440" t="s">
        <v>5877</v>
      </c>
    </row>
    <row r="441" spans="5:7" x14ac:dyDescent="0.35">
      <c r="E441" s="9">
        <v>40253</v>
      </c>
      <c r="F441">
        <v>210.6</v>
      </c>
      <c r="G441" t="s">
        <v>5877</v>
      </c>
    </row>
    <row r="442" spans="5:7" x14ac:dyDescent="0.35">
      <c r="E442" s="9">
        <v>40254</v>
      </c>
      <c r="F442">
        <v>205.4</v>
      </c>
      <c r="G442" t="s">
        <v>5877</v>
      </c>
    </row>
    <row r="443" spans="5:7" x14ac:dyDescent="0.35">
      <c r="E443" s="9">
        <v>40255</v>
      </c>
      <c r="F443">
        <v>198.1</v>
      </c>
      <c r="G443" t="s">
        <v>5877</v>
      </c>
    </row>
    <row r="444" spans="5:7" x14ac:dyDescent="0.35">
      <c r="E444" s="9">
        <v>40256</v>
      </c>
      <c r="F444">
        <v>197.8</v>
      </c>
      <c r="G444" t="s">
        <v>5877</v>
      </c>
    </row>
    <row r="445" spans="5:7" x14ac:dyDescent="0.35">
      <c r="E445" s="9">
        <v>40257</v>
      </c>
      <c r="F445">
        <v>204.1</v>
      </c>
      <c r="G445" t="s">
        <v>5877</v>
      </c>
    </row>
    <row r="446" spans="5:7" x14ac:dyDescent="0.35">
      <c r="E446" s="9">
        <v>40258</v>
      </c>
      <c r="F446">
        <v>204.2</v>
      </c>
      <c r="G446" t="s">
        <v>5877</v>
      </c>
    </row>
    <row r="447" spans="5:7" x14ac:dyDescent="0.35">
      <c r="E447" s="9">
        <v>40259</v>
      </c>
      <c r="F447">
        <v>202</v>
      </c>
      <c r="G447" t="s">
        <v>5877</v>
      </c>
    </row>
    <row r="448" spans="5:7" x14ac:dyDescent="0.35">
      <c r="E448" s="9">
        <v>40260</v>
      </c>
      <c r="F448">
        <v>206.2</v>
      </c>
      <c r="G448" t="s">
        <v>5877</v>
      </c>
    </row>
    <row r="449" spans="5:7" x14ac:dyDescent="0.35">
      <c r="E449" s="9">
        <v>40261</v>
      </c>
      <c r="F449">
        <v>218.7</v>
      </c>
      <c r="G449" t="s">
        <v>5877</v>
      </c>
    </row>
    <row r="450" spans="5:7" x14ac:dyDescent="0.35">
      <c r="E450" s="9">
        <v>40262</v>
      </c>
      <c r="F450">
        <v>229.9</v>
      </c>
      <c r="G450" t="s">
        <v>5877</v>
      </c>
    </row>
    <row r="451" spans="5:7" x14ac:dyDescent="0.35">
      <c r="E451" s="9">
        <v>40263</v>
      </c>
      <c r="F451">
        <v>232.4</v>
      </c>
      <c r="G451" t="s">
        <v>5877</v>
      </c>
    </row>
    <row r="452" spans="5:7" x14ac:dyDescent="0.35">
      <c r="E452" s="9">
        <v>40264</v>
      </c>
      <c r="F452">
        <v>234.8</v>
      </c>
      <c r="G452" t="s">
        <v>5877</v>
      </c>
    </row>
    <row r="453" spans="5:7" x14ac:dyDescent="0.35">
      <c r="E453" s="9">
        <v>40265</v>
      </c>
      <c r="F453">
        <v>245.4</v>
      </c>
      <c r="G453" t="s">
        <v>5877</v>
      </c>
    </row>
    <row r="454" spans="5:7" x14ac:dyDescent="0.35">
      <c r="E454" s="9">
        <v>40266</v>
      </c>
      <c r="F454">
        <v>257</v>
      </c>
      <c r="G454" t="s">
        <v>5877</v>
      </c>
    </row>
    <row r="455" spans="5:7" x14ac:dyDescent="0.35">
      <c r="E455" s="9">
        <v>40267</v>
      </c>
      <c r="F455">
        <v>244.4</v>
      </c>
      <c r="G455" t="s">
        <v>5877</v>
      </c>
    </row>
    <row r="456" spans="5:7" x14ac:dyDescent="0.35">
      <c r="E456" s="9">
        <v>40268</v>
      </c>
      <c r="F456">
        <v>223.4</v>
      </c>
      <c r="G456" t="s">
        <v>5877</v>
      </c>
    </row>
    <row r="457" spans="5:7" x14ac:dyDescent="0.35">
      <c r="E457" s="9">
        <v>40269</v>
      </c>
      <c r="F457">
        <v>206.3</v>
      </c>
      <c r="G457" t="s">
        <v>5877</v>
      </c>
    </row>
    <row r="458" spans="5:7" x14ac:dyDescent="0.35">
      <c r="E458" s="9">
        <v>40270</v>
      </c>
      <c r="F458">
        <v>205.5</v>
      </c>
      <c r="G458" t="s">
        <v>5877</v>
      </c>
    </row>
    <row r="459" spans="5:7" x14ac:dyDescent="0.35">
      <c r="E459" s="9">
        <v>40271</v>
      </c>
      <c r="F459">
        <v>199.1</v>
      </c>
      <c r="G459" t="s">
        <v>5877</v>
      </c>
    </row>
    <row r="460" spans="5:7" x14ac:dyDescent="0.35">
      <c r="E460" s="9">
        <v>40272</v>
      </c>
      <c r="F460">
        <v>196.7</v>
      </c>
      <c r="G460" t="s">
        <v>5877</v>
      </c>
    </row>
    <row r="461" spans="5:7" x14ac:dyDescent="0.35">
      <c r="E461" s="9">
        <v>40273</v>
      </c>
      <c r="F461">
        <v>204.4</v>
      </c>
      <c r="G461" t="s">
        <v>5877</v>
      </c>
    </row>
    <row r="462" spans="5:7" x14ac:dyDescent="0.35">
      <c r="E462" s="9">
        <v>40274</v>
      </c>
      <c r="F462">
        <v>217.4</v>
      </c>
      <c r="G462" t="s">
        <v>5877</v>
      </c>
    </row>
    <row r="463" spans="5:7" x14ac:dyDescent="0.35">
      <c r="E463" s="9">
        <v>40275</v>
      </c>
      <c r="F463">
        <v>228.7</v>
      </c>
      <c r="G463" t="s">
        <v>5877</v>
      </c>
    </row>
    <row r="464" spans="5:7" x14ac:dyDescent="0.35">
      <c r="E464" s="9">
        <v>40276</v>
      </c>
      <c r="F464">
        <v>233.1</v>
      </c>
      <c r="G464" t="s">
        <v>5877</v>
      </c>
    </row>
    <row r="465" spans="5:7" x14ac:dyDescent="0.35">
      <c r="E465" s="9">
        <v>40277</v>
      </c>
      <c r="F465">
        <v>231.9</v>
      </c>
      <c r="G465" t="s">
        <v>5877</v>
      </c>
    </row>
    <row r="466" spans="5:7" x14ac:dyDescent="0.35">
      <c r="E466" s="9">
        <v>40278</v>
      </c>
      <c r="F466">
        <v>226.9</v>
      </c>
      <c r="G466" t="s">
        <v>5877</v>
      </c>
    </row>
    <row r="467" spans="5:7" x14ac:dyDescent="0.35">
      <c r="E467" s="9">
        <v>40279</v>
      </c>
      <c r="F467">
        <v>226</v>
      </c>
      <c r="G467" t="s">
        <v>5877</v>
      </c>
    </row>
    <row r="468" spans="5:7" x14ac:dyDescent="0.35">
      <c r="E468" s="9">
        <v>40280</v>
      </c>
      <c r="F468">
        <v>231</v>
      </c>
      <c r="G468" t="s">
        <v>5877</v>
      </c>
    </row>
    <row r="469" spans="5:7" x14ac:dyDescent="0.35">
      <c r="E469" s="9">
        <v>40281</v>
      </c>
      <c r="F469">
        <v>233</v>
      </c>
      <c r="G469" t="s">
        <v>5877</v>
      </c>
    </row>
    <row r="470" spans="5:7" x14ac:dyDescent="0.35">
      <c r="E470" s="9">
        <v>40282</v>
      </c>
      <c r="F470">
        <v>231.3</v>
      </c>
      <c r="G470" t="s">
        <v>5877</v>
      </c>
    </row>
    <row r="471" spans="5:7" x14ac:dyDescent="0.35">
      <c r="E471" s="9">
        <v>40283</v>
      </c>
      <c r="F471">
        <v>229.8</v>
      </c>
      <c r="G471" t="s">
        <v>5877</v>
      </c>
    </row>
    <row r="472" spans="5:7" x14ac:dyDescent="0.35">
      <c r="E472" s="9">
        <v>40284</v>
      </c>
      <c r="F472">
        <v>227.3</v>
      </c>
      <c r="G472" t="s">
        <v>5877</v>
      </c>
    </row>
    <row r="473" spans="5:7" x14ac:dyDescent="0.35">
      <c r="E473" s="9">
        <v>40285</v>
      </c>
      <c r="F473">
        <v>219</v>
      </c>
      <c r="G473" t="s">
        <v>5877</v>
      </c>
    </row>
    <row r="474" spans="5:7" x14ac:dyDescent="0.35">
      <c r="E474" s="9">
        <v>40286</v>
      </c>
      <c r="F474">
        <v>212.6</v>
      </c>
      <c r="G474" t="s">
        <v>5877</v>
      </c>
    </row>
    <row r="475" spans="5:7" x14ac:dyDescent="0.35">
      <c r="E475" s="9">
        <v>40287</v>
      </c>
      <c r="F475">
        <v>208.1</v>
      </c>
      <c r="G475" t="s">
        <v>5877</v>
      </c>
    </row>
    <row r="476" spans="5:7" x14ac:dyDescent="0.35">
      <c r="E476" s="9">
        <v>40288</v>
      </c>
      <c r="F476">
        <v>204.5</v>
      </c>
      <c r="G476" t="s">
        <v>5877</v>
      </c>
    </row>
    <row r="477" spans="5:7" x14ac:dyDescent="0.35">
      <c r="E477" s="9">
        <v>40289</v>
      </c>
      <c r="F477">
        <v>201.4</v>
      </c>
      <c r="G477" t="s">
        <v>5877</v>
      </c>
    </row>
    <row r="478" spans="5:7" x14ac:dyDescent="0.35">
      <c r="E478" s="9">
        <v>40290</v>
      </c>
      <c r="F478">
        <v>208.7</v>
      </c>
      <c r="G478" t="s">
        <v>5877</v>
      </c>
    </row>
    <row r="479" spans="5:7" x14ac:dyDescent="0.35">
      <c r="E479" s="9">
        <v>40291</v>
      </c>
      <c r="F479">
        <v>227.2</v>
      </c>
      <c r="G479" t="s">
        <v>5877</v>
      </c>
    </row>
    <row r="480" spans="5:7" x14ac:dyDescent="0.35">
      <c r="E480" s="9">
        <v>40292</v>
      </c>
      <c r="F480">
        <v>238.4</v>
      </c>
      <c r="G480" t="s">
        <v>5877</v>
      </c>
    </row>
    <row r="481" spans="5:7" x14ac:dyDescent="0.35">
      <c r="E481" s="9">
        <v>40293</v>
      </c>
      <c r="F481">
        <v>232.4</v>
      </c>
      <c r="G481" t="s">
        <v>5877</v>
      </c>
    </row>
    <row r="482" spans="5:7" x14ac:dyDescent="0.35">
      <c r="E482" s="9">
        <v>40294</v>
      </c>
      <c r="F482">
        <v>214.7</v>
      </c>
      <c r="G482" t="s">
        <v>5877</v>
      </c>
    </row>
    <row r="483" spans="5:7" x14ac:dyDescent="0.35">
      <c r="E483" s="9">
        <v>40295</v>
      </c>
      <c r="F483">
        <v>192.9</v>
      </c>
      <c r="G483" t="s">
        <v>5877</v>
      </c>
    </row>
    <row r="484" spans="5:7" x14ac:dyDescent="0.35">
      <c r="E484" s="9">
        <v>40296</v>
      </c>
      <c r="F484">
        <v>173.1</v>
      </c>
      <c r="G484" t="s">
        <v>5877</v>
      </c>
    </row>
    <row r="485" spans="5:7" x14ac:dyDescent="0.35">
      <c r="E485" s="9">
        <v>40297</v>
      </c>
      <c r="F485">
        <v>158.19999999999999</v>
      </c>
      <c r="G485" t="s">
        <v>5877</v>
      </c>
    </row>
    <row r="486" spans="5:7" x14ac:dyDescent="0.35">
      <c r="E486" s="9">
        <v>40298</v>
      </c>
      <c r="F486">
        <v>151.1</v>
      </c>
      <c r="G486" t="s">
        <v>5877</v>
      </c>
    </row>
    <row r="487" spans="5:7" x14ac:dyDescent="0.35">
      <c r="E487" s="9">
        <v>40299</v>
      </c>
      <c r="F487">
        <v>154.19999999999999</v>
      </c>
      <c r="G487" t="s">
        <v>5877</v>
      </c>
    </row>
    <row r="488" spans="5:7" x14ac:dyDescent="0.35">
      <c r="E488" s="9">
        <v>40300</v>
      </c>
      <c r="F488">
        <v>171.3</v>
      </c>
      <c r="G488" t="s">
        <v>5877</v>
      </c>
    </row>
    <row r="489" spans="5:7" x14ac:dyDescent="0.35">
      <c r="E489" s="9">
        <v>40301</v>
      </c>
      <c r="F489">
        <v>194.3</v>
      </c>
      <c r="G489" t="s">
        <v>5877</v>
      </c>
    </row>
    <row r="490" spans="5:7" x14ac:dyDescent="0.35">
      <c r="E490" s="9">
        <v>40302</v>
      </c>
      <c r="F490">
        <v>219.6</v>
      </c>
      <c r="G490" t="s">
        <v>5877</v>
      </c>
    </row>
    <row r="491" spans="5:7" x14ac:dyDescent="0.35">
      <c r="E491" s="9">
        <v>40303</v>
      </c>
      <c r="F491">
        <v>238.4</v>
      </c>
      <c r="G491" t="s">
        <v>5877</v>
      </c>
    </row>
    <row r="492" spans="5:7" x14ac:dyDescent="0.35">
      <c r="E492" s="9">
        <v>40304</v>
      </c>
      <c r="F492">
        <v>253.3</v>
      </c>
      <c r="G492" t="s">
        <v>5877</v>
      </c>
    </row>
    <row r="493" spans="5:7" x14ac:dyDescent="0.35">
      <c r="E493" s="9">
        <v>40305</v>
      </c>
      <c r="F493">
        <v>264</v>
      </c>
      <c r="G493" t="s">
        <v>5877</v>
      </c>
    </row>
    <row r="494" spans="5:7" x14ac:dyDescent="0.35">
      <c r="E494" s="9">
        <v>40306</v>
      </c>
      <c r="F494">
        <v>257.7</v>
      </c>
      <c r="G494" t="s">
        <v>5877</v>
      </c>
    </row>
    <row r="495" spans="5:7" x14ac:dyDescent="0.35">
      <c r="E495" s="9">
        <v>40307</v>
      </c>
      <c r="F495">
        <v>243.9</v>
      </c>
      <c r="G495" t="s">
        <v>5877</v>
      </c>
    </row>
    <row r="496" spans="5:7" x14ac:dyDescent="0.35">
      <c r="E496" s="9">
        <v>40308</v>
      </c>
      <c r="F496">
        <v>227.3</v>
      </c>
      <c r="G496" t="s">
        <v>5877</v>
      </c>
    </row>
    <row r="497" spans="5:7" x14ac:dyDescent="0.35">
      <c r="E497" s="9">
        <v>40309</v>
      </c>
      <c r="F497">
        <v>208.5</v>
      </c>
      <c r="G497" t="s">
        <v>5877</v>
      </c>
    </row>
    <row r="498" spans="5:7" x14ac:dyDescent="0.35">
      <c r="E498" s="9">
        <v>40310</v>
      </c>
      <c r="F498">
        <v>189.1</v>
      </c>
      <c r="G498" t="s">
        <v>5877</v>
      </c>
    </row>
    <row r="499" spans="5:7" x14ac:dyDescent="0.35">
      <c r="E499" s="9">
        <v>40311</v>
      </c>
      <c r="F499">
        <v>170.4</v>
      </c>
      <c r="G499" t="s">
        <v>5877</v>
      </c>
    </row>
    <row r="500" spans="5:7" x14ac:dyDescent="0.35">
      <c r="E500" s="9">
        <v>40312</v>
      </c>
      <c r="F500">
        <v>154.80000000000001</v>
      </c>
      <c r="G500" t="s">
        <v>5877</v>
      </c>
    </row>
    <row r="501" spans="5:7" x14ac:dyDescent="0.35">
      <c r="E501" s="9">
        <v>40313</v>
      </c>
      <c r="F501">
        <v>143.80000000000001</v>
      </c>
      <c r="G501" t="s">
        <v>5877</v>
      </c>
    </row>
    <row r="502" spans="5:7" x14ac:dyDescent="0.35">
      <c r="E502" s="9">
        <v>40314</v>
      </c>
      <c r="F502">
        <v>137.1</v>
      </c>
      <c r="G502" t="s">
        <v>5877</v>
      </c>
    </row>
    <row r="503" spans="5:7" x14ac:dyDescent="0.35">
      <c r="E503" s="9">
        <v>40315</v>
      </c>
      <c r="F503">
        <v>132.80000000000001</v>
      </c>
      <c r="G503" t="s">
        <v>5877</v>
      </c>
    </row>
    <row r="504" spans="5:7" x14ac:dyDescent="0.35">
      <c r="E504" s="9">
        <v>40316</v>
      </c>
      <c r="F504">
        <v>129.9</v>
      </c>
      <c r="G504" t="s">
        <v>5877</v>
      </c>
    </row>
    <row r="505" spans="5:7" x14ac:dyDescent="0.35">
      <c r="E505" s="9">
        <v>40317</v>
      </c>
      <c r="F505">
        <v>128</v>
      </c>
      <c r="G505" t="s">
        <v>5877</v>
      </c>
    </row>
    <row r="506" spans="5:7" x14ac:dyDescent="0.35">
      <c r="E506" s="9">
        <v>40318</v>
      </c>
      <c r="F506">
        <v>126.6</v>
      </c>
      <c r="G506" t="s">
        <v>5877</v>
      </c>
    </row>
    <row r="507" spans="5:7" x14ac:dyDescent="0.35">
      <c r="E507" s="9">
        <v>40319</v>
      </c>
      <c r="F507">
        <v>125.7</v>
      </c>
      <c r="G507" t="s">
        <v>5877</v>
      </c>
    </row>
    <row r="508" spans="5:7" x14ac:dyDescent="0.35">
      <c r="E508" s="9">
        <v>40320</v>
      </c>
      <c r="F508">
        <v>125</v>
      </c>
      <c r="G508" t="s">
        <v>5877</v>
      </c>
    </row>
    <row r="509" spans="5:7" x14ac:dyDescent="0.35">
      <c r="E509" s="9">
        <v>40321</v>
      </c>
      <c r="F509">
        <v>124.6</v>
      </c>
      <c r="G509" t="s">
        <v>5877</v>
      </c>
    </row>
    <row r="510" spans="5:7" x14ac:dyDescent="0.35">
      <c r="E510" s="9">
        <v>40322</v>
      </c>
      <c r="F510">
        <v>124.3</v>
      </c>
      <c r="G510" t="s">
        <v>5877</v>
      </c>
    </row>
    <row r="511" spans="5:7" x14ac:dyDescent="0.35">
      <c r="E511" s="9">
        <v>40323</v>
      </c>
      <c r="F511">
        <v>124.2</v>
      </c>
      <c r="G511" t="s">
        <v>5877</v>
      </c>
    </row>
    <row r="512" spans="5:7" x14ac:dyDescent="0.35">
      <c r="E512" s="9">
        <v>40324</v>
      </c>
      <c r="F512">
        <v>124.1</v>
      </c>
      <c r="G512" t="s">
        <v>5877</v>
      </c>
    </row>
    <row r="513" spans="5:7" x14ac:dyDescent="0.35">
      <c r="E513" s="9">
        <v>40325</v>
      </c>
      <c r="F513">
        <v>124</v>
      </c>
      <c r="G513" t="s">
        <v>5877</v>
      </c>
    </row>
    <row r="514" spans="5:7" x14ac:dyDescent="0.35">
      <c r="E514" s="9">
        <v>40326</v>
      </c>
      <c r="F514">
        <v>124</v>
      </c>
      <c r="G514" t="s">
        <v>5877</v>
      </c>
    </row>
    <row r="515" spans="5:7" x14ac:dyDescent="0.35">
      <c r="E515" s="9">
        <v>40327</v>
      </c>
      <c r="F515">
        <v>124</v>
      </c>
      <c r="G515" t="s">
        <v>5877</v>
      </c>
    </row>
    <row r="516" spans="5:7" x14ac:dyDescent="0.35">
      <c r="E516" s="9">
        <v>40328</v>
      </c>
      <c r="F516">
        <v>124.5</v>
      </c>
      <c r="G516" t="s">
        <v>5877</v>
      </c>
    </row>
    <row r="517" spans="5:7" x14ac:dyDescent="0.35">
      <c r="E517" s="9">
        <v>40329</v>
      </c>
      <c r="F517">
        <v>125.8</v>
      </c>
      <c r="G517" t="s">
        <v>5877</v>
      </c>
    </row>
    <row r="518" spans="5:7" x14ac:dyDescent="0.35">
      <c r="E518" s="9">
        <v>40330</v>
      </c>
      <c r="F518">
        <v>129</v>
      </c>
      <c r="G518" t="s">
        <v>5877</v>
      </c>
    </row>
    <row r="519" spans="5:7" x14ac:dyDescent="0.35">
      <c r="E519" s="9">
        <v>40331</v>
      </c>
      <c r="F519">
        <v>92.5</v>
      </c>
      <c r="G519" t="s">
        <v>5877</v>
      </c>
    </row>
    <row r="520" spans="5:7" x14ac:dyDescent="0.35">
      <c r="E520" s="9">
        <v>40332</v>
      </c>
      <c r="F520">
        <v>96.2</v>
      </c>
      <c r="G520" t="s">
        <v>5877</v>
      </c>
    </row>
    <row r="521" spans="5:7" x14ac:dyDescent="0.35">
      <c r="E521" s="9">
        <v>40333</v>
      </c>
      <c r="F521">
        <v>96.2</v>
      </c>
      <c r="G521" t="s">
        <v>5877</v>
      </c>
    </row>
    <row r="522" spans="5:7" x14ac:dyDescent="0.35">
      <c r="E522" s="9">
        <v>40334</v>
      </c>
      <c r="F522">
        <v>93.8</v>
      </c>
      <c r="G522" t="s">
        <v>5877</v>
      </c>
    </row>
    <row r="523" spans="5:7" x14ac:dyDescent="0.35">
      <c r="E523" s="9">
        <v>40335</v>
      </c>
      <c r="F523">
        <v>90.7</v>
      </c>
      <c r="G523" t="s">
        <v>5877</v>
      </c>
    </row>
    <row r="524" spans="5:7" x14ac:dyDescent="0.35">
      <c r="E524" s="9">
        <v>40336</v>
      </c>
      <c r="F524">
        <v>88.2</v>
      </c>
      <c r="G524" t="s">
        <v>5877</v>
      </c>
    </row>
    <row r="525" spans="5:7" x14ac:dyDescent="0.35">
      <c r="E525" s="9">
        <v>40337</v>
      </c>
      <c r="F525">
        <v>86.7</v>
      </c>
      <c r="G525" t="s">
        <v>5877</v>
      </c>
    </row>
    <row r="526" spans="5:7" x14ac:dyDescent="0.35">
      <c r="E526" s="9">
        <v>40338</v>
      </c>
      <c r="F526">
        <v>85.8</v>
      </c>
      <c r="G526" t="s">
        <v>5877</v>
      </c>
    </row>
    <row r="527" spans="5:7" x14ac:dyDescent="0.35">
      <c r="E527" s="9">
        <v>40339</v>
      </c>
      <c r="F527">
        <v>85.1</v>
      </c>
      <c r="G527" t="s">
        <v>5877</v>
      </c>
    </row>
    <row r="528" spans="5:7" x14ac:dyDescent="0.35">
      <c r="E528" s="9">
        <v>40340</v>
      </c>
      <c r="F528">
        <v>86.6</v>
      </c>
      <c r="G528" t="s">
        <v>5877</v>
      </c>
    </row>
    <row r="529" spans="5:7" x14ac:dyDescent="0.35">
      <c r="E529" s="9">
        <v>40341</v>
      </c>
      <c r="F529">
        <v>92</v>
      </c>
      <c r="G529" t="s">
        <v>5877</v>
      </c>
    </row>
    <row r="530" spans="5:7" x14ac:dyDescent="0.35">
      <c r="E530" s="9">
        <v>40342</v>
      </c>
      <c r="F530">
        <v>99.2</v>
      </c>
      <c r="G530" t="s">
        <v>5877</v>
      </c>
    </row>
    <row r="531" spans="5:7" x14ac:dyDescent="0.35">
      <c r="E531" s="9">
        <v>40343</v>
      </c>
      <c r="F531">
        <v>102.4</v>
      </c>
      <c r="G531" t="s">
        <v>5877</v>
      </c>
    </row>
    <row r="532" spans="5:7" x14ac:dyDescent="0.35">
      <c r="E532" s="9">
        <v>40344</v>
      </c>
      <c r="F532">
        <v>101.2</v>
      </c>
      <c r="G532" t="s">
        <v>5877</v>
      </c>
    </row>
    <row r="533" spans="5:7" x14ac:dyDescent="0.35">
      <c r="E533" s="9">
        <v>40345</v>
      </c>
      <c r="F533">
        <v>97.5</v>
      </c>
      <c r="G533" t="s">
        <v>5877</v>
      </c>
    </row>
    <row r="534" spans="5:7" x14ac:dyDescent="0.35">
      <c r="E534" s="9">
        <v>40346</v>
      </c>
      <c r="F534">
        <v>93.3</v>
      </c>
      <c r="G534" t="s">
        <v>5877</v>
      </c>
    </row>
    <row r="535" spans="5:7" x14ac:dyDescent="0.35">
      <c r="E535" s="9">
        <v>40347</v>
      </c>
      <c r="F535">
        <v>90.1</v>
      </c>
      <c r="G535" t="s">
        <v>5877</v>
      </c>
    </row>
    <row r="536" spans="5:7" x14ac:dyDescent="0.35">
      <c r="E536" s="9">
        <v>40348</v>
      </c>
      <c r="F536">
        <v>87.8</v>
      </c>
      <c r="G536" t="s">
        <v>5877</v>
      </c>
    </row>
    <row r="537" spans="5:7" x14ac:dyDescent="0.35">
      <c r="E537" s="9">
        <v>40349</v>
      </c>
      <c r="F537">
        <v>86.1</v>
      </c>
      <c r="G537" t="s">
        <v>5877</v>
      </c>
    </row>
    <row r="538" spans="5:7" x14ac:dyDescent="0.35">
      <c r="E538" s="9">
        <v>40350</v>
      </c>
      <c r="F538">
        <v>85</v>
      </c>
      <c r="G538" t="s">
        <v>5877</v>
      </c>
    </row>
    <row r="539" spans="5:7" x14ac:dyDescent="0.35">
      <c r="E539" s="9">
        <v>40351</v>
      </c>
      <c r="F539">
        <v>84.3</v>
      </c>
      <c r="G539" t="s">
        <v>5877</v>
      </c>
    </row>
    <row r="540" spans="5:7" x14ac:dyDescent="0.35">
      <c r="E540" s="9">
        <v>40352</v>
      </c>
      <c r="F540">
        <v>83.9</v>
      </c>
      <c r="G540" t="s">
        <v>5877</v>
      </c>
    </row>
    <row r="541" spans="5:7" x14ac:dyDescent="0.35">
      <c r="E541" s="9">
        <v>40353</v>
      </c>
      <c r="F541">
        <v>83.7</v>
      </c>
      <c r="G541" t="s">
        <v>5877</v>
      </c>
    </row>
    <row r="542" spans="5:7" x14ac:dyDescent="0.35">
      <c r="E542" s="9">
        <v>40354</v>
      </c>
      <c r="F542">
        <v>83.7</v>
      </c>
      <c r="G542" t="s">
        <v>5877</v>
      </c>
    </row>
    <row r="543" spans="5:7" x14ac:dyDescent="0.35">
      <c r="E543" s="9">
        <v>40355</v>
      </c>
      <c r="F543">
        <v>83.8</v>
      </c>
      <c r="G543" t="s">
        <v>5877</v>
      </c>
    </row>
    <row r="544" spans="5:7" x14ac:dyDescent="0.35">
      <c r="E544" s="9">
        <v>40356</v>
      </c>
      <c r="F544">
        <v>84</v>
      </c>
      <c r="G544" t="s">
        <v>5877</v>
      </c>
    </row>
    <row r="545" spans="5:7" x14ac:dyDescent="0.35">
      <c r="E545" s="9">
        <v>40357</v>
      </c>
      <c r="F545">
        <v>84</v>
      </c>
      <c r="G545" t="s">
        <v>5877</v>
      </c>
    </row>
    <row r="546" spans="5:7" x14ac:dyDescent="0.35">
      <c r="E546" s="9">
        <v>40358</v>
      </c>
      <c r="F546">
        <v>83.8</v>
      </c>
      <c r="G546" t="s">
        <v>5877</v>
      </c>
    </row>
    <row r="547" spans="5:7" x14ac:dyDescent="0.35">
      <c r="E547" s="9">
        <v>40359</v>
      </c>
      <c r="F547">
        <v>83.7</v>
      </c>
      <c r="G547" t="s">
        <v>5877</v>
      </c>
    </row>
    <row r="548" spans="5:7" x14ac:dyDescent="0.35">
      <c r="E548" s="9">
        <v>40360</v>
      </c>
      <c r="F548">
        <v>83.5</v>
      </c>
      <c r="G548" t="s">
        <v>5877</v>
      </c>
    </row>
    <row r="549" spans="5:7" x14ac:dyDescent="0.35">
      <c r="E549" s="9">
        <v>40361</v>
      </c>
      <c r="F549">
        <v>60.4</v>
      </c>
      <c r="G549" t="s">
        <v>5877</v>
      </c>
    </row>
    <row r="550" spans="5:7" x14ac:dyDescent="0.35">
      <c r="E550" s="9">
        <v>40362</v>
      </c>
      <c r="F550">
        <v>60.3</v>
      </c>
      <c r="G550" t="s">
        <v>5877</v>
      </c>
    </row>
    <row r="551" spans="5:7" x14ac:dyDescent="0.35">
      <c r="E551" s="9">
        <v>40363</v>
      </c>
      <c r="F551">
        <v>60.3</v>
      </c>
      <c r="G551" t="s">
        <v>5877</v>
      </c>
    </row>
    <row r="552" spans="5:7" x14ac:dyDescent="0.35">
      <c r="E552" s="9">
        <v>40364</v>
      </c>
      <c r="F552">
        <v>60.3</v>
      </c>
      <c r="G552" t="s">
        <v>5877</v>
      </c>
    </row>
    <row r="553" spans="5:7" x14ac:dyDescent="0.35">
      <c r="E553" s="9">
        <v>40365</v>
      </c>
      <c r="F553">
        <v>60.4</v>
      </c>
      <c r="G553" t="s">
        <v>5877</v>
      </c>
    </row>
    <row r="554" spans="5:7" x14ac:dyDescent="0.35">
      <c r="E554" s="9">
        <v>40366</v>
      </c>
      <c r="F554">
        <v>60.4</v>
      </c>
      <c r="G554" t="s">
        <v>5877</v>
      </c>
    </row>
    <row r="555" spans="5:7" x14ac:dyDescent="0.35">
      <c r="E555" s="9">
        <v>40367</v>
      </c>
      <c r="F555">
        <v>60.3</v>
      </c>
      <c r="G555" t="s">
        <v>5877</v>
      </c>
    </row>
    <row r="556" spans="5:7" x14ac:dyDescent="0.35">
      <c r="E556" s="9">
        <v>40368</v>
      </c>
      <c r="F556">
        <v>60.2</v>
      </c>
      <c r="G556" t="s">
        <v>5877</v>
      </c>
    </row>
    <row r="557" spans="5:7" x14ac:dyDescent="0.35">
      <c r="E557" s="9">
        <v>40369</v>
      </c>
      <c r="F557">
        <v>60.1</v>
      </c>
      <c r="G557" t="s">
        <v>5877</v>
      </c>
    </row>
    <row r="558" spans="5:7" x14ac:dyDescent="0.35">
      <c r="E558" s="9">
        <v>40370</v>
      </c>
      <c r="F558">
        <v>60.1</v>
      </c>
      <c r="G558" t="s">
        <v>5877</v>
      </c>
    </row>
    <row r="559" spans="5:7" x14ac:dyDescent="0.35">
      <c r="E559" s="9">
        <v>40371</v>
      </c>
      <c r="F559">
        <v>60.1</v>
      </c>
      <c r="G559" t="s">
        <v>5877</v>
      </c>
    </row>
    <row r="560" spans="5:7" x14ac:dyDescent="0.35">
      <c r="E560" s="9">
        <v>40372</v>
      </c>
      <c r="F560">
        <v>60</v>
      </c>
      <c r="G560" t="s">
        <v>5877</v>
      </c>
    </row>
    <row r="561" spans="5:7" x14ac:dyDescent="0.35">
      <c r="E561" s="9">
        <v>40373</v>
      </c>
      <c r="F561">
        <v>60</v>
      </c>
      <c r="G561" t="s">
        <v>5877</v>
      </c>
    </row>
    <row r="562" spans="5:7" x14ac:dyDescent="0.35">
      <c r="E562" s="9">
        <v>40374</v>
      </c>
      <c r="F562">
        <v>60</v>
      </c>
      <c r="G562" t="s">
        <v>5877</v>
      </c>
    </row>
    <row r="563" spans="5:7" x14ac:dyDescent="0.35">
      <c r="E563" s="9">
        <v>40375</v>
      </c>
      <c r="F563">
        <v>60.3</v>
      </c>
      <c r="G563" t="s">
        <v>5877</v>
      </c>
    </row>
    <row r="564" spans="5:7" x14ac:dyDescent="0.35">
      <c r="E564" s="9">
        <v>40376</v>
      </c>
      <c r="F564">
        <v>61.9</v>
      </c>
      <c r="G564" t="s">
        <v>5877</v>
      </c>
    </row>
    <row r="565" spans="5:7" x14ac:dyDescent="0.35">
      <c r="E565" s="9">
        <v>40377</v>
      </c>
      <c r="F565">
        <v>65.2</v>
      </c>
      <c r="G565" t="s">
        <v>5877</v>
      </c>
    </row>
    <row r="566" spans="5:7" x14ac:dyDescent="0.35">
      <c r="E566" s="9">
        <v>40378</v>
      </c>
      <c r="F566">
        <v>68.5</v>
      </c>
      <c r="G566" t="s">
        <v>5877</v>
      </c>
    </row>
    <row r="567" spans="5:7" x14ac:dyDescent="0.35">
      <c r="E567" s="9">
        <v>40379</v>
      </c>
      <c r="F567">
        <v>69.5</v>
      </c>
      <c r="G567" t="s">
        <v>5877</v>
      </c>
    </row>
    <row r="568" spans="5:7" x14ac:dyDescent="0.35">
      <c r="E568" s="9">
        <v>40380</v>
      </c>
      <c r="F568">
        <v>68.8</v>
      </c>
      <c r="G568" t="s">
        <v>5877</v>
      </c>
    </row>
    <row r="569" spans="5:7" x14ac:dyDescent="0.35">
      <c r="E569" s="9">
        <v>40381</v>
      </c>
      <c r="F569">
        <v>67.8</v>
      </c>
      <c r="G569" t="s">
        <v>5877</v>
      </c>
    </row>
    <row r="570" spans="5:7" x14ac:dyDescent="0.35">
      <c r="E570" s="9">
        <v>40382</v>
      </c>
      <c r="F570">
        <v>67.5</v>
      </c>
      <c r="G570" t="s">
        <v>5877</v>
      </c>
    </row>
    <row r="571" spans="5:7" x14ac:dyDescent="0.35">
      <c r="E571" s="9">
        <v>40383</v>
      </c>
      <c r="F571">
        <v>67.2</v>
      </c>
      <c r="G571" t="s">
        <v>5877</v>
      </c>
    </row>
    <row r="572" spans="5:7" x14ac:dyDescent="0.35">
      <c r="E572" s="9">
        <v>40384</v>
      </c>
      <c r="F572">
        <v>66.099999999999994</v>
      </c>
      <c r="G572" t="s">
        <v>5877</v>
      </c>
    </row>
    <row r="573" spans="5:7" x14ac:dyDescent="0.35">
      <c r="E573" s="9">
        <v>40385</v>
      </c>
      <c r="F573">
        <v>64.599999999999994</v>
      </c>
      <c r="G573" t="s">
        <v>5877</v>
      </c>
    </row>
    <row r="574" spans="5:7" x14ac:dyDescent="0.35">
      <c r="E574" s="9">
        <v>40386</v>
      </c>
      <c r="F574">
        <v>63.1</v>
      </c>
      <c r="G574" t="s">
        <v>5877</v>
      </c>
    </row>
    <row r="575" spans="5:7" x14ac:dyDescent="0.35">
      <c r="E575" s="9">
        <v>40387</v>
      </c>
      <c r="F575">
        <v>62.7</v>
      </c>
      <c r="G575" t="s">
        <v>5877</v>
      </c>
    </row>
    <row r="576" spans="5:7" x14ac:dyDescent="0.35">
      <c r="E576" s="9">
        <v>40388</v>
      </c>
      <c r="F576">
        <v>63.9</v>
      </c>
      <c r="G576" t="s">
        <v>5877</v>
      </c>
    </row>
    <row r="577" spans="5:7" x14ac:dyDescent="0.35">
      <c r="E577" s="9">
        <v>40389</v>
      </c>
      <c r="F577">
        <v>66.2</v>
      </c>
      <c r="G577" t="s">
        <v>5877</v>
      </c>
    </row>
    <row r="578" spans="5:7" x14ac:dyDescent="0.35">
      <c r="E578" s="9">
        <v>40390</v>
      </c>
      <c r="F578">
        <v>68.400000000000006</v>
      </c>
      <c r="G578" t="s">
        <v>5877</v>
      </c>
    </row>
    <row r="579" spans="5:7" x14ac:dyDescent="0.35">
      <c r="E579" s="9">
        <v>40391</v>
      </c>
      <c r="F579">
        <v>70.099999999999994</v>
      </c>
      <c r="G579" t="s">
        <v>5877</v>
      </c>
    </row>
    <row r="580" spans="5:7" x14ac:dyDescent="0.35">
      <c r="E580" s="9">
        <v>40392</v>
      </c>
      <c r="F580">
        <v>75.599999999999994</v>
      </c>
      <c r="G580" t="s">
        <v>5877</v>
      </c>
    </row>
    <row r="581" spans="5:7" x14ac:dyDescent="0.35">
      <c r="E581" s="9">
        <v>40393</v>
      </c>
      <c r="F581">
        <v>74.2</v>
      </c>
      <c r="G581" t="s">
        <v>5877</v>
      </c>
    </row>
    <row r="582" spans="5:7" x14ac:dyDescent="0.35">
      <c r="E582" s="9">
        <v>40394</v>
      </c>
      <c r="F582">
        <v>71.900000000000006</v>
      </c>
      <c r="G582" t="s">
        <v>5877</v>
      </c>
    </row>
    <row r="583" spans="5:7" x14ac:dyDescent="0.35">
      <c r="E583" s="9">
        <v>40395</v>
      </c>
      <c r="F583">
        <v>69.7</v>
      </c>
      <c r="G583" t="s">
        <v>5877</v>
      </c>
    </row>
    <row r="584" spans="5:7" x14ac:dyDescent="0.35">
      <c r="E584" s="9">
        <v>40396</v>
      </c>
      <c r="F584">
        <v>68.099999999999994</v>
      </c>
      <c r="G584" t="s">
        <v>5877</v>
      </c>
    </row>
    <row r="585" spans="5:7" x14ac:dyDescent="0.35">
      <c r="E585" s="9">
        <v>40397</v>
      </c>
      <c r="F585">
        <v>67.2</v>
      </c>
      <c r="G585" t="s">
        <v>5877</v>
      </c>
    </row>
    <row r="586" spans="5:7" x14ac:dyDescent="0.35">
      <c r="E586" s="9">
        <v>40398</v>
      </c>
      <c r="F586">
        <v>69.900000000000006</v>
      </c>
      <c r="G586" t="s">
        <v>5877</v>
      </c>
    </row>
    <row r="587" spans="5:7" x14ac:dyDescent="0.35">
      <c r="E587" s="9">
        <v>40399</v>
      </c>
      <c r="F587">
        <v>76.900000000000006</v>
      </c>
      <c r="G587" t="s">
        <v>5877</v>
      </c>
    </row>
    <row r="588" spans="5:7" x14ac:dyDescent="0.35">
      <c r="E588" s="9">
        <v>40400</v>
      </c>
      <c r="F588">
        <v>85</v>
      </c>
      <c r="G588" t="s">
        <v>5877</v>
      </c>
    </row>
    <row r="589" spans="5:7" x14ac:dyDescent="0.35">
      <c r="E589" s="9">
        <v>40401</v>
      </c>
      <c r="F589">
        <v>88.3</v>
      </c>
      <c r="G589" t="s">
        <v>5877</v>
      </c>
    </row>
    <row r="590" spans="5:7" x14ac:dyDescent="0.35">
      <c r="E590" s="9">
        <v>40402</v>
      </c>
      <c r="F590">
        <v>89.4</v>
      </c>
      <c r="G590" t="s">
        <v>5877</v>
      </c>
    </row>
    <row r="591" spans="5:7" x14ac:dyDescent="0.35">
      <c r="E591" s="9">
        <v>40403</v>
      </c>
      <c r="F591">
        <v>88.4</v>
      </c>
      <c r="G591" t="s">
        <v>5877</v>
      </c>
    </row>
    <row r="592" spans="5:7" x14ac:dyDescent="0.35">
      <c r="E592" s="9">
        <v>40404</v>
      </c>
      <c r="F592">
        <v>84.4</v>
      </c>
      <c r="G592" t="s">
        <v>5877</v>
      </c>
    </row>
    <row r="593" spans="5:7" x14ac:dyDescent="0.35">
      <c r="E593" s="9">
        <v>40405</v>
      </c>
      <c r="F593">
        <v>79.900000000000006</v>
      </c>
      <c r="G593" t="s">
        <v>5877</v>
      </c>
    </row>
    <row r="594" spans="5:7" x14ac:dyDescent="0.35">
      <c r="E594" s="9">
        <v>40406</v>
      </c>
      <c r="F594">
        <v>75.099999999999994</v>
      </c>
      <c r="G594" t="s">
        <v>5877</v>
      </c>
    </row>
    <row r="595" spans="5:7" x14ac:dyDescent="0.35">
      <c r="E595" s="9">
        <v>40407</v>
      </c>
      <c r="F595">
        <v>71.400000000000006</v>
      </c>
      <c r="G595" t="s">
        <v>5877</v>
      </c>
    </row>
    <row r="596" spans="5:7" x14ac:dyDescent="0.35">
      <c r="E596" s="9">
        <v>40408</v>
      </c>
      <c r="F596">
        <v>69.2</v>
      </c>
      <c r="G596" t="s">
        <v>5877</v>
      </c>
    </row>
    <row r="597" spans="5:7" x14ac:dyDescent="0.35">
      <c r="E597" s="9">
        <v>40409</v>
      </c>
      <c r="F597">
        <v>67.7</v>
      </c>
      <c r="G597" t="s">
        <v>5877</v>
      </c>
    </row>
    <row r="598" spans="5:7" x14ac:dyDescent="0.35">
      <c r="E598" s="9">
        <v>40410</v>
      </c>
      <c r="F598">
        <v>66.8</v>
      </c>
      <c r="G598" t="s">
        <v>5877</v>
      </c>
    </row>
    <row r="599" spans="5:7" x14ac:dyDescent="0.35">
      <c r="E599" s="9">
        <v>40411</v>
      </c>
      <c r="F599">
        <v>66.7</v>
      </c>
      <c r="G599" t="s">
        <v>5877</v>
      </c>
    </row>
    <row r="600" spans="5:7" x14ac:dyDescent="0.35">
      <c r="E600" s="9">
        <v>40412</v>
      </c>
      <c r="F600">
        <v>68.3</v>
      </c>
      <c r="G600" t="s">
        <v>5877</v>
      </c>
    </row>
    <row r="601" spans="5:7" x14ac:dyDescent="0.35">
      <c r="E601" s="9">
        <v>40413</v>
      </c>
      <c r="F601">
        <v>71.099999999999994</v>
      </c>
      <c r="G601" t="s">
        <v>5877</v>
      </c>
    </row>
    <row r="602" spans="5:7" x14ac:dyDescent="0.35">
      <c r="E602" s="9">
        <v>40414</v>
      </c>
      <c r="F602">
        <v>73.2</v>
      </c>
      <c r="G602" t="s">
        <v>5877</v>
      </c>
    </row>
    <row r="603" spans="5:7" x14ac:dyDescent="0.35">
      <c r="E603" s="9">
        <v>40415</v>
      </c>
      <c r="F603">
        <v>73.3</v>
      </c>
      <c r="G603" t="s">
        <v>5877</v>
      </c>
    </row>
    <row r="604" spans="5:7" x14ac:dyDescent="0.35">
      <c r="E604" s="9">
        <v>40416</v>
      </c>
      <c r="F604">
        <v>72.5</v>
      </c>
      <c r="G604" t="s">
        <v>5877</v>
      </c>
    </row>
    <row r="605" spans="5:7" x14ac:dyDescent="0.35">
      <c r="E605" s="9">
        <v>40417</v>
      </c>
      <c r="F605">
        <v>71.3</v>
      </c>
      <c r="G605" t="s">
        <v>5877</v>
      </c>
    </row>
    <row r="606" spans="5:7" x14ac:dyDescent="0.35">
      <c r="E606" s="9">
        <v>40418</v>
      </c>
      <c r="F606">
        <v>73.3</v>
      </c>
      <c r="G606" t="s">
        <v>5877</v>
      </c>
    </row>
    <row r="607" spans="5:7" x14ac:dyDescent="0.35">
      <c r="E607" s="9">
        <v>40419</v>
      </c>
      <c r="F607">
        <v>81.099999999999994</v>
      </c>
      <c r="G607" t="s">
        <v>5877</v>
      </c>
    </row>
    <row r="608" spans="5:7" x14ac:dyDescent="0.35">
      <c r="E608" s="9">
        <v>40420</v>
      </c>
      <c r="F608">
        <v>94</v>
      </c>
      <c r="G608" t="s">
        <v>5877</v>
      </c>
    </row>
    <row r="609" spans="5:7" x14ac:dyDescent="0.35">
      <c r="E609" s="9">
        <v>40421</v>
      </c>
      <c r="F609">
        <v>105.9</v>
      </c>
      <c r="G609" t="s">
        <v>5877</v>
      </c>
    </row>
    <row r="610" spans="5:7" x14ac:dyDescent="0.35">
      <c r="E610" s="9">
        <v>40422</v>
      </c>
      <c r="F610">
        <v>114.5</v>
      </c>
      <c r="G610" t="s">
        <v>5877</v>
      </c>
    </row>
    <row r="611" spans="5:7" x14ac:dyDescent="0.35">
      <c r="E611" s="9">
        <v>40423</v>
      </c>
      <c r="F611">
        <v>142.19999999999999</v>
      </c>
      <c r="G611" t="s">
        <v>5877</v>
      </c>
    </row>
    <row r="612" spans="5:7" x14ac:dyDescent="0.35">
      <c r="E612" s="9">
        <v>40424</v>
      </c>
      <c r="F612">
        <v>137</v>
      </c>
      <c r="G612" t="s">
        <v>5877</v>
      </c>
    </row>
    <row r="613" spans="5:7" x14ac:dyDescent="0.35">
      <c r="E613" s="9">
        <v>40425</v>
      </c>
      <c r="F613">
        <v>131.6</v>
      </c>
      <c r="G613" t="s">
        <v>5877</v>
      </c>
    </row>
    <row r="614" spans="5:7" x14ac:dyDescent="0.35">
      <c r="E614" s="9">
        <v>40426</v>
      </c>
      <c r="F614">
        <v>131.5</v>
      </c>
      <c r="G614" t="s">
        <v>5877</v>
      </c>
    </row>
    <row r="615" spans="5:7" x14ac:dyDescent="0.35">
      <c r="E615" s="9">
        <v>40427</v>
      </c>
      <c r="F615">
        <v>137.5</v>
      </c>
      <c r="G615" t="s">
        <v>5877</v>
      </c>
    </row>
    <row r="616" spans="5:7" x14ac:dyDescent="0.35">
      <c r="E616" s="9">
        <v>40428</v>
      </c>
      <c r="F616">
        <v>146.30000000000001</v>
      </c>
      <c r="G616" t="s">
        <v>5877</v>
      </c>
    </row>
    <row r="617" spans="5:7" x14ac:dyDescent="0.35">
      <c r="E617" s="9">
        <v>40429</v>
      </c>
      <c r="F617">
        <v>151.6</v>
      </c>
      <c r="G617" t="s">
        <v>5877</v>
      </c>
    </row>
    <row r="618" spans="5:7" x14ac:dyDescent="0.35">
      <c r="E618" s="9">
        <v>40430</v>
      </c>
      <c r="F618">
        <v>155.9</v>
      </c>
      <c r="G618" t="s">
        <v>5877</v>
      </c>
    </row>
    <row r="619" spans="5:7" x14ac:dyDescent="0.35">
      <c r="E619" s="9">
        <v>40431</v>
      </c>
      <c r="F619">
        <v>158.1</v>
      </c>
      <c r="G619" t="s">
        <v>5877</v>
      </c>
    </row>
    <row r="620" spans="5:7" x14ac:dyDescent="0.35">
      <c r="E620" s="9">
        <v>40432</v>
      </c>
      <c r="F620">
        <v>157.69999999999999</v>
      </c>
      <c r="G620" t="s">
        <v>5877</v>
      </c>
    </row>
    <row r="621" spans="5:7" x14ac:dyDescent="0.35">
      <c r="E621" s="9">
        <v>40433</v>
      </c>
      <c r="F621">
        <v>163.4</v>
      </c>
      <c r="G621" t="s">
        <v>5877</v>
      </c>
    </row>
    <row r="622" spans="5:7" x14ac:dyDescent="0.35">
      <c r="E622" s="9">
        <v>40434</v>
      </c>
      <c r="F622">
        <v>171.3</v>
      </c>
      <c r="G622" t="s">
        <v>5877</v>
      </c>
    </row>
    <row r="623" spans="5:7" x14ac:dyDescent="0.35">
      <c r="E623" s="9">
        <v>40435</v>
      </c>
      <c r="F623">
        <v>167.5</v>
      </c>
      <c r="G623" t="s">
        <v>5877</v>
      </c>
    </row>
    <row r="624" spans="5:7" x14ac:dyDescent="0.35">
      <c r="E624" s="9">
        <v>40436</v>
      </c>
      <c r="F624">
        <v>154.9</v>
      </c>
      <c r="G624" t="s">
        <v>5877</v>
      </c>
    </row>
    <row r="625" spans="5:7" x14ac:dyDescent="0.35">
      <c r="E625" s="9">
        <v>40437</v>
      </c>
      <c r="F625">
        <v>137.80000000000001</v>
      </c>
      <c r="G625" t="s">
        <v>5877</v>
      </c>
    </row>
    <row r="626" spans="5:7" x14ac:dyDescent="0.35">
      <c r="E626" s="9">
        <v>40438</v>
      </c>
      <c r="F626">
        <v>123.8</v>
      </c>
      <c r="G626" t="s">
        <v>5877</v>
      </c>
    </row>
    <row r="627" spans="5:7" x14ac:dyDescent="0.35">
      <c r="E627" s="9">
        <v>40439</v>
      </c>
      <c r="F627">
        <v>121.6</v>
      </c>
      <c r="G627" t="s">
        <v>5877</v>
      </c>
    </row>
    <row r="628" spans="5:7" x14ac:dyDescent="0.35">
      <c r="E628" s="9">
        <v>40440</v>
      </c>
      <c r="F628">
        <v>130.9</v>
      </c>
      <c r="G628" t="s">
        <v>5877</v>
      </c>
    </row>
    <row r="629" spans="5:7" x14ac:dyDescent="0.35">
      <c r="E629" s="9">
        <v>40441</v>
      </c>
      <c r="F629">
        <v>143.6</v>
      </c>
      <c r="G629" t="s">
        <v>5877</v>
      </c>
    </row>
    <row r="630" spans="5:7" x14ac:dyDescent="0.35">
      <c r="E630" s="9">
        <v>40442</v>
      </c>
      <c r="F630">
        <v>151.6</v>
      </c>
      <c r="G630" t="s">
        <v>5877</v>
      </c>
    </row>
    <row r="631" spans="5:7" x14ac:dyDescent="0.35">
      <c r="E631" s="9">
        <v>40443</v>
      </c>
      <c r="F631">
        <v>154.5</v>
      </c>
      <c r="G631" t="s">
        <v>5877</v>
      </c>
    </row>
    <row r="632" spans="5:7" x14ac:dyDescent="0.35">
      <c r="E632" s="9">
        <v>40444</v>
      </c>
      <c r="F632">
        <v>156.30000000000001</v>
      </c>
      <c r="G632" t="s">
        <v>5877</v>
      </c>
    </row>
    <row r="633" spans="5:7" x14ac:dyDescent="0.35">
      <c r="E633" s="9">
        <v>40445</v>
      </c>
      <c r="F633">
        <v>156.5</v>
      </c>
      <c r="G633" t="s">
        <v>5877</v>
      </c>
    </row>
    <row r="634" spans="5:7" x14ac:dyDescent="0.35">
      <c r="E634" s="9">
        <v>40446</v>
      </c>
      <c r="F634">
        <v>157.69999999999999</v>
      </c>
      <c r="G634" t="s">
        <v>5877</v>
      </c>
    </row>
    <row r="635" spans="5:7" x14ac:dyDescent="0.35">
      <c r="E635" s="9">
        <v>40447</v>
      </c>
      <c r="F635">
        <v>153.4</v>
      </c>
      <c r="G635" t="s">
        <v>5877</v>
      </c>
    </row>
    <row r="636" spans="5:7" x14ac:dyDescent="0.35">
      <c r="E636" s="9">
        <v>40448</v>
      </c>
      <c r="F636">
        <v>144.69999999999999</v>
      </c>
      <c r="G636" t="s">
        <v>5877</v>
      </c>
    </row>
    <row r="637" spans="5:7" x14ac:dyDescent="0.35">
      <c r="E637" s="9">
        <v>40449</v>
      </c>
      <c r="F637">
        <v>137.5</v>
      </c>
      <c r="G637" t="s">
        <v>5877</v>
      </c>
    </row>
    <row r="638" spans="5:7" x14ac:dyDescent="0.35">
      <c r="E638" s="9">
        <v>40450</v>
      </c>
      <c r="F638">
        <v>140.4</v>
      </c>
      <c r="G638" t="s">
        <v>5877</v>
      </c>
    </row>
    <row r="639" spans="5:7" x14ac:dyDescent="0.35">
      <c r="E639" s="9">
        <v>40451</v>
      </c>
      <c r="F639">
        <v>153.6</v>
      </c>
      <c r="G639" t="s">
        <v>5877</v>
      </c>
    </row>
    <row r="640" spans="5:7" x14ac:dyDescent="0.35">
      <c r="E640" s="9">
        <v>40452</v>
      </c>
      <c r="F640">
        <v>163.19999999999999</v>
      </c>
      <c r="G640" t="s">
        <v>5877</v>
      </c>
    </row>
    <row r="641" spans="5:7" x14ac:dyDescent="0.35">
      <c r="E641" s="9">
        <v>40453</v>
      </c>
      <c r="F641">
        <v>177.3</v>
      </c>
      <c r="G641" t="s">
        <v>5877</v>
      </c>
    </row>
    <row r="642" spans="5:7" x14ac:dyDescent="0.35">
      <c r="E642" s="9">
        <v>40454</v>
      </c>
      <c r="F642">
        <v>166.9</v>
      </c>
      <c r="G642" t="s">
        <v>5877</v>
      </c>
    </row>
    <row r="643" spans="5:7" x14ac:dyDescent="0.35">
      <c r="E643" s="9">
        <v>40455</v>
      </c>
      <c r="F643">
        <v>162.69999999999999</v>
      </c>
      <c r="G643" t="s">
        <v>5877</v>
      </c>
    </row>
    <row r="644" spans="5:7" x14ac:dyDescent="0.35">
      <c r="E644" s="9">
        <v>40456</v>
      </c>
      <c r="F644">
        <v>174.2</v>
      </c>
      <c r="G644" t="s">
        <v>5877</v>
      </c>
    </row>
    <row r="645" spans="5:7" x14ac:dyDescent="0.35">
      <c r="E645" s="9">
        <v>40457</v>
      </c>
      <c r="F645">
        <v>192.1</v>
      </c>
      <c r="G645" t="s">
        <v>5877</v>
      </c>
    </row>
    <row r="646" spans="5:7" x14ac:dyDescent="0.35">
      <c r="E646" s="9">
        <v>40458</v>
      </c>
      <c r="F646">
        <v>197.4</v>
      </c>
      <c r="G646" t="s">
        <v>5877</v>
      </c>
    </row>
    <row r="647" spans="5:7" x14ac:dyDescent="0.35">
      <c r="E647" s="9">
        <v>40459</v>
      </c>
      <c r="F647">
        <v>197</v>
      </c>
      <c r="G647" t="s">
        <v>5877</v>
      </c>
    </row>
    <row r="648" spans="5:7" x14ac:dyDescent="0.35">
      <c r="E648" s="9">
        <v>40460</v>
      </c>
      <c r="F648">
        <v>198.4</v>
      </c>
      <c r="G648" t="s">
        <v>5877</v>
      </c>
    </row>
    <row r="649" spans="5:7" x14ac:dyDescent="0.35">
      <c r="E649" s="9">
        <v>40461</v>
      </c>
      <c r="F649">
        <v>200.4</v>
      </c>
      <c r="G649" t="s">
        <v>5877</v>
      </c>
    </row>
    <row r="650" spans="5:7" x14ac:dyDescent="0.35">
      <c r="E650" s="9">
        <v>40462</v>
      </c>
      <c r="F650">
        <v>206</v>
      </c>
      <c r="G650" t="s">
        <v>5877</v>
      </c>
    </row>
    <row r="651" spans="5:7" x14ac:dyDescent="0.35">
      <c r="E651" s="9">
        <v>40463</v>
      </c>
      <c r="F651">
        <v>200.2</v>
      </c>
      <c r="G651" t="s">
        <v>5877</v>
      </c>
    </row>
    <row r="652" spans="5:7" x14ac:dyDescent="0.35">
      <c r="E652" s="9">
        <v>40464</v>
      </c>
      <c r="F652">
        <v>189.8</v>
      </c>
      <c r="G652" t="s">
        <v>5877</v>
      </c>
    </row>
    <row r="653" spans="5:7" x14ac:dyDescent="0.35">
      <c r="E653" s="9">
        <v>40465</v>
      </c>
      <c r="F653">
        <v>187.5</v>
      </c>
      <c r="G653" t="s">
        <v>5877</v>
      </c>
    </row>
    <row r="654" spans="5:7" x14ac:dyDescent="0.35">
      <c r="E654" s="9">
        <v>40466</v>
      </c>
      <c r="F654">
        <v>193.5</v>
      </c>
      <c r="G654" t="s">
        <v>5877</v>
      </c>
    </row>
    <row r="655" spans="5:7" x14ac:dyDescent="0.35">
      <c r="E655" s="9">
        <v>40467</v>
      </c>
      <c r="F655">
        <v>198.4</v>
      </c>
      <c r="G655" t="s">
        <v>5877</v>
      </c>
    </row>
    <row r="656" spans="5:7" x14ac:dyDescent="0.35">
      <c r="E656" s="9">
        <v>40468</v>
      </c>
      <c r="F656">
        <v>198.8</v>
      </c>
      <c r="G656" t="s">
        <v>5877</v>
      </c>
    </row>
    <row r="657" spans="5:7" x14ac:dyDescent="0.35">
      <c r="E657" s="9">
        <v>40469</v>
      </c>
      <c r="F657">
        <v>194.9</v>
      </c>
      <c r="G657" t="s">
        <v>5877</v>
      </c>
    </row>
    <row r="658" spans="5:7" x14ac:dyDescent="0.35">
      <c r="E658" s="9">
        <v>40470</v>
      </c>
      <c r="F658">
        <v>193.4</v>
      </c>
      <c r="G658" t="s">
        <v>5877</v>
      </c>
    </row>
    <row r="659" spans="5:7" x14ac:dyDescent="0.35">
      <c r="E659" s="9">
        <v>40471</v>
      </c>
      <c r="F659">
        <v>193.5</v>
      </c>
      <c r="G659" t="s">
        <v>5877</v>
      </c>
    </row>
    <row r="660" spans="5:7" x14ac:dyDescent="0.35">
      <c r="E660" s="9">
        <v>40472</v>
      </c>
      <c r="F660">
        <v>194.3</v>
      </c>
      <c r="G660" t="s">
        <v>5877</v>
      </c>
    </row>
    <row r="661" spans="5:7" x14ac:dyDescent="0.35">
      <c r="E661" s="9">
        <v>40473</v>
      </c>
      <c r="F661">
        <v>188.4</v>
      </c>
      <c r="G661" t="s">
        <v>5877</v>
      </c>
    </row>
    <row r="662" spans="5:7" x14ac:dyDescent="0.35">
      <c r="E662" s="9">
        <v>40474</v>
      </c>
      <c r="F662">
        <v>183.1</v>
      </c>
      <c r="G662" t="s">
        <v>5877</v>
      </c>
    </row>
    <row r="663" spans="5:7" x14ac:dyDescent="0.35">
      <c r="E663" s="9">
        <v>40475</v>
      </c>
      <c r="F663">
        <v>184.6</v>
      </c>
      <c r="G663" t="s">
        <v>5877</v>
      </c>
    </row>
    <row r="664" spans="5:7" x14ac:dyDescent="0.35">
      <c r="E664" s="9">
        <v>40476</v>
      </c>
      <c r="F664">
        <v>187.3</v>
      </c>
      <c r="G664" t="s">
        <v>5877</v>
      </c>
    </row>
    <row r="665" spans="5:7" x14ac:dyDescent="0.35">
      <c r="E665" s="9">
        <v>40477</v>
      </c>
      <c r="F665">
        <v>187.5</v>
      </c>
      <c r="G665" t="s">
        <v>5877</v>
      </c>
    </row>
    <row r="666" spans="5:7" x14ac:dyDescent="0.35">
      <c r="E666" s="9">
        <v>40478</v>
      </c>
      <c r="F666">
        <v>185</v>
      </c>
      <c r="G666" t="s">
        <v>5877</v>
      </c>
    </row>
    <row r="667" spans="5:7" x14ac:dyDescent="0.35">
      <c r="E667" s="9">
        <v>40479</v>
      </c>
      <c r="F667">
        <v>187.2</v>
      </c>
      <c r="G667" t="s">
        <v>5877</v>
      </c>
    </row>
    <row r="668" spans="5:7" x14ac:dyDescent="0.35">
      <c r="E668" s="9">
        <v>40480</v>
      </c>
      <c r="F668">
        <v>195.9</v>
      </c>
      <c r="G668" t="s">
        <v>5877</v>
      </c>
    </row>
    <row r="669" spans="5:7" x14ac:dyDescent="0.35">
      <c r="E669" s="9">
        <v>40481</v>
      </c>
      <c r="F669">
        <v>199.3</v>
      </c>
      <c r="G669" t="s">
        <v>5877</v>
      </c>
    </row>
    <row r="670" spans="5:7" x14ac:dyDescent="0.35">
      <c r="E670" s="9">
        <v>40482</v>
      </c>
      <c r="F670">
        <v>197.5</v>
      </c>
      <c r="G670" t="s">
        <v>5877</v>
      </c>
    </row>
    <row r="671" spans="5:7" x14ac:dyDescent="0.35">
      <c r="E671" s="9">
        <v>40483</v>
      </c>
      <c r="F671">
        <v>197</v>
      </c>
      <c r="G671" t="s">
        <v>5877</v>
      </c>
    </row>
    <row r="672" spans="5:7" x14ac:dyDescent="0.35">
      <c r="E672" s="9">
        <v>40484</v>
      </c>
      <c r="F672">
        <v>207.5</v>
      </c>
      <c r="G672" t="s">
        <v>5877</v>
      </c>
    </row>
    <row r="673" spans="5:7" x14ac:dyDescent="0.35">
      <c r="E673" s="9">
        <v>40485</v>
      </c>
      <c r="F673">
        <v>203.1</v>
      </c>
      <c r="G673" t="s">
        <v>5877</v>
      </c>
    </row>
    <row r="674" spans="5:7" x14ac:dyDescent="0.35">
      <c r="E674" s="9">
        <v>40486</v>
      </c>
      <c r="F674">
        <v>202.4</v>
      </c>
      <c r="G674" t="s">
        <v>5877</v>
      </c>
    </row>
    <row r="675" spans="5:7" x14ac:dyDescent="0.35">
      <c r="E675" s="9">
        <v>40487</v>
      </c>
      <c r="F675">
        <v>205.7</v>
      </c>
      <c r="G675" t="s">
        <v>5877</v>
      </c>
    </row>
    <row r="676" spans="5:7" x14ac:dyDescent="0.35">
      <c r="E676" s="9">
        <v>40488</v>
      </c>
      <c r="F676">
        <v>207.4</v>
      </c>
      <c r="G676" t="s">
        <v>5877</v>
      </c>
    </row>
    <row r="677" spans="5:7" x14ac:dyDescent="0.35">
      <c r="E677" s="9">
        <v>40489</v>
      </c>
      <c r="F677">
        <v>220.2</v>
      </c>
      <c r="G677" t="s">
        <v>5877</v>
      </c>
    </row>
    <row r="678" spans="5:7" x14ac:dyDescent="0.35">
      <c r="E678" s="9">
        <v>40490</v>
      </c>
      <c r="F678">
        <v>241.8</v>
      </c>
      <c r="G678" t="s">
        <v>5877</v>
      </c>
    </row>
    <row r="679" spans="5:7" x14ac:dyDescent="0.35">
      <c r="E679" s="9">
        <v>40491</v>
      </c>
      <c r="F679">
        <v>260.89999999999998</v>
      </c>
      <c r="G679" t="s">
        <v>5877</v>
      </c>
    </row>
    <row r="680" spans="5:7" x14ac:dyDescent="0.35">
      <c r="E680" s="9">
        <v>40492</v>
      </c>
      <c r="F680">
        <v>260.10000000000002</v>
      </c>
      <c r="G680" t="s">
        <v>5877</v>
      </c>
    </row>
    <row r="681" spans="5:7" x14ac:dyDescent="0.35">
      <c r="E681" s="9">
        <v>40493</v>
      </c>
      <c r="F681">
        <v>249.3</v>
      </c>
      <c r="G681" t="s">
        <v>5877</v>
      </c>
    </row>
    <row r="682" spans="5:7" x14ac:dyDescent="0.35">
      <c r="E682" s="9">
        <v>40494</v>
      </c>
      <c r="F682">
        <v>243.4</v>
      </c>
      <c r="G682" t="s">
        <v>5877</v>
      </c>
    </row>
    <row r="683" spans="5:7" x14ac:dyDescent="0.35">
      <c r="E683" s="9">
        <v>40495</v>
      </c>
      <c r="F683">
        <v>246.1</v>
      </c>
      <c r="G683" t="s">
        <v>5877</v>
      </c>
    </row>
    <row r="684" spans="5:7" x14ac:dyDescent="0.35">
      <c r="E684" s="9">
        <v>40496</v>
      </c>
      <c r="F684">
        <v>249.3</v>
      </c>
      <c r="G684" t="s">
        <v>5877</v>
      </c>
    </row>
    <row r="685" spans="5:7" x14ac:dyDescent="0.35">
      <c r="E685" s="9">
        <v>40497</v>
      </c>
      <c r="F685">
        <v>243.5</v>
      </c>
      <c r="G685" t="s">
        <v>5877</v>
      </c>
    </row>
    <row r="686" spans="5:7" x14ac:dyDescent="0.35">
      <c r="E686" s="9">
        <v>40498</v>
      </c>
      <c r="F686">
        <v>235.4</v>
      </c>
      <c r="G686" t="s">
        <v>5877</v>
      </c>
    </row>
    <row r="687" spans="5:7" x14ac:dyDescent="0.35">
      <c r="E687" s="9">
        <v>40499</v>
      </c>
      <c r="F687">
        <v>223.6</v>
      </c>
      <c r="G687" t="s">
        <v>5877</v>
      </c>
    </row>
    <row r="688" spans="5:7" x14ac:dyDescent="0.35">
      <c r="E688" s="9">
        <v>40500</v>
      </c>
      <c r="F688">
        <v>219</v>
      </c>
      <c r="G688" t="s">
        <v>5877</v>
      </c>
    </row>
    <row r="689" spans="5:7" x14ac:dyDescent="0.35">
      <c r="E689" s="9">
        <v>40501</v>
      </c>
      <c r="F689">
        <v>223.2</v>
      </c>
      <c r="G689" t="s">
        <v>5877</v>
      </c>
    </row>
    <row r="690" spans="5:7" x14ac:dyDescent="0.35">
      <c r="E690" s="9">
        <v>40502</v>
      </c>
      <c r="F690">
        <v>228.1</v>
      </c>
      <c r="G690" t="s">
        <v>5877</v>
      </c>
    </row>
    <row r="691" spans="5:7" x14ac:dyDescent="0.35">
      <c r="E691" s="9">
        <v>40503</v>
      </c>
      <c r="F691">
        <v>221.7</v>
      </c>
      <c r="G691" t="s">
        <v>5877</v>
      </c>
    </row>
    <row r="692" spans="5:7" x14ac:dyDescent="0.35">
      <c r="E692" s="9">
        <v>40504</v>
      </c>
      <c r="F692">
        <v>213.5</v>
      </c>
      <c r="G692" t="s">
        <v>5877</v>
      </c>
    </row>
    <row r="693" spans="5:7" x14ac:dyDescent="0.35">
      <c r="E693" s="9">
        <v>40505</v>
      </c>
      <c r="F693">
        <v>206.9</v>
      </c>
      <c r="G693" t="s">
        <v>5877</v>
      </c>
    </row>
    <row r="694" spans="5:7" x14ac:dyDescent="0.35">
      <c r="E694" s="9">
        <v>40506</v>
      </c>
      <c r="F694">
        <v>204.1</v>
      </c>
      <c r="G694" t="s">
        <v>5877</v>
      </c>
    </row>
    <row r="695" spans="5:7" x14ac:dyDescent="0.35">
      <c r="E695" s="9">
        <v>40507</v>
      </c>
      <c r="F695">
        <v>203.2</v>
      </c>
      <c r="G695" t="s">
        <v>5877</v>
      </c>
    </row>
    <row r="696" spans="5:7" x14ac:dyDescent="0.35">
      <c r="E696" s="9">
        <v>40508</v>
      </c>
      <c r="F696">
        <v>204.7</v>
      </c>
      <c r="G696" t="s">
        <v>5877</v>
      </c>
    </row>
    <row r="697" spans="5:7" x14ac:dyDescent="0.35">
      <c r="E697" s="9">
        <v>40509</v>
      </c>
      <c r="F697">
        <v>207.8</v>
      </c>
      <c r="G697" t="s">
        <v>5877</v>
      </c>
    </row>
    <row r="698" spans="5:7" x14ac:dyDescent="0.35">
      <c r="E698" s="9">
        <v>40510</v>
      </c>
      <c r="F698">
        <v>215</v>
      </c>
      <c r="G698" t="s">
        <v>5877</v>
      </c>
    </row>
    <row r="699" spans="5:7" x14ac:dyDescent="0.35">
      <c r="E699" s="9">
        <v>40511</v>
      </c>
      <c r="F699">
        <v>225.7</v>
      </c>
      <c r="G699" t="s">
        <v>5877</v>
      </c>
    </row>
    <row r="700" spans="5:7" x14ac:dyDescent="0.35">
      <c r="E700" s="9">
        <v>40512</v>
      </c>
      <c r="F700">
        <v>229.5</v>
      </c>
      <c r="G700" t="s">
        <v>5877</v>
      </c>
    </row>
    <row r="701" spans="5:7" x14ac:dyDescent="0.35">
      <c r="E701" s="9">
        <v>40513</v>
      </c>
      <c r="F701">
        <v>222.5</v>
      </c>
      <c r="G701" t="s">
        <v>5877</v>
      </c>
    </row>
    <row r="702" spans="5:7" x14ac:dyDescent="0.35">
      <c r="E702" s="9">
        <v>40514</v>
      </c>
      <c r="F702">
        <v>218.6</v>
      </c>
      <c r="G702" t="s">
        <v>5877</v>
      </c>
    </row>
    <row r="703" spans="5:7" x14ac:dyDescent="0.35">
      <c r="E703" s="9">
        <v>40515</v>
      </c>
      <c r="F703">
        <v>205.9</v>
      </c>
      <c r="G703" t="s">
        <v>5877</v>
      </c>
    </row>
    <row r="704" spans="5:7" x14ac:dyDescent="0.35">
      <c r="E704" s="9">
        <v>40516</v>
      </c>
      <c r="F704">
        <v>199.4</v>
      </c>
      <c r="G704" t="s">
        <v>5877</v>
      </c>
    </row>
    <row r="705" spans="5:7" x14ac:dyDescent="0.35">
      <c r="E705" s="9">
        <v>40517</v>
      </c>
      <c r="F705">
        <v>202.9</v>
      </c>
      <c r="G705" t="s">
        <v>5877</v>
      </c>
    </row>
    <row r="706" spans="5:7" x14ac:dyDescent="0.35">
      <c r="E706" s="9">
        <v>40518</v>
      </c>
      <c r="F706">
        <v>221.6</v>
      </c>
      <c r="G706" t="s">
        <v>5877</v>
      </c>
    </row>
    <row r="707" spans="5:7" x14ac:dyDescent="0.35">
      <c r="E707" s="9">
        <v>40519</v>
      </c>
      <c r="F707">
        <v>245</v>
      </c>
      <c r="G707" t="s">
        <v>5877</v>
      </c>
    </row>
    <row r="708" spans="5:7" x14ac:dyDescent="0.35">
      <c r="E708" s="9">
        <v>40520</v>
      </c>
      <c r="F708">
        <v>259.89999999999998</v>
      </c>
      <c r="G708" t="s">
        <v>5877</v>
      </c>
    </row>
    <row r="709" spans="5:7" x14ac:dyDescent="0.35">
      <c r="E709" s="9">
        <v>40521</v>
      </c>
      <c r="F709">
        <v>256.39999999999998</v>
      </c>
      <c r="G709" t="s">
        <v>5877</v>
      </c>
    </row>
    <row r="710" spans="5:7" x14ac:dyDescent="0.35">
      <c r="E710" s="9">
        <v>40522</v>
      </c>
      <c r="F710">
        <v>245</v>
      </c>
      <c r="G710" t="s">
        <v>5877</v>
      </c>
    </row>
    <row r="711" spans="5:7" x14ac:dyDescent="0.35">
      <c r="E711" s="9">
        <v>40523</v>
      </c>
      <c r="F711">
        <v>236.4</v>
      </c>
      <c r="G711" t="s">
        <v>5877</v>
      </c>
    </row>
    <row r="712" spans="5:7" x14ac:dyDescent="0.35">
      <c r="E712" s="9">
        <v>40524</v>
      </c>
      <c r="F712">
        <v>236.2</v>
      </c>
      <c r="G712" t="s">
        <v>5877</v>
      </c>
    </row>
    <row r="713" spans="5:7" x14ac:dyDescent="0.35">
      <c r="E713" s="9">
        <v>40525</v>
      </c>
      <c r="F713">
        <v>240.9</v>
      </c>
      <c r="G713" t="s">
        <v>5877</v>
      </c>
    </row>
    <row r="714" spans="5:7" x14ac:dyDescent="0.35">
      <c r="E714" s="9">
        <v>40526</v>
      </c>
      <c r="F714">
        <v>246.5</v>
      </c>
      <c r="G714" t="s">
        <v>5877</v>
      </c>
    </row>
    <row r="715" spans="5:7" x14ac:dyDescent="0.35">
      <c r="E715" s="9">
        <v>40527</v>
      </c>
      <c r="F715">
        <v>254</v>
      </c>
      <c r="G715" t="s">
        <v>5877</v>
      </c>
    </row>
    <row r="716" spans="5:7" x14ac:dyDescent="0.35">
      <c r="E716" s="9">
        <v>40528</v>
      </c>
      <c r="F716">
        <v>253.2</v>
      </c>
      <c r="G716" t="s">
        <v>5877</v>
      </c>
    </row>
    <row r="717" spans="5:7" x14ac:dyDescent="0.35">
      <c r="E717" s="9">
        <v>40529</v>
      </c>
      <c r="F717">
        <v>241.2</v>
      </c>
      <c r="G717" t="s">
        <v>5877</v>
      </c>
    </row>
    <row r="718" spans="5:7" x14ac:dyDescent="0.35">
      <c r="E718" s="9">
        <v>40530</v>
      </c>
      <c r="F718">
        <v>220.5</v>
      </c>
      <c r="G718" t="s">
        <v>5877</v>
      </c>
    </row>
    <row r="719" spans="5:7" x14ac:dyDescent="0.35">
      <c r="E719" s="9">
        <v>40531</v>
      </c>
      <c r="F719">
        <v>206.4</v>
      </c>
      <c r="G719" t="s">
        <v>5877</v>
      </c>
    </row>
    <row r="720" spans="5:7" x14ac:dyDescent="0.35">
      <c r="E720" s="9">
        <v>40532</v>
      </c>
      <c r="F720">
        <v>209.9</v>
      </c>
      <c r="G720" t="s">
        <v>5877</v>
      </c>
    </row>
    <row r="721" spans="5:7" x14ac:dyDescent="0.35">
      <c r="E721" s="9">
        <v>40533</v>
      </c>
      <c r="F721">
        <v>223.3</v>
      </c>
      <c r="G721" t="s">
        <v>5877</v>
      </c>
    </row>
    <row r="722" spans="5:7" x14ac:dyDescent="0.35">
      <c r="E722" s="9">
        <v>40534</v>
      </c>
      <c r="F722">
        <v>236.9</v>
      </c>
      <c r="G722" t="s">
        <v>5877</v>
      </c>
    </row>
    <row r="723" spans="5:7" x14ac:dyDescent="0.35">
      <c r="E723" s="9">
        <v>40535</v>
      </c>
      <c r="F723">
        <v>247.7</v>
      </c>
      <c r="G723" t="s">
        <v>5877</v>
      </c>
    </row>
    <row r="724" spans="5:7" x14ac:dyDescent="0.35">
      <c r="E724" s="9">
        <v>40536</v>
      </c>
      <c r="F724">
        <v>252.1</v>
      </c>
      <c r="G724" t="s">
        <v>5877</v>
      </c>
    </row>
    <row r="725" spans="5:7" x14ac:dyDescent="0.35">
      <c r="E725" s="9">
        <v>40537</v>
      </c>
      <c r="F725">
        <v>238.7</v>
      </c>
      <c r="G725" t="s">
        <v>5877</v>
      </c>
    </row>
    <row r="726" spans="5:7" x14ac:dyDescent="0.35">
      <c r="E726" s="9">
        <v>40538</v>
      </c>
      <c r="F726">
        <v>223</v>
      </c>
      <c r="G726" t="s">
        <v>5877</v>
      </c>
    </row>
    <row r="727" spans="5:7" x14ac:dyDescent="0.35">
      <c r="E727" s="9">
        <v>40539</v>
      </c>
      <c r="F727">
        <v>214.2</v>
      </c>
      <c r="G727" t="s">
        <v>5877</v>
      </c>
    </row>
    <row r="728" spans="5:7" x14ac:dyDescent="0.35">
      <c r="E728" s="9">
        <v>40540</v>
      </c>
      <c r="F728">
        <v>215</v>
      </c>
      <c r="G728" t="s">
        <v>5877</v>
      </c>
    </row>
    <row r="729" spans="5:7" x14ac:dyDescent="0.35">
      <c r="E729" s="9">
        <v>40541</v>
      </c>
      <c r="F729">
        <v>224.3</v>
      </c>
      <c r="G729" t="s">
        <v>5877</v>
      </c>
    </row>
    <row r="730" spans="5:7" x14ac:dyDescent="0.35">
      <c r="E730" s="9">
        <v>40542</v>
      </c>
      <c r="F730">
        <v>232.8</v>
      </c>
      <c r="G730" t="s">
        <v>5877</v>
      </c>
    </row>
    <row r="731" spans="5:7" x14ac:dyDescent="0.35">
      <c r="E731" s="9">
        <v>40543</v>
      </c>
      <c r="F731">
        <v>239.9</v>
      </c>
      <c r="G731" t="s">
        <v>5877</v>
      </c>
    </row>
    <row r="732" spans="5:7" x14ac:dyDescent="0.35">
      <c r="E732" s="9">
        <v>40544</v>
      </c>
      <c r="F732">
        <v>244.5</v>
      </c>
      <c r="G732" t="s">
        <v>5877</v>
      </c>
    </row>
    <row r="733" spans="5:7" x14ac:dyDescent="0.35">
      <c r="E733" s="9">
        <v>40545</v>
      </c>
      <c r="F733">
        <v>244.7</v>
      </c>
      <c r="G733" t="s">
        <v>5877</v>
      </c>
    </row>
    <row r="734" spans="5:7" x14ac:dyDescent="0.35">
      <c r="E734" s="9">
        <v>40546</v>
      </c>
      <c r="F734">
        <v>243.3</v>
      </c>
      <c r="G734" t="s">
        <v>5877</v>
      </c>
    </row>
    <row r="735" spans="5:7" x14ac:dyDescent="0.35">
      <c r="E735" s="9">
        <v>40547</v>
      </c>
      <c r="F735">
        <v>239.8</v>
      </c>
      <c r="G735" t="s">
        <v>5877</v>
      </c>
    </row>
    <row r="736" spans="5:7" x14ac:dyDescent="0.35">
      <c r="E736" s="9">
        <v>40548</v>
      </c>
      <c r="F736">
        <v>231.2</v>
      </c>
      <c r="G736" t="s">
        <v>5877</v>
      </c>
    </row>
    <row r="737" spans="5:7" x14ac:dyDescent="0.35">
      <c r="E737" s="9">
        <v>40549</v>
      </c>
      <c r="F737">
        <v>227.7</v>
      </c>
      <c r="G737" t="s">
        <v>5877</v>
      </c>
    </row>
    <row r="738" spans="5:7" x14ac:dyDescent="0.35">
      <c r="E738" s="9">
        <v>40550</v>
      </c>
      <c r="F738">
        <v>234.8</v>
      </c>
      <c r="G738" t="s">
        <v>5877</v>
      </c>
    </row>
    <row r="739" spans="5:7" x14ac:dyDescent="0.35">
      <c r="E739" s="9">
        <v>40551</v>
      </c>
      <c r="F739">
        <v>244.6</v>
      </c>
      <c r="G739" t="s">
        <v>5877</v>
      </c>
    </row>
    <row r="740" spans="5:7" x14ac:dyDescent="0.35">
      <c r="E740" s="9">
        <v>40552</v>
      </c>
      <c r="F740">
        <v>247.4</v>
      </c>
      <c r="G740" t="s">
        <v>5877</v>
      </c>
    </row>
    <row r="741" spans="5:7" x14ac:dyDescent="0.35">
      <c r="E741" s="9">
        <v>40553</v>
      </c>
      <c r="F741">
        <v>236.7</v>
      </c>
      <c r="G741" t="s">
        <v>5877</v>
      </c>
    </row>
    <row r="742" spans="5:7" x14ac:dyDescent="0.35">
      <c r="E742" s="9">
        <v>40554</v>
      </c>
      <c r="F742">
        <v>219.6</v>
      </c>
      <c r="G742" t="s">
        <v>5877</v>
      </c>
    </row>
    <row r="743" spans="5:7" x14ac:dyDescent="0.35">
      <c r="E743" s="9">
        <v>40555</v>
      </c>
      <c r="F743">
        <v>210.2</v>
      </c>
      <c r="G743" t="s">
        <v>5877</v>
      </c>
    </row>
    <row r="744" spans="5:7" x14ac:dyDescent="0.35">
      <c r="E744" s="9">
        <v>40556</v>
      </c>
      <c r="F744">
        <v>212.9</v>
      </c>
      <c r="G744" t="s">
        <v>5877</v>
      </c>
    </row>
    <row r="745" spans="5:7" x14ac:dyDescent="0.35">
      <c r="E745" s="9">
        <v>40557</v>
      </c>
      <c r="F745">
        <v>218.5</v>
      </c>
      <c r="G745" t="s">
        <v>5877</v>
      </c>
    </row>
    <row r="746" spans="5:7" x14ac:dyDescent="0.35">
      <c r="E746" s="9">
        <v>40558</v>
      </c>
      <c r="F746">
        <v>219.4</v>
      </c>
      <c r="G746" t="s">
        <v>5877</v>
      </c>
    </row>
    <row r="747" spans="5:7" x14ac:dyDescent="0.35">
      <c r="E747" s="9">
        <v>40559</v>
      </c>
      <c r="F747">
        <v>210</v>
      </c>
      <c r="G747" t="s">
        <v>5877</v>
      </c>
    </row>
    <row r="748" spans="5:7" x14ac:dyDescent="0.35">
      <c r="E748" s="9">
        <v>40560</v>
      </c>
      <c r="F748">
        <v>196.6</v>
      </c>
      <c r="G748" t="s">
        <v>5877</v>
      </c>
    </row>
    <row r="749" spans="5:7" x14ac:dyDescent="0.35">
      <c r="E749" s="9">
        <v>40561</v>
      </c>
      <c r="F749">
        <v>193.5</v>
      </c>
      <c r="G749" t="s">
        <v>5877</v>
      </c>
    </row>
    <row r="750" spans="5:7" x14ac:dyDescent="0.35">
      <c r="E750" s="9">
        <v>40562</v>
      </c>
      <c r="F750">
        <v>206.5</v>
      </c>
      <c r="G750" t="s">
        <v>5877</v>
      </c>
    </row>
    <row r="751" spans="5:7" x14ac:dyDescent="0.35">
      <c r="E751" s="9">
        <v>40563</v>
      </c>
      <c r="F751">
        <v>224.8</v>
      </c>
      <c r="G751" t="s">
        <v>5877</v>
      </c>
    </row>
    <row r="752" spans="5:7" x14ac:dyDescent="0.35">
      <c r="E752" s="9">
        <v>40564</v>
      </c>
      <c r="F752">
        <v>230.3</v>
      </c>
      <c r="G752" t="s">
        <v>5877</v>
      </c>
    </row>
    <row r="753" spans="5:7" x14ac:dyDescent="0.35">
      <c r="E753" s="9">
        <v>40565</v>
      </c>
      <c r="F753">
        <v>221.3</v>
      </c>
      <c r="G753" t="s">
        <v>5877</v>
      </c>
    </row>
    <row r="754" spans="5:7" x14ac:dyDescent="0.35">
      <c r="E754" s="9">
        <v>40566</v>
      </c>
      <c r="F754">
        <v>212.9</v>
      </c>
      <c r="G754" t="s">
        <v>5877</v>
      </c>
    </row>
    <row r="755" spans="5:7" x14ac:dyDescent="0.35">
      <c r="E755" s="9">
        <v>40567</v>
      </c>
      <c r="F755">
        <v>218.9</v>
      </c>
      <c r="G755" t="s">
        <v>5877</v>
      </c>
    </row>
    <row r="756" spans="5:7" x14ac:dyDescent="0.35">
      <c r="E756" s="9">
        <v>40568</v>
      </c>
      <c r="F756">
        <v>232.5</v>
      </c>
      <c r="G756" t="s">
        <v>5877</v>
      </c>
    </row>
    <row r="757" spans="5:7" x14ac:dyDescent="0.35">
      <c r="E757" s="9">
        <v>40569</v>
      </c>
      <c r="F757">
        <v>241.2</v>
      </c>
      <c r="G757" t="s">
        <v>5877</v>
      </c>
    </row>
    <row r="758" spans="5:7" x14ac:dyDescent="0.35">
      <c r="E758" s="9">
        <v>40570</v>
      </c>
      <c r="F758">
        <v>237.5</v>
      </c>
      <c r="G758" t="s">
        <v>5877</v>
      </c>
    </row>
    <row r="759" spans="5:7" x14ac:dyDescent="0.35">
      <c r="E759" s="9">
        <v>40571</v>
      </c>
      <c r="F759">
        <v>226.8</v>
      </c>
      <c r="G759" t="s">
        <v>5877</v>
      </c>
    </row>
    <row r="760" spans="5:7" x14ac:dyDescent="0.35">
      <c r="E760" s="9">
        <v>40572</v>
      </c>
      <c r="F760">
        <v>209.2</v>
      </c>
      <c r="G760" t="s">
        <v>5877</v>
      </c>
    </row>
    <row r="761" spans="5:7" x14ac:dyDescent="0.35">
      <c r="E761" s="9">
        <v>40573</v>
      </c>
      <c r="F761">
        <v>200.1</v>
      </c>
      <c r="G761" t="s">
        <v>5877</v>
      </c>
    </row>
    <row r="762" spans="5:7" x14ac:dyDescent="0.35">
      <c r="E762" s="9">
        <v>40574</v>
      </c>
      <c r="F762">
        <v>206.9</v>
      </c>
      <c r="G762" t="s">
        <v>5877</v>
      </c>
    </row>
    <row r="763" spans="5:7" x14ac:dyDescent="0.35">
      <c r="E763" s="9">
        <v>40575</v>
      </c>
      <c r="F763">
        <v>220.4</v>
      </c>
      <c r="G763" t="s">
        <v>5877</v>
      </c>
    </row>
    <row r="764" spans="5:7" x14ac:dyDescent="0.35">
      <c r="E764" s="9">
        <v>40576</v>
      </c>
      <c r="F764">
        <v>201.3</v>
      </c>
      <c r="G764" t="s">
        <v>5877</v>
      </c>
    </row>
    <row r="765" spans="5:7" x14ac:dyDescent="0.35">
      <c r="E765" s="9">
        <v>40577</v>
      </c>
      <c r="F765">
        <v>191.1</v>
      </c>
      <c r="G765" t="s">
        <v>5877</v>
      </c>
    </row>
    <row r="766" spans="5:7" x14ac:dyDescent="0.35">
      <c r="E766" s="9">
        <v>40578</v>
      </c>
      <c r="F766">
        <v>178.8</v>
      </c>
      <c r="G766" t="s">
        <v>5877</v>
      </c>
    </row>
    <row r="767" spans="5:7" x14ac:dyDescent="0.35">
      <c r="E767" s="9">
        <v>40579</v>
      </c>
      <c r="F767">
        <v>173.1</v>
      </c>
      <c r="G767" t="s">
        <v>5877</v>
      </c>
    </row>
    <row r="768" spans="5:7" x14ac:dyDescent="0.35">
      <c r="E768" s="9">
        <v>40580</v>
      </c>
      <c r="F768">
        <v>173.6</v>
      </c>
      <c r="G768" t="s">
        <v>5877</v>
      </c>
    </row>
    <row r="769" spans="5:7" x14ac:dyDescent="0.35">
      <c r="E769" s="9">
        <v>40581</v>
      </c>
      <c r="F769">
        <v>178.5</v>
      </c>
      <c r="G769" t="s">
        <v>5877</v>
      </c>
    </row>
    <row r="770" spans="5:7" x14ac:dyDescent="0.35">
      <c r="E770" s="9">
        <v>40582</v>
      </c>
      <c r="F770">
        <v>185.1</v>
      </c>
      <c r="G770" t="s">
        <v>5877</v>
      </c>
    </row>
    <row r="771" spans="5:7" x14ac:dyDescent="0.35">
      <c r="E771" s="9">
        <v>40583</v>
      </c>
      <c r="F771">
        <v>190.3</v>
      </c>
      <c r="G771" t="s">
        <v>5877</v>
      </c>
    </row>
    <row r="772" spans="5:7" x14ac:dyDescent="0.35">
      <c r="E772" s="9">
        <v>40584</v>
      </c>
      <c r="F772">
        <v>190.9</v>
      </c>
      <c r="G772" t="s">
        <v>5877</v>
      </c>
    </row>
    <row r="773" spans="5:7" x14ac:dyDescent="0.35">
      <c r="E773" s="9">
        <v>40585</v>
      </c>
      <c r="F773">
        <v>190.2</v>
      </c>
      <c r="G773" t="s">
        <v>5877</v>
      </c>
    </row>
    <row r="774" spans="5:7" x14ac:dyDescent="0.35">
      <c r="E774" s="9">
        <v>40586</v>
      </c>
      <c r="F774">
        <v>194.8</v>
      </c>
      <c r="G774" t="s">
        <v>5877</v>
      </c>
    </row>
    <row r="775" spans="5:7" x14ac:dyDescent="0.35">
      <c r="E775" s="9">
        <v>40587</v>
      </c>
      <c r="F775">
        <v>196.2</v>
      </c>
      <c r="G775" t="s">
        <v>5877</v>
      </c>
    </row>
    <row r="776" spans="5:7" x14ac:dyDescent="0.35">
      <c r="E776" s="9">
        <v>40588</v>
      </c>
      <c r="F776">
        <v>189.5</v>
      </c>
      <c r="G776" t="s">
        <v>5877</v>
      </c>
    </row>
    <row r="777" spans="5:7" x14ac:dyDescent="0.35">
      <c r="E777" s="9">
        <v>40589</v>
      </c>
      <c r="F777">
        <v>179.2</v>
      </c>
      <c r="G777" t="s">
        <v>5877</v>
      </c>
    </row>
    <row r="778" spans="5:7" x14ac:dyDescent="0.35">
      <c r="E778" s="9">
        <v>40590</v>
      </c>
      <c r="F778">
        <v>170.9</v>
      </c>
      <c r="G778" t="s">
        <v>5877</v>
      </c>
    </row>
    <row r="779" spans="5:7" x14ac:dyDescent="0.35">
      <c r="E779" s="9">
        <v>40591</v>
      </c>
      <c r="F779">
        <v>165.7</v>
      </c>
      <c r="G779" t="s">
        <v>5877</v>
      </c>
    </row>
    <row r="780" spans="5:7" x14ac:dyDescent="0.35">
      <c r="E780" s="9">
        <v>40592</v>
      </c>
      <c r="F780">
        <v>169.1</v>
      </c>
      <c r="G780" t="s">
        <v>5877</v>
      </c>
    </row>
    <row r="781" spans="5:7" x14ac:dyDescent="0.35">
      <c r="E781" s="9">
        <v>40593</v>
      </c>
      <c r="F781">
        <v>177.8</v>
      </c>
      <c r="G781" t="s">
        <v>5877</v>
      </c>
    </row>
    <row r="782" spans="5:7" x14ac:dyDescent="0.35">
      <c r="E782" s="9">
        <v>40594</v>
      </c>
      <c r="F782">
        <v>190</v>
      </c>
      <c r="G782" t="s">
        <v>5877</v>
      </c>
    </row>
    <row r="783" spans="5:7" x14ac:dyDescent="0.35">
      <c r="E783" s="9">
        <v>40595</v>
      </c>
      <c r="F783">
        <v>194.6</v>
      </c>
      <c r="G783" t="s">
        <v>5877</v>
      </c>
    </row>
    <row r="784" spans="5:7" x14ac:dyDescent="0.35">
      <c r="E784" s="9">
        <v>40596</v>
      </c>
      <c r="F784">
        <v>193.1</v>
      </c>
      <c r="G784" t="s">
        <v>5877</v>
      </c>
    </row>
    <row r="785" spans="5:7" x14ac:dyDescent="0.35">
      <c r="E785" s="9">
        <v>40597</v>
      </c>
      <c r="F785">
        <v>181.2</v>
      </c>
      <c r="G785" t="s">
        <v>5877</v>
      </c>
    </row>
    <row r="786" spans="5:7" x14ac:dyDescent="0.35">
      <c r="E786" s="9">
        <v>40598</v>
      </c>
      <c r="F786">
        <v>167.9</v>
      </c>
      <c r="G786" t="s">
        <v>5877</v>
      </c>
    </row>
    <row r="787" spans="5:7" x14ac:dyDescent="0.35">
      <c r="E787" s="9">
        <v>40599</v>
      </c>
      <c r="F787">
        <v>163.80000000000001</v>
      </c>
      <c r="G787" t="s">
        <v>5877</v>
      </c>
    </row>
    <row r="788" spans="5:7" x14ac:dyDescent="0.35">
      <c r="E788" s="9">
        <v>40600</v>
      </c>
      <c r="F788">
        <v>166.6</v>
      </c>
      <c r="G788" t="s">
        <v>5877</v>
      </c>
    </row>
    <row r="789" spans="5:7" x14ac:dyDescent="0.35">
      <c r="E789" s="9">
        <v>40601</v>
      </c>
      <c r="F789">
        <v>167.5</v>
      </c>
      <c r="G789" t="s">
        <v>5877</v>
      </c>
    </row>
    <row r="790" spans="5:7" x14ac:dyDescent="0.35">
      <c r="E790" s="9">
        <v>40602</v>
      </c>
      <c r="F790">
        <v>164.8</v>
      </c>
      <c r="G790" t="s">
        <v>5877</v>
      </c>
    </row>
    <row r="791" spans="5:7" x14ac:dyDescent="0.35">
      <c r="E791" s="9">
        <v>40603</v>
      </c>
      <c r="F791">
        <v>163.1</v>
      </c>
      <c r="G791" t="s">
        <v>5877</v>
      </c>
    </row>
    <row r="792" spans="5:7" x14ac:dyDescent="0.35">
      <c r="E792" s="9">
        <v>40604</v>
      </c>
      <c r="F792">
        <v>172.8</v>
      </c>
      <c r="G792" t="s">
        <v>5877</v>
      </c>
    </row>
    <row r="793" spans="5:7" x14ac:dyDescent="0.35">
      <c r="E793" s="9">
        <v>40605</v>
      </c>
      <c r="F793">
        <v>182.4</v>
      </c>
      <c r="G793" t="s">
        <v>5877</v>
      </c>
    </row>
    <row r="794" spans="5:7" x14ac:dyDescent="0.35">
      <c r="E794" s="9">
        <v>40606</v>
      </c>
      <c r="F794">
        <v>200.9</v>
      </c>
      <c r="G794" t="s">
        <v>5877</v>
      </c>
    </row>
    <row r="795" spans="5:7" x14ac:dyDescent="0.35">
      <c r="E795" s="9">
        <v>40607</v>
      </c>
      <c r="F795">
        <v>217.2</v>
      </c>
      <c r="G795" t="s">
        <v>5877</v>
      </c>
    </row>
    <row r="796" spans="5:7" x14ac:dyDescent="0.35">
      <c r="E796" s="9">
        <v>40608</v>
      </c>
      <c r="F796">
        <v>217.4</v>
      </c>
      <c r="G796" t="s">
        <v>5877</v>
      </c>
    </row>
    <row r="797" spans="5:7" x14ac:dyDescent="0.35">
      <c r="E797" s="9">
        <v>40609</v>
      </c>
      <c r="F797">
        <v>207</v>
      </c>
      <c r="G797" t="s">
        <v>5877</v>
      </c>
    </row>
    <row r="798" spans="5:7" x14ac:dyDescent="0.35">
      <c r="E798" s="9">
        <v>40610</v>
      </c>
      <c r="F798">
        <v>199.7</v>
      </c>
      <c r="G798" t="s">
        <v>5877</v>
      </c>
    </row>
    <row r="799" spans="5:7" x14ac:dyDescent="0.35">
      <c r="E799" s="9">
        <v>40611</v>
      </c>
      <c r="F799">
        <v>205.8</v>
      </c>
      <c r="G799" t="s">
        <v>5877</v>
      </c>
    </row>
    <row r="800" spans="5:7" x14ac:dyDescent="0.35">
      <c r="E800" s="9">
        <v>40612</v>
      </c>
      <c r="F800">
        <v>219.9</v>
      </c>
      <c r="G800" t="s">
        <v>5877</v>
      </c>
    </row>
    <row r="801" spans="5:7" x14ac:dyDescent="0.35">
      <c r="E801" s="9">
        <v>40613</v>
      </c>
      <c r="F801">
        <v>224.5</v>
      </c>
      <c r="G801" t="s">
        <v>5877</v>
      </c>
    </row>
    <row r="802" spans="5:7" x14ac:dyDescent="0.35">
      <c r="E802" s="9">
        <v>40614</v>
      </c>
      <c r="F802">
        <v>218.3</v>
      </c>
      <c r="G802" t="s">
        <v>5877</v>
      </c>
    </row>
    <row r="803" spans="5:7" x14ac:dyDescent="0.35">
      <c r="E803" s="9">
        <v>40615</v>
      </c>
      <c r="F803">
        <v>207.1</v>
      </c>
      <c r="G803" t="s">
        <v>5877</v>
      </c>
    </row>
    <row r="804" spans="5:7" x14ac:dyDescent="0.35">
      <c r="E804" s="9">
        <v>40616</v>
      </c>
      <c r="F804">
        <v>200.7</v>
      </c>
      <c r="G804" t="s">
        <v>5877</v>
      </c>
    </row>
    <row r="805" spans="5:7" x14ac:dyDescent="0.35">
      <c r="E805" s="9">
        <v>40617</v>
      </c>
      <c r="F805">
        <v>200.6</v>
      </c>
      <c r="G805" t="s">
        <v>5877</v>
      </c>
    </row>
    <row r="806" spans="5:7" x14ac:dyDescent="0.35">
      <c r="E806" s="9">
        <v>40618</v>
      </c>
      <c r="F806">
        <v>202.3</v>
      </c>
      <c r="G806" t="s">
        <v>5877</v>
      </c>
    </row>
    <row r="807" spans="5:7" x14ac:dyDescent="0.35">
      <c r="E807" s="9">
        <v>40619</v>
      </c>
      <c r="F807">
        <v>196.7</v>
      </c>
      <c r="G807" t="s">
        <v>5877</v>
      </c>
    </row>
    <row r="808" spans="5:7" x14ac:dyDescent="0.35">
      <c r="E808" s="9">
        <v>40620</v>
      </c>
      <c r="F808">
        <v>190.3</v>
      </c>
      <c r="G808" t="s">
        <v>5877</v>
      </c>
    </row>
    <row r="809" spans="5:7" x14ac:dyDescent="0.35">
      <c r="E809" s="9">
        <v>40621</v>
      </c>
      <c r="F809">
        <v>187.6</v>
      </c>
      <c r="G809" t="s">
        <v>5877</v>
      </c>
    </row>
    <row r="810" spans="5:7" x14ac:dyDescent="0.35">
      <c r="E810" s="9">
        <v>40622</v>
      </c>
      <c r="F810">
        <v>186.6</v>
      </c>
      <c r="G810" t="s">
        <v>5877</v>
      </c>
    </row>
    <row r="811" spans="5:7" x14ac:dyDescent="0.35">
      <c r="E811" s="9">
        <v>40623</v>
      </c>
      <c r="F811">
        <v>186.3</v>
      </c>
      <c r="G811" t="s">
        <v>5877</v>
      </c>
    </row>
    <row r="812" spans="5:7" x14ac:dyDescent="0.35">
      <c r="E812" s="9">
        <v>40624</v>
      </c>
      <c r="F812">
        <v>181.4</v>
      </c>
      <c r="G812" t="s">
        <v>5877</v>
      </c>
    </row>
    <row r="813" spans="5:7" x14ac:dyDescent="0.35">
      <c r="E813" s="9">
        <v>40625</v>
      </c>
      <c r="F813">
        <v>172.9</v>
      </c>
      <c r="G813" t="s">
        <v>5877</v>
      </c>
    </row>
    <row r="814" spans="5:7" x14ac:dyDescent="0.35">
      <c r="E814" s="9">
        <v>40626</v>
      </c>
      <c r="F814">
        <v>166.1</v>
      </c>
      <c r="G814" t="s">
        <v>5877</v>
      </c>
    </row>
    <row r="815" spans="5:7" x14ac:dyDescent="0.35">
      <c r="E815" s="9">
        <v>40627</v>
      </c>
      <c r="F815">
        <v>167.6</v>
      </c>
      <c r="G815" t="s">
        <v>5877</v>
      </c>
    </row>
    <row r="816" spans="5:7" x14ac:dyDescent="0.35">
      <c r="E816" s="9">
        <v>40628</v>
      </c>
      <c r="F816">
        <v>177</v>
      </c>
      <c r="G816" t="s">
        <v>5877</v>
      </c>
    </row>
    <row r="817" spans="5:7" x14ac:dyDescent="0.35">
      <c r="E817" s="9">
        <v>40629</v>
      </c>
      <c r="F817">
        <v>189.1</v>
      </c>
      <c r="G817" t="s">
        <v>5877</v>
      </c>
    </row>
    <row r="818" spans="5:7" x14ac:dyDescent="0.35">
      <c r="E818" s="9">
        <v>40630</v>
      </c>
      <c r="F818">
        <v>193.9</v>
      </c>
      <c r="G818" t="s">
        <v>5877</v>
      </c>
    </row>
    <row r="819" spans="5:7" x14ac:dyDescent="0.35">
      <c r="E819" s="9">
        <v>40631</v>
      </c>
      <c r="F819">
        <v>194.2</v>
      </c>
      <c r="G819" t="s">
        <v>5877</v>
      </c>
    </row>
    <row r="820" spans="5:7" x14ac:dyDescent="0.35">
      <c r="E820" s="9">
        <v>40632</v>
      </c>
      <c r="F820">
        <v>198.8</v>
      </c>
      <c r="G820" t="s">
        <v>5877</v>
      </c>
    </row>
    <row r="821" spans="5:7" x14ac:dyDescent="0.35">
      <c r="E821" s="9">
        <v>40633</v>
      </c>
      <c r="F821">
        <v>212.7</v>
      </c>
      <c r="G821" t="s">
        <v>5877</v>
      </c>
    </row>
    <row r="822" spans="5:7" x14ac:dyDescent="0.35">
      <c r="E822" s="9">
        <v>40634</v>
      </c>
      <c r="F822">
        <v>223.4</v>
      </c>
      <c r="G822" t="s">
        <v>5877</v>
      </c>
    </row>
    <row r="823" spans="5:7" x14ac:dyDescent="0.35">
      <c r="E823" s="9">
        <v>40635</v>
      </c>
      <c r="F823">
        <v>227.9</v>
      </c>
      <c r="G823" t="s">
        <v>5877</v>
      </c>
    </row>
    <row r="824" spans="5:7" x14ac:dyDescent="0.35">
      <c r="E824" s="9">
        <v>40636</v>
      </c>
      <c r="F824">
        <v>219.1</v>
      </c>
      <c r="G824" t="s">
        <v>5877</v>
      </c>
    </row>
    <row r="825" spans="5:7" x14ac:dyDescent="0.35">
      <c r="E825" s="9">
        <v>40637</v>
      </c>
      <c r="F825">
        <v>212.4</v>
      </c>
      <c r="G825" t="s">
        <v>5877</v>
      </c>
    </row>
    <row r="826" spans="5:7" x14ac:dyDescent="0.35">
      <c r="E826" s="9">
        <v>40638</v>
      </c>
      <c r="F826">
        <v>209.1</v>
      </c>
      <c r="G826" t="s">
        <v>5877</v>
      </c>
    </row>
    <row r="827" spans="5:7" x14ac:dyDescent="0.35">
      <c r="E827" s="9">
        <v>40639</v>
      </c>
      <c r="F827">
        <v>216.2</v>
      </c>
      <c r="G827" t="s">
        <v>5877</v>
      </c>
    </row>
    <row r="828" spans="5:7" x14ac:dyDescent="0.35">
      <c r="E828" s="9">
        <v>40640</v>
      </c>
      <c r="F828">
        <v>227</v>
      </c>
      <c r="G828" t="s">
        <v>5877</v>
      </c>
    </row>
    <row r="829" spans="5:7" x14ac:dyDescent="0.35">
      <c r="E829" s="9">
        <v>40641</v>
      </c>
      <c r="F829">
        <v>234.5</v>
      </c>
      <c r="G829" t="s">
        <v>5877</v>
      </c>
    </row>
    <row r="830" spans="5:7" x14ac:dyDescent="0.35">
      <c r="E830" s="9">
        <v>40642</v>
      </c>
      <c r="F830">
        <v>232</v>
      </c>
      <c r="G830" t="s">
        <v>5877</v>
      </c>
    </row>
    <row r="831" spans="5:7" x14ac:dyDescent="0.35">
      <c r="E831" s="9">
        <v>40643</v>
      </c>
      <c r="F831">
        <v>217.9</v>
      </c>
      <c r="G831" t="s">
        <v>5877</v>
      </c>
    </row>
    <row r="832" spans="5:7" x14ac:dyDescent="0.35">
      <c r="E832" s="9">
        <v>40644</v>
      </c>
      <c r="F832">
        <v>196.7</v>
      </c>
      <c r="G832" t="s">
        <v>5877</v>
      </c>
    </row>
    <row r="833" spans="5:7" x14ac:dyDescent="0.35">
      <c r="E833" s="9">
        <v>40645</v>
      </c>
      <c r="F833">
        <v>178.9</v>
      </c>
      <c r="G833" t="s">
        <v>5877</v>
      </c>
    </row>
    <row r="834" spans="5:7" x14ac:dyDescent="0.35">
      <c r="E834" s="9">
        <v>40646</v>
      </c>
      <c r="F834">
        <v>172.9</v>
      </c>
      <c r="G834" t="s">
        <v>5877</v>
      </c>
    </row>
    <row r="835" spans="5:7" x14ac:dyDescent="0.35">
      <c r="E835" s="9">
        <v>40647</v>
      </c>
      <c r="F835">
        <v>178.3</v>
      </c>
      <c r="G835" t="s">
        <v>5877</v>
      </c>
    </row>
    <row r="836" spans="5:7" x14ac:dyDescent="0.35">
      <c r="E836" s="9">
        <v>40648</v>
      </c>
      <c r="F836">
        <v>193.5</v>
      </c>
      <c r="G836" t="s">
        <v>5877</v>
      </c>
    </row>
    <row r="837" spans="5:7" x14ac:dyDescent="0.35">
      <c r="E837" s="9">
        <v>40649</v>
      </c>
      <c r="F837">
        <v>213.2</v>
      </c>
      <c r="G837" t="s">
        <v>5877</v>
      </c>
    </row>
    <row r="838" spans="5:7" x14ac:dyDescent="0.35">
      <c r="E838" s="9">
        <v>40650</v>
      </c>
      <c r="F838">
        <v>235.1</v>
      </c>
      <c r="G838" t="s">
        <v>5877</v>
      </c>
    </row>
    <row r="839" spans="5:7" x14ac:dyDescent="0.35">
      <c r="E839" s="9">
        <v>40651</v>
      </c>
      <c r="F839">
        <v>244</v>
      </c>
      <c r="G839" t="s">
        <v>5877</v>
      </c>
    </row>
    <row r="840" spans="5:7" x14ac:dyDescent="0.35">
      <c r="E840" s="9">
        <v>40652</v>
      </c>
      <c r="F840">
        <v>237.3</v>
      </c>
      <c r="G840" t="s">
        <v>5877</v>
      </c>
    </row>
    <row r="841" spans="5:7" x14ac:dyDescent="0.35">
      <c r="E841" s="9">
        <v>40653</v>
      </c>
      <c r="F841">
        <v>218.1</v>
      </c>
      <c r="G841" t="s">
        <v>5877</v>
      </c>
    </row>
    <row r="842" spans="5:7" x14ac:dyDescent="0.35">
      <c r="E842" s="9">
        <v>40654</v>
      </c>
      <c r="F842">
        <v>201.6</v>
      </c>
      <c r="G842" t="s">
        <v>5877</v>
      </c>
    </row>
    <row r="843" spans="5:7" x14ac:dyDescent="0.35">
      <c r="E843" s="9">
        <v>40655</v>
      </c>
      <c r="F843">
        <v>199.8</v>
      </c>
      <c r="G843" t="s">
        <v>5877</v>
      </c>
    </row>
    <row r="844" spans="5:7" x14ac:dyDescent="0.35">
      <c r="E844" s="9">
        <v>40656</v>
      </c>
      <c r="F844">
        <v>210.2</v>
      </c>
      <c r="G844" t="s">
        <v>5877</v>
      </c>
    </row>
    <row r="845" spans="5:7" x14ac:dyDescent="0.35">
      <c r="E845" s="9">
        <v>40657</v>
      </c>
      <c r="F845">
        <v>222</v>
      </c>
      <c r="G845" t="s">
        <v>5877</v>
      </c>
    </row>
    <row r="846" spans="5:7" x14ac:dyDescent="0.35">
      <c r="E846" s="9">
        <v>40658</v>
      </c>
      <c r="F846">
        <v>231.2</v>
      </c>
      <c r="G846" t="s">
        <v>5877</v>
      </c>
    </row>
    <row r="847" spans="5:7" x14ac:dyDescent="0.35">
      <c r="E847" s="9">
        <v>40659</v>
      </c>
      <c r="F847">
        <v>230.3</v>
      </c>
      <c r="G847" t="s">
        <v>5877</v>
      </c>
    </row>
    <row r="848" spans="5:7" x14ac:dyDescent="0.35">
      <c r="E848" s="9">
        <v>40660</v>
      </c>
      <c r="F848">
        <v>222</v>
      </c>
      <c r="G848" t="s">
        <v>5877</v>
      </c>
    </row>
    <row r="849" spans="5:7" x14ac:dyDescent="0.35">
      <c r="E849" s="9">
        <v>40661</v>
      </c>
      <c r="F849">
        <v>214.5</v>
      </c>
      <c r="G849" t="s">
        <v>5877</v>
      </c>
    </row>
    <row r="850" spans="5:7" x14ac:dyDescent="0.35">
      <c r="E850" s="9">
        <v>40662</v>
      </c>
      <c r="F850">
        <v>218</v>
      </c>
      <c r="G850" t="s">
        <v>5877</v>
      </c>
    </row>
    <row r="851" spans="5:7" x14ac:dyDescent="0.35">
      <c r="E851" s="9">
        <v>40663</v>
      </c>
      <c r="F851">
        <v>230.4</v>
      </c>
      <c r="G851" t="s">
        <v>5877</v>
      </c>
    </row>
    <row r="852" spans="5:7" x14ac:dyDescent="0.35">
      <c r="E852" s="9">
        <v>40664</v>
      </c>
      <c r="F852">
        <v>234.3</v>
      </c>
      <c r="G852" t="s">
        <v>5877</v>
      </c>
    </row>
    <row r="853" spans="5:7" x14ac:dyDescent="0.35">
      <c r="E853" s="9">
        <v>40665</v>
      </c>
      <c r="F853">
        <v>235</v>
      </c>
      <c r="G853" t="s">
        <v>5877</v>
      </c>
    </row>
    <row r="854" spans="5:7" x14ac:dyDescent="0.35">
      <c r="E854" s="9">
        <v>40666</v>
      </c>
      <c r="F854">
        <v>232.8</v>
      </c>
      <c r="G854" t="s">
        <v>5877</v>
      </c>
    </row>
    <row r="855" spans="5:7" x14ac:dyDescent="0.35">
      <c r="E855" s="9">
        <v>40667</v>
      </c>
      <c r="F855">
        <v>222.6</v>
      </c>
      <c r="G855" t="s">
        <v>5877</v>
      </c>
    </row>
    <row r="856" spans="5:7" x14ac:dyDescent="0.35">
      <c r="E856" s="9">
        <v>40668</v>
      </c>
      <c r="F856">
        <v>206.3</v>
      </c>
      <c r="G856" t="s">
        <v>5877</v>
      </c>
    </row>
    <row r="857" spans="5:7" x14ac:dyDescent="0.35">
      <c r="E857" s="9">
        <v>40669</v>
      </c>
      <c r="F857">
        <v>185.3</v>
      </c>
      <c r="G857" t="s">
        <v>5877</v>
      </c>
    </row>
    <row r="858" spans="5:7" x14ac:dyDescent="0.35">
      <c r="E858" s="9">
        <v>40670</v>
      </c>
      <c r="F858">
        <v>165.2</v>
      </c>
      <c r="G858" t="s">
        <v>5877</v>
      </c>
    </row>
    <row r="859" spans="5:7" x14ac:dyDescent="0.35">
      <c r="E859" s="9">
        <v>40671</v>
      </c>
      <c r="F859">
        <v>150.80000000000001</v>
      </c>
      <c r="G859" t="s">
        <v>5877</v>
      </c>
    </row>
    <row r="860" spans="5:7" x14ac:dyDescent="0.35">
      <c r="E860" s="9">
        <v>40672</v>
      </c>
      <c r="F860">
        <v>141.4</v>
      </c>
      <c r="G860" t="s">
        <v>5877</v>
      </c>
    </row>
    <row r="861" spans="5:7" x14ac:dyDescent="0.35">
      <c r="E861" s="9">
        <v>40673</v>
      </c>
      <c r="F861">
        <v>135.4</v>
      </c>
      <c r="G861" t="s">
        <v>5877</v>
      </c>
    </row>
    <row r="862" spans="5:7" x14ac:dyDescent="0.35">
      <c r="E862" s="9">
        <v>40674</v>
      </c>
      <c r="F862">
        <v>137.1</v>
      </c>
      <c r="G862" t="s">
        <v>5877</v>
      </c>
    </row>
    <row r="863" spans="5:7" x14ac:dyDescent="0.35">
      <c r="E863" s="9">
        <v>40675</v>
      </c>
      <c r="F863">
        <v>148.1</v>
      </c>
      <c r="G863" t="s">
        <v>5877</v>
      </c>
    </row>
    <row r="864" spans="5:7" x14ac:dyDescent="0.35">
      <c r="E864" s="9">
        <v>40676</v>
      </c>
      <c r="F864">
        <v>162</v>
      </c>
      <c r="G864" t="s">
        <v>5877</v>
      </c>
    </row>
    <row r="865" spans="5:7" x14ac:dyDescent="0.35">
      <c r="E865" s="9">
        <v>40677</v>
      </c>
      <c r="F865">
        <v>165.1</v>
      </c>
      <c r="G865" t="s">
        <v>5877</v>
      </c>
    </row>
    <row r="866" spans="5:7" x14ac:dyDescent="0.35">
      <c r="E866" s="9">
        <v>40678</v>
      </c>
      <c r="F866">
        <v>161.5</v>
      </c>
      <c r="G866" t="s">
        <v>5877</v>
      </c>
    </row>
    <row r="867" spans="5:7" x14ac:dyDescent="0.35">
      <c r="E867" s="9">
        <v>40679</v>
      </c>
      <c r="F867">
        <v>160</v>
      </c>
      <c r="G867" t="s">
        <v>5877</v>
      </c>
    </row>
    <row r="868" spans="5:7" x14ac:dyDescent="0.35">
      <c r="E868" s="9">
        <v>40680</v>
      </c>
      <c r="F868">
        <v>168.4</v>
      </c>
      <c r="G868" t="s">
        <v>5877</v>
      </c>
    </row>
    <row r="869" spans="5:7" x14ac:dyDescent="0.35">
      <c r="E869" s="9">
        <v>40681</v>
      </c>
      <c r="F869">
        <v>183.8</v>
      </c>
      <c r="G869" t="s">
        <v>5877</v>
      </c>
    </row>
    <row r="870" spans="5:7" x14ac:dyDescent="0.35">
      <c r="E870" s="9">
        <v>40682</v>
      </c>
      <c r="F870">
        <v>194.1</v>
      </c>
      <c r="G870" t="s">
        <v>5877</v>
      </c>
    </row>
    <row r="871" spans="5:7" x14ac:dyDescent="0.35">
      <c r="E871" s="9">
        <v>40683</v>
      </c>
      <c r="F871">
        <v>193</v>
      </c>
      <c r="G871" t="s">
        <v>5877</v>
      </c>
    </row>
    <row r="872" spans="5:7" x14ac:dyDescent="0.35">
      <c r="E872" s="9">
        <v>40684</v>
      </c>
      <c r="F872">
        <v>182.9</v>
      </c>
      <c r="G872" t="s">
        <v>5877</v>
      </c>
    </row>
    <row r="873" spans="5:7" x14ac:dyDescent="0.35">
      <c r="E873" s="9">
        <v>40685</v>
      </c>
      <c r="F873">
        <v>168.5</v>
      </c>
      <c r="G873" t="s">
        <v>5877</v>
      </c>
    </row>
    <row r="874" spans="5:7" x14ac:dyDescent="0.35">
      <c r="E874" s="9">
        <v>40686</v>
      </c>
      <c r="F874">
        <v>154.9</v>
      </c>
      <c r="G874" t="s">
        <v>5877</v>
      </c>
    </row>
    <row r="875" spans="5:7" x14ac:dyDescent="0.35">
      <c r="E875" s="9">
        <v>40687</v>
      </c>
      <c r="F875">
        <v>144.5</v>
      </c>
      <c r="G875" t="s">
        <v>5877</v>
      </c>
    </row>
    <row r="876" spans="5:7" x14ac:dyDescent="0.35">
      <c r="E876" s="9">
        <v>40688</v>
      </c>
      <c r="F876">
        <v>137.4</v>
      </c>
      <c r="G876" t="s">
        <v>5877</v>
      </c>
    </row>
    <row r="877" spans="5:7" x14ac:dyDescent="0.35">
      <c r="E877" s="9">
        <v>40689</v>
      </c>
      <c r="F877">
        <v>138.80000000000001</v>
      </c>
      <c r="G877" t="s">
        <v>5877</v>
      </c>
    </row>
    <row r="878" spans="5:7" x14ac:dyDescent="0.35">
      <c r="E878" s="9">
        <v>40690</v>
      </c>
      <c r="F878">
        <v>150.4</v>
      </c>
      <c r="G878" t="s">
        <v>5877</v>
      </c>
    </row>
    <row r="879" spans="5:7" x14ac:dyDescent="0.35">
      <c r="E879" s="9">
        <v>40691</v>
      </c>
      <c r="F879">
        <v>166.3</v>
      </c>
      <c r="G879" t="s">
        <v>5877</v>
      </c>
    </row>
    <row r="880" spans="5:7" x14ac:dyDescent="0.35">
      <c r="E880" s="9">
        <v>40692</v>
      </c>
      <c r="F880">
        <v>173.8</v>
      </c>
      <c r="G880" t="s">
        <v>5877</v>
      </c>
    </row>
    <row r="881" spans="5:7" x14ac:dyDescent="0.35">
      <c r="E881" s="9">
        <v>40693</v>
      </c>
      <c r="F881">
        <v>174.9</v>
      </c>
      <c r="G881" t="s">
        <v>5877</v>
      </c>
    </row>
    <row r="882" spans="5:7" x14ac:dyDescent="0.35">
      <c r="E882" s="9">
        <v>40694</v>
      </c>
      <c r="F882">
        <v>170.9</v>
      </c>
      <c r="G882" t="s">
        <v>5877</v>
      </c>
    </row>
    <row r="883" spans="5:7" x14ac:dyDescent="0.35">
      <c r="E883" s="9">
        <v>40695</v>
      </c>
      <c r="F883">
        <v>163.30000000000001</v>
      </c>
      <c r="G883" t="s">
        <v>5877</v>
      </c>
    </row>
    <row r="884" spans="5:7" x14ac:dyDescent="0.35">
      <c r="E884" s="9">
        <v>40696</v>
      </c>
      <c r="F884">
        <v>115.5</v>
      </c>
      <c r="G884" t="s">
        <v>5877</v>
      </c>
    </row>
    <row r="885" spans="5:7" x14ac:dyDescent="0.35">
      <c r="E885" s="9">
        <v>40697</v>
      </c>
      <c r="F885">
        <v>109.1</v>
      </c>
      <c r="G885" t="s">
        <v>5877</v>
      </c>
    </row>
    <row r="886" spans="5:7" x14ac:dyDescent="0.35">
      <c r="E886" s="9">
        <v>40698</v>
      </c>
      <c r="F886">
        <v>102.6</v>
      </c>
      <c r="G886" t="s">
        <v>5877</v>
      </c>
    </row>
    <row r="887" spans="5:7" x14ac:dyDescent="0.35">
      <c r="E887" s="9">
        <v>40699</v>
      </c>
      <c r="F887">
        <v>97.1</v>
      </c>
      <c r="G887" t="s">
        <v>5877</v>
      </c>
    </row>
    <row r="888" spans="5:7" x14ac:dyDescent="0.35">
      <c r="E888" s="9">
        <v>40700</v>
      </c>
      <c r="F888">
        <v>92.5</v>
      </c>
      <c r="G888" t="s">
        <v>5877</v>
      </c>
    </row>
    <row r="889" spans="5:7" x14ac:dyDescent="0.35">
      <c r="E889" s="9">
        <v>40701</v>
      </c>
      <c r="F889">
        <v>89.1</v>
      </c>
      <c r="G889" t="s">
        <v>5877</v>
      </c>
    </row>
    <row r="890" spans="5:7" x14ac:dyDescent="0.35">
      <c r="E890" s="9">
        <v>40702</v>
      </c>
      <c r="F890">
        <v>87</v>
      </c>
      <c r="G890" t="s">
        <v>5877</v>
      </c>
    </row>
    <row r="891" spans="5:7" x14ac:dyDescent="0.35">
      <c r="E891" s="9">
        <v>40703</v>
      </c>
      <c r="F891">
        <v>87.5</v>
      </c>
      <c r="G891" t="s">
        <v>5877</v>
      </c>
    </row>
    <row r="892" spans="5:7" x14ac:dyDescent="0.35">
      <c r="E892" s="9">
        <v>40704</v>
      </c>
      <c r="F892">
        <v>93.8</v>
      </c>
      <c r="G892" t="s">
        <v>5877</v>
      </c>
    </row>
    <row r="893" spans="5:7" x14ac:dyDescent="0.35">
      <c r="E893" s="9">
        <v>40705</v>
      </c>
      <c r="F893">
        <v>105.4</v>
      </c>
      <c r="G893" t="s">
        <v>5877</v>
      </c>
    </row>
    <row r="894" spans="5:7" x14ac:dyDescent="0.35">
      <c r="E894" s="9">
        <v>40706</v>
      </c>
      <c r="F894">
        <v>114.7</v>
      </c>
      <c r="G894" t="s">
        <v>5877</v>
      </c>
    </row>
    <row r="895" spans="5:7" x14ac:dyDescent="0.35">
      <c r="E895" s="9">
        <v>40707</v>
      </c>
      <c r="F895">
        <v>115.3</v>
      </c>
      <c r="G895" t="s">
        <v>5877</v>
      </c>
    </row>
    <row r="896" spans="5:7" x14ac:dyDescent="0.35">
      <c r="E896" s="9">
        <v>40708</v>
      </c>
      <c r="F896">
        <v>109.5</v>
      </c>
      <c r="G896" t="s">
        <v>5877</v>
      </c>
    </row>
    <row r="897" spans="5:7" x14ac:dyDescent="0.35">
      <c r="E897" s="9">
        <v>40709</v>
      </c>
      <c r="F897">
        <v>101.4</v>
      </c>
      <c r="G897" t="s">
        <v>5877</v>
      </c>
    </row>
    <row r="898" spans="5:7" x14ac:dyDescent="0.35">
      <c r="E898" s="9">
        <v>40710</v>
      </c>
      <c r="F898">
        <v>94.8</v>
      </c>
      <c r="G898" t="s">
        <v>5877</v>
      </c>
    </row>
    <row r="899" spans="5:7" x14ac:dyDescent="0.35">
      <c r="E899" s="9">
        <v>40711</v>
      </c>
      <c r="F899">
        <v>90.9</v>
      </c>
      <c r="G899" t="s">
        <v>5877</v>
      </c>
    </row>
    <row r="900" spans="5:7" x14ac:dyDescent="0.35">
      <c r="E900" s="9">
        <v>40712</v>
      </c>
      <c r="F900">
        <v>88.2</v>
      </c>
      <c r="G900" t="s">
        <v>5877</v>
      </c>
    </row>
    <row r="901" spans="5:7" x14ac:dyDescent="0.35">
      <c r="E901" s="9">
        <v>40713</v>
      </c>
      <c r="F901">
        <v>86.5</v>
      </c>
      <c r="G901" t="s">
        <v>5877</v>
      </c>
    </row>
    <row r="902" spans="5:7" x14ac:dyDescent="0.35">
      <c r="E902" s="9">
        <v>40714</v>
      </c>
      <c r="F902">
        <v>85.3</v>
      </c>
      <c r="G902" t="s">
        <v>5877</v>
      </c>
    </row>
    <row r="903" spans="5:7" x14ac:dyDescent="0.35">
      <c r="E903" s="9">
        <v>40715</v>
      </c>
      <c r="F903">
        <v>84.5</v>
      </c>
      <c r="G903" t="s">
        <v>5877</v>
      </c>
    </row>
    <row r="904" spans="5:7" x14ac:dyDescent="0.35">
      <c r="E904" s="9">
        <v>40716</v>
      </c>
      <c r="F904">
        <v>84</v>
      </c>
      <c r="G904" t="s">
        <v>5877</v>
      </c>
    </row>
    <row r="905" spans="5:7" x14ac:dyDescent="0.35">
      <c r="E905" s="9">
        <v>40717</v>
      </c>
      <c r="F905">
        <v>84</v>
      </c>
      <c r="G905" t="s">
        <v>5877</v>
      </c>
    </row>
    <row r="906" spans="5:7" x14ac:dyDescent="0.35">
      <c r="E906" s="9">
        <v>40718</v>
      </c>
      <c r="F906">
        <v>84.6</v>
      </c>
      <c r="G906" t="s">
        <v>5877</v>
      </c>
    </row>
    <row r="907" spans="5:7" x14ac:dyDescent="0.35">
      <c r="E907" s="9">
        <v>40719</v>
      </c>
      <c r="F907">
        <v>86.3</v>
      </c>
      <c r="G907" t="s">
        <v>5877</v>
      </c>
    </row>
    <row r="908" spans="5:7" x14ac:dyDescent="0.35">
      <c r="E908" s="9">
        <v>40720</v>
      </c>
      <c r="F908">
        <v>88.8</v>
      </c>
      <c r="G908" t="s">
        <v>5877</v>
      </c>
    </row>
    <row r="909" spans="5:7" x14ac:dyDescent="0.35">
      <c r="E909" s="9">
        <v>40721</v>
      </c>
      <c r="F909">
        <v>91</v>
      </c>
      <c r="G909" t="s">
        <v>5877</v>
      </c>
    </row>
    <row r="910" spans="5:7" x14ac:dyDescent="0.35">
      <c r="E910" s="9">
        <v>40722</v>
      </c>
      <c r="F910">
        <v>90.9</v>
      </c>
      <c r="G910" t="s">
        <v>5877</v>
      </c>
    </row>
    <row r="911" spans="5:7" x14ac:dyDescent="0.35">
      <c r="E911" s="9">
        <v>40723</v>
      </c>
      <c r="F911">
        <v>89.5</v>
      </c>
      <c r="G911" t="s">
        <v>5877</v>
      </c>
    </row>
    <row r="912" spans="5:7" x14ac:dyDescent="0.35">
      <c r="E912" s="9">
        <v>40724</v>
      </c>
      <c r="F912">
        <v>87.5</v>
      </c>
      <c r="G912" t="s">
        <v>5877</v>
      </c>
    </row>
    <row r="913" spans="5:7" x14ac:dyDescent="0.35">
      <c r="E913" s="9">
        <v>40725</v>
      </c>
      <c r="F913">
        <v>85.8</v>
      </c>
      <c r="G913" t="s">
        <v>5877</v>
      </c>
    </row>
    <row r="914" spans="5:7" x14ac:dyDescent="0.35">
      <c r="E914" s="9">
        <v>40726</v>
      </c>
      <c r="F914">
        <v>61.9</v>
      </c>
      <c r="G914" t="s">
        <v>5877</v>
      </c>
    </row>
    <row r="915" spans="5:7" x14ac:dyDescent="0.35">
      <c r="E915" s="9">
        <v>40727</v>
      </c>
      <c r="F915">
        <v>61.7</v>
      </c>
      <c r="G915" t="s">
        <v>5877</v>
      </c>
    </row>
    <row r="916" spans="5:7" x14ac:dyDescent="0.35">
      <c r="E916" s="9">
        <v>40728</v>
      </c>
      <c r="F916">
        <v>62.3</v>
      </c>
      <c r="G916" t="s">
        <v>5877</v>
      </c>
    </row>
    <row r="917" spans="5:7" x14ac:dyDescent="0.35">
      <c r="E917" s="9">
        <v>40729</v>
      </c>
      <c r="F917">
        <v>63.2</v>
      </c>
      <c r="G917" t="s">
        <v>5877</v>
      </c>
    </row>
    <row r="918" spans="5:7" x14ac:dyDescent="0.35">
      <c r="E918" s="9">
        <v>40730</v>
      </c>
      <c r="F918">
        <v>63.2</v>
      </c>
      <c r="G918" t="s">
        <v>5877</v>
      </c>
    </row>
    <row r="919" spans="5:7" x14ac:dyDescent="0.35">
      <c r="E919" s="9">
        <v>40731</v>
      </c>
      <c r="F919">
        <v>62.7</v>
      </c>
      <c r="G919" t="s">
        <v>5877</v>
      </c>
    </row>
    <row r="920" spans="5:7" x14ac:dyDescent="0.35">
      <c r="E920" s="9">
        <v>40732</v>
      </c>
      <c r="F920">
        <v>61.9</v>
      </c>
      <c r="G920" t="s">
        <v>5877</v>
      </c>
    </row>
    <row r="921" spans="5:7" x14ac:dyDescent="0.35">
      <c r="E921" s="9">
        <v>40733</v>
      </c>
      <c r="F921">
        <v>61.2</v>
      </c>
      <c r="G921" t="s">
        <v>5877</v>
      </c>
    </row>
    <row r="922" spans="5:7" x14ac:dyDescent="0.35">
      <c r="E922" s="9">
        <v>40734</v>
      </c>
      <c r="F922">
        <v>60.8</v>
      </c>
      <c r="G922" t="s">
        <v>5877</v>
      </c>
    </row>
    <row r="923" spans="5:7" x14ac:dyDescent="0.35">
      <c r="E923" s="9">
        <v>40735</v>
      </c>
      <c r="F923">
        <v>60.5</v>
      </c>
      <c r="G923" t="s">
        <v>5877</v>
      </c>
    </row>
    <row r="924" spans="5:7" x14ac:dyDescent="0.35">
      <c r="E924" s="9">
        <v>40736</v>
      </c>
      <c r="F924">
        <v>60.3</v>
      </c>
      <c r="G924" t="s">
        <v>5877</v>
      </c>
    </row>
    <row r="925" spans="5:7" x14ac:dyDescent="0.35">
      <c r="E925" s="9">
        <v>40737</v>
      </c>
      <c r="F925">
        <v>60.2</v>
      </c>
      <c r="G925" t="s">
        <v>5877</v>
      </c>
    </row>
    <row r="926" spans="5:7" x14ac:dyDescent="0.35">
      <c r="E926" s="9">
        <v>40738</v>
      </c>
      <c r="F926">
        <v>60.1</v>
      </c>
      <c r="G926" t="s">
        <v>5877</v>
      </c>
    </row>
    <row r="927" spans="5:7" x14ac:dyDescent="0.35">
      <c r="E927" s="9">
        <v>40739</v>
      </c>
      <c r="F927">
        <v>60.1</v>
      </c>
      <c r="G927" t="s">
        <v>5877</v>
      </c>
    </row>
    <row r="928" spans="5:7" x14ac:dyDescent="0.35">
      <c r="E928" s="9">
        <v>40740</v>
      </c>
      <c r="F928">
        <v>60.1</v>
      </c>
      <c r="G928" t="s">
        <v>5877</v>
      </c>
    </row>
    <row r="929" spans="5:7" x14ac:dyDescent="0.35">
      <c r="E929" s="9">
        <v>40741</v>
      </c>
      <c r="F929">
        <v>60</v>
      </c>
      <c r="G929" t="s">
        <v>5877</v>
      </c>
    </row>
    <row r="930" spans="5:7" x14ac:dyDescent="0.35">
      <c r="E930" s="9">
        <v>40742</v>
      </c>
      <c r="F930">
        <v>60</v>
      </c>
      <c r="G930" t="s">
        <v>5877</v>
      </c>
    </row>
    <row r="931" spans="5:7" x14ac:dyDescent="0.35">
      <c r="E931" s="9">
        <v>40743</v>
      </c>
      <c r="F931">
        <v>60</v>
      </c>
      <c r="G931" t="s">
        <v>5877</v>
      </c>
    </row>
    <row r="932" spans="5:7" x14ac:dyDescent="0.35">
      <c r="E932" s="9">
        <v>40744</v>
      </c>
      <c r="F932">
        <v>60</v>
      </c>
      <c r="G932" t="s">
        <v>5877</v>
      </c>
    </row>
    <row r="933" spans="5:7" x14ac:dyDescent="0.35">
      <c r="E933" s="9">
        <v>40745</v>
      </c>
      <c r="F933">
        <v>60.3</v>
      </c>
      <c r="G933" t="s">
        <v>5877</v>
      </c>
    </row>
    <row r="934" spans="5:7" x14ac:dyDescent="0.35">
      <c r="E934" s="9">
        <v>40746</v>
      </c>
      <c r="F934">
        <v>60.9</v>
      </c>
      <c r="G934" t="s">
        <v>5877</v>
      </c>
    </row>
    <row r="935" spans="5:7" x14ac:dyDescent="0.35">
      <c r="E935" s="9">
        <v>40747</v>
      </c>
      <c r="F935">
        <v>61.5</v>
      </c>
      <c r="G935" t="s">
        <v>5877</v>
      </c>
    </row>
    <row r="936" spans="5:7" x14ac:dyDescent="0.35">
      <c r="E936" s="9">
        <v>40748</v>
      </c>
      <c r="F936">
        <v>61.8</v>
      </c>
      <c r="G936" t="s">
        <v>5877</v>
      </c>
    </row>
    <row r="937" spans="5:7" x14ac:dyDescent="0.35">
      <c r="E937" s="9">
        <v>40749</v>
      </c>
      <c r="F937">
        <v>61.8</v>
      </c>
      <c r="G937" t="s">
        <v>5877</v>
      </c>
    </row>
    <row r="938" spans="5:7" x14ac:dyDescent="0.35">
      <c r="E938" s="9">
        <v>40750</v>
      </c>
      <c r="F938">
        <v>61.7</v>
      </c>
      <c r="G938" t="s">
        <v>5877</v>
      </c>
    </row>
    <row r="939" spans="5:7" x14ac:dyDescent="0.35">
      <c r="E939" s="9">
        <v>40751</v>
      </c>
      <c r="F939">
        <v>62</v>
      </c>
      <c r="G939" t="s">
        <v>5877</v>
      </c>
    </row>
    <row r="940" spans="5:7" x14ac:dyDescent="0.35">
      <c r="E940" s="9">
        <v>40752</v>
      </c>
      <c r="F940">
        <v>65.099999999999994</v>
      </c>
      <c r="G940" t="s">
        <v>5877</v>
      </c>
    </row>
    <row r="941" spans="5:7" x14ac:dyDescent="0.35">
      <c r="E941" s="9">
        <v>40753</v>
      </c>
      <c r="F941">
        <v>71</v>
      </c>
      <c r="G941" t="s">
        <v>5877</v>
      </c>
    </row>
    <row r="942" spans="5:7" x14ac:dyDescent="0.35">
      <c r="E942" s="9">
        <v>40754</v>
      </c>
      <c r="F942">
        <v>76.8</v>
      </c>
      <c r="G942" t="s">
        <v>5877</v>
      </c>
    </row>
    <row r="943" spans="5:7" x14ac:dyDescent="0.35">
      <c r="E943" s="9">
        <v>40755</v>
      </c>
      <c r="F943">
        <v>78.2</v>
      </c>
      <c r="G943" t="s">
        <v>5877</v>
      </c>
    </row>
    <row r="944" spans="5:7" x14ac:dyDescent="0.35">
      <c r="E944" s="9">
        <v>40756</v>
      </c>
      <c r="F944">
        <v>76.400000000000006</v>
      </c>
      <c r="G944" t="s">
        <v>5877</v>
      </c>
    </row>
    <row r="945" spans="5:7" x14ac:dyDescent="0.35">
      <c r="E945" s="9">
        <v>40757</v>
      </c>
      <c r="F945">
        <v>77.5</v>
      </c>
      <c r="G945" t="s">
        <v>5877</v>
      </c>
    </row>
    <row r="946" spans="5:7" x14ac:dyDescent="0.35">
      <c r="E946" s="9">
        <v>40758</v>
      </c>
      <c r="F946">
        <v>73.599999999999994</v>
      </c>
      <c r="G946" t="s">
        <v>5877</v>
      </c>
    </row>
    <row r="947" spans="5:7" x14ac:dyDescent="0.35">
      <c r="E947" s="9">
        <v>40759</v>
      </c>
      <c r="F947">
        <v>70.900000000000006</v>
      </c>
      <c r="G947" t="s">
        <v>5877</v>
      </c>
    </row>
    <row r="948" spans="5:7" x14ac:dyDescent="0.35">
      <c r="E948" s="9">
        <v>40760</v>
      </c>
      <c r="F948">
        <v>69.5</v>
      </c>
      <c r="G948" t="s">
        <v>5877</v>
      </c>
    </row>
    <row r="949" spans="5:7" x14ac:dyDescent="0.35">
      <c r="E949" s="9">
        <v>40761</v>
      </c>
      <c r="F949">
        <v>70.2</v>
      </c>
      <c r="G949" t="s">
        <v>5877</v>
      </c>
    </row>
    <row r="950" spans="5:7" x14ac:dyDescent="0.35">
      <c r="E950" s="9">
        <v>40762</v>
      </c>
      <c r="F950">
        <v>75.2</v>
      </c>
      <c r="G950" t="s">
        <v>5877</v>
      </c>
    </row>
    <row r="951" spans="5:7" x14ac:dyDescent="0.35">
      <c r="E951" s="9">
        <v>40763</v>
      </c>
      <c r="F951">
        <v>83.2</v>
      </c>
      <c r="G951" t="s">
        <v>5877</v>
      </c>
    </row>
    <row r="952" spans="5:7" x14ac:dyDescent="0.35">
      <c r="E952" s="9">
        <v>40764</v>
      </c>
      <c r="F952">
        <v>90.3</v>
      </c>
      <c r="G952" t="s">
        <v>5877</v>
      </c>
    </row>
    <row r="953" spans="5:7" x14ac:dyDescent="0.35">
      <c r="E953" s="9">
        <v>40765</v>
      </c>
      <c r="F953">
        <v>91</v>
      </c>
      <c r="G953" t="s">
        <v>5877</v>
      </c>
    </row>
    <row r="954" spans="5:7" x14ac:dyDescent="0.35">
      <c r="E954" s="9">
        <v>40766</v>
      </c>
      <c r="F954">
        <v>87.8</v>
      </c>
      <c r="G954" t="s">
        <v>5877</v>
      </c>
    </row>
    <row r="955" spans="5:7" x14ac:dyDescent="0.35">
      <c r="E955" s="9">
        <v>40767</v>
      </c>
      <c r="F955">
        <v>83.2</v>
      </c>
      <c r="G955" t="s">
        <v>5877</v>
      </c>
    </row>
    <row r="956" spans="5:7" x14ac:dyDescent="0.35">
      <c r="E956" s="9">
        <v>40768</v>
      </c>
      <c r="F956">
        <v>78.8</v>
      </c>
      <c r="G956" t="s">
        <v>5877</v>
      </c>
    </row>
    <row r="957" spans="5:7" x14ac:dyDescent="0.35">
      <c r="E957" s="9">
        <v>40769</v>
      </c>
      <c r="F957">
        <v>75.5</v>
      </c>
      <c r="G957" t="s">
        <v>5877</v>
      </c>
    </row>
    <row r="958" spans="5:7" x14ac:dyDescent="0.35">
      <c r="E958" s="9">
        <v>40770</v>
      </c>
      <c r="F958">
        <v>73.900000000000006</v>
      </c>
      <c r="G958" t="s">
        <v>5877</v>
      </c>
    </row>
    <row r="959" spans="5:7" x14ac:dyDescent="0.35">
      <c r="E959" s="9">
        <v>40771</v>
      </c>
      <c r="F959">
        <v>78.900000000000006</v>
      </c>
      <c r="G959" t="s">
        <v>5877</v>
      </c>
    </row>
    <row r="960" spans="5:7" x14ac:dyDescent="0.35">
      <c r="E960" s="9">
        <v>40772</v>
      </c>
      <c r="F960">
        <v>90.2</v>
      </c>
      <c r="G960" t="s">
        <v>5877</v>
      </c>
    </row>
    <row r="961" spans="5:7" x14ac:dyDescent="0.35">
      <c r="E961" s="9">
        <v>40773</v>
      </c>
      <c r="F961">
        <v>100.3</v>
      </c>
      <c r="G961" t="s">
        <v>5877</v>
      </c>
    </row>
    <row r="962" spans="5:7" x14ac:dyDescent="0.35">
      <c r="E962" s="9">
        <v>40774</v>
      </c>
      <c r="F962">
        <v>100.4</v>
      </c>
      <c r="G962" t="s">
        <v>5877</v>
      </c>
    </row>
    <row r="963" spans="5:7" x14ac:dyDescent="0.35">
      <c r="E963" s="9">
        <v>40775</v>
      </c>
      <c r="F963">
        <v>93.8</v>
      </c>
      <c r="G963" t="s">
        <v>5877</v>
      </c>
    </row>
    <row r="964" spans="5:7" x14ac:dyDescent="0.35">
      <c r="E964" s="9">
        <v>40776</v>
      </c>
      <c r="F964">
        <v>84.9</v>
      </c>
      <c r="G964" t="s">
        <v>5877</v>
      </c>
    </row>
    <row r="965" spans="5:7" x14ac:dyDescent="0.35">
      <c r="E965" s="9">
        <v>40777</v>
      </c>
      <c r="F965">
        <v>77.599999999999994</v>
      </c>
      <c r="G965" t="s">
        <v>5877</v>
      </c>
    </row>
    <row r="966" spans="5:7" x14ac:dyDescent="0.35">
      <c r="E966" s="9">
        <v>40778</v>
      </c>
      <c r="F966">
        <v>73.900000000000006</v>
      </c>
      <c r="G966" t="s">
        <v>5877</v>
      </c>
    </row>
    <row r="967" spans="5:7" x14ac:dyDescent="0.35">
      <c r="E967" s="9">
        <v>40779</v>
      </c>
      <c r="F967">
        <v>74.7</v>
      </c>
      <c r="G967" t="s">
        <v>5877</v>
      </c>
    </row>
    <row r="968" spans="5:7" x14ac:dyDescent="0.35">
      <c r="E968" s="9">
        <v>40780</v>
      </c>
      <c r="F968">
        <v>80.900000000000006</v>
      </c>
      <c r="G968" t="s">
        <v>5877</v>
      </c>
    </row>
    <row r="969" spans="5:7" x14ac:dyDescent="0.35">
      <c r="E969" s="9">
        <v>40781</v>
      </c>
      <c r="F969">
        <v>89.2</v>
      </c>
      <c r="G969" t="s">
        <v>5877</v>
      </c>
    </row>
    <row r="970" spans="5:7" x14ac:dyDescent="0.35">
      <c r="E970" s="9">
        <v>40782</v>
      </c>
      <c r="F970">
        <v>92.7</v>
      </c>
      <c r="G970" t="s">
        <v>5877</v>
      </c>
    </row>
    <row r="971" spans="5:7" x14ac:dyDescent="0.35">
      <c r="E971" s="9">
        <v>40783</v>
      </c>
      <c r="F971">
        <v>94.2</v>
      </c>
      <c r="G971" t="s">
        <v>5877</v>
      </c>
    </row>
    <row r="972" spans="5:7" x14ac:dyDescent="0.35">
      <c r="E972" s="9">
        <v>40784</v>
      </c>
      <c r="F972">
        <v>98.3</v>
      </c>
      <c r="G972" t="s">
        <v>5877</v>
      </c>
    </row>
    <row r="973" spans="5:7" x14ac:dyDescent="0.35">
      <c r="E973" s="9">
        <v>40785</v>
      </c>
      <c r="F973">
        <v>103.9</v>
      </c>
      <c r="G973" t="s">
        <v>5877</v>
      </c>
    </row>
    <row r="974" spans="5:7" x14ac:dyDescent="0.35">
      <c r="E974" s="9">
        <v>40786</v>
      </c>
      <c r="F974">
        <v>103.5</v>
      </c>
      <c r="G974" t="s">
        <v>5877</v>
      </c>
    </row>
    <row r="975" spans="5:7" x14ac:dyDescent="0.35">
      <c r="E975" s="9">
        <v>40787</v>
      </c>
      <c r="F975">
        <v>101.9</v>
      </c>
      <c r="G975" t="s">
        <v>5877</v>
      </c>
    </row>
    <row r="976" spans="5:7" x14ac:dyDescent="0.35">
      <c r="E976" s="9">
        <v>40788</v>
      </c>
      <c r="F976">
        <v>128.6</v>
      </c>
      <c r="G976" t="s">
        <v>5877</v>
      </c>
    </row>
    <row r="977" spans="5:7" x14ac:dyDescent="0.35">
      <c r="E977" s="9">
        <v>40789</v>
      </c>
      <c r="F977">
        <v>130.1</v>
      </c>
      <c r="G977" t="s">
        <v>5877</v>
      </c>
    </row>
    <row r="978" spans="5:7" x14ac:dyDescent="0.35">
      <c r="E978" s="9">
        <v>40790</v>
      </c>
      <c r="F978">
        <v>130.6</v>
      </c>
      <c r="G978" t="s">
        <v>5877</v>
      </c>
    </row>
    <row r="979" spans="5:7" x14ac:dyDescent="0.35">
      <c r="E979" s="9">
        <v>40791</v>
      </c>
      <c r="F979">
        <v>130.9</v>
      </c>
      <c r="G979" t="s">
        <v>5877</v>
      </c>
    </row>
    <row r="980" spans="5:7" x14ac:dyDescent="0.35">
      <c r="E980" s="9">
        <v>40792</v>
      </c>
      <c r="F980">
        <v>129</v>
      </c>
      <c r="G980" t="s">
        <v>5877</v>
      </c>
    </row>
    <row r="981" spans="5:7" x14ac:dyDescent="0.35">
      <c r="E981" s="9">
        <v>40793</v>
      </c>
      <c r="F981">
        <v>125.4</v>
      </c>
      <c r="G981" t="s">
        <v>5877</v>
      </c>
    </row>
    <row r="982" spans="5:7" x14ac:dyDescent="0.35">
      <c r="E982" s="9">
        <v>40794</v>
      </c>
      <c r="F982">
        <v>120.7</v>
      </c>
      <c r="G982" t="s">
        <v>5877</v>
      </c>
    </row>
    <row r="983" spans="5:7" x14ac:dyDescent="0.35">
      <c r="E983" s="9">
        <v>40795</v>
      </c>
      <c r="F983">
        <v>116.2</v>
      </c>
      <c r="G983" t="s">
        <v>5877</v>
      </c>
    </row>
    <row r="984" spans="5:7" x14ac:dyDescent="0.35">
      <c r="E984" s="9">
        <v>40796</v>
      </c>
      <c r="F984">
        <v>112.6</v>
      </c>
      <c r="G984" t="s">
        <v>5877</v>
      </c>
    </row>
    <row r="985" spans="5:7" x14ac:dyDescent="0.35">
      <c r="E985" s="9">
        <v>40797</v>
      </c>
      <c r="F985">
        <v>113.2</v>
      </c>
      <c r="G985" t="s">
        <v>5877</v>
      </c>
    </row>
    <row r="986" spans="5:7" x14ac:dyDescent="0.35">
      <c r="E986" s="9">
        <v>40798</v>
      </c>
      <c r="F986">
        <v>122.5</v>
      </c>
      <c r="G986" t="s">
        <v>5877</v>
      </c>
    </row>
    <row r="987" spans="5:7" x14ac:dyDescent="0.35">
      <c r="E987" s="9">
        <v>40799</v>
      </c>
      <c r="F987">
        <v>138.30000000000001</v>
      </c>
      <c r="G987" t="s">
        <v>5877</v>
      </c>
    </row>
    <row r="988" spans="5:7" x14ac:dyDescent="0.35">
      <c r="E988" s="9">
        <v>40800</v>
      </c>
      <c r="F988">
        <v>150.4</v>
      </c>
      <c r="G988" t="s">
        <v>5877</v>
      </c>
    </row>
    <row r="989" spans="5:7" x14ac:dyDescent="0.35">
      <c r="E989" s="9">
        <v>40801</v>
      </c>
      <c r="F989">
        <v>153.1</v>
      </c>
      <c r="G989" t="s">
        <v>5877</v>
      </c>
    </row>
    <row r="990" spans="5:7" x14ac:dyDescent="0.35">
      <c r="E990" s="9">
        <v>40802</v>
      </c>
      <c r="F990">
        <v>151.80000000000001</v>
      </c>
      <c r="G990" t="s">
        <v>5877</v>
      </c>
    </row>
    <row r="991" spans="5:7" x14ac:dyDescent="0.35">
      <c r="E991" s="9">
        <v>40803</v>
      </c>
      <c r="F991">
        <v>148.30000000000001</v>
      </c>
      <c r="G991" t="s">
        <v>5877</v>
      </c>
    </row>
    <row r="992" spans="5:7" x14ac:dyDescent="0.35">
      <c r="E992" s="9">
        <v>40804</v>
      </c>
      <c r="F992">
        <v>144</v>
      </c>
      <c r="G992" t="s">
        <v>5877</v>
      </c>
    </row>
    <row r="993" spans="5:7" x14ac:dyDescent="0.35">
      <c r="E993" s="9">
        <v>40805</v>
      </c>
      <c r="F993">
        <v>143.30000000000001</v>
      </c>
      <c r="G993" t="s">
        <v>5877</v>
      </c>
    </row>
    <row r="994" spans="5:7" x14ac:dyDescent="0.35">
      <c r="E994" s="9">
        <v>40806</v>
      </c>
      <c r="F994">
        <v>147.6</v>
      </c>
      <c r="G994" t="s">
        <v>5877</v>
      </c>
    </row>
    <row r="995" spans="5:7" x14ac:dyDescent="0.35">
      <c r="E995" s="9">
        <v>40807</v>
      </c>
      <c r="F995">
        <v>157.30000000000001</v>
      </c>
      <c r="G995" t="s">
        <v>5877</v>
      </c>
    </row>
    <row r="996" spans="5:7" x14ac:dyDescent="0.35">
      <c r="E996" s="9">
        <v>40808</v>
      </c>
      <c r="F996">
        <v>167.9</v>
      </c>
      <c r="G996" t="s">
        <v>5877</v>
      </c>
    </row>
    <row r="997" spans="5:7" x14ac:dyDescent="0.35">
      <c r="E997" s="9">
        <v>40809</v>
      </c>
      <c r="F997">
        <v>167.2</v>
      </c>
      <c r="G997" t="s">
        <v>5877</v>
      </c>
    </row>
    <row r="998" spans="5:7" x14ac:dyDescent="0.35">
      <c r="E998" s="9">
        <v>40810</v>
      </c>
      <c r="F998">
        <v>162.9</v>
      </c>
      <c r="G998" t="s">
        <v>5877</v>
      </c>
    </row>
    <row r="999" spans="5:7" x14ac:dyDescent="0.35">
      <c r="E999" s="9">
        <v>40811</v>
      </c>
      <c r="F999">
        <v>161.19999999999999</v>
      </c>
      <c r="G999" t="s">
        <v>5877</v>
      </c>
    </row>
    <row r="1000" spans="5:7" x14ac:dyDescent="0.35">
      <c r="E1000" s="9">
        <v>40812</v>
      </c>
      <c r="F1000">
        <v>164.3</v>
      </c>
      <c r="G1000" t="s">
        <v>5877</v>
      </c>
    </row>
    <row r="1001" spans="5:7" x14ac:dyDescent="0.35">
      <c r="E1001" s="9">
        <v>40813</v>
      </c>
      <c r="F1001">
        <v>165.1</v>
      </c>
      <c r="G1001" t="s">
        <v>5877</v>
      </c>
    </row>
    <row r="1002" spans="5:7" x14ac:dyDescent="0.35">
      <c r="E1002" s="9">
        <v>40814</v>
      </c>
      <c r="F1002">
        <v>164.4</v>
      </c>
      <c r="G1002" t="s">
        <v>5877</v>
      </c>
    </row>
    <row r="1003" spans="5:7" x14ac:dyDescent="0.35">
      <c r="E1003" s="9">
        <v>40815</v>
      </c>
      <c r="F1003">
        <v>163.30000000000001</v>
      </c>
      <c r="G1003" t="s">
        <v>5877</v>
      </c>
    </row>
    <row r="1004" spans="5:7" x14ac:dyDescent="0.35">
      <c r="E1004" s="9">
        <v>40816</v>
      </c>
      <c r="F1004">
        <v>160.1</v>
      </c>
      <c r="G1004" t="s">
        <v>5877</v>
      </c>
    </row>
    <row r="1005" spans="5:7" x14ac:dyDescent="0.35">
      <c r="E1005" s="9">
        <v>40817</v>
      </c>
      <c r="F1005">
        <v>160.1</v>
      </c>
      <c r="G1005" t="s">
        <v>5877</v>
      </c>
    </row>
    <row r="1006" spans="5:7" x14ac:dyDescent="0.35">
      <c r="E1006" s="9">
        <v>40818</v>
      </c>
      <c r="F1006">
        <v>181.5</v>
      </c>
      <c r="G1006" t="s">
        <v>5877</v>
      </c>
    </row>
    <row r="1007" spans="5:7" x14ac:dyDescent="0.35">
      <c r="E1007" s="9">
        <v>40819</v>
      </c>
      <c r="F1007">
        <v>188.1</v>
      </c>
      <c r="G1007" t="s">
        <v>5877</v>
      </c>
    </row>
    <row r="1008" spans="5:7" x14ac:dyDescent="0.35">
      <c r="E1008" s="9">
        <v>40820</v>
      </c>
      <c r="F1008">
        <v>193.3</v>
      </c>
      <c r="G1008" t="s">
        <v>5877</v>
      </c>
    </row>
    <row r="1009" spans="5:7" x14ac:dyDescent="0.35">
      <c r="E1009" s="9">
        <v>40821</v>
      </c>
      <c r="F1009">
        <v>196.1</v>
      </c>
      <c r="G1009" t="s">
        <v>5877</v>
      </c>
    </row>
    <row r="1010" spans="5:7" x14ac:dyDescent="0.35">
      <c r="E1010" s="9">
        <v>40822</v>
      </c>
      <c r="F1010">
        <v>204.6</v>
      </c>
      <c r="G1010" t="s">
        <v>5877</v>
      </c>
    </row>
    <row r="1011" spans="5:7" x14ac:dyDescent="0.35">
      <c r="E1011" s="9">
        <v>40823</v>
      </c>
      <c r="F1011">
        <v>221.8</v>
      </c>
      <c r="G1011" t="s">
        <v>5877</v>
      </c>
    </row>
    <row r="1012" spans="5:7" x14ac:dyDescent="0.35">
      <c r="E1012" s="9">
        <v>40824</v>
      </c>
      <c r="F1012">
        <v>240.7</v>
      </c>
      <c r="G1012" t="s">
        <v>5877</v>
      </c>
    </row>
    <row r="1013" spans="5:7" x14ac:dyDescent="0.35">
      <c r="E1013" s="9">
        <v>40825</v>
      </c>
      <c r="F1013">
        <v>252.6</v>
      </c>
      <c r="G1013" t="s">
        <v>5877</v>
      </c>
    </row>
    <row r="1014" spans="5:7" x14ac:dyDescent="0.35">
      <c r="E1014" s="9">
        <v>40826</v>
      </c>
      <c r="F1014">
        <v>253</v>
      </c>
      <c r="G1014" t="s">
        <v>5877</v>
      </c>
    </row>
    <row r="1015" spans="5:7" x14ac:dyDescent="0.35">
      <c r="E1015" s="9">
        <v>40827</v>
      </c>
      <c r="F1015">
        <v>242.8</v>
      </c>
      <c r="G1015" t="s">
        <v>5877</v>
      </c>
    </row>
    <row r="1016" spans="5:7" x14ac:dyDescent="0.35">
      <c r="E1016" s="9">
        <v>40828</v>
      </c>
      <c r="F1016">
        <v>229.6</v>
      </c>
      <c r="G1016" t="s">
        <v>5877</v>
      </c>
    </row>
    <row r="1017" spans="5:7" x14ac:dyDescent="0.35">
      <c r="E1017" s="9">
        <v>40829</v>
      </c>
      <c r="F1017">
        <v>223.6</v>
      </c>
      <c r="G1017" t="s">
        <v>5877</v>
      </c>
    </row>
    <row r="1018" spans="5:7" x14ac:dyDescent="0.35">
      <c r="E1018" s="9">
        <v>40830</v>
      </c>
      <c r="F1018">
        <v>223.6</v>
      </c>
      <c r="G1018" t="s">
        <v>5877</v>
      </c>
    </row>
    <row r="1019" spans="5:7" x14ac:dyDescent="0.35">
      <c r="E1019" s="9">
        <v>40831</v>
      </c>
      <c r="F1019">
        <v>216.8</v>
      </c>
      <c r="G1019" t="s">
        <v>5877</v>
      </c>
    </row>
    <row r="1020" spans="5:7" x14ac:dyDescent="0.35">
      <c r="E1020" s="9">
        <v>40832</v>
      </c>
      <c r="F1020">
        <v>208</v>
      </c>
      <c r="G1020" t="s">
        <v>5877</v>
      </c>
    </row>
    <row r="1021" spans="5:7" x14ac:dyDescent="0.35">
      <c r="E1021" s="9">
        <v>40833</v>
      </c>
      <c r="F1021">
        <v>208.4</v>
      </c>
      <c r="G1021" t="s">
        <v>5877</v>
      </c>
    </row>
    <row r="1022" spans="5:7" x14ac:dyDescent="0.35">
      <c r="E1022" s="9">
        <v>40834</v>
      </c>
      <c r="F1022">
        <v>216.2</v>
      </c>
      <c r="G1022" t="s">
        <v>5877</v>
      </c>
    </row>
    <row r="1023" spans="5:7" x14ac:dyDescent="0.35">
      <c r="E1023" s="9">
        <v>40835</v>
      </c>
      <c r="F1023">
        <v>218.1</v>
      </c>
      <c r="G1023" t="s">
        <v>5877</v>
      </c>
    </row>
    <row r="1024" spans="5:7" x14ac:dyDescent="0.35">
      <c r="E1024" s="9">
        <v>40836</v>
      </c>
      <c r="F1024">
        <v>206.7</v>
      </c>
      <c r="G1024" t="s">
        <v>5877</v>
      </c>
    </row>
    <row r="1025" spans="5:7" x14ac:dyDescent="0.35">
      <c r="E1025" s="9">
        <v>40837</v>
      </c>
      <c r="F1025">
        <v>190.3</v>
      </c>
      <c r="G1025" t="s">
        <v>5877</v>
      </c>
    </row>
    <row r="1026" spans="5:7" x14ac:dyDescent="0.35">
      <c r="E1026" s="9">
        <v>40838</v>
      </c>
      <c r="F1026">
        <v>185.5</v>
      </c>
      <c r="G1026" t="s">
        <v>5877</v>
      </c>
    </row>
    <row r="1027" spans="5:7" x14ac:dyDescent="0.35">
      <c r="E1027" s="9">
        <v>40839</v>
      </c>
      <c r="F1027">
        <v>195.3</v>
      </c>
      <c r="G1027" t="s">
        <v>5877</v>
      </c>
    </row>
    <row r="1028" spans="5:7" x14ac:dyDescent="0.35">
      <c r="E1028" s="9">
        <v>40840</v>
      </c>
      <c r="F1028">
        <v>202.6</v>
      </c>
      <c r="G1028" t="s">
        <v>5877</v>
      </c>
    </row>
    <row r="1029" spans="5:7" x14ac:dyDescent="0.35">
      <c r="E1029" s="9">
        <v>40841</v>
      </c>
      <c r="F1029">
        <v>197.4</v>
      </c>
      <c r="G1029" t="s">
        <v>5877</v>
      </c>
    </row>
    <row r="1030" spans="5:7" x14ac:dyDescent="0.35">
      <c r="E1030" s="9">
        <v>40842</v>
      </c>
      <c r="F1030">
        <v>190.2</v>
      </c>
      <c r="G1030" t="s">
        <v>5877</v>
      </c>
    </row>
    <row r="1031" spans="5:7" x14ac:dyDescent="0.35">
      <c r="E1031" s="9">
        <v>40843</v>
      </c>
      <c r="F1031">
        <v>189.2</v>
      </c>
      <c r="G1031" t="s">
        <v>5877</v>
      </c>
    </row>
    <row r="1032" spans="5:7" x14ac:dyDescent="0.35">
      <c r="E1032" s="9">
        <v>40844</v>
      </c>
      <c r="F1032">
        <v>193.6</v>
      </c>
      <c r="G1032" t="s">
        <v>5877</v>
      </c>
    </row>
    <row r="1033" spans="5:7" x14ac:dyDescent="0.35">
      <c r="E1033" s="9">
        <v>40845</v>
      </c>
      <c r="F1033">
        <v>199.9</v>
      </c>
      <c r="G1033" t="s">
        <v>5877</v>
      </c>
    </row>
    <row r="1034" spans="5:7" x14ac:dyDescent="0.35">
      <c r="E1034" s="9">
        <v>40846</v>
      </c>
      <c r="F1034">
        <v>201.8</v>
      </c>
      <c r="G1034" t="s">
        <v>5877</v>
      </c>
    </row>
    <row r="1035" spans="5:7" x14ac:dyDescent="0.35">
      <c r="E1035" s="9">
        <v>40847</v>
      </c>
      <c r="F1035">
        <v>196.8</v>
      </c>
      <c r="G1035" t="s">
        <v>5877</v>
      </c>
    </row>
    <row r="1036" spans="5:7" x14ac:dyDescent="0.35">
      <c r="E1036" s="9">
        <v>40848</v>
      </c>
      <c r="F1036">
        <v>191.8</v>
      </c>
      <c r="G1036" t="s">
        <v>5877</v>
      </c>
    </row>
    <row r="1037" spans="5:7" x14ac:dyDescent="0.35">
      <c r="E1037" s="9">
        <v>40849</v>
      </c>
      <c r="F1037">
        <v>201.7</v>
      </c>
      <c r="G1037" t="s">
        <v>5877</v>
      </c>
    </row>
    <row r="1038" spans="5:7" x14ac:dyDescent="0.35">
      <c r="E1038" s="9">
        <v>40850</v>
      </c>
      <c r="F1038">
        <v>201.6</v>
      </c>
      <c r="G1038" t="s">
        <v>5877</v>
      </c>
    </row>
    <row r="1039" spans="5:7" x14ac:dyDescent="0.35">
      <c r="E1039" s="9">
        <v>40851</v>
      </c>
      <c r="F1039">
        <v>203.5</v>
      </c>
      <c r="G1039" t="s">
        <v>5877</v>
      </c>
    </row>
    <row r="1040" spans="5:7" x14ac:dyDescent="0.35">
      <c r="E1040" s="9">
        <v>40852</v>
      </c>
      <c r="F1040">
        <v>205.5</v>
      </c>
      <c r="G1040" t="s">
        <v>5877</v>
      </c>
    </row>
    <row r="1041" spans="5:7" x14ac:dyDescent="0.35">
      <c r="E1041" s="9">
        <v>40853</v>
      </c>
      <c r="F1041">
        <v>202.5</v>
      </c>
      <c r="G1041" t="s">
        <v>5877</v>
      </c>
    </row>
    <row r="1042" spans="5:7" x14ac:dyDescent="0.35">
      <c r="E1042" s="9">
        <v>40854</v>
      </c>
      <c r="F1042">
        <v>206.6</v>
      </c>
      <c r="G1042" t="s">
        <v>5877</v>
      </c>
    </row>
    <row r="1043" spans="5:7" x14ac:dyDescent="0.35">
      <c r="E1043" s="9">
        <v>40855</v>
      </c>
      <c r="F1043">
        <v>222.7</v>
      </c>
      <c r="G1043" t="s">
        <v>5877</v>
      </c>
    </row>
    <row r="1044" spans="5:7" x14ac:dyDescent="0.35">
      <c r="E1044" s="9">
        <v>40856</v>
      </c>
      <c r="F1044">
        <v>243</v>
      </c>
      <c r="G1044" t="s">
        <v>5877</v>
      </c>
    </row>
    <row r="1045" spans="5:7" x14ac:dyDescent="0.35">
      <c r="E1045" s="9">
        <v>40857</v>
      </c>
      <c r="F1045">
        <v>258.39999999999998</v>
      </c>
      <c r="G1045" t="s">
        <v>5877</v>
      </c>
    </row>
    <row r="1046" spans="5:7" x14ac:dyDescent="0.35">
      <c r="E1046" s="9">
        <v>40858</v>
      </c>
      <c r="F1046">
        <v>256.39999999999998</v>
      </c>
      <c r="G1046" t="s">
        <v>5877</v>
      </c>
    </row>
    <row r="1047" spans="5:7" x14ac:dyDescent="0.35">
      <c r="E1047" s="9">
        <v>40859</v>
      </c>
      <c r="F1047">
        <v>243.9</v>
      </c>
      <c r="G1047" t="s">
        <v>5877</v>
      </c>
    </row>
    <row r="1048" spans="5:7" x14ac:dyDescent="0.35">
      <c r="E1048" s="9">
        <v>40860</v>
      </c>
      <c r="F1048">
        <v>235.1</v>
      </c>
      <c r="G1048" t="s">
        <v>5877</v>
      </c>
    </row>
    <row r="1049" spans="5:7" x14ac:dyDescent="0.35">
      <c r="E1049" s="9">
        <v>40861</v>
      </c>
      <c r="F1049">
        <v>234.1</v>
      </c>
      <c r="G1049" t="s">
        <v>5877</v>
      </c>
    </row>
    <row r="1050" spans="5:7" x14ac:dyDescent="0.35">
      <c r="E1050" s="9">
        <v>40862</v>
      </c>
      <c r="F1050">
        <v>234</v>
      </c>
      <c r="G1050" t="s">
        <v>5877</v>
      </c>
    </row>
    <row r="1051" spans="5:7" x14ac:dyDescent="0.35">
      <c r="E1051" s="9">
        <v>40863</v>
      </c>
      <c r="F1051">
        <v>227.5</v>
      </c>
      <c r="G1051" t="s">
        <v>5877</v>
      </c>
    </row>
    <row r="1052" spans="5:7" x14ac:dyDescent="0.35">
      <c r="E1052" s="9">
        <v>40864</v>
      </c>
      <c r="F1052">
        <v>217</v>
      </c>
      <c r="G1052" t="s">
        <v>5877</v>
      </c>
    </row>
    <row r="1053" spans="5:7" x14ac:dyDescent="0.35">
      <c r="E1053" s="9">
        <v>40865</v>
      </c>
      <c r="F1053">
        <v>213.3</v>
      </c>
      <c r="G1053" t="s">
        <v>5877</v>
      </c>
    </row>
    <row r="1054" spans="5:7" x14ac:dyDescent="0.35">
      <c r="E1054" s="9">
        <v>40866</v>
      </c>
      <c r="F1054">
        <v>220.9</v>
      </c>
      <c r="G1054" t="s">
        <v>5877</v>
      </c>
    </row>
    <row r="1055" spans="5:7" x14ac:dyDescent="0.35">
      <c r="E1055" s="9">
        <v>40867</v>
      </c>
      <c r="F1055">
        <v>231.1</v>
      </c>
      <c r="G1055" t="s">
        <v>5877</v>
      </c>
    </row>
    <row r="1056" spans="5:7" x14ac:dyDescent="0.35">
      <c r="E1056" s="9">
        <v>40868</v>
      </c>
      <c r="F1056">
        <v>237.1</v>
      </c>
      <c r="G1056" t="s">
        <v>5877</v>
      </c>
    </row>
    <row r="1057" spans="5:7" x14ac:dyDescent="0.35">
      <c r="E1057" s="9">
        <v>40869</v>
      </c>
      <c r="F1057">
        <v>237</v>
      </c>
      <c r="G1057" t="s">
        <v>5877</v>
      </c>
    </row>
    <row r="1058" spans="5:7" x14ac:dyDescent="0.35">
      <c r="E1058" s="9">
        <v>40870</v>
      </c>
      <c r="F1058">
        <v>230.1</v>
      </c>
      <c r="G1058" t="s">
        <v>5877</v>
      </c>
    </row>
    <row r="1059" spans="5:7" x14ac:dyDescent="0.35">
      <c r="E1059" s="9">
        <v>40871</v>
      </c>
      <c r="F1059">
        <v>227.6</v>
      </c>
      <c r="G1059" t="s">
        <v>5877</v>
      </c>
    </row>
    <row r="1060" spans="5:7" x14ac:dyDescent="0.35">
      <c r="E1060" s="9">
        <v>40872</v>
      </c>
      <c r="F1060">
        <v>224.1</v>
      </c>
      <c r="G1060" t="s">
        <v>5877</v>
      </c>
    </row>
    <row r="1061" spans="5:7" x14ac:dyDescent="0.35">
      <c r="E1061" s="9">
        <v>40873</v>
      </c>
      <c r="F1061">
        <v>217.1</v>
      </c>
      <c r="G1061" t="s">
        <v>5877</v>
      </c>
    </row>
    <row r="1062" spans="5:7" x14ac:dyDescent="0.35">
      <c r="E1062" s="9">
        <v>40874</v>
      </c>
      <c r="F1062">
        <v>213.3</v>
      </c>
      <c r="G1062" t="s">
        <v>5877</v>
      </c>
    </row>
    <row r="1063" spans="5:7" x14ac:dyDescent="0.35">
      <c r="E1063" s="9">
        <v>40875</v>
      </c>
      <c r="F1063">
        <v>219.9</v>
      </c>
      <c r="G1063" t="s">
        <v>5877</v>
      </c>
    </row>
    <row r="1064" spans="5:7" x14ac:dyDescent="0.35">
      <c r="E1064" s="9">
        <v>40876</v>
      </c>
      <c r="F1064">
        <v>235.8</v>
      </c>
      <c r="G1064" t="s">
        <v>5877</v>
      </c>
    </row>
    <row r="1065" spans="5:7" x14ac:dyDescent="0.35">
      <c r="E1065" s="9">
        <v>40877</v>
      </c>
      <c r="F1065">
        <v>253</v>
      </c>
      <c r="G1065" t="s">
        <v>5877</v>
      </c>
    </row>
    <row r="1066" spans="5:7" x14ac:dyDescent="0.35">
      <c r="E1066" s="9">
        <v>40878</v>
      </c>
      <c r="F1066">
        <v>256.10000000000002</v>
      </c>
      <c r="G1066" t="s">
        <v>5877</v>
      </c>
    </row>
    <row r="1067" spans="5:7" x14ac:dyDescent="0.35">
      <c r="E1067" s="9">
        <v>40879</v>
      </c>
      <c r="F1067">
        <v>249.9</v>
      </c>
      <c r="G1067" t="s">
        <v>5877</v>
      </c>
    </row>
    <row r="1068" spans="5:7" x14ac:dyDescent="0.35">
      <c r="E1068" s="9">
        <v>40880</v>
      </c>
      <c r="F1068">
        <v>233.4</v>
      </c>
      <c r="G1068" t="s">
        <v>5877</v>
      </c>
    </row>
    <row r="1069" spans="5:7" x14ac:dyDescent="0.35">
      <c r="E1069" s="9">
        <v>40881</v>
      </c>
      <c r="F1069">
        <v>224.8</v>
      </c>
      <c r="G1069" t="s">
        <v>5877</v>
      </c>
    </row>
    <row r="1070" spans="5:7" x14ac:dyDescent="0.35">
      <c r="E1070" s="9">
        <v>40882</v>
      </c>
      <c r="F1070">
        <v>228.4</v>
      </c>
      <c r="G1070" t="s">
        <v>5877</v>
      </c>
    </row>
    <row r="1071" spans="5:7" x14ac:dyDescent="0.35">
      <c r="E1071" s="9">
        <v>40883</v>
      </c>
      <c r="F1071">
        <v>235.9</v>
      </c>
      <c r="G1071" t="s">
        <v>5877</v>
      </c>
    </row>
    <row r="1072" spans="5:7" x14ac:dyDescent="0.35">
      <c r="E1072" s="9">
        <v>40884</v>
      </c>
      <c r="F1072">
        <v>242</v>
      </c>
      <c r="G1072" t="s">
        <v>5877</v>
      </c>
    </row>
    <row r="1073" spans="5:7" x14ac:dyDescent="0.35">
      <c r="E1073" s="9">
        <v>40885</v>
      </c>
      <c r="F1073">
        <v>240.1</v>
      </c>
      <c r="G1073" t="s">
        <v>5877</v>
      </c>
    </row>
    <row r="1074" spans="5:7" x14ac:dyDescent="0.35">
      <c r="E1074" s="9">
        <v>40886</v>
      </c>
      <c r="F1074">
        <v>233.7</v>
      </c>
      <c r="G1074" t="s">
        <v>5877</v>
      </c>
    </row>
    <row r="1075" spans="5:7" x14ac:dyDescent="0.35">
      <c r="E1075" s="9">
        <v>40887</v>
      </c>
      <c r="F1075">
        <v>226.8</v>
      </c>
      <c r="G1075" t="s">
        <v>5877</v>
      </c>
    </row>
    <row r="1076" spans="5:7" x14ac:dyDescent="0.35">
      <c r="E1076" s="9">
        <v>40888</v>
      </c>
      <c r="F1076">
        <v>220.3</v>
      </c>
      <c r="G1076" t="s">
        <v>5877</v>
      </c>
    </row>
    <row r="1077" spans="5:7" x14ac:dyDescent="0.35">
      <c r="E1077" s="9">
        <v>40889</v>
      </c>
      <c r="F1077">
        <v>214</v>
      </c>
      <c r="G1077" t="s">
        <v>5877</v>
      </c>
    </row>
    <row r="1078" spans="5:7" x14ac:dyDescent="0.35">
      <c r="E1078" s="9">
        <v>40890</v>
      </c>
      <c r="F1078">
        <v>212.7</v>
      </c>
      <c r="G1078" t="s">
        <v>5877</v>
      </c>
    </row>
    <row r="1079" spans="5:7" x14ac:dyDescent="0.35">
      <c r="E1079" s="9">
        <v>40891</v>
      </c>
      <c r="F1079">
        <v>216.5</v>
      </c>
      <c r="G1079" t="s">
        <v>5877</v>
      </c>
    </row>
    <row r="1080" spans="5:7" x14ac:dyDescent="0.35">
      <c r="E1080" s="9">
        <v>40892</v>
      </c>
      <c r="F1080">
        <v>222</v>
      </c>
      <c r="G1080" t="s">
        <v>5877</v>
      </c>
    </row>
    <row r="1081" spans="5:7" x14ac:dyDescent="0.35">
      <c r="E1081" s="9">
        <v>40893</v>
      </c>
      <c r="F1081">
        <v>222.3</v>
      </c>
      <c r="G1081" t="s">
        <v>5877</v>
      </c>
    </row>
    <row r="1082" spans="5:7" x14ac:dyDescent="0.35">
      <c r="E1082" s="9">
        <v>40894</v>
      </c>
      <c r="F1082">
        <v>215.9</v>
      </c>
      <c r="G1082" t="s">
        <v>5877</v>
      </c>
    </row>
    <row r="1083" spans="5:7" x14ac:dyDescent="0.35">
      <c r="E1083" s="9">
        <v>40895</v>
      </c>
      <c r="F1083">
        <v>206.1</v>
      </c>
      <c r="G1083" t="s">
        <v>5877</v>
      </c>
    </row>
    <row r="1084" spans="5:7" x14ac:dyDescent="0.35">
      <c r="E1084" s="9">
        <v>40896</v>
      </c>
      <c r="F1084">
        <v>199.5</v>
      </c>
      <c r="G1084" t="s">
        <v>5877</v>
      </c>
    </row>
    <row r="1085" spans="5:7" x14ac:dyDescent="0.35">
      <c r="E1085" s="9">
        <v>40897</v>
      </c>
      <c r="F1085">
        <v>200.5</v>
      </c>
      <c r="G1085" t="s">
        <v>5877</v>
      </c>
    </row>
    <row r="1086" spans="5:7" x14ac:dyDescent="0.35">
      <c r="E1086" s="9">
        <v>40898</v>
      </c>
      <c r="F1086">
        <v>211.1</v>
      </c>
      <c r="G1086" t="s">
        <v>5877</v>
      </c>
    </row>
    <row r="1087" spans="5:7" x14ac:dyDescent="0.35">
      <c r="E1087" s="9">
        <v>40899</v>
      </c>
      <c r="F1087">
        <v>224</v>
      </c>
      <c r="G1087" t="s">
        <v>5877</v>
      </c>
    </row>
    <row r="1088" spans="5:7" x14ac:dyDescent="0.35">
      <c r="E1088" s="9">
        <v>40900</v>
      </c>
      <c r="F1088">
        <v>236.9</v>
      </c>
      <c r="G1088" t="s">
        <v>5877</v>
      </c>
    </row>
    <row r="1089" spans="5:7" x14ac:dyDescent="0.35">
      <c r="E1089" s="9">
        <v>40901</v>
      </c>
      <c r="F1089">
        <v>239.7</v>
      </c>
      <c r="G1089" t="s">
        <v>5877</v>
      </c>
    </row>
    <row r="1090" spans="5:7" x14ac:dyDescent="0.35">
      <c r="E1090" s="9">
        <v>40902</v>
      </c>
      <c r="F1090">
        <v>225.2</v>
      </c>
      <c r="G1090" t="s">
        <v>5877</v>
      </c>
    </row>
    <row r="1091" spans="5:7" x14ac:dyDescent="0.35">
      <c r="E1091" s="9">
        <v>40903</v>
      </c>
      <c r="F1091">
        <v>208.6</v>
      </c>
      <c r="G1091" t="s">
        <v>5877</v>
      </c>
    </row>
    <row r="1092" spans="5:7" x14ac:dyDescent="0.35">
      <c r="E1092" s="9">
        <v>40904</v>
      </c>
      <c r="F1092">
        <v>203.6</v>
      </c>
      <c r="G1092" t="s">
        <v>5877</v>
      </c>
    </row>
    <row r="1093" spans="5:7" x14ac:dyDescent="0.35">
      <c r="E1093" s="9">
        <v>40905</v>
      </c>
      <c r="F1093">
        <v>216</v>
      </c>
      <c r="G1093" t="s">
        <v>5877</v>
      </c>
    </row>
    <row r="1094" spans="5:7" x14ac:dyDescent="0.35">
      <c r="E1094" s="9">
        <v>40906</v>
      </c>
      <c r="F1094">
        <v>234.2</v>
      </c>
      <c r="G1094" t="s">
        <v>5877</v>
      </c>
    </row>
    <row r="1095" spans="5:7" x14ac:dyDescent="0.35">
      <c r="E1095" s="9">
        <v>40907</v>
      </c>
      <c r="F1095">
        <v>241.2</v>
      </c>
      <c r="G1095" t="s">
        <v>5877</v>
      </c>
    </row>
    <row r="1096" spans="5:7" x14ac:dyDescent="0.35">
      <c r="E1096" s="9">
        <v>40908</v>
      </c>
      <c r="F1096">
        <v>230.8</v>
      </c>
      <c r="G1096" t="s">
        <v>5877</v>
      </c>
    </row>
    <row r="1097" spans="5:7" x14ac:dyDescent="0.35">
      <c r="E1097" s="9">
        <v>40909</v>
      </c>
      <c r="F1097">
        <v>209.5</v>
      </c>
      <c r="G1097" t="s">
        <v>5877</v>
      </c>
    </row>
    <row r="1098" spans="5:7" x14ac:dyDescent="0.35">
      <c r="E1098" s="9">
        <v>40910</v>
      </c>
      <c r="F1098">
        <v>186.1</v>
      </c>
      <c r="G1098" t="s">
        <v>5877</v>
      </c>
    </row>
    <row r="1099" spans="5:7" x14ac:dyDescent="0.35">
      <c r="E1099" s="9">
        <v>40911</v>
      </c>
      <c r="F1099">
        <v>175.6</v>
      </c>
      <c r="G1099" t="s">
        <v>5877</v>
      </c>
    </row>
    <row r="1100" spans="5:7" x14ac:dyDescent="0.35">
      <c r="E1100" s="9">
        <v>40912</v>
      </c>
      <c r="F1100">
        <v>171.2</v>
      </c>
      <c r="G1100" t="s">
        <v>5877</v>
      </c>
    </row>
    <row r="1101" spans="5:7" x14ac:dyDescent="0.35">
      <c r="E1101" s="9">
        <v>40913</v>
      </c>
      <c r="F1101">
        <v>171</v>
      </c>
      <c r="G1101" t="s">
        <v>5877</v>
      </c>
    </row>
    <row r="1102" spans="5:7" x14ac:dyDescent="0.35">
      <c r="E1102" s="9">
        <v>40914</v>
      </c>
      <c r="F1102">
        <v>179.6</v>
      </c>
      <c r="G1102" t="s">
        <v>5877</v>
      </c>
    </row>
    <row r="1103" spans="5:7" x14ac:dyDescent="0.35">
      <c r="E1103" s="9">
        <v>40915</v>
      </c>
      <c r="F1103">
        <v>196.3</v>
      </c>
      <c r="G1103" t="s">
        <v>5877</v>
      </c>
    </row>
    <row r="1104" spans="5:7" x14ac:dyDescent="0.35">
      <c r="E1104" s="9">
        <v>40916</v>
      </c>
      <c r="F1104">
        <v>211.2</v>
      </c>
      <c r="G1104" t="s">
        <v>5877</v>
      </c>
    </row>
    <row r="1105" spans="5:7" x14ac:dyDescent="0.35">
      <c r="E1105" s="9">
        <v>40917</v>
      </c>
      <c r="F1105">
        <v>214.7</v>
      </c>
      <c r="G1105" t="s">
        <v>5877</v>
      </c>
    </row>
    <row r="1106" spans="5:7" x14ac:dyDescent="0.35">
      <c r="E1106" s="9">
        <v>40918</v>
      </c>
      <c r="F1106">
        <v>213</v>
      </c>
      <c r="G1106" t="s">
        <v>5877</v>
      </c>
    </row>
    <row r="1107" spans="5:7" x14ac:dyDescent="0.35">
      <c r="E1107" s="9">
        <v>40919</v>
      </c>
      <c r="F1107">
        <v>212.6</v>
      </c>
      <c r="G1107" t="s">
        <v>5877</v>
      </c>
    </row>
    <row r="1108" spans="5:7" x14ac:dyDescent="0.35">
      <c r="E1108" s="9">
        <v>40920</v>
      </c>
      <c r="F1108">
        <v>217</v>
      </c>
      <c r="G1108" t="s">
        <v>5877</v>
      </c>
    </row>
    <row r="1109" spans="5:7" x14ac:dyDescent="0.35">
      <c r="E1109" s="9">
        <v>40921</v>
      </c>
      <c r="F1109">
        <v>216</v>
      </c>
      <c r="G1109" t="s">
        <v>5877</v>
      </c>
    </row>
    <row r="1110" spans="5:7" x14ac:dyDescent="0.35">
      <c r="E1110" s="9">
        <v>40922</v>
      </c>
      <c r="F1110">
        <v>208.4</v>
      </c>
      <c r="G1110" t="s">
        <v>5877</v>
      </c>
    </row>
    <row r="1111" spans="5:7" x14ac:dyDescent="0.35">
      <c r="E1111" s="9">
        <v>40923</v>
      </c>
      <c r="F1111">
        <v>201.1</v>
      </c>
      <c r="G1111" t="s">
        <v>5877</v>
      </c>
    </row>
    <row r="1112" spans="5:7" x14ac:dyDescent="0.35">
      <c r="E1112" s="9">
        <v>40924</v>
      </c>
      <c r="F1112">
        <v>197.5</v>
      </c>
      <c r="G1112" t="s">
        <v>5877</v>
      </c>
    </row>
    <row r="1113" spans="5:7" x14ac:dyDescent="0.35">
      <c r="E1113" s="9">
        <v>40925</v>
      </c>
      <c r="F1113">
        <v>198.6</v>
      </c>
      <c r="G1113" t="s">
        <v>5877</v>
      </c>
    </row>
    <row r="1114" spans="5:7" x14ac:dyDescent="0.35">
      <c r="E1114" s="9">
        <v>40926</v>
      </c>
      <c r="F1114">
        <v>207.2</v>
      </c>
      <c r="G1114" t="s">
        <v>5877</v>
      </c>
    </row>
    <row r="1115" spans="5:7" x14ac:dyDescent="0.35">
      <c r="E1115" s="9">
        <v>40927</v>
      </c>
      <c r="F1115">
        <v>216.2</v>
      </c>
      <c r="G1115" t="s">
        <v>5877</v>
      </c>
    </row>
    <row r="1116" spans="5:7" x14ac:dyDescent="0.35">
      <c r="E1116" s="9">
        <v>40928</v>
      </c>
      <c r="F1116">
        <v>212.1</v>
      </c>
      <c r="G1116" t="s">
        <v>5877</v>
      </c>
    </row>
    <row r="1117" spans="5:7" x14ac:dyDescent="0.35">
      <c r="E1117" s="9">
        <v>40929</v>
      </c>
      <c r="F1117">
        <v>200.3</v>
      </c>
      <c r="G1117" t="s">
        <v>5877</v>
      </c>
    </row>
    <row r="1118" spans="5:7" x14ac:dyDescent="0.35">
      <c r="E1118" s="9">
        <v>40930</v>
      </c>
      <c r="F1118">
        <v>192.5</v>
      </c>
      <c r="G1118" t="s">
        <v>5877</v>
      </c>
    </row>
    <row r="1119" spans="5:7" x14ac:dyDescent="0.35">
      <c r="E1119" s="9">
        <v>40931</v>
      </c>
      <c r="F1119">
        <v>196</v>
      </c>
      <c r="G1119" t="s">
        <v>5877</v>
      </c>
    </row>
    <row r="1120" spans="5:7" x14ac:dyDescent="0.35">
      <c r="E1120" s="9">
        <v>40932</v>
      </c>
      <c r="F1120">
        <v>205.2</v>
      </c>
      <c r="G1120" t="s">
        <v>5877</v>
      </c>
    </row>
    <row r="1121" spans="5:7" x14ac:dyDescent="0.35">
      <c r="E1121" s="9">
        <v>40933</v>
      </c>
      <c r="F1121">
        <v>210.2</v>
      </c>
      <c r="G1121" t="s">
        <v>5877</v>
      </c>
    </row>
    <row r="1122" spans="5:7" x14ac:dyDescent="0.35">
      <c r="E1122" s="9">
        <v>40934</v>
      </c>
      <c r="F1122">
        <v>210.8</v>
      </c>
      <c r="G1122" t="s">
        <v>5877</v>
      </c>
    </row>
    <row r="1123" spans="5:7" x14ac:dyDescent="0.35">
      <c r="E1123" s="9">
        <v>40935</v>
      </c>
      <c r="F1123">
        <v>211.6</v>
      </c>
      <c r="G1123" t="s">
        <v>5877</v>
      </c>
    </row>
    <row r="1124" spans="5:7" x14ac:dyDescent="0.35">
      <c r="E1124" s="9">
        <v>40936</v>
      </c>
      <c r="F1124">
        <v>210.2</v>
      </c>
      <c r="G1124" t="s">
        <v>5877</v>
      </c>
    </row>
    <row r="1125" spans="5:7" x14ac:dyDescent="0.35">
      <c r="E1125" s="9">
        <v>40937</v>
      </c>
      <c r="F1125">
        <v>212.3</v>
      </c>
      <c r="G1125" t="s">
        <v>5877</v>
      </c>
    </row>
    <row r="1126" spans="5:7" x14ac:dyDescent="0.35">
      <c r="E1126" s="9">
        <v>40938</v>
      </c>
      <c r="F1126">
        <v>213.6</v>
      </c>
      <c r="G1126" t="s">
        <v>5877</v>
      </c>
    </row>
    <row r="1127" spans="5:7" x14ac:dyDescent="0.35">
      <c r="E1127" s="9">
        <v>40939</v>
      </c>
      <c r="F1127">
        <v>218.2</v>
      </c>
      <c r="G1127" t="s">
        <v>5877</v>
      </c>
    </row>
    <row r="1128" spans="5:7" x14ac:dyDescent="0.35">
      <c r="E1128" s="9">
        <v>40940</v>
      </c>
      <c r="F1128">
        <v>218.1</v>
      </c>
      <c r="G1128" t="s">
        <v>5877</v>
      </c>
    </row>
    <row r="1129" spans="5:7" x14ac:dyDescent="0.35">
      <c r="E1129" s="9">
        <v>40941</v>
      </c>
      <c r="F1129">
        <v>193.3</v>
      </c>
      <c r="G1129" t="s">
        <v>5877</v>
      </c>
    </row>
    <row r="1130" spans="5:7" x14ac:dyDescent="0.35">
      <c r="E1130" s="9">
        <v>40942</v>
      </c>
      <c r="F1130">
        <v>180.9</v>
      </c>
      <c r="G1130" t="s">
        <v>5877</v>
      </c>
    </row>
    <row r="1131" spans="5:7" x14ac:dyDescent="0.35">
      <c r="E1131" s="9">
        <v>40943</v>
      </c>
      <c r="F1131">
        <v>170.8</v>
      </c>
      <c r="G1131" t="s">
        <v>5877</v>
      </c>
    </row>
    <row r="1132" spans="5:7" x14ac:dyDescent="0.35">
      <c r="E1132" s="9">
        <v>40944</v>
      </c>
      <c r="F1132">
        <v>169.8</v>
      </c>
      <c r="G1132" t="s">
        <v>5877</v>
      </c>
    </row>
    <row r="1133" spans="5:7" x14ac:dyDescent="0.35">
      <c r="E1133" s="9">
        <v>40945</v>
      </c>
      <c r="F1133">
        <v>171.6</v>
      </c>
      <c r="G1133" t="s">
        <v>5877</v>
      </c>
    </row>
    <row r="1134" spans="5:7" x14ac:dyDescent="0.35">
      <c r="E1134" s="9">
        <v>40946</v>
      </c>
      <c r="F1134">
        <v>178</v>
      </c>
      <c r="G1134" t="s">
        <v>5877</v>
      </c>
    </row>
    <row r="1135" spans="5:7" x14ac:dyDescent="0.35">
      <c r="E1135" s="9">
        <v>40947</v>
      </c>
      <c r="F1135">
        <v>186.7</v>
      </c>
      <c r="G1135" t="s">
        <v>5877</v>
      </c>
    </row>
    <row r="1136" spans="5:7" x14ac:dyDescent="0.35">
      <c r="E1136" s="9">
        <v>40948</v>
      </c>
      <c r="F1136">
        <v>197.9</v>
      </c>
      <c r="G1136" t="s">
        <v>5877</v>
      </c>
    </row>
    <row r="1137" spans="5:7" x14ac:dyDescent="0.35">
      <c r="E1137" s="9">
        <v>40949</v>
      </c>
      <c r="F1137">
        <v>202.3</v>
      </c>
      <c r="G1137" t="s">
        <v>5877</v>
      </c>
    </row>
    <row r="1138" spans="5:7" x14ac:dyDescent="0.35">
      <c r="E1138" s="9">
        <v>40950</v>
      </c>
      <c r="F1138">
        <v>197.2</v>
      </c>
      <c r="G1138" t="s">
        <v>5877</v>
      </c>
    </row>
    <row r="1139" spans="5:7" x14ac:dyDescent="0.35">
      <c r="E1139" s="9">
        <v>40951</v>
      </c>
      <c r="F1139">
        <v>184.4</v>
      </c>
      <c r="G1139" t="s">
        <v>5877</v>
      </c>
    </row>
    <row r="1140" spans="5:7" x14ac:dyDescent="0.35">
      <c r="E1140" s="9">
        <v>40952</v>
      </c>
      <c r="F1140">
        <v>171.9</v>
      </c>
      <c r="G1140" t="s">
        <v>5877</v>
      </c>
    </row>
    <row r="1141" spans="5:7" x14ac:dyDescent="0.35">
      <c r="E1141" s="9">
        <v>40953</v>
      </c>
      <c r="F1141">
        <v>169</v>
      </c>
      <c r="G1141" t="s">
        <v>5877</v>
      </c>
    </row>
    <row r="1142" spans="5:7" x14ac:dyDescent="0.35">
      <c r="E1142" s="9">
        <v>40954</v>
      </c>
      <c r="F1142">
        <v>174.4</v>
      </c>
      <c r="G1142" t="s">
        <v>5877</v>
      </c>
    </row>
    <row r="1143" spans="5:7" x14ac:dyDescent="0.35">
      <c r="E1143" s="9">
        <v>40955</v>
      </c>
      <c r="F1143">
        <v>176.1</v>
      </c>
      <c r="G1143" t="s">
        <v>5877</v>
      </c>
    </row>
    <row r="1144" spans="5:7" x14ac:dyDescent="0.35">
      <c r="E1144" s="9">
        <v>40956</v>
      </c>
      <c r="F1144">
        <v>176.6</v>
      </c>
      <c r="G1144" t="s">
        <v>5877</v>
      </c>
    </row>
    <row r="1145" spans="5:7" x14ac:dyDescent="0.35">
      <c r="E1145" s="9">
        <v>40957</v>
      </c>
      <c r="F1145">
        <v>180.3</v>
      </c>
      <c r="G1145" t="s">
        <v>5877</v>
      </c>
    </row>
    <row r="1146" spans="5:7" x14ac:dyDescent="0.35">
      <c r="E1146" s="9">
        <v>40958</v>
      </c>
      <c r="F1146">
        <v>192.3</v>
      </c>
      <c r="G1146" t="s">
        <v>5877</v>
      </c>
    </row>
    <row r="1147" spans="5:7" x14ac:dyDescent="0.35">
      <c r="E1147" s="9">
        <v>40959</v>
      </c>
      <c r="F1147">
        <v>210.3</v>
      </c>
      <c r="G1147" t="s">
        <v>5877</v>
      </c>
    </row>
    <row r="1148" spans="5:7" x14ac:dyDescent="0.35">
      <c r="E1148" s="9">
        <v>40960</v>
      </c>
      <c r="F1148">
        <v>217.4</v>
      </c>
      <c r="G1148" t="s">
        <v>5877</v>
      </c>
    </row>
    <row r="1149" spans="5:7" x14ac:dyDescent="0.35">
      <c r="E1149" s="9">
        <v>40961</v>
      </c>
      <c r="F1149">
        <v>215.5</v>
      </c>
      <c r="G1149" t="s">
        <v>5877</v>
      </c>
    </row>
    <row r="1150" spans="5:7" x14ac:dyDescent="0.35">
      <c r="E1150" s="9">
        <v>40962</v>
      </c>
      <c r="F1150">
        <v>211</v>
      </c>
      <c r="G1150" t="s">
        <v>5877</v>
      </c>
    </row>
    <row r="1151" spans="5:7" x14ac:dyDescent="0.35">
      <c r="E1151" s="9">
        <v>40963</v>
      </c>
      <c r="F1151">
        <v>207</v>
      </c>
      <c r="G1151" t="s">
        <v>5877</v>
      </c>
    </row>
    <row r="1152" spans="5:7" x14ac:dyDescent="0.35">
      <c r="E1152" s="9">
        <v>40964</v>
      </c>
      <c r="F1152">
        <v>200.9</v>
      </c>
      <c r="G1152" t="s">
        <v>5877</v>
      </c>
    </row>
    <row r="1153" spans="5:7" x14ac:dyDescent="0.35">
      <c r="E1153" s="9">
        <v>40965</v>
      </c>
      <c r="F1153">
        <v>188.3</v>
      </c>
      <c r="G1153" t="s">
        <v>5877</v>
      </c>
    </row>
    <row r="1154" spans="5:7" x14ac:dyDescent="0.35">
      <c r="E1154" s="9">
        <v>40966</v>
      </c>
      <c r="F1154">
        <v>174.2</v>
      </c>
      <c r="G1154" t="s">
        <v>5877</v>
      </c>
    </row>
    <row r="1155" spans="5:7" x14ac:dyDescent="0.35">
      <c r="E1155" s="9">
        <v>40967</v>
      </c>
      <c r="F1155">
        <v>165.1</v>
      </c>
      <c r="G1155" t="s">
        <v>5877</v>
      </c>
    </row>
    <row r="1156" spans="5:7" x14ac:dyDescent="0.35">
      <c r="E1156" s="9">
        <v>40968</v>
      </c>
      <c r="F1156">
        <v>161.4</v>
      </c>
      <c r="G1156" t="s">
        <v>5877</v>
      </c>
    </row>
    <row r="1157" spans="5:7" x14ac:dyDescent="0.35">
      <c r="E1157" s="9">
        <v>40969</v>
      </c>
      <c r="F1157">
        <v>162</v>
      </c>
      <c r="G1157" t="s">
        <v>5877</v>
      </c>
    </row>
    <row r="1158" spans="5:7" x14ac:dyDescent="0.35">
      <c r="E1158" s="9">
        <v>40970</v>
      </c>
      <c r="F1158">
        <v>167.5</v>
      </c>
      <c r="G1158" t="s">
        <v>5877</v>
      </c>
    </row>
    <row r="1159" spans="5:7" x14ac:dyDescent="0.35">
      <c r="E1159" s="9">
        <v>40971</v>
      </c>
      <c r="F1159">
        <v>161.9</v>
      </c>
      <c r="G1159" t="s">
        <v>5877</v>
      </c>
    </row>
    <row r="1160" spans="5:7" x14ac:dyDescent="0.35">
      <c r="E1160" s="9">
        <v>40972</v>
      </c>
      <c r="F1160">
        <v>153.69999999999999</v>
      </c>
      <c r="G1160" t="s">
        <v>5877</v>
      </c>
    </row>
    <row r="1161" spans="5:7" x14ac:dyDescent="0.35">
      <c r="E1161" s="9">
        <v>40973</v>
      </c>
      <c r="F1161">
        <v>154.30000000000001</v>
      </c>
      <c r="G1161" t="s">
        <v>5877</v>
      </c>
    </row>
    <row r="1162" spans="5:7" x14ac:dyDescent="0.35">
      <c r="E1162" s="9">
        <v>40974</v>
      </c>
      <c r="F1162">
        <v>169.9</v>
      </c>
      <c r="G1162" t="s">
        <v>5877</v>
      </c>
    </row>
    <row r="1163" spans="5:7" x14ac:dyDescent="0.35">
      <c r="E1163" s="9">
        <v>40975</v>
      </c>
      <c r="F1163">
        <v>195.9</v>
      </c>
      <c r="G1163" t="s">
        <v>5877</v>
      </c>
    </row>
    <row r="1164" spans="5:7" x14ac:dyDescent="0.35">
      <c r="E1164" s="9">
        <v>40976</v>
      </c>
      <c r="F1164">
        <v>217.1</v>
      </c>
      <c r="G1164" t="s">
        <v>5877</v>
      </c>
    </row>
    <row r="1165" spans="5:7" x14ac:dyDescent="0.35">
      <c r="E1165" s="9">
        <v>40977</v>
      </c>
      <c r="F1165">
        <v>232.9</v>
      </c>
      <c r="G1165" t="s">
        <v>5877</v>
      </c>
    </row>
    <row r="1166" spans="5:7" x14ac:dyDescent="0.35">
      <c r="E1166" s="9">
        <v>40978</v>
      </c>
      <c r="F1166">
        <v>231.9</v>
      </c>
      <c r="G1166" t="s">
        <v>5877</v>
      </c>
    </row>
    <row r="1167" spans="5:7" x14ac:dyDescent="0.35">
      <c r="E1167" s="9">
        <v>40979</v>
      </c>
      <c r="F1167">
        <v>217.2</v>
      </c>
      <c r="G1167" t="s">
        <v>5877</v>
      </c>
    </row>
    <row r="1168" spans="5:7" x14ac:dyDescent="0.35">
      <c r="E1168" s="9">
        <v>40980</v>
      </c>
      <c r="F1168">
        <v>204.1</v>
      </c>
      <c r="G1168" t="s">
        <v>5877</v>
      </c>
    </row>
    <row r="1169" spans="5:7" x14ac:dyDescent="0.35">
      <c r="E1169" s="9">
        <v>40981</v>
      </c>
      <c r="F1169">
        <v>197.2</v>
      </c>
      <c r="G1169" t="s">
        <v>5877</v>
      </c>
    </row>
    <row r="1170" spans="5:7" x14ac:dyDescent="0.35">
      <c r="E1170" s="9">
        <v>40982</v>
      </c>
      <c r="F1170">
        <v>193.9</v>
      </c>
      <c r="G1170" t="s">
        <v>5877</v>
      </c>
    </row>
    <row r="1171" spans="5:7" x14ac:dyDescent="0.35">
      <c r="E1171" s="9">
        <v>40983</v>
      </c>
      <c r="F1171">
        <v>185.8</v>
      </c>
      <c r="G1171" t="s">
        <v>5877</v>
      </c>
    </row>
    <row r="1172" spans="5:7" x14ac:dyDescent="0.35">
      <c r="E1172" s="9">
        <v>40984</v>
      </c>
      <c r="F1172">
        <v>173.1</v>
      </c>
      <c r="G1172" t="s">
        <v>5877</v>
      </c>
    </row>
    <row r="1173" spans="5:7" x14ac:dyDescent="0.35">
      <c r="E1173" s="9">
        <v>40985</v>
      </c>
      <c r="F1173">
        <v>163.4</v>
      </c>
      <c r="G1173" t="s">
        <v>5877</v>
      </c>
    </row>
    <row r="1174" spans="5:7" x14ac:dyDescent="0.35">
      <c r="E1174" s="9">
        <v>40986</v>
      </c>
      <c r="F1174">
        <v>164.9</v>
      </c>
      <c r="G1174" t="s">
        <v>5877</v>
      </c>
    </row>
    <row r="1175" spans="5:7" x14ac:dyDescent="0.35">
      <c r="E1175" s="9">
        <v>40987</v>
      </c>
      <c r="F1175">
        <v>179.5</v>
      </c>
      <c r="G1175" t="s">
        <v>5877</v>
      </c>
    </row>
    <row r="1176" spans="5:7" x14ac:dyDescent="0.35">
      <c r="E1176" s="9">
        <v>40988</v>
      </c>
      <c r="F1176">
        <v>195.2</v>
      </c>
      <c r="G1176" t="s">
        <v>5877</v>
      </c>
    </row>
    <row r="1177" spans="5:7" x14ac:dyDescent="0.35">
      <c r="E1177" s="9">
        <v>40989</v>
      </c>
      <c r="F1177">
        <v>202.9</v>
      </c>
      <c r="G1177" t="s">
        <v>5877</v>
      </c>
    </row>
    <row r="1178" spans="5:7" x14ac:dyDescent="0.35">
      <c r="E1178" s="9">
        <v>40990</v>
      </c>
      <c r="F1178">
        <v>208.6</v>
      </c>
      <c r="G1178" t="s">
        <v>5877</v>
      </c>
    </row>
    <row r="1179" spans="5:7" x14ac:dyDescent="0.35">
      <c r="E1179" s="9">
        <v>40991</v>
      </c>
      <c r="F1179">
        <v>214.8</v>
      </c>
      <c r="G1179" t="s">
        <v>5877</v>
      </c>
    </row>
    <row r="1180" spans="5:7" x14ac:dyDescent="0.35">
      <c r="E1180" s="9">
        <v>40992</v>
      </c>
      <c r="F1180">
        <v>221.3</v>
      </c>
      <c r="G1180" t="s">
        <v>5877</v>
      </c>
    </row>
    <row r="1181" spans="5:7" x14ac:dyDescent="0.35">
      <c r="E1181" s="9">
        <v>40993</v>
      </c>
      <c r="F1181">
        <v>219.1</v>
      </c>
      <c r="G1181" t="s">
        <v>5877</v>
      </c>
    </row>
    <row r="1182" spans="5:7" x14ac:dyDescent="0.35">
      <c r="E1182" s="9">
        <v>40994</v>
      </c>
      <c r="F1182">
        <v>203.9</v>
      </c>
      <c r="G1182" t="s">
        <v>5877</v>
      </c>
    </row>
    <row r="1183" spans="5:7" x14ac:dyDescent="0.35">
      <c r="E1183" s="9">
        <v>40995</v>
      </c>
      <c r="F1183">
        <v>187</v>
      </c>
      <c r="G1183" t="s">
        <v>5877</v>
      </c>
    </row>
    <row r="1184" spans="5:7" x14ac:dyDescent="0.35">
      <c r="E1184" s="9">
        <v>40996</v>
      </c>
      <c r="F1184">
        <v>179.4</v>
      </c>
      <c r="G1184" t="s">
        <v>5877</v>
      </c>
    </row>
    <row r="1185" spans="5:7" x14ac:dyDescent="0.35">
      <c r="E1185" s="9">
        <v>40997</v>
      </c>
      <c r="F1185">
        <v>183.7</v>
      </c>
      <c r="G1185" t="s">
        <v>5877</v>
      </c>
    </row>
    <row r="1186" spans="5:7" x14ac:dyDescent="0.35">
      <c r="E1186" s="9">
        <v>40998</v>
      </c>
      <c r="F1186">
        <v>195.6</v>
      </c>
      <c r="G1186" t="s">
        <v>5877</v>
      </c>
    </row>
    <row r="1187" spans="5:7" x14ac:dyDescent="0.35">
      <c r="E1187" s="9">
        <v>40999</v>
      </c>
      <c r="F1187">
        <v>210.8</v>
      </c>
      <c r="G1187" t="s">
        <v>5877</v>
      </c>
    </row>
    <row r="1188" spans="5:7" x14ac:dyDescent="0.35">
      <c r="E1188" s="9">
        <v>41000</v>
      </c>
      <c r="F1188">
        <v>225.4</v>
      </c>
      <c r="G1188" t="s">
        <v>5877</v>
      </c>
    </row>
    <row r="1189" spans="5:7" x14ac:dyDescent="0.35">
      <c r="E1189" s="9">
        <v>41001</v>
      </c>
      <c r="F1189">
        <v>235</v>
      </c>
      <c r="G1189" t="s">
        <v>5877</v>
      </c>
    </row>
    <row r="1190" spans="5:7" x14ac:dyDescent="0.35">
      <c r="E1190" s="9">
        <v>41002</v>
      </c>
      <c r="F1190">
        <v>234.4</v>
      </c>
      <c r="G1190" t="s">
        <v>5877</v>
      </c>
    </row>
    <row r="1191" spans="5:7" x14ac:dyDescent="0.35">
      <c r="E1191" s="9">
        <v>41003</v>
      </c>
      <c r="F1191">
        <v>236.9</v>
      </c>
      <c r="G1191" t="s">
        <v>5877</v>
      </c>
    </row>
    <row r="1192" spans="5:7" x14ac:dyDescent="0.35">
      <c r="E1192" s="9">
        <v>41004</v>
      </c>
      <c r="F1192">
        <v>238.2</v>
      </c>
      <c r="G1192" t="s">
        <v>5877</v>
      </c>
    </row>
    <row r="1193" spans="5:7" x14ac:dyDescent="0.35">
      <c r="E1193" s="9">
        <v>41005</v>
      </c>
      <c r="F1193">
        <v>236.3</v>
      </c>
      <c r="G1193" t="s">
        <v>5877</v>
      </c>
    </row>
    <row r="1194" spans="5:7" x14ac:dyDescent="0.35">
      <c r="E1194" s="9">
        <v>41006</v>
      </c>
      <c r="F1194">
        <v>234.7</v>
      </c>
      <c r="G1194" t="s">
        <v>5877</v>
      </c>
    </row>
    <row r="1195" spans="5:7" x14ac:dyDescent="0.35">
      <c r="E1195" s="9">
        <v>41007</v>
      </c>
      <c r="F1195">
        <v>228.6</v>
      </c>
      <c r="G1195" t="s">
        <v>5877</v>
      </c>
    </row>
    <row r="1196" spans="5:7" x14ac:dyDescent="0.35">
      <c r="E1196" s="9">
        <v>41008</v>
      </c>
      <c r="F1196">
        <v>219</v>
      </c>
      <c r="G1196" t="s">
        <v>5877</v>
      </c>
    </row>
    <row r="1197" spans="5:7" x14ac:dyDescent="0.35">
      <c r="E1197" s="9">
        <v>41009</v>
      </c>
      <c r="F1197">
        <v>207.4</v>
      </c>
      <c r="G1197" t="s">
        <v>5877</v>
      </c>
    </row>
    <row r="1198" spans="5:7" x14ac:dyDescent="0.35">
      <c r="E1198" s="9">
        <v>41010</v>
      </c>
      <c r="F1198">
        <v>201.2</v>
      </c>
      <c r="G1198" t="s">
        <v>5877</v>
      </c>
    </row>
    <row r="1199" spans="5:7" x14ac:dyDescent="0.35">
      <c r="E1199" s="9">
        <v>41011</v>
      </c>
      <c r="F1199">
        <v>210.7</v>
      </c>
      <c r="G1199" t="s">
        <v>5877</v>
      </c>
    </row>
    <row r="1200" spans="5:7" x14ac:dyDescent="0.35">
      <c r="E1200" s="9">
        <v>41012</v>
      </c>
      <c r="F1200">
        <v>230.1</v>
      </c>
      <c r="G1200" t="s">
        <v>5877</v>
      </c>
    </row>
    <row r="1201" spans="5:7" x14ac:dyDescent="0.35">
      <c r="E1201" s="9">
        <v>41013</v>
      </c>
      <c r="F1201">
        <v>240</v>
      </c>
      <c r="G1201" t="s">
        <v>5877</v>
      </c>
    </row>
    <row r="1202" spans="5:7" x14ac:dyDescent="0.35">
      <c r="E1202" s="9">
        <v>41014</v>
      </c>
      <c r="F1202">
        <v>243.3</v>
      </c>
      <c r="G1202" t="s">
        <v>5877</v>
      </c>
    </row>
    <row r="1203" spans="5:7" x14ac:dyDescent="0.35">
      <c r="E1203" s="9">
        <v>41015</v>
      </c>
      <c r="F1203">
        <v>241.2</v>
      </c>
      <c r="G1203" t="s">
        <v>5877</v>
      </c>
    </row>
    <row r="1204" spans="5:7" x14ac:dyDescent="0.35">
      <c r="E1204" s="9">
        <v>41016</v>
      </c>
      <c r="F1204">
        <v>238.2</v>
      </c>
      <c r="G1204" t="s">
        <v>5877</v>
      </c>
    </row>
    <row r="1205" spans="5:7" x14ac:dyDescent="0.35">
      <c r="E1205" s="9">
        <v>41017</v>
      </c>
      <c r="F1205">
        <v>237.4</v>
      </c>
      <c r="G1205" t="s">
        <v>5877</v>
      </c>
    </row>
    <row r="1206" spans="5:7" x14ac:dyDescent="0.35">
      <c r="E1206" s="9">
        <v>41018</v>
      </c>
      <c r="F1206">
        <v>235.3</v>
      </c>
      <c r="G1206" t="s">
        <v>5877</v>
      </c>
    </row>
    <row r="1207" spans="5:7" x14ac:dyDescent="0.35">
      <c r="E1207" s="9">
        <v>41019</v>
      </c>
      <c r="F1207">
        <v>234.8</v>
      </c>
      <c r="G1207" t="s">
        <v>5877</v>
      </c>
    </row>
    <row r="1208" spans="5:7" x14ac:dyDescent="0.35">
      <c r="E1208" s="9">
        <v>41020</v>
      </c>
      <c r="F1208">
        <v>227.7</v>
      </c>
      <c r="G1208" t="s">
        <v>5877</v>
      </c>
    </row>
    <row r="1209" spans="5:7" x14ac:dyDescent="0.35">
      <c r="E1209" s="9">
        <v>41021</v>
      </c>
      <c r="F1209">
        <v>211.9</v>
      </c>
      <c r="G1209" t="s">
        <v>5877</v>
      </c>
    </row>
    <row r="1210" spans="5:7" x14ac:dyDescent="0.35">
      <c r="E1210" s="9">
        <v>41022</v>
      </c>
      <c r="F1210">
        <v>197.6</v>
      </c>
      <c r="G1210" t="s">
        <v>5877</v>
      </c>
    </row>
    <row r="1211" spans="5:7" x14ac:dyDescent="0.35">
      <c r="E1211" s="9">
        <v>41023</v>
      </c>
      <c r="F1211">
        <v>189.6</v>
      </c>
      <c r="G1211" t="s">
        <v>5877</v>
      </c>
    </row>
    <row r="1212" spans="5:7" x14ac:dyDescent="0.35">
      <c r="E1212" s="9">
        <v>41024</v>
      </c>
      <c r="F1212">
        <v>186.1</v>
      </c>
      <c r="G1212" t="s">
        <v>5877</v>
      </c>
    </row>
    <row r="1213" spans="5:7" x14ac:dyDescent="0.35">
      <c r="E1213" s="9">
        <v>41025</v>
      </c>
      <c r="F1213">
        <v>181.5</v>
      </c>
      <c r="G1213" t="s">
        <v>5877</v>
      </c>
    </row>
    <row r="1214" spans="5:7" x14ac:dyDescent="0.35">
      <c r="E1214" s="9">
        <v>41026</v>
      </c>
      <c r="F1214">
        <v>171.1</v>
      </c>
      <c r="G1214" t="s">
        <v>5877</v>
      </c>
    </row>
    <row r="1215" spans="5:7" x14ac:dyDescent="0.35">
      <c r="E1215" s="9">
        <v>41027</v>
      </c>
      <c r="F1215">
        <v>157.9</v>
      </c>
      <c r="G1215" t="s">
        <v>5877</v>
      </c>
    </row>
    <row r="1216" spans="5:7" x14ac:dyDescent="0.35">
      <c r="E1216" s="9">
        <v>41028</v>
      </c>
      <c r="F1216">
        <v>147.80000000000001</v>
      </c>
      <c r="G1216" t="s">
        <v>5877</v>
      </c>
    </row>
    <row r="1217" spans="5:7" x14ac:dyDescent="0.35">
      <c r="E1217" s="9">
        <v>41029</v>
      </c>
      <c r="F1217">
        <v>146.19999999999999</v>
      </c>
      <c r="G1217" t="s">
        <v>5877</v>
      </c>
    </row>
    <row r="1218" spans="5:7" x14ac:dyDescent="0.35">
      <c r="E1218" s="9">
        <v>41030</v>
      </c>
      <c r="F1218">
        <v>152.6</v>
      </c>
      <c r="G1218" t="s">
        <v>5877</v>
      </c>
    </row>
    <row r="1219" spans="5:7" x14ac:dyDescent="0.35">
      <c r="E1219" s="9">
        <v>41031</v>
      </c>
      <c r="F1219">
        <v>162.5</v>
      </c>
      <c r="G1219" t="s">
        <v>5877</v>
      </c>
    </row>
    <row r="1220" spans="5:7" x14ac:dyDescent="0.35">
      <c r="E1220" s="9">
        <v>41032</v>
      </c>
      <c r="F1220">
        <v>171.5</v>
      </c>
      <c r="G1220" t="s">
        <v>5877</v>
      </c>
    </row>
    <row r="1221" spans="5:7" x14ac:dyDescent="0.35">
      <c r="E1221" s="9">
        <v>41033</v>
      </c>
      <c r="F1221">
        <v>182.5</v>
      </c>
      <c r="G1221" t="s">
        <v>5877</v>
      </c>
    </row>
    <row r="1222" spans="5:7" x14ac:dyDescent="0.35">
      <c r="E1222" s="9">
        <v>41034</v>
      </c>
      <c r="F1222">
        <v>193.1</v>
      </c>
      <c r="G1222" t="s">
        <v>5877</v>
      </c>
    </row>
    <row r="1223" spans="5:7" x14ac:dyDescent="0.35">
      <c r="E1223" s="9">
        <v>41035</v>
      </c>
      <c r="F1223">
        <v>203.8</v>
      </c>
      <c r="G1223" t="s">
        <v>5877</v>
      </c>
    </row>
    <row r="1224" spans="5:7" x14ac:dyDescent="0.35">
      <c r="E1224" s="9">
        <v>41036</v>
      </c>
      <c r="F1224">
        <v>217.3</v>
      </c>
      <c r="G1224" t="s">
        <v>5877</v>
      </c>
    </row>
    <row r="1225" spans="5:7" x14ac:dyDescent="0.35">
      <c r="E1225" s="9">
        <v>41037</v>
      </c>
      <c r="F1225">
        <v>230.2</v>
      </c>
      <c r="G1225" t="s">
        <v>5877</v>
      </c>
    </row>
    <row r="1226" spans="5:7" x14ac:dyDescent="0.35">
      <c r="E1226" s="9">
        <v>41038</v>
      </c>
      <c r="F1226">
        <v>228.4</v>
      </c>
      <c r="G1226" t="s">
        <v>5877</v>
      </c>
    </row>
    <row r="1227" spans="5:7" x14ac:dyDescent="0.35">
      <c r="E1227" s="9">
        <v>41039</v>
      </c>
      <c r="F1227">
        <v>211.8</v>
      </c>
      <c r="G1227" t="s">
        <v>5877</v>
      </c>
    </row>
    <row r="1228" spans="5:7" x14ac:dyDescent="0.35">
      <c r="E1228" s="9">
        <v>41040</v>
      </c>
      <c r="F1228">
        <v>188.8</v>
      </c>
      <c r="G1228" t="s">
        <v>5877</v>
      </c>
    </row>
    <row r="1229" spans="5:7" x14ac:dyDescent="0.35">
      <c r="E1229" s="9">
        <v>41041</v>
      </c>
      <c r="F1229">
        <v>170</v>
      </c>
      <c r="G1229" t="s">
        <v>5877</v>
      </c>
    </row>
    <row r="1230" spans="5:7" x14ac:dyDescent="0.35">
      <c r="E1230" s="9">
        <v>41042</v>
      </c>
      <c r="F1230">
        <v>161.6</v>
      </c>
      <c r="G1230" t="s">
        <v>5877</v>
      </c>
    </row>
    <row r="1231" spans="5:7" x14ac:dyDescent="0.35">
      <c r="E1231" s="9">
        <v>41043</v>
      </c>
      <c r="F1231">
        <v>161.30000000000001</v>
      </c>
      <c r="G1231" t="s">
        <v>5877</v>
      </c>
    </row>
    <row r="1232" spans="5:7" x14ac:dyDescent="0.35">
      <c r="E1232" s="9">
        <v>41044</v>
      </c>
      <c r="F1232">
        <v>163.69999999999999</v>
      </c>
      <c r="G1232" t="s">
        <v>5877</v>
      </c>
    </row>
    <row r="1233" spans="5:7" x14ac:dyDescent="0.35">
      <c r="E1233" s="9">
        <v>41045</v>
      </c>
      <c r="F1233">
        <v>169.7</v>
      </c>
      <c r="G1233" t="s">
        <v>5877</v>
      </c>
    </row>
    <row r="1234" spans="5:7" x14ac:dyDescent="0.35">
      <c r="E1234" s="9">
        <v>41046</v>
      </c>
      <c r="F1234">
        <v>173.9</v>
      </c>
      <c r="G1234" t="s">
        <v>5877</v>
      </c>
    </row>
    <row r="1235" spans="5:7" x14ac:dyDescent="0.35">
      <c r="E1235" s="9">
        <v>41047</v>
      </c>
      <c r="F1235">
        <v>173.8</v>
      </c>
      <c r="G1235" t="s">
        <v>5877</v>
      </c>
    </row>
    <row r="1236" spans="5:7" x14ac:dyDescent="0.35">
      <c r="E1236" s="9">
        <v>41048</v>
      </c>
      <c r="F1236">
        <v>173.3</v>
      </c>
      <c r="G1236" t="s">
        <v>5877</v>
      </c>
    </row>
    <row r="1237" spans="5:7" x14ac:dyDescent="0.35">
      <c r="E1237" s="9">
        <v>41049</v>
      </c>
      <c r="F1237">
        <v>173.3</v>
      </c>
      <c r="G1237" t="s">
        <v>5877</v>
      </c>
    </row>
    <row r="1238" spans="5:7" x14ac:dyDescent="0.35">
      <c r="E1238" s="9">
        <v>41050</v>
      </c>
      <c r="F1238">
        <v>170.4</v>
      </c>
      <c r="G1238" t="s">
        <v>5877</v>
      </c>
    </row>
    <row r="1239" spans="5:7" x14ac:dyDescent="0.35">
      <c r="E1239" s="9">
        <v>41051</v>
      </c>
      <c r="F1239">
        <v>163.4</v>
      </c>
      <c r="G1239" t="s">
        <v>5877</v>
      </c>
    </row>
    <row r="1240" spans="5:7" x14ac:dyDescent="0.35">
      <c r="E1240" s="9">
        <v>41052</v>
      </c>
      <c r="F1240">
        <v>156.19999999999999</v>
      </c>
      <c r="G1240" t="s">
        <v>5877</v>
      </c>
    </row>
    <row r="1241" spans="5:7" x14ac:dyDescent="0.35">
      <c r="E1241" s="9">
        <v>41053</v>
      </c>
      <c r="F1241">
        <v>153</v>
      </c>
      <c r="G1241" t="s">
        <v>5877</v>
      </c>
    </row>
    <row r="1242" spans="5:7" x14ac:dyDescent="0.35">
      <c r="E1242" s="9">
        <v>41054</v>
      </c>
      <c r="F1242">
        <v>155.69999999999999</v>
      </c>
      <c r="G1242" t="s">
        <v>5877</v>
      </c>
    </row>
    <row r="1243" spans="5:7" x14ac:dyDescent="0.35">
      <c r="E1243" s="9">
        <v>41055</v>
      </c>
      <c r="F1243">
        <v>157.6</v>
      </c>
      <c r="G1243" t="s">
        <v>5877</v>
      </c>
    </row>
    <row r="1244" spans="5:7" x14ac:dyDescent="0.35">
      <c r="E1244" s="9">
        <v>41056</v>
      </c>
      <c r="F1244">
        <v>156.6</v>
      </c>
      <c r="G1244" t="s">
        <v>5877</v>
      </c>
    </row>
    <row r="1245" spans="5:7" x14ac:dyDescent="0.35">
      <c r="E1245" s="9">
        <v>41057</v>
      </c>
      <c r="F1245">
        <v>156.4</v>
      </c>
      <c r="G1245" t="s">
        <v>5877</v>
      </c>
    </row>
    <row r="1246" spans="5:7" x14ac:dyDescent="0.35">
      <c r="E1246" s="9">
        <v>41058</v>
      </c>
      <c r="F1246">
        <v>159.1</v>
      </c>
      <c r="G1246" t="s">
        <v>5877</v>
      </c>
    </row>
    <row r="1247" spans="5:7" x14ac:dyDescent="0.35">
      <c r="E1247" s="9">
        <v>41059</v>
      </c>
      <c r="F1247">
        <v>161.19999999999999</v>
      </c>
      <c r="G1247" t="s">
        <v>5877</v>
      </c>
    </row>
    <row r="1248" spans="5:7" x14ac:dyDescent="0.35">
      <c r="E1248" s="9">
        <v>41060</v>
      </c>
      <c r="F1248">
        <v>159.4</v>
      </c>
      <c r="G1248" t="s">
        <v>5877</v>
      </c>
    </row>
    <row r="1249" spans="5:7" x14ac:dyDescent="0.35">
      <c r="E1249" s="9">
        <v>41061</v>
      </c>
      <c r="F1249">
        <v>152.9</v>
      </c>
      <c r="G1249" t="s">
        <v>5877</v>
      </c>
    </row>
    <row r="1250" spans="5:7" x14ac:dyDescent="0.35">
      <c r="E1250" s="9">
        <v>41062</v>
      </c>
      <c r="F1250">
        <v>103.6</v>
      </c>
      <c r="G1250" t="s">
        <v>5877</v>
      </c>
    </row>
    <row r="1251" spans="5:7" x14ac:dyDescent="0.35">
      <c r="E1251" s="9">
        <v>41063</v>
      </c>
      <c r="F1251">
        <v>96.7</v>
      </c>
      <c r="G1251" t="s">
        <v>5877</v>
      </c>
    </row>
    <row r="1252" spans="5:7" x14ac:dyDescent="0.35">
      <c r="E1252" s="9">
        <v>41064</v>
      </c>
      <c r="F1252">
        <v>91.9</v>
      </c>
      <c r="G1252" t="s">
        <v>5877</v>
      </c>
    </row>
    <row r="1253" spans="5:7" x14ac:dyDescent="0.35">
      <c r="E1253" s="9">
        <v>41065</v>
      </c>
      <c r="F1253">
        <v>89</v>
      </c>
      <c r="G1253" t="s">
        <v>5877</v>
      </c>
    </row>
    <row r="1254" spans="5:7" x14ac:dyDescent="0.35">
      <c r="E1254" s="9">
        <v>41066</v>
      </c>
      <c r="F1254">
        <v>87.1</v>
      </c>
      <c r="G1254" t="s">
        <v>5877</v>
      </c>
    </row>
    <row r="1255" spans="5:7" x14ac:dyDescent="0.35">
      <c r="E1255" s="9">
        <v>41067</v>
      </c>
      <c r="F1255">
        <v>85.8</v>
      </c>
      <c r="G1255" t="s">
        <v>5877</v>
      </c>
    </row>
    <row r="1256" spans="5:7" x14ac:dyDescent="0.35">
      <c r="E1256" s="9">
        <v>41068</v>
      </c>
      <c r="F1256">
        <v>84.9</v>
      </c>
      <c r="G1256" t="s">
        <v>5877</v>
      </c>
    </row>
    <row r="1257" spans="5:7" x14ac:dyDescent="0.35">
      <c r="E1257" s="9">
        <v>41069</v>
      </c>
      <c r="F1257">
        <v>84.3</v>
      </c>
      <c r="G1257" t="s">
        <v>5877</v>
      </c>
    </row>
    <row r="1258" spans="5:7" x14ac:dyDescent="0.35">
      <c r="E1258" s="9">
        <v>41070</v>
      </c>
      <c r="F1258">
        <v>83.8</v>
      </c>
      <c r="G1258" t="s">
        <v>5877</v>
      </c>
    </row>
    <row r="1259" spans="5:7" x14ac:dyDescent="0.35">
      <c r="E1259" s="9">
        <v>41071</v>
      </c>
      <c r="F1259">
        <v>83.5</v>
      </c>
      <c r="G1259" t="s">
        <v>5877</v>
      </c>
    </row>
    <row r="1260" spans="5:7" x14ac:dyDescent="0.35">
      <c r="E1260" s="9">
        <v>41072</v>
      </c>
      <c r="F1260">
        <v>83.4</v>
      </c>
      <c r="G1260" t="s">
        <v>5877</v>
      </c>
    </row>
    <row r="1261" spans="5:7" x14ac:dyDescent="0.35">
      <c r="E1261" s="9">
        <v>41073</v>
      </c>
      <c r="F1261">
        <v>83.3</v>
      </c>
      <c r="G1261" t="s">
        <v>5877</v>
      </c>
    </row>
    <row r="1262" spans="5:7" x14ac:dyDescent="0.35">
      <c r="E1262" s="9">
        <v>41074</v>
      </c>
      <c r="F1262">
        <v>83.2</v>
      </c>
      <c r="G1262" t="s">
        <v>5877</v>
      </c>
    </row>
    <row r="1263" spans="5:7" x14ac:dyDescent="0.35">
      <c r="E1263" s="9">
        <v>41075</v>
      </c>
      <c r="F1263">
        <v>83.2</v>
      </c>
      <c r="G1263" t="s">
        <v>5877</v>
      </c>
    </row>
    <row r="1264" spans="5:7" x14ac:dyDescent="0.35">
      <c r="E1264" s="9">
        <v>41076</v>
      </c>
      <c r="F1264">
        <v>83.3</v>
      </c>
      <c r="G1264" t="s">
        <v>5877</v>
      </c>
    </row>
    <row r="1265" spans="5:7" x14ac:dyDescent="0.35">
      <c r="E1265" s="9">
        <v>41077</v>
      </c>
      <c r="F1265">
        <v>83.2</v>
      </c>
      <c r="G1265" t="s">
        <v>5877</v>
      </c>
    </row>
    <row r="1266" spans="5:7" x14ac:dyDescent="0.35">
      <c r="E1266" s="9">
        <v>41078</v>
      </c>
      <c r="F1266">
        <v>83.2</v>
      </c>
      <c r="G1266" t="s">
        <v>5877</v>
      </c>
    </row>
    <row r="1267" spans="5:7" x14ac:dyDescent="0.35">
      <c r="E1267" s="9">
        <v>41079</v>
      </c>
      <c r="F1267">
        <v>83.3</v>
      </c>
      <c r="G1267" t="s">
        <v>5877</v>
      </c>
    </row>
    <row r="1268" spans="5:7" x14ac:dyDescent="0.35">
      <c r="E1268" s="9">
        <v>41080</v>
      </c>
      <c r="F1268">
        <v>83.5</v>
      </c>
      <c r="G1268" t="s">
        <v>5877</v>
      </c>
    </row>
    <row r="1269" spans="5:7" x14ac:dyDescent="0.35">
      <c r="E1269" s="9">
        <v>41081</v>
      </c>
      <c r="F1269">
        <v>83.6</v>
      </c>
      <c r="G1269" t="s">
        <v>5877</v>
      </c>
    </row>
    <row r="1270" spans="5:7" x14ac:dyDescent="0.35">
      <c r="E1270" s="9">
        <v>41082</v>
      </c>
      <c r="F1270">
        <v>83.6</v>
      </c>
      <c r="G1270" t="s">
        <v>5877</v>
      </c>
    </row>
    <row r="1271" spans="5:7" x14ac:dyDescent="0.35">
      <c r="E1271" s="9">
        <v>41083</v>
      </c>
      <c r="F1271">
        <v>83.6</v>
      </c>
      <c r="G1271" t="s">
        <v>5877</v>
      </c>
    </row>
    <row r="1272" spans="5:7" x14ac:dyDescent="0.35">
      <c r="E1272" s="9">
        <v>41084</v>
      </c>
      <c r="F1272">
        <v>83.6</v>
      </c>
      <c r="G1272" t="s">
        <v>5877</v>
      </c>
    </row>
    <row r="1273" spans="5:7" x14ac:dyDescent="0.35">
      <c r="E1273" s="9">
        <v>41085</v>
      </c>
      <c r="F1273">
        <v>83.6</v>
      </c>
      <c r="G1273" t="s">
        <v>5877</v>
      </c>
    </row>
    <row r="1274" spans="5:7" x14ac:dyDescent="0.35">
      <c r="E1274" s="9">
        <v>41086</v>
      </c>
      <c r="F1274">
        <v>83.8</v>
      </c>
      <c r="G1274" t="s">
        <v>5877</v>
      </c>
    </row>
    <row r="1275" spans="5:7" x14ac:dyDescent="0.35">
      <c r="E1275" s="9">
        <v>41087</v>
      </c>
      <c r="F1275">
        <v>86.8</v>
      </c>
      <c r="G1275" t="s">
        <v>5877</v>
      </c>
    </row>
    <row r="1276" spans="5:7" x14ac:dyDescent="0.35">
      <c r="E1276" s="9">
        <v>41088</v>
      </c>
      <c r="F1276">
        <v>94.4</v>
      </c>
      <c r="G1276" t="s">
        <v>5877</v>
      </c>
    </row>
    <row r="1277" spans="5:7" x14ac:dyDescent="0.35">
      <c r="E1277" s="9">
        <v>41089</v>
      </c>
      <c r="F1277">
        <v>103.5</v>
      </c>
      <c r="G1277" t="s">
        <v>5877</v>
      </c>
    </row>
    <row r="1278" spans="5:7" x14ac:dyDescent="0.35">
      <c r="E1278" s="9">
        <v>41090</v>
      </c>
      <c r="F1278">
        <v>106.7</v>
      </c>
      <c r="G1278" t="s">
        <v>5877</v>
      </c>
    </row>
    <row r="1279" spans="5:7" x14ac:dyDescent="0.35">
      <c r="E1279" s="9">
        <v>41091</v>
      </c>
      <c r="F1279">
        <v>104.1</v>
      </c>
      <c r="G1279" t="s">
        <v>5877</v>
      </c>
    </row>
    <row r="1280" spans="5:7" x14ac:dyDescent="0.35">
      <c r="E1280" s="9">
        <v>41092</v>
      </c>
      <c r="F1280">
        <v>75.400000000000006</v>
      </c>
      <c r="G1280" t="s">
        <v>5877</v>
      </c>
    </row>
    <row r="1281" spans="5:7" x14ac:dyDescent="0.35">
      <c r="E1281" s="9">
        <v>41093</v>
      </c>
      <c r="F1281">
        <v>70.900000000000006</v>
      </c>
      <c r="G1281" t="s">
        <v>5877</v>
      </c>
    </row>
    <row r="1282" spans="5:7" x14ac:dyDescent="0.35">
      <c r="E1282" s="9">
        <v>41094</v>
      </c>
      <c r="F1282">
        <v>70.8</v>
      </c>
      <c r="G1282" t="s">
        <v>5877</v>
      </c>
    </row>
    <row r="1283" spans="5:7" x14ac:dyDescent="0.35">
      <c r="E1283" s="9">
        <v>41095</v>
      </c>
      <c r="F1283">
        <v>73.7</v>
      </c>
      <c r="G1283" t="s">
        <v>5877</v>
      </c>
    </row>
    <row r="1284" spans="5:7" x14ac:dyDescent="0.35">
      <c r="E1284" s="9">
        <v>41096</v>
      </c>
      <c r="F1284">
        <v>75.599999999999994</v>
      </c>
      <c r="G1284" t="s">
        <v>5877</v>
      </c>
    </row>
    <row r="1285" spans="5:7" x14ac:dyDescent="0.35">
      <c r="E1285" s="9">
        <v>41097</v>
      </c>
      <c r="F1285">
        <v>74.3</v>
      </c>
      <c r="G1285" t="s">
        <v>5877</v>
      </c>
    </row>
    <row r="1286" spans="5:7" x14ac:dyDescent="0.35">
      <c r="E1286" s="9">
        <v>41098</v>
      </c>
      <c r="F1286">
        <v>71</v>
      </c>
      <c r="G1286" t="s">
        <v>5877</v>
      </c>
    </row>
    <row r="1287" spans="5:7" x14ac:dyDescent="0.35">
      <c r="E1287" s="9">
        <v>41099</v>
      </c>
      <c r="F1287">
        <v>67.400000000000006</v>
      </c>
      <c r="G1287" t="s">
        <v>5877</v>
      </c>
    </row>
    <row r="1288" spans="5:7" x14ac:dyDescent="0.35">
      <c r="E1288" s="9">
        <v>41100</v>
      </c>
      <c r="F1288">
        <v>64.7</v>
      </c>
      <c r="G1288" t="s">
        <v>5877</v>
      </c>
    </row>
    <row r="1289" spans="5:7" x14ac:dyDescent="0.35">
      <c r="E1289" s="9">
        <v>41101</v>
      </c>
      <c r="F1289">
        <v>63.1</v>
      </c>
      <c r="G1289" t="s">
        <v>5877</v>
      </c>
    </row>
    <row r="1290" spans="5:7" x14ac:dyDescent="0.35">
      <c r="E1290" s="9">
        <v>41102</v>
      </c>
      <c r="F1290">
        <v>62</v>
      </c>
      <c r="G1290" t="s">
        <v>5877</v>
      </c>
    </row>
    <row r="1291" spans="5:7" x14ac:dyDescent="0.35">
      <c r="E1291" s="9">
        <v>41103</v>
      </c>
      <c r="F1291">
        <v>61.3</v>
      </c>
      <c r="G1291" t="s">
        <v>5877</v>
      </c>
    </row>
    <row r="1292" spans="5:7" x14ac:dyDescent="0.35">
      <c r="E1292" s="9">
        <v>41104</v>
      </c>
      <c r="F1292">
        <v>61.1</v>
      </c>
      <c r="G1292" t="s">
        <v>5877</v>
      </c>
    </row>
    <row r="1293" spans="5:7" x14ac:dyDescent="0.35">
      <c r="E1293" s="9">
        <v>41105</v>
      </c>
      <c r="F1293">
        <v>61.3</v>
      </c>
      <c r="G1293" t="s">
        <v>5877</v>
      </c>
    </row>
    <row r="1294" spans="5:7" x14ac:dyDescent="0.35">
      <c r="E1294" s="9">
        <v>41106</v>
      </c>
      <c r="F1294">
        <v>61.9</v>
      </c>
      <c r="G1294" t="s">
        <v>5877</v>
      </c>
    </row>
    <row r="1295" spans="5:7" x14ac:dyDescent="0.35">
      <c r="E1295" s="9">
        <v>41107</v>
      </c>
      <c r="F1295">
        <v>62</v>
      </c>
      <c r="G1295" t="s">
        <v>5877</v>
      </c>
    </row>
    <row r="1296" spans="5:7" x14ac:dyDescent="0.35">
      <c r="E1296" s="9">
        <v>41108</v>
      </c>
      <c r="F1296">
        <v>61.8</v>
      </c>
      <c r="G1296" t="s">
        <v>5877</v>
      </c>
    </row>
    <row r="1297" spans="5:7" x14ac:dyDescent="0.35">
      <c r="E1297" s="9">
        <v>41109</v>
      </c>
      <c r="F1297">
        <v>61.4</v>
      </c>
      <c r="G1297" t="s">
        <v>5877</v>
      </c>
    </row>
    <row r="1298" spans="5:7" x14ac:dyDescent="0.35">
      <c r="E1298" s="9">
        <v>41110</v>
      </c>
      <c r="F1298">
        <v>60.9</v>
      </c>
      <c r="G1298" t="s">
        <v>5877</v>
      </c>
    </row>
    <row r="1299" spans="5:7" x14ac:dyDescent="0.35">
      <c r="E1299" s="9">
        <v>41111</v>
      </c>
      <c r="F1299">
        <v>60.6</v>
      </c>
      <c r="G1299" t="s">
        <v>5877</v>
      </c>
    </row>
    <row r="1300" spans="5:7" x14ac:dyDescent="0.35">
      <c r="E1300" s="9">
        <v>41112</v>
      </c>
      <c r="F1300">
        <v>60.4</v>
      </c>
      <c r="G1300" t="s">
        <v>5877</v>
      </c>
    </row>
    <row r="1301" spans="5:7" x14ac:dyDescent="0.35">
      <c r="E1301" s="9">
        <v>41113</v>
      </c>
      <c r="F1301">
        <v>60.2</v>
      </c>
      <c r="G1301" t="s">
        <v>5877</v>
      </c>
    </row>
    <row r="1302" spans="5:7" x14ac:dyDescent="0.35">
      <c r="E1302" s="9">
        <v>41114</v>
      </c>
      <c r="F1302">
        <v>60.2</v>
      </c>
      <c r="G1302" t="s">
        <v>5877</v>
      </c>
    </row>
    <row r="1303" spans="5:7" x14ac:dyDescent="0.35">
      <c r="E1303" s="9">
        <v>41115</v>
      </c>
      <c r="F1303">
        <v>60.3</v>
      </c>
      <c r="G1303" t="s">
        <v>5877</v>
      </c>
    </row>
    <row r="1304" spans="5:7" x14ac:dyDescent="0.35">
      <c r="E1304" s="9">
        <v>41116</v>
      </c>
      <c r="F1304">
        <v>60.5</v>
      </c>
      <c r="G1304" t="s">
        <v>5877</v>
      </c>
    </row>
    <row r="1305" spans="5:7" x14ac:dyDescent="0.35">
      <c r="E1305" s="9">
        <v>41117</v>
      </c>
      <c r="F1305">
        <v>60.6</v>
      </c>
      <c r="G1305" t="s">
        <v>5877</v>
      </c>
    </row>
    <row r="1306" spans="5:7" x14ac:dyDescent="0.35">
      <c r="E1306" s="9">
        <v>41118</v>
      </c>
      <c r="F1306">
        <v>60.8</v>
      </c>
      <c r="G1306" t="s">
        <v>5877</v>
      </c>
    </row>
    <row r="1307" spans="5:7" x14ac:dyDescent="0.35">
      <c r="E1307" s="9">
        <v>41119</v>
      </c>
      <c r="F1307">
        <v>61</v>
      </c>
      <c r="G1307" t="s">
        <v>5877</v>
      </c>
    </row>
    <row r="1308" spans="5:7" x14ac:dyDescent="0.35">
      <c r="E1308" s="9">
        <v>41120</v>
      </c>
      <c r="F1308">
        <v>61.1</v>
      </c>
      <c r="G1308" t="s">
        <v>5877</v>
      </c>
    </row>
    <row r="1309" spans="5:7" x14ac:dyDescent="0.35">
      <c r="E1309" s="9">
        <v>41121</v>
      </c>
      <c r="F1309">
        <v>61</v>
      </c>
      <c r="G1309" t="s">
        <v>5877</v>
      </c>
    </row>
    <row r="1310" spans="5:7" x14ac:dyDescent="0.35">
      <c r="E1310" s="9">
        <v>41122</v>
      </c>
      <c r="F1310">
        <v>60.7</v>
      </c>
      <c r="G1310" t="s">
        <v>5877</v>
      </c>
    </row>
    <row r="1311" spans="5:7" x14ac:dyDescent="0.35">
      <c r="E1311" s="9">
        <v>41123</v>
      </c>
      <c r="F1311">
        <v>65.5</v>
      </c>
      <c r="G1311" t="s">
        <v>5877</v>
      </c>
    </row>
    <row r="1312" spans="5:7" x14ac:dyDescent="0.35">
      <c r="E1312" s="9">
        <v>41124</v>
      </c>
      <c r="F1312">
        <v>65.3</v>
      </c>
      <c r="G1312" t="s">
        <v>5877</v>
      </c>
    </row>
    <row r="1313" spans="5:7" x14ac:dyDescent="0.35">
      <c r="E1313" s="9">
        <v>41125</v>
      </c>
      <c r="F1313">
        <v>65.3</v>
      </c>
      <c r="G1313" t="s">
        <v>5877</v>
      </c>
    </row>
    <row r="1314" spans="5:7" x14ac:dyDescent="0.35">
      <c r="E1314" s="9">
        <v>41126</v>
      </c>
      <c r="F1314">
        <v>65.400000000000006</v>
      </c>
      <c r="G1314" t="s">
        <v>5877</v>
      </c>
    </row>
    <row r="1315" spans="5:7" x14ac:dyDescent="0.35">
      <c r="E1315" s="9">
        <v>41127</v>
      </c>
      <c r="F1315">
        <v>65.7</v>
      </c>
      <c r="G1315" t="s">
        <v>5877</v>
      </c>
    </row>
    <row r="1316" spans="5:7" x14ac:dyDescent="0.35">
      <c r="E1316" s="9">
        <v>41128</v>
      </c>
      <c r="F1316">
        <v>65.900000000000006</v>
      </c>
      <c r="G1316" t="s">
        <v>5877</v>
      </c>
    </row>
    <row r="1317" spans="5:7" x14ac:dyDescent="0.35">
      <c r="E1317" s="9">
        <v>41129</v>
      </c>
      <c r="F1317">
        <v>65.900000000000006</v>
      </c>
      <c r="G1317" t="s">
        <v>5877</v>
      </c>
    </row>
    <row r="1318" spans="5:7" x14ac:dyDescent="0.35">
      <c r="E1318" s="9">
        <v>41130</v>
      </c>
      <c r="F1318">
        <v>67.400000000000006</v>
      </c>
      <c r="G1318" t="s">
        <v>5877</v>
      </c>
    </row>
    <row r="1319" spans="5:7" x14ac:dyDescent="0.35">
      <c r="E1319" s="9">
        <v>41131</v>
      </c>
      <c r="F1319">
        <v>70.900000000000006</v>
      </c>
      <c r="G1319" t="s">
        <v>5877</v>
      </c>
    </row>
    <row r="1320" spans="5:7" x14ac:dyDescent="0.35">
      <c r="E1320" s="9">
        <v>41132</v>
      </c>
      <c r="F1320">
        <v>75.5</v>
      </c>
      <c r="G1320" t="s">
        <v>5877</v>
      </c>
    </row>
    <row r="1321" spans="5:7" x14ac:dyDescent="0.35">
      <c r="E1321" s="9">
        <v>41133</v>
      </c>
      <c r="F1321">
        <v>78.400000000000006</v>
      </c>
      <c r="G1321" t="s">
        <v>5877</v>
      </c>
    </row>
    <row r="1322" spans="5:7" x14ac:dyDescent="0.35">
      <c r="E1322" s="9">
        <v>41134</v>
      </c>
      <c r="F1322">
        <v>80.8</v>
      </c>
      <c r="G1322" t="s">
        <v>5877</v>
      </c>
    </row>
    <row r="1323" spans="5:7" x14ac:dyDescent="0.35">
      <c r="E1323" s="9">
        <v>41135</v>
      </c>
      <c r="F1323">
        <v>82.6</v>
      </c>
      <c r="G1323" t="s">
        <v>5877</v>
      </c>
    </row>
    <row r="1324" spans="5:7" x14ac:dyDescent="0.35">
      <c r="E1324" s="9">
        <v>41136</v>
      </c>
      <c r="F1324">
        <v>83.7</v>
      </c>
      <c r="G1324" t="s">
        <v>5877</v>
      </c>
    </row>
    <row r="1325" spans="5:7" x14ac:dyDescent="0.35">
      <c r="E1325" s="9">
        <v>41137</v>
      </c>
      <c r="F1325">
        <v>83</v>
      </c>
      <c r="G1325" t="s">
        <v>5877</v>
      </c>
    </row>
    <row r="1326" spans="5:7" x14ac:dyDescent="0.35">
      <c r="E1326" s="9">
        <v>41138</v>
      </c>
      <c r="F1326">
        <v>80.400000000000006</v>
      </c>
      <c r="G1326" t="s">
        <v>5877</v>
      </c>
    </row>
    <row r="1327" spans="5:7" x14ac:dyDescent="0.35">
      <c r="E1327" s="9">
        <v>41139</v>
      </c>
      <c r="F1327">
        <v>79.7</v>
      </c>
      <c r="G1327" t="s">
        <v>5877</v>
      </c>
    </row>
    <row r="1328" spans="5:7" x14ac:dyDescent="0.35">
      <c r="E1328" s="9">
        <v>41140</v>
      </c>
      <c r="F1328">
        <v>82.4</v>
      </c>
      <c r="G1328" t="s">
        <v>5877</v>
      </c>
    </row>
    <row r="1329" spans="5:7" x14ac:dyDescent="0.35">
      <c r="E1329" s="9">
        <v>41141</v>
      </c>
      <c r="F1329">
        <v>87.1</v>
      </c>
      <c r="G1329" t="s">
        <v>5877</v>
      </c>
    </row>
    <row r="1330" spans="5:7" x14ac:dyDescent="0.35">
      <c r="E1330" s="9">
        <v>41142</v>
      </c>
      <c r="F1330">
        <v>87.9</v>
      </c>
      <c r="G1330" t="s">
        <v>5877</v>
      </c>
    </row>
    <row r="1331" spans="5:7" x14ac:dyDescent="0.35">
      <c r="E1331" s="9">
        <v>41143</v>
      </c>
      <c r="F1331">
        <v>86.4</v>
      </c>
      <c r="G1331" t="s">
        <v>5877</v>
      </c>
    </row>
    <row r="1332" spans="5:7" x14ac:dyDescent="0.35">
      <c r="E1332" s="9">
        <v>41144</v>
      </c>
      <c r="F1332">
        <v>84</v>
      </c>
      <c r="G1332" t="s">
        <v>5877</v>
      </c>
    </row>
    <row r="1333" spans="5:7" x14ac:dyDescent="0.35">
      <c r="E1333" s="9">
        <v>41145</v>
      </c>
      <c r="F1333">
        <v>81.7</v>
      </c>
      <c r="G1333" t="s">
        <v>5877</v>
      </c>
    </row>
    <row r="1334" spans="5:7" x14ac:dyDescent="0.35">
      <c r="E1334" s="9">
        <v>41146</v>
      </c>
      <c r="F1334">
        <v>79.7</v>
      </c>
      <c r="G1334" t="s">
        <v>5877</v>
      </c>
    </row>
    <row r="1335" spans="5:7" x14ac:dyDescent="0.35">
      <c r="E1335" s="9">
        <v>41147</v>
      </c>
      <c r="F1335">
        <v>77.7</v>
      </c>
      <c r="G1335" t="s">
        <v>5877</v>
      </c>
    </row>
    <row r="1336" spans="5:7" x14ac:dyDescent="0.35">
      <c r="E1336" s="9">
        <v>41148</v>
      </c>
      <c r="F1336">
        <v>77.099999999999994</v>
      </c>
      <c r="G1336" t="s">
        <v>5877</v>
      </c>
    </row>
    <row r="1337" spans="5:7" x14ac:dyDescent="0.35">
      <c r="E1337" s="9">
        <v>41149</v>
      </c>
      <c r="F1337">
        <v>80.599999999999994</v>
      </c>
      <c r="G1337" t="s">
        <v>5877</v>
      </c>
    </row>
    <row r="1338" spans="5:7" x14ac:dyDescent="0.35">
      <c r="E1338" s="9">
        <v>41150</v>
      </c>
      <c r="F1338">
        <v>92.8</v>
      </c>
      <c r="G1338" t="s">
        <v>5877</v>
      </c>
    </row>
    <row r="1339" spans="5:7" x14ac:dyDescent="0.35">
      <c r="E1339" s="9">
        <v>41151</v>
      </c>
      <c r="F1339">
        <v>112.6</v>
      </c>
      <c r="G1339" t="s">
        <v>5877</v>
      </c>
    </row>
    <row r="1340" spans="5:7" x14ac:dyDescent="0.35">
      <c r="E1340" s="9">
        <v>41152</v>
      </c>
      <c r="F1340">
        <v>128.19999999999999</v>
      </c>
      <c r="G1340" t="s">
        <v>5877</v>
      </c>
    </row>
    <row r="1341" spans="5:7" x14ac:dyDescent="0.35">
      <c r="E1341" s="9">
        <v>41153</v>
      </c>
      <c r="F1341">
        <v>131.9</v>
      </c>
      <c r="G1341" t="s">
        <v>5877</v>
      </c>
    </row>
    <row r="1342" spans="5:7" x14ac:dyDescent="0.35">
      <c r="E1342" s="9">
        <v>41154</v>
      </c>
      <c r="F1342">
        <v>156.9</v>
      </c>
      <c r="G1342" t="s">
        <v>5877</v>
      </c>
    </row>
    <row r="1343" spans="5:7" x14ac:dyDescent="0.35">
      <c r="E1343" s="9">
        <v>41155</v>
      </c>
      <c r="F1343">
        <v>150.30000000000001</v>
      </c>
      <c r="G1343" t="s">
        <v>5877</v>
      </c>
    </row>
    <row r="1344" spans="5:7" x14ac:dyDescent="0.35">
      <c r="E1344" s="9">
        <v>41156</v>
      </c>
      <c r="F1344">
        <v>139.6</v>
      </c>
      <c r="G1344" t="s">
        <v>5877</v>
      </c>
    </row>
    <row r="1345" spans="5:7" x14ac:dyDescent="0.35">
      <c r="E1345" s="9">
        <v>41157</v>
      </c>
      <c r="F1345">
        <v>131.80000000000001</v>
      </c>
      <c r="G1345" t="s">
        <v>5877</v>
      </c>
    </row>
    <row r="1346" spans="5:7" x14ac:dyDescent="0.35">
      <c r="E1346" s="9">
        <v>41158</v>
      </c>
      <c r="F1346">
        <v>127.9</v>
      </c>
      <c r="G1346" t="s">
        <v>5877</v>
      </c>
    </row>
    <row r="1347" spans="5:7" x14ac:dyDescent="0.35">
      <c r="E1347" s="9">
        <v>41159</v>
      </c>
      <c r="F1347">
        <v>128.30000000000001</v>
      </c>
      <c r="G1347" t="s">
        <v>5877</v>
      </c>
    </row>
    <row r="1348" spans="5:7" x14ac:dyDescent="0.35">
      <c r="E1348" s="9">
        <v>41160</v>
      </c>
      <c r="F1348">
        <v>132.30000000000001</v>
      </c>
      <c r="G1348" t="s">
        <v>5877</v>
      </c>
    </row>
    <row r="1349" spans="5:7" x14ac:dyDescent="0.35">
      <c r="E1349" s="9">
        <v>41161</v>
      </c>
      <c r="F1349">
        <v>140.6</v>
      </c>
      <c r="G1349" t="s">
        <v>5877</v>
      </c>
    </row>
    <row r="1350" spans="5:7" x14ac:dyDescent="0.35">
      <c r="E1350" s="9">
        <v>41162</v>
      </c>
      <c r="F1350">
        <v>147.80000000000001</v>
      </c>
      <c r="G1350" t="s">
        <v>5877</v>
      </c>
    </row>
    <row r="1351" spans="5:7" x14ac:dyDescent="0.35">
      <c r="E1351" s="9">
        <v>41163</v>
      </c>
      <c r="F1351">
        <v>149</v>
      </c>
      <c r="G1351" t="s">
        <v>5877</v>
      </c>
    </row>
    <row r="1352" spans="5:7" x14ac:dyDescent="0.35">
      <c r="E1352" s="9">
        <v>41164</v>
      </c>
      <c r="F1352">
        <v>148.30000000000001</v>
      </c>
      <c r="G1352" t="s">
        <v>5877</v>
      </c>
    </row>
    <row r="1353" spans="5:7" x14ac:dyDescent="0.35">
      <c r="E1353" s="9">
        <v>41165</v>
      </c>
      <c r="F1353">
        <v>146.5</v>
      </c>
      <c r="G1353" t="s">
        <v>5877</v>
      </c>
    </row>
    <row r="1354" spans="5:7" x14ac:dyDescent="0.35">
      <c r="E1354" s="9">
        <v>41166</v>
      </c>
      <c r="F1354">
        <v>144.19999999999999</v>
      </c>
      <c r="G1354" t="s">
        <v>5877</v>
      </c>
    </row>
    <row r="1355" spans="5:7" x14ac:dyDescent="0.35">
      <c r="E1355" s="9">
        <v>41167</v>
      </c>
      <c r="F1355">
        <v>146.9</v>
      </c>
      <c r="G1355" t="s">
        <v>5877</v>
      </c>
    </row>
    <row r="1356" spans="5:7" x14ac:dyDescent="0.35">
      <c r="E1356" s="9">
        <v>41168</v>
      </c>
      <c r="F1356">
        <v>152.4</v>
      </c>
      <c r="G1356" t="s">
        <v>5877</v>
      </c>
    </row>
    <row r="1357" spans="5:7" x14ac:dyDescent="0.35">
      <c r="E1357" s="9">
        <v>41169</v>
      </c>
      <c r="F1357">
        <v>156.80000000000001</v>
      </c>
      <c r="G1357" t="s">
        <v>5877</v>
      </c>
    </row>
    <row r="1358" spans="5:7" x14ac:dyDescent="0.35">
      <c r="E1358" s="9">
        <v>41170</v>
      </c>
      <c r="F1358">
        <v>161.1</v>
      </c>
      <c r="G1358" t="s">
        <v>5877</v>
      </c>
    </row>
    <row r="1359" spans="5:7" x14ac:dyDescent="0.35">
      <c r="E1359" s="9">
        <v>41171</v>
      </c>
      <c r="F1359">
        <v>162.6</v>
      </c>
      <c r="G1359" t="s">
        <v>5877</v>
      </c>
    </row>
    <row r="1360" spans="5:7" x14ac:dyDescent="0.35">
      <c r="E1360" s="9">
        <v>41172</v>
      </c>
      <c r="F1360">
        <v>158.30000000000001</v>
      </c>
      <c r="G1360" t="s">
        <v>5877</v>
      </c>
    </row>
    <row r="1361" spans="5:7" x14ac:dyDescent="0.35">
      <c r="E1361" s="9">
        <v>41173</v>
      </c>
      <c r="F1361">
        <v>155.19999999999999</v>
      </c>
      <c r="G1361" t="s">
        <v>5877</v>
      </c>
    </row>
    <row r="1362" spans="5:7" x14ac:dyDescent="0.35">
      <c r="E1362" s="9">
        <v>41174</v>
      </c>
      <c r="F1362">
        <v>158.5</v>
      </c>
      <c r="G1362" t="s">
        <v>5877</v>
      </c>
    </row>
    <row r="1363" spans="5:7" x14ac:dyDescent="0.35">
      <c r="E1363" s="9">
        <v>41175</v>
      </c>
      <c r="F1363">
        <v>163.1</v>
      </c>
      <c r="G1363" t="s">
        <v>5877</v>
      </c>
    </row>
    <row r="1364" spans="5:7" x14ac:dyDescent="0.35">
      <c r="E1364" s="9">
        <v>41176</v>
      </c>
      <c r="F1364">
        <v>160.4</v>
      </c>
      <c r="G1364" t="s">
        <v>5877</v>
      </c>
    </row>
    <row r="1365" spans="5:7" x14ac:dyDescent="0.35">
      <c r="E1365" s="9">
        <v>41177</v>
      </c>
      <c r="F1365">
        <v>152.5</v>
      </c>
      <c r="G1365" t="s">
        <v>5877</v>
      </c>
    </row>
    <row r="1366" spans="5:7" x14ac:dyDescent="0.35">
      <c r="E1366" s="9">
        <v>41178</v>
      </c>
      <c r="F1366">
        <v>147.1</v>
      </c>
      <c r="G1366" t="s">
        <v>5877</v>
      </c>
    </row>
    <row r="1367" spans="5:7" x14ac:dyDescent="0.35">
      <c r="E1367" s="9">
        <v>41179</v>
      </c>
      <c r="F1367">
        <v>148.4</v>
      </c>
      <c r="G1367" t="s">
        <v>5877</v>
      </c>
    </row>
    <row r="1368" spans="5:7" x14ac:dyDescent="0.35">
      <c r="E1368" s="9">
        <v>41180</v>
      </c>
      <c r="F1368">
        <v>151.69999999999999</v>
      </c>
      <c r="G1368" t="s">
        <v>5877</v>
      </c>
    </row>
    <row r="1369" spans="5:7" x14ac:dyDescent="0.35">
      <c r="E1369" s="9">
        <v>41181</v>
      </c>
      <c r="F1369">
        <v>153.80000000000001</v>
      </c>
      <c r="G1369" t="s">
        <v>5877</v>
      </c>
    </row>
    <row r="1370" spans="5:7" x14ac:dyDescent="0.35">
      <c r="E1370" s="9">
        <v>41182</v>
      </c>
      <c r="F1370">
        <v>155.30000000000001</v>
      </c>
      <c r="G1370" t="s">
        <v>5877</v>
      </c>
    </row>
    <row r="1371" spans="5:7" x14ac:dyDescent="0.35">
      <c r="E1371" s="9">
        <v>41183</v>
      </c>
      <c r="F1371">
        <v>160.5</v>
      </c>
      <c r="G1371" t="s">
        <v>5877</v>
      </c>
    </row>
    <row r="1372" spans="5:7" x14ac:dyDescent="0.35">
      <c r="E1372" s="9">
        <v>41184</v>
      </c>
      <c r="F1372">
        <v>187.5</v>
      </c>
      <c r="G1372" t="s">
        <v>5877</v>
      </c>
    </row>
    <row r="1373" spans="5:7" x14ac:dyDescent="0.35">
      <c r="E1373" s="9">
        <v>41185</v>
      </c>
      <c r="F1373">
        <v>190.9</v>
      </c>
      <c r="G1373" t="s">
        <v>5877</v>
      </c>
    </row>
    <row r="1374" spans="5:7" x14ac:dyDescent="0.35">
      <c r="E1374" s="9">
        <v>41186</v>
      </c>
      <c r="F1374">
        <v>185.7</v>
      </c>
      <c r="G1374" t="s">
        <v>5877</v>
      </c>
    </row>
    <row r="1375" spans="5:7" x14ac:dyDescent="0.35">
      <c r="E1375" s="9">
        <v>41187</v>
      </c>
      <c r="F1375">
        <v>181.5</v>
      </c>
      <c r="G1375" t="s">
        <v>5877</v>
      </c>
    </row>
    <row r="1376" spans="5:7" x14ac:dyDescent="0.35">
      <c r="E1376" s="9">
        <v>41188</v>
      </c>
      <c r="F1376">
        <v>181.2</v>
      </c>
      <c r="G1376" t="s">
        <v>5877</v>
      </c>
    </row>
    <row r="1377" spans="5:7" x14ac:dyDescent="0.35">
      <c r="E1377" s="9">
        <v>41189</v>
      </c>
      <c r="F1377">
        <v>188.3</v>
      </c>
      <c r="G1377" t="s">
        <v>5877</v>
      </c>
    </row>
    <row r="1378" spans="5:7" x14ac:dyDescent="0.35">
      <c r="E1378" s="9">
        <v>41190</v>
      </c>
      <c r="F1378">
        <v>204.6</v>
      </c>
      <c r="G1378" t="s">
        <v>5877</v>
      </c>
    </row>
    <row r="1379" spans="5:7" x14ac:dyDescent="0.35">
      <c r="E1379" s="9">
        <v>41191</v>
      </c>
      <c r="F1379">
        <v>224.5</v>
      </c>
      <c r="G1379" t="s">
        <v>5877</v>
      </c>
    </row>
    <row r="1380" spans="5:7" x14ac:dyDescent="0.35">
      <c r="E1380" s="9">
        <v>41192</v>
      </c>
      <c r="F1380">
        <v>235.7</v>
      </c>
      <c r="G1380" t="s">
        <v>5877</v>
      </c>
    </row>
    <row r="1381" spans="5:7" x14ac:dyDescent="0.35">
      <c r="E1381" s="9">
        <v>41193</v>
      </c>
      <c r="F1381">
        <v>234</v>
      </c>
      <c r="G1381" t="s">
        <v>5877</v>
      </c>
    </row>
    <row r="1382" spans="5:7" x14ac:dyDescent="0.35">
      <c r="E1382" s="9">
        <v>41194</v>
      </c>
      <c r="F1382">
        <v>227.4</v>
      </c>
      <c r="G1382" t="s">
        <v>5877</v>
      </c>
    </row>
    <row r="1383" spans="5:7" x14ac:dyDescent="0.35">
      <c r="E1383" s="9">
        <v>41195</v>
      </c>
      <c r="F1383">
        <v>219.3</v>
      </c>
      <c r="G1383" t="s">
        <v>5877</v>
      </c>
    </row>
    <row r="1384" spans="5:7" x14ac:dyDescent="0.35">
      <c r="E1384" s="9">
        <v>41196</v>
      </c>
      <c r="F1384">
        <v>215.4</v>
      </c>
      <c r="G1384" t="s">
        <v>5877</v>
      </c>
    </row>
    <row r="1385" spans="5:7" x14ac:dyDescent="0.35">
      <c r="E1385" s="9">
        <v>41197</v>
      </c>
      <c r="F1385">
        <v>212.6</v>
      </c>
      <c r="G1385" t="s">
        <v>5877</v>
      </c>
    </row>
    <row r="1386" spans="5:7" x14ac:dyDescent="0.35">
      <c r="E1386" s="9">
        <v>41198</v>
      </c>
      <c r="F1386">
        <v>199.1</v>
      </c>
      <c r="G1386" t="s">
        <v>5877</v>
      </c>
    </row>
    <row r="1387" spans="5:7" x14ac:dyDescent="0.35">
      <c r="E1387" s="9">
        <v>41199</v>
      </c>
      <c r="F1387">
        <v>187.3</v>
      </c>
      <c r="G1387" t="s">
        <v>5877</v>
      </c>
    </row>
    <row r="1388" spans="5:7" x14ac:dyDescent="0.35">
      <c r="E1388" s="9">
        <v>41200</v>
      </c>
      <c r="F1388">
        <v>186</v>
      </c>
      <c r="G1388" t="s">
        <v>5877</v>
      </c>
    </row>
    <row r="1389" spans="5:7" x14ac:dyDescent="0.35">
      <c r="E1389" s="9">
        <v>41201</v>
      </c>
      <c r="F1389">
        <v>198.8</v>
      </c>
      <c r="G1389" t="s">
        <v>5877</v>
      </c>
    </row>
    <row r="1390" spans="5:7" x14ac:dyDescent="0.35">
      <c r="E1390" s="9">
        <v>41202</v>
      </c>
      <c r="F1390">
        <v>217</v>
      </c>
      <c r="G1390" t="s">
        <v>5877</v>
      </c>
    </row>
    <row r="1391" spans="5:7" x14ac:dyDescent="0.35">
      <c r="E1391" s="9">
        <v>41203</v>
      </c>
      <c r="F1391">
        <v>232.7</v>
      </c>
      <c r="G1391" t="s">
        <v>5877</v>
      </c>
    </row>
    <row r="1392" spans="5:7" x14ac:dyDescent="0.35">
      <c r="E1392" s="9">
        <v>41204</v>
      </c>
      <c r="F1392">
        <v>243</v>
      </c>
      <c r="G1392" t="s">
        <v>5877</v>
      </c>
    </row>
    <row r="1393" spans="5:7" x14ac:dyDescent="0.35">
      <c r="E1393" s="9">
        <v>41205</v>
      </c>
      <c r="F1393">
        <v>245.6</v>
      </c>
      <c r="G1393" t="s">
        <v>5877</v>
      </c>
    </row>
    <row r="1394" spans="5:7" x14ac:dyDescent="0.35">
      <c r="E1394" s="9">
        <v>41206</v>
      </c>
      <c r="F1394">
        <v>236.5</v>
      </c>
      <c r="G1394" t="s">
        <v>5877</v>
      </c>
    </row>
    <row r="1395" spans="5:7" x14ac:dyDescent="0.35">
      <c r="E1395" s="9">
        <v>41207</v>
      </c>
      <c r="F1395">
        <v>225.3</v>
      </c>
      <c r="G1395" t="s">
        <v>5877</v>
      </c>
    </row>
    <row r="1396" spans="5:7" x14ac:dyDescent="0.35">
      <c r="E1396" s="9">
        <v>41208</v>
      </c>
      <c r="F1396">
        <v>223.3</v>
      </c>
      <c r="G1396" t="s">
        <v>5877</v>
      </c>
    </row>
    <row r="1397" spans="5:7" x14ac:dyDescent="0.35">
      <c r="E1397" s="9">
        <v>41209</v>
      </c>
      <c r="F1397">
        <v>226.5</v>
      </c>
      <c r="G1397" t="s">
        <v>5877</v>
      </c>
    </row>
    <row r="1398" spans="5:7" x14ac:dyDescent="0.35">
      <c r="E1398" s="9">
        <v>41210</v>
      </c>
      <c r="F1398">
        <v>225.7</v>
      </c>
      <c r="G1398" t="s">
        <v>5877</v>
      </c>
    </row>
    <row r="1399" spans="5:7" x14ac:dyDescent="0.35">
      <c r="E1399" s="9">
        <v>41211</v>
      </c>
      <c r="F1399">
        <v>224.6</v>
      </c>
      <c r="G1399" t="s">
        <v>5877</v>
      </c>
    </row>
    <row r="1400" spans="5:7" x14ac:dyDescent="0.35">
      <c r="E1400" s="9">
        <v>41212</v>
      </c>
      <c r="F1400">
        <v>228</v>
      </c>
      <c r="G1400" t="s">
        <v>5877</v>
      </c>
    </row>
    <row r="1401" spans="5:7" x14ac:dyDescent="0.35">
      <c r="E1401" s="9">
        <v>41213</v>
      </c>
      <c r="F1401">
        <v>229.3</v>
      </c>
      <c r="G1401" t="s">
        <v>5877</v>
      </c>
    </row>
    <row r="1402" spans="5:7" x14ac:dyDescent="0.35">
      <c r="E1402" s="9">
        <v>41214</v>
      </c>
      <c r="F1402">
        <v>225.7</v>
      </c>
      <c r="G1402" t="s">
        <v>5877</v>
      </c>
    </row>
    <row r="1403" spans="5:7" x14ac:dyDescent="0.35">
      <c r="E1403" s="9">
        <v>41215</v>
      </c>
      <c r="F1403">
        <v>222.9</v>
      </c>
      <c r="G1403" t="s">
        <v>5877</v>
      </c>
    </row>
    <row r="1404" spans="5:7" x14ac:dyDescent="0.35">
      <c r="E1404" s="9">
        <v>41216</v>
      </c>
      <c r="F1404">
        <v>210.2</v>
      </c>
      <c r="G1404" t="s">
        <v>5877</v>
      </c>
    </row>
    <row r="1405" spans="5:7" x14ac:dyDescent="0.35">
      <c r="E1405" s="9">
        <v>41217</v>
      </c>
      <c r="F1405">
        <v>214.2</v>
      </c>
      <c r="G1405" t="s">
        <v>5877</v>
      </c>
    </row>
    <row r="1406" spans="5:7" x14ac:dyDescent="0.35">
      <c r="E1406" s="9">
        <v>41218</v>
      </c>
      <c r="F1406">
        <v>230.8</v>
      </c>
      <c r="G1406" t="s">
        <v>5877</v>
      </c>
    </row>
    <row r="1407" spans="5:7" x14ac:dyDescent="0.35">
      <c r="E1407" s="9">
        <v>41219</v>
      </c>
      <c r="F1407">
        <v>241.2</v>
      </c>
      <c r="G1407" t="s">
        <v>5877</v>
      </c>
    </row>
    <row r="1408" spans="5:7" x14ac:dyDescent="0.35">
      <c r="E1408" s="9">
        <v>41220</v>
      </c>
      <c r="F1408">
        <v>241.1</v>
      </c>
      <c r="G1408" t="s">
        <v>5877</v>
      </c>
    </row>
    <row r="1409" spans="5:7" x14ac:dyDescent="0.35">
      <c r="E1409" s="9">
        <v>41221</v>
      </c>
      <c r="F1409">
        <v>234.9</v>
      </c>
      <c r="G1409" t="s">
        <v>5877</v>
      </c>
    </row>
    <row r="1410" spans="5:7" x14ac:dyDescent="0.35">
      <c r="E1410" s="9">
        <v>41222</v>
      </c>
      <c r="F1410">
        <v>235.6</v>
      </c>
      <c r="G1410" t="s">
        <v>5877</v>
      </c>
    </row>
    <row r="1411" spans="5:7" x14ac:dyDescent="0.35">
      <c r="E1411" s="9">
        <v>41223</v>
      </c>
      <c r="F1411">
        <v>244.4</v>
      </c>
      <c r="G1411" t="s">
        <v>5877</v>
      </c>
    </row>
    <row r="1412" spans="5:7" x14ac:dyDescent="0.35">
      <c r="E1412" s="9">
        <v>41224</v>
      </c>
      <c r="F1412">
        <v>251.9</v>
      </c>
      <c r="G1412" t="s">
        <v>5877</v>
      </c>
    </row>
    <row r="1413" spans="5:7" x14ac:dyDescent="0.35">
      <c r="E1413" s="9">
        <v>41225</v>
      </c>
      <c r="F1413">
        <v>247.3</v>
      </c>
      <c r="G1413" t="s">
        <v>5877</v>
      </c>
    </row>
    <row r="1414" spans="5:7" x14ac:dyDescent="0.35">
      <c r="E1414" s="9">
        <v>41226</v>
      </c>
      <c r="F1414">
        <v>240</v>
      </c>
      <c r="G1414" t="s">
        <v>5877</v>
      </c>
    </row>
    <row r="1415" spans="5:7" x14ac:dyDescent="0.35">
      <c r="E1415" s="9">
        <v>41227</v>
      </c>
      <c r="F1415">
        <v>231.5</v>
      </c>
      <c r="G1415" t="s">
        <v>5877</v>
      </c>
    </row>
    <row r="1416" spans="5:7" x14ac:dyDescent="0.35">
      <c r="E1416" s="9">
        <v>41228</v>
      </c>
      <c r="F1416">
        <v>230.1</v>
      </c>
      <c r="G1416" t="s">
        <v>5877</v>
      </c>
    </row>
    <row r="1417" spans="5:7" x14ac:dyDescent="0.35">
      <c r="E1417" s="9">
        <v>41229</v>
      </c>
      <c r="F1417">
        <v>229.1</v>
      </c>
      <c r="G1417" t="s">
        <v>5877</v>
      </c>
    </row>
    <row r="1418" spans="5:7" x14ac:dyDescent="0.35">
      <c r="E1418" s="9">
        <v>41230</v>
      </c>
      <c r="F1418">
        <v>225.4</v>
      </c>
      <c r="G1418" t="s">
        <v>5877</v>
      </c>
    </row>
    <row r="1419" spans="5:7" x14ac:dyDescent="0.35">
      <c r="E1419" s="9">
        <v>41231</v>
      </c>
      <c r="F1419">
        <v>218.1</v>
      </c>
      <c r="G1419" t="s">
        <v>5877</v>
      </c>
    </row>
    <row r="1420" spans="5:7" x14ac:dyDescent="0.35">
      <c r="E1420" s="9">
        <v>41232</v>
      </c>
      <c r="F1420">
        <v>214.5</v>
      </c>
      <c r="G1420" t="s">
        <v>5877</v>
      </c>
    </row>
    <row r="1421" spans="5:7" x14ac:dyDescent="0.35">
      <c r="E1421" s="9">
        <v>41233</v>
      </c>
      <c r="F1421">
        <v>220.1</v>
      </c>
      <c r="G1421" t="s">
        <v>5877</v>
      </c>
    </row>
    <row r="1422" spans="5:7" x14ac:dyDescent="0.35">
      <c r="E1422" s="9">
        <v>41234</v>
      </c>
      <c r="F1422">
        <v>230.5</v>
      </c>
      <c r="G1422" t="s">
        <v>5877</v>
      </c>
    </row>
    <row r="1423" spans="5:7" x14ac:dyDescent="0.35">
      <c r="E1423" s="9">
        <v>41235</v>
      </c>
      <c r="F1423">
        <v>239.9</v>
      </c>
      <c r="G1423" t="s">
        <v>5877</v>
      </c>
    </row>
    <row r="1424" spans="5:7" x14ac:dyDescent="0.35">
      <c r="E1424" s="9">
        <v>41236</v>
      </c>
      <c r="F1424">
        <v>242.6</v>
      </c>
      <c r="G1424" t="s">
        <v>5877</v>
      </c>
    </row>
    <row r="1425" spans="5:7" x14ac:dyDescent="0.35">
      <c r="E1425" s="9">
        <v>41237</v>
      </c>
      <c r="F1425">
        <v>235.9</v>
      </c>
      <c r="G1425" t="s">
        <v>5877</v>
      </c>
    </row>
    <row r="1426" spans="5:7" x14ac:dyDescent="0.35">
      <c r="E1426" s="9">
        <v>41238</v>
      </c>
      <c r="F1426">
        <v>223.2</v>
      </c>
      <c r="G1426" t="s">
        <v>5877</v>
      </c>
    </row>
    <row r="1427" spans="5:7" x14ac:dyDescent="0.35">
      <c r="E1427" s="9">
        <v>41239</v>
      </c>
      <c r="F1427">
        <v>211.4</v>
      </c>
      <c r="G1427" t="s">
        <v>5877</v>
      </c>
    </row>
    <row r="1428" spans="5:7" x14ac:dyDescent="0.35">
      <c r="E1428" s="9">
        <v>41240</v>
      </c>
      <c r="F1428">
        <v>204.2</v>
      </c>
      <c r="G1428" t="s">
        <v>5877</v>
      </c>
    </row>
    <row r="1429" spans="5:7" x14ac:dyDescent="0.35">
      <c r="E1429" s="9">
        <v>41241</v>
      </c>
      <c r="F1429">
        <v>208.3</v>
      </c>
      <c r="G1429" t="s">
        <v>5877</v>
      </c>
    </row>
    <row r="1430" spans="5:7" x14ac:dyDescent="0.35">
      <c r="E1430" s="9">
        <v>41242</v>
      </c>
      <c r="F1430">
        <v>217.1</v>
      </c>
      <c r="G1430" t="s">
        <v>5877</v>
      </c>
    </row>
    <row r="1431" spans="5:7" x14ac:dyDescent="0.35">
      <c r="E1431" s="9">
        <v>41243</v>
      </c>
      <c r="F1431">
        <v>220.7</v>
      </c>
      <c r="G1431" t="s">
        <v>5877</v>
      </c>
    </row>
    <row r="1432" spans="5:7" x14ac:dyDescent="0.35">
      <c r="E1432" s="9">
        <v>41244</v>
      </c>
      <c r="F1432">
        <v>221.1</v>
      </c>
      <c r="G1432" t="s">
        <v>5877</v>
      </c>
    </row>
    <row r="1433" spans="5:7" x14ac:dyDescent="0.35">
      <c r="E1433" s="9">
        <v>41245</v>
      </c>
      <c r="F1433">
        <v>231.8</v>
      </c>
      <c r="G1433" t="s">
        <v>5877</v>
      </c>
    </row>
    <row r="1434" spans="5:7" x14ac:dyDescent="0.35">
      <c r="E1434" s="9">
        <v>41246</v>
      </c>
      <c r="F1434">
        <v>243.7</v>
      </c>
      <c r="G1434" t="s">
        <v>5877</v>
      </c>
    </row>
    <row r="1435" spans="5:7" x14ac:dyDescent="0.35">
      <c r="E1435" s="9">
        <v>41247</v>
      </c>
      <c r="F1435">
        <v>261.60000000000002</v>
      </c>
      <c r="G1435" t="s">
        <v>5877</v>
      </c>
    </row>
    <row r="1436" spans="5:7" x14ac:dyDescent="0.35">
      <c r="E1436" s="9">
        <v>41248</v>
      </c>
      <c r="F1436">
        <v>275.60000000000002</v>
      </c>
      <c r="G1436" t="s">
        <v>5877</v>
      </c>
    </row>
    <row r="1437" spans="5:7" x14ac:dyDescent="0.35">
      <c r="E1437" s="9">
        <v>41249</v>
      </c>
      <c r="F1437">
        <v>279.10000000000002</v>
      </c>
      <c r="G1437" t="s">
        <v>5877</v>
      </c>
    </row>
    <row r="1438" spans="5:7" x14ac:dyDescent="0.35">
      <c r="E1438" s="9">
        <v>41250</v>
      </c>
      <c r="F1438">
        <v>267.5</v>
      </c>
      <c r="G1438" t="s">
        <v>5877</v>
      </c>
    </row>
    <row r="1439" spans="5:7" x14ac:dyDescent="0.35">
      <c r="E1439" s="9">
        <v>41251</v>
      </c>
      <c r="F1439">
        <v>252.5</v>
      </c>
      <c r="G1439" t="s">
        <v>5877</v>
      </c>
    </row>
    <row r="1440" spans="5:7" x14ac:dyDescent="0.35">
      <c r="E1440" s="9">
        <v>41252</v>
      </c>
      <c r="F1440">
        <v>242.8</v>
      </c>
      <c r="G1440" t="s">
        <v>5877</v>
      </c>
    </row>
    <row r="1441" spans="5:7" x14ac:dyDescent="0.35">
      <c r="E1441" s="9">
        <v>41253</v>
      </c>
      <c r="F1441">
        <v>236.7</v>
      </c>
      <c r="G1441" t="s">
        <v>5877</v>
      </c>
    </row>
    <row r="1442" spans="5:7" x14ac:dyDescent="0.35">
      <c r="E1442" s="9">
        <v>41254</v>
      </c>
      <c r="F1442">
        <v>231.7</v>
      </c>
      <c r="G1442" t="s">
        <v>5877</v>
      </c>
    </row>
    <row r="1443" spans="5:7" x14ac:dyDescent="0.35">
      <c r="E1443" s="9">
        <v>41255</v>
      </c>
      <c r="F1443">
        <v>219.6</v>
      </c>
      <c r="G1443" t="s">
        <v>5877</v>
      </c>
    </row>
    <row r="1444" spans="5:7" x14ac:dyDescent="0.35">
      <c r="E1444" s="9">
        <v>41256</v>
      </c>
      <c r="F1444">
        <v>207.6</v>
      </c>
      <c r="G1444" t="s">
        <v>5877</v>
      </c>
    </row>
    <row r="1445" spans="5:7" x14ac:dyDescent="0.35">
      <c r="E1445" s="9">
        <v>41257</v>
      </c>
      <c r="F1445">
        <v>204.8</v>
      </c>
      <c r="G1445" t="s">
        <v>5877</v>
      </c>
    </row>
    <row r="1446" spans="5:7" x14ac:dyDescent="0.35">
      <c r="E1446" s="9">
        <v>41258</v>
      </c>
      <c r="F1446">
        <v>211.7</v>
      </c>
      <c r="G1446" t="s">
        <v>5877</v>
      </c>
    </row>
    <row r="1447" spans="5:7" x14ac:dyDescent="0.35">
      <c r="E1447" s="9">
        <v>41259</v>
      </c>
      <c r="F1447">
        <v>220.7</v>
      </c>
      <c r="G1447" t="s">
        <v>5877</v>
      </c>
    </row>
    <row r="1448" spans="5:7" x14ac:dyDescent="0.35">
      <c r="E1448" s="9">
        <v>41260</v>
      </c>
      <c r="F1448">
        <v>218.5</v>
      </c>
      <c r="G1448" t="s">
        <v>5877</v>
      </c>
    </row>
    <row r="1449" spans="5:7" x14ac:dyDescent="0.35">
      <c r="E1449" s="9">
        <v>41261</v>
      </c>
      <c r="F1449">
        <v>216</v>
      </c>
      <c r="G1449" t="s">
        <v>5877</v>
      </c>
    </row>
    <row r="1450" spans="5:7" x14ac:dyDescent="0.35">
      <c r="E1450" s="9">
        <v>41262</v>
      </c>
      <c r="F1450">
        <v>225.4</v>
      </c>
      <c r="G1450" t="s">
        <v>5877</v>
      </c>
    </row>
    <row r="1451" spans="5:7" x14ac:dyDescent="0.35">
      <c r="E1451" s="9">
        <v>41263</v>
      </c>
      <c r="F1451">
        <v>246.6</v>
      </c>
      <c r="G1451" t="s">
        <v>5877</v>
      </c>
    </row>
    <row r="1452" spans="5:7" x14ac:dyDescent="0.35">
      <c r="E1452" s="9">
        <v>41264</v>
      </c>
      <c r="F1452">
        <v>265.5</v>
      </c>
      <c r="G1452" t="s">
        <v>5877</v>
      </c>
    </row>
    <row r="1453" spans="5:7" x14ac:dyDescent="0.35">
      <c r="E1453" s="9">
        <v>41265</v>
      </c>
      <c r="F1453">
        <v>266.2</v>
      </c>
      <c r="G1453" t="s">
        <v>5877</v>
      </c>
    </row>
    <row r="1454" spans="5:7" x14ac:dyDescent="0.35">
      <c r="E1454" s="9">
        <v>41266</v>
      </c>
      <c r="F1454">
        <v>249</v>
      </c>
      <c r="G1454" t="s">
        <v>5877</v>
      </c>
    </row>
    <row r="1455" spans="5:7" x14ac:dyDescent="0.35">
      <c r="E1455" s="9">
        <v>41267</v>
      </c>
      <c r="F1455">
        <v>231.8</v>
      </c>
      <c r="G1455" t="s">
        <v>5877</v>
      </c>
    </row>
    <row r="1456" spans="5:7" x14ac:dyDescent="0.35">
      <c r="E1456" s="9">
        <v>41268</v>
      </c>
      <c r="F1456">
        <v>223.2</v>
      </c>
      <c r="G1456" t="s">
        <v>5877</v>
      </c>
    </row>
    <row r="1457" spans="5:7" x14ac:dyDescent="0.35">
      <c r="E1457" s="9">
        <v>41269</v>
      </c>
      <c r="F1457">
        <v>222.2</v>
      </c>
      <c r="G1457" t="s">
        <v>5877</v>
      </c>
    </row>
    <row r="1458" spans="5:7" x14ac:dyDescent="0.35">
      <c r="E1458" s="9">
        <v>41270</v>
      </c>
      <c r="F1458">
        <v>223</v>
      </c>
      <c r="G1458" t="s">
        <v>5877</v>
      </c>
    </row>
    <row r="1459" spans="5:7" x14ac:dyDescent="0.35">
      <c r="E1459" s="9">
        <v>41271</v>
      </c>
      <c r="F1459">
        <v>229.1</v>
      </c>
      <c r="G1459" t="s">
        <v>5877</v>
      </c>
    </row>
    <row r="1460" spans="5:7" x14ac:dyDescent="0.35">
      <c r="E1460" s="9">
        <v>41272</v>
      </c>
      <c r="F1460">
        <v>238</v>
      </c>
      <c r="G1460" t="s">
        <v>5877</v>
      </c>
    </row>
    <row r="1461" spans="5:7" x14ac:dyDescent="0.35">
      <c r="E1461" s="9">
        <v>41273</v>
      </c>
      <c r="F1461">
        <v>251.9</v>
      </c>
      <c r="G1461" t="s">
        <v>5877</v>
      </c>
    </row>
    <row r="1462" spans="5:7" x14ac:dyDescent="0.35">
      <c r="E1462" s="9">
        <v>41274</v>
      </c>
      <c r="F1462">
        <v>264.39999999999998</v>
      </c>
      <c r="G1462" t="s">
        <v>5877</v>
      </c>
    </row>
    <row r="1463" spans="5:7" x14ac:dyDescent="0.35">
      <c r="E1463" s="9">
        <v>41275</v>
      </c>
      <c r="F1463">
        <v>268.39999999999998</v>
      </c>
      <c r="G1463" t="s">
        <v>5877</v>
      </c>
    </row>
    <row r="1464" spans="5:7" x14ac:dyDescent="0.35">
      <c r="E1464" s="9">
        <v>41276</v>
      </c>
      <c r="F1464">
        <v>257.7</v>
      </c>
      <c r="G1464" t="s">
        <v>5877</v>
      </c>
    </row>
    <row r="1465" spans="5:7" x14ac:dyDescent="0.35">
      <c r="E1465" s="9">
        <v>41277</v>
      </c>
      <c r="F1465">
        <v>248.1</v>
      </c>
      <c r="G1465" t="s">
        <v>5877</v>
      </c>
    </row>
    <row r="1466" spans="5:7" x14ac:dyDescent="0.35">
      <c r="E1466" s="9">
        <v>41278</v>
      </c>
      <c r="F1466">
        <v>238.5</v>
      </c>
      <c r="G1466" t="s">
        <v>5877</v>
      </c>
    </row>
    <row r="1467" spans="5:7" x14ac:dyDescent="0.35">
      <c r="E1467" s="9">
        <v>41279</v>
      </c>
      <c r="F1467">
        <v>232.1</v>
      </c>
      <c r="G1467" t="s">
        <v>5877</v>
      </c>
    </row>
    <row r="1468" spans="5:7" x14ac:dyDescent="0.35">
      <c r="E1468" s="9">
        <v>41280</v>
      </c>
      <c r="F1468">
        <v>218.6</v>
      </c>
      <c r="G1468" t="s">
        <v>5877</v>
      </c>
    </row>
    <row r="1469" spans="5:7" x14ac:dyDescent="0.35">
      <c r="E1469" s="9">
        <v>41281</v>
      </c>
      <c r="F1469">
        <v>199.7</v>
      </c>
      <c r="G1469" t="s">
        <v>5877</v>
      </c>
    </row>
    <row r="1470" spans="5:7" x14ac:dyDescent="0.35">
      <c r="E1470" s="9">
        <v>41282</v>
      </c>
      <c r="F1470">
        <v>182.7</v>
      </c>
      <c r="G1470" t="s">
        <v>5877</v>
      </c>
    </row>
    <row r="1471" spans="5:7" x14ac:dyDescent="0.35">
      <c r="E1471" s="9">
        <v>41283</v>
      </c>
      <c r="F1471">
        <v>174.5</v>
      </c>
      <c r="G1471" t="s">
        <v>5877</v>
      </c>
    </row>
    <row r="1472" spans="5:7" x14ac:dyDescent="0.35">
      <c r="E1472" s="9">
        <v>41284</v>
      </c>
      <c r="F1472">
        <v>178.6</v>
      </c>
      <c r="G1472" t="s">
        <v>5877</v>
      </c>
    </row>
    <row r="1473" spans="5:7" x14ac:dyDescent="0.35">
      <c r="E1473" s="9">
        <v>41285</v>
      </c>
      <c r="F1473">
        <v>189.9</v>
      </c>
      <c r="G1473" t="s">
        <v>5877</v>
      </c>
    </row>
    <row r="1474" spans="5:7" x14ac:dyDescent="0.35">
      <c r="E1474" s="9">
        <v>41286</v>
      </c>
      <c r="F1474">
        <v>197.9</v>
      </c>
      <c r="G1474" t="s">
        <v>5877</v>
      </c>
    </row>
    <row r="1475" spans="5:7" x14ac:dyDescent="0.35">
      <c r="E1475" s="9">
        <v>41287</v>
      </c>
      <c r="F1475">
        <v>200.6</v>
      </c>
      <c r="G1475" t="s">
        <v>5877</v>
      </c>
    </row>
    <row r="1476" spans="5:7" x14ac:dyDescent="0.35">
      <c r="E1476" s="9">
        <v>41288</v>
      </c>
      <c r="F1476">
        <v>202.2</v>
      </c>
      <c r="G1476" t="s">
        <v>5877</v>
      </c>
    </row>
    <row r="1477" spans="5:7" x14ac:dyDescent="0.35">
      <c r="E1477" s="9">
        <v>41289</v>
      </c>
      <c r="F1477">
        <v>205.1</v>
      </c>
      <c r="G1477" t="s">
        <v>5877</v>
      </c>
    </row>
    <row r="1478" spans="5:7" x14ac:dyDescent="0.35">
      <c r="E1478" s="9">
        <v>41290</v>
      </c>
      <c r="F1478">
        <v>208</v>
      </c>
      <c r="G1478" t="s">
        <v>5877</v>
      </c>
    </row>
    <row r="1479" spans="5:7" x14ac:dyDescent="0.35">
      <c r="E1479" s="9">
        <v>41291</v>
      </c>
      <c r="F1479">
        <v>204.1</v>
      </c>
      <c r="G1479" t="s">
        <v>5877</v>
      </c>
    </row>
    <row r="1480" spans="5:7" x14ac:dyDescent="0.35">
      <c r="E1480" s="9">
        <v>41292</v>
      </c>
      <c r="F1480">
        <v>200.1</v>
      </c>
      <c r="G1480" t="s">
        <v>5877</v>
      </c>
    </row>
    <row r="1481" spans="5:7" x14ac:dyDescent="0.35">
      <c r="E1481" s="9">
        <v>41293</v>
      </c>
      <c r="F1481">
        <v>199</v>
      </c>
      <c r="G1481" t="s">
        <v>5877</v>
      </c>
    </row>
    <row r="1482" spans="5:7" x14ac:dyDescent="0.35">
      <c r="E1482" s="9">
        <v>41294</v>
      </c>
      <c r="F1482">
        <v>204.9</v>
      </c>
      <c r="G1482" t="s">
        <v>5877</v>
      </c>
    </row>
    <row r="1483" spans="5:7" x14ac:dyDescent="0.35">
      <c r="E1483" s="9">
        <v>41295</v>
      </c>
      <c r="F1483">
        <v>209.9</v>
      </c>
      <c r="G1483" t="s">
        <v>5877</v>
      </c>
    </row>
    <row r="1484" spans="5:7" x14ac:dyDescent="0.35">
      <c r="E1484" s="9">
        <v>41296</v>
      </c>
      <c r="F1484">
        <v>208.2</v>
      </c>
      <c r="G1484" t="s">
        <v>5877</v>
      </c>
    </row>
    <row r="1485" spans="5:7" x14ac:dyDescent="0.35">
      <c r="E1485" s="9">
        <v>41297</v>
      </c>
      <c r="F1485">
        <v>206.2</v>
      </c>
      <c r="G1485" t="s">
        <v>5877</v>
      </c>
    </row>
    <row r="1486" spans="5:7" x14ac:dyDescent="0.35">
      <c r="E1486" s="9">
        <v>41298</v>
      </c>
      <c r="F1486">
        <v>209.2</v>
      </c>
      <c r="G1486" t="s">
        <v>5877</v>
      </c>
    </row>
    <row r="1487" spans="5:7" x14ac:dyDescent="0.35">
      <c r="E1487" s="9">
        <v>41299</v>
      </c>
      <c r="F1487">
        <v>214</v>
      </c>
      <c r="G1487" t="s">
        <v>5877</v>
      </c>
    </row>
    <row r="1488" spans="5:7" x14ac:dyDescent="0.35">
      <c r="E1488" s="9">
        <v>41300</v>
      </c>
      <c r="F1488">
        <v>217.5</v>
      </c>
      <c r="G1488" t="s">
        <v>5877</v>
      </c>
    </row>
    <row r="1489" spans="5:7" x14ac:dyDescent="0.35">
      <c r="E1489" s="9">
        <v>41301</v>
      </c>
      <c r="F1489">
        <v>220.4</v>
      </c>
      <c r="G1489" t="s">
        <v>5877</v>
      </c>
    </row>
    <row r="1490" spans="5:7" x14ac:dyDescent="0.35">
      <c r="E1490" s="9">
        <v>41302</v>
      </c>
      <c r="F1490">
        <v>222.4</v>
      </c>
      <c r="G1490" t="s">
        <v>5877</v>
      </c>
    </row>
    <row r="1491" spans="5:7" x14ac:dyDescent="0.35">
      <c r="E1491" s="9">
        <v>41303</v>
      </c>
      <c r="F1491">
        <v>223.2</v>
      </c>
      <c r="G1491" t="s">
        <v>5877</v>
      </c>
    </row>
    <row r="1492" spans="5:7" x14ac:dyDescent="0.35">
      <c r="E1492" s="9">
        <v>41304</v>
      </c>
      <c r="F1492">
        <v>224.5</v>
      </c>
      <c r="G1492" t="s">
        <v>5877</v>
      </c>
    </row>
    <row r="1493" spans="5:7" x14ac:dyDescent="0.35">
      <c r="E1493" s="9">
        <v>41305</v>
      </c>
      <c r="F1493">
        <v>218.6</v>
      </c>
      <c r="G1493" t="s">
        <v>5877</v>
      </c>
    </row>
    <row r="1494" spans="5:7" x14ac:dyDescent="0.35">
      <c r="E1494" s="9">
        <v>41306</v>
      </c>
      <c r="F1494">
        <v>211.8</v>
      </c>
      <c r="G1494" t="s">
        <v>5877</v>
      </c>
    </row>
    <row r="1495" spans="5:7" x14ac:dyDescent="0.35">
      <c r="E1495" s="9">
        <v>41307</v>
      </c>
      <c r="F1495">
        <v>183.6</v>
      </c>
      <c r="G1495" t="s">
        <v>5877</v>
      </c>
    </row>
    <row r="1496" spans="5:7" x14ac:dyDescent="0.35">
      <c r="E1496" s="9">
        <v>41308</v>
      </c>
      <c r="F1496">
        <v>170.8</v>
      </c>
      <c r="G1496" t="s">
        <v>5877</v>
      </c>
    </row>
    <row r="1497" spans="5:7" x14ac:dyDescent="0.35">
      <c r="E1497" s="9">
        <v>41309</v>
      </c>
      <c r="F1497">
        <v>160.1</v>
      </c>
      <c r="G1497" t="s">
        <v>5877</v>
      </c>
    </row>
    <row r="1498" spans="5:7" x14ac:dyDescent="0.35">
      <c r="E1498" s="9">
        <v>41310</v>
      </c>
      <c r="F1498">
        <v>151.1</v>
      </c>
      <c r="G1498" t="s">
        <v>5877</v>
      </c>
    </row>
    <row r="1499" spans="5:7" x14ac:dyDescent="0.35">
      <c r="E1499" s="9">
        <v>41311</v>
      </c>
      <c r="F1499">
        <v>143.4</v>
      </c>
      <c r="G1499" t="s">
        <v>5877</v>
      </c>
    </row>
    <row r="1500" spans="5:7" x14ac:dyDescent="0.35">
      <c r="E1500" s="9">
        <v>41312</v>
      </c>
      <c r="F1500">
        <v>141.5</v>
      </c>
      <c r="G1500" t="s">
        <v>5877</v>
      </c>
    </row>
    <row r="1501" spans="5:7" x14ac:dyDescent="0.35">
      <c r="E1501" s="9">
        <v>41313</v>
      </c>
      <c r="F1501">
        <v>147.4</v>
      </c>
      <c r="G1501" t="s">
        <v>5877</v>
      </c>
    </row>
    <row r="1502" spans="5:7" x14ac:dyDescent="0.35">
      <c r="E1502" s="9">
        <v>41314</v>
      </c>
      <c r="F1502">
        <v>156.30000000000001</v>
      </c>
      <c r="G1502" t="s">
        <v>5877</v>
      </c>
    </row>
    <row r="1503" spans="5:7" x14ac:dyDescent="0.35">
      <c r="E1503" s="9">
        <v>41315</v>
      </c>
      <c r="F1503">
        <v>161.5</v>
      </c>
      <c r="G1503" t="s">
        <v>5877</v>
      </c>
    </row>
    <row r="1504" spans="5:7" x14ac:dyDescent="0.35">
      <c r="E1504" s="9">
        <v>41316</v>
      </c>
      <c r="F1504">
        <v>165.3</v>
      </c>
      <c r="G1504" t="s">
        <v>5877</v>
      </c>
    </row>
    <row r="1505" spans="5:7" x14ac:dyDescent="0.35">
      <c r="E1505" s="9">
        <v>41317</v>
      </c>
      <c r="F1505">
        <v>171.5</v>
      </c>
      <c r="G1505" t="s">
        <v>5877</v>
      </c>
    </row>
    <row r="1506" spans="5:7" x14ac:dyDescent="0.35">
      <c r="E1506" s="9">
        <v>41318</v>
      </c>
      <c r="F1506">
        <v>178.5</v>
      </c>
      <c r="G1506" t="s">
        <v>5877</v>
      </c>
    </row>
    <row r="1507" spans="5:7" x14ac:dyDescent="0.35">
      <c r="E1507" s="9">
        <v>41319</v>
      </c>
      <c r="F1507">
        <v>184.9</v>
      </c>
      <c r="G1507" t="s">
        <v>5877</v>
      </c>
    </row>
    <row r="1508" spans="5:7" x14ac:dyDescent="0.35">
      <c r="E1508" s="9">
        <v>41320</v>
      </c>
      <c r="F1508">
        <v>191.2</v>
      </c>
      <c r="G1508" t="s">
        <v>5877</v>
      </c>
    </row>
    <row r="1509" spans="5:7" x14ac:dyDescent="0.35">
      <c r="E1509" s="9">
        <v>41321</v>
      </c>
      <c r="F1509">
        <v>191.1</v>
      </c>
      <c r="G1509" t="s">
        <v>5877</v>
      </c>
    </row>
    <row r="1510" spans="5:7" x14ac:dyDescent="0.35">
      <c r="E1510" s="9">
        <v>41322</v>
      </c>
      <c r="F1510">
        <v>187.2</v>
      </c>
      <c r="G1510" t="s">
        <v>5877</v>
      </c>
    </row>
    <row r="1511" spans="5:7" x14ac:dyDescent="0.35">
      <c r="E1511" s="9">
        <v>41323</v>
      </c>
      <c r="F1511">
        <v>183.1</v>
      </c>
      <c r="G1511" t="s">
        <v>5877</v>
      </c>
    </row>
    <row r="1512" spans="5:7" x14ac:dyDescent="0.35">
      <c r="E1512" s="9">
        <v>41324</v>
      </c>
      <c r="F1512">
        <v>184.8</v>
      </c>
      <c r="G1512" t="s">
        <v>5877</v>
      </c>
    </row>
    <row r="1513" spans="5:7" x14ac:dyDescent="0.35">
      <c r="E1513" s="9">
        <v>41325</v>
      </c>
      <c r="F1513">
        <v>190.1</v>
      </c>
      <c r="G1513" t="s">
        <v>5877</v>
      </c>
    </row>
    <row r="1514" spans="5:7" x14ac:dyDescent="0.35">
      <c r="E1514" s="9">
        <v>41326</v>
      </c>
      <c r="F1514">
        <v>192.3</v>
      </c>
      <c r="G1514" t="s">
        <v>5877</v>
      </c>
    </row>
    <row r="1515" spans="5:7" x14ac:dyDescent="0.35">
      <c r="E1515" s="9">
        <v>41327</v>
      </c>
      <c r="F1515">
        <v>185.9</v>
      </c>
      <c r="G1515" t="s">
        <v>5877</v>
      </c>
    </row>
    <row r="1516" spans="5:7" x14ac:dyDescent="0.35">
      <c r="E1516" s="9">
        <v>41328</v>
      </c>
      <c r="F1516">
        <v>178</v>
      </c>
      <c r="G1516" t="s">
        <v>5877</v>
      </c>
    </row>
    <row r="1517" spans="5:7" x14ac:dyDescent="0.35">
      <c r="E1517" s="9">
        <v>41329</v>
      </c>
      <c r="F1517">
        <v>170.9</v>
      </c>
      <c r="G1517" t="s">
        <v>5877</v>
      </c>
    </row>
    <row r="1518" spans="5:7" x14ac:dyDescent="0.35">
      <c r="E1518" s="9">
        <v>41330</v>
      </c>
      <c r="F1518">
        <v>167.8</v>
      </c>
      <c r="G1518" t="s">
        <v>5877</v>
      </c>
    </row>
    <row r="1519" spans="5:7" x14ac:dyDescent="0.35">
      <c r="E1519" s="9">
        <v>41331</v>
      </c>
      <c r="F1519">
        <v>177.7</v>
      </c>
      <c r="G1519" t="s">
        <v>5877</v>
      </c>
    </row>
    <row r="1520" spans="5:7" x14ac:dyDescent="0.35">
      <c r="E1520" s="9">
        <v>41332</v>
      </c>
      <c r="F1520">
        <v>194.5</v>
      </c>
      <c r="G1520" t="s">
        <v>5877</v>
      </c>
    </row>
    <row r="1521" spans="5:7" x14ac:dyDescent="0.35">
      <c r="E1521" s="9">
        <v>41333</v>
      </c>
      <c r="F1521">
        <v>200.2</v>
      </c>
      <c r="G1521" t="s">
        <v>5877</v>
      </c>
    </row>
    <row r="1522" spans="5:7" x14ac:dyDescent="0.35">
      <c r="E1522" s="9">
        <v>41334</v>
      </c>
      <c r="F1522">
        <v>190.4</v>
      </c>
      <c r="G1522" t="s">
        <v>5877</v>
      </c>
    </row>
    <row r="1523" spans="5:7" x14ac:dyDescent="0.35">
      <c r="E1523" s="9">
        <v>41335</v>
      </c>
      <c r="F1523">
        <v>184.9</v>
      </c>
      <c r="G1523" t="s">
        <v>5877</v>
      </c>
    </row>
    <row r="1524" spans="5:7" x14ac:dyDescent="0.35">
      <c r="E1524" s="9">
        <v>41336</v>
      </c>
      <c r="F1524">
        <v>182.2</v>
      </c>
      <c r="G1524" t="s">
        <v>5877</v>
      </c>
    </row>
    <row r="1525" spans="5:7" x14ac:dyDescent="0.35">
      <c r="E1525" s="9">
        <v>41337</v>
      </c>
      <c r="F1525">
        <v>194.1</v>
      </c>
      <c r="G1525" t="s">
        <v>5877</v>
      </c>
    </row>
    <row r="1526" spans="5:7" x14ac:dyDescent="0.35">
      <c r="E1526" s="9">
        <v>41338</v>
      </c>
      <c r="F1526">
        <v>207.6</v>
      </c>
      <c r="G1526" t="s">
        <v>5877</v>
      </c>
    </row>
    <row r="1527" spans="5:7" x14ac:dyDescent="0.35">
      <c r="E1527" s="9">
        <v>41339</v>
      </c>
      <c r="F1527">
        <v>213.6</v>
      </c>
      <c r="G1527" t="s">
        <v>5877</v>
      </c>
    </row>
    <row r="1528" spans="5:7" x14ac:dyDescent="0.35">
      <c r="E1528" s="9">
        <v>41340</v>
      </c>
      <c r="F1528">
        <v>216.8</v>
      </c>
      <c r="G1528" t="s">
        <v>5877</v>
      </c>
    </row>
    <row r="1529" spans="5:7" x14ac:dyDescent="0.35">
      <c r="E1529" s="9">
        <v>41341</v>
      </c>
      <c r="F1529">
        <v>214.2</v>
      </c>
      <c r="G1529" t="s">
        <v>5877</v>
      </c>
    </row>
    <row r="1530" spans="5:7" x14ac:dyDescent="0.35">
      <c r="E1530" s="9">
        <v>41342</v>
      </c>
      <c r="F1530">
        <v>212.4</v>
      </c>
      <c r="G1530" t="s">
        <v>5877</v>
      </c>
    </row>
    <row r="1531" spans="5:7" x14ac:dyDescent="0.35">
      <c r="E1531" s="9">
        <v>41343</v>
      </c>
      <c r="F1531">
        <v>206.9</v>
      </c>
      <c r="G1531" t="s">
        <v>5877</v>
      </c>
    </row>
    <row r="1532" spans="5:7" x14ac:dyDescent="0.35">
      <c r="E1532" s="9">
        <v>41344</v>
      </c>
      <c r="F1532">
        <v>205.2</v>
      </c>
      <c r="G1532" t="s">
        <v>5877</v>
      </c>
    </row>
    <row r="1533" spans="5:7" x14ac:dyDescent="0.35">
      <c r="E1533" s="9">
        <v>41345</v>
      </c>
      <c r="F1533">
        <v>207.5</v>
      </c>
      <c r="G1533" t="s">
        <v>5877</v>
      </c>
    </row>
    <row r="1534" spans="5:7" x14ac:dyDescent="0.35">
      <c r="E1534" s="9">
        <v>41346</v>
      </c>
      <c r="F1534">
        <v>209.1</v>
      </c>
      <c r="G1534" t="s">
        <v>5877</v>
      </c>
    </row>
    <row r="1535" spans="5:7" x14ac:dyDescent="0.35">
      <c r="E1535" s="9">
        <v>41347</v>
      </c>
      <c r="F1535">
        <v>205.4</v>
      </c>
      <c r="G1535" t="s">
        <v>5877</v>
      </c>
    </row>
    <row r="1536" spans="5:7" x14ac:dyDescent="0.35">
      <c r="E1536" s="9">
        <v>41348</v>
      </c>
      <c r="F1536">
        <v>198.6</v>
      </c>
      <c r="G1536" t="s">
        <v>5877</v>
      </c>
    </row>
    <row r="1537" spans="5:7" x14ac:dyDescent="0.35">
      <c r="E1537" s="9">
        <v>41349</v>
      </c>
      <c r="F1537">
        <v>199.8</v>
      </c>
      <c r="G1537" t="s">
        <v>5877</v>
      </c>
    </row>
    <row r="1538" spans="5:7" x14ac:dyDescent="0.35">
      <c r="E1538" s="9">
        <v>41350</v>
      </c>
      <c r="F1538">
        <v>211.4</v>
      </c>
      <c r="G1538" t="s">
        <v>5877</v>
      </c>
    </row>
    <row r="1539" spans="5:7" x14ac:dyDescent="0.35">
      <c r="E1539" s="9">
        <v>41351</v>
      </c>
      <c r="F1539">
        <v>223.4</v>
      </c>
      <c r="G1539" t="s">
        <v>5877</v>
      </c>
    </row>
    <row r="1540" spans="5:7" x14ac:dyDescent="0.35">
      <c r="E1540" s="9">
        <v>41352</v>
      </c>
      <c r="F1540">
        <v>227.1</v>
      </c>
      <c r="G1540" t="s">
        <v>5877</v>
      </c>
    </row>
    <row r="1541" spans="5:7" x14ac:dyDescent="0.35">
      <c r="E1541" s="9">
        <v>41353</v>
      </c>
      <c r="F1541">
        <v>223.6</v>
      </c>
      <c r="G1541" t="s">
        <v>5877</v>
      </c>
    </row>
    <row r="1542" spans="5:7" x14ac:dyDescent="0.35">
      <c r="E1542" s="9">
        <v>41354</v>
      </c>
      <c r="F1542">
        <v>212.8</v>
      </c>
      <c r="G1542" t="s">
        <v>5877</v>
      </c>
    </row>
    <row r="1543" spans="5:7" x14ac:dyDescent="0.35">
      <c r="E1543" s="9">
        <v>41355</v>
      </c>
      <c r="F1543">
        <v>205.3</v>
      </c>
      <c r="G1543" t="s">
        <v>5877</v>
      </c>
    </row>
    <row r="1544" spans="5:7" x14ac:dyDescent="0.35">
      <c r="E1544" s="9">
        <v>41356</v>
      </c>
      <c r="F1544">
        <v>204.4</v>
      </c>
      <c r="G1544" t="s">
        <v>5877</v>
      </c>
    </row>
    <row r="1545" spans="5:7" x14ac:dyDescent="0.35">
      <c r="E1545" s="9">
        <v>41357</v>
      </c>
      <c r="F1545">
        <v>208.5</v>
      </c>
      <c r="G1545" t="s">
        <v>5877</v>
      </c>
    </row>
    <row r="1546" spans="5:7" x14ac:dyDescent="0.35">
      <c r="E1546" s="9">
        <v>41358</v>
      </c>
      <c r="F1546">
        <v>210.8</v>
      </c>
      <c r="G1546" t="s">
        <v>5877</v>
      </c>
    </row>
    <row r="1547" spans="5:7" x14ac:dyDescent="0.35">
      <c r="E1547" s="9">
        <v>41359</v>
      </c>
      <c r="F1547">
        <v>210</v>
      </c>
      <c r="G1547" t="s">
        <v>5877</v>
      </c>
    </row>
    <row r="1548" spans="5:7" x14ac:dyDescent="0.35">
      <c r="E1548" s="9">
        <v>41360</v>
      </c>
      <c r="F1548">
        <v>221.6</v>
      </c>
      <c r="G1548" t="s">
        <v>5877</v>
      </c>
    </row>
    <row r="1549" spans="5:7" x14ac:dyDescent="0.35">
      <c r="E1549" s="9">
        <v>41361</v>
      </c>
      <c r="F1549">
        <v>244.1</v>
      </c>
      <c r="G1549" t="s">
        <v>5877</v>
      </c>
    </row>
    <row r="1550" spans="5:7" x14ac:dyDescent="0.35">
      <c r="E1550" s="9">
        <v>41362</v>
      </c>
      <c r="F1550">
        <v>259.3</v>
      </c>
      <c r="G1550" t="s">
        <v>5877</v>
      </c>
    </row>
    <row r="1551" spans="5:7" x14ac:dyDescent="0.35">
      <c r="E1551" s="9">
        <v>41363</v>
      </c>
      <c r="F1551">
        <v>263.60000000000002</v>
      </c>
      <c r="G1551" t="s">
        <v>5877</v>
      </c>
    </row>
    <row r="1552" spans="5:7" x14ac:dyDescent="0.35">
      <c r="E1552" s="9">
        <v>41364</v>
      </c>
      <c r="F1552">
        <v>264.3</v>
      </c>
      <c r="G1552" t="s">
        <v>5877</v>
      </c>
    </row>
    <row r="1553" spans="5:7" x14ac:dyDescent="0.35">
      <c r="E1553" s="9">
        <v>41365</v>
      </c>
      <c r="F1553">
        <v>260</v>
      </c>
      <c r="G1553" t="s">
        <v>5877</v>
      </c>
    </row>
    <row r="1554" spans="5:7" x14ac:dyDescent="0.35">
      <c r="E1554" s="9">
        <v>41366</v>
      </c>
      <c r="F1554">
        <v>256.7</v>
      </c>
      <c r="G1554" t="s">
        <v>5877</v>
      </c>
    </row>
    <row r="1555" spans="5:7" x14ac:dyDescent="0.35">
      <c r="E1555" s="9">
        <v>41367</v>
      </c>
      <c r="F1555">
        <v>235.1</v>
      </c>
      <c r="G1555" t="s">
        <v>5877</v>
      </c>
    </row>
    <row r="1556" spans="5:7" x14ac:dyDescent="0.35">
      <c r="E1556" s="9">
        <v>41368</v>
      </c>
      <c r="F1556">
        <v>210.8</v>
      </c>
      <c r="G1556" t="s">
        <v>5877</v>
      </c>
    </row>
    <row r="1557" spans="5:7" x14ac:dyDescent="0.35">
      <c r="E1557" s="9">
        <v>41369</v>
      </c>
      <c r="F1557">
        <v>197.9</v>
      </c>
      <c r="G1557" t="s">
        <v>5877</v>
      </c>
    </row>
    <row r="1558" spans="5:7" x14ac:dyDescent="0.35">
      <c r="E1558" s="9">
        <v>41370</v>
      </c>
      <c r="F1558">
        <v>198.6</v>
      </c>
      <c r="G1558" t="s">
        <v>5877</v>
      </c>
    </row>
    <row r="1559" spans="5:7" x14ac:dyDescent="0.35">
      <c r="E1559" s="9">
        <v>41371</v>
      </c>
      <c r="F1559">
        <v>204.4</v>
      </c>
      <c r="G1559" t="s">
        <v>5877</v>
      </c>
    </row>
    <row r="1560" spans="5:7" x14ac:dyDescent="0.35">
      <c r="E1560" s="9">
        <v>41372</v>
      </c>
      <c r="F1560">
        <v>199.4</v>
      </c>
      <c r="G1560" t="s">
        <v>5877</v>
      </c>
    </row>
    <row r="1561" spans="5:7" x14ac:dyDescent="0.35">
      <c r="E1561" s="9">
        <v>41373</v>
      </c>
      <c r="F1561">
        <v>189.7</v>
      </c>
      <c r="G1561" t="s">
        <v>5877</v>
      </c>
    </row>
    <row r="1562" spans="5:7" x14ac:dyDescent="0.35">
      <c r="E1562" s="9">
        <v>41374</v>
      </c>
      <c r="F1562">
        <v>185.4</v>
      </c>
      <c r="G1562" t="s">
        <v>5877</v>
      </c>
    </row>
    <row r="1563" spans="5:7" x14ac:dyDescent="0.35">
      <c r="E1563" s="9">
        <v>41375</v>
      </c>
      <c r="F1563">
        <v>193.5</v>
      </c>
      <c r="G1563" t="s">
        <v>5877</v>
      </c>
    </row>
    <row r="1564" spans="5:7" x14ac:dyDescent="0.35">
      <c r="E1564" s="9">
        <v>41376</v>
      </c>
      <c r="F1564">
        <v>209.4</v>
      </c>
      <c r="G1564" t="s">
        <v>5877</v>
      </c>
    </row>
    <row r="1565" spans="5:7" x14ac:dyDescent="0.35">
      <c r="E1565" s="9">
        <v>41377</v>
      </c>
      <c r="F1565">
        <v>222.6</v>
      </c>
      <c r="G1565" t="s">
        <v>5877</v>
      </c>
    </row>
    <row r="1566" spans="5:7" x14ac:dyDescent="0.35">
      <c r="E1566" s="9">
        <v>41378</v>
      </c>
      <c r="F1566">
        <v>222.1</v>
      </c>
      <c r="G1566" t="s">
        <v>5877</v>
      </c>
    </row>
    <row r="1567" spans="5:7" x14ac:dyDescent="0.35">
      <c r="E1567" s="9">
        <v>41379</v>
      </c>
      <c r="F1567">
        <v>207.2</v>
      </c>
      <c r="G1567" t="s">
        <v>5877</v>
      </c>
    </row>
    <row r="1568" spans="5:7" x14ac:dyDescent="0.35">
      <c r="E1568" s="9">
        <v>41380</v>
      </c>
      <c r="F1568">
        <v>193.1</v>
      </c>
      <c r="G1568" t="s">
        <v>5877</v>
      </c>
    </row>
    <row r="1569" spans="5:7" x14ac:dyDescent="0.35">
      <c r="E1569" s="9">
        <v>41381</v>
      </c>
      <c r="F1569">
        <v>187.5</v>
      </c>
      <c r="G1569" t="s">
        <v>5877</v>
      </c>
    </row>
    <row r="1570" spans="5:7" x14ac:dyDescent="0.35">
      <c r="E1570" s="9">
        <v>41382</v>
      </c>
      <c r="F1570">
        <v>189.1</v>
      </c>
      <c r="G1570" t="s">
        <v>5877</v>
      </c>
    </row>
    <row r="1571" spans="5:7" x14ac:dyDescent="0.35">
      <c r="E1571" s="9">
        <v>41383</v>
      </c>
      <c r="F1571">
        <v>188.2</v>
      </c>
      <c r="G1571" t="s">
        <v>5877</v>
      </c>
    </row>
    <row r="1572" spans="5:7" x14ac:dyDescent="0.35">
      <c r="E1572" s="9">
        <v>41384</v>
      </c>
      <c r="F1572">
        <v>188.7</v>
      </c>
      <c r="G1572" t="s">
        <v>5877</v>
      </c>
    </row>
    <row r="1573" spans="5:7" x14ac:dyDescent="0.35">
      <c r="E1573" s="9">
        <v>41385</v>
      </c>
      <c r="F1573">
        <v>194</v>
      </c>
      <c r="G1573" t="s">
        <v>5877</v>
      </c>
    </row>
    <row r="1574" spans="5:7" x14ac:dyDescent="0.35">
      <c r="E1574" s="9">
        <v>41386</v>
      </c>
      <c r="F1574">
        <v>204.3</v>
      </c>
      <c r="G1574" t="s">
        <v>5877</v>
      </c>
    </row>
    <row r="1575" spans="5:7" x14ac:dyDescent="0.35">
      <c r="E1575" s="9">
        <v>41387</v>
      </c>
      <c r="F1575">
        <v>211.1</v>
      </c>
      <c r="G1575" t="s">
        <v>5877</v>
      </c>
    </row>
    <row r="1576" spans="5:7" x14ac:dyDescent="0.35">
      <c r="E1576" s="9">
        <v>41388</v>
      </c>
      <c r="F1576">
        <v>217.3</v>
      </c>
      <c r="G1576" t="s">
        <v>5877</v>
      </c>
    </row>
    <row r="1577" spans="5:7" x14ac:dyDescent="0.35">
      <c r="E1577" s="9">
        <v>41389</v>
      </c>
      <c r="F1577">
        <v>226.2</v>
      </c>
      <c r="G1577" t="s">
        <v>5877</v>
      </c>
    </row>
    <row r="1578" spans="5:7" x14ac:dyDescent="0.35">
      <c r="E1578" s="9">
        <v>41390</v>
      </c>
      <c r="F1578">
        <v>238.1</v>
      </c>
      <c r="G1578" t="s">
        <v>5877</v>
      </c>
    </row>
    <row r="1579" spans="5:7" x14ac:dyDescent="0.35">
      <c r="E1579" s="9">
        <v>41391</v>
      </c>
      <c r="F1579">
        <v>247.4</v>
      </c>
      <c r="G1579" t="s">
        <v>5877</v>
      </c>
    </row>
    <row r="1580" spans="5:7" x14ac:dyDescent="0.35">
      <c r="E1580" s="9">
        <v>41392</v>
      </c>
      <c r="F1580">
        <v>240.5</v>
      </c>
      <c r="G1580" t="s">
        <v>5877</v>
      </c>
    </row>
    <row r="1581" spans="5:7" x14ac:dyDescent="0.35">
      <c r="E1581" s="9">
        <v>41393</v>
      </c>
      <c r="F1581">
        <v>218.8</v>
      </c>
      <c r="G1581" t="s">
        <v>5877</v>
      </c>
    </row>
    <row r="1582" spans="5:7" x14ac:dyDescent="0.35">
      <c r="E1582" s="9">
        <v>41394</v>
      </c>
      <c r="F1582">
        <v>199.9</v>
      </c>
      <c r="G1582" t="s">
        <v>5877</v>
      </c>
    </row>
    <row r="1583" spans="5:7" x14ac:dyDescent="0.35">
      <c r="E1583" s="9">
        <v>41395</v>
      </c>
      <c r="F1583">
        <v>194.1</v>
      </c>
      <c r="G1583" t="s">
        <v>5877</v>
      </c>
    </row>
    <row r="1584" spans="5:7" x14ac:dyDescent="0.35">
      <c r="E1584" s="9">
        <v>41396</v>
      </c>
      <c r="F1584">
        <v>199.1</v>
      </c>
      <c r="G1584" t="s">
        <v>5877</v>
      </c>
    </row>
    <row r="1585" spans="5:7" x14ac:dyDescent="0.35">
      <c r="E1585" s="9">
        <v>41397</v>
      </c>
      <c r="F1585">
        <v>193.5</v>
      </c>
      <c r="G1585" t="s">
        <v>5877</v>
      </c>
    </row>
    <row r="1586" spans="5:7" x14ac:dyDescent="0.35">
      <c r="E1586" s="9">
        <v>41398</v>
      </c>
      <c r="F1586">
        <v>179.9</v>
      </c>
      <c r="G1586" t="s">
        <v>5877</v>
      </c>
    </row>
    <row r="1587" spans="5:7" x14ac:dyDescent="0.35">
      <c r="E1587" s="9">
        <v>41399</v>
      </c>
      <c r="F1587">
        <v>166.6</v>
      </c>
      <c r="G1587" t="s">
        <v>5877</v>
      </c>
    </row>
    <row r="1588" spans="5:7" x14ac:dyDescent="0.35">
      <c r="E1588" s="9">
        <v>41400</v>
      </c>
      <c r="F1588">
        <v>167.2</v>
      </c>
      <c r="G1588" t="s">
        <v>5877</v>
      </c>
    </row>
    <row r="1589" spans="5:7" x14ac:dyDescent="0.35">
      <c r="E1589" s="9">
        <v>41401</v>
      </c>
      <c r="F1589">
        <v>186.3</v>
      </c>
      <c r="G1589" t="s">
        <v>5877</v>
      </c>
    </row>
    <row r="1590" spans="5:7" x14ac:dyDescent="0.35">
      <c r="E1590" s="9">
        <v>41402</v>
      </c>
      <c r="F1590">
        <v>206.4</v>
      </c>
      <c r="G1590" t="s">
        <v>5877</v>
      </c>
    </row>
    <row r="1591" spans="5:7" x14ac:dyDescent="0.35">
      <c r="E1591" s="9">
        <v>41403</v>
      </c>
      <c r="F1591">
        <v>210.1</v>
      </c>
      <c r="G1591" t="s">
        <v>5877</v>
      </c>
    </row>
    <row r="1592" spans="5:7" x14ac:dyDescent="0.35">
      <c r="E1592" s="9">
        <v>41404</v>
      </c>
      <c r="F1592">
        <v>201.1</v>
      </c>
      <c r="G1592" t="s">
        <v>5877</v>
      </c>
    </row>
    <row r="1593" spans="5:7" x14ac:dyDescent="0.35">
      <c r="E1593" s="9">
        <v>41405</v>
      </c>
      <c r="F1593">
        <v>190.6</v>
      </c>
      <c r="G1593" t="s">
        <v>5877</v>
      </c>
    </row>
    <row r="1594" spans="5:7" x14ac:dyDescent="0.35">
      <c r="E1594" s="9">
        <v>41406</v>
      </c>
      <c r="F1594">
        <v>185.9</v>
      </c>
      <c r="G1594" t="s">
        <v>5877</v>
      </c>
    </row>
    <row r="1595" spans="5:7" x14ac:dyDescent="0.35">
      <c r="E1595" s="9">
        <v>41407</v>
      </c>
      <c r="F1595">
        <v>182.9</v>
      </c>
      <c r="G1595" t="s">
        <v>5877</v>
      </c>
    </row>
    <row r="1596" spans="5:7" x14ac:dyDescent="0.35">
      <c r="E1596" s="9">
        <v>41408</v>
      </c>
      <c r="F1596">
        <v>180.3</v>
      </c>
      <c r="G1596" t="s">
        <v>5877</v>
      </c>
    </row>
    <row r="1597" spans="5:7" x14ac:dyDescent="0.35">
      <c r="E1597" s="9">
        <v>41409</v>
      </c>
      <c r="F1597">
        <v>173.2</v>
      </c>
      <c r="G1597" t="s">
        <v>5877</v>
      </c>
    </row>
    <row r="1598" spans="5:7" x14ac:dyDescent="0.35">
      <c r="E1598" s="9">
        <v>41410</v>
      </c>
      <c r="F1598">
        <v>162</v>
      </c>
      <c r="G1598" t="s">
        <v>5877</v>
      </c>
    </row>
    <row r="1599" spans="5:7" x14ac:dyDescent="0.35">
      <c r="E1599" s="9">
        <v>41411</v>
      </c>
      <c r="F1599">
        <v>151.1</v>
      </c>
      <c r="G1599" t="s">
        <v>5877</v>
      </c>
    </row>
    <row r="1600" spans="5:7" x14ac:dyDescent="0.35">
      <c r="E1600" s="9">
        <v>41412</v>
      </c>
      <c r="F1600">
        <v>141.9</v>
      </c>
      <c r="G1600" t="s">
        <v>5877</v>
      </c>
    </row>
    <row r="1601" spans="5:7" x14ac:dyDescent="0.35">
      <c r="E1601" s="9">
        <v>41413</v>
      </c>
      <c r="F1601">
        <v>135.5</v>
      </c>
      <c r="G1601" t="s">
        <v>5877</v>
      </c>
    </row>
    <row r="1602" spans="5:7" x14ac:dyDescent="0.35">
      <c r="E1602" s="9">
        <v>41414</v>
      </c>
      <c r="F1602">
        <v>131.5</v>
      </c>
      <c r="G1602" t="s">
        <v>5877</v>
      </c>
    </row>
    <row r="1603" spans="5:7" x14ac:dyDescent="0.35">
      <c r="E1603" s="9">
        <v>41415</v>
      </c>
      <c r="F1603">
        <v>129</v>
      </c>
      <c r="G1603" t="s">
        <v>5877</v>
      </c>
    </row>
    <row r="1604" spans="5:7" x14ac:dyDescent="0.35">
      <c r="E1604" s="9">
        <v>41416</v>
      </c>
      <c r="F1604">
        <v>127.2</v>
      </c>
      <c r="G1604" t="s">
        <v>5877</v>
      </c>
    </row>
    <row r="1605" spans="5:7" x14ac:dyDescent="0.35">
      <c r="E1605" s="9">
        <v>41417</v>
      </c>
      <c r="F1605">
        <v>126.1</v>
      </c>
      <c r="G1605" t="s">
        <v>5877</v>
      </c>
    </row>
    <row r="1606" spans="5:7" x14ac:dyDescent="0.35">
      <c r="E1606" s="9">
        <v>41418</v>
      </c>
      <c r="F1606">
        <v>125.3</v>
      </c>
      <c r="G1606" t="s">
        <v>5877</v>
      </c>
    </row>
    <row r="1607" spans="5:7" x14ac:dyDescent="0.35">
      <c r="E1607" s="9">
        <v>41419</v>
      </c>
      <c r="F1607">
        <v>125</v>
      </c>
      <c r="G1607" t="s">
        <v>5877</v>
      </c>
    </row>
    <row r="1608" spans="5:7" x14ac:dyDescent="0.35">
      <c r="E1608" s="9">
        <v>41420</v>
      </c>
      <c r="F1608">
        <v>125.1</v>
      </c>
      <c r="G1608" t="s">
        <v>5877</v>
      </c>
    </row>
    <row r="1609" spans="5:7" x14ac:dyDescent="0.35">
      <c r="E1609" s="9">
        <v>41421</v>
      </c>
      <c r="F1609">
        <v>125.6</v>
      </c>
      <c r="G1609" t="s">
        <v>5877</v>
      </c>
    </row>
    <row r="1610" spans="5:7" x14ac:dyDescent="0.35">
      <c r="E1610" s="9">
        <v>41422</v>
      </c>
      <c r="F1610">
        <v>126.2</v>
      </c>
      <c r="G1610" t="s">
        <v>5877</v>
      </c>
    </row>
    <row r="1611" spans="5:7" x14ac:dyDescent="0.35">
      <c r="E1611" s="9">
        <v>41423</v>
      </c>
      <c r="F1611">
        <v>127.2</v>
      </c>
      <c r="G1611" t="s">
        <v>5877</v>
      </c>
    </row>
    <row r="1612" spans="5:7" x14ac:dyDescent="0.35">
      <c r="E1612" s="9">
        <v>41424</v>
      </c>
      <c r="F1612">
        <v>128</v>
      </c>
      <c r="G1612" t="s">
        <v>5877</v>
      </c>
    </row>
    <row r="1613" spans="5:7" x14ac:dyDescent="0.35">
      <c r="E1613" s="9">
        <v>41425</v>
      </c>
      <c r="F1613">
        <v>128.30000000000001</v>
      </c>
      <c r="G1613" t="s">
        <v>5877</v>
      </c>
    </row>
    <row r="1614" spans="5:7" x14ac:dyDescent="0.35">
      <c r="E1614" s="9">
        <v>41426</v>
      </c>
      <c r="F1614">
        <v>127.8</v>
      </c>
      <c r="G1614" t="s">
        <v>5877</v>
      </c>
    </row>
    <row r="1615" spans="5:7" x14ac:dyDescent="0.35">
      <c r="E1615" s="9">
        <v>41427</v>
      </c>
      <c r="F1615">
        <v>85.9</v>
      </c>
      <c r="G1615" t="s">
        <v>5877</v>
      </c>
    </row>
    <row r="1616" spans="5:7" x14ac:dyDescent="0.35">
      <c r="E1616" s="9">
        <v>41428</v>
      </c>
      <c r="F1616">
        <v>85.1</v>
      </c>
      <c r="G1616" t="s">
        <v>5877</v>
      </c>
    </row>
    <row r="1617" spans="5:7" x14ac:dyDescent="0.35">
      <c r="E1617" s="9">
        <v>41429</v>
      </c>
      <c r="F1617">
        <v>84.4</v>
      </c>
      <c r="G1617" t="s">
        <v>5877</v>
      </c>
    </row>
    <row r="1618" spans="5:7" x14ac:dyDescent="0.35">
      <c r="E1618" s="9">
        <v>41430</v>
      </c>
      <c r="F1618">
        <v>84.2</v>
      </c>
      <c r="G1618" t="s">
        <v>5877</v>
      </c>
    </row>
    <row r="1619" spans="5:7" x14ac:dyDescent="0.35">
      <c r="E1619" s="9">
        <v>41431</v>
      </c>
      <c r="F1619">
        <v>84.3</v>
      </c>
      <c r="G1619" t="s">
        <v>5877</v>
      </c>
    </row>
    <row r="1620" spans="5:7" x14ac:dyDescent="0.35">
      <c r="E1620" s="9">
        <v>41432</v>
      </c>
      <c r="F1620">
        <v>84.6</v>
      </c>
      <c r="G1620" t="s">
        <v>5877</v>
      </c>
    </row>
    <row r="1621" spans="5:7" x14ac:dyDescent="0.35">
      <c r="E1621" s="9">
        <v>41433</v>
      </c>
      <c r="F1621">
        <v>84.7</v>
      </c>
      <c r="G1621" t="s">
        <v>5877</v>
      </c>
    </row>
    <row r="1622" spans="5:7" x14ac:dyDescent="0.35">
      <c r="E1622" s="9">
        <v>41434</v>
      </c>
      <c r="F1622">
        <v>84.5</v>
      </c>
      <c r="G1622" t="s">
        <v>5877</v>
      </c>
    </row>
    <row r="1623" spans="5:7" x14ac:dyDescent="0.35">
      <c r="E1623" s="9">
        <v>41435</v>
      </c>
      <c r="F1623">
        <v>84.3</v>
      </c>
      <c r="G1623" t="s">
        <v>5877</v>
      </c>
    </row>
    <row r="1624" spans="5:7" x14ac:dyDescent="0.35">
      <c r="E1624" s="9">
        <v>41436</v>
      </c>
      <c r="F1624">
        <v>84.2</v>
      </c>
      <c r="G1624" t="s">
        <v>5877</v>
      </c>
    </row>
    <row r="1625" spans="5:7" x14ac:dyDescent="0.35">
      <c r="E1625" s="9">
        <v>41437</v>
      </c>
      <c r="F1625">
        <v>83.9</v>
      </c>
      <c r="G1625" t="s">
        <v>5877</v>
      </c>
    </row>
    <row r="1626" spans="5:7" x14ac:dyDescent="0.35">
      <c r="E1626" s="9">
        <v>41438</v>
      </c>
      <c r="F1626">
        <v>83.7</v>
      </c>
      <c r="G1626" t="s">
        <v>5877</v>
      </c>
    </row>
    <row r="1627" spans="5:7" x14ac:dyDescent="0.35">
      <c r="E1627" s="9">
        <v>41439</v>
      </c>
      <c r="F1627">
        <v>83.5</v>
      </c>
      <c r="G1627" t="s">
        <v>5877</v>
      </c>
    </row>
    <row r="1628" spans="5:7" x14ac:dyDescent="0.35">
      <c r="E1628" s="9">
        <v>41440</v>
      </c>
      <c r="F1628">
        <v>83.7</v>
      </c>
      <c r="G1628" t="s">
        <v>5877</v>
      </c>
    </row>
    <row r="1629" spans="5:7" x14ac:dyDescent="0.35">
      <c r="E1629" s="9">
        <v>41441</v>
      </c>
      <c r="F1629">
        <v>84.6</v>
      </c>
      <c r="G1629" t="s">
        <v>5877</v>
      </c>
    </row>
    <row r="1630" spans="5:7" x14ac:dyDescent="0.35">
      <c r="E1630" s="9">
        <v>41442</v>
      </c>
      <c r="F1630">
        <v>85.6</v>
      </c>
      <c r="G1630" t="s">
        <v>5877</v>
      </c>
    </row>
    <row r="1631" spans="5:7" x14ac:dyDescent="0.35">
      <c r="E1631" s="9">
        <v>41443</v>
      </c>
      <c r="F1631">
        <v>86.1</v>
      </c>
      <c r="G1631" t="s">
        <v>5877</v>
      </c>
    </row>
    <row r="1632" spans="5:7" x14ac:dyDescent="0.35">
      <c r="E1632" s="9">
        <v>41444</v>
      </c>
      <c r="F1632">
        <v>85.9</v>
      </c>
      <c r="G1632" t="s">
        <v>5877</v>
      </c>
    </row>
    <row r="1633" spans="5:7" x14ac:dyDescent="0.35">
      <c r="E1633" s="9">
        <v>41445</v>
      </c>
      <c r="F1633">
        <v>85.4</v>
      </c>
      <c r="G1633" t="s">
        <v>5877</v>
      </c>
    </row>
    <row r="1634" spans="5:7" x14ac:dyDescent="0.35">
      <c r="E1634" s="9">
        <v>41446</v>
      </c>
      <c r="F1634">
        <v>84.8</v>
      </c>
      <c r="G1634" t="s">
        <v>5877</v>
      </c>
    </row>
    <row r="1635" spans="5:7" x14ac:dyDescent="0.35">
      <c r="E1635" s="9">
        <v>41447</v>
      </c>
      <c r="F1635">
        <v>84.3</v>
      </c>
      <c r="G1635" t="s">
        <v>5877</v>
      </c>
    </row>
    <row r="1636" spans="5:7" x14ac:dyDescent="0.35">
      <c r="E1636" s="9">
        <v>41448</v>
      </c>
      <c r="F1636">
        <v>85.3</v>
      </c>
      <c r="G1636" t="s">
        <v>5877</v>
      </c>
    </row>
    <row r="1637" spans="5:7" x14ac:dyDescent="0.35">
      <c r="E1637" s="9">
        <v>41449</v>
      </c>
      <c r="F1637">
        <v>88.5</v>
      </c>
      <c r="G1637" t="s">
        <v>5877</v>
      </c>
    </row>
    <row r="1638" spans="5:7" x14ac:dyDescent="0.35">
      <c r="E1638" s="9">
        <v>41450</v>
      </c>
      <c r="F1638">
        <v>92.1</v>
      </c>
      <c r="G1638" t="s">
        <v>5877</v>
      </c>
    </row>
    <row r="1639" spans="5:7" x14ac:dyDescent="0.35">
      <c r="E1639" s="9">
        <v>41451</v>
      </c>
      <c r="F1639">
        <v>92.8</v>
      </c>
      <c r="G1639" t="s">
        <v>5877</v>
      </c>
    </row>
    <row r="1640" spans="5:7" x14ac:dyDescent="0.35">
      <c r="E1640" s="9">
        <v>41452</v>
      </c>
      <c r="F1640">
        <v>91.4</v>
      </c>
      <c r="G1640" t="s">
        <v>5877</v>
      </c>
    </row>
    <row r="1641" spans="5:7" x14ac:dyDescent="0.35">
      <c r="E1641" s="9">
        <v>41453</v>
      </c>
      <c r="F1641">
        <v>88.9</v>
      </c>
      <c r="G1641" t="s">
        <v>5877</v>
      </c>
    </row>
    <row r="1642" spans="5:7" x14ac:dyDescent="0.35">
      <c r="E1642" s="9">
        <v>41454</v>
      </c>
      <c r="F1642">
        <v>86.8</v>
      </c>
      <c r="G1642" t="s">
        <v>5877</v>
      </c>
    </row>
    <row r="1643" spans="5:7" x14ac:dyDescent="0.35">
      <c r="E1643" s="9">
        <v>41455</v>
      </c>
      <c r="F1643">
        <v>85.6</v>
      </c>
      <c r="G1643" t="s">
        <v>5877</v>
      </c>
    </row>
    <row r="1644" spans="5:7" x14ac:dyDescent="0.35">
      <c r="E1644" s="9">
        <v>41456</v>
      </c>
      <c r="F1644">
        <v>84.8</v>
      </c>
      <c r="G1644" t="s">
        <v>5877</v>
      </c>
    </row>
    <row r="1645" spans="5:7" x14ac:dyDescent="0.35">
      <c r="E1645" s="9">
        <v>41457</v>
      </c>
      <c r="F1645">
        <v>61.3</v>
      </c>
      <c r="G1645" t="s">
        <v>5877</v>
      </c>
    </row>
    <row r="1646" spans="5:7" x14ac:dyDescent="0.35">
      <c r="E1646" s="9">
        <v>41458</v>
      </c>
      <c r="F1646">
        <v>62</v>
      </c>
      <c r="G1646" t="s">
        <v>5877</v>
      </c>
    </row>
    <row r="1647" spans="5:7" x14ac:dyDescent="0.35">
      <c r="E1647" s="9">
        <v>41459</v>
      </c>
      <c r="F1647">
        <v>64.3</v>
      </c>
      <c r="G1647" t="s">
        <v>5877</v>
      </c>
    </row>
    <row r="1648" spans="5:7" x14ac:dyDescent="0.35">
      <c r="E1648" s="9">
        <v>41460</v>
      </c>
      <c r="F1648">
        <v>67.099999999999994</v>
      </c>
      <c r="G1648" t="s">
        <v>5877</v>
      </c>
    </row>
    <row r="1649" spans="5:7" x14ac:dyDescent="0.35">
      <c r="E1649" s="9">
        <v>41461</v>
      </c>
      <c r="F1649">
        <v>67.900000000000006</v>
      </c>
      <c r="G1649" t="s">
        <v>5877</v>
      </c>
    </row>
    <row r="1650" spans="5:7" x14ac:dyDescent="0.35">
      <c r="E1650" s="9">
        <v>41462</v>
      </c>
      <c r="F1650">
        <v>67.5</v>
      </c>
      <c r="G1650" t="s">
        <v>5877</v>
      </c>
    </row>
    <row r="1651" spans="5:7" x14ac:dyDescent="0.35">
      <c r="E1651" s="9">
        <v>41463</v>
      </c>
      <c r="F1651">
        <v>66.599999999999994</v>
      </c>
      <c r="G1651" t="s">
        <v>5877</v>
      </c>
    </row>
    <row r="1652" spans="5:7" x14ac:dyDescent="0.35">
      <c r="E1652" s="9">
        <v>41464</v>
      </c>
      <c r="F1652">
        <v>65.7</v>
      </c>
      <c r="G1652" t="s">
        <v>5877</v>
      </c>
    </row>
    <row r="1653" spans="5:7" x14ac:dyDescent="0.35">
      <c r="E1653" s="9">
        <v>41465</v>
      </c>
      <c r="F1653">
        <v>65</v>
      </c>
      <c r="G1653" t="s">
        <v>5877</v>
      </c>
    </row>
    <row r="1654" spans="5:7" x14ac:dyDescent="0.35">
      <c r="E1654" s="9">
        <v>41466</v>
      </c>
      <c r="F1654">
        <v>64</v>
      </c>
      <c r="G1654" t="s">
        <v>5877</v>
      </c>
    </row>
    <row r="1655" spans="5:7" x14ac:dyDescent="0.35">
      <c r="E1655" s="9">
        <v>41467</v>
      </c>
      <c r="F1655">
        <v>62.8</v>
      </c>
      <c r="G1655" t="s">
        <v>5877</v>
      </c>
    </row>
    <row r="1656" spans="5:7" x14ac:dyDescent="0.35">
      <c r="E1656" s="9">
        <v>41468</v>
      </c>
      <c r="F1656">
        <v>61.9</v>
      </c>
      <c r="G1656" t="s">
        <v>5877</v>
      </c>
    </row>
    <row r="1657" spans="5:7" x14ac:dyDescent="0.35">
      <c r="E1657" s="9">
        <v>41469</v>
      </c>
      <c r="F1657">
        <v>61.2</v>
      </c>
      <c r="G1657" t="s">
        <v>5877</v>
      </c>
    </row>
    <row r="1658" spans="5:7" x14ac:dyDescent="0.35">
      <c r="E1658" s="9">
        <v>41470</v>
      </c>
      <c r="F1658">
        <v>60.8</v>
      </c>
      <c r="G1658" t="s">
        <v>5877</v>
      </c>
    </row>
    <row r="1659" spans="5:7" x14ac:dyDescent="0.35">
      <c r="E1659" s="9">
        <v>41471</v>
      </c>
      <c r="F1659">
        <v>60.6</v>
      </c>
      <c r="G1659" t="s">
        <v>5877</v>
      </c>
    </row>
    <row r="1660" spans="5:7" x14ac:dyDescent="0.35">
      <c r="E1660" s="9">
        <v>41472</v>
      </c>
      <c r="F1660">
        <v>60.8</v>
      </c>
      <c r="G1660" t="s">
        <v>5877</v>
      </c>
    </row>
    <row r="1661" spans="5:7" x14ac:dyDescent="0.35">
      <c r="E1661" s="9">
        <v>41473</v>
      </c>
      <c r="F1661">
        <v>61</v>
      </c>
      <c r="G1661" t="s">
        <v>5877</v>
      </c>
    </row>
    <row r="1662" spans="5:7" x14ac:dyDescent="0.35">
      <c r="E1662" s="9">
        <v>41474</v>
      </c>
      <c r="F1662">
        <v>61.7</v>
      </c>
      <c r="G1662" t="s">
        <v>5877</v>
      </c>
    </row>
    <row r="1663" spans="5:7" x14ac:dyDescent="0.35">
      <c r="E1663" s="9">
        <v>41475</v>
      </c>
      <c r="F1663">
        <v>63.1</v>
      </c>
      <c r="G1663" t="s">
        <v>5877</v>
      </c>
    </row>
    <row r="1664" spans="5:7" x14ac:dyDescent="0.35">
      <c r="E1664" s="9">
        <v>41476</v>
      </c>
      <c r="F1664">
        <v>64.5</v>
      </c>
      <c r="G1664" t="s">
        <v>5877</v>
      </c>
    </row>
    <row r="1665" spans="5:7" x14ac:dyDescent="0.35">
      <c r="E1665" s="9">
        <v>41477</v>
      </c>
      <c r="F1665">
        <v>64.599999999999994</v>
      </c>
      <c r="G1665" t="s">
        <v>5877</v>
      </c>
    </row>
    <row r="1666" spans="5:7" x14ac:dyDescent="0.35">
      <c r="E1666" s="9">
        <v>41478</v>
      </c>
      <c r="F1666">
        <v>63.8</v>
      </c>
      <c r="G1666" t="s">
        <v>5877</v>
      </c>
    </row>
    <row r="1667" spans="5:7" x14ac:dyDescent="0.35">
      <c r="E1667" s="9">
        <v>41479</v>
      </c>
      <c r="F1667">
        <v>62.6</v>
      </c>
      <c r="G1667" t="s">
        <v>5877</v>
      </c>
    </row>
    <row r="1668" spans="5:7" x14ac:dyDescent="0.35">
      <c r="E1668" s="9">
        <v>41480</v>
      </c>
      <c r="F1668">
        <v>61.6</v>
      </c>
      <c r="G1668" t="s">
        <v>5877</v>
      </c>
    </row>
    <row r="1669" spans="5:7" x14ac:dyDescent="0.35">
      <c r="E1669" s="9">
        <v>41481</v>
      </c>
      <c r="F1669">
        <v>61.1</v>
      </c>
      <c r="G1669" t="s">
        <v>5877</v>
      </c>
    </row>
    <row r="1670" spans="5:7" x14ac:dyDescent="0.35">
      <c r="E1670" s="9">
        <v>41482</v>
      </c>
      <c r="F1670">
        <v>60.7</v>
      </c>
      <c r="G1670" t="s">
        <v>5877</v>
      </c>
    </row>
    <row r="1671" spans="5:7" x14ac:dyDescent="0.35">
      <c r="E1671" s="9">
        <v>41483</v>
      </c>
      <c r="F1671">
        <v>60.5</v>
      </c>
      <c r="G1671" t="s">
        <v>5877</v>
      </c>
    </row>
    <row r="1672" spans="5:7" x14ac:dyDescent="0.35">
      <c r="E1672" s="9">
        <v>41484</v>
      </c>
      <c r="F1672">
        <v>60.9</v>
      </c>
      <c r="G1672" t="s">
        <v>5877</v>
      </c>
    </row>
    <row r="1673" spans="5:7" x14ac:dyDescent="0.35">
      <c r="E1673" s="9">
        <v>41485</v>
      </c>
      <c r="F1673">
        <v>63</v>
      </c>
      <c r="G1673" t="s">
        <v>5877</v>
      </c>
    </row>
    <row r="1674" spans="5:7" x14ac:dyDescent="0.35">
      <c r="E1674" s="9">
        <v>41486</v>
      </c>
      <c r="F1674">
        <v>66.3</v>
      </c>
      <c r="G1674" t="s">
        <v>5877</v>
      </c>
    </row>
    <row r="1675" spans="5:7" x14ac:dyDescent="0.35">
      <c r="E1675" s="9">
        <v>41487</v>
      </c>
      <c r="F1675">
        <v>68.599999999999994</v>
      </c>
      <c r="G1675" t="s">
        <v>5877</v>
      </c>
    </row>
    <row r="1676" spans="5:7" x14ac:dyDescent="0.35">
      <c r="E1676" s="9">
        <v>41488</v>
      </c>
      <c r="F1676">
        <v>73.5</v>
      </c>
      <c r="G1676" t="s">
        <v>5877</v>
      </c>
    </row>
    <row r="1677" spans="5:7" x14ac:dyDescent="0.35">
      <c r="E1677" s="9">
        <v>41489</v>
      </c>
      <c r="F1677">
        <v>71.8</v>
      </c>
      <c r="G1677" t="s">
        <v>5877</v>
      </c>
    </row>
    <row r="1678" spans="5:7" x14ac:dyDescent="0.35">
      <c r="E1678" s="9">
        <v>41490</v>
      </c>
      <c r="F1678">
        <v>69.599999999999994</v>
      </c>
      <c r="G1678" t="s">
        <v>5877</v>
      </c>
    </row>
    <row r="1679" spans="5:7" x14ac:dyDescent="0.35">
      <c r="E1679" s="9">
        <v>41491</v>
      </c>
      <c r="F1679">
        <v>67.900000000000006</v>
      </c>
      <c r="G1679" t="s">
        <v>5877</v>
      </c>
    </row>
    <row r="1680" spans="5:7" x14ac:dyDescent="0.35">
      <c r="E1680" s="9">
        <v>41492</v>
      </c>
      <c r="F1680">
        <v>66.900000000000006</v>
      </c>
      <c r="G1680" t="s">
        <v>5877</v>
      </c>
    </row>
    <row r="1681" spans="5:7" x14ac:dyDescent="0.35">
      <c r="E1681" s="9">
        <v>41493</v>
      </c>
      <c r="F1681">
        <v>66.3</v>
      </c>
      <c r="G1681" t="s">
        <v>5877</v>
      </c>
    </row>
    <row r="1682" spans="5:7" x14ac:dyDescent="0.35">
      <c r="E1682" s="9">
        <v>41494</v>
      </c>
      <c r="F1682">
        <v>66.2</v>
      </c>
      <c r="G1682" t="s">
        <v>5877</v>
      </c>
    </row>
    <row r="1683" spans="5:7" x14ac:dyDescent="0.35">
      <c r="E1683" s="9">
        <v>41495</v>
      </c>
      <c r="F1683">
        <v>69.5</v>
      </c>
      <c r="G1683" t="s">
        <v>5877</v>
      </c>
    </row>
    <row r="1684" spans="5:7" x14ac:dyDescent="0.35">
      <c r="E1684" s="9">
        <v>41496</v>
      </c>
      <c r="F1684">
        <v>77.599999999999994</v>
      </c>
      <c r="G1684" t="s">
        <v>5877</v>
      </c>
    </row>
    <row r="1685" spans="5:7" x14ac:dyDescent="0.35">
      <c r="E1685" s="9">
        <v>41497</v>
      </c>
      <c r="F1685">
        <v>89.1</v>
      </c>
      <c r="G1685" t="s">
        <v>5877</v>
      </c>
    </row>
    <row r="1686" spans="5:7" x14ac:dyDescent="0.35">
      <c r="E1686" s="9">
        <v>41498</v>
      </c>
      <c r="F1686">
        <v>96.9</v>
      </c>
      <c r="G1686" t="s">
        <v>5877</v>
      </c>
    </row>
    <row r="1687" spans="5:7" x14ac:dyDescent="0.35">
      <c r="E1687" s="9">
        <v>41499</v>
      </c>
      <c r="F1687">
        <v>99.2</v>
      </c>
      <c r="G1687" t="s">
        <v>5877</v>
      </c>
    </row>
    <row r="1688" spans="5:7" x14ac:dyDescent="0.35">
      <c r="E1688" s="9">
        <v>41500</v>
      </c>
      <c r="F1688">
        <v>94.5</v>
      </c>
      <c r="G1688" t="s">
        <v>5877</v>
      </c>
    </row>
    <row r="1689" spans="5:7" x14ac:dyDescent="0.35">
      <c r="E1689" s="9">
        <v>41501</v>
      </c>
      <c r="F1689">
        <v>87</v>
      </c>
      <c r="G1689" t="s">
        <v>5877</v>
      </c>
    </row>
    <row r="1690" spans="5:7" x14ac:dyDescent="0.35">
      <c r="E1690" s="9">
        <v>41502</v>
      </c>
      <c r="F1690">
        <v>80.099999999999994</v>
      </c>
      <c r="G1690" t="s">
        <v>5877</v>
      </c>
    </row>
    <row r="1691" spans="5:7" x14ac:dyDescent="0.35">
      <c r="E1691" s="9">
        <v>41503</v>
      </c>
      <c r="F1691">
        <v>74.8</v>
      </c>
      <c r="G1691" t="s">
        <v>5877</v>
      </c>
    </row>
    <row r="1692" spans="5:7" x14ac:dyDescent="0.35">
      <c r="E1692" s="9">
        <v>41504</v>
      </c>
      <c r="F1692">
        <v>72.599999999999994</v>
      </c>
      <c r="G1692" t="s">
        <v>5877</v>
      </c>
    </row>
    <row r="1693" spans="5:7" x14ac:dyDescent="0.35">
      <c r="E1693" s="9">
        <v>41505</v>
      </c>
      <c r="F1693">
        <v>76.599999999999994</v>
      </c>
      <c r="G1693" t="s">
        <v>5877</v>
      </c>
    </row>
    <row r="1694" spans="5:7" x14ac:dyDescent="0.35">
      <c r="E1694" s="9">
        <v>41506</v>
      </c>
      <c r="F1694">
        <v>86.8</v>
      </c>
      <c r="G1694" t="s">
        <v>5877</v>
      </c>
    </row>
    <row r="1695" spans="5:7" x14ac:dyDescent="0.35">
      <c r="E1695" s="9">
        <v>41507</v>
      </c>
      <c r="F1695">
        <v>96.5</v>
      </c>
      <c r="G1695" t="s">
        <v>5877</v>
      </c>
    </row>
    <row r="1696" spans="5:7" x14ac:dyDescent="0.35">
      <c r="E1696" s="9">
        <v>41508</v>
      </c>
      <c r="F1696">
        <v>98.3</v>
      </c>
      <c r="G1696" t="s">
        <v>5877</v>
      </c>
    </row>
    <row r="1697" spans="5:7" x14ac:dyDescent="0.35">
      <c r="E1697" s="9">
        <v>41509</v>
      </c>
      <c r="F1697">
        <v>98.1</v>
      </c>
      <c r="G1697" t="s">
        <v>5877</v>
      </c>
    </row>
    <row r="1698" spans="5:7" x14ac:dyDescent="0.35">
      <c r="E1698" s="9">
        <v>41510</v>
      </c>
      <c r="F1698">
        <v>100.3</v>
      </c>
      <c r="G1698" t="s">
        <v>5877</v>
      </c>
    </row>
    <row r="1699" spans="5:7" x14ac:dyDescent="0.35">
      <c r="E1699" s="9">
        <v>41511</v>
      </c>
      <c r="F1699">
        <v>104</v>
      </c>
      <c r="G1699" t="s">
        <v>5877</v>
      </c>
    </row>
    <row r="1700" spans="5:7" x14ac:dyDescent="0.35">
      <c r="E1700" s="9">
        <v>41512</v>
      </c>
      <c r="F1700">
        <v>103.3</v>
      </c>
      <c r="G1700" t="s">
        <v>5877</v>
      </c>
    </row>
    <row r="1701" spans="5:7" x14ac:dyDescent="0.35">
      <c r="E1701" s="9">
        <v>41513</v>
      </c>
      <c r="F1701">
        <v>97.1</v>
      </c>
      <c r="G1701" t="s">
        <v>5877</v>
      </c>
    </row>
    <row r="1702" spans="5:7" x14ac:dyDescent="0.35">
      <c r="E1702" s="9">
        <v>41514</v>
      </c>
      <c r="F1702">
        <v>88.3</v>
      </c>
      <c r="G1702" t="s">
        <v>5877</v>
      </c>
    </row>
    <row r="1703" spans="5:7" x14ac:dyDescent="0.35">
      <c r="E1703" s="9">
        <v>41515</v>
      </c>
      <c r="F1703">
        <v>80.599999999999994</v>
      </c>
      <c r="G1703" t="s">
        <v>5877</v>
      </c>
    </row>
    <row r="1704" spans="5:7" x14ac:dyDescent="0.35">
      <c r="E1704" s="9">
        <v>41516</v>
      </c>
      <c r="F1704">
        <v>76.2</v>
      </c>
      <c r="G1704" t="s">
        <v>5877</v>
      </c>
    </row>
    <row r="1705" spans="5:7" x14ac:dyDescent="0.35">
      <c r="E1705" s="9">
        <v>41517</v>
      </c>
      <c r="F1705">
        <v>78.900000000000006</v>
      </c>
      <c r="G1705" t="s">
        <v>5877</v>
      </c>
    </row>
    <row r="1706" spans="5:7" x14ac:dyDescent="0.35">
      <c r="E1706" s="9">
        <v>41518</v>
      </c>
      <c r="F1706">
        <v>90.1</v>
      </c>
      <c r="G1706" t="s">
        <v>5877</v>
      </c>
    </row>
    <row r="1707" spans="5:7" x14ac:dyDescent="0.35">
      <c r="E1707" s="9">
        <v>41519</v>
      </c>
      <c r="F1707">
        <v>132</v>
      </c>
      <c r="G1707" t="s">
        <v>5877</v>
      </c>
    </row>
    <row r="1708" spans="5:7" x14ac:dyDescent="0.35">
      <c r="E1708" s="9">
        <v>41520</v>
      </c>
      <c r="F1708">
        <v>143.1</v>
      </c>
      <c r="G1708" t="s">
        <v>5877</v>
      </c>
    </row>
    <row r="1709" spans="5:7" x14ac:dyDescent="0.35">
      <c r="E1709" s="9">
        <v>41521</v>
      </c>
      <c r="F1709">
        <v>152.1</v>
      </c>
      <c r="G1709" t="s">
        <v>5877</v>
      </c>
    </row>
    <row r="1710" spans="5:7" x14ac:dyDescent="0.35">
      <c r="E1710" s="9">
        <v>41522</v>
      </c>
      <c r="F1710">
        <v>157.4</v>
      </c>
      <c r="G1710" t="s">
        <v>5877</v>
      </c>
    </row>
    <row r="1711" spans="5:7" x14ac:dyDescent="0.35">
      <c r="E1711" s="9">
        <v>41523</v>
      </c>
      <c r="F1711">
        <v>150.9</v>
      </c>
      <c r="G1711" t="s">
        <v>5877</v>
      </c>
    </row>
    <row r="1712" spans="5:7" x14ac:dyDescent="0.35">
      <c r="E1712" s="9">
        <v>41524</v>
      </c>
      <c r="F1712">
        <v>142.30000000000001</v>
      </c>
      <c r="G1712" t="s">
        <v>5877</v>
      </c>
    </row>
    <row r="1713" spans="5:7" x14ac:dyDescent="0.35">
      <c r="E1713" s="9">
        <v>41525</v>
      </c>
      <c r="F1713">
        <v>136.1</v>
      </c>
      <c r="G1713" t="s">
        <v>5877</v>
      </c>
    </row>
    <row r="1714" spans="5:7" x14ac:dyDescent="0.35">
      <c r="E1714" s="9">
        <v>41526</v>
      </c>
      <c r="F1714">
        <v>133.1</v>
      </c>
      <c r="G1714" t="s">
        <v>5877</v>
      </c>
    </row>
    <row r="1715" spans="5:7" x14ac:dyDescent="0.35">
      <c r="E1715" s="9">
        <v>41527</v>
      </c>
      <c r="F1715">
        <v>133</v>
      </c>
      <c r="G1715" t="s">
        <v>5877</v>
      </c>
    </row>
    <row r="1716" spans="5:7" x14ac:dyDescent="0.35">
      <c r="E1716" s="9">
        <v>41528</v>
      </c>
      <c r="F1716">
        <v>136.69999999999999</v>
      </c>
      <c r="G1716" t="s">
        <v>5877</v>
      </c>
    </row>
    <row r="1717" spans="5:7" x14ac:dyDescent="0.35">
      <c r="E1717" s="9">
        <v>41529</v>
      </c>
      <c r="F1717">
        <v>141.80000000000001</v>
      </c>
      <c r="G1717" t="s">
        <v>5877</v>
      </c>
    </row>
    <row r="1718" spans="5:7" x14ac:dyDescent="0.35">
      <c r="E1718" s="9">
        <v>41530</v>
      </c>
      <c r="F1718">
        <v>140.6</v>
      </c>
      <c r="G1718" t="s">
        <v>5877</v>
      </c>
    </row>
    <row r="1719" spans="5:7" x14ac:dyDescent="0.35">
      <c r="E1719" s="9">
        <v>41531</v>
      </c>
      <c r="F1719">
        <v>137.6</v>
      </c>
      <c r="G1719" t="s">
        <v>5877</v>
      </c>
    </row>
    <row r="1720" spans="5:7" x14ac:dyDescent="0.35">
      <c r="E1720" s="9">
        <v>41532</v>
      </c>
      <c r="F1720">
        <v>136.19999999999999</v>
      </c>
      <c r="G1720" t="s">
        <v>5877</v>
      </c>
    </row>
    <row r="1721" spans="5:7" x14ac:dyDescent="0.35">
      <c r="E1721" s="9">
        <v>41533</v>
      </c>
      <c r="F1721">
        <v>136.4</v>
      </c>
      <c r="G1721" t="s">
        <v>5877</v>
      </c>
    </row>
    <row r="1722" spans="5:7" x14ac:dyDescent="0.35">
      <c r="E1722" s="9">
        <v>41534</v>
      </c>
      <c r="F1722">
        <v>139.4</v>
      </c>
      <c r="G1722" t="s">
        <v>5877</v>
      </c>
    </row>
    <row r="1723" spans="5:7" x14ac:dyDescent="0.35">
      <c r="E1723" s="9">
        <v>41535</v>
      </c>
      <c r="F1723">
        <v>146.30000000000001</v>
      </c>
      <c r="G1723" t="s">
        <v>5877</v>
      </c>
    </row>
    <row r="1724" spans="5:7" x14ac:dyDescent="0.35">
      <c r="E1724" s="9">
        <v>41536</v>
      </c>
      <c r="F1724">
        <v>152.69999999999999</v>
      </c>
      <c r="G1724" t="s">
        <v>5877</v>
      </c>
    </row>
    <row r="1725" spans="5:7" x14ac:dyDescent="0.35">
      <c r="E1725" s="9">
        <v>41537</v>
      </c>
      <c r="F1725">
        <v>153.4</v>
      </c>
      <c r="G1725" t="s">
        <v>5877</v>
      </c>
    </row>
    <row r="1726" spans="5:7" x14ac:dyDescent="0.35">
      <c r="E1726" s="9">
        <v>41538</v>
      </c>
      <c r="F1726">
        <v>155.1</v>
      </c>
      <c r="G1726" t="s">
        <v>5877</v>
      </c>
    </row>
    <row r="1727" spans="5:7" x14ac:dyDescent="0.35">
      <c r="E1727" s="9">
        <v>41539</v>
      </c>
      <c r="F1727">
        <v>159.30000000000001</v>
      </c>
      <c r="G1727" t="s">
        <v>5877</v>
      </c>
    </row>
    <row r="1728" spans="5:7" x14ac:dyDescent="0.35">
      <c r="E1728" s="9">
        <v>41540</v>
      </c>
      <c r="F1728">
        <v>161.80000000000001</v>
      </c>
      <c r="G1728" t="s">
        <v>5877</v>
      </c>
    </row>
    <row r="1729" spans="5:7" x14ac:dyDescent="0.35">
      <c r="E1729" s="9">
        <v>41541</v>
      </c>
      <c r="F1729">
        <v>160.5</v>
      </c>
      <c r="G1729" t="s">
        <v>5877</v>
      </c>
    </row>
    <row r="1730" spans="5:7" x14ac:dyDescent="0.35">
      <c r="E1730" s="9">
        <v>41542</v>
      </c>
      <c r="F1730">
        <v>157.5</v>
      </c>
      <c r="G1730" t="s">
        <v>5877</v>
      </c>
    </row>
    <row r="1731" spans="5:7" x14ac:dyDescent="0.35">
      <c r="E1731" s="9">
        <v>41543</v>
      </c>
      <c r="F1731">
        <v>156.6</v>
      </c>
      <c r="G1731" t="s">
        <v>5877</v>
      </c>
    </row>
    <row r="1732" spans="5:7" x14ac:dyDescent="0.35">
      <c r="E1732" s="9">
        <v>41544</v>
      </c>
      <c r="F1732">
        <v>158.4</v>
      </c>
      <c r="G1732" t="s">
        <v>5877</v>
      </c>
    </row>
    <row r="1733" spans="5:7" x14ac:dyDescent="0.35">
      <c r="E1733" s="9">
        <v>41545</v>
      </c>
      <c r="F1733">
        <v>162.5</v>
      </c>
      <c r="G1733" t="s">
        <v>5877</v>
      </c>
    </row>
    <row r="1734" spans="5:7" x14ac:dyDescent="0.35">
      <c r="E1734" s="9">
        <v>41546</v>
      </c>
      <c r="F1734">
        <v>170.5</v>
      </c>
      <c r="G1734" t="s">
        <v>5877</v>
      </c>
    </row>
    <row r="1735" spans="5:7" x14ac:dyDescent="0.35">
      <c r="E1735" s="9">
        <v>41547</v>
      </c>
      <c r="F1735">
        <v>173.9</v>
      </c>
      <c r="G1735" t="s">
        <v>5877</v>
      </c>
    </row>
    <row r="1736" spans="5:7" x14ac:dyDescent="0.35">
      <c r="E1736" s="9">
        <v>41548</v>
      </c>
      <c r="F1736">
        <v>167.1</v>
      </c>
      <c r="G1736" t="s">
        <v>5877</v>
      </c>
    </row>
    <row r="1737" spans="5:7" x14ac:dyDescent="0.35">
      <c r="E1737" s="9">
        <v>41549</v>
      </c>
      <c r="F1737">
        <v>175.4</v>
      </c>
      <c r="G1737" t="s">
        <v>5877</v>
      </c>
    </row>
    <row r="1738" spans="5:7" x14ac:dyDescent="0.35">
      <c r="E1738" s="9">
        <v>41550</v>
      </c>
      <c r="F1738">
        <v>173</v>
      </c>
      <c r="G1738" t="s">
        <v>5877</v>
      </c>
    </row>
    <row r="1739" spans="5:7" x14ac:dyDescent="0.35">
      <c r="E1739" s="9">
        <v>41551</v>
      </c>
      <c r="F1739">
        <v>175.4</v>
      </c>
      <c r="G1739" t="s">
        <v>5877</v>
      </c>
    </row>
    <row r="1740" spans="5:7" x14ac:dyDescent="0.35">
      <c r="E1740" s="9">
        <v>41552</v>
      </c>
      <c r="F1740">
        <v>180.4</v>
      </c>
      <c r="G1740" t="s">
        <v>5877</v>
      </c>
    </row>
    <row r="1741" spans="5:7" x14ac:dyDescent="0.35">
      <c r="E1741" s="9">
        <v>41553</v>
      </c>
      <c r="F1741">
        <v>189.3</v>
      </c>
      <c r="G1741" t="s">
        <v>5877</v>
      </c>
    </row>
    <row r="1742" spans="5:7" x14ac:dyDescent="0.35">
      <c r="E1742" s="9">
        <v>41554</v>
      </c>
      <c r="F1742">
        <v>204.6</v>
      </c>
      <c r="G1742" t="s">
        <v>5877</v>
      </c>
    </row>
    <row r="1743" spans="5:7" x14ac:dyDescent="0.35">
      <c r="E1743" s="9">
        <v>41555</v>
      </c>
      <c r="F1743">
        <v>220.7</v>
      </c>
      <c r="G1743" t="s">
        <v>5877</v>
      </c>
    </row>
    <row r="1744" spans="5:7" x14ac:dyDescent="0.35">
      <c r="E1744" s="9">
        <v>41556</v>
      </c>
      <c r="F1744">
        <v>233.6</v>
      </c>
      <c r="G1744" t="s">
        <v>5877</v>
      </c>
    </row>
    <row r="1745" spans="5:7" x14ac:dyDescent="0.35">
      <c r="E1745" s="9">
        <v>41557</v>
      </c>
      <c r="F1745">
        <v>240.6</v>
      </c>
      <c r="G1745" t="s">
        <v>5877</v>
      </c>
    </row>
    <row r="1746" spans="5:7" x14ac:dyDescent="0.35">
      <c r="E1746" s="9">
        <v>41558</v>
      </c>
      <c r="F1746">
        <v>243</v>
      </c>
      <c r="G1746" t="s">
        <v>5877</v>
      </c>
    </row>
    <row r="1747" spans="5:7" x14ac:dyDescent="0.35">
      <c r="E1747" s="9">
        <v>41559</v>
      </c>
      <c r="F1747">
        <v>244.9</v>
      </c>
      <c r="G1747" t="s">
        <v>5877</v>
      </c>
    </row>
    <row r="1748" spans="5:7" x14ac:dyDescent="0.35">
      <c r="E1748" s="9">
        <v>41560</v>
      </c>
      <c r="F1748">
        <v>242.1</v>
      </c>
      <c r="G1748" t="s">
        <v>5877</v>
      </c>
    </row>
    <row r="1749" spans="5:7" x14ac:dyDescent="0.35">
      <c r="E1749" s="9">
        <v>41561</v>
      </c>
      <c r="F1749">
        <v>229.8</v>
      </c>
      <c r="G1749" t="s">
        <v>5877</v>
      </c>
    </row>
    <row r="1750" spans="5:7" x14ac:dyDescent="0.35">
      <c r="E1750" s="9">
        <v>41562</v>
      </c>
      <c r="F1750">
        <v>215.4</v>
      </c>
      <c r="G1750" t="s">
        <v>5877</v>
      </c>
    </row>
    <row r="1751" spans="5:7" x14ac:dyDescent="0.35">
      <c r="E1751" s="9">
        <v>41563</v>
      </c>
      <c r="F1751">
        <v>202.6</v>
      </c>
      <c r="G1751" t="s">
        <v>5877</v>
      </c>
    </row>
    <row r="1752" spans="5:7" x14ac:dyDescent="0.35">
      <c r="E1752" s="9">
        <v>41564</v>
      </c>
      <c r="F1752">
        <v>194.8</v>
      </c>
      <c r="G1752" t="s">
        <v>5877</v>
      </c>
    </row>
    <row r="1753" spans="5:7" x14ac:dyDescent="0.35">
      <c r="E1753" s="9">
        <v>41565</v>
      </c>
      <c r="F1753">
        <v>197.5</v>
      </c>
      <c r="G1753" t="s">
        <v>5877</v>
      </c>
    </row>
    <row r="1754" spans="5:7" x14ac:dyDescent="0.35">
      <c r="E1754" s="9">
        <v>41566</v>
      </c>
      <c r="F1754">
        <v>205.6</v>
      </c>
      <c r="G1754" t="s">
        <v>5877</v>
      </c>
    </row>
    <row r="1755" spans="5:7" x14ac:dyDescent="0.35">
      <c r="E1755" s="9">
        <v>41567</v>
      </c>
      <c r="F1755">
        <v>212.1</v>
      </c>
      <c r="G1755" t="s">
        <v>5877</v>
      </c>
    </row>
    <row r="1756" spans="5:7" x14ac:dyDescent="0.35">
      <c r="E1756" s="9">
        <v>41568</v>
      </c>
      <c r="F1756">
        <v>216.6</v>
      </c>
      <c r="G1756" t="s">
        <v>5877</v>
      </c>
    </row>
    <row r="1757" spans="5:7" x14ac:dyDescent="0.35">
      <c r="E1757" s="9">
        <v>41569</v>
      </c>
      <c r="F1757">
        <v>215.6</v>
      </c>
      <c r="G1757" t="s">
        <v>5877</v>
      </c>
    </row>
    <row r="1758" spans="5:7" x14ac:dyDescent="0.35">
      <c r="E1758" s="9">
        <v>41570</v>
      </c>
      <c r="F1758">
        <v>207.8</v>
      </c>
      <c r="G1758" t="s">
        <v>5877</v>
      </c>
    </row>
    <row r="1759" spans="5:7" x14ac:dyDescent="0.35">
      <c r="E1759" s="9">
        <v>41571</v>
      </c>
      <c r="F1759">
        <v>202.5</v>
      </c>
      <c r="G1759" t="s">
        <v>5877</v>
      </c>
    </row>
    <row r="1760" spans="5:7" x14ac:dyDescent="0.35">
      <c r="E1760" s="9">
        <v>41572</v>
      </c>
      <c r="F1760">
        <v>205</v>
      </c>
      <c r="G1760" t="s">
        <v>5877</v>
      </c>
    </row>
    <row r="1761" spans="5:7" x14ac:dyDescent="0.35">
      <c r="E1761" s="9">
        <v>41573</v>
      </c>
      <c r="F1761">
        <v>208.4</v>
      </c>
      <c r="G1761" t="s">
        <v>5877</v>
      </c>
    </row>
    <row r="1762" spans="5:7" x14ac:dyDescent="0.35">
      <c r="E1762" s="9">
        <v>41574</v>
      </c>
      <c r="F1762">
        <v>203.4</v>
      </c>
      <c r="G1762" t="s">
        <v>5877</v>
      </c>
    </row>
    <row r="1763" spans="5:7" x14ac:dyDescent="0.35">
      <c r="E1763" s="9">
        <v>41575</v>
      </c>
      <c r="F1763">
        <v>196.8</v>
      </c>
      <c r="G1763" t="s">
        <v>5877</v>
      </c>
    </row>
    <row r="1764" spans="5:7" x14ac:dyDescent="0.35">
      <c r="E1764" s="9">
        <v>41576</v>
      </c>
      <c r="F1764">
        <v>195.8</v>
      </c>
      <c r="G1764" t="s">
        <v>5877</v>
      </c>
    </row>
    <row r="1765" spans="5:7" x14ac:dyDescent="0.35">
      <c r="E1765" s="9">
        <v>41577</v>
      </c>
      <c r="F1765">
        <v>201.9</v>
      </c>
      <c r="G1765" t="s">
        <v>5877</v>
      </c>
    </row>
    <row r="1766" spans="5:7" x14ac:dyDescent="0.35">
      <c r="E1766" s="9">
        <v>41578</v>
      </c>
      <c r="F1766">
        <v>205</v>
      </c>
      <c r="G1766" t="s">
        <v>5877</v>
      </c>
    </row>
    <row r="1767" spans="5:7" x14ac:dyDescent="0.35">
      <c r="E1767" s="9">
        <v>41579</v>
      </c>
      <c r="F1767">
        <v>194.5</v>
      </c>
      <c r="G1767" t="s">
        <v>5877</v>
      </c>
    </row>
    <row r="1768" spans="5:7" x14ac:dyDescent="0.35">
      <c r="E1768" s="9">
        <v>41580</v>
      </c>
      <c r="F1768">
        <v>194.6</v>
      </c>
      <c r="G1768" t="s">
        <v>5877</v>
      </c>
    </row>
    <row r="1769" spans="5:7" x14ac:dyDescent="0.35">
      <c r="E1769" s="9">
        <v>41581</v>
      </c>
      <c r="F1769">
        <v>194.8</v>
      </c>
      <c r="G1769" t="s">
        <v>5877</v>
      </c>
    </row>
    <row r="1770" spans="5:7" x14ac:dyDescent="0.35">
      <c r="E1770" s="9">
        <v>41582</v>
      </c>
      <c r="F1770">
        <v>211.1</v>
      </c>
      <c r="G1770" t="s">
        <v>5877</v>
      </c>
    </row>
    <row r="1771" spans="5:7" x14ac:dyDescent="0.35">
      <c r="E1771" s="9">
        <v>41583</v>
      </c>
      <c r="F1771">
        <v>232.7</v>
      </c>
      <c r="G1771" t="s">
        <v>5877</v>
      </c>
    </row>
    <row r="1772" spans="5:7" x14ac:dyDescent="0.35">
      <c r="E1772" s="9">
        <v>41584</v>
      </c>
      <c r="F1772">
        <v>248.4</v>
      </c>
      <c r="G1772" t="s">
        <v>5877</v>
      </c>
    </row>
    <row r="1773" spans="5:7" x14ac:dyDescent="0.35">
      <c r="E1773" s="9">
        <v>41585</v>
      </c>
      <c r="F1773">
        <v>251.5</v>
      </c>
      <c r="G1773" t="s">
        <v>5877</v>
      </c>
    </row>
    <row r="1774" spans="5:7" x14ac:dyDescent="0.35">
      <c r="E1774" s="9">
        <v>41586</v>
      </c>
      <c r="F1774">
        <v>240</v>
      </c>
      <c r="G1774" t="s">
        <v>5877</v>
      </c>
    </row>
    <row r="1775" spans="5:7" x14ac:dyDescent="0.35">
      <c r="E1775" s="9">
        <v>41587</v>
      </c>
      <c r="F1775">
        <v>226.1</v>
      </c>
      <c r="G1775" t="s">
        <v>5877</v>
      </c>
    </row>
    <row r="1776" spans="5:7" x14ac:dyDescent="0.35">
      <c r="E1776" s="9">
        <v>41588</v>
      </c>
      <c r="F1776">
        <v>218.7</v>
      </c>
      <c r="G1776" t="s">
        <v>5877</v>
      </c>
    </row>
    <row r="1777" spans="5:7" x14ac:dyDescent="0.35">
      <c r="E1777" s="9">
        <v>41589</v>
      </c>
      <c r="F1777">
        <v>219.2</v>
      </c>
      <c r="G1777" t="s">
        <v>5877</v>
      </c>
    </row>
    <row r="1778" spans="5:7" x14ac:dyDescent="0.35">
      <c r="E1778" s="9">
        <v>41590</v>
      </c>
      <c r="F1778">
        <v>228.2</v>
      </c>
      <c r="G1778" t="s">
        <v>5877</v>
      </c>
    </row>
    <row r="1779" spans="5:7" x14ac:dyDescent="0.35">
      <c r="E1779" s="9">
        <v>41591</v>
      </c>
      <c r="F1779">
        <v>239.1</v>
      </c>
      <c r="G1779" t="s">
        <v>5877</v>
      </c>
    </row>
    <row r="1780" spans="5:7" x14ac:dyDescent="0.35">
      <c r="E1780" s="9">
        <v>41592</v>
      </c>
      <c r="F1780">
        <v>248.5</v>
      </c>
      <c r="G1780" t="s">
        <v>5877</v>
      </c>
    </row>
    <row r="1781" spans="5:7" x14ac:dyDescent="0.35">
      <c r="E1781" s="9">
        <v>41593</v>
      </c>
      <c r="F1781">
        <v>259.60000000000002</v>
      </c>
      <c r="G1781" t="s">
        <v>5877</v>
      </c>
    </row>
    <row r="1782" spans="5:7" x14ac:dyDescent="0.35">
      <c r="E1782" s="9">
        <v>41594</v>
      </c>
      <c r="F1782">
        <v>263.60000000000002</v>
      </c>
      <c r="G1782" t="s">
        <v>5877</v>
      </c>
    </row>
    <row r="1783" spans="5:7" x14ac:dyDescent="0.35">
      <c r="E1783" s="9">
        <v>41595</v>
      </c>
      <c r="F1783">
        <v>254.6</v>
      </c>
      <c r="G1783" t="s">
        <v>5877</v>
      </c>
    </row>
    <row r="1784" spans="5:7" x14ac:dyDescent="0.35">
      <c r="E1784" s="9">
        <v>41596</v>
      </c>
      <c r="F1784">
        <v>241.5</v>
      </c>
      <c r="G1784" t="s">
        <v>5877</v>
      </c>
    </row>
    <row r="1785" spans="5:7" x14ac:dyDescent="0.35">
      <c r="E1785" s="9">
        <v>41597</v>
      </c>
      <c r="F1785">
        <v>230.4</v>
      </c>
      <c r="G1785" t="s">
        <v>5877</v>
      </c>
    </row>
    <row r="1786" spans="5:7" x14ac:dyDescent="0.35">
      <c r="E1786" s="9">
        <v>41598</v>
      </c>
      <c r="F1786">
        <v>223.7</v>
      </c>
      <c r="G1786" t="s">
        <v>5877</v>
      </c>
    </row>
    <row r="1787" spans="5:7" x14ac:dyDescent="0.35">
      <c r="E1787" s="9">
        <v>41599</v>
      </c>
      <c r="F1787">
        <v>214.9</v>
      </c>
      <c r="G1787" t="s">
        <v>5877</v>
      </c>
    </row>
    <row r="1788" spans="5:7" x14ac:dyDescent="0.35">
      <c r="E1788" s="9">
        <v>41600</v>
      </c>
      <c r="F1788">
        <v>205.3</v>
      </c>
      <c r="G1788" t="s">
        <v>5877</v>
      </c>
    </row>
    <row r="1789" spans="5:7" x14ac:dyDescent="0.35">
      <c r="E1789" s="9">
        <v>41601</v>
      </c>
      <c r="F1789">
        <v>203.4</v>
      </c>
      <c r="G1789" t="s">
        <v>5877</v>
      </c>
    </row>
    <row r="1790" spans="5:7" x14ac:dyDescent="0.35">
      <c r="E1790" s="9">
        <v>41602</v>
      </c>
      <c r="F1790">
        <v>206.8</v>
      </c>
      <c r="G1790" t="s">
        <v>5877</v>
      </c>
    </row>
    <row r="1791" spans="5:7" x14ac:dyDescent="0.35">
      <c r="E1791" s="9">
        <v>41603</v>
      </c>
      <c r="F1791">
        <v>211.4</v>
      </c>
      <c r="G1791" t="s">
        <v>5877</v>
      </c>
    </row>
    <row r="1792" spans="5:7" x14ac:dyDescent="0.35">
      <c r="E1792" s="9">
        <v>41604</v>
      </c>
      <c r="F1792">
        <v>215.3</v>
      </c>
      <c r="G1792" t="s">
        <v>5877</v>
      </c>
    </row>
    <row r="1793" spans="5:7" x14ac:dyDescent="0.35">
      <c r="E1793" s="9">
        <v>41605</v>
      </c>
      <c r="F1793">
        <v>219.3</v>
      </c>
      <c r="G1793" t="s">
        <v>5877</v>
      </c>
    </row>
    <row r="1794" spans="5:7" x14ac:dyDescent="0.35">
      <c r="E1794" s="9">
        <v>41606</v>
      </c>
      <c r="F1794">
        <v>216.5</v>
      </c>
      <c r="G1794" t="s">
        <v>5877</v>
      </c>
    </row>
    <row r="1795" spans="5:7" x14ac:dyDescent="0.35">
      <c r="E1795" s="9">
        <v>41607</v>
      </c>
      <c r="F1795">
        <v>212.4</v>
      </c>
      <c r="G1795" t="s">
        <v>5877</v>
      </c>
    </row>
    <row r="1796" spans="5:7" x14ac:dyDescent="0.35">
      <c r="E1796" s="9">
        <v>41608</v>
      </c>
      <c r="F1796">
        <v>210.2</v>
      </c>
      <c r="G1796" t="s">
        <v>5877</v>
      </c>
    </row>
    <row r="1797" spans="5:7" x14ac:dyDescent="0.35">
      <c r="E1797" s="9">
        <v>41609</v>
      </c>
      <c r="F1797">
        <v>210.5</v>
      </c>
      <c r="G1797" t="s">
        <v>5877</v>
      </c>
    </row>
    <row r="1798" spans="5:7" x14ac:dyDescent="0.35">
      <c r="E1798" s="9">
        <v>41610</v>
      </c>
      <c r="F1798">
        <v>220.5</v>
      </c>
      <c r="G1798" t="s">
        <v>5877</v>
      </c>
    </row>
    <row r="1799" spans="5:7" x14ac:dyDescent="0.35">
      <c r="E1799" s="9">
        <v>41611</v>
      </c>
      <c r="F1799">
        <v>224.9</v>
      </c>
      <c r="G1799" t="s">
        <v>5877</v>
      </c>
    </row>
    <row r="1800" spans="5:7" x14ac:dyDescent="0.35">
      <c r="E1800" s="9">
        <v>41612</v>
      </c>
      <c r="F1800">
        <v>231.1</v>
      </c>
      <c r="G1800" t="s">
        <v>5877</v>
      </c>
    </row>
    <row r="1801" spans="5:7" x14ac:dyDescent="0.35">
      <c r="E1801" s="9">
        <v>41613</v>
      </c>
      <c r="F1801">
        <v>228</v>
      </c>
      <c r="G1801" t="s">
        <v>5877</v>
      </c>
    </row>
    <row r="1802" spans="5:7" x14ac:dyDescent="0.35">
      <c r="E1802" s="9">
        <v>41614</v>
      </c>
      <c r="F1802">
        <v>222.5</v>
      </c>
      <c r="G1802" t="s">
        <v>5877</v>
      </c>
    </row>
    <row r="1803" spans="5:7" x14ac:dyDescent="0.35">
      <c r="E1803" s="9">
        <v>41615</v>
      </c>
      <c r="F1803">
        <v>217.5</v>
      </c>
      <c r="G1803" t="s">
        <v>5877</v>
      </c>
    </row>
    <row r="1804" spans="5:7" x14ac:dyDescent="0.35">
      <c r="E1804" s="9">
        <v>41616</v>
      </c>
      <c r="F1804">
        <v>208.8</v>
      </c>
      <c r="G1804" t="s">
        <v>5877</v>
      </c>
    </row>
    <row r="1805" spans="5:7" x14ac:dyDescent="0.35">
      <c r="E1805" s="9">
        <v>41617</v>
      </c>
      <c r="F1805">
        <v>202.1</v>
      </c>
      <c r="G1805" t="s">
        <v>5877</v>
      </c>
    </row>
    <row r="1806" spans="5:7" x14ac:dyDescent="0.35">
      <c r="E1806" s="9">
        <v>41618</v>
      </c>
      <c r="F1806">
        <v>204.4</v>
      </c>
      <c r="G1806" t="s">
        <v>5877</v>
      </c>
    </row>
    <row r="1807" spans="5:7" x14ac:dyDescent="0.35">
      <c r="E1807" s="9">
        <v>41619</v>
      </c>
      <c r="F1807">
        <v>215.7</v>
      </c>
      <c r="G1807" t="s">
        <v>5877</v>
      </c>
    </row>
    <row r="1808" spans="5:7" x14ac:dyDescent="0.35">
      <c r="E1808" s="9">
        <v>41620</v>
      </c>
      <c r="F1808">
        <v>225.8</v>
      </c>
      <c r="G1808" t="s">
        <v>5877</v>
      </c>
    </row>
    <row r="1809" spans="5:7" x14ac:dyDescent="0.35">
      <c r="E1809" s="9">
        <v>41621</v>
      </c>
      <c r="F1809">
        <v>227.9</v>
      </c>
      <c r="G1809" t="s">
        <v>5877</v>
      </c>
    </row>
    <row r="1810" spans="5:7" x14ac:dyDescent="0.35">
      <c r="E1810" s="9">
        <v>41622</v>
      </c>
      <c r="F1810">
        <v>218.1</v>
      </c>
      <c r="G1810" t="s">
        <v>5877</v>
      </c>
    </row>
    <row r="1811" spans="5:7" x14ac:dyDescent="0.35">
      <c r="E1811" s="9">
        <v>41623</v>
      </c>
      <c r="F1811">
        <v>202.6</v>
      </c>
      <c r="G1811" t="s">
        <v>5877</v>
      </c>
    </row>
    <row r="1812" spans="5:7" x14ac:dyDescent="0.35">
      <c r="E1812" s="9">
        <v>41624</v>
      </c>
      <c r="F1812">
        <v>189.5</v>
      </c>
      <c r="G1812" t="s">
        <v>5877</v>
      </c>
    </row>
    <row r="1813" spans="5:7" x14ac:dyDescent="0.35">
      <c r="E1813" s="9">
        <v>41625</v>
      </c>
      <c r="F1813">
        <v>178.7</v>
      </c>
      <c r="G1813" t="s">
        <v>5877</v>
      </c>
    </row>
    <row r="1814" spans="5:7" x14ac:dyDescent="0.35">
      <c r="E1814" s="9">
        <v>41626</v>
      </c>
      <c r="F1814">
        <v>168.6</v>
      </c>
      <c r="G1814" t="s">
        <v>5877</v>
      </c>
    </row>
    <row r="1815" spans="5:7" x14ac:dyDescent="0.35">
      <c r="E1815" s="9">
        <v>41627</v>
      </c>
      <c r="F1815">
        <v>163.9</v>
      </c>
      <c r="G1815" t="s">
        <v>5877</v>
      </c>
    </row>
    <row r="1816" spans="5:7" x14ac:dyDescent="0.35">
      <c r="E1816" s="9">
        <v>41628</v>
      </c>
      <c r="F1816">
        <v>171.4</v>
      </c>
      <c r="G1816" t="s">
        <v>5877</v>
      </c>
    </row>
    <row r="1817" spans="5:7" x14ac:dyDescent="0.35">
      <c r="E1817" s="9">
        <v>41629</v>
      </c>
      <c r="F1817">
        <v>188.2</v>
      </c>
      <c r="G1817" t="s">
        <v>5877</v>
      </c>
    </row>
    <row r="1818" spans="5:7" x14ac:dyDescent="0.35">
      <c r="E1818" s="9">
        <v>41630</v>
      </c>
      <c r="F1818">
        <v>202.1</v>
      </c>
      <c r="G1818" t="s">
        <v>5877</v>
      </c>
    </row>
    <row r="1819" spans="5:7" x14ac:dyDescent="0.35">
      <c r="E1819" s="9">
        <v>41631</v>
      </c>
      <c r="F1819">
        <v>207.3</v>
      </c>
      <c r="G1819" t="s">
        <v>5877</v>
      </c>
    </row>
    <row r="1820" spans="5:7" x14ac:dyDescent="0.35">
      <c r="E1820" s="9">
        <v>41632</v>
      </c>
      <c r="F1820">
        <v>209.5</v>
      </c>
      <c r="G1820" t="s">
        <v>5877</v>
      </c>
    </row>
    <row r="1821" spans="5:7" x14ac:dyDescent="0.35">
      <c r="E1821" s="9">
        <v>41633</v>
      </c>
      <c r="F1821">
        <v>214</v>
      </c>
      <c r="G1821" t="s">
        <v>5877</v>
      </c>
    </row>
    <row r="1822" spans="5:7" x14ac:dyDescent="0.35">
      <c r="E1822" s="9">
        <v>41634</v>
      </c>
      <c r="F1822">
        <v>227.7</v>
      </c>
      <c r="G1822" t="s">
        <v>5877</v>
      </c>
    </row>
    <row r="1823" spans="5:7" x14ac:dyDescent="0.35">
      <c r="E1823" s="9">
        <v>41635</v>
      </c>
      <c r="F1823">
        <v>242.9</v>
      </c>
      <c r="G1823" t="s">
        <v>5877</v>
      </c>
    </row>
    <row r="1824" spans="5:7" x14ac:dyDescent="0.35">
      <c r="E1824" s="9">
        <v>41636</v>
      </c>
      <c r="F1824">
        <v>263.3</v>
      </c>
      <c r="G1824" t="s">
        <v>5877</v>
      </c>
    </row>
    <row r="1825" spans="5:7" x14ac:dyDescent="0.35">
      <c r="E1825" s="9">
        <v>41637</v>
      </c>
      <c r="F1825">
        <v>285.7</v>
      </c>
      <c r="G1825" t="s">
        <v>5877</v>
      </c>
    </row>
    <row r="1826" spans="5:7" x14ac:dyDescent="0.35">
      <c r="E1826" s="9">
        <v>41638</v>
      </c>
      <c r="F1826">
        <v>299</v>
      </c>
      <c r="G1826" t="s">
        <v>5877</v>
      </c>
    </row>
    <row r="1827" spans="5:7" x14ac:dyDescent="0.35">
      <c r="E1827" s="9">
        <v>41639</v>
      </c>
      <c r="F1827">
        <v>299.39999999999998</v>
      </c>
      <c r="G1827" t="s">
        <v>5877</v>
      </c>
    </row>
    <row r="1828" spans="5:7" x14ac:dyDescent="0.35">
      <c r="E1828" s="9">
        <v>41640</v>
      </c>
      <c r="F1828">
        <v>291.3</v>
      </c>
      <c r="G1828" t="s">
        <v>5877</v>
      </c>
    </row>
    <row r="1829" spans="5:7" x14ac:dyDescent="0.35">
      <c r="E1829" s="9">
        <v>41641</v>
      </c>
      <c r="F1829">
        <v>268.3</v>
      </c>
      <c r="G1829" t="s">
        <v>5877</v>
      </c>
    </row>
    <row r="1830" spans="5:7" x14ac:dyDescent="0.35">
      <c r="E1830" s="9">
        <v>41642</v>
      </c>
      <c r="F1830">
        <v>243.1</v>
      </c>
      <c r="G1830" t="s">
        <v>5877</v>
      </c>
    </row>
    <row r="1831" spans="5:7" x14ac:dyDescent="0.35">
      <c r="E1831" s="9">
        <v>41643</v>
      </c>
      <c r="F1831">
        <v>228.1</v>
      </c>
      <c r="G1831" t="s">
        <v>5877</v>
      </c>
    </row>
    <row r="1832" spans="5:7" x14ac:dyDescent="0.35">
      <c r="E1832" s="9">
        <v>41644</v>
      </c>
      <c r="F1832">
        <v>227.9</v>
      </c>
      <c r="G1832" t="s">
        <v>5877</v>
      </c>
    </row>
    <row r="1833" spans="5:7" x14ac:dyDescent="0.35">
      <c r="E1833" s="9">
        <v>41645</v>
      </c>
      <c r="F1833">
        <v>233.4</v>
      </c>
      <c r="G1833" t="s">
        <v>5877</v>
      </c>
    </row>
    <row r="1834" spans="5:7" x14ac:dyDescent="0.35">
      <c r="E1834" s="9">
        <v>41646</v>
      </c>
      <c r="F1834">
        <v>232.5</v>
      </c>
      <c r="G1834" t="s">
        <v>5877</v>
      </c>
    </row>
    <row r="1835" spans="5:7" x14ac:dyDescent="0.35">
      <c r="E1835" s="9">
        <v>41647</v>
      </c>
      <c r="F1835">
        <v>228.2</v>
      </c>
      <c r="G1835" t="s">
        <v>5877</v>
      </c>
    </row>
    <row r="1836" spans="5:7" x14ac:dyDescent="0.35">
      <c r="E1836" s="9">
        <v>41648</v>
      </c>
      <c r="F1836">
        <v>219</v>
      </c>
      <c r="G1836" t="s">
        <v>5877</v>
      </c>
    </row>
    <row r="1837" spans="5:7" x14ac:dyDescent="0.35">
      <c r="E1837" s="9">
        <v>41649</v>
      </c>
      <c r="F1837">
        <v>210.8</v>
      </c>
      <c r="G1837" t="s">
        <v>5877</v>
      </c>
    </row>
    <row r="1838" spans="5:7" x14ac:dyDescent="0.35">
      <c r="E1838" s="9">
        <v>41650</v>
      </c>
      <c r="F1838">
        <v>208.7</v>
      </c>
      <c r="G1838" t="s">
        <v>5877</v>
      </c>
    </row>
    <row r="1839" spans="5:7" x14ac:dyDescent="0.35">
      <c r="E1839" s="9">
        <v>41651</v>
      </c>
      <c r="F1839">
        <v>210.8</v>
      </c>
      <c r="G1839" t="s">
        <v>5877</v>
      </c>
    </row>
    <row r="1840" spans="5:7" x14ac:dyDescent="0.35">
      <c r="E1840" s="9">
        <v>41652</v>
      </c>
      <c r="F1840">
        <v>214.2</v>
      </c>
      <c r="G1840" t="s">
        <v>5877</v>
      </c>
    </row>
    <row r="1841" spans="5:7" x14ac:dyDescent="0.35">
      <c r="E1841" s="9">
        <v>41653</v>
      </c>
      <c r="F1841">
        <v>225.2</v>
      </c>
      <c r="G1841" t="s">
        <v>5877</v>
      </c>
    </row>
    <row r="1842" spans="5:7" x14ac:dyDescent="0.35">
      <c r="E1842" s="9">
        <v>41654</v>
      </c>
      <c r="F1842">
        <v>243.8</v>
      </c>
      <c r="G1842" t="s">
        <v>5877</v>
      </c>
    </row>
    <row r="1843" spans="5:7" x14ac:dyDescent="0.35">
      <c r="E1843" s="9">
        <v>41655</v>
      </c>
      <c r="F1843">
        <v>256.3</v>
      </c>
      <c r="G1843" t="s">
        <v>5877</v>
      </c>
    </row>
    <row r="1844" spans="5:7" x14ac:dyDescent="0.35">
      <c r="E1844" s="9">
        <v>41656</v>
      </c>
      <c r="F1844">
        <v>255.8</v>
      </c>
      <c r="G1844" t="s">
        <v>5877</v>
      </c>
    </row>
    <row r="1845" spans="5:7" x14ac:dyDescent="0.35">
      <c r="E1845" s="9">
        <v>41657</v>
      </c>
      <c r="F1845">
        <v>249.2</v>
      </c>
      <c r="G1845" t="s">
        <v>5877</v>
      </c>
    </row>
    <row r="1846" spans="5:7" x14ac:dyDescent="0.35">
      <c r="E1846" s="9">
        <v>41658</v>
      </c>
      <c r="F1846">
        <v>235.9</v>
      </c>
      <c r="G1846" t="s">
        <v>5877</v>
      </c>
    </row>
    <row r="1847" spans="5:7" x14ac:dyDescent="0.35">
      <c r="E1847" s="9">
        <v>41659</v>
      </c>
      <c r="F1847">
        <v>221.8</v>
      </c>
      <c r="G1847" t="s">
        <v>5877</v>
      </c>
    </row>
    <row r="1848" spans="5:7" x14ac:dyDescent="0.35">
      <c r="E1848" s="9">
        <v>41660</v>
      </c>
      <c r="F1848">
        <v>214.5</v>
      </c>
      <c r="G1848" t="s">
        <v>5877</v>
      </c>
    </row>
    <row r="1849" spans="5:7" x14ac:dyDescent="0.35">
      <c r="E1849" s="9">
        <v>41661</v>
      </c>
      <c r="F1849">
        <v>210.9</v>
      </c>
      <c r="G1849" t="s">
        <v>5877</v>
      </c>
    </row>
    <row r="1850" spans="5:7" x14ac:dyDescent="0.35">
      <c r="E1850" s="9">
        <v>41662</v>
      </c>
      <c r="F1850">
        <v>209.1</v>
      </c>
      <c r="G1850" t="s">
        <v>5877</v>
      </c>
    </row>
    <row r="1851" spans="5:7" x14ac:dyDescent="0.35">
      <c r="E1851" s="9">
        <v>41663</v>
      </c>
      <c r="F1851">
        <v>209.4</v>
      </c>
      <c r="G1851" t="s">
        <v>5877</v>
      </c>
    </row>
    <row r="1852" spans="5:7" x14ac:dyDescent="0.35">
      <c r="E1852" s="9">
        <v>41664</v>
      </c>
      <c r="F1852">
        <v>206</v>
      </c>
      <c r="G1852" t="s">
        <v>5877</v>
      </c>
    </row>
    <row r="1853" spans="5:7" x14ac:dyDescent="0.35">
      <c r="E1853" s="9">
        <v>41665</v>
      </c>
      <c r="F1853">
        <v>198</v>
      </c>
      <c r="G1853" t="s">
        <v>5877</v>
      </c>
    </row>
    <row r="1854" spans="5:7" x14ac:dyDescent="0.35">
      <c r="E1854" s="9">
        <v>41666</v>
      </c>
      <c r="F1854">
        <v>188.8</v>
      </c>
      <c r="G1854" t="s">
        <v>5877</v>
      </c>
    </row>
    <row r="1855" spans="5:7" x14ac:dyDescent="0.35">
      <c r="E1855" s="9">
        <v>41667</v>
      </c>
      <c r="F1855">
        <v>180.7</v>
      </c>
      <c r="G1855" t="s">
        <v>5877</v>
      </c>
    </row>
    <row r="1856" spans="5:7" x14ac:dyDescent="0.35">
      <c r="E1856" s="9">
        <v>41668</v>
      </c>
      <c r="F1856">
        <v>177.8</v>
      </c>
      <c r="G1856" t="s">
        <v>5877</v>
      </c>
    </row>
    <row r="1857" spans="5:7" x14ac:dyDescent="0.35">
      <c r="E1857" s="9">
        <v>41669</v>
      </c>
      <c r="F1857">
        <v>183.6</v>
      </c>
      <c r="G1857" t="s">
        <v>5877</v>
      </c>
    </row>
    <row r="1858" spans="5:7" x14ac:dyDescent="0.35">
      <c r="E1858" s="9">
        <v>41670</v>
      </c>
      <c r="F1858">
        <v>198.3</v>
      </c>
      <c r="G1858" t="s">
        <v>5877</v>
      </c>
    </row>
    <row r="1859" spans="5:7" x14ac:dyDescent="0.35">
      <c r="E1859" s="9">
        <v>41671</v>
      </c>
      <c r="F1859">
        <v>215.5</v>
      </c>
      <c r="G1859" t="s">
        <v>5877</v>
      </c>
    </row>
    <row r="1860" spans="5:7" x14ac:dyDescent="0.35">
      <c r="E1860" s="9">
        <v>41672</v>
      </c>
      <c r="F1860">
        <v>205.4</v>
      </c>
      <c r="G1860" t="s">
        <v>5877</v>
      </c>
    </row>
    <row r="1861" spans="5:7" x14ac:dyDescent="0.35">
      <c r="E1861" s="9">
        <v>41673</v>
      </c>
      <c r="F1861">
        <v>206.1</v>
      </c>
      <c r="G1861" t="s">
        <v>5877</v>
      </c>
    </row>
    <row r="1862" spans="5:7" x14ac:dyDescent="0.35">
      <c r="E1862" s="9">
        <v>41674</v>
      </c>
      <c r="F1862">
        <v>202.3</v>
      </c>
      <c r="G1862" t="s">
        <v>5877</v>
      </c>
    </row>
    <row r="1863" spans="5:7" x14ac:dyDescent="0.35">
      <c r="E1863" s="9">
        <v>41675</v>
      </c>
      <c r="F1863">
        <v>193.4</v>
      </c>
      <c r="G1863" t="s">
        <v>5877</v>
      </c>
    </row>
    <row r="1864" spans="5:7" x14ac:dyDescent="0.35">
      <c r="E1864" s="9">
        <v>41676</v>
      </c>
      <c r="F1864">
        <v>186.7</v>
      </c>
      <c r="G1864" t="s">
        <v>5877</v>
      </c>
    </row>
    <row r="1865" spans="5:7" x14ac:dyDescent="0.35">
      <c r="E1865" s="9">
        <v>41677</v>
      </c>
      <c r="F1865">
        <v>179.4</v>
      </c>
      <c r="G1865" t="s">
        <v>5877</v>
      </c>
    </row>
    <row r="1866" spans="5:7" x14ac:dyDescent="0.35">
      <c r="E1866" s="9">
        <v>41678</v>
      </c>
      <c r="F1866">
        <v>171.9</v>
      </c>
      <c r="G1866" t="s">
        <v>5877</v>
      </c>
    </row>
    <row r="1867" spans="5:7" x14ac:dyDescent="0.35">
      <c r="E1867" s="9">
        <v>41679</v>
      </c>
      <c r="F1867">
        <v>164.6</v>
      </c>
      <c r="G1867" t="s">
        <v>5877</v>
      </c>
    </row>
    <row r="1868" spans="5:7" x14ac:dyDescent="0.35">
      <c r="E1868" s="9">
        <v>41680</v>
      </c>
      <c r="F1868">
        <v>159.80000000000001</v>
      </c>
      <c r="G1868" t="s">
        <v>5877</v>
      </c>
    </row>
    <row r="1869" spans="5:7" x14ac:dyDescent="0.35">
      <c r="E1869" s="9">
        <v>41681</v>
      </c>
      <c r="F1869">
        <v>161.1</v>
      </c>
      <c r="G1869" t="s">
        <v>5877</v>
      </c>
    </row>
    <row r="1870" spans="5:7" x14ac:dyDescent="0.35">
      <c r="E1870" s="9">
        <v>41682</v>
      </c>
      <c r="F1870">
        <v>167.7</v>
      </c>
      <c r="G1870" t="s">
        <v>5877</v>
      </c>
    </row>
    <row r="1871" spans="5:7" x14ac:dyDescent="0.35">
      <c r="E1871" s="9">
        <v>41683</v>
      </c>
      <c r="F1871">
        <v>177.3</v>
      </c>
      <c r="G1871" t="s">
        <v>5877</v>
      </c>
    </row>
    <row r="1872" spans="5:7" x14ac:dyDescent="0.35">
      <c r="E1872" s="9">
        <v>41684</v>
      </c>
      <c r="F1872">
        <v>183.7</v>
      </c>
      <c r="G1872" t="s">
        <v>5877</v>
      </c>
    </row>
    <row r="1873" spans="5:7" x14ac:dyDescent="0.35">
      <c r="E1873" s="9">
        <v>41685</v>
      </c>
      <c r="F1873">
        <v>189.1</v>
      </c>
      <c r="G1873" t="s">
        <v>5877</v>
      </c>
    </row>
    <row r="1874" spans="5:7" x14ac:dyDescent="0.35">
      <c r="E1874" s="9">
        <v>41686</v>
      </c>
      <c r="F1874">
        <v>195.4</v>
      </c>
      <c r="G1874" t="s">
        <v>5877</v>
      </c>
    </row>
    <row r="1875" spans="5:7" x14ac:dyDescent="0.35">
      <c r="E1875" s="9">
        <v>41687</v>
      </c>
      <c r="F1875">
        <v>198.7</v>
      </c>
      <c r="G1875" t="s">
        <v>5877</v>
      </c>
    </row>
    <row r="1876" spans="5:7" x14ac:dyDescent="0.35">
      <c r="E1876" s="9">
        <v>41688</v>
      </c>
      <c r="F1876">
        <v>191</v>
      </c>
      <c r="G1876" t="s">
        <v>5877</v>
      </c>
    </row>
    <row r="1877" spans="5:7" x14ac:dyDescent="0.35">
      <c r="E1877" s="9">
        <v>41689</v>
      </c>
      <c r="F1877">
        <v>182.4</v>
      </c>
      <c r="G1877" t="s">
        <v>5877</v>
      </c>
    </row>
    <row r="1878" spans="5:7" x14ac:dyDescent="0.35">
      <c r="E1878" s="9">
        <v>41690</v>
      </c>
      <c r="F1878">
        <v>180.8</v>
      </c>
      <c r="G1878" t="s">
        <v>5877</v>
      </c>
    </row>
    <row r="1879" spans="5:7" x14ac:dyDescent="0.35">
      <c r="E1879" s="9">
        <v>41691</v>
      </c>
      <c r="F1879">
        <v>191.8</v>
      </c>
      <c r="G1879" t="s">
        <v>5877</v>
      </c>
    </row>
    <row r="1880" spans="5:7" x14ac:dyDescent="0.35">
      <c r="E1880" s="9">
        <v>41692</v>
      </c>
      <c r="F1880">
        <v>207.5</v>
      </c>
      <c r="G1880" t="s">
        <v>5877</v>
      </c>
    </row>
    <row r="1881" spans="5:7" x14ac:dyDescent="0.35">
      <c r="E1881" s="9">
        <v>41693</v>
      </c>
      <c r="F1881">
        <v>217.5</v>
      </c>
      <c r="G1881" t="s">
        <v>5877</v>
      </c>
    </row>
    <row r="1882" spans="5:7" x14ac:dyDescent="0.35">
      <c r="E1882" s="9">
        <v>41694</v>
      </c>
      <c r="F1882">
        <v>222.1</v>
      </c>
      <c r="G1882" t="s">
        <v>5877</v>
      </c>
    </row>
    <row r="1883" spans="5:7" x14ac:dyDescent="0.35">
      <c r="E1883" s="9">
        <v>41695</v>
      </c>
      <c r="F1883">
        <v>218.4</v>
      </c>
      <c r="G1883" t="s">
        <v>5877</v>
      </c>
    </row>
    <row r="1884" spans="5:7" x14ac:dyDescent="0.35">
      <c r="E1884" s="9">
        <v>41696</v>
      </c>
      <c r="F1884">
        <v>212.4</v>
      </c>
      <c r="G1884" t="s">
        <v>5877</v>
      </c>
    </row>
    <row r="1885" spans="5:7" x14ac:dyDescent="0.35">
      <c r="E1885" s="9">
        <v>41697</v>
      </c>
      <c r="F1885">
        <v>200.5</v>
      </c>
      <c r="G1885" t="s">
        <v>5877</v>
      </c>
    </row>
    <row r="1886" spans="5:7" x14ac:dyDescent="0.35">
      <c r="E1886" s="9">
        <v>41698</v>
      </c>
      <c r="F1886">
        <v>189</v>
      </c>
      <c r="G1886" t="s">
        <v>5877</v>
      </c>
    </row>
    <row r="1887" spans="5:7" x14ac:dyDescent="0.35">
      <c r="E1887" s="9">
        <v>41699</v>
      </c>
      <c r="F1887">
        <v>177.1</v>
      </c>
      <c r="G1887" t="s">
        <v>5877</v>
      </c>
    </row>
    <row r="1888" spans="5:7" x14ac:dyDescent="0.35">
      <c r="E1888" s="9">
        <v>41700</v>
      </c>
      <c r="F1888">
        <v>175.9</v>
      </c>
      <c r="G1888" t="s">
        <v>5877</v>
      </c>
    </row>
    <row r="1889" spans="5:7" x14ac:dyDescent="0.35">
      <c r="E1889" s="9">
        <v>41701</v>
      </c>
      <c r="F1889">
        <v>178.1</v>
      </c>
      <c r="G1889" t="s">
        <v>5877</v>
      </c>
    </row>
    <row r="1890" spans="5:7" x14ac:dyDescent="0.35">
      <c r="E1890" s="9">
        <v>41702</v>
      </c>
      <c r="F1890">
        <v>188.7</v>
      </c>
      <c r="G1890" t="s">
        <v>5877</v>
      </c>
    </row>
    <row r="1891" spans="5:7" x14ac:dyDescent="0.35">
      <c r="E1891" s="9">
        <v>41703</v>
      </c>
      <c r="F1891">
        <v>198.1</v>
      </c>
      <c r="G1891" t="s">
        <v>5877</v>
      </c>
    </row>
    <row r="1892" spans="5:7" x14ac:dyDescent="0.35">
      <c r="E1892" s="9">
        <v>41704</v>
      </c>
      <c r="F1892">
        <v>205.7</v>
      </c>
      <c r="G1892" t="s">
        <v>5877</v>
      </c>
    </row>
    <row r="1893" spans="5:7" x14ac:dyDescent="0.35">
      <c r="E1893" s="9">
        <v>41705</v>
      </c>
      <c r="F1893">
        <v>208.1</v>
      </c>
      <c r="G1893" t="s">
        <v>5877</v>
      </c>
    </row>
    <row r="1894" spans="5:7" x14ac:dyDescent="0.35">
      <c r="E1894" s="9">
        <v>41706</v>
      </c>
      <c r="F1894">
        <v>201.2</v>
      </c>
      <c r="G1894" t="s">
        <v>5877</v>
      </c>
    </row>
    <row r="1895" spans="5:7" x14ac:dyDescent="0.35">
      <c r="E1895" s="9">
        <v>41707</v>
      </c>
      <c r="F1895">
        <v>197</v>
      </c>
      <c r="G1895" t="s">
        <v>5877</v>
      </c>
    </row>
    <row r="1896" spans="5:7" x14ac:dyDescent="0.35">
      <c r="E1896" s="9">
        <v>41708</v>
      </c>
      <c r="F1896">
        <v>209.3</v>
      </c>
      <c r="G1896" t="s">
        <v>5877</v>
      </c>
    </row>
    <row r="1897" spans="5:7" x14ac:dyDescent="0.35">
      <c r="E1897" s="9">
        <v>41709</v>
      </c>
      <c r="F1897">
        <v>239.8</v>
      </c>
      <c r="G1897" t="s">
        <v>5877</v>
      </c>
    </row>
    <row r="1898" spans="5:7" x14ac:dyDescent="0.35">
      <c r="E1898" s="9">
        <v>41710</v>
      </c>
      <c r="F1898">
        <v>269.5</v>
      </c>
      <c r="G1898" t="s">
        <v>5877</v>
      </c>
    </row>
    <row r="1899" spans="5:7" x14ac:dyDescent="0.35">
      <c r="E1899" s="9">
        <v>41711</v>
      </c>
      <c r="F1899">
        <v>281.10000000000002</v>
      </c>
      <c r="G1899" t="s">
        <v>5877</v>
      </c>
    </row>
    <row r="1900" spans="5:7" x14ac:dyDescent="0.35">
      <c r="E1900" s="9">
        <v>41712</v>
      </c>
      <c r="F1900">
        <v>273.7</v>
      </c>
      <c r="G1900" t="s">
        <v>5877</v>
      </c>
    </row>
    <row r="1901" spans="5:7" x14ac:dyDescent="0.35">
      <c r="E1901" s="9">
        <v>41713</v>
      </c>
      <c r="F1901">
        <v>254.1</v>
      </c>
      <c r="G1901" t="s">
        <v>5877</v>
      </c>
    </row>
    <row r="1902" spans="5:7" x14ac:dyDescent="0.35">
      <c r="E1902" s="9">
        <v>41714</v>
      </c>
      <c r="F1902">
        <v>232.1</v>
      </c>
      <c r="G1902" t="s">
        <v>5877</v>
      </c>
    </row>
    <row r="1903" spans="5:7" x14ac:dyDescent="0.35">
      <c r="E1903" s="9">
        <v>41715</v>
      </c>
      <c r="F1903">
        <v>211.3</v>
      </c>
      <c r="G1903" t="s">
        <v>5877</v>
      </c>
    </row>
    <row r="1904" spans="5:7" x14ac:dyDescent="0.35">
      <c r="E1904" s="9">
        <v>41716</v>
      </c>
      <c r="F1904">
        <v>195.4</v>
      </c>
      <c r="G1904" t="s">
        <v>5877</v>
      </c>
    </row>
    <row r="1905" spans="5:7" x14ac:dyDescent="0.35">
      <c r="E1905" s="9">
        <v>41717</v>
      </c>
      <c r="F1905">
        <v>193.9</v>
      </c>
      <c r="G1905" t="s">
        <v>5877</v>
      </c>
    </row>
    <row r="1906" spans="5:7" x14ac:dyDescent="0.35">
      <c r="E1906" s="9">
        <v>41718</v>
      </c>
      <c r="F1906">
        <v>204.1</v>
      </c>
      <c r="G1906" t="s">
        <v>5877</v>
      </c>
    </row>
    <row r="1907" spans="5:7" x14ac:dyDescent="0.35">
      <c r="E1907" s="9">
        <v>41719</v>
      </c>
      <c r="F1907">
        <v>210.3</v>
      </c>
      <c r="G1907" t="s">
        <v>5877</v>
      </c>
    </row>
    <row r="1908" spans="5:7" x14ac:dyDescent="0.35">
      <c r="E1908" s="9">
        <v>41720</v>
      </c>
      <c r="F1908">
        <v>208</v>
      </c>
      <c r="G1908" t="s">
        <v>5877</v>
      </c>
    </row>
    <row r="1909" spans="5:7" x14ac:dyDescent="0.35">
      <c r="E1909" s="9">
        <v>41721</v>
      </c>
      <c r="F1909">
        <v>205.5</v>
      </c>
      <c r="G1909" t="s">
        <v>5877</v>
      </c>
    </row>
    <row r="1910" spans="5:7" x14ac:dyDescent="0.35">
      <c r="E1910" s="9">
        <v>41722</v>
      </c>
      <c r="F1910">
        <v>206.3</v>
      </c>
      <c r="G1910" t="s">
        <v>5877</v>
      </c>
    </row>
    <row r="1911" spans="5:7" x14ac:dyDescent="0.35">
      <c r="E1911" s="9">
        <v>41723</v>
      </c>
      <c r="F1911">
        <v>208</v>
      </c>
      <c r="G1911" t="s">
        <v>5877</v>
      </c>
    </row>
    <row r="1912" spans="5:7" x14ac:dyDescent="0.35">
      <c r="E1912" s="9">
        <v>41724</v>
      </c>
      <c r="F1912">
        <v>210.4</v>
      </c>
      <c r="G1912" t="s">
        <v>5877</v>
      </c>
    </row>
    <row r="1913" spans="5:7" x14ac:dyDescent="0.35">
      <c r="E1913" s="9">
        <v>41725</v>
      </c>
      <c r="F1913">
        <v>215.6</v>
      </c>
      <c r="G1913" t="s">
        <v>5877</v>
      </c>
    </row>
    <row r="1914" spans="5:7" x14ac:dyDescent="0.35">
      <c r="E1914" s="9">
        <v>41726</v>
      </c>
      <c r="F1914">
        <v>220.9</v>
      </c>
      <c r="G1914" t="s">
        <v>5877</v>
      </c>
    </row>
    <row r="1915" spans="5:7" x14ac:dyDescent="0.35">
      <c r="E1915" s="9">
        <v>41727</v>
      </c>
      <c r="F1915">
        <v>223.7</v>
      </c>
      <c r="G1915" t="s">
        <v>5877</v>
      </c>
    </row>
    <row r="1916" spans="5:7" x14ac:dyDescent="0.35">
      <c r="E1916" s="9">
        <v>41728</v>
      </c>
      <c r="F1916">
        <v>225.8</v>
      </c>
      <c r="G1916" t="s">
        <v>5877</v>
      </c>
    </row>
    <row r="1917" spans="5:7" x14ac:dyDescent="0.35">
      <c r="E1917" s="9">
        <v>41729</v>
      </c>
      <c r="F1917">
        <v>226.1</v>
      </c>
      <c r="G1917" t="s">
        <v>5877</v>
      </c>
    </row>
    <row r="1918" spans="5:7" x14ac:dyDescent="0.35">
      <c r="E1918" s="9">
        <v>41730</v>
      </c>
      <c r="F1918">
        <v>215.6</v>
      </c>
      <c r="G1918" t="s">
        <v>5877</v>
      </c>
    </row>
    <row r="1919" spans="5:7" x14ac:dyDescent="0.35">
      <c r="E1919" s="9">
        <v>41731</v>
      </c>
      <c r="F1919">
        <v>209.9</v>
      </c>
      <c r="G1919" t="s">
        <v>5877</v>
      </c>
    </row>
    <row r="1920" spans="5:7" x14ac:dyDescent="0.35">
      <c r="E1920" s="9">
        <v>41732</v>
      </c>
      <c r="F1920">
        <v>200.9</v>
      </c>
      <c r="G1920" t="s">
        <v>5877</v>
      </c>
    </row>
    <row r="1921" spans="5:7" x14ac:dyDescent="0.35">
      <c r="E1921" s="9">
        <v>41733</v>
      </c>
      <c r="F1921">
        <v>197.9</v>
      </c>
      <c r="G1921" t="s">
        <v>5877</v>
      </c>
    </row>
    <row r="1922" spans="5:7" x14ac:dyDescent="0.35">
      <c r="E1922" s="9">
        <v>41734</v>
      </c>
      <c r="F1922">
        <v>200.4</v>
      </c>
      <c r="G1922" t="s">
        <v>5877</v>
      </c>
    </row>
    <row r="1923" spans="5:7" x14ac:dyDescent="0.35">
      <c r="E1923" s="9">
        <v>41735</v>
      </c>
      <c r="F1923">
        <v>201.6</v>
      </c>
      <c r="G1923" t="s">
        <v>5877</v>
      </c>
    </row>
    <row r="1924" spans="5:7" x14ac:dyDescent="0.35">
      <c r="E1924" s="9">
        <v>41736</v>
      </c>
      <c r="F1924">
        <v>202.5</v>
      </c>
      <c r="G1924" t="s">
        <v>5877</v>
      </c>
    </row>
    <row r="1925" spans="5:7" x14ac:dyDescent="0.35">
      <c r="E1925" s="9">
        <v>41737</v>
      </c>
      <c r="F1925">
        <v>204.5</v>
      </c>
      <c r="G1925" t="s">
        <v>5877</v>
      </c>
    </row>
    <row r="1926" spans="5:7" x14ac:dyDescent="0.35">
      <c r="E1926" s="9">
        <v>41738</v>
      </c>
      <c r="F1926">
        <v>204.7</v>
      </c>
      <c r="G1926" t="s">
        <v>5877</v>
      </c>
    </row>
    <row r="1927" spans="5:7" x14ac:dyDescent="0.35">
      <c r="E1927" s="9">
        <v>41739</v>
      </c>
      <c r="F1927">
        <v>201.1</v>
      </c>
      <c r="G1927" t="s">
        <v>5877</v>
      </c>
    </row>
    <row r="1928" spans="5:7" x14ac:dyDescent="0.35">
      <c r="E1928" s="9">
        <v>41740</v>
      </c>
      <c r="F1928">
        <v>199.2</v>
      </c>
      <c r="G1928" t="s">
        <v>5877</v>
      </c>
    </row>
    <row r="1929" spans="5:7" x14ac:dyDescent="0.35">
      <c r="E1929" s="9">
        <v>41741</v>
      </c>
      <c r="F1929">
        <v>199.1</v>
      </c>
      <c r="G1929" t="s">
        <v>5877</v>
      </c>
    </row>
    <row r="1930" spans="5:7" x14ac:dyDescent="0.35">
      <c r="E1930" s="9">
        <v>41742</v>
      </c>
      <c r="F1930">
        <v>203.8</v>
      </c>
      <c r="G1930" t="s">
        <v>5877</v>
      </c>
    </row>
    <row r="1931" spans="5:7" x14ac:dyDescent="0.35">
      <c r="E1931" s="9">
        <v>41743</v>
      </c>
      <c r="F1931">
        <v>205.7</v>
      </c>
      <c r="G1931" t="s">
        <v>5877</v>
      </c>
    </row>
    <row r="1932" spans="5:7" x14ac:dyDescent="0.35">
      <c r="E1932" s="9">
        <v>41744</v>
      </c>
      <c r="F1932">
        <v>204.7</v>
      </c>
      <c r="G1932" t="s">
        <v>5877</v>
      </c>
    </row>
    <row r="1933" spans="5:7" x14ac:dyDescent="0.35">
      <c r="E1933" s="9">
        <v>41745</v>
      </c>
      <c r="F1933">
        <v>204.5</v>
      </c>
      <c r="G1933" t="s">
        <v>5877</v>
      </c>
    </row>
    <row r="1934" spans="5:7" x14ac:dyDescent="0.35">
      <c r="E1934" s="9">
        <v>41746</v>
      </c>
      <c r="F1934">
        <v>207.3</v>
      </c>
      <c r="G1934" t="s">
        <v>5877</v>
      </c>
    </row>
    <row r="1935" spans="5:7" x14ac:dyDescent="0.35">
      <c r="E1935" s="9">
        <v>41747</v>
      </c>
      <c r="F1935">
        <v>208.8</v>
      </c>
      <c r="G1935" t="s">
        <v>5877</v>
      </c>
    </row>
    <row r="1936" spans="5:7" x14ac:dyDescent="0.35">
      <c r="E1936" s="9">
        <v>41748</v>
      </c>
      <c r="F1936">
        <v>203.8</v>
      </c>
      <c r="G1936" t="s">
        <v>5877</v>
      </c>
    </row>
    <row r="1937" spans="5:7" x14ac:dyDescent="0.35">
      <c r="E1937" s="9">
        <v>41749</v>
      </c>
      <c r="F1937">
        <v>195.8</v>
      </c>
      <c r="G1937" t="s">
        <v>5877</v>
      </c>
    </row>
    <row r="1938" spans="5:7" x14ac:dyDescent="0.35">
      <c r="E1938" s="9">
        <v>41750</v>
      </c>
      <c r="F1938">
        <v>188.6</v>
      </c>
      <c r="G1938" t="s">
        <v>5877</v>
      </c>
    </row>
    <row r="1939" spans="5:7" x14ac:dyDescent="0.35">
      <c r="E1939" s="9">
        <v>41751</v>
      </c>
      <c r="F1939">
        <v>185.4</v>
      </c>
      <c r="G1939" t="s">
        <v>5877</v>
      </c>
    </row>
    <row r="1940" spans="5:7" x14ac:dyDescent="0.35">
      <c r="E1940" s="9">
        <v>41752</v>
      </c>
      <c r="F1940">
        <v>187</v>
      </c>
      <c r="G1940" t="s">
        <v>5877</v>
      </c>
    </row>
    <row r="1941" spans="5:7" x14ac:dyDescent="0.35">
      <c r="E1941" s="9">
        <v>41753</v>
      </c>
      <c r="F1941">
        <v>191.6</v>
      </c>
      <c r="G1941" t="s">
        <v>5877</v>
      </c>
    </row>
    <row r="1942" spans="5:7" x14ac:dyDescent="0.35">
      <c r="E1942" s="9">
        <v>41754</v>
      </c>
      <c r="F1942">
        <v>204.7</v>
      </c>
      <c r="G1942" t="s">
        <v>5877</v>
      </c>
    </row>
    <row r="1943" spans="5:7" x14ac:dyDescent="0.35">
      <c r="E1943" s="9">
        <v>41755</v>
      </c>
      <c r="F1943">
        <v>220.8</v>
      </c>
      <c r="G1943" t="s">
        <v>5877</v>
      </c>
    </row>
    <row r="1944" spans="5:7" x14ac:dyDescent="0.35">
      <c r="E1944" s="9">
        <v>41756</v>
      </c>
      <c r="F1944">
        <v>231</v>
      </c>
      <c r="G1944" t="s">
        <v>5877</v>
      </c>
    </row>
    <row r="1945" spans="5:7" x14ac:dyDescent="0.35">
      <c r="E1945" s="9">
        <v>41757</v>
      </c>
      <c r="F1945">
        <v>226.8</v>
      </c>
      <c r="G1945" t="s">
        <v>5877</v>
      </c>
    </row>
    <row r="1946" spans="5:7" x14ac:dyDescent="0.35">
      <c r="E1946" s="9">
        <v>41758</v>
      </c>
      <c r="F1946">
        <v>208.8</v>
      </c>
      <c r="G1946" t="s">
        <v>5877</v>
      </c>
    </row>
    <row r="1947" spans="5:7" x14ac:dyDescent="0.35">
      <c r="E1947" s="9">
        <v>41759</v>
      </c>
      <c r="F1947">
        <v>188</v>
      </c>
      <c r="G1947" t="s">
        <v>5877</v>
      </c>
    </row>
    <row r="1948" spans="5:7" x14ac:dyDescent="0.35">
      <c r="E1948" s="9">
        <v>41760</v>
      </c>
      <c r="F1948">
        <v>174.1</v>
      </c>
      <c r="G1948" t="s">
        <v>5877</v>
      </c>
    </row>
    <row r="1949" spans="5:7" x14ac:dyDescent="0.35">
      <c r="E1949" s="9">
        <v>41761</v>
      </c>
      <c r="F1949">
        <v>170.9</v>
      </c>
      <c r="G1949" t="s">
        <v>5877</v>
      </c>
    </row>
    <row r="1950" spans="5:7" x14ac:dyDescent="0.35">
      <c r="E1950" s="9">
        <v>41762</v>
      </c>
      <c r="F1950">
        <v>172.4</v>
      </c>
      <c r="G1950" t="s">
        <v>5877</v>
      </c>
    </row>
    <row r="1951" spans="5:7" x14ac:dyDescent="0.35">
      <c r="E1951" s="9">
        <v>41763</v>
      </c>
      <c r="F1951">
        <v>170.1</v>
      </c>
      <c r="G1951" t="s">
        <v>5877</v>
      </c>
    </row>
    <row r="1952" spans="5:7" x14ac:dyDescent="0.35">
      <c r="E1952" s="9">
        <v>41764</v>
      </c>
      <c r="F1952">
        <v>162.80000000000001</v>
      </c>
      <c r="G1952" t="s">
        <v>5877</v>
      </c>
    </row>
    <row r="1953" spans="5:7" x14ac:dyDescent="0.35">
      <c r="E1953" s="9">
        <v>41765</v>
      </c>
      <c r="F1953">
        <v>153.30000000000001</v>
      </c>
      <c r="G1953" t="s">
        <v>5877</v>
      </c>
    </row>
    <row r="1954" spans="5:7" x14ac:dyDescent="0.35">
      <c r="E1954" s="9">
        <v>41766</v>
      </c>
      <c r="F1954">
        <v>145.1</v>
      </c>
      <c r="G1954" t="s">
        <v>5877</v>
      </c>
    </row>
    <row r="1955" spans="5:7" x14ac:dyDescent="0.35">
      <c r="E1955" s="9">
        <v>41767</v>
      </c>
      <c r="F1955">
        <v>142.6</v>
      </c>
      <c r="G1955" t="s">
        <v>5877</v>
      </c>
    </row>
    <row r="1956" spans="5:7" x14ac:dyDescent="0.35">
      <c r="E1956" s="9">
        <v>41768</v>
      </c>
      <c r="F1956">
        <v>146.4</v>
      </c>
      <c r="G1956" t="s">
        <v>5877</v>
      </c>
    </row>
    <row r="1957" spans="5:7" x14ac:dyDescent="0.35">
      <c r="E1957" s="9">
        <v>41769</v>
      </c>
      <c r="F1957">
        <v>153.6</v>
      </c>
      <c r="G1957" t="s">
        <v>5877</v>
      </c>
    </row>
    <row r="1958" spans="5:7" x14ac:dyDescent="0.35">
      <c r="E1958" s="9">
        <v>41770</v>
      </c>
      <c r="F1958">
        <v>159.6</v>
      </c>
      <c r="G1958" t="s">
        <v>5877</v>
      </c>
    </row>
    <row r="1959" spans="5:7" x14ac:dyDescent="0.35">
      <c r="E1959" s="9">
        <v>41771</v>
      </c>
      <c r="F1959">
        <v>170.9</v>
      </c>
      <c r="G1959" t="s">
        <v>5877</v>
      </c>
    </row>
    <row r="1960" spans="5:7" x14ac:dyDescent="0.35">
      <c r="E1960" s="9">
        <v>41772</v>
      </c>
      <c r="F1960">
        <v>189.3</v>
      </c>
      <c r="G1960" t="s">
        <v>5877</v>
      </c>
    </row>
    <row r="1961" spans="5:7" x14ac:dyDescent="0.35">
      <c r="E1961" s="9">
        <v>41773</v>
      </c>
      <c r="F1961">
        <v>204.2</v>
      </c>
      <c r="G1961" t="s">
        <v>5877</v>
      </c>
    </row>
    <row r="1962" spans="5:7" x14ac:dyDescent="0.35">
      <c r="E1962" s="9">
        <v>41774</v>
      </c>
      <c r="F1962">
        <v>203.2</v>
      </c>
      <c r="G1962" t="s">
        <v>5877</v>
      </c>
    </row>
    <row r="1963" spans="5:7" x14ac:dyDescent="0.35">
      <c r="E1963" s="9">
        <v>41775</v>
      </c>
      <c r="F1963">
        <v>191.9</v>
      </c>
      <c r="G1963" t="s">
        <v>5877</v>
      </c>
    </row>
    <row r="1964" spans="5:7" x14ac:dyDescent="0.35">
      <c r="E1964" s="9">
        <v>41776</v>
      </c>
      <c r="F1964">
        <v>180.7</v>
      </c>
      <c r="G1964" t="s">
        <v>5877</v>
      </c>
    </row>
    <row r="1965" spans="5:7" x14ac:dyDescent="0.35">
      <c r="E1965" s="9">
        <v>41777</v>
      </c>
      <c r="F1965">
        <v>175.7</v>
      </c>
      <c r="G1965" t="s">
        <v>5877</v>
      </c>
    </row>
    <row r="1966" spans="5:7" x14ac:dyDescent="0.35">
      <c r="E1966" s="9">
        <v>41778</v>
      </c>
      <c r="F1966">
        <v>172.5</v>
      </c>
      <c r="G1966" t="s">
        <v>5877</v>
      </c>
    </row>
    <row r="1967" spans="5:7" x14ac:dyDescent="0.35">
      <c r="E1967" s="9">
        <v>41779</v>
      </c>
      <c r="F1967">
        <v>166.9</v>
      </c>
      <c r="G1967" t="s">
        <v>5877</v>
      </c>
    </row>
    <row r="1968" spans="5:7" x14ac:dyDescent="0.35">
      <c r="E1968" s="9">
        <v>41780</v>
      </c>
      <c r="F1968">
        <v>157.5</v>
      </c>
      <c r="G1968" t="s">
        <v>5877</v>
      </c>
    </row>
    <row r="1969" spans="5:7" x14ac:dyDescent="0.35">
      <c r="E1969" s="9">
        <v>41781</v>
      </c>
      <c r="F1969">
        <v>147.9</v>
      </c>
      <c r="G1969" t="s">
        <v>5877</v>
      </c>
    </row>
    <row r="1970" spans="5:7" x14ac:dyDescent="0.35">
      <c r="E1970" s="9">
        <v>41782</v>
      </c>
      <c r="F1970">
        <v>140.6</v>
      </c>
      <c r="G1970" t="s">
        <v>5877</v>
      </c>
    </row>
    <row r="1971" spans="5:7" x14ac:dyDescent="0.35">
      <c r="E1971" s="9">
        <v>41783</v>
      </c>
      <c r="F1971">
        <v>135.9</v>
      </c>
      <c r="G1971" t="s">
        <v>5877</v>
      </c>
    </row>
    <row r="1972" spans="5:7" x14ac:dyDescent="0.35">
      <c r="E1972" s="9">
        <v>41784</v>
      </c>
      <c r="F1972">
        <v>133.19999999999999</v>
      </c>
      <c r="G1972" t="s">
        <v>5877</v>
      </c>
    </row>
    <row r="1973" spans="5:7" x14ac:dyDescent="0.35">
      <c r="E1973" s="9">
        <v>41785</v>
      </c>
      <c r="F1973">
        <v>131.4</v>
      </c>
      <c r="G1973" t="s">
        <v>5877</v>
      </c>
    </row>
    <row r="1974" spans="5:7" x14ac:dyDescent="0.35">
      <c r="E1974" s="9">
        <v>41786</v>
      </c>
      <c r="F1974">
        <v>129.69999999999999</v>
      </c>
      <c r="G1974" t="s">
        <v>5877</v>
      </c>
    </row>
    <row r="1975" spans="5:7" x14ac:dyDescent="0.35">
      <c r="E1975" s="9">
        <v>41787</v>
      </c>
      <c r="F1975">
        <v>128.1</v>
      </c>
      <c r="G1975" t="s">
        <v>5877</v>
      </c>
    </row>
    <row r="1976" spans="5:7" x14ac:dyDescent="0.35">
      <c r="E1976" s="9">
        <v>41788</v>
      </c>
      <c r="F1976">
        <v>127.5</v>
      </c>
      <c r="G1976" t="s">
        <v>5877</v>
      </c>
    </row>
    <row r="1977" spans="5:7" x14ac:dyDescent="0.35">
      <c r="E1977" s="9">
        <v>41789</v>
      </c>
      <c r="F1977">
        <v>130.19999999999999</v>
      </c>
      <c r="G1977" t="s">
        <v>5877</v>
      </c>
    </row>
    <row r="1978" spans="5:7" x14ac:dyDescent="0.35">
      <c r="E1978" s="9">
        <v>41790</v>
      </c>
      <c r="F1978">
        <v>135.80000000000001</v>
      </c>
      <c r="G1978" t="s">
        <v>5877</v>
      </c>
    </row>
    <row r="1979" spans="5:7" x14ac:dyDescent="0.35">
      <c r="E1979" s="9">
        <v>41791</v>
      </c>
      <c r="F1979">
        <v>140.4</v>
      </c>
      <c r="G1979" t="s">
        <v>5877</v>
      </c>
    </row>
    <row r="1980" spans="5:7" x14ac:dyDescent="0.35">
      <c r="E1980" s="9">
        <v>41792</v>
      </c>
      <c r="F1980">
        <v>99.4</v>
      </c>
      <c r="G1980" t="s">
        <v>5877</v>
      </c>
    </row>
    <row r="1981" spans="5:7" x14ac:dyDescent="0.35">
      <c r="E1981" s="9">
        <v>41793</v>
      </c>
      <c r="F1981">
        <v>96.2</v>
      </c>
      <c r="G1981" t="s">
        <v>5877</v>
      </c>
    </row>
    <row r="1982" spans="5:7" x14ac:dyDescent="0.35">
      <c r="E1982" s="9">
        <v>41794</v>
      </c>
      <c r="F1982">
        <v>92.3</v>
      </c>
      <c r="G1982" t="s">
        <v>5877</v>
      </c>
    </row>
    <row r="1983" spans="5:7" x14ac:dyDescent="0.35">
      <c r="E1983" s="9">
        <v>41795</v>
      </c>
      <c r="F1983">
        <v>90.1</v>
      </c>
      <c r="G1983" t="s">
        <v>5877</v>
      </c>
    </row>
    <row r="1984" spans="5:7" x14ac:dyDescent="0.35">
      <c r="E1984" s="9">
        <v>41796</v>
      </c>
      <c r="F1984">
        <v>90.1</v>
      </c>
      <c r="G1984" t="s">
        <v>5877</v>
      </c>
    </row>
    <row r="1985" spans="5:7" x14ac:dyDescent="0.35">
      <c r="E1985" s="9">
        <v>41797</v>
      </c>
      <c r="F1985">
        <v>90.6</v>
      </c>
      <c r="G1985" t="s">
        <v>5877</v>
      </c>
    </row>
    <row r="1986" spans="5:7" x14ac:dyDescent="0.35">
      <c r="E1986" s="9">
        <v>41798</v>
      </c>
      <c r="F1986">
        <v>90</v>
      </c>
      <c r="G1986" t="s">
        <v>5877</v>
      </c>
    </row>
    <row r="1987" spans="5:7" x14ac:dyDescent="0.35">
      <c r="E1987" s="9">
        <v>41799</v>
      </c>
      <c r="F1987">
        <v>88.6</v>
      </c>
      <c r="G1987" t="s">
        <v>5877</v>
      </c>
    </row>
    <row r="1988" spans="5:7" x14ac:dyDescent="0.35">
      <c r="E1988" s="9">
        <v>41800</v>
      </c>
      <c r="F1988">
        <v>86.9</v>
      </c>
      <c r="G1988" t="s">
        <v>5877</v>
      </c>
    </row>
    <row r="1989" spans="5:7" x14ac:dyDescent="0.35">
      <c r="E1989" s="9">
        <v>41801</v>
      </c>
      <c r="F1989">
        <v>85.5</v>
      </c>
      <c r="G1989" t="s">
        <v>5877</v>
      </c>
    </row>
    <row r="1990" spans="5:7" x14ac:dyDescent="0.35">
      <c r="E1990" s="9">
        <v>41802</v>
      </c>
      <c r="F1990">
        <v>84.6</v>
      </c>
      <c r="G1990" t="s">
        <v>5877</v>
      </c>
    </row>
    <row r="1991" spans="5:7" x14ac:dyDescent="0.35">
      <c r="E1991" s="9">
        <v>41803</v>
      </c>
      <c r="F1991">
        <v>84.1</v>
      </c>
      <c r="G1991" t="s">
        <v>5877</v>
      </c>
    </row>
    <row r="1992" spans="5:7" x14ac:dyDescent="0.35">
      <c r="E1992" s="9">
        <v>41804</v>
      </c>
      <c r="F1992">
        <v>83.7</v>
      </c>
      <c r="G1992" t="s">
        <v>5877</v>
      </c>
    </row>
    <row r="1993" spans="5:7" x14ac:dyDescent="0.35">
      <c r="E1993" s="9">
        <v>41805</v>
      </c>
      <c r="F1993">
        <v>83.5</v>
      </c>
      <c r="G1993" t="s">
        <v>5877</v>
      </c>
    </row>
    <row r="1994" spans="5:7" x14ac:dyDescent="0.35">
      <c r="E1994" s="9">
        <v>41806</v>
      </c>
      <c r="F1994">
        <v>83.3</v>
      </c>
      <c r="G1994" t="s">
        <v>5877</v>
      </c>
    </row>
    <row r="1995" spans="5:7" x14ac:dyDescent="0.35">
      <c r="E1995" s="9">
        <v>41807</v>
      </c>
      <c r="F1995">
        <v>83.5</v>
      </c>
      <c r="G1995" t="s">
        <v>5877</v>
      </c>
    </row>
    <row r="1996" spans="5:7" x14ac:dyDescent="0.35">
      <c r="E1996" s="9">
        <v>41808</v>
      </c>
      <c r="F1996">
        <v>86.7</v>
      </c>
      <c r="G1996" t="s">
        <v>5877</v>
      </c>
    </row>
    <row r="1997" spans="5:7" x14ac:dyDescent="0.35">
      <c r="E1997" s="9">
        <v>41809</v>
      </c>
      <c r="F1997">
        <v>93.5</v>
      </c>
      <c r="G1997" t="s">
        <v>5877</v>
      </c>
    </row>
    <row r="1998" spans="5:7" x14ac:dyDescent="0.35">
      <c r="E1998" s="9">
        <v>41810</v>
      </c>
      <c r="F1998">
        <v>100.8</v>
      </c>
      <c r="G1998" t="s">
        <v>5877</v>
      </c>
    </row>
    <row r="1999" spans="5:7" x14ac:dyDescent="0.35">
      <c r="E1999" s="9">
        <v>41811</v>
      </c>
      <c r="F1999">
        <v>102.5</v>
      </c>
      <c r="G1999" t="s">
        <v>5877</v>
      </c>
    </row>
    <row r="2000" spans="5:7" x14ac:dyDescent="0.35">
      <c r="E2000" s="9">
        <v>41812</v>
      </c>
      <c r="F2000">
        <v>99.8</v>
      </c>
      <c r="G2000" t="s">
        <v>5877</v>
      </c>
    </row>
    <row r="2001" spans="5:7" x14ac:dyDescent="0.35">
      <c r="E2001" s="9">
        <v>41813</v>
      </c>
      <c r="F2001">
        <v>94.8</v>
      </c>
      <c r="G2001" t="s">
        <v>5877</v>
      </c>
    </row>
    <row r="2002" spans="5:7" x14ac:dyDescent="0.35">
      <c r="E2002" s="9">
        <v>41814</v>
      </c>
      <c r="F2002">
        <v>90.5</v>
      </c>
      <c r="G2002" t="s">
        <v>5877</v>
      </c>
    </row>
    <row r="2003" spans="5:7" x14ac:dyDescent="0.35">
      <c r="E2003" s="9">
        <v>41815</v>
      </c>
      <c r="F2003">
        <v>87.9</v>
      </c>
      <c r="G2003" t="s">
        <v>5877</v>
      </c>
    </row>
    <row r="2004" spans="5:7" x14ac:dyDescent="0.35">
      <c r="E2004" s="9">
        <v>41816</v>
      </c>
      <c r="F2004">
        <v>86.2</v>
      </c>
      <c r="G2004" t="s">
        <v>5877</v>
      </c>
    </row>
    <row r="2005" spans="5:7" x14ac:dyDescent="0.35">
      <c r="E2005" s="9">
        <v>41817</v>
      </c>
      <c r="F2005">
        <v>85.2</v>
      </c>
      <c r="G2005" t="s">
        <v>5877</v>
      </c>
    </row>
    <row r="2006" spans="5:7" x14ac:dyDescent="0.35">
      <c r="E2006" s="9">
        <v>41818</v>
      </c>
      <c r="F2006">
        <v>84.9</v>
      </c>
      <c r="G2006" t="s">
        <v>5877</v>
      </c>
    </row>
    <row r="2007" spans="5:7" x14ac:dyDescent="0.35">
      <c r="E2007" s="9">
        <v>41819</v>
      </c>
      <c r="F2007">
        <v>84.8</v>
      </c>
      <c r="G2007" t="s">
        <v>5877</v>
      </c>
    </row>
    <row r="2008" spans="5:7" x14ac:dyDescent="0.35">
      <c r="E2008" s="9">
        <v>41820</v>
      </c>
      <c r="F2008">
        <v>84.7</v>
      </c>
      <c r="G2008" t="s">
        <v>5877</v>
      </c>
    </row>
    <row r="2009" spans="5:7" x14ac:dyDescent="0.35">
      <c r="E2009" s="9">
        <v>41821</v>
      </c>
      <c r="F2009">
        <v>84.4</v>
      </c>
      <c r="G2009" t="s">
        <v>5877</v>
      </c>
    </row>
    <row r="2010" spans="5:7" x14ac:dyDescent="0.35">
      <c r="E2010" s="9">
        <v>41822</v>
      </c>
      <c r="F2010">
        <v>61</v>
      </c>
      <c r="G2010" t="s">
        <v>5877</v>
      </c>
    </row>
    <row r="2011" spans="5:7" x14ac:dyDescent="0.35">
      <c r="E2011" s="9">
        <v>41823</v>
      </c>
      <c r="F2011">
        <v>60.8</v>
      </c>
      <c r="G2011" t="s">
        <v>5877</v>
      </c>
    </row>
    <row r="2012" spans="5:7" x14ac:dyDescent="0.35">
      <c r="E2012" s="9">
        <v>41824</v>
      </c>
      <c r="F2012">
        <v>60.6</v>
      </c>
      <c r="G2012" t="s">
        <v>5877</v>
      </c>
    </row>
    <row r="2013" spans="5:7" x14ac:dyDescent="0.35">
      <c r="E2013" s="9">
        <v>41825</v>
      </c>
      <c r="F2013">
        <v>60.5</v>
      </c>
      <c r="G2013" t="s">
        <v>5877</v>
      </c>
    </row>
    <row r="2014" spans="5:7" x14ac:dyDescent="0.35">
      <c r="E2014" s="9">
        <v>41826</v>
      </c>
      <c r="F2014">
        <v>60.4</v>
      </c>
      <c r="G2014" t="s">
        <v>5877</v>
      </c>
    </row>
    <row r="2015" spans="5:7" x14ac:dyDescent="0.35">
      <c r="E2015" s="9">
        <v>41827</v>
      </c>
      <c r="F2015">
        <v>60.5</v>
      </c>
      <c r="G2015" t="s">
        <v>5877</v>
      </c>
    </row>
    <row r="2016" spans="5:7" x14ac:dyDescent="0.35">
      <c r="E2016" s="9">
        <v>41828</v>
      </c>
      <c r="F2016">
        <v>60.5</v>
      </c>
      <c r="G2016" t="s">
        <v>5877</v>
      </c>
    </row>
    <row r="2017" spans="5:7" x14ac:dyDescent="0.35">
      <c r="E2017" s="9">
        <v>41829</v>
      </c>
      <c r="F2017">
        <v>62.7</v>
      </c>
      <c r="G2017" t="s">
        <v>5877</v>
      </c>
    </row>
    <row r="2018" spans="5:7" x14ac:dyDescent="0.35">
      <c r="E2018" s="9">
        <v>41830</v>
      </c>
      <c r="F2018">
        <v>67.7</v>
      </c>
      <c r="G2018" t="s">
        <v>5877</v>
      </c>
    </row>
    <row r="2019" spans="5:7" x14ac:dyDescent="0.35">
      <c r="E2019" s="9">
        <v>41831</v>
      </c>
      <c r="F2019">
        <v>73.2</v>
      </c>
      <c r="G2019" t="s">
        <v>5877</v>
      </c>
    </row>
    <row r="2020" spans="5:7" x14ac:dyDescent="0.35">
      <c r="E2020" s="9">
        <v>41832</v>
      </c>
      <c r="F2020">
        <v>74.2</v>
      </c>
      <c r="G2020" t="s">
        <v>5877</v>
      </c>
    </row>
    <row r="2021" spans="5:7" x14ac:dyDescent="0.35">
      <c r="E2021" s="9">
        <v>41833</v>
      </c>
      <c r="F2021">
        <v>72.099999999999994</v>
      </c>
      <c r="G2021" t="s">
        <v>5877</v>
      </c>
    </row>
    <row r="2022" spans="5:7" x14ac:dyDescent="0.35">
      <c r="E2022" s="9">
        <v>41834</v>
      </c>
      <c r="F2022">
        <v>68.5</v>
      </c>
      <c r="G2022" t="s">
        <v>5877</v>
      </c>
    </row>
    <row r="2023" spans="5:7" x14ac:dyDescent="0.35">
      <c r="E2023" s="9">
        <v>41835</v>
      </c>
      <c r="F2023">
        <v>65.3</v>
      </c>
      <c r="G2023" t="s">
        <v>5877</v>
      </c>
    </row>
    <row r="2024" spans="5:7" x14ac:dyDescent="0.35">
      <c r="E2024" s="9">
        <v>41836</v>
      </c>
      <c r="F2024">
        <v>63.5</v>
      </c>
      <c r="G2024" t="s">
        <v>5877</v>
      </c>
    </row>
    <row r="2025" spans="5:7" x14ac:dyDescent="0.35">
      <c r="E2025" s="9">
        <v>41837</v>
      </c>
      <c r="F2025">
        <v>62.3</v>
      </c>
      <c r="G2025" t="s">
        <v>5877</v>
      </c>
    </row>
    <row r="2026" spans="5:7" x14ac:dyDescent="0.35">
      <c r="E2026" s="9">
        <v>41838</v>
      </c>
      <c r="F2026">
        <v>61.5</v>
      </c>
      <c r="G2026" t="s">
        <v>5877</v>
      </c>
    </row>
    <row r="2027" spans="5:7" x14ac:dyDescent="0.35">
      <c r="E2027" s="9">
        <v>41839</v>
      </c>
      <c r="F2027">
        <v>61</v>
      </c>
      <c r="G2027" t="s">
        <v>5877</v>
      </c>
    </row>
    <row r="2028" spans="5:7" x14ac:dyDescent="0.35">
      <c r="E2028" s="9">
        <v>41840</v>
      </c>
      <c r="F2028">
        <v>60.6</v>
      </c>
      <c r="G2028" t="s">
        <v>5877</v>
      </c>
    </row>
    <row r="2029" spans="5:7" x14ac:dyDescent="0.35">
      <c r="E2029" s="9">
        <v>41841</v>
      </c>
      <c r="F2029">
        <v>60.5</v>
      </c>
      <c r="G2029" t="s">
        <v>5877</v>
      </c>
    </row>
    <row r="2030" spans="5:7" x14ac:dyDescent="0.35">
      <c r="E2030" s="9">
        <v>41842</v>
      </c>
      <c r="F2030">
        <v>60.4</v>
      </c>
      <c r="G2030" t="s">
        <v>5877</v>
      </c>
    </row>
    <row r="2031" spans="5:7" x14ac:dyDescent="0.35">
      <c r="E2031" s="9">
        <v>41843</v>
      </c>
      <c r="F2031">
        <v>60.4</v>
      </c>
      <c r="G2031" t="s">
        <v>5877</v>
      </c>
    </row>
    <row r="2032" spans="5:7" x14ac:dyDescent="0.35">
      <c r="E2032" s="9">
        <v>41844</v>
      </c>
      <c r="F2032">
        <v>60.4</v>
      </c>
      <c r="G2032" t="s">
        <v>5877</v>
      </c>
    </row>
    <row r="2033" spans="5:7" x14ac:dyDescent="0.35">
      <c r="E2033" s="9">
        <v>41845</v>
      </c>
      <c r="F2033">
        <v>60.3</v>
      </c>
      <c r="G2033" t="s">
        <v>5877</v>
      </c>
    </row>
    <row r="2034" spans="5:7" x14ac:dyDescent="0.35">
      <c r="E2034" s="9">
        <v>41846</v>
      </c>
      <c r="F2034">
        <v>60.2</v>
      </c>
      <c r="G2034" t="s">
        <v>5877</v>
      </c>
    </row>
    <row r="2035" spans="5:7" x14ac:dyDescent="0.35">
      <c r="E2035" s="9">
        <v>41847</v>
      </c>
      <c r="F2035">
        <v>60.3</v>
      </c>
      <c r="G2035" t="s">
        <v>5877</v>
      </c>
    </row>
    <row r="2036" spans="5:7" x14ac:dyDescent="0.35">
      <c r="E2036" s="9">
        <v>41848</v>
      </c>
      <c r="F2036">
        <v>60.6</v>
      </c>
      <c r="G2036" t="s">
        <v>5877</v>
      </c>
    </row>
    <row r="2037" spans="5:7" x14ac:dyDescent="0.35">
      <c r="E2037" s="9">
        <v>41849</v>
      </c>
      <c r="F2037">
        <v>61</v>
      </c>
      <c r="G2037" t="s">
        <v>5877</v>
      </c>
    </row>
    <row r="2038" spans="5:7" x14ac:dyDescent="0.35">
      <c r="E2038" s="9">
        <v>41850</v>
      </c>
      <c r="F2038">
        <v>61.3</v>
      </c>
      <c r="G2038" t="s">
        <v>5877</v>
      </c>
    </row>
    <row r="2039" spans="5:7" x14ac:dyDescent="0.35">
      <c r="E2039" s="9">
        <v>41851</v>
      </c>
      <c r="F2039">
        <v>61.6</v>
      </c>
      <c r="G2039" t="s">
        <v>5877</v>
      </c>
    </row>
    <row r="2040" spans="5:7" x14ac:dyDescent="0.35">
      <c r="E2040" s="9">
        <v>41852</v>
      </c>
      <c r="F2040">
        <v>61.7</v>
      </c>
      <c r="G2040" t="s">
        <v>5877</v>
      </c>
    </row>
    <row r="2041" spans="5:7" x14ac:dyDescent="0.35">
      <c r="E2041" s="9">
        <v>41853</v>
      </c>
      <c r="F2041">
        <v>66.900000000000006</v>
      </c>
      <c r="G2041" t="s">
        <v>5877</v>
      </c>
    </row>
    <row r="2042" spans="5:7" x14ac:dyDescent="0.35">
      <c r="E2042" s="9">
        <v>41854</v>
      </c>
      <c r="F2042">
        <v>67.099999999999994</v>
      </c>
      <c r="G2042" t="s">
        <v>5877</v>
      </c>
    </row>
    <row r="2043" spans="5:7" x14ac:dyDescent="0.35">
      <c r="E2043" s="9">
        <v>41855</v>
      </c>
      <c r="F2043">
        <v>68</v>
      </c>
      <c r="G2043" t="s">
        <v>5877</v>
      </c>
    </row>
    <row r="2044" spans="5:7" x14ac:dyDescent="0.35">
      <c r="E2044" s="9">
        <v>41856</v>
      </c>
      <c r="F2044">
        <v>70.2</v>
      </c>
      <c r="G2044" t="s">
        <v>5877</v>
      </c>
    </row>
    <row r="2045" spans="5:7" x14ac:dyDescent="0.35">
      <c r="E2045" s="9">
        <v>41857</v>
      </c>
      <c r="F2045">
        <v>72.8</v>
      </c>
      <c r="G2045" t="s">
        <v>5877</v>
      </c>
    </row>
    <row r="2046" spans="5:7" x14ac:dyDescent="0.35">
      <c r="E2046" s="9">
        <v>41858</v>
      </c>
      <c r="F2046">
        <v>74.8</v>
      </c>
      <c r="G2046" t="s">
        <v>5877</v>
      </c>
    </row>
    <row r="2047" spans="5:7" x14ac:dyDescent="0.35">
      <c r="E2047" s="9">
        <v>41859</v>
      </c>
      <c r="F2047">
        <v>78.2</v>
      </c>
      <c r="G2047" t="s">
        <v>5877</v>
      </c>
    </row>
    <row r="2048" spans="5:7" x14ac:dyDescent="0.35">
      <c r="E2048" s="9">
        <v>41860</v>
      </c>
      <c r="F2048">
        <v>82.9</v>
      </c>
      <c r="G2048" t="s">
        <v>5877</v>
      </c>
    </row>
    <row r="2049" spans="5:7" x14ac:dyDescent="0.35">
      <c r="E2049" s="9">
        <v>41861</v>
      </c>
      <c r="F2049">
        <v>86.4</v>
      </c>
      <c r="G2049" t="s">
        <v>5877</v>
      </c>
    </row>
    <row r="2050" spans="5:7" x14ac:dyDescent="0.35">
      <c r="E2050" s="9">
        <v>41862</v>
      </c>
      <c r="F2050">
        <v>90</v>
      </c>
      <c r="G2050" t="s">
        <v>5877</v>
      </c>
    </row>
    <row r="2051" spans="5:7" x14ac:dyDescent="0.35">
      <c r="E2051" s="9">
        <v>41863</v>
      </c>
      <c r="F2051">
        <v>94.8</v>
      </c>
      <c r="G2051" t="s">
        <v>5877</v>
      </c>
    </row>
    <row r="2052" spans="5:7" x14ac:dyDescent="0.35">
      <c r="E2052" s="9">
        <v>41864</v>
      </c>
      <c r="F2052">
        <v>98.5</v>
      </c>
      <c r="G2052" t="s">
        <v>5877</v>
      </c>
    </row>
    <row r="2053" spans="5:7" x14ac:dyDescent="0.35">
      <c r="E2053" s="9">
        <v>41865</v>
      </c>
      <c r="F2053">
        <v>97.7</v>
      </c>
      <c r="G2053" t="s">
        <v>5877</v>
      </c>
    </row>
    <row r="2054" spans="5:7" x14ac:dyDescent="0.35">
      <c r="E2054" s="9">
        <v>41866</v>
      </c>
      <c r="F2054">
        <v>95.5</v>
      </c>
      <c r="G2054" t="s">
        <v>5877</v>
      </c>
    </row>
    <row r="2055" spans="5:7" x14ac:dyDescent="0.35">
      <c r="E2055" s="9">
        <v>41867</v>
      </c>
      <c r="F2055">
        <v>93.3</v>
      </c>
      <c r="G2055" t="s">
        <v>5877</v>
      </c>
    </row>
    <row r="2056" spans="5:7" x14ac:dyDescent="0.35">
      <c r="E2056" s="9">
        <v>41868</v>
      </c>
      <c r="F2056">
        <v>92.4</v>
      </c>
      <c r="G2056" t="s">
        <v>5877</v>
      </c>
    </row>
    <row r="2057" spans="5:7" x14ac:dyDescent="0.35">
      <c r="E2057" s="9">
        <v>41869</v>
      </c>
      <c r="F2057">
        <v>95.1</v>
      </c>
      <c r="G2057" t="s">
        <v>5877</v>
      </c>
    </row>
    <row r="2058" spans="5:7" x14ac:dyDescent="0.35">
      <c r="E2058" s="9">
        <v>41870</v>
      </c>
      <c r="F2058">
        <v>97.2</v>
      </c>
      <c r="G2058" t="s">
        <v>5877</v>
      </c>
    </row>
    <row r="2059" spans="5:7" x14ac:dyDescent="0.35">
      <c r="E2059" s="9">
        <v>41871</v>
      </c>
      <c r="F2059">
        <v>95.4</v>
      </c>
      <c r="G2059" t="s">
        <v>5877</v>
      </c>
    </row>
    <row r="2060" spans="5:7" x14ac:dyDescent="0.35">
      <c r="E2060" s="9">
        <v>41872</v>
      </c>
      <c r="F2060">
        <v>93</v>
      </c>
      <c r="G2060" t="s">
        <v>5877</v>
      </c>
    </row>
    <row r="2061" spans="5:7" x14ac:dyDescent="0.35">
      <c r="E2061" s="9">
        <v>41873</v>
      </c>
      <c r="F2061">
        <v>90.8</v>
      </c>
      <c r="G2061" t="s">
        <v>5877</v>
      </c>
    </row>
    <row r="2062" spans="5:7" x14ac:dyDescent="0.35">
      <c r="E2062" s="9">
        <v>41874</v>
      </c>
      <c r="F2062">
        <v>91.1</v>
      </c>
      <c r="G2062" t="s">
        <v>5877</v>
      </c>
    </row>
    <row r="2063" spans="5:7" x14ac:dyDescent="0.35">
      <c r="E2063" s="9">
        <v>41875</v>
      </c>
      <c r="F2063">
        <v>92.7</v>
      </c>
      <c r="G2063" t="s">
        <v>5877</v>
      </c>
    </row>
    <row r="2064" spans="5:7" x14ac:dyDescent="0.35">
      <c r="E2064" s="9">
        <v>41876</v>
      </c>
      <c r="F2064">
        <v>93.6</v>
      </c>
      <c r="G2064" t="s">
        <v>5877</v>
      </c>
    </row>
    <row r="2065" spans="5:7" x14ac:dyDescent="0.35">
      <c r="E2065" s="9">
        <v>41877</v>
      </c>
      <c r="F2065">
        <v>90.9</v>
      </c>
      <c r="G2065" t="s">
        <v>5877</v>
      </c>
    </row>
    <row r="2066" spans="5:7" x14ac:dyDescent="0.35">
      <c r="E2066" s="9">
        <v>41878</v>
      </c>
      <c r="F2066">
        <v>90.5</v>
      </c>
      <c r="G2066" t="s">
        <v>5877</v>
      </c>
    </row>
    <row r="2067" spans="5:7" x14ac:dyDescent="0.35">
      <c r="E2067" s="9">
        <v>41879</v>
      </c>
      <c r="F2067">
        <v>98.8</v>
      </c>
      <c r="G2067" t="s">
        <v>5877</v>
      </c>
    </row>
    <row r="2068" spans="5:7" x14ac:dyDescent="0.35">
      <c r="E2068" s="9">
        <v>41880</v>
      </c>
      <c r="F2068">
        <v>112.7</v>
      </c>
      <c r="G2068" t="s">
        <v>5877</v>
      </c>
    </row>
    <row r="2069" spans="5:7" x14ac:dyDescent="0.35">
      <c r="E2069" s="9">
        <v>41881</v>
      </c>
      <c r="F2069">
        <v>122.6</v>
      </c>
      <c r="G2069" t="s">
        <v>5877</v>
      </c>
    </row>
    <row r="2070" spans="5:7" x14ac:dyDescent="0.35">
      <c r="E2070" s="9">
        <v>41882</v>
      </c>
      <c r="F2070">
        <v>124.9</v>
      </c>
      <c r="G2070" t="s">
        <v>5877</v>
      </c>
    </row>
    <row r="2071" spans="5:7" x14ac:dyDescent="0.35">
      <c r="E2071" s="9">
        <v>41883</v>
      </c>
      <c r="F2071">
        <v>126.3</v>
      </c>
      <c r="G2071" t="s">
        <v>5877</v>
      </c>
    </row>
    <row r="2072" spans="5:7" x14ac:dyDescent="0.35">
      <c r="E2072" s="9">
        <v>41884</v>
      </c>
      <c r="F2072">
        <v>153.9</v>
      </c>
      <c r="G2072" t="s">
        <v>5877</v>
      </c>
    </row>
    <row r="2073" spans="5:7" x14ac:dyDescent="0.35">
      <c r="E2073" s="9">
        <v>41885</v>
      </c>
      <c r="F2073">
        <v>150.4</v>
      </c>
      <c r="G2073" t="s">
        <v>5877</v>
      </c>
    </row>
    <row r="2074" spans="5:7" x14ac:dyDescent="0.35">
      <c r="E2074" s="9">
        <v>41886</v>
      </c>
      <c r="F2074">
        <v>148.19999999999999</v>
      </c>
      <c r="G2074" t="s">
        <v>5877</v>
      </c>
    </row>
    <row r="2075" spans="5:7" x14ac:dyDescent="0.35">
      <c r="E2075" s="9">
        <v>41887</v>
      </c>
      <c r="F2075">
        <v>149.4</v>
      </c>
      <c r="G2075" t="s">
        <v>5877</v>
      </c>
    </row>
    <row r="2076" spans="5:7" x14ac:dyDescent="0.35">
      <c r="E2076" s="9">
        <v>41888</v>
      </c>
      <c r="F2076">
        <v>149.69999999999999</v>
      </c>
      <c r="G2076" t="s">
        <v>5877</v>
      </c>
    </row>
    <row r="2077" spans="5:7" x14ac:dyDescent="0.35">
      <c r="E2077" s="9">
        <v>41889</v>
      </c>
      <c r="F2077">
        <v>146.69999999999999</v>
      </c>
      <c r="G2077" t="s">
        <v>5877</v>
      </c>
    </row>
    <row r="2078" spans="5:7" x14ac:dyDescent="0.35">
      <c r="E2078" s="9">
        <v>41890</v>
      </c>
      <c r="F2078">
        <v>142.9</v>
      </c>
      <c r="G2078" t="s">
        <v>5877</v>
      </c>
    </row>
    <row r="2079" spans="5:7" x14ac:dyDescent="0.35">
      <c r="E2079" s="9">
        <v>41891</v>
      </c>
      <c r="F2079">
        <v>141.69999999999999</v>
      </c>
      <c r="G2079" t="s">
        <v>5877</v>
      </c>
    </row>
    <row r="2080" spans="5:7" x14ac:dyDescent="0.35">
      <c r="E2080" s="9">
        <v>41892</v>
      </c>
      <c r="F2080">
        <v>145</v>
      </c>
      <c r="G2080" t="s">
        <v>5877</v>
      </c>
    </row>
    <row r="2081" spans="5:7" x14ac:dyDescent="0.35">
      <c r="E2081" s="9">
        <v>41893</v>
      </c>
      <c r="F2081">
        <v>151.69999999999999</v>
      </c>
      <c r="G2081" t="s">
        <v>5877</v>
      </c>
    </row>
    <row r="2082" spans="5:7" x14ac:dyDescent="0.35">
      <c r="E2082" s="9">
        <v>41894</v>
      </c>
      <c r="F2082">
        <v>154.6</v>
      </c>
      <c r="G2082" t="s">
        <v>5877</v>
      </c>
    </row>
    <row r="2083" spans="5:7" x14ac:dyDescent="0.35">
      <c r="E2083" s="9">
        <v>41895</v>
      </c>
      <c r="F2083">
        <v>149.30000000000001</v>
      </c>
      <c r="G2083" t="s">
        <v>5877</v>
      </c>
    </row>
    <row r="2084" spans="5:7" x14ac:dyDescent="0.35">
      <c r="E2084" s="9">
        <v>41896</v>
      </c>
      <c r="F2084">
        <v>144.69999999999999</v>
      </c>
      <c r="G2084" t="s">
        <v>5877</v>
      </c>
    </row>
    <row r="2085" spans="5:7" x14ac:dyDescent="0.35">
      <c r="E2085" s="9">
        <v>41897</v>
      </c>
      <c r="F2085">
        <v>147.4</v>
      </c>
      <c r="G2085" t="s">
        <v>5877</v>
      </c>
    </row>
    <row r="2086" spans="5:7" x14ac:dyDescent="0.35">
      <c r="E2086" s="9">
        <v>41898</v>
      </c>
      <c r="F2086">
        <v>156</v>
      </c>
      <c r="G2086" t="s">
        <v>5877</v>
      </c>
    </row>
    <row r="2087" spans="5:7" x14ac:dyDescent="0.35">
      <c r="E2087" s="9">
        <v>41899</v>
      </c>
      <c r="F2087">
        <v>166.8</v>
      </c>
      <c r="G2087" t="s">
        <v>5877</v>
      </c>
    </row>
    <row r="2088" spans="5:7" x14ac:dyDescent="0.35">
      <c r="E2088" s="9">
        <v>41900</v>
      </c>
      <c r="F2088">
        <v>174.3</v>
      </c>
      <c r="G2088" t="s">
        <v>5877</v>
      </c>
    </row>
    <row r="2089" spans="5:7" x14ac:dyDescent="0.35">
      <c r="E2089" s="9">
        <v>41901</v>
      </c>
      <c r="F2089">
        <v>177.8</v>
      </c>
      <c r="G2089" t="s">
        <v>5877</v>
      </c>
    </row>
    <row r="2090" spans="5:7" x14ac:dyDescent="0.35">
      <c r="E2090" s="9">
        <v>41902</v>
      </c>
      <c r="F2090">
        <v>174.7</v>
      </c>
      <c r="G2090" t="s">
        <v>5877</v>
      </c>
    </row>
    <row r="2091" spans="5:7" x14ac:dyDescent="0.35">
      <c r="E2091" s="9">
        <v>41903</v>
      </c>
      <c r="F2091">
        <v>168.9</v>
      </c>
      <c r="G2091" t="s">
        <v>5877</v>
      </c>
    </row>
    <row r="2092" spans="5:7" x14ac:dyDescent="0.35">
      <c r="E2092" s="9">
        <v>41904</v>
      </c>
      <c r="F2092">
        <v>167.5</v>
      </c>
      <c r="G2092" t="s">
        <v>5877</v>
      </c>
    </row>
    <row r="2093" spans="5:7" x14ac:dyDescent="0.35">
      <c r="E2093" s="9">
        <v>41905</v>
      </c>
      <c r="F2093">
        <v>166.9</v>
      </c>
      <c r="G2093" t="s">
        <v>5877</v>
      </c>
    </row>
    <row r="2094" spans="5:7" x14ac:dyDescent="0.35">
      <c r="E2094" s="9">
        <v>41906</v>
      </c>
      <c r="F2094">
        <v>159.5</v>
      </c>
      <c r="G2094" t="s">
        <v>5877</v>
      </c>
    </row>
    <row r="2095" spans="5:7" x14ac:dyDescent="0.35">
      <c r="E2095" s="9">
        <v>41907</v>
      </c>
      <c r="F2095">
        <v>151.4</v>
      </c>
      <c r="G2095" t="s">
        <v>5877</v>
      </c>
    </row>
    <row r="2096" spans="5:7" x14ac:dyDescent="0.35">
      <c r="E2096" s="9">
        <v>41908</v>
      </c>
      <c r="F2096">
        <v>148.4</v>
      </c>
      <c r="G2096" t="s">
        <v>5877</v>
      </c>
    </row>
    <row r="2097" spans="5:8" x14ac:dyDescent="0.35">
      <c r="E2097" s="9">
        <v>41909</v>
      </c>
      <c r="F2097">
        <v>152.80000000000001</v>
      </c>
      <c r="G2097" t="s">
        <v>5877</v>
      </c>
      <c r="H2097" s="3" t="s">
        <v>5855</v>
      </c>
    </row>
    <row r="2098" spans="5:8" x14ac:dyDescent="0.35">
      <c r="E2098" s="9">
        <v>41910</v>
      </c>
      <c r="F2098">
        <v>160.19999999999999</v>
      </c>
      <c r="G2098" t="s">
        <v>5877</v>
      </c>
      <c r="H2098" s="4" t="s">
        <v>5862</v>
      </c>
    </row>
    <row r="2099" spans="5:8" x14ac:dyDescent="0.35">
      <c r="E2099" s="9">
        <v>41911</v>
      </c>
      <c r="F2099">
        <v>159.9</v>
      </c>
      <c r="G2099" t="s">
        <v>5877</v>
      </c>
      <c r="H2099" s="4" t="s">
        <v>5863</v>
      </c>
    </row>
    <row r="2100" spans="5:8" x14ac:dyDescent="0.35">
      <c r="E2100" s="9">
        <v>41912</v>
      </c>
      <c r="F2100">
        <v>155.4</v>
      </c>
      <c r="G2100" t="s">
        <v>5877</v>
      </c>
      <c r="H2100" s="4" t="s">
        <v>5864</v>
      </c>
    </row>
    <row r="2101" spans="5:8" x14ac:dyDescent="0.35">
      <c r="E2101" s="9">
        <v>41913</v>
      </c>
      <c r="F2101">
        <v>150.9</v>
      </c>
      <c r="G2101" t="s">
        <v>5877</v>
      </c>
      <c r="H2101" s="4" t="s">
        <v>5865</v>
      </c>
    </row>
    <row r="2102" spans="5:8" x14ac:dyDescent="0.35">
      <c r="E2102" s="9">
        <v>41914</v>
      </c>
      <c r="F2102">
        <v>161.30000000000001</v>
      </c>
      <c r="G2102" t="s">
        <v>5877</v>
      </c>
      <c r="H2102" s="4" t="s">
        <v>5866</v>
      </c>
    </row>
    <row r="2103" spans="5:8" x14ac:dyDescent="0.35">
      <c r="E2103" s="9">
        <v>41915</v>
      </c>
      <c r="F2103">
        <v>158.5</v>
      </c>
      <c r="G2103" t="s">
        <v>5877</v>
      </c>
      <c r="H2103" s="4" t="s">
        <v>5867</v>
      </c>
    </row>
    <row r="2104" spans="5:8" x14ac:dyDescent="0.35">
      <c r="E2104" s="9">
        <v>41916</v>
      </c>
      <c r="F2104">
        <v>160.6</v>
      </c>
      <c r="G2104" t="s">
        <v>5877</v>
      </c>
      <c r="H2104" s="4" t="s">
        <v>5868</v>
      </c>
    </row>
    <row r="2105" spans="5:8" x14ac:dyDescent="0.35">
      <c r="E2105" s="9">
        <v>41917</v>
      </c>
      <c r="F2105">
        <v>165.7</v>
      </c>
      <c r="G2105" t="s">
        <v>5877</v>
      </c>
      <c r="H2105" s="4" t="s">
        <v>5869</v>
      </c>
    </row>
    <row r="2106" spans="5:8" x14ac:dyDescent="0.35">
      <c r="E2106" s="9">
        <v>41918</v>
      </c>
      <c r="F2106">
        <v>169.9</v>
      </c>
      <c r="G2106" t="s">
        <v>5877</v>
      </c>
      <c r="H2106" s="4" t="s">
        <v>5870</v>
      </c>
    </row>
    <row r="2107" spans="5:8" x14ac:dyDescent="0.35">
      <c r="E2107" s="9">
        <v>41919</v>
      </c>
      <c r="F2107">
        <v>173.8</v>
      </c>
      <c r="G2107" t="s">
        <v>5877</v>
      </c>
      <c r="H2107" s="4" t="s">
        <v>5871</v>
      </c>
    </row>
    <row r="2108" spans="5:8" x14ac:dyDescent="0.35">
      <c r="E2108" s="9">
        <v>41920</v>
      </c>
      <c r="F2108">
        <v>171.7</v>
      </c>
      <c r="G2108" t="s">
        <v>5877</v>
      </c>
      <c r="H2108" s="4" t="s">
        <v>5872</v>
      </c>
    </row>
    <row r="2109" spans="5:8" x14ac:dyDescent="0.35">
      <c r="E2109" s="9">
        <v>41921</v>
      </c>
      <c r="F2109">
        <v>173.8</v>
      </c>
      <c r="G2109" t="s">
        <v>5877</v>
      </c>
      <c r="H2109" s="4" t="s">
        <v>5873</v>
      </c>
    </row>
    <row r="2110" spans="5:8" x14ac:dyDescent="0.35">
      <c r="E2110" s="9">
        <v>41922</v>
      </c>
      <c r="F2110">
        <v>182.7</v>
      </c>
      <c r="G2110" t="s">
        <v>5877</v>
      </c>
      <c r="H2110" s="4" t="s">
        <v>5874</v>
      </c>
    </row>
    <row r="2111" spans="5:8" x14ac:dyDescent="0.35">
      <c r="E2111" s="9">
        <v>41923</v>
      </c>
      <c r="F2111">
        <v>192.5</v>
      </c>
      <c r="G2111" t="s">
        <v>5877</v>
      </c>
      <c r="H2111" s="4" t="s">
        <v>5875</v>
      </c>
    </row>
    <row r="2112" spans="5:8" x14ac:dyDescent="0.35">
      <c r="E2112" s="9">
        <v>41924</v>
      </c>
      <c r="F2112">
        <v>191</v>
      </c>
      <c r="G2112" t="s">
        <v>5877</v>
      </c>
      <c r="H2112" s="4" t="s">
        <v>5876</v>
      </c>
    </row>
    <row r="2113" spans="5:8" x14ac:dyDescent="0.35">
      <c r="E2113" s="9">
        <v>41925</v>
      </c>
      <c r="F2113">
        <v>183.6</v>
      </c>
      <c r="G2113" t="s">
        <v>5877</v>
      </c>
      <c r="H2113" s="4" t="s">
        <v>5856</v>
      </c>
    </row>
    <row r="2114" spans="5:8" x14ac:dyDescent="0.35">
      <c r="E2114" s="9">
        <v>41926</v>
      </c>
      <c r="F2114">
        <v>176.2</v>
      </c>
      <c r="G2114" t="s">
        <v>5877</v>
      </c>
    </row>
    <row r="2115" spans="5:8" x14ac:dyDescent="0.35">
      <c r="E2115" s="9">
        <v>41927</v>
      </c>
      <c r="F2115">
        <v>176.4</v>
      </c>
      <c r="G2115" t="s">
        <v>5877</v>
      </c>
    </row>
    <row r="2116" spans="5:8" x14ac:dyDescent="0.35">
      <c r="E2116" s="9">
        <v>41928</v>
      </c>
      <c r="F2116">
        <v>188.4</v>
      </c>
      <c r="G2116" t="s">
        <v>5877</v>
      </c>
    </row>
    <row r="2117" spans="5:8" x14ac:dyDescent="0.35">
      <c r="E2117" s="9">
        <v>41929</v>
      </c>
      <c r="F2117">
        <v>202.6</v>
      </c>
      <c r="G2117" t="s">
        <v>5877</v>
      </c>
    </row>
    <row r="2118" spans="5:8" x14ac:dyDescent="0.35">
      <c r="E2118" s="9">
        <v>41930</v>
      </c>
      <c r="F2118">
        <v>216.5</v>
      </c>
      <c r="G2118" t="s">
        <v>5877</v>
      </c>
    </row>
    <row r="2119" spans="5:8" x14ac:dyDescent="0.35">
      <c r="E2119" s="9">
        <v>41931</v>
      </c>
      <c r="F2119">
        <v>230.8</v>
      </c>
      <c r="G2119" t="s">
        <v>5877</v>
      </c>
    </row>
    <row r="2120" spans="5:8" x14ac:dyDescent="0.35">
      <c r="E2120" s="9">
        <v>41932</v>
      </c>
      <c r="F2120">
        <v>241.1</v>
      </c>
      <c r="G2120" t="s">
        <v>5877</v>
      </c>
    </row>
    <row r="2121" spans="5:8" x14ac:dyDescent="0.35">
      <c r="E2121" s="9">
        <v>41933</v>
      </c>
      <c r="F2121">
        <v>246.6</v>
      </c>
      <c r="G2121" t="s">
        <v>5877</v>
      </c>
    </row>
    <row r="2122" spans="5:8" x14ac:dyDescent="0.35">
      <c r="E2122" s="9">
        <v>41934</v>
      </c>
      <c r="F2122">
        <v>246.9</v>
      </c>
      <c r="G2122" t="s">
        <v>5877</v>
      </c>
    </row>
    <row r="2123" spans="5:8" x14ac:dyDescent="0.35">
      <c r="E2123" s="9">
        <v>41935</v>
      </c>
      <c r="F2123">
        <v>237.2</v>
      </c>
      <c r="G2123" t="s">
        <v>5877</v>
      </c>
    </row>
    <row r="2124" spans="5:8" x14ac:dyDescent="0.35">
      <c r="E2124" s="9">
        <v>41936</v>
      </c>
      <c r="F2124">
        <v>221.2</v>
      </c>
      <c r="G2124" t="s">
        <v>5877</v>
      </c>
    </row>
    <row r="2125" spans="5:8" x14ac:dyDescent="0.35">
      <c r="E2125" s="9">
        <v>41937</v>
      </c>
      <c r="F2125">
        <v>206.6</v>
      </c>
      <c r="G2125" t="s">
        <v>5877</v>
      </c>
    </row>
    <row r="2126" spans="5:8" x14ac:dyDescent="0.35">
      <c r="E2126" s="9">
        <v>41938</v>
      </c>
      <c r="F2126">
        <v>194.7</v>
      </c>
      <c r="G2126" t="s">
        <v>5877</v>
      </c>
    </row>
    <row r="2127" spans="5:8" x14ac:dyDescent="0.35">
      <c r="E2127" s="9">
        <v>41939</v>
      </c>
      <c r="F2127">
        <v>190.9</v>
      </c>
      <c r="G2127" t="s">
        <v>5877</v>
      </c>
    </row>
    <row r="2128" spans="5:8" x14ac:dyDescent="0.35">
      <c r="E2128" s="9">
        <v>41940</v>
      </c>
      <c r="F2128">
        <v>195.6</v>
      </c>
      <c r="G2128" t="s">
        <v>5877</v>
      </c>
    </row>
    <row r="2129" spans="5:7" x14ac:dyDescent="0.35">
      <c r="E2129" s="9">
        <v>41941</v>
      </c>
      <c r="F2129">
        <v>203.9</v>
      </c>
      <c r="G2129" t="s">
        <v>5877</v>
      </c>
    </row>
    <row r="2130" spans="5:7" x14ac:dyDescent="0.35">
      <c r="E2130" s="9">
        <v>41942</v>
      </c>
      <c r="F2130">
        <v>209</v>
      </c>
      <c r="G2130" t="s">
        <v>5877</v>
      </c>
    </row>
    <row r="2131" spans="5:7" x14ac:dyDescent="0.35">
      <c r="E2131" s="9">
        <v>41943</v>
      </c>
      <c r="F2131">
        <v>212.8</v>
      </c>
      <c r="G2131" t="s">
        <v>5877</v>
      </c>
    </row>
    <row r="2132" spans="5:7" x14ac:dyDescent="0.35">
      <c r="E2132" s="9">
        <v>41944</v>
      </c>
      <c r="F2132">
        <v>217.7</v>
      </c>
      <c r="G2132" t="s">
        <v>5877</v>
      </c>
    </row>
    <row r="2133" spans="5:7" x14ac:dyDescent="0.35">
      <c r="E2133" s="9">
        <v>41945</v>
      </c>
      <c r="F2133">
        <v>230.3</v>
      </c>
      <c r="G2133" t="s">
        <v>5877</v>
      </c>
    </row>
    <row r="2134" spans="5:7" x14ac:dyDescent="0.35">
      <c r="E2134" s="9">
        <v>41946</v>
      </c>
      <c r="F2134">
        <v>221</v>
      </c>
      <c r="G2134" t="s">
        <v>5877</v>
      </c>
    </row>
    <row r="2135" spans="5:7" x14ac:dyDescent="0.35">
      <c r="E2135" s="9">
        <v>41947</v>
      </c>
      <c r="F2135">
        <v>204.2</v>
      </c>
      <c r="G2135" t="s">
        <v>5877</v>
      </c>
    </row>
    <row r="2136" spans="5:7" x14ac:dyDescent="0.35">
      <c r="E2136" s="9">
        <v>41948</v>
      </c>
      <c r="F2136">
        <v>190.1</v>
      </c>
      <c r="G2136" t="s">
        <v>5877</v>
      </c>
    </row>
    <row r="2137" spans="5:7" x14ac:dyDescent="0.35">
      <c r="E2137" s="9">
        <v>41949</v>
      </c>
      <c r="F2137">
        <v>185.7</v>
      </c>
      <c r="G2137" t="s">
        <v>5877</v>
      </c>
    </row>
    <row r="2138" spans="5:7" x14ac:dyDescent="0.35">
      <c r="E2138" s="9">
        <v>41950</v>
      </c>
      <c r="F2138">
        <v>190.2</v>
      </c>
      <c r="G2138" t="s">
        <v>5877</v>
      </c>
    </row>
    <row r="2139" spans="5:7" x14ac:dyDescent="0.35">
      <c r="E2139" s="9">
        <v>41951</v>
      </c>
      <c r="F2139">
        <v>193.5</v>
      </c>
      <c r="G2139" t="s">
        <v>5877</v>
      </c>
    </row>
    <row r="2140" spans="5:7" x14ac:dyDescent="0.35">
      <c r="E2140" s="9">
        <v>41952</v>
      </c>
      <c r="F2140">
        <v>191.1</v>
      </c>
      <c r="G2140" t="s">
        <v>5877</v>
      </c>
    </row>
    <row r="2141" spans="5:7" x14ac:dyDescent="0.35">
      <c r="E2141" s="9">
        <v>41953</v>
      </c>
      <c r="F2141">
        <v>188.3</v>
      </c>
      <c r="G2141" t="s">
        <v>5877</v>
      </c>
    </row>
    <row r="2142" spans="5:7" x14ac:dyDescent="0.35">
      <c r="E2142" s="9">
        <v>41954</v>
      </c>
      <c r="F2142">
        <v>197.3</v>
      </c>
      <c r="G2142" t="s">
        <v>5877</v>
      </c>
    </row>
    <row r="2143" spans="5:7" x14ac:dyDescent="0.35">
      <c r="E2143" s="9">
        <v>41955</v>
      </c>
      <c r="F2143">
        <v>219.6</v>
      </c>
      <c r="G2143" t="s">
        <v>5877</v>
      </c>
    </row>
    <row r="2144" spans="5:7" x14ac:dyDescent="0.35">
      <c r="E2144" s="9">
        <v>41956</v>
      </c>
      <c r="F2144">
        <v>240.4</v>
      </c>
      <c r="G2144" t="s">
        <v>5877</v>
      </c>
    </row>
    <row r="2145" spans="5:7" x14ac:dyDescent="0.35">
      <c r="E2145" s="9">
        <v>41957</v>
      </c>
      <c r="F2145">
        <v>252.3</v>
      </c>
      <c r="G2145" t="s">
        <v>5877</v>
      </c>
    </row>
    <row r="2146" spans="5:7" x14ac:dyDescent="0.35">
      <c r="E2146" s="9">
        <v>41958</v>
      </c>
      <c r="F2146">
        <v>254.5</v>
      </c>
      <c r="G2146" t="s">
        <v>5877</v>
      </c>
    </row>
    <row r="2147" spans="5:7" x14ac:dyDescent="0.35">
      <c r="E2147" s="9">
        <v>41959</v>
      </c>
      <c r="F2147">
        <v>243.9</v>
      </c>
      <c r="G2147" t="s">
        <v>5877</v>
      </c>
    </row>
    <row r="2148" spans="5:7" x14ac:dyDescent="0.35">
      <c r="E2148" s="9">
        <v>41960</v>
      </c>
      <c r="F2148">
        <v>221.6</v>
      </c>
      <c r="G2148" t="s">
        <v>5877</v>
      </c>
    </row>
    <row r="2149" spans="5:7" x14ac:dyDescent="0.35">
      <c r="E2149" s="9">
        <v>41961</v>
      </c>
      <c r="F2149">
        <v>207</v>
      </c>
      <c r="G2149" t="s">
        <v>5877</v>
      </c>
    </row>
    <row r="2150" spans="5:7" x14ac:dyDescent="0.35">
      <c r="E2150" s="9">
        <v>41962</v>
      </c>
      <c r="F2150">
        <v>211</v>
      </c>
      <c r="G2150" t="s">
        <v>5877</v>
      </c>
    </row>
    <row r="2151" spans="5:7" x14ac:dyDescent="0.35">
      <c r="E2151" s="9">
        <v>41963</v>
      </c>
      <c r="F2151">
        <v>226.3</v>
      </c>
      <c r="G2151" t="s">
        <v>5877</v>
      </c>
    </row>
    <row r="2152" spans="5:7" x14ac:dyDescent="0.35">
      <c r="E2152" s="9">
        <v>41964</v>
      </c>
      <c r="F2152">
        <v>228.9</v>
      </c>
      <c r="G2152" t="s">
        <v>5877</v>
      </c>
    </row>
    <row r="2153" spans="5:7" x14ac:dyDescent="0.35">
      <c r="E2153" s="9">
        <v>41965</v>
      </c>
      <c r="F2153">
        <v>217.4</v>
      </c>
      <c r="G2153" t="s">
        <v>5877</v>
      </c>
    </row>
    <row r="2154" spans="5:7" x14ac:dyDescent="0.35">
      <c r="E2154" s="9">
        <v>41966</v>
      </c>
      <c r="F2154">
        <v>201.1</v>
      </c>
      <c r="G2154" t="s">
        <v>5877</v>
      </c>
    </row>
    <row r="2155" spans="5:7" x14ac:dyDescent="0.35">
      <c r="E2155" s="9">
        <v>41967</v>
      </c>
      <c r="F2155">
        <v>189.6</v>
      </c>
      <c r="G2155" t="s">
        <v>5877</v>
      </c>
    </row>
    <row r="2156" spans="5:7" x14ac:dyDescent="0.35">
      <c r="E2156" s="9">
        <v>41968</v>
      </c>
      <c r="F2156">
        <v>187.8</v>
      </c>
      <c r="G2156" t="s">
        <v>5877</v>
      </c>
    </row>
    <row r="2157" spans="5:7" x14ac:dyDescent="0.35">
      <c r="E2157" s="9">
        <v>41969</v>
      </c>
      <c r="F2157">
        <v>191.8</v>
      </c>
      <c r="G2157" t="s">
        <v>5877</v>
      </c>
    </row>
    <row r="2158" spans="5:7" x14ac:dyDescent="0.35">
      <c r="E2158" s="9">
        <v>41970</v>
      </c>
      <c r="F2158">
        <v>198.1</v>
      </c>
      <c r="G2158" t="s">
        <v>5877</v>
      </c>
    </row>
    <row r="2159" spans="5:7" x14ac:dyDescent="0.35">
      <c r="E2159" s="9">
        <v>41971</v>
      </c>
      <c r="F2159">
        <v>206.2</v>
      </c>
      <c r="G2159" t="s">
        <v>5877</v>
      </c>
    </row>
    <row r="2160" spans="5:7" x14ac:dyDescent="0.35">
      <c r="E2160" s="9">
        <v>41972</v>
      </c>
      <c r="F2160">
        <v>208.6</v>
      </c>
      <c r="G2160" t="s">
        <v>5877</v>
      </c>
    </row>
    <row r="2161" spans="5:7" x14ac:dyDescent="0.35">
      <c r="E2161" s="9">
        <v>41973</v>
      </c>
      <c r="F2161">
        <v>212.9</v>
      </c>
      <c r="G2161" t="s">
        <v>5877</v>
      </c>
    </row>
    <row r="2162" spans="5:7" x14ac:dyDescent="0.35">
      <c r="E2162" s="9">
        <v>41974</v>
      </c>
      <c r="F2162">
        <v>218.8</v>
      </c>
      <c r="G2162" t="s">
        <v>5877</v>
      </c>
    </row>
    <row r="2163" spans="5:7" x14ac:dyDescent="0.35">
      <c r="E2163" s="9">
        <v>41975</v>
      </c>
      <c r="F2163">
        <v>232.2</v>
      </c>
      <c r="G2163" t="s">
        <v>5877</v>
      </c>
    </row>
    <row r="2164" spans="5:7" x14ac:dyDescent="0.35">
      <c r="E2164" s="9">
        <v>41976</v>
      </c>
      <c r="F2164">
        <v>235</v>
      </c>
      <c r="G2164" t="s">
        <v>5877</v>
      </c>
    </row>
    <row r="2165" spans="5:7" x14ac:dyDescent="0.35">
      <c r="E2165" s="9">
        <v>41977</v>
      </c>
      <c r="F2165">
        <v>230.5</v>
      </c>
      <c r="G2165" t="s">
        <v>5877</v>
      </c>
    </row>
    <row r="2166" spans="5:7" x14ac:dyDescent="0.35">
      <c r="E2166" s="9">
        <v>41978</v>
      </c>
      <c r="F2166">
        <v>227.7</v>
      </c>
      <c r="G2166" t="s">
        <v>5877</v>
      </c>
    </row>
    <row r="2167" spans="5:7" x14ac:dyDescent="0.35">
      <c r="E2167" s="9">
        <v>41979</v>
      </c>
      <c r="F2167">
        <v>232.5</v>
      </c>
      <c r="G2167" t="s">
        <v>5877</v>
      </c>
    </row>
    <row r="2168" spans="5:7" x14ac:dyDescent="0.35">
      <c r="E2168" s="9">
        <v>41980</v>
      </c>
      <c r="F2168">
        <v>244.6</v>
      </c>
      <c r="G2168" t="s">
        <v>5877</v>
      </c>
    </row>
    <row r="2169" spans="5:7" x14ac:dyDescent="0.35">
      <c r="E2169" s="9">
        <v>41981</v>
      </c>
      <c r="F2169">
        <v>249.3</v>
      </c>
      <c r="G2169" t="s">
        <v>5877</v>
      </c>
    </row>
    <row r="2170" spans="5:7" x14ac:dyDescent="0.35">
      <c r="E2170" s="9">
        <v>41982</v>
      </c>
      <c r="F2170">
        <v>241.2</v>
      </c>
      <c r="G2170" t="s">
        <v>5877</v>
      </c>
    </row>
    <row r="2171" spans="5:7" x14ac:dyDescent="0.35">
      <c r="E2171" s="9">
        <v>41983</v>
      </c>
      <c r="F2171">
        <v>232.8</v>
      </c>
      <c r="G2171" t="s">
        <v>5877</v>
      </c>
    </row>
    <row r="2172" spans="5:7" x14ac:dyDescent="0.35">
      <c r="E2172" s="9">
        <v>41984</v>
      </c>
      <c r="F2172">
        <v>227.1</v>
      </c>
      <c r="G2172" t="s">
        <v>5877</v>
      </c>
    </row>
    <row r="2173" spans="5:7" x14ac:dyDescent="0.35">
      <c r="E2173" s="9">
        <v>41985</v>
      </c>
      <c r="F2173">
        <v>228.5</v>
      </c>
      <c r="G2173" t="s">
        <v>5877</v>
      </c>
    </row>
    <row r="2174" spans="5:7" x14ac:dyDescent="0.35">
      <c r="E2174" s="9">
        <v>41986</v>
      </c>
      <c r="F2174">
        <v>228.4</v>
      </c>
      <c r="G2174" t="s">
        <v>5877</v>
      </c>
    </row>
    <row r="2175" spans="5:7" x14ac:dyDescent="0.35">
      <c r="E2175" s="9">
        <v>41987</v>
      </c>
      <c r="F2175">
        <v>230.4</v>
      </c>
      <c r="G2175" t="s">
        <v>5877</v>
      </c>
    </row>
    <row r="2176" spans="5:7" x14ac:dyDescent="0.35">
      <c r="E2176" s="9">
        <v>41988</v>
      </c>
      <c r="F2176">
        <v>232</v>
      </c>
      <c r="G2176" t="s">
        <v>5877</v>
      </c>
    </row>
    <row r="2177" spans="5:7" x14ac:dyDescent="0.35">
      <c r="E2177" s="9">
        <v>41989</v>
      </c>
      <c r="F2177">
        <v>240.2</v>
      </c>
      <c r="G2177" t="s">
        <v>5877</v>
      </c>
    </row>
    <row r="2178" spans="5:7" x14ac:dyDescent="0.35">
      <c r="E2178" s="9">
        <v>41990</v>
      </c>
      <c r="F2178">
        <v>246.7</v>
      </c>
      <c r="G2178" t="s">
        <v>5877</v>
      </c>
    </row>
    <row r="2179" spans="5:7" x14ac:dyDescent="0.35">
      <c r="E2179" s="9">
        <v>41991</v>
      </c>
      <c r="F2179">
        <v>252.4</v>
      </c>
      <c r="G2179" t="s">
        <v>5877</v>
      </c>
    </row>
    <row r="2180" spans="5:7" x14ac:dyDescent="0.35">
      <c r="E2180" s="9">
        <v>41992</v>
      </c>
      <c r="F2180">
        <v>248.1</v>
      </c>
      <c r="G2180" t="s">
        <v>5877</v>
      </c>
    </row>
    <row r="2181" spans="5:7" x14ac:dyDescent="0.35">
      <c r="E2181" s="9">
        <v>41993</v>
      </c>
      <c r="F2181">
        <v>239.5</v>
      </c>
      <c r="G2181" t="s">
        <v>5877</v>
      </c>
    </row>
    <row r="2182" spans="5:7" x14ac:dyDescent="0.35">
      <c r="E2182" s="9">
        <v>41994</v>
      </c>
      <c r="F2182">
        <v>227.6</v>
      </c>
      <c r="G2182" t="s">
        <v>5877</v>
      </c>
    </row>
    <row r="2183" spans="5:7" x14ac:dyDescent="0.35">
      <c r="E2183" s="9">
        <v>41995</v>
      </c>
      <c r="F2183">
        <v>218.9</v>
      </c>
      <c r="G2183" t="s">
        <v>5877</v>
      </c>
    </row>
    <row r="2184" spans="5:7" x14ac:dyDescent="0.35">
      <c r="E2184" s="9">
        <v>41996</v>
      </c>
      <c r="F2184">
        <v>213.3</v>
      </c>
      <c r="G2184" t="s">
        <v>5877</v>
      </c>
    </row>
    <row r="2185" spans="5:7" x14ac:dyDescent="0.35">
      <c r="E2185" s="9">
        <v>41997</v>
      </c>
      <c r="F2185">
        <v>212.3</v>
      </c>
      <c r="G2185" t="s">
        <v>5877</v>
      </c>
    </row>
    <row r="2186" spans="5:7" x14ac:dyDescent="0.35">
      <c r="E2186" s="9">
        <v>41998</v>
      </c>
      <c r="F2186">
        <v>211.3</v>
      </c>
      <c r="G2186" t="s">
        <v>5877</v>
      </c>
    </row>
    <row r="2187" spans="5:7" x14ac:dyDescent="0.35">
      <c r="E2187" s="9">
        <v>41999</v>
      </c>
      <c r="F2187">
        <v>211</v>
      </c>
      <c r="G2187" t="s">
        <v>5877</v>
      </c>
    </row>
    <row r="2188" spans="5:7" x14ac:dyDescent="0.35">
      <c r="E2188" s="9">
        <v>42000</v>
      </c>
      <c r="F2188">
        <v>206.8</v>
      </c>
      <c r="G2188" t="s">
        <v>5877</v>
      </c>
    </row>
    <row r="2189" spans="5:7" x14ac:dyDescent="0.35">
      <c r="E2189" s="9">
        <v>42001</v>
      </c>
      <c r="F2189">
        <v>197.5</v>
      </c>
      <c r="G2189" t="s">
        <v>5877</v>
      </c>
    </row>
    <row r="2190" spans="5:7" x14ac:dyDescent="0.35">
      <c r="E2190" s="9">
        <v>42002</v>
      </c>
      <c r="F2190">
        <v>194.9</v>
      </c>
      <c r="G2190" t="s">
        <v>5877</v>
      </c>
    </row>
    <row r="2191" spans="5:7" x14ac:dyDescent="0.35">
      <c r="E2191" s="9">
        <v>42003</v>
      </c>
      <c r="F2191">
        <v>200.4</v>
      </c>
      <c r="G2191" t="s">
        <v>5877</v>
      </c>
    </row>
    <row r="2192" spans="5:7" x14ac:dyDescent="0.35">
      <c r="E2192" s="9">
        <v>42004</v>
      </c>
      <c r="F2192">
        <v>209.9</v>
      </c>
      <c r="G2192" t="s">
        <v>5877</v>
      </c>
    </row>
    <row r="2193" spans="5:7" x14ac:dyDescent="0.35">
      <c r="E2193" s="9">
        <v>42005</v>
      </c>
      <c r="F2193">
        <v>207.1</v>
      </c>
      <c r="G2193" t="s">
        <v>5877</v>
      </c>
    </row>
    <row r="2194" spans="5:7" x14ac:dyDescent="0.35">
      <c r="E2194" s="9">
        <v>42006</v>
      </c>
      <c r="F2194">
        <v>193.7</v>
      </c>
      <c r="G2194" t="s">
        <v>5877</v>
      </c>
    </row>
    <row r="2195" spans="5:7" x14ac:dyDescent="0.35">
      <c r="E2195" s="9">
        <v>42007</v>
      </c>
      <c r="F2195">
        <v>183.4</v>
      </c>
      <c r="G2195" t="s">
        <v>5877</v>
      </c>
    </row>
    <row r="2196" spans="5:7" x14ac:dyDescent="0.35">
      <c r="E2196" s="9">
        <v>42008</v>
      </c>
      <c r="F2196">
        <v>174.2</v>
      </c>
      <c r="G2196" t="s">
        <v>5877</v>
      </c>
    </row>
    <row r="2197" spans="5:7" x14ac:dyDescent="0.35">
      <c r="E2197" s="9">
        <v>42009</v>
      </c>
      <c r="F2197">
        <v>169</v>
      </c>
      <c r="G2197" t="s">
        <v>5877</v>
      </c>
    </row>
    <row r="2198" spans="5:7" x14ac:dyDescent="0.35">
      <c r="E2198" s="9">
        <v>42010</v>
      </c>
      <c r="F2198">
        <v>168.7</v>
      </c>
      <c r="G2198" t="s">
        <v>5877</v>
      </c>
    </row>
    <row r="2199" spans="5:7" x14ac:dyDescent="0.35">
      <c r="E2199" s="9">
        <v>42011</v>
      </c>
      <c r="F2199">
        <v>174.6</v>
      </c>
      <c r="G2199" t="s">
        <v>5877</v>
      </c>
    </row>
    <row r="2200" spans="5:7" x14ac:dyDescent="0.35">
      <c r="E2200" s="9">
        <v>42012</v>
      </c>
      <c r="F2200">
        <v>184</v>
      </c>
      <c r="G2200" t="s">
        <v>5877</v>
      </c>
    </row>
    <row r="2201" spans="5:7" x14ac:dyDescent="0.35">
      <c r="E2201" s="9">
        <v>42013</v>
      </c>
      <c r="F2201">
        <v>193</v>
      </c>
      <c r="G2201" t="s">
        <v>5877</v>
      </c>
    </row>
    <row r="2202" spans="5:7" x14ac:dyDescent="0.35">
      <c r="E2202" s="9">
        <v>42014</v>
      </c>
      <c r="F2202">
        <v>192.3</v>
      </c>
      <c r="G2202" t="s">
        <v>5877</v>
      </c>
    </row>
    <row r="2203" spans="5:7" x14ac:dyDescent="0.35">
      <c r="E2203" s="9">
        <v>42015</v>
      </c>
      <c r="F2203">
        <v>182.8</v>
      </c>
      <c r="G2203" t="s">
        <v>5877</v>
      </c>
    </row>
    <row r="2204" spans="5:7" x14ac:dyDescent="0.35">
      <c r="E2204" s="9">
        <v>42016</v>
      </c>
      <c r="F2204">
        <v>168.7</v>
      </c>
      <c r="G2204" t="s">
        <v>5877</v>
      </c>
    </row>
    <row r="2205" spans="5:7" x14ac:dyDescent="0.35">
      <c r="E2205" s="9">
        <v>42017</v>
      </c>
      <c r="F2205">
        <v>155.1</v>
      </c>
      <c r="G2205" t="s">
        <v>5877</v>
      </c>
    </row>
    <row r="2206" spans="5:7" x14ac:dyDescent="0.35">
      <c r="E2206" s="9">
        <v>42018</v>
      </c>
      <c r="F2206">
        <v>146.69999999999999</v>
      </c>
      <c r="G2206" t="s">
        <v>5877</v>
      </c>
    </row>
    <row r="2207" spans="5:7" x14ac:dyDescent="0.35">
      <c r="E2207" s="9">
        <v>42019</v>
      </c>
      <c r="F2207">
        <v>145.80000000000001</v>
      </c>
      <c r="G2207" t="s">
        <v>5877</v>
      </c>
    </row>
    <row r="2208" spans="5:7" x14ac:dyDescent="0.35">
      <c r="E2208" s="9">
        <v>42020</v>
      </c>
      <c r="F2208">
        <v>152.30000000000001</v>
      </c>
      <c r="G2208" t="s">
        <v>5877</v>
      </c>
    </row>
    <row r="2209" spans="5:7" x14ac:dyDescent="0.35">
      <c r="E2209" s="9">
        <v>42021</v>
      </c>
      <c r="F2209">
        <v>161.4</v>
      </c>
      <c r="G2209" t="s">
        <v>5877</v>
      </c>
    </row>
    <row r="2210" spans="5:7" x14ac:dyDescent="0.35">
      <c r="E2210" s="9">
        <v>42022</v>
      </c>
      <c r="F2210">
        <v>169.9</v>
      </c>
      <c r="G2210" t="s">
        <v>5877</v>
      </c>
    </row>
    <row r="2211" spans="5:7" x14ac:dyDescent="0.35">
      <c r="E2211" s="9">
        <v>42023</v>
      </c>
      <c r="F2211">
        <v>174.7</v>
      </c>
      <c r="G2211" t="s">
        <v>5877</v>
      </c>
    </row>
    <row r="2212" spans="5:7" x14ac:dyDescent="0.35">
      <c r="E2212" s="9">
        <v>42024</v>
      </c>
      <c r="F2212">
        <v>176.3</v>
      </c>
      <c r="G2212" t="s">
        <v>5877</v>
      </c>
    </row>
    <row r="2213" spans="5:7" x14ac:dyDescent="0.35">
      <c r="E2213" s="9">
        <v>42025</v>
      </c>
      <c r="F2213">
        <v>174.1</v>
      </c>
      <c r="G2213" t="s">
        <v>5877</v>
      </c>
    </row>
    <row r="2214" spans="5:7" x14ac:dyDescent="0.35">
      <c r="E2214" s="9">
        <v>42026</v>
      </c>
      <c r="F2214">
        <v>170.6</v>
      </c>
      <c r="G2214" t="s">
        <v>5877</v>
      </c>
    </row>
    <row r="2215" spans="5:7" x14ac:dyDescent="0.35">
      <c r="E2215" s="9">
        <v>42027</v>
      </c>
      <c r="F2215">
        <v>166.5</v>
      </c>
      <c r="G2215" t="s">
        <v>5877</v>
      </c>
    </row>
    <row r="2216" spans="5:7" x14ac:dyDescent="0.35">
      <c r="E2216" s="9">
        <v>42028</v>
      </c>
      <c r="F2216">
        <v>169.5</v>
      </c>
      <c r="G2216" t="s">
        <v>5877</v>
      </c>
    </row>
    <row r="2217" spans="5:7" x14ac:dyDescent="0.35">
      <c r="E2217" s="9">
        <v>42029</v>
      </c>
      <c r="F2217">
        <v>180.9</v>
      </c>
      <c r="G2217" t="s">
        <v>5877</v>
      </c>
    </row>
    <row r="2218" spans="5:7" x14ac:dyDescent="0.35">
      <c r="E2218" s="9">
        <v>42030</v>
      </c>
      <c r="F2218">
        <v>197.8</v>
      </c>
      <c r="G2218" t="s">
        <v>5877</v>
      </c>
    </row>
    <row r="2219" spans="5:7" x14ac:dyDescent="0.35">
      <c r="E2219" s="9">
        <v>42031</v>
      </c>
      <c r="F2219">
        <v>213.4</v>
      </c>
      <c r="G2219" t="s">
        <v>5877</v>
      </c>
    </row>
    <row r="2220" spans="5:7" x14ac:dyDescent="0.35">
      <c r="E2220" s="9">
        <v>42032</v>
      </c>
      <c r="F2220">
        <v>225.9</v>
      </c>
      <c r="G2220" t="s">
        <v>5877</v>
      </c>
    </row>
    <row r="2221" spans="5:7" x14ac:dyDescent="0.35">
      <c r="E2221" s="9">
        <v>42033</v>
      </c>
      <c r="F2221">
        <v>230.5</v>
      </c>
      <c r="G2221" t="s">
        <v>5877</v>
      </c>
    </row>
    <row r="2222" spans="5:7" x14ac:dyDescent="0.35">
      <c r="E2222" s="9">
        <v>42034</v>
      </c>
      <c r="F2222">
        <v>228.2</v>
      </c>
      <c r="G2222" t="s">
        <v>5877</v>
      </c>
    </row>
    <row r="2223" spans="5:7" x14ac:dyDescent="0.35">
      <c r="E2223" s="9">
        <v>42035</v>
      </c>
      <c r="F2223">
        <v>225.1</v>
      </c>
      <c r="G2223" t="s">
        <v>5877</v>
      </c>
    </row>
    <row r="2224" spans="5:7" x14ac:dyDescent="0.35">
      <c r="E2224" s="9">
        <v>42036</v>
      </c>
      <c r="F2224">
        <v>217.2</v>
      </c>
      <c r="G2224" t="s">
        <v>5877</v>
      </c>
    </row>
    <row r="2225" spans="5:7" x14ac:dyDescent="0.35">
      <c r="E2225" s="9">
        <v>42037</v>
      </c>
      <c r="F2225">
        <v>190.5</v>
      </c>
      <c r="G2225" t="s">
        <v>5877</v>
      </c>
    </row>
    <row r="2226" spans="5:7" x14ac:dyDescent="0.35">
      <c r="E2226" s="9">
        <v>42038</v>
      </c>
      <c r="F2226">
        <v>182.5</v>
      </c>
      <c r="G2226" t="s">
        <v>5877</v>
      </c>
    </row>
    <row r="2227" spans="5:7" x14ac:dyDescent="0.35">
      <c r="E2227" s="9">
        <v>42039</v>
      </c>
      <c r="F2227">
        <v>174.5</v>
      </c>
      <c r="G2227" t="s">
        <v>5877</v>
      </c>
    </row>
    <row r="2228" spans="5:7" x14ac:dyDescent="0.35">
      <c r="E2228" s="9">
        <v>42040</v>
      </c>
      <c r="F2228">
        <v>171.8</v>
      </c>
      <c r="G2228" t="s">
        <v>5877</v>
      </c>
    </row>
    <row r="2229" spans="5:7" x14ac:dyDescent="0.35">
      <c r="E2229" s="9">
        <v>42041</v>
      </c>
      <c r="F2229">
        <v>174.7</v>
      </c>
      <c r="G2229" t="s">
        <v>5877</v>
      </c>
    </row>
    <row r="2230" spans="5:7" x14ac:dyDescent="0.35">
      <c r="E2230" s="9">
        <v>42042</v>
      </c>
      <c r="F2230">
        <v>181.2</v>
      </c>
      <c r="G2230" t="s">
        <v>5877</v>
      </c>
    </row>
    <row r="2231" spans="5:7" x14ac:dyDescent="0.35">
      <c r="E2231" s="9">
        <v>42043</v>
      </c>
      <c r="F2231">
        <v>190.1</v>
      </c>
      <c r="G2231" t="s">
        <v>5877</v>
      </c>
    </row>
    <row r="2232" spans="5:7" x14ac:dyDescent="0.35">
      <c r="E2232" s="9">
        <v>42044</v>
      </c>
      <c r="F2232">
        <v>193.7</v>
      </c>
      <c r="G2232" t="s">
        <v>5877</v>
      </c>
    </row>
    <row r="2233" spans="5:7" x14ac:dyDescent="0.35">
      <c r="E2233" s="9">
        <v>42045</v>
      </c>
      <c r="F2233">
        <v>190.3</v>
      </c>
      <c r="G2233" t="s">
        <v>5877</v>
      </c>
    </row>
    <row r="2234" spans="5:7" x14ac:dyDescent="0.35">
      <c r="E2234" s="9">
        <v>42046</v>
      </c>
      <c r="F2234">
        <v>181.6</v>
      </c>
      <c r="G2234" t="s">
        <v>5877</v>
      </c>
    </row>
    <row r="2235" spans="5:7" x14ac:dyDescent="0.35">
      <c r="E2235" s="9">
        <v>42047</v>
      </c>
      <c r="F2235">
        <v>171.9</v>
      </c>
      <c r="G2235" t="s">
        <v>5877</v>
      </c>
    </row>
    <row r="2236" spans="5:7" x14ac:dyDescent="0.35">
      <c r="E2236" s="9">
        <v>42048</v>
      </c>
      <c r="F2236">
        <v>165.9</v>
      </c>
      <c r="G2236" t="s">
        <v>5877</v>
      </c>
    </row>
    <row r="2237" spans="5:7" x14ac:dyDescent="0.35">
      <c r="E2237" s="9">
        <v>42049</v>
      </c>
      <c r="F2237">
        <v>167.3</v>
      </c>
      <c r="G2237" t="s">
        <v>5877</v>
      </c>
    </row>
    <row r="2238" spans="5:7" x14ac:dyDescent="0.35">
      <c r="E2238" s="9">
        <v>42050</v>
      </c>
      <c r="F2238">
        <v>173.2</v>
      </c>
      <c r="G2238" t="s">
        <v>5877</v>
      </c>
    </row>
    <row r="2239" spans="5:7" x14ac:dyDescent="0.35">
      <c r="E2239" s="9">
        <v>42051</v>
      </c>
      <c r="F2239">
        <v>170.9</v>
      </c>
      <c r="G2239" t="s">
        <v>5877</v>
      </c>
    </row>
    <row r="2240" spans="5:7" x14ac:dyDescent="0.35">
      <c r="E2240" s="9">
        <v>42052</v>
      </c>
      <c r="F2240">
        <v>164.2</v>
      </c>
      <c r="G2240" t="s">
        <v>5877</v>
      </c>
    </row>
    <row r="2241" spans="5:7" x14ac:dyDescent="0.35">
      <c r="E2241" s="9">
        <v>42053</v>
      </c>
      <c r="F2241">
        <v>158.6</v>
      </c>
      <c r="G2241" t="s">
        <v>5877</v>
      </c>
    </row>
    <row r="2242" spans="5:7" x14ac:dyDescent="0.35">
      <c r="E2242" s="9">
        <v>42054</v>
      </c>
      <c r="F2242">
        <v>156.5</v>
      </c>
      <c r="G2242" t="s">
        <v>5877</v>
      </c>
    </row>
    <row r="2243" spans="5:7" x14ac:dyDescent="0.35">
      <c r="E2243" s="9">
        <v>42055</v>
      </c>
      <c r="F2243">
        <v>158.5</v>
      </c>
      <c r="G2243" t="s">
        <v>5877</v>
      </c>
    </row>
    <row r="2244" spans="5:7" x14ac:dyDescent="0.35">
      <c r="E2244" s="9">
        <v>42056</v>
      </c>
      <c r="F2244">
        <v>169.5</v>
      </c>
      <c r="G2244" t="s">
        <v>5877</v>
      </c>
    </row>
    <row r="2245" spans="5:7" x14ac:dyDescent="0.35">
      <c r="E2245" s="9">
        <v>42057</v>
      </c>
      <c r="F2245">
        <v>185.2</v>
      </c>
      <c r="G2245" t="s">
        <v>5877</v>
      </c>
    </row>
    <row r="2246" spans="5:7" x14ac:dyDescent="0.35">
      <c r="E2246" s="9">
        <v>42058</v>
      </c>
      <c r="F2246">
        <v>197.6</v>
      </c>
      <c r="G2246" t="s">
        <v>5877</v>
      </c>
    </row>
    <row r="2247" spans="5:7" x14ac:dyDescent="0.35">
      <c r="E2247" s="9">
        <v>42059</v>
      </c>
      <c r="F2247">
        <v>206.6</v>
      </c>
      <c r="G2247" t="s">
        <v>5877</v>
      </c>
    </row>
    <row r="2248" spans="5:7" x14ac:dyDescent="0.35">
      <c r="E2248" s="9">
        <v>42060</v>
      </c>
      <c r="F2248">
        <v>211</v>
      </c>
      <c r="G2248" t="s">
        <v>5877</v>
      </c>
    </row>
    <row r="2249" spans="5:7" x14ac:dyDescent="0.35">
      <c r="E2249" s="9">
        <v>42061</v>
      </c>
      <c r="F2249">
        <v>204.8</v>
      </c>
      <c r="G2249" t="s">
        <v>5877</v>
      </c>
    </row>
    <row r="2250" spans="5:7" x14ac:dyDescent="0.35">
      <c r="E2250" s="9">
        <v>42062</v>
      </c>
      <c r="F2250">
        <v>192.9</v>
      </c>
      <c r="G2250" t="s">
        <v>5877</v>
      </c>
    </row>
    <row r="2251" spans="5:7" x14ac:dyDescent="0.35">
      <c r="E2251" s="9">
        <v>42063</v>
      </c>
      <c r="F2251">
        <v>184.2</v>
      </c>
      <c r="G2251" t="s">
        <v>5877</v>
      </c>
    </row>
    <row r="2252" spans="5:7" x14ac:dyDescent="0.35">
      <c r="E2252" s="9">
        <v>42064</v>
      </c>
      <c r="F2252">
        <v>182</v>
      </c>
      <c r="G2252" t="s">
        <v>5877</v>
      </c>
    </row>
    <row r="2253" spans="5:7" x14ac:dyDescent="0.35">
      <c r="E2253" s="9">
        <v>42065</v>
      </c>
      <c r="F2253">
        <v>193.2</v>
      </c>
      <c r="G2253" t="s">
        <v>5877</v>
      </c>
    </row>
    <row r="2254" spans="5:7" x14ac:dyDescent="0.35">
      <c r="E2254" s="9">
        <v>42066</v>
      </c>
      <c r="F2254">
        <v>199.9</v>
      </c>
      <c r="G2254" t="s">
        <v>5877</v>
      </c>
    </row>
    <row r="2255" spans="5:7" x14ac:dyDescent="0.35">
      <c r="E2255" s="9">
        <v>42067</v>
      </c>
      <c r="F2255">
        <v>208.7</v>
      </c>
      <c r="G2255" t="s">
        <v>5877</v>
      </c>
    </row>
    <row r="2256" spans="5:7" x14ac:dyDescent="0.35">
      <c r="E2256" s="9">
        <v>42068</v>
      </c>
      <c r="F2256">
        <v>215.7</v>
      </c>
      <c r="G2256" t="s">
        <v>5877</v>
      </c>
    </row>
    <row r="2257" spans="5:7" x14ac:dyDescent="0.35">
      <c r="E2257" s="9">
        <v>42069</v>
      </c>
      <c r="F2257">
        <v>224.4</v>
      </c>
      <c r="G2257" t="s">
        <v>5877</v>
      </c>
    </row>
    <row r="2258" spans="5:7" x14ac:dyDescent="0.35">
      <c r="E2258" s="9">
        <v>42070</v>
      </c>
      <c r="F2258">
        <v>227.8</v>
      </c>
      <c r="G2258" t="s">
        <v>5877</v>
      </c>
    </row>
    <row r="2259" spans="5:7" x14ac:dyDescent="0.35">
      <c r="E2259" s="9">
        <v>42071</v>
      </c>
      <c r="F2259">
        <v>231.6</v>
      </c>
      <c r="G2259" t="s">
        <v>5877</v>
      </c>
    </row>
    <row r="2260" spans="5:7" x14ac:dyDescent="0.35">
      <c r="E2260" s="9">
        <v>42072</v>
      </c>
      <c r="F2260">
        <v>236.5</v>
      </c>
      <c r="G2260" t="s">
        <v>5877</v>
      </c>
    </row>
    <row r="2261" spans="5:7" x14ac:dyDescent="0.35">
      <c r="E2261" s="9">
        <v>42073</v>
      </c>
      <c r="F2261">
        <v>244.8</v>
      </c>
      <c r="G2261" t="s">
        <v>5877</v>
      </c>
    </row>
    <row r="2262" spans="5:7" x14ac:dyDescent="0.35">
      <c r="E2262" s="9">
        <v>42074</v>
      </c>
      <c r="F2262">
        <v>255.3</v>
      </c>
      <c r="G2262" t="s">
        <v>5877</v>
      </c>
    </row>
    <row r="2263" spans="5:7" x14ac:dyDescent="0.35">
      <c r="E2263" s="9">
        <v>42075</v>
      </c>
      <c r="F2263">
        <v>251.3</v>
      </c>
      <c r="G2263" t="s">
        <v>5877</v>
      </c>
    </row>
    <row r="2264" spans="5:7" x14ac:dyDescent="0.35">
      <c r="E2264" s="9">
        <v>42076</v>
      </c>
      <c r="F2264">
        <v>231.1</v>
      </c>
      <c r="G2264" t="s">
        <v>5877</v>
      </c>
    </row>
    <row r="2265" spans="5:7" x14ac:dyDescent="0.35">
      <c r="E2265" s="9">
        <v>42077</v>
      </c>
      <c r="F2265">
        <v>211.4</v>
      </c>
      <c r="G2265" t="s">
        <v>5877</v>
      </c>
    </row>
    <row r="2266" spans="5:7" x14ac:dyDescent="0.35">
      <c r="E2266" s="9">
        <v>42078</v>
      </c>
      <c r="F2266">
        <v>201.7</v>
      </c>
      <c r="G2266" t="s">
        <v>5877</v>
      </c>
    </row>
    <row r="2267" spans="5:7" x14ac:dyDescent="0.35">
      <c r="E2267" s="9">
        <v>42079</v>
      </c>
      <c r="F2267">
        <v>199.1</v>
      </c>
      <c r="G2267" t="s">
        <v>5877</v>
      </c>
    </row>
    <row r="2268" spans="5:7" x14ac:dyDescent="0.35">
      <c r="E2268" s="9">
        <v>42080</v>
      </c>
      <c r="F2268">
        <v>190.7</v>
      </c>
      <c r="G2268" t="s">
        <v>5877</v>
      </c>
    </row>
    <row r="2269" spans="5:7" x14ac:dyDescent="0.35">
      <c r="E2269" s="9">
        <v>42081</v>
      </c>
      <c r="F2269">
        <v>184.8</v>
      </c>
      <c r="G2269" t="s">
        <v>5877</v>
      </c>
    </row>
    <row r="2270" spans="5:7" x14ac:dyDescent="0.35">
      <c r="E2270" s="9">
        <v>42082</v>
      </c>
      <c r="F2270">
        <v>193</v>
      </c>
      <c r="G2270" t="s">
        <v>5877</v>
      </c>
    </row>
    <row r="2271" spans="5:7" x14ac:dyDescent="0.35">
      <c r="E2271" s="9">
        <v>42083</v>
      </c>
      <c r="F2271">
        <v>219</v>
      </c>
      <c r="G2271" t="s">
        <v>5877</v>
      </c>
    </row>
    <row r="2272" spans="5:7" x14ac:dyDescent="0.35">
      <c r="E2272" s="9">
        <v>42084</v>
      </c>
      <c r="F2272">
        <v>247.9</v>
      </c>
      <c r="G2272" t="s">
        <v>5877</v>
      </c>
    </row>
    <row r="2273" spans="5:7" x14ac:dyDescent="0.35">
      <c r="E2273" s="9">
        <v>42085</v>
      </c>
      <c r="F2273">
        <v>269.89999999999998</v>
      </c>
      <c r="G2273" t="s">
        <v>5877</v>
      </c>
    </row>
    <row r="2274" spans="5:7" x14ac:dyDescent="0.35">
      <c r="E2274" s="9">
        <v>42086</v>
      </c>
      <c r="F2274">
        <v>282.60000000000002</v>
      </c>
      <c r="G2274" t="s">
        <v>5877</v>
      </c>
    </row>
    <row r="2275" spans="5:7" x14ac:dyDescent="0.35">
      <c r="E2275" s="9">
        <v>42087</v>
      </c>
      <c r="F2275">
        <v>283.8</v>
      </c>
      <c r="G2275" t="s">
        <v>5877</v>
      </c>
    </row>
    <row r="2276" spans="5:7" x14ac:dyDescent="0.35">
      <c r="E2276" s="9">
        <v>42088</v>
      </c>
      <c r="F2276">
        <v>274.10000000000002</v>
      </c>
      <c r="G2276" t="s">
        <v>5877</v>
      </c>
    </row>
    <row r="2277" spans="5:7" x14ac:dyDescent="0.35">
      <c r="E2277" s="9">
        <v>42089</v>
      </c>
      <c r="F2277">
        <v>255.3</v>
      </c>
      <c r="G2277" t="s">
        <v>5877</v>
      </c>
    </row>
    <row r="2278" spans="5:7" x14ac:dyDescent="0.35">
      <c r="E2278" s="9">
        <v>42090</v>
      </c>
      <c r="F2278">
        <v>241.8</v>
      </c>
      <c r="G2278" t="s">
        <v>5877</v>
      </c>
    </row>
    <row r="2279" spans="5:7" x14ac:dyDescent="0.35">
      <c r="E2279" s="9">
        <v>42091</v>
      </c>
      <c r="F2279">
        <v>244.9</v>
      </c>
      <c r="G2279" t="s">
        <v>5877</v>
      </c>
    </row>
    <row r="2280" spans="5:7" x14ac:dyDescent="0.35">
      <c r="E2280" s="9">
        <v>42092</v>
      </c>
      <c r="F2280">
        <v>254</v>
      </c>
      <c r="G2280" t="s">
        <v>5877</v>
      </c>
    </row>
    <row r="2281" spans="5:7" x14ac:dyDescent="0.35">
      <c r="E2281" s="9">
        <v>42093</v>
      </c>
      <c r="F2281">
        <v>258.89999999999998</v>
      </c>
      <c r="G2281" t="s">
        <v>5877</v>
      </c>
    </row>
    <row r="2282" spans="5:7" x14ac:dyDescent="0.35">
      <c r="E2282" s="9">
        <v>42094</v>
      </c>
      <c r="F2282">
        <v>248.8</v>
      </c>
      <c r="G2282" t="s">
        <v>5877</v>
      </c>
    </row>
    <row r="2283" spans="5:7" x14ac:dyDescent="0.35">
      <c r="E2283" s="9">
        <v>42095</v>
      </c>
      <c r="F2283">
        <v>234</v>
      </c>
      <c r="G2283" t="s">
        <v>5877</v>
      </c>
    </row>
    <row r="2284" spans="5:7" x14ac:dyDescent="0.35">
      <c r="E2284" s="9">
        <v>42096</v>
      </c>
      <c r="F2284">
        <v>230</v>
      </c>
      <c r="G2284" t="s">
        <v>5877</v>
      </c>
    </row>
    <row r="2285" spans="5:7" x14ac:dyDescent="0.35">
      <c r="E2285" s="9">
        <v>42097</v>
      </c>
      <c r="F2285">
        <v>224.3</v>
      </c>
      <c r="G2285" t="s">
        <v>5877</v>
      </c>
    </row>
    <row r="2286" spans="5:7" x14ac:dyDescent="0.35">
      <c r="E2286" s="9">
        <v>42098</v>
      </c>
      <c r="F2286">
        <v>222.5</v>
      </c>
      <c r="G2286" t="s">
        <v>5877</v>
      </c>
    </row>
    <row r="2287" spans="5:7" x14ac:dyDescent="0.35">
      <c r="E2287" s="9">
        <v>42099</v>
      </c>
      <c r="F2287">
        <v>220</v>
      </c>
      <c r="G2287" t="s">
        <v>5877</v>
      </c>
    </row>
    <row r="2288" spans="5:7" x14ac:dyDescent="0.35">
      <c r="E2288" s="9">
        <v>42100</v>
      </c>
      <c r="F2288">
        <v>213.9</v>
      </c>
      <c r="G2288" t="s">
        <v>5877</v>
      </c>
    </row>
    <row r="2289" spans="5:7" x14ac:dyDescent="0.35">
      <c r="E2289" s="9">
        <v>42101</v>
      </c>
      <c r="F2289">
        <v>203.2</v>
      </c>
      <c r="G2289" t="s">
        <v>5877</v>
      </c>
    </row>
    <row r="2290" spans="5:7" x14ac:dyDescent="0.35">
      <c r="E2290" s="9">
        <v>42102</v>
      </c>
      <c r="F2290">
        <v>196.2</v>
      </c>
      <c r="G2290" t="s">
        <v>5877</v>
      </c>
    </row>
    <row r="2291" spans="5:7" x14ac:dyDescent="0.35">
      <c r="E2291" s="9">
        <v>42103</v>
      </c>
      <c r="F2291">
        <v>195.6</v>
      </c>
      <c r="G2291" t="s">
        <v>5877</v>
      </c>
    </row>
    <row r="2292" spans="5:7" x14ac:dyDescent="0.35">
      <c r="E2292" s="9">
        <v>42104</v>
      </c>
      <c r="F2292">
        <v>198.2</v>
      </c>
      <c r="G2292" t="s">
        <v>5877</v>
      </c>
    </row>
    <row r="2293" spans="5:7" x14ac:dyDescent="0.35">
      <c r="E2293" s="9">
        <v>42105</v>
      </c>
      <c r="F2293">
        <v>205.5</v>
      </c>
      <c r="G2293" t="s">
        <v>5877</v>
      </c>
    </row>
    <row r="2294" spans="5:7" x14ac:dyDescent="0.35">
      <c r="E2294" s="9">
        <v>42106</v>
      </c>
      <c r="F2294">
        <v>210.5</v>
      </c>
      <c r="G2294" t="s">
        <v>5877</v>
      </c>
    </row>
    <row r="2295" spans="5:7" x14ac:dyDescent="0.35">
      <c r="E2295" s="9">
        <v>42107</v>
      </c>
      <c r="F2295">
        <v>211.5</v>
      </c>
      <c r="G2295" t="s">
        <v>5877</v>
      </c>
    </row>
    <row r="2296" spans="5:7" x14ac:dyDescent="0.35">
      <c r="E2296" s="9">
        <v>42108</v>
      </c>
      <c r="F2296">
        <v>214.4</v>
      </c>
      <c r="G2296" t="s">
        <v>5877</v>
      </c>
    </row>
    <row r="2297" spans="5:7" x14ac:dyDescent="0.35">
      <c r="E2297" s="9">
        <v>42109</v>
      </c>
      <c r="F2297">
        <v>212.7</v>
      </c>
      <c r="G2297" t="s">
        <v>5877</v>
      </c>
    </row>
    <row r="2298" spans="5:7" x14ac:dyDescent="0.35">
      <c r="E2298" s="9">
        <v>42110</v>
      </c>
      <c r="F2298">
        <v>213</v>
      </c>
      <c r="G2298" t="s">
        <v>5877</v>
      </c>
    </row>
    <row r="2299" spans="5:7" x14ac:dyDescent="0.35">
      <c r="E2299" s="9">
        <v>42111</v>
      </c>
      <c r="F2299">
        <v>216.3</v>
      </c>
      <c r="G2299" t="s">
        <v>5877</v>
      </c>
    </row>
    <row r="2300" spans="5:7" x14ac:dyDescent="0.35">
      <c r="E2300" s="9">
        <v>42112</v>
      </c>
      <c r="F2300">
        <v>221.9</v>
      </c>
      <c r="G2300" t="s">
        <v>5877</v>
      </c>
    </row>
    <row r="2301" spans="5:7" x14ac:dyDescent="0.35">
      <c r="E2301" s="9">
        <v>42113</v>
      </c>
      <c r="F2301">
        <v>223.1</v>
      </c>
      <c r="G2301" t="s">
        <v>5877</v>
      </c>
    </row>
    <row r="2302" spans="5:7" x14ac:dyDescent="0.35">
      <c r="E2302" s="9">
        <v>42114</v>
      </c>
      <c r="F2302">
        <v>214.1</v>
      </c>
      <c r="G2302" t="s">
        <v>5877</v>
      </c>
    </row>
    <row r="2303" spans="5:7" x14ac:dyDescent="0.35">
      <c r="E2303" s="9">
        <v>42115</v>
      </c>
      <c r="F2303">
        <v>204.2</v>
      </c>
      <c r="G2303" t="s">
        <v>5877</v>
      </c>
    </row>
    <row r="2304" spans="5:7" x14ac:dyDescent="0.35">
      <c r="E2304" s="9">
        <v>42116</v>
      </c>
      <c r="F2304">
        <v>196.3</v>
      </c>
      <c r="G2304" t="s">
        <v>5877</v>
      </c>
    </row>
    <row r="2305" spans="5:7" x14ac:dyDescent="0.35">
      <c r="E2305" s="9">
        <v>42117</v>
      </c>
      <c r="F2305">
        <v>188.4</v>
      </c>
      <c r="G2305" t="s">
        <v>5877</v>
      </c>
    </row>
    <row r="2306" spans="5:7" x14ac:dyDescent="0.35">
      <c r="E2306" s="9">
        <v>42118</v>
      </c>
      <c r="F2306">
        <v>186</v>
      </c>
      <c r="G2306" t="s">
        <v>5877</v>
      </c>
    </row>
    <row r="2307" spans="5:7" x14ac:dyDescent="0.35">
      <c r="E2307" s="9">
        <v>42119</v>
      </c>
      <c r="F2307">
        <v>192.1</v>
      </c>
      <c r="G2307" t="s">
        <v>5877</v>
      </c>
    </row>
    <row r="2308" spans="5:7" x14ac:dyDescent="0.35">
      <c r="E2308" s="9">
        <v>42120</v>
      </c>
      <c r="F2308">
        <v>205.8</v>
      </c>
      <c r="G2308" t="s">
        <v>5877</v>
      </c>
    </row>
    <row r="2309" spans="5:7" x14ac:dyDescent="0.35">
      <c r="E2309" s="9">
        <v>42121</v>
      </c>
      <c r="F2309">
        <v>222.3</v>
      </c>
      <c r="G2309" t="s">
        <v>5877</v>
      </c>
    </row>
    <row r="2310" spans="5:7" x14ac:dyDescent="0.35">
      <c r="E2310" s="9">
        <v>42122</v>
      </c>
      <c r="F2310">
        <v>226.8</v>
      </c>
      <c r="G2310" t="s">
        <v>5877</v>
      </c>
    </row>
    <row r="2311" spans="5:7" x14ac:dyDescent="0.35">
      <c r="E2311" s="9">
        <v>42123</v>
      </c>
      <c r="F2311">
        <v>219.8</v>
      </c>
      <c r="G2311" t="s">
        <v>5877</v>
      </c>
    </row>
    <row r="2312" spans="5:7" x14ac:dyDescent="0.35">
      <c r="E2312" s="9">
        <v>42124</v>
      </c>
      <c r="F2312">
        <v>211.4</v>
      </c>
      <c r="G2312" t="s">
        <v>5877</v>
      </c>
    </row>
    <row r="2313" spans="5:7" x14ac:dyDescent="0.35">
      <c r="E2313" s="9">
        <v>42125</v>
      </c>
      <c r="F2313">
        <v>207.9</v>
      </c>
      <c r="G2313" t="s">
        <v>5877</v>
      </c>
    </row>
    <row r="2314" spans="5:7" x14ac:dyDescent="0.35">
      <c r="E2314" s="9">
        <v>42126</v>
      </c>
      <c r="F2314">
        <v>203.5</v>
      </c>
      <c r="G2314" t="s">
        <v>5877</v>
      </c>
    </row>
    <row r="2315" spans="5:7" x14ac:dyDescent="0.35">
      <c r="E2315" s="9">
        <v>42127</v>
      </c>
      <c r="F2315">
        <v>191.9</v>
      </c>
      <c r="G2315" t="s">
        <v>5877</v>
      </c>
    </row>
    <row r="2316" spans="5:7" x14ac:dyDescent="0.35">
      <c r="E2316" s="9">
        <v>42128</v>
      </c>
      <c r="F2316">
        <v>178.1</v>
      </c>
      <c r="G2316" t="s">
        <v>5877</v>
      </c>
    </row>
    <row r="2317" spans="5:7" x14ac:dyDescent="0.35">
      <c r="E2317" s="9">
        <v>42129</v>
      </c>
      <c r="F2317">
        <v>167.1</v>
      </c>
      <c r="G2317" t="s">
        <v>5877</v>
      </c>
    </row>
    <row r="2318" spans="5:7" x14ac:dyDescent="0.35">
      <c r="E2318" s="9">
        <v>42130</v>
      </c>
      <c r="F2318">
        <v>164</v>
      </c>
      <c r="G2318" t="s">
        <v>5877</v>
      </c>
    </row>
    <row r="2319" spans="5:7" x14ac:dyDescent="0.35">
      <c r="E2319" s="9">
        <v>42131</v>
      </c>
      <c r="F2319">
        <v>171.6</v>
      </c>
      <c r="G2319" t="s">
        <v>5877</v>
      </c>
    </row>
    <row r="2320" spans="5:7" x14ac:dyDescent="0.35">
      <c r="E2320" s="9">
        <v>42132</v>
      </c>
      <c r="F2320">
        <v>191.3</v>
      </c>
      <c r="G2320" t="s">
        <v>5877</v>
      </c>
    </row>
    <row r="2321" spans="5:7" x14ac:dyDescent="0.35">
      <c r="E2321" s="9">
        <v>42133</v>
      </c>
      <c r="F2321">
        <v>211</v>
      </c>
      <c r="G2321" t="s">
        <v>5877</v>
      </c>
    </row>
    <row r="2322" spans="5:7" x14ac:dyDescent="0.35">
      <c r="E2322" s="9">
        <v>42134</v>
      </c>
      <c r="F2322">
        <v>215.1</v>
      </c>
      <c r="G2322" t="s">
        <v>5877</v>
      </c>
    </row>
    <row r="2323" spans="5:7" x14ac:dyDescent="0.35">
      <c r="E2323" s="9">
        <v>42135</v>
      </c>
      <c r="F2323">
        <v>208.3</v>
      </c>
      <c r="G2323" t="s">
        <v>5877</v>
      </c>
    </row>
    <row r="2324" spans="5:7" x14ac:dyDescent="0.35">
      <c r="E2324" s="9">
        <v>42136</v>
      </c>
      <c r="F2324">
        <v>197.2</v>
      </c>
      <c r="G2324" t="s">
        <v>5877</v>
      </c>
    </row>
    <row r="2325" spans="5:7" x14ac:dyDescent="0.35">
      <c r="E2325" s="9">
        <v>42137</v>
      </c>
      <c r="F2325">
        <v>191.4</v>
      </c>
      <c r="G2325" t="s">
        <v>5877</v>
      </c>
    </row>
    <row r="2326" spans="5:7" x14ac:dyDescent="0.35">
      <c r="E2326" s="9">
        <v>42138</v>
      </c>
      <c r="F2326">
        <v>193.2</v>
      </c>
      <c r="G2326" t="s">
        <v>5877</v>
      </c>
    </row>
    <row r="2327" spans="5:7" x14ac:dyDescent="0.35">
      <c r="E2327" s="9">
        <v>42139</v>
      </c>
      <c r="F2327">
        <v>202.5</v>
      </c>
      <c r="G2327" t="s">
        <v>5877</v>
      </c>
    </row>
    <row r="2328" spans="5:7" x14ac:dyDescent="0.35">
      <c r="E2328" s="9">
        <v>42140</v>
      </c>
      <c r="F2328">
        <v>212.4</v>
      </c>
      <c r="G2328" t="s">
        <v>5877</v>
      </c>
    </row>
    <row r="2329" spans="5:7" x14ac:dyDescent="0.35">
      <c r="E2329" s="9">
        <v>42141</v>
      </c>
      <c r="F2329">
        <v>221.8</v>
      </c>
      <c r="G2329" t="s">
        <v>5877</v>
      </c>
    </row>
    <row r="2330" spans="5:7" x14ac:dyDescent="0.35">
      <c r="E2330" s="9">
        <v>42142</v>
      </c>
      <c r="F2330">
        <v>228.1</v>
      </c>
      <c r="G2330" t="s">
        <v>5877</v>
      </c>
    </row>
    <row r="2331" spans="5:7" x14ac:dyDescent="0.35">
      <c r="E2331" s="9">
        <v>42143</v>
      </c>
      <c r="F2331">
        <v>226.7</v>
      </c>
      <c r="G2331" t="s">
        <v>5877</v>
      </c>
    </row>
    <row r="2332" spans="5:7" x14ac:dyDescent="0.35">
      <c r="E2332" s="9">
        <v>42144</v>
      </c>
      <c r="F2332">
        <v>213.2</v>
      </c>
      <c r="G2332" t="s">
        <v>5877</v>
      </c>
    </row>
    <row r="2333" spans="5:7" x14ac:dyDescent="0.35">
      <c r="E2333" s="9">
        <v>42145</v>
      </c>
      <c r="F2333">
        <v>193.2</v>
      </c>
      <c r="G2333" t="s">
        <v>5877</v>
      </c>
    </row>
    <row r="2334" spans="5:7" x14ac:dyDescent="0.35">
      <c r="E2334" s="9">
        <v>42146</v>
      </c>
      <c r="F2334">
        <v>172.5</v>
      </c>
      <c r="G2334" t="s">
        <v>5877</v>
      </c>
    </row>
    <row r="2335" spans="5:7" x14ac:dyDescent="0.35">
      <c r="E2335" s="9">
        <v>42147</v>
      </c>
      <c r="F2335">
        <v>155.9</v>
      </c>
      <c r="G2335" t="s">
        <v>5877</v>
      </c>
    </row>
    <row r="2336" spans="5:7" x14ac:dyDescent="0.35">
      <c r="E2336" s="9">
        <v>42148</v>
      </c>
      <c r="F2336">
        <v>144.80000000000001</v>
      </c>
      <c r="G2336" t="s">
        <v>5877</v>
      </c>
    </row>
    <row r="2337" spans="5:7" x14ac:dyDescent="0.35">
      <c r="E2337" s="9">
        <v>42149</v>
      </c>
      <c r="F2337">
        <v>137.5</v>
      </c>
      <c r="G2337" t="s">
        <v>5877</v>
      </c>
    </row>
    <row r="2338" spans="5:7" x14ac:dyDescent="0.35">
      <c r="E2338" s="9">
        <v>42150</v>
      </c>
      <c r="F2338">
        <v>132.9</v>
      </c>
      <c r="G2338" t="s">
        <v>5877</v>
      </c>
    </row>
    <row r="2339" spans="5:7" x14ac:dyDescent="0.35">
      <c r="E2339" s="9">
        <v>42151</v>
      </c>
      <c r="F2339">
        <v>130.5</v>
      </c>
      <c r="G2339" t="s">
        <v>5877</v>
      </c>
    </row>
    <row r="2340" spans="5:7" x14ac:dyDescent="0.35">
      <c r="E2340" s="9">
        <v>42152</v>
      </c>
      <c r="F2340">
        <v>129.9</v>
      </c>
      <c r="G2340" t="s">
        <v>5877</v>
      </c>
    </row>
    <row r="2341" spans="5:7" x14ac:dyDescent="0.35">
      <c r="E2341" s="9">
        <v>42153</v>
      </c>
      <c r="F2341">
        <v>129.9</v>
      </c>
      <c r="G2341" t="s">
        <v>5877</v>
      </c>
    </row>
    <row r="2342" spans="5:7" x14ac:dyDescent="0.35">
      <c r="E2342" s="9">
        <v>42154</v>
      </c>
      <c r="F2342">
        <v>129.30000000000001</v>
      </c>
      <c r="G2342" t="s">
        <v>5877</v>
      </c>
    </row>
    <row r="2343" spans="5:7" x14ac:dyDescent="0.35">
      <c r="E2343" s="9">
        <v>42155</v>
      </c>
      <c r="F2343">
        <v>128.30000000000001</v>
      </c>
      <c r="G2343" t="s">
        <v>5877</v>
      </c>
    </row>
    <row r="2344" spans="5:7" x14ac:dyDescent="0.35">
      <c r="E2344" s="9">
        <v>42156</v>
      </c>
      <c r="F2344">
        <v>127</v>
      </c>
      <c r="G2344" t="s">
        <v>5877</v>
      </c>
    </row>
    <row r="2345" spans="5:7" x14ac:dyDescent="0.35">
      <c r="E2345" s="9">
        <v>42157</v>
      </c>
      <c r="F2345">
        <v>85.3</v>
      </c>
      <c r="G2345" t="s">
        <v>5877</v>
      </c>
    </row>
    <row r="2346" spans="5:7" x14ac:dyDescent="0.35">
      <c r="E2346" s="9">
        <v>42158</v>
      </c>
      <c r="F2346">
        <v>85.7</v>
      </c>
      <c r="G2346" t="s">
        <v>5877</v>
      </c>
    </row>
    <row r="2347" spans="5:7" x14ac:dyDescent="0.35">
      <c r="E2347" s="9">
        <v>42159</v>
      </c>
      <c r="F2347">
        <v>88.7</v>
      </c>
      <c r="G2347" t="s">
        <v>5877</v>
      </c>
    </row>
    <row r="2348" spans="5:7" x14ac:dyDescent="0.35">
      <c r="E2348" s="9">
        <v>42160</v>
      </c>
      <c r="F2348">
        <v>95.5</v>
      </c>
      <c r="G2348" t="s">
        <v>5877</v>
      </c>
    </row>
    <row r="2349" spans="5:7" x14ac:dyDescent="0.35">
      <c r="E2349" s="9">
        <v>42161</v>
      </c>
      <c r="F2349">
        <v>104.1</v>
      </c>
      <c r="G2349" t="s">
        <v>5877</v>
      </c>
    </row>
    <row r="2350" spans="5:7" x14ac:dyDescent="0.35">
      <c r="E2350" s="9">
        <v>42162</v>
      </c>
      <c r="F2350">
        <v>108.6</v>
      </c>
      <c r="G2350" t="s">
        <v>5877</v>
      </c>
    </row>
    <row r="2351" spans="5:7" x14ac:dyDescent="0.35">
      <c r="E2351" s="9">
        <v>42163</v>
      </c>
      <c r="F2351">
        <v>108.3</v>
      </c>
      <c r="G2351" t="s">
        <v>5877</v>
      </c>
    </row>
    <row r="2352" spans="5:7" x14ac:dyDescent="0.35">
      <c r="E2352" s="9">
        <v>42164</v>
      </c>
      <c r="F2352">
        <v>107</v>
      </c>
      <c r="G2352" t="s">
        <v>5877</v>
      </c>
    </row>
    <row r="2353" spans="5:7" x14ac:dyDescent="0.35">
      <c r="E2353" s="9">
        <v>42165</v>
      </c>
      <c r="F2353">
        <v>106.5</v>
      </c>
      <c r="G2353" t="s">
        <v>5877</v>
      </c>
    </row>
    <row r="2354" spans="5:7" x14ac:dyDescent="0.35">
      <c r="E2354" s="9">
        <v>42166</v>
      </c>
      <c r="F2354">
        <v>104.6</v>
      </c>
      <c r="G2354" t="s">
        <v>5877</v>
      </c>
    </row>
    <row r="2355" spans="5:7" x14ac:dyDescent="0.35">
      <c r="E2355" s="9">
        <v>42167</v>
      </c>
      <c r="F2355">
        <v>100.8</v>
      </c>
      <c r="G2355" t="s">
        <v>5877</v>
      </c>
    </row>
    <row r="2356" spans="5:7" x14ac:dyDescent="0.35">
      <c r="E2356" s="9">
        <v>42168</v>
      </c>
      <c r="F2356">
        <v>96</v>
      </c>
      <c r="G2356" t="s">
        <v>5877</v>
      </c>
    </row>
    <row r="2357" spans="5:7" x14ac:dyDescent="0.35">
      <c r="E2357" s="9">
        <v>42169</v>
      </c>
      <c r="F2357">
        <v>91.4</v>
      </c>
      <c r="G2357" t="s">
        <v>5877</v>
      </c>
    </row>
    <row r="2358" spans="5:7" x14ac:dyDescent="0.35">
      <c r="E2358" s="9">
        <v>42170</v>
      </c>
      <c r="F2358">
        <v>88.4</v>
      </c>
      <c r="G2358" t="s">
        <v>5877</v>
      </c>
    </row>
    <row r="2359" spans="5:7" x14ac:dyDescent="0.35">
      <c r="E2359" s="9">
        <v>42171</v>
      </c>
      <c r="F2359">
        <v>86.6</v>
      </c>
      <c r="G2359" t="s">
        <v>5877</v>
      </c>
    </row>
    <row r="2360" spans="5:7" x14ac:dyDescent="0.35">
      <c r="E2360" s="9">
        <v>42172</v>
      </c>
      <c r="F2360">
        <v>85.5</v>
      </c>
      <c r="G2360" t="s">
        <v>5877</v>
      </c>
    </row>
    <row r="2361" spans="5:7" x14ac:dyDescent="0.35">
      <c r="E2361" s="9">
        <v>42173</v>
      </c>
      <c r="F2361">
        <v>84.9</v>
      </c>
      <c r="G2361" t="s">
        <v>5877</v>
      </c>
    </row>
    <row r="2362" spans="5:7" x14ac:dyDescent="0.35">
      <c r="E2362" s="9">
        <v>42174</v>
      </c>
      <c r="F2362">
        <v>84.4</v>
      </c>
      <c r="G2362" t="s">
        <v>5877</v>
      </c>
    </row>
    <row r="2363" spans="5:7" x14ac:dyDescent="0.35">
      <c r="E2363" s="9">
        <v>42175</v>
      </c>
      <c r="F2363">
        <v>84</v>
      </c>
      <c r="G2363" t="s">
        <v>5877</v>
      </c>
    </row>
    <row r="2364" spans="5:7" x14ac:dyDescent="0.35">
      <c r="E2364" s="9">
        <v>42176</v>
      </c>
      <c r="F2364">
        <v>83.6</v>
      </c>
      <c r="G2364" t="s">
        <v>5877</v>
      </c>
    </row>
    <row r="2365" spans="5:7" x14ac:dyDescent="0.35">
      <c r="E2365" s="9">
        <v>42177</v>
      </c>
      <c r="F2365">
        <v>83.4</v>
      </c>
      <c r="G2365" t="s">
        <v>5877</v>
      </c>
    </row>
    <row r="2366" spans="5:7" x14ac:dyDescent="0.35">
      <c r="E2366" s="9">
        <v>42178</v>
      </c>
      <c r="F2366">
        <v>83.2</v>
      </c>
      <c r="G2366" t="s">
        <v>5877</v>
      </c>
    </row>
    <row r="2367" spans="5:7" x14ac:dyDescent="0.35">
      <c r="E2367" s="9">
        <v>42179</v>
      </c>
      <c r="F2367">
        <v>83.1</v>
      </c>
      <c r="G2367" t="s">
        <v>5877</v>
      </c>
    </row>
    <row r="2368" spans="5:7" x14ac:dyDescent="0.35">
      <c r="E2368" s="9">
        <v>42180</v>
      </c>
      <c r="F2368">
        <v>83.1</v>
      </c>
      <c r="G2368" t="s">
        <v>5877</v>
      </c>
    </row>
    <row r="2369" spans="5:7" x14ac:dyDescent="0.35">
      <c r="E2369" s="9">
        <v>42181</v>
      </c>
      <c r="F2369">
        <v>83.1</v>
      </c>
      <c r="G2369" t="s">
        <v>5877</v>
      </c>
    </row>
    <row r="2370" spans="5:7" x14ac:dyDescent="0.35">
      <c r="E2370" s="9">
        <v>42182</v>
      </c>
      <c r="F2370">
        <v>83.3</v>
      </c>
      <c r="G2370" t="s">
        <v>5877</v>
      </c>
    </row>
    <row r="2371" spans="5:7" x14ac:dyDescent="0.35">
      <c r="E2371" s="9">
        <v>42183</v>
      </c>
      <c r="F2371">
        <v>83.6</v>
      </c>
      <c r="G2371" t="s">
        <v>5877</v>
      </c>
    </row>
    <row r="2372" spans="5:7" x14ac:dyDescent="0.35">
      <c r="E2372" s="9">
        <v>42184</v>
      </c>
      <c r="F2372">
        <v>83.6</v>
      </c>
      <c r="G2372" t="s">
        <v>5877</v>
      </c>
    </row>
    <row r="2373" spans="5:7" x14ac:dyDescent="0.35">
      <c r="E2373" s="9">
        <v>42185</v>
      </c>
      <c r="F2373">
        <v>83.5</v>
      </c>
      <c r="G2373" t="s">
        <v>5877</v>
      </c>
    </row>
    <row r="2374" spans="5:7" x14ac:dyDescent="0.35">
      <c r="E2374" s="9">
        <v>42186</v>
      </c>
      <c r="F2374">
        <v>83.4</v>
      </c>
      <c r="G2374" t="s">
        <v>5877</v>
      </c>
    </row>
    <row r="2375" spans="5:7" x14ac:dyDescent="0.35">
      <c r="E2375" s="9">
        <v>42187</v>
      </c>
      <c r="F2375">
        <v>60.2</v>
      </c>
      <c r="G2375" t="s">
        <v>5877</v>
      </c>
    </row>
    <row r="2376" spans="5:7" x14ac:dyDescent="0.35">
      <c r="E2376" s="9">
        <v>42188</v>
      </c>
      <c r="F2376">
        <v>60.2</v>
      </c>
      <c r="G2376" t="s">
        <v>5877</v>
      </c>
    </row>
    <row r="2377" spans="5:7" x14ac:dyDescent="0.35">
      <c r="E2377" s="9">
        <v>42189</v>
      </c>
      <c r="F2377">
        <v>60.1</v>
      </c>
      <c r="G2377" t="s">
        <v>5877</v>
      </c>
    </row>
    <row r="2378" spans="5:7" x14ac:dyDescent="0.35">
      <c r="E2378" s="9">
        <v>42190</v>
      </c>
      <c r="F2378">
        <v>60.1</v>
      </c>
      <c r="G2378" t="s">
        <v>5877</v>
      </c>
    </row>
    <row r="2379" spans="5:7" x14ac:dyDescent="0.35">
      <c r="E2379" s="9">
        <v>42191</v>
      </c>
      <c r="F2379">
        <v>60</v>
      </c>
      <c r="G2379" t="s">
        <v>5877</v>
      </c>
    </row>
    <row r="2380" spans="5:7" x14ac:dyDescent="0.35">
      <c r="E2380" s="9">
        <v>42192</v>
      </c>
      <c r="F2380">
        <v>60</v>
      </c>
      <c r="G2380" t="s">
        <v>5877</v>
      </c>
    </row>
    <row r="2381" spans="5:7" x14ac:dyDescent="0.35">
      <c r="E2381" s="9">
        <v>42193</v>
      </c>
      <c r="F2381">
        <v>60</v>
      </c>
      <c r="G2381" t="s">
        <v>5877</v>
      </c>
    </row>
    <row r="2382" spans="5:7" x14ac:dyDescent="0.35">
      <c r="E2382" s="9">
        <v>42194</v>
      </c>
      <c r="F2382">
        <v>60</v>
      </c>
      <c r="G2382" t="s">
        <v>5877</v>
      </c>
    </row>
    <row r="2383" spans="5:7" x14ac:dyDescent="0.35">
      <c r="E2383" s="9">
        <v>42195</v>
      </c>
      <c r="F2383">
        <v>60</v>
      </c>
      <c r="G2383" t="s">
        <v>5877</v>
      </c>
    </row>
    <row r="2384" spans="5:7" x14ac:dyDescent="0.35">
      <c r="E2384" s="9">
        <v>42196</v>
      </c>
      <c r="F2384">
        <v>60</v>
      </c>
      <c r="G2384" t="s">
        <v>5877</v>
      </c>
    </row>
    <row r="2385" spans="5:7" x14ac:dyDescent="0.35">
      <c r="E2385" s="9">
        <v>42197</v>
      </c>
      <c r="F2385">
        <v>60</v>
      </c>
      <c r="G2385" t="s">
        <v>5877</v>
      </c>
    </row>
    <row r="2386" spans="5:7" x14ac:dyDescent="0.35">
      <c r="E2386" s="9">
        <v>42198</v>
      </c>
      <c r="F2386">
        <v>60</v>
      </c>
      <c r="G2386" t="s">
        <v>5877</v>
      </c>
    </row>
    <row r="2387" spans="5:7" x14ac:dyDescent="0.35">
      <c r="E2387" s="9">
        <v>42199</v>
      </c>
      <c r="F2387">
        <v>60</v>
      </c>
      <c r="G2387" t="s">
        <v>5877</v>
      </c>
    </row>
    <row r="2388" spans="5:7" x14ac:dyDescent="0.35">
      <c r="E2388" s="9">
        <v>42200</v>
      </c>
      <c r="F2388">
        <v>60</v>
      </c>
      <c r="G2388" t="s">
        <v>5877</v>
      </c>
    </row>
    <row r="2389" spans="5:7" x14ac:dyDescent="0.35">
      <c r="E2389" s="9">
        <v>42201</v>
      </c>
      <c r="F2389">
        <v>60</v>
      </c>
      <c r="G2389" t="s">
        <v>5877</v>
      </c>
    </row>
    <row r="2390" spans="5:7" x14ac:dyDescent="0.35">
      <c r="E2390" s="9">
        <v>42202</v>
      </c>
      <c r="F2390">
        <v>60.1</v>
      </c>
      <c r="G2390" t="s">
        <v>5877</v>
      </c>
    </row>
    <row r="2391" spans="5:7" x14ac:dyDescent="0.35">
      <c r="E2391" s="9">
        <v>42203</v>
      </c>
      <c r="F2391">
        <v>60.5</v>
      </c>
      <c r="G2391" t="s">
        <v>5877</v>
      </c>
    </row>
    <row r="2392" spans="5:7" x14ac:dyDescent="0.35">
      <c r="E2392" s="9">
        <v>42204</v>
      </c>
      <c r="F2392">
        <v>61.4</v>
      </c>
      <c r="G2392" t="s">
        <v>5877</v>
      </c>
    </row>
    <row r="2393" spans="5:7" x14ac:dyDescent="0.35">
      <c r="E2393" s="9">
        <v>42205</v>
      </c>
      <c r="F2393">
        <v>62.5</v>
      </c>
      <c r="G2393" t="s">
        <v>5877</v>
      </c>
    </row>
    <row r="2394" spans="5:7" x14ac:dyDescent="0.35">
      <c r="E2394" s="9">
        <v>42206</v>
      </c>
      <c r="F2394">
        <v>63.3</v>
      </c>
      <c r="G2394" t="s">
        <v>5877</v>
      </c>
    </row>
    <row r="2395" spans="5:7" x14ac:dyDescent="0.35">
      <c r="E2395" s="9">
        <v>42207</v>
      </c>
      <c r="F2395">
        <v>63.4</v>
      </c>
      <c r="G2395" t="s">
        <v>5877</v>
      </c>
    </row>
    <row r="2396" spans="5:7" x14ac:dyDescent="0.35">
      <c r="E2396" s="9">
        <v>42208</v>
      </c>
      <c r="F2396">
        <v>63.4</v>
      </c>
      <c r="G2396" t="s">
        <v>5877</v>
      </c>
    </row>
    <row r="2397" spans="5:7" x14ac:dyDescent="0.35">
      <c r="E2397" s="9">
        <v>42209</v>
      </c>
      <c r="F2397">
        <v>63.4</v>
      </c>
      <c r="G2397" t="s">
        <v>5877</v>
      </c>
    </row>
    <row r="2398" spans="5:7" x14ac:dyDescent="0.35">
      <c r="E2398" s="9">
        <v>42210</v>
      </c>
      <c r="F2398">
        <v>65</v>
      </c>
      <c r="G2398" t="s">
        <v>5877</v>
      </c>
    </row>
    <row r="2399" spans="5:7" x14ac:dyDescent="0.35">
      <c r="E2399" s="9">
        <v>42211</v>
      </c>
      <c r="F2399">
        <v>69.8</v>
      </c>
      <c r="G2399" t="s">
        <v>5877</v>
      </c>
    </row>
    <row r="2400" spans="5:7" x14ac:dyDescent="0.35">
      <c r="E2400" s="9">
        <v>42212</v>
      </c>
      <c r="F2400">
        <v>76.5</v>
      </c>
      <c r="G2400" t="s">
        <v>5877</v>
      </c>
    </row>
    <row r="2401" spans="5:7" x14ac:dyDescent="0.35">
      <c r="E2401" s="9">
        <v>42213</v>
      </c>
      <c r="F2401">
        <v>79.7</v>
      </c>
      <c r="G2401" t="s">
        <v>5877</v>
      </c>
    </row>
    <row r="2402" spans="5:7" x14ac:dyDescent="0.35">
      <c r="E2402" s="9">
        <v>42214</v>
      </c>
      <c r="F2402">
        <v>78.599999999999994</v>
      </c>
      <c r="G2402" t="s">
        <v>5877</v>
      </c>
    </row>
    <row r="2403" spans="5:7" x14ac:dyDescent="0.35">
      <c r="E2403" s="9">
        <v>42215</v>
      </c>
      <c r="F2403">
        <v>74.599999999999994</v>
      </c>
      <c r="G2403" t="s">
        <v>5877</v>
      </c>
    </row>
    <row r="2404" spans="5:7" x14ac:dyDescent="0.35">
      <c r="E2404" s="9">
        <v>42216</v>
      </c>
      <c r="F2404">
        <v>70.099999999999994</v>
      </c>
      <c r="G2404" t="s">
        <v>5877</v>
      </c>
    </row>
    <row r="2405" spans="5:7" x14ac:dyDescent="0.35">
      <c r="E2405" s="9">
        <v>42217</v>
      </c>
      <c r="F2405">
        <v>67.900000000000006</v>
      </c>
      <c r="G2405" t="s">
        <v>5877</v>
      </c>
    </row>
    <row r="2406" spans="5:7" x14ac:dyDescent="0.35">
      <c r="E2406" s="9">
        <v>42218</v>
      </c>
      <c r="F2406">
        <v>74.5</v>
      </c>
      <c r="G2406" t="s">
        <v>5877</v>
      </c>
    </row>
    <row r="2407" spans="5:7" x14ac:dyDescent="0.35">
      <c r="E2407" s="9">
        <v>42219</v>
      </c>
      <c r="F2407">
        <v>79.599999999999994</v>
      </c>
      <c r="G2407" t="s">
        <v>5877</v>
      </c>
    </row>
    <row r="2408" spans="5:7" x14ac:dyDescent="0.35">
      <c r="E2408" s="9">
        <v>42220</v>
      </c>
      <c r="F2408">
        <v>83.7</v>
      </c>
      <c r="G2408" t="s">
        <v>5877</v>
      </c>
    </row>
    <row r="2409" spans="5:7" x14ac:dyDescent="0.35">
      <c r="E2409" s="9">
        <v>42221</v>
      </c>
      <c r="F2409">
        <v>83.4</v>
      </c>
      <c r="G2409" t="s">
        <v>5877</v>
      </c>
    </row>
    <row r="2410" spans="5:7" x14ac:dyDescent="0.35">
      <c r="E2410" s="9">
        <v>42222</v>
      </c>
      <c r="F2410">
        <v>79.900000000000006</v>
      </c>
      <c r="G2410" t="s">
        <v>5877</v>
      </c>
    </row>
    <row r="2411" spans="5:7" x14ac:dyDescent="0.35">
      <c r="E2411" s="9">
        <v>42223</v>
      </c>
      <c r="F2411">
        <v>75.099999999999994</v>
      </c>
      <c r="G2411" t="s">
        <v>5877</v>
      </c>
    </row>
    <row r="2412" spans="5:7" x14ac:dyDescent="0.35">
      <c r="E2412" s="9">
        <v>42224</v>
      </c>
      <c r="F2412">
        <v>71.5</v>
      </c>
      <c r="G2412" t="s">
        <v>5877</v>
      </c>
    </row>
    <row r="2413" spans="5:7" x14ac:dyDescent="0.35">
      <c r="E2413" s="9">
        <v>42225</v>
      </c>
      <c r="F2413">
        <v>69.3</v>
      </c>
      <c r="G2413" t="s">
        <v>5877</v>
      </c>
    </row>
    <row r="2414" spans="5:7" x14ac:dyDescent="0.35">
      <c r="E2414" s="9">
        <v>42226</v>
      </c>
      <c r="F2414">
        <v>68</v>
      </c>
      <c r="G2414" t="s">
        <v>5877</v>
      </c>
    </row>
    <row r="2415" spans="5:7" x14ac:dyDescent="0.35">
      <c r="E2415" s="9">
        <v>42227</v>
      </c>
      <c r="F2415">
        <v>67.5</v>
      </c>
      <c r="G2415" t="s">
        <v>5877</v>
      </c>
    </row>
    <row r="2416" spans="5:7" x14ac:dyDescent="0.35">
      <c r="E2416" s="9">
        <v>42228</v>
      </c>
      <c r="F2416">
        <v>67.400000000000006</v>
      </c>
      <c r="G2416" t="s">
        <v>5877</v>
      </c>
    </row>
    <row r="2417" spans="5:7" x14ac:dyDescent="0.35">
      <c r="E2417" s="9">
        <v>42229</v>
      </c>
      <c r="F2417">
        <v>67.099999999999994</v>
      </c>
      <c r="G2417" t="s">
        <v>5877</v>
      </c>
    </row>
    <row r="2418" spans="5:7" x14ac:dyDescent="0.35">
      <c r="E2418" s="9">
        <v>42230</v>
      </c>
      <c r="F2418">
        <v>66.599999999999994</v>
      </c>
      <c r="G2418" t="s">
        <v>5877</v>
      </c>
    </row>
    <row r="2419" spans="5:7" x14ac:dyDescent="0.35">
      <c r="E2419" s="9">
        <v>42231</v>
      </c>
      <c r="F2419">
        <v>68.599999999999994</v>
      </c>
      <c r="G2419" t="s">
        <v>5877</v>
      </c>
    </row>
    <row r="2420" spans="5:7" x14ac:dyDescent="0.35">
      <c r="E2420" s="9">
        <v>42232</v>
      </c>
      <c r="F2420">
        <v>74.2</v>
      </c>
      <c r="G2420" t="s">
        <v>5877</v>
      </c>
    </row>
    <row r="2421" spans="5:7" x14ac:dyDescent="0.35">
      <c r="E2421" s="9">
        <v>42233</v>
      </c>
      <c r="F2421">
        <v>80.8</v>
      </c>
      <c r="G2421" t="s">
        <v>5877</v>
      </c>
    </row>
    <row r="2422" spans="5:7" x14ac:dyDescent="0.35">
      <c r="E2422" s="9">
        <v>42234</v>
      </c>
      <c r="F2422">
        <v>82.4</v>
      </c>
      <c r="G2422" t="s">
        <v>5877</v>
      </c>
    </row>
    <row r="2423" spans="5:7" x14ac:dyDescent="0.35">
      <c r="E2423" s="9">
        <v>42235</v>
      </c>
      <c r="F2423">
        <v>80</v>
      </c>
      <c r="G2423" t="s">
        <v>5877</v>
      </c>
    </row>
    <row r="2424" spans="5:7" x14ac:dyDescent="0.35">
      <c r="E2424" s="9">
        <v>42236</v>
      </c>
      <c r="F2424">
        <v>75.8</v>
      </c>
      <c r="G2424" t="s">
        <v>5877</v>
      </c>
    </row>
    <row r="2425" spans="5:7" x14ac:dyDescent="0.35">
      <c r="E2425" s="9">
        <v>42237</v>
      </c>
      <c r="F2425">
        <v>73.7</v>
      </c>
      <c r="G2425" t="s">
        <v>5877</v>
      </c>
    </row>
    <row r="2426" spans="5:7" x14ac:dyDescent="0.35">
      <c r="E2426" s="9">
        <v>42238</v>
      </c>
      <c r="F2426">
        <v>76.5</v>
      </c>
      <c r="G2426" t="s">
        <v>5877</v>
      </c>
    </row>
    <row r="2427" spans="5:7" x14ac:dyDescent="0.35">
      <c r="E2427" s="9">
        <v>42239</v>
      </c>
      <c r="F2427">
        <v>83.3</v>
      </c>
      <c r="G2427" t="s">
        <v>5877</v>
      </c>
    </row>
    <row r="2428" spans="5:7" x14ac:dyDescent="0.35">
      <c r="E2428" s="9">
        <v>42240</v>
      </c>
      <c r="F2428">
        <v>90</v>
      </c>
      <c r="G2428" t="s">
        <v>5877</v>
      </c>
    </row>
    <row r="2429" spans="5:7" x14ac:dyDescent="0.35">
      <c r="E2429" s="9">
        <v>42241</v>
      </c>
      <c r="F2429">
        <v>93.2</v>
      </c>
      <c r="G2429" t="s">
        <v>5877</v>
      </c>
    </row>
    <row r="2430" spans="5:7" x14ac:dyDescent="0.35">
      <c r="E2430" s="9">
        <v>42242</v>
      </c>
      <c r="F2430">
        <v>90.1</v>
      </c>
      <c r="G2430" t="s">
        <v>5877</v>
      </c>
    </row>
    <row r="2431" spans="5:7" x14ac:dyDescent="0.35">
      <c r="E2431" s="9">
        <v>42243</v>
      </c>
      <c r="F2431">
        <v>84.1</v>
      </c>
      <c r="G2431" t="s">
        <v>5877</v>
      </c>
    </row>
    <row r="2432" spans="5:7" x14ac:dyDescent="0.35">
      <c r="E2432" s="9">
        <v>42244</v>
      </c>
      <c r="F2432">
        <v>81.3</v>
      </c>
      <c r="G2432" t="s">
        <v>5877</v>
      </c>
    </row>
    <row r="2433" spans="5:7" x14ac:dyDescent="0.35">
      <c r="E2433" s="9">
        <v>42245</v>
      </c>
      <c r="F2433">
        <v>84.5</v>
      </c>
      <c r="G2433" t="s">
        <v>5877</v>
      </c>
    </row>
    <row r="2434" spans="5:7" x14ac:dyDescent="0.35">
      <c r="E2434" s="9">
        <v>42246</v>
      </c>
      <c r="F2434">
        <v>91.2</v>
      </c>
      <c r="G2434" t="s">
        <v>5877</v>
      </c>
    </row>
    <row r="2435" spans="5:7" x14ac:dyDescent="0.35">
      <c r="E2435" s="9">
        <v>42247</v>
      </c>
      <c r="F2435">
        <v>95.4</v>
      </c>
      <c r="G2435" t="s">
        <v>5877</v>
      </c>
    </row>
    <row r="2436" spans="5:7" x14ac:dyDescent="0.35">
      <c r="E2436" s="9">
        <v>42248</v>
      </c>
      <c r="F2436">
        <v>99.7</v>
      </c>
      <c r="G2436" t="s">
        <v>5877</v>
      </c>
    </row>
    <row r="2437" spans="5:7" x14ac:dyDescent="0.35">
      <c r="E2437" s="9">
        <v>42249</v>
      </c>
      <c r="F2437">
        <v>130.1</v>
      </c>
      <c r="G2437" t="s">
        <v>5877</v>
      </c>
    </row>
    <row r="2438" spans="5:7" x14ac:dyDescent="0.35">
      <c r="E2438" s="9">
        <v>42250</v>
      </c>
      <c r="F2438">
        <v>132.69999999999999</v>
      </c>
      <c r="G2438" t="s">
        <v>5877</v>
      </c>
    </row>
    <row r="2439" spans="5:7" x14ac:dyDescent="0.35">
      <c r="E2439" s="9">
        <v>42251</v>
      </c>
      <c r="F2439">
        <v>136.6</v>
      </c>
      <c r="G2439" t="s">
        <v>5877</v>
      </c>
    </row>
    <row r="2440" spans="5:7" x14ac:dyDescent="0.35">
      <c r="E2440" s="9">
        <v>42252</v>
      </c>
      <c r="F2440">
        <v>139.80000000000001</v>
      </c>
      <c r="G2440" t="s">
        <v>5877</v>
      </c>
    </row>
    <row r="2441" spans="5:7" x14ac:dyDescent="0.35">
      <c r="E2441" s="9">
        <v>42253</v>
      </c>
      <c r="F2441">
        <v>138.5</v>
      </c>
      <c r="G2441" t="s">
        <v>5877</v>
      </c>
    </row>
    <row r="2442" spans="5:7" x14ac:dyDescent="0.35">
      <c r="E2442" s="9">
        <v>42254</v>
      </c>
      <c r="F2442">
        <v>138.6</v>
      </c>
      <c r="G2442" t="s">
        <v>5877</v>
      </c>
    </row>
    <row r="2443" spans="5:7" x14ac:dyDescent="0.35">
      <c r="E2443" s="9">
        <v>42255</v>
      </c>
      <c r="F2443">
        <v>140.30000000000001</v>
      </c>
      <c r="G2443" t="s">
        <v>5877</v>
      </c>
    </row>
    <row r="2444" spans="5:7" x14ac:dyDescent="0.35">
      <c r="E2444" s="9">
        <v>42256</v>
      </c>
      <c r="F2444">
        <v>137.6</v>
      </c>
      <c r="G2444" t="s">
        <v>5877</v>
      </c>
    </row>
    <row r="2445" spans="5:7" x14ac:dyDescent="0.35">
      <c r="E2445" s="9">
        <v>42257</v>
      </c>
      <c r="F2445">
        <v>136.30000000000001</v>
      </c>
      <c r="G2445" t="s">
        <v>5877</v>
      </c>
    </row>
    <row r="2446" spans="5:7" x14ac:dyDescent="0.35">
      <c r="E2446" s="9">
        <v>42258</v>
      </c>
      <c r="F2446">
        <v>137.30000000000001</v>
      </c>
      <c r="G2446" t="s">
        <v>5877</v>
      </c>
    </row>
    <row r="2447" spans="5:7" x14ac:dyDescent="0.35">
      <c r="E2447" s="9">
        <v>42259</v>
      </c>
      <c r="F2447">
        <v>140.6</v>
      </c>
      <c r="G2447" t="s">
        <v>5877</v>
      </c>
    </row>
    <row r="2448" spans="5:7" x14ac:dyDescent="0.35">
      <c r="E2448" s="9">
        <v>42260</v>
      </c>
      <c r="F2448">
        <v>139.9</v>
      </c>
      <c r="G2448" t="s">
        <v>5877</v>
      </c>
    </row>
    <row r="2449" spans="5:7" x14ac:dyDescent="0.35">
      <c r="E2449" s="9">
        <v>42261</v>
      </c>
      <c r="F2449">
        <v>133.69999999999999</v>
      </c>
      <c r="G2449" t="s">
        <v>5877</v>
      </c>
    </row>
    <row r="2450" spans="5:7" x14ac:dyDescent="0.35">
      <c r="E2450" s="9">
        <v>42262</v>
      </c>
      <c r="F2450">
        <v>124.1</v>
      </c>
      <c r="G2450" t="s">
        <v>5877</v>
      </c>
    </row>
    <row r="2451" spans="5:7" x14ac:dyDescent="0.35">
      <c r="E2451" s="9">
        <v>42263</v>
      </c>
      <c r="F2451">
        <v>118.5</v>
      </c>
      <c r="G2451" t="s">
        <v>5877</v>
      </c>
    </row>
    <row r="2452" spans="5:7" x14ac:dyDescent="0.35">
      <c r="E2452" s="9">
        <v>42264</v>
      </c>
      <c r="F2452">
        <v>121.2</v>
      </c>
      <c r="G2452" t="s">
        <v>5877</v>
      </c>
    </row>
    <row r="2453" spans="5:7" x14ac:dyDescent="0.35">
      <c r="E2453" s="9">
        <v>42265</v>
      </c>
      <c r="F2453">
        <v>128.6</v>
      </c>
      <c r="G2453" t="s">
        <v>5877</v>
      </c>
    </row>
    <row r="2454" spans="5:7" x14ac:dyDescent="0.35">
      <c r="E2454" s="9">
        <v>42266</v>
      </c>
      <c r="F2454">
        <v>133.4</v>
      </c>
      <c r="G2454" t="s">
        <v>5877</v>
      </c>
    </row>
    <row r="2455" spans="5:7" x14ac:dyDescent="0.35">
      <c r="E2455" s="9">
        <v>42267</v>
      </c>
      <c r="F2455">
        <v>137.6</v>
      </c>
      <c r="G2455" t="s">
        <v>5877</v>
      </c>
    </row>
    <row r="2456" spans="5:7" x14ac:dyDescent="0.35">
      <c r="E2456" s="9">
        <v>42268</v>
      </c>
      <c r="F2456">
        <v>138.80000000000001</v>
      </c>
      <c r="G2456" t="s">
        <v>5877</v>
      </c>
    </row>
    <row r="2457" spans="5:7" x14ac:dyDescent="0.35">
      <c r="E2457" s="9">
        <v>42269</v>
      </c>
      <c r="F2457">
        <v>135.30000000000001</v>
      </c>
      <c r="G2457" t="s">
        <v>5877</v>
      </c>
    </row>
    <row r="2458" spans="5:7" x14ac:dyDescent="0.35">
      <c r="E2458" s="9">
        <v>42270</v>
      </c>
      <c r="F2458">
        <v>134.1</v>
      </c>
      <c r="G2458" t="s">
        <v>5877</v>
      </c>
    </row>
    <row r="2459" spans="5:7" x14ac:dyDescent="0.35">
      <c r="E2459" s="9">
        <v>42271</v>
      </c>
      <c r="F2459">
        <v>140.9</v>
      </c>
      <c r="G2459" t="s">
        <v>5877</v>
      </c>
    </row>
    <row r="2460" spans="5:7" x14ac:dyDescent="0.35">
      <c r="E2460" s="9">
        <v>42272</v>
      </c>
      <c r="F2460">
        <v>153.4</v>
      </c>
      <c r="G2460" t="s">
        <v>5877</v>
      </c>
    </row>
    <row r="2461" spans="5:7" x14ac:dyDescent="0.35">
      <c r="E2461" s="9">
        <v>42273</v>
      </c>
      <c r="F2461">
        <v>163.80000000000001</v>
      </c>
      <c r="G2461" t="s">
        <v>5877</v>
      </c>
    </row>
    <row r="2462" spans="5:7" x14ac:dyDescent="0.35">
      <c r="E2462" s="9">
        <v>42274</v>
      </c>
      <c r="F2462">
        <v>167.2</v>
      </c>
      <c r="G2462" t="s">
        <v>5877</v>
      </c>
    </row>
    <row r="2463" spans="5:7" x14ac:dyDescent="0.35">
      <c r="E2463" s="9">
        <v>42275</v>
      </c>
      <c r="F2463">
        <v>166.6</v>
      </c>
      <c r="G2463" t="s">
        <v>5877</v>
      </c>
    </row>
    <row r="2464" spans="5:7" x14ac:dyDescent="0.35">
      <c r="E2464" s="9">
        <v>42276</v>
      </c>
      <c r="F2464">
        <v>162.19999999999999</v>
      </c>
      <c r="G2464" t="s">
        <v>5877</v>
      </c>
    </row>
    <row r="2465" spans="5:7" x14ac:dyDescent="0.35">
      <c r="E2465" s="9">
        <v>42277</v>
      </c>
      <c r="F2465">
        <v>161.9</v>
      </c>
      <c r="G2465" t="s">
        <v>5877</v>
      </c>
    </row>
    <row r="2466" spans="5:7" x14ac:dyDescent="0.35">
      <c r="E2466" s="9">
        <v>42278</v>
      </c>
      <c r="F2466">
        <v>169</v>
      </c>
      <c r="G2466" t="s">
        <v>5877</v>
      </c>
    </row>
    <row r="2467" spans="5:7" x14ac:dyDescent="0.35">
      <c r="E2467" s="9">
        <v>42279</v>
      </c>
      <c r="F2467">
        <v>193.5</v>
      </c>
      <c r="G2467" t="s">
        <v>5877</v>
      </c>
    </row>
    <row r="2468" spans="5:7" x14ac:dyDescent="0.35">
      <c r="E2468" s="9">
        <v>42280</v>
      </c>
      <c r="F2468">
        <v>197.2</v>
      </c>
      <c r="G2468" t="s">
        <v>5877</v>
      </c>
    </row>
    <row r="2469" spans="5:7" x14ac:dyDescent="0.35">
      <c r="E2469" s="9">
        <v>42281</v>
      </c>
      <c r="F2469">
        <v>200.2</v>
      </c>
      <c r="G2469" t="s">
        <v>5877</v>
      </c>
    </row>
    <row r="2470" spans="5:7" x14ac:dyDescent="0.35">
      <c r="E2470" s="9">
        <v>42282</v>
      </c>
      <c r="F2470">
        <v>199.7</v>
      </c>
      <c r="G2470" t="s">
        <v>5877</v>
      </c>
    </row>
    <row r="2471" spans="5:7" x14ac:dyDescent="0.35">
      <c r="E2471" s="9">
        <v>42283</v>
      </c>
      <c r="F2471">
        <v>206.3</v>
      </c>
      <c r="G2471" t="s">
        <v>5877</v>
      </c>
    </row>
    <row r="2472" spans="5:7" x14ac:dyDescent="0.35">
      <c r="E2472" s="9">
        <v>42284</v>
      </c>
      <c r="F2472">
        <v>215.1</v>
      </c>
      <c r="G2472" t="s">
        <v>5877</v>
      </c>
    </row>
    <row r="2473" spans="5:7" x14ac:dyDescent="0.35">
      <c r="E2473" s="9">
        <v>42285</v>
      </c>
      <c r="F2473">
        <v>221.2</v>
      </c>
      <c r="G2473" t="s">
        <v>5877</v>
      </c>
    </row>
    <row r="2474" spans="5:7" x14ac:dyDescent="0.35">
      <c r="E2474" s="9">
        <v>42286</v>
      </c>
      <c r="F2474">
        <v>221.4</v>
      </c>
      <c r="G2474" t="s">
        <v>5877</v>
      </c>
    </row>
    <row r="2475" spans="5:7" x14ac:dyDescent="0.35">
      <c r="E2475" s="9">
        <v>42287</v>
      </c>
      <c r="F2475">
        <v>219.1</v>
      </c>
      <c r="G2475" t="s">
        <v>5877</v>
      </c>
    </row>
    <row r="2476" spans="5:7" x14ac:dyDescent="0.35">
      <c r="E2476" s="9">
        <v>42288</v>
      </c>
      <c r="F2476">
        <v>216</v>
      </c>
      <c r="G2476" t="s">
        <v>5877</v>
      </c>
    </row>
    <row r="2477" spans="5:7" x14ac:dyDescent="0.35">
      <c r="E2477" s="9">
        <v>42289</v>
      </c>
      <c r="F2477">
        <v>204.2</v>
      </c>
      <c r="G2477" t="s">
        <v>5877</v>
      </c>
    </row>
    <row r="2478" spans="5:7" x14ac:dyDescent="0.35">
      <c r="E2478" s="9">
        <v>42290</v>
      </c>
      <c r="F2478">
        <v>193.7</v>
      </c>
      <c r="G2478" t="s">
        <v>5877</v>
      </c>
    </row>
    <row r="2479" spans="5:7" x14ac:dyDescent="0.35">
      <c r="E2479" s="9">
        <v>42291</v>
      </c>
      <c r="F2479">
        <v>193.4</v>
      </c>
      <c r="G2479" t="s">
        <v>5877</v>
      </c>
    </row>
    <row r="2480" spans="5:7" x14ac:dyDescent="0.35">
      <c r="E2480" s="9">
        <v>42292</v>
      </c>
      <c r="F2480">
        <v>199.1</v>
      </c>
      <c r="G2480" t="s">
        <v>5877</v>
      </c>
    </row>
    <row r="2481" spans="5:7" x14ac:dyDescent="0.35">
      <c r="E2481" s="9">
        <v>42293</v>
      </c>
      <c r="F2481">
        <v>198.3</v>
      </c>
      <c r="G2481" t="s">
        <v>5877</v>
      </c>
    </row>
    <row r="2482" spans="5:7" x14ac:dyDescent="0.35">
      <c r="E2482" s="9">
        <v>42294</v>
      </c>
      <c r="F2482">
        <v>188.7</v>
      </c>
      <c r="G2482" t="s">
        <v>5877</v>
      </c>
    </row>
    <row r="2483" spans="5:7" x14ac:dyDescent="0.35">
      <c r="E2483" s="9">
        <v>42295</v>
      </c>
      <c r="F2483">
        <v>178.3</v>
      </c>
      <c r="G2483" t="s">
        <v>5877</v>
      </c>
    </row>
    <row r="2484" spans="5:7" x14ac:dyDescent="0.35">
      <c r="E2484" s="9">
        <v>42296</v>
      </c>
      <c r="F2484">
        <v>175.4</v>
      </c>
      <c r="G2484" t="s">
        <v>5877</v>
      </c>
    </row>
    <row r="2485" spans="5:7" x14ac:dyDescent="0.35">
      <c r="E2485" s="9">
        <v>42297</v>
      </c>
      <c r="F2485">
        <v>181.9</v>
      </c>
      <c r="G2485" t="s">
        <v>5877</v>
      </c>
    </row>
    <row r="2486" spans="5:7" x14ac:dyDescent="0.35">
      <c r="E2486" s="9">
        <v>42298</v>
      </c>
      <c r="F2486">
        <v>194.5</v>
      </c>
      <c r="G2486" t="s">
        <v>5877</v>
      </c>
    </row>
    <row r="2487" spans="5:7" x14ac:dyDescent="0.35">
      <c r="E2487" s="9">
        <v>42299</v>
      </c>
      <c r="F2487">
        <v>204</v>
      </c>
      <c r="G2487" t="s">
        <v>5877</v>
      </c>
    </row>
    <row r="2488" spans="5:7" x14ac:dyDescent="0.35">
      <c r="E2488" s="9">
        <v>42300</v>
      </c>
      <c r="F2488">
        <v>208.3</v>
      </c>
      <c r="G2488" t="s">
        <v>5877</v>
      </c>
    </row>
    <row r="2489" spans="5:7" x14ac:dyDescent="0.35">
      <c r="E2489" s="9">
        <v>42301</v>
      </c>
      <c r="F2489">
        <v>206.6</v>
      </c>
      <c r="G2489" t="s">
        <v>5877</v>
      </c>
    </row>
    <row r="2490" spans="5:7" x14ac:dyDescent="0.35">
      <c r="E2490" s="9">
        <v>42302</v>
      </c>
      <c r="F2490">
        <v>201.4</v>
      </c>
      <c r="G2490" t="s">
        <v>5877</v>
      </c>
    </row>
    <row r="2491" spans="5:7" x14ac:dyDescent="0.35">
      <c r="E2491" s="9">
        <v>42303</v>
      </c>
      <c r="F2491">
        <v>196.4</v>
      </c>
      <c r="G2491" t="s">
        <v>5877</v>
      </c>
    </row>
    <row r="2492" spans="5:7" x14ac:dyDescent="0.35">
      <c r="E2492" s="9">
        <v>42304</v>
      </c>
      <c r="F2492">
        <v>196.9</v>
      </c>
      <c r="G2492" t="s">
        <v>5877</v>
      </c>
    </row>
    <row r="2493" spans="5:7" x14ac:dyDescent="0.35">
      <c r="E2493" s="9">
        <v>42305</v>
      </c>
      <c r="F2493">
        <v>197.6</v>
      </c>
      <c r="G2493" t="s">
        <v>5877</v>
      </c>
    </row>
    <row r="2494" spans="5:7" x14ac:dyDescent="0.35">
      <c r="E2494" s="9">
        <v>42306</v>
      </c>
      <c r="F2494">
        <v>193.9</v>
      </c>
      <c r="G2494" t="s">
        <v>5877</v>
      </c>
    </row>
    <row r="2495" spans="5:7" x14ac:dyDescent="0.35">
      <c r="E2495" s="9">
        <v>42307</v>
      </c>
      <c r="F2495">
        <v>194.5</v>
      </c>
      <c r="G2495" t="s">
        <v>5877</v>
      </c>
    </row>
    <row r="2496" spans="5:7" x14ac:dyDescent="0.35">
      <c r="E2496" s="9">
        <v>42308</v>
      </c>
      <c r="F2496">
        <v>198.1</v>
      </c>
      <c r="G2496" t="s">
        <v>5877</v>
      </c>
    </row>
    <row r="2497" spans="5:7" x14ac:dyDescent="0.35">
      <c r="E2497" s="9">
        <v>42309</v>
      </c>
      <c r="F2497">
        <v>198.3</v>
      </c>
      <c r="G2497" t="s">
        <v>5877</v>
      </c>
    </row>
    <row r="2498" spans="5:7" x14ac:dyDescent="0.35">
      <c r="E2498" s="9">
        <v>42310</v>
      </c>
      <c r="F2498">
        <v>203.3</v>
      </c>
      <c r="G2498" t="s">
        <v>5877</v>
      </c>
    </row>
    <row r="2499" spans="5:7" x14ac:dyDescent="0.35">
      <c r="E2499" s="9">
        <v>42311</v>
      </c>
      <c r="F2499">
        <v>195</v>
      </c>
      <c r="G2499" t="s">
        <v>5877</v>
      </c>
    </row>
    <row r="2500" spans="5:7" x14ac:dyDescent="0.35">
      <c r="E2500" s="9">
        <v>42312</v>
      </c>
      <c r="F2500">
        <v>191.2</v>
      </c>
      <c r="G2500" t="s">
        <v>5877</v>
      </c>
    </row>
    <row r="2501" spans="5:7" x14ac:dyDescent="0.35">
      <c r="E2501" s="9">
        <v>42313</v>
      </c>
      <c r="F2501">
        <v>196.1</v>
      </c>
      <c r="G2501" t="s">
        <v>5877</v>
      </c>
    </row>
    <row r="2502" spans="5:7" x14ac:dyDescent="0.35">
      <c r="E2502" s="9">
        <v>42314</v>
      </c>
      <c r="F2502">
        <v>201.9</v>
      </c>
      <c r="G2502" t="s">
        <v>5877</v>
      </c>
    </row>
    <row r="2503" spans="5:7" x14ac:dyDescent="0.35">
      <c r="E2503" s="9">
        <v>42315</v>
      </c>
      <c r="F2503">
        <v>207.3</v>
      </c>
      <c r="G2503" t="s">
        <v>5877</v>
      </c>
    </row>
    <row r="2504" spans="5:7" x14ac:dyDescent="0.35">
      <c r="E2504" s="9">
        <v>42316</v>
      </c>
      <c r="F2504">
        <v>208.2</v>
      </c>
      <c r="G2504" t="s">
        <v>5877</v>
      </c>
    </row>
    <row r="2505" spans="5:7" x14ac:dyDescent="0.35">
      <c r="E2505" s="9">
        <v>42317</v>
      </c>
      <c r="F2505">
        <v>206.1</v>
      </c>
      <c r="G2505" t="s">
        <v>5877</v>
      </c>
    </row>
    <row r="2506" spans="5:7" x14ac:dyDescent="0.35">
      <c r="E2506" s="9">
        <v>42318</v>
      </c>
      <c r="F2506">
        <v>199.7</v>
      </c>
      <c r="G2506" t="s">
        <v>5877</v>
      </c>
    </row>
    <row r="2507" spans="5:7" x14ac:dyDescent="0.35">
      <c r="E2507" s="9">
        <v>42319</v>
      </c>
      <c r="F2507">
        <v>195.7</v>
      </c>
      <c r="G2507" t="s">
        <v>5877</v>
      </c>
    </row>
    <row r="2508" spans="5:7" x14ac:dyDescent="0.35">
      <c r="E2508" s="9">
        <v>42320</v>
      </c>
      <c r="F2508">
        <v>192.6</v>
      </c>
      <c r="G2508" t="s">
        <v>5877</v>
      </c>
    </row>
    <row r="2509" spans="5:7" x14ac:dyDescent="0.35">
      <c r="E2509" s="9">
        <v>42321</v>
      </c>
      <c r="F2509">
        <v>184.9</v>
      </c>
      <c r="G2509" t="s">
        <v>5877</v>
      </c>
    </row>
    <row r="2510" spans="5:7" x14ac:dyDescent="0.35">
      <c r="E2510" s="9">
        <v>42322</v>
      </c>
      <c r="F2510">
        <v>179.1</v>
      </c>
      <c r="G2510" t="s">
        <v>5877</v>
      </c>
    </row>
    <row r="2511" spans="5:7" x14ac:dyDescent="0.35">
      <c r="E2511" s="9">
        <v>42323</v>
      </c>
      <c r="F2511">
        <v>181.2</v>
      </c>
      <c r="G2511" t="s">
        <v>5877</v>
      </c>
    </row>
    <row r="2512" spans="5:7" x14ac:dyDescent="0.35">
      <c r="E2512" s="9">
        <v>42324</v>
      </c>
      <c r="F2512">
        <v>194.2</v>
      </c>
      <c r="G2512" t="s">
        <v>5877</v>
      </c>
    </row>
    <row r="2513" spans="5:7" x14ac:dyDescent="0.35">
      <c r="E2513" s="9">
        <v>42325</v>
      </c>
      <c r="F2513">
        <v>210.4</v>
      </c>
      <c r="G2513" t="s">
        <v>5877</v>
      </c>
    </row>
    <row r="2514" spans="5:7" x14ac:dyDescent="0.35">
      <c r="E2514" s="9">
        <v>42326</v>
      </c>
      <c r="F2514">
        <v>213.3</v>
      </c>
      <c r="G2514" t="s">
        <v>5877</v>
      </c>
    </row>
    <row r="2515" spans="5:7" x14ac:dyDescent="0.35">
      <c r="E2515" s="9">
        <v>42327</v>
      </c>
      <c r="F2515">
        <v>215.4</v>
      </c>
      <c r="G2515" t="s">
        <v>5877</v>
      </c>
    </row>
    <row r="2516" spans="5:7" x14ac:dyDescent="0.35">
      <c r="E2516" s="9">
        <v>42328</v>
      </c>
      <c r="F2516">
        <v>221.6</v>
      </c>
      <c r="G2516" t="s">
        <v>5877</v>
      </c>
    </row>
    <row r="2517" spans="5:7" x14ac:dyDescent="0.35">
      <c r="E2517" s="9">
        <v>42329</v>
      </c>
      <c r="F2517">
        <v>225.8</v>
      </c>
      <c r="G2517" t="s">
        <v>5877</v>
      </c>
    </row>
    <row r="2518" spans="5:7" x14ac:dyDescent="0.35">
      <c r="E2518" s="9">
        <v>42330</v>
      </c>
      <c r="F2518">
        <v>222.6</v>
      </c>
      <c r="G2518" t="s">
        <v>5877</v>
      </c>
    </row>
    <row r="2519" spans="5:7" x14ac:dyDescent="0.35">
      <c r="E2519" s="9">
        <v>42331</v>
      </c>
      <c r="F2519">
        <v>213.8</v>
      </c>
      <c r="G2519" t="s">
        <v>5877</v>
      </c>
    </row>
    <row r="2520" spans="5:7" x14ac:dyDescent="0.35">
      <c r="E2520" s="9">
        <v>42332</v>
      </c>
      <c r="F2520">
        <v>203.9</v>
      </c>
      <c r="G2520" t="s">
        <v>5877</v>
      </c>
    </row>
    <row r="2521" spans="5:7" x14ac:dyDescent="0.35">
      <c r="E2521" s="9">
        <v>42333</v>
      </c>
      <c r="F2521">
        <v>204.9</v>
      </c>
      <c r="G2521" t="s">
        <v>5877</v>
      </c>
    </row>
    <row r="2522" spans="5:7" x14ac:dyDescent="0.35">
      <c r="E2522" s="9">
        <v>42334</v>
      </c>
      <c r="F2522">
        <v>220.8</v>
      </c>
      <c r="G2522" t="s">
        <v>5877</v>
      </c>
    </row>
    <row r="2523" spans="5:7" x14ac:dyDescent="0.35">
      <c r="E2523" s="9">
        <v>42335</v>
      </c>
      <c r="F2523">
        <v>242.3</v>
      </c>
      <c r="G2523" t="s">
        <v>5877</v>
      </c>
    </row>
    <row r="2524" spans="5:7" x14ac:dyDescent="0.35">
      <c r="E2524" s="9">
        <v>42336</v>
      </c>
      <c r="F2524">
        <v>256.2</v>
      </c>
      <c r="G2524" t="s">
        <v>5877</v>
      </c>
    </row>
    <row r="2525" spans="5:7" x14ac:dyDescent="0.35">
      <c r="E2525" s="9">
        <v>42337</v>
      </c>
      <c r="F2525">
        <v>261</v>
      </c>
      <c r="G2525" t="s">
        <v>5877</v>
      </c>
    </row>
    <row r="2526" spans="5:7" x14ac:dyDescent="0.35">
      <c r="E2526" s="9">
        <v>42338</v>
      </c>
      <c r="F2526">
        <v>255.5</v>
      </c>
      <c r="G2526" t="s">
        <v>5877</v>
      </c>
    </row>
    <row r="2527" spans="5:7" x14ac:dyDescent="0.35">
      <c r="E2527" s="9">
        <v>42339</v>
      </c>
      <c r="F2527">
        <v>241</v>
      </c>
      <c r="G2527" t="s">
        <v>5877</v>
      </c>
    </row>
    <row r="2528" spans="5:7" x14ac:dyDescent="0.35">
      <c r="E2528" s="9">
        <v>42340</v>
      </c>
      <c r="F2528">
        <v>239.9</v>
      </c>
      <c r="G2528" t="s">
        <v>5877</v>
      </c>
    </row>
    <row r="2529" spans="5:7" x14ac:dyDescent="0.35">
      <c r="E2529" s="9">
        <v>42341</v>
      </c>
      <c r="F2529">
        <v>232.1</v>
      </c>
      <c r="G2529" t="s">
        <v>5877</v>
      </c>
    </row>
    <row r="2530" spans="5:7" x14ac:dyDescent="0.35">
      <c r="E2530" s="9">
        <v>42342</v>
      </c>
      <c r="F2530">
        <v>228.8</v>
      </c>
      <c r="G2530" t="s">
        <v>5877</v>
      </c>
    </row>
    <row r="2531" spans="5:7" x14ac:dyDescent="0.35">
      <c r="E2531" s="9">
        <v>42343</v>
      </c>
      <c r="F2531">
        <v>223</v>
      </c>
      <c r="G2531" t="s">
        <v>5877</v>
      </c>
    </row>
    <row r="2532" spans="5:7" x14ac:dyDescent="0.35">
      <c r="E2532" s="9">
        <v>42344</v>
      </c>
      <c r="F2532">
        <v>218.5</v>
      </c>
      <c r="G2532" t="s">
        <v>5877</v>
      </c>
    </row>
    <row r="2533" spans="5:7" x14ac:dyDescent="0.35">
      <c r="E2533" s="9">
        <v>42345</v>
      </c>
      <c r="F2533">
        <v>220.2</v>
      </c>
      <c r="G2533" t="s">
        <v>5877</v>
      </c>
    </row>
    <row r="2534" spans="5:7" x14ac:dyDescent="0.35">
      <c r="E2534" s="9">
        <v>42346</v>
      </c>
      <c r="F2534">
        <v>227.8</v>
      </c>
      <c r="G2534" t="s">
        <v>5877</v>
      </c>
    </row>
    <row r="2535" spans="5:7" x14ac:dyDescent="0.35">
      <c r="E2535" s="9">
        <v>42347</v>
      </c>
      <c r="F2535">
        <v>237.4</v>
      </c>
      <c r="G2535" t="s">
        <v>5877</v>
      </c>
    </row>
    <row r="2536" spans="5:7" x14ac:dyDescent="0.35">
      <c r="E2536" s="9">
        <v>42348</v>
      </c>
      <c r="F2536">
        <v>238</v>
      </c>
      <c r="G2536" t="s">
        <v>5877</v>
      </c>
    </row>
    <row r="2537" spans="5:7" x14ac:dyDescent="0.35">
      <c r="E2537" s="9">
        <v>42349</v>
      </c>
      <c r="F2537">
        <v>233.4</v>
      </c>
      <c r="G2537" t="s">
        <v>5877</v>
      </c>
    </row>
    <row r="2538" spans="5:7" x14ac:dyDescent="0.35">
      <c r="E2538" s="9">
        <v>42350</v>
      </c>
      <c r="F2538">
        <v>222.2</v>
      </c>
      <c r="G2538" t="s">
        <v>5877</v>
      </c>
    </row>
    <row r="2539" spans="5:7" x14ac:dyDescent="0.35">
      <c r="E2539" s="9">
        <v>42351</v>
      </c>
      <c r="F2539">
        <v>217.3</v>
      </c>
      <c r="G2539" t="s">
        <v>5877</v>
      </c>
    </row>
    <row r="2540" spans="5:7" x14ac:dyDescent="0.35">
      <c r="E2540" s="9">
        <v>42352</v>
      </c>
      <c r="F2540">
        <v>221.3</v>
      </c>
      <c r="G2540" t="s">
        <v>5877</v>
      </c>
    </row>
    <row r="2541" spans="5:7" x14ac:dyDescent="0.35">
      <c r="E2541" s="9">
        <v>42353</v>
      </c>
      <c r="F2541">
        <v>228</v>
      </c>
      <c r="G2541" t="s">
        <v>5877</v>
      </c>
    </row>
    <row r="2542" spans="5:7" x14ac:dyDescent="0.35">
      <c r="E2542" s="9">
        <v>42354</v>
      </c>
      <c r="F2542">
        <v>228.2</v>
      </c>
      <c r="G2542" t="s">
        <v>5877</v>
      </c>
    </row>
    <row r="2543" spans="5:7" x14ac:dyDescent="0.35">
      <c r="E2543" s="9">
        <v>42355</v>
      </c>
      <c r="F2543">
        <v>229.4</v>
      </c>
      <c r="G2543" t="s">
        <v>5877</v>
      </c>
    </row>
    <row r="2544" spans="5:7" x14ac:dyDescent="0.35">
      <c r="E2544" s="9">
        <v>42356</v>
      </c>
      <c r="F2544">
        <v>235.3</v>
      </c>
      <c r="G2544" t="s">
        <v>5877</v>
      </c>
    </row>
    <row r="2545" spans="5:7" x14ac:dyDescent="0.35">
      <c r="E2545" s="9">
        <v>42357</v>
      </c>
      <c r="F2545">
        <v>241.9</v>
      </c>
      <c r="G2545" t="s">
        <v>5877</v>
      </c>
    </row>
    <row r="2546" spans="5:7" x14ac:dyDescent="0.35">
      <c r="E2546" s="9">
        <v>42358</v>
      </c>
      <c r="F2546">
        <v>248.6</v>
      </c>
      <c r="G2546" t="s">
        <v>5877</v>
      </c>
    </row>
    <row r="2547" spans="5:7" x14ac:dyDescent="0.35">
      <c r="E2547" s="9">
        <v>42359</v>
      </c>
      <c r="F2547">
        <v>240.2</v>
      </c>
      <c r="G2547" t="s">
        <v>5877</v>
      </c>
    </row>
    <row r="2548" spans="5:7" x14ac:dyDescent="0.35">
      <c r="E2548" s="9">
        <v>42360</v>
      </c>
      <c r="F2548">
        <v>222.8</v>
      </c>
      <c r="G2548" t="s">
        <v>5877</v>
      </c>
    </row>
    <row r="2549" spans="5:7" x14ac:dyDescent="0.35">
      <c r="E2549" s="9">
        <v>42361</v>
      </c>
      <c r="F2549">
        <v>210.9</v>
      </c>
      <c r="G2549" t="s">
        <v>5877</v>
      </c>
    </row>
    <row r="2550" spans="5:7" x14ac:dyDescent="0.35">
      <c r="E2550" s="9">
        <v>42362</v>
      </c>
      <c r="F2550">
        <v>212.6</v>
      </c>
      <c r="G2550" t="s">
        <v>5877</v>
      </c>
    </row>
    <row r="2551" spans="5:7" x14ac:dyDescent="0.35">
      <c r="E2551" s="9">
        <v>42363</v>
      </c>
      <c r="F2551">
        <v>223.5</v>
      </c>
      <c r="G2551" t="s">
        <v>5877</v>
      </c>
    </row>
    <row r="2552" spans="5:7" x14ac:dyDescent="0.35">
      <c r="E2552" s="9">
        <v>42364</v>
      </c>
      <c r="F2552">
        <v>229.9</v>
      </c>
      <c r="G2552" t="s">
        <v>5877</v>
      </c>
    </row>
    <row r="2553" spans="5:7" x14ac:dyDescent="0.35">
      <c r="E2553" s="9">
        <v>42365</v>
      </c>
      <c r="F2553">
        <v>232</v>
      </c>
      <c r="G2553" t="s">
        <v>5877</v>
      </c>
    </row>
    <row r="2554" spans="5:7" x14ac:dyDescent="0.35">
      <c r="E2554" s="9">
        <v>42366</v>
      </c>
      <c r="F2554">
        <v>237.1</v>
      </c>
      <c r="G2554" t="s">
        <v>5877</v>
      </c>
    </row>
    <row r="2555" spans="5:7" x14ac:dyDescent="0.35">
      <c r="E2555" s="9">
        <v>42367</v>
      </c>
      <c r="F2555">
        <v>252.2</v>
      </c>
      <c r="G2555" t="s">
        <v>5877</v>
      </c>
    </row>
    <row r="2556" spans="5:7" x14ac:dyDescent="0.35">
      <c r="E2556" s="9">
        <v>42368</v>
      </c>
      <c r="F2556">
        <v>266.39999999999998</v>
      </c>
      <c r="G2556" t="s">
        <v>5877</v>
      </c>
    </row>
    <row r="2557" spans="5:7" x14ac:dyDescent="0.35">
      <c r="E2557" s="9">
        <v>42369</v>
      </c>
      <c r="F2557">
        <v>275</v>
      </c>
      <c r="G2557" t="s">
        <v>5877</v>
      </c>
    </row>
    <row r="2558" spans="5:7" x14ac:dyDescent="0.35">
      <c r="E2558" s="9">
        <v>42370</v>
      </c>
      <c r="F2558">
        <v>271.60000000000002</v>
      </c>
      <c r="G2558" t="s">
        <v>5877</v>
      </c>
    </row>
    <row r="2559" spans="5:7" x14ac:dyDescent="0.35">
      <c r="E2559" s="9">
        <v>42371</v>
      </c>
      <c r="F2559">
        <v>256.60000000000002</v>
      </c>
      <c r="G2559" t="s">
        <v>5877</v>
      </c>
    </row>
    <row r="2560" spans="5:7" x14ac:dyDescent="0.35">
      <c r="E2560" s="9">
        <v>42372</v>
      </c>
      <c r="F2560">
        <v>244.5</v>
      </c>
      <c r="G2560" t="s">
        <v>5877</v>
      </c>
    </row>
    <row r="2561" spans="5:7" x14ac:dyDescent="0.35">
      <c r="E2561" s="9">
        <v>42373</v>
      </c>
      <c r="F2561">
        <v>234.3</v>
      </c>
      <c r="G2561" t="s">
        <v>5877</v>
      </c>
    </row>
    <row r="2562" spans="5:7" x14ac:dyDescent="0.35">
      <c r="E2562" s="9">
        <v>42374</v>
      </c>
      <c r="F2562">
        <v>228.6</v>
      </c>
      <c r="G2562" t="s">
        <v>5877</v>
      </c>
    </row>
    <row r="2563" spans="5:7" x14ac:dyDescent="0.35">
      <c r="E2563" s="9">
        <v>42375</v>
      </c>
      <c r="F2563">
        <v>224.3</v>
      </c>
      <c r="G2563" t="s">
        <v>5877</v>
      </c>
    </row>
    <row r="2564" spans="5:7" x14ac:dyDescent="0.35">
      <c r="E2564" s="9">
        <v>42376</v>
      </c>
      <c r="F2564">
        <v>223.2</v>
      </c>
      <c r="G2564" t="s">
        <v>5877</v>
      </c>
    </row>
    <row r="2565" spans="5:7" x14ac:dyDescent="0.35">
      <c r="E2565" s="9">
        <v>42377</v>
      </c>
      <c r="F2565">
        <v>220.2</v>
      </c>
      <c r="G2565" t="s">
        <v>5877</v>
      </c>
    </row>
    <row r="2566" spans="5:7" x14ac:dyDescent="0.35">
      <c r="E2566" s="9">
        <v>42378</v>
      </c>
      <c r="F2566">
        <v>214.8</v>
      </c>
      <c r="G2566" t="s">
        <v>5877</v>
      </c>
    </row>
    <row r="2567" spans="5:7" x14ac:dyDescent="0.35">
      <c r="E2567" s="9">
        <v>42379</v>
      </c>
      <c r="F2567">
        <v>214.6</v>
      </c>
      <c r="G2567" t="s">
        <v>5877</v>
      </c>
    </row>
    <row r="2568" spans="5:7" x14ac:dyDescent="0.35">
      <c r="E2568" s="9">
        <v>42380</v>
      </c>
      <c r="F2568">
        <v>220.4</v>
      </c>
      <c r="G2568" t="s">
        <v>5877</v>
      </c>
    </row>
    <row r="2569" spans="5:7" x14ac:dyDescent="0.35">
      <c r="E2569" s="9">
        <v>42381</v>
      </c>
      <c r="F2569">
        <v>220</v>
      </c>
      <c r="G2569" t="s">
        <v>5877</v>
      </c>
    </row>
    <row r="2570" spans="5:7" x14ac:dyDescent="0.35">
      <c r="E2570" s="9">
        <v>42382</v>
      </c>
      <c r="F2570">
        <v>216.4</v>
      </c>
      <c r="G2570" t="s">
        <v>5877</v>
      </c>
    </row>
    <row r="2571" spans="5:7" x14ac:dyDescent="0.35">
      <c r="E2571" s="9">
        <v>42383</v>
      </c>
      <c r="F2571">
        <v>218.8</v>
      </c>
      <c r="G2571" t="s">
        <v>5877</v>
      </c>
    </row>
    <row r="2572" spans="5:7" x14ac:dyDescent="0.35">
      <c r="E2572" s="9">
        <v>42384</v>
      </c>
      <c r="F2572">
        <v>227.1</v>
      </c>
      <c r="G2572" t="s">
        <v>5877</v>
      </c>
    </row>
    <row r="2573" spans="5:7" x14ac:dyDescent="0.35">
      <c r="E2573" s="9">
        <v>42385</v>
      </c>
      <c r="F2573">
        <v>231.5</v>
      </c>
      <c r="G2573" t="s">
        <v>5877</v>
      </c>
    </row>
    <row r="2574" spans="5:7" x14ac:dyDescent="0.35">
      <c r="E2574" s="9">
        <v>42386</v>
      </c>
      <c r="F2574">
        <v>228.7</v>
      </c>
      <c r="G2574" t="s">
        <v>5877</v>
      </c>
    </row>
    <row r="2575" spans="5:7" x14ac:dyDescent="0.35">
      <c r="E2575" s="9">
        <v>42387</v>
      </c>
      <c r="F2575">
        <v>226.1</v>
      </c>
      <c r="G2575" t="s">
        <v>5877</v>
      </c>
    </row>
    <row r="2576" spans="5:7" x14ac:dyDescent="0.35">
      <c r="E2576" s="9">
        <v>42388</v>
      </c>
      <c r="F2576">
        <v>223.3</v>
      </c>
      <c r="G2576" t="s">
        <v>5877</v>
      </c>
    </row>
    <row r="2577" spans="5:7" x14ac:dyDescent="0.35">
      <c r="E2577" s="9">
        <v>42389</v>
      </c>
      <c r="F2577">
        <v>221</v>
      </c>
      <c r="G2577" t="s">
        <v>5877</v>
      </c>
    </row>
    <row r="2578" spans="5:7" x14ac:dyDescent="0.35">
      <c r="E2578" s="9">
        <v>42390</v>
      </c>
      <c r="F2578">
        <v>218.3</v>
      </c>
      <c r="G2578" t="s">
        <v>5877</v>
      </c>
    </row>
    <row r="2579" spans="5:7" x14ac:dyDescent="0.35">
      <c r="E2579" s="9">
        <v>42391</v>
      </c>
      <c r="F2579">
        <v>215.2</v>
      </c>
      <c r="G2579" t="s">
        <v>5877</v>
      </c>
    </row>
    <row r="2580" spans="5:7" x14ac:dyDescent="0.35">
      <c r="E2580" s="9">
        <v>42392</v>
      </c>
      <c r="F2580">
        <v>210.4</v>
      </c>
      <c r="G2580" t="s">
        <v>5877</v>
      </c>
    </row>
    <row r="2581" spans="5:7" x14ac:dyDescent="0.35">
      <c r="E2581" s="9">
        <v>42393</v>
      </c>
      <c r="F2581">
        <v>203.8</v>
      </c>
      <c r="G2581" t="s">
        <v>5877</v>
      </c>
    </row>
    <row r="2582" spans="5:7" x14ac:dyDescent="0.35">
      <c r="E2582" s="9">
        <v>42394</v>
      </c>
      <c r="F2582">
        <v>194.4</v>
      </c>
      <c r="G2582" t="s">
        <v>5877</v>
      </c>
    </row>
    <row r="2583" spans="5:7" x14ac:dyDescent="0.35">
      <c r="E2583" s="9">
        <v>42395</v>
      </c>
      <c r="F2583">
        <v>191.5</v>
      </c>
      <c r="G2583" t="s">
        <v>5877</v>
      </c>
    </row>
    <row r="2584" spans="5:7" x14ac:dyDescent="0.35">
      <c r="E2584" s="9">
        <v>42396</v>
      </c>
      <c r="F2584">
        <v>194.9</v>
      </c>
      <c r="G2584" t="s">
        <v>5877</v>
      </c>
    </row>
    <row r="2585" spans="5:7" x14ac:dyDescent="0.35">
      <c r="E2585" s="9">
        <v>42397</v>
      </c>
      <c r="F2585">
        <v>193.8</v>
      </c>
      <c r="G2585" t="s">
        <v>5877</v>
      </c>
    </row>
    <row r="2586" spans="5:7" x14ac:dyDescent="0.35">
      <c r="E2586" s="9">
        <v>42398</v>
      </c>
      <c r="F2586">
        <v>188</v>
      </c>
      <c r="G2586" t="s">
        <v>5877</v>
      </c>
    </row>
    <row r="2587" spans="5:7" x14ac:dyDescent="0.35">
      <c r="E2587" s="9">
        <v>42399</v>
      </c>
      <c r="F2587">
        <v>178.9</v>
      </c>
      <c r="G2587" t="s">
        <v>5877</v>
      </c>
    </row>
    <row r="2588" spans="5:7" x14ac:dyDescent="0.35">
      <c r="E2588" s="9">
        <v>42400</v>
      </c>
      <c r="F2588">
        <v>172.2</v>
      </c>
      <c r="G2588" t="s">
        <v>5877</v>
      </c>
    </row>
    <row r="2589" spans="5:7" x14ac:dyDescent="0.35">
      <c r="E2589" s="9">
        <v>42401</v>
      </c>
      <c r="F2589">
        <v>176.2</v>
      </c>
      <c r="G2589" t="s">
        <v>5877</v>
      </c>
    </row>
    <row r="2590" spans="5:7" x14ac:dyDescent="0.35">
      <c r="E2590" s="9">
        <v>42402</v>
      </c>
      <c r="F2590">
        <v>169.5</v>
      </c>
      <c r="G2590" t="s">
        <v>5877</v>
      </c>
    </row>
    <row r="2591" spans="5:7" x14ac:dyDescent="0.35">
      <c r="E2591" s="9">
        <v>42403</v>
      </c>
      <c r="F2591">
        <v>176.9</v>
      </c>
      <c r="G2591" t="s">
        <v>5877</v>
      </c>
    </row>
    <row r="2592" spans="5:7" x14ac:dyDescent="0.35">
      <c r="E2592" s="9">
        <v>42404</v>
      </c>
      <c r="F2592">
        <v>175.5</v>
      </c>
      <c r="G2592" t="s">
        <v>5877</v>
      </c>
    </row>
    <row r="2593" spans="5:7" x14ac:dyDescent="0.35">
      <c r="E2593" s="9">
        <v>42405</v>
      </c>
      <c r="F2593">
        <v>167.6</v>
      </c>
      <c r="G2593" t="s">
        <v>5877</v>
      </c>
    </row>
    <row r="2594" spans="5:7" x14ac:dyDescent="0.35">
      <c r="E2594" s="9">
        <v>42406</v>
      </c>
      <c r="F2594">
        <v>153.9</v>
      </c>
      <c r="G2594" t="s">
        <v>5877</v>
      </c>
    </row>
    <row r="2595" spans="5:7" x14ac:dyDescent="0.35">
      <c r="E2595" s="9">
        <v>42407</v>
      </c>
      <c r="F2595">
        <v>145.9</v>
      </c>
      <c r="G2595" t="s">
        <v>5877</v>
      </c>
    </row>
    <row r="2596" spans="5:7" x14ac:dyDescent="0.35">
      <c r="E2596" s="9">
        <v>42408</v>
      </c>
      <c r="F2596">
        <v>147.4</v>
      </c>
      <c r="G2596" t="s">
        <v>5877</v>
      </c>
    </row>
    <row r="2597" spans="5:7" x14ac:dyDescent="0.35">
      <c r="E2597" s="9">
        <v>42409</v>
      </c>
      <c r="F2597">
        <v>154.19999999999999</v>
      </c>
      <c r="G2597" t="s">
        <v>5877</v>
      </c>
    </row>
    <row r="2598" spans="5:7" x14ac:dyDescent="0.35">
      <c r="E2598" s="9">
        <v>42410</v>
      </c>
      <c r="F2598">
        <v>155.30000000000001</v>
      </c>
      <c r="G2598" t="s">
        <v>5877</v>
      </c>
    </row>
    <row r="2599" spans="5:7" x14ac:dyDescent="0.35">
      <c r="E2599" s="9">
        <v>42411</v>
      </c>
      <c r="F2599">
        <v>153.30000000000001</v>
      </c>
      <c r="G2599" t="s">
        <v>5877</v>
      </c>
    </row>
    <row r="2600" spans="5:7" x14ac:dyDescent="0.35">
      <c r="E2600" s="9">
        <v>42412</v>
      </c>
      <c r="F2600">
        <v>151.4</v>
      </c>
      <c r="G2600" t="s">
        <v>5877</v>
      </c>
    </row>
    <row r="2601" spans="5:7" x14ac:dyDescent="0.35">
      <c r="E2601" s="9">
        <v>42413</v>
      </c>
      <c r="F2601">
        <v>154.4</v>
      </c>
      <c r="G2601" t="s">
        <v>5877</v>
      </c>
    </row>
    <row r="2602" spans="5:7" x14ac:dyDescent="0.35">
      <c r="E2602" s="9">
        <v>42414</v>
      </c>
      <c r="F2602">
        <v>163</v>
      </c>
      <c r="G2602" t="s">
        <v>5877</v>
      </c>
    </row>
    <row r="2603" spans="5:7" x14ac:dyDescent="0.35">
      <c r="E2603" s="9">
        <v>42415</v>
      </c>
      <c r="F2603">
        <v>168.3</v>
      </c>
      <c r="G2603" t="s">
        <v>5877</v>
      </c>
    </row>
    <row r="2604" spans="5:7" x14ac:dyDescent="0.35">
      <c r="E2604" s="9">
        <v>42416</v>
      </c>
      <c r="F2604">
        <v>163.9</v>
      </c>
      <c r="G2604" t="s">
        <v>5877</v>
      </c>
    </row>
    <row r="2605" spans="5:7" x14ac:dyDescent="0.35">
      <c r="E2605" s="9">
        <v>42417</v>
      </c>
      <c r="F2605">
        <v>158.1</v>
      </c>
      <c r="G2605" t="s">
        <v>5877</v>
      </c>
    </row>
    <row r="2606" spans="5:7" x14ac:dyDescent="0.35">
      <c r="E2606" s="9">
        <v>42418</v>
      </c>
      <c r="F2606">
        <v>160.19999999999999</v>
      </c>
      <c r="G2606" t="s">
        <v>5877</v>
      </c>
    </row>
    <row r="2607" spans="5:7" x14ac:dyDescent="0.35">
      <c r="E2607" s="9">
        <v>42419</v>
      </c>
      <c r="F2607">
        <v>170.3</v>
      </c>
      <c r="G2607" t="s">
        <v>5877</v>
      </c>
    </row>
    <row r="2608" spans="5:7" x14ac:dyDescent="0.35">
      <c r="E2608" s="9">
        <v>42420</v>
      </c>
      <c r="F2608">
        <v>177</v>
      </c>
      <c r="G2608" t="s">
        <v>5877</v>
      </c>
    </row>
    <row r="2609" spans="5:7" x14ac:dyDescent="0.35">
      <c r="E2609" s="9">
        <v>42421</v>
      </c>
      <c r="F2609">
        <v>178.1</v>
      </c>
      <c r="G2609" t="s">
        <v>5877</v>
      </c>
    </row>
    <row r="2610" spans="5:7" x14ac:dyDescent="0.35">
      <c r="E2610" s="9">
        <v>42422</v>
      </c>
      <c r="F2610">
        <v>179.5</v>
      </c>
      <c r="G2610" t="s">
        <v>5877</v>
      </c>
    </row>
    <row r="2611" spans="5:7" x14ac:dyDescent="0.35">
      <c r="E2611" s="9">
        <v>42423</v>
      </c>
      <c r="F2611">
        <v>185.9</v>
      </c>
      <c r="G2611" t="s">
        <v>5877</v>
      </c>
    </row>
    <row r="2612" spans="5:7" x14ac:dyDescent="0.35">
      <c r="E2612" s="9">
        <v>42424</v>
      </c>
      <c r="F2612">
        <v>193.9</v>
      </c>
      <c r="G2612" t="s">
        <v>5877</v>
      </c>
    </row>
    <row r="2613" spans="5:7" x14ac:dyDescent="0.35">
      <c r="E2613" s="9">
        <v>42425</v>
      </c>
      <c r="F2613">
        <v>196.1</v>
      </c>
      <c r="G2613" t="s">
        <v>5877</v>
      </c>
    </row>
    <row r="2614" spans="5:7" x14ac:dyDescent="0.35">
      <c r="E2614" s="9">
        <v>42426</v>
      </c>
      <c r="F2614">
        <v>193.7</v>
      </c>
      <c r="G2614" t="s">
        <v>5877</v>
      </c>
    </row>
    <row r="2615" spans="5:7" x14ac:dyDescent="0.35">
      <c r="E2615" s="9">
        <v>42427</v>
      </c>
      <c r="F2615">
        <v>186.5</v>
      </c>
      <c r="G2615" t="s">
        <v>5877</v>
      </c>
    </row>
    <row r="2616" spans="5:7" x14ac:dyDescent="0.35">
      <c r="E2616" s="9">
        <v>42428</v>
      </c>
      <c r="F2616">
        <v>177.6</v>
      </c>
      <c r="G2616" t="s">
        <v>5877</v>
      </c>
    </row>
    <row r="2617" spans="5:7" x14ac:dyDescent="0.35">
      <c r="E2617" s="9">
        <v>42429</v>
      </c>
      <c r="F2617">
        <v>169</v>
      </c>
      <c r="G2617" t="s">
        <v>5877</v>
      </c>
    </row>
    <row r="2618" spans="5:7" x14ac:dyDescent="0.35">
      <c r="E2618" s="9">
        <v>42430</v>
      </c>
      <c r="F2618">
        <v>166.4</v>
      </c>
      <c r="G2618" t="s">
        <v>5877</v>
      </c>
    </row>
    <row r="2619" spans="5:7" x14ac:dyDescent="0.35">
      <c r="E2619" s="9">
        <v>42431</v>
      </c>
      <c r="F2619">
        <v>185.5</v>
      </c>
      <c r="G2619" t="s">
        <v>5877</v>
      </c>
    </row>
    <row r="2620" spans="5:7" x14ac:dyDescent="0.35">
      <c r="E2620" s="9">
        <v>42432</v>
      </c>
      <c r="F2620">
        <v>204.3</v>
      </c>
      <c r="G2620" t="s">
        <v>5877</v>
      </c>
    </row>
    <row r="2621" spans="5:7" x14ac:dyDescent="0.35">
      <c r="E2621" s="9">
        <v>42433</v>
      </c>
      <c r="F2621">
        <v>223.4</v>
      </c>
      <c r="G2621" t="s">
        <v>5877</v>
      </c>
    </row>
    <row r="2622" spans="5:7" x14ac:dyDescent="0.35">
      <c r="E2622" s="9">
        <v>42434</v>
      </c>
      <c r="F2622">
        <v>235.3</v>
      </c>
      <c r="G2622" t="s">
        <v>5877</v>
      </c>
    </row>
    <row r="2623" spans="5:7" x14ac:dyDescent="0.35">
      <c r="E2623" s="9">
        <v>42435</v>
      </c>
      <c r="F2623">
        <v>240</v>
      </c>
      <c r="G2623" t="s">
        <v>5877</v>
      </c>
    </row>
    <row r="2624" spans="5:7" x14ac:dyDescent="0.35">
      <c r="E2624" s="9">
        <v>42436</v>
      </c>
      <c r="F2624">
        <v>245.1</v>
      </c>
      <c r="G2624" t="s">
        <v>5877</v>
      </c>
    </row>
    <row r="2625" spans="5:7" x14ac:dyDescent="0.35">
      <c r="E2625" s="9">
        <v>42437</v>
      </c>
      <c r="F2625">
        <v>260.7</v>
      </c>
      <c r="G2625" t="s">
        <v>5877</v>
      </c>
    </row>
    <row r="2626" spans="5:7" x14ac:dyDescent="0.35">
      <c r="E2626" s="9">
        <v>42438</v>
      </c>
      <c r="F2626">
        <v>282.7</v>
      </c>
      <c r="G2626" t="s">
        <v>5877</v>
      </c>
    </row>
    <row r="2627" spans="5:7" x14ac:dyDescent="0.35">
      <c r="E2627" s="9">
        <v>42439</v>
      </c>
      <c r="F2627">
        <v>287.39999999999998</v>
      </c>
      <c r="G2627" t="s">
        <v>5877</v>
      </c>
    </row>
    <row r="2628" spans="5:7" x14ac:dyDescent="0.35">
      <c r="E2628" s="9">
        <v>42440</v>
      </c>
      <c r="F2628">
        <v>274.60000000000002</v>
      </c>
      <c r="G2628" t="s">
        <v>5877</v>
      </c>
    </row>
    <row r="2629" spans="5:7" x14ac:dyDescent="0.35">
      <c r="E2629" s="9">
        <v>42441</v>
      </c>
      <c r="F2629">
        <v>256.2</v>
      </c>
      <c r="G2629" t="s">
        <v>5877</v>
      </c>
    </row>
    <row r="2630" spans="5:7" x14ac:dyDescent="0.35">
      <c r="E2630" s="9">
        <v>42442</v>
      </c>
      <c r="F2630">
        <v>240.5</v>
      </c>
      <c r="G2630" t="s">
        <v>5877</v>
      </c>
    </row>
    <row r="2631" spans="5:7" x14ac:dyDescent="0.35">
      <c r="E2631" s="9">
        <v>42443</v>
      </c>
      <c r="F2631">
        <v>235.1</v>
      </c>
      <c r="G2631" t="s">
        <v>5877</v>
      </c>
    </row>
    <row r="2632" spans="5:7" x14ac:dyDescent="0.35">
      <c r="E2632" s="9">
        <v>42444</v>
      </c>
      <c r="F2632">
        <v>238.1</v>
      </c>
      <c r="G2632" t="s">
        <v>5877</v>
      </c>
    </row>
    <row r="2633" spans="5:7" x14ac:dyDescent="0.35">
      <c r="E2633" s="9">
        <v>42445</v>
      </c>
      <c r="F2633">
        <v>242.9</v>
      </c>
      <c r="G2633" t="s">
        <v>5877</v>
      </c>
    </row>
    <row r="2634" spans="5:7" x14ac:dyDescent="0.35">
      <c r="E2634" s="9">
        <v>42446</v>
      </c>
      <c r="F2634">
        <v>245.6</v>
      </c>
      <c r="G2634" t="s">
        <v>5877</v>
      </c>
    </row>
    <row r="2635" spans="5:7" x14ac:dyDescent="0.35">
      <c r="E2635" s="9">
        <v>42447</v>
      </c>
      <c r="F2635">
        <v>240.4</v>
      </c>
      <c r="G2635" t="s">
        <v>5877</v>
      </c>
    </row>
    <row r="2636" spans="5:7" x14ac:dyDescent="0.35">
      <c r="E2636" s="9">
        <v>42448</v>
      </c>
      <c r="F2636">
        <v>231.5</v>
      </c>
      <c r="G2636" t="s">
        <v>5877</v>
      </c>
    </row>
    <row r="2637" spans="5:7" x14ac:dyDescent="0.35">
      <c r="E2637" s="9">
        <v>42449</v>
      </c>
      <c r="F2637">
        <v>219.9</v>
      </c>
      <c r="G2637" t="s">
        <v>5877</v>
      </c>
    </row>
    <row r="2638" spans="5:7" x14ac:dyDescent="0.35">
      <c r="E2638" s="9">
        <v>42450</v>
      </c>
      <c r="F2638">
        <v>217.4</v>
      </c>
      <c r="G2638" t="s">
        <v>5877</v>
      </c>
    </row>
    <row r="2639" spans="5:7" x14ac:dyDescent="0.35">
      <c r="E2639" s="9">
        <v>42451</v>
      </c>
      <c r="F2639">
        <v>221.2</v>
      </c>
      <c r="G2639" t="s">
        <v>5877</v>
      </c>
    </row>
    <row r="2640" spans="5:7" x14ac:dyDescent="0.35">
      <c r="E2640" s="9">
        <v>42452</v>
      </c>
      <c r="F2640">
        <v>221.3</v>
      </c>
      <c r="G2640" t="s">
        <v>5877</v>
      </c>
    </row>
    <row r="2641" spans="5:7" x14ac:dyDescent="0.35">
      <c r="E2641" s="9">
        <v>42453</v>
      </c>
      <c r="F2641">
        <v>215.5</v>
      </c>
      <c r="G2641" t="s">
        <v>5877</v>
      </c>
    </row>
    <row r="2642" spans="5:7" x14ac:dyDescent="0.35">
      <c r="E2642" s="9">
        <v>42454</v>
      </c>
      <c r="F2642">
        <v>207.7</v>
      </c>
      <c r="G2642" t="s">
        <v>5877</v>
      </c>
    </row>
    <row r="2643" spans="5:7" x14ac:dyDescent="0.35">
      <c r="E2643" s="9">
        <v>42455</v>
      </c>
      <c r="F2643">
        <v>205.2</v>
      </c>
      <c r="G2643" t="s">
        <v>5877</v>
      </c>
    </row>
    <row r="2644" spans="5:7" x14ac:dyDescent="0.35">
      <c r="E2644" s="9">
        <v>42456</v>
      </c>
      <c r="F2644">
        <v>209.9</v>
      </c>
      <c r="G2644" t="s">
        <v>5877</v>
      </c>
    </row>
    <row r="2645" spans="5:7" x14ac:dyDescent="0.35">
      <c r="E2645" s="9">
        <v>42457</v>
      </c>
      <c r="F2645">
        <v>213.8</v>
      </c>
      <c r="G2645" t="s">
        <v>5877</v>
      </c>
    </row>
    <row r="2646" spans="5:7" x14ac:dyDescent="0.35">
      <c r="E2646" s="9">
        <v>42458</v>
      </c>
      <c r="F2646">
        <v>208.7</v>
      </c>
      <c r="G2646" t="s">
        <v>5877</v>
      </c>
    </row>
    <row r="2647" spans="5:7" x14ac:dyDescent="0.35">
      <c r="E2647" s="9">
        <v>42459</v>
      </c>
      <c r="F2647">
        <v>200.8</v>
      </c>
      <c r="G2647" t="s">
        <v>5877</v>
      </c>
    </row>
    <row r="2648" spans="5:7" x14ac:dyDescent="0.35">
      <c r="E2648" s="9">
        <v>42460</v>
      </c>
      <c r="F2648">
        <v>205.7</v>
      </c>
      <c r="G2648" t="s">
        <v>5877</v>
      </c>
    </row>
    <row r="2649" spans="5:7" x14ac:dyDescent="0.35">
      <c r="E2649" s="9">
        <v>42461</v>
      </c>
      <c r="F2649">
        <v>227.8</v>
      </c>
      <c r="G2649" t="s">
        <v>5877</v>
      </c>
    </row>
    <row r="2650" spans="5:7" x14ac:dyDescent="0.35">
      <c r="E2650" s="9">
        <v>42462</v>
      </c>
      <c r="F2650">
        <v>263.10000000000002</v>
      </c>
      <c r="G2650" t="s">
        <v>5877</v>
      </c>
    </row>
    <row r="2651" spans="5:7" x14ac:dyDescent="0.35">
      <c r="E2651" s="9">
        <v>42463</v>
      </c>
      <c r="F2651">
        <v>270.89999999999998</v>
      </c>
      <c r="G2651" t="s">
        <v>5877</v>
      </c>
    </row>
    <row r="2652" spans="5:7" x14ac:dyDescent="0.35">
      <c r="E2652" s="9">
        <v>42464</v>
      </c>
      <c r="F2652">
        <v>256</v>
      </c>
      <c r="G2652" t="s">
        <v>5877</v>
      </c>
    </row>
    <row r="2653" spans="5:7" x14ac:dyDescent="0.35">
      <c r="E2653" s="9">
        <v>42465</v>
      </c>
      <c r="F2653">
        <v>232</v>
      </c>
      <c r="G2653" t="s">
        <v>5877</v>
      </c>
    </row>
    <row r="2654" spans="5:7" x14ac:dyDescent="0.35">
      <c r="E2654" s="9">
        <v>42466</v>
      </c>
      <c r="F2654">
        <v>211.3</v>
      </c>
      <c r="G2654" t="s">
        <v>5877</v>
      </c>
    </row>
    <row r="2655" spans="5:7" x14ac:dyDescent="0.35">
      <c r="E2655" s="9">
        <v>42467</v>
      </c>
      <c r="F2655">
        <v>208.3</v>
      </c>
      <c r="G2655" t="s">
        <v>5877</v>
      </c>
    </row>
    <row r="2656" spans="5:7" x14ac:dyDescent="0.35">
      <c r="E2656" s="9">
        <v>42468</v>
      </c>
      <c r="F2656">
        <v>222.4</v>
      </c>
      <c r="G2656" t="s">
        <v>5877</v>
      </c>
    </row>
    <row r="2657" spans="5:7" x14ac:dyDescent="0.35">
      <c r="E2657" s="9">
        <v>42469</v>
      </c>
      <c r="F2657">
        <v>236.3</v>
      </c>
      <c r="G2657" t="s">
        <v>5877</v>
      </c>
    </row>
    <row r="2658" spans="5:7" x14ac:dyDescent="0.35">
      <c r="E2658" s="9">
        <v>42470</v>
      </c>
      <c r="F2658">
        <v>235</v>
      </c>
      <c r="G2658" t="s">
        <v>5877</v>
      </c>
    </row>
    <row r="2659" spans="5:7" x14ac:dyDescent="0.35">
      <c r="E2659" s="9">
        <v>42471</v>
      </c>
      <c r="F2659">
        <v>218.4</v>
      </c>
      <c r="G2659" t="s">
        <v>5877</v>
      </c>
    </row>
    <row r="2660" spans="5:7" x14ac:dyDescent="0.35">
      <c r="E2660" s="9">
        <v>42472</v>
      </c>
      <c r="F2660">
        <v>198.6</v>
      </c>
      <c r="G2660" t="s">
        <v>5877</v>
      </c>
    </row>
    <row r="2661" spans="5:7" x14ac:dyDescent="0.35">
      <c r="E2661" s="9">
        <v>42473</v>
      </c>
      <c r="F2661">
        <v>186.3</v>
      </c>
      <c r="G2661" t="s">
        <v>5877</v>
      </c>
    </row>
    <row r="2662" spans="5:7" x14ac:dyDescent="0.35">
      <c r="E2662" s="9">
        <v>42474</v>
      </c>
      <c r="F2662">
        <v>182.1</v>
      </c>
      <c r="G2662" t="s">
        <v>5877</v>
      </c>
    </row>
    <row r="2663" spans="5:7" x14ac:dyDescent="0.35">
      <c r="E2663" s="9">
        <v>42475</v>
      </c>
      <c r="F2663">
        <v>180.8</v>
      </c>
      <c r="G2663" t="s">
        <v>5877</v>
      </c>
    </row>
    <row r="2664" spans="5:7" x14ac:dyDescent="0.35">
      <c r="E2664" s="9">
        <v>42476</v>
      </c>
      <c r="F2664">
        <v>181.2</v>
      </c>
      <c r="G2664" t="s">
        <v>5877</v>
      </c>
    </row>
    <row r="2665" spans="5:7" x14ac:dyDescent="0.35">
      <c r="E2665" s="9">
        <v>42477</v>
      </c>
      <c r="F2665">
        <v>194</v>
      </c>
      <c r="G2665" t="s">
        <v>5877</v>
      </c>
    </row>
    <row r="2666" spans="5:7" x14ac:dyDescent="0.35">
      <c r="E2666" s="9">
        <v>42478</v>
      </c>
      <c r="F2666">
        <v>220.4</v>
      </c>
      <c r="G2666" t="s">
        <v>5877</v>
      </c>
    </row>
    <row r="2667" spans="5:7" x14ac:dyDescent="0.35">
      <c r="E2667" s="9">
        <v>42479</v>
      </c>
      <c r="F2667">
        <v>250.9</v>
      </c>
      <c r="G2667" t="s">
        <v>5877</v>
      </c>
    </row>
    <row r="2668" spans="5:7" x14ac:dyDescent="0.35">
      <c r="E2668" s="9">
        <v>42480</v>
      </c>
      <c r="F2668">
        <v>264.5</v>
      </c>
      <c r="G2668" t="s">
        <v>5877</v>
      </c>
    </row>
    <row r="2669" spans="5:7" x14ac:dyDescent="0.35">
      <c r="E2669" s="9">
        <v>42481</v>
      </c>
      <c r="F2669">
        <v>259.2</v>
      </c>
      <c r="G2669" t="s">
        <v>5877</v>
      </c>
    </row>
    <row r="2670" spans="5:7" x14ac:dyDescent="0.35">
      <c r="E2670" s="9">
        <v>42482</v>
      </c>
      <c r="F2670">
        <v>238.5</v>
      </c>
      <c r="G2670" t="s">
        <v>5877</v>
      </c>
    </row>
    <row r="2671" spans="5:7" x14ac:dyDescent="0.35">
      <c r="E2671" s="9">
        <v>42483</v>
      </c>
      <c r="F2671">
        <v>226.5</v>
      </c>
      <c r="G2671" t="s">
        <v>5877</v>
      </c>
    </row>
    <row r="2672" spans="5:7" x14ac:dyDescent="0.35">
      <c r="E2672" s="9">
        <v>42484</v>
      </c>
      <c r="F2672">
        <v>234.2</v>
      </c>
      <c r="G2672" t="s">
        <v>5877</v>
      </c>
    </row>
    <row r="2673" spans="5:7" x14ac:dyDescent="0.35">
      <c r="E2673" s="9">
        <v>42485</v>
      </c>
      <c r="F2673">
        <v>246</v>
      </c>
      <c r="G2673" t="s">
        <v>5877</v>
      </c>
    </row>
    <row r="2674" spans="5:7" x14ac:dyDescent="0.35">
      <c r="E2674" s="9">
        <v>42486</v>
      </c>
      <c r="F2674">
        <v>249</v>
      </c>
      <c r="G2674" t="s">
        <v>5877</v>
      </c>
    </row>
    <row r="2675" spans="5:7" x14ac:dyDescent="0.35">
      <c r="E2675" s="9">
        <v>42487</v>
      </c>
      <c r="F2675">
        <v>244.9</v>
      </c>
      <c r="G2675" t="s">
        <v>5877</v>
      </c>
    </row>
    <row r="2676" spans="5:7" x14ac:dyDescent="0.35">
      <c r="E2676" s="9">
        <v>42488</v>
      </c>
      <c r="F2676">
        <v>237.3</v>
      </c>
      <c r="G2676" t="s">
        <v>5877</v>
      </c>
    </row>
    <row r="2677" spans="5:7" x14ac:dyDescent="0.35">
      <c r="E2677" s="9">
        <v>42489</v>
      </c>
      <c r="F2677">
        <v>224.5</v>
      </c>
      <c r="G2677" t="s">
        <v>5877</v>
      </c>
    </row>
    <row r="2678" spans="5:7" x14ac:dyDescent="0.35">
      <c r="E2678" s="9">
        <v>42490</v>
      </c>
      <c r="F2678">
        <v>211.3</v>
      </c>
      <c r="G2678" t="s">
        <v>5877</v>
      </c>
    </row>
    <row r="2679" spans="5:7" x14ac:dyDescent="0.35">
      <c r="E2679" s="9">
        <v>42491</v>
      </c>
      <c r="F2679">
        <v>199.7</v>
      </c>
      <c r="G2679" t="s">
        <v>5877</v>
      </c>
    </row>
    <row r="2680" spans="5:7" x14ac:dyDescent="0.35">
      <c r="E2680" s="9">
        <v>42492</v>
      </c>
      <c r="F2680">
        <v>195.1</v>
      </c>
      <c r="G2680" t="s">
        <v>5877</v>
      </c>
    </row>
    <row r="2681" spans="5:7" x14ac:dyDescent="0.35">
      <c r="E2681" s="9">
        <v>42493</v>
      </c>
      <c r="F2681">
        <v>196.6</v>
      </c>
      <c r="G2681" t="s">
        <v>5877</v>
      </c>
    </row>
    <row r="2682" spans="5:7" x14ac:dyDescent="0.35">
      <c r="E2682" s="9">
        <v>42494</v>
      </c>
      <c r="F2682">
        <v>202.3</v>
      </c>
      <c r="G2682" t="s">
        <v>5877</v>
      </c>
    </row>
    <row r="2683" spans="5:7" x14ac:dyDescent="0.35">
      <c r="E2683" s="9">
        <v>42495</v>
      </c>
      <c r="F2683">
        <v>215.6</v>
      </c>
      <c r="G2683" t="s">
        <v>5877</v>
      </c>
    </row>
    <row r="2684" spans="5:7" x14ac:dyDescent="0.35">
      <c r="E2684" s="9">
        <v>42496</v>
      </c>
      <c r="F2684">
        <v>238.1</v>
      </c>
      <c r="G2684" t="s">
        <v>5877</v>
      </c>
    </row>
    <row r="2685" spans="5:7" x14ac:dyDescent="0.35">
      <c r="E2685" s="9">
        <v>42497</v>
      </c>
      <c r="F2685">
        <v>257.10000000000002</v>
      </c>
      <c r="G2685" t="s">
        <v>5877</v>
      </c>
    </row>
    <row r="2686" spans="5:7" x14ac:dyDescent="0.35">
      <c r="E2686" s="9">
        <v>42498</v>
      </c>
      <c r="F2686">
        <v>255.5</v>
      </c>
      <c r="G2686" t="s">
        <v>5877</v>
      </c>
    </row>
    <row r="2687" spans="5:7" x14ac:dyDescent="0.35">
      <c r="E2687" s="9">
        <v>42499</v>
      </c>
      <c r="F2687">
        <v>237.5</v>
      </c>
      <c r="G2687" t="s">
        <v>5877</v>
      </c>
    </row>
    <row r="2688" spans="5:7" x14ac:dyDescent="0.35">
      <c r="E2688" s="9">
        <v>42500</v>
      </c>
      <c r="F2688">
        <v>211.6</v>
      </c>
      <c r="G2688" t="s">
        <v>5877</v>
      </c>
    </row>
    <row r="2689" spans="5:7" x14ac:dyDescent="0.35">
      <c r="E2689" s="9">
        <v>42501</v>
      </c>
      <c r="F2689">
        <v>188.1</v>
      </c>
      <c r="G2689" t="s">
        <v>5877</v>
      </c>
    </row>
    <row r="2690" spans="5:7" x14ac:dyDescent="0.35">
      <c r="E2690" s="9">
        <v>42502</v>
      </c>
      <c r="F2690">
        <v>169.7</v>
      </c>
      <c r="G2690" t="s">
        <v>5877</v>
      </c>
    </row>
    <row r="2691" spans="5:7" x14ac:dyDescent="0.35">
      <c r="E2691" s="9">
        <v>42503</v>
      </c>
      <c r="F2691">
        <v>155.69999999999999</v>
      </c>
      <c r="G2691" t="s">
        <v>5877</v>
      </c>
    </row>
    <row r="2692" spans="5:7" x14ac:dyDescent="0.35">
      <c r="E2692" s="9">
        <v>42504</v>
      </c>
      <c r="F2692">
        <v>145.19999999999999</v>
      </c>
      <c r="G2692" t="s">
        <v>5877</v>
      </c>
    </row>
    <row r="2693" spans="5:7" x14ac:dyDescent="0.35">
      <c r="E2693" s="9">
        <v>42505</v>
      </c>
      <c r="F2693">
        <v>138.5</v>
      </c>
      <c r="G2693" t="s">
        <v>5877</v>
      </c>
    </row>
    <row r="2694" spans="5:7" x14ac:dyDescent="0.35">
      <c r="E2694" s="9">
        <v>42506</v>
      </c>
      <c r="F2694">
        <v>136.9</v>
      </c>
      <c r="G2694" t="s">
        <v>5877</v>
      </c>
    </row>
    <row r="2695" spans="5:7" x14ac:dyDescent="0.35">
      <c r="E2695" s="9">
        <v>42507</v>
      </c>
      <c r="F2695">
        <v>138.6</v>
      </c>
      <c r="G2695" t="s">
        <v>5877</v>
      </c>
    </row>
    <row r="2696" spans="5:7" x14ac:dyDescent="0.35">
      <c r="E2696" s="9">
        <v>42508</v>
      </c>
      <c r="F2696">
        <v>140</v>
      </c>
      <c r="G2696" t="s">
        <v>5877</v>
      </c>
    </row>
    <row r="2697" spans="5:7" x14ac:dyDescent="0.35">
      <c r="E2697" s="9">
        <v>42509</v>
      </c>
      <c r="F2697">
        <v>138.5</v>
      </c>
      <c r="G2697" t="s">
        <v>5877</v>
      </c>
    </row>
    <row r="2698" spans="5:7" x14ac:dyDescent="0.35">
      <c r="E2698" s="9">
        <v>42510</v>
      </c>
      <c r="F2698">
        <v>135.19999999999999</v>
      </c>
      <c r="G2698" t="s">
        <v>5877</v>
      </c>
    </row>
    <row r="2699" spans="5:7" x14ac:dyDescent="0.35">
      <c r="E2699" s="9">
        <v>42511</v>
      </c>
      <c r="F2699">
        <v>131.5</v>
      </c>
      <c r="G2699" t="s">
        <v>5877</v>
      </c>
    </row>
    <row r="2700" spans="5:7" x14ac:dyDescent="0.35">
      <c r="E2700" s="9">
        <v>42512</v>
      </c>
      <c r="F2700">
        <v>128.69999999999999</v>
      </c>
      <c r="G2700" t="s">
        <v>5877</v>
      </c>
    </row>
    <row r="2701" spans="5:7" x14ac:dyDescent="0.35">
      <c r="E2701" s="9">
        <v>42513</v>
      </c>
      <c r="F2701">
        <v>127</v>
      </c>
      <c r="G2701" t="s">
        <v>5877</v>
      </c>
    </row>
    <row r="2702" spans="5:7" x14ac:dyDescent="0.35">
      <c r="E2702" s="9">
        <v>42514</v>
      </c>
      <c r="F2702">
        <v>125.9</v>
      </c>
      <c r="G2702" t="s">
        <v>5877</v>
      </c>
    </row>
    <row r="2703" spans="5:7" x14ac:dyDescent="0.35">
      <c r="E2703" s="9">
        <v>42515</v>
      </c>
      <c r="F2703">
        <v>125.2</v>
      </c>
      <c r="G2703" t="s">
        <v>5877</v>
      </c>
    </row>
    <row r="2704" spans="5:7" x14ac:dyDescent="0.35">
      <c r="E2704" s="9">
        <v>42516</v>
      </c>
      <c r="F2704">
        <v>124.8</v>
      </c>
      <c r="G2704" t="s">
        <v>5877</v>
      </c>
    </row>
    <row r="2705" spans="5:7" x14ac:dyDescent="0.35">
      <c r="E2705" s="9">
        <v>42517</v>
      </c>
      <c r="F2705">
        <v>124.5</v>
      </c>
      <c r="G2705" t="s">
        <v>5877</v>
      </c>
    </row>
    <row r="2706" spans="5:7" x14ac:dyDescent="0.35">
      <c r="E2706" s="9">
        <v>42518</v>
      </c>
      <c r="F2706">
        <v>124.3</v>
      </c>
      <c r="G2706" t="s">
        <v>5877</v>
      </c>
    </row>
    <row r="2707" spans="5:7" x14ac:dyDescent="0.35">
      <c r="E2707" s="9">
        <v>42519</v>
      </c>
      <c r="F2707">
        <v>124.2</v>
      </c>
      <c r="G2707" t="s">
        <v>5877</v>
      </c>
    </row>
    <row r="2708" spans="5:7" x14ac:dyDescent="0.35">
      <c r="E2708" s="9">
        <v>42520</v>
      </c>
      <c r="F2708">
        <v>124.5</v>
      </c>
      <c r="G2708" t="s">
        <v>5877</v>
      </c>
    </row>
    <row r="2709" spans="5:7" x14ac:dyDescent="0.35">
      <c r="E2709" s="9">
        <v>42521</v>
      </c>
      <c r="F2709">
        <v>125.3</v>
      </c>
      <c r="G2709" t="s">
        <v>5877</v>
      </c>
    </row>
    <row r="2710" spans="5:7" x14ac:dyDescent="0.35">
      <c r="E2710" s="9">
        <v>42522</v>
      </c>
      <c r="F2710">
        <v>126.3</v>
      </c>
      <c r="G2710" t="s">
        <v>5877</v>
      </c>
    </row>
    <row r="2711" spans="5:7" x14ac:dyDescent="0.35">
      <c r="E2711" s="9">
        <v>42523</v>
      </c>
      <c r="F2711">
        <v>85.8</v>
      </c>
      <c r="G2711" t="s">
        <v>5877</v>
      </c>
    </row>
    <row r="2712" spans="5:7" x14ac:dyDescent="0.35">
      <c r="E2712" s="9">
        <v>42524</v>
      </c>
      <c r="F2712">
        <v>85.7</v>
      </c>
      <c r="G2712" t="s">
        <v>5877</v>
      </c>
    </row>
    <row r="2713" spans="5:7" x14ac:dyDescent="0.35">
      <c r="E2713" s="9">
        <v>42525</v>
      </c>
      <c r="F2713">
        <v>85.1</v>
      </c>
      <c r="G2713" t="s">
        <v>5877</v>
      </c>
    </row>
    <row r="2714" spans="5:7" x14ac:dyDescent="0.35">
      <c r="E2714" s="9">
        <v>42526</v>
      </c>
      <c r="F2714">
        <v>84.4</v>
      </c>
      <c r="G2714" t="s">
        <v>5877</v>
      </c>
    </row>
    <row r="2715" spans="5:7" x14ac:dyDescent="0.35">
      <c r="E2715" s="9">
        <v>42527</v>
      </c>
      <c r="F2715">
        <v>83.9</v>
      </c>
      <c r="G2715" t="s">
        <v>5877</v>
      </c>
    </row>
    <row r="2716" spans="5:7" x14ac:dyDescent="0.35">
      <c r="E2716" s="9">
        <v>42528</v>
      </c>
      <c r="F2716">
        <v>83.6</v>
      </c>
      <c r="G2716" t="s">
        <v>5877</v>
      </c>
    </row>
    <row r="2717" spans="5:7" x14ac:dyDescent="0.35">
      <c r="E2717" s="9">
        <v>42529</v>
      </c>
      <c r="F2717">
        <v>83.4</v>
      </c>
      <c r="G2717" t="s">
        <v>5877</v>
      </c>
    </row>
    <row r="2718" spans="5:7" x14ac:dyDescent="0.35">
      <c r="E2718" s="9">
        <v>42530</v>
      </c>
      <c r="F2718">
        <v>83.3</v>
      </c>
      <c r="G2718" t="s">
        <v>5877</v>
      </c>
    </row>
    <row r="2719" spans="5:7" x14ac:dyDescent="0.35">
      <c r="E2719" s="9">
        <v>42531</v>
      </c>
      <c r="F2719">
        <v>83.2</v>
      </c>
      <c r="G2719" t="s">
        <v>5877</v>
      </c>
    </row>
    <row r="2720" spans="5:7" x14ac:dyDescent="0.35">
      <c r="E2720" s="9">
        <v>42532</v>
      </c>
      <c r="F2720">
        <v>83.1</v>
      </c>
      <c r="G2720" t="s">
        <v>5877</v>
      </c>
    </row>
    <row r="2721" spans="5:7" x14ac:dyDescent="0.35">
      <c r="E2721" s="9">
        <v>42533</v>
      </c>
      <c r="F2721">
        <v>83.1</v>
      </c>
      <c r="G2721" t="s">
        <v>5877</v>
      </c>
    </row>
    <row r="2722" spans="5:7" x14ac:dyDescent="0.35">
      <c r="E2722" s="9">
        <v>42534</v>
      </c>
      <c r="F2722">
        <v>83</v>
      </c>
      <c r="G2722" t="s">
        <v>5877</v>
      </c>
    </row>
    <row r="2723" spans="5:7" x14ac:dyDescent="0.35">
      <c r="E2723" s="9">
        <v>42535</v>
      </c>
      <c r="F2723">
        <v>83</v>
      </c>
      <c r="G2723" t="s">
        <v>5877</v>
      </c>
    </row>
    <row r="2724" spans="5:7" x14ac:dyDescent="0.35">
      <c r="E2724" s="9">
        <v>42536</v>
      </c>
      <c r="F2724">
        <v>83</v>
      </c>
      <c r="G2724" t="s">
        <v>5877</v>
      </c>
    </row>
    <row r="2725" spans="5:7" x14ac:dyDescent="0.35">
      <c r="E2725" s="9">
        <v>42537</v>
      </c>
      <c r="F2725">
        <v>83</v>
      </c>
      <c r="G2725" t="s">
        <v>5877</v>
      </c>
    </row>
    <row r="2726" spans="5:7" x14ac:dyDescent="0.35">
      <c r="E2726" s="9">
        <v>42538</v>
      </c>
      <c r="F2726">
        <v>83</v>
      </c>
      <c r="G2726" t="s">
        <v>5877</v>
      </c>
    </row>
    <row r="2727" spans="5:7" x14ac:dyDescent="0.35">
      <c r="E2727" s="9">
        <v>42539</v>
      </c>
      <c r="F2727">
        <v>83.5</v>
      </c>
      <c r="G2727" t="s">
        <v>5877</v>
      </c>
    </row>
    <row r="2728" spans="5:7" x14ac:dyDescent="0.35">
      <c r="E2728" s="9">
        <v>42540</v>
      </c>
      <c r="F2728">
        <v>84.7</v>
      </c>
      <c r="G2728" t="s">
        <v>5877</v>
      </c>
    </row>
    <row r="2729" spans="5:7" x14ac:dyDescent="0.35">
      <c r="E2729" s="9">
        <v>42541</v>
      </c>
      <c r="F2729">
        <v>86</v>
      </c>
      <c r="G2729" t="s">
        <v>5877</v>
      </c>
    </row>
    <row r="2730" spans="5:7" x14ac:dyDescent="0.35">
      <c r="E2730" s="9">
        <v>42542</v>
      </c>
      <c r="F2730">
        <v>86.4</v>
      </c>
      <c r="G2730" t="s">
        <v>5877</v>
      </c>
    </row>
    <row r="2731" spans="5:7" x14ac:dyDescent="0.35">
      <c r="E2731" s="9">
        <v>42543</v>
      </c>
      <c r="F2731">
        <v>87.3</v>
      </c>
      <c r="G2731" t="s">
        <v>5877</v>
      </c>
    </row>
    <row r="2732" spans="5:7" x14ac:dyDescent="0.35">
      <c r="E2732" s="9">
        <v>42544</v>
      </c>
      <c r="F2732">
        <v>89.4</v>
      </c>
      <c r="G2732" t="s">
        <v>5877</v>
      </c>
    </row>
    <row r="2733" spans="5:7" x14ac:dyDescent="0.35">
      <c r="E2733" s="9">
        <v>42545</v>
      </c>
      <c r="F2733">
        <v>91.9</v>
      </c>
      <c r="G2733" t="s">
        <v>5877</v>
      </c>
    </row>
    <row r="2734" spans="5:7" x14ac:dyDescent="0.35">
      <c r="E2734" s="9">
        <v>42546</v>
      </c>
      <c r="F2734">
        <v>92.2</v>
      </c>
      <c r="G2734" t="s">
        <v>5877</v>
      </c>
    </row>
    <row r="2735" spans="5:7" x14ac:dyDescent="0.35">
      <c r="E2735" s="9">
        <v>42547</v>
      </c>
      <c r="F2735">
        <v>90.7</v>
      </c>
      <c r="G2735" t="s">
        <v>5877</v>
      </c>
    </row>
    <row r="2736" spans="5:7" x14ac:dyDescent="0.35">
      <c r="E2736" s="9">
        <v>42548</v>
      </c>
      <c r="F2736">
        <v>88.3</v>
      </c>
      <c r="G2736" t="s">
        <v>5877</v>
      </c>
    </row>
    <row r="2737" spans="5:7" x14ac:dyDescent="0.35">
      <c r="E2737" s="9">
        <v>42549</v>
      </c>
      <c r="F2737">
        <v>86.8</v>
      </c>
      <c r="G2737" t="s">
        <v>5877</v>
      </c>
    </row>
    <row r="2738" spans="5:7" x14ac:dyDescent="0.35">
      <c r="E2738" s="9">
        <v>42550</v>
      </c>
      <c r="F2738">
        <v>87.1</v>
      </c>
      <c r="G2738" t="s">
        <v>5877</v>
      </c>
    </row>
    <row r="2739" spans="5:7" x14ac:dyDescent="0.35">
      <c r="E2739" s="9">
        <v>42551</v>
      </c>
      <c r="F2739">
        <v>88.2</v>
      </c>
      <c r="G2739" t="s">
        <v>5877</v>
      </c>
    </row>
    <row r="2740" spans="5:7" x14ac:dyDescent="0.35">
      <c r="E2740" s="9">
        <v>42552</v>
      </c>
      <c r="F2740">
        <v>88.6</v>
      </c>
      <c r="G2740" t="s">
        <v>5877</v>
      </c>
    </row>
    <row r="2741" spans="5:7" x14ac:dyDescent="0.35">
      <c r="E2741" s="9">
        <v>42553</v>
      </c>
      <c r="F2741">
        <v>64.900000000000006</v>
      </c>
      <c r="G2741" t="s">
        <v>5877</v>
      </c>
    </row>
    <row r="2742" spans="5:7" x14ac:dyDescent="0.35">
      <c r="E2742" s="9">
        <v>42554</v>
      </c>
      <c r="F2742">
        <v>63.6</v>
      </c>
      <c r="G2742" t="s">
        <v>5877</v>
      </c>
    </row>
    <row r="2743" spans="5:7" x14ac:dyDescent="0.35">
      <c r="E2743" s="9">
        <v>42555</v>
      </c>
      <c r="F2743">
        <v>62.4</v>
      </c>
      <c r="G2743" t="s">
        <v>5877</v>
      </c>
    </row>
    <row r="2744" spans="5:7" x14ac:dyDescent="0.35">
      <c r="E2744" s="9">
        <v>42556</v>
      </c>
      <c r="F2744">
        <v>61.7</v>
      </c>
      <c r="G2744" t="s">
        <v>5877</v>
      </c>
    </row>
    <row r="2745" spans="5:7" x14ac:dyDescent="0.35">
      <c r="E2745" s="9">
        <v>42557</v>
      </c>
      <c r="F2745">
        <v>61.2</v>
      </c>
      <c r="G2745" t="s">
        <v>5877</v>
      </c>
    </row>
    <row r="2746" spans="5:7" x14ac:dyDescent="0.35">
      <c r="E2746" s="9">
        <v>42558</v>
      </c>
      <c r="F2746">
        <v>60.8</v>
      </c>
      <c r="G2746" t="s">
        <v>5877</v>
      </c>
    </row>
    <row r="2747" spans="5:7" x14ac:dyDescent="0.35">
      <c r="E2747" s="9">
        <v>42559</v>
      </c>
      <c r="F2747">
        <v>60.5</v>
      </c>
      <c r="G2747" t="s">
        <v>5877</v>
      </c>
    </row>
    <row r="2748" spans="5:7" x14ac:dyDescent="0.35">
      <c r="E2748" s="9">
        <v>42560</v>
      </c>
      <c r="F2748">
        <v>60.3</v>
      </c>
      <c r="G2748" t="s">
        <v>5877</v>
      </c>
    </row>
    <row r="2749" spans="5:7" x14ac:dyDescent="0.35">
      <c r="E2749" s="9">
        <v>42561</v>
      </c>
      <c r="F2749">
        <v>60.2</v>
      </c>
      <c r="G2749" t="s">
        <v>5877</v>
      </c>
    </row>
    <row r="2750" spans="5:7" x14ac:dyDescent="0.35">
      <c r="E2750" s="9">
        <v>42562</v>
      </c>
      <c r="F2750">
        <v>60.1</v>
      </c>
      <c r="G2750" t="s">
        <v>5877</v>
      </c>
    </row>
    <row r="2751" spans="5:7" x14ac:dyDescent="0.35">
      <c r="E2751" s="9">
        <v>42563</v>
      </c>
      <c r="F2751">
        <v>60.1</v>
      </c>
      <c r="G2751" t="s">
        <v>5877</v>
      </c>
    </row>
    <row r="2752" spans="5:7" x14ac:dyDescent="0.35">
      <c r="E2752" s="9">
        <v>42564</v>
      </c>
      <c r="F2752">
        <v>60.2</v>
      </c>
      <c r="G2752" t="s">
        <v>5877</v>
      </c>
    </row>
    <row r="2753" spans="5:7" x14ac:dyDescent="0.35">
      <c r="E2753" s="9">
        <v>42565</v>
      </c>
      <c r="F2753">
        <v>60.2</v>
      </c>
      <c r="G2753" t="s">
        <v>5877</v>
      </c>
    </row>
    <row r="2754" spans="5:7" x14ac:dyDescent="0.35">
      <c r="E2754" s="9">
        <v>42566</v>
      </c>
      <c r="F2754">
        <v>60.2</v>
      </c>
      <c r="G2754" t="s">
        <v>5877</v>
      </c>
    </row>
    <row r="2755" spans="5:7" x14ac:dyDescent="0.35">
      <c r="E2755" s="9">
        <v>42567</v>
      </c>
      <c r="F2755">
        <v>60.2</v>
      </c>
      <c r="G2755" t="s">
        <v>5877</v>
      </c>
    </row>
    <row r="2756" spans="5:7" x14ac:dyDescent="0.35">
      <c r="E2756" s="9">
        <v>42568</v>
      </c>
      <c r="F2756">
        <v>60.1</v>
      </c>
      <c r="G2756" t="s">
        <v>5877</v>
      </c>
    </row>
    <row r="2757" spans="5:7" x14ac:dyDescent="0.35">
      <c r="E2757" s="9">
        <v>42569</v>
      </c>
      <c r="F2757">
        <v>60.1</v>
      </c>
      <c r="G2757" t="s">
        <v>5877</v>
      </c>
    </row>
    <row r="2758" spans="5:7" x14ac:dyDescent="0.35">
      <c r="E2758" s="9">
        <v>42570</v>
      </c>
      <c r="F2758">
        <v>60</v>
      </c>
      <c r="G2758" t="s">
        <v>5877</v>
      </c>
    </row>
    <row r="2759" spans="5:7" x14ac:dyDescent="0.35">
      <c r="E2759" s="9">
        <v>42571</v>
      </c>
      <c r="F2759">
        <v>60</v>
      </c>
      <c r="G2759" t="s">
        <v>5877</v>
      </c>
    </row>
    <row r="2760" spans="5:7" x14ac:dyDescent="0.35">
      <c r="E2760" s="9">
        <v>42572</v>
      </c>
      <c r="F2760">
        <v>60</v>
      </c>
      <c r="G2760" t="s">
        <v>5877</v>
      </c>
    </row>
    <row r="2761" spans="5:7" x14ac:dyDescent="0.35">
      <c r="E2761" s="9">
        <v>42573</v>
      </c>
      <c r="F2761">
        <v>60.1</v>
      </c>
      <c r="G2761" t="s">
        <v>5877</v>
      </c>
    </row>
    <row r="2762" spans="5:7" x14ac:dyDescent="0.35">
      <c r="E2762" s="9">
        <v>42574</v>
      </c>
      <c r="F2762">
        <v>60.3</v>
      </c>
      <c r="G2762" t="s">
        <v>5877</v>
      </c>
    </row>
    <row r="2763" spans="5:7" x14ac:dyDescent="0.35">
      <c r="E2763" s="9">
        <v>42575</v>
      </c>
      <c r="F2763">
        <v>60.5</v>
      </c>
      <c r="G2763" t="s">
        <v>5877</v>
      </c>
    </row>
    <row r="2764" spans="5:7" x14ac:dyDescent="0.35">
      <c r="E2764" s="9">
        <v>42576</v>
      </c>
      <c r="F2764">
        <v>61.2</v>
      </c>
      <c r="G2764" t="s">
        <v>5877</v>
      </c>
    </row>
    <row r="2765" spans="5:7" x14ac:dyDescent="0.35">
      <c r="E2765" s="9">
        <v>42577</v>
      </c>
      <c r="F2765">
        <v>64.2</v>
      </c>
      <c r="G2765" t="s">
        <v>5877</v>
      </c>
    </row>
    <row r="2766" spans="5:7" x14ac:dyDescent="0.35">
      <c r="E2766" s="9">
        <v>42578</v>
      </c>
      <c r="F2766">
        <v>69.2</v>
      </c>
      <c r="G2766" t="s">
        <v>5877</v>
      </c>
    </row>
    <row r="2767" spans="5:7" x14ac:dyDescent="0.35">
      <c r="E2767" s="9">
        <v>42579</v>
      </c>
      <c r="F2767">
        <v>73.3</v>
      </c>
      <c r="G2767" t="s">
        <v>5877</v>
      </c>
    </row>
    <row r="2768" spans="5:7" x14ac:dyDescent="0.35">
      <c r="E2768" s="9">
        <v>42580</v>
      </c>
      <c r="F2768">
        <v>75.599999999999994</v>
      </c>
      <c r="G2768" t="s">
        <v>5877</v>
      </c>
    </row>
    <row r="2769" spans="5:7" x14ac:dyDescent="0.35">
      <c r="E2769" s="9">
        <v>42581</v>
      </c>
      <c r="F2769">
        <v>77.8</v>
      </c>
      <c r="G2769" t="s">
        <v>5877</v>
      </c>
    </row>
    <row r="2770" spans="5:7" x14ac:dyDescent="0.35">
      <c r="E2770" s="9">
        <v>42582</v>
      </c>
      <c r="F2770">
        <v>79.599999999999994</v>
      </c>
      <c r="G2770" t="s">
        <v>5877</v>
      </c>
    </row>
    <row r="2771" spans="5:7" x14ac:dyDescent="0.35">
      <c r="E2771" s="9">
        <v>42583</v>
      </c>
      <c r="F2771">
        <v>78.099999999999994</v>
      </c>
      <c r="G2771" t="s">
        <v>5877</v>
      </c>
    </row>
    <row r="2772" spans="5:7" x14ac:dyDescent="0.35">
      <c r="E2772" s="9">
        <v>42584</v>
      </c>
      <c r="F2772">
        <v>79.599999999999994</v>
      </c>
      <c r="G2772" t="s">
        <v>5877</v>
      </c>
    </row>
    <row r="2773" spans="5:7" x14ac:dyDescent="0.35">
      <c r="E2773" s="9">
        <v>42585</v>
      </c>
      <c r="F2773">
        <v>75.2</v>
      </c>
      <c r="G2773" t="s">
        <v>5877</v>
      </c>
    </row>
    <row r="2774" spans="5:7" x14ac:dyDescent="0.35">
      <c r="E2774" s="9">
        <v>42586</v>
      </c>
      <c r="F2774">
        <v>71.400000000000006</v>
      </c>
      <c r="G2774" t="s">
        <v>5877</v>
      </c>
    </row>
    <row r="2775" spans="5:7" x14ac:dyDescent="0.35">
      <c r="E2775" s="9">
        <v>42587</v>
      </c>
      <c r="F2775">
        <v>69.2</v>
      </c>
      <c r="G2775" t="s">
        <v>5877</v>
      </c>
    </row>
    <row r="2776" spans="5:7" x14ac:dyDescent="0.35">
      <c r="E2776" s="9">
        <v>42588</v>
      </c>
      <c r="F2776">
        <v>67.8</v>
      </c>
      <c r="G2776" t="s">
        <v>5877</v>
      </c>
    </row>
    <row r="2777" spans="5:7" x14ac:dyDescent="0.35">
      <c r="E2777" s="9">
        <v>42589</v>
      </c>
      <c r="F2777">
        <v>66.8</v>
      </c>
      <c r="G2777" t="s">
        <v>5877</v>
      </c>
    </row>
    <row r="2778" spans="5:7" x14ac:dyDescent="0.35">
      <c r="E2778" s="9">
        <v>42590</v>
      </c>
      <c r="F2778">
        <v>66.3</v>
      </c>
      <c r="G2778" t="s">
        <v>5877</v>
      </c>
    </row>
    <row r="2779" spans="5:7" x14ac:dyDescent="0.35">
      <c r="E2779" s="9">
        <v>42591</v>
      </c>
      <c r="F2779">
        <v>66.2</v>
      </c>
      <c r="G2779" t="s">
        <v>5877</v>
      </c>
    </row>
    <row r="2780" spans="5:7" x14ac:dyDescent="0.35">
      <c r="E2780" s="9">
        <v>42592</v>
      </c>
      <c r="F2780">
        <v>66.599999999999994</v>
      </c>
      <c r="G2780" t="s">
        <v>5877</v>
      </c>
    </row>
    <row r="2781" spans="5:7" x14ac:dyDescent="0.35">
      <c r="E2781" s="9">
        <v>42593</v>
      </c>
      <c r="F2781">
        <v>68.900000000000006</v>
      </c>
      <c r="G2781" t="s">
        <v>5877</v>
      </c>
    </row>
    <row r="2782" spans="5:7" x14ac:dyDescent="0.35">
      <c r="E2782" s="9">
        <v>42594</v>
      </c>
      <c r="F2782">
        <v>73</v>
      </c>
      <c r="G2782" t="s">
        <v>5877</v>
      </c>
    </row>
    <row r="2783" spans="5:7" x14ac:dyDescent="0.35">
      <c r="E2783" s="9">
        <v>42595</v>
      </c>
      <c r="F2783">
        <v>77</v>
      </c>
      <c r="G2783" t="s">
        <v>5877</v>
      </c>
    </row>
    <row r="2784" spans="5:7" x14ac:dyDescent="0.35">
      <c r="E2784" s="9">
        <v>42596</v>
      </c>
      <c r="F2784">
        <v>80.400000000000006</v>
      </c>
      <c r="G2784" t="s">
        <v>5877</v>
      </c>
    </row>
    <row r="2785" spans="5:7" x14ac:dyDescent="0.35">
      <c r="E2785" s="9">
        <v>42597</v>
      </c>
      <c r="F2785">
        <v>86.8</v>
      </c>
      <c r="G2785" t="s">
        <v>5877</v>
      </c>
    </row>
    <row r="2786" spans="5:7" x14ac:dyDescent="0.35">
      <c r="E2786" s="9">
        <v>42598</v>
      </c>
      <c r="F2786">
        <v>95.2</v>
      </c>
      <c r="G2786" t="s">
        <v>5877</v>
      </c>
    </row>
    <row r="2787" spans="5:7" x14ac:dyDescent="0.35">
      <c r="E2787" s="9">
        <v>42599</v>
      </c>
      <c r="F2787">
        <v>98.5</v>
      </c>
      <c r="G2787" t="s">
        <v>5877</v>
      </c>
    </row>
    <row r="2788" spans="5:7" x14ac:dyDescent="0.35">
      <c r="E2788" s="9">
        <v>42600</v>
      </c>
      <c r="F2788">
        <v>97.3</v>
      </c>
      <c r="G2788" t="s">
        <v>5877</v>
      </c>
    </row>
    <row r="2789" spans="5:7" x14ac:dyDescent="0.35">
      <c r="E2789" s="9">
        <v>42601</v>
      </c>
      <c r="F2789">
        <v>94.4</v>
      </c>
      <c r="G2789" t="s">
        <v>5877</v>
      </c>
    </row>
    <row r="2790" spans="5:7" x14ac:dyDescent="0.35">
      <c r="E2790" s="9">
        <v>42602</v>
      </c>
      <c r="F2790">
        <v>92.4</v>
      </c>
      <c r="G2790" t="s">
        <v>5877</v>
      </c>
    </row>
    <row r="2791" spans="5:7" x14ac:dyDescent="0.35">
      <c r="E2791" s="9">
        <v>42603</v>
      </c>
      <c r="F2791">
        <v>92.5</v>
      </c>
      <c r="G2791" t="s">
        <v>5877</v>
      </c>
    </row>
    <row r="2792" spans="5:7" x14ac:dyDescent="0.35">
      <c r="E2792" s="9">
        <v>42604</v>
      </c>
      <c r="F2792">
        <v>96.1</v>
      </c>
      <c r="G2792" t="s">
        <v>5877</v>
      </c>
    </row>
    <row r="2793" spans="5:7" x14ac:dyDescent="0.35">
      <c r="E2793" s="9">
        <v>42605</v>
      </c>
      <c r="F2793">
        <v>102</v>
      </c>
      <c r="G2793" t="s">
        <v>5877</v>
      </c>
    </row>
    <row r="2794" spans="5:7" x14ac:dyDescent="0.35">
      <c r="E2794" s="9">
        <v>42606</v>
      </c>
      <c r="F2794">
        <v>109.6</v>
      </c>
      <c r="G2794" t="s">
        <v>5877</v>
      </c>
    </row>
    <row r="2795" spans="5:7" x14ac:dyDescent="0.35">
      <c r="E2795" s="9">
        <v>42607</v>
      </c>
      <c r="F2795">
        <v>117.7</v>
      </c>
      <c r="G2795" t="s">
        <v>5877</v>
      </c>
    </row>
    <row r="2796" spans="5:7" x14ac:dyDescent="0.35">
      <c r="E2796" s="9">
        <v>42608</v>
      </c>
      <c r="F2796">
        <v>123.4</v>
      </c>
      <c r="G2796" t="s">
        <v>5877</v>
      </c>
    </row>
    <row r="2797" spans="5:7" x14ac:dyDescent="0.35">
      <c r="E2797" s="9">
        <v>42609</v>
      </c>
      <c r="F2797">
        <v>121.7</v>
      </c>
      <c r="G2797" t="s">
        <v>5877</v>
      </c>
    </row>
    <row r="2798" spans="5:7" x14ac:dyDescent="0.35">
      <c r="E2798" s="9">
        <v>42610</v>
      </c>
      <c r="F2798">
        <v>115.9</v>
      </c>
      <c r="G2798" t="s">
        <v>5877</v>
      </c>
    </row>
    <row r="2799" spans="5:7" x14ac:dyDescent="0.35">
      <c r="E2799" s="9">
        <v>42611</v>
      </c>
      <c r="F2799">
        <v>105.3</v>
      </c>
      <c r="G2799" t="s">
        <v>5877</v>
      </c>
    </row>
    <row r="2800" spans="5:7" x14ac:dyDescent="0.35">
      <c r="E2800" s="9">
        <v>42612</v>
      </c>
      <c r="F2800">
        <v>95.1</v>
      </c>
      <c r="G2800" t="s">
        <v>5877</v>
      </c>
    </row>
    <row r="2801" spans="5:7" x14ac:dyDescent="0.35">
      <c r="E2801" s="9">
        <v>42613</v>
      </c>
      <c r="F2801">
        <v>87.4</v>
      </c>
      <c r="G2801" t="s">
        <v>5877</v>
      </c>
    </row>
    <row r="2802" spans="5:7" x14ac:dyDescent="0.35">
      <c r="E2802" s="9">
        <v>42614</v>
      </c>
      <c r="F2802">
        <v>81.400000000000006</v>
      </c>
      <c r="G2802" t="s">
        <v>5877</v>
      </c>
    </row>
    <row r="2803" spans="5:7" x14ac:dyDescent="0.35">
      <c r="E2803" s="9">
        <v>42615</v>
      </c>
      <c r="F2803">
        <v>105.8</v>
      </c>
      <c r="G2803" t="s">
        <v>5877</v>
      </c>
    </row>
    <row r="2804" spans="5:7" x14ac:dyDescent="0.35">
      <c r="E2804" s="9">
        <v>42616</v>
      </c>
      <c r="F2804">
        <v>106.3</v>
      </c>
      <c r="G2804" t="s">
        <v>5877</v>
      </c>
    </row>
    <row r="2805" spans="5:7" x14ac:dyDescent="0.35">
      <c r="E2805" s="9">
        <v>42617</v>
      </c>
      <c r="F2805">
        <v>108.6</v>
      </c>
      <c r="G2805" t="s">
        <v>5877</v>
      </c>
    </row>
    <row r="2806" spans="5:7" x14ac:dyDescent="0.35">
      <c r="E2806" s="9">
        <v>42618</v>
      </c>
      <c r="F2806">
        <v>111.6</v>
      </c>
      <c r="G2806" t="s">
        <v>5877</v>
      </c>
    </row>
    <row r="2807" spans="5:7" x14ac:dyDescent="0.35">
      <c r="E2807" s="9">
        <v>42619</v>
      </c>
      <c r="F2807">
        <v>117.8</v>
      </c>
      <c r="G2807" t="s">
        <v>5877</v>
      </c>
    </row>
    <row r="2808" spans="5:7" x14ac:dyDescent="0.35">
      <c r="E2808" s="9">
        <v>42620</v>
      </c>
      <c r="F2808">
        <v>124.8</v>
      </c>
      <c r="G2808" t="s">
        <v>5877</v>
      </c>
    </row>
    <row r="2809" spans="5:7" x14ac:dyDescent="0.35">
      <c r="E2809" s="9">
        <v>42621</v>
      </c>
      <c r="F2809">
        <v>128.4</v>
      </c>
      <c r="G2809" t="s">
        <v>5877</v>
      </c>
    </row>
    <row r="2810" spans="5:7" x14ac:dyDescent="0.35">
      <c r="E2810" s="9">
        <v>42622</v>
      </c>
      <c r="F2810">
        <v>127.4</v>
      </c>
      <c r="G2810" t="s">
        <v>5877</v>
      </c>
    </row>
    <row r="2811" spans="5:7" x14ac:dyDescent="0.35">
      <c r="E2811" s="9">
        <v>42623</v>
      </c>
      <c r="F2811">
        <v>127.6</v>
      </c>
      <c r="G2811" t="s">
        <v>5877</v>
      </c>
    </row>
    <row r="2812" spans="5:7" x14ac:dyDescent="0.35">
      <c r="E2812" s="9">
        <v>42624</v>
      </c>
      <c r="F2812">
        <v>130.80000000000001</v>
      </c>
      <c r="G2812" t="s">
        <v>5877</v>
      </c>
    </row>
    <row r="2813" spans="5:7" x14ac:dyDescent="0.35">
      <c r="E2813" s="9">
        <v>42625</v>
      </c>
      <c r="F2813">
        <v>135.69999999999999</v>
      </c>
      <c r="G2813" t="s">
        <v>5877</v>
      </c>
    </row>
    <row r="2814" spans="5:7" x14ac:dyDescent="0.35">
      <c r="E2814" s="9">
        <v>42626</v>
      </c>
      <c r="F2814">
        <v>133.9</v>
      </c>
      <c r="G2814" t="s">
        <v>5877</v>
      </c>
    </row>
    <row r="2815" spans="5:7" x14ac:dyDescent="0.35">
      <c r="E2815" s="9">
        <v>42627</v>
      </c>
      <c r="F2815">
        <v>131.69999999999999</v>
      </c>
      <c r="G2815" t="s">
        <v>5877</v>
      </c>
    </row>
    <row r="2816" spans="5:7" x14ac:dyDescent="0.35">
      <c r="E2816" s="9">
        <v>42628</v>
      </c>
      <c r="F2816">
        <v>133.4</v>
      </c>
      <c r="G2816" t="s">
        <v>5877</v>
      </c>
    </row>
    <row r="2817" spans="5:7" x14ac:dyDescent="0.35">
      <c r="E2817" s="9">
        <v>42629</v>
      </c>
      <c r="F2817">
        <v>136.1</v>
      </c>
      <c r="G2817" t="s">
        <v>5877</v>
      </c>
    </row>
    <row r="2818" spans="5:7" x14ac:dyDescent="0.35">
      <c r="E2818" s="9">
        <v>42630</v>
      </c>
      <c r="F2818">
        <v>134</v>
      </c>
      <c r="G2818" t="s">
        <v>5877</v>
      </c>
    </row>
    <row r="2819" spans="5:7" x14ac:dyDescent="0.35">
      <c r="E2819" s="9">
        <v>42631</v>
      </c>
      <c r="F2819">
        <v>130.80000000000001</v>
      </c>
      <c r="G2819" t="s">
        <v>5877</v>
      </c>
    </row>
    <row r="2820" spans="5:7" x14ac:dyDescent="0.35">
      <c r="E2820" s="9">
        <v>42632</v>
      </c>
      <c r="F2820">
        <v>133.9</v>
      </c>
      <c r="G2820" t="s">
        <v>5877</v>
      </c>
    </row>
    <row r="2821" spans="5:7" x14ac:dyDescent="0.35">
      <c r="E2821" s="9">
        <v>42633</v>
      </c>
      <c r="F2821">
        <v>143.19999999999999</v>
      </c>
      <c r="G2821" t="s">
        <v>5877</v>
      </c>
    </row>
    <row r="2822" spans="5:7" x14ac:dyDescent="0.35">
      <c r="E2822" s="9">
        <v>42634</v>
      </c>
      <c r="F2822">
        <v>150.4</v>
      </c>
      <c r="G2822" t="s">
        <v>5877</v>
      </c>
    </row>
    <row r="2823" spans="5:7" x14ac:dyDescent="0.35">
      <c r="E2823" s="9">
        <v>42635</v>
      </c>
      <c r="F2823">
        <v>152.80000000000001</v>
      </c>
      <c r="G2823" t="s">
        <v>5877</v>
      </c>
    </row>
    <row r="2824" spans="5:7" x14ac:dyDescent="0.35">
      <c r="E2824" s="9">
        <v>42636</v>
      </c>
      <c r="F2824">
        <v>151.19999999999999</v>
      </c>
      <c r="G2824" t="s">
        <v>5877</v>
      </c>
    </row>
    <row r="2825" spans="5:7" x14ac:dyDescent="0.35">
      <c r="E2825" s="9">
        <v>42637</v>
      </c>
      <c r="F2825">
        <v>144.1</v>
      </c>
      <c r="G2825" t="s">
        <v>5877</v>
      </c>
    </row>
    <row r="2826" spans="5:7" x14ac:dyDescent="0.35">
      <c r="E2826" s="9">
        <v>42638</v>
      </c>
      <c r="F2826">
        <v>139.6</v>
      </c>
      <c r="G2826" t="s">
        <v>5877</v>
      </c>
    </row>
    <row r="2827" spans="5:7" x14ac:dyDescent="0.35">
      <c r="E2827" s="9">
        <v>42639</v>
      </c>
      <c r="F2827">
        <v>137.5</v>
      </c>
      <c r="G2827" t="s">
        <v>5877</v>
      </c>
    </row>
    <row r="2828" spans="5:7" x14ac:dyDescent="0.35">
      <c r="E2828" s="9">
        <v>42640</v>
      </c>
      <c r="F2828">
        <v>136.5</v>
      </c>
      <c r="G2828" t="s">
        <v>5877</v>
      </c>
    </row>
    <row r="2829" spans="5:7" x14ac:dyDescent="0.35">
      <c r="E2829" s="9">
        <v>42641</v>
      </c>
      <c r="F2829">
        <v>136.9</v>
      </c>
      <c r="G2829" t="s">
        <v>5877</v>
      </c>
    </row>
    <row r="2830" spans="5:7" x14ac:dyDescent="0.35">
      <c r="E2830" s="9">
        <v>42642</v>
      </c>
      <c r="F2830">
        <v>136.80000000000001</v>
      </c>
      <c r="G2830" t="s">
        <v>5877</v>
      </c>
    </row>
    <row r="2831" spans="5:7" x14ac:dyDescent="0.35">
      <c r="E2831" s="9">
        <v>42643</v>
      </c>
      <c r="F2831">
        <v>136.19999999999999</v>
      </c>
      <c r="G2831" t="s">
        <v>5877</v>
      </c>
    </row>
    <row r="2832" spans="5:7" x14ac:dyDescent="0.35">
      <c r="E2832" s="9">
        <v>42644</v>
      </c>
      <c r="F2832">
        <v>143.6</v>
      </c>
      <c r="G2832" t="s">
        <v>5877</v>
      </c>
    </row>
    <row r="2833" spans="5:7" x14ac:dyDescent="0.35">
      <c r="E2833" s="9">
        <v>42645</v>
      </c>
      <c r="F2833">
        <v>173.6</v>
      </c>
      <c r="G2833" t="s">
        <v>5877</v>
      </c>
    </row>
    <row r="2834" spans="5:7" x14ac:dyDescent="0.35">
      <c r="E2834" s="9">
        <v>42646</v>
      </c>
      <c r="F2834">
        <v>180.5</v>
      </c>
      <c r="G2834" t="s">
        <v>5877</v>
      </c>
    </row>
    <row r="2835" spans="5:7" x14ac:dyDescent="0.35">
      <c r="E2835" s="9">
        <v>42647</v>
      </c>
      <c r="F2835">
        <v>182.3</v>
      </c>
      <c r="G2835" t="s">
        <v>5877</v>
      </c>
    </row>
    <row r="2836" spans="5:7" x14ac:dyDescent="0.35">
      <c r="E2836" s="9">
        <v>42648</v>
      </c>
      <c r="F2836">
        <v>185.1</v>
      </c>
      <c r="G2836" t="s">
        <v>5877</v>
      </c>
    </row>
    <row r="2837" spans="5:7" x14ac:dyDescent="0.35">
      <c r="E2837" s="9">
        <v>42649</v>
      </c>
      <c r="F2837">
        <v>188.3</v>
      </c>
      <c r="G2837" t="s">
        <v>5877</v>
      </c>
    </row>
    <row r="2838" spans="5:7" x14ac:dyDescent="0.35">
      <c r="E2838" s="9">
        <v>42650</v>
      </c>
      <c r="F2838">
        <v>185.7</v>
      </c>
      <c r="G2838" t="s">
        <v>5877</v>
      </c>
    </row>
    <row r="2839" spans="5:7" x14ac:dyDescent="0.35">
      <c r="E2839" s="9">
        <v>42651</v>
      </c>
      <c r="F2839">
        <v>183.5</v>
      </c>
      <c r="G2839" t="s">
        <v>5877</v>
      </c>
    </row>
    <row r="2840" spans="5:7" x14ac:dyDescent="0.35">
      <c r="E2840" s="9">
        <v>42652</v>
      </c>
      <c r="F2840">
        <v>187.6</v>
      </c>
      <c r="G2840" t="s">
        <v>5877</v>
      </c>
    </row>
    <row r="2841" spans="5:7" x14ac:dyDescent="0.35">
      <c r="E2841" s="9">
        <v>42653</v>
      </c>
      <c r="F2841">
        <v>197.6</v>
      </c>
      <c r="G2841" t="s">
        <v>5877</v>
      </c>
    </row>
    <row r="2842" spans="5:7" x14ac:dyDescent="0.35">
      <c r="E2842" s="9">
        <v>42654</v>
      </c>
      <c r="F2842">
        <v>211.5</v>
      </c>
      <c r="G2842" t="s">
        <v>5877</v>
      </c>
    </row>
    <row r="2843" spans="5:7" x14ac:dyDescent="0.35">
      <c r="E2843" s="9">
        <v>42655</v>
      </c>
      <c r="F2843">
        <v>215.6</v>
      </c>
      <c r="G2843" t="s">
        <v>5877</v>
      </c>
    </row>
    <row r="2844" spans="5:7" x14ac:dyDescent="0.35">
      <c r="E2844" s="9">
        <v>42656</v>
      </c>
      <c r="F2844">
        <v>212</v>
      </c>
      <c r="G2844" t="s">
        <v>5877</v>
      </c>
    </row>
    <row r="2845" spans="5:7" x14ac:dyDescent="0.35">
      <c r="E2845" s="9">
        <v>42657</v>
      </c>
      <c r="F2845">
        <v>208.6</v>
      </c>
      <c r="G2845" t="s">
        <v>5877</v>
      </c>
    </row>
    <row r="2846" spans="5:7" x14ac:dyDescent="0.35">
      <c r="E2846" s="9">
        <v>42658</v>
      </c>
      <c r="F2846">
        <v>205.6</v>
      </c>
      <c r="G2846" t="s">
        <v>5877</v>
      </c>
    </row>
    <row r="2847" spans="5:7" x14ac:dyDescent="0.35">
      <c r="E2847" s="9">
        <v>42659</v>
      </c>
      <c r="F2847">
        <v>207.3</v>
      </c>
      <c r="G2847" t="s">
        <v>5877</v>
      </c>
    </row>
    <row r="2848" spans="5:7" x14ac:dyDescent="0.35">
      <c r="E2848" s="9">
        <v>42660</v>
      </c>
      <c r="F2848">
        <v>208.1</v>
      </c>
      <c r="G2848" t="s">
        <v>5877</v>
      </c>
    </row>
    <row r="2849" spans="5:7" x14ac:dyDescent="0.35">
      <c r="E2849" s="9">
        <v>42661</v>
      </c>
      <c r="F2849">
        <v>205.8</v>
      </c>
      <c r="G2849" t="s">
        <v>5877</v>
      </c>
    </row>
    <row r="2850" spans="5:7" x14ac:dyDescent="0.35">
      <c r="E2850" s="9">
        <v>42662</v>
      </c>
      <c r="F2850">
        <v>208.9</v>
      </c>
      <c r="G2850" t="s">
        <v>5877</v>
      </c>
    </row>
    <row r="2851" spans="5:7" x14ac:dyDescent="0.35">
      <c r="E2851" s="9">
        <v>42663</v>
      </c>
      <c r="F2851">
        <v>216.2</v>
      </c>
      <c r="G2851" t="s">
        <v>5877</v>
      </c>
    </row>
    <row r="2852" spans="5:7" x14ac:dyDescent="0.35">
      <c r="E2852" s="9">
        <v>42664</v>
      </c>
      <c r="F2852">
        <v>216.4</v>
      </c>
      <c r="G2852" t="s">
        <v>5877</v>
      </c>
    </row>
    <row r="2853" spans="5:7" x14ac:dyDescent="0.35">
      <c r="E2853" s="9">
        <v>42665</v>
      </c>
      <c r="F2853">
        <v>207.4</v>
      </c>
      <c r="G2853" t="s">
        <v>5877</v>
      </c>
    </row>
    <row r="2854" spans="5:7" x14ac:dyDescent="0.35">
      <c r="E2854" s="9">
        <v>42666</v>
      </c>
      <c r="F2854">
        <v>188.7</v>
      </c>
      <c r="G2854" t="s">
        <v>5877</v>
      </c>
    </row>
    <row r="2855" spans="5:7" x14ac:dyDescent="0.35">
      <c r="E2855" s="9">
        <v>42667</v>
      </c>
      <c r="F2855">
        <v>167.5</v>
      </c>
      <c r="G2855" t="s">
        <v>5877</v>
      </c>
    </row>
    <row r="2856" spans="5:7" x14ac:dyDescent="0.35">
      <c r="E2856" s="9">
        <v>42668</v>
      </c>
      <c r="F2856">
        <v>156.1</v>
      </c>
      <c r="G2856" t="s">
        <v>5877</v>
      </c>
    </row>
    <row r="2857" spans="5:7" x14ac:dyDescent="0.35">
      <c r="E2857" s="9">
        <v>42669</v>
      </c>
      <c r="F2857">
        <v>158</v>
      </c>
      <c r="G2857" t="s">
        <v>5877</v>
      </c>
    </row>
    <row r="2858" spans="5:7" x14ac:dyDescent="0.35">
      <c r="E2858" s="9">
        <v>42670</v>
      </c>
      <c r="F2858">
        <v>171.4</v>
      </c>
      <c r="G2858" t="s">
        <v>5877</v>
      </c>
    </row>
    <row r="2859" spans="5:7" x14ac:dyDescent="0.35">
      <c r="E2859" s="9">
        <v>42671</v>
      </c>
      <c r="F2859">
        <v>184.1</v>
      </c>
      <c r="G2859" t="s">
        <v>5877</v>
      </c>
    </row>
    <row r="2860" spans="5:7" x14ac:dyDescent="0.35">
      <c r="E2860" s="9">
        <v>42672</v>
      </c>
      <c r="F2860">
        <v>193.7</v>
      </c>
      <c r="G2860" t="s">
        <v>5877</v>
      </c>
    </row>
    <row r="2861" spans="5:7" x14ac:dyDescent="0.35">
      <c r="E2861" s="9">
        <v>42673</v>
      </c>
      <c r="F2861">
        <v>190.3</v>
      </c>
      <c r="G2861" t="s">
        <v>5877</v>
      </c>
    </row>
    <row r="2862" spans="5:7" x14ac:dyDescent="0.35">
      <c r="E2862" s="9">
        <v>42674</v>
      </c>
      <c r="F2862">
        <v>179.3</v>
      </c>
      <c r="G2862" t="s">
        <v>5877</v>
      </c>
    </row>
    <row r="2863" spans="5:7" x14ac:dyDescent="0.35">
      <c r="E2863" s="9">
        <v>42675</v>
      </c>
      <c r="F2863">
        <v>170.7</v>
      </c>
      <c r="G2863" t="s">
        <v>5877</v>
      </c>
    </row>
    <row r="2864" spans="5:7" x14ac:dyDescent="0.35">
      <c r="E2864" s="9">
        <v>42676</v>
      </c>
      <c r="F2864">
        <v>186.8</v>
      </c>
      <c r="G2864" t="s">
        <v>5877</v>
      </c>
    </row>
    <row r="2865" spans="5:7" x14ac:dyDescent="0.35">
      <c r="E2865" s="9">
        <v>42677</v>
      </c>
      <c r="F2865">
        <v>204.8</v>
      </c>
      <c r="G2865" t="s">
        <v>5877</v>
      </c>
    </row>
    <row r="2866" spans="5:7" x14ac:dyDescent="0.35">
      <c r="E2866" s="9">
        <v>42678</v>
      </c>
      <c r="F2866">
        <v>220.8</v>
      </c>
      <c r="G2866" t="s">
        <v>5877</v>
      </c>
    </row>
    <row r="2867" spans="5:7" x14ac:dyDescent="0.35">
      <c r="E2867" s="9">
        <v>42679</v>
      </c>
      <c r="F2867">
        <v>217.2</v>
      </c>
      <c r="G2867" t="s">
        <v>5877</v>
      </c>
    </row>
    <row r="2868" spans="5:7" x14ac:dyDescent="0.35">
      <c r="E2868" s="9">
        <v>42680</v>
      </c>
      <c r="F2868">
        <v>209.6</v>
      </c>
      <c r="G2868" t="s">
        <v>5877</v>
      </c>
    </row>
    <row r="2869" spans="5:7" x14ac:dyDescent="0.35">
      <c r="E2869" s="9">
        <v>42681</v>
      </c>
      <c r="F2869">
        <v>207.3</v>
      </c>
      <c r="G2869" t="s">
        <v>5877</v>
      </c>
    </row>
    <row r="2870" spans="5:7" x14ac:dyDescent="0.35">
      <c r="E2870" s="9">
        <v>42682</v>
      </c>
      <c r="F2870">
        <v>210.5</v>
      </c>
      <c r="G2870" t="s">
        <v>5877</v>
      </c>
    </row>
    <row r="2871" spans="5:7" x14ac:dyDescent="0.35">
      <c r="E2871" s="9">
        <v>42683</v>
      </c>
      <c r="F2871">
        <v>212.3</v>
      </c>
      <c r="G2871" t="s">
        <v>5877</v>
      </c>
    </row>
    <row r="2872" spans="5:7" x14ac:dyDescent="0.35">
      <c r="E2872" s="9">
        <v>42684</v>
      </c>
      <c r="F2872">
        <v>211.1</v>
      </c>
      <c r="G2872" t="s">
        <v>5877</v>
      </c>
    </row>
    <row r="2873" spans="5:7" x14ac:dyDescent="0.35">
      <c r="E2873" s="9">
        <v>42685</v>
      </c>
      <c r="F2873">
        <v>204.5</v>
      </c>
      <c r="G2873" t="s">
        <v>5877</v>
      </c>
    </row>
    <row r="2874" spans="5:7" x14ac:dyDescent="0.35">
      <c r="E2874" s="9">
        <v>42686</v>
      </c>
      <c r="F2874">
        <v>198.2</v>
      </c>
      <c r="G2874" t="s">
        <v>5877</v>
      </c>
    </row>
    <row r="2875" spans="5:7" x14ac:dyDescent="0.35">
      <c r="E2875" s="9">
        <v>42687</v>
      </c>
      <c r="F2875">
        <v>191.3</v>
      </c>
      <c r="G2875" t="s">
        <v>5877</v>
      </c>
    </row>
    <row r="2876" spans="5:7" x14ac:dyDescent="0.35">
      <c r="E2876" s="9">
        <v>42688</v>
      </c>
      <c r="F2876">
        <v>185.5</v>
      </c>
      <c r="G2876" t="s">
        <v>5877</v>
      </c>
    </row>
    <row r="2877" spans="5:7" x14ac:dyDescent="0.35">
      <c r="E2877" s="9">
        <v>42689</v>
      </c>
      <c r="F2877">
        <v>190.2</v>
      </c>
      <c r="G2877" t="s">
        <v>5877</v>
      </c>
    </row>
    <row r="2878" spans="5:7" x14ac:dyDescent="0.35">
      <c r="E2878" s="9">
        <v>42690</v>
      </c>
      <c r="F2878">
        <v>207.9</v>
      </c>
      <c r="G2878" t="s">
        <v>5877</v>
      </c>
    </row>
    <row r="2879" spans="5:7" x14ac:dyDescent="0.35">
      <c r="E2879" s="9">
        <v>42691</v>
      </c>
      <c r="F2879">
        <v>234.9</v>
      </c>
      <c r="G2879" t="s">
        <v>5877</v>
      </c>
    </row>
    <row r="2880" spans="5:7" x14ac:dyDescent="0.35">
      <c r="E2880" s="9">
        <v>42692</v>
      </c>
      <c r="F2880">
        <v>250.8</v>
      </c>
      <c r="G2880" t="s">
        <v>5877</v>
      </c>
    </row>
    <row r="2881" spans="5:7" x14ac:dyDescent="0.35">
      <c r="E2881" s="9">
        <v>42693</v>
      </c>
      <c r="F2881">
        <v>244.2</v>
      </c>
      <c r="G2881" t="s">
        <v>5877</v>
      </c>
    </row>
    <row r="2882" spans="5:7" x14ac:dyDescent="0.35">
      <c r="E2882" s="9">
        <v>42694</v>
      </c>
      <c r="F2882">
        <v>226.1</v>
      </c>
      <c r="G2882" t="s">
        <v>5877</v>
      </c>
    </row>
    <row r="2883" spans="5:7" x14ac:dyDescent="0.35">
      <c r="E2883" s="9">
        <v>42695</v>
      </c>
      <c r="F2883">
        <v>218</v>
      </c>
      <c r="G2883" t="s">
        <v>5877</v>
      </c>
    </row>
    <row r="2884" spans="5:7" x14ac:dyDescent="0.35">
      <c r="E2884" s="9">
        <v>42696</v>
      </c>
      <c r="F2884">
        <v>232.1</v>
      </c>
      <c r="G2884" t="s">
        <v>5877</v>
      </c>
    </row>
    <row r="2885" spans="5:7" x14ac:dyDescent="0.35">
      <c r="E2885" s="9">
        <v>42697</v>
      </c>
      <c r="F2885">
        <v>253.1</v>
      </c>
      <c r="G2885" t="s">
        <v>5877</v>
      </c>
    </row>
    <row r="2886" spans="5:7" x14ac:dyDescent="0.35">
      <c r="E2886" s="9">
        <v>42698</v>
      </c>
      <c r="F2886">
        <v>259.8</v>
      </c>
      <c r="G2886" t="s">
        <v>5877</v>
      </c>
    </row>
    <row r="2887" spans="5:7" x14ac:dyDescent="0.35">
      <c r="E2887" s="9">
        <v>42699</v>
      </c>
      <c r="F2887">
        <v>248.7</v>
      </c>
      <c r="G2887" t="s">
        <v>5877</v>
      </c>
    </row>
    <row r="2888" spans="5:7" x14ac:dyDescent="0.35">
      <c r="E2888" s="9">
        <v>42700</v>
      </c>
      <c r="F2888">
        <v>232.1</v>
      </c>
      <c r="G2888" t="s">
        <v>5877</v>
      </c>
    </row>
    <row r="2889" spans="5:7" x14ac:dyDescent="0.35">
      <c r="E2889" s="9">
        <v>42701</v>
      </c>
      <c r="F2889">
        <v>221</v>
      </c>
      <c r="G2889" t="s">
        <v>5877</v>
      </c>
    </row>
    <row r="2890" spans="5:7" x14ac:dyDescent="0.35">
      <c r="E2890" s="9">
        <v>42702</v>
      </c>
      <c r="F2890">
        <v>215.7</v>
      </c>
      <c r="G2890" t="s">
        <v>5877</v>
      </c>
    </row>
    <row r="2891" spans="5:7" x14ac:dyDescent="0.35">
      <c r="E2891" s="9">
        <v>42703</v>
      </c>
      <c r="F2891">
        <v>217.3</v>
      </c>
      <c r="G2891" t="s">
        <v>5877</v>
      </c>
    </row>
    <row r="2892" spans="5:7" x14ac:dyDescent="0.35">
      <c r="E2892" s="9">
        <v>42704</v>
      </c>
      <c r="F2892">
        <v>223.7</v>
      </c>
      <c r="G2892" t="s">
        <v>5877</v>
      </c>
    </row>
    <row r="2893" spans="5:7" x14ac:dyDescent="0.35">
      <c r="E2893" s="9">
        <v>42705</v>
      </c>
      <c r="F2893">
        <v>233.5</v>
      </c>
      <c r="G2893" t="s">
        <v>5877</v>
      </c>
    </row>
    <row r="2894" spans="5:7" x14ac:dyDescent="0.35">
      <c r="E2894" s="9">
        <v>42706</v>
      </c>
      <c r="F2894">
        <v>253.8</v>
      </c>
      <c r="G2894" t="s">
        <v>5877</v>
      </c>
    </row>
    <row r="2895" spans="5:7" x14ac:dyDescent="0.35">
      <c r="E2895" s="9">
        <v>42707</v>
      </c>
      <c r="F2895">
        <v>256.5</v>
      </c>
      <c r="G2895" t="s">
        <v>5877</v>
      </c>
    </row>
    <row r="2896" spans="5:7" x14ac:dyDescent="0.35">
      <c r="E2896" s="9">
        <v>42708</v>
      </c>
      <c r="F2896">
        <v>246.1</v>
      </c>
      <c r="G2896" t="s">
        <v>5877</v>
      </c>
    </row>
    <row r="2897" spans="5:7" x14ac:dyDescent="0.35">
      <c r="E2897" s="9">
        <v>42709</v>
      </c>
      <c r="F2897">
        <v>236</v>
      </c>
      <c r="G2897" t="s">
        <v>5877</v>
      </c>
    </row>
    <row r="2898" spans="5:7" x14ac:dyDescent="0.35">
      <c r="E2898" s="9">
        <v>42710</v>
      </c>
      <c r="F2898">
        <v>231.3</v>
      </c>
      <c r="G2898" t="s">
        <v>5877</v>
      </c>
    </row>
    <row r="2899" spans="5:7" x14ac:dyDescent="0.35">
      <c r="E2899" s="9">
        <v>42711</v>
      </c>
      <c r="F2899">
        <v>230.7</v>
      </c>
      <c r="G2899" t="s">
        <v>5877</v>
      </c>
    </row>
    <row r="2900" spans="5:7" x14ac:dyDescent="0.35">
      <c r="E2900" s="9">
        <v>42712</v>
      </c>
      <c r="F2900">
        <v>223.6</v>
      </c>
      <c r="G2900" t="s">
        <v>5877</v>
      </c>
    </row>
    <row r="2901" spans="5:7" x14ac:dyDescent="0.35">
      <c r="E2901" s="9">
        <v>42713</v>
      </c>
      <c r="F2901">
        <v>219.1</v>
      </c>
      <c r="G2901" t="s">
        <v>5877</v>
      </c>
    </row>
    <row r="2902" spans="5:7" x14ac:dyDescent="0.35">
      <c r="E2902" s="9">
        <v>42714</v>
      </c>
      <c r="F2902">
        <v>221.3</v>
      </c>
      <c r="G2902" t="s">
        <v>5877</v>
      </c>
    </row>
    <row r="2903" spans="5:7" x14ac:dyDescent="0.35">
      <c r="E2903" s="9">
        <v>42715</v>
      </c>
      <c r="F2903">
        <v>220.3</v>
      </c>
      <c r="G2903" t="s">
        <v>5877</v>
      </c>
    </row>
    <row r="2904" spans="5:7" x14ac:dyDescent="0.35">
      <c r="E2904" s="9">
        <v>42716</v>
      </c>
      <c r="F2904">
        <v>213.9</v>
      </c>
      <c r="G2904" t="s">
        <v>5877</v>
      </c>
    </row>
    <row r="2905" spans="5:7" x14ac:dyDescent="0.35">
      <c r="E2905" s="9">
        <v>42717</v>
      </c>
      <c r="F2905">
        <v>214</v>
      </c>
      <c r="G2905" t="s">
        <v>5877</v>
      </c>
    </row>
    <row r="2906" spans="5:7" x14ac:dyDescent="0.35">
      <c r="E2906" s="9">
        <v>42718</v>
      </c>
      <c r="F2906">
        <v>225.3</v>
      </c>
      <c r="G2906" t="s">
        <v>5877</v>
      </c>
    </row>
    <row r="2907" spans="5:7" x14ac:dyDescent="0.35">
      <c r="E2907" s="9">
        <v>42719</v>
      </c>
      <c r="F2907">
        <v>235.9</v>
      </c>
      <c r="G2907" t="s">
        <v>5877</v>
      </c>
    </row>
    <row r="2908" spans="5:7" x14ac:dyDescent="0.35">
      <c r="E2908" s="9">
        <v>42720</v>
      </c>
      <c r="F2908">
        <v>233.4</v>
      </c>
      <c r="G2908" t="s">
        <v>5877</v>
      </c>
    </row>
    <row r="2909" spans="5:7" x14ac:dyDescent="0.35">
      <c r="E2909" s="9">
        <v>42721</v>
      </c>
      <c r="F2909">
        <v>222.2</v>
      </c>
      <c r="G2909" t="s">
        <v>5877</v>
      </c>
    </row>
    <row r="2910" spans="5:7" x14ac:dyDescent="0.35">
      <c r="E2910" s="9">
        <v>42722</v>
      </c>
      <c r="F2910">
        <v>213</v>
      </c>
      <c r="G2910" t="s">
        <v>5877</v>
      </c>
    </row>
    <row r="2911" spans="5:7" x14ac:dyDescent="0.35">
      <c r="E2911" s="9">
        <v>42723</v>
      </c>
      <c r="F2911">
        <v>210.7</v>
      </c>
      <c r="G2911" t="s">
        <v>5877</v>
      </c>
    </row>
    <row r="2912" spans="5:7" x14ac:dyDescent="0.35">
      <c r="E2912" s="9">
        <v>42724</v>
      </c>
      <c r="F2912">
        <v>216.9</v>
      </c>
      <c r="G2912" t="s">
        <v>5877</v>
      </c>
    </row>
    <row r="2913" spans="5:7" x14ac:dyDescent="0.35">
      <c r="E2913" s="9">
        <v>42725</v>
      </c>
      <c r="F2913">
        <v>225.7</v>
      </c>
      <c r="G2913" t="s">
        <v>5877</v>
      </c>
    </row>
    <row r="2914" spans="5:7" x14ac:dyDescent="0.35">
      <c r="E2914" s="9">
        <v>42726</v>
      </c>
      <c r="F2914">
        <v>239.2</v>
      </c>
      <c r="G2914" t="s">
        <v>5877</v>
      </c>
    </row>
    <row r="2915" spans="5:7" x14ac:dyDescent="0.35">
      <c r="E2915" s="9">
        <v>42727</v>
      </c>
      <c r="F2915">
        <v>247.9</v>
      </c>
      <c r="G2915" t="s">
        <v>5877</v>
      </c>
    </row>
    <row r="2916" spans="5:7" x14ac:dyDescent="0.35">
      <c r="E2916" s="9">
        <v>42728</v>
      </c>
      <c r="F2916">
        <v>255.7</v>
      </c>
      <c r="G2916" t="s">
        <v>5877</v>
      </c>
    </row>
    <row r="2917" spans="5:7" x14ac:dyDescent="0.35">
      <c r="E2917" s="9">
        <v>42729</v>
      </c>
      <c r="F2917">
        <v>260.39999999999998</v>
      </c>
      <c r="G2917" t="s">
        <v>5877</v>
      </c>
    </row>
    <row r="2918" spans="5:7" x14ac:dyDescent="0.35">
      <c r="E2918" s="9">
        <v>42730</v>
      </c>
      <c r="F2918">
        <v>265.10000000000002</v>
      </c>
      <c r="G2918" t="s">
        <v>5877</v>
      </c>
    </row>
    <row r="2919" spans="5:7" x14ac:dyDescent="0.35">
      <c r="E2919" s="9">
        <v>42731</v>
      </c>
      <c r="F2919">
        <v>270.10000000000002</v>
      </c>
      <c r="G2919" t="s">
        <v>5877</v>
      </c>
    </row>
    <row r="2920" spans="5:7" x14ac:dyDescent="0.35">
      <c r="E2920" s="9">
        <v>42732</v>
      </c>
      <c r="F2920">
        <v>276.60000000000002</v>
      </c>
      <c r="G2920" t="s">
        <v>5877</v>
      </c>
    </row>
    <row r="2921" spans="5:7" x14ac:dyDescent="0.35">
      <c r="E2921" s="9">
        <v>42733</v>
      </c>
      <c r="F2921">
        <v>281.5</v>
      </c>
      <c r="G2921" t="s">
        <v>5877</v>
      </c>
    </row>
    <row r="2922" spans="5:7" x14ac:dyDescent="0.35">
      <c r="E2922" s="9">
        <v>42734</v>
      </c>
      <c r="F2922">
        <v>275.60000000000002</v>
      </c>
      <c r="G2922" t="s">
        <v>5877</v>
      </c>
    </row>
    <row r="2923" spans="5:7" x14ac:dyDescent="0.35">
      <c r="E2923" s="9">
        <v>42735</v>
      </c>
      <c r="F2923">
        <v>266.5</v>
      </c>
      <c r="G2923" t="s">
        <v>5877</v>
      </c>
    </row>
    <row r="2924" spans="5:7" x14ac:dyDescent="0.35">
      <c r="E2924" s="9">
        <v>42736</v>
      </c>
      <c r="F2924">
        <v>255.3</v>
      </c>
      <c r="G2924" t="s">
        <v>5877</v>
      </c>
    </row>
    <row r="2925" spans="5:7" x14ac:dyDescent="0.35">
      <c r="E2925" s="9">
        <v>42737</v>
      </c>
      <c r="F2925">
        <v>236.6</v>
      </c>
      <c r="G2925" t="s">
        <v>5877</v>
      </c>
    </row>
    <row r="2926" spans="5:7" x14ac:dyDescent="0.35">
      <c r="E2926" s="9">
        <v>42738</v>
      </c>
      <c r="F2926">
        <v>216.2</v>
      </c>
      <c r="G2926" t="s">
        <v>5877</v>
      </c>
    </row>
    <row r="2927" spans="5:7" x14ac:dyDescent="0.35">
      <c r="E2927" s="9">
        <v>42739</v>
      </c>
      <c r="F2927">
        <v>199.8</v>
      </c>
      <c r="G2927" t="s">
        <v>5877</v>
      </c>
    </row>
    <row r="2928" spans="5:7" x14ac:dyDescent="0.35">
      <c r="E2928" s="9">
        <v>42740</v>
      </c>
      <c r="F2928">
        <v>198</v>
      </c>
      <c r="G2928" t="s">
        <v>5877</v>
      </c>
    </row>
    <row r="2929" spans="5:7" x14ac:dyDescent="0.35">
      <c r="E2929" s="9">
        <v>42741</v>
      </c>
      <c r="F2929">
        <v>211.4</v>
      </c>
      <c r="G2929" t="s">
        <v>5877</v>
      </c>
    </row>
    <row r="2930" spans="5:7" x14ac:dyDescent="0.35">
      <c r="E2930" s="9">
        <v>42742</v>
      </c>
      <c r="F2930">
        <v>227.2</v>
      </c>
      <c r="G2930" t="s">
        <v>5877</v>
      </c>
    </row>
    <row r="2931" spans="5:7" x14ac:dyDescent="0.35">
      <c r="E2931" s="9">
        <v>42743</v>
      </c>
      <c r="F2931">
        <v>233.5</v>
      </c>
      <c r="G2931" t="s">
        <v>5877</v>
      </c>
    </row>
    <row r="2932" spans="5:7" x14ac:dyDescent="0.35">
      <c r="E2932" s="9">
        <v>42744</v>
      </c>
      <c r="F2932">
        <v>227.4</v>
      </c>
      <c r="G2932" t="s">
        <v>5877</v>
      </c>
    </row>
    <row r="2933" spans="5:7" x14ac:dyDescent="0.35">
      <c r="E2933" s="9">
        <v>42745</v>
      </c>
      <c r="F2933">
        <v>209.3</v>
      </c>
      <c r="G2933" t="s">
        <v>5877</v>
      </c>
    </row>
    <row r="2934" spans="5:7" x14ac:dyDescent="0.35">
      <c r="E2934" s="9">
        <v>42746</v>
      </c>
      <c r="F2934">
        <v>190.7</v>
      </c>
      <c r="G2934" t="s">
        <v>5877</v>
      </c>
    </row>
    <row r="2935" spans="5:7" x14ac:dyDescent="0.35">
      <c r="E2935" s="9">
        <v>42747</v>
      </c>
      <c r="F2935">
        <v>179.2</v>
      </c>
      <c r="G2935" t="s">
        <v>5877</v>
      </c>
    </row>
    <row r="2936" spans="5:7" x14ac:dyDescent="0.35">
      <c r="E2936" s="9">
        <v>42748</v>
      </c>
      <c r="F2936">
        <v>177.9</v>
      </c>
      <c r="G2936" t="s">
        <v>5877</v>
      </c>
    </row>
    <row r="2937" spans="5:7" x14ac:dyDescent="0.35">
      <c r="E2937" s="9">
        <v>42749</v>
      </c>
      <c r="F2937">
        <v>183.8</v>
      </c>
      <c r="G2937" t="s">
        <v>5877</v>
      </c>
    </row>
    <row r="2938" spans="5:7" x14ac:dyDescent="0.35">
      <c r="E2938" s="9">
        <v>42750</v>
      </c>
      <c r="F2938">
        <v>185.1</v>
      </c>
      <c r="G2938" t="s">
        <v>5877</v>
      </c>
    </row>
    <row r="2939" spans="5:7" x14ac:dyDescent="0.35">
      <c r="E2939" s="9">
        <v>42751</v>
      </c>
      <c r="F2939">
        <v>179.3</v>
      </c>
      <c r="G2939" t="s">
        <v>5877</v>
      </c>
    </row>
    <row r="2940" spans="5:7" x14ac:dyDescent="0.35">
      <c r="E2940" s="9">
        <v>42752</v>
      </c>
      <c r="F2940">
        <v>175</v>
      </c>
      <c r="G2940" t="s">
        <v>5877</v>
      </c>
    </row>
    <row r="2941" spans="5:7" x14ac:dyDescent="0.35">
      <c r="E2941" s="9">
        <v>42753</v>
      </c>
      <c r="F2941">
        <v>178.1</v>
      </c>
      <c r="G2941" t="s">
        <v>5877</v>
      </c>
    </row>
    <row r="2942" spans="5:7" x14ac:dyDescent="0.35">
      <c r="E2942" s="9">
        <v>42754</v>
      </c>
      <c r="F2942">
        <v>187.4</v>
      </c>
      <c r="G2942" t="s">
        <v>5877</v>
      </c>
    </row>
    <row r="2943" spans="5:7" x14ac:dyDescent="0.35">
      <c r="E2943" s="9">
        <v>42755</v>
      </c>
      <c r="F2943">
        <v>198.1</v>
      </c>
      <c r="G2943" t="s">
        <v>5877</v>
      </c>
    </row>
    <row r="2944" spans="5:7" x14ac:dyDescent="0.35">
      <c r="E2944" s="9">
        <v>42756</v>
      </c>
      <c r="F2944">
        <v>207</v>
      </c>
      <c r="G2944" t="s">
        <v>5877</v>
      </c>
    </row>
    <row r="2945" spans="5:7" x14ac:dyDescent="0.35">
      <c r="E2945" s="9">
        <v>42757</v>
      </c>
      <c r="F2945">
        <v>212.8</v>
      </c>
      <c r="G2945" t="s">
        <v>5877</v>
      </c>
    </row>
    <row r="2946" spans="5:7" x14ac:dyDescent="0.35">
      <c r="E2946" s="9">
        <v>42758</v>
      </c>
      <c r="F2946">
        <v>216.5</v>
      </c>
      <c r="G2946" t="s">
        <v>5877</v>
      </c>
    </row>
    <row r="2947" spans="5:7" x14ac:dyDescent="0.35">
      <c r="E2947" s="9">
        <v>42759</v>
      </c>
      <c r="F2947">
        <v>222.4</v>
      </c>
      <c r="G2947" t="s">
        <v>5877</v>
      </c>
    </row>
    <row r="2948" spans="5:7" x14ac:dyDescent="0.35">
      <c r="E2948" s="9">
        <v>42760</v>
      </c>
      <c r="F2948">
        <v>223.2</v>
      </c>
      <c r="G2948" t="s">
        <v>5877</v>
      </c>
    </row>
    <row r="2949" spans="5:7" x14ac:dyDescent="0.35">
      <c r="E2949" s="9">
        <v>42761</v>
      </c>
      <c r="F2949">
        <v>221.2</v>
      </c>
      <c r="G2949" t="s">
        <v>5877</v>
      </c>
    </row>
    <row r="2950" spans="5:7" x14ac:dyDescent="0.35">
      <c r="E2950" s="9">
        <v>42762</v>
      </c>
      <c r="F2950">
        <v>216.9</v>
      </c>
      <c r="G2950" t="s">
        <v>5877</v>
      </c>
    </row>
    <row r="2951" spans="5:7" x14ac:dyDescent="0.35">
      <c r="E2951" s="9">
        <v>42763</v>
      </c>
      <c r="F2951">
        <v>215.1</v>
      </c>
      <c r="G2951" t="s">
        <v>5877</v>
      </c>
    </row>
    <row r="2952" spans="5:7" x14ac:dyDescent="0.35">
      <c r="E2952" s="9">
        <v>42764</v>
      </c>
      <c r="F2952">
        <v>213.2</v>
      </c>
      <c r="G2952" t="s">
        <v>5877</v>
      </c>
    </row>
    <row r="2953" spans="5:7" x14ac:dyDescent="0.35">
      <c r="E2953" s="9">
        <v>42765</v>
      </c>
      <c r="F2953">
        <v>212.9</v>
      </c>
      <c r="G2953" t="s">
        <v>5877</v>
      </c>
    </row>
    <row r="2954" spans="5:7" x14ac:dyDescent="0.35">
      <c r="E2954" s="9">
        <v>42766</v>
      </c>
      <c r="F2954">
        <v>214.5</v>
      </c>
      <c r="G2954" t="s">
        <v>5877</v>
      </c>
    </row>
    <row r="2955" spans="5:7" x14ac:dyDescent="0.35">
      <c r="E2955" s="9">
        <v>42767</v>
      </c>
      <c r="F2955">
        <v>212.6</v>
      </c>
      <c r="G2955" t="s">
        <v>5877</v>
      </c>
    </row>
    <row r="2956" spans="5:7" x14ac:dyDescent="0.35">
      <c r="E2956" s="9">
        <v>42768</v>
      </c>
      <c r="F2956">
        <v>190.1</v>
      </c>
      <c r="G2956" t="s">
        <v>5877</v>
      </c>
    </row>
    <row r="2957" spans="5:7" x14ac:dyDescent="0.35">
      <c r="E2957" s="9">
        <v>42769</v>
      </c>
      <c r="F2957">
        <v>188.8</v>
      </c>
      <c r="G2957" t="s">
        <v>5877</v>
      </c>
    </row>
    <row r="2958" spans="5:7" x14ac:dyDescent="0.35">
      <c r="E2958" s="9">
        <v>42770</v>
      </c>
      <c r="F2958">
        <v>186.4</v>
      </c>
      <c r="G2958" t="s">
        <v>5877</v>
      </c>
    </row>
    <row r="2959" spans="5:7" x14ac:dyDescent="0.35">
      <c r="E2959" s="9">
        <v>42771</v>
      </c>
      <c r="F2959">
        <v>177</v>
      </c>
      <c r="G2959" t="s">
        <v>5877</v>
      </c>
    </row>
    <row r="2960" spans="5:7" x14ac:dyDescent="0.35">
      <c r="E2960" s="9">
        <v>42772</v>
      </c>
      <c r="F2960">
        <v>167.1</v>
      </c>
      <c r="G2960" t="s">
        <v>5877</v>
      </c>
    </row>
    <row r="2961" spans="5:7" x14ac:dyDescent="0.35">
      <c r="E2961" s="9">
        <v>42773</v>
      </c>
      <c r="F2961">
        <v>158.1</v>
      </c>
      <c r="G2961" t="s">
        <v>5877</v>
      </c>
    </row>
    <row r="2962" spans="5:7" x14ac:dyDescent="0.35">
      <c r="E2962" s="9">
        <v>42774</v>
      </c>
      <c r="F2962">
        <v>152.80000000000001</v>
      </c>
      <c r="G2962" t="s">
        <v>5877</v>
      </c>
    </row>
    <row r="2963" spans="5:7" x14ac:dyDescent="0.35">
      <c r="E2963" s="9">
        <v>42775</v>
      </c>
      <c r="F2963">
        <v>154</v>
      </c>
      <c r="G2963" t="s">
        <v>5877</v>
      </c>
    </row>
    <row r="2964" spans="5:7" x14ac:dyDescent="0.35">
      <c r="E2964" s="9">
        <v>42776</v>
      </c>
      <c r="F2964">
        <v>161.30000000000001</v>
      </c>
      <c r="G2964" t="s">
        <v>5877</v>
      </c>
    </row>
    <row r="2965" spans="5:7" x14ac:dyDescent="0.35">
      <c r="E2965" s="9">
        <v>42777</v>
      </c>
      <c r="F2965">
        <v>168.7</v>
      </c>
      <c r="G2965" t="s">
        <v>5877</v>
      </c>
    </row>
    <row r="2966" spans="5:7" x14ac:dyDescent="0.35">
      <c r="E2966" s="9">
        <v>42778</v>
      </c>
      <c r="F2966">
        <v>178</v>
      </c>
      <c r="G2966" t="s">
        <v>5877</v>
      </c>
    </row>
    <row r="2967" spans="5:7" x14ac:dyDescent="0.35">
      <c r="E2967" s="9">
        <v>42779</v>
      </c>
      <c r="F2967">
        <v>179.9</v>
      </c>
      <c r="G2967" t="s">
        <v>5877</v>
      </c>
    </row>
    <row r="2968" spans="5:7" x14ac:dyDescent="0.35">
      <c r="E2968" s="9">
        <v>42780</v>
      </c>
      <c r="F2968">
        <v>176.5</v>
      </c>
      <c r="G2968" t="s">
        <v>5877</v>
      </c>
    </row>
    <row r="2969" spans="5:7" x14ac:dyDescent="0.35">
      <c r="E2969" s="9">
        <v>42781</v>
      </c>
      <c r="F2969">
        <v>176.4</v>
      </c>
      <c r="G2969" t="s">
        <v>5877</v>
      </c>
    </row>
    <row r="2970" spans="5:7" x14ac:dyDescent="0.35">
      <c r="E2970" s="9">
        <v>42782</v>
      </c>
      <c r="F2970">
        <v>192.3</v>
      </c>
      <c r="G2970" t="s">
        <v>5877</v>
      </c>
    </row>
    <row r="2971" spans="5:7" x14ac:dyDescent="0.35">
      <c r="E2971" s="9">
        <v>42783</v>
      </c>
      <c r="F2971">
        <v>220.9</v>
      </c>
      <c r="G2971" t="s">
        <v>5877</v>
      </c>
    </row>
    <row r="2972" spans="5:7" x14ac:dyDescent="0.35">
      <c r="E2972" s="9">
        <v>42784</v>
      </c>
      <c r="F2972">
        <v>237.1</v>
      </c>
      <c r="G2972" t="s">
        <v>5877</v>
      </c>
    </row>
    <row r="2973" spans="5:7" x14ac:dyDescent="0.35">
      <c r="E2973" s="9">
        <v>42785</v>
      </c>
      <c r="F2973">
        <v>231.2</v>
      </c>
      <c r="G2973" t="s">
        <v>5877</v>
      </c>
    </row>
    <row r="2974" spans="5:7" x14ac:dyDescent="0.35">
      <c r="E2974" s="9">
        <v>42786</v>
      </c>
      <c r="F2974">
        <v>218.5</v>
      </c>
      <c r="G2974" t="s">
        <v>5877</v>
      </c>
    </row>
    <row r="2975" spans="5:7" x14ac:dyDescent="0.35">
      <c r="E2975" s="9">
        <v>42787</v>
      </c>
      <c r="F2975">
        <v>213.1</v>
      </c>
      <c r="G2975" t="s">
        <v>5877</v>
      </c>
    </row>
    <row r="2976" spans="5:7" x14ac:dyDescent="0.35">
      <c r="E2976" s="9">
        <v>42788</v>
      </c>
      <c r="F2976">
        <v>217.9</v>
      </c>
      <c r="G2976" t="s">
        <v>5877</v>
      </c>
    </row>
    <row r="2977" spans="5:7" x14ac:dyDescent="0.35">
      <c r="E2977" s="9">
        <v>42789</v>
      </c>
      <c r="F2977">
        <v>218.6</v>
      </c>
      <c r="G2977" t="s">
        <v>5877</v>
      </c>
    </row>
    <row r="2978" spans="5:7" x14ac:dyDescent="0.35">
      <c r="E2978" s="9">
        <v>42790</v>
      </c>
      <c r="F2978">
        <v>214.2</v>
      </c>
      <c r="G2978" t="s">
        <v>5877</v>
      </c>
    </row>
    <row r="2979" spans="5:7" x14ac:dyDescent="0.35">
      <c r="E2979" s="9">
        <v>42791</v>
      </c>
      <c r="F2979">
        <v>203.6</v>
      </c>
      <c r="G2979" t="s">
        <v>5877</v>
      </c>
    </row>
    <row r="2980" spans="5:7" x14ac:dyDescent="0.35">
      <c r="E2980" s="9">
        <v>42792</v>
      </c>
      <c r="F2980">
        <v>190.7</v>
      </c>
      <c r="G2980" t="s">
        <v>5877</v>
      </c>
    </row>
    <row r="2981" spans="5:7" x14ac:dyDescent="0.35">
      <c r="E2981" s="9">
        <v>42793</v>
      </c>
      <c r="F2981">
        <v>180.8</v>
      </c>
      <c r="G2981" t="s">
        <v>5877</v>
      </c>
    </row>
    <row r="2982" spans="5:7" x14ac:dyDescent="0.35">
      <c r="E2982" s="9">
        <v>42794</v>
      </c>
      <c r="F2982">
        <v>171.8</v>
      </c>
      <c r="G2982" t="s">
        <v>5877</v>
      </c>
    </row>
    <row r="2983" spans="5:7" x14ac:dyDescent="0.35">
      <c r="E2983" s="9">
        <v>42795</v>
      </c>
      <c r="F2983">
        <v>168.8</v>
      </c>
      <c r="G2983" t="s">
        <v>5877</v>
      </c>
    </row>
    <row r="2984" spans="5:7" x14ac:dyDescent="0.35">
      <c r="E2984" s="9">
        <v>42796</v>
      </c>
      <c r="F2984">
        <v>176.7</v>
      </c>
      <c r="G2984" t="s">
        <v>5877</v>
      </c>
    </row>
    <row r="2985" spans="5:7" x14ac:dyDescent="0.35">
      <c r="E2985" s="9">
        <v>42797</v>
      </c>
      <c r="F2985">
        <v>176.6</v>
      </c>
      <c r="G2985" t="s">
        <v>5877</v>
      </c>
    </row>
    <row r="2986" spans="5:7" x14ac:dyDescent="0.35">
      <c r="E2986" s="9">
        <v>42798</v>
      </c>
      <c r="F2986">
        <v>178.9</v>
      </c>
      <c r="G2986" t="s">
        <v>5877</v>
      </c>
    </row>
    <row r="2987" spans="5:7" x14ac:dyDescent="0.35">
      <c r="E2987" s="9">
        <v>42799</v>
      </c>
      <c r="F2987">
        <v>187.7</v>
      </c>
      <c r="G2987" t="s">
        <v>5877</v>
      </c>
    </row>
    <row r="2988" spans="5:7" x14ac:dyDescent="0.35">
      <c r="E2988" s="9">
        <v>42800</v>
      </c>
      <c r="F2988">
        <v>197.2</v>
      </c>
      <c r="G2988" t="s">
        <v>5877</v>
      </c>
    </row>
    <row r="2989" spans="5:7" x14ac:dyDescent="0.35">
      <c r="E2989" s="9">
        <v>42801</v>
      </c>
      <c r="F2989">
        <v>199.7</v>
      </c>
      <c r="G2989" t="s">
        <v>5877</v>
      </c>
    </row>
    <row r="2990" spans="5:7" x14ac:dyDescent="0.35">
      <c r="E2990" s="9">
        <v>42802</v>
      </c>
      <c r="F2990">
        <v>201.9</v>
      </c>
      <c r="G2990" t="s">
        <v>5877</v>
      </c>
    </row>
    <row r="2991" spans="5:7" x14ac:dyDescent="0.35">
      <c r="E2991" s="9">
        <v>42803</v>
      </c>
      <c r="F2991">
        <v>199.4</v>
      </c>
      <c r="G2991" t="s">
        <v>5877</v>
      </c>
    </row>
    <row r="2992" spans="5:7" x14ac:dyDescent="0.35">
      <c r="E2992" s="9">
        <v>42804</v>
      </c>
      <c r="F2992">
        <v>188.7</v>
      </c>
      <c r="G2992" t="s">
        <v>5877</v>
      </c>
    </row>
    <row r="2993" spans="5:7" x14ac:dyDescent="0.35">
      <c r="E2993" s="9">
        <v>42805</v>
      </c>
      <c r="F2993">
        <v>181.2</v>
      </c>
      <c r="G2993" t="s">
        <v>5877</v>
      </c>
    </row>
    <row r="2994" spans="5:7" x14ac:dyDescent="0.35">
      <c r="E2994" s="9">
        <v>42806</v>
      </c>
      <c r="F2994">
        <v>183</v>
      </c>
      <c r="G2994" t="s">
        <v>5877</v>
      </c>
    </row>
    <row r="2995" spans="5:7" x14ac:dyDescent="0.35">
      <c r="E2995" s="9">
        <v>42807</v>
      </c>
      <c r="F2995">
        <v>199.1</v>
      </c>
      <c r="G2995" t="s">
        <v>5877</v>
      </c>
    </row>
    <row r="2996" spans="5:7" x14ac:dyDescent="0.35">
      <c r="E2996" s="9">
        <v>42808</v>
      </c>
      <c r="F2996">
        <v>224.3</v>
      </c>
      <c r="G2996" t="s">
        <v>5877</v>
      </c>
    </row>
    <row r="2997" spans="5:7" x14ac:dyDescent="0.35">
      <c r="E2997" s="9">
        <v>42809</v>
      </c>
      <c r="F2997">
        <v>244.4</v>
      </c>
      <c r="G2997" t="s">
        <v>5877</v>
      </c>
    </row>
    <row r="2998" spans="5:7" x14ac:dyDescent="0.35">
      <c r="E2998" s="9">
        <v>42810</v>
      </c>
      <c r="F2998">
        <v>247.2</v>
      </c>
      <c r="G2998" t="s">
        <v>5877</v>
      </c>
    </row>
    <row r="2999" spans="5:7" x14ac:dyDescent="0.35">
      <c r="E2999" s="9">
        <v>42811</v>
      </c>
      <c r="F2999">
        <v>233.9</v>
      </c>
      <c r="G2999" t="s">
        <v>5877</v>
      </c>
    </row>
    <row r="3000" spans="5:7" x14ac:dyDescent="0.35">
      <c r="E3000" s="9">
        <v>42812</v>
      </c>
      <c r="F3000">
        <v>213.1</v>
      </c>
      <c r="G3000" t="s">
        <v>5877</v>
      </c>
    </row>
    <row r="3001" spans="5:7" x14ac:dyDescent="0.35">
      <c r="E3001" s="9">
        <v>42813</v>
      </c>
      <c r="F3001">
        <v>205</v>
      </c>
      <c r="G3001" t="s">
        <v>5877</v>
      </c>
    </row>
    <row r="3002" spans="5:7" x14ac:dyDescent="0.35">
      <c r="E3002" s="9">
        <v>42814</v>
      </c>
      <c r="F3002">
        <v>216.1</v>
      </c>
      <c r="G3002" t="s">
        <v>5877</v>
      </c>
    </row>
    <row r="3003" spans="5:7" x14ac:dyDescent="0.35">
      <c r="E3003" s="9">
        <v>42815</v>
      </c>
      <c r="F3003">
        <v>232.1</v>
      </c>
      <c r="G3003" t="s">
        <v>5877</v>
      </c>
    </row>
    <row r="3004" spans="5:7" x14ac:dyDescent="0.35">
      <c r="E3004" s="9">
        <v>42816</v>
      </c>
      <c r="F3004">
        <v>240.8</v>
      </c>
      <c r="G3004" t="s">
        <v>5877</v>
      </c>
    </row>
    <row r="3005" spans="5:7" x14ac:dyDescent="0.35">
      <c r="E3005" s="9">
        <v>42817</v>
      </c>
      <c r="F3005">
        <v>244.1</v>
      </c>
      <c r="G3005" t="s">
        <v>5877</v>
      </c>
    </row>
    <row r="3006" spans="5:7" x14ac:dyDescent="0.35">
      <c r="E3006" s="9">
        <v>42818</v>
      </c>
      <c r="F3006">
        <v>242</v>
      </c>
      <c r="G3006" t="s">
        <v>5877</v>
      </c>
    </row>
    <row r="3007" spans="5:7" x14ac:dyDescent="0.35">
      <c r="E3007" s="9">
        <v>42819</v>
      </c>
      <c r="F3007">
        <v>233.4</v>
      </c>
      <c r="G3007" t="s">
        <v>5877</v>
      </c>
    </row>
    <row r="3008" spans="5:7" x14ac:dyDescent="0.35">
      <c r="E3008" s="9">
        <v>42820</v>
      </c>
      <c r="F3008">
        <v>221.1</v>
      </c>
      <c r="G3008" t="s">
        <v>5877</v>
      </c>
    </row>
    <row r="3009" spans="5:7" x14ac:dyDescent="0.35">
      <c r="E3009" s="9">
        <v>42821</v>
      </c>
      <c r="F3009">
        <v>210.7</v>
      </c>
      <c r="G3009" t="s">
        <v>5877</v>
      </c>
    </row>
    <row r="3010" spans="5:7" x14ac:dyDescent="0.35">
      <c r="E3010" s="9">
        <v>42822</v>
      </c>
      <c r="F3010">
        <v>203.9</v>
      </c>
      <c r="G3010" t="s">
        <v>5877</v>
      </c>
    </row>
    <row r="3011" spans="5:7" x14ac:dyDescent="0.35">
      <c r="E3011" s="9">
        <v>42823</v>
      </c>
      <c r="F3011">
        <v>201.9</v>
      </c>
      <c r="G3011" t="s">
        <v>5877</v>
      </c>
    </row>
    <row r="3012" spans="5:7" x14ac:dyDescent="0.35">
      <c r="E3012" s="9">
        <v>42824</v>
      </c>
      <c r="F3012">
        <v>210.2</v>
      </c>
      <c r="G3012" t="s">
        <v>5877</v>
      </c>
    </row>
    <row r="3013" spans="5:7" x14ac:dyDescent="0.35">
      <c r="E3013" s="9">
        <v>42825</v>
      </c>
      <c r="F3013">
        <v>218.7</v>
      </c>
      <c r="G3013" t="s">
        <v>5877</v>
      </c>
    </row>
    <row r="3014" spans="5:7" x14ac:dyDescent="0.35">
      <c r="E3014" s="9">
        <v>42826</v>
      </c>
      <c r="F3014">
        <v>211.7</v>
      </c>
      <c r="G3014" t="s">
        <v>5877</v>
      </c>
    </row>
    <row r="3015" spans="5:7" x14ac:dyDescent="0.35">
      <c r="E3015" s="9">
        <v>42827</v>
      </c>
      <c r="F3015">
        <v>204.1</v>
      </c>
      <c r="G3015" t="s">
        <v>5877</v>
      </c>
    </row>
    <row r="3016" spans="5:7" x14ac:dyDescent="0.35">
      <c r="E3016" s="9">
        <v>42828</v>
      </c>
      <c r="F3016">
        <v>189.7</v>
      </c>
      <c r="G3016" t="s">
        <v>5877</v>
      </c>
    </row>
    <row r="3017" spans="5:7" x14ac:dyDescent="0.35">
      <c r="E3017" s="9">
        <v>42829</v>
      </c>
      <c r="F3017">
        <v>183.7</v>
      </c>
      <c r="G3017" t="s">
        <v>5877</v>
      </c>
    </row>
    <row r="3018" spans="5:7" x14ac:dyDescent="0.35">
      <c r="E3018" s="9">
        <v>42830</v>
      </c>
      <c r="F3018">
        <v>181.4</v>
      </c>
      <c r="G3018" t="s">
        <v>5877</v>
      </c>
    </row>
    <row r="3019" spans="5:7" x14ac:dyDescent="0.35">
      <c r="E3019" s="9">
        <v>42831</v>
      </c>
      <c r="F3019">
        <v>173.4</v>
      </c>
      <c r="G3019" t="s">
        <v>5877</v>
      </c>
    </row>
    <row r="3020" spans="5:7" x14ac:dyDescent="0.35">
      <c r="E3020" s="9">
        <v>42832</v>
      </c>
      <c r="F3020">
        <v>163.6</v>
      </c>
      <c r="G3020" t="s">
        <v>5877</v>
      </c>
    </row>
    <row r="3021" spans="5:7" x14ac:dyDescent="0.35">
      <c r="E3021" s="9">
        <v>42833</v>
      </c>
      <c r="F3021">
        <v>161.5</v>
      </c>
      <c r="G3021" t="s">
        <v>5877</v>
      </c>
    </row>
    <row r="3022" spans="5:7" x14ac:dyDescent="0.35">
      <c r="E3022" s="9">
        <v>42834</v>
      </c>
      <c r="F3022">
        <v>174.5</v>
      </c>
      <c r="G3022" t="s">
        <v>5877</v>
      </c>
    </row>
    <row r="3023" spans="5:7" x14ac:dyDescent="0.35">
      <c r="E3023" s="9">
        <v>42835</v>
      </c>
      <c r="F3023">
        <v>196.7</v>
      </c>
      <c r="G3023" t="s">
        <v>5877</v>
      </c>
    </row>
    <row r="3024" spans="5:7" x14ac:dyDescent="0.35">
      <c r="E3024" s="9">
        <v>42836</v>
      </c>
      <c r="F3024">
        <v>216.4</v>
      </c>
      <c r="G3024" t="s">
        <v>5877</v>
      </c>
    </row>
    <row r="3025" spans="5:7" x14ac:dyDescent="0.35">
      <c r="E3025" s="9">
        <v>42837</v>
      </c>
      <c r="F3025">
        <v>236</v>
      </c>
      <c r="G3025" t="s">
        <v>5877</v>
      </c>
    </row>
    <row r="3026" spans="5:7" x14ac:dyDescent="0.35">
      <c r="E3026" s="9">
        <v>42838</v>
      </c>
      <c r="F3026">
        <v>251.5</v>
      </c>
      <c r="G3026" t="s">
        <v>5877</v>
      </c>
    </row>
    <row r="3027" spans="5:7" x14ac:dyDescent="0.35">
      <c r="E3027" s="9">
        <v>42839</v>
      </c>
      <c r="F3027">
        <v>261.8</v>
      </c>
      <c r="G3027" t="s">
        <v>5877</v>
      </c>
    </row>
    <row r="3028" spans="5:7" x14ac:dyDescent="0.35">
      <c r="E3028" s="9">
        <v>42840</v>
      </c>
      <c r="F3028">
        <v>267</v>
      </c>
      <c r="G3028" t="s">
        <v>5877</v>
      </c>
    </row>
    <row r="3029" spans="5:7" x14ac:dyDescent="0.35">
      <c r="E3029" s="9">
        <v>42841</v>
      </c>
      <c r="F3029">
        <v>272.5</v>
      </c>
      <c r="G3029" t="s">
        <v>5877</v>
      </c>
    </row>
    <row r="3030" spans="5:7" x14ac:dyDescent="0.35">
      <c r="E3030" s="9">
        <v>42842</v>
      </c>
      <c r="F3030">
        <v>265.3</v>
      </c>
      <c r="G3030" t="s">
        <v>5877</v>
      </c>
    </row>
    <row r="3031" spans="5:7" x14ac:dyDescent="0.35">
      <c r="E3031" s="9">
        <v>42843</v>
      </c>
      <c r="F3031">
        <v>251.9</v>
      </c>
      <c r="G3031" t="s">
        <v>5877</v>
      </c>
    </row>
    <row r="3032" spans="5:7" x14ac:dyDescent="0.35">
      <c r="E3032" s="9">
        <v>42844</v>
      </c>
      <c r="F3032">
        <v>229.6</v>
      </c>
      <c r="G3032" t="s">
        <v>5877</v>
      </c>
    </row>
    <row r="3033" spans="5:7" x14ac:dyDescent="0.35">
      <c r="E3033" s="9">
        <v>42845</v>
      </c>
      <c r="F3033">
        <v>208.6</v>
      </c>
      <c r="G3033" t="s">
        <v>5877</v>
      </c>
    </row>
    <row r="3034" spans="5:7" x14ac:dyDescent="0.35">
      <c r="E3034" s="9">
        <v>42846</v>
      </c>
      <c r="F3034">
        <v>200.2</v>
      </c>
      <c r="G3034" t="s">
        <v>5877</v>
      </c>
    </row>
    <row r="3035" spans="5:7" x14ac:dyDescent="0.35">
      <c r="E3035" s="9">
        <v>42847</v>
      </c>
      <c r="F3035">
        <v>202.6</v>
      </c>
      <c r="G3035" t="s">
        <v>5877</v>
      </c>
    </row>
    <row r="3036" spans="5:7" x14ac:dyDescent="0.35">
      <c r="E3036" s="9">
        <v>42848</v>
      </c>
      <c r="F3036">
        <v>217.3</v>
      </c>
      <c r="G3036" t="s">
        <v>5877</v>
      </c>
    </row>
    <row r="3037" spans="5:7" x14ac:dyDescent="0.35">
      <c r="E3037" s="9">
        <v>42849</v>
      </c>
      <c r="F3037">
        <v>233.5</v>
      </c>
      <c r="G3037" t="s">
        <v>5877</v>
      </c>
    </row>
    <row r="3038" spans="5:7" x14ac:dyDescent="0.35">
      <c r="E3038" s="9">
        <v>42850</v>
      </c>
      <c r="F3038">
        <v>242.1</v>
      </c>
      <c r="G3038" t="s">
        <v>5877</v>
      </c>
    </row>
    <row r="3039" spans="5:7" x14ac:dyDescent="0.35">
      <c r="E3039" s="9">
        <v>42851</v>
      </c>
      <c r="F3039">
        <v>240.2</v>
      </c>
      <c r="G3039" t="s">
        <v>5877</v>
      </c>
    </row>
    <row r="3040" spans="5:7" x14ac:dyDescent="0.35">
      <c r="E3040" s="9">
        <v>42852</v>
      </c>
      <c r="F3040">
        <v>236.3</v>
      </c>
      <c r="G3040" t="s">
        <v>5877</v>
      </c>
    </row>
    <row r="3041" spans="5:7" x14ac:dyDescent="0.35">
      <c r="E3041" s="9">
        <v>42853</v>
      </c>
      <c r="F3041">
        <v>230.6</v>
      </c>
      <c r="G3041" t="s">
        <v>5877</v>
      </c>
    </row>
    <row r="3042" spans="5:7" x14ac:dyDescent="0.35">
      <c r="E3042" s="9">
        <v>42854</v>
      </c>
      <c r="F3042">
        <v>216.5</v>
      </c>
      <c r="G3042" t="s">
        <v>5877</v>
      </c>
    </row>
    <row r="3043" spans="5:7" x14ac:dyDescent="0.35">
      <c r="E3043" s="9">
        <v>42855</v>
      </c>
      <c r="F3043">
        <v>196.5</v>
      </c>
      <c r="G3043" t="s">
        <v>5877</v>
      </c>
    </row>
    <row r="3044" spans="5:7" x14ac:dyDescent="0.35">
      <c r="E3044" s="9">
        <v>42856</v>
      </c>
      <c r="F3044">
        <v>175.2</v>
      </c>
      <c r="G3044" t="s">
        <v>5877</v>
      </c>
    </row>
    <row r="3045" spans="5:7" x14ac:dyDescent="0.35">
      <c r="E3045" s="9">
        <v>42857</v>
      </c>
      <c r="F3045">
        <v>158.1</v>
      </c>
      <c r="G3045" t="s">
        <v>5877</v>
      </c>
    </row>
    <row r="3046" spans="5:7" x14ac:dyDescent="0.35">
      <c r="E3046" s="9">
        <v>42858</v>
      </c>
      <c r="F3046">
        <v>146.30000000000001</v>
      </c>
      <c r="G3046" t="s">
        <v>5877</v>
      </c>
    </row>
    <row r="3047" spans="5:7" x14ac:dyDescent="0.35">
      <c r="E3047" s="9">
        <v>42859</v>
      </c>
      <c r="F3047">
        <v>138.80000000000001</v>
      </c>
      <c r="G3047" t="s">
        <v>5877</v>
      </c>
    </row>
    <row r="3048" spans="5:7" x14ac:dyDescent="0.35">
      <c r="E3048" s="9">
        <v>42860</v>
      </c>
      <c r="F3048">
        <v>133.69999999999999</v>
      </c>
      <c r="G3048" t="s">
        <v>5877</v>
      </c>
    </row>
    <row r="3049" spans="5:7" x14ac:dyDescent="0.35">
      <c r="E3049" s="9">
        <v>42861</v>
      </c>
      <c r="F3049">
        <v>133.4</v>
      </c>
      <c r="G3049" t="s">
        <v>5877</v>
      </c>
    </row>
    <row r="3050" spans="5:7" x14ac:dyDescent="0.35">
      <c r="E3050" s="9">
        <v>42862</v>
      </c>
      <c r="F3050">
        <v>145.19999999999999</v>
      </c>
      <c r="G3050" t="s">
        <v>5877</v>
      </c>
    </row>
    <row r="3051" spans="5:7" x14ac:dyDescent="0.35">
      <c r="E3051" s="9">
        <v>42863</v>
      </c>
      <c r="F3051">
        <v>169</v>
      </c>
      <c r="G3051" t="s">
        <v>5877</v>
      </c>
    </row>
    <row r="3052" spans="5:7" x14ac:dyDescent="0.35">
      <c r="E3052" s="9">
        <v>42864</v>
      </c>
      <c r="F3052">
        <v>190.1</v>
      </c>
      <c r="G3052" t="s">
        <v>5877</v>
      </c>
    </row>
    <row r="3053" spans="5:7" x14ac:dyDescent="0.35">
      <c r="E3053" s="9">
        <v>42865</v>
      </c>
      <c r="F3053">
        <v>192.6</v>
      </c>
      <c r="G3053" t="s">
        <v>5877</v>
      </c>
    </row>
    <row r="3054" spans="5:7" x14ac:dyDescent="0.35">
      <c r="E3054" s="9">
        <v>42866</v>
      </c>
      <c r="F3054">
        <v>181.4</v>
      </c>
      <c r="G3054" t="s">
        <v>5877</v>
      </c>
    </row>
    <row r="3055" spans="5:7" x14ac:dyDescent="0.35">
      <c r="E3055" s="9">
        <v>42867</v>
      </c>
      <c r="F3055">
        <v>166</v>
      </c>
      <c r="G3055" t="s">
        <v>5877</v>
      </c>
    </row>
    <row r="3056" spans="5:7" x14ac:dyDescent="0.35">
      <c r="E3056" s="9">
        <v>42868</v>
      </c>
      <c r="F3056">
        <v>156.4</v>
      </c>
      <c r="G3056" t="s">
        <v>5877</v>
      </c>
    </row>
    <row r="3057" spans="5:7" x14ac:dyDescent="0.35">
      <c r="E3057" s="9">
        <v>42869</v>
      </c>
      <c r="F3057">
        <v>157.9</v>
      </c>
      <c r="G3057" t="s">
        <v>5877</v>
      </c>
    </row>
    <row r="3058" spans="5:7" x14ac:dyDescent="0.35">
      <c r="E3058" s="9">
        <v>42870</v>
      </c>
      <c r="F3058">
        <v>165</v>
      </c>
      <c r="G3058" t="s">
        <v>5877</v>
      </c>
    </row>
    <row r="3059" spans="5:7" x14ac:dyDescent="0.35">
      <c r="E3059" s="9">
        <v>42871</v>
      </c>
      <c r="F3059">
        <v>174.8</v>
      </c>
      <c r="G3059" t="s">
        <v>5877</v>
      </c>
    </row>
    <row r="3060" spans="5:7" x14ac:dyDescent="0.35">
      <c r="E3060" s="9">
        <v>42872</v>
      </c>
      <c r="F3060">
        <v>182.3</v>
      </c>
      <c r="G3060" t="s">
        <v>5877</v>
      </c>
    </row>
    <row r="3061" spans="5:7" x14ac:dyDescent="0.35">
      <c r="E3061" s="9">
        <v>42873</v>
      </c>
      <c r="F3061">
        <v>190.2</v>
      </c>
      <c r="G3061" t="s">
        <v>5877</v>
      </c>
    </row>
    <row r="3062" spans="5:7" x14ac:dyDescent="0.35">
      <c r="E3062" s="9">
        <v>42874</v>
      </c>
      <c r="F3062">
        <v>192.5</v>
      </c>
      <c r="G3062" t="s">
        <v>5877</v>
      </c>
    </row>
    <row r="3063" spans="5:7" x14ac:dyDescent="0.35">
      <c r="E3063" s="9">
        <v>42875</v>
      </c>
      <c r="F3063">
        <v>186.5</v>
      </c>
      <c r="G3063" t="s">
        <v>5877</v>
      </c>
    </row>
    <row r="3064" spans="5:7" x14ac:dyDescent="0.35">
      <c r="E3064" s="9">
        <v>42876</v>
      </c>
      <c r="F3064">
        <v>174.1</v>
      </c>
      <c r="G3064" t="s">
        <v>5877</v>
      </c>
    </row>
    <row r="3065" spans="5:7" x14ac:dyDescent="0.35">
      <c r="E3065" s="9">
        <v>42877</v>
      </c>
      <c r="F3065">
        <v>159.69999999999999</v>
      </c>
      <c r="G3065" t="s">
        <v>5877</v>
      </c>
    </row>
    <row r="3066" spans="5:7" x14ac:dyDescent="0.35">
      <c r="E3066" s="9">
        <v>42878</v>
      </c>
      <c r="F3066">
        <v>147.69999999999999</v>
      </c>
      <c r="G3066" t="s">
        <v>5877</v>
      </c>
    </row>
    <row r="3067" spans="5:7" x14ac:dyDescent="0.35">
      <c r="E3067" s="9">
        <v>42879</v>
      </c>
      <c r="F3067">
        <v>139.19999999999999</v>
      </c>
      <c r="G3067" t="s">
        <v>5877</v>
      </c>
    </row>
    <row r="3068" spans="5:7" x14ac:dyDescent="0.35">
      <c r="E3068" s="9">
        <v>42880</v>
      </c>
      <c r="F3068">
        <v>133.9</v>
      </c>
      <c r="G3068" t="s">
        <v>5877</v>
      </c>
    </row>
    <row r="3069" spans="5:7" x14ac:dyDescent="0.35">
      <c r="E3069" s="9">
        <v>42881</v>
      </c>
      <c r="F3069">
        <v>130.5</v>
      </c>
      <c r="G3069" t="s">
        <v>5877</v>
      </c>
    </row>
    <row r="3070" spans="5:7" x14ac:dyDescent="0.35">
      <c r="E3070" s="9">
        <v>42882</v>
      </c>
      <c r="F3070">
        <v>128.4</v>
      </c>
      <c r="G3070" t="s">
        <v>5877</v>
      </c>
    </row>
    <row r="3071" spans="5:7" x14ac:dyDescent="0.35">
      <c r="E3071" s="9">
        <v>42883</v>
      </c>
      <c r="F3071">
        <v>127.1</v>
      </c>
      <c r="G3071" t="s">
        <v>5877</v>
      </c>
    </row>
    <row r="3072" spans="5:7" x14ac:dyDescent="0.35">
      <c r="E3072" s="9">
        <v>42884</v>
      </c>
      <c r="F3072">
        <v>126.9</v>
      </c>
      <c r="G3072" t="s">
        <v>5877</v>
      </c>
    </row>
    <row r="3073" spans="5:7" x14ac:dyDescent="0.35">
      <c r="E3073" s="9">
        <v>42885</v>
      </c>
      <c r="F3073">
        <v>127.6</v>
      </c>
      <c r="G3073" t="s">
        <v>5877</v>
      </c>
    </row>
    <row r="3074" spans="5:7" x14ac:dyDescent="0.35">
      <c r="E3074" s="9">
        <v>42886</v>
      </c>
      <c r="F3074">
        <v>128.5</v>
      </c>
      <c r="G3074" t="s">
        <v>5877</v>
      </c>
    </row>
    <row r="3075" spans="5:7" x14ac:dyDescent="0.35">
      <c r="E3075" s="9">
        <v>42887</v>
      </c>
      <c r="F3075">
        <v>128.4</v>
      </c>
      <c r="G3075" t="s">
        <v>5877</v>
      </c>
    </row>
    <row r="3076" spans="5:7" x14ac:dyDescent="0.35">
      <c r="E3076" s="9">
        <v>42888</v>
      </c>
      <c r="F3076">
        <v>86.5</v>
      </c>
      <c r="G3076" t="s">
        <v>5877</v>
      </c>
    </row>
    <row r="3077" spans="5:7" x14ac:dyDescent="0.35">
      <c r="E3077" s="9">
        <v>42889</v>
      </c>
      <c r="F3077">
        <v>85.4</v>
      </c>
      <c r="G3077" t="s">
        <v>5877</v>
      </c>
    </row>
    <row r="3078" spans="5:7" x14ac:dyDescent="0.35">
      <c r="E3078" s="9">
        <v>42890</v>
      </c>
      <c r="F3078">
        <v>84.4</v>
      </c>
      <c r="G3078" t="s">
        <v>5877</v>
      </c>
    </row>
    <row r="3079" spans="5:7" x14ac:dyDescent="0.35">
      <c r="E3079" s="9">
        <v>42891</v>
      </c>
      <c r="F3079">
        <v>83.9</v>
      </c>
      <c r="G3079" t="s">
        <v>5877</v>
      </c>
    </row>
    <row r="3080" spans="5:7" x14ac:dyDescent="0.35">
      <c r="E3080" s="9">
        <v>42892</v>
      </c>
      <c r="F3080">
        <v>83.7</v>
      </c>
      <c r="G3080" t="s">
        <v>5877</v>
      </c>
    </row>
    <row r="3081" spans="5:7" x14ac:dyDescent="0.35">
      <c r="E3081" s="9">
        <v>42893</v>
      </c>
      <c r="F3081">
        <v>83.6</v>
      </c>
      <c r="G3081" t="s">
        <v>5877</v>
      </c>
    </row>
    <row r="3082" spans="5:7" x14ac:dyDescent="0.35">
      <c r="E3082" s="9">
        <v>42894</v>
      </c>
      <c r="F3082">
        <v>83.5</v>
      </c>
      <c r="G3082" t="s">
        <v>5877</v>
      </c>
    </row>
    <row r="3083" spans="5:7" x14ac:dyDescent="0.35">
      <c r="E3083" s="9">
        <v>42895</v>
      </c>
      <c r="F3083">
        <v>83.4</v>
      </c>
      <c r="G3083" t="s">
        <v>5877</v>
      </c>
    </row>
    <row r="3084" spans="5:7" x14ac:dyDescent="0.35">
      <c r="E3084" s="9">
        <v>42896</v>
      </c>
      <c r="F3084">
        <v>83.3</v>
      </c>
      <c r="G3084" t="s">
        <v>5877</v>
      </c>
    </row>
    <row r="3085" spans="5:7" x14ac:dyDescent="0.35">
      <c r="E3085" s="9">
        <v>42897</v>
      </c>
      <c r="F3085">
        <v>83.3</v>
      </c>
      <c r="G3085" t="s">
        <v>5877</v>
      </c>
    </row>
    <row r="3086" spans="5:7" x14ac:dyDescent="0.35">
      <c r="E3086" s="9">
        <v>42898</v>
      </c>
      <c r="F3086">
        <v>83.3</v>
      </c>
      <c r="G3086" t="s">
        <v>5877</v>
      </c>
    </row>
    <row r="3087" spans="5:7" x14ac:dyDescent="0.35">
      <c r="E3087" s="9">
        <v>42899</v>
      </c>
      <c r="F3087">
        <v>83.3</v>
      </c>
      <c r="G3087" t="s">
        <v>5877</v>
      </c>
    </row>
    <row r="3088" spans="5:7" x14ac:dyDescent="0.35">
      <c r="E3088" s="9">
        <v>42900</v>
      </c>
      <c r="F3088">
        <v>83.2</v>
      </c>
      <c r="G3088" t="s">
        <v>5877</v>
      </c>
    </row>
    <row r="3089" spans="5:7" x14ac:dyDescent="0.35">
      <c r="E3089" s="9">
        <v>42901</v>
      </c>
      <c r="F3089">
        <v>83.1</v>
      </c>
      <c r="G3089" t="s">
        <v>5877</v>
      </c>
    </row>
    <row r="3090" spans="5:7" x14ac:dyDescent="0.35">
      <c r="E3090" s="9">
        <v>42902</v>
      </c>
      <c r="F3090">
        <v>83.1</v>
      </c>
      <c r="G3090" t="s">
        <v>5877</v>
      </c>
    </row>
    <row r="3091" spans="5:7" x14ac:dyDescent="0.35">
      <c r="E3091" s="9">
        <v>42903</v>
      </c>
      <c r="F3091">
        <v>83.2</v>
      </c>
      <c r="G3091" t="s">
        <v>5877</v>
      </c>
    </row>
    <row r="3092" spans="5:7" x14ac:dyDescent="0.35">
      <c r="E3092" s="9">
        <v>42904</v>
      </c>
      <c r="F3092">
        <v>83.6</v>
      </c>
      <c r="G3092" t="s">
        <v>5877</v>
      </c>
    </row>
    <row r="3093" spans="5:7" x14ac:dyDescent="0.35">
      <c r="E3093" s="9">
        <v>42905</v>
      </c>
      <c r="F3093">
        <v>84.4</v>
      </c>
      <c r="G3093" t="s">
        <v>5877</v>
      </c>
    </row>
    <row r="3094" spans="5:7" x14ac:dyDescent="0.35">
      <c r="E3094" s="9">
        <v>42906</v>
      </c>
      <c r="F3094">
        <v>85.3</v>
      </c>
      <c r="G3094" t="s">
        <v>5877</v>
      </c>
    </row>
    <row r="3095" spans="5:7" x14ac:dyDescent="0.35">
      <c r="E3095" s="9">
        <v>42907</v>
      </c>
      <c r="F3095">
        <v>85.5</v>
      </c>
      <c r="G3095" t="s">
        <v>5877</v>
      </c>
    </row>
    <row r="3096" spans="5:7" x14ac:dyDescent="0.35">
      <c r="E3096" s="9">
        <v>42908</v>
      </c>
      <c r="F3096">
        <v>86</v>
      </c>
      <c r="G3096" t="s">
        <v>5877</v>
      </c>
    </row>
    <row r="3097" spans="5:7" x14ac:dyDescent="0.35">
      <c r="E3097" s="9">
        <v>42909</v>
      </c>
      <c r="F3097">
        <v>87.3</v>
      </c>
      <c r="G3097" t="s">
        <v>5877</v>
      </c>
    </row>
    <row r="3098" spans="5:7" x14ac:dyDescent="0.35">
      <c r="E3098" s="9">
        <v>42910</v>
      </c>
      <c r="F3098">
        <v>88.9</v>
      </c>
      <c r="G3098" t="s">
        <v>5877</v>
      </c>
    </row>
    <row r="3099" spans="5:7" x14ac:dyDescent="0.35">
      <c r="E3099" s="9">
        <v>42911</v>
      </c>
      <c r="F3099">
        <v>89</v>
      </c>
      <c r="G3099" t="s">
        <v>5877</v>
      </c>
    </row>
    <row r="3100" spans="5:7" x14ac:dyDescent="0.35">
      <c r="E3100" s="9">
        <v>42912</v>
      </c>
      <c r="F3100">
        <v>87.9</v>
      </c>
      <c r="G3100" t="s">
        <v>5877</v>
      </c>
    </row>
    <row r="3101" spans="5:7" x14ac:dyDescent="0.35">
      <c r="E3101" s="9">
        <v>42913</v>
      </c>
      <c r="F3101">
        <v>86.4</v>
      </c>
      <c r="G3101" t="s">
        <v>5877</v>
      </c>
    </row>
    <row r="3102" spans="5:7" x14ac:dyDescent="0.35">
      <c r="E3102" s="9">
        <v>42914</v>
      </c>
      <c r="F3102">
        <v>85.5</v>
      </c>
      <c r="G3102" t="s">
        <v>5877</v>
      </c>
    </row>
    <row r="3103" spans="5:7" x14ac:dyDescent="0.35">
      <c r="E3103" s="9">
        <v>42915</v>
      </c>
      <c r="F3103">
        <v>85.6</v>
      </c>
      <c r="G3103" t="s">
        <v>5877</v>
      </c>
    </row>
    <row r="3104" spans="5:7" x14ac:dyDescent="0.35">
      <c r="E3104" s="9">
        <v>42916</v>
      </c>
      <c r="F3104">
        <v>86.6</v>
      </c>
      <c r="G3104" t="s">
        <v>5877</v>
      </c>
    </row>
    <row r="3105" spans="5:7" x14ac:dyDescent="0.35">
      <c r="E3105" s="9">
        <v>42917</v>
      </c>
      <c r="F3105">
        <v>88.1</v>
      </c>
      <c r="G3105" t="s">
        <v>5877</v>
      </c>
    </row>
    <row r="3106" spans="5:7" x14ac:dyDescent="0.35">
      <c r="E3106" s="9">
        <v>42918</v>
      </c>
      <c r="F3106">
        <v>66.5</v>
      </c>
      <c r="G3106" t="s">
        <v>5877</v>
      </c>
    </row>
    <row r="3107" spans="5:7" x14ac:dyDescent="0.35">
      <c r="E3107" s="9">
        <v>42919</v>
      </c>
      <c r="F3107">
        <v>66.3</v>
      </c>
      <c r="G3107" t="s">
        <v>5877</v>
      </c>
    </row>
    <row r="3108" spans="5:7" x14ac:dyDescent="0.35">
      <c r="E3108" s="9">
        <v>42920</v>
      </c>
      <c r="F3108">
        <v>65.400000000000006</v>
      </c>
      <c r="G3108" t="s">
        <v>5877</v>
      </c>
    </row>
    <row r="3109" spans="5:7" x14ac:dyDescent="0.35">
      <c r="E3109" s="9">
        <v>42921</v>
      </c>
      <c r="F3109">
        <v>64.2</v>
      </c>
      <c r="G3109" t="s">
        <v>5877</v>
      </c>
    </row>
    <row r="3110" spans="5:7" x14ac:dyDescent="0.35">
      <c r="E3110" s="9">
        <v>42922</v>
      </c>
      <c r="F3110">
        <v>63.5</v>
      </c>
      <c r="G3110" t="s">
        <v>5877</v>
      </c>
    </row>
    <row r="3111" spans="5:7" x14ac:dyDescent="0.35">
      <c r="E3111" s="9">
        <v>42923</v>
      </c>
      <c r="F3111">
        <v>64</v>
      </c>
      <c r="G3111" t="s">
        <v>5877</v>
      </c>
    </row>
    <row r="3112" spans="5:7" x14ac:dyDescent="0.35">
      <c r="E3112" s="9">
        <v>42924</v>
      </c>
      <c r="F3112">
        <v>65.5</v>
      </c>
      <c r="G3112" t="s">
        <v>5877</v>
      </c>
    </row>
    <row r="3113" spans="5:7" x14ac:dyDescent="0.35">
      <c r="E3113" s="9">
        <v>42925</v>
      </c>
      <c r="F3113">
        <v>66.8</v>
      </c>
      <c r="G3113" t="s">
        <v>5877</v>
      </c>
    </row>
    <row r="3114" spans="5:7" x14ac:dyDescent="0.35">
      <c r="E3114" s="9">
        <v>42926</v>
      </c>
      <c r="F3114">
        <v>66.400000000000006</v>
      </c>
      <c r="G3114" t="s">
        <v>5877</v>
      </c>
    </row>
    <row r="3115" spans="5:7" x14ac:dyDescent="0.35">
      <c r="E3115" s="9">
        <v>42927</v>
      </c>
      <c r="F3115">
        <v>65.099999999999994</v>
      </c>
      <c r="G3115" t="s">
        <v>5877</v>
      </c>
    </row>
    <row r="3116" spans="5:7" x14ac:dyDescent="0.35">
      <c r="E3116" s="9">
        <v>42928</v>
      </c>
      <c r="F3116">
        <v>63.5</v>
      </c>
      <c r="G3116" t="s">
        <v>5877</v>
      </c>
    </row>
    <row r="3117" spans="5:7" x14ac:dyDescent="0.35">
      <c r="E3117" s="9">
        <v>42929</v>
      </c>
      <c r="F3117">
        <v>62.3</v>
      </c>
      <c r="G3117" t="s">
        <v>5877</v>
      </c>
    </row>
    <row r="3118" spans="5:7" x14ac:dyDescent="0.35">
      <c r="E3118" s="9">
        <v>42930</v>
      </c>
      <c r="F3118">
        <v>61.6</v>
      </c>
      <c r="G3118" t="s">
        <v>5877</v>
      </c>
    </row>
    <row r="3119" spans="5:7" x14ac:dyDescent="0.35">
      <c r="E3119" s="9">
        <v>42931</v>
      </c>
      <c r="F3119">
        <v>61.1</v>
      </c>
      <c r="G3119" t="s">
        <v>5877</v>
      </c>
    </row>
    <row r="3120" spans="5:7" x14ac:dyDescent="0.35">
      <c r="E3120" s="9">
        <v>42932</v>
      </c>
      <c r="F3120">
        <v>60.8</v>
      </c>
      <c r="G3120" t="s">
        <v>5877</v>
      </c>
    </row>
    <row r="3121" spans="5:7" x14ac:dyDescent="0.35">
      <c r="E3121" s="9">
        <v>42933</v>
      </c>
      <c r="F3121">
        <v>60.6</v>
      </c>
      <c r="G3121" t="s">
        <v>5877</v>
      </c>
    </row>
    <row r="3122" spans="5:7" x14ac:dyDescent="0.35">
      <c r="E3122" s="9">
        <v>42934</v>
      </c>
      <c r="F3122">
        <v>60.5</v>
      </c>
      <c r="G3122" t="s">
        <v>5877</v>
      </c>
    </row>
    <row r="3123" spans="5:7" x14ac:dyDescent="0.35">
      <c r="E3123" s="9">
        <v>42935</v>
      </c>
      <c r="F3123">
        <v>60.3</v>
      </c>
      <c r="G3123" t="s">
        <v>5877</v>
      </c>
    </row>
    <row r="3124" spans="5:7" x14ac:dyDescent="0.35">
      <c r="E3124" s="9">
        <v>42936</v>
      </c>
      <c r="F3124">
        <v>60.2</v>
      </c>
      <c r="G3124" t="s">
        <v>5877</v>
      </c>
    </row>
    <row r="3125" spans="5:7" x14ac:dyDescent="0.35">
      <c r="E3125" s="9">
        <v>42937</v>
      </c>
      <c r="F3125">
        <v>60.3</v>
      </c>
      <c r="G3125" t="s">
        <v>5877</v>
      </c>
    </row>
    <row r="3126" spans="5:7" x14ac:dyDescent="0.35">
      <c r="E3126" s="9">
        <v>42938</v>
      </c>
      <c r="F3126">
        <v>61.6</v>
      </c>
      <c r="G3126" t="s">
        <v>5877</v>
      </c>
    </row>
    <row r="3127" spans="5:7" x14ac:dyDescent="0.35">
      <c r="E3127" s="9">
        <v>42939</v>
      </c>
      <c r="F3127">
        <v>64.400000000000006</v>
      </c>
      <c r="G3127" t="s">
        <v>5877</v>
      </c>
    </row>
    <row r="3128" spans="5:7" x14ac:dyDescent="0.35">
      <c r="E3128" s="9">
        <v>42940</v>
      </c>
      <c r="F3128">
        <v>67.8</v>
      </c>
      <c r="G3128" t="s">
        <v>5877</v>
      </c>
    </row>
    <row r="3129" spans="5:7" x14ac:dyDescent="0.35">
      <c r="E3129" s="9">
        <v>42941</v>
      </c>
      <c r="F3129">
        <v>70.099999999999994</v>
      </c>
      <c r="G3129" t="s">
        <v>5877</v>
      </c>
    </row>
    <row r="3130" spans="5:7" x14ac:dyDescent="0.35">
      <c r="E3130" s="9">
        <v>42942</v>
      </c>
      <c r="F3130">
        <v>72</v>
      </c>
      <c r="G3130" t="s">
        <v>5877</v>
      </c>
    </row>
    <row r="3131" spans="5:7" x14ac:dyDescent="0.35">
      <c r="E3131" s="9">
        <v>42943</v>
      </c>
      <c r="F3131">
        <v>73.7</v>
      </c>
      <c r="G3131" t="s">
        <v>5877</v>
      </c>
    </row>
    <row r="3132" spans="5:7" x14ac:dyDescent="0.35">
      <c r="E3132" s="9">
        <v>42944</v>
      </c>
      <c r="F3132">
        <v>74.8</v>
      </c>
      <c r="G3132" t="s">
        <v>5877</v>
      </c>
    </row>
    <row r="3133" spans="5:7" x14ac:dyDescent="0.35">
      <c r="E3133" s="9">
        <v>42945</v>
      </c>
      <c r="F3133">
        <v>73.3</v>
      </c>
      <c r="G3133" t="s">
        <v>5877</v>
      </c>
    </row>
    <row r="3134" spans="5:7" x14ac:dyDescent="0.35">
      <c r="E3134" s="9">
        <v>42946</v>
      </c>
      <c r="F3134">
        <v>70.3</v>
      </c>
      <c r="G3134" t="s">
        <v>5877</v>
      </c>
    </row>
    <row r="3135" spans="5:7" x14ac:dyDescent="0.35">
      <c r="E3135" s="9">
        <v>42947</v>
      </c>
      <c r="F3135">
        <v>67.099999999999994</v>
      </c>
      <c r="G3135" t="s">
        <v>5877</v>
      </c>
    </row>
    <row r="3136" spans="5:7" x14ac:dyDescent="0.35">
      <c r="E3136" s="9">
        <v>42948</v>
      </c>
      <c r="F3136">
        <v>64.5</v>
      </c>
      <c r="G3136" t="s">
        <v>5877</v>
      </c>
    </row>
    <row r="3137" spans="5:7" x14ac:dyDescent="0.35">
      <c r="E3137" s="9">
        <v>42949</v>
      </c>
      <c r="F3137">
        <v>69</v>
      </c>
      <c r="G3137" t="s">
        <v>5877</v>
      </c>
    </row>
    <row r="3138" spans="5:7" x14ac:dyDescent="0.35">
      <c r="E3138" s="9">
        <v>42950</v>
      </c>
      <c r="F3138">
        <v>72</v>
      </c>
      <c r="G3138" t="s">
        <v>5877</v>
      </c>
    </row>
    <row r="3139" spans="5:7" x14ac:dyDescent="0.35">
      <c r="E3139" s="9">
        <v>42951</v>
      </c>
      <c r="F3139">
        <v>78.099999999999994</v>
      </c>
      <c r="G3139" t="s">
        <v>5877</v>
      </c>
    </row>
    <row r="3140" spans="5:7" x14ac:dyDescent="0.35">
      <c r="E3140" s="9">
        <v>42952</v>
      </c>
      <c r="F3140">
        <v>86.9</v>
      </c>
      <c r="G3140" t="s">
        <v>5877</v>
      </c>
    </row>
    <row r="3141" spans="5:7" x14ac:dyDescent="0.35">
      <c r="E3141" s="9">
        <v>42953</v>
      </c>
      <c r="F3141">
        <v>95.9</v>
      </c>
      <c r="G3141" t="s">
        <v>5877</v>
      </c>
    </row>
    <row r="3142" spans="5:7" x14ac:dyDescent="0.35">
      <c r="E3142" s="9">
        <v>42954</v>
      </c>
      <c r="F3142">
        <v>103.1</v>
      </c>
      <c r="G3142" t="s">
        <v>5877</v>
      </c>
    </row>
    <row r="3143" spans="5:7" x14ac:dyDescent="0.35">
      <c r="E3143" s="9">
        <v>42955</v>
      </c>
      <c r="F3143">
        <v>101.7</v>
      </c>
      <c r="G3143" t="s">
        <v>5877</v>
      </c>
    </row>
    <row r="3144" spans="5:7" x14ac:dyDescent="0.35">
      <c r="E3144" s="9">
        <v>42956</v>
      </c>
      <c r="F3144">
        <v>95.8</v>
      </c>
      <c r="G3144" t="s">
        <v>5877</v>
      </c>
    </row>
    <row r="3145" spans="5:7" x14ac:dyDescent="0.35">
      <c r="E3145" s="9">
        <v>42957</v>
      </c>
      <c r="F3145">
        <v>89.6</v>
      </c>
      <c r="G3145" t="s">
        <v>5877</v>
      </c>
    </row>
    <row r="3146" spans="5:7" x14ac:dyDescent="0.35">
      <c r="E3146" s="9">
        <v>42958</v>
      </c>
      <c r="F3146">
        <v>84.8</v>
      </c>
      <c r="G3146" t="s">
        <v>5877</v>
      </c>
    </row>
    <row r="3147" spans="5:7" x14ac:dyDescent="0.35">
      <c r="E3147" s="9">
        <v>42959</v>
      </c>
      <c r="F3147">
        <v>80.7</v>
      </c>
      <c r="G3147" t="s">
        <v>5877</v>
      </c>
    </row>
    <row r="3148" spans="5:7" x14ac:dyDescent="0.35">
      <c r="E3148" s="9">
        <v>42960</v>
      </c>
      <c r="F3148">
        <v>76.8</v>
      </c>
      <c r="G3148" t="s">
        <v>5877</v>
      </c>
    </row>
    <row r="3149" spans="5:7" x14ac:dyDescent="0.35">
      <c r="E3149" s="9">
        <v>42961</v>
      </c>
      <c r="F3149">
        <v>74.099999999999994</v>
      </c>
      <c r="G3149" t="s">
        <v>5877</v>
      </c>
    </row>
    <row r="3150" spans="5:7" x14ac:dyDescent="0.35">
      <c r="E3150" s="9">
        <v>42962</v>
      </c>
      <c r="F3150">
        <v>73.400000000000006</v>
      </c>
      <c r="G3150" t="s">
        <v>5877</v>
      </c>
    </row>
    <row r="3151" spans="5:7" x14ac:dyDescent="0.35">
      <c r="E3151" s="9">
        <v>42963</v>
      </c>
      <c r="F3151">
        <v>74.2</v>
      </c>
      <c r="G3151" t="s">
        <v>5877</v>
      </c>
    </row>
    <row r="3152" spans="5:7" x14ac:dyDescent="0.35">
      <c r="E3152" s="9">
        <v>42964</v>
      </c>
      <c r="F3152">
        <v>74.3</v>
      </c>
      <c r="G3152" t="s">
        <v>5877</v>
      </c>
    </row>
    <row r="3153" spans="5:7" x14ac:dyDescent="0.35">
      <c r="E3153" s="9">
        <v>42965</v>
      </c>
      <c r="F3153">
        <v>74.400000000000006</v>
      </c>
      <c r="G3153" t="s">
        <v>5877</v>
      </c>
    </row>
    <row r="3154" spans="5:7" x14ac:dyDescent="0.35">
      <c r="E3154" s="9">
        <v>42966</v>
      </c>
      <c r="F3154">
        <v>77.2</v>
      </c>
      <c r="G3154" t="s">
        <v>5877</v>
      </c>
    </row>
    <row r="3155" spans="5:7" x14ac:dyDescent="0.35">
      <c r="E3155" s="9">
        <v>42967</v>
      </c>
      <c r="F3155">
        <v>83.5</v>
      </c>
      <c r="G3155" t="s">
        <v>5877</v>
      </c>
    </row>
    <row r="3156" spans="5:7" x14ac:dyDescent="0.35">
      <c r="E3156" s="9">
        <v>42968</v>
      </c>
      <c r="F3156">
        <v>89.7</v>
      </c>
      <c r="G3156" t="s">
        <v>5877</v>
      </c>
    </row>
    <row r="3157" spans="5:7" x14ac:dyDescent="0.35">
      <c r="E3157" s="9">
        <v>42969</v>
      </c>
      <c r="F3157">
        <v>90.2</v>
      </c>
      <c r="G3157" t="s">
        <v>5877</v>
      </c>
    </row>
    <row r="3158" spans="5:7" x14ac:dyDescent="0.35">
      <c r="E3158" s="9">
        <v>42970</v>
      </c>
      <c r="F3158">
        <v>86.3</v>
      </c>
      <c r="G3158" t="s">
        <v>5877</v>
      </c>
    </row>
    <row r="3159" spans="5:7" x14ac:dyDescent="0.35">
      <c r="E3159" s="9">
        <v>42971</v>
      </c>
      <c r="F3159">
        <v>81.3</v>
      </c>
      <c r="G3159" t="s">
        <v>5877</v>
      </c>
    </row>
    <row r="3160" spans="5:7" x14ac:dyDescent="0.35">
      <c r="E3160" s="9">
        <v>42972</v>
      </c>
      <c r="F3160">
        <v>79.599999999999994</v>
      </c>
      <c r="G3160" t="s">
        <v>5877</v>
      </c>
    </row>
    <row r="3161" spans="5:7" x14ac:dyDescent="0.35">
      <c r="E3161" s="9">
        <v>42973</v>
      </c>
      <c r="F3161">
        <v>83.4</v>
      </c>
      <c r="G3161" t="s">
        <v>5877</v>
      </c>
    </row>
    <row r="3162" spans="5:7" x14ac:dyDescent="0.35">
      <c r="E3162" s="9">
        <v>42974</v>
      </c>
      <c r="F3162">
        <v>89.1</v>
      </c>
      <c r="G3162" t="s">
        <v>5877</v>
      </c>
    </row>
    <row r="3163" spans="5:7" x14ac:dyDescent="0.35">
      <c r="E3163" s="9">
        <v>42975</v>
      </c>
      <c r="F3163">
        <v>91.4</v>
      </c>
      <c r="G3163" t="s">
        <v>5877</v>
      </c>
    </row>
    <row r="3164" spans="5:7" x14ac:dyDescent="0.35">
      <c r="E3164" s="9">
        <v>42976</v>
      </c>
      <c r="F3164">
        <v>88.9</v>
      </c>
      <c r="G3164" t="s">
        <v>5877</v>
      </c>
    </row>
    <row r="3165" spans="5:7" x14ac:dyDescent="0.35">
      <c r="E3165" s="9">
        <v>42977</v>
      </c>
      <c r="F3165">
        <v>83.8</v>
      </c>
      <c r="G3165" t="s">
        <v>5877</v>
      </c>
    </row>
    <row r="3166" spans="5:7" x14ac:dyDescent="0.35">
      <c r="E3166" s="9">
        <v>42978</v>
      </c>
      <c r="F3166">
        <v>78.8</v>
      </c>
      <c r="G3166" t="s">
        <v>5877</v>
      </c>
    </row>
    <row r="3167" spans="5:7" x14ac:dyDescent="0.35">
      <c r="E3167" s="9">
        <v>42979</v>
      </c>
      <c r="F3167">
        <v>77.5</v>
      </c>
      <c r="G3167" t="s">
        <v>5877</v>
      </c>
    </row>
    <row r="3168" spans="5:7" x14ac:dyDescent="0.35">
      <c r="E3168" s="9">
        <v>42980</v>
      </c>
      <c r="F3168">
        <v>108.8</v>
      </c>
      <c r="G3168" t="s">
        <v>5877</v>
      </c>
    </row>
    <row r="3169" spans="5:7" x14ac:dyDescent="0.35">
      <c r="E3169" s="9">
        <v>42981</v>
      </c>
      <c r="F3169">
        <v>116.1</v>
      </c>
      <c r="G3169" t="s">
        <v>5877</v>
      </c>
    </row>
    <row r="3170" spans="5:7" x14ac:dyDescent="0.35">
      <c r="E3170" s="9">
        <v>42982</v>
      </c>
      <c r="F3170">
        <v>122.6</v>
      </c>
      <c r="G3170" t="s">
        <v>5877</v>
      </c>
    </row>
    <row r="3171" spans="5:7" x14ac:dyDescent="0.35">
      <c r="E3171" s="9">
        <v>42983</v>
      </c>
      <c r="F3171">
        <v>127.3</v>
      </c>
      <c r="G3171" t="s">
        <v>5877</v>
      </c>
    </row>
    <row r="3172" spans="5:7" x14ac:dyDescent="0.35">
      <c r="E3172" s="9">
        <v>42984</v>
      </c>
      <c r="F3172">
        <v>128.80000000000001</v>
      </c>
      <c r="G3172" t="s">
        <v>5877</v>
      </c>
    </row>
    <row r="3173" spans="5:7" x14ac:dyDescent="0.35">
      <c r="E3173" s="9">
        <v>42985</v>
      </c>
      <c r="F3173">
        <v>127.9</v>
      </c>
      <c r="G3173" t="s">
        <v>5877</v>
      </c>
    </row>
    <row r="3174" spans="5:7" x14ac:dyDescent="0.35">
      <c r="E3174" s="9">
        <v>42986</v>
      </c>
      <c r="F3174">
        <v>132.69999999999999</v>
      </c>
      <c r="G3174" t="s">
        <v>5877</v>
      </c>
    </row>
    <row r="3175" spans="5:7" x14ac:dyDescent="0.35">
      <c r="E3175" s="9">
        <v>42987</v>
      </c>
      <c r="F3175">
        <v>146.80000000000001</v>
      </c>
      <c r="G3175" t="s">
        <v>5877</v>
      </c>
    </row>
    <row r="3176" spans="5:7" x14ac:dyDescent="0.35">
      <c r="E3176" s="9">
        <v>42988</v>
      </c>
      <c r="F3176">
        <v>161.30000000000001</v>
      </c>
      <c r="G3176" t="s">
        <v>5877</v>
      </c>
    </row>
    <row r="3177" spans="5:7" x14ac:dyDescent="0.35">
      <c r="E3177" s="9">
        <v>42989</v>
      </c>
      <c r="F3177">
        <v>165.8</v>
      </c>
      <c r="G3177" t="s">
        <v>5877</v>
      </c>
    </row>
    <row r="3178" spans="5:7" x14ac:dyDescent="0.35">
      <c r="E3178" s="9">
        <v>42990</v>
      </c>
      <c r="F3178">
        <v>162.5</v>
      </c>
      <c r="G3178" t="s">
        <v>5877</v>
      </c>
    </row>
    <row r="3179" spans="5:7" x14ac:dyDescent="0.35">
      <c r="E3179" s="9">
        <v>42991</v>
      </c>
      <c r="F3179">
        <v>160.9</v>
      </c>
      <c r="G3179" t="s">
        <v>5877</v>
      </c>
    </row>
    <row r="3180" spans="5:7" x14ac:dyDescent="0.35">
      <c r="E3180" s="9">
        <v>42992</v>
      </c>
      <c r="F3180">
        <v>162.19999999999999</v>
      </c>
      <c r="G3180" t="s">
        <v>5877</v>
      </c>
    </row>
    <row r="3181" spans="5:7" x14ac:dyDescent="0.35">
      <c r="E3181" s="9">
        <v>42993</v>
      </c>
      <c r="F3181">
        <v>158.9</v>
      </c>
      <c r="G3181" t="s">
        <v>5877</v>
      </c>
    </row>
    <row r="3182" spans="5:7" x14ac:dyDescent="0.35">
      <c r="E3182" s="9">
        <v>42994</v>
      </c>
      <c r="F3182">
        <v>149.69999999999999</v>
      </c>
      <c r="G3182" t="s">
        <v>5877</v>
      </c>
    </row>
    <row r="3183" spans="5:7" x14ac:dyDescent="0.35">
      <c r="E3183" s="9">
        <v>42995</v>
      </c>
      <c r="F3183">
        <v>138.5</v>
      </c>
      <c r="G3183" t="s">
        <v>5877</v>
      </c>
    </row>
    <row r="3184" spans="5:7" x14ac:dyDescent="0.35">
      <c r="E3184" s="9">
        <v>42996</v>
      </c>
      <c r="F3184">
        <v>130.1</v>
      </c>
      <c r="G3184" t="s">
        <v>5877</v>
      </c>
    </row>
    <row r="3185" spans="5:7" x14ac:dyDescent="0.35">
      <c r="E3185" s="9">
        <v>42997</v>
      </c>
      <c r="F3185">
        <v>130.30000000000001</v>
      </c>
      <c r="G3185" t="s">
        <v>5877</v>
      </c>
    </row>
    <row r="3186" spans="5:7" x14ac:dyDescent="0.35">
      <c r="E3186" s="9">
        <v>42998</v>
      </c>
      <c r="F3186">
        <v>140.80000000000001</v>
      </c>
      <c r="G3186" t="s">
        <v>5877</v>
      </c>
    </row>
    <row r="3187" spans="5:7" x14ac:dyDescent="0.35">
      <c r="E3187" s="9">
        <v>42999</v>
      </c>
      <c r="F3187">
        <v>153.4</v>
      </c>
      <c r="G3187" t="s">
        <v>5877</v>
      </c>
    </row>
    <row r="3188" spans="5:7" x14ac:dyDescent="0.35">
      <c r="E3188" s="9">
        <v>43000</v>
      </c>
      <c r="F3188">
        <v>156.9</v>
      </c>
      <c r="G3188" t="s">
        <v>5877</v>
      </c>
    </row>
    <row r="3189" spans="5:7" x14ac:dyDescent="0.35">
      <c r="E3189" s="9">
        <v>43001</v>
      </c>
      <c r="F3189">
        <v>150.1</v>
      </c>
      <c r="G3189" t="s">
        <v>5877</v>
      </c>
    </row>
    <row r="3190" spans="5:7" x14ac:dyDescent="0.35">
      <c r="E3190" s="9">
        <v>43002</v>
      </c>
      <c r="F3190">
        <v>138.30000000000001</v>
      </c>
      <c r="G3190" t="s">
        <v>5877</v>
      </c>
    </row>
    <row r="3191" spans="5:7" x14ac:dyDescent="0.35">
      <c r="E3191" s="9">
        <v>43003</v>
      </c>
      <c r="F3191">
        <v>127.6</v>
      </c>
      <c r="G3191" t="s">
        <v>5877</v>
      </c>
    </row>
    <row r="3192" spans="5:7" x14ac:dyDescent="0.35">
      <c r="E3192" s="9">
        <v>43004</v>
      </c>
      <c r="F3192">
        <v>122.7</v>
      </c>
      <c r="G3192" t="s">
        <v>5877</v>
      </c>
    </row>
    <row r="3193" spans="5:7" x14ac:dyDescent="0.35">
      <c r="E3193" s="9">
        <v>43005</v>
      </c>
      <c r="F3193">
        <v>122.7</v>
      </c>
      <c r="G3193" t="s">
        <v>5877</v>
      </c>
    </row>
    <row r="3194" spans="5:7" x14ac:dyDescent="0.35">
      <c r="E3194" s="9">
        <v>43006</v>
      </c>
      <c r="F3194">
        <v>128</v>
      </c>
      <c r="G3194" t="s">
        <v>5877</v>
      </c>
    </row>
    <row r="3195" spans="5:7" x14ac:dyDescent="0.35">
      <c r="E3195" s="9">
        <v>43007</v>
      </c>
      <c r="F3195">
        <v>139.30000000000001</v>
      </c>
      <c r="G3195" t="s">
        <v>5877</v>
      </c>
    </row>
    <row r="3196" spans="5:7" x14ac:dyDescent="0.35">
      <c r="E3196" s="9">
        <v>43008</v>
      </c>
      <c r="F3196">
        <v>151.9</v>
      </c>
      <c r="G3196" t="s">
        <v>5877</v>
      </c>
    </row>
    <row r="3197" spans="5:7" x14ac:dyDescent="0.35">
      <c r="E3197" s="9">
        <v>43009</v>
      </c>
      <c r="F3197">
        <v>153.6</v>
      </c>
      <c r="G3197" t="s">
        <v>5877</v>
      </c>
    </row>
    <row r="3198" spans="5:7" x14ac:dyDescent="0.35">
      <c r="E3198" s="9">
        <v>43010</v>
      </c>
      <c r="F3198">
        <v>165.7</v>
      </c>
      <c r="G3198" t="s">
        <v>5877</v>
      </c>
    </row>
    <row r="3199" spans="5:7" x14ac:dyDescent="0.35">
      <c r="E3199" s="9">
        <v>43011</v>
      </c>
      <c r="F3199">
        <v>169</v>
      </c>
      <c r="G3199" t="s">
        <v>5877</v>
      </c>
    </row>
    <row r="3200" spans="5:7" x14ac:dyDescent="0.35">
      <c r="E3200" s="9">
        <v>43012</v>
      </c>
      <c r="F3200">
        <v>183.2</v>
      </c>
      <c r="G3200" t="s">
        <v>5877</v>
      </c>
    </row>
    <row r="3201" spans="5:7" x14ac:dyDescent="0.35">
      <c r="E3201" s="9">
        <v>43013</v>
      </c>
      <c r="F3201">
        <v>198.1</v>
      </c>
      <c r="G3201" t="s">
        <v>5877</v>
      </c>
    </row>
    <row r="3202" spans="5:7" x14ac:dyDescent="0.35">
      <c r="E3202" s="9">
        <v>43014</v>
      </c>
      <c r="F3202">
        <v>200</v>
      </c>
      <c r="G3202" t="s">
        <v>5877</v>
      </c>
    </row>
    <row r="3203" spans="5:7" x14ac:dyDescent="0.35">
      <c r="E3203" s="9">
        <v>43015</v>
      </c>
      <c r="F3203">
        <v>197.9</v>
      </c>
      <c r="G3203" t="s">
        <v>5877</v>
      </c>
    </row>
    <row r="3204" spans="5:7" x14ac:dyDescent="0.35">
      <c r="E3204" s="9">
        <v>43016</v>
      </c>
      <c r="F3204">
        <v>204</v>
      </c>
      <c r="G3204" t="s">
        <v>5877</v>
      </c>
    </row>
    <row r="3205" spans="5:7" x14ac:dyDescent="0.35">
      <c r="E3205" s="9">
        <v>43017</v>
      </c>
      <c r="F3205">
        <v>213.9</v>
      </c>
      <c r="G3205" t="s">
        <v>5877</v>
      </c>
    </row>
    <row r="3206" spans="5:7" x14ac:dyDescent="0.35">
      <c r="E3206" s="9">
        <v>43018</v>
      </c>
      <c r="F3206">
        <v>221.4</v>
      </c>
      <c r="G3206" t="s">
        <v>5877</v>
      </c>
    </row>
    <row r="3207" spans="5:7" x14ac:dyDescent="0.35">
      <c r="E3207" s="9">
        <v>43019</v>
      </c>
      <c r="F3207">
        <v>221.4</v>
      </c>
      <c r="G3207" t="s">
        <v>5877</v>
      </c>
    </row>
    <row r="3208" spans="5:7" x14ac:dyDescent="0.35">
      <c r="E3208" s="9">
        <v>43020</v>
      </c>
      <c r="F3208">
        <v>222.1</v>
      </c>
      <c r="G3208" t="s">
        <v>5877</v>
      </c>
    </row>
    <row r="3209" spans="5:7" x14ac:dyDescent="0.35">
      <c r="E3209" s="9">
        <v>43021</v>
      </c>
      <c r="F3209">
        <v>222.1</v>
      </c>
      <c r="G3209" t="s">
        <v>5877</v>
      </c>
    </row>
    <row r="3210" spans="5:7" x14ac:dyDescent="0.35">
      <c r="E3210" s="9">
        <v>43022</v>
      </c>
      <c r="F3210">
        <v>223.1</v>
      </c>
      <c r="G3210" t="s">
        <v>5877</v>
      </c>
    </row>
    <row r="3211" spans="5:7" x14ac:dyDescent="0.35">
      <c r="E3211" s="9">
        <v>43023</v>
      </c>
      <c r="F3211">
        <v>217.8</v>
      </c>
      <c r="G3211" t="s">
        <v>5877</v>
      </c>
    </row>
    <row r="3212" spans="5:7" x14ac:dyDescent="0.35">
      <c r="E3212" s="9">
        <v>43024</v>
      </c>
      <c r="F3212">
        <v>204.7</v>
      </c>
      <c r="G3212" t="s">
        <v>5877</v>
      </c>
    </row>
    <row r="3213" spans="5:7" x14ac:dyDescent="0.35">
      <c r="E3213" s="9">
        <v>43025</v>
      </c>
      <c r="F3213">
        <v>187.5</v>
      </c>
      <c r="G3213" t="s">
        <v>5877</v>
      </c>
    </row>
    <row r="3214" spans="5:7" x14ac:dyDescent="0.35">
      <c r="E3214" s="9">
        <v>43026</v>
      </c>
      <c r="F3214">
        <v>171.1</v>
      </c>
      <c r="G3214" t="s">
        <v>5877</v>
      </c>
    </row>
    <row r="3215" spans="5:7" x14ac:dyDescent="0.35">
      <c r="E3215" s="9">
        <v>43027</v>
      </c>
      <c r="F3215">
        <v>159.69999999999999</v>
      </c>
      <c r="G3215" t="s">
        <v>5877</v>
      </c>
    </row>
    <row r="3216" spans="5:7" x14ac:dyDescent="0.35">
      <c r="E3216" s="9">
        <v>43028</v>
      </c>
      <c r="F3216">
        <v>152.19999999999999</v>
      </c>
      <c r="G3216" t="s">
        <v>5877</v>
      </c>
    </row>
    <row r="3217" spans="5:7" x14ac:dyDescent="0.35">
      <c r="E3217" s="9">
        <v>43029</v>
      </c>
      <c r="F3217">
        <v>151.1</v>
      </c>
      <c r="G3217" t="s">
        <v>5877</v>
      </c>
    </row>
    <row r="3218" spans="5:7" x14ac:dyDescent="0.35">
      <c r="E3218" s="9">
        <v>43030</v>
      </c>
      <c r="F3218">
        <v>154.5</v>
      </c>
      <c r="G3218" t="s">
        <v>5877</v>
      </c>
    </row>
    <row r="3219" spans="5:7" x14ac:dyDescent="0.35">
      <c r="E3219" s="9">
        <v>43031</v>
      </c>
      <c r="F3219">
        <v>157.69999999999999</v>
      </c>
      <c r="G3219" t="s">
        <v>5877</v>
      </c>
    </row>
    <row r="3220" spans="5:7" x14ac:dyDescent="0.35">
      <c r="E3220" s="9">
        <v>43032</v>
      </c>
      <c r="F3220">
        <v>164.1</v>
      </c>
      <c r="G3220" t="s">
        <v>5877</v>
      </c>
    </row>
    <row r="3221" spans="5:7" x14ac:dyDescent="0.35">
      <c r="E3221" s="9">
        <v>43033</v>
      </c>
      <c r="F3221">
        <v>175.5</v>
      </c>
      <c r="G3221" t="s">
        <v>5877</v>
      </c>
    </row>
    <row r="3222" spans="5:7" x14ac:dyDescent="0.35">
      <c r="E3222" s="9">
        <v>43034</v>
      </c>
      <c r="F3222">
        <v>199.7</v>
      </c>
      <c r="G3222" t="s">
        <v>5877</v>
      </c>
    </row>
    <row r="3223" spans="5:7" x14ac:dyDescent="0.35">
      <c r="E3223" s="9">
        <v>43035</v>
      </c>
      <c r="F3223">
        <v>227.5</v>
      </c>
      <c r="G3223" t="s">
        <v>5877</v>
      </c>
    </row>
    <row r="3224" spans="5:7" x14ac:dyDescent="0.35">
      <c r="E3224" s="9">
        <v>43036</v>
      </c>
      <c r="F3224">
        <v>245.8</v>
      </c>
      <c r="G3224" t="s">
        <v>5877</v>
      </c>
    </row>
    <row r="3225" spans="5:7" x14ac:dyDescent="0.35">
      <c r="E3225" s="9">
        <v>43037</v>
      </c>
      <c r="F3225">
        <v>245.1</v>
      </c>
      <c r="G3225" t="s">
        <v>5877</v>
      </c>
    </row>
    <row r="3226" spans="5:7" x14ac:dyDescent="0.35">
      <c r="E3226" s="9">
        <v>43038</v>
      </c>
      <c r="F3226">
        <v>238.7</v>
      </c>
      <c r="G3226" t="s">
        <v>5877</v>
      </c>
    </row>
    <row r="3227" spans="5:7" x14ac:dyDescent="0.35">
      <c r="E3227" s="9">
        <v>43039</v>
      </c>
      <c r="F3227">
        <v>234.9</v>
      </c>
      <c r="G3227" t="s">
        <v>5877</v>
      </c>
    </row>
    <row r="3228" spans="5:7" x14ac:dyDescent="0.35">
      <c r="E3228" s="9">
        <v>43040</v>
      </c>
      <c r="F3228">
        <v>230.8</v>
      </c>
      <c r="G3228" t="s">
        <v>5877</v>
      </c>
    </row>
    <row r="3229" spans="5:7" x14ac:dyDescent="0.35">
      <c r="E3229" s="9">
        <v>43041</v>
      </c>
      <c r="F3229">
        <v>244.1</v>
      </c>
      <c r="G3229" t="s">
        <v>5877</v>
      </c>
    </row>
    <row r="3230" spans="5:7" x14ac:dyDescent="0.35">
      <c r="E3230" s="9">
        <v>43042</v>
      </c>
      <c r="F3230">
        <v>247.2</v>
      </c>
      <c r="G3230" t="s">
        <v>5877</v>
      </c>
    </row>
    <row r="3231" spans="5:7" x14ac:dyDescent="0.35">
      <c r="E3231" s="9">
        <v>43043</v>
      </c>
      <c r="F3231">
        <v>255.1</v>
      </c>
      <c r="G3231" t="s">
        <v>5877</v>
      </c>
    </row>
    <row r="3232" spans="5:7" x14ac:dyDescent="0.35">
      <c r="E3232" s="9">
        <v>43044</v>
      </c>
      <c r="F3232">
        <v>260.7</v>
      </c>
      <c r="G3232" t="s">
        <v>5877</v>
      </c>
    </row>
    <row r="3233" spans="5:7" x14ac:dyDescent="0.35">
      <c r="E3233" s="9">
        <v>43045</v>
      </c>
      <c r="F3233">
        <v>263.60000000000002</v>
      </c>
      <c r="G3233" t="s">
        <v>5877</v>
      </c>
    </row>
    <row r="3234" spans="5:7" x14ac:dyDescent="0.35">
      <c r="E3234" s="9">
        <v>43046</v>
      </c>
      <c r="F3234">
        <v>257.7</v>
      </c>
      <c r="G3234" t="s">
        <v>5877</v>
      </c>
    </row>
    <row r="3235" spans="5:7" x14ac:dyDescent="0.35">
      <c r="E3235" s="9">
        <v>43047</v>
      </c>
      <c r="F3235">
        <v>251.8</v>
      </c>
      <c r="G3235" t="s">
        <v>5877</v>
      </c>
    </row>
    <row r="3236" spans="5:7" x14ac:dyDescent="0.35">
      <c r="E3236" s="9">
        <v>43048</v>
      </c>
      <c r="F3236">
        <v>248.9</v>
      </c>
      <c r="G3236" t="s">
        <v>5877</v>
      </c>
    </row>
    <row r="3237" spans="5:7" x14ac:dyDescent="0.35">
      <c r="E3237" s="9">
        <v>43049</v>
      </c>
      <c r="F3237">
        <v>250.6</v>
      </c>
      <c r="G3237" t="s">
        <v>5877</v>
      </c>
    </row>
    <row r="3238" spans="5:7" x14ac:dyDescent="0.35">
      <c r="E3238" s="9">
        <v>43050</v>
      </c>
      <c r="F3238">
        <v>255.7</v>
      </c>
      <c r="G3238" t="s">
        <v>5877</v>
      </c>
    </row>
    <row r="3239" spans="5:7" x14ac:dyDescent="0.35">
      <c r="E3239" s="9">
        <v>43051</v>
      </c>
      <c r="F3239">
        <v>256.89999999999998</v>
      </c>
      <c r="G3239" t="s">
        <v>5877</v>
      </c>
    </row>
    <row r="3240" spans="5:7" x14ac:dyDescent="0.35">
      <c r="E3240" s="9">
        <v>43052</v>
      </c>
      <c r="F3240">
        <v>257.60000000000002</v>
      </c>
      <c r="G3240" t="s">
        <v>5877</v>
      </c>
    </row>
    <row r="3241" spans="5:7" x14ac:dyDescent="0.35">
      <c r="E3241" s="9">
        <v>43053</v>
      </c>
      <c r="F3241">
        <v>262.3</v>
      </c>
      <c r="G3241" t="s">
        <v>5877</v>
      </c>
    </row>
    <row r="3242" spans="5:7" x14ac:dyDescent="0.35">
      <c r="E3242" s="9">
        <v>43054</v>
      </c>
      <c r="F3242">
        <v>268.89999999999998</v>
      </c>
      <c r="G3242" t="s">
        <v>5877</v>
      </c>
    </row>
    <row r="3243" spans="5:7" x14ac:dyDescent="0.35">
      <c r="E3243" s="9">
        <v>43055</v>
      </c>
      <c r="F3243">
        <v>274</v>
      </c>
      <c r="G3243" t="s">
        <v>5877</v>
      </c>
    </row>
    <row r="3244" spans="5:7" x14ac:dyDescent="0.35">
      <c r="E3244" s="9">
        <v>43056</v>
      </c>
      <c r="F3244">
        <v>275.60000000000002</v>
      </c>
      <c r="G3244" t="s">
        <v>5877</v>
      </c>
    </row>
    <row r="3245" spans="5:7" x14ac:dyDescent="0.35">
      <c r="E3245" s="9">
        <v>43057</v>
      </c>
      <c r="F3245">
        <v>270.3</v>
      </c>
      <c r="G3245" t="s">
        <v>5877</v>
      </c>
    </row>
    <row r="3246" spans="5:7" x14ac:dyDescent="0.35">
      <c r="E3246" s="9">
        <v>43058</v>
      </c>
      <c r="F3246">
        <v>266.5</v>
      </c>
      <c r="G3246" t="s">
        <v>5877</v>
      </c>
    </row>
    <row r="3247" spans="5:7" x14ac:dyDescent="0.35">
      <c r="E3247" s="9">
        <v>43059</v>
      </c>
      <c r="F3247">
        <v>258</v>
      </c>
      <c r="G3247" t="s">
        <v>5877</v>
      </c>
    </row>
    <row r="3248" spans="5:7" x14ac:dyDescent="0.35">
      <c r="E3248" s="9">
        <v>43060</v>
      </c>
      <c r="F3248">
        <v>247.7</v>
      </c>
      <c r="G3248" t="s">
        <v>5877</v>
      </c>
    </row>
    <row r="3249" spans="5:7" x14ac:dyDescent="0.35">
      <c r="E3249" s="9">
        <v>43061</v>
      </c>
      <c r="F3249">
        <v>234.4</v>
      </c>
      <c r="G3249" t="s">
        <v>5877</v>
      </c>
    </row>
    <row r="3250" spans="5:7" x14ac:dyDescent="0.35">
      <c r="E3250" s="9">
        <v>43062</v>
      </c>
      <c r="F3250">
        <v>220.4</v>
      </c>
      <c r="G3250" t="s">
        <v>5877</v>
      </c>
    </row>
    <row r="3251" spans="5:7" x14ac:dyDescent="0.35">
      <c r="E3251" s="9">
        <v>43063</v>
      </c>
      <c r="F3251">
        <v>208.1</v>
      </c>
      <c r="G3251" t="s">
        <v>5877</v>
      </c>
    </row>
    <row r="3252" spans="5:7" x14ac:dyDescent="0.35">
      <c r="E3252" s="9">
        <v>43064</v>
      </c>
      <c r="F3252">
        <v>199.1</v>
      </c>
      <c r="G3252" t="s">
        <v>5877</v>
      </c>
    </row>
    <row r="3253" spans="5:7" x14ac:dyDescent="0.35">
      <c r="E3253" s="9">
        <v>43065</v>
      </c>
      <c r="F3253">
        <v>194.5</v>
      </c>
      <c r="G3253" t="s">
        <v>5877</v>
      </c>
    </row>
    <row r="3254" spans="5:7" x14ac:dyDescent="0.35">
      <c r="E3254" s="9">
        <v>43066</v>
      </c>
      <c r="F3254">
        <v>194.2</v>
      </c>
      <c r="G3254" t="s">
        <v>5877</v>
      </c>
    </row>
    <row r="3255" spans="5:7" x14ac:dyDescent="0.35">
      <c r="E3255" s="9">
        <v>43067</v>
      </c>
      <c r="F3255">
        <v>198.8</v>
      </c>
      <c r="G3255" t="s">
        <v>5877</v>
      </c>
    </row>
    <row r="3256" spans="5:7" x14ac:dyDescent="0.35">
      <c r="E3256" s="9">
        <v>43068</v>
      </c>
      <c r="F3256">
        <v>210.3</v>
      </c>
      <c r="G3256" t="s">
        <v>5877</v>
      </c>
    </row>
    <row r="3257" spans="5:7" x14ac:dyDescent="0.35">
      <c r="E3257" s="9">
        <v>43069</v>
      </c>
      <c r="F3257">
        <v>220.1</v>
      </c>
      <c r="G3257" t="s">
        <v>5877</v>
      </c>
    </row>
    <row r="3258" spans="5:7" x14ac:dyDescent="0.35">
      <c r="E3258" s="9">
        <v>43070</v>
      </c>
      <c r="F3258">
        <v>220.6</v>
      </c>
      <c r="G3258" t="s">
        <v>5877</v>
      </c>
    </row>
    <row r="3259" spans="5:7" x14ac:dyDescent="0.35">
      <c r="E3259" s="9">
        <v>43071</v>
      </c>
      <c r="F3259">
        <v>226.4</v>
      </c>
      <c r="G3259" t="s">
        <v>5877</v>
      </c>
    </row>
    <row r="3260" spans="5:7" x14ac:dyDescent="0.35">
      <c r="E3260" s="9">
        <v>43072</v>
      </c>
      <c r="F3260">
        <v>223.9</v>
      </c>
      <c r="G3260" t="s">
        <v>5877</v>
      </c>
    </row>
    <row r="3261" spans="5:7" x14ac:dyDescent="0.35">
      <c r="E3261" s="9">
        <v>43073</v>
      </c>
      <c r="F3261">
        <v>225.2</v>
      </c>
      <c r="G3261" t="s">
        <v>5877</v>
      </c>
    </row>
    <row r="3262" spans="5:7" x14ac:dyDescent="0.35">
      <c r="E3262" s="9">
        <v>43074</v>
      </c>
      <c r="F3262">
        <v>226.3</v>
      </c>
      <c r="G3262" t="s">
        <v>5877</v>
      </c>
    </row>
    <row r="3263" spans="5:7" x14ac:dyDescent="0.35">
      <c r="E3263" s="9">
        <v>43075</v>
      </c>
      <c r="F3263">
        <v>229.4</v>
      </c>
      <c r="G3263" t="s">
        <v>5877</v>
      </c>
    </row>
    <row r="3264" spans="5:7" x14ac:dyDescent="0.35">
      <c r="E3264" s="9">
        <v>43076</v>
      </c>
      <c r="F3264">
        <v>237.5</v>
      </c>
      <c r="G3264" t="s">
        <v>5877</v>
      </c>
    </row>
    <row r="3265" spans="5:7" x14ac:dyDescent="0.35">
      <c r="E3265" s="9">
        <v>43077</v>
      </c>
      <c r="F3265">
        <v>251.2</v>
      </c>
      <c r="G3265" t="s">
        <v>5877</v>
      </c>
    </row>
    <row r="3266" spans="5:7" x14ac:dyDescent="0.35">
      <c r="E3266" s="9">
        <v>43078</v>
      </c>
      <c r="F3266">
        <v>265.7</v>
      </c>
      <c r="G3266" t="s">
        <v>5877</v>
      </c>
    </row>
    <row r="3267" spans="5:7" x14ac:dyDescent="0.35">
      <c r="E3267" s="9">
        <v>43079</v>
      </c>
      <c r="F3267">
        <v>274.5</v>
      </c>
      <c r="G3267" t="s">
        <v>5877</v>
      </c>
    </row>
    <row r="3268" spans="5:7" x14ac:dyDescent="0.35">
      <c r="E3268" s="9">
        <v>43080</v>
      </c>
      <c r="F3268">
        <v>278.5</v>
      </c>
      <c r="G3268" t="s">
        <v>5877</v>
      </c>
    </row>
    <row r="3269" spans="5:7" x14ac:dyDescent="0.35">
      <c r="E3269" s="9">
        <v>43081</v>
      </c>
      <c r="F3269">
        <v>279.7</v>
      </c>
      <c r="G3269" t="s">
        <v>5877</v>
      </c>
    </row>
    <row r="3270" spans="5:7" x14ac:dyDescent="0.35">
      <c r="E3270" s="9">
        <v>43082</v>
      </c>
      <c r="F3270">
        <v>276.60000000000002</v>
      </c>
      <c r="G3270" t="s">
        <v>5877</v>
      </c>
    </row>
    <row r="3271" spans="5:7" x14ac:dyDescent="0.35">
      <c r="E3271" s="9">
        <v>43083</v>
      </c>
      <c r="F3271">
        <v>271.60000000000002</v>
      </c>
      <c r="G3271" t="s">
        <v>5877</v>
      </c>
    </row>
    <row r="3272" spans="5:7" x14ac:dyDescent="0.35">
      <c r="E3272" s="9">
        <v>43084</v>
      </c>
      <c r="F3272">
        <v>258.89999999999998</v>
      </c>
      <c r="G3272" t="s">
        <v>5877</v>
      </c>
    </row>
    <row r="3273" spans="5:7" x14ac:dyDescent="0.35">
      <c r="E3273" s="9">
        <v>43085</v>
      </c>
      <c r="F3273">
        <v>242.2</v>
      </c>
      <c r="G3273" t="s">
        <v>5877</v>
      </c>
    </row>
    <row r="3274" spans="5:7" x14ac:dyDescent="0.35">
      <c r="E3274" s="9">
        <v>43086</v>
      </c>
      <c r="F3274">
        <v>226.5</v>
      </c>
      <c r="G3274" t="s">
        <v>5877</v>
      </c>
    </row>
    <row r="3275" spans="5:7" x14ac:dyDescent="0.35">
      <c r="E3275" s="9">
        <v>43087</v>
      </c>
      <c r="F3275">
        <v>219</v>
      </c>
      <c r="G3275" t="s">
        <v>5877</v>
      </c>
    </row>
    <row r="3276" spans="5:7" x14ac:dyDescent="0.35">
      <c r="E3276" s="9">
        <v>43088</v>
      </c>
      <c r="F3276">
        <v>228.1</v>
      </c>
      <c r="G3276" t="s">
        <v>5877</v>
      </c>
    </row>
    <row r="3277" spans="5:7" x14ac:dyDescent="0.35">
      <c r="E3277" s="9">
        <v>43089</v>
      </c>
      <c r="F3277">
        <v>245.7</v>
      </c>
      <c r="G3277" t="s">
        <v>5877</v>
      </c>
    </row>
    <row r="3278" spans="5:7" x14ac:dyDescent="0.35">
      <c r="E3278" s="9">
        <v>43090</v>
      </c>
      <c r="F3278">
        <v>252.1</v>
      </c>
      <c r="G3278" t="s">
        <v>5877</v>
      </c>
    </row>
    <row r="3279" spans="5:7" x14ac:dyDescent="0.35">
      <c r="E3279" s="9">
        <v>43091</v>
      </c>
      <c r="F3279">
        <v>248.5</v>
      </c>
      <c r="G3279" t="s">
        <v>5877</v>
      </c>
    </row>
    <row r="3280" spans="5:7" x14ac:dyDescent="0.35">
      <c r="E3280" s="9">
        <v>43092</v>
      </c>
      <c r="F3280">
        <v>240.5</v>
      </c>
      <c r="G3280" t="s">
        <v>5877</v>
      </c>
    </row>
    <row r="3281" spans="5:7" x14ac:dyDescent="0.35">
      <c r="E3281" s="9">
        <v>43093</v>
      </c>
      <c r="F3281">
        <v>234.5</v>
      </c>
      <c r="G3281" t="s">
        <v>5877</v>
      </c>
    </row>
    <row r="3282" spans="5:7" x14ac:dyDescent="0.35">
      <c r="E3282" s="9">
        <v>43094</v>
      </c>
      <c r="F3282">
        <v>227.3</v>
      </c>
      <c r="G3282" t="s">
        <v>5877</v>
      </c>
    </row>
    <row r="3283" spans="5:7" x14ac:dyDescent="0.35">
      <c r="E3283" s="9">
        <v>43095</v>
      </c>
      <c r="F3283">
        <v>221.8</v>
      </c>
      <c r="G3283" t="s">
        <v>5877</v>
      </c>
    </row>
    <row r="3284" spans="5:7" x14ac:dyDescent="0.35">
      <c r="E3284" s="9">
        <v>43096</v>
      </c>
      <c r="F3284">
        <v>227.5</v>
      </c>
      <c r="G3284" t="s">
        <v>5877</v>
      </c>
    </row>
    <row r="3285" spans="5:7" x14ac:dyDescent="0.35">
      <c r="E3285" s="9">
        <v>43097</v>
      </c>
      <c r="F3285">
        <v>243.6</v>
      </c>
      <c r="G3285" t="s">
        <v>5877</v>
      </c>
    </row>
    <row r="3286" spans="5:7" x14ac:dyDescent="0.35">
      <c r="E3286" s="9">
        <v>43098</v>
      </c>
      <c r="F3286">
        <v>268.89999999999998</v>
      </c>
      <c r="G3286" t="s">
        <v>5877</v>
      </c>
    </row>
    <row r="3287" spans="5:7" x14ac:dyDescent="0.35">
      <c r="E3287" s="9">
        <v>43099</v>
      </c>
      <c r="F3287">
        <v>284.2</v>
      </c>
      <c r="G3287" t="s">
        <v>5877</v>
      </c>
    </row>
    <row r="3288" spans="5:7" x14ac:dyDescent="0.35">
      <c r="E3288" s="9">
        <v>43100</v>
      </c>
      <c r="F3288">
        <v>284.39999999999998</v>
      </c>
      <c r="G3288" t="s">
        <v>5877</v>
      </c>
    </row>
    <row r="3289" spans="5:7" x14ac:dyDescent="0.35">
      <c r="E3289" s="9">
        <v>43101</v>
      </c>
      <c r="F3289">
        <v>267</v>
      </c>
      <c r="G3289" t="s">
        <v>5877</v>
      </c>
    </row>
    <row r="3290" spans="5:7" x14ac:dyDescent="0.35">
      <c r="E3290" s="9">
        <v>43102</v>
      </c>
      <c r="F3290">
        <v>240.6</v>
      </c>
      <c r="G3290" t="s">
        <v>5877</v>
      </c>
    </row>
    <row r="3291" spans="5:7" x14ac:dyDescent="0.35">
      <c r="E3291" s="9">
        <v>43103</v>
      </c>
      <c r="F3291">
        <v>218.6</v>
      </c>
      <c r="G3291" t="s">
        <v>5877</v>
      </c>
    </row>
    <row r="3292" spans="5:7" x14ac:dyDescent="0.35">
      <c r="E3292" s="9">
        <v>43104</v>
      </c>
      <c r="F3292">
        <v>201.8</v>
      </c>
      <c r="G3292" t="s">
        <v>5877</v>
      </c>
    </row>
    <row r="3293" spans="5:7" x14ac:dyDescent="0.35">
      <c r="E3293" s="9">
        <v>43105</v>
      </c>
      <c r="F3293">
        <v>192.3</v>
      </c>
      <c r="G3293" t="s">
        <v>5877</v>
      </c>
    </row>
    <row r="3294" spans="5:7" x14ac:dyDescent="0.35">
      <c r="E3294" s="9">
        <v>43106</v>
      </c>
      <c r="F3294">
        <v>190.3</v>
      </c>
      <c r="G3294" t="s">
        <v>5877</v>
      </c>
    </row>
    <row r="3295" spans="5:7" x14ac:dyDescent="0.35">
      <c r="E3295" s="9">
        <v>43107</v>
      </c>
      <c r="F3295">
        <v>190.2</v>
      </c>
      <c r="G3295" t="s">
        <v>5877</v>
      </c>
    </row>
    <row r="3296" spans="5:7" x14ac:dyDescent="0.35">
      <c r="E3296" s="9">
        <v>43108</v>
      </c>
      <c r="F3296">
        <v>186.6</v>
      </c>
      <c r="G3296" t="s">
        <v>5877</v>
      </c>
    </row>
    <row r="3297" spans="5:7" x14ac:dyDescent="0.35">
      <c r="E3297" s="9">
        <v>43109</v>
      </c>
      <c r="F3297">
        <v>178.1</v>
      </c>
      <c r="G3297" t="s">
        <v>5877</v>
      </c>
    </row>
    <row r="3298" spans="5:7" x14ac:dyDescent="0.35">
      <c r="E3298" s="9">
        <v>43110</v>
      </c>
      <c r="F3298">
        <v>173.9</v>
      </c>
      <c r="G3298" t="s">
        <v>5877</v>
      </c>
    </row>
    <row r="3299" spans="5:7" x14ac:dyDescent="0.35">
      <c r="E3299" s="9">
        <v>43111</v>
      </c>
      <c r="F3299">
        <v>181.2</v>
      </c>
      <c r="G3299" t="s">
        <v>5877</v>
      </c>
    </row>
    <row r="3300" spans="5:7" x14ac:dyDescent="0.35">
      <c r="E3300" s="9">
        <v>43112</v>
      </c>
      <c r="F3300">
        <v>196.5</v>
      </c>
      <c r="G3300" t="s">
        <v>5877</v>
      </c>
    </row>
    <row r="3301" spans="5:7" x14ac:dyDescent="0.35">
      <c r="E3301" s="9">
        <v>43113</v>
      </c>
      <c r="F3301">
        <v>210.4</v>
      </c>
      <c r="G3301" t="s">
        <v>5877</v>
      </c>
    </row>
    <row r="3302" spans="5:7" x14ac:dyDescent="0.35">
      <c r="E3302" s="9">
        <v>43114</v>
      </c>
      <c r="F3302">
        <v>216.5</v>
      </c>
      <c r="G3302" t="s">
        <v>5877</v>
      </c>
    </row>
    <row r="3303" spans="5:7" x14ac:dyDescent="0.35">
      <c r="E3303" s="9">
        <v>43115</v>
      </c>
      <c r="F3303">
        <v>211.7</v>
      </c>
      <c r="G3303" t="s">
        <v>5877</v>
      </c>
    </row>
    <row r="3304" spans="5:7" x14ac:dyDescent="0.35">
      <c r="E3304" s="9">
        <v>43116</v>
      </c>
      <c r="F3304">
        <v>196.2</v>
      </c>
      <c r="G3304" t="s">
        <v>5877</v>
      </c>
    </row>
    <row r="3305" spans="5:7" x14ac:dyDescent="0.35">
      <c r="E3305" s="9">
        <v>43117</v>
      </c>
      <c r="F3305">
        <v>181.2</v>
      </c>
      <c r="G3305" t="s">
        <v>5877</v>
      </c>
    </row>
    <row r="3306" spans="5:7" x14ac:dyDescent="0.35">
      <c r="E3306" s="9">
        <v>43118</v>
      </c>
      <c r="F3306">
        <v>177.1</v>
      </c>
      <c r="G3306" t="s">
        <v>5877</v>
      </c>
    </row>
    <row r="3307" spans="5:7" x14ac:dyDescent="0.35">
      <c r="E3307" s="9">
        <v>43119</v>
      </c>
      <c r="F3307">
        <v>185.7</v>
      </c>
      <c r="G3307" t="s">
        <v>5877</v>
      </c>
    </row>
    <row r="3308" spans="5:7" x14ac:dyDescent="0.35">
      <c r="E3308" s="9">
        <v>43120</v>
      </c>
      <c r="F3308">
        <v>194.8</v>
      </c>
      <c r="G3308" t="s">
        <v>5877</v>
      </c>
    </row>
    <row r="3309" spans="5:7" x14ac:dyDescent="0.35">
      <c r="E3309" s="9">
        <v>43121</v>
      </c>
      <c r="F3309">
        <v>196.2</v>
      </c>
      <c r="G3309" t="s">
        <v>5877</v>
      </c>
    </row>
    <row r="3310" spans="5:7" x14ac:dyDescent="0.35">
      <c r="E3310" s="9">
        <v>43122</v>
      </c>
      <c r="F3310">
        <v>196.2</v>
      </c>
      <c r="G3310" t="s">
        <v>5877</v>
      </c>
    </row>
    <row r="3311" spans="5:7" x14ac:dyDescent="0.35">
      <c r="E3311" s="9">
        <v>43123</v>
      </c>
      <c r="F3311">
        <v>198.5</v>
      </c>
      <c r="G3311" t="s">
        <v>5877</v>
      </c>
    </row>
    <row r="3312" spans="5:7" x14ac:dyDescent="0.35">
      <c r="E3312" s="9">
        <v>43124</v>
      </c>
      <c r="F3312">
        <v>199.4</v>
      </c>
      <c r="G3312" t="s">
        <v>5877</v>
      </c>
    </row>
    <row r="3313" spans="5:7" x14ac:dyDescent="0.35">
      <c r="E3313" s="9">
        <v>43125</v>
      </c>
      <c r="F3313">
        <v>196.5</v>
      </c>
      <c r="G3313" t="s">
        <v>5877</v>
      </c>
    </row>
    <row r="3314" spans="5:7" x14ac:dyDescent="0.35">
      <c r="E3314" s="9">
        <v>43126</v>
      </c>
      <c r="F3314">
        <v>191.4</v>
      </c>
      <c r="G3314" t="s">
        <v>5877</v>
      </c>
    </row>
    <row r="3315" spans="5:7" x14ac:dyDescent="0.35">
      <c r="E3315" s="9">
        <v>43127</v>
      </c>
      <c r="F3315">
        <v>183.2</v>
      </c>
      <c r="G3315" t="s">
        <v>5877</v>
      </c>
    </row>
    <row r="3316" spans="5:7" x14ac:dyDescent="0.35">
      <c r="E3316" s="9">
        <v>43128</v>
      </c>
      <c r="F3316">
        <v>176.7</v>
      </c>
      <c r="G3316" t="s">
        <v>5877</v>
      </c>
    </row>
    <row r="3317" spans="5:7" x14ac:dyDescent="0.35">
      <c r="E3317" s="9">
        <v>43129</v>
      </c>
      <c r="F3317">
        <v>177.5</v>
      </c>
      <c r="G3317" t="s">
        <v>5877</v>
      </c>
    </row>
    <row r="3318" spans="5:7" x14ac:dyDescent="0.35">
      <c r="E3318" s="9">
        <v>43130</v>
      </c>
      <c r="F3318">
        <v>186.4</v>
      </c>
      <c r="G3318" t="s">
        <v>5877</v>
      </c>
    </row>
    <row r="3319" spans="5:7" x14ac:dyDescent="0.35">
      <c r="E3319" s="9">
        <v>43131</v>
      </c>
      <c r="F3319">
        <v>201.6</v>
      </c>
      <c r="G3319" t="s">
        <v>5877</v>
      </c>
    </row>
    <row r="3320" spans="5:7" x14ac:dyDescent="0.35">
      <c r="E3320" s="9">
        <v>43132</v>
      </c>
      <c r="F3320">
        <v>206.3</v>
      </c>
      <c r="G3320" t="s">
        <v>5877</v>
      </c>
    </row>
    <row r="3321" spans="5:7" x14ac:dyDescent="0.35">
      <c r="E3321" s="9">
        <v>43133</v>
      </c>
      <c r="F3321">
        <v>190.3</v>
      </c>
      <c r="G3321" t="s">
        <v>5877</v>
      </c>
    </row>
    <row r="3322" spans="5:7" x14ac:dyDescent="0.35">
      <c r="E3322" s="9">
        <v>43134</v>
      </c>
      <c r="F3322">
        <v>193.4</v>
      </c>
      <c r="G3322" t="s">
        <v>5877</v>
      </c>
    </row>
    <row r="3323" spans="5:7" x14ac:dyDescent="0.35">
      <c r="E3323" s="9">
        <v>43135</v>
      </c>
      <c r="F3323">
        <v>198.1</v>
      </c>
      <c r="G3323" t="s">
        <v>5877</v>
      </c>
    </row>
    <row r="3324" spans="5:7" x14ac:dyDescent="0.35">
      <c r="E3324" s="9">
        <v>43136</v>
      </c>
      <c r="F3324">
        <v>195.8</v>
      </c>
      <c r="G3324" t="s">
        <v>5877</v>
      </c>
    </row>
    <row r="3325" spans="5:7" x14ac:dyDescent="0.35">
      <c r="E3325" s="9">
        <v>43137</v>
      </c>
      <c r="F3325">
        <v>187.3</v>
      </c>
      <c r="G3325" t="s">
        <v>5877</v>
      </c>
    </row>
    <row r="3326" spans="5:7" x14ac:dyDescent="0.35">
      <c r="E3326" s="9">
        <v>43138</v>
      </c>
      <c r="F3326">
        <v>173.4</v>
      </c>
      <c r="G3326" t="s">
        <v>5877</v>
      </c>
    </row>
    <row r="3327" spans="5:7" x14ac:dyDescent="0.35">
      <c r="E3327" s="9">
        <v>43139</v>
      </c>
      <c r="F3327">
        <v>162.6</v>
      </c>
      <c r="G3327" t="s">
        <v>5877</v>
      </c>
    </row>
    <row r="3328" spans="5:7" x14ac:dyDescent="0.35">
      <c r="E3328" s="9">
        <v>43140</v>
      </c>
      <c r="F3328">
        <v>161.9</v>
      </c>
      <c r="G3328" t="s">
        <v>5877</v>
      </c>
    </row>
    <row r="3329" spans="5:7" x14ac:dyDescent="0.35">
      <c r="E3329" s="9">
        <v>43141</v>
      </c>
      <c r="F3329">
        <v>168.9</v>
      </c>
      <c r="G3329" t="s">
        <v>5877</v>
      </c>
    </row>
    <row r="3330" spans="5:7" x14ac:dyDescent="0.35">
      <c r="E3330" s="9">
        <v>43142</v>
      </c>
      <c r="F3330">
        <v>174.9</v>
      </c>
      <c r="G3330" t="s">
        <v>5877</v>
      </c>
    </row>
    <row r="3331" spans="5:7" x14ac:dyDescent="0.35">
      <c r="E3331" s="9">
        <v>43143</v>
      </c>
      <c r="F3331">
        <v>174.3</v>
      </c>
      <c r="G3331" t="s">
        <v>5877</v>
      </c>
    </row>
    <row r="3332" spans="5:7" x14ac:dyDescent="0.35">
      <c r="E3332" s="9">
        <v>43144</v>
      </c>
      <c r="F3332">
        <v>172</v>
      </c>
      <c r="G3332" t="s">
        <v>5877</v>
      </c>
    </row>
    <row r="3333" spans="5:7" x14ac:dyDescent="0.35">
      <c r="E3333" s="9">
        <v>43145</v>
      </c>
      <c r="F3333">
        <v>173.6</v>
      </c>
      <c r="G3333" t="s">
        <v>5877</v>
      </c>
    </row>
    <row r="3334" spans="5:7" x14ac:dyDescent="0.35">
      <c r="E3334" s="9">
        <v>43146</v>
      </c>
      <c r="F3334">
        <v>178.7</v>
      </c>
      <c r="G3334" t="s">
        <v>5877</v>
      </c>
    </row>
    <row r="3335" spans="5:7" x14ac:dyDescent="0.35">
      <c r="E3335" s="9">
        <v>43147</v>
      </c>
      <c r="F3335">
        <v>189.8</v>
      </c>
      <c r="G3335" t="s">
        <v>5877</v>
      </c>
    </row>
    <row r="3336" spans="5:7" x14ac:dyDescent="0.35">
      <c r="E3336" s="9">
        <v>43148</v>
      </c>
      <c r="F3336">
        <v>204.9</v>
      </c>
      <c r="G3336" t="s">
        <v>5877</v>
      </c>
    </row>
    <row r="3337" spans="5:7" x14ac:dyDescent="0.35">
      <c r="E3337" s="9">
        <v>43149</v>
      </c>
      <c r="F3337">
        <v>222.3</v>
      </c>
      <c r="G3337" t="s">
        <v>5877</v>
      </c>
    </row>
    <row r="3338" spans="5:7" x14ac:dyDescent="0.35">
      <c r="E3338" s="9">
        <v>43150</v>
      </c>
      <c r="F3338">
        <v>232.2</v>
      </c>
      <c r="G3338" t="s">
        <v>5877</v>
      </c>
    </row>
    <row r="3339" spans="5:7" x14ac:dyDescent="0.35">
      <c r="E3339" s="9">
        <v>43151</v>
      </c>
      <c r="F3339">
        <v>233.3</v>
      </c>
      <c r="G3339" t="s">
        <v>5877</v>
      </c>
    </row>
    <row r="3340" spans="5:7" x14ac:dyDescent="0.35">
      <c r="E3340" s="9">
        <v>43152</v>
      </c>
      <c r="F3340">
        <v>221.1</v>
      </c>
      <c r="G3340" t="s">
        <v>5877</v>
      </c>
    </row>
    <row r="3341" spans="5:7" x14ac:dyDescent="0.35">
      <c r="E3341" s="9">
        <v>43153</v>
      </c>
      <c r="F3341">
        <v>207.7</v>
      </c>
      <c r="G3341" t="s">
        <v>5877</v>
      </c>
    </row>
    <row r="3342" spans="5:7" x14ac:dyDescent="0.35">
      <c r="E3342" s="9">
        <v>43154</v>
      </c>
      <c r="F3342">
        <v>201.9</v>
      </c>
      <c r="G3342" t="s">
        <v>5877</v>
      </c>
    </row>
    <row r="3343" spans="5:7" x14ac:dyDescent="0.35">
      <c r="E3343" s="9">
        <v>43155</v>
      </c>
      <c r="F3343">
        <v>207.6</v>
      </c>
      <c r="G3343" t="s">
        <v>5877</v>
      </c>
    </row>
    <row r="3344" spans="5:7" x14ac:dyDescent="0.35">
      <c r="E3344" s="9">
        <v>43156</v>
      </c>
      <c r="F3344">
        <v>215.5</v>
      </c>
      <c r="G3344" t="s">
        <v>5877</v>
      </c>
    </row>
    <row r="3345" spans="5:7" x14ac:dyDescent="0.35">
      <c r="E3345" s="9">
        <v>43157</v>
      </c>
      <c r="F3345">
        <v>213.9</v>
      </c>
      <c r="G3345" t="s">
        <v>5877</v>
      </c>
    </row>
    <row r="3346" spans="5:7" x14ac:dyDescent="0.35">
      <c r="E3346" s="9">
        <v>43158</v>
      </c>
      <c r="F3346">
        <v>204.3</v>
      </c>
      <c r="G3346" t="s">
        <v>5877</v>
      </c>
    </row>
    <row r="3347" spans="5:7" x14ac:dyDescent="0.35">
      <c r="E3347" s="9">
        <v>43159</v>
      </c>
      <c r="F3347">
        <v>194</v>
      </c>
      <c r="G3347" t="s">
        <v>5877</v>
      </c>
    </row>
    <row r="3348" spans="5:7" x14ac:dyDescent="0.35">
      <c r="E3348" s="9">
        <v>43160</v>
      </c>
      <c r="F3348">
        <v>188.5</v>
      </c>
      <c r="G3348" t="s">
        <v>5877</v>
      </c>
    </row>
    <row r="3349" spans="5:7" x14ac:dyDescent="0.35">
      <c r="E3349" s="9">
        <v>43161</v>
      </c>
      <c r="F3349">
        <v>194.5</v>
      </c>
      <c r="G3349" t="s">
        <v>5877</v>
      </c>
    </row>
    <row r="3350" spans="5:7" x14ac:dyDescent="0.35">
      <c r="E3350" s="9">
        <v>43162</v>
      </c>
      <c r="F3350">
        <v>200.3</v>
      </c>
      <c r="G3350" t="s">
        <v>5877</v>
      </c>
    </row>
    <row r="3351" spans="5:7" x14ac:dyDescent="0.35">
      <c r="E3351" s="9">
        <v>43163</v>
      </c>
      <c r="F3351">
        <v>209.7</v>
      </c>
      <c r="G3351" t="s">
        <v>5877</v>
      </c>
    </row>
    <row r="3352" spans="5:7" x14ac:dyDescent="0.35">
      <c r="E3352" s="9">
        <v>43164</v>
      </c>
      <c r="F3352">
        <v>213.9</v>
      </c>
      <c r="G3352" t="s">
        <v>5877</v>
      </c>
    </row>
    <row r="3353" spans="5:7" x14ac:dyDescent="0.35">
      <c r="E3353" s="9">
        <v>43165</v>
      </c>
      <c r="F3353">
        <v>207.9</v>
      </c>
      <c r="G3353" t="s">
        <v>5877</v>
      </c>
    </row>
    <row r="3354" spans="5:7" x14ac:dyDescent="0.35">
      <c r="E3354" s="9">
        <v>43166</v>
      </c>
      <c r="F3354">
        <v>201.2</v>
      </c>
      <c r="G3354" t="s">
        <v>5877</v>
      </c>
    </row>
    <row r="3355" spans="5:7" x14ac:dyDescent="0.35">
      <c r="E3355" s="9">
        <v>43167</v>
      </c>
      <c r="F3355">
        <v>197.6</v>
      </c>
      <c r="G3355" t="s">
        <v>5877</v>
      </c>
    </row>
    <row r="3356" spans="5:7" x14ac:dyDescent="0.35">
      <c r="E3356" s="9">
        <v>43168</v>
      </c>
      <c r="F3356">
        <v>198.3</v>
      </c>
      <c r="G3356" t="s">
        <v>5877</v>
      </c>
    </row>
    <row r="3357" spans="5:7" x14ac:dyDescent="0.35">
      <c r="E3357" s="9">
        <v>43169</v>
      </c>
      <c r="F3357">
        <v>202.2</v>
      </c>
      <c r="G3357" t="s">
        <v>5877</v>
      </c>
    </row>
    <row r="3358" spans="5:7" x14ac:dyDescent="0.35">
      <c r="E3358" s="9">
        <v>43170</v>
      </c>
      <c r="F3358">
        <v>206.9</v>
      </c>
      <c r="G3358" t="s">
        <v>5877</v>
      </c>
    </row>
    <row r="3359" spans="5:7" x14ac:dyDescent="0.35">
      <c r="E3359" s="9">
        <v>43171</v>
      </c>
      <c r="F3359">
        <v>205.5</v>
      </c>
      <c r="G3359" t="s">
        <v>5877</v>
      </c>
    </row>
    <row r="3360" spans="5:7" x14ac:dyDescent="0.35">
      <c r="E3360" s="9">
        <v>43172</v>
      </c>
      <c r="F3360">
        <v>195.2</v>
      </c>
      <c r="G3360" t="s">
        <v>5877</v>
      </c>
    </row>
    <row r="3361" spans="5:7" x14ac:dyDescent="0.35">
      <c r="E3361" s="9">
        <v>43173</v>
      </c>
      <c r="F3361">
        <v>183.9</v>
      </c>
      <c r="G3361" t="s">
        <v>5877</v>
      </c>
    </row>
    <row r="3362" spans="5:7" x14ac:dyDescent="0.35">
      <c r="E3362" s="9">
        <v>43174</v>
      </c>
      <c r="F3362">
        <v>175.3</v>
      </c>
      <c r="G3362" t="s">
        <v>5877</v>
      </c>
    </row>
    <row r="3363" spans="5:7" x14ac:dyDescent="0.35">
      <c r="E3363" s="9">
        <v>43175</v>
      </c>
      <c r="F3363">
        <v>173</v>
      </c>
      <c r="G3363" t="s">
        <v>5877</v>
      </c>
    </row>
    <row r="3364" spans="5:7" x14ac:dyDescent="0.35">
      <c r="E3364" s="9">
        <v>43176</v>
      </c>
      <c r="F3364">
        <v>181.4</v>
      </c>
      <c r="G3364" t="s">
        <v>5877</v>
      </c>
    </row>
    <row r="3365" spans="5:7" x14ac:dyDescent="0.35">
      <c r="E3365" s="9">
        <v>43177</v>
      </c>
      <c r="F3365">
        <v>196.8</v>
      </c>
      <c r="G3365" t="s">
        <v>5877</v>
      </c>
    </row>
    <row r="3366" spans="5:7" x14ac:dyDescent="0.35">
      <c r="E3366" s="9">
        <v>43178</v>
      </c>
      <c r="F3366">
        <v>209.1</v>
      </c>
      <c r="G3366" t="s">
        <v>5877</v>
      </c>
    </row>
    <row r="3367" spans="5:7" x14ac:dyDescent="0.35">
      <c r="E3367" s="9">
        <v>43179</v>
      </c>
      <c r="F3367">
        <v>217.9</v>
      </c>
      <c r="G3367" t="s">
        <v>5877</v>
      </c>
    </row>
    <row r="3368" spans="5:7" x14ac:dyDescent="0.35">
      <c r="E3368" s="9">
        <v>43180</v>
      </c>
      <c r="F3368">
        <v>226.7</v>
      </c>
      <c r="G3368" t="s">
        <v>5877</v>
      </c>
    </row>
    <row r="3369" spans="5:7" x14ac:dyDescent="0.35">
      <c r="E3369" s="9">
        <v>43181</v>
      </c>
      <c r="F3369">
        <v>231.1</v>
      </c>
      <c r="G3369" t="s">
        <v>5877</v>
      </c>
    </row>
    <row r="3370" spans="5:7" x14ac:dyDescent="0.35">
      <c r="E3370" s="9">
        <v>43182</v>
      </c>
      <c r="F3370">
        <v>225.3</v>
      </c>
      <c r="G3370" t="s">
        <v>5877</v>
      </c>
    </row>
    <row r="3371" spans="5:7" x14ac:dyDescent="0.35">
      <c r="E3371" s="9">
        <v>43183</v>
      </c>
      <c r="F3371">
        <v>216.2</v>
      </c>
      <c r="G3371" t="s">
        <v>5877</v>
      </c>
    </row>
    <row r="3372" spans="5:7" x14ac:dyDescent="0.35">
      <c r="E3372" s="9">
        <v>43184</v>
      </c>
      <c r="F3372">
        <v>205.7</v>
      </c>
      <c r="G3372" t="s">
        <v>5877</v>
      </c>
    </row>
    <row r="3373" spans="5:7" x14ac:dyDescent="0.35">
      <c r="E3373" s="9">
        <v>43185</v>
      </c>
      <c r="F3373">
        <v>192.3</v>
      </c>
      <c r="G3373" t="s">
        <v>5877</v>
      </c>
    </row>
    <row r="3374" spans="5:7" x14ac:dyDescent="0.35">
      <c r="E3374" s="9">
        <v>43186</v>
      </c>
      <c r="F3374">
        <v>183.4</v>
      </c>
      <c r="G3374" t="s">
        <v>5877</v>
      </c>
    </row>
    <row r="3375" spans="5:7" x14ac:dyDescent="0.35">
      <c r="E3375" s="9">
        <v>43187</v>
      </c>
      <c r="F3375">
        <v>190.7</v>
      </c>
      <c r="G3375" t="s">
        <v>5877</v>
      </c>
    </row>
    <row r="3376" spans="5:7" x14ac:dyDescent="0.35">
      <c r="E3376" s="9">
        <v>43188</v>
      </c>
      <c r="F3376">
        <v>213.7</v>
      </c>
      <c r="G3376" t="s">
        <v>5877</v>
      </c>
    </row>
    <row r="3377" spans="5:7" x14ac:dyDescent="0.35">
      <c r="E3377" s="9">
        <v>43189</v>
      </c>
      <c r="F3377">
        <v>231.1</v>
      </c>
      <c r="G3377" t="s">
        <v>5877</v>
      </c>
    </row>
    <row r="3378" spans="5:7" x14ac:dyDescent="0.35">
      <c r="E3378" s="9">
        <v>43190</v>
      </c>
      <c r="F3378">
        <v>226.4</v>
      </c>
      <c r="G3378" t="s">
        <v>5877</v>
      </c>
    </row>
    <row r="3379" spans="5:7" x14ac:dyDescent="0.35">
      <c r="E3379" s="9">
        <v>43191</v>
      </c>
      <c r="F3379">
        <v>208.2</v>
      </c>
      <c r="G3379" t="s">
        <v>5877</v>
      </c>
    </row>
    <row r="3380" spans="5:7" x14ac:dyDescent="0.35">
      <c r="E3380" s="9">
        <v>43192</v>
      </c>
      <c r="F3380">
        <v>201.2</v>
      </c>
      <c r="G3380" t="s">
        <v>5877</v>
      </c>
    </row>
    <row r="3381" spans="5:7" x14ac:dyDescent="0.35">
      <c r="E3381" s="9">
        <v>43193</v>
      </c>
      <c r="F3381">
        <v>198.1</v>
      </c>
      <c r="G3381" t="s">
        <v>5877</v>
      </c>
    </row>
    <row r="3382" spans="5:7" x14ac:dyDescent="0.35">
      <c r="E3382" s="9">
        <v>43194</v>
      </c>
      <c r="F3382">
        <v>202.1</v>
      </c>
      <c r="G3382" t="s">
        <v>5877</v>
      </c>
    </row>
    <row r="3383" spans="5:7" x14ac:dyDescent="0.35">
      <c r="E3383" s="9">
        <v>43195</v>
      </c>
      <c r="F3383">
        <v>205.3</v>
      </c>
      <c r="G3383" t="s">
        <v>5877</v>
      </c>
    </row>
    <row r="3384" spans="5:7" x14ac:dyDescent="0.35">
      <c r="E3384" s="9">
        <v>43196</v>
      </c>
      <c r="F3384">
        <v>209.9</v>
      </c>
      <c r="G3384" t="s">
        <v>5877</v>
      </c>
    </row>
    <row r="3385" spans="5:7" x14ac:dyDescent="0.35">
      <c r="E3385" s="9">
        <v>43197</v>
      </c>
      <c r="F3385">
        <v>212.5</v>
      </c>
      <c r="G3385" t="s">
        <v>5877</v>
      </c>
    </row>
    <row r="3386" spans="5:7" x14ac:dyDescent="0.35">
      <c r="E3386" s="9">
        <v>43198</v>
      </c>
      <c r="F3386">
        <v>212.7</v>
      </c>
      <c r="G3386" t="s">
        <v>5877</v>
      </c>
    </row>
    <row r="3387" spans="5:7" x14ac:dyDescent="0.35">
      <c r="E3387" s="9">
        <v>43199</v>
      </c>
      <c r="F3387">
        <v>216.4</v>
      </c>
      <c r="G3387" t="s">
        <v>5877</v>
      </c>
    </row>
    <row r="3388" spans="5:7" x14ac:dyDescent="0.35">
      <c r="E3388" s="9">
        <v>43200</v>
      </c>
      <c r="F3388">
        <v>221.3</v>
      </c>
      <c r="G3388" t="s">
        <v>5877</v>
      </c>
    </row>
    <row r="3389" spans="5:7" x14ac:dyDescent="0.35">
      <c r="E3389" s="9">
        <v>43201</v>
      </c>
      <c r="F3389">
        <v>228.2</v>
      </c>
      <c r="G3389" t="s">
        <v>5877</v>
      </c>
    </row>
    <row r="3390" spans="5:7" x14ac:dyDescent="0.35">
      <c r="E3390" s="9">
        <v>43202</v>
      </c>
      <c r="F3390">
        <v>239.4</v>
      </c>
      <c r="G3390" t="s">
        <v>5877</v>
      </c>
    </row>
    <row r="3391" spans="5:7" x14ac:dyDescent="0.35">
      <c r="E3391" s="9">
        <v>43203</v>
      </c>
      <c r="F3391">
        <v>255.9</v>
      </c>
      <c r="G3391" t="s">
        <v>5877</v>
      </c>
    </row>
    <row r="3392" spans="5:7" x14ac:dyDescent="0.35">
      <c r="E3392" s="9">
        <v>43204</v>
      </c>
      <c r="F3392">
        <v>270</v>
      </c>
      <c r="G3392" t="s">
        <v>5877</v>
      </c>
    </row>
    <row r="3393" spans="5:7" x14ac:dyDescent="0.35">
      <c r="E3393" s="9">
        <v>43205</v>
      </c>
      <c r="F3393">
        <v>271.60000000000002</v>
      </c>
      <c r="G3393" t="s">
        <v>5877</v>
      </c>
    </row>
    <row r="3394" spans="5:7" x14ac:dyDescent="0.35">
      <c r="E3394" s="9">
        <v>43206</v>
      </c>
      <c r="F3394">
        <v>257</v>
      </c>
      <c r="G3394" t="s">
        <v>5877</v>
      </c>
    </row>
    <row r="3395" spans="5:7" x14ac:dyDescent="0.35">
      <c r="E3395" s="9">
        <v>43207</v>
      </c>
      <c r="F3395">
        <v>236</v>
      </c>
      <c r="G3395" t="s">
        <v>5877</v>
      </c>
    </row>
    <row r="3396" spans="5:7" x14ac:dyDescent="0.35">
      <c r="E3396" s="9">
        <v>43208</v>
      </c>
      <c r="F3396">
        <v>217.5</v>
      </c>
      <c r="G3396" t="s">
        <v>5877</v>
      </c>
    </row>
    <row r="3397" spans="5:7" x14ac:dyDescent="0.35">
      <c r="E3397" s="9">
        <v>43209</v>
      </c>
      <c r="F3397">
        <v>202.7</v>
      </c>
      <c r="G3397" t="s">
        <v>5877</v>
      </c>
    </row>
    <row r="3398" spans="5:7" x14ac:dyDescent="0.35">
      <c r="E3398" s="9">
        <v>43210</v>
      </c>
      <c r="F3398">
        <v>189.1</v>
      </c>
      <c r="G3398" t="s">
        <v>5877</v>
      </c>
    </row>
    <row r="3399" spans="5:7" x14ac:dyDescent="0.35">
      <c r="E3399" s="9">
        <v>43211</v>
      </c>
      <c r="F3399">
        <v>178.7</v>
      </c>
      <c r="G3399" t="s">
        <v>5877</v>
      </c>
    </row>
    <row r="3400" spans="5:7" x14ac:dyDescent="0.35">
      <c r="E3400" s="9">
        <v>43212</v>
      </c>
      <c r="F3400">
        <v>173.7</v>
      </c>
      <c r="G3400" t="s">
        <v>5877</v>
      </c>
    </row>
    <row r="3401" spans="5:7" x14ac:dyDescent="0.35">
      <c r="E3401" s="9">
        <v>43213</v>
      </c>
      <c r="F3401">
        <v>171.9</v>
      </c>
      <c r="G3401" t="s">
        <v>5877</v>
      </c>
    </row>
    <row r="3402" spans="5:7" x14ac:dyDescent="0.35">
      <c r="E3402" s="9">
        <v>43214</v>
      </c>
      <c r="F3402">
        <v>171.4</v>
      </c>
      <c r="G3402" t="s">
        <v>5877</v>
      </c>
    </row>
    <row r="3403" spans="5:7" x14ac:dyDescent="0.35">
      <c r="E3403" s="9">
        <v>43215</v>
      </c>
      <c r="F3403">
        <v>164.4</v>
      </c>
      <c r="G3403" t="s">
        <v>5877</v>
      </c>
    </row>
    <row r="3404" spans="5:7" x14ac:dyDescent="0.35">
      <c r="E3404" s="9">
        <v>43216</v>
      </c>
      <c r="F3404">
        <v>154.80000000000001</v>
      </c>
      <c r="G3404" t="s">
        <v>5877</v>
      </c>
    </row>
    <row r="3405" spans="5:7" x14ac:dyDescent="0.35">
      <c r="E3405" s="9">
        <v>43217</v>
      </c>
      <c r="F3405">
        <v>145.30000000000001</v>
      </c>
      <c r="G3405" t="s">
        <v>5877</v>
      </c>
    </row>
    <row r="3406" spans="5:7" x14ac:dyDescent="0.35">
      <c r="E3406" s="9">
        <v>43218</v>
      </c>
      <c r="F3406">
        <v>142.9</v>
      </c>
      <c r="G3406" t="s">
        <v>5877</v>
      </c>
    </row>
    <row r="3407" spans="5:7" x14ac:dyDescent="0.35">
      <c r="E3407" s="9">
        <v>43219</v>
      </c>
      <c r="F3407">
        <v>156</v>
      </c>
      <c r="G3407" t="s">
        <v>5877</v>
      </c>
    </row>
    <row r="3408" spans="5:7" x14ac:dyDescent="0.35">
      <c r="E3408" s="9">
        <v>43220</v>
      </c>
      <c r="F3408">
        <v>186.2</v>
      </c>
      <c r="G3408" t="s">
        <v>5877</v>
      </c>
    </row>
    <row r="3409" spans="5:7" x14ac:dyDescent="0.35">
      <c r="E3409" s="9">
        <v>43221</v>
      </c>
      <c r="F3409">
        <v>217.9</v>
      </c>
      <c r="G3409" t="s">
        <v>5877</v>
      </c>
    </row>
    <row r="3410" spans="5:7" x14ac:dyDescent="0.35">
      <c r="E3410" s="9">
        <v>43222</v>
      </c>
      <c r="F3410">
        <v>236.5</v>
      </c>
      <c r="G3410" t="s">
        <v>5877</v>
      </c>
    </row>
    <row r="3411" spans="5:7" x14ac:dyDescent="0.35">
      <c r="E3411" s="9">
        <v>43223</v>
      </c>
      <c r="F3411">
        <v>230.3</v>
      </c>
      <c r="G3411" t="s">
        <v>5877</v>
      </c>
    </row>
    <row r="3412" spans="5:7" x14ac:dyDescent="0.35">
      <c r="E3412" s="9">
        <v>43224</v>
      </c>
      <c r="F3412">
        <v>213.9</v>
      </c>
      <c r="G3412" t="s">
        <v>5877</v>
      </c>
    </row>
    <row r="3413" spans="5:7" x14ac:dyDescent="0.35">
      <c r="E3413" s="9">
        <v>43225</v>
      </c>
      <c r="F3413">
        <v>201.3</v>
      </c>
      <c r="G3413" t="s">
        <v>5877</v>
      </c>
    </row>
    <row r="3414" spans="5:7" x14ac:dyDescent="0.35">
      <c r="E3414" s="9">
        <v>43226</v>
      </c>
      <c r="F3414">
        <v>198.9</v>
      </c>
      <c r="G3414" t="s">
        <v>5877</v>
      </c>
    </row>
    <row r="3415" spans="5:7" x14ac:dyDescent="0.35">
      <c r="E3415" s="9">
        <v>43227</v>
      </c>
      <c r="F3415">
        <v>198.7</v>
      </c>
      <c r="G3415" t="s">
        <v>5877</v>
      </c>
    </row>
    <row r="3416" spans="5:7" x14ac:dyDescent="0.35">
      <c r="E3416" s="9">
        <v>43228</v>
      </c>
      <c r="F3416">
        <v>192.9</v>
      </c>
      <c r="G3416" t="s">
        <v>5877</v>
      </c>
    </row>
    <row r="3417" spans="5:7" x14ac:dyDescent="0.35">
      <c r="E3417" s="9">
        <v>43229</v>
      </c>
      <c r="F3417">
        <v>183.3</v>
      </c>
      <c r="G3417" t="s">
        <v>5877</v>
      </c>
    </row>
    <row r="3418" spans="5:7" x14ac:dyDescent="0.35">
      <c r="E3418" s="9">
        <v>43230</v>
      </c>
      <c r="F3418">
        <v>180.9</v>
      </c>
      <c r="G3418" t="s">
        <v>5877</v>
      </c>
    </row>
    <row r="3419" spans="5:7" x14ac:dyDescent="0.35">
      <c r="E3419" s="9">
        <v>43231</v>
      </c>
      <c r="F3419">
        <v>193.7</v>
      </c>
      <c r="G3419" t="s">
        <v>5877</v>
      </c>
    </row>
    <row r="3420" spans="5:7" x14ac:dyDescent="0.35">
      <c r="E3420" s="9">
        <v>43232</v>
      </c>
      <c r="F3420">
        <v>214.6</v>
      </c>
      <c r="G3420" t="s">
        <v>5877</v>
      </c>
    </row>
    <row r="3421" spans="5:7" x14ac:dyDescent="0.35">
      <c r="E3421" s="9">
        <v>43233</v>
      </c>
      <c r="F3421">
        <v>225.6</v>
      </c>
      <c r="G3421" t="s">
        <v>5877</v>
      </c>
    </row>
    <row r="3422" spans="5:7" x14ac:dyDescent="0.35">
      <c r="E3422" s="9">
        <v>43234</v>
      </c>
      <c r="F3422">
        <v>226.9</v>
      </c>
      <c r="G3422" t="s">
        <v>5877</v>
      </c>
    </row>
    <row r="3423" spans="5:7" x14ac:dyDescent="0.35">
      <c r="E3423" s="9">
        <v>43235</v>
      </c>
      <c r="F3423">
        <v>227.7</v>
      </c>
      <c r="G3423" t="s">
        <v>5877</v>
      </c>
    </row>
    <row r="3424" spans="5:7" x14ac:dyDescent="0.35">
      <c r="E3424" s="9">
        <v>43236</v>
      </c>
      <c r="F3424">
        <v>235.7</v>
      </c>
      <c r="G3424" t="s">
        <v>5877</v>
      </c>
    </row>
    <row r="3425" spans="5:7" x14ac:dyDescent="0.35">
      <c r="E3425" s="9">
        <v>43237</v>
      </c>
      <c r="F3425">
        <v>241.2</v>
      </c>
      <c r="G3425" t="s">
        <v>5877</v>
      </c>
    </row>
    <row r="3426" spans="5:7" x14ac:dyDescent="0.35">
      <c r="E3426" s="9">
        <v>43238</v>
      </c>
      <c r="F3426">
        <v>238.5</v>
      </c>
      <c r="G3426" t="s">
        <v>5877</v>
      </c>
    </row>
    <row r="3427" spans="5:7" x14ac:dyDescent="0.35">
      <c r="E3427" s="9">
        <v>43239</v>
      </c>
      <c r="F3427">
        <v>229.6</v>
      </c>
      <c r="G3427" t="s">
        <v>5877</v>
      </c>
    </row>
    <row r="3428" spans="5:7" x14ac:dyDescent="0.35">
      <c r="E3428" s="9">
        <v>43240</v>
      </c>
      <c r="F3428">
        <v>223.3</v>
      </c>
      <c r="G3428" t="s">
        <v>5877</v>
      </c>
    </row>
    <row r="3429" spans="5:7" x14ac:dyDescent="0.35">
      <c r="E3429" s="9">
        <v>43241</v>
      </c>
      <c r="F3429">
        <v>224.1</v>
      </c>
      <c r="G3429" t="s">
        <v>5877</v>
      </c>
    </row>
    <row r="3430" spans="5:7" x14ac:dyDescent="0.35">
      <c r="E3430" s="9">
        <v>43242</v>
      </c>
      <c r="F3430">
        <v>221</v>
      </c>
      <c r="G3430" t="s">
        <v>5877</v>
      </c>
    </row>
    <row r="3431" spans="5:7" x14ac:dyDescent="0.35">
      <c r="E3431" s="9">
        <v>43243</v>
      </c>
      <c r="F3431">
        <v>214.2</v>
      </c>
      <c r="G3431" t="s">
        <v>5877</v>
      </c>
    </row>
    <row r="3432" spans="5:7" x14ac:dyDescent="0.35">
      <c r="E3432" s="9">
        <v>43244</v>
      </c>
      <c r="F3432">
        <v>201.9</v>
      </c>
      <c r="G3432" t="s">
        <v>5877</v>
      </c>
    </row>
    <row r="3433" spans="5:7" x14ac:dyDescent="0.35">
      <c r="E3433" s="9">
        <v>43245</v>
      </c>
      <c r="F3433">
        <v>184.6</v>
      </c>
      <c r="G3433" t="s">
        <v>5877</v>
      </c>
    </row>
    <row r="3434" spans="5:7" x14ac:dyDescent="0.35">
      <c r="E3434" s="9">
        <v>43246</v>
      </c>
      <c r="F3434">
        <v>168.5</v>
      </c>
      <c r="G3434" t="s">
        <v>5877</v>
      </c>
    </row>
    <row r="3435" spans="5:7" x14ac:dyDescent="0.35">
      <c r="E3435" s="9">
        <v>43247</v>
      </c>
      <c r="F3435">
        <v>154.4</v>
      </c>
      <c r="G3435" t="s">
        <v>5877</v>
      </c>
    </row>
    <row r="3436" spans="5:7" x14ac:dyDescent="0.35">
      <c r="E3436" s="9">
        <v>43248</v>
      </c>
      <c r="F3436">
        <v>143.80000000000001</v>
      </c>
      <c r="G3436" t="s">
        <v>5877</v>
      </c>
    </row>
    <row r="3437" spans="5:7" x14ac:dyDescent="0.35">
      <c r="E3437" s="9">
        <v>43249</v>
      </c>
      <c r="F3437">
        <v>137</v>
      </c>
      <c r="G3437" t="s">
        <v>5877</v>
      </c>
    </row>
    <row r="3438" spans="5:7" x14ac:dyDescent="0.35">
      <c r="E3438" s="9">
        <v>43250</v>
      </c>
      <c r="F3438">
        <v>132.4</v>
      </c>
      <c r="G3438" t="s">
        <v>5877</v>
      </c>
    </row>
    <row r="3439" spans="5:7" x14ac:dyDescent="0.35">
      <c r="E3439" s="9">
        <v>43251</v>
      </c>
      <c r="F3439">
        <v>129.5</v>
      </c>
      <c r="G3439" t="s">
        <v>5877</v>
      </c>
    </row>
    <row r="3440" spans="5:7" x14ac:dyDescent="0.35">
      <c r="E3440" s="9">
        <v>43252</v>
      </c>
      <c r="F3440">
        <v>127.5</v>
      </c>
      <c r="G3440" t="s">
        <v>5877</v>
      </c>
    </row>
    <row r="3441" spans="5:7" x14ac:dyDescent="0.35">
      <c r="E3441" s="9">
        <v>43253</v>
      </c>
      <c r="F3441">
        <v>85.2</v>
      </c>
      <c r="G3441" t="s">
        <v>5877</v>
      </c>
    </row>
    <row r="3442" spans="5:7" x14ac:dyDescent="0.35">
      <c r="E3442" s="9">
        <v>43254</v>
      </c>
      <c r="F3442">
        <v>84.5</v>
      </c>
      <c r="G3442" t="s">
        <v>5877</v>
      </c>
    </row>
    <row r="3443" spans="5:7" x14ac:dyDescent="0.35">
      <c r="E3443" s="9">
        <v>43255</v>
      </c>
      <c r="F3443">
        <v>84.3</v>
      </c>
      <c r="G3443" t="s">
        <v>5877</v>
      </c>
    </row>
    <row r="3444" spans="5:7" x14ac:dyDescent="0.35">
      <c r="E3444" s="9">
        <v>43256</v>
      </c>
      <c r="F3444">
        <v>84.3</v>
      </c>
      <c r="G3444" t="s">
        <v>5877</v>
      </c>
    </row>
    <row r="3445" spans="5:7" x14ac:dyDescent="0.35">
      <c r="E3445" s="9">
        <v>43257</v>
      </c>
      <c r="F3445">
        <v>84.1</v>
      </c>
      <c r="G3445" t="s">
        <v>5877</v>
      </c>
    </row>
    <row r="3446" spans="5:7" x14ac:dyDescent="0.35">
      <c r="E3446" s="9">
        <v>43258</v>
      </c>
      <c r="F3446">
        <v>83.8</v>
      </c>
      <c r="G3446" t="s">
        <v>5877</v>
      </c>
    </row>
    <row r="3447" spans="5:7" x14ac:dyDescent="0.35">
      <c r="E3447" s="9">
        <v>43259</v>
      </c>
      <c r="F3447">
        <v>83.5</v>
      </c>
      <c r="G3447" t="s">
        <v>5877</v>
      </c>
    </row>
    <row r="3448" spans="5:7" x14ac:dyDescent="0.35">
      <c r="E3448" s="9">
        <v>43260</v>
      </c>
      <c r="F3448">
        <v>83.3</v>
      </c>
      <c r="G3448" t="s">
        <v>5877</v>
      </c>
    </row>
    <row r="3449" spans="5:7" x14ac:dyDescent="0.35">
      <c r="E3449" s="9">
        <v>43261</v>
      </c>
      <c r="F3449">
        <v>83.2</v>
      </c>
      <c r="G3449" t="s">
        <v>5877</v>
      </c>
    </row>
    <row r="3450" spans="5:7" x14ac:dyDescent="0.35">
      <c r="E3450" s="9">
        <v>43262</v>
      </c>
      <c r="F3450">
        <v>83.1</v>
      </c>
      <c r="G3450" t="s">
        <v>5877</v>
      </c>
    </row>
    <row r="3451" spans="5:7" x14ac:dyDescent="0.35">
      <c r="E3451" s="9">
        <v>43263</v>
      </c>
      <c r="F3451">
        <v>83.2</v>
      </c>
      <c r="G3451" t="s">
        <v>5877</v>
      </c>
    </row>
    <row r="3452" spans="5:7" x14ac:dyDescent="0.35">
      <c r="E3452" s="9">
        <v>43264</v>
      </c>
      <c r="F3452">
        <v>83.2</v>
      </c>
      <c r="G3452" t="s">
        <v>5877</v>
      </c>
    </row>
    <row r="3453" spans="5:7" x14ac:dyDescent="0.35">
      <c r="E3453" s="9">
        <v>43265</v>
      </c>
      <c r="F3453">
        <v>83.2</v>
      </c>
      <c r="G3453" t="s">
        <v>5877</v>
      </c>
    </row>
    <row r="3454" spans="5:7" x14ac:dyDescent="0.35">
      <c r="E3454" s="9">
        <v>43266</v>
      </c>
      <c r="F3454">
        <v>83.2</v>
      </c>
      <c r="G3454" t="s">
        <v>5877</v>
      </c>
    </row>
    <row r="3455" spans="5:7" x14ac:dyDescent="0.35">
      <c r="E3455" s="9">
        <v>43267</v>
      </c>
      <c r="F3455">
        <v>83.2</v>
      </c>
      <c r="G3455" t="s">
        <v>5877</v>
      </c>
    </row>
    <row r="3456" spans="5:7" x14ac:dyDescent="0.35">
      <c r="E3456" s="9">
        <v>43268</v>
      </c>
      <c r="F3456">
        <v>83.5</v>
      </c>
      <c r="G3456" t="s">
        <v>5877</v>
      </c>
    </row>
    <row r="3457" spans="5:7" x14ac:dyDescent="0.35">
      <c r="E3457" s="9">
        <v>43269</v>
      </c>
      <c r="F3457">
        <v>84</v>
      </c>
      <c r="G3457" t="s">
        <v>5877</v>
      </c>
    </row>
    <row r="3458" spans="5:7" x14ac:dyDescent="0.35">
      <c r="E3458" s="9">
        <v>43270</v>
      </c>
      <c r="F3458">
        <v>84.2</v>
      </c>
      <c r="G3458" t="s">
        <v>5877</v>
      </c>
    </row>
    <row r="3459" spans="5:7" x14ac:dyDescent="0.35">
      <c r="E3459" s="9">
        <v>43271</v>
      </c>
      <c r="F3459">
        <v>84.3</v>
      </c>
      <c r="G3459" t="s">
        <v>5877</v>
      </c>
    </row>
    <row r="3460" spans="5:7" x14ac:dyDescent="0.35">
      <c r="E3460" s="9">
        <v>43272</v>
      </c>
      <c r="F3460">
        <v>84.5</v>
      </c>
      <c r="G3460" t="s">
        <v>5877</v>
      </c>
    </row>
    <row r="3461" spans="5:7" x14ac:dyDescent="0.35">
      <c r="E3461" s="9">
        <v>43273</v>
      </c>
      <c r="F3461">
        <v>84.9</v>
      </c>
      <c r="G3461" t="s">
        <v>5877</v>
      </c>
    </row>
    <row r="3462" spans="5:7" x14ac:dyDescent="0.35">
      <c r="E3462" s="9">
        <v>43274</v>
      </c>
      <c r="F3462">
        <v>85.4</v>
      </c>
      <c r="G3462" t="s">
        <v>5877</v>
      </c>
    </row>
    <row r="3463" spans="5:7" x14ac:dyDescent="0.35">
      <c r="E3463" s="9">
        <v>43275</v>
      </c>
      <c r="F3463">
        <v>86.4</v>
      </c>
      <c r="G3463" t="s">
        <v>5877</v>
      </c>
    </row>
    <row r="3464" spans="5:7" x14ac:dyDescent="0.35">
      <c r="E3464" s="9">
        <v>43276</v>
      </c>
      <c r="F3464">
        <v>87.6</v>
      </c>
      <c r="G3464" t="s">
        <v>5877</v>
      </c>
    </row>
    <row r="3465" spans="5:7" x14ac:dyDescent="0.35">
      <c r="E3465" s="9">
        <v>43277</v>
      </c>
      <c r="F3465">
        <v>88.5</v>
      </c>
      <c r="G3465" t="s">
        <v>5877</v>
      </c>
    </row>
    <row r="3466" spans="5:7" x14ac:dyDescent="0.35">
      <c r="E3466" s="9">
        <v>43278</v>
      </c>
      <c r="F3466">
        <v>88.9</v>
      </c>
      <c r="G3466" t="s">
        <v>5877</v>
      </c>
    </row>
    <row r="3467" spans="5:7" x14ac:dyDescent="0.35">
      <c r="E3467" s="9">
        <v>43279</v>
      </c>
      <c r="F3467">
        <v>90.7</v>
      </c>
      <c r="G3467" t="s">
        <v>5877</v>
      </c>
    </row>
    <row r="3468" spans="5:7" x14ac:dyDescent="0.35">
      <c r="E3468" s="9">
        <v>43280</v>
      </c>
      <c r="F3468">
        <v>93.6</v>
      </c>
      <c r="G3468" t="s">
        <v>5877</v>
      </c>
    </row>
    <row r="3469" spans="5:7" x14ac:dyDescent="0.35">
      <c r="E3469" s="9">
        <v>43281</v>
      </c>
      <c r="F3469">
        <v>95.6</v>
      </c>
      <c r="G3469" t="s">
        <v>5877</v>
      </c>
    </row>
    <row r="3470" spans="5:7" x14ac:dyDescent="0.35">
      <c r="E3470" s="9">
        <v>43282</v>
      </c>
      <c r="F3470">
        <v>94.8</v>
      </c>
      <c r="G3470" t="s">
        <v>5877</v>
      </c>
    </row>
    <row r="3471" spans="5:7" x14ac:dyDescent="0.35">
      <c r="E3471" s="9">
        <v>43283</v>
      </c>
      <c r="F3471">
        <v>69.2</v>
      </c>
      <c r="G3471" t="s">
        <v>5877</v>
      </c>
    </row>
    <row r="3472" spans="5:7" x14ac:dyDescent="0.35">
      <c r="E3472" s="9">
        <v>43284</v>
      </c>
      <c r="F3472">
        <v>67.7</v>
      </c>
      <c r="G3472" t="s">
        <v>5877</v>
      </c>
    </row>
    <row r="3473" spans="5:7" x14ac:dyDescent="0.35">
      <c r="E3473" s="9">
        <v>43285</v>
      </c>
      <c r="F3473">
        <v>68.900000000000006</v>
      </c>
      <c r="G3473" t="s">
        <v>5877</v>
      </c>
    </row>
    <row r="3474" spans="5:7" x14ac:dyDescent="0.35">
      <c r="E3474" s="9">
        <v>43286</v>
      </c>
      <c r="F3474">
        <v>71.3</v>
      </c>
      <c r="G3474" t="s">
        <v>5877</v>
      </c>
    </row>
    <row r="3475" spans="5:7" x14ac:dyDescent="0.35">
      <c r="E3475" s="9">
        <v>43287</v>
      </c>
      <c r="F3475">
        <v>71.2</v>
      </c>
      <c r="G3475" t="s">
        <v>5877</v>
      </c>
    </row>
    <row r="3476" spans="5:7" x14ac:dyDescent="0.35">
      <c r="E3476" s="9">
        <v>43288</v>
      </c>
      <c r="F3476">
        <v>69.2</v>
      </c>
      <c r="G3476" t="s">
        <v>5877</v>
      </c>
    </row>
    <row r="3477" spans="5:7" x14ac:dyDescent="0.35">
      <c r="E3477" s="9">
        <v>43289</v>
      </c>
      <c r="F3477">
        <v>66.3</v>
      </c>
      <c r="G3477" t="s">
        <v>5877</v>
      </c>
    </row>
    <row r="3478" spans="5:7" x14ac:dyDescent="0.35">
      <c r="E3478" s="9">
        <v>43290</v>
      </c>
      <c r="F3478">
        <v>64</v>
      </c>
      <c r="G3478" t="s">
        <v>5877</v>
      </c>
    </row>
    <row r="3479" spans="5:7" x14ac:dyDescent="0.35">
      <c r="E3479" s="9">
        <v>43291</v>
      </c>
      <c r="F3479">
        <v>62.6</v>
      </c>
      <c r="G3479" t="s">
        <v>5877</v>
      </c>
    </row>
    <row r="3480" spans="5:7" x14ac:dyDescent="0.35">
      <c r="E3480" s="9">
        <v>43292</v>
      </c>
      <c r="F3480">
        <v>61.7</v>
      </c>
      <c r="G3480" t="s">
        <v>5877</v>
      </c>
    </row>
    <row r="3481" spans="5:7" x14ac:dyDescent="0.35">
      <c r="E3481" s="9">
        <v>43293</v>
      </c>
      <c r="F3481">
        <v>61.1</v>
      </c>
      <c r="G3481" t="s">
        <v>5877</v>
      </c>
    </row>
    <row r="3482" spans="5:7" x14ac:dyDescent="0.35">
      <c r="E3482" s="9">
        <v>43294</v>
      </c>
      <c r="F3482">
        <v>60.7</v>
      </c>
      <c r="G3482" t="s">
        <v>5877</v>
      </c>
    </row>
    <row r="3483" spans="5:7" x14ac:dyDescent="0.35">
      <c r="E3483" s="9">
        <v>43295</v>
      </c>
      <c r="F3483">
        <v>60.5</v>
      </c>
      <c r="G3483" t="s">
        <v>5877</v>
      </c>
    </row>
    <row r="3484" spans="5:7" x14ac:dyDescent="0.35">
      <c r="E3484" s="9">
        <v>43296</v>
      </c>
      <c r="F3484">
        <v>60.3</v>
      </c>
      <c r="G3484" t="s">
        <v>5877</v>
      </c>
    </row>
    <row r="3485" spans="5:7" x14ac:dyDescent="0.35">
      <c r="E3485" s="9">
        <v>43297</v>
      </c>
      <c r="F3485">
        <v>60.2</v>
      </c>
      <c r="G3485" t="s">
        <v>5877</v>
      </c>
    </row>
    <row r="3486" spans="5:7" x14ac:dyDescent="0.35">
      <c r="E3486" s="9">
        <v>43298</v>
      </c>
      <c r="F3486">
        <v>60.1</v>
      </c>
      <c r="G3486" t="s">
        <v>5877</v>
      </c>
    </row>
    <row r="3487" spans="5:7" x14ac:dyDescent="0.35">
      <c r="E3487" s="9">
        <v>43299</v>
      </c>
      <c r="F3487">
        <v>60.1</v>
      </c>
      <c r="G3487" t="s">
        <v>5877</v>
      </c>
    </row>
    <row r="3488" spans="5:7" x14ac:dyDescent="0.35">
      <c r="E3488" s="9">
        <v>43300</v>
      </c>
      <c r="F3488">
        <v>60.1</v>
      </c>
      <c r="G3488" t="s">
        <v>5877</v>
      </c>
    </row>
    <row r="3489" spans="5:7" x14ac:dyDescent="0.35">
      <c r="E3489" s="9">
        <v>43301</v>
      </c>
      <c r="F3489">
        <v>60</v>
      </c>
      <c r="G3489" t="s">
        <v>5877</v>
      </c>
    </row>
    <row r="3490" spans="5:7" x14ac:dyDescent="0.35">
      <c r="E3490" s="9">
        <v>43302</v>
      </c>
      <c r="F3490">
        <v>60</v>
      </c>
      <c r="G3490" t="s">
        <v>5877</v>
      </c>
    </row>
    <row r="3491" spans="5:7" x14ac:dyDescent="0.35">
      <c r="E3491" s="9">
        <v>43303</v>
      </c>
      <c r="F3491">
        <v>60</v>
      </c>
      <c r="G3491" t="s">
        <v>5877</v>
      </c>
    </row>
    <row r="3492" spans="5:7" x14ac:dyDescent="0.35">
      <c r="E3492" s="9">
        <v>43304</v>
      </c>
      <c r="F3492">
        <v>60</v>
      </c>
      <c r="G3492" t="s">
        <v>5877</v>
      </c>
    </row>
    <row r="3493" spans="5:7" x14ac:dyDescent="0.35">
      <c r="E3493" s="9">
        <v>43305</v>
      </c>
      <c r="F3493">
        <v>60</v>
      </c>
      <c r="G3493" t="s">
        <v>5877</v>
      </c>
    </row>
    <row r="3494" spans="5:7" x14ac:dyDescent="0.35">
      <c r="E3494" s="9">
        <v>43306</v>
      </c>
      <c r="F3494">
        <v>60</v>
      </c>
      <c r="G3494" t="s">
        <v>5877</v>
      </c>
    </row>
    <row r="3495" spans="5:7" x14ac:dyDescent="0.35">
      <c r="E3495" s="9">
        <v>43307</v>
      </c>
      <c r="F3495">
        <v>60</v>
      </c>
      <c r="G3495" t="s">
        <v>5877</v>
      </c>
    </row>
    <row r="3496" spans="5:7" x14ac:dyDescent="0.35">
      <c r="E3496" s="9">
        <v>43308</v>
      </c>
      <c r="F3496">
        <v>60</v>
      </c>
      <c r="G3496" t="s">
        <v>5877</v>
      </c>
    </row>
    <row r="3497" spans="5:7" x14ac:dyDescent="0.35">
      <c r="E3497" s="9">
        <v>43309</v>
      </c>
      <c r="F3497">
        <v>60</v>
      </c>
      <c r="G3497" t="s">
        <v>5877</v>
      </c>
    </row>
    <row r="3498" spans="5:7" x14ac:dyDescent="0.35">
      <c r="E3498" s="9">
        <v>43310</v>
      </c>
      <c r="F3498">
        <v>60</v>
      </c>
      <c r="G3498" t="s">
        <v>5877</v>
      </c>
    </row>
    <row r="3499" spans="5:7" x14ac:dyDescent="0.35">
      <c r="E3499" s="9">
        <v>43311</v>
      </c>
      <c r="F3499">
        <v>60.1</v>
      </c>
      <c r="G3499" t="s">
        <v>5877</v>
      </c>
    </row>
    <row r="3500" spans="5:7" x14ac:dyDescent="0.35">
      <c r="E3500" s="9">
        <v>43312</v>
      </c>
      <c r="F3500">
        <v>62</v>
      </c>
      <c r="G3500" t="s">
        <v>5877</v>
      </c>
    </row>
    <row r="3501" spans="5:7" x14ac:dyDescent="0.35">
      <c r="E3501" s="9">
        <v>43313</v>
      </c>
      <c r="F3501">
        <v>66.3</v>
      </c>
      <c r="G3501" t="s">
        <v>5877</v>
      </c>
    </row>
    <row r="3502" spans="5:7" x14ac:dyDescent="0.35">
      <c r="E3502" s="9">
        <v>43314</v>
      </c>
      <c r="F3502">
        <v>76</v>
      </c>
      <c r="G3502" t="s">
        <v>5877</v>
      </c>
    </row>
    <row r="3503" spans="5:7" x14ac:dyDescent="0.35">
      <c r="E3503" s="9">
        <v>43315</v>
      </c>
      <c r="F3503">
        <v>77</v>
      </c>
      <c r="G3503" t="s">
        <v>5877</v>
      </c>
    </row>
    <row r="3504" spans="5:7" x14ac:dyDescent="0.35">
      <c r="E3504" s="9">
        <v>43316</v>
      </c>
      <c r="F3504">
        <v>75.3</v>
      </c>
      <c r="G3504" t="s">
        <v>5877</v>
      </c>
    </row>
    <row r="3505" spans="5:7" x14ac:dyDescent="0.35">
      <c r="E3505" s="9">
        <v>43317</v>
      </c>
      <c r="F3505">
        <v>72.400000000000006</v>
      </c>
      <c r="G3505" t="s">
        <v>5877</v>
      </c>
    </row>
    <row r="3506" spans="5:7" x14ac:dyDescent="0.35">
      <c r="E3506" s="9">
        <v>43318</v>
      </c>
      <c r="F3506">
        <v>69.7</v>
      </c>
      <c r="G3506" t="s">
        <v>5877</v>
      </c>
    </row>
    <row r="3507" spans="5:7" x14ac:dyDescent="0.35">
      <c r="E3507" s="9">
        <v>43319</v>
      </c>
      <c r="F3507">
        <v>68.2</v>
      </c>
      <c r="G3507" t="s">
        <v>5877</v>
      </c>
    </row>
    <row r="3508" spans="5:7" x14ac:dyDescent="0.35">
      <c r="E3508" s="9">
        <v>43320</v>
      </c>
      <c r="F3508">
        <v>67.3</v>
      </c>
      <c r="G3508" t="s">
        <v>5877</v>
      </c>
    </row>
    <row r="3509" spans="5:7" x14ac:dyDescent="0.35">
      <c r="E3509" s="9">
        <v>43321</v>
      </c>
      <c r="F3509">
        <v>66.7</v>
      </c>
      <c r="G3509" t="s">
        <v>5877</v>
      </c>
    </row>
    <row r="3510" spans="5:7" x14ac:dyDescent="0.35">
      <c r="E3510" s="9">
        <v>43322</v>
      </c>
      <c r="F3510">
        <v>68.2</v>
      </c>
      <c r="G3510" t="s">
        <v>5877</v>
      </c>
    </row>
    <row r="3511" spans="5:7" x14ac:dyDescent="0.35">
      <c r="E3511" s="9">
        <v>43323</v>
      </c>
      <c r="F3511">
        <v>72.099999999999994</v>
      </c>
      <c r="G3511" t="s">
        <v>5877</v>
      </c>
    </row>
    <row r="3512" spans="5:7" x14ac:dyDescent="0.35">
      <c r="E3512" s="9">
        <v>43324</v>
      </c>
      <c r="F3512">
        <v>77</v>
      </c>
      <c r="G3512" t="s">
        <v>5877</v>
      </c>
    </row>
    <row r="3513" spans="5:7" x14ac:dyDescent="0.35">
      <c r="E3513" s="9">
        <v>43325</v>
      </c>
      <c r="F3513">
        <v>80</v>
      </c>
      <c r="G3513" t="s">
        <v>5877</v>
      </c>
    </row>
    <row r="3514" spans="5:7" x14ac:dyDescent="0.35">
      <c r="E3514" s="9">
        <v>43326</v>
      </c>
      <c r="F3514">
        <v>81.900000000000006</v>
      </c>
      <c r="G3514" t="s">
        <v>5877</v>
      </c>
    </row>
    <row r="3515" spans="5:7" x14ac:dyDescent="0.35">
      <c r="E3515" s="9">
        <v>43327</v>
      </c>
      <c r="F3515">
        <v>81.8</v>
      </c>
      <c r="G3515" t="s">
        <v>5877</v>
      </c>
    </row>
    <row r="3516" spans="5:7" x14ac:dyDescent="0.35">
      <c r="E3516" s="9">
        <v>43328</v>
      </c>
      <c r="F3516">
        <v>79</v>
      </c>
      <c r="G3516" t="s">
        <v>5877</v>
      </c>
    </row>
    <row r="3517" spans="5:7" x14ac:dyDescent="0.35">
      <c r="E3517" s="9">
        <v>43329</v>
      </c>
      <c r="F3517">
        <v>75.7</v>
      </c>
      <c r="G3517" t="s">
        <v>5877</v>
      </c>
    </row>
    <row r="3518" spans="5:7" x14ac:dyDescent="0.35">
      <c r="E3518" s="9">
        <v>43330</v>
      </c>
      <c r="F3518">
        <v>72.3</v>
      </c>
      <c r="G3518" t="s">
        <v>5877</v>
      </c>
    </row>
    <row r="3519" spans="5:7" x14ac:dyDescent="0.35">
      <c r="E3519" s="9">
        <v>43331</v>
      </c>
      <c r="F3519">
        <v>70.099999999999994</v>
      </c>
      <c r="G3519" t="s">
        <v>5877</v>
      </c>
    </row>
    <row r="3520" spans="5:7" x14ac:dyDescent="0.35">
      <c r="E3520" s="9">
        <v>43332</v>
      </c>
      <c r="F3520">
        <v>71.7</v>
      </c>
      <c r="G3520" t="s">
        <v>5877</v>
      </c>
    </row>
    <row r="3521" spans="5:7" x14ac:dyDescent="0.35">
      <c r="E3521" s="9">
        <v>43333</v>
      </c>
      <c r="F3521">
        <v>76.900000000000006</v>
      </c>
      <c r="G3521" t="s">
        <v>5877</v>
      </c>
    </row>
    <row r="3522" spans="5:7" x14ac:dyDescent="0.35">
      <c r="E3522" s="9">
        <v>43334</v>
      </c>
      <c r="F3522">
        <v>84.5</v>
      </c>
      <c r="G3522" t="s">
        <v>5877</v>
      </c>
    </row>
    <row r="3523" spans="5:7" x14ac:dyDescent="0.35">
      <c r="E3523" s="9">
        <v>43335</v>
      </c>
      <c r="F3523">
        <v>93.2</v>
      </c>
      <c r="G3523" t="s">
        <v>5877</v>
      </c>
    </row>
    <row r="3524" spans="5:7" x14ac:dyDescent="0.35">
      <c r="E3524" s="9">
        <v>43336</v>
      </c>
      <c r="F3524">
        <v>105.7</v>
      </c>
      <c r="G3524" t="s">
        <v>5877</v>
      </c>
    </row>
    <row r="3525" spans="5:7" x14ac:dyDescent="0.35">
      <c r="E3525" s="9">
        <v>43337</v>
      </c>
      <c r="F3525">
        <v>116.6</v>
      </c>
      <c r="G3525" t="s">
        <v>5877</v>
      </c>
    </row>
    <row r="3526" spans="5:7" x14ac:dyDescent="0.35">
      <c r="E3526" s="9">
        <v>43338</v>
      </c>
      <c r="F3526">
        <v>120.6</v>
      </c>
      <c r="G3526" t="s">
        <v>5877</v>
      </c>
    </row>
    <row r="3527" spans="5:7" x14ac:dyDescent="0.35">
      <c r="E3527" s="9">
        <v>43339</v>
      </c>
      <c r="F3527">
        <v>117.4</v>
      </c>
      <c r="G3527" t="s">
        <v>5877</v>
      </c>
    </row>
    <row r="3528" spans="5:7" x14ac:dyDescent="0.35">
      <c r="E3528" s="9">
        <v>43340</v>
      </c>
      <c r="F3528">
        <v>112.9</v>
      </c>
      <c r="G3528" t="s">
        <v>5877</v>
      </c>
    </row>
    <row r="3529" spans="5:7" x14ac:dyDescent="0.35">
      <c r="E3529" s="9">
        <v>43341</v>
      </c>
      <c r="F3529">
        <v>112.4</v>
      </c>
      <c r="G3529" t="s">
        <v>5877</v>
      </c>
    </row>
    <row r="3530" spans="5:7" x14ac:dyDescent="0.35">
      <c r="E3530" s="9">
        <v>43342</v>
      </c>
      <c r="F3530">
        <v>118.4</v>
      </c>
      <c r="G3530" t="s">
        <v>5877</v>
      </c>
    </row>
    <row r="3531" spans="5:7" x14ac:dyDescent="0.35">
      <c r="E3531" s="9">
        <v>43343</v>
      </c>
      <c r="F3531">
        <v>122</v>
      </c>
      <c r="G3531" t="s">
        <v>5877</v>
      </c>
    </row>
    <row r="3532" spans="5:7" x14ac:dyDescent="0.35">
      <c r="E3532" s="9">
        <v>43344</v>
      </c>
      <c r="F3532">
        <v>117.5</v>
      </c>
      <c r="G3532" t="s">
        <v>5877</v>
      </c>
    </row>
    <row r="3533" spans="5:7" x14ac:dyDescent="0.35">
      <c r="E3533" s="9">
        <v>43345</v>
      </c>
      <c r="F3533">
        <v>138.19999999999999</v>
      </c>
      <c r="G3533" t="s">
        <v>5877</v>
      </c>
    </row>
    <row r="3534" spans="5:7" x14ac:dyDescent="0.35">
      <c r="E3534" s="9">
        <v>43346</v>
      </c>
      <c r="F3534">
        <v>135.30000000000001</v>
      </c>
      <c r="G3534" t="s">
        <v>5877</v>
      </c>
    </row>
    <row r="3535" spans="5:7" x14ac:dyDescent="0.35">
      <c r="E3535" s="9">
        <v>43347</v>
      </c>
      <c r="F3535">
        <v>136.4</v>
      </c>
      <c r="G3535" t="s">
        <v>5877</v>
      </c>
    </row>
    <row r="3536" spans="5:7" x14ac:dyDescent="0.35">
      <c r="E3536" s="9">
        <v>43348</v>
      </c>
      <c r="F3536">
        <v>140.4</v>
      </c>
      <c r="G3536" t="s">
        <v>5877</v>
      </c>
    </row>
    <row r="3537" spans="5:7" x14ac:dyDescent="0.35">
      <c r="E3537" s="9">
        <v>43349</v>
      </c>
      <c r="F3537">
        <v>142.1</v>
      </c>
      <c r="G3537" t="s">
        <v>5877</v>
      </c>
    </row>
    <row r="3538" spans="5:7" x14ac:dyDescent="0.35">
      <c r="E3538" s="9">
        <v>43350</v>
      </c>
      <c r="F3538">
        <v>145.80000000000001</v>
      </c>
      <c r="G3538" t="s">
        <v>5877</v>
      </c>
    </row>
    <row r="3539" spans="5:7" x14ac:dyDescent="0.35">
      <c r="E3539" s="9">
        <v>43351</v>
      </c>
      <c r="F3539">
        <v>153.9</v>
      </c>
      <c r="G3539" t="s">
        <v>5877</v>
      </c>
    </row>
    <row r="3540" spans="5:7" x14ac:dyDescent="0.35">
      <c r="E3540" s="9">
        <v>43352</v>
      </c>
      <c r="F3540">
        <v>164.6</v>
      </c>
      <c r="G3540" t="s">
        <v>5877</v>
      </c>
    </row>
    <row r="3541" spans="5:7" x14ac:dyDescent="0.35">
      <c r="E3541" s="9">
        <v>43353</v>
      </c>
      <c r="F3541">
        <v>170.2</v>
      </c>
      <c r="G3541" t="s">
        <v>5877</v>
      </c>
    </row>
    <row r="3542" spans="5:7" x14ac:dyDescent="0.35">
      <c r="E3542" s="9">
        <v>43354</v>
      </c>
      <c r="F3542">
        <v>168.3</v>
      </c>
      <c r="G3542" t="s">
        <v>5877</v>
      </c>
    </row>
    <row r="3543" spans="5:7" x14ac:dyDescent="0.35">
      <c r="E3543" s="9">
        <v>43355</v>
      </c>
      <c r="F3543">
        <v>165.5</v>
      </c>
      <c r="G3543" t="s">
        <v>5877</v>
      </c>
    </row>
    <row r="3544" spans="5:7" x14ac:dyDescent="0.35">
      <c r="E3544" s="9">
        <v>43356</v>
      </c>
      <c r="F3544">
        <v>163.6</v>
      </c>
      <c r="G3544" t="s">
        <v>5877</v>
      </c>
    </row>
    <row r="3545" spans="5:7" x14ac:dyDescent="0.35">
      <c r="E3545" s="9">
        <v>43357</v>
      </c>
      <c r="F3545">
        <v>156</v>
      </c>
      <c r="G3545" t="s">
        <v>5877</v>
      </c>
    </row>
    <row r="3546" spans="5:7" x14ac:dyDescent="0.35">
      <c r="E3546" s="9">
        <v>43358</v>
      </c>
      <c r="F3546">
        <v>148</v>
      </c>
      <c r="G3546" t="s">
        <v>5877</v>
      </c>
    </row>
    <row r="3547" spans="5:7" x14ac:dyDescent="0.35">
      <c r="E3547" s="9">
        <v>43359</v>
      </c>
      <c r="F3547">
        <v>147.5</v>
      </c>
      <c r="G3547" t="s">
        <v>5877</v>
      </c>
    </row>
    <row r="3548" spans="5:7" x14ac:dyDescent="0.35">
      <c r="E3548" s="9">
        <v>43360</v>
      </c>
      <c r="F3548">
        <v>157.9</v>
      </c>
      <c r="G3548" t="s">
        <v>5877</v>
      </c>
    </row>
    <row r="3549" spans="5:7" x14ac:dyDescent="0.35">
      <c r="E3549" s="9">
        <v>43361</v>
      </c>
      <c r="F3549">
        <v>169.3</v>
      </c>
      <c r="G3549" t="s">
        <v>5877</v>
      </c>
    </row>
    <row r="3550" spans="5:7" x14ac:dyDescent="0.35">
      <c r="E3550" s="9">
        <v>43362</v>
      </c>
      <c r="F3550">
        <v>168.8</v>
      </c>
      <c r="G3550" t="s">
        <v>5877</v>
      </c>
    </row>
    <row r="3551" spans="5:7" x14ac:dyDescent="0.35">
      <c r="E3551" s="9">
        <v>43363</v>
      </c>
      <c r="F3551">
        <v>160.1</v>
      </c>
      <c r="G3551" t="s">
        <v>5877</v>
      </c>
    </row>
    <row r="3552" spans="5:7" x14ac:dyDescent="0.35">
      <c r="E3552" s="9">
        <v>43364</v>
      </c>
      <c r="F3552">
        <v>150.4</v>
      </c>
      <c r="G3552" t="s">
        <v>5877</v>
      </c>
    </row>
    <row r="3553" spans="5:7" x14ac:dyDescent="0.35">
      <c r="E3553" s="9">
        <v>43365</v>
      </c>
      <c r="F3553">
        <v>145.69999999999999</v>
      </c>
      <c r="G3553" t="s">
        <v>5877</v>
      </c>
    </row>
    <row r="3554" spans="5:7" x14ac:dyDescent="0.35">
      <c r="E3554" s="9">
        <v>43366</v>
      </c>
      <c r="F3554">
        <v>149.4</v>
      </c>
      <c r="G3554" t="s">
        <v>5877</v>
      </c>
    </row>
    <row r="3555" spans="5:7" x14ac:dyDescent="0.35">
      <c r="E3555" s="9">
        <v>43367</v>
      </c>
      <c r="F3555">
        <v>161.6</v>
      </c>
      <c r="G3555" t="s">
        <v>5877</v>
      </c>
    </row>
    <row r="3556" spans="5:7" x14ac:dyDescent="0.35">
      <c r="E3556" s="9">
        <v>43368</v>
      </c>
      <c r="F3556">
        <v>171.3</v>
      </c>
      <c r="G3556" t="s">
        <v>5877</v>
      </c>
    </row>
    <row r="3557" spans="5:7" x14ac:dyDescent="0.35">
      <c r="E3557" s="9">
        <v>43369</v>
      </c>
      <c r="F3557">
        <v>169.7</v>
      </c>
      <c r="G3557" t="s">
        <v>5877</v>
      </c>
    </row>
    <row r="3558" spans="5:7" x14ac:dyDescent="0.35">
      <c r="E3558" s="9">
        <v>43370</v>
      </c>
      <c r="F3558">
        <v>162.5</v>
      </c>
      <c r="G3558" t="s">
        <v>5877</v>
      </c>
    </row>
    <row r="3559" spans="5:7" x14ac:dyDescent="0.35">
      <c r="E3559" s="9">
        <v>43371</v>
      </c>
      <c r="F3559">
        <v>161.1</v>
      </c>
      <c r="G3559" t="s">
        <v>5877</v>
      </c>
    </row>
    <row r="3560" spans="5:7" x14ac:dyDescent="0.35">
      <c r="E3560" s="9">
        <v>43372</v>
      </c>
      <c r="F3560">
        <v>168.5</v>
      </c>
      <c r="G3560" t="s">
        <v>5877</v>
      </c>
    </row>
    <row r="3561" spans="5:7" x14ac:dyDescent="0.35">
      <c r="E3561" s="9">
        <v>43373</v>
      </c>
      <c r="F3561">
        <v>178.4</v>
      </c>
      <c r="G3561" t="s">
        <v>5877</v>
      </c>
    </row>
    <row r="3562" spans="5:7" x14ac:dyDescent="0.35">
      <c r="E3562" s="9">
        <v>43374</v>
      </c>
      <c r="F3562">
        <v>185.4</v>
      </c>
      <c r="G3562" t="s">
        <v>5877</v>
      </c>
    </row>
    <row r="3563" spans="5:7" x14ac:dyDescent="0.35">
      <c r="E3563" s="9">
        <v>43375</v>
      </c>
      <c r="F3563">
        <v>203.9</v>
      </c>
      <c r="G3563" t="s">
        <v>5877</v>
      </c>
    </row>
    <row r="3564" spans="5:7" x14ac:dyDescent="0.35">
      <c r="E3564" s="9">
        <v>43376</v>
      </c>
      <c r="F3564">
        <v>195.2</v>
      </c>
      <c r="G3564" t="s">
        <v>5877</v>
      </c>
    </row>
    <row r="3565" spans="5:7" x14ac:dyDescent="0.35">
      <c r="E3565" s="9">
        <v>43377</v>
      </c>
      <c r="F3565">
        <v>181.6</v>
      </c>
      <c r="G3565" t="s">
        <v>5877</v>
      </c>
    </row>
    <row r="3566" spans="5:7" x14ac:dyDescent="0.35">
      <c r="E3566" s="9">
        <v>43378</v>
      </c>
      <c r="F3566">
        <v>173.5</v>
      </c>
      <c r="G3566" t="s">
        <v>5877</v>
      </c>
    </row>
    <row r="3567" spans="5:7" x14ac:dyDescent="0.35">
      <c r="E3567" s="9">
        <v>43379</v>
      </c>
      <c r="F3567">
        <v>174.7</v>
      </c>
      <c r="G3567" t="s">
        <v>5877</v>
      </c>
    </row>
    <row r="3568" spans="5:7" x14ac:dyDescent="0.35">
      <c r="E3568" s="9">
        <v>43380</v>
      </c>
      <c r="F3568">
        <v>185.6</v>
      </c>
      <c r="G3568" t="s">
        <v>5877</v>
      </c>
    </row>
    <row r="3569" spans="5:7" x14ac:dyDescent="0.35">
      <c r="E3569" s="9">
        <v>43381</v>
      </c>
      <c r="F3569">
        <v>198</v>
      </c>
      <c r="G3569" t="s">
        <v>5877</v>
      </c>
    </row>
    <row r="3570" spans="5:7" x14ac:dyDescent="0.35">
      <c r="E3570" s="9">
        <v>43382</v>
      </c>
      <c r="F3570">
        <v>209.3</v>
      </c>
      <c r="G3570" t="s">
        <v>5877</v>
      </c>
    </row>
    <row r="3571" spans="5:7" x14ac:dyDescent="0.35">
      <c r="E3571" s="9">
        <v>43383</v>
      </c>
      <c r="F3571">
        <v>212.9</v>
      </c>
      <c r="G3571" t="s">
        <v>5877</v>
      </c>
    </row>
    <row r="3572" spans="5:7" x14ac:dyDescent="0.35">
      <c r="E3572" s="9">
        <v>43384</v>
      </c>
      <c r="F3572">
        <v>218.2</v>
      </c>
      <c r="G3572" t="s">
        <v>5877</v>
      </c>
    </row>
    <row r="3573" spans="5:7" x14ac:dyDescent="0.35">
      <c r="E3573" s="9">
        <v>43385</v>
      </c>
      <c r="F3573">
        <v>225.8</v>
      </c>
      <c r="G3573" t="s">
        <v>5877</v>
      </c>
    </row>
    <row r="3574" spans="5:7" x14ac:dyDescent="0.35">
      <c r="E3574" s="9">
        <v>43386</v>
      </c>
      <c r="F3574">
        <v>223.1</v>
      </c>
      <c r="G3574" t="s">
        <v>5877</v>
      </c>
    </row>
    <row r="3575" spans="5:7" x14ac:dyDescent="0.35">
      <c r="E3575" s="9">
        <v>43387</v>
      </c>
      <c r="F3575">
        <v>208.9</v>
      </c>
      <c r="G3575" t="s">
        <v>5877</v>
      </c>
    </row>
    <row r="3576" spans="5:7" x14ac:dyDescent="0.35">
      <c r="E3576" s="9">
        <v>43388</v>
      </c>
      <c r="F3576">
        <v>193</v>
      </c>
      <c r="G3576" t="s">
        <v>5877</v>
      </c>
    </row>
    <row r="3577" spans="5:7" x14ac:dyDescent="0.35">
      <c r="E3577" s="9">
        <v>43389</v>
      </c>
      <c r="F3577">
        <v>182.1</v>
      </c>
      <c r="G3577" t="s">
        <v>5877</v>
      </c>
    </row>
    <row r="3578" spans="5:7" x14ac:dyDescent="0.35">
      <c r="E3578" s="9">
        <v>43390</v>
      </c>
      <c r="F3578">
        <v>184.1</v>
      </c>
      <c r="G3578" t="s">
        <v>5877</v>
      </c>
    </row>
    <row r="3579" spans="5:7" x14ac:dyDescent="0.35">
      <c r="E3579" s="9">
        <v>43391</v>
      </c>
      <c r="F3579">
        <v>200.1</v>
      </c>
      <c r="G3579" t="s">
        <v>5877</v>
      </c>
    </row>
    <row r="3580" spans="5:7" x14ac:dyDescent="0.35">
      <c r="E3580" s="9">
        <v>43392</v>
      </c>
      <c r="F3580">
        <v>218.6</v>
      </c>
      <c r="G3580" t="s">
        <v>5877</v>
      </c>
    </row>
    <row r="3581" spans="5:7" x14ac:dyDescent="0.35">
      <c r="E3581" s="9">
        <v>43393</v>
      </c>
      <c r="F3581">
        <v>221.6</v>
      </c>
      <c r="G3581" t="s">
        <v>5877</v>
      </c>
    </row>
    <row r="3582" spans="5:7" x14ac:dyDescent="0.35">
      <c r="E3582" s="9">
        <v>43394</v>
      </c>
      <c r="F3582">
        <v>211.2</v>
      </c>
      <c r="G3582" t="s">
        <v>5877</v>
      </c>
    </row>
    <row r="3583" spans="5:7" x14ac:dyDescent="0.35">
      <c r="E3583" s="9">
        <v>43395</v>
      </c>
      <c r="F3583">
        <v>198.3</v>
      </c>
      <c r="G3583" t="s">
        <v>5877</v>
      </c>
    </row>
    <row r="3584" spans="5:7" x14ac:dyDescent="0.35">
      <c r="E3584" s="9">
        <v>43396</v>
      </c>
      <c r="F3584">
        <v>187.7</v>
      </c>
      <c r="G3584" t="s">
        <v>5877</v>
      </c>
    </row>
    <row r="3585" spans="5:7" x14ac:dyDescent="0.35">
      <c r="E3585" s="9">
        <v>43397</v>
      </c>
      <c r="F3585">
        <v>182.8</v>
      </c>
      <c r="G3585" t="s">
        <v>5877</v>
      </c>
    </row>
    <row r="3586" spans="5:7" x14ac:dyDescent="0.35">
      <c r="E3586" s="9">
        <v>43398</v>
      </c>
      <c r="F3586">
        <v>177.5</v>
      </c>
      <c r="G3586" t="s">
        <v>5877</v>
      </c>
    </row>
    <row r="3587" spans="5:7" x14ac:dyDescent="0.35">
      <c r="E3587" s="9">
        <v>43399</v>
      </c>
      <c r="F3587">
        <v>173.9</v>
      </c>
      <c r="G3587" t="s">
        <v>5877</v>
      </c>
    </row>
    <row r="3588" spans="5:7" x14ac:dyDescent="0.35">
      <c r="E3588" s="9">
        <v>43400</v>
      </c>
      <c r="F3588">
        <v>177.7</v>
      </c>
      <c r="G3588" t="s">
        <v>5877</v>
      </c>
    </row>
    <row r="3589" spans="5:7" x14ac:dyDescent="0.35">
      <c r="E3589" s="9">
        <v>43401</v>
      </c>
      <c r="F3589">
        <v>188.2</v>
      </c>
      <c r="G3589" t="s">
        <v>5877</v>
      </c>
    </row>
    <row r="3590" spans="5:7" x14ac:dyDescent="0.35">
      <c r="E3590" s="9">
        <v>43402</v>
      </c>
      <c r="F3590">
        <v>209.8</v>
      </c>
      <c r="G3590" t="s">
        <v>5877</v>
      </c>
    </row>
    <row r="3591" spans="5:7" x14ac:dyDescent="0.35">
      <c r="E3591" s="9">
        <v>43403</v>
      </c>
      <c r="F3591">
        <v>229.4</v>
      </c>
      <c r="G3591" t="s">
        <v>5877</v>
      </c>
    </row>
    <row r="3592" spans="5:7" x14ac:dyDescent="0.35">
      <c r="E3592" s="9">
        <v>43404</v>
      </c>
      <c r="F3592">
        <v>239.1</v>
      </c>
      <c r="G3592" t="s">
        <v>5877</v>
      </c>
    </row>
    <row r="3593" spans="5:7" x14ac:dyDescent="0.35">
      <c r="E3593" s="9">
        <v>43405</v>
      </c>
      <c r="F3593">
        <v>232.4</v>
      </c>
      <c r="G3593" t="s">
        <v>5877</v>
      </c>
    </row>
    <row r="3594" spans="5:7" x14ac:dyDescent="0.35">
      <c r="E3594" s="9">
        <v>43406</v>
      </c>
      <c r="F3594">
        <v>228.2</v>
      </c>
      <c r="G3594" t="s">
        <v>5877</v>
      </c>
    </row>
    <row r="3595" spans="5:7" x14ac:dyDescent="0.35">
      <c r="E3595" s="9">
        <v>43407</v>
      </c>
      <c r="F3595">
        <v>216.8</v>
      </c>
      <c r="G3595" t="s">
        <v>5877</v>
      </c>
    </row>
    <row r="3596" spans="5:7" x14ac:dyDescent="0.35">
      <c r="E3596" s="9">
        <v>43408</v>
      </c>
      <c r="F3596">
        <v>220</v>
      </c>
      <c r="G3596" t="s">
        <v>5877</v>
      </c>
    </row>
    <row r="3597" spans="5:7" x14ac:dyDescent="0.35">
      <c r="E3597" s="9">
        <v>43409</v>
      </c>
      <c r="F3597">
        <v>229.9</v>
      </c>
      <c r="G3597" t="s">
        <v>5877</v>
      </c>
    </row>
    <row r="3598" spans="5:7" x14ac:dyDescent="0.35">
      <c r="E3598" s="9">
        <v>43410</v>
      </c>
      <c r="F3598">
        <v>226.6</v>
      </c>
      <c r="G3598" t="s">
        <v>5877</v>
      </c>
    </row>
    <row r="3599" spans="5:7" x14ac:dyDescent="0.35">
      <c r="E3599" s="9">
        <v>43411</v>
      </c>
      <c r="F3599">
        <v>215.3</v>
      </c>
      <c r="G3599" t="s">
        <v>5877</v>
      </c>
    </row>
    <row r="3600" spans="5:7" x14ac:dyDescent="0.35">
      <c r="E3600" s="9">
        <v>43412</v>
      </c>
      <c r="F3600">
        <v>212.3</v>
      </c>
      <c r="G3600" t="s">
        <v>5877</v>
      </c>
    </row>
    <row r="3601" spans="5:7" x14ac:dyDescent="0.35">
      <c r="E3601" s="9">
        <v>43413</v>
      </c>
      <c r="F3601">
        <v>222.7</v>
      </c>
      <c r="G3601" t="s">
        <v>5877</v>
      </c>
    </row>
    <row r="3602" spans="5:7" x14ac:dyDescent="0.35">
      <c r="E3602" s="9">
        <v>43414</v>
      </c>
      <c r="F3602">
        <v>233.9</v>
      </c>
      <c r="G3602" t="s">
        <v>5877</v>
      </c>
    </row>
    <row r="3603" spans="5:7" x14ac:dyDescent="0.35">
      <c r="E3603" s="9">
        <v>43415</v>
      </c>
      <c r="F3603">
        <v>232.6</v>
      </c>
      <c r="G3603" t="s">
        <v>5877</v>
      </c>
    </row>
    <row r="3604" spans="5:7" x14ac:dyDescent="0.35">
      <c r="E3604" s="9">
        <v>43416</v>
      </c>
      <c r="F3604">
        <v>222.7</v>
      </c>
      <c r="G3604" t="s">
        <v>5877</v>
      </c>
    </row>
    <row r="3605" spans="5:7" x14ac:dyDescent="0.35">
      <c r="E3605" s="9">
        <v>43417</v>
      </c>
      <c r="F3605">
        <v>212.5</v>
      </c>
      <c r="G3605" t="s">
        <v>5877</v>
      </c>
    </row>
    <row r="3606" spans="5:7" x14ac:dyDescent="0.35">
      <c r="E3606" s="9">
        <v>43418</v>
      </c>
      <c r="F3606">
        <v>217.8</v>
      </c>
      <c r="G3606" t="s">
        <v>5877</v>
      </c>
    </row>
    <row r="3607" spans="5:7" x14ac:dyDescent="0.35">
      <c r="E3607" s="9">
        <v>43419</v>
      </c>
      <c r="F3607">
        <v>240.7</v>
      </c>
      <c r="G3607" t="s">
        <v>5877</v>
      </c>
    </row>
    <row r="3608" spans="5:7" x14ac:dyDescent="0.35">
      <c r="E3608" s="9">
        <v>43420</v>
      </c>
      <c r="F3608">
        <v>262</v>
      </c>
      <c r="G3608" t="s">
        <v>5877</v>
      </c>
    </row>
    <row r="3609" spans="5:7" x14ac:dyDescent="0.35">
      <c r="E3609" s="9">
        <v>43421</v>
      </c>
      <c r="F3609">
        <v>268.10000000000002</v>
      </c>
      <c r="G3609" t="s">
        <v>5877</v>
      </c>
    </row>
    <row r="3610" spans="5:7" x14ac:dyDescent="0.35">
      <c r="E3610" s="9">
        <v>43422</v>
      </c>
      <c r="F3610">
        <v>265.60000000000002</v>
      </c>
      <c r="G3610" t="s">
        <v>5877</v>
      </c>
    </row>
    <row r="3611" spans="5:7" x14ac:dyDescent="0.35">
      <c r="E3611" s="9">
        <v>43423</v>
      </c>
      <c r="F3611">
        <v>257.10000000000002</v>
      </c>
      <c r="G3611" t="s">
        <v>5877</v>
      </c>
    </row>
    <row r="3612" spans="5:7" x14ac:dyDescent="0.35">
      <c r="E3612" s="9">
        <v>43424</v>
      </c>
      <c r="F3612">
        <v>243</v>
      </c>
      <c r="G3612" t="s">
        <v>5877</v>
      </c>
    </row>
    <row r="3613" spans="5:7" x14ac:dyDescent="0.35">
      <c r="E3613" s="9">
        <v>43425</v>
      </c>
      <c r="F3613">
        <v>231.7</v>
      </c>
      <c r="G3613" t="s">
        <v>5877</v>
      </c>
    </row>
    <row r="3614" spans="5:7" x14ac:dyDescent="0.35">
      <c r="E3614" s="9">
        <v>43426</v>
      </c>
      <c r="F3614">
        <v>231.6</v>
      </c>
      <c r="G3614" t="s">
        <v>5877</v>
      </c>
    </row>
    <row r="3615" spans="5:7" x14ac:dyDescent="0.35">
      <c r="E3615" s="9">
        <v>43427</v>
      </c>
      <c r="F3615">
        <v>238.2</v>
      </c>
      <c r="G3615" t="s">
        <v>5877</v>
      </c>
    </row>
    <row r="3616" spans="5:7" x14ac:dyDescent="0.35">
      <c r="E3616" s="9">
        <v>43428</v>
      </c>
      <c r="F3616">
        <v>241.6</v>
      </c>
      <c r="G3616" t="s">
        <v>5877</v>
      </c>
    </row>
    <row r="3617" spans="5:7" x14ac:dyDescent="0.35">
      <c r="E3617" s="9">
        <v>43429</v>
      </c>
      <c r="F3617">
        <v>245.1</v>
      </c>
      <c r="G3617" t="s">
        <v>5877</v>
      </c>
    </row>
    <row r="3618" spans="5:7" x14ac:dyDescent="0.35">
      <c r="E3618" s="9">
        <v>43430</v>
      </c>
      <c r="F3618">
        <v>251.1</v>
      </c>
      <c r="G3618" t="s">
        <v>5877</v>
      </c>
    </row>
    <row r="3619" spans="5:7" x14ac:dyDescent="0.35">
      <c r="E3619" s="9">
        <v>43431</v>
      </c>
      <c r="F3619">
        <v>262.10000000000002</v>
      </c>
      <c r="G3619" t="s">
        <v>5877</v>
      </c>
    </row>
    <row r="3620" spans="5:7" x14ac:dyDescent="0.35">
      <c r="E3620" s="9">
        <v>43432</v>
      </c>
      <c r="F3620">
        <v>278.2</v>
      </c>
      <c r="G3620" t="s">
        <v>5877</v>
      </c>
    </row>
    <row r="3621" spans="5:7" x14ac:dyDescent="0.35">
      <c r="E3621" s="9">
        <v>43433</v>
      </c>
      <c r="F3621">
        <v>282.39999999999998</v>
      </c>
      <c r="G3621" t="s">
        <v>5877</v>
      </c>
    </row>
    <row r="3622" spans="5:7" x14ac:dyDescent="0.35">
      <c r="E3622" s="9">
        <v>43434</v>
      </c>
      <c r="F3622">
        <v>273.8</v>
      </c>
      <c r="G3622" t="s">
        <v>5877</v>
      </c>
    </row>
    <row r="3623" spans="5:7" x14ac:dyDescent="0.35">
      <c r="E3623" s="9">
        <v>43435</v>
      </c>
      <c r="F3623">
        <v>273.39999999999998</v>
      </c>
      <c r="G3623" t="s">
        <v>5877</v>
      </c>
    </row>
    <row r="3624" spans="5:7" x14ac:dyDescent="0.35">
      <c r="E3624" s="9">
        <v>43436</v>
      </c>
      <c r="F3624">
        <v>292.39999999999998</v>
      </c>
      <c r="G3624" t="s">
        <v>5877</v>
      </c>
    </row>
    <row r="3625" spans="5:7" x14ac:dyDescent="0.35">
      <c r="E3625" s="9">
        <v>43437</v>
      </c>
      <c r="F3625">
        <v>298.3</v>
      </c>
      <c r="G3625" t="s">
        <v>5877</v>
      </c>
    </row>
    <row r="3626" spans="5:7" x14ac:dyDescent="0.35">
      <c r="E3626" s="9">
        <v>43438</v>
      </c>
      <c r="F3626">
        <v>298.60000000000002</v>
      </c>
      <c r="G3626" t="s">
        <v>5877</v>
      </c>
    </row>
    <row r="3627" spans="5:7" x14ac:dyDescent="0.35">
      <c r="E3627" s="9">
        <v>43439</v>
      </c>
      <c r="F3627">
        <v>295.8</v>
      </c>
      <c r="G3627" t="s">
        <v>5877</v>
      </c>
    </row>
    <row r="3628" spans="5:7" x14ac:dyDescent="0.35">
      <c r="E3628" s="9">
        <v>43440</v>
      </c>
      <c r="F3628">
        <v>287.10000000000002</v>
      </c>
      <c r="G3628" t="s">
        <v>5877</v>
      </c>
    </row>
    <row r="3629" spans="5:7" x14ac:dyDescent="0.35">
      <c r="E3629" s="9">
        <v>43441</v>
      </c>
      <c r="F3629">
        <v>268.39999999999998</v>
      </c>
      <c r="G3629" t="s">
        <v>5877</v>
      </c>
    </row>
    <row r="3630" spans="5:7" x14ac:dyDescent="0.35">
      <c r="E3630" s="9">
        <v>43442</v>
      </c>
      <c r="F3630">
        <v>260.2</v>
      </c>
      <c r="G3630" t="s">
        <v>5877</v>
      </c>
    </row>
    <row r="3631" spans="5:7" x14ac:dyDescent="0.35">
      <c r="E3631" s="9">
        <v>43443</v>
      </c>
      <c r="F3631">
        <v>271.39999999999998</v>
      </c>
      <c r="G3631" t="s">
        <v>5877</v>
      </c>
    </row>
    <row r="3632" spans="5:7" x14ac:dyDescent="0.35">
      <c r="E3632" s="9">
        <v>43444</v>
      </c>
      <c r="F3632">
        <v>289.7</v>
      </c>
      <c r="G3632" t="s">
        <v>5877</v>
      </c>
    </row>
    <row r="3633" spans="5:7" x14ac:dyDescent="0.35">
      <c r="E3633" s="9">
        <v>43445</v>
      </c>
      <c r="F3633">
        <v>299.8</v>
      </c>
      <c r="G3633" t="s">
        <v>5877</v>
      </c>
    </row>
    <row r="3634" spans="5:7" x14ac:dyDescent="0.35">
      <c r="E3634" s="9">
        <v>43446</v>
      </c>
      <c r="F3634">
        <v>299.39999999999998</v>
      </c>
      <c r="G3634" t="s">
        <v>5877</v>
      </c>
    </row>
    <row r="3635" spans="5:7" x14ac:dyDescent="0.35">
      <c r="E3635" s="9">
        <v>43447</v>
      </c>
      <c r="F3635">
        <v>292.8</v>
      </c>
      <c r="G3635" t="s">
        <v>5877</v>
      </c>
    </row>
    <row r="3636" spans="5:7" x14ac:dyDescent="0.35">
      <c r="E3636" s="9">
        <v>43448</v>
      </c>
      <c r="F3636">
        <v>286.60000000000002</v>
      </c>
      <c r="G3636" t="s">
        <v>5877</v>
      </c>
    </row>
    <row r="3637" spans="5:7" x14ac:dyDescent="0.35">
      <c r="E3637" s="9">
        <v>43449</v>
      </c>
      <c r="F3637">
        <v>276.10000000000002</v>
      </c>
      <c r="G3637" t="s">
        <v>5877</v>
      </c>
    </row>
    <row r="3638" spans="5:7" x14ac:dyDescent="0.35">
      <c r="E3638" s="9">
        <v>43450</v>
      </c>
      <c r="F3638">
        <v>271.3</v>
      </c>
      <c r="G3638" t="s">
        <v>5877</v>
      </c>
    </row>
    <row r="3639" spans="5:7" x14ac:dyDescent="0.35">
      <c r="E3639" s="9">
        <v>43451</v>
      </c>
      <c r="F3639">
        <v>272.7</v>
      </c>
      <c r="G3639" t="s">
        <v>5877</v>
      </c>
    </row>
    <row r="3640" spans="5:7" x14ac:dyDescent="0.35">
      <c r="E3640" s="9">
        <v>43452</v>
      </c>
      <c r="F3640">
        <v>277.3</v>
      </c>
      <c r="G3640" t="s">
        <v>5877</v>
      </c>
    </row>
    <row r="3641" spans="5:7" x14ac:dyDescent="0.35">
      <c r="E3641" s="9">
        <v>43453</v>
      </c>
      <c r="F3641">
        <v>276.39999999999998</v>
      </c>
      <c r="G3641" t="s">
        <v>5877</v>
      </c>
    </row>
    <row r="3642" spans="5:7" x14ac:dyDescent="0.35">
      <c r="E3642" s="9">
        <v>43454</v>
      </c>
      <c r="F3642">
        <v>267.2</v>
      </c>
      <c r="G3642" t="s">
        <v>5877</v>
      </c>
    </row>
    <row r="3643" spans="5:7" x14ac:dyDescent="0.35">
      <c r="E3643" s="9">
        <v>43455</v>
      </c>
      <c r="F3643">
        <v>256.5</v>
      </c>
      <c r="G3643" t="s">
        <v>5877</v>
      </c>
    </row>
    <row r="3644" spans="5:7" x14ac:dyDescent="0.35">
      <c r="E3644" s="9">
        <v>43456</v>
      </c>
      <c r="F3644">
        <v>246</v>
      </c>
      <c r="G3644" t="s">
        <v>5877</v>
      </c>
    </row>
    <row r="3645" spans="5:7" x14ac:dyDescent="0.35">
      <c r="E3645" s="9">
        <v>43457</v>
      </c>
      <c r="F3645">
        <v>240.2</v>
      </c>
      <c r="G3645" t="s">
        <v>5877</v>
      </c>
    </row>
    <row r="3646" spans="5:7" x14ac:dyDescent="0.35">
      <c r="E3646" s="9">
        <v>43458</v>
      </c>
      <c r="F3646">
        <v>233.5</v>
      </c>
      <c r="G3646" t="s">
        <v>5877</v>
      </c>
    </row>
    <row r="3647" spans="5:7" x14ac:dyDescent="0.35">
      <c r="E3647" s="9">
        <v>43459</v>
      </c>
      <c r="F3647">
        <v>224.5</v>
      </c>
      <c r="G3647" t="s">
        <v>5877</v>
      </c>
    </row>
    <row r="3648" spans="5:7" x14ac:dyDescent="0.35">
      <c r="E3648" s="9">
        <v>43460</v>
      </c>
      <c r="F3648">
        <v>222.2</v>
      </c>
      <c r="G3648" t="s">
        <v>5877</v>
      </c>
    </row>
    <row r="3649" spans="5:7" x14ac:dyDescent="0.35">
      <c r="E3649" s="9">
        <v>43461</v>
      </c>
      <c r="F3649">
        <v>228</v>
      </c>
      <c r="G3649" t="s">
        <v>5877</v>
      </c>
    </row>
    <row r="3650" spans="5:7" x14ac:dyDescent="0.35">
      <c r="E3650" s="9">
        <v>43462</v>
      </c>
      <c r="F3650">
        <v>235</v>
      </c>
      <c r="G3650" t="s">
        <v>5877</v>
      </c>
    </row>
    <row r="3651" spans="5:7" x14ac:dyDescent="0.35">
      <c r="E3651" s="9">
        <v>43463</v>
      </c>
      <c r="F3651">
        <v>236</v>
      </c>
      <c r="G3651" t="s">
        <v>5877</v>
      </c>
    </row>
    <row r="3652" spans="5:7" x14ac:dyDescent="0.35">
      <c r="E3652" s="9">
        <v>43464</v>
      </c>
      <c r="F3652">
        <v>230.5</v>
      </c>
      <c r="G3652" t="s">
        <v>5877</v>
      </c>
    </row>
    <row r="3653" spans="5:7" x14ac:dyDescent="0.35">
      <c r="E3653" s="9">
        <v>43465</v>
      </c>
      <c r="F3653">
        <v>236.7</v>
      </c>
      <c r="G3653" t="s">
        <v>5877</v>
      </c>
    </row>
    <row r="3654" spans="5:7" x14ac:dyDescent="0.35">
      <c r="E3654" s="9">
        <v>43466</v>
      </c>
      <c r="F3654">
        <v>259.2</v>
      </c>
      <c r="G3654" t="s">
        <v>5877</v>
      </c>
    </row>
    <row r="3655" spans="5:7" x14ac:dyDescent="0.35">
      <c r="E3655" s="9">
        <v>43467</v>
      </c>
      <c r="F3655">
        <v>275.2</v>
      </c>
      <c r="G3655" t="s">
        <v>5877</v>
      </c>
    </row>
    <row r="3656" spans="5:7" x14ac:dyDescent="0.35">
      <c r="E3656" s="9">
        <v>43468</v>
      </c>
      <c r="F3656">
        <v>276.7</v>
      </c>
      <c r="G3656" t="s">
        <v>5877</v>
      </c>
    </row>
    <row r="3657" spans="5:7" x14ac:dyDescent="0.35">
      <c r="E3657" s="9">
        <v>43469</v>
      </c>
      <c r="F3657">
        <v>261.10000000000002</v>
      </c>
      <c r="G3657" t="s">
        <v>5877</v>
      </c>
    </row>
    <row r="3658" spans="5:7" x14ac:dyDescent="0.35">
      <c r="E3658" s="9">
        <v>43470</v>
      </c>
      <c r="F3658">
        <v>241.4</v>
      </c>
      <c r="G3658" t="s">
        <v>5877</v>
      </c>
    </row>
    <row r="3659" spans="5:7" x14ac:dyDescent="0.35">
      <c r="E3659" s="9">
        <v>43471</v>
      </c>
      <c r="F3659">
        <v>220.7</v>
      </c>
      <c r="G3659" t="s">
        <v>5877</v>
      </c>
    </row>
    <row r="3660" spans="5:7" x14ac:dyDescent="0.35">
      <c r="E3660" s="9">
        <v>43472</v>
      </c>
      <c r="F3660">
        <v>204.5</v>
      </c>
      <c r="G3660" t="s">
        <v>5877</v>
      </c>
    </row>
    <row r="3661" spans="5:7" x14ac:dyDescent="0.35">
      <c r="E3661" s="9">
        <v>43473</v>
      </c>
      <c r="F3661">
        <v>192.5</v>
      </c>
      <c r="G3661" t="s">
        <v>5877</v>
      </c>
    </row>
    <row r="3662" spans="5:7" x14ac:dyDescent="0.35">
      <c r="E3662" s="9">
        <v>43474</v>
      </c>
      <c r="F3662">
        <v>185.1</v>
      </c>
      <c r="G3662" t="s">
        <v>5877</v>
      </c>
    </row>
    <row r="3663" spans="5:7" x14ac:dyDescent="0.35">
      <c r="E3663" s="9">
        <v>43475</v>
      </c>
      <c r="F3663">
        <v>181.8</v>
      </c>
      <c r="G3663" t="s">
        <v>5877</v>
      </c>
    </row>
    <row r="3664" spans="5:7" x14ac:dyDescent="0.35">
      <c r="E3664" s="9">
        <v>43476</v>
      </c>
      <c r="F3664">
        <v>179.9</v>
      </c>
      <c r="G3664" t="s">
        <v>5877</v>
      </c>
    </row>
    <row r="3665" spans="5:7" x14ac:dyDescent="0.35">
      <c r="E3665" s="9">
        <v>43477</v>
      </c>
      <c r="F3665">
        <v>179</v>
      </c>
      <c r="G3665" t="s">
        <v>5877</v>
      </c>
    </row>
    <row r="3666" spans="5:7" x14ac:dyDescent="0.35">
      <c r="E3666" s="9">
        <v>43478</v>
      </c>
      <c r="F3666">
        <v>183.3</v>
      </c>
      <c r="G3666" t="s">
        <v>5877</v>
      </c>
    </row>
    <row r="3667" spans="5:7" x14ac:dyDescent="0.35">
      <c r="E3667" s="9">
        <v>43479</v>
      </c>
      <c r="F3667">
        <v>191.2</v>
      </c>
      <c r="G3667" t="s">
        <v>5877</v>
      </c>
    </row>
    <row r="3668" spans="5:7" x14ac:dyDescent="0.35">
      <c r="E3668" s="9">
        <v>43480</v>
      </c>
      <c r="F3668">
        <v>201</v>
      </c>
      <c r="G3668" t="s">
        <v>5877</v>
      </c>
    </row>
    <row r="3669" spans="5:7" x14ac:dyDescent="0.35">
      <c r="E3669" s="9">
        <v>43481</v>
      </c>
      <c r="F3669">
        <v>207.3</v>
      </c>
      <c r="G3669" t="s">
        <v>5877</v>
      </c>
    </row>
    <row r="3670" spans="5:7" x14ac:dyDescent="0.35">
      <c r="E3670" s="9">
        <v>43482</v>
      </c>
      <c r="F3670">
        <v>209.7</v>
      </c>
      <c r="G3670" t="s">
        <v>5877</v>
      </c>
    </row>
    <row r="3671" spans="5:7" x14ac:dyDescent="0.35">
      <c r="E3671" s="9">
        <v>43483</v>
      </c>
      <c r="F3671">
        <v>207.2</v>
      </c>
      <c r="G3671" t="s">
        <v>5877</v>
      </c>
    </row>
    <row r="3672" spans="5:7" x14ac:dyDescent="0.35">
      <c r="E3672" s="9">
        <v>43484</v>
      </c>
      <c r="F3672">
        <v>198.6</v>
      </c>
      <c r="G3672" t="s">
        <v>5877</v>
      </c>
    </row>
    <row r="3673" spans="5:7" x14ac:dyDescent="0.35">
      <c r="E3673" s="9">
        <v>43485</v>
      </c>
      <c r="F3673">
        <v>193.5</v>
      </c>
      <c r="G3673" t="s">
        <v>5877</v>
      </c>
    </row>
    <row r="3674" spans="5:7" x14ac:dyDescent="0.35">
      <c r="E3674" s="9">
        <v>43486</v>
      </c>
      <c r="F3674">
        <v>191.2</v>
      </c>
      <c r="G3674" t="s">
        <v>5877</v>
      </c>
    </row>
    <row r="3675" spans="5:7" x14ac:dyDescent="0.35">
      <c r="E3675" s="9">
        <v>43487</v>
      </c>
      <c r="F3675">
        <v>187.1</v>
      </c>
      <c r="G3675" t="s">
        <v>5877</v>
      </c>
    </row>
    <row r="3676" spans="5:7" x14ac:dyDescent="0.35">
      <c r="E3676" s="9">
        <v>43488</v>
      </c>
      <c r="F3676">
        <v>189.4</v>
      </c>
      <c r="G3676" t="s">
        <v>5877</v>
      </c>
    </row>
    <row r="3677" spans="5:7" x14ac:dyDescent="0.35">
      <c r="E3677" s="9">
        <v>43489</v>
      </c>
      <c r="F3677">
        <v>197.4</v>
      </c>
      <c r="G3677" t="s">
        <v>5877</v>
      </c>
    </row>
    <row r="3678" spans="5:7" x14ac:dyDescent="0.35">
      <c r="E3678" s="9">
        <v>43490</v>
      </c>
      <c r="F3678">
        <v>201.3</v>
      </c>
      <c r="G3678" t="s">
        <v>5877</v>
      </c>
    </row>
    <row r="3679" spans="5:7" x14ac:dyDescent="0.35">
      <c r="E3679" s="9">
        <v>43491</v>
      </c>
      <c r="F3679">
        <v>197.6</v>
      </c>
      <c r="G3679" t="s">
        <v>5877</v>
      </c>
    </row>
    <row r="3680" spans="5:7" x14ac:dyDescent="0.35">
      <c r="E3680" s="9">
        <v>43492</v>
      </c>
      <c r="F3680">
        <v>194.3</v>
      </c>
      <c r="G3680" t="s">
        <v>5877</v>
      </c>
    </row>
    <row r="3681" spans="5:7" x14ac:dyDescent="0.35">
      <c r="E3681" s="9">
        <v>43493</v>
      </c>
      <c r="F3681">
        <v>197.6</v>
      </c>
      <c r="G3681" t="s">
        <v>5877</v>
      </c>
    </row>
    <row r="3682" spans="5:7" x14ac:dyDescent="0.35">
      <c r="E3682" s="9">
        <v>43494</v>
      </c>
      <c r="F3682">
        <v>210.8</v>
      </c>
      <c r="G3682" t="s">
        <v>5877</v>
      </c>
    </row>
    <row r="3683" spans="5:7" x14ac:dyDescent="0.35">
      <c r="E3683" s="9">
        <v>43495</v>
      </c>
      <c r="F3683">
        <v>226.6</v>
      </c>
      <c r="G3683" t="s">
        <v>5877</v>
      </c>
    </row>
    <row r="3684" spans="5:7" x14ac:dyDescent="0.35">
      <c r="E3684" s="9">
        <v>43496</v>
      </c>
      <c r="F3684">
        <v>238.9</v>
      </c>
      <c r="G3684" t="s">
        <v>5877</v>
      </c>
    </row>
    <row r="3685" spans="5:7" x14ac:dyDescent="0.35">
      <c r="E3685" s="9">
        <v>43497</v>
      </c>
      <c r="F3685">
        <v>242.7</v>
      </c>
      <c r="G3685" t="s">
        <v>5877</v>
      </c>
    </row>
    <row r="3686" spans="5:7" x14ac:dyDescent="0.35">
      <c r="E3686" s="9">
        <v>43498</v>
      </c>
      <c r="F3686">
        <v>226.3</v>
      </c>
      <c r="G3686" t="s">
        <v>5877</v>
      </c>
    </row>
    <row r="3687" spans="5:7" x14ac:dyDescent="0.35">
      <c r="E3687" s="9">
        <v>43499</v>
      </c>
      <c r="F3687">
        <v>221.3</v>
      </c>
      <c r="G3687" t="s">
        <v>5877</v>
      </c>
    </row>
    <row r="3688" spans="5:7" x14ac:dyDescent="0.35">
      <c r="E3688" s="9">
        <v>43500</v>
      </c>
      <c r="F3688">
        <v>210.2</v>
      </c>
      <c r="G3688" t="s">
        <v>5877</v>
      </c>
    </row>
    <row r="3689" spans="5:7" x14ac:dyDescent="0.35">
      <c r="E3689" s="9">
        <v>43501</v>
      </c>
      <c r="F3689">
        <v>201.1</v>
      </c>
      <c r="G3689" t="s">
        <v>5877</v>
      </c>
    </row>
    <row r="3690" spans="5:7" x14ac:dyDescent="0.35">
      <c r="E3690" s="9">
        <v>43502</v>
      </c>
      <c r="F3690">
        <v>197.7</v>
      </c>
      <c r="G3690" t="s">
        <v>5877</v>
      </c>
    </row>
    <row r="3691" spans="5:7" x14ac:dyDescent="0.35">
      <c r="E3691" s="9">
        <v>43503</v>
      </c>
      <c r="F3691">
        <v>194.8</v>
      </c>
      <c r="G3691" t="s">
        <v>5877</v>
      </c>
    </row>
    <row r="3692" spans="5:7" x14ac:dyDescent="0.35">
      <c r="E3692" s="9">
        <v>43504</v>
      </c>
      <c r="F3692">
        <v>185.5</v>
      </c>
      <c r="G3692" t="s">
        <v>5877</v>
      </c>
    </row>
    <row r="3693" spans="5:7" x14ac:dyDescent="0.35">
      <c r="E3693" s="9">
        <v>43505</v>
      </c>
      <c r="F3693">
        <v>179.3</v>
      </c>
      <c r="G3693" t="s">
        <v>5877</v>
      </c>
    </row>
    <row r="3694" spans="5:7" x14ac:dyDescent="0.35">
      <c r="E3694" s="9">
        <v>43506</v>
      </c>
      <c r="F3694">
        <v>183.8</v>
      </c>
      <c r="G3694" t="s">
        <v>5877</v>
      </c>
    </row>
    <row r="3695" spans="5:7" x14ac:dyDescent="0.35">
      <c r="E3695" s="9">
        <v>43507</v>
      </c>
      <c r="F3695">
        <v>194.6</v>
      </c>
      <c r="G3695" t="s">
        <v>5877</v>
      </c>
    </row>
    <row r="3696" spans="5:7" x14ac:dyDescent="0.35">
      <c r="E3696" s="9">
        <v>43508</v>
      </c>
      <c r="F3696">
        <v>199.3</v>
      </c>
      <c r="G3696" t="s">
        <v>5877</v>
      </c>
    </row>
    <row r="3697" spans="5:7" x14ac:dyDescent="0.35">
      <c r="E3697" s="9">
        <v>43509</v>
      </c>
      <c r="F3697">
        <v>196.4</v>
      </c>
      <c r="G3697" t="s">
        <v>5877</v>
      </c>
    </row>
    <row r="3698" spans="5:7" x14ac:dyDescent="0.35">
      <c r="E3698" s="9">
        <v>43510</v>
      </c>
      <c r="F3698">
        <v>195.7</v>
      </c>
      <c r="G3698" t="s">
        <v>5877</v>
      </c>
    </row>
    <row r="3699" spans="5:7" x14ac:dyDescent="0.35">
      <c r="E3699" s="9">
        <v>43511</v>
      </c>
      <c r="F3699">
        <v>199.5</v>
      </c>
      <c r="G3699" t="s">
        <v>5877</v>
      </c>
    </row>
    <row r="3700" spans="5:7" x14ac:dyDescent="0.35">
      <c r="E3700" s="9">
        <v>43512</v>
      </c>
      <c r="F3700">
        <v>198.4</v>
      </c>
      <c r="G3700" t="s">
        <v>5877</v>
      </c>
    </row>
    <row r="3701" spans="5:7" x14ac:dyDescent="0.35">
      <c r="E3701" s="9">
        <v>43513</v>
      </c>
      <c r="F3701">
        <v>199.7</v>
      </c>
      <c r="G3701" t="s">
        <v>5877</v>
      </c>
    </row>
    <row r="3702" spans="5:7" x14ac:dyDescent="0.35">
      <c r="E3702" s="9">
        <v>43514</v>
      </c>
      <c r="F3702">
        <v>207.3</v>
      </c>
      <c r="G3702" t="s">
        <v>5877</v>
      </c>
    </row>
    <row r="3703" spans="5:7" x14ac:dyDescent="0.35">
      <c r="E3703" s="9">
        <v>43515</v>
      </c>
      <c r="F3703">
        <v>215.2</v>
      </c>
      <c r="G3703" t="s">
        <v>5877</v>
      </c>
    </row>
    <row r="3704" spans="5:7" x14ac:dyDescent="0.35">
      <c r="E3704" s="9">
        <v>43516</v>
      </c>
      <c r="F3704">
        <v>217.3</v>
      </c>
      <c r="G3704" t="s">
        <v>5877</v>
      </c>
    </row>
    <row r="3705" spans="5:7" x14ac:dyDescent="0.35">
      <c r="E3705" s="9">
        <v>43517</v>
      </c>
      <c r="F3705">
        <v>212.3</v>
      </c>
      <c r="G3705" t="s">
        <v>5877</v>
      </c>
    </row>
    <row r="3706" spans="5:7" x14ac:dyDescent="0.35">
      <c r="E3706" s="9">
        <v>43518</v>
      </c>
      <c r="F3706">
        <v>214.4</v>
      </c>
      <c r="G3706" t="s">
        <v>5877</v>
      </c>
    </row>
    <row r="3707" spans="5:7" x14ac:dyDescent="0.35">
      <c r="E3707" s="9">
        <v>43519</v>
      </c>
      <c r="F3707">
        <v>231.9</v>
      </c>
      <c r="G3707" t="s">
        <v>5877</v>
      </c>
    </row>
    <row r="3708" spans="5:7" x14ac:dyDescent="0.35">
      <c r="E3708" s="9">
        <v>43520</v>
      </c>
      <c r="F3708">
        <v>247.8</v>
      </c>
      <c r="G3708" t="s">
        <v>5877</v>
      </c>
    </row>
    <row r="3709" spans="5:7" x14ac:dyDescent="0.35">
      <c r="E3709" s="9">
        <v>43521</v>
      </c>
      <c r="F3709">
        <v>241.9</v>
      </c>
      <c r="G3709" t="s">
        <v>5877</v>
      </c>
    </row>
    <row r="3710" spans="5:7" x14ac:dyDescent="0.35">
      <c r="E3710" s="9">
        <v>43522</v>
      </c>
      <c r="F3710">
        <v>219.4</v>
      </c>
      <c r="G3710" t="s">
        <v>5877</v>
      </c>
    </row>
    <row r="3711" spans="5:7" x14ac:dyDescent="0.35">
      <c r="E3711" s="9">
        <v>43523</v>
      </c>
      <c r="F3711">
        <v>195.2</v>
      </c>
      <c r="G3711" t="s">
        <v>5877</v>
      </c>
    </row>
    <row r="3712" spans="5:7" x14ac:dyDescent="0.35">
      <c r="E3712" s="9">
        <v>43524</v>
      </c>
      <c r="F3712">
        <v>181.7</v>
      </c>
      <c r="G3712" t="s">
        <v>5877</v>
      </c>
    </row>
    <row r="3713" spans="5:7" x14ac:dyDescent="0.35">
      <c r="E3713" s="9">
        <v>43525</v>
      </c>
      <c r="F3713">
        <v>180.9</v>
      </c>
      <c r="G3713" t="s">
        <v>5877</v>
      </c>
    </row>
    <row r="3714" spans="5:7" x14ac:dyDescent="0.35">
      <c r="E3714" s="9">
        <v>43526</v>
      </c>
      <c r="F3714">
        <v>190.9</v>
      </c>
      <c r="G3714" t="s">
        <v>5877</v>
      </c>
    </row>
    <row r="3715" spans="5:7" x14ac:dyDescent="0.35">
      <c r="E3715" s="9">
        <v>43527</v>
      </c>
      <c r="F3715">
        <v>195.7</v>
      </c>
      <c r="G3715" t="s">
        <v>5877</v>
      </c>
    </row>
    <row r="3716" spans="5:7" x14ac:dyDescent="0.35">
      <c r="E3716" s="9">
        <v>43528</v>
      </c>
      <c r="F3716">
        <v>203.4</v>
      </c>
      <c r="G3716" t="s">
        <v>5877</v>
      </c>
    </row>
    <row r="3717" spans="5:7" x14ac:dyDescent="0.35">
      <c r="E3717" s="9">
        <v>43529</v>
      </c>
      <c r="F3717">
        <v>219</v>
      </c>
      <c r="G3717" t="s">
        <v>5877</v>
      </c>
    </row>
    <row r="3718" spans="5:7" x14ac:dyDescent="0.35">
      <c r="E3718" s="9">
        <v>43530</v>
      </c>
      <c r="F3718">
        <v>233.2</v>
      </c>
      <c r="G3718" t="s">
        <v>5877</v>
      </c>
    </row>
    <row r="3719" spans="5:7" x14ac:dyDescent="0.35">
      <c r="E3719" s="9">
        <v>43531</v>
      </c>
      <c r="F3719">
        <v>242.9</v>
      </c>
      <c r="G3719" t="s">
        <v>5877</v>
      </c>
    </row>
    <row r="3720" spans="5:7" x14ac:dyDescent="0.35">
      <c r="E3720" s="9">
        <v>43532</v>
      </c>
      <c r="F3720">
        <v>244</v>
      </c>
      <c r="G3720" t="s">
        <v>5877</v>
      </c>
    </row>
    <row r="3721" spans="5:7" x14ac:dyDescent="0.35">
      <c r="E3721" s="9">
        <v>43533</v>
      </c>
      <c r="F3721">
        <v>244.4</v>
      </c>
      <c r="G3721" t="s">
        <v>5877</v>
      </c>
    </row>
    <row r="3722" spans="5:7" x14ac:dyDescent="0.35">
      <c r="E3722" s="9">
        <v>43534</v>
      </c>
      <c r="F3722">
        <v>240.7</v>
      </c>
      <c r="G3722" t="s">
        <v>5877</v>
      </c>
    </row>
    <row r="3723" spans="5:7" x14ac:dyDescent="0.35">
      <c r="E3723" s="9">
        <v>43535</v>
      </c>
      <c r="F3723">
        <v>234.3</v>
      </c>
      <c r="G3723" t="s">
        <v>5877</v>
      </c>
    </row>
    <row r="3724" spans="5:7" x14ac:dyDescent="0.35">
      <c r="E3724" s="9">
        <v>43536</v>
      </c>
      <c r="F3724">
        <v>233.7</v>
      </c>
      <c r="G3724" t="s">
        <v>5877</v>
      </c>
    </row>
    <row r="3725" spans="5:7" x14ac:dyDescent="0.35">
      <c r="E3725" s="9">
        <v>43537</v>
      </c>
      <c r="F3725">
        <v>232.9</v>
      </c>
      <c r="G3725" t="s">
        <v>5877</v>
      </c>
    </row>
    <row r="3726" spans="5:7" x14ac:dyDescent="0.35">
      <c r="E3726" s="9">
        <v>43538</v>
      </c>
      <c r="F3726">
        <v>229.1</v>
      </c>
      <c r="G3726" t="s">
        <v>5877</v>
      </c>
    </row>
    <row r="3727" spans="5:7" x14ac:dyDescent="0.35">
      <c r="E3727" s="9">
        <v>43539</v>
      </c>
      <c r="F3727">
        <v>224.7</v>
      </c>
      <c r="G3727" t="s">
        <v>5877</v>
      </c>
    </row>
    <row r="3728" spans="5:7" x14ac:dyDescent="0.35">
      <c r="E3728" s="9">
        <v>43540</v>
      </c>
      <c r="F3728">
        <v>214.8</v>
      </c>
      <c r="G3728" t="s">
        <v>5877</v>
      </c>
    </row>
    <row r="3729" spans="5:7" x14ac:dyDescent="0.35">
      <c r="E3729" s="9">
        <v>43541</v>
      </c>
      <c r="F3729">
        <v>207.5</v>
      </c>
      <c r="G3729" t="s">
        <v>5877</v>
      </c>
    </row>
    <row r="3730" spans="5:7" x14ac:dyDescent="0.35">
      <c r="E3730" s="9">
        <v>43542</v>
      </c>
      <c r="F3730">
        <v>207.2</v>
      </c>
      <c r="G3730" t="s">
        <v>5877</v>
      </c>
    </row>
    <row r="3731" spans="5:7" x14ac:dyDescent="0.35">
      <c r="E3731" s="9">
        <v>43543</v>
      </c>
      <c r="F3731">
        <v>212.4</v>
      </c>
      <c r="G3731" t="s">
        <v>5877</v>
      </c>
    </row>
    <row r="3732" spans="5:7" x14ac:dyDescent="0.35">
      <c r="E3732" s="9">
        <v>43544</v>
      </c>
      <c r="F3732">
        <v>225.3</v>
      </c>
      <c r="G3732" t="s">
        <v>5877</v>
      </c>
    </row>
    <row r="3733" spans="5:7" x14ac:dyDescent="0.35">
      <c r="E3733" s="9">
        <v>43545</v>
      </c>
      <c r="F3733">
        <v>238.6</v>
      </c>
      <c r="G3733" t="s">
        <v>5877</v>
      </c>
    </row>
    <row r="3734" spans="5:7" x14ac:dyDescent="0.35">
      <c r="E3734" s="9">
        <v>43546</v>
      </c>
      <c r="F3734">
        <v>239.2</v>
      </c>
      <c r="G3734" t="s">
        <v>5877</v>
      </c>
    </row>
    <row r="3735" spans="5:7" x14ac:dyDescent="0.35">
      <c r="E3735" s="9">
        <v>43547</v>
      </c>
      <c r="F3735">
        <v>231.9</v>
      </c>
      <c r="G3735" t="s">
        <v>5877</v>
      </c>
    </row>
    <row r="3736" spans="5:7" x14ac:dyDescent="0.35">
      <c r="E3736" s="9">
        <v>43548</v>
      </c>
      <c r="F3736">
        <v>229.1</v>
      </c>
      <c r="G3736" t="s">
        <v>5877</v>
      </c>
    </row>
    <row r="3737" spans="5:7" x14ac:dyDescent="0.35">
      <c r="E3737" s="9">
        <v>43549</v>
      </c>
      <c r="F3737">
        <v>232.9</v>
      </c>
      <c r="G3737" t="s">
        <v>5877</v>
      </c>
    </row>
    <row r="3738" spans="5:7" x14ac:dyDescent="0.35">
      <c r="E3738" s="9">
        <v>43550</v>
      </c>
      <c r="F3738">
        <v>238.4</v>
      </c>
      <c r="G3738" t="s">
        <v>5877</v>
      </c>
    </row>
    <row r="3739" spans="5:7" x14ac:dyDescent="0.35">
      <c r="E3739" s="9">
        <v>43551</v>
      </c>
      <c r="F3739">
        <v>248.5</v>
      </c>
      <c r="G3739" t="s">
        <v>5877</v>
      </c>
    </row>
    <row r="3740" spans="5:7" x14ac:dyDescent="0.35">
      <c r="E3740" s="9">
        <v>43552</v>
      </c>
      <c r="F3740">
        <v>261.3</v>
      </c>
      <c r="G3740" t="s">
        <v>5877</v>
      </c>
    </row>
    <row r="3741" spans="5:7" x14ac:dyDescent="0.35">
      <c r="E3741" s="9">
        <v>43553</v>
      </c>
      <c r="F3741">
        <v>265.8</v>
      </c>
      <c r="G3741" t="s">
        <v>5877</v>
      </c>
    </row>
    <row r="3742" spans="5:7" x14ac:dyDescent="0.35">
      <c r="E3742" s="9">
        <v>43554</v>
      </c>
      <c r="F3742">
        <v>263.8</v>
      </c>
      <c r="G3742" t="s">
        <v>5877</v>
      </c>
    </row>
    <row r="3743" spans="5:7" x14ac:dyDescent="0.35">
      <c r="E3743" s="9">
        <v>43555</v>
      </c>
      <c r="F3743">
        <v>257.10000000000002</v>
      </c>
      <c r="G3743" t="s">
        <v>5877</v>
      </c>
    </row>
    <row r="3744" spans="5:7" x14ac:dyDescent="0.35">
      <c r="E3744" s="9">
        <v>43556</v>
      </c>
      <c r="F3744">
        <v>247.3</v>
      </c>
      <c r="G3744" t="s">
        <v>5877</v>
      </c>
    </row>
    <row r="3745" spans="5:7" x14ac:dyDescent="0.35">
      <c r="E3745" s="9">
        <v>43557</v>
      </c>
      <c r="F3745">
        <v>238.4</v>
      </c>
      <c r="G3745" t="s">
        <v>5877</v>
      </c>
    </row>
    <row r="3746" spans="5:7" x14ac:dyDescent="0.35">
      <c r="E3746" s="9">
        <v>43558</v>
      </c>
      <c r="F3746">
        <v>219.1</v>
      </c>
      <c r="G3746" t="s">
        <v>5877</v>
      </c>
    </row>
    <row r="3747" spans="5:7" x14ac:dyDescent="0.35">
      <c r="E3747" s="9">
        <v>43559</v>
      </c>
      <c r="F3747">
        <v>202.4</v>
      </c>
      <c r="G3747" t="s">
        <v>5877</v>
      </c>
    </row>
    <row r="3748" spans="5:7" x14ac:dyDescent="0.35">
      <c r="E3748" s="9">
        <v>43560</v>
      </c>
      <c r="F3748">
        <v>196.1</v>
      </c>
      <c r="G3748" t="s">
        <v>5877</v>
      </c>
    </row>
    <row r="3749" spans="5:7" x14ac:dyDescent="0.35">
      <c r="E3749" s="9">
        <v>43561</v>
      </c>
      <c r="F3749">
        <v>199.1</v>
      </c>
      <c r="G3749" t="s">
        <v>5877</v>
      </c>
    </row>
    <row r="3750" spans="5:7" x14ac:dyDescent="0.35">
      <c r="E3750" s="9">
        <v>43562</v>
      </c>
      <c r="F3750">
        <v>209.5</v>
      </c>
      <c r="G3750" t="s">
        <v>5877</v>
      </c>
    </row>
    <row r="3751" spans="5:7" x14ac:dyDescent="0.35">
      <c r="E3751" s="9">
        <v>43563</v>
      </c>
      <c r="F3751">
        <v>221.1</v>
      </c>
      <c r="G3751" t="s">
        <v>5877</v>
      </c>
    </row>
    <row r="3752" spans="5:7" x14ac:dyDescent="0.35">
      <c r="E3752" s="9">
        <v>43564</v>
      </c>
      <c r="F3752">
        <v>231.4</v>
      </c>
      <c r="G3752" t="s">
        <v>5877</v>
      </c>
    </row>
    <row r="3753" spans="5:7" x14ac:dyDescent="0.35">
      <c r="E3753" s="9">
        <v>43565</v>
      </c>
      <c r="F3753">
        <v>233.5</v>
      </c>
      <c r="G3753" t="s">
        <v>5877</v>
      </c>
    </row>
    <row r="3754" spans="5:7" x14ac:dyDescent="0.35">
      <c r="E3754" s="9">
        <v>43566</v>
      </c>
      <c r="F3754">
        <v>229.4</v>
      </c>
      <c r="G3754" t="s">
        <v>5877</v>
      </c>
    </row>
    <row r="3755" spans="5:7" x14ac:dyDescent="0.35">
      <c r="E3755" s="9">
        <v>43567</v>
      </c>
      <c r="F3755">
        <v>225.1</v>
      </c>
      <c r="G3755" t="s">
        <v>5877</v>
      </c>
    </row>
    <row r="3756" spans="5:7" x14ac:dyDescent="0.35">
      <c r="E3756" s="9">
        <v>43568</v>
      </c>
      <c r="F3756">
        <v>214.3</v>
      </c>
      <c r="G3756" t="s">
        <v>5877</v>
      </c>
    </row>
    <row r="3757" spans="5:7" x14ac:dyDescent="0.35">
      <c r="E3757" s="9">
        <v>43569</v>
      </c>
      <c r="F3757">
        <v>211.4</v>
      </c>
      <c r="G3757" t="s">
        <v>5877</v>
      </c>
    </row>
    <row r="3758" spans="5:7" x14ac:dyDescent="0.35">
      <c r="E3758" s="9">
        <v>43570</v>
      </c>
      <c r="F3758">
        <v>214.9</v>
      </c>
      <c r="G3758" t="s">
        <v>5877</v>
      </c>
    </row>
    <row r="3759" spans="5:7" x14ac:dyDescent="0.35">
      <c r="E3759" s="9">
        <v>43571</v>
      </c>
      <c r="F3759">
        <v>219.6</v>
      </c>
      <c r="G3759" t="s">
        <v>5877</v>
      </c>
    </row>
    <row r="3760" spans="5:7" x14ac:dyDescent="0.35">
      <c r="E3760" s="9">
        <v>43572</v>
      </c>
      <c r="F3760">
        <v>215.2</v>
      </c>
      <c r="G3760" t="s">
        <v>5877</v>
      </c>
    </row>
    <row r="3761" spans="5:7" x14ac:dyDescent="0.35">
      <c r="E3761" s="9">
        <v>43573</v>
      </c>
      <c r="F3761">
        <v>207.4</v>
      </c>
      <c r="G3761" t="s">
        <v>5877</v>
      </c>
    </row>
    <row r="3762" spans="5:7" x14ac:dyDescent="0.35">
      <c r="E3762" s="9">
        <v>43574</v>
      </c>
      <c r="F3762">
        <v>199</v>
      </c>
      <c r="G3762" t="s">
        <v>5877</v>
      </c>
    </row>
    <row r="3763" spans="5:7" x14ac:dyDescent="0.35">
      <c r="E3763" s="9">
        <v>43575</v>
      </c>
      <c r="F3763">
        <v>184.7</v>
      </c>
      <c r="G3763" t="s">
        <v>5877</v>
      </c>
    </row>
    <row r="3764" spans="5:7" x14ac:dyDescent="0.35">
      <c r="E3764" s="9">
        <v>43576</v>
      </c>
      <c r="F3764">
        <v>174.8</v>
      </c>
      <c r="G3764" t="s">
        <v>5877</v>
      </c>
    </row>
    <row r="3765" spans="5:7" x14ac:dyDescent="0.35">
      <c r="E3765" s="9">
        <v>43577</v>
      </c>
      <c r="F3765">
        <v>175.8</v>
      </c>
      <c r="G3765" t="s">
        <v>5877</v>
      </c>
    </row>
    <row r="3766" spans="5:7" x14ac:dyDescent="0.35">
      <c r="E3766" s="9">
        <v>43578</v>
      </c>
      <c r="F3766">
        <v>190.5</v>
      </c>
      <c r="G3766" t="s">
        <v>5877</v>
      </c>
    </row>
    <row r="3767" spans="5:7" x14ac:dyDescent="0.35">
      <c r="E3767" s="9">
        <v>43579</v>
      </c>
      <c r="F3767">
        <v>208</v>
      </c>
      <c r="G3767" t="s">
        <v>5877</v>
      </c>
    </row>
    <row r="3768" spans="5:7" x14ac:dyDescent="0.35">
      <c r="E3768" s="9">
        <v>43580</v>
      </c>
      <c r="F3768">
        <v>219.8</v>
      </c>
      <c r="G3768" t="s">
        <v>5877</v>
      </c>
    </row>
    <row r="3769" spans="5:7" x14ac:dyDescent="0.35">
      <c r="E3769" s="9">
        <v>43581</v>
      </c>
      <c r="F3769">
        <v>224.8</v>
      </c>
      <c r="G3769" t="s">
        <v>5877</v>
      </c>
    </row>
    <row r="3770" spans="5:7" x14ac:dyDescent="0.35">
      <c r="E3770" s="9">
        <v>43582</v>
      </c>
      <c r="F3770">
        <v>224.9</v>
      </c>
      <c r="G3770" t="s">
        <v>5877</v>
      </c>
    </row>
    <row r="3771" spans="5:7" x14ac:dyDescent="0.35">
      <c r="E3771" s="9">
        <v>43583</v>
      </c>
      <c r="F3771">
        <v>215.8</v>
      </c>
      <c r="G3771" t="s">
        <v>5877</v>
      </c>
    </row>
    <row r="3772" spans="5:7" x14ac:dyDescent="0.35">
      <c r="E3772" s="9">
        <v>43584</v>
      </c>
      <c r="F3772">
        <v>200.4</v>
      </c>
      <c r="G3772" t="s">
        <v>5877</v>
      </c>
    </row>
    <row r="3773" spans="5:7" x14ac:dyDescent="0.35">
      <c r="E3773" s="9">
        <v>43585</v>
      </c>
      <c r="F3773">
        <v>186.3</v>
      </c>
      <c r="G3773" t="s">
        <v>5877</v>
      </c>
    </row>
    <row r="3774" spans="5:7" x14ac:dyDescent="0.35">
      <c r="E3774" s="9">
        <v>43586</v>
      </c>
      <c r="F3774">
        <v>184.4</v>
      </c>
      <c r="G3774" t="s">
        <v>5877</v>
      </c>
    </row>
    <row r="3775" spans="5:7" x14ac:dyDescent="0.35">
      <c r="E3775" s="9">
        <v>43587</v>
      </c>
      <c r="F3775">
        <v>195.2</v>
      </c>
      <c r="G3775" t="s">
        <v>5877</v>
      </c>
    </row>
    <row r="3776" spans="5:7" x14ac:dyDescent="0.35">
      <c r="E3776" s="9">
        <v>43588</v>
      </c>
      <c r="F3776">
        <v>199.9</v>
      </c>
      <c r="G3776" t="s">
        <v>5877</v>
      </c>
    </row>
    <row r="3777" spans="5:7" x14ac:dyDescent="0.35">
      <c r="E3777" s="9">
        <v>43589</v>
      </c>
      <c r="F3777">
        <v>192.5</v>
      </c>
      <c r="G3777" t="s">
        <v>5877</v>
      </c>
    </row>
    <row r="3778" spans="5:7" x14ac:dyDescent="0.35">
      <c r="E3778" s="9">
        <v>43590</v>
      </c>
      <c r="F3778">
        <v>177</v>
      </c>
      <c r="G3778" t="s">
        <v>5877</v>
      </c>
    </row>
    <row r="3779" spans="5:7" x14ac:dyDescent="0.35">
      <c r="E3779" s="9">
        <v>43591</v>
      </c>
      <c r="F3779">
        <v>161.1</v>
      </c>
      <c r="G3779" t="s">
        <v>5877</v>
      </c>
    </row>
    <row r="3780" spans="5:7" x14ac:dyDescent="0.35">
      <c r="E3780" s="9">
        <v>43592</v>
      </c>
      <c r="F3780">
        <v>153.69999999999999</v>
      </c>
      <c r="G3780" t="s">
        <v>5877</v>
      </c>
    </row>
    <row r="3781" spans="5:7" x14ac:dyDescent="0.35">
      <c r="E3781" s="9">
        <v>43593</v>
      </c>
      <c r="F3781">
        <v>156</v>
      </c>
      <c r="G3781" t="s">
        <v>5877</v>
      </c>
    </row>
    <row r="3782" spans="5:7" x14ac:dyDescent="0.35">
      <c r="E3782" s="9">
        <v>43594</v>
      </c>
      <c r="F3782">
        <v>161.4</v>
      </c>
      <c r="G3782" t="s">
        <v>5877</v>
      </c>
    </row>
    <row r="3783" spans="5:7" x14ac:dyDescent="0.35">
      <c r="E3783" s="9">
        <v>43595</v>
      </c>
      <c r="F3783">
        <v>161.4</v>
      </c>
      <c r="G3783" t="s">
        <v>5877</v>
      </c>
    </row>
    <row r="3784" spans="5:7" x14ac:dyDescent="0.35">
      <c r="E3784" s="9">
        <v>43596</v>
      </c>
      <c r="F3784">
        <v>160.4</v>
      </c>
      <c r="G3784" t="s">
        <v>5877</v>
      </c>
    </row>
    <row r="3785" spans="5:7" x14ac:dyDescent="0.35">
      <c r="E3785" s="9">
        <v>43597</v>
      </c>
      <c r="F3785">
        <v>167</v>
      </c>
      <c r="G3785" t="s">
        <v>5877</v>
      </c>
    </row>
    <row r="3786" spans="5:7" x14ac:dyDescent="0.35">
      <c r="E3786" s="9">
        <v>43598</v>
      </c>
      <c r="F3786">
        <v>181.8</v>
      </c>
      <c r="G3786" t="s">
        <v>5877</v>
      </c>
    </row>
    <row r="3787" spans="5:7" x14ac:dyDescent="0.35">
      <c r="E3787" s="9">
        <v>43599</v>
      </c>
      <c r="F3787">
        <v>197.3</v>
      </c>
      <c r="G3787" t="s">
        <v>5877</v>
      </c>
    </row>
    <row r="3788" spans="5:7" x14ac:dyDescent="0.35">
      <c r="E3788" s="9">
        <v>43600</v>
      </c>
      <c r="F3788">
        <v>210.8</v>
      </c>
      <c r="G3788" t="s">
        <v>5877</v>
      </c>
    </row>
    <row r="3789" spans="5:7" x14ac:dyDescent="0.35">
      <c r="E3789" s="9">
        <v>43601</v>
      </c>
      <c r="F3789">
        <v>222.3</v>
      </c>
      <c r="G3789" t="s">
        <v>5877</v>
      </c>
    </row>
    <row r="3790" spans="5:7" x14ac:dyDescent="0.35">
      <c r="E3790" s="9">
        <v>43602</v>
      </c>
      <c r="F3790">
        <v>226.4</v>
      </c>
      <c r="G3790" t="s">
        <v>5877</v>
      </c>
    </row>
    <row r="3791" spans="5:7" x14ac:dyDescent="0.35">
      <c r="E3791" s="9">
        <v>43603</v>
      </c>
      <c r="F3791">
        <v>224.3</v>
      </c>
      <c r="G3791" t="s">
        <v>5877</v>
      </c>
    </row>
    <row r="3792" spans="5:7" x14ac:dyDescent="0.35">
      <c r="E3792" s="9">
        <v>43604</v>
      </c>
      <c r="F3792">
        <v>222.4</v>
      </c>
      <c r="G3792" t="s">
        <v>5877</v>
      </c>
    </row>
    <row r="3793" spans="5:7" x14ac:dyDescent="0.35">
      <c r="E3793" s="9">
        <v>43605</v>
      </c>
      <c r="F3793">
        <v>217.8</v>
      </c>
      <c r="G3793" t="s">
        <v>5877</v>
      </c>
    </row>
    <row r="3794" spans="5:7" x14ac:dyDescent="0.35">
      <c r="E3794" s="9">
        <v>43606</v>
      </c>
      <c r="F3794">
        <v>211.2</v>
      </c>
      <c r="G3794" t="s">
        <v>5877</v>
      </c>
    </row>
    <row r="3795" spans="5:7" x14ac:dyDescent="0.35">
      <c r="E3795" s="9">
        <v>43607</v>
      </c>
      <c r="F3795">
        <v>208.4</v>
      </c>
      <c r="G3795" t="s">
        <v>5877</v>
      </c>
    </row>
    <row r="3796" spans="5:7" x14ac:dyDescent="0.35">
      <c r="E3796" s="9">
        <v>43608</v>
      </c>
      <c r="F3796">
        <v>213</v>
      </c>
      <c r="G3796" t="s">
        <v>5877</v>
      </c>
    </row>
    <row r="3797" spans="5:7" x14ac:dyDescent="0.35">
      <c r="E3797" s="9">
        <v>43609</v>
      </c>
      <c r="F3797">
        <v>220.6</v>
      </c>
      <c r="G3797" t="s">
        <v>5877</v>
      </c>
    </row>
    <row r="3798" spans="5:7" x14ac:dyDescent="0.35">
      <c r="E3798" s="9">
        <v>43610</v>
      </c>
      <c r="F3798">
        <v>215.1</v>
      </c>
      <c r="G3798" t="s">
        <v>5877</v>
      </c>
    </row>
    <row r="3799" spans="5:7" x14ac:dyDescent="0.35">
      <c r="E3799" s="9">
        <v>43611</v>
      </c>
      <c r="F3799">
        <v>198.8</v>
      </c>
      <c r="G3799" t="s">
        <v>5877</v>
      </c>
    </row>
    <row r="3800" spans="5:7" x14ac:dyDescent="0.35">
      <c r="E3800" s="9">
        <v>43612</v>
      </c>
      <c r="F3800">
        <v>178.8</v>
      </c>
      <c r="G3800" t="s">
        <v>5877</v>
      </c>
    </row>
    <row r="3801" spans="5:7" x14ac:dyDescent="0.35">
      <c r="E3801" s="9">
        <v>43613</v>
      </c>
      <c r="F3801">
        <v>165.9</v>
      </c>
      <c r="G3801" t="s">
        <v>5877</v>
      </c>
    </row>
    <row r="3802" spans="5:7" x14ac:dyDescent="0.35">
      <c r="E3802" s="9">
        <v>43614</v>
      </c>
      <c r="F3802">
        <v>167.3</v>
      </c>
      <c r="G3802" t="s">
        <v>5877</v>
      </c>
    </row>
    <row r="3803" spans="5:7" x14ac:dyDescent="0.35">
      <c r="E3803" s="9">
        <v>43615</v>
      </c>
      <c r="F3803">
        <v>178.4</v>
      </c>
      <c r="G3803" t="s">
        <v>5877</v>
      </c>
    </row>
    <row r="3804" spans="5:7" x14ac:dyDescent="0.35">
      <c r="E3804" s="9">
        <v>43616</v>
      </c>
      <c r="F3804">
        <v>186.9</v>
      </c>
      <c r="G3804" t="s">
        <v>5877</v>
      </c>
    </row>
    <row r="3805" spans="5:7" x14ac:dyDescent="0.35">
      <c r="E3805" s="9">
        <v>43617</v>
      </c>
      <c r="F3805">
        <v>187.7</v>
      </c>
      <c r="G3805" t="s">
        <v>5877</v>
      </c>
    </row>
    <row r="3806" spans="5:7" x14ac:dyDescent="0.35">
      <c r="E3806" s="9">
        <v>43618</v>
      </c>
      <c r="F3806">
        <v>141.80000000000001</v>
      </c>
      <c r="G3806" t="s">
        <v>5877</v>
      </c>
    </row>
    <row r="3807" spans="5:7" x14ac:dyDescent="0.35">
      <c r="E3807" s="9">
        <v>43619</v>
      </c>
      <c r="F3807">
        <v>134.30000000000001</v>
      </c>
      <c r="G3807" t="s">
        <v>5877</v>
      </c>
    </row>
    <row r="3808" spans="5:7" x14ac:dyDescent="0.35">
      <c r="E3808" s="9">
        <v>43620</v>
      </c>
      <c r="F3808">
        <v>125.7</v>
      </c>
      <c r="G3808" t="s">
        <v>5877</v>
      </c>
    </row>
    <row r="3809" spans="5:7" x14ac:dyDescent="0.35">
      <c r="E3809" s="9">
        <v>43621</v>
      </c>
      <c r="F3809">
        <v>115.8</v>
      </c>
      <c r="G3809" t="s">
        <v>5877</v>
      </c>
    </row>
    <row r="3810" spans="5:7" x14ac:dyDescent="0.35">
      <c r="E3810" s="9">
        <v>43622</v>
      </c>
      <c r="F3810">
        <v>106.3</v>
      </c>
      <c r="G3810" t="s">
        <v>5877</v>
      </c>
    </row>
    <row r="3811" spans="5:7" x14ac:dyDescent="0.35">
      <c r="E3811" s="9">
        <v>43623</v>
      </c>
      <c r="F3811">
        <v>98.3</v>
      </c>
      <c r="G3811" t="s">
        <v>5877</v>
      </c>
    </row>
    <row r="3812" spans="5:7" x14ac:dyDescent="0.35">
      <c r="E3812" s="9">
        <v>43624</v>
      </c>
      <c r="F3812">
        <v>92.8</v>
      </c>
      <c r="G3812" t="s">
        <v>5877</v>
      </c>
    </row>
    <row r="3813" spans="5:7" x14ac:dyDescent="0.35">
      <c r="E3813" s="9">
        <v>43625</v>
      </c>
      <c r="F3813">
        <v>89.4</v>
      </c>
      <c r="G3813" t="s">
        <v>5877</v>
      </c>
    </row>
    <row r="3814" spans="5:7" x14ac:dyDescent="0.35">
      <c r="E3814" s="9">
        <v>43626</v>
      </c>
      <c r="F3814">
        <v>87.1</v>
      </c>
      <c r="G3814" t="s">
        <v>5877</v>
      </c>
    </row>
    <row r="3815" spans="5:7" x14ac:dyDescent="0.35">
      <c r="E3815" s="9">
        <v>43627</v>
      </c>
      <c r="F3815">
        <v>85.7</v>
      </c>
      <c r="G3815" t="s">
        <v>5877</v>
      </c>
    </row>
    <row r="3816" spans="5:7" x14ac:dyDescent="0.35">
      <c r="E3816" s="9">
        <v>43628</v>
      </c>
      <c r="F3816">
        <v>84.9</v>
      </c>
      <c r="G3816" t="s">
        <v>5877</v>
      </c>
    </row>
    <row r="3817" spans="5:7" x14ac:dyDescent="0.35">
      <c r="E3817" s="9">
        <v>43629</v>
      </c>
      <c r="F3817">
        <v>84.6</v>
      </c>
      <c r="G3817" t="s">
        <v>5877</v>
      </c>
    </row>
    <row r="3818" spans="5:7" x14ac:dyDescent="0.35">
      <c r="E3818" s="9">
        <v>43630</v>
      </c>
      <c r="F3818">
        <v>85.2</v>
      </c>
      <c r="G3818" t="s">
        <v>5877</v>
      </c>
    </row>
    <row r="3819" spans="5:7" x14ac:dyDescent="0.35">
      <c r="E3819" s="9">
        <v>43631</v>
      </c>
      <c r="F3819">
        <v>86.6</v>
      </c>
      <c r="G3819" t="s">
        <v>5877</v>
      </c>
    </row>
    <row r="3820" spans="5:7" x14ac:dyDescent="0.35">
      <c r="E3820" s="9">
        <v>43632</v>
      </c>
      <c r="F3820">
        <v>87.8</v>
      </c>
      <c r="G3820" t="s">
        <v>5877</v>
      </c>
    </row>
    <row r="3821" spans="5:7" x14ac:dyDescent="0.35">
      <c r="E3821" s="9">
        <v>43633</v>
      </c>
      <c r="F3821">
        <v>87.9</v>
      </c>
      <c r="G3821" t="s">
        <v>5877</v>
      </c>
    </row>
    <row r="3822" spans="5:7" x14ac:dyDescent="0.35">
      <c r="E3822" s="9">
        <v>43634</v>
      </c>
      <c r="F3822">
        <v>87.1</v>
      </c>
      <c r="G3822" t="s">
        <v>5877</v>
      </c>
    </row>
    <row r="3823" spans="5:7" x14ac:dyDescent="0.35">
      <c r="E3823" s="9">
        <v>43635</v>
      </c>
      <c r="F3823">
        <v>85.8</v>
      </c>
      <c r="G3823" t="s">
        <v>5877</v>
      </c>
    </row>
    <row r="3824" spans="5:7" x14ac:dyDescent="0.35">
      <c r="E3824" s="9">
        <v>43636</v>
      </c>
      <c r="F3824">
        <v>84.8</v>
      </c>
      <c r="G3824" t="s">
        <v>5877</v>
      </c>
    </row>
    <row r="3825" spans="5:7" x14ac:dyDescent="0.35">
      <c r="E3825" s="9">
        <v>43637</v>
      </c>
      <c r="F3825">
        <v>84.2</v>
      </c>
      <c r="G3825" t="s">
        <v>5877</v>
      </c>
    </row>
    <row r="3826" spans="5:7" x14ac:dyDescent="0.35">
      <c r="E3826" s="9">
        <v>43638</v>
      </c>
      <c r="F3826">
        <v>83.8</v>
      </c>
      <c r="G3826" t="s">
        <v>5877</v>
      </c>
    </row>
    <row r="3827" spans="5:7" x14ac:dyDescent="0.35">
      <c r="E3827" s="9">
        <v>43639</v>
      </c>
      <c r="F3827">
        <v>83.5</v>
      </c>
      <c r="G3827" t="s">
        <v>5877</v>
      </c>
    </row>
    <row r="3828" spans="5:7" x14ac:dyDescent="0.35">
      <c r="E3828" s="9">
        <v>43640</v>
      </c>
      <c r="F3828">
        <v>83.3</v>
      </c>
      <c r="G3828" t="s">
        <v>5877</v>
      </c>
    </row>
    <row r="3829" spans="5:7" x14ac:dyDescent="0.35">
      <c r="E3829" s="9">
        <v>43641</v>
      </c>
      <c r="F3829">
        <v>83.2</v>
      </c>
      <c r="G3829" t="s">
        <v>5877</v>
      </c>
    </row>
    <row r="3830" spans="5:7" x14ac:dyDescent="0.35">
      <c r="E3830" s="9">
        <v>43642</v>
      </c>
      <c r="F3830">
        <v>83.1</v>
      </c>
      <c r="G3830" t="s">
        <v>5877</v>
      </c>
    </row>
    <row r="3831" spans="5:7" x14ac:dyDescent="0.35">
      <c r="E3831" s="9">
        <v>43643</v>
      </c>
      <c r="F3831">
        <v>83.6</v>
      </c>
      <c r="G3831" t="s">
        <v>5877</v>
      </c>
    </row>
    <row r="3832" spans="5:7" x14ac:dyDescent="0.35">
      <c r="E3832" s="9">
        <v>43644</v>
      </c>
      <c r="F3832">
        <v>84.6</v>
      </c>
      <c r="G3832" t="s">
        <v>5877</v>
      </c>
    </row>
    <row r="3833" spans="5:7" x14ac:dyDescent="0.35">
      <c r="E3833" s="9">
        <v>43645</v>
      </c>
      <c r="F3833">
        <v>85.8</v>
      </c>
      <c r="G3833" t="s">
        <v>5877</v>
      </c>
    </row>
    <row r="3834" spans="5:7" x14ac:dyDescent="0.35">
      <c r="E3834" s="9">
        <v>43646</v>
      </c>
      <c r="F3834">
        <v>86</v>
      </c>
      <c r="G3834" t="s">
        <v>5877</v>
      </c>
    </row>
    <row r="3835" spans="5:7" x14ac:dyDescent="0.35">
      <c r="E3835" s="9">
        <v>43647</v>
      </c>
      <c r="F3835">
        <v>85.5</v>
      </c>
      <c r="G3835" t="s">
        <v>5877</v>
      </c>
    </row>
    <row r="3836" spans="5:7" x14ac:dyDescent="0.35">
      <c r="E3836" s="9">
        <v>43648</v>
      </c>
      <c r="F3836">
        <v>61.7</v>
      </c>
      <c r="G3836" t="s">
        <v>5877</v>
      </c>
    </row>
    <row r="3837" spans="5:7" x14ac:dyDescent="0.35">
      <c r="E3837" s="9">
        <v>43649</v>
      </c>
      <c r="F3837">
        <v>61.1</v>
      </c>
      <c r="G3837" t="s">
        <v>5877</v>
      </c>
    </row>
    <row r="3838" spans="5:7" x14ac:dyDescent="0.35">
      <c r="E3838" s="9">
        <v>43650</v>
      </c>
      <c r="F3838">
        <v>60.8</v>
      </c>
      <c r="G3838" t="s">
        <v>5877</v>
      </c>
    </row>
    <row r="3839" spans="5:7" x14ac:dyDescent="0.35">
      <c r="E3839" s="9">
        <v>43651</v>
      </c>
      <c r="F3839">
        <v>60.6</v>
      </c>
      <c r="G3839" t="s">
        <v>5877</v>
      </c>
    </row>
    <row r="3840" spans="5:7" x14ac:dyDescent="0.35">
      <c r="E3840" s="9">
        <v>43652</v>
      </c>
      <c r="F3840">
        <v>60.5</v>
      </c>
      <c r="G3840" t="s">
        <v>5877</v>
      </c>
    </row>
    <row r="3841" spans="5:7" x14ac:dyDescent="0.35">
      <c r="E3841" s="9">
        <v>43653</v>
      </c>
      <c r="F3841">
        <v>60.4</v>
      </c>
      <c r="G3841" t="s">
        <v>5877</v>
      </c>
    </row>
    <row r="3842" spans="5:7" x14ac:dyDescent="0.35">
      <c r="E3842" s="9">
        <v>43654</v>
      </c>
      <c r="F3842">
        <v>60.4</v>
      </c>
      <c r="G3842" t="s">
        <v>5877</v>
      </c>
    </row>
    <row r="3843" spans="5:7" x14ac:dyDescent="0.35">
      <c r="E3843" s="9">
        <v>43655</v>
      </c>
      <c r="F3843">
        <v>60.4</v>
      </c>
      <c r="G3843" t="s">
        <v>5877</v>
      </c>
    </row>
    <row r="3844" spans="5:7" x14ac:dyDescent="0.35">
      <c r="E3844" s="9">
        <v>43656</v>
      </c>
      <c r="F3844">
        <v>60.4</v>
      </c>
      <c r="G3844" t="s">
        <v>5877</v>
      </c>
    </row>
    <row r="3845" spans="5:7" x14ac:dyDescent="0.35">
      <c r="E3845" s="9">
        <v>43657</v>
      </c>
      <c r="F3845">
        <v>60.4</v>
      </c>
      <c r="G3845" t="s">
        <v>5877</v>
      </c>
    </row>
    <row r="3846" spans="5:7" x14ac:dyDescent="0.35">
      <c r="E3846" s="9">
        <v>43658</v>
      </c>
      <c r="F3846">
        <v>60.4</v>
      </c>
      <c r="G3846" t="s">
        <v>5877</v>
      </c>
    </row>
    <row r="3847" spans="5:7" x14ac:dyDescent="0.35">
      <c r="E3847" s="9">
        <v>43659</v>
      </c>
      <c r="F3847">
        <v>60.4</v>
      </c>
      <c r="G3847" t="s">
        <v>5877</v>
      </c>
    </row>
    <row r="3848" spans="5:7" x14ac:dyDescent="0.35">
      <c r="E3848" s="9">
        <v>43660</v>
      </c>
      <c r="F3848">
        <v>60.4</v>
      </c>
      <c r="G3848" t="s">
        <v>5877</v>
      </c>
    </row>
    <row r="3849" spans="5:7" x14ac:dyDescent="0.35">
      <c r="E3849" s="9">
        <v>43661</v>
      </c>
      <c r="F3849">
        <v>60.4</v>
      </c>
      <c r="G3849" t="s">
        <v>5877</v>
      </c>
    </row>
    <row r="3850" spans="5:7" x14ac:dyDescent="0.35">
      <c r="E3850" s="9">
        <v>43662</v>
      </c>
      <c r="F3850">
        <v>60.6</v>
      </c>
      <c r="G3850" t="s">
        <v>5877</v>
      </c>
    </row>
    <row r="3851" spans="5:7" x14ac:dyDescent="0.35">
      <c r="E3851" s="9">
        <v>43663</v>
      </c>
      <c r="F3851">
        <v>61.4</v>
      </c>
      <c r="G3851" t="s">
        <v>5877</v>
      </c>
    </row>
    <row r="3852" spans="5:7" x14ac:dyDescent="0.35">
      <c r="E3852" s="9">
        <v>43664</v>
      </c>
      <c r="F3852">
        <v>62.3</v>
      </c>
      <c r="G3852" t="s">
        <v>5877</v>
      </c>
    </row>
    <row r="3853" spans="5:7" x14ac:dyDescent="0.35">
      <c r="E3853" s="9">
        <v>43665</v>
      </c>
      <c r="F3853">
        <v>62.5</v>
      </c>
      <c r="G3853" t="s">
        <v>5877</v>
      </c>
    </row>
    <row r="3854" spans="5:7" x14ac:dyDescent="0.35">
      <c r="E3854" s="9">
        <v>43666</v>
      </c>
      <c r="F3854">
        <v>62.1</v>
      </c>
      <c r="G3854" t="s">
        <v>5877</v>
      </c>
    </row>
    <row r="3855" spans="5:7" x14ac:dyDescent="0.35">
      <c r="E3855" s="9">
        <v>43667</v>
      </c>
      <c r="F3855">
        <v>61.5</v>
      </c>
      <c r="G3855" t="s">
        <v>5877</v>
      </c>
    </row>
    <row r="3856" spans="5:7" x14ac:dyDescent="0.35">
      <c r="E3856" s="9">
        <v>43668</v>
      </c>
      <c r="F3856">
        <v>60.9</v>
      </c>
      <c r="G3856" t="s">
        <v>5877</v>
      </c>
    </row>
    <row r="3857" spans="5:7" x14ac:dyDescent="0.35">
      <c r="E3857" s="9">
        <v>43669</v>
      </c>
      <c r="F3857">
        <v>60.6</v>
      </c>
      <c r="G3857" t="s">
        <v>5877</v>
      </c>
    </row>
    <row r="3858" spans="5:7" x14ac:dyDescent="0.35">
      <c r="E3858" s="9">
        <v>43670</v>
      </c>
      <c r="F3858">
        <v>60.4</v>
      </c>
      <c r="G3858" t="s">
        <v>5877</v>
      </c>
    </row>
    <row r="3859" spans="5:7" x14ac:dyDescent="0.35">
      <c r="E3859" s="9">
        <v>43671</v>
      </c>
      <c r="F3859">
        <v>60.3</v>
      </c>
      <c r="G3859" t="s">
        <v>5877</v>
      </c>
    </row>
    <row r="3860" spans="5:7" x14ac:dyDescent="0.35">
      <c r="E3860" s="9">
        <v>43672</v>
      </c>
      <c r="F3860">
        <v>60.2</v>
      </c>
      <c r="G3860" t="s">
        <v>5877</v>
      </c>
    </row>
    <row r="3861" spans="5:7" x14ac:dyDescent="0.35">
      <c r="E3861" s="9">
        <v>43673</v>
      </c>
      <c r="F3861">
        <v>60.1</v>
      </c>
      <c r="G3861" t="s">
        <v>5877</v>
      </c>
    </row>
    <row r="3862" spans="5:7" x14ac:dyDescent="0.35">
      <c r="E3862" s="9">
        <v>43674</v>
      </c>
      <c r="F3862">
        <v>60.1</v>
      </c>
      <c r="G3862" t="s">
        <v>5877</v>
      </c>
    </row>
    <row r="3863" spans="5:7" x14ac:dyDescent="0.35">
      <c r="E3863" s="9">
        <v>43675</v>
      </c>
      <c r="F3863">
        <v>60.3</v>
      </c>
      <c r="G3863" t="s">
        <v>5877</v>
      </c>
    </row>
    <row r="3864" spans="5:7" x14ac:dyDescent="0.35">
      <c r="E3864" s="9">
        <v>43676</v>
      </c>
      <c r="F3864">
        <v>60.5</v>
      </c>
      <c r="G3864" t="s">
        <v>5877</v>
      </c>
    </row>
    <row r="3865" spans="5:7" x14ac:dyDescent="0.35">
      <c r="E3865" s="9">
        <v>43677</v>
      </c>
      <c r="F3865">
        <v>61</v>
      </c>
      <c r="G3865" t="s">
        <v>5877</v>
      </c>
    </row>
    <row r="3866" spans="5:7" x14ac:dyDescent="0.35">
      <c r="E3866" s="9">
        <v>43678</v>
      </c>
      <c r="F3866">
        <v>61.6</v>
      </c>
      <c r="G3866" t="s">
        <v>5877</v>
      </c>
    </row>
    <row r="3867" spans="5:7" x14ac:dyDescent="0.35">
      <c r="E3867" s="9">
        <v>43679</v>
      </c>
      <c r="F3867">
        <v>72.2</v>
      </c>
      <c r="G3867" t="s">
        <v>5877</v>
      </c>
    </row>
    <row r="3868" spans="5:7" x14ac:dyDescent="0.35">
      <c r="E3868" s="9">
        <v>43680</v>
      </c>
      <c r="F3868">
        <v>84.3</v>
      </c>
      <c r="G3868" t="s">
        <v>5877</v>
      </c>
    </row>
    <row r="3869" spans="5:7" x14ac:dyDescent="0.35">
      <c r="E3869" s="9">
        <v>43681</v>
      </c>
      <c r="F3869">
        <v>98.1</v>
      </c>
      <c r="G3869" t="s">
        <v>5877</v>
      </c>
    </row>
    <row r="3870" spans="5:7" x14ac:dyDescent="0.35">
      <c r="E3870" s="9">
        <v>43682</v>
      </c>
      <c r="F3870">
        <v>101.6</v>
      </c>
      <c r="G3870" t="s">
        <v>5877</v>
      </c>
    </row>
    <row r="3871" spans="5:7" x14ac:dyDescent="0.35">
      <c r="E3871" s="9">
        <v>43683</v>
      </c>
      <c r="F3871">
        <v>98.4</v>
      </c>
      <c r="G3871" t="s">
        <v>5877</v>
      </c>
    </row>
    <row r="3872" spans="5:7" x14ac:dyDescent="0.35">
      <c r="E3872" s="9">
        <v>43684</v>
      </c>
      <c r="F3872">
        <v>93.8</v>
      </c>
      <c r="G3872" t="s">
        <v>5877</v>
      </c>
    </row>
    <row r="3873" spans="5:7" x14ac:dyDescent="0.35">
      <c r="E3873" s="9">
        <v>43685</v>
      </c>
      <c r="F3873">
        <v>92.7</v>
      </c>
      <c r="G3873" t="s">
        <v>5877</v>
      </c>
    </row>
    <row r="3874" spans="5:7" x14ac:dyDescent="0.35">
      <c r="E3874" s="9">
        <v>43686</v>
      </c>
      <c r="F3874">
        <v>96.3</v>
      </c>
      <c r="G3874" t="s">
        <v>5877</v>
      </c>
    </row>
    <row r="3875" spans="5:7" x14ac:dyDescent="0.35">
      <c r="E3875" s="9">
        <v>43687</v>
      </c>
      <c r="F3875">
        <v>102.2</v>
      </c>
      <c r="G3875" t="s">
        <v>5877</v>
      </c>
    </row>
    <row r="3876" spans="5:7" x14ac:dyDescent="0.35">
      <c r="E3876" s="9">
        <v>43688</v>
      </c>
      <c r="F3876">
        <v>107.9</v>
      </c>
      <c r="G3876" t="s">
        <v>5877</v>
      </c>
    </row>
    <row r="3877" spans="5:7" x14ac:dyDescent="0.35">
      <c r="E3877" s="9">
        <v>43689</v>
      </c>
      <c r="F3877">
        <v>110.1</v>
      </c>
      <c r="G3877" t="s">
        <v>5877</v>
      </c>
    </row>
    <row r="3878" spans="5:7" x14ac:dyDescent="0.35">
      <c r="E3878" s="9">
        <v>43690</v>
      </c>
      <c r="F3878">
        <v>106</v>
      </c>
      <c r="G3878" t="s">
        <v>5877</v>
      </c>
    </row>
    <row r="3879" spans="5:7" x14ac:dyDescent="0.35">
      <c r="E3879" s="9">
        <v>43691</v>
      </c>
      <c r="F3879">
        <v>99</v>
      </c>
      <c r="G3879" t="s">
        <v>5877</v>
      </c>
    </row>
    <row r="3880" spans="5:7" x14ac:dyDescent="0.35">
      <c r="E3880" s="9">
        <v>43692</v>
      </c>
      <c r="F3880">
        <v>91.1</v>
      </c>
      <c r="G3880" t="s">
        <v>5877</v>
      </c>
    </row>
    <row r="3881" spans="5:7" x14ac:dyDescent="0.35">
      <c r="E3881" s="9">
        <v>43693</v>
      </c>
      <c r="F3881">
        <v>83.7</v>
      </c>
      <c r="G3881" t="s">
        <v>5877</v>
      </c>
    </row>
    <row r="3882" spans="5:7" x14ac:dyDescent="0.35">
      <c r="E3882" s="9">
        <v>43694</v>
      </c>
      <c r="F3882">
        <v>78.099999999999994</v>
      </c>
      <c r="G3882" t="s">
        <v>5877</v>
      </c>
    </row>
    <row r="3883" spans="5:7" x14ac:dyDescent="0.35">
      <c r="E3883" s="9">
        <v>43695</v>
      </c>
      <c r="F3883">
        <v>73.8</v>
      </c>
      <c r="G3883" t="s">
        <v>5877</v>
      </c>
    </row>
    <row r="3884" spans="5:7" x14ac:dyDescent="0.35">
      <c r="E3884" s="9">
        <v>43696</v>
      </c>
      <c r="F3884">
        <v>71</v>
      </c>
      <c r="G3884" t="s">
        <v>5877</v>
      </c>
    </row>
    <row r="3885" spans="5:7" x14ac:dyDescent="0.35">
      <c r="E3885" s="9">
        <v>43697</v>
      </c>
      <c r="F3885">
        <v>70.400000000000006</v>
      </c>
      <c r="G3885" t="s">
        <v>5877</v>
      </c>
    </row>
    <row r="3886" spans="5:7" x14ac:dyDescent="0.35">
      <c r="E3886" s="9">
        <v>43698</v>
      </c>
      <c r="F3886">
        <v>71.8</v>
      </c>
      <c r="G3886" t="s">
        <v>5877</v>
      </c>
    </row>
    <row r="3887" spans="5:7" x14ac:dyDescent="0.35">
      <c r="E3887" s="9">
        <v>43699</v>
      </c>
      <c r="F3887">
        <v>73.3</v>
      </c>
      <c r="G3887" t="s">
        <v>5877</v>
      </c>
    </row>
    <row r="3888" spans="5:7" x14ac:dyDescent="0.35">
      <c r="E3888" s="9">
        <v>43700</v>
      </c>
      <c r="F3888">
        <v>73</v>
      </c>
      <c r="G3888" t="s">
        <v>5877</v>
      </c>
    </row>
    <row r="3889" spans="5:7" x14ac:dyDescent="0.35">
      <c r="E3889" s="9">
        <v>43701</v>
      </c>
      <c r="F3889">
        <v>71.3</v>
      </c>
      <c r="G3889" t="s">
        <v>5877</v>
      </c>
    </row>
    <row r="3890" spans="5:7" x14ac:dyDescent="0.35">
      <c r="E3890" s="9">
        <v>43702</v>
      </c>
      <c r="F3890">
        <v>70.7</v>
      </c>
      <c r="G3890" t="s">
        <v>5877</v>
      </c>
    </row>
    <row r="3891" spans="5:7" x14ac:dyDescent="0.35">
      <c r="E3891" s="9">
        <v>43703</v>
      </c>
      <c r="F3891">
        <v>72.2</v>
      </c>
      <c r="G3891" t="s">
        <v>5877</v>
      </c>
    </row>
    <row r="3892" spans="5:7" x14ac:dyDescent="0.35">
      <c r="E3892" s="9">
        <v>43704</v>
      </c>
      <c r="F3892">
        <v>75.400000000000006</v>
      </c>
      <c r="G3892" t="s">
        <v>5877</v>
      </c>
    </row>
    <row r="3893" spans="5:7" x14ac:dyDescent="0.35">
      <c r="E3893" s="9">
        <v>43705</v>
      </c>
      <c r="F3893">
        <v>77.3</v>
      </c>
      <c r="G3893" t="s">
        <v>5877</v>
      </c>
    </row>
    <row r="3894" spans="5:7" x14ac:dyDescent="0.35">
      <c r="E3894" s="9">
        <v>43706</v>
      </c>
      <c r="F3894">
        <v>79.400000000000006</v>
      </c>
      <c r="G3894" t="s">
        <v>5877</v>
      </c>
    </row>
    <row r="3895" spans="5:7" x14ac:dyDescent="0.35">
      <c r="E3895" s="9">
        <v>43707</v>
      </c>
      <c r="F3895">
        <v>81.8</v>
      </c>
      <c r="G3895" t="s">
        <v>5877</v>
      </c>
    </row>
    <row r="3896" spans="5:7" x14ac:dyDescent="0.35">
      <c r="E3896" s="9">
        <v>43708</v>
      </c>
      <c r="F3896">
        <v>84</v>
      </c>
      <c r="G3896" t="s">
        <v>5877</v>
      </c>
    </row>
    <row r="3897" spans="5:7" x14ac:dyDescent="0.35">
      <c r="E3897" s="9">
        <v>43709</v>
      </c>
      <c r="F3897">
        <v>84.8</v>
      </c>
      <c r="G3897" t="s">
        <v>5877</v>
      </c>
    </row>
    <row r="3898" spans="5:7" x14ac:dyDescent="0.35">
      <c r="E3898" s="9">
        <v>43710</v>
      </c>
      <c r="F3898">
        <v>110</v>
      </c>
      <c r="G3898" t="s">
        <v>5877</v>
      </c>
    </row>
    <row r="3899" spans="5:7" x14ac:dyDescent="0.35">
      <c r="E3899" s="9">
        <v>43711</v>
      </c>
      <c r="F3899">
        <v>111.2</v>
      </c>
      <c r="G3899" t="s">
        <v>5877</v>
      </c>
    </row>
    <row r="3900" spans="5:7" x14ac:dyDescent="0.35">
      <c r="E3900" s="9">
        <v>43712</v>
      </c>
      <c r="F3900">
        <v>117.7</v>
      </c>
      <c r="G3900" t="s">
        <v>5877</v>
      </c>
    </row>
    <row r="3901" spans="5:7" x14ac:dyDescent="0.35">
      <c r="E3901" s="9">
        <v>43713</v>
      </c>
      <c r="F3901">
        <v>126.1</v>
      </c>
      <c r="G3901" t="s">
        <v>5877</v>
      </c>
    </row>
    <row r="3902" spans="5:7" x14ac:dyDescent="0.35">
      <c r="E3902" s="9">
        <v>43714</v>
      </c>
      <c r="F3902">
        <v>129.5</v>
      </c>
      <c r="G3902" t="s">
        <v>5877</v>
      </c>
    </row>
    <row r="3903" spans="5:7" x14ac:dyDescent="0.35">
      <c r="E3903" s="9">
        <v>43715</v>
      </c>
      <c r="F3903">
        <v>131.80000000000001</v>
      </c>
      <c r="G3903" t="s">
        <v>5877</v>
      </c>
    </row>
    <row r="3904" spans="5:7" x14ac:dyDescent="0.35">
      <c r="E3904" s="9">
        <v>43716</v>
      </c>
      <c r="F3904">
        <v>133.4</v>
      </c>
      <c r="G3904" t="s">
        <v>5877</v>
      </c>
    </row>
    <row r="3905" spans="5:7" x14ac:dyDescent="0.35">
      <c r="E3905" s="9">
        <v>43717</v>
      </c>
      <c r="F3905">
        <v>130.6</v>
      </c>
      <c r="G3905" t="s">
        <v>5877</v>
      </c>
    </row>
    <row r="3906" spans="5:7" x14ac:dyDescent="0.35">
      <c r="E3906" s="9">
        <v>43718</v>
      </c>
      <c r="F3906">
        <v>124.7</v>
      </c>
      <c r="G3906" t="s">
        <v>5877</v>
      </c>
    </row>
    <row r="3907" spans="5:7" x14ac:dyDescent="0.35">
      <c r="E3907" s="9">
        <v>43719</v>
      </c>
      <c r="F3907">
        <v>116.7</v>
      </c>
      <c r="G3907" t="s">
        <v>5877</v>
      </c>
    </row>
    <row r="3908" spans="5:7" x14ac:dyDescent="0.35">
      <c r="E3908" s="9">
        <v>43720</v>
      </c>
      <c r="F3908">
        <v>112.2</v>
      </c>
      <c r="G3908" t="s">
        <v>5877</v>
      </c>
    </row>
    <row r="3909" spans="5:7" x14ac:dyDescent="0.35">
      <c r="E3909" s="9">
        <v>43721</v>
      </c>
      <c r="F3909">
        <v>115.3</v>
      </c>
      <c r="G3909" t="s">
        <v>5877</v>
      </c>
    </row>
    <row r="3910" spans="5:7" x14ac:dyDescent="0.35">
      <c r="E3910" s="9">
        <v>43722</v>
      </c>
      <c r="F3910">
        <v>122.9</v>
      </c>
      <c r="G3910" t="s">
        <v>5877</v>
      </c>
    </row>
    <row r="3911" spans="5:7" x14ac:dyDescent="0.35">
      <c r="E3911" s="9">
        <v>43723</v>
      </c>
      <c r="F3911">
        <v>130.6</v>
      </c>
      <c r="G3911" t="s">
        <v>5877</v>
      </c>
    </row>
    <row r="3912" spans="5:7" x14ac:dyDescent="0.35">
      <c r="E3912" s="9">
        <v>43724</v>
      </c>
      <c r="F3912">
        <v>140.19999999999999</v>
      </c>
      <c r="G3912" t="s">
        <v>5877</v>
      </c>
    </row>
    <row r="3913" spans="5:7" x14ac:dyDescent="0.35">
      <c r="E3913" s="9">
        <v>43725</v>
      </c>
      <c r="F3913">
        <v>150.30000000000001</v>
      </c>
      <c r="G3913" t="s">
        <v>5877</v>
      </c>
    </row>
    <row r="3914" spans="5:7" x14ac:dyDescent="0.35">
      <c r="E3914" s="9">
        <v>43726</v>
      </c>
      <c r="F3914">
        <v>153.1</v>
      </c>
      <c r="G3914" t="s">
        <v>5877</v>
      </c>
    </row>
    <row r="3915" spans="5:7" x14ac:dyDescent="0.35">
      <c r="E3915" s="9">
        <v>43727</v>
      </c>
      <c r="F3915">
        <v>152.5</v>
      </c>
      <c r="G3915" t="s">
        <v>5877</v>
      </c>
    </row>
    <row r="3916" spans="5:7" x14ac:dyDescent="0.35">
      <c r="E3916" s="9">
        <v>43728</v>
      </c>
      <c r="F3916">
        <v>153.9</v>
      </c>
      <c r="G3916" t="s">
        <v>5877</v>
      </c>
    </row>
    <row r="3917" spans="5:7" x14ac:dyDescent="0.35">
      <c r="E3917" s="9">
        <v>43729</v>
      </c>
      <c r="F3917">
        <v>159.19999999999999</v>
      </c>
      <c r="G3917" t="s">
        <v>5877</v>
      </c>
    </row>
    <row r="3918" spans="5:7" x14ac:dyDescent="0.35">
      <c r="E3918" s="9">
        <v>43730</v>
      </c>
      <c r="F3918">
        <v>161.4</v>
      </c>
      <c r="G3918" t="s">
        <v>5877</v>
      </c>
    </row>
    <row r="3919" spans="5:7" x14ac:dyDescent="0.35">
      <c r="E3919" s="9">
        <v>43731</v>
      </c>
      <c r="F3919">
        <v>155.80000000000001</v>
      </c>
      <c r="G3919" t="s">
        <v>5877</v>
      </c>
    </row>
    <row r="3920" spans="5:7" x14ac:dyDescent="0.35">
      <c r="E3920" s="9">
        <v>43732</v>
      </c>
      <c r="F3920">
        <v>151.1</v>
      </c>
      <c r="G3920" t="s">
        <v>5877</v>
      </c>
    </row>
    <row r="3921" spans="5:7" x14ac:dyDescent="0.35">
      <c r="E3921" s="9">
        <v>43733</v>
      </c>
      <c r="F3921">
        <v>153.5</v>
      </c>
      <c r="G3921" t="s">
        <v>5877</v>
      </c>
    </row>
    <row r="3922" spans="5:7" x14ac:dyDescent="0.35">
      <c r="E3922" s="9">
        <v>43734</v>
      </c>
      <c r="F3922">
        <v>160.4</v>
      </c>
      <c r="G3922" t="s">
        <v>5877</v>
      </c>
    </row>
    <row r="3923" spans="5:7" x14ac:dyDescent="0.35">
      <c r="E3923" s="9">
        <v>43735</v>
      </c>
      <c r="F3923">
        <v>160.4</v>
      </c>
      <c r="G3923" t="s">
        <v>5877</v>
      </c>
    </row>
    <row r="3924" spans="5:7" x14ac:dyDescent="0.35">
      <c r="E3924" s="9">
        <v>43736</v>
      </c>
      <c r="F3924">
        <v>156.19999999999999</v>
      </c>
      <c r="G3924" t="s">
        <v>5877</v>
      </c>
    </row>
    <row r="3925" spans="5:7" x14ac:dyDescent="0.35">
      <c r="E3925" s="9">
        <v>43737</v>
      </c>
      <c r="F3925">
        <v>153.9</v>
      </c>
      <c r="G3925" t="s">
        <v>5877</v>
      </c>
    </row>
    <row r="3926" spans="5:7" x14ac:dyDescent="0.35">
      <c r="E3926" s="9">
        <v>43738</v>
      </c>
      <c r="F3926">
        <v>161.1</v>
      </c>
      <c r="G3926" t="s">
        <v>5877</v>
      </c>
    </row>
    <row r="3927" spans="5:7" x14ac:dyDescent="0.35">
      <c r="E3927" s="9">
        <v>43739</v>
      </c>
      <c r="F3927">
        <v>177.3</v>
      </c>
      <c r="G3927" t="s">
        <v>5877</v>
      </c>
    </row>
    <row r="3928" spans="5:7" x14ac:dyDescent="0.35">
      <c r="E3928" s="9">
        <v>43740</v>
      </c>
      <c r="F3928">
        <v>210.7</v>
      </c>
      <c r="G3928" t="s">
        <v>5877</v>
      </c>
    </row>
    <row r="3929" spans="5:7" x14ac:dyDescent="0.35">
      <c r="E3929" s="9">
        <v>43741</v>
      </c>
      <c r="F3929">
        <v>223.9</v>
      </c>
      <c r="G3929" t="s">
        <v>5877</v>
      </c>
    </row>
    <row r="3930" spans="5:7" x14ac:dyDescent="0.35">
      <c r="E3930" s="9">
        <v>43742</v>
      </c>
      <c r="F3930">
        <v>225.2</v>
      </c>
      <c r="G3930" t="s">
        <v>5877</v>
      </c>
    </row>
    <row r="3931" spans="5:7" x14ac:dyDescent="0.35">
      <c r="E3931" s="9">
        <v>43743</v>
      </c>
      <c r="F3931">
        <v>214.7</v>
      </c>
      <c r="G3931" t="s">
        <v>5877</v>
      </c>
    </row>
    <row r="3932" spans="5:7" x14ac:dyDescent="0.35">
      <c r="E3932" s="9">
        <v>43744</v>
      </c>
      <c r="F3932">
        <v>195.7</v>
      </c>
      <c r="G3932" t="s">
        <v>5877</v>
      </c>
    </row>
    <row r="3933" spans="5:7" x14ac:dyDescent="0.35">
      <c r="E3933" s="9">
        <v>43745</v>
      </c>
      <c r="F3933">
        <v>179.9</v>
      </c>
      <c r="G3933" t="s">
        <v>5877</v>
      </c>
    </row>
    <row r="3934" spans="5:7" x14ac:dyDescent="0.35">
      <c r="E3934" s="9">
        <v>43746</v>
      </c>
      <c r="F3934">
        <v>176.4</v>
      </c>
      <c r="G3934" t="s">
        <v>5877</v>
      </c>
    </row>
    <row r="3935" spans="5:7" x14ac:dyDescent="0.35">
      <c r="E3935" s="9">
        <v>43747</v>
      </c>
      <c r="F3935">
        <v>182.1</v>
      </c>
      <c r="G3935" t="s">
        <v>5877</v>
      </c>
    </row>
    <row r="3936" spans="5:7" x14ac:dyDescent="0.35">
      <c r="E3936" s="9">
        <v>43748</v>
      </c>
      <c r="F3936">
        <v>192.3</v>
      </c>
      <c r="G3936" t="s">
        <v>5877</v>
      </c>
    </row>
    <row r="3937" spans="5:7" x14ac:dyDescent="0.35">
      <c r="E3937" s="9">
        <v>43749</v>
      </c>
      <c r="F3937">
        <v>202.2</v>
      </c>
      <c r="G3937" t="s">
        <v>5877</v>
      </c>
    </row>
    <row r="3938" spans="5:7" x14ac:dyDescent="0.35">
      <c r="E3938" s="9">
        <v>43750</v>
      </c>
      <c r="F3938">
        <v>216.3</v>
      </c>
      <c r="G3938" t="s">
        <v>5877</v>
      </c>
    </row>
    <row r="3939" spans="5:7" x14ac:dyDescent="0.35">
      <c r="E3939" s="9">
        <v>43751</v>
      </c>
      <c r="F3939">
        <v>225.8</v>
      </c>
      <c r="G3939" t="s">
        <v>5877</v>
      </c>
    </row>
    <row r="3940" spans="5:7" x14ac:dyDescent="0.35">
      <c r="E3940" s="9">
        <v>43752</v>
      </c>
      <c r="F3940">
        <v>225.2</v>
      </c>
      <c r="G3940" t="s">
        <v>5877</v>
      </c>
    </row>
    <row r="3941" spans="5:7" x14ac:dyDescent="0.35">
      <c r="E3941" s="9">
        <v>43753</v>
      </c>
      <c r="F3941">
        <v>217.5</v>
      </c>
      <c r="G3941" t="s">
        <v>5877</v>
      </c>
    </row>
    <row r="3942" spans="5:7" x14ac:dyDescent="0.35">
      <c r="E3942" s="9">
        <v>43754</v>
      </c>
      <c r="F3942">
        <v>214.1</v>
      </c>
      <c r="G3942" t="s">
        <v>5877</v>
      </c>
    </row>
    <row r="3943" spans="5:7" x14ac:dyDescent="0.35">
      <c r="E3943" s="9">
        <v>43755</v>
      </c>
      <c r="F3943">
        <v>217.9</v>
      </c>
      <c r="G3943" t="s">
        <v>5877</v>
      </c>
    </row>
    <row r="3944" spans="5:7" x14ac:dyDescent="0.35">
      <c r="E3944" s="9">
        <v>43756</v>
      </c>
      <c r="F3944">
        <v>221.9</v>
      </c>
      <c r="G3944" t="s">
        <v>5877</v>
      </c>
    </row>
    <row r="3945" spans="5:7" x14ac:dyDescent="0.35">
      <c r="E3945" s="9">
        <v>43757</v>
      </c>
      <c r="F3945">
        <v>218.9</v>
      </c>
      <c r="G3945" t="s">
        <v>5877</v>
      </c>
    </row>
    <row r="3946" spans="5:7" x14ac:dyDescent="0.35">
      <c r="E3946" s="9">
        <v>43758</v>
      </c>
      <c r="F3946">
        <v>215.5</v>
      </c>
      <c r="G3946" t="s">
        <v>5877</v>
      </c>
    </row>
    <row r="3947" spans="5:7" x14ac:dyDescent="0.35">
      <c r="E3947" s="9">
        <v>43759</v>
      </c>
      <c r="F3947">
        <v>211</v>
      </c>
      <c r="G3947" t="s">
        <v>5877</v>
      </c>
    </row>
    <row r="3948" spans="5:7" x14ac:dyDescent="0.35">
      <c r="E3948" s="9">
        <v>43760</v>
      </c>
      <c r="F3948">
        <v>209.2</v>
      </c>
      <c r="G3948" t="s">
        <v>5877</v>
      </c>
    </row>
    <row r="3949" spans="5:7" x14ac:dyDescent="0.35">
      <c r="E3949" s="9">
        <v>43761</v>
      </c>
      <c r="F3949">
        <v>211.3</v>
      </c>
      <c r="G3949" t="s">
        <v>5877</v>
      </c>
    </row>
    <row r="3950" spans="5:7" x14ac:dyDescent="0.35">
      <c r="E3950" s="9">
        <v>43762</v>
      </c>
      <c r="F3950">
        <v>211.5</v>
      </c>
      <c r="G3950" t="s">
        <v>5877</v>
      </c>
    </row>
    <row r="3951" spans="5:7" x14ac:dyDescent="0.35">
      <c r="E3951" s="9">
        <v>43763</v>
      </c>
      <c r="F3951">
        <v>208.3</v>
      </c>
      <c r="G3951" t="s">
        <v>5877</v>
      </c>
    </row>
    <row r="3952" spans="5:7" x14ac:dyDescent="0.35">
      <c r="E3952" s="9">
        <v>43764</v>
      </c>
      <c r="F3952">
        <v>204.5</v>
      </c>
      <c r="G3952" t="s">
        <v>5877</v>
      </c>
    </row>
    <row r="3953" spans="5:7" x14ac:dyDescent="0.35">
      <c r="E3953" s="9">
        <v>43765</v>
      </c>
      <c r="F3953">
        <v>196.1</v>
      </c>
      <c r="G3953" t="s">
        <v>5877</v>
      </c>
    </row>
    <row r="3954" spans="5:7" x14ac:dyDescent="0.35">
      <c r="E3954" s="9">
        <v>43766</v>
      </c>
      <c r="F3954">
        <v>180.4</v>
      </c>
      <c r="G3954" t="s">
        <v>5877</v>
      </c>
    </row>
    <row r="3955" spans="5:7" x14ac:dyDescent="0.35">
      <c r="E3955" s="9">
        <v>43767</v>
      </c>
      <c r="F3955">
        <v>167.1</v>
      </c>
      <c r="G3955" t="s">
        <v>5877</v>
      </c>
    </row>
    <row r="3956" spans="5:7" x14ac:dyDescent="0.35">
      <c r="E3956" s="9">
        <v>43768</v>
      </c>
      <c r="F3956">
        <v>166.2</v>
      </c>
      <c r="G3956" t="s">
        <v>5877</v>
      </c>
    </row>
    <row r="3957" spans="5:7" x14ac:dyDescent="0.35">
      <c r="E3957" s="9">
        <v>43769</v>
      </c>
      <c r="F3957">
        <v>178.6</v>
      </c>
      <c r="G3957" t="s">
        <v>5877</v>
      </c>
    </row>
    <row r="3958" spans="5:7" x14ac:dyDescent="0.35">
      <c r="E3958" s="9">
        <v>43770</v>
      </c>
      <c r="F3958">
        <v>191.6</v>
      </c>
      <c r="G3958" t="s">
        <v>5877</v>
      </c>
    </row>
    <row r="3959" spans="5:7" x14ac:dyDescent="0.35">
      <c r="E3959" s="9">
        <v>43771</v>
      </c>
      <c r="F3959">
        <v>206.4</v>
      </c>
      <c r="G3959" t="s">
        <v>5877</v>
      </c>
    </row>
    <row r="3960" spans="5:7" x14ac:dyDescent="0.35">
      <c r="E3960" s="9">
        <v>43772</v>
      </c>
      <c r="F3960">
        <v>205.6</v>
      </c>
      <c r="G3960" t="s">
        <v>5877</v>
      </c>
    </row>
    <row r="3961" spans="5:7" x14ac:dyDescent="0.35">
      <c r="E3961" s="9">
        <v>43773</v>
      </c>
      <c r="F3961">
        <v>206.6</v>
      </c>
      <c r="G3961" t="s">
        <v>5877</v>
      </c>
    </row>
    <row r="3962" spans="5:7" x14ac:dyDescent="0.35">
      <c r="E3962" s="9">
        <v>43774</v>
      </c>
      <c r="F3962">
        <v>215.6</v>
      </c>
      <c r="G3962" t="s">
        <v>5877</v>
      </c>
    </row>
    <row r="3963" spans="5:7" x14ac:dyDescent="0.35">
      <c r="E3963" s="9">
        <v>43775</v>
      </c>
      <c r="F3963">
        <v>229.7</v>
      </c>
      <c r="G3963" t="s">
        <v>5877</v>
      </c>
    </row>
    <row r="3964" spans="5:7" x14ac:dyDescent="0.35">
      <c r="E3964" s="9">
        <v>43776</v>
      </c>
      <c r="F3964">
        <v>235.9</v>
      </c>
      <c r="G3964" t="s">
        <v>5877</v>
      </c>
    </row>
    <row r="3965" spans="5:7" x14ac:dyDescent="0.35">
      <c r="E3965" s="9">
        <v>43777</v>
      </c>
      <c r="F3965">
        <v>231.9</v>
      </c>
      <c r="G3965" t="s">
        <v>5877</v>
      </c>
    </row>
    <row r="3966" spans="5:7" x14ac:dyDescent="0.35">
      <c r="E3966" s="9">
        <v>43778</v>
      </c>
      <c r="F3966">
        <v>225.3</v>
      </c>
      <c r="G3966" t="s">
        <v>5877</v>
      </c>
    </row>
    <row r="3967" spans="5:7" x14ac:dyDescent="0.35">
      <c r="E3967" s="9">
        <v>43779</v>
      </c>
      <c r="F3967">
        <v>220.5</v>
      </c>
      <c r="G3967" t="s">
        <v>5877</v>
      </c>
    </row>
    <row r="3968" spans="5:7" x14ac:dyDescent="0.35">
      <c r="E3968" s="9">
        <v>43780</v>
      </c>
      <c r="F3968">
        <v>224.3</v>
      </c>
      <c r="G3968" t="s">
        <v>5877</v>
      </c>
    </row>
    <row r="3969" spans="5:7" x14ac:dyDescent="0.35">
      <c r="E3969" s="9">
        <v>43781</v>
      </c>
      <c r="F3969">
        <v>237.9</v>
      </c>
      <c r="G3969" t="s">
        <v>5877</v>
      </c>
    </row>
    <row r="3970" spans="5:7" x14ac:dyDescent="0.35">
      <c r="E3970" s="9">
        <v>43782</v>
      </c>
      <c r="F3970">
        <v>247</v>
      </c>
      <c r="G3970" t="s">
        <v>5877</v>
      </c>
    </row>
    <row r="3971" spans="5:7" x14ac:dyDescent="0.35">
      <c r="E3971" s="9">
        <v>43783</v>
      </c>
      <c r="F3971">
        <v>249</v>
      </c>
      <c r="G3971" t="s">
        <v>5877</v>
      </c>
    </row>
    <row r="3972" spans="5:7" x14ac:dyDescent="0.35">
      <c r="E3972" s="9">
        <v>43784</v>
      </c>
      <c r="F3972">
        <v>247</v>
      </c>
      <c r="G3972" t="s">
        <v>5877</v>
      </c>
    </row>
    <row r="3973" spans="5:7" x14ac:dyDescent="0.35">
      <c r="E3973" s="9">
        <v>43785</v>
      </c>
      <c r="F3973">
        <v>244.9</v>
      </c>
      <c r="G3973" t="s">
        <v>5877</v>
      </c>
    </row>
    <row r="3974" spans="5:7" x14ac:dyDescent="0.35">
      <c r="E3974" s="9">
        <v>43786</v>
      </c>
      <c r="F3974">
        <v>254.3</v>
      </c>
      <c r="G3974" t="s">
        <v>5877</v>
      </c>
    </row>
    <row r="3975" spans="5:7" x14ac:dyDescent="0.35">
      <c r="E3975" s="9">
        <v>43787</v>
      </c>
      <c r="F3975">
        <v>269.89999999999998</v>
      </c>
      <c r="G3975" t="s">
        <v>5877</v>
      </c>
    </row>
    <row r="3976" spans="5:7" x14ac:dyDescent="0.35">
      <c r="E3976" s="9">
        <v>43788</v>
      </c>
      <c r="F3976">
        <v>277.2</v>
      </c>
      <c r="G3976" t="s">
        <v>5877</v>
      </c>
    </row>
    <row r="3977" spans="5:7" x14ac:dyDescent="0.35">
      <c r="E3977" s="9">
        <v>43789</v>
      </c>
      <c r="F3977">
        <v>269.8</v>
      </c>
      <c r="G3977" t="s">
        <v>5877</v>
      </c>
    </row>
    <row r="3978" spans="5:7" x14ac:dyDescent="0.35">
      <c r="E3978" s="9">
        <v>43790</v>
      </c>
      <c r="F3978">
        <v>247.8</v>
      </c>
      <c r="G3978" t="s">
        <v>5877</v>
      </c>
    </row>
    <row r="3979" spans="5:7" x14ac:dyDescent="0.35">
      <c r="E3979" s="9">
        <v>43791</v>
      </c>
      <c r="F3979">
        <v>227.7</v>
      </c>
      <c r="G3979" t="s">
        <v>5877</v>
      </c>
    </row>
    <row r="3980" spans="5:7" x14ac:dyDescent="0.35">
      <c r="E3980" s="9">
        <v>43792</v>
      </c>
      <c r="F3980">
        <v>226.1</v>
      </c>
      <c r="G3980" t="s">
        <v>5877</v>
      </c>
    </row>
    <row r="3981" spans="5:7" x14ac:dyDescent="0.35">
      <c r="E3981" s="9">
        <v>43793</v>
      </c>
      <c r="F3981">
        <v>243.7</v>
      </c>
      <c r="G3981" t="s">
        <v>5877</v>
      </c>
    </row>
    <row r="3982" spans="5:7" x14ac:dyDescent="0.35">
      <c r="E3982" s="9">
        <v>43794</v>
      </c>
      <c r="F3982">
        <v>258</v>
      </c>
      <c r="G3982" t="s">
        <v>5877</v>
      </c>
    </row>
    <row r="3983" spans="5:7" x14ac:dyDescent="0.35">
      <c r="E3983" s="9">
        <v>43795</v>
      </c>
      <c r="F3983">
        <v>252.5</v>
      </c>
      <c r="G3983" t="s">
        <v>5877</v>
      </c>
    </row>
    <row r="3984" spans="5:7" x14ac:dyDescent="0.35">
      <c r="E3984" s="9">
        <v>43796</v>
      </c>
      <c r="F3984">
        <v>243.9</v>
      </c>
      <c r="G3984" t="s">
        <v>5877</v>
      </c>
    </row>
    <row r="3985" spans="5:7" x14ac:dyDescent="0.35">
      <c r="E3985" s="9">
        <v>43797</v>
      </c>
      <c r="F3985">
        <v>239.9</v>
      </c>
      <c r="G3985" t="s">
        <v>5877</v>
      </c>
    </row>
    <row r="3986" spans="5:7" x14ac:dyDescent="0.35">
      <c r="E3986" s="9">
        <v>43798</v>
      </c>
      <c r="F3986">
        <v>237.2</v>
      </c>
      <c r="G3986" t="s">
        <v>5877</v>
      </c>
    </row>
    <row r="3987" spans="5:7" x14ac:dyDescent="0.35">
      <c r="E3987" s="9">
        <v>43799</v>
      </c>
      <c r="F3987">
        <v>236.2</v>
      </c>
      <c r="G3987" t="s">
        <v>5877</v>
      </c>
    </row>
    <row r="3988" spans="5:7" x14ac:dyDescent="0.35">
      <c r="E3988" s="9">
        <v>43800</v>
      </c>
      <c r="F3988">
        <v>234.7</v>
      </c>
      <c r="G3988" t="s">
        <v>5877</v>
      </c>
    </row>
    <row r="3989" spans="5:7" x14ac:dyDescent="0.35">
      <c r="E3989" s="9">
        <v>43801</v>
      </c>
      <c r="F3989">
        <v>240.7</v>
      </c>
      <c r="G3989" t="s">
        <v>5877</v>
      </c>
    </row>
    <row r="3990" spans="5:7" x14ac:dyDescent="0.35">
      <c r="E3990" s="9">
        <v>43802</v>
      </c>
      <c r="F3990">
        <v>235.9</v>
      </c>
      <c r="G3990" t="s">
        <v>5877</v>
      </c>
    </row>
    <row r="3991" spans="5:7" x14ac:dyDescent="0.35">
      <c r="E3991" s="9">
        <v>43803</v>
      </c>
      <c r="F3991">
        <v>234.9</v>
      </c>
      <c r="G3991" t="s">
        <v>5877</v>
      </c>
    </row>
    <row r="3992" spans="5:7" x14ac:dyDescent="0.35">
      <c r="E3992" s="9">
        <v>43804</v>
      </c>
      <c r="F3992">
        <v>237.1</v>
      </c>
      <c r="G3992" t="s">
        <v>5877</v>
      </c>
    </row>
    <row r="3993" spans="5:7" x14ac:dyDescent="0.35">
      <c r="E3993" s="9">
        <v>43805</v>
      </c>
      <c r="F3993">
        <v>244.4</v>
      </c>
      <c r="G3993" t="s">
        <v>5877</v>
      </c>
    </row>
    <row r="3994" spans="5:7" x14ac:dyDescent="0.35">
      <c r="E3994" s="9">
        <v>43806</v>
      </c>
      <c r="F3994">
        <v>251</v>
      </c>
      <c r="G3994" t="s">
        <v>5877</v>
      </c>
    </row>
    <row r="3995" spans="5:7" x14ac:dyDescent="0.35">
      <c r="E3995" s="9">
        <v>43807</v>
      </c>
      <c r="F3995">
        <v>249.9</v>
      </c>
      <c r="G3995" t="s">
        <v>5877</v>
      </c>
    </row>
    <row r="3996" spans="5:7" x14ac:dyDescent="0.35">
      <c r="E3996" s="9">
        <v>43808</v>
      </c>
      <c r="F3996">
        <v>243.4</v>
      </c>
      <c r="G3996" t="s">
        <v>5877</v>
      </c>
    </row>
    <row r="3997" spans="5:7" x14ac:dyDescent="0.35">
      <c r="E3997" s="9">
        <v>43809</v>
      </c>
      <c r="F3997">
        <v>234.4</v>
      </c>
      <c r="G3997" t="s">
        <v>5877</v>
      </c>
    </row>
    <row r="3998" spans="5:7" x14ac:dyDescent="0.35">
      <c r="E3998" s="9">
        <v>43810</v>
      </c>
      <c r="F3998">
        <v>218.6</v>
      </c>
      <c r="G3998" t="s">
        <v>5877</v>
      </c>
    </row>
    <row r="3999" spans="5:7" x14ac:dyDescent="0.35">
      <c r="E3999" s="9">
        <v>43811</v>
      </c>
      <c r="F3999">
        <v>201.3</v>
      </c>
      <c r="G3999" t="s">
        <v>5877</v>
      </c>
    </row>
    <row r="4000" spans="5:7" x14ac:dyDescent="0.35">
      <c r="E4000" s="9">
        <v>43812</v>
      </c>
      <c r="F4000">
        <v>185.6</v>
      </c>
      <c r="G4000" t="s">
        <v>5877</v>
      </c>
    </row>
    <row r="4001" spans="5:7" x14ac:dyDescent="0.35">
      <c r="E4001" s="9">
        <v>43813</v>
      </c>
      <c r="F4001">
        <v>176</v>
      </c>
      <c r="G4001" t="s">
        <v>5877</v>
      </c>
    </row>
    <row r="4002" spans="5:7" x14ac:dyDescent="0.35">
      <c r="E4002" s="9">
        <v>43814</v>
      </c>
      <c r="F4002">
        <v>178.6</v>
      </c>
      <c r="G4002" t="s">
        <v>5877</v>
      </c>
    </row>
    <row r="4003" spans="5:7" x14ac:dyDescent="0.35">
      <c r="E4003" s="9">
        <v>43815</v>
      </c>
      <c r="F4003">
        <v>189.5</v>
      </c>
      <c r="G4003" t="s">
        <v>5877</v>
      </c>
    </row>
    <row r="4004" spans="5:7" x14ac:dyDescent="0.35">
      <c r="E4004" s="9">
        <v>43816</v>
      </c>
      <c r="F4004">
        <v>198.5</v>
      </c>
      <c r="G4004" t="s">
        <v>5877</v>
      </c>
    </row>
    <row r="4005" spans="5:7" x14ac:dyDescent="0.35">
      <c r="E4005" s="9">
        <v>43817</v>
      </c>
      <c r="F4005">
        <v>206.2</v>
      </c>
      <c r="G4005" t="s">
        <v>5877</v>
      </c>
    </row>
    <row r="4006" spans="5:7" x14ac:dyDescent="0.35">
      <c r="E4006" s="9">
        <v>43818</v>
      </c>
      <c r="F4006">
        <v>220.9</v>
      </c>
      <c r="G4006" t="s">
        <v>5877</v>
      </c>
    </row>
    <row r="4007" spans="5:7" x14ac:dyDescent="0.35">
      <c r="E4007" s="9">
        <v>43819</v>
      </c>
      <c r="F4007">
        <v>238</v>
      </c>
      <c r="G4007" t="s">
        <v>5877</v>
      </c>
    </row>
    <row r="4008" spans="5:7" x14ac:dyDescent="0.35">
      <c r="E4008" s="9">
        <v>43820</v>
      </c>
      <c r="F4008">
        <v>249.2</v>
      </c>
      <c r="G4008" t="s">
        <v>5877</v>
      </c>
    </row>
    <row r="4009" spans="5:7" x14ac:dyDescent="0.35">
      <c r="E4009" s="9">
        <v>43821</v>
      </c>
      <c r="F4009">
        <v>251.1</v>
      </c>
      <c r="G4009" t="s">
        <v>5877</v>
      </c>
    </row>
    <row r="4010" spans="5:7" x14ac:dyDescent="0.35">
      <c r="E4010" s="9">
        <v>43822</v>
      </c>
      <c r="F4010">
        <v>248.6</v>
      </c>
      <c r="G4010" t="s">
        <v>5877</v>
      </c>
    </row>
    <row r="4011" spans="5:7" x14ac:dyDescent="0.35">
      <c r="E4011" s="9">
        <v>43823</v>
      </c>
      <c r="F4011">
        <v>236.9</v>
      </c>
      <c r="G4011" t="s">
        <v>5877</v>
      </c>
    </row>
    <row r="4012" spans="5:7" x14ac:dyDescent="0.35">
      <c r="E4012" s="9">
        <v>43824</v>
      </c>
      <c r="F4012">
        <v>222.8</v>
      </c>
      <c r="G4012" t="s">
        <v>5877</v>
      </c>
    </row>
    <row r="4013" spans="5:7" x14ac:dyDescent="0.35">
      <c r="E4013" s="9">
        <v>43825</v>
      </c>
      <c r="F4013">
        <v>206.6</v>
      </c>
      <c r="G4013" t="s">
        <v>5877</v>
      </c>
    </row>
    <row r="4014" spans="5:7" x14ac:dyDescent="0.35">
      <c r="E4014" s="9">
        <v>43826</v>
      </c>
      <c r="F4014">
        <v>190.5</v>
      </c>
      <c r="G4014" t="s">
        <v>5877</v>
      </c>
    </row>
    <row r="4015" spans="5:7" x14ac:dyDescent="0.35">
      <c r="E4015" s="9">
        <v>43827</v>
      </c>
      <c r="F4015">
        <v>177.4</v>
      </c>
      <c r="G4015" t="s">
        <v>5877</v>
      </c>
    </row>
    <row r="4016" spans="5:7" x14ac:dyDescent="0.35">
      <c r="E4016" s="9">
        <v>43828</v>
      </c>
      <c r="F4016">
        <v>175.5</v>
      </c>
      <c r="G4016" t="s">
        <v>5877</v>
      </c>
    </row>
    <row r="4017" spans="5:7" x14ac:dyDescent="0.35">
      <c r="E4017" s="9">
        <v>43829</v>
      </c>
      <c r="F4017">
        <v>187.7</v>
      </c>
      <c r="G4017" t="s">
        <v>5877</v>
      </c>
    </row>
    <row r="4018" spans="5:7" x14ac:dyDescent="0.35">
      <c r="E4018" s="9">
        <v>43830</v>
      </c>
      <c r="F4018">
        <v>207.8</v>
      </c>
      <c r="G4018" t="s">
        <v>5877</v>
      </c>
    </row>
    <row r="4019" spans="5:7" x14ac:dyDescent="0.35">
      <c r="E4019" s="9">
        <v>43831</v>
      </c>
      <c r="F4019">
        <v>219.2</v>
      </c>
      <c r="G4019" t="s">
        <v>5877</v>
      </c>
    </row>
    <row r="4020" spans="5:7" x14ac:dyDescent="0.35">
      <c r="E4020" s="9">
        <v>43832</v>
      </c>
      <c r="F4020">
        <v>221.4</v>
      </c>
      <c r="G4020" t="s">
        <v>5877</v>
      </c>
    </row>
    <row r="4021" spans="5:7" x14ac:dyDescent="0.35">
      <c r="E4021" s="9">
        <v>43833</v>
      </c>
      <c r="F4021">
        <v>225.3</v>
      </c>
      <c r="G4021" t="s">
        <v>5877</v>
      </c>
    </row>
    <row r="4022" spans="5:7" x14ac:dyDescent="0.35">
      <c r="E4022" s="9">
        <v>43834</v>
      </c>
      <c r="F4022">
        <v>236.1</v>
      </c>
      <c r="G4022" t="s">
        <v>5877</v>
      </c>
    </row>
    <row r="4023" spans="5:7" x14ac:dyDescent="0.35">
      <c r="E4023" s="9">
        <v>43835</v>
      </c>
      <c r="F4023">
        <v>251</v>
      </c>
      <c r="G4023" t="s">
        <v>5877</v>
      </c>
    </row>
    <row r="4024" spans="5:7" x14ac:dyDescent="0.35">
      <c r="E4024" s="9">
        <v>43836</v>
      </c>
      <c r="F4024">
        <v>256.60000000000002</v>
      </c>
      <c r="G4024" t="s">
        <v>5877</v>
      </c>
    </row>
    <row r="4025" spans="5:7" x14ac:dyDescent="0.35">
      <c r="E4025" s="9">
        <v>43837</v>
      </c>
      <c r="F4025">
        <v>257.5</v>
      </c>
      <c r="G4025" t="s">
        <v>5877</v>
      </c>
    </row>
    <row r="4026" spans="5:7" x14ac:dyDescent="0.35">
      <c r="E4026" s="9">
        <v>43838</v>
      </c>
      <c r="F4026">
        <v>253.6</v>
      </c>
      <c r="G4026" t="s">
        <v>5877</v>
      </c>
    </row>
    <row r="4027" spans="5:7" x14ac:dyDescent="0.35">
      <c r="E4027" s="9">
        <v>43839</v>
      </c>
      <c r="F4027">
        <v>249.1</v>
      </c>
      <c r="G4027" t="s">
        <v>5877</v>
      </c>
    </row>
    <row r="4028" spans="5:7" x14ac:dyDescent="0.35">
      <c r="E4028" s="9">
        <v>43840</v>
      </c>
      <c r="F4028">
        <v>241.3</v>
      </c>
      <c r="G4028" t="s">
        <v>5877</v>
      </c>
    </row>
    <row r="4029" spans="5:7" x14ac:dyDescent="0.35">
      <c r="E4029" s="9">
        <v>43841</v>
      </c>
      <c r="F4029">
        <v>229.7</v>
      </c>
      <c r="G4029" t="s">
        <v>5877</v>
      </c>
    </row>
    <row r="4030" spans="5:7" x14ac:dyDescent="0.35">
      <c r="E4030" s="9">
        <v>43842</v>
      </c>
      <c r="F4030">
        <v>216</v>
      </c>
      <c r="G4030" t="s">
        <v>5877</v>
      </c>
    </row>
    <row r="4031" spans="5:7" x14ac:dyDescent="0.35">
      <c r="E4031" s="9">
        <v>43843</v>
      </c>
      <c r="F4031">
        <v>196.6</v>
      </c>
      <c r="G4031" t="s">
        <v>5877</v>
      </c>
    </row>
    <row r="4032" spans="5:7" x14ac:dyDescent="0.35">
      <c r="E4032" s="9">
        <v>43844</v>
      </c>
      <c r="F4032">
        <v>179</v>
      </c>
      <c r="G4032" t="s">
        <v>5877</v>
      </c>
    </row>
    <row r="4033" spans="5:7" x14ac:dyDescent="0.35">
      <c r="E4033" s="9">
        <v>43845</v>
      </c>
      <c r="F4033">
        <v>172.8</v>
      </c>
      <c r="G4033" t="s">
        <v>5877</v>
      </c>
    </row>
    <row r="4034" spans="5:7" x14ac:dyDescent="0.35">
      <c r="E4034" s="9">
        <v>43846</v>
      </c>
      <c r="F4034">
        <v>180.4</v>
      </c>
      <c r="G4034" t="s">
        <v>5877</v>
      </c>
    </row>
    <row r="4035" spans="5:7" x14ac:dyDescent="0.35">
      <c r="E4035" s="9">
        <v>43847</v>
      </c>
      <c r="F4035">
        <v>195.3</v>
      </c>
      <c r="G4035" t="s">
        <v>5877</v>
      </c>
    </row>
    <row r="4036" spans="5:7" x14ac:dyDescent="0.35">
      <c r="E4036" s="9">
        <v>43848</v>
      </c>
      <c r="F4036">
        <v>203.6</v>
      </c>
      <c r="G4036" t="s">
        <v>5877</v>
      </c>
    </row>
    <row r="4037" spans="5:7" x14ac:dyDescent="0.35">
      <c r="E4037" s="9">
        <v>43849</v>
      </c>
      <c r="F4037">
        <v>205.8</v>
      </c>
      <c r="G4037" t="s">
        <v>5877</v>
      </c>
    </row>
    <row r="4038" spans="5:7" x14ac:dyDescent="0.35">
      <c r="E4038" s="9">
        <v>43850</v>
      </c>
      <c r="F4038">
        <v>197.2</v>
      </c>
      <c r="G4038" t="s">
        <v>5877</v>
      </c>
    </row>
    <row r="4039" spans="5:7" x14ac:dyDescent="0.35">
      <c r="E4039" s="9">
        <v>43851</v>
      </c>
      <c r="F4039">
        <v>189.5</v>
      </c>
      <c r="G4039" t="s">
        <v>5877</v>
      </c>
    </row>
    <row r="4040" spans="5:7" x14ac:dyDescent="0.35">
      <c r="E4040" s="9">
        <v>43852</v>
      </c>
      <c r="F4040">
        <v>191.4</v>
      </c>
      <c r="G4040" t="s">
        <v>5877</v>
      </c>
    </row>
    <row r="4041" spans="5:7" x14ac:dyDescent="0.35">
      <c r="E4041" s="9">
        <v>43853</v>
      </c>
      <c r="F4041">
        <v>198.5</v>
      </c>
      <c r="G4041" t="s">
        <v>5877</v>
      </c>
    </row>
    <row r="4042" spans="5:7" x14ac:dyDescent="0.35">
      <c r="E4042" s="9">
        <v>43854</v>
      </c>
      <c r="F4042">
        <v>199.8</v>
      </c>
      <c r="G4042" t="s">
        <v>5877</v>
      </c>
    </row>
    <row r="4043" spans="5:7" x14ac:dyDescent="0.35">
      <c r="E4043" s="9">
        <v>43855</v>
      </c>
      <c r="F4043">
        <v>192.8</v>
      </c>
      <c r="G4043" t="s">
        <v>5877</v>
      </c>
    </row>
    <row r="4044" spans="5:7" x14ac:dyDescent="0.35">
      <c r="E4044" s="9">
        <v>43856</v>
      </c>
      <c r="F4044">
        <v>179.4</v>
      </c>
      <c r="G4044" t="s">
        <v>5877</v>
      </c>
    </row>
    <row r="4045" spans="5:7" x14ac:dyDescent="0.35">
      <c r="E4045" s="9">
        <v>43857</v>
      </c>
      <c r="F4045">
        <v>173.6</v>
      </c>
      <c r="G4045" t="s">
        <v>5877</v>
      </c>
    </row>
    <row r="4046" spans="5:7" x14ac:dyDescent="0.35">
      <c r="E4046" s="9">
        <v>43858</v>
      </c>
      <c r="F4046">
        <v>182.4</v>
      </c>
      <c r="G4046" t="s">
        <v>5877</v>
      </c>
    </row>
    <row r="4047" spans="5:7" x14ac:dyDescent="0.35">
      <c r="E4047" s="9">
        <v>43859</v>
      </c>
      <c r="F4047">
        <v>197.3</v>
      </c>
      <c r="G4047" t="s">
        <v>5877</v>
      </c>
    </row>
    <row r="4048" spans="5:7" x14ac:dyDescent="0.35">
      <c r="E4048" s="9">
        <v>43860</v>
      </c>
      <c r="F4048">
        <v>200.6</v>
      </c>
      <c r="G4048" t="s">
        <v>5877</v>
      </c>
    </row>
    <row r="4049" spans="5:7" x14ac:dyDescent="0.35">
      <c r="E4049" s="9">
        <v>43861</v>
      </c>
      <c r="F4049">
        <v>193.4</v>
      </c>
      <c r="G4049" t="s">
        <v>5877</v>
      </c>
    </row>
    <row r="4050" spans="5:7" x14ac:dyDescent="0.35">
      <c r="E4050" s="9">
        <v>43862</v>
      </c>
      <c r="F4050">
        <v>180.6</v>
      </c>
      <c r="G4050" t="s">
        <v>5877</v>
      </c>
    </row>
    <row r="4051" spans="5:7" x14ac:dyDescent="0.35">
      <c r="E4051" s="9">
        <v>43863</v>
      </c>
      <c r="F4051">
        <v>153.1</v>
      </c>
      <c r="G4051" t="s">
        <v>5877</v>
      </c>
    </row>
    <row r="4052" spans="5:7" x14ac:dyDescent="0.35">
      <c r="E4052" s="9">
        <v>43864</v>
      </c>
      <c r="F4052">
        <v>149.6</v>
      </c>
      <c r="G4052" t="s">
        <v>5877</v>
      </c>
    </row>
    <row r="4053" spans="5:7" x14ac:dyDescent="0.35">
      <c r="E4053" s="9">
        <v>43865</v>
      </c>
      <c r="F4053">
        <v>149.6</v>
      </c>
      <c r="G4053" t="s">
        <v>5877</v>
      </c>
    </row>
    <row r="4054" spans="5:7" x14ac:dyDescent="0.35">
      <c r="E4054" s="9">
        <v>43866</v>
      </c>
      <c r="F4054">
        <v>155.6</v>
      </c>
      <c r="G4054" t="s">
        <v>5877</v>
      </c>
    </row>
    <row r="4055" spans="5:7" x14ac:dyDescent="0.35">
      <c r="E4055" s="9">
        <v>43867</v>
      </c>
      <c r="F4055">
        <v>162.80000000000001</v>
      </c>
      <c r="G4055" t="s">
        <v>5877</v>
      </c>
    </row>
    <row r="4056" spans="5:7" x14ac:dyDescent="0.35">
      <c r="E4056" s="9">
        <v>43868</v>
      </c>
      <c r="F4056">
        <v>160.6</v>
      </c>
      <c r="G4056" t="s">
        <v>5877</v>
      </c>
    </row>
    <row r="4057" spans="5:7" x14ac:dyDescent="0.35">
      <c r="E4057" s="9">
        <v>43869</v>
      </c>
      <c r="F4057">
        <v>157.9</v>
      </c>
      <c r="G4057" t="s">
        <v>5877</v>
      </c>
    </row>
    <row r="4058" spans="5:7" x14ac:dyDescent="0.35">
      <c r="E4058" s="9">
        <v>43870</v>
      </c>
      <c r="F4058">
        <v>157.80000000000001</v>
      </c>
      <c r="G4058" t="s">
        <v>5877</v>
      </c>
    </row>
    <row r="4059" spans="5:7" x14ac:dyDescent="0.35">
      <c r="E4059" s="9">
        <v>43871</v>
      </c>
      <c r="F4059">
        <v>160.69999999999999</v>
      </c>
      <c r="G4059" t="s">
        <v>5877</v>
      </c>
    </row>
    <row r="4060" spans="5:7" x14ac:dyDescent="0.35">
      <c r="E4060" s="9">
        <v>43872</v>
      </c>
      <c r="F4060">
        <v>162.80000000000001</v>
      </c>
      <c r="G4060" t="s">
        <v>5877</v>
      </c>
    </row>
    <row r="4061" spans="5:7" x14ac:dyDescent="0.35">
      <c r="E4061" s="9">
        <v>43873</v>
      </c>
      <c r="F4061">
        <v>161.4</v>
      </c>
      <c r="G4061" t="s">
        <v>5877</v>
      </c>
    </row>
    <row r="4062" spans="5:7" x14ac:dyDescent="0.35">
      <c r="E4062" s="9">
        <v>43874</v>
      </c>
      <c r="F4062">
        <v>154.4</v>
      </c>
      <c r="G4062" t="s">
        <v>5877</v>
      </c>
    </row>
    <row r="4063" spans="5:7" x14ac:dyDescent="0.35">
      <c r="E4063" s="9">
        <v>43875</v>
      </c>
      <c r="F4063">
        <v>147.5</v>
      </c>
      <c r="G4063" t="s">
        <v>5877</v>
      </c>
    </row>
    <row r="4064" spans="5:7" x14ac:dyDescent="0.35">
      <c r="E4064" s="9">
        <v>43876</v>
      </c>
      <c r="F4064">
        <v>144.9</v>
      </c>
      <c r="G4064" t="s">
        <v>5877</v>
      </c>
    </row>
    <row r="4065" spans="5:7" x14ac:dyDescent="0.35">
      <c r="E4065" s="9">
        <v>43877</v>
      </c>
      <c r="F4065">
        <v>145.6</v>
      </c>
      <c r="G4065" t="s">
        <v>5877</v>
      </c>
    </row>
    <row r="4066" spans="5:7" x14ac:dyDescent="0.35">
      <c r="E4066" s="9">
        <v>43878</v>
      </c>
      <c r="F4066">
        <v>154.4</v>
      </c>
      <c r="G4066" t="s">
        <v>5877</v>
      </c>
    </row>
    <row r="4067" spans="5:7" x14ac:dyDescent="0.35">
      <c r="E4067" s="9">
        <v>43879</v>
      </c>
      <c r="F4067">
        <v>165.2</v>
      </c>
      <c r="G4067" t="s">
        <v>5877</v>
      </c>
    </row>
    <row r="4068" spans="5:7" x14ac:dyDescent="0.35">
      <c r="E4068" s="9">
        <v>43880</v>
      </c>
      <c r="F4068">
        <v>172.2</v>
      </c>
      <c r="G4068" t="s">
        <v>5877</v>
      </c>
    </row>
    <row r="4069" spans="5:7" x14ac:dyDescent="0.35">
      <c r="E4069" s="9">
        <v>43881</v>
      </c>
      <c r="F4069">
        <v>171.1</v>
      </c>
      <c r="G4069" t="s">
        <v>5877</v>
      </c>
    </row>
    <row r="4070" spans="5:7" x14ac:dyDescent="0.35">
      <c r="E4070" s="9">
        <v>43882</v>
      </c>
      <c r="F4070">
        <v>164.2</v>
      </c>
      <c r="G4070" t="s">
        <v>5877</v>
      </c>
    </row>
    <row r="4071" spans="5:7" x14ac:dyDescent="0.35">
      <c r="E4071" s="9">
        <v>43883</v>
      </c>
      <c r="F4071">
        <v>152.80000000000001</v>
      </c>
      <c r="G4071" t="s">
        <v>5877</v>
      </c>
    </row>
    <row r="4072" spans="5:7" x14ac:dyDescent="0.35">
      <c r="E4072" s="9">
        <v>43884</v>
      </c>
      <c r="F4072">
        <v>150.6</v>
      </c>
      <c r="G4072" t="s">
        <v>5877</v>
      </c>
    </row>
    <row r="4073" spans="5:7" x14ac:dyDescent="0.35">
      <c r="E4073" s="9">
        <v>43885</v>
      </c>
      <c r="F4073">
        <v>165.9</v>
      </c>
      <c r="G4073" t="s">
        <v>5877</v>
      </c>
    </row>
    <row r="4074" spans="5:7" x14ac:dyDescent="0.35">
      <c r="E4074" s="9">
        <v>43886</v>
      </c>
      <c r="F4074">
        <v>190.9</v>
      </c>
      <c r="G4074" t="s">
        <v>5877</v>
      </c>
    </row>
    <row r="4075" spans="5:7" x14ac:dyDescent="0.35">
      <c r="E4075" s="9">
        <v>43887</v>
      </c>
      <c r="F4075">
        <v>202.5</v>
      </c>
      <c r="G4075" t="s">
        <v>5877</v>
      </c>
    </row>
    <row r="4076" spans="5:7" x14ac:dyDescent="0.35">
      <c r="E4076" s="9">
        <v>43888</v>
      </c>
      <c r="F4076">
        <v>203.9</v>
      </c>
      <c r="G4076" t="s">
        <v>5877</v>
      </c>
    </row>
    <row r="4077" spans="5:7" x14ac:dyDescent="0.35">
      <c r="E4077" s="9">
        <v>43889</v>
      </c>
      <c r="F4077">
        <v>199.1</v>
      </c>
      <c r="G4077" t="s">
        <v>5877</v>
      </c>
    </row>
    <row r="4078" spans="5:7" x14ac:dyDescent="0.35">
      <c r="E4078" s="9">
        <v>43890</v>
      </c>
      <c r="F4078">
        <v>190.8</v>
      </c>
      <c r="G4078" t="s">
        <v>5877</v>
      </c>
    </row>
    <row r="4079" spans="5:7" x14ac:dyDescent="0.35">
      <c r="E4079" s="9">
        <v>43891</v>
      </c>
      <c r="F4079">
        <v>181.4</v>
      </c>
      <c r="G4079" t="s">
        <v>5877</v>
      </c>
    </row>
    <row r="4080" spans="5:7" x14ac:dyDescent="0.35">
      <c r="E4080" s="9">
        <v>43892</v>
      </c>
      <c r="F4080">
        <v>182.3</v>
      </c>
      <c r="G4080" t="s">
        <v>5877</v>
      </c>
    </row>
    <row r="4081" spans="5:7" x14ac:dyDescent="0.35">
      <c r="E4081" s="9">
        <v>43893</v>
      </c>
      <c r="F4081">
        <v>178.2</v>
      </c>
      <c r="G4081" t="s">
        <v>5877</v>
      </c>
    </row>
    <row r="4082" spans="5:7" x14ac:dyDescent="0.35">
      <c r="E4082" s="9">
        <v>43894</v>
      </c>
      <c r="F4082">
        <v>174.2</v>
      </c>
      <c r="G4082" t="s">
        <v>5877</v>
      </c>
    </row>
    <row r="4083" spans="5:7" x14ac:dyDescent="0.35">
      <c r="E4083" s="9">
        <v>43895</v>
      </c>
      <c r="F4083">
        <v>169.7</v>
      </c>
      <c r="G4083" t="s">
        <v>5877</v>
      </c>
    </row>
    <row r="4084" spans="5:7" x14ac:dyDescent="0.35">
      <c r="E4084" s="9">
        <v>43896</v>
      </c>
      <c r="F4084">
        <v>162.80000000000001</v>
      </c>
      <c r="G4084" t="s">
        <v>5877</v>
      </c>
    </row>
    <row r="4085" spans="5:7" x14ac:dyDescent="0.35">
      <c r="E4085" s="9">
        <v>43897</v>
      </c>
      <c r="F4085">
        <v>157.5</v>
      </c>
      <c r="G4085" t="s">
        <v>5877</v>
      </c>
    </row>
    <row r="4086" spans="5:7" x14ac:dyDescent="0.35">
      <c r="E4086" s="9">
        <v>43898</v>
      </c>
      <c r="F4086">
        <v>161.30000000000001</v>
      </c>
      <c r="G4086" t="s">
        <v>5877</v>
      </c>
    </row>
    <row r="4087" spans="5:7" x14ac:dyDescent="0.35">
      <c r="E4087" s="9">
        <v>43899</v>
      </c>
      <c r="F4087">
        <v>178</v>
      </c>
      <c r="G4087" t="s">
        <v>5877</v>
      </c>
    </row>
    <row r="4088" spans="5:7" x14ac:dyDescent="0.35">
      <c r="E4088" s="9">
        <v>43900</v>
      </c>
      <c r="F4088">
        <v>201.6</v>
      </c>
      <c r="G4088" t="s">
        <v>5877</v>
      </c>
    </row>
    <row r="4089" spans="5:7" x14ac:dyDescent="0.35">
      <c r="E4089" s="9">
        <v>43901</v>
      </c>
      <c r="F4089">
        <v>216.9</v>
      </c>
      <c r="G4089" t="s">
        <v>5877</v>
      </c>
    </row>
    <row r="4090" spans="5:7" x14ac:dyDescent="0.35">
      <c r="E4090" s="9">
        <v>43902</v>
      </c>
      <c r="F4090">
        <v>227.4</v>
      </c>
      <c r="G4090" t="s">
        <v>5877</v>
      </c>
    </row>
    <row r="4091" spans="5:7" x14ac:dyDescent="0.35">
      <c r="E4091" s="9">
        <v>43903</v>
      </c>
      <c r="F4091">
        <v>230.5</v>
      </c>
      <c r="G4091" t="s">
        <v>5877</v>
      </c>
    </row>
    <row r="4092" spans="5:7" x14ac:dyDescent="0.35">
      <c r="E4092" s="9">
        <v>43904</v>
      </c>
      <c r="F4092">
        <v>224.6</v>
      </c>
      <c r="G4092" t="s">
        <v>5877</v>
      </c>
    </row>
    <row r="4093" spans="5:7" x14ac:dyDescent="0.35">
      <c r="E4093" s="9">
        <v>43905</v>
      </c>
      <c r="F4093">
        <v>216.4</v>
      </c>
      <c r="G4093" t="s">
        <v>5877</v>
      </c>
    </row>
    <row r="4094" spans="5:7" x14ac:dyDescent="0.35">
      <c r="E4094" s="9">
        <v>43906</v>
      </c>
      <c r="F4094">
        <v>209.8</v>
      </c>
      <c r="G4094" t="s">
        <v>5877</v>
      </c>
    </row>
    <row r="4095" spans="5:7" x14ac:dyDescent="0.35">
      <c r="E4095" s="9">
        <v>43907</v>
      </c>
      <c r="F4095">
        <v>204.8</v>
      </c>
      <c r="G4095" t="s">
        <v>5877</v>
      </c>
    </row>
    <row r="4096" spans="5:7" x14ac:dyDescent="0.35">
      <c r="E4096" s="9">
        <v>43908</v>
      </c>
      <c r="F4096">
        <v>202.8</v>
      </c>
      <c r="G4096" t="s">
        <v>5877</v>
      </c>
    </row>
    <row r="4097" spans="5:7" x14ac:dyDescent="0.35">
      <c r="E4097" s="9">
        <v>43909</v>
      </c>
      <c r="F4097">
        <v>194.3</v>
      </c>
      <c r="G4097" t="s">
        <v>5877</v>
      </c>
    </row>
    <row r="4098" spans="5:7" x14ac:dyDescent="0.35">
      <c r="E4098" s="9">
        <v>43910</v>
      </c>
      <c r="F4098">
        <v>184.5</v>
      </c>
      <c r="G4098" t="s">
        <v>5877</v>
      </c>
    </row>
    <row r="4099" spans="5:7" x14ac:dyDescent="0.35">
      <c r="E4099" s="9">
        <v>43911</v>
      </c>
      <c r="F4099">
        <v>185.2</v>
      </c>
      <c r="G4099" t="s">
        <v>5877</v>
      </c>
    </row>
    <row r="4100" spans="5:7" x14ac:dyDescent="0.35">
      <c r="E4100" s="9">
        <v>43912</v>
      </c>
      <c r="F4100">
        <v>196.5</v>
      </c>
      <c r="G4100" t="s">
        <v>5877</v>
      </c>
    </row>
    <row r="4101" spans="5:7" x14ac:dyDescent="0.35">
      <c r="E4101" s="9">
        <v>43913</v>
      </c>
      <c r="F4101">
        <v>206</v>
      </c>
      <c r="G4101" t="s">
        <v>5877</v>
      </c>
    </row>
    <row r="4102" spans="5:7" x14ac:dyDescent="0.35">
      <c r="E4102" s="9">
        <v>43914</v>
      </c>
      <c r="F4102">
        <v>206.5</v>
      </c>
      <c r="G4102" t="s">
        <v>5877</v>
      </c>
    </row>
    <row r="4103" spans="5:7" x14ac:dyDescent="0.35">
      <c r="E4103" s="9">
        <v>43915</v>
      </c>
      <c r="F4103">
        <v>203</v>
      </c>
      <c r="G4103" t="s">
        <v>5877</v>
      </c>
    </row>
    <row r="4104" spans="5:7" x14ac:dyDescent="0.35">
      <c r="E4104" s="9">
        <v>43916</v>
      </c>
      <c r="F4104">
        <v>203.7</v>
      </c>
      <c r="G4104" t="s">
        <v>5877</v>
      </c>
    </row>
    <row r="4105" spans="5:7" x14ac:dyDescent="0.35">
      <c r="E4105" s="9">
        <v>43917</v>
      </c>
      <c r="F4105">
        <v>205.8</v>
      </c>
      <c r="G4105" t="s">
        <v>5877</v>
      </c>
    </row>
    <row r="4106" spans="5:7" x14ac:dyDescent="0.35">
      <c r="E4106" s="9">
        <v>43918</v>
      </c>
      <c r="F4106">
        <v>202.1</v>
      </c>
      <c r="G4106" t="s">
        <v>5877</v>
      </c>
    </row>
    <row r="4107" spans="5:7" x14ac:dyDescent="0.35">
      <c r="E4107" s="9">
        <v>43919</v>
      </c>
      <c r="F4107">
        <v>193.6</v>
      </c>
      <c r="G4107" t="s">
        <v>5877</v>
      </c>
    </row>
    <row r="4108" spans="5:7" x14ac:dyDescent="0.35">
      <c r="E4108" s="9">
        <v>43920</v>
      </c>
      <c r="F4108">
        <v>183.6</v>
      </c>
      <c r="G4108" t="s">
        <v>5877</v>
      </c>
    </row>
    <row r="4109" spans="5:7" x14ac:dyDescent="0.35">
      <c r="E4109" s="9">
        <v>43921</v>
      </c>
      <c r="F4109">
        <v>176.3</v>
      </c>
      <c r="G4109" t="s">
        <v>5877</v>
      </c>
    </row>
    <row r="4110" spans="5:7" x14ac:dyDescent="0.35">
      <c r="E4110" s="9">
        <v>43922</v>
      </c>
      <c r="F4110">
        <v>169</v>
      </c>
      <c r="G4110" t="s">
        <v>5877</v>
      </c>
    </row>
    <row r="4111" spans="5:7" x14ac:dyDescent="0.35">
      <c r="E4111" s="9">
        <v>43923</v>
      </c>
      <c r="F4111">
        <v>177.3</v>
      </c>
      <c r="G4111" t="s">
        <v>5877</v>
      </c>
    </row>
    <row r="4112" spans="5:7" x14ac:dyDescent="0.35">
      <c r="E4112" s="9">
        <v>43924</v>
      </c>
      <c r="F4112">
        <v>184.8</v>
      </c>
      <c r="G4112" t="s">
        <v>5877</v>
      </c>
    </row>
    <row r="4113" spans="5:7" x14ac:dyDescent="0.35">
      <c r="E4113" s="9">
        <v>43925</v>
      </c>
      <c r="F4113">
        <v>192.4</v>
      </c>
      <c r="G4113" t="s">
        <v>5877</v>
      </c>
    </row>
    <row r="4114" spans="5:7" x14ac:dyDescent="0.35">
      <c r="E4114" s="9">
        <v>43926</v>
      </c>
      <c r="F4114">
        <v>192.7</v>
      </c>
      <c r="G4114" t="s">
        <v>5877</v>
      </c>
    </row>
    <row r="4115" spans="5:7" x14ac:dyDescent="0.35">
      <c r="E4115" s="9">
        <v>43927</v>
      </c>
      <c r="F4115">
        <v>192.1</v>
      </c>
      <c r="G4115" t="s">
        <v>5877</v>
      </c>
    </row>
    <row r="4116" spans="5:7" x14ac:dyDescent="0.35">
      <c r="E4116" s="9">
        <v>43928</v>
      </c>
      <c r="F4116">
        <v>193.8</v>
      </c>
      <c r="G4116" t="s">
        <v>5877</v>
      </c>
    </row>
    <row r="4117" spans="5:7" x14ac:dyDescent="0.35">
      <c r="E4117" s="9">
        <v>43929</v>
      </c>
      <c r="F4117">
        <v>193.1</v>
      </c>
      <c r="G4117" t="s">
        <v>5877</v>
      </c>
    </row>
    <row r="4118" spans="5:7" x14ac:dyDescent="0.35">
      <c r="E4118" s="9">
        <v>43930</v>
      </c>
      <c r="F4118">
        <v>193.2</v>
      </c>
      <c r="G4118" t="s">
        <v>5877</v>
      </c>
    </row>
    <row r="4119" spans="5:7" x14ac:dyDescent="0.35">
      <c r="E4119" s="9">
        <v>43931</v>
      </c>
      <c r="F4119">
        <v>196.1</v>
      </c>
      <c r="G4119" t="s">
        <v>5877</v>
      </c>
    </row>
    <row r="4120" spans="5:7" x14ac:dyDescent="0.35">
      <c r="E4120" s="9">
        <v>43932</v>
      </c>
      <c r="F4120">
        <v>200.1</v>
      </c>
      <c r="G4120" t="s">
        <v>5877</v>
      </c>
    </row>
    <row r="4121" spans="5:7" x14ac:dyDescent="0.35">
      <c r="E4121" s="9">
        <v>43933</v>
      </c>
      <c r="F4121">
        <v>199.6</v>
      </c>
      <c r="G4121" t="s">
        <v>5877</v>
      </c>
    </row>
    <row r="4122" spans="5:7" x14ac:dyDescent="0.35">
      <c r="E4122" s="9">
        <v>43934</v>
      </c>
      <c r="F4122">
        <v>200.3</v>
      </c>
      <c r="G4122" t="s">
        <v>5877</v>
      </c>
    </row>
    <row r="4123" spans="5:7" x14ac:dyDescent="0.35">
      <c r="E4123" s="9">
        <v>43935</v>
      </c>
      <c r="F4123">
        <v>207.3</v>
      </c>
      <c r="G4123" t="s">
        <v>5877</v>
      </c>
    </row>
    <row r="4124" spans="5:7" x14ac:dyDescent="0.35">
      <c r="E4124" s="9">
        <v>43936</v>
      </c>
      <c r="F4124">
        <v>213.1</v>
      </c>
      <c r="G4124" t="s">
        <v>5877</v>
      </c>
    </row>
    <row r="4125" spans="5:7" x14ac:dyDescent="0.35">
      <c r="E4125" s="9">
        <v>43937</v>
      </c>
      <c r="F4125">
        <v>211.6</v>
      </c>
      <c r="G4125" t="s">
        <v>5877</v>
      </c>
    </row>
    <row r="4126" spans="5:7" x14ac:dyDescent="0.35">
      <c r="E4126" s="9">
        <v>43938</v>
      </c>
      <c r="F4126">
        <v>215.8</v>
      </c>
      <c r="G4126" t="s">
        <v>5877</v>
      </c>
    </row>
    <row r="4127" spans="5:7" x14ac:dyDescent="0.35">
      <c r="E4127" s="9">
        <v>43939</v>
      </c>
      <c r="F4127">
        <v>232.4</v>
      </c>
      <c r="G4127" t="s">
        <v>5877</v>
      </c>
    </row>
    <row r="4128" spans="5:7" x14ac:dyDescent="0.35">
      <c r="E4128" s="9">
        <v>43940</v>
      </c>
      <c r="F4128">
        <v>251.2</v>
      </c>
      <c r="G4128" t="s">
        <v>5877</v>
      </c>
    </row>
    <row r="4129" spans="5:7" x14ac:dyDescent="0.35">
      <c r="E4129" s="9">
        <v>43941</v>
      </c>
      <c r="F4129">
        <v>260.89999999999998</v>
      </c>
      <c r="G4129" t="s">
        <v>5877</v>
      </c>
    </row>
    <row r="4130" spans="5:7" x14ac:dyDescent="0.35">
      <c r="E4130" s="9">
        <v>43942</v>
      </c>
      <c r="F4130">
        <v>256.7</v>
      </c>
      <c r="G4130" t="s">
        <v>5877</v>
      </c>
    </row>
    <row r="4131" spans="5:7" x14ac:dyDescent="0.35">
      <c r="E4131" s="9">
        <v>43943</v>
      </c>
      <c r="F4131">
        <v>247.8</v>
      </c>
      <c r="G4131" t="s">
        <v>5877</v>
      </c>
    </row>
    <row r="4132" spans="5:7" x14ac:dyDescent="0.35">
      <c r="E4132" s="9">
        <v>43944</v>
      </c>
      <c r="F4132">
        <v>240.7</v>
      </c>
      <c r="G4132" t="s">
        <v>5877</v>
      </c>
    </row>
    <row r="4133" spans="5:7" x14ac:dyDescent="0.35">
      <c r="E4133" s="9">
        <v>43945</v>
      </c>
      <c r="F4133">
        <v>225.8</v>
      </c>
      <c r="G4133" t="s">
        <v>5877</v>
      </c>
    </row>
    <row r="4134" spans="5:7" x14ac:dyDescent="0.35">
      <c r="E4134" s="9">
        <v>43946</v>
      </c>
      <c r="F4134">
        <v>205.3</v>
      </c>
      <c r="G4134" t="s">
        <v>5877</v>
      </c>
    </row>
    <row r="4135" spans="5:7" x14ac:dyDescent="0.35">
      <c r="E4135" s="9">
        <v>43947</v>
      </c>
      <c r="F4135">
        <v>184.1</v>
      </c>
      <c r="G4135" t="s">
        <v>5877</v>
      </c>
    </row>
    <row r="4136" spans="5:7" x14ac:dyDescent="0.35">
      <c r="E4136" s="9">
        <v>43948</v>
      </c>
      <c r="F4136">
        <v>170.9</v>
      </c>
      <c r="G4136" t="s">
        <v>5877</v>
      </c>
    </row>
    <row r="4137" spans="5:7" x14ac:dyDescent="0.35">
      <c r="E4137" s="9">
        <v>43949</v>
      </c>
      <c r="F4137">
        <v>171.4</v>
      </c>
      <c r="G4137" t="s">
        <v>5877</v>
      </c>
    </row>
    <row r="4138" spans="5:7" x14ac:dyDescent="0.35">
      <c r="E4138" s="9">
        <v>43950</v>
      </c>
      <c r="F4138">
        <v>179.6</v>
      </c>
      <c r="G4138" t="s">
        <v>5877</v>
      </c>
    </row>
    <row r="4139" spans="5:7" x14ac:dyDescent="0.35">
      <c r="E4139" s="9">
        <v>43951</v>
      </c>
      <c r="F4139">
        <v>186.5</v>
      </c>
      <c r="G4139" t="s">
        <v>5877</v>
      </c>
    </row>
    <row r="4140" spans="5:7" x14ac:dyDescent="0.35">
      <c r="E4140" s="9">
        <v>43952</v>
      </c>
      <c r="F4140">
        <v>192.3</v>
      </c>
      <c r="G4140" t="s">
        <v>5877</v>
      </c>
    </row>
    <row r="4141" spans="5:7" x14ac:dyDescent="0.35">
      <c r="E4141" s="9">
        <v>43953</v>
      </c>
      <c r="F4141">
        <v>204.2</v>
      </c>
      <c r="G4141" t="s">
        <v>5877</v>
      </c>
    </row>
    <row r="4142" spans="5:7" x14ac:dyDescent="0.35">
      <c r="E4142" s="9">
        <v>43954</v>
      </c>
      <c r="F4142">
        <v>215.1</v>
      </c>
      <c r="G4142" t="s">
        <v>5877</v>
      </c>
    </row>
    <row r="4143" spans="5:7" x14ac:dyDescent="0.35">
      <c r="E4143" s="9">
        <v>43955</v>
      </c>
      <c r="F4143">
        <v>218.3</v>
      </c>
      <c r="G4143" t="s">
        <v>5877</v>
      </c>
    </row>
    <row r="4144" spans="5:7" x14ac:dyDescent="0.35">
      <c r="E4144" s="9">
        <v>43956</v>
      </c>
      <c r="F4144">
        <v>208.6</v>
      </c>
      <c r="G4144" t="s">
        <v>5877</v>
      </c>
    </row>
    <row r="4145" spans="5:7" x14ac:dyDescent="0.35">
      <c r="E4145" s="9">
        <v>43957</v>
      </c>
      <c r="F4145">
        <v>195.5</v>
      </c>
      <c r="G4145" t="s">
        <v>5877</v>
      </c>
    </row>
    <row r="4146" spans="5:7" x14ac:dyDescent="0.35">
      <c r="E4146" s="9">
        <v>43958</v>
      </c>
      <c r="F4146">
        <v>185.2</v>
      </c>
      <c r="G4146" t="s">
        <v>5877</v>
      </c>
    </row>
    <row r="4147" spans="5:7" x14ac:dyDescent="0.35">
      <c r="E4147" s="9">
        <v>43959</v>
      </c>
      <c r="F4147">
        <v>175.1</v>
      </c>
      <c r="G4147" t="s">
        <v>5877</v>
      </c>
    </row>
    <row r="4148" spans="5:7" x14ac:dyDescent="0.35">
      <c r="E4148" s="9">
        <v>43960</v>
      </c>
      <c r="F4148">
        <v>165.1</v>
      </c>
      <c r="G4148" t="s">
        <v>5877</v>
      </c>
    </row>
    <row r="4149" spans="5:7" x14ac:dyDescent="0.35">
      <c r="E4149" s="9">
        <v>43961</v>
      </c>
      <c r="F4149">
        <v>155.1</v>
      </c>
      <c r="G4149" t="s">
        <v>5877</v>
      </c>
    </row>
    <row r="4150" spans="5:7" x14ac:dyDescent="0.35">
      <c r="E4150" s="9">
        <v>43962</v>
      </c>
      <c r="F4150">
        <v>146.30000000000001</v>
      </c>
      <c r="G4150" t="s">
        <v>5877</v>
      </c>
    </row>
    <row r="4151" spans="5:7" x14ac:dyDescent="0.35">
      <c r="E4151" s="9">
        <v>43963</v>
      </c>
      <c r="F4151">
        <v>141.19999999999999</v>
      </c>
      <c r="G4151" t="s">
        <v>5877</v>
      </c>
    </row>
    <row r="4152" spans="5:7" x14ac:dyDescent="0.35">
      <c r="E4152" s="9">
        <v>43964</v>
      </c>
      <c r="F4152">
        <v>142.4</v>
      </c>
      <c r="G4152" t="s">
        <v>5877</v>
      </c>
    </row>
    <row r="4153" spans="5:7" x14ac:dyDescent="0.35">
      <c r="E4153" s="9">
        <v>43965</v>
      </c>
      <c r="F4153">
        <v>149</v>
      </c>
      <c r="G4153" t="s">
        <v>5877</v>
      </c>
    </row>
    <row r="4154" spans="5:7" x14ac:dyDescent="0.35">
      <c r="E4154" s="9">
        <v>43966</v>
      </c>
      <c r="F4154">
        <v>156.1</v>
      </c>
      <c r="G4154" t="s">
        <v>5877</v>
      </c>
    </row>
    <row r="4155" spans="5:7" x14ac:dyDescent="0.35">
      <c r="E4155" s="9">
        <v>43967</v>
      </c>
      <c r="F4155">
        <v>158</v>
      </c>
      <c r="G4155" t="s">
        <v>5877</v>
      </c>
    </row>
    <row r="4156" spans="5:7" x14ac:dyDescent="0.35">
      <c r="E4156" s="9">
        <v>43968</v>
      </c>
      <c r="F4156">
        <v>155</v>
      </c>
      <c r="G4156" t="s">
        <v>5877</v>
      </c>
    </row>
    <row r="4157" spans="5:7" x14ac:dyDescent="0.35">
      <c r="E4157" s="9">
        <v>43969</v>
      </c>
      <c r="F4157">
        <v>148.30000000000001</v>
      </c>
      <c r="G4157" t="s">
        <v>5877</v>
      </c>
    </row>
    <row r="4158" spans="5:7" x14ac:dyDescent="0.35">
      <c r="E4158" s="9">
        <v>43970</v>
      </c>
      <c r="F4158">
        <v>141.30000000000001</v>
      </c>
      <c r="G4158" t="s">
        <v>5877</v>
      </c>
    </row>
    <row r="4159" spans="5:7" x14ac:dyDescent="0.35">
      <c r="E4159" s="9">
        <v>43971</v>
      </c>
      <c r="F4159">
        <v>135.80000000000001</v>
      </c>
      <c r="G4159" t="s">
        <v>5877</v>
      </c>
    </row>
    <row r="4160" spans="5:7" x14ac:dyDescent="0.35">
      <c r="E4160" s="9">
        <v>43972</v>
      </c>
      <c r="F4160">
        <v>131.9</v>
      </c>
      <c r="G4160" t="s">
        <v>5877</v>
      </c>
    </row>
    <row r="4161" spans="5:7" x14ac:dyDescent="0.35">
      <c r="E4161" s="9">
        <v>43973</v>
      </c>
      <c r="F4161">
        <v>130.19999999999999</v>
      </c>
      <c r="G4161" t="s">
        <v>5877</v>
      </c>
    </row>
    <row r="4162" spans="5:7" x14ac:dyDescent="0.35">
      <c r="E4162" s="9">
        <v>43974</v>
      </c>
      <c r="F4162">
        <v>130.1</v>
      </c>
      <c r="G4162" t="s">
        <v>5877</v>
      </c>
    </row>
    <row r="4163" spans="5:7" x14ac:dyDescent="0.35">
      <c r="E4163" s="9">
        <v>43975</v>
      </c>
      <c r="F4163">
        <v>130.5</v>
      </c>
      <c r="G4163" t="s">
        <v>5877</v>
      </c>
    </row>
    <row r="4164" spans="5:7" x14ac:dyDescent="0.35">
      <c r="E4164" s="9">
        <v>43976</v>
      </c>
      <c r="F4164">
        <v>130</v>
      </c>
      <c r="G4164" t="s">
        <v>5877</v>
      </c>
    </row>
    <row r="4165" spans="5:7" x14ac:dyDescent="0.35">
      <c r="E4165" s="9">
        <v>43977</v>
      </c>
      <c r="F4165">
        <v>128.80000000000001</v>
      </c>
      <c r="G4165" t="s">
        <v>5877</v>
      </c>
    </row>
    <row r="4166" spans="5:7" x14ac:dyDescent="0.35">
      <c r="E4166" s="9">
        <v>43978</v>
      </c>
      <c r="F4166">
        <v>127.3</v>
      </c>
      <c r="G4166" t="s">
        <v>5877</v>
      </c>
    </row>
    <row r="4167" spans="5:7" x14ac:dyDescent="0.35">
      <c r="E4167" s="9">
        <v>43979</v>
      </c>
      <c r="F4167">
        <v>126.1</v>
      </c>
      <c r="G4167" t="s">
        <v>5877</v>
      </c>
    </row>
    <row r="4168" spans="5:7" x14ac:dyDescent="0.35">
      <c r="E4168" s="9">
        <v>43980</v>
      </c>
      <c r="F4168">
        <v>125.5</v>
      </c>
      <c r="G4168" t="s">
        <v>5877</v>
      </c>
    </row>
    <row r="4169" spans="5:7" x14ac:dyDescent="0.35">
      <c r="E4169" s="9">
        <v>43981</v>
      </c>
      <c r="F4169">
        <v>125.1</v>
      </c>
      <c r="G4169" t="s">
        <v>5877</v>
      </c>
    </row>
    <row r="4170" spans="5:7" x14ac:dyDescent="0.35">
      <c r="E4170" s="9">
        <v>43982</v>
      </c>
      <c r="F4170">
        <v>126.8</v>
      </c>
      <c r="G4170" t="s">
        <v>5877</v>
      </c>
    </row>
    <row r="4171" spans="5:7" x14ac:dyDescent="0.35">
      <c r="E4171" s="9">
        <v>43983</v>
      </c>
      <c r="F4171">
        <v>131.30000000000001</v>
      </c>
      <c r="G4171" t="s">
        <v>5877</v>
      </c>
    </row>
    <row r="4172" spans="5:7" x14ac:dyDescent="0.35">
      <c r="E4172" s="9">
        <v>43984</v>
      </c>
      <c r="F4172">
        <v>95.5</v>
      </c>
      <c r="G4172" t="s">
        <v>5877</v>
      </c>
    </row>
    <row r="4173" spans="5:7" x14ac:dyDescent="0.35">
      <c r="E4173" s="9">
        <v>43985</v>
      </c>
      <c r="F4173">
        <v>96.5</v>
      </c>
      <c r="G4173" t="s">
        <v>5877</v>
      </c>
    </row>
    <row r="4174" spans="5:7" x14ac:dyDescent="0.35">
      <c r="E4174" s="9">
        <v>43986</v>
      </c>
      <c r="F4174">
        <v>94.5</v>
      </c>
      <c r="G4174" t="s">
        <v>5877</v>
      </c>
    </row>
    <row r="4175" spans="5:7" x14ac:dyDescent="0.35">
      <c r="E4175" s="9">
        <v>43987</v>
      </c>
      <c r="F4175">
        <v>91.7</v>
      </c>
      <c r="G4175" t="s">
        <v>5877</v>
      </c>
    </row>
    <row r="4176" spans="5:7" x14ac:dyDescent="0.35">
      <c r="E4176" s="9">
        <v>43988</v>
      </c>
      <c r="F4176">
        <v>89.9</v>
      </c>
      <c r="G4176" t="s">
        <v>5877</v>
      </c>
    </row>
    <row r="4177" spans="5:7" x14ac:dyDescent="0.35">
      <c r="E4177" s="9">
        <v>43989</v>
      </c>
      <c r="F4177">
        <v>89.7</v>
      </c>
      <c r="G4177" t="s">
        <v>5877</v>
      </c>
    </row>
    <row r="4178" spans="5:7" x14ac:dyDescent="0.35">
      <c r="E4178" s="9">
        <v>43990</v>
      </c>
      <c r="F4178">
        <v>89.4</v>
      </c>
      <c r="G4178" t="s">
        <v>5877</v>
      </c>
    </row>
    <row r="4179" spans="5:7" x14ac:dyDescent="0.35">
      <c r="E4179" s="9">
        <v>43991</v>
      </c>
      <c r="F4179">
        <v>89.3</v>
      </c>
      <c r="G4179" t="s">
        <v>5877</v>
      </c>
    </row>
    <row r="4180" spans="5:7" x14ac:dyDescent="0.35">
      <c r="E4180" s="9">
        <v>43992</v>
      </c>
      <c r="F4180">
        <v>89.1</v>
      </c>
      <c r="G4180" t="s">
        <v>5877</v>
      </c>
    </row>
    <row r="4181" spans="5:7" x14ac:dyDescent="0.35">
      <c r="E4181" s="9">
        <v>43993</v>
      </c>
      <c r="F4181">
        <v>88.1</v>
      </c>
      <c r="G4181" t="s">
        <v>5877</v>
      </c>
    </row>
    <row r="4182" spans="5:7" x14ac:dyDescent="0.35">
      <c r="E4182" s="9">
        <v>43994</v>
      </c>
      <c r="F4182">
        <v>88.7</v>
      </c>
      <c r="G4182" t="s">
        <v>5877</v>
      </c>
    </row>
    <row r="4183" spans="5:7" x14ac:dyDescent="0.35">
      <c r="E4183" s="9">
        <v>43995</v>
      </c>
      <c r="F4183">
        <v>92.3</v>
      </c>
      <c r="G4183" t="s">
        <v>5877</v>
      </c>
    </row>
    <row r="4184" spans="5:7" x14ac:dyDescent="0.35">
      <c r="E4184" s="9">
        <v>43996</v>
      </c>
      <c r="F4184">
        <v>97.5</v>
      </c>
      <c r="G4184" t="s">
        <v>5877</v>
      </c>
    </row>
    <row r="4185" spans="5:7" x14ac:dyDescent="0.35">
      <c r="E4185" s="9">
        <v>43997</v>
      </c>
      <c r="F4185">
        <v>99.6</v>
      </c>
      <c r="G4185" t="s">
        <v>5877</v>
      </c>
    </row>
    <row r="4186" spans="5:7" x14ac:dyDescent="0.35">
      <c r="E4186" s="9">
        <v>43998</v>
      </c>
      <c r="F4186">
        <v>97.9</v>
      </c>
      <c r="G4186" t="s">
        <v>5877</v>
      </c>
    </row>
    <row r="4187" spans="5:7" x14ac:dyDescent="0.35">
      <c r="E4187" s="9">
        <v>43999</v>
      </c>
      <c r="F4187">
        <v>94.1</v>
      </c>
      <c r="G4187" t="s">
        <v>5877</v>
      </c>
    </row>
    <row r="4188" spans="5:7" x14ac:dyDescent="0.35">
      <c r="E4188" s="9">
        <v>44000</v>
      </c>
      <c r="F4188">
        <v>90.2</v>
      </c>
      <c r="G4188" t="s">
        <v>5877</v>
      </c>
    </row>
    <row r="4189" spans="5:7" x14ac:dyDescent="0.35">
      <c r="E4189" s="9">
        <v>44001</v>
      </c>
      <c r="F4189">
        <v>87.6</v>
      </c>
      <c r="G4189" t="s">
        <v>5877</v>
      </c>
    </row>
    <row r="4190" spans="5:7" x14ac:dyDescent="0.35">
      <c r="E4190" s="9">
        <v>44002</v>
      </c>
      <c r="F4190">
        <v>86</v>
      </c>
      <c r="G4190" t="s">
        <v>5877</v>
      </c>
    </row>
    <row r="4191" spans="5:7" x14ac:dyDescent="0.35">
      <c r="E4191" s="9">
        <v>44003</v>
      </c>
      <c r="F4191">
        <v>85</v>
      </c>
      <c r="G4191" t="s">
        <v>5877</v>
      </c>
    </row>
    <row r="4192" spans="5:7" x14ac:dyDescent="0.35">
      <c r="E4192" s="9">
        <v>44004</v>
      </c>
      <c r="F4192">
        <v>84.4</v>
      </c>
      <c r="G4192" t="s">
        <v>5877</v>
      </c>
    </row>
    <row r="4193" spans="5:7" x14ac:dyDescent="0.35">
      <c r="E4193" s="9">
        <v>44005</v>
      </c>
      <c r="F4193">
        <v>84.3</v>
      </c>
      <c r="G4193" t="s">
        <v>5877</v>
      </c>
    </row>
    <row r="4194" spans="5:7" x14ac:dyDescent="0.35">
      <c r="E4194" s="9">
        <v>44006</v>
      </c>
      <c r="F4194">
        <v>84.4</v>
      </c>
      <c r="G4194" t="s">
        <v>5877</v>
      </c>
    </row>
    <row r="4195" spans="5:7" x14ac:dyDescent="0.35">
      <c r="E4195" s="9">
        <v>44007</v>
      </c>
      <c r="F4195">
        <v>84.3</v>
      </c>
      <c r="G4195" t="s">
        <v>5877</v>
      </c>
    </row>
    <row r="4196" spans="5:7" x14ac:dyDescent="0.35">
      <c r="E4196" s="9">
        <v>44008</v>
      </c>
      <c r="F4196">
        <v>84</v>
      </c>
      <c r="G4196" t="s">
        <v>5877</v>
      </c>
    </row>
    <row r="4197" spans="5:7" x14ac:dyDescent="0.35">
      <c r="E4197" s="9">
        <v>44009</v>
      </c>
      <c r="F4197">
        <v>83.9</v>
      </c>
      <c r="G4197" t="s">
        <v>5877</v>
      </c>
    </row>
    <row r="4198" spans="5:7" x14ac:dyDescent="0.35">
      <c r="E4198" s="9">
        <v>44010</v>
      </c>
      <c r="F4198">
        <v>84.9</v>
      </c>
      <c r="G4198" t="s">
        <v>5877</v>
      </c>
    </row>
    <row r="4199" spans="5:7" x14ac:dyDescent="0.35">
      <c r="E4199" s="9">
        <v>44011</v>
      </c>
      <c r="F4199">
        <v>87.2</v>
      </c>
      <c r="G4199" t="s">
        <v>5877</v>
      </c>
    </row>
    <row r="4200" spans="5:7" x14ac:dyDescent="0.35">
      <c r="E4200" s="9">
        <v>44012</v>
      </c>
      <c r="F4200">
        <v>89.5</v>
      </c>
      <c r="G4200" t="s">
        <v>5877</v>
      </c>
    </row>
    <row r="4201" spans="5:7" x14ac:dyDescent="0.35">
      <c r="E4201" s="9">
        <v>44013</v>
      </c>
      <c r="F4201">
        <v>90</v>
      </c>
      <c r="G4201" t="s">
        <v>5877</v>
      </c>
    </row>
    <row r="4202" spans="5:7" x14ac:dyDescent="0.35">
      <c r="E4202" s="9">
        <v>44014</v>
      </c>
      <c r="F4202">
        <v>66.3</v>
      </c>
      <c r="G4202" t="s">
        <v>5877</v>
      </c>
    </row>
    <row r="4203" spans="5:7" x14ac:dyDescent="0.35">
      <c r="E4203" s="9">
        <v>44015</v>
      </c>
      <c r="F4203">
        <v>65</v>
      </c>
      <c r="G4203" t="s">
        <v>5877</v>
      </c>
    </row>
    <row r="4204" spans="5:7" x14ac:dyDescent="0.35">
      <c r="E4204" s="9">
        <v>44016</v>
      </c>
      <c r="F4204">
        <v>63.7</v>
      </c>
      <c r="G4204" t="s">
        <v>5877</v>
      </c>
    </row>
    <row r="4205" spans="5:7" x14ac:dyDescent="0.35">
      <c r="E4205" s="9">
        <v>44017</v>
      </c>
      <c r="F4205">
        <v>62.7</v>
      </c>
      <c r="G4205" t="s">
        <v>5877</v>
      </c>
    </row>
    <row r="4206" spans="5:7" x14ac:dyDescent="0.35">
      <c r="E4206" s="9">
        <v>44018</v>
      </c>
      <c r="F4206">
        <v>61.8</v>
      </c>
      <c r="G4206" t="s">
        <v>5877</v>
      </c>
    </row>
    <row r="4207" spans="5:7" x14ac:dyDescent="0.35">
      <c r="E4207" s="9">
        <v>44019</v>
      </c>
      <c r="F4207">
        <v>61.1</v>
      </c>
      <c r="G4207" t="s">
        <v>5877</v>
      </c>
    </row>
    <row r="4208" spans="5:7" x14ac:dyDescent="0.35">
      <c r="E4208" s="9">
        <v>44020</v>
      </c>
      <c r="F4208">
        <v>60.7</v>
      </c>
      <c r="G4208" t="s">
        <v>5877</v>
      </c>
    </row>
    <row r="4209" spans="5:7" x14ac:dyDescent="0.35">
      <c r="E4209" s="9">
        <v>44021</v>
      </c>
      <c r="F4209">
        <v>60.5</v>
      </c>
      <c r="G4209" t="s">
        <v>5877</v>
      </c>
    </row>
    <row r="4210" spans="5:7" x14ac:dyDescent="0.35">
      <c r="E4210" s="9">
        <v>44022</v>
      </c>
      <c r="F4210">
        <v>60.3</v>
      </c>
      <c r="G4210" t="s">
        <v>5877</v>
      </c>
    </row>
    <row r="4211" spans="5:7" x14ac:dyDescent="0.35">
      <c r="E4211" s="9">
        <v>44023</v>
      </c>
      <c r="F4211">
        <v>60.2</v>
      </c>
      <c r="G4211" t="s">
        <v>5877</v>
      </c>
    </row>
    <row r="4212" spans="5:7" x14ac:dyDescent="0.35">
      <c r="E4212" s="9">
        <v>44024</v>
      </c>
      <c r="F4212">
        <v>60.2</v>
      </c>
      <c r="G4212" t="s">
        <v>5877</v>
      </c>
    </row>
    <row r="4213" spans="5:7" x14ac:dyDescent="0.35">
      <c r="E4213" s="9">
        <v>44025</v>
      </c>
      <c r="F4213">
        <v>60.4</v>
      </c>
      <c r="G4213" t="s">
        <v>5877</v>
      </c>
    </row>
    <row r="4214" spans="5:7" x14ac:dyDescent="0.35">
      <c r="E4214" s="9">
        <v>44026</v>
      </c>
      <c r="F4214">
        <v>61.1</v>
      </c>
      <c r="G4214" t="s">
        <v>5877</v>
      </c>
    </row>
    <row r="4215" spans="5:7" x14ac:dyDescent="0.35">
      <c r="E4215" s="9">
        <v>44027</v>
      </c>
      <c r="F4215">
        <v>62.3</v>
      </c>
      <c r="G4215" t="s">
        <v>5877</v>
      </c>
    </row>
    <row r="4216" spans="5:7" x14ac:dyDescent="0.35">
      <c r="E4216" s="9">
        <v>44028</v>
      </c>
      <c r="F4216">
        <v>63.6</v>
      </c>
      <c r="G4216" t="s">
        <v>5877</v>
      </c>
    </row>
    <row r="4217" spans="5:7" x14ac:dyDescent="0.35">
      <c r="E4217" s="9">
        <v>44029</v>
      </c>
      <c r="F4217">
        <v>63.9</v>
      </c>
      <c r="G4217" t="s">
        <v>5877</v>
      </c>
    </row>
    <row r="4218" spans="5:7" x14ac:dyDescent="0.35">
      <c r="E4218" s="9">
        <v>44030</v>
      </c>
      <c r="F4218">
        <v>63.9</v>
      </c>
      <c r="G4218" t="s">
        <v>5877</v>
      </c>
    </row>
    <row r="4219" spans="5:7" x14ac:dyDescent="0.35">
      <c r="E4219" s="9">
        <v>44031</v>
      </c>
      <c r="F4219">
        <v>63.9</v>
      </c>
      <c r="G4219" t="s">
        <v>5877</v>
      </c>
    </row>
    <row r="4220" spans="5:7" x14ac:dyDescent="0.35">
      <c r="E4220" s="9">
        <v>44032</v>
      </c>
      <c r="F4220">
        <v>64</v>
      </c>
      <c r="G4220" t="s">
        <v>5877</v>
      </c>
    </row>
    <row r="4221" spans="5:7" x14ac:dyDescent="0.35">
      <c r="E4221" s="9">
        <v>44033</v>
      </c>
      <c r="F4221">
        <v>63.9</v>
      </c>
      <c r="G4221" t="s">
        <v>5877</v>
      </c>
    </row>
    <row r="4222" spans="5:7" x14ac:dyDescent="0.35">
      <c r="E4222" s="9">
        <v>44034</v>
      </c>
      <c r="F4222">
        <v>63.5</v>
      </c>
      <c r="G4222" t="s">
        <v>5877</v>
      </c>
    </row>
    <row r="4223" spans="5:7" x14ac:dyDescent="0.35">
      <c r="E4223" s="9">
        <v>44035</v>
      </c>
      <c r="F4223">
        <v>62.7</v>
      </c>
      <c r="G4223" t="s">
        <v>5877</v>
      </c>
    </row>
    <row r="4224" spans="5:7" x14ac:dyDescent="0.35">
      <c r="E4224" s="9">
        <v>44036</v>
      </c>
      <c r="F4224">
        <v>62</v>
      </c>
      <c r="G4224" t="s">
        <v>5877</v>
      </c>
    </row>
    <row r="4225" spans="5:7" x14ac:dyDescent="0.35">
      <c r="E4225" s="9">
        <v>44037</v>
      </c>
      <c r="F4225">
        <v>61.4</v>
      </c>
      <c r="G4225" t="s">
        <v>5877</v>
      </c>
    </row>
    <row r="4226" spans="5:7" x14ac:dyDescent="0.35">
      <c r="E4226" s="9">
        <v>44038</v>
      </c>
      <c r="F4226">
        <v>61</v>
      </c>
      <c r="G4226" t="s">
        <v>5877</v>
      </c>
    </row>
    <row r="4227" spans="5:7" x14ac:dyDescent="0.35">
      <c r="E4227" s="9">
        <v>44039</v>
      </c>
      <c r="F4227">
        <v>60.9</v>
      </c>
      <c r="G4227" t="s">
        <v>5877</v>
      </c>
    </row>
    <row r="4228" spans="5:7" x14ac:dyDescent="0.35">
      <c r="E4228" s="9">
        <v>44040</v>
      </c>
      <c r="F4228">
        <v>60.8</v>
      </c>
      <c r="G4228" t="s">
        <v>5877</v>
      </c>
    </row>
    <row r="4229" spans="5:7" x14ac:dyDescent="0.35">
      <c r="E4229" s="9">
        <v>44041</v>
      </c>
      <c r="F4229">
        <v>60.7</v>
      </c>
      <c r="G4229" t="s">
        <v>5877</v>
      </c>
    </row>
    <row r="4230" spans="5:7" x14ac:dyDescent="0.35">
      <c r="E4230" s="9">
        <v>44042</v>
      </c>
      <c r="F4230">
        <v>60.5</v>
      </c>
      <c r="G4230" t="s">
        <v>5877</v>
      </c>
    </row>
    <row r="4231" spans="5:7" x14ac:dyDescent="0.35">
      <c r="E4231" s="9">
        <v>44043</v>
      </c>
      <c r="F4231">
        <v>60.5</v>
      </c>
      <c r="G4231" t="s">
        <v>5877</v>
      </c>
    </row>
    <row r="4232" spans="5:7" x14ac:dyDescent="0.35">
      <c r="E4232" s="9">
        <v>44044</v>
      </c>
      <c r="F4232">
        <v>60.4</v>
      </c>
      <c r="G4232" t="s">
        <v>5877</v>
      </c>
    </row>
    <row r="4233" spans="5:7" x14ac:dyDescent="0.35">
      <c r="E4233" s="9">
        <v>44045</v>
      </c>
      <c r="F4233">
        <v>66.5</v>
      </c>
      <c r="G4233" t="s">
        <v>5877</v>
      </c>
    </row>
    <row r="4234" spans="5:7" x14ac:dyDescent="0.35">
      <c r="E4234" s="9">
        <v>44046</v>
      </c>
      <c r="F4234">
        <v>69.3</v>
      </c>
      <c r="G4234" t="s">
        <v>5877</v>
      </c>
    </row>
    <row r="4235" spans="5:7" x14ac:dyDescent="0.35">
      <c r="E4235" s="9">
        <v>44047</v>
      </c>
      <c r="F4235">
        <v>72.3</v>
      </c>
      <c r="G4235" t="s">
        <v>5877</v>
      </c>
    </row>
    <row r="4236" spans="5:7" x14ac:dyDescent="0.35">
      <c r="E4236" s="9">
        <v>44048</v>
      </c>
      <c r="F4236">
        <v>73</v>
      </c>
      <c r="G4236" t="s">
        <v>5877</v>
      </c>
    </row>
    <row r="4237" spans="5:7" x14ac:dyDescent="0.35">
      <c r="E4237" s="9">
        <v>44049</v>
      </c>
      <c r="F4237">
        <v>72.400000000000006</v>
      </c>
      <c r="G4237" t="s">
        <v>5877</v>
      </c>
    </row>
    <row r="4238" spans="5:7" x14ac:dyDescent="0.35">
      <c r="E4238" s="9">
        <v>44050</v>
      </c>
      <c r="F4238">
        <v>71.400000000000006</v>
      </c>
      <c r="G4238" t="s">
        <v>5877</v>
      </c>
    </row>
    <row r="4239" spans="5:7" x14ac:dyDescent="0.35">
      <c r="E4239" s="9">
        <v>44051</v>
      </c>
      <c r="F4239">
        <v>73.3</v>
      </c>
      <c r="G4239" t="s">
        <v>5877</v>
      </c>
    </row>
    <row r="4240" spans="5:7" x14ac:dyDescent="0.35">
      <c r="E4240" s="9">
        <v>44052</v>
      </c>
      <c r="F4240">
        <v>79.900000000000006</v>
      </c>
      <c r="G4240" t="s">
        <v>5877</v>
      </c>
    </row>
    <row r="4241" spans="5:7" x14ac:dyDescent="0.35">
      <c r="E4241" s="9">
        <v>44053</v>
      </c>
      <c r="F4241">
        <v>88</v>
      </c>
      <c r="G4241" t="s">
        <v>5877</v>
      </c>
    </row>
    <row r="4242" spans="5:7" x14ac:dyDescent="0.35">
      <c r="E4242" s="9">
        <v>44054</v>
      </c>
      <c r="F4242">
        <v>91.3</v>
      </c>
      <c r="G4242" t="s">
        <v>5877</v>
      </c>
    </row>
    <row r="4243" spans="5:7" x14ac:dyDescent="0.35">
      <c r="E4243" s="9">
        <v>44055</v>
      </c>
      <c r="F4243">
        <v>90.1</v>
      </c>
      <c r="G4243" t="s">
        <v>5877</v>
      </c>
    </row>
    <row r="4244" spans="5:7" x14ac:dyDescent="0.35">
      <c r="E4244" s="9">
        <v>44056</v>
      </c>
      <c r="F4244">
        <v>86.8</v>
      </c>
      <c r="G4244" t="s">
        <v>5877</v>
      </c>
    </row>
    <row r="4245" spans="5:7" x14ac:dyDescent="0.35">
      <c r="E4245" s="9">
        <v>44057</v>
      </c>
      <c r="F4245">
        <v>82.5</v>
      </c>
      <c r="G4245" t="s">
        <v>5877</v>
      </c>
    </row>
    <row r="4246" spans="5:7" x14ac:dyDescent="0.35">
      <c r="E4246" s="9">
        <v>44058</v>
      </c>
      <c r="F4246">
        <v>79.099999999999994</v>
      </c>
      <c r="G4246" t="s">
        <v>5877</v>
      </c>
    </row>
    <row r="4247" spans="5:7" x14ac:dyDescent="0.35">
      <c r="E4247" s="9">
        <v>44059</v>
      </c>
      <c r="F4247">
        <v>75.8</v>
      </c>
      <c r="G4247" t="s">
        <v>5877</v>
      </c>
    </row>
    <row r="4248" spans="5:7" x14ac:dyDescent="0.35">
      <c r="E4248" s="9">
        <v>44060</v>
      </c>
      <c r="F4248">
        <v>72.900000000000006</v>
      </c>
      <c r="G4248" t="s">
        <v>5877</v>
      </c>
    </row>
    <row r="4249" spans="5:7" x14ac:dyDescent="0.35">
      <c r="E4249" s="9">
        <v>44061</v>
      </c>
      <c r="F4249">
        <v>71.599999999999994</v>
      </c>
      <c r="G4249" t="s">
        <v>5877</v>
      </c>
    </row>
    <row r="4250" spans="5:7" x14ac:dyDescent="0.35">
      <c r="E4250" s="9">
        <v>44062</v>
      </c>
      <c r="F4250">
        <v>74.5</v>
      </c>
      <c r="G4250" t="s">
        <v>5877</v>
      </c>
    </row>
    <row r="4251" spans="5:7" x14ac:dyDescent="0.35">
      <c r="E4251" s="9">
        <v>44063</v>
      </c>
      <c r="F4251">
        <v>81.900000000000006</v>
      </c>
      <c r="G4251" t="s">
        <v>5877</v>
      </c>
    </row>
    <row r="4252" spans="5:7" x14ac:dyDescent="0.35">
      <c r="E4252" s="9">
        <v>44064</v>
      </c>
      <c r="F4252">
        <v>91.2</v>
      </c>
      <c r="G4252" t="s">
        <v>5877</v>
      </c>
    </row>
    <row r="4253" spans="5:7" x14ac:dyDescent="0.35">
      <c r="E4253" s="9">
        <v>44065</v>
      </c>
      <c r="F4253">
        <v>97.6</v>
      </c>
      <c r="G4253" t="s">
        <v>5877</v>
      </c>
    </row>
    <row r="4254" spans="5:7" x14ac:dyDescent="0.35">
      <c r="E4254" s="9">
        <v>44066</v>
      </c>
      <c r="F4254">
        <v>99.9</v>
      </c>
      <c r="G4254" t="s">
        <v>5877</v>
      </c>
    </row>
    <row r="4255" spans="5:7" x14ac:dyDescent="0.35">
      <c r="E4255" s="9">
        <v>44067</v>
      </c>
      <c r="F4255">
        <v>96</v>
      </c>
      <c r="G4255" t="s">
        <v>5877</v>
      </c>
    </row>
    <row r="4256" spans="5:7" x14ac:dyDescent="0.35">
      <c r="E4256" s="9">
        <v>44068</v>
      </c>
      <c r="F4256">
        <v>90.2</v>
      </c>
      <c r="G4256" t="s">
        <v>5877</v>
      </c>
    </row>
    <row r="4257" spans="5:7" x14ac:dyDescent="0.35">
      <c r="E4257" s="9">
        <v>44069</v>
      </c>
      <c r="F4257">
        <v>88.5</v>
      </c>
      <c r="G4257" t="s">
        <v>5877</v>
      </c>
    </row>
    <row r="4258" spans="5:7" x14ac:dyDescent="0.35">
      <c r="E4258" s="9">
        <v>44070</v>
      </c>
      <c r="F4258">
        <v>94.2</v>
      </c>
      <c r="G4258" t="s">
        <v>5877</v>
      </c>
    </row>
    <row r="4259" spans="5:7" x14ac:dyDescent="0.35">
      <c r="E4259" s="9">
        <v>44071</v>
      </c>
      <c r="F4259">
        <v>103.5</v>
      </c>
      <c r="G4259" t="s">
        <v>5877</v>
      </c>
    </row>
    <row r="4260" spans="5:7" x14ac:dyDescent="0.35">
      <c r="E4260" s="9">
        <v>44072</v>
      </c>
      <c r="F4260">
        <v>106.7</v>
      </c>
      <c r="G4260" t="s">
        <v>5877</v>
      </c>
    </row>
    <row r="4261" spans="5:7" x14ac:dyDescent="0.35">
      <c r="E4261" s="9">
        <v>44073</v>
      </c>
      <c r="F4261">
        <v>105.7</v>
      </c>
      <c r="G4261" t="s">
        <v>5877</v>
      </c>
    </row>
    <row r="4262" spans="5:7" x14ac:dyDescent="0.35">
      <c r="E4262" s="9">
        <v>44074</v>
      </c>
      <c r="F4262">
        <v>107.6</v>
      </c>
      <c r="G4262" t="s">
        <v>5877</v>
      </c>
    </row>
    <row r="4263" spans="5:7" x14ac:dyDescent="0.35">
      <c r="E4263" s="9">
        <v>44075</v>
      </c>
      <c r="F4263">
        <v>116.3</v>
      </c>
      <c r="G4263" t="s">
        <v>5877</v>
      </c>
    </row>
    <row r="4264" spans="5:7" x14ac:dyDescent="0.35">
      <c r="E4264" s="9">
        <v>44076</v>
      </c>
      <c r="F4264">
        <v>154.1</v>
      </c>
      <c r="G4264" t="s">
        <v>5877</v>
      </c>
    </row>
    <row r="4265" spans="5:7" x14ac:dyDescent="0.35">
      <c r="E4265" s="9">
        <v>44077</v>
      </c>
      <c r="F4265">
        <v>159.4</v>
      </c>
      <c r="G4265" t="s">
        <v>5877</v>
      </c>
    </row>
    <row r="4266" spans="5:7" x14ac:dyDescent="0.35">
      <c r="E4266" s="9">
        <v>44078</v>
      </c>
      <c r="F4266">
        <v>156</v>
      </c>
      <c r="G4266" t="s">
        <v>5877</v>
      </c>
    </row>
    <row r="4267" spans="5:7" x14ac:dyDescent="0.35">
      <c r="E4267" s="9">
        <v>44079</v>
      </c>
      <c r="F4267">
        <v>143.69999999999999</v>
      </c>
      <c r="G4267" t="s">
        <v>5877</v>
      </c>
    </row>
    <row r="4268" spans="5:7" x14ac:dyDescent="0.35">
      <c r="E4268" s="9">
        <v>44080</v>
      </c>
      <c r="F4268">
        <v>130.80000000000001</v>
      </c>
      <c r="G4268" t="s">
        <v>5877</v>
      </c>
    </row>
    <row r="4269" spans="5:7" x14ac:dyDescent="0.35">
      <c r="E4269" s="9">
        <v>44081</v>
      </c>
      <c r="F4269">
        <v>124.4</v>
      </c>
      <c r="G4269" t="s">
        <v>5877</v>
      </c>
    </row>
    <row r="4270" spans="5:7" x14ac:dyDescent="0.35">
      <c r="E4270" s="9">
        <v>44082</v>
      </c>
      <c r="F4270">
        <v>127.6</v>
      </c>
      <c r="G4270" t="s">
        <v>5877</v>
      </c>
    </row>
    <row r="4271" spans="5:7" x14ac:dyDescent="0.35">
      <c r="E4271" s="9">
        <v>44083</v>
      </c>
      <c r="F4271">
        <v>135.80000000000001</v>
      </c>
      <c r="G4271" t="s">
        <v>5877</v>
      </c>
    </row>
    <row r="4272" spans="5:7" x14ac:dyDescent="0.35">
      <c r="E4272" s="9">
        <v>44084</v>
      </c>
      <c r="F4272">
        <v>139.4</v>
      </c>
      <c r="G4272" t="s">
        <v>5877</v>
      </c>
    </row>
    <row r="4273" spans="5:7" x14ac:dyDescent="0.35">
      <c r="E4273" s="9">
        <v>44085</v>
      </c>
      <c r="F4273">
        <v>134.80000000000001</v>
      </c>
      <c r="G4273" t="s">
        <v>5877</v>
      </c>
    </row>
    <row r="4274" spans="5:7" x14ac:dyDescent="0.35">
      <c r="E4274" s="9">
        <v>44086</v>
      </c>
      <c r="F4274">
        <v>127.2</v>
      </c>
      <c r="G4274" t="s">
        <v>5877</v>
      </c>
    </row>
    <row r="4275" spans="5:7" x14ac:dyDescent="0.35">
      <c r="E4275" s="9">
        <v>44087</v>
      </c>
      <c r="F4275">
        <v>122.3</v>
      </c>
      <c r="G4275" t="s">
        <v>5877</v>
      </c>
    </row>
    <row r="4276" spans="5:7" x14ac:dyDescent="0.35">
      <c r="E4276" s="9">
        <v>44088</v>
      </c>
      <c r="F4276">
        <v>124.3</v>
      </c>
      <c r="G4276" t="s">
        <v>5877</v>
      </c>
    </row>
    <row r="4277" spans="5:7" x14ac:dyDescent="0.35">
      <c r="E4277" s="9">
        <v>44089</v>
      </c>
      <c r="F4277">
        <v>132.4</v>
      </c>
      <c r="G4277" t="s">
        <v>5877</v>
      </c>
    </row>
    <row r="4278" spans="5:7" x14ac:dyDescent="0.35">
      <c r="E4278" s="9">
        <v>44090</v>
      </c>
      <c r="F4278">
        <v>140.19999999999999</v>
      </c>
      <c r="G4278" t="s">
        <v>5877</v>
      </c>
    </row>
    <row r="4279" spans="5:7" x14ac:dyDescent="0.35">
      <c r="E4279" s="9">
        <v>44091</v>
      </c>
      <c r="F4279">
        <v>144.30000000000001</v>
      </c>
      <c r="G4279" t="s">
        <v>5877</v>
      </c>
    </row>
    <row r="4280" spans="5:7" x14ac:dyDescent="0.35">
      <c r="E4280" s="9">
        <v>44092</v>
      </c>
      <c r="F4280">
        <v>147.69999999999999</v>
      </c>
      <c r="G4280" t="s">
        <v>5877</v>
      </c>
    </row>
    <row r="4281" spans="5:7" x14ac:dyDescent="0.35">
      <c r="E4281" s="9">
        <v>44093</v>
      </c>
      <c r="F4281">
        <v>150.19999999999999</v>
      </c>
      <c r="G4281" t="s">
        <v>5877</v>
      </c>
    </row>
    <row r="4282" spans="5:7" x14ac:dyDescent="0.35">
      <c r="E4282" s="9">
        <v>44094</v>
      </c>
      <c r="F4282">
        <v>152.1</v>
      </c>
      <c r="G4282" t="s">
        <v>5877</v>
      </c>
    </row>
    <row r="4283" spans="5:7" x14ac:dyDescent="0.35">
      <c r="E4283" s="9">
        <v>44095</v>
      </c>
      <c r="F4283">
        <v>155.1</v>
      </c>
      <c r="G4283" t="s">
        <v>5877</v>
      </c>
    </row>
    <row r="4284" spans="5:7" x14ac:dyDescent="0.35">
      <c r="E4284" s="9">
        <v>44096</v>
      </c>
      <c r="F4284">
        <v>159.9</v>
      </c>
      <c r="G4284" t="s">
        <v>5877</v>
      </c>
    </row>
    <row r="4285" spans="5:7" x14ac:dyDescent="0.35">
      <c r="E4285" s="9">
        <v>44097</v>
      </c>
      <c r="F4285">
        <v>163.69999999999999</v>
      </c>
      <c r="G4285" t="s">
        <v>5877</v>
      </c>
    </row>
    <row r="4286" spans="5:7" x14ac:dyDescent="0.35">
      <c r="E4286" s="9">
        <v>44098</v>
      </c>
      <c r="F4286">
        <v>161.19999999999999</v>
      </c>
      <c r="G4286" t="s">
        <v>5877</v>
      </c>
    </row>
    <row r="4287" spans="5:7" x14ac:dyDescent="0.35">
      <c r="E4287" s="9">
        <v>44099</v>
      </c>
      <c r="F4287">
        <v>158.9</v>
      </c>
      <c r="G4287" t="s">
        <v>5877</v>
      </c>
    </row>
    <row r="4288" spans="5:7" x14ac:dyDescent="0.35">
      <c r="E4288" s="9">
        <v>44100</v>
      </c>
      <c r="F4288">
        <v>157.5</v>
      </c>
      <c r="G4288" t="s">
        <v>5877</v>
      </c>
    </row>
    <row r="4289" spans="5:7" x14ac:dyDescent="0.35">
      <c r="E4289" s="9">
        <v>44101</v>
      </c>
      <c r="F4289">
        <v>157.80000000000001</v>
      </c>
      <c r="G4289" t="s">
        <v>5877</v>
      </c>
    </row>
    <row r="4290" spans="5:7" x14ac:dyDescent="0.35">
      <c r="E4290" s="9">
        <v>44102</v>
      </c>
      <c r="F4290">
        <v>161.69999999999999</v>
      </c>
      <c r="G4290" t="s">
        <v>5877</v>
      </c>
    </row>
    <row r="4291" spans="5:7" x14ac:dyDescent="0.35">
      <c r="E4291" s="9">
        <v>44103</v>
      </c>
      <c r="F4291">
        <v>170.6</v>
      </c>
      <c r="G4291" t="s">
        <v>5877</v>
      </c>
    </row>
    <row r="4292" spans="5:7" x14ac:dyDescent="0.35">
      <c r="E4292" s="9">
        <v>44104</v>
      </c>
      <c r="F4292">
        <v>176.2</v>
      </c>
      <c r="G4292" t="s">
        <v>5877</v>
      </c>
    </row>
    <row r="4293" spans="5:7" x14ac:dyDescent="0.35">
      <c r="E4293" s="9">
        <v>44105</v>
      </c>
      <c r="F4293">
        <v>181.6</v>
      </c>
      <c r="G4293" t="s">
        <v>5877</v>
      </c>
    </row>
    <row r="4294" spans="5:7" x14ac:dyDescent="0.35">
      <c r="E4294" s="9">
        <v>44106</v>
      </c>
      <c r="F4294">
        <v>197.5</v>
      </c>
      <c r="G4294" t="s">
        <v>5877</v>
      </c>
    </row>
    <row r="4295" spans="5:7" x14ac:dyDescent="0.35">
      <c r="E4295" s="9">
        <v>44107</v>
      </c>
      <c r="F4295">
        <v>198.3</v>
      </c>
      <c r="G4295" t="s">
        <v>5877</v>
      </c>
    </row>
    <row r="4296" spans="5:7" x14ac:dyDescent="0.35">
      <c r="E4296" s="9">
        <v>44108</v>
      </c>
      <c r="F4296">
        <v>196.6</v>
      </c>
      <c r="G4296" t="s">
        <v>5877</v>
      </c>
    </row>
    <row r="4297" spans="5:7" x14ac:dyDescent="0.35">
      <c r="E4297" s="9">
        <v>44109</v>
      </c>
      <c r="F4297">
        <v>191.9</v>
      </c>
      <c r="G4297" t="s">
        <v>5877</v>
      </c>
    </row>
    <row r="4298" spans="5:7" x14ac:dyDescent="0.35">
      <c r="E4298" s="9">
        <v>44110</v>
      </c>
      <c r="F4298">
        <v>183.6</v>
      </c>
      <c r="G4298" t="s">
        <v>5877</v>
      </c>
    </row>
    <row r="4299" spans="5:7" x14ac:dyDescent="0.35">
      <c r="E4299" s="9">
        <v>44111</v>
      </c>
      <c r="F4299">
        <v>176.3</v>
      </c>
      <c r="G4299" t="s">
        <v>5877</v>
      </c>
    </row>
    <row r="4300" spans="5:7" x14ac:dyDescent="0.35">
      <c r="E4300" s="9">
        <v>44112</v>
      </c>
      <c r="F4300">
        <v>177.1</v>
      </c>
      <c r="G4300" t="s">
        <v>5877</v>
      </c>
    </row>
    <row r="4301" spans="5:7" x14ac:dyDescent="0.35">
      <c r="E4301" s="9">
        <v>44113</v>
      </c>
      <c r="F4301">
        <v>186.7</v>
      </c>
      <c r="G4301" t="s">
        <v>5877</v>
      </c>
    </row>
    <row r="4302" spans="5:7" x14ac:dyDescent="0.35">
      <c r="E4302" s="9">
        <v>44114</v>
      </c>
      <c r="F4302">
        <v>197.8</v>
      </c>
      <c r="G4302" t="s">
        <v>5877</v>
      </c>
    </row>
    <row r="4303" spans="5:7" x14ac:dyDescent="0.35">
      <c r="E4303" s="9">
        <v>44115</v>
      </c>
      <c r="F4303">
        <v>199.2</v>
      </c>
      <c r="G4303" t="s">
        <v>5877</v>
      </c>
    </row>
    <row r="4304" spans="5:7" x14ac:dyDescent="0.35">
      <c r="E4304" s="9">
        <v>44116</v>
      </c>
      <c r="F4304">
        <v>191.9</v>
      </c>
      <c r="G4304" t="s">
        <v>5877</v>
      </c>
    </row>
    <row r="4305" spans="5:7" x14ac:dyDescent="0.35">
      <c r="E4305" s="9">
        <v>44117</v>
      </c>
      <c r="F4305">
        <v>188.9</v>
      </c>
      <c r="G4305" t="s">
        <v>5877</v>
      </c>
    </row>
    <row r="4306" spans="5:7" x14ac:dyDescent="0.35">
      <c r="E4306" s="9">
        <v>44118</v>
      </c>
      <c r="F4306">
        <v>192.6</v>
      </c>
      <c r="G4306" t="s">
        <v>5877</v>
      </c>
    </row>
    <row r="4307" spans="5:7" x14ac:dyDescent="0.35">
      <c r="E4307" s="9">
        <v>44119</v>
      </c>
      <c r="F4307">
        <v>195.6</v>
      </c>
      <c r="G4307" t="s">
        <v>5877</v>
      </c>
    </row>
    <row r="4308" spans="5:7" x14ac:dyDescent="0.35">
      <c r="E4308" s="9">
        <v>44120</v>
      </c>
      <c r="F4308">
        <v>197.9</v>
      </c>
      <c r="G4308" t="s">
        <v>5877</v>
      </c>
    </row>
    <row r="4309" spans="5:7" x14ac:dyDescent="0.35">
      <c r="E4309" s="9">
        <v>44121</v>
      </c>
      <c r="F4309">
        <v>199.4</v>
      </c>
      <c r="G4309" t="s">
        <v>5877</v>
      </c>
    </row>
    <row r="4310" spans="5:7" x14ac:dyDescent="0.35">
      <c r="E4310" s="9">
        <v>44122</v>
      </c>
      <c r="F4310">
        <v>199.5</v>
      </c>
      <c r="G4310" t="s">
        <v>5877</v>
      </c>
    </row>
    <row r="4311" spans="5:7" x14ac:dyDescent="0.35">
      <c r="E4311" s="9">
        <v>44123</v>
      </c>
      <c r="F4311">
        <v>199.6</v>
      </c>
      <c r="G4311" t="s">
        <v>5877</v>
      </c>
    </row>
    <row r="4312" spans="5:7" x14ac:dyDescent="0.35">
      <c r="E4312" s="9">
        <v>44124</v>
      </c>
      <c r="F4312">
        <v>201</v>
      </c>
      <c r="G4312" t="s">
        <v>5877</v>
      </c>
    </row>
    <row r="4313" spans="5:7" x14ac:dyDescent="0.35">
      <c r="E4313" s="9">
        <v>44125</v>
      </c>
      <c r="F4313">
        <v>197.6</v>
      </c>
      <c r="G4313" t="s">
        <v>5877</v>
      </c>
    </row>
    <row r="4314" spans="5:7" x14ac:dyDescent="0.35">
      <c r="E4314" s="9">
        <v>44126</v>
      </c>
      <c r="F4314">
        <v>195.8</v>
      </c>
      <c r="G4314" t="s">
        <v>5877</v>
      </c>
    </row>
    <row r="4315" spans="5:7" x14ac:dyDescent="0.35">
      <c r="E4315" s="9">
        <v>44127</v>
      </c>
      <c r="F4315">
        <v>198</v>
      </c>
      <c r="G4315" t="s">
        <v>5877</v>
      </c>
    </row>
    <row r="4316" spans="5:7" x14ac:dyDescent="0.35">
      <c r="E4316" s="9">
        <v>44128</v>
      </c>
      <c r="F4316">
        <v>201.5</v>
      </c>
      <c r="G4316" t="s">
        <v>5877</v>
      </c>
    </row>
    <row r="4317" spans="5:7" x14ac:dyDescent="0.35">
      <c r="E4317" s="9">
        <v>44129</v>
      </c>
      <c r="F4317">
        <v>197.5</v>
      </c>
      <c r="G4317" t="s">
        <v>5877</v>
      </c>
    </row>
    <row r="4318" spans="5:7" x14ac:dyDescent="0.35">
      <c r="E4318" s="9">
        <v>44130</v>
      </c>
      <c r="F4318">
        <v>195</v>
      </c>
      <c r="G4318" t="s">
        <v>5877</v>
      </c>
    </row>
    <row r="4319" spans="5:7" x14ac:dyDescent="0.35">
      <c r="E4319" s="9">
        <v>44131</v>
      </c>
      <c r="F4319">
        <v>198.1</v>
      </c>
      <c r="G4319" t="s">
        <v>5877</v>
      </c>
    </row>
    <row r="4320" spans="5:7" x14ac:dyDescent="0.35">
      <c r="E4320" s="9">
        <v>44132</v>
      </c>
      <c r="F4320">
        <v>201.1</v>
      </c>
      <c r="G4320" t="s">
        <v>5877</v>
      </c>
    </row>
    <row r="4321" spans="5:7" x14ac:dyDescent="0.35">
      <c r="E4321" s="9">
        <v>44133</v>
      </c>
      <c r="F4321">
        <v>203.7</v>
      </c>
      <c r="G4321" t="s">
        <v>5877</v>
      </c>
    </row>
    <row r="4322" spans="5:7" x14ac:dyDescent="0.35">
      <c r="E4322" s="9">
        <v>44134</v>
      </c>
      <c r="F4322">
        <v>203.5</v>
      </c>
      <c r="G4322" t="s">
        <v>5877</v>
      </c>
    </row>
    <row r="4323" spans="5:7" x14ac:dyDescent="0.35">
      <c r="E4323" s="9">
        <v>44135</v>
      </c>
      <c r="F4323">
        <v>202.5</v>
      </c>
      <c r="G4323" t="s">
        <v>5877</v>
      </c>
    </row>
    <row r="4324" spans="5:7" x14ac:dyDescent="0.35">
      <c r="E4324" s="9">
        <v>44136</v>
      </c>
      <c r="F4324">
        <v>200.1</v>
      </c>
      <c r="G4324" t="s">
        <v>5877</v>
      </c>
    </row>
    <row r="4325" spans="5:7" x14ac:dyDescent="0.35">
      <c r="E4325" s="9">
        <v>44137</v>
      </c>
      <c r="F4325">
        <v>206.4</v>
      </c>
      <c r="G4325" t="s">
        <v>5877</v>
      </c>
    </row>
    <row r="4326" spans="5:7" x14ac:dyDescent="0.35">
      <c r="E4326" s="9">
        <v>44138</v>
      </c>
      <c r="F4326">
        <v>206.2</v>
      </c>
      <c r="G4326" t="s">
        <v>5877</v>
      </c>
    </row>
    <row r="4327" spans="5:7" x14ac:dyDescent="0.35">
      <c r="E4327" s="9">
        <v>44139</v>
      </c>
      <c r="F4327">
        <v>215.8</v>
      </c>
      <c r="G4327" t="s">
        <v>5877</v>
      </c>
    </row>
    <row r="4328" spans="5:7" x14ac:dyDescent="0.35">
      <c r="E4328" s="9">
        <v>44140</v>
      </c>
      <c r="F4328">
        <v>231.9</v>
      </c>
      <c r="G4328" t="s">
        <v>5877</v>
      </c>
    </row>
    <row r="4329" spans="5:7" x14ac:dyDescent="0.35">
      <c r="E4329" s="9">
        <v>44141</v>
      </c>
      <c r="F4329">
        <v>250.4</v>
      </c>
      <c r="G4329" t="s">
        <v>5877</v>
      </c>
    </row>
    <row r="4330" spans="5:7" x14ac:dyDescent="0.35">
      <c r="E4330" s="9">
        <v>44142</v>
      </c>
      <c r="F4330">
        <v>262.3</v>
      </c>
      <c r="G4330" t="s">
        <v>5877</v>
      </c>
    </row>
    <row r="4331" spans="5:7" x14ac:dyDescent="0.35">
      <c r="E4331" s="9">
        <v>44143</v>
      </c>
      <c r="F4331">
        <v>258.89999999999998</v>
      </c>
      <c r="G4331" t="s">
        <v>5877</v>
      </c>
    </row>
    <row r="4332" spans="5:7" x14ac:dyDescent="0.35">
      <c r="E4332" s="9">
        <v>44144</v>
      </c>
      <c r="F4332">
        <v>249.2</v>
      </c>
      <c r="G4332" t="s">
        <v>5877</v>
      </c>
    </row>
    <row r="4333" spans="5:7" x14ac:dyDescent="0.35">
      <c r="E4333" s="9">
        <v>44145</v>
      </c>
      <c r="F4333">
        <v>245.4</v>
      </c>
      <c r="G4333" t="s">
        <v>5877</v>
      </c>
    </row>
    <row r="4334" spans="5:7" x14ac:dyDescent="0.35">
      <c r="E4334" s="9">
        <v>44146</v>
      </c>
      <c r="F4334">
        <v>242.8</v>
      </c>
      <c r="G4334" t="s">
        <v>5877</v>
      </c>
    </row>
    <row r="4335" spans="5:7" x14ac:dyDescent="0.35">
      <c r="E4335" s="9">
        <v>44147</v>
      </c>
      <c r="F4335">
        <v>231.8</v>
      </c>
      <c r="G4335" t="s">
        <v>5877</v>
      </c>
    </row>
    <row r="4336" spans="5:7" x14ac:dyDescent="0.35">
      <c r="E4336" s="9">
        <v>44148</v>
      </c>
      <c r="F4336">
        <v>219.9</v>
      </c>
      <c r="G4336" t="s">
        <v>5877</v>
      </c>
    </row>
    <row r="4337" spans="5:7" x14ac:dyDescent="0.35">
      <c r="E4337" s="9">
        <v>44149</v>
      </c>
      <c r="F4337">
        <v>213.4</v>
      </c>
      <c r="G4337" t="s">
        <v>5877</v>
      </c>
    </row>
    <row r="4338" spans="5:7" x14ac:dyDescent="0.35">
      <c r="E4338" s="9">
        <v>44150</v>
      </c>
      <c r="F4338">
        <v>212.2</v>
      </c>
      <c r="G4338" t="s">
        <v>5877</v>
      </c>
    </row>
    <row r="4339" spans="5:7" x14ac:dyDescent="0.35">
      <c r="E4339" s="9">
        <v>44151</v>
      </c>
      <c r="F4339">
        <v>210.3</v>
      </c>
      <c r="G4339" t="s">
        <v>5877</v>
      </c>
    </row>
    <row r="4340" spans="5:7" x14ac:dyDescent="0.35">
      <c r="E4340" s="9">
        <v>44152</v>
      </c>
      <c r="F4340">
        <v>210.4</v>
      </c>
      <c r="G4340" t="s">
        <v>5877</v>
      </c>
    </row>
    <row r="4341" spans="5:7" x14ac:dyDescent="0.35">
      <c r="E4341" s="9">
        <v>44153</v>
      </c>
      <c r="F4341">
        <v>213.9</v>
      </c>
      <c r="G4341" t="s">
        <v>5877</v>
      </c>
    </row>
    <row r="4342" spans="5:7" x14ac:dyDescent="0.35">
      <c r="E4342" s="9">
        <v>44154</v>
      </c>
      <c r="F4342">
        <v>213.9</v>
      </c>
      <c r="G4342" t="s">
        <v>5877</v>
      </c>
    </row>
    <row r="4343" spans="5:7" x14ac:dyDescent="0.35">
      <c r="E4343" s="9">
        <v>44155</v>
      </c>
      <c r="F4343">
        <v>213.6</v>
      </c>
      <c r="G4343" t="s">
        <v>5877</v>
      </c>
    </row>
    <row r="4344" spans="5:7" x14ac:dyDescent="0.35">
      <c r="E4344" s="9">
        <v>44156</v>
      </c>
      <c r="F4344">
        <v>219.3</v>
      </c>
      <c r="G4344" t="s">
        <v>5877</v>
      </c>
    </row>
    <row r="4345" spans="5:7" x14ac:dyDescent="0.35">
      <c r="E4345" s="9">
        <v>44157</v>
      </c>
      <c r="F4345">
        <v>229.7</v>
      </c>
      <c r="G4345" t="s">
        <v>5877</v>
      </c>
    </row>
    <row r="4346" spans="5:7" x14ac:dyDescent="0.35">
      <c r="E4346" s="9">
        <v>44158</v>
      </c>
      <c r="F4346">
        <v>237.7</v>
      </c>
      <c r="G4346" t="s">
        <v>5877</v>
      </c>
    </row>
    <row r="4347" spans="5:7" x14ac:dyDescent="0.35">
      <c r="E4347" s="9">
        <v>44159</v>
      </c>
      <c r="F4347">
        <v>250.7</v>
      </c>
      <c r="G4347" t="s">
        <v>5877</v>
      </c>
    </row>
    <row r="4348" spans="5:7" x14ac:dyDescent="0.35">
      <c r="E4348" s="9">
        <v>44160</v>
      </c>
      <c r="F4348">
        <v>272</v>
      </c>
      <c r="G4348" t="s">
        <v>5877</v>
      </c>
    </row>
    <row r="4349" spans="5:7" x14ac:dyDescent="0.35">
      <c r="E4349" s="9">
        <v>44161</v>
      </c>
      <c r="F4349">
        <v>292.39999999999998</v>
      </c>
      <c r="G4349" t="s">
        <v>5877</v>
      </c>
    </row>
    <row r="4350" spans="5:7" x14ac:dyDescent="0.35">
      <c r="E4350" s="9">
        <v>44162</v>
      </c>
      <c r="F4350">
        <v>299.39999999999998</v>
      </c>
      <c r="G4350" t="s">
        <v>5877</v>
      </c>
    </row>
    <row r="4351" spans="5:7" x14ac:dyDescent="0.35">
      <c r="E4351" s="9">
        <v>44163</v>
      </c>
      <c r="F4351">
        <v>296.7</v>
      </c>
      <c r="G4351" t="s">
        <v>5877</v>
      </c>
    </row>
    <row r="4352" spans="5:7" x14ac:dyDescent="0.35">
      <c r="E4352" s="9">
        <v>44164</v>
      </c>
      <c r="F4352">
        <v>292.7</v>
      </c>
      <c r="G4352" t="s">
        <v>5877</v>
      </c>
    </row>
    <row r="4353" spans="5:7" x14ac:dyDescent="0.35">
      <c r="E4353" s="9">
        <v>44165</v>
      </c>
      <c r="F4353">
        <v>282.7</v>
      </c>
      <c r="G4353" t="s">
        <v>5877</v>
      </c>
    </row>
    <row r="4354" spans="5:7" x14ac:dyDescent="0.35">
      <c r="E4354" s="9">
        <v>44166</v>
      </c>
      <c r="F4354">
        <v>268</v>
      </c>
      <c r="G4354" t="s">
        <v>5877</v>
      </c>
    </row>
    <row r="4355" spans="5:7" x14ac:dyDescent="0.35">
      <c r="E4355" s="9">
        <v>44167</v>
      </c>
      <c r="F4355">
        <v>256.7</v>
      </c>
      <c r="G4355" t="s">
        <v>5877</v>
      </c>
    </row>
    <row r="4356" spans="5:7" x14ac:dyDescent="0.35">
      <c r="E4356" s="9">
        <v>44168</v>
      </c>
      <c r="F4356">
        <v>240.8</v>
      </c>
      <c r="G4356" t="s">
        <v>5877</v>
      </c>
    </row>
    <row r="4357" spans="5:7" x14ac:dyDescent="0.35">
      <c r="E4357" s="9">
        <v>44169</v>
      </c>
      <c r="F4357">
        <v>233.9</v>
      </c>
      <c r="G4357" t="s">
        <v>5877</v>
      </c>
    </row>
    <row r="4358" spans="5:7" x14ac:dyDescent="0.35">
      <c r="E4358" s="9">
        <v>44170</v>
      </c>
      <c r="F4358">
        <v>236.3</v>
      </c>
      <c r="G4358" t="s">
        <v>5877</v>
      </c>
    </row>
    <row r="4359" spans="5:7" x14ac:dyDescent="0.35">
      <c r="E4359" s="9">
        <v>44171</v>
      </c>
      <c r="F4359">
        <v>236.7</v>
      </c>
      <c r="G4359" t="s">
        <v>5877</v>
      </c>
    </row>
    <row r="4360" spans="5:7" x14ac:dyDescent="0.35">
      <c r="E4360" s="9">
        <v>44172</v>
      </c>
      <c r="F4360">
        <v>230.8</v>
      </c>
      <c r="G4360" t="s">
        <v>5877</v>
      </c>
    </row>
    <row r="4361" spans="5:7" x14ac:dyDescent="0.35">
      <c r="E4361" s="9">
        <v>44173</v>
      </c>
      <c r="F4361">
        <v>222.4</v>
      </c>
      <c r="G4361" t="s">
        <v>5877</v>
      </c>
    </row>
    <row r="4362" spans="5:7" x14ac:dyDescent="0.35">
      <c r="E4362" s="9">
        <v>44174</v>
      </c>
      <c r="F4362">
        <v>217.9</v>
      </c>
      <c r="G4362" t="s">
        <v>5877</v>
      </c>
    </row>
    <row r="4363" spans="5:7" x14ac:dyDescent="0.35">
      <c r="E4363" s="9">
        <v>44175</v>
      </c>
      <c r="F4363">
        <v>216.7</v>
      </c>
      <c r="G4363" t="s">
        <v>5877</v>
      </c>
    </row>
    <row r="4364" spans="5:7" x14ac:dyDescent="0.35">
      <c r="E4364" s="9">
        <v>44176</v>
      </c>
      <c r="F4364">
        <v>220.1</v>
      </c>
      <c r="G4364" t="s">
        <v>5877</v>
      </c>
    </row>
    <row r="4365" spans="5:7" x14ac:dyDescent="0.35">
      <c r="E4365" s="9">
        <v>44177</v>
      </c>
      <c r="F4365">
        <v>224</v>
      </c>
      <c r="G4365" t="s">
        <v>5877</v>
      </c>
    </row>
    <row r="4366" spans="5:7" x14ac:dyDescent="0.35">
      <c r="E4366" s="9">
        <v>44178</v>
      </c>
      <c r="F4366">
        <v>229.8</v>
      </c>
      <c r="G4366" t="s">
        <v>5877</v>
      </c>
    </row>
    <row r="4367" spans="5:7" x14ac:dyDescent="0.35">
      <c r="E4367" s="9">
        <v>44179</v>
      </c>
      <c r="F4367">
        <v>227.1</v>
      </c>
      <c r="G4367" t="s">
        <v>5877</v>
      </c>
    </row>
    <row r="4368" spans="5:7" x14ac:dyDescent="0.35">
      <c r="E4368" s="9">
        <v>44180</v>
      </c>
      <c r="F4368">
        <v>214.5</v>
      </c>
      <c r="G4368" t="s">
        <v>5877</v>
      </c>
    </row>
    <row r="4369" spans="5:7" x14ac:dyDescent="0.35">
      <c r="E4369" s="9">
        <v>44181</v>
      </c>
      <c r="F4369">
        <v>201</v>
      </c>
      <c r="G4369" t="s">
        <v>5877</v>
      </c>
    </row>
    <row r="4370" spans="5:7" x14ac:dyDescent="0.35">
      <c r="E4370" s="9">
        <v>44182</v>
      </c>
      <c r="F4370">
        <v>196.8</v>
      </c>
      <c r="G4370" t="s">
        <v>5877</v>
      </c>
    </row>
    <row r="4371" spans="5:7" x14ac:dyDescent="0.35">
      <c r="E4371" s="9">
        <v>44183</v>
      </c>
      <c r="F4371">
        <v>208.6</v>
      </c>
      <c r="G4371" t="s">
        <v>5877</v>
      </c>
    </row>
    <row r="4372" spans="5:7" x14ac:dyDescent="0.35">
      <c r="E4372" s="9">
        <v>44184</v>
      </c>
      <c r="F4372">
        <v>231.6</v>
      </c>
      <c r="G4372" t="s">
        <v>5877</v>
      </c>
    </row>
    <row r="4373" spans="5:7" x14ac:dyDescent="0.35">
      <c r="E4373" s="9">
        <v>44185</v>
      </c>
      <c r="F4373">
        <v>247.2</v>
      </c>
      <c r="G4373" t="s">
        <v>5877</v>
      </c>
    </row>
    <row r="4374" spans="5:7" x14ac:dyDescent="0.35">
      <c r="E4374" s="9">
        <v>44186</v>
      </c>
      <c r="F4374">
        <v>248.9</v>
      </c>
      <c r="G4374" t="s">
        <v>5877</v>
      </c>
    </row>
    <row r="4375" spans="5:7" x14ac:dyDescent="0.35">
      <c r="E4375" s="9">
        <v>44187</v>
      </c>
      <c r="F4375">
        <v>237.5</v>
      </c>
      <c r="G4375" t="s">
        <v>5877</v>
      </c>
    </row>
    <row r="4376" spans="5:7" x14ac:dyDescent="0.35">
      <c r="E4376" s="9">
        <v>44188</v>
      </c>
      <c r="F4376">
        <v>229.6</v>
      </c>
      <c r="G4376" t="s">
        <v>5877</v>
      </c>
    </row>
    <row r="4377" spans="5:7" x14ac:dyDescent="0.35">
      <c r="E4377" s="9">
        <v>44189</v>
      </c>
      <c r="F4377">
        <v>230</v>
      </c>
      <c r="G4377" t="s">
        <v>5877</v>
      </c>
    </row>
    <row r="4378" spans="5:7" x14ac:dyDescent="0.35">
      <c r="E4378" s="9">
        <v>44190</v>
      </c>
      <c r="F4378">
        <v>225.6</v>
      </c>
      <c r="G4378" t="s">
        <v>5877</v>
      </c>
    </row>
    <row r="4379" spans="5:7" x14ac:dyDescent="0.35">
      <c r="E4379" s="9">
        <v>44191</v>
      </c>
      <c r="F4379">
        <v>214.9</v>
      </c>
      <c r="G4379" t="s">
        <v>5877</v>
      </c>
    </row>
    <row r="4380" spans="5:7" x14ac:dyDescent="0.35">
      <c r="E4380" s="9">
        <v>44192</v>
      </c>
      <c r="F4380">
        <v>202.3</v>
      </c>
      <c r="G4380" t="s">
        <v>5877</v>
      </c>
    </row>
    <row r="4381" spans="5:7" x14ac:dyDescent="0.35">
      <c r="E4381" s="9">
        <v>44193</v>
      </c>
      <c r="F4381">
        <v>197.4</v>
      </c>
      <c r="G4381" t="s">
        <v>5877</v>
      </c>
    </row>
    <row r="4382" spans="5:7" x14ac:dyDescent="0.35">
      <c r="E4382" s="9">
        <v>44194</v>
      </c>
      <c r="F4382">
        <v>207.5</v>
      </c>
      <c r="G4382" t="s">
        <v>5877</v>
      </c>
    </row>
    <row r="4383" spans="5:7" x14ac:dyDescent="0.35">
      <c r="E4383" s="9">
        <v>44195</v>
      </c>
      <c r="F4383">
        <v>229.5</v>
      </c>
      <c r="G4383" t="s">
        <v>5877</v>
      </c>
    </row>
    <row r="4384" spans="5:7" x14ac:dyDescent="0.35">
      <c r="E4384" s="9">
        <v>44196</v>
      </c>
      <c r="F4384">
        <v>245.5</v>
      </c>
      <c r="G4384" t="s">
        <v>5877</v>
      </c>
    </row>
    <row r="4385" spans="5:7" x14ac:dyDescent="0.35">
      <c r="E4385" s="9">
        <v>44197</v>
      </c>
      <c r="F4385">
        <v>256</v>
      </c>
      <c r="G4385" t="s">
        <v>5877</v>
      </c>
    </row>
    <row r="4386" spans="5:7" x14ac:dyDescent="0.35">
      <c r="E4386" s="9">
        <v>44198</v>
      </c>
      <c r="F4386">
        <v>254.6</v>
      </c>
      <c r="G4386" t="s">
        <v>5877</v>
      </c>
    </row>
    <row r="4387" spans="5:7" x14ac:dyDescent="0.35">
      <c r="E4387" s="9">
        <v>44199</v>
      </c>
      <c r="F4387">
        <v>251.9</v>
      </c>
      <c r="G4387" t="s">
        <v>5877</v>
      </c>
    </row>
    <row r="4388" spans="5:7" x14ac:dyDescent="0.35">
      <c r="E4388" s="9">
        <v>44200</v>
      </c>
      <c r="F4388">
        <v>239.2</v>
      </c>
      <c r="G4388" t="s">
        <v>5877</v>
      </c>
    </row>
    <row r="4389" spans="5:7" x14ac:dyDescent="0.35">
      <c r="E4389" s="9">
        <v>44201</v>
      </c>
      <c r="F4389">
        <v>225</v>
      </c>
      <c r="G4389" t="s">
        <v>5877</v>
      </c>
    </row>
    <row r="4390" spans="5:7" x14ac:dyDescent="0.35">
      <c r="E4390" s="9">
        <v>44202</v>
      </c>
      <c r="F4390">
        <v>216.3</v>
      </c>
      <c r="G4390" t="s">
        <v>5877</v>
      </c>
    </row>
    <row r="4391" spans="5:7" x14ac:dyDescent="0.35">
      <c r="E4391" s="9">
        <v>44203</v>
      </c>
      <c r="F4391">
        <v>217</v>
      </c>
      <c r="G4391" t="s">
        <v>5877</v>
      </c>
    </row>
    <row r="4392" spans="5:7" x14ac:dyDescent="0.35">
      <c r="E4392" s="9">
        <v>44204</v>
      </c>
      <c r="F4392">
        <v>225.7</v>
      </c>
      <c r="G4392" t="s">
        <v>5877</v>
      </c>
    </row>
    <row r="4393" spans="5:7" x14ac:dyDescent="0.35">
      <c r="E4393" s="9">
        <v>44205</v>
      </c>
      <c r="F4393">
        <v>232.7</v>
      </c>
      <c r="G4393" t="s">
        <v>5877</v>
      </c>
    </row>
    <row r="4394" spans="5:7" x14ac:dyDescent="0.35">
      <c r="E4394" s="9">
        <v>44206</v>
      </c>
      <c r="F4394">
        <v>229.1</v>
      </c>
      <c r="G4394" t="s">
        <v>5877</v>
      </c>
    </row>
    <row r="4395" spans="5:7" x14ac:dyDescent="0.35">
      <c r="E4395" s="9">
        <v>44207</v>
      </c>
      <c r="F4395">
        <v>220.9</v>
      </c>
      <c r="G4395" t="s">
        <v>5877</v>
      </c>
    </row>
    <row r="4396" spans="5:7" x14ac:dyDescent="0.35">
      <c r="E4396" s="9">
        <v>44208</v>
      </c>
      <c r="F4396">
        <v>217.6</v>
      </c>
      <c r="G4396" t="s">
        <v>5877</v>
      </c>
    </row>
    <row r="4397" spans="5:7" x14ac:dyDescent="0.35">
      <c r="E4397" s="9">
        <v>44209</v>
      </c>
      <c r="F4397">
        <v>218.3</v>
      </c>
      <c r="G4397" t="s">
        <v>5877</v>
      </c>
    </row>
    <row r="4398" spans="5:7" x14ac:dyDescent="0.35">
      <c r="E4398" s="9">
        <v>44210</v>
      </c>
      <c r="F4398">
        <v>220.2</v>
      </c>
      <c r="G4398" t="s">
        <v>5877</v>
      </c>
    </row>
    <row r="4399" spans="5:7" x14ac:dyDescent="0.35">
      <c r="E4399" s="9">
        <v>44211</v>
      </c>
      <c r="F4399">
        <v>215.1</v>
      </c>
      <c r="G4399" t="s">
        <v>5877</v>
      </c>
    </row>
    <row r="4400" spans="5:7" x14ac:dyDescent="0.35">
      <c r="E4400" s="9">
        <v>44212</v>
      </c>
      <c r="F4400">
        <v>200.9</v>
      </c>
      <c r="G4400" t="s">
        <v>5877</v>
      </c>
    </row>
    <row r="4401" spans="5:7" x14ac:dyDescent="0.35">
      <c r="E4401" s="9">
        <v>44213</v>
      </c>
      <c r="F4401">
        <v>184.3</v>
      </c>
      <c r="G4401" t="s">
        <v>5877</v>
      </c>
    </row>
    <row r="4402" spans="5:7" x14ac:dyDescent="0.35">
      <c r="E4402" s="9">
        <v>44214</v>
      </c>
      <c r="F4402">
        <v>171.3</v>
      </c>
      <c r="G4402" t="s">
        <v>5877</v>
      </c>
    </row>
    <row r="4403" spans="5:7" x14ac:dyDescent="0.35">
      <c r="E4403" s="9">
        <v>44215</v>
      </c>
      <c r="F4403">
        <v>165.1</v>
      </c>
      <c r="G4403" t="s">
        <v>5877</v>
      </c>
    </row>
    <row r="4404" spans="5:7" x14ac:dyDescent="0.35">
      <c r="E4404" s="9">
        <v>44216</v>
      </c>
      <c r="F4404">
        <v>164.4</v>
      </c>
      <c r="G4404" t="s">
        <v>5877</v>
      </c>
    </row>
    <row r="4405" spans="5:7" x14ac:dyDescent="0.35">
      <c r="E4405" s="9">
        <v>44217</v>
      </c>
      <c r="F4405">
        <v>164.2</v>
      </c>
      <c r="G4405" t="s">
        <v>5877</v>
      </c>
    </row>
    <row r="4406" spans="5:7" x14ac:dyDescent="0.35">
      <c r="E4406" s="9">
        <v>44218</v>
      </c>
      <c r="F4406">
        <v>166.5</v>
      </c>
      <c r="G4406" t="s">
        <v>5877</v>
      </c>
    </row>
    <row r="4407" spans="5:7" x14ac:dyDescent="0.35">
      <c r="E4407" s="9">
        <v>44219</v>
      </c>
      <c r="F4407">
        <v>168.8</v>
      </c>
      <c r="G4407" t="s">
        <v>5877</v>
      </c>
    </row>
    <row r="4408" spans="5:7" x14ac:dyDescent="0.35">
      <c r="E4408" s="9">
        <v>44220</v>
      </c>
      <c r="F4408">
        <v>176.4</v>
      </c>
      <c r="G4408" t="s">
        <v>5877</v>
      </c>
    </row>
    <row r="4409" spans="5:7" x14ac:dyDescent="0.35">
      <c r="E4409" s="9">
        <v>44221</v>
      </c>
      <c r="F4409">
        <v>185.2</v>
      </c>
      <c r="G4409" t="s">
        <v>5877</v>
      </c>
    </row>
    <row r="4410" spans="5:7" x14ac:dyDescent="0.35">
      <c r="E4410" s="9">
        <v>44222</v>
      </c>
      <c r="F4410">
        <v>194.6</v>
      </c>
      <c r="G4410" t="s">
        <v>5877</v>
      </c>
    </row>
    <row r="4411" spans="5:7" x14ac:dyDescent="0.35">
      <c r="E4411" s="9">
        <v>44223</v>
      </c>
      <c r="F4411">
        <v>201.4</v>
      </c>
      <c r="G4411" t="s">
        <v>5877</v>
      </c>
    </row>
    <row r="4412" spans="5:7" x14ac:dyDescent="0.35">
      <c r="E4412" s="9">
        <v>44224</v>
      </c>
      <c r="F4412">
        <v>208.6</v>
      </c>
      <c r="G4412" t="s">
        <v>5877</v>
      </c>
    </row>
    <row r="4413" spans="5:7" x14ac:dyDescent="0.35">
      <c r="E4413" s="9">
        <v>44225</v>
      </c>
      <c r="F4413">
        <v>210.5</v>
      </c>
      <c r="G4413" t="s">
        <v>5877</v>
      </c>
    </row>
    <row r="4414" spans="5:7" x14ac:dyDescent="0.35">
      <c r="E4414" s="9">
        <v>44226</v>
      </c>
      <c r="F4414">
        <v>202.8</v>
      </c>
      <c r="G4414" t="s">
        <v>5877</v>
      </c>
    </row>
    <row r="4415" spans="5:7" x14ac:dyDescent="0.35">
      <c r="E4415" s="9">
        <v>44227</v>
      </c>
      <c r="F4415">
        <v>196.6</v>
      </c>
      <c r="G4415" t="s">
        <v>5877</v>
      </c>
    </row>
    <row r="4416" spans="5:7" x14ac:dyDescent="0.35">
      <c r="E4416" s="9">
        <v>44228</v>
      </c>
      <c r="F4416">
        <v>199</v>
      </c>
      <c r="G4416" t="s">
        <v>5877</v>
      </c>
    </row>
    <row r="4417" spans="5:7" x14ac:dyDescent="0.35">
      <c r="E4417" s="9">
        <v>44229</v>
      </c>
      <c r="F4417">
        <v>187.6</v>
      </c>
      <c r="G4417" t="s">
        <v>5877</v>
      </c>
    </row>
    <row r="4418" spans="5:7" x14ac:dyDescent="0.35">
      <c r="E4418" s="9">
        <v>44230</v>
      </c>
      <c r="F4418">
        <v>186.3</v>
      </c>
      <c r="G4418" t="s">
        <v>5877</v>
      </c>
    </row>
    <row r="4419" spans="5:7" x14ac:dyDescent="0.35">
      <c r="E4419" s="9">
        <v>44231</v>
      </c>
      <c r="F4419">
        <v>176</v>
      </c>
      <c r="G4419" t="s">
        <v>5877</v>
      </c>
    </row>
    <row r="4420" spans="5:7" x14ac:dyDescent="0.35">
      <c r="E4420" s="9">
        <v>44232</v>
      </c>
      <c r="F4420">
        <v>165.2</v>
      </c>
      <c r="G4420" t="s">
        <v>5877</v>
      </c>
    </row>
    <row r="4421" spans="5:7" x14ac:dyDescent="0.35">
      <c r="E4421" s="9">
        <v>44233</v>
      </c>
      <c r="F4421">
        <v>160.9</v>
      </c>
      <c r="G4421" t="s">
        <v>5877</v>
      </c>
    </row>
    <row r="4422" spans="5:7" x14ac:dyDescent="0.35">
      <c r="E4422" s="9">
        <v>44234</v>
      </c>
      <c r="F4422">
        <v>163.6</v>
      </c>
      <c r="G4422" t="s">
        <v>5877</v>
      </c>
    </row>
    <row r="4423" spans="5:7" x14ac:dyDescent="0.35">
      <c r="E4423" s="9">
        <v>44235</v>
      </c>
      <c r="F4423">
        <v>162.5</v>
      </c>
      <c r="G4423" t="s">
        <v>5877</v>
      </c>
    </row>
    <row r="4424" spans="5:7" x14ac:dyDescent="0.35">
      <c r="E4424" s="9">
        <v>44236</v>
      </c>
      <c r="F4424">
        <v>155.80000000000001</v>
      </c>
      <c r="G4424" t="s">
        <v>5877</v>
      </c>
    </row>
    <row r="4425" spans="5:7" x14ac:dyDescent="0.35">
      <c r="E4425" s="9">
        <v>44237</v>
      </c>
      <c r="F4425">
        <v>145.69999999999999</v>
      </c>
      <c r="G4425" t="s">
        <v>5877</v>
      </c>
    </row>
    <row r="4426" spans="5:7" x14ac:dyDescent="0.35">
      <c r="E4426" s="9">
        <v>44238</v>
      </c>
      <c r="F4426">
        <v>141.6</v>
      </c>
      <c r="G4426" t="s">
        <v>5877</v>
      </c>
    </row>
    <row r="4427" spans="5:7" x14ac:dyDescent="0.35">
      <c r="E4427" s="9">
        <v>44239</v>
      </c>
      <c r="F4427">
        <v>149.80000000000001</v>
      </c>
      <c r="G4427" t="s">
        <v>5877</v>
      </c>
    </row>
    <row r="4428" spans="5:7" x14ac:dyDescent="0.35">
      <c r="E4428" s="9">
        <v>44240</v>
      </c>
      <c r="F4428">
        <v>164.5</v>
      </c>
      <c r="G4428" t="s">
        <v>5877</v>
      </c>
    </row>
    <row r="4429" spans="5:7" x14ac:dyDescent="0.35">
      <c r="E4429" s="9">
        <v>44241</v>
      </c>
      <c r="F4429">
        <v>169.9</v>
      </c>
      <c r="G4429" t="s">
        <v>5877</v>
      </c>
    </row>
    <row r="4430" spans="5:7" x14ac:dyDescent="0.35">
      <c r="E4430" s="9">
        <v>44242</v>
      </c>
      <c r="F4430">
        <v>164.4</v>
      </c>
      <c r="G4430" t="s">
        <v>5877</v>
      </c>
    </row>
    <row r="4431" spans="5:7" x14ac:dyDescent="0.35">
      <c r="E4431" s="9">
        <v>44243</v>
      </c>
      <c r="F4431">
        <v>154.80000000000001</v>
      </c>
      <c r="G4431" t="s">
        <v>5877</v>
      </c>
    </row>
    <row r="4432" spans="5:7" x14ac:dyDescent="0.35">
      <c r="E4432" s="9">
        <v>44244</v>
      </c>
      <c r="F4432">
        <v>153.80000000000001</v>
      </c>
      <c r="G4432" t="s">
        <v>5877</v>
      </c>
    </row>
    <row r="4433" spans="5:7" x14ac:dyDescent="0.35">
      <c r="E4433" s="9">
        <v>44245</v>
      </c>
      <c r="F4433">
        <v>167.8</v>
      </c>
      <c r="G4433" t="s">
        <v>5877</v>
      </c>
    </row>
    <row r="4434" spans="5:7" x14ac:dyDescent="0.35">
      <c r="E4434" s="9">
        <v>44246</v>
      </c>
      <c r="F4434">
        <v>191.7</v>
      </c>
      <c r="G4434" t="s">
        <v>5877</v>
      </c>
    </row>
    <row r="4435" spans="5:7" x14ac:dyDescent="0.35">
      <c r="E4435" s="9">
        <v>44247</v>
      </c>
      <c r="F4435">
        <v>209.6</v>
      </c>
      <c r="G4435" t="s">
        <v>5877</v>
      </c>
    </row>
    <row r="4436" spans="5:7" x14ac:dyDescent="0.35">
      <c r="E4436" s="9">
        <v>44248</v>
      </c>
      <c r="F4436">
        <v>220.1</v>
      </c>
      <c r="G4436" t="s">
        <v>5877</v>
      </c>
    </row>
    <row r="4437" spans="5:7" x14ac:dyDescent="0.35">
      <c r="E4437" s="9">
        <v>44249</v>
      </c>
      <c r="F4437">
        <v>223.5</v>
      </c>
      <c r="G4437" t="s">
        <v>5877</v>
      </c>
    </row>
    <row r="4438" spans="5:7" x14ac:dyDescent="0.35">
      <c r="E4438" s="9">
        <v>44250</v>
      </c>
      <c r="F4438">
        <v>223.3</v>
      </c>
      <c r="G4438" t="s">
        <v>5877</v>
      </c>
    </row>
    <row r="4439" spans="5:7" x14ac:dyDescent="0.35">
      <c r="E4439" s="9">
        <v>44251</v>
      </c>
      <c r="F4439">
        <v>223.5</v>
      </c>
      <c r="G4439" t="s">
        <v>5877</v>
      </c>
    </row>
    <row r="4440" spans="5:7" x14ac:dyDescent="0.35">
      <c r="E4440" s="9">
        <v>44252</v>
      </c>
      <c r="F4440">
        <v>216.5</v>
      </c>
      <c r="G4440" t="s">
        <v>5877</v>
      </c>
    </row>
    <row r="4441" spans="5:7" x14ac:dyDescent="0.35">
      <c r="E4441" s="9">
        <v>44253</v>
      </c>
      <c r="F4441">
        <v>202.8</v>
      </c>
      <c r="G4441" t="s">
        <v>5877</v>
      </c>
    </row>
    <row r="4442" spans="5:7" x14ac:dyDescent="0.35">
      <c r="E4442" s="9">
        <v>44254</v>
      </c>
      <c r="F4442">
        <v>190.8</v>
      </c>
      <c r="G4442" t="s">
        <v>5877</v>
      </c>
    </row>
    <row r="4443" spans="5:7" x14ac:dyDescent="0.35">
      <c r="E4443" s="9">
        <v>44255</v>
      </c>
      <c r="F4443">
        <v>182.1</v>
      </c>
      <c r="G4443" t="s">
        <v>5877</v>
      </c>
    </row>
    <row r="4444" spans="5:7" x14ac:dyDescent="0.35">
      <c r="E4444" s="9">
        <v>44256</v>
      </c>
      <c r="F4444">
        <v>172.5</v>
      </c>
      <c r="G4444" t="s">
        <v>5877</v>
      </c>
    </row>
    <row r="4445" spans="5:7" x14ac:dyDescent="0.35">
      <c r="E4445" s="9">
        <v>44257</v>
      </c>
      <c r="F4445">
        <v>179.9</v>
      </c>
      <c r="G4445" t="s">
        <v>5877</v>
      </c>
    </row>
    <row r="4446" spans="5:7" x14ac:dyDescent="0.35">
      <c r="E4446" s="9">
        <v>44258</v>
      </c>
      <c r="F4446">
        <v>193.8</v>
      </c>
      <c r="G4446" t="s">
        <v>5877</v>
      </c>
    </row>
    <row r="4447" spans="5:7" x14ac:dyDescent="0.35">
      <c r="E4447" s="9">
        <v>44259</v>
      </c>
      <c r="F4447">
        <v>217.4</v>
      </c>
      <c r="G4447" t="s">
        <v>5877</v>
      </c>
    </row>
    <row r="4448" spans="5:7" x14ac:dyDescent="0.35">
      <c r="E4448" s="9">
        <v>44260</v>
      </c>
      <c r="F4448">
        <v>233.3</v>
      </c>
      <c r="G4448" t="s">
        <v>5877</v>
      </c>
    </row>
    <row r="4449" spans="5:7" x14ac:dyDescent="0.35">
      <c r="E4449" s="9">
        <v>44261</v>
      </c>
      <c r="F4449">
        <v>237.2</v>
      </c>
      <c r="G4449" t="s">
        <v>5877</v>
      </c>
    </row>
    <row r="4450" spans="5:7" x14ac:dyDescent="0.35">
      <c r="E4450" s="9">
        <v>44262</v>
      </c>
      <c r="F4450">
        <v>242.5</v>
      </c>
      <c r="G4450" t="s">
        <v>5877</v>
      </c>
    </row>
    <row r="4451" spans="5:7" x14ac:dyDescent="0.35">
      <c r="E4451" s="9">
        <v>44263</v>
      </c>
      <c r="F4451">
        <v>247.8</v>
      </c>
      <c r="G4451" t="s">
        <v>5877</v>
      </c>
    </row>
    <row r="4452" spans="5:7" x14ac:dyDescent="0.35">
      <c r="E4452" s="9">
        <v>44264</v>
      </c>
      <c r="F4452">
        <v>251.8</v>
      </c>
      <c r="G4452" t="s">
        <v>5877</v>
      </c>
    </row>
    <row r="4453" spans="5:7" x14ac:dyDescent="0.35">
      <c r="E4453" s="9">
        <v>44265</v>
      </c>
      <c r="F4453">
        <v>235.2</v>
      </c>
      <c r="G4453" t="s">
        <v>5877</v>
      </c>
    </row>
    <row r="4454" spans="5:7" x14ac:dyDescent="0.35">
      <c r="E4454" s="9">
        <v>44266</v>
      </c>
      <c r="F4454">
        <v>207.7</v>
      </c>
      <c r="G4454" t="s">
        <v>5877</v>
      </c>
    </row>
    <row r="4455" spans="5:7" x14ac:dyDescent="0.35">
      <c r="E4455" s="9">
        <v>44267</v>
      </c>
      <c r="F4455">
        <v>182.4</v>
      </c>
      <c r="G4455" t="s">
        <v>5877</v>
      </c>
    </row>
    <row r="4456" spans="5:7" x14ac:dyDescent="0.35">
      <c r="E4456" s="9">
        <v>44268</v>
      </c>
      <c r="F4456">
        <v>168.6</v>
      </c>
      <c r="G4456" t="s">
        <v>5877</v>
      </c>
    </row>
    <row r="4457" spans="5:7" x14ac:dyDescent="0.35">
      <c r="E4457" s="9">
        <v>44269</v>
      </c>
      <c r="F4457">
        <v>170.2</v>
      </c>
      <c r="G4457" t="s">
        <v>5877</v>
      </c>
    </row>
    <row r="4458" spans="5:7" x14ac:dyDescent="0.35">
      <c r="E4458" s="9">
        <v>44270</v>
      </c>
      <c r="F4458">
        <v>177.5</v>
      </c>
      <c r="G4458" t="s">
        <v>5877</v>
      </c>
    </row>
    <row r="4459" spans="5:7" x14ac:dyDescent="0.35">
      <c r="E4459" s="9">
        <v>44271</v>
      </c>
      <c r="F4459">
        <v>185.3</v>
      </c>
      <c r="G4459" t="s">
        <v>5877</v>
      </c>
    </row>
    <row r="4460" spans="5:7" x14ac:dyDescent="0.35">
      <c r="E4460" s="9">
        <v>44272</v>
      </c>
      <c r="F4460">
        <v>192.7</v>
      </c>
      <c r="G4460" t="s">
        <v>5877</v>
      </c>
    </row>
    <row r="4461" spans="5:7" x14ac:dyDescent="0.35">
      <c r="E4461" s="9">
        <v>44273</v>
      </c>
      <c r="F4461">
        <v>199.3</v>
      </c>
      <c r="G4461" t="s">
        <v>5877</v>
      </c>
    </row>
    <row r="4462" spans="5:7" x14ac:dyDescent="0.35">
      <c r="E4462" s="9">
        <v>44274</v>
      </c>
      <c r="F4462">
        <v>203.4</v>
      </c>
      <c r="G4462" t="s">
        <v>5877</v>
      </c>
    </row>
    <row r="4463" spans="5:7" x14ac:dyDescent="0.35">
      <c r="E4463" s="9">
        <v>44275</v>
      </c>
      <c r="F4463">
        <v>204.3</v>
      </c>
      <c r="G4463" t="s">
        <v>5877</v>
      </c>
    </row>
    <row r="4464" spans="5:7" x14ac:dyDescent="0.35">
      <c r="E4464" s="9">
        <v>44276</v>
      </c>
      <c r="F4464">
        <v>208.7</v>
      </c>
      <c r="G4464" t="s">
        <v>5877</v>
      </c>
    </row>
    <row r="4465" spans="5:7" x14ac:dyDescent="0.35">
      <c r="E4465" s="9">
        <v>44277</v>
      </c>
      <c r="F4465">
        <v>214.5</v>
      </c>
      <c r="G4465" t="s">
        <v>5877</v>
      </c>
    </row>
    <row r="4466" spans="5:7" x14ac:dyDescent="0.35">
      <c r="E4466" s="9">
        <v>44278</v>
      </c>
      <c r="F4466">
        <v>219.4</v>
      </c>
      <c r="G4466" t="s">
        <v>5877</v>
      </c>
    </row>
    <row r="4467" spans="5:7" x14ac:dyDescent="0.35">
      <c r="E4467" s="9">
        <v>44279</v>
      </c>
      <c r="F4467">
        <v>216.4</v>
      </c>
      <c r="G4467" t="s">
        <v>5877</v>
      </c>
    </row>
    <row r="4468" spans="5:7" x14ac:dyDescent="0.35">
      <c r="E4468" s="9">
        <v>44280</v>
      </c>
      <c r="F4468">
        <v>206.9</v>
      </c>
      <c r="G4468" t="s">
        <v>5877</v>
      </c>
    </row>
    <row r="4469" spans="5:7" x14ac:dyDescent="0.35">
      <c r="E4469" s="9">
        <v>44281</v>
      </c>
      <c r="F4469">
        <v>195.5</v>
      </c>
      <c r="G4469" t="s">
        <v>5877</v>
      </c>
    </row>
    <row r="4470" spans="5:7" x14ac:dyDescent="0.35">
      <c r="E4470" s="9">
        <v>44282</v>
      </c>
      <c r="F4470">
        <v>182.6</v>
      </c>
      <c r="G4470" t="s">
        <v>5877</v>
      </c>
    </row>
    <row r="4471" spans="5:7" x14ac:dyDescent="0.35">
      <c r="E4471" s="9">
        <v>44283</v>
      </c>
      <c r="F4471">
        <v>173.2</v>
      </c>
      <c r="G4471" t="s">
        <v>5877</v>
      </c>
    </row>
    <row r="4472" spans="5:7" x14ac:dyDescent="0.35">
      <c r="E4472" s="9">
        <v>44284</v>
      </c>
      <c r="F4472">
        <v>174.3</v>
      </c>
      <c r="G4472" t="s">
        <v>5877</v>
      </c>
    </row>
    <row r="4473" spans="5:7" x14ac:dyDescent="0.35">
      <c r="E4473" s="9">
        <v>44285</v>
      </c>
      <c r="F4473">
        <v>187</v>
      </c>
      <c r="G4473" t="s">
        <v>5877</v>
      </c>
    </row>
    <row r="4474" spans="5:7" x14ac:dyDescent="0.35">
      <c r="E4474" s="9">
        <v>44286</v>
      </c>
      <c r="F4474">
        <v>198.5</v>
      </c>
      <c r="G4474" t="s">
        <v>5877</v>
      </c>
    </row>
    <row r="4475" spans="5:7" x14ac:dyDescent="0.35">
      <c r="E4475" s="9">
        <v>44287</v>
      </c>
      <c r="F4475">
        <v>205</v>
      </c>
      <c r="G4475">
        <v>170.2</v>
      </c>
    </row>
    <row r="4476" spans="5:7" x14ac:dyDescent="0.35">
      <c r="E4476" s="9">
        <v>44288</v>
      </c>
      <c r="F4476">
        <v>214.7</v>
      </c>
    </row>
    <row r="4477" spans="5:7" x14ac:dyDescent="0.35">
      <c r="E4477" s="9">
        <v>44289</v>
      </c>
      <c r="F4477">
        <v>214.6</v>
      </c>
    </row>
    <row r="4478" spans="5:7" x14ac:dyDescent="0.35">
      <c r="E4478" s="9">
        <v>44290</v>
      </c>
      <c r="F4478">
        <v>213.6</v>
      </c>
    </row>
    <row r="4479" spans="5:7" x14ac:dyDescent="0.35">
      <c r="E4479" s="9">
        <v>44291</v>
      </c>
      <c r="F4479">
        <v>216.4</v>
      </c>
    </row>
    <row r="4480" spans="5:7" x14ac:dyDescent="0.35">
      <c r="E4480" s="9">
        <v>44292</v>
      </c>
      <c r="F4480">
        <v>223.5</v>
      </c>
      <c r="G4480">
        <v>274.3</v>
      </c>
    </row>
    <row r="4481" spans="5:7" x14ac:dyDescent="0.35">
      <c r="E4481" s="9">
        <v>44293</v>
      </c>
      <c r="F4481">
        <v>228.4</v>
      </c>
      <c r="G4481">
        <v>290.8</v>
      </c>
    </row>
    <row r="4482" spans="5:7" x14ac:dyDescent="0.35">
      <c r="E4482" s="9">
        <v>44294</v>
      </c>
      <c r="F4482">
        <v>229.1</v>
      </c>
      <c r="G4482">
        <v>292.89999999999998</v>
      </c>
    </row>
    <row r="4483" spans="5:7" x14ac:dyDescent="0.35">
      <c r="E4483" s="9">
        <v>44295</v>
      </c>
      <c r="F4483">
        <v>225.9</v>
      </c>
      <c r="G4483">
        <v>287.5</v>
      </c>
    </row>
    <row r="4484" spans="5:7" x14ac:dyDescent="0.35">
      <c r="E4484" s="9">
        <v>44296</v>
      </c>
      <c r="F4484">
        <v>212.9</v>
      </c>
      <c r="G4484">
        <v>277.3</v>
      </c>
    </row>
    <row r="4485" spans="5:7" x14ac:dyDescent="0.35">
      <c r="E4485" s="9">
        <v>44297</v>
      </c>
      <c r="F4485">
        <v>197.8</v>
      </c>
      <c r="G4485" t="s">
        <v>5877</v>
      </c>
    </row>
    <row r="4486" spans="5:7" x14ac:dyDescent="0.35">
      <c r="E4486" s="9">
        <v>44298</v>
      </c>
      <c r="F4486">
        <v>186.4</v>
      </c>
      <c r="G4486" t="s">
        <v>5877</v>
      </c>
    </row>
    <row r="4487" spans="5:7" x14ac:dyDescent="0.35">
      <c r="E4487" s="9">
        <v>44299</v>
      </c>
      <c r="F4487">
        <v>182.4</v>
      </c>
      <c r="G4487" t="s">
        <v>5877</v>
      </c>
    </row>
    <row r="4488" spans="5:7" x14ac:dyDescent="0.35">
      <c r="E4488" s="9">
        <v>44300</v>
      </c>
      <c r="F4488">
        <v>185.6</v>
      </c>
      <c r="G4488" t="s">
        <v>5877</v>
      </c>
    </row>
    <row r="4489" spans="5:7" x14ac:dyDescent="0.35">
      <c r="E4489" s="9">
        <v>44301</v>
      </c>
      <c r="F4489">
        <v>191</v>
      </c>
      <c r="G4489" t="s">
        <v>5877</v>
      </c>
    </row>
    <row r="4490" spans="5:7" x14ac:dyDescent="0.35">
      <c r="E4490" s="9">
        <v>44302</v>
      </c>
      <c r="F4490">
        <v>190.6</v>
      </c>
      <c r="G4490" t="s">
        <v>5877</v>
      </c>
    </row>
    <row r="4491" spans="5:7" x14ac:dyDescent="0.35">
      <c r="E4491" s="9">
        <v>44303</v>
      </c>
      <c r="F4491">
        <v>182.8</v>
      </c>
      <c r="G4491" t="s">
        <v>5877</v>
      </c>
    </row>
    <row r="4492" spans="5:7" x14ac:dyDescent="0.35">
      <c r="E4492" s="9">
        <v>44304</v>
      </c>
      <c r="F4492">
        <v>171.7</v>
      </c>
      <c r="G4492" t="s">
        <v>5877</v>
      </c>
    </row>
    <row r="4493" spans="5:7" x14ac:dyDescent="0.35">
      <c r="E4493" s="9">
        <v>44305</v>
      </c>
      <c r="F4493">
        <v>160.4</v>
      </c>
      <c r="G4493" t="s">
        <v>5877</v>
      </c>
    </row>
    <row r="4494" spans="5:7" x14ac:dyDescent="0.35">
      <c r="E4494" s="9">
        <v>44306</v>
      </c>
      <c r="F4494">
        <v>153.5</v>
      </c>
      <c r="G4494" t="s">
        <v>5877</v>
      </c>
    </row>
    <row r="4495" spans="5:7" x14ac:dyDescent="0.35">
      <c r="E4495" s="9">
        <v>44307</v>
      </c>
      <c r="F4495">
        <v>154.4</v>
      </c>
      <c r="G4495" t="s">
        <v>5877</v>
      </c>
    </row>
    <row r="4496" spans="5:7" x14ac:dyDescent="0.35">
      <c r="E4496" s="9">
        <v>44308</v>
      </c>
      <c r="F4496">
        <v>161.19999999999999</v>
      </c>
      <c r="G4496" t="s">
        <v>5877</v>
      </c>
    </row>
    <row r="4497" spans="5:7" x14ac:dyDescent="0.35">
      <c r="E4497" s="9">
        <v>44309</v>
      </c>
      <c r="F4497">
        <v>170.3</v>
      </c>
      <c r="G4497" t="s">
        <v>5877</v>
      </c>
    </row>
    <row r="4498" spans="5:7" x14ac:dyDescent="0.35">
      <c r="E4498" s="9">
        <v>44310</v>
      </c>
      <c r="F4498">
        <v>182.9</v>
      </c>
      <c r="G4498" t="s">
        <v>5877</v>
      </c>
    </row>
    <row r="4499" spans="5:7" x14ac:dyDescent="0.35">
      <c r="E4499" s="9">
        <v>44311</v>
      </c>
      <c r="F4499">
        <v>200.4</v>
      </c>
      <c r="G4499" t="s">
        <v>5877</v>
      </c>
    </row>
    <row r="4500" spans="5:7" x14ac:dyDescent="0.35">
      <c r="E4500" s="9">
        <v>44312</v>
      </c>
      <c r="F4500">
        <v>216.9</v>
      </c>
      <c r="G4500" t="s">
        <v>5877</v>
      </c>
    </row>
    <row r="4501" spans="5:7" x14ac:dyDescent="0.35">
      <c r="E4501" s="9">
        <v>44313</v>
      </c>
      <c r="F4501">
        <v>226.2</v>
      </c>
      <c r="G4501" t="s">
        <v>5877</v>
      </c>
    </row>
    <row r="4502" spans="5:7" x14ac:dyDescent="0.35">
      <c r="E4502" s="9">
        <v>44314</v>
      </c>
      <c r="F4502">
        <v>232.5</v>
      </c>
      <c r="G4502" t="s">
        <v>5877</v>
      </c>
    </row>
    <row r="4503" spans="5:7" x14ac:dyDescent="0.35">
      <c r="E4503" s="9">
        <v>44315</v>
      </c>
      <c r="F4503">
        <v>236.7</v>
      </c>
      <c r="G4503" t="s">
        <v>5877</v>
      </c>
    </row>
    <row r="4504" spans="5:7" x14ac:dyDescent="0.35">
      <c r="E4504" s="9">
        <v>44316</v>
      </c>
      <c r="F4504">
        <v>253.2</v>
      </c>
      <c r="G4504" t="s">
        <v>5877</v>
      </c>
    </row>
    <row r="4505" spans="5:7" x14ac:dyDescent="0.35">
      <c r="E4505" s="9">
        <v>44317</v>
      </c>
      <c r="F4505">
        <v>275.39999999999998</v>
      </c>
      <c r="G4505" t="s">
        <v>5877</v>
      </c>
    </row>
    <row r="4506" spans="5:7" x14ac:dyDescent="0.35">
      <c r="E4506" s="9">
        <v>44318</v>
      </c>
      <c r="F4506">
        <v>285.8</v>
      </c>
      <c r="G4506" t="s">
        <v>5877</v>
      </c>
    </row>
    <row r="4507" spans="5:7" x14ac:dyDescent="0.35">
      <c r="E4507" s="9">
        <v>44319</v>
      </c>
      <c r="F4507">
        <v>281.8</v>
      </c>
      <c r="G4507" t="s">
        <v>5877</v>
      </c>
    </row>
    <row r="4508" spans="5:7" x14ac:dyDescent="0.35">
      <c r="E4508" s="9">
        <v>44320</v>
      </c>
      <c r="F4508">
        <v>267.60000000000002</v>
      </c>
      <c r="G4508" t="s">
        <v>5877</v>
      </c>
    </row>
    <row r="4509" spans="5:7" x14ac:dyDescent="0.35">
      <c r="E4509" s="9">
        <v>44321</v>
      </c>
      <c r="F4509">
        <v>253.2</v>
      </c>
      <c r="G4509" t="s">
        <v>5877</v>
      </c>
    </row>
    <row r="4510" spans="5:7" x14ac:dyDescent="0.35">
      <c r="E4510" s="9">
        <v>44322</v>
      </c>
      <c r="F4510">
        <v>234.2</v>
      </c>
      <c r="G4510" t="s">
        <v>5877</v>
      </c>
    </row>
    <row r="4511" spans="5:7" x14ac:dyDescent="0.35">
      <c r="E4511" s="9">
        <v>44323</v>
      </c>
      <c r="F4511">
        <v>219.4</v>
      </c>
      <c r="G4511" t="s">
        <v>5877</v>
      </c>
    </row>
    <row r="4512" spans="5:7" x14ac:dyDescent="0.35">
      <c r="E4512" s="9">
        <v>44324</v>
      </c>
      <c r="F4512">
        <v>209.7</v>
      </c>
      <c r="G4512" t="s">
        <v>5877</v>
      </c>
    </row>
    <row r="4513" spans="5:7" x14ac:dyDescent="0.35">
      <c r="E4513" s="9">
        <v>44325</v>
      </c>
      <c r="F4513">
        <v>206.6</v>
      </c>
      <c r="G4513" t="s">
        <v>5877</v>
      </c>
    </row>
    <row r="4514" spans="5:7" x14ac:dyDescent="0.35">
      <c r="E4514" s="9">
        <v>44326</v>
      </c>
      <c r="F4514">
        <v>204.8</v>
      </c>
      <c r="G4514" t="s">
        <v>5877</v>
      </c>
    </row>
    <row r="4515" spans="5:7" x14ac:dyDescent="0.35">
      <c r="E4515" s="9">
        <v>44327</v>
      </c>
      <c r="F4515">
        <v>199.7</v>
      </c>
      <c r="G4515" t="s">
        <v>5877</v>
      </c>
    </row>
    <row r="4516" spans="5:7" x14ac:dyDescent="0.35">
      <c r="E4516" s="9">
        <v>44328</v>
      </c>
      <c r="F4516">
        <v>186.1</v>
      </c>
      <c r="G4516" t="s">
        <v>5877</v>
      </c>
    </row>
    <row r="4517" spans="5:7" x14ac:dyDescent="0.35">
      <c r="E4517" s="9">
        <v>44329</v>
      </c>
      <c r="F4517">
        <v>169.5</v>
      </c>
      <c r="G4517" t="s">
        <v>5877</v>
      </c>
    </row>
    <row r="4518" spans="5:7" x14ac:dyDescent="0.35">
      <c r="E4518" s="9">
        <v>44330</v>
      </c>
      <c r="F4518">
        <v>155</v>
      </c>
      <c r="G4518" t="s">
        <v>5877</v>
      </c>
    </row>
    <row r="4519" spans="5:7" x14ac:dyDescent="0.35">
      <c r="E4519" s="9">
        <v>44331</v>
      </c>
      <c r="F4519">
        <v>143.80000000000001</v>
      </c>
      <c r="G4519" t="s">
        <v>5877</v>
      </c>
    </row>
    <row r="4520" spans="5:7" x14ac:dyDescent="0.35">
      <c r="E4520" s="9">
        <v>44332</v>
      </c>
      <c r="F4520">
        <v>137.1</v>
      </c>
      <c r="G4520" t="s">
        <v>5877</v>
      </c>
    </row>
    <row r="4521" spans="5:7" x14ac:dyDescent="0.35">
      <c r="E4521" s="9">
        <v>44333</v>
      </c>
      <c r="F4521">
        <v>133.1</v>
      </c>
      <c r="G4521" t="s">
        <v>5877</v>
      </c>
    </row>
    <row r="4522" spans="5:7" x14ac:dyDescent="0.35">
      <c r="E4522" s="9">
        <v>44334</v>
      </c>
      <c r="F4522">
        <v>130.69999999999999</v>
      </c>
      <c r="G4522" t="s">
        <v>5877</v>
      </c>
    </row>
    <row r="4523" spans="5:7" x14ac:dyDescent="0.35">
      <c r="E4523" s="9">
        <v>44335</v>
      </c>
      <c r="F4523">
        <v>129</v>
      </c>
      <c r="G4523" t="s">
        <v>5877</v>
      </c>
    </row>
    <row r="4524" spans="5:7" x14ac:dyDescent="0.35">
      <c r="E4524" s="9">
        <v>44336</v>
      </c>
      <c r="F4524">
        <v>127.6</v>
      </c>
      <c r="G4524" t="s">
        <v>5877</v>
      </c>
    </row>
    <row r="4525" spans="5:7" x14ac:dyDescent="0.35">
      <c r="E4525" s="9">
        <v>44337</v>
      </c>
      <c r="F4525">
        <v>126.5</v>
      </c>
      <c r="G4525" t="s">
        <v>5877</v>
      </c>
    </row>
    <row r="4526" spans="5:7" x14ac:dyDescent="0.35">
      <c r="E4526" s="9">
        <v>44338</v>
      </c>
      <c r="F4526">
        <v>126.1</v>
      </c>
      <c r="G4526" t="s">
        <v>5877</v>
      </c>
    </row>
    <row r="4527" spans="5:7" x14ac:dyDescent="0.35">
      <c r="E4527" s="9">
        <v>44339</v>
      </c>
      <c r="F4527">
        <v>126.6</v>
      </c>
      <c r="G4527" t="s">
        <v>5877</v>
      </c>
    </row>
    <row r="4528" spans="5:7" x14ac:dyDescent="0.35">
      <c r="E4528" s="9">
        <v>44340</v>
      </c>
      <c r="F4528">
        <v>127.5</v>
      </c>
      <c r="G4528" t="s">
        <v>5877</v>
      </c>
    </row>
    <row r="4529" spans="5:7" x14ac:dyDescent="0.35">
      <c r="E4529" s="9">
        <v>44341</v>
      </c>
      <c r="F4529">
        <v>127.5</v>
      </c>
      <c r="G4529" t="s">
        <v>5877</v>
      </c>
    </row>
    <row r="4530" spans="5:7" x14ac:dyDescent="0.35">
      <c r="E4530" s="9">
        <v>44342</v>
      </c>
      <c r="F4530">
        <v>126.9</v>
      </c>
      <c r="G4530" t="s">
        <v>5877</v>
      </c>
    </row>
    <row r="4531" spans="5:7" x14ac:dyDescent="0.35">
      <c r="E4531" s="9">
        <v>44343</v>
      </c>
      <c r="F4531">
        <v>126</v>
      </c>
      <c r="G4531" t="s">
        <v>5877</v>
      </c>
    </row>
    <row r="4532" spans="5:7" x14ac:dyDescent="0.35">
      <c r="E4532" s="9">
        <v>44344</v>
      </c>
      <c r="F4532">
        <v>125.2</v>
      </c>
      <c r="G4532" t="s">
        <v>5877</v>
      </c>
    </row>
    <row r="4533" spans="5:7" x14ac:dyDescent="0.35">
      <c r="E4533" s="9">
        <v>44345</v>
      </c>
      <c r="F4533">
        <v>124.8</v>
      </c>
      <c r="G4533" t="s">
        <v>5877</v>
      </c>
    </row>
    <row r="4534" spans="5:7" x14ac:dyDescent="0.35">
      <c r="E4534" s="9">
        <v>44346</v>
      </c>
      <c r="F4534">
        <v>124.6</v>
      </c>
      <c r="G4534" t="s">
        <v>5877</v>
      </c>
    </row>
    <row r="4535" spans="5:7" x14ac:dyDescent="0.35">
      <c r="E4535" s="9">
        <v>44347</v>
      </c>
      <c r="F4535">
        <v>124.5</v>
      </c>
      <c r="G4535" t="s">
        <v>5877</v>
      </c>
    </row>
    <row r="4536" spans="5:7" x14ac:dyDescent="0.35">
      <c r="E4536" s="9">
        <v>44348</v>
      </c>
      <c r="F4536">
        <v>124.4</v>
      </c>
      <c r="G4536" t="s">
        <v>5877</v>
      </c>
    </row>
    <row r="4537" spans="5:7" x14ac:dyDescent="0.35">
      <c r="E4537" s="9">
        <v>44349</v>
      </c>
      <c r="F4537">
        <v>83.3</v>
      </c>
      <c r="G4537" t="s">
        <v>5877</v>
      </c>
    </row>
    <row r="4538" spans="5:7" x14ac:dyDescent="0.35">
      <c r="E4538" s="9">
        <v>44350</v>
      </c>
      <c r="F4538">
        <v>85.1</v>
      </c>
      <c r="G4538" t="s">
        <v>5877</v>
      </c>
    </row>
    <row r="4539" spans="5:7" x14ac:dyDescent="0.35">
      <c r="E4539" s="9">
        <v>44351</v>
      </c>
      <c r="F4539">
        <v>89.5</v>
      </c>
      <c r="G4539" t="s">
        <v>5877</v>
      </c>
    </row>
    <row r="4540" spans="5:7" x14ac:dyDescent="0.35">
      <c r="E4540" s="9">
        <v>44352</v>
      </c>
      <c r="F4540">
        <v>94.5</v>
      </c>
      <c r="G4540" t="s">
        <v>5877</v>
      </c>
    </row>
    <row r="4541" spans="5:7" x14ac:dyDescent="0.35">
      <c r="E4541" s="9">
        <v>44353</v>
      </c>
      <c r="F4541">
        <v>96.8</v>
      </c>
      <c r="G4541" t="s">
        <v>5877</v>
      </c>
    </row>
    <row r="4542" spans="5:7" x14ac:dyDescent="0.35">
      <c r="E4542" s="9">
        <v>44354</v>
      </c>
      <c r="F4542">
        <v>97.5</v>
      </c>
      <c r="G4542" t="s">
        <v>5877</v>
      </c>
    </row>
    <row r="4543" spans="5:7" x14ac:dyDescent="0.35">
      <c r="E4543" s="9">
        <v>44355</v>
      </c>
      <c r="F4543">
        <v>96.9</v>
      </c>
      <c r="G4543" t="s">
        <v>5877</v>
      </c>
    </row>
    <row r="4544" spans="5:7" x14ac:dyDescent="0.35">
      <c r="E4544" s="9">
        <v>44356</v>
      </c>
      <c r="F4544">
        <v>94.4</v>
      </c>
      <c r="G4544" t="s">
        <v>5877</v>
      </c>
    </row>
    <row r="4545" spans="5:7" x14ac:dyDescent="0.35">
      <c r="E4545" s="9">
        <v>44357</v>
      </c>
      <c r="F4545">
        <v>91.7</v>
      </c>
      <c r="G4545" t="s">
        <v>5877</v>
      </c>
    </row>
    <row r="4546" spans="5:7" x14ac:dyDescent="0.35">
      <c r="E4546" s="9">
        <v>44358</v>
      </c>
      <c r="F4546">
        <v>88.9</v>
      </c>
      <c r="G4546" t="s">
        <v>5877</v>
      </c>
    </row>
    <row r="4547" spans="5:7" x14ac:dyDescent="0.35">
      <c r="E4547" s="9">
        <v>44359</v>
      </c>
      <c r="F4547">
        <v>86.7</v>
      </c>
      <c r="G4547" t="s">
        <v>5877</v>
      </c>
    </row>
    <row r="4548" spans="5:7" x14ac:dyDescent="0.35">
      <c r="E4548" s="9">
        <v>44360</v>
      </c>
      <c r="F4548">
        <v>85.4</v>
      </c>
      <c r="G4548" t="s">
        <v>5877</v>
      </c>
    </row>
    <row r="4549" spans="5:7" x14ac:dyDescent="0.35">
      <c r="E4549" s="9">
        <v>44361</v>
      </c>
      <c r="F4549">
        <v>84.6</v>
      </c>
      <c r="G4549" t="s">
        <v>5877</v>
      </c>
    </row>
    <row r="4550" spans="5:7" x14ac:dyDescent="0.35">
      <c r="E4550" s="9">
        <v>44362</v>
      </c>
      <c r="F4550">
        <v>84</v>
      </c>
      <c r="G4550" t="s">
        <v>5877</v>
      </c>
    </row>
    <row r="4551" spans="5:7" x14ac:dyDescent="0.35">
      <c r="E4551" s="9">
        <v>44363</v>
      </c>
      <c r="F4551">
        <v>83.7</v>
      </c>
      <c r="G4551" t="s">
        <v>5877</v>
      </c>
    </row>
    <row r="4552" spans="5:7" x14ac:dyDescent="0.35">
      <c r="E4552" s="9">
        <v>44364</v>
      </c>
      <c r="F4552">
        <v>83.4</v>
      </c>
      <c r="G4552" t="s">
        <v>5877</v>
      </c>
    </row>
    <row r="4553" spans="5:7" x14ac:dyDescent="0.35">
      <c r="E4553" s="9">
        <v>44365</v>
      </c>
      <c r="F4553">
        <v>84.2</v>
      </c>
      <c r="G4553" t="s">
        <v>5877</v>
      </c>
    </row>
    <row r="4554" spans="5:7" x14ac:dyDescent="0.35">
      <c r="E4554" s="9">
        <v>44366</v>
      </c>
      <c r="F4554">
        <v>86.2</v>
      </c>
      <c r="G4554" t="s">
        <v>5877</v>
      </c>
    </row>
    <row r="4555" spans="5:7" x14ac:dyDescent="0.35">
      <c r="E4555" s="9">
        <v>44367</v>
      </c>
      <c r="F4555">
        <v>88.5</v>
      </c>
      <c r="G4555" t="s">
        <v>5877</v>
      </c>
    </row>
    <row r="4556" spans="5:7" x14ac:dyDescent="0.35">
      <c r="E4556" s="9">
        <v>44368</v>
      </c>
      <c r="F4556">
        <v>88.9</v>
      </c>
      <c r="G4556" t="s">
        <v>5877</v>
      </c>
    </row>
    <row r="4557" spans="5:7" x14ac:dyDescent="0.35">
      <c r="E4557" s="9">
        <v>44369</v>
      </c>
      <c r="F4557">
        <v>88</v>
      </c>
      <c r="G4557" t="s">
        <v>5877</v>
      </c>
    </row>
    <row r="4558" spans="5:7" x14ac:dyDescent="0.35">
      <c r="E4558" s="9">
        <v>44370</v>
      </c>
      <c r="F4558">
        <v>86.5</v>
      </c>
      <c r="G4558" t="s">
        <v>5877</v>
      </c>
    </row>
    <row r="4559" spans="5:7" x14ac:dyDescent="0.35">
      <c r="E4559" s="9">
        <v>44371</v>
      </c>
      <c r="F4559">
        <v>85.1</v>
      </c>
      <c r="G4559" t="s">
        <v>5877</v>
      </c>
    </row>
    <row r="4560" spans="5:7" x14ac:dyDescent="0.35">
      <c r="E4560" s="9">
        <v>44372</v>
      </c>
      <c r="F4560">
        <v>84.4</v>
      </c>
      <c r="G4560" t="s">
        <v>5877</v>
      </c>
    </row>
    <row r="4561" spans="5:7" x14ac:dyDescent="0.35">
      <c r="E4561" s="9">
        <v>44373</v>
      </c>
      <c r="F4561">
        <v>83.9</v>
      </c>
      <c r="G4561" t="s">
        <v>5877</v>
      </c>
    </row>
    <row r="4562" spans="5:7" x14ac:dyDescent="0.35">
      <c r="E4562" s="9">
        <v>44374</v>
      </c>
      <c r="F4562">
        <v>83.6</v>
      </c>
      <c r="G4562" t="s">
        <v>5877</v>
      </c>
    </row>
    <row r="4563" spans="5:7" x14ac:dyDescent="0.35">
      <c r="E4563" s="9">
        <v>44375</v>
      </c>
      <c r="F4563">
        <v>83.4</v>
      </c>
      <c r="G4563" t="s">
        <v>5877</v>
      </c>
    </row>
    <row r="4564" spans="5:7" x14ac:dyDescent="0.35">
      <c r="E4564" s="9">
        <v>44376</v>
      </c>
      <c r="F4564">
        <v>83.3</v>
      </c>
      <c r="G4564" t="s">
        <v>5877</v>
      </c>
    </row>
    <row r="4565" spans="5:7" x14ac:dyDescent="0.35">
      <c r="E4565" s="9">
        <v>44377</v>
      </c>
      <c r="F4565">
        <v>83.4</v>
      </c>
      <c r="G4565" t="s">
        <v>5877</v>
      </c>
    </row>
    <row r="4566" spans="5:7" x14ac:dyDescent="0.35">
      <c r="E4566" s="9">
        <v>44378</v>
      </c>
      <c r="F4566">
        <v>83.5</v>
      </c>
      <c r="G4566" t="s">
        <v>5877</v>
      </c>
    </row>
    <row r="4567" spans="5:7" x14ac:dyDescent="0.35">
      <c r="E4567" s="9">
        <v>44379</v>
      </c>
      <c r="F4567">
        <v>60.4</v>
      </c>
      <c r="G4567" t="s">
        <v>5877</v>
      </c>
    </row>
    <row r="4568" spans="5:7" x14ac:dyDescent="0.35">
      <c r="E4568" s="9">
        <v>44380</v>
      </c>
      <c r="F4568">
        <v>60.4</v>
      </c>
      <c r="G4568" t="s">
        <v>5877</v>
      </c>
    </row>
    <row r="4569" spans="5:7" x14ac:dyDescent="0.35">
      <c r="E4569" s="9">
        <v>44381</v>
      </c>
      <c r="F4569">
        <v>60.2</v>
      </c>
      <c r="G4569" t="s">
        <v>5877</v>
      </c>
    </row>
    <row r="4570" spans="5:7" x14ac:dyDescent="0.35">
      <c r="E4570" s="9">
        <v>44382</v>
      </c>
      <c r="F4570">
        <v>60.2</v>
      </c>
      <c r="G4570" t="s">
        <v>5877</v>
      </c>
    </row>
    <row r="4571" spans="5:7" x14ac:dyDescent="0.35">
      <c r="E4571" s="9">
        <v>44383</v>
      </c>
      <c r="F4571">
        <v>60.2</v>
      </c>
      <c r="G4571" t="s">
        <v>5877</v>
      </c>
    </row>
    <row r="4572" spans="5:7" x14ac:dyDescent="0.35">
      <c r="E4572" s="9">
        <v>44384</v>
      </c>
      <c r="F4572">
        <v>60.3</v>
      </c>
      <c r="G4572" t="s">
        <v>5877</v>
      </c>
    </row>
    <row r="4573" spans="5:7" x14ac:dyDescent="0.35">
      <c r="E4573" s="9">
        <v>44385</v>
      </c>
      <c r="F4573">
        <v>60.4</v>
      </c>
      <c r="G4573" t="s">
        <v>5877</v>
      </c>
    </row>
    <row r="4574" spans="5:7" x14ac:dyDescent="0.35">
      <c r="E4574" s="9">
        <v>44386</v>
      </c>
      <c r="F4574">
        <v>60.4</v>
      </c>
      <c r="G4574" t="s">
        <v>5877</v>
      </c>
    </row>
    <row r="4575" spans="5:7" x14ac:dyDescent="0.35">
      <c r="E4575" s="9">
        <v>44387</v>
      </c>
      <c r="F4575">
        <v>60.3</v>
      </c>
      <c r="G4575" t="s">
        <v>5877</v>
      </c>
    </row>
    <row r="4576" spans="5:7" x14ac:dyDescent="0.35">
      <c r="E4576" s="9">
        <v>44388</v>
      </c>
      <c r="F4576">
        <v>60.2</v>
      </c>
      <c r="G4576" t="s">
        <v>5877</v>
      </c>
    </row>
    <row r="4577" spans="5:7" x14ac:dyDescent="0.35">
      <c r="E4577" s="9">
        <v>44389</v>
      </c>
      <c r="F4577">
        <v>60.1</v>
      </c>
      <c r="G4577" t="s">
        <v>5877</v>
      </c>
    </row>
    <row r="4578" spans="5:7" x14ac:dyDescent="0.35">
      <c r="E4578" s="9">
        <v>44390</v>
      </c>
      <c r="F4578">
        <v>60.1</v>
      </c>
      <c r="G4578" t="s">
        <v>5877</v>
      </c>
    </row>
    <row r="4579" spans="5:7" x14ac:dyDescent="0.35">
      <c r="E4579" s="9">
        <v>44391</v>
      </c>
      <c r="F4579">
        <v>60.1</v>
      </c>
      <c r="G4579" t="s">
        <v>5877</v>
      </c>
    </row>
    <row r="4580" spans="5:7" x14ac:dyDescent="0.35">
      <c r="E4580" s="9">
        <v>44392</v>
      </c>
      <c r="F4580">
        <v>60</v>
      </c>
      <c r="G4580" t="s">
        <v>5877</v>
      </c>
    </row>
    <row r="4581" spans="5:7" x14ac:dyDescent="0.35">
      <c r="E4581" s="9">
        <v>44393</v>
      </c>
      <c r="F4581">
        <v>60</v>
      </c>
      <c r="G4581" t="s">
        <v>5877</v>
      </c>
    </row>
    <row r="4582" spans="5:7" x14ac:dyDescent="0.35">
      <c r="E4582" s="9">
        <v>44394</v>
      </c>
      <c r="F4582">
        <v>60</v>
      </c>
      <c r="G4582" t="s">
        <v>5877</v>
      </c>
    </row>
    <row r="4583" spans="5:7" x14ac:dyDescent="0.35">
      <c r="E4583" s="9">
        <v>44395</v>
      </c>
      <c r="F4583">
        <v>60</v>
      </c>
      <c r="G4583" t="s">
        <v>5877</v>
      </c>
    </row>
    <row r="4584" spans="5:7" x14ac:dyDescent="0.35">
      <c r="E4584" s="9">
        <v>44396</v>
      </c>
      <c r="F4584">
        <v>60</v>
      </c>
      <c r="G4584" t="s">
        <v>5877</v>
      </c>
    </row>
    <row r="4585" spans="5:7" x14ac:dyDescent="0.35">
      <c r="E4585" s="9">
        <v>44397</v>
      </c>
      <c r="F4585">
        <v>60</v>
      </c>
      <c r="G4585" t="s">
        <v>5877</v>
      </c>
    </row>
    <row r="4586" spans="5:7" x14ac:dyDescent="0.35">
      <c r="E4586" s="9">
        <v>44398</v>
      </c>
      <c r="F4586">
        <v>60</v>
      </c>
      <c r="G4586" t="s">
        <v>5877</v>
      </c>
    </row>
    <row r="4587" spans="5:7" x14ac:dyDescent="0.35">
      <c r="E4587" s="9">
        <v>44399</v>
      </c>
      <c r="F4587">
        <v>60</v>
      </c>
      <c r="G4587" t="s">
        <v>5877</v>
      </c>
    </row>
    <row r="4588" spans="5:7" x14ac:dyDescent="0.35">
      <c r="E4588" s="9">
        <v>44400</v>
      </c>
      <c r="F4588">
        <v>60</v>
      </c>
      <c r="G4588" t="s">
        <v>5877</v>
      </c>
    </row>
    <row r="4589" spans="5:7" x14ac:dyDescent="0.35">
      <c r="E4589" s="9">
        <v>44401</v>
      </c>
      <c r="F4589">
        <v>60</v>
      </c>
      <c r="G4589" t="s">
        <v>5877</v>
      </c>
    </row>
    <row r="4590" spans="5:7" x14ac:dyDescent="0.35">
      <c r="E4590" s="9">
        <v>44402</v>
      </c>
      <c r="F4590">
        <v>60</v>
      </c>
      <c r="G4590" t="s">
        <v>5877</v>
      </c>
    </row>
    <row r="4591" spans="5:7" x14ac:dyDescent="0.35">
      <c r="E4591" s="9">
        <v>44403</v>
      </c>
      <c r="F4591">
        <v>60</v>
      </c>
      <c r="G4591" t="s">
        <v>5877</v>
      </c>
    </row>
    <row r="4592" spans="5:7" x14ac:dyDescent="0.35">
      <c r="E4592" s="9">
        <v>44404</v>
      </c>
      <c r="F4592">
        <v>60</v>
      </c>
      <c r="G4592" t="s">
        <v>5877</v>
      </c>
    </row>
    <row r="4593" spans="5:7" x14ac:dyDescent="0.35">
      <c r="E4593" s="9">
        <v>44405</v>
      </c>
      <c r="F4593">
        <v>60</v>
      </c>
      <c r="G4593" t="s">
        <v>5877</v>
      </c>
    </row>
    <row r="4594" spans="5:7" x14ac:dyDescent="0.35">
      <c r="E4594" s="9">
        <v>44406</v>
      </c>
      <c r="F4594">
        <v>60</v>
      </c>
      <c r="G4594" t="s">
        <v>5877</v>
      </c>
    </row>
    <row r="4595" spans="5:7" x14ac:dyDescent="0.35">
      <c r="E4595" s="9">
        <v>44407</v>
      </c>
      <c r="F4595">
        <v>60</v>
      </c>
      <c r="G4595" t="s">
        <v>5877</v>
      </c>
    </row>
    <row r="4596" spans="5:7" x14ac:dyDescent="0.35">
      <c r="E4596" s="9">
        <v>44408</v>
      </c>
      <c r="F4596">
        <v>60</v>
      </c>
      <c r="G4596" t="s">
        <v>5877</v>
      </c>
    </row>
    <row r="4597" spans="5:7" x14ac:dyDescent="0.35">
      <c r="E4597" s="9">
        <v>44409</v>
      </c>
      <c r="F4597">
        <v>60</v>
      </c>
      <c r="G4597" t="s">
        <v>5877</v>
      </c>
    </row>
    <row r="4598" spans="5:7" x14ac:dyDescent="0.35">
      <c r="E4598" s="9">
        <v>44410</v>
      </c>
      <c r="F4598">
        <v>65</v>
      </c>
      <c r="G4598" t="s">
        <v>5877</v>
      </c>
    </row>
    <row r="4599" spans="5:7" x14ac:dyDescent="0.35">
      <c r="E4599" s="9">
        <v>44411</v>
      </c>
      <c r="F4599">
        <v>65</v>
      </c>
      <c r="G4599" t="s">
        <v>5877</v>
      </c>
    </row>
    <row r="4600" spans="5:7" x14ac:dyDescent="0.35">
      <c r="E4600" s="9">
        <v>44412</v>
      </c>
      <c r="F4600">
        <v>65.3</v>
      </c>
      <c r="G4600" t="s">
        <v>5877</v>
      </c>
    </row>
    <row r="4601" spans="5:7" x14ac:dyDescent="0.35">
      <c r="E4601" s="9">
        <v>44413</v>
      </c>
      <c r="F4601">
        <v>65.900000000000006</v>
      </c>
      <c r="G4601" t="s">
        <v>5877</v>
      </c>
    </row>
    <row r="4602" spans="5:7" x14ac:dyDescent="0.35">
      <c r="E4602" s="9">
        <v>44414</v>
      </c>
      <c r="F4602">
        <v>67.3</v>
      </c>
      <c r="G4602" t="s">
        <v>5877</v>
      </c>
    </row>
    <row r="4603" spans="5:7" x14ac:dyDescent="0.35">
      <c r="E4603" s="9">
        <v>44415</v>
      </c>
      <c r="F4603">
        <v>69</v>
      </c>
      <c r="G4603" t="s">
        <v>5877</v>
      </c>
    </row>
    <row r="4604" spans="5:7" x14ac:dyDescent="0.35">
      <c r="E4604" s="9">
        <v>44416</v>
      </c>
      <c r="F4604">
        <v>70.599999999999994</v>
      </c>
      <c r="G4604" t="s">
        <v>5877</v>
      </c>
    </row>
    <row r="4605" spans="5:7" x14ac:dyDescent="0.35">
      <c r="E4605" s="9">
        <v>44417</v>
      </c>
      <c r="F4605">
        <v>70.5</v>
      </c>
      <c r="G4605" t="s">
        <v>5877</v>
      </c>
    </row>
    <row r="4606" spans="5:7" x14ac:dyDescent="0.35">
      <c r="E4606" s="9">
        <v>44418</v>
      </c>
      <c r="F4606">
        <v>69.400000000000006</v>
      </c>
      <c r="G4606" t="s">
        <v>5877</v>
      </c>
    </row>
    <row r="4607" spans="5:7" x14ac:dyDescent="0.35">
      <c r="E4607" s="9">
        <v>44419</v>
      </c>
      <c r="F4607">
        <v>68.400000000000006</v>
      </c>
      <c r="G4607" t="s">
        <v>5877</v>
      </c>
    </row>
    <row r="4608" spans="5:7" x14ac:dyDescent="0.35">
      <c r="E4608" s="9">
        <v>44420</v>
      </c>
      <c r="F4608">
        <v>71</v>
      </c>
      <c r="G4608" t="s">
        <v>5877</v>
      </c>
    </row>
    <row r="4609" spans="5:7" x14ac:dyDescent="0.35">
      <c r="E4609" s="9">
        <v>44421</v>
      </c>
      <c r="F4609">
        <v>78.5</v>
      </c>
      <c r="G4609" t="s">
        <v>5877</v>
      </c>
    </row>
    <row r="4610" spans="5:7" x14ac:dyDescent="0.35">
      <c r="E4610" s="9">
        <v>44422</v>
      </c>
      <c r="F4610">
        <v>86.6</v>
      </c>
      <c r="G4610" t="s">
        <v>5877</v>
      </c>
    </row>
    <row r="4611" spans="5:7" x14ac:dyDescent="0.35">
      <c r="E4611" s="9">
        <v>44423</v>
      </c>
      <c r="F4611">
        <v>88</v>
      </c>
      <c r="G4611" t="s">
        <v>5877</v>
      </c>
    </row>
    <row r="4612" spans="5:7" x14ac:dyDescent="0.35">
      <c r="E4612" s="9">
        <v>44424</v>
      </c>
      <c r="F4612">
        <v>84.7</v>
      </c>
      <c r="G4612" t="s">
        <v>5877</v>
      </c>
    </row>
    <row r="4613" spans="5:7" x14ac:dyDescent="0.35">
      <c r="E4613" s="9">
        <v>44425</v>
      </c>
      <c r="F4613">
        <v>79.2</v>
      </c>
      <c r="G4613" t="s">
        <v>5877</v>
      </c>
    </row>
    <row r="4614" spans="5:7" x14ac:dyDescent="0.35">
      <c r="E4614" s="9">
        <v>44426</v>
      </c>
      <c r="F4614">
        <v>76</v>
      </c>
      <c r="G4614" t="s">
        <v>5877</v>
      </c>
    </row>
    <row r="4615" spans="5:7" x14ac:dyDescent="0.35">
      <c r="E4615" s="9">
        <v>44427</v>
      </c>
      <c r="F4615">
        <v>77.7</v>
      </c>
      <c r="G4615" t="s">
        <v>5877</v>
      </c>
    </row>
    <row r="4616" spans="5:7" x14ac:dyDescent="0.35">
      <c r="E4616" s="9">
        <v>44428</v>
      </c>
      <c r="F4616">
        <v>82.8</v>
      </c>
      <c r="G4616" t="s">
        <v>5877</v>
      </c>
    </row>
    <row r="4617" spans="5:7" x14ac:dyDescent="0.35">
      <c r="E4617" s="9">
        <v>44429</v>
      </c>
      <c r="F4617">
        <v>88.7</v>
      </c>
      <c r="G4617" t="s">
        <v>5877</v>
      </c>
    </row>
    <row r="4618" spans="5:7" x14ac:dyDescent="0.35">
      <c r="E4618" s="9">
        <v>44430</v>
      </c>
      <c r="F4618">
        <v>94.4</v>
      </c>
      <c r="G4618" t="s">
        <v>5877</v>
      </c>
    </row>
    <row r="4619" spans="5:7" x14ac:dyDescent="0.35">
      <c r="E4619" s="9">
        <v>44431</v>
      </c>
      <c r="F4619">
        <v>97.9</v>
      </c>
      <c r="G4619" t="s">
        <v>5877</v>
      </c>
    </row>
    <row r="4620" spans="5:7" x14ac:dyDescent="0.35">
      <c r="E4620" s="9">
        <v>44432</v>
      </c>
      <c r="F4620">
        <v>100.1</v>
      </c>
      <c r="G4620" t="s">
        <v>5877</v>
      </c>
    </row>
    <row r="4621" spans="5:7" x14ac:dyDescent="0.35">
      <c r="E4621" s="9">
        <v>44433</v>
      </c>
      <c r="F4621">
        <v>103.1</v>
      </c>
      <c r="G4621" t="s">
        <v>5877</v>
      </c>
    </row>
    <row r="4622" spans="5:7" x14ac:dyDescent="0.35">
      <c r="E4622" s="9">
        <v>44434</v>
      </c>
      <c r="F4622">
        <v>103.8</v>
      </c>
      <c r="G4622" t="s">
        <v>5877</v>
      </c>
    </row>
    <row r="4623" spans="5:7" x14ac:dyDescent="0.35">
      <c r="E4623" s="9">
        <v>44435</v>
      </c>
      <c r="F4623">
        <v>102.8</v>
      </c>
      <c r="G4623" t="s">
        <v>5877</v>
      </c>
    </row>
    <row r="4624" spans="5:7" x14ac:dyDescent="0.35">
      <c r="E4624" s="9">
        <v>44436</v>
      </c>
      <c r="F4624">
        <v>103.7</v>
      </c>
      <c r="G4624" t="s">
        <v>5877</v>
      </c>
    </row>
    <row r="4625" spans="5:7" x14ac:dyDescent="0.35">
      <c r="E4625" s="9">
        <v>44437</v>
      </c>
      <c r="F4625">
        <v>105.3</v>
      </c>
      <c r="G4625" t="s">
        <v>5877</v>
      </c>
    </row>
    <row r="4626" spans="5:7" x14ac:dyDescent="0.35">
      <c r="E4626" s="9">
        <v>44438</v>
      </c>
      <c r="F4626">
        <v>106.5</v>
      </c>
      <c r="G4626" t="s">
        <v>5877</v>
      </c>
    </row>
    <row r="4627" spans="5:7" x14ac:dyDescent="0.35">
      <c r="E4627" s="9">
        <v>44439</v>
      </c>
      <c r="F4627">
        <v>108.2</v>
      </c>
      <c r="G4627" t="s">
        <v>5877</v>
      </c>
    </row>
    <row r="4628" spans="5:7" x14ac:dyDescent="0.35">
      <c r="E4628" s="9">
        <v>44440</v>
      </c>
      <c r="F4628">
        <v>108.5</v>
      </c>
      <c r="G4628" t="s">
        <v>5877</v>
      </c>
    </row>
    <row r="4629" spans="5:7" x14ac:dyDescent="0.35">
      <c r="E4629" s="9">
        <v>44441</v>
      </c>
      <c r="F4629">
        <v>131.19999999999999</v>
      </c>
      <c r="G4629" t="s">
        <v>5877</v>
      </c>
    </row>
    <row r="4630" spans="5:7" x14ac:dyDescent="0.35">
      <c r="E4630" s="9">
        <v>44442</v>
      </c>
      <c r="F4630">
        <v>127.9</v>
      </c>
      <c r="G4630" t="s">
        <v>5877</v>
      </c>
    </row>
    <row r="4631" spans="5:7" x14ac:dyDescent="0.35">
      <c r="E4631" s="9">
        <v>44443</v>
      </c>
      <c r="F4631">
        <v>126.7</v>
      </c>
      <c r="G4631" t="s">
        <v>5877</v>
      </c>
    </row>
    <row r="4632" spans="5:7" x14ac:dyDescent="0.35">
      <c r="E4632" s="9">
        <v>44444</v>
      </c>
      <c r="F4632">
        <v>128.30000000000001</v>
      </c>
      <c r="G4632" t="s">
        <v>5877</v>
      </c>
    </row>
    <row r="4633" spans="5:7" x14ac:dyDescent="0.35">
      <c r="E4633" s="9">
        <v>44445</v>
      </c>
      <c r="F4633">
        <v>133.5</v>
      </c>
      <c r="G4633" t="s">
        <v>5877</v>
      </c>
    </row>
    <row r="4634" spans="5:7" x14ac:dyDescent="0.35">
      <c r="E4634" s="9">
        <v>44446</v>
      </c>
      <c r="F4634">
        <v>141.9</v>
      </c>
      <c r="G4634" t="s">
        <v>5877</v>
      </c>
    </row>
    <row r="4635" spans="5:7" x14ac:dyDescent="0.35">
      <c r="E4635" s="9">
        <v>44447</v>
      </c>
      <c r="F4635">
        <v>149.30000000000001</v>
      </c>
      <c r="G4635" t="s">
        <v>5877</v>
      </c>
    </row>
    <row r="4636" spans="5:7" x14ac:dyDescent="0.35">
      <c r="E4636" s="9">
        <v>44448</v>
      </c>
      <c r="F4636">
        <v>156.9</v>
      </c>
      <c r="G4636" t="s">
        <v>5877</v>
      </c>
    </row>
    <row r="4637" spans="5:7" x14ac:dyDescent="0.35">
      <c r="E4637" s="9">
        <v>44449</v>
      </c>
      <c r="F4637">
        <v>156.6</v>
      </c>
      <c r="G4637" t="s">
        <v>5877</v>
      </c>
    </row>
    <row r="4638" spans="5:7" x14ac:dyDescent="0.35">
      <c r="E4638" s="9">
        <v>44450</v>
      </c>
      <c r="F4638">
        <v>151.9</v>
      </c>
      <c r="G4638" t="s">
        <v>5877</v>
      </c>
    </row>
    <row r="4639" spans="5:7" x14ac:dyDescent="0.35">
      <c r="E4639" s="9">
        <v>44451</v>
      </c>
      <c r="F4639">
        <v>143.4</v>
      </c>
      <c r="G4639" t="s">
        <v>5877</v>
      </c>
    </row>
    <row r="4640" spans="5:7" x14ac:dyDescent="0.35">
      <c r="E4640" s="9">
        <v>44452</v>
      </c>
      <c r="F4640">
        <v>133.1</v>
      </c>
      <c r="G4640" t="s">
        <v>5877</v>
      </c>
    </row>
    <row r="4641" spans="5:7" x14ac:dyDescent="0.35">
      <c r="E4641" s="9">
        <v>44453</v>
      </c>
      <c r="F4641">
        <v>123.4</v>
      </c>
      <c r="G4641" t="s">
        <v>5877</v>
      </c>
    </row>
    <row r="4642" spans="5:7" x14ac:dyDescent="0.35">
      <c r="E4642" s="9">
        <v>44454</v>
      </c>
      <c r="F4642">
        <v>121.8</v>
      </c>
      <c r="G4642" t="s">
        <v>5877</v>
      </c>
    </row>
    <row r="4643" spans="5:7" x14ac:dyDescent="0.35">
      <c r="E4643" s="9">
        <v>44455</v>
      </c>
      <c r="F4643">
        <v>131</v>
      </c>
      <c r="G4643" t="s">
        <v>5877</v>
      </c>
    </row>
    <row r="4644" spans="5:7" x14ac:dyDescent="0.35">
      <c r="E4644" s="9">
        <v>44456</v>
      </c>
      <c r="F4644">
        <v>143.1</v>
      </c>
      <c r="G4644" t="s">
        <v>5877</v>
      </c>
    </row>
    <row r="4645" spans="5:7" x14ac:dyDescent="0.35">
      <c r="E4645" s="9">
        <v>44457</v>
      </c>
      <c r="F4645">
        <v>146.9</v>
      </c>
      <c r="G4645" t="s">
        <v>5877</v>
      </c>
    </row>
    <row r="4646" spans="5:7" x14ac:dyDescent="0.35">
      <c r="E4646" s="9">
        <v>44458</v>
      </c>
      <c r="F4646">
        <v>148</v>
      </c>
      <c r="G4646" t="s">
        <v>5877</v>
      </c>
    </row>
    <row r="4647" spans="5:7" x14ac:dyDescent="0.35">
      <c r="E4647" s="9">
        <v>44459</v>
      </c>
      <c r="F4647">
        <v>148.1</v>
      </c>
      <c r="G4647" t="s">
        <v>5877</v>
      </c>
    </row>
    <row r="4648" spans="5:7" x14ac:dyDescent="0.35">
      <c r="E4648" s="9">
        <v>44460</v>
      </c>
      <c r="F4648">
        <v>143.9</v>
      </c>
      <c r="G4648" t="s">
        <v>5877</v>
      </c>
    </row>
    <row r="4649" spans="5:7" x14ac:dyDescent="0.35">
      <c r="E4649" s="9">
        <v>44461</v>
      </c>
      <c r="F4649">
        <v>142.6</v>
      </c>
      <c r="G4649" t="s">
        <v>5877</v>
      </c>
    </row>
    <row r="4650" spans="5:7" x14ac:dyDescent="0.35">
      <c r="E4650" s="9">
        <v>44462</v>
      </c>
      <c r="F4650">
        <v>150.4</v>
      </c>
      <c r="G4650" t="s">
        <v>5877</v>
      </c>
    </row>
    <row r="4651" spans="5:7" x14ac:dyDescent="0.35">
      <c r="E4651" s="9">
        <v>44463</v>
      </c>
      <c r="F4651">
        <v>164.9</v>
      </c>
      <c r="G4651" t="s">
        <v>5877</v>
      </c>
    </row>
    <row r="4652" spans="5:7" x14ac:dyDescent="0.35">
      <c r="E4652" s="9">
        <v>44464</v>
      </c>
      <c r="F4652">
        <v>172.9</v>
      </c>
      <c r="G4652" t="s">
        <v>5877</v>
      </c>
    </row>
    <row r="4653" spans="5:7" x14ac:dyDescent="0.35">
      <c r="E4653" s="9">
        <v>44465</v>
      </c>
      <c r="F4653">
        <v>168</v>
      </c>
      <c r="G4653" t="s">
        <v>5877</v>
      </c>
    </row>
    <row r="4654" spans="5:7" x14ac:dyDescent="0.35">
      <c r="E4654" s="9">
        <v>44466</v>
      </c>
      <c r="F4654">
        <v>159.30000000000001</v>
      </c>
      <c r="G4654" t="s">
        <v>5877</v>
      </c>
    </row>
    <row r="4655" spans="5:7" x14ac:dyDescent="0.35">
      <c r="E4655" s="9">
        <v>44467</v>
      </c>
      <c r="F4655">
        <v>155.30000000000001</v>
      </c>
      <c r="G4655" t="s">
        <v>5877</v>
      </c>
    </row>
    <row r="4656" spans="5:7" x14ac:dyDescent="0.35">
      <c r="E4656" s="9">
        <v>44468</v>
      </c>
      <c r="F4656">
        <v>157.6</v>
      </c>
      <c r="G4656" t="s">
        <v>5877</v>
      </c>
    </row>
    <row r="4657" spans="5:7" x14ac:dyDescent="0.35">
      <c r="E4657" s="9">
        <v>44469</v>
      </c>
      <c r="F4657">
        <v>160.5</v>
      </c>
      <c r="G4657" t="s">
        <v>5877</v>
      </c>
    </row>
    <row r="4658" spans="5:7" x14ac:dyDescent="0.35">
      <c r="E4658" s="9">
        <v>44470</v>
      </c>
      <c r="F4658">
        <v>164.9</v>
      </c>
      <c r="G4658" t="s">
        <v>5877</v>
      </c>
    </row>
    <row r="4659" spans="5:7" x14ac:dyDescent="0.35">
      <c r="E4659" s="9">
        <v>44471</v>
      </c>
      <c r="F4659">
        <v>182.9</v>
      </c>
      <c r="G4659" t="s">
        <v>5877</v>
      </c>
    </row>
    <row r="4660" spans="5:7" x14ac:dyDescent="0.35">
      <c r="E4660" s="9">
        <v>44472</v>
      </c>
      <c r="F4660">
        <v>186</v>
      </c>
      <c r="G4660" t="s">
        <v>5877</v>
      </c>
    </row>
    <row r="4661" spans="5:7" x14ac:dyDescent="0.35">
      <c r="E4661" s="9">
        <v>44473</v>
      </c>
      <c r="F4661">
        <v>193</v>
      </c>
      <c r="G4661" t="s">
        <v>5877</v>
      </c>
    </row>
    <row r="4662" spans="5:7" x14ac:dyDescent="0.35">
      <c r="E4662" s="9">
        <v>44474</v>
      </c>
      <c r="F4662">
        <v>206.2</v>
      </c>
      <c r="G4662" t="s">
        <v>5877</v>
      </c>
    </row>
    <row r="4663" spans="5:7" x14ac:dyDescent="0.35">
      <c r="E4663" s="9">
        <v>44475</v>
      </c>
      <c r="F4663">
        <v>217.6</v>
      </c>
      <c r="G4663" t="s">
        <v>5877</v>
      </c>
    </row>
    <row r="4664" spans="5:7" x14ac:dyDescent="0.35">
      <c r="E4664" s="9">
        <v>44476</v>
      </c>
      <c r="F4664">
        <v>223.3</v>
      </c>
      <c r="G4664" t="s">
        <v>5877</v>
      </c>
    </row>
    <row r="4665" spans="5:7" x14ac:dyDescent="0.35">
      <c r="E4665" s="9">
        <v>44477</v>
      </c>
      <c r="F4665">
        <v>211.7</v>
      </c>
      <c r="G4665" t="s">
        <v>5877</v>
      </c>
    </row>
    <row r="4666" spans="5:7" x14ac:dyDescent="0.35">
      <c r="E4666" s="9">
        <v>44478</v>
      </c>
      <c r="F4666">
        <v>192</v>
      </c>
      <c r="G4666" t="s">
        <v>5877</v>
      </c>
    </row>
    <row r="4667" spans="5:7" x14ac:dyDescent="0.35">
      <c r="E4667" s="9">
        <v>44479</v>
      </c>
      <c r="F4667">
        <v>180.2</v>
      </c>
      <c r="G4667" t="s">
        <v>5877</v>
      </c>
    </row>
    <row r="4668" spans="5:7" x14ac:dyDescent="0.35">
      <c r="E4668" s="9">
        <v>44480</v>
      </c>
      <c r="F4668">
        <v>187.9</v>
      </c>
      <c r="G4668" t="s">
        <v>5877</v>
      </c>
    </row>
    <row r="4669" spans="5:7" x14ac:dyDescent="0.35">
      <c r="E4669" s="9">
        <v>44481</v>
      </c>
      <c r="F4669">
        <v>212.2</v>
      </c>
      <c r="G4669" t="s">
        <v>5877</v>
      </c>
    </row>
    <row r="4670" spans="5:7" x14ac:dyDescent="0.35">
      <c r="E4670" s="9">
        <v>44482</v>
      </c>
      <c r="F4670">
        <v>226.2</v>
      </c>
      <c r="G4670" t="s">
        <v>5877</v>
      </c>
    </row>
    <row r="4671" spans="5:7" x14ac:dyDescent="0.35">
      <c r="E4671" s="9">
        <v>44483</v>
      </c>
      <c r="F4671">
        <v>217.3</v>
      </c>
      <c r="G4671" t="s">
        <v>5877</v>
      </c>
    </row>
    <row r="4672" spans="5:7" x14ac:dyDescent="0.35">
      <c r="E4672" s="9">
        <v>44484</v>
      </c>
      <c r="F4672">
        <v>200.9</v>
      </c>
      <c r="G4672" t="s">
        <v>5877</v>
      </c>
    </row>
    <row r="4673" spans="5:7" x14ac:dyDescent="0.35">
      <c r="E4673" s="9">
        <v>44485</v>
      </c>
      <c r="F4673">
        <v>190.4</v>
      </c>
      <c r="G4673" t="s">
        <v>5877</v>
      </c>
    </row>
    <row r="4674" spans="5:7" x14ac:dyDescent="0.35">
      <c r="E4674" s="9">
        <v>44486</v>
      </c>
      <c r="F4674">
        <v>189.8</v>
      </c>
      <c r="G4674" t="s">
        <v>5877</v>
      </c>
    </row>
    <row r="4675" spans="5:7" x14ac:dyDescent="0.35">
      <c r="E4675" s="9">
        <v>44487</v>
      </c>
      <c r="F4675">
        <v>192.6</v>
      </c>
      <c r="G4675" t="s">
        <v>5877</v>
      </c>
    </row>
    <row r="4676" spans="5:7" x14ac:dyDescent="0.35">
      <c r="E4676" s="9">
        <v>44488</v>
      </c>
      <c r="F4676">
        <v>194.9</v>
      </c>
      <c r="G4676" t="s">
        <v>5877</v>
      </c>
    </row>
    <row r="4677" spans="5:7" x14ac:dyDescent="0.35">
      <c r="E4677" s="9">
        <v>44489</v>
      </c>
      <c r="F4677">
        <v>196.8</v>
      </c>
      <c r="G4677" t="s">
        <v>5877</v>
      </c>
    </row>
    <row r="4678" spans="5:7" x14ac:dyDescent="0.35">
      <c r="E4678" s="9">
        <v>44490</v>
      </c>
      <c r="F4678">
        <v>196.2</v>
      </c>
      <c r="G4678" t="s">
        <v>5877</v>
      </c>
    </row>
    <row r="4679" spans="5:7" x14ac:dyDescent="0.35">
      <c r="E4679" s="9">
        <v>44491</v>
      </c>
      <c r="F4679">
        <v>194.7</v>
      </c>
      <c r="G4679" t="s">
        <v>5877</v>
      </c>
    </row>
    <row r="4680" spans="5:7" x14ac:dyDescent="0.35">
      <c r="E4680" s="9">
        <v>44492</v>
      </c>
      <c r="F4680">
        <v>189.8</v>
      </c>
      <c r="G4680" t="s">
        <v>5877</v>
      </c>
    </row>
    <row r="4681" spans="5:7" x14ac:dyDescent="0.35">
      <c r="E4681" s="9">
        <v>44493</v>
      </c>
      <c r="F4681">
        <v>182.1</v>
      </c>
      <c r="G4681" t="s">
        <v>5877</v>
      </c>
    </row>
    <row r="4682" spans="5:7" x14ac:dyDescent="0.35">
      <c r="E4682" s="9">
        <v>44494</v>
      </c>
      <c r="F4682">
        <v>182.8</v>
      </c>
      <c r="G4682" t="s">
        <v>5877</v>
      </c>
    </row>
    <row r="4683" spans="5:7" x14ac:dyDescent="0.35">
      <c r="E4683" s="9">
        <v>44495</v>
      </c>
      <c r="F4683">
        <v>193.8</v>
      </c>
      <c r="G4683" t="s">
        <v>5877</v>
      </c>
    </row>
    <row r="4684" spans="5:7" x14ac:dyDescent="0.35">
      <c r="E4684" s="9">
        <v>44496</v>
      </c>
      <c r="F4684">
        <v>201.1</v>
      </c>
      <c r="G4684" t="s">
        <v>5877</v>
      </c>
    </row>
    <row r="4685" spans="5:7" x14ac:dyDescent="0.35">
      <c r="E4685" s="9">
        <v>44497</v>
      </c>
      <c r="F4685">
        <v>202</v>
      </c>
      <c r="G4685" t="s">
        <v>5877</v>
      </c>
    </row>
    <row r="4686" spans="5:7" x14ac:dyDescent="0.35">
      <c r="E4686" s="9">
        <v>44498</v>
      </c>
      <c r="F4686">
        <v>202.6</v>
      </c>
      <c r="G4686" t="s">
        <v>5877</v>
      </c>
    </row>
    <row r="4687" spans="5:7" x14ac:dyDescent="0.35">
      <c r="E4687" s="9">
        <v>44499</v>
      </c>
      <c r="F4687">
        <v>202.9</v>
      </c>
      <c r="G4687" t="s">
        <v>5877</v>
      </c>
    </row>
    <row r="4688" spans="5:7" x14ac:dyDescent="0.35">
      <c r="E4688" s="9">
        <v>44500</v>
      </c>
      <c r="F4688">
        <v>194.3</v>
      </c>
      <c r="G4688" t="s">
        <v>5877</v>
      </c>
    </row>
    <row r="4689" spans="5:7" x14ac:dyDescent="0.35">
      <c r="E4689" s="9">
        <v>44501</v>
      </c>
      <c r="F4689">
        <v>189</v>
      </c>
      <c r="G4689" t="s">
        <v>5877</v>
      </c>
    </row>
    <row r="4690" spans="5:7" x14ac:dyDescent="0.35">
      <c r="E4690" s="9">
        <v>44502</v>
      </c>
      <c r="F4690">
        <v>203.2</v>
      </c>
      <c r="G4690" t="s">
        <v>5877</v>
      </c>
    </row>
    <row r="4691" spans="5:7" x14ac:dyDescent="0.35">
      <c r="E4691" s="9">
        <v>44503</v>
      </c>
      <c r="F4691">
        <v>206.8</v>
      </c>
      <c r="G4691" t="s">
        <v>5877</v>
      </c>
    </row>
    <row r="4692" spans="5:7" x14ac:dyDescent="0.35">
      <c r="E4692" s="9">
        <v>44504</v>
      </c>
      <c r="F4692">
        <v>199.8</v>
      </c>
      <c r="G4692" t="s">
        <v>5877</v>
      </c>
    </row>
    <row r="4693" spans="5:7" x14ac:dyDescent="0.35">
      <c r="E4693" s="9">
        <v>44505</v>
      </c>
      <c r="F4693">
        <v>188.8</v>
      </c>
      <c r="G4693" t="s">
        <v>5877</v>
      </c>
    </row>
    <row r="4694" spans="5:7" x14ac:dyDescent="0.35">
      <c r="E4694" s="9">
        <v>44506</v>
      </c>
      <c r="F4694">
        <v>179.3</v>
      </c>
      <c r="G4694" t="s">
        <v>5877</v>
      </c>
    </row>
    <row r="4695" spans="5:7" x14ac:dyDescent="0.35">
      <c r="E4695" s="9">
        <v>44507</v>
      </c>
      <c r="F4695">
        <v>176.5</v>
      </c>
      <c r="G4695" t="s">
        <v>5877</v>
      </c>
    </row>
    <row r="4696" spans="5:7" x14ac:dyDescent="0.35">
      <c r="E4696" s="9">
        <v>44508</v>
      </c>
      <c r="F4696">
        <v>174.1</v>
      </c>
      <c r="G4696" t="s">
        <v>5877</v>
      </c>
    </row>
    <row r="4697" spans="5:7" x14ac:dyDescent="0.35">
      <c r="E4697" s="9">
        <v>44509</v>
      </c>
      <c r="F4697">
        <v>170.1</v>
      </c>
      <c r="G4697" t="s">
        <v>5877</v>
      </c>
    </row>
    <row r="4698" spans="5:7" x14ac:dyDescent="0.35">
      <c r="E4698" s="9">
        <v>44510</v>
      </c>
      <c r="F4698">
        <v>162.6</v>
      </c>
      <c r="G4698" t="s">
        <v>5877</v>
      </c>
    </row>
    <row r="4699" spans="5:7" x14ac:dyDescent="0.35">
      <c r="E4699" s="9">
        <v>44511</v>
      </c>
      <c r="F4699">
        <v>158.9</v>
      </c>
      <c r="G4699" t="s">
        <v>5877</v>
      </c>
    </row>
    <row r="4700" spans="5:7" x14ac:dyDescent="0.35">
      <c r="E4700" s="9">
        <v>44512</v>
      </c>
      <c r="F4700">
        <v>166.2</v>
      </c>
      <c r="G4700" t="s">
        <v>5877</v>
      </c>
    </row>
    <row r="4701" spans="5:7" x14ac:dyDescent="0.35">
      <c r="E4701" s="9">
        <v>44513</v>
      </c>
      <c r="F4701">
        <v>182.3</v>
      </c>
      <c r="G4701" t="s">
        <v>5877</v>
      </c>
    </row>
    <row r="4702" spans="5:7" x14ac:dyDescent="0.35">
      <c r="E4702" s="9">
        <v>44514</v>
      </c>
      <c r="F4702">
        <v>195.8</v>
      </c>
      <c r="G4702" t="s">
        <v>5877</v>
      </c>
    </row>
    <row r="4703" spans="5:7" x14ac:dyDescent="0.35">
      <c r="E4703" s="9">
        <v>44515</v>
      </c>
      <c r="F4703">
        <v>202</v>
      </c>
      <c r="G4703" t="s">
        <v>5877</v>
      </c>
    </row>
    <row r="4704" spans="5:7" x14ac:dyDescent="0.35">
      <c r="E4704" s="9">
        <v>44516</v>
      </c>
      <c r="F4704">
        <v>210.2</v>
      </c>
      <c r="G4704" t="s">
        <v>5877</v>
      </c>
    </row>
    <row r="4705" spans="5:7" x14ac:dyDescent="0.35">
      <c r="E4705" s="9">
        <v>44517</v>
      </c>
      <c r="F4705">
        <v>220.8</v>
      </c>
      <c r="G4705" t="s">
        <v>5877</v>
      </c>
    </row>
    <row r="4706" spans="5:7" x14ac:dyDescent="0.35">
      <c r="E4706" s="9">
        <v>44518</v>
      </c>
      <c r="F4706">
        <v>223.2</v>
      </c>
      <c r="G4706" t="s">
        <v>5877</v>
      </c>
    </row>
    <row r="4707" spans="5:7" x14ac:dyDescent="0.35">
      <c r="E4707" s="9">
        <v>44519</v>
      </c>
      <c r="F4707">
        <v>214</v>
      </c>
      <c r="G4707" t="s">
        <v>5877</v>
      </c>
    </row>
    <row r="4708" spans="5:7" x14ac:dyDescent="0.35">
      <c r="E4708" s="9">
        <v>44520</v>
      </c>
      <c r="F4708">
        <v>197.4</v>
      </c>
      <c r="G4708" t="s">
        <v>5877</v>
      </c>
    </row>
    <row r="4709" spans="5:7" x14ac:dyDescent="0.35">
      <c r="E4709" s="9">
        <v>44521</v>
      </c>
      <c r="F4709">
        <v>181.9</v>
      </c>
      <c r="G4709" t="s">
        <v>5877</v>
      </c>
    </row>
    <row r="4710" spans="5:7" x14ac:dyDescent="0.35">
      <c r="E4710" s="9">
        <v>44522</v>
      </c>
      <c r="F4710">
        <v>175.2</v>
      </c>
      <c r="G4710" t="s">
        <v>5877</v>
      </c>
    </row>
    <row r="4711" spans="5:7" x14ac:dyDescent="0.35">
      <c r="E4711" s="9">
        <v>44523</v>
      </c>
      <c r="F4711">
        <v>177.8</v>
      </c>
      <c r="G4711" t="s">
        <v>5877</v>
      </c>
    </row>
    <row r="4712" spans="5:7" x14ac:dyDescent="0.35">
      <c r="E4712" s="9">
        <v>44524</v>
      </c>
      <c r="F4712">
        <v>185.9</v>
      </c>
      <c r="G4712" t="s">
        <v>5877</v>
      </c>
    </row>
    <row r="4713" spans="5:7" x14ac:dyDescent="0.35">
      <c r="E4713" s="9">
        <v>44525</v>
      </c>
      <c r="F4713">
        <v>202.8</v>
      </c>
      <c r="G4713" t="s">
        <v>5877</v>
      </c>
    </row>
    <row r="4714" spans="5:7" x14ac:dyDescent="0.35">
      <c r="E4714" s="9">
        <v>44526</v>
      </c>
      <c r="F4714">
        <v>217.3</v>
      </c>
      <c r="G4714" t="s">
        <v>5877</v>
      </c>
    </row>
    <row r="4715" spans="5:7" x14ac:dyDescent="0.35">
      <c r="E4715" s="9">
        <v>44527</v>
      </c>
      <c r="F4715">
        <v>220.7</v>
      </c>
      <c r="G4715" t="s">
        <v>5877</v>
      </c>
    </row>
    <row r="4716" spans="5:7" x14ac:dyDescent="0.35">
      <c r="E4716" s="9">
        <v>44528</v>
      </c>
      <c r="F4716">
        <v>216.2</v>
      </c>
      <c r="G4716" t="s">
        <v>5877</v>
      </c>
    </row>
    <row r="4717" spans="5:7" x14ac:dyDescent="0.35">
      <c r="E4717" s="9">
        <v>44529</v>
      </c>
      <c r="F4717">
        <v>214.6</v>
      </c>
      <c r="G4717" t="s">
        <v>5877</v>
      </c>
    </row>
    <row r="4718" spans="5:7" x14ac:dyDescent="0.35">
      <c r="E4718" s="9">
        <v>44530</v>
      </c>
      <c r="F4718">
        <v>220.7</v>
      </c>
      <c r="G4718" t="s">
        <v>5877</v>
      </c>
    </row>
    <row r="4719" spans="5:7" x14ac:dyDescent="0.35">
      <c r="E4719" s="9">
        <v>44531</v>
      </c>
      <c r="F4719">
        <v>233.9</v>
      </c>
      <c r="G4719" t="s">
        <v>5877</v>
      </c>
    </row>
    <row r="4720" spans="5:7" x14ac:dyDescent="0.35">
      <c r="E4720" s="9">
        <v>44532</v>
      </c>
      <c r="F4720">
        <v>250.4</v>
      </c>
      <c r="G4720" t="s">
        <v>5877</v>
      </c>
    </row>
    <row r="4721" spans="5:7" x14ac:dyDescent="0.35">
      <c r="E4721" s="9">
        <v>44533</v>
      </c>
      <c r="F4721">
        <v>247.6</v>
      </c>
      <c r="G4721" t="s">
        <v>5877</v>
      </c>
    </row>
    <row r="4722" spans="5:7" x14ac:dyDescent="0.35">
      <c r="E4722" s="9">
        <v>44534</v>
      </c>
      <c r="F4722">
        <v>238.1</v>
      </c>
      <c r="G4722" t="s">
        <v>5877</v>
      </c>
    </row>
    <row r="4723" spans="5:7" x14ac:dyDescent="0.35">
      <c r="E4723" s="9">
        <v>44535</v>
      </c>
      <c r="F4723">
        <v>230.3</v>
      </c>
      <c r="G4723" t="s">
        <v>5877</v>
      </c>
    </row>
    <row r="4724" spans="5:7" x14ac:dyDescent="0.35">
      <c r="E4724" s="9">
        <v>44536</v>
      </c>
      <c r="F4724">
        <v>229.5</v>
      </c>
      <c r="G4724" t="s">
        <v>5877</v>
      </c>
    </row>
    <row r="4725" spans="5:7" x14ac:dyDescent="0.35">
      <c r="E4725" s="9">
        <v>44537</v>
      </c>
      <c r="F4725">
        <v>229.4</v>
      </c>
      <c r="G4725" t="s">
        <v>5877</v>
      </c>
    </row>
    <row r="4726" spans="5:7" x14ac:dyDescent="0.35">
      <c r="E4726" s="9">
        <v>44538</v>
      </c>
      <c r="F4726">
        <v>227.2</v>
      </c>
      <c r="G4726" t="s">
        <v>5877</v>
      </c>
    </row>
    <row r="4727" spans="5:7" x14ac:dyDescent="0.35">
      <c r="E4727" s="9">
        <v>44539</v>
      </c>
      <c r="F4727">
        <v>226.1</v>
      </c>
      <c r="G4727" t="s">
        <v>5877</v>
      </c>
    </row>
    <row r="4728" spans="5:7" x14ac:dyDescent="0.35">
      <c r="E4728" s="9">
        <v>44540</v>
      </c>
      <c r="F4728">
        <v>225.3</v>
      </c>
      <c r="G4728" t="s">
        <v>5877</v>
      </c>
    </row>
    <row r="4729" spans="5:7" x14ac:dyDescent="0.35">
      <c r="E4729" s="9">
        <v>44541</v>
      </c>
      <c r="F4729">
        <v>218.3</v>
      </c>
      <c r="G4729" t="s">
        <v>5877</v>
      </c>
    </row>
    <row r="4730" spans="5:7" x14ac:dyDescent="0.35">
      <c r="E4730" s="9">
        <v>44542</v>
      </c>
      <c r="F4730">
        <v>219.3</v>
      </c>
      <c r="G4730" t="s">
        <v>5877</v>
      </c>
    </row>
    <row r="4731" spans="5:7" x14ac:dyDescent="0.35">
      <c r="E4731" s="9">
        <v>44543</v>
      </c>
      <c r="F4731">
        <v>234.4</v>
      </c>
      <c r="G4731" t="s">
        <v>5877</v>
      </c>
    </row>
    <row r="4732" spans="5:7" x14ac:dyDescent="0.35">
      <c r="E4732" s="9">
        <v>44544</v>
      </c>
      <c r="F4732">
        <v>255.7</v>
      </c>
      <c r="G4732" t="s">
        <v>5877</v>
      </c>
    </row>
    <row r="4733" spans="5:7" x14ac:dyDescent="0.35">
      <c r="E4733" s="9">
        <v>44545</v>
      </c>
      <c r="F4733">
        <v>267</v>
      </c>
      <c r="G4733" t="s">
        <v>5877</v>
      </c>
    </row>
    <row r="4734" spans="5:7" x14ac:dyDescent="0.35">
      <c r="E4734" s="9">
        <v>44546</v>
      </c>
      <c r="F4734">
        <v>262.10000000000002</v>
      </c>
      <c r="G4734" t="s">
        <v>5877</v>
      </c>
    </row>
    <row r="4735" spans="5:7" x14ac:dyDescent="0.35">
      <c r="E4735" s="9">
        <v>44547</v>
      </c>
      <c r="F4735">
        <v>254.6</v>
      </c>
      <c r="G4735" t="s">
        <v>5877</v>
      </c>
    </row>
    <row r="4736" spans="5:7" x14ac:dyDescent="0.35">
      <c r="E4736" s="9">
        <v>44548</v>
      </c>
      <c r="F4736">
        <v>248.1</v>
      </c>
      <c r="G4736" t="s">
        <v>5877</v>
      </c>
    </row>
    <row r="4737" spans="5:7" x14ac:dyDescent="0.35">
      <c r="E4737" s="9">
        <v>44549</v>
      </c>
      <c r="F4737">
        <v>243.7</v>
      </c>
      <c r="G4737" t="s">
        <v>5877</v>
      </c>
    </row>
    <row r="4738" spans="5:7" x14ac:dyDescent="0.35">
      <c r="E4738" s="9">
        <v>44550</v>
      </c>
      <c r="F4738">
        <v>243.3</v>
      </c>
      <c r="G4738" t="s">
        <v>5877</v>
      </c>
    </row>
    <row r="4739" spans="5:7" x14ac:dyDescent="0.35">
      <c r="E4739" s="9">
        <v>44551</v>
      </c>
      <c r="F4739">
        <v>250.9</v>
      </c>
      <c r="G4739" t="s">
        <v>5877</v>
      </c>
    </row>
    <row r="4740" spans="5:7" x14ac:dyDescent="0.35">
      <c r="E4740" s="9">
        <v>44552</v>
      </c>
      <c r="F4740">
        <v>264.3</v>
      </c>
      <c r="G4740" t="s">
        <v>5877</v>
      </c>
    </row>
    <row r="4741" spans="5:7" x14ac:dyDescent="0.35">
      <c r="E4741" s="9">
        <v>44553</v>
      </c>
      <c r="F4741">
        <v>287.5</v>
      </c>
      <c r="G4741" t="s">
        <v>5877</v>
      </c>
    </row>
    <row r="4742" spans="5:7" x14ac:dyDescent="0.35">
      <c r="E4742" s="9">
        <v>44554</v>
      </c>
      <c r="F4742">
        <v>306.10000000000002</v>
      </c>
      <c r="G4742" t="s">
        <v>5877</v>
      </c>
    </row>
    <row r="4743" spans="5:7" x14ac:dyDescent="0.35">
      <c r="E4743" s="9">
        <v>44555</v>
      </c>
      <c r="F4743">
        <v>309.39999999999998</v>
      </c>
      <c r="G4743" t="s">
        <v>5877</v>
      </c>
    </row>
    <row r="4744" spans="5:7" x14ac:dyDescent="0.35">
      <c r="E4744" s="9">
        <v>44556</v>
      </c>
      <c r="F4744">
        <v>300.39999999999998</v>
      </c>
      <c r="G4744" t="s">
        <v>5877</v>
      </c>
    </row>
    <row r="4745" spans="5:7" x14ac:dyDescent="0.35">
      <c r="E4745" s="9">
        <v>44557</v>
      </c>
      <c r="F4745">
        <v>292.39999999999998</v>
      </c>
      <c r="G4745" t="s">
        <v>5877</v>
      </c>
    </row>
    <row r="4746" spans="5:7" x14ac:dyDescent="0.35">
      <c r="E4746" s="9">
        <v>44558</v>
      </c>
      <c r="F4746">
        <v>283.2</v>
      </c>
      <c r="G4746" t="s">
        <v>5877</v>
      </c>
    </row>
    <row r="4747" spans="5:7" x14ac:dyDescent="0.35">
      <c r="E4747" s="9">
        <v>44559</v>
      </c>
      <c r="F4747">
        <v>280.8</v>
      </c>
      <c r="G4747" t="s">
        <v>5877</v>
      </c>
    </row>
    <row r="4748" spans="5:7" x14ac:dyDescent="0.35">
      <c r="E4748" s="9">
        <v>44560</v>
      </c>
      <c r="F4748">
        <v>278.10000000000002</v>
      </c>
      <c r="G4748" t="s">
        <v>5877</v>
      </c>
    </row>
    <row r="4749" spans="5:7" x14ac:dyDescent="0.35">
      <c r="E4749" s="9">
        <v>44561</v>
      </c>
      <c r="F4749">
        <v>280.7</v>
      </c>
      <c r="G4749" t="s">
        <v>5877</v>
      </c>
    </row>
    <row r="4750" spans="5:7" x14ac:dyDescent="0.35">
      <c r="E4750" s="9">
        <v>44562</v>
      </c>
      <c r="F4750">
        <v>277.60000000000002</v>
      </c>
      <c r="G4750" t="s">
        <v>5877</v>
      </c>
    </row>
    <row r="4751" spans="5:7" x14ac:dyDescent="0.35">
      <c r="E4751" s="9">
        <v>44563</v>
      </c>
      <c r="F4751">
        <v>258.89999999999998</v>
      </c>
      <c r="G4751" t="s">
        <v>5877</v>
      </c>
    </row>
    <row r="4752" spans="5:7" x14ac:dyDescent="0.35">
      <c r="E4752" s="9">
        <v>44564</v>
      </c>
      <c r="F4752">
        <v>242.8</v>
      </c>
      <c r="G4752" t="s">
        <v>5877</v>
      </c>
    </row>
    <row r="4753" spans="5:7" x14ac:dyDescent="0.35">
      <c r="E4753" s="9">
        <v>44565</v>
      </c>
      <c r="F4753">
        <v>232.3</v>
      </c>
      <c r="G4753" t="s">
        <v>5877</v>
      </c>
    </row>
    <row r="4754" spans="5:7" x14ac:dyDescent="0.35">
      <c r="E4754" s="9">
        <v>44566</v>
      </c>
      <c r="F4754">
        <v>228.2</v>
      </c>
      <c r="G4754" t="s">
        <v>5877</v>
      </c>
    </row>
    <row r="4755" spans="5:7" x14ac:dyDescent="0.35">
      <c r="E4755" s="9">
        <v>44567</v>
      </c>
      <c r="F4755">
        <v>224.9</v>
      </c>
      <c r="G4755" t="s">
        <v>5877</v>
      </c>
    </row>
    <row r="4756" spans="5:7" x14ac:dyDescent="0.35">
      <c r="E4756" s="9">
        <v>44568</v>
      </c>
      <c r="F4756">
        <v>223.4</v>
      </c>
      <c r="G4756" t="s">
        <v>5877</v>
      </c>
    </row>
    <row r="4757" spans="5:7" x14ac:dyDescent="0.35">
      <c r="E4757" s="9">
        <v>44569</v>
      </c>
      <c r="F4757">
        <v>223.3</v>
      </c>
      <c r="G4757" t="s">
        <v>5877</v>
      </c>
    </row>
    <row r="4758" spans="5:7" x14ac:dyDescent="0.35">
      <c r="E4758" s="9">
        <v>44570</v>
      </c>
      <c r="F4758">
        <v>225.4</v>
      </c>
      <c r="G4758" t="s">
        <v>5877</v>
      </c>
    </row>
    <row r="4759" spans="5:7" x14ac:dyDescent="0.35">
      <c r="E4759" s="9">
        <v>44571</v>
      </c>
      <c r="F4759">
        <v>225.2</v>
      </c>
      <c r="G4759" t="s">
        <v>5877</v>
      </c>
    </row>
    <row r="4760" spans="5:7" x14ac:dyDescent="0.35">
      <c r="E4760" s="9">
        <v>44572</v>
      </c>
      <c r="F4760">
        <v>221.9</v>
      </c>
      <c r="G4760" t="s">
        <v>5877</v>
      </c>
    </row>
    <row r="4761" spans="5:7" x14ac:dyDescent="0.35">
      <c r="E4761" s="9">
        <v>44573</v>
      </c>
      <c r="F4761">
        <v>215.7</v>
      </c>
      <c r="G4761" t="s">
        <v>5877</v>
      </c>
    </row>
    <row r="4762" spans="5:7" x14ac:dyDescent="0.35">
      <c r="E4762" s="9">
        <v>44574</v>
      </c>
      <c r="F4762">
        <v>217.8</v>
      </c>
      <c r="G4762" t="s">
        <v>5877</v>
      </c>
    </row>
    <row r="4763" spans="5:7" x14ac:dyDescent="0.35">
      <c r="E4763" s="9">
        <v>44575</v>
      </c>
      <c r="F4763">
        <v>225.5</v>
      </c>
      <c r="G4763" t="s">
        <v>5877</v>
      </c>
    </row>
    <row r="4764" spans="5:7" x14ac:dyDescent="0.35">
      <c r="E4764" s="9">
        <v>44576</v>
      </c>
      <c r="F4764">
        <v>229.4</v>
      </c>
      <c r="G4764" t="s">
        <v>5877</v>
      </c>
    </row>
    <row r="4765" spans="5:7" x14ac:dyDescent="0.35">
      <c r="E4765" s="9">
        <v>44577</v>
      </c>
      <c r="F4765">
        <v>232.3</v>
      </c>
      <c r="G4765" t="s">
        <v>5877</v>
      </c>
    </row>
    <row r="4766" spans="5:7" x14ac:dyDescent="0.35">
      <c r="E4766" s="9">
        <v>44578</v>
      </c>
      <c r="F4766">
        <v>237.8</v>
      </c>
      <c r="G4766" t="s">
        <v>5877</v>
      </c>
    </row>
    <row r="4767" spans="5:7" x14ac:dyDescent="0.35">
      <c r="E4767" s="9">
        <v>44579</v>
      </c>
      <c r="F4767">
        <v>239.6</v>
      </c>
      <c r="G4767" t="s">
        <v>5877</v>
      </c>
    </row>
    <row r="4768" spans="5:7" x14ac:dyDescent="0.35">
      <c r="E4768" s="9">
        <v>44580</v>
      </c>
      <c r="F4768">
        <v>235.9</v>
      </c>
      <c r="G4768" t="s">
        <v>5877</v>
      </c>
    </row>
    <row r="4769" spans="5:7" x14ac:dyDescent="0.35">
      <c r="E4769" s="9">
        <v>44581</v>
      </c>
      <c r="F4769">
        <v>227.6</v>
      </c>
      <c r="G4769" t="s">
        <v>5877</v>
      </c>
    </row>
    <row r="4770" spans="5:7" x14ac:dyDescent="0.35">
      <c r="E4770" s="9">
        <v>44582</v>
      </c>
      <c r="F4770">
        <v>219.6</v>
      </c>
      <c r="G4770" t="s">
        <v>5877</v>
      </c>
    </row>
    <row r="4771" spans="5:7" x14ac:dyDescent="0.35">
      <c r="E4771" s="9">
        <v>44583</v>
      </c>
      <c r="F4771">
        <v>219.6</v>
      </c>
      <c r="G4771" t="s">
        <v>5877</v>
      </c>
    </row>
    <row r="4772" spans="5:7" x14ac:dyDescent="0.35">
      <c r="E4772" s="9">
        <v>44584</v>
      </c>
      <c r="F4772">
        <v>223.2</v>
      </c>
      <c r="G4772" t="s">
        <v>5877</v>
      </c>
    </row>
    <row r="4773" spans="5:7" x14ac:dyDescent="0.35">
      <c r="E4773" s="9">
        <v>44585</v>
      </c>
      <c r="F4773">
        <v>222.4</v>
      </c>
      <c r="G4773" t="s">
        <v>5877</v>
      </c>
    </row>
    <row r="4774" spans="5:7" x14ac:dyDescent="0.35">
      <c r="E4774" s="9">
        <v>44586</v>
      </c>
      <c r="F4774">
        <v>221.8</v>
      </c>
      <c r="G4774" t="s">
        <v>5877</v>
      </c>
    </row>
    <row r="4775" spans="5:7" x14ac:dyDescent="0.35">
      <c r="E4775" s="9">
        <v>44587</v>
      </c>
      <c r="F4775">
        <v>218.3</v>
      </c>
      <c r="G4775" t="s">
        <v>5877</v>
      </c>
    </row>
    <row r="4776" spans="5:7" x14ac:dyDescent="0.35">
      <c r="E4776" s="9">
        <v>44588</v>
      </c>
      <c r="F4776">
        <v>211.8</v>
      </c>
      <c r="G4776" t="s">
        <v>5877</v>
      </c>
    </row>
    <row r="4777" spans="5:7" x14ac:dyDescent="0.35">
      <c r="E4777" s="9">
        <v>44589</v>
      </c>
      <c r="F4777">
        <v>206.2</v>
      </c>
      <c r="G4777" t="s">
        <v>5877</v>
      </c>
    </row>
    <row r="4778" spans="5:7" x14ac:dyDescent="0.35">
      <c r="E4778" s="9">
        <v>44590</v>
      </c>
      <c r="F4778">
        <v>204.2</v>
      </c>
      <c r="G4778" t="s">
        <v>5877</v>
      </c>
    </row>
    <row r="4779" spans="5:7" x14ac:dyDescent="0.35">
      <c r="E4779" s="9">
        <v>44591</v>
      </c>
      <c r="F4779">
        <v>205.4</v>
      </c>
      <c r="G4779" t="s">
        <v>5877</v>
      </c>
    </row>
    <row r="4780" spans="5:7" x14ac:dyDescent="0.35">
      <c r="E4780" s="9">
        <v>44592</v>
      </c>
      <c r="F4780">
        <v>217.8</v>
      </c>
      <c r="G4780" t="s">
        <v>5877</v>
      </c>
    </row>
    <row r="4781" spans="5:7" x14ac:dyDescent="0.35">
      <c r="E4781" s="9">
        <v>44593</v>
      </c>
      <c r="F4781">
        <v>232.3</v>
      </c>
      <c r="G4781" t="s">
        <v>5877</v>
      </c>
    </row>
    <row r="4782" spans="5:7" x14ac:dyDescent="0.35">
      <c r="E4782" s="9">
        <v>44594</v>
      </c>
      <c r="F4782">
        <v>220.7</v>
      </c>
      <c r="G4782" t="s">
        <v>5877</v>
      </c>
    </row>
    <row r="4783" spans="5:7" x14ac:dyDescent="0.35">
      <c r="E4783" s="9">
        <v>44595</v>
      </c>
      <c r="F4783">
        <v>216.7</v>
      </c>
      <c r="G4783" t="s">
        <v>5877</v>
      </c>
    </row>
    <row r="4784" spans="5:7" x14ac:dyDescent="0.35">
      <c r="E4784" s="9">
        <v>44596</v>
      </c>
      <c r="F4784">
        <v>208.7</v>
      </c>
      <c r="G4784" t="s">
        <v>5877</v>
      </c>
    </row>
    <row r="4785" spans="5:7" x14ac:dyDescent="0.35">
      <c r="E4785" s="9">
        <v>44597</v>
      </c>
      <c r="F4785">
        <v>197.2</v>
      </c>
      <c r="G4785" t="s">
        <v>5877</v>
      </c>
    </row>
    <row r="4786" spans="5:7" x14ac:dyDescent="0.35">
      <c r="E4786" s="9">
        <v>44598</v>
      </c>
      <c r="F4786">
        <v>182.1</v>
      </c>
      <c r="G4786" t="s">
        <v>5877</v>
      </c>
    </row>
    <row r="4787" spans="5:7" x14ac:dyDescent="0.35">
      <c r="E4787" s="9">
        <v>44599</v>
      </c>
      <c r="F4787">
        <v>169.6</v>
      </c>
      <c r="G4787" t="s">
        <v>5877</v>
      </c>
    </row>
    <row r="4788" spans="5:7" x14ac:dyDescent="0.35">
      <c r="E4788" s="9">
        <v>44600</v>
      </c>
      <c r="F4788">
        <v>160.6</v>
      </c>
      <c r="G4788" t="s">
        <v>5877</v>
      </c>
    </row>
    <row r="4789" spans="5:7" x14ac:dyDescent="0.35">
      <c r="E4789" s="9">
        <v>44601</v>
      </c>
      <c r="F4789">
        <v>154.1</v>
      </c>
      <c r="G4789" t="s">
        <v>5877</v>
      </c>
    </row>
    <row r="4790" spans="5:7" x14ac:dyDescent="0.35">
      <c r="E4790" s="9">
        <v>44602</v>
      </c>
      <c r="F4790">
        <v>152.80000000000001</v>
      </c>
      <c r="G4790" t="s">
        <v>5877</v>
      </c>
    </row>
    <row r="4791" spans="5:7" x14ac:dyDescent="0.35">
      <c r="E4791" s="9">
        <v>44603</v>
      </c>
      <c r="F4791">
        <v>155.4</v>
      </c>
      <c r="G4791" t="s">
        <v>5877</v>
      </c>
    </row>
    <row r="4792" spans="5:7" x14ac:dyDescent="0.35">
      <c r="E4792" s="9">
        <v>44604</v>
      </c>
      <c r="F4792">
        <v>163</v>
      </c>
      <c r="G4792" t="s">
        <v>5877</v>
      </c>
    </row>
    <row r="4793" spans="5:7" x14ac:dyDescent="0.35">
      <c r="E4793" s="9">
        <v>44605</v>
      </c>
      <c r="F4793">
        <v>170.8</v>
      </c>
      <c r="G4793" t="s">
        <v>5877</v>
      </c>
    </row>
    <row r="4794" spans="5:7" x14ac:dyDescent="0.35">
      <c r="E4794" s="9">
        <v>44606</v>
      </c>
      <c r="F4794">
        <v>176.1</v>
      </c>
      <c r="G4794" t="s">
        <v>5877</v>
      </c>
    </row>
    <row r="4795" spans="5:7" x14ac:dyDescent="0.35">
      <c r="E4795" s="9">
        <v>44607</v>
      </c>
      <c r="F4795">
        <v>179.3</v>
      </c>
      <c r="G4795" t="s">
        <v>5877</v>
      </c>
    </row>
    <row r="4796" spans="5:7" x14ac:dyDescent="0.35">
      <c r="E4796" s="9">
        <v>44608</v>
      </c>
      <c r="F4796">
        <v>180.1</v>
      </c>
      <c r="G4796" t="s">
        <v>5877</v>
      </c>
    </row>
    <row r="4797" spans="5:7" x14ac:dyDescent="0.35">
      <c r="E4797" s="9">
        <v>44609</v>
      </c>
      <c r="F4797">
        <v>181.7</v>
      </c>
      <c r="G4797" t="s">
        <v>5877</v>
      </c>
    </row>
    <row r="4798" spans="5:7" x14ac:dyDescent="0.35">
      <c r="E4798" s="9">
        <v>44610</v>
      </c>
      <c r="F4798">
        <v>179.9</v>
      </c>
      <c r="G4798" t="s">
        <v>5877</v>
      </c>
    </row>
    <row r="4799" spans="5:7" x14ac:dyDescent="0.35">
      <c r="E4799" s="9">
        <v>44611</v>
      </c>
      <c r="F4799">
        <v>177.9</v>
      </c>
      <c r="G4799" t="s">
        <v>5877</v>
      </c>
    </row>
    <row r="4800" spans="5:7" x14ac:dyDescent="0.35">
      <c r="E4800" s="9">
        <v>44612</v>
      </c>
      <c r="F4800">
        <v>177.7</v>
      </c>
      <c r="G4800" t="s">
        <v>5877</v>
      </c>
    </row>
    <row r="4801" spans="5:7" x14ac:dyDescent="0.35">
      <c r="E4801" s="9">
        <v>44613</v>
      </c>
      <c r="F4801">
        <v>175.1</v>
      </c>
      <c r="G4801" t="s">
        <v>5877</v>
      </c>
    </row>
    <row r="4802" spans="5:7" x14ac:dyDescent="0.35">
      <c r="E4802" s="9">
        <v>44614</v>
      </c>
      <c r="F4802">
        <v>174.7</v>
      </c>
      <c r="G4802" t="s">
        <v>5877</v>
      </c>
    </row>
    <row r="4803" spans="5:7" x14ac:dyDescent="0.35">
      <c r="E4803" s="9">
        <v>44615</v>
      </c>
      <c r="F4803">
        <v>181.2</v>
      </c>
      <c r="G4803" t="s">
        <v>5877</v>
      </c>
    </row>
    <row r="4804" spans="5:7" x14ac:dyDescent="0.35">
      <c r="E4804" s="9">
        <v>44616</v>
      </c>
      <c r="F4804">
        <v>195.7</v>
      </c>
      <c r="G4804" t="s">
        <v>5877</v>
      </c>
    </row>
    <row r="4805" spans="5:7" x14ac:dyDescent="0.35">
      <c r="E4805" s="9">
        <v>44617</v>
      </c>
      <c r="F4805">
        <v>207.8</v>
      </c>
      <c r="G4805" t="s">
        <v>5877</v>
      </c>
    </row>
    <row r="4806" spans="5:7" x14ac:dyDescent="0.35">
      <c r="E4806" s="9">
        <v>44618</v>
      </c>
      <c r="F4806">
        <v>206.8</v>
      </c>
      <c r="G4806" t="s">
        <v>5877</v>
      </c>
    </row>
    <row r="4807" spans="5:7" x14ac:dyDescent="0.35">
      <c r="E4807" s="9">
        <v>44619</v>
      </c>
      <c r="F4807">
        <v>195</v>
      </c>
      <c r="G4807" t="s">
        <v>5877</v>
      </c>
    </row>
    <row r="4808" spans="5:7" x14ac:dyDescent="0.35">
      <c r="E4808" s="9">
        <v>44620</v>
      </c>
      <c r="F4808">
        <v>182.3</v>
      </c>
      <c r="G4808" t="s">
        <v>5877</v>
      </c>
    </row>
    <row r="4809" spans="5:7" x14ac:dyDescent="0.35">
      <c r="E4809" s="9">
        <v>44621</v>
      </c>
      <c r="F4809">
        <v>180</v>
      </c>
      <c r="G4809" t="s">
        <v>5877</v>
      </c>
    </row>
    <row r="4810" spans="5:7" x14ac:dyDescent="0.35">
      <c r="E4810" s="9">
        <v>44622</v>
      </c>
      <c r="F4810">
        <v>194.1</v>
      </c>
      <c r="G4810" t="s">
        <v>5877</v>
      </c>
    </row>
    <row r="4811" spans="5:7" x14ac:dyDescent="0.35">
      <c r="E4811" s="9">
        <v>44623</v>
      </c>
      <c r="F4811">
        <v>201.7</v>
      </c>
      <c r="G4811" t="s">
        <v>5877</v>
      </c>
    </row>
    <row r="4812" spans="5:7" x14ac:dyDescent="0.35">
      <c r="E4812" s="9">
        <v>44624</v>
      </c>
      <c r="F4812">
        <v>200.3</v>
      </c>
      <c r="G4812" t="s">
        <v>5877</v>
      </c>
    </row>
    <row r="4813" spans="5:7" x14ac:dyDescent="0.35">
      <c r="E4813" s="9">
        <v>44625</v>
      </c>
      <c r="F4813">
        <v>195.4</v>
      </c>
      <c r="G4813" t="s">
        <v>5877</v>
      </c>
    </row>
    <row r="4814" spans="5:7" x14ac:dyDescent="0.35">
      <c r="E4814" s="9">
        <v>44626</v>
      </c>
      <c r="F4814">
        <v>192.7</v>
      </c>
      <c r="G4814" t="s">
        <v>5877</v>
      </c>
    </row>
    <row r="4815" spans="5:7" x14ac:dyDescent="0.35">
      <c r="E4815" s="9">
        <v>44627</v>
      </c>
      <c r="F4815">
        <v>190.8</v>
      </c>
      <c r="G4815" t="s">
        <v>5877</v>
      </c>
    </row>
    <row r="4816" spans="5:7" x14ac:dyDescent="0.35">
      <c r="E4816" s="9">
        <v>44628</v>
      </c>
      <c r="F4816">
        <v>189.3</v>
      </c>
      <c r="G4816" t="s">
        <v>5877</v>
      </c>
    </row>
    <row r="4817" spans="5:7" x14ac:dyDescent="0.35">
      <c r="E4817" s="9">
        <v>44629</v>
      </c>
      <c r="F4817">
        <v>188.5</v>
      </c>
      <c r="G4817" t="s">
        <v>5877</v>
      </c>
    </row>
    <row r="4818" spans="5:7" x14ac:dyDescent="0.35">
      <c r="E4818" s="9">
        <v>44630</v>
      </c>
      <c r="F4818">
        <v>188.7</v>
      </c>
      <c r="G4818" t="s">
        <v>5877</v>
      </c>
    </row>
    <row r="4819" spans="5:7" x14ac:dyDescent="0.35">
      <c r="E4819" s="9">
        <v>44631</v>
      </c>
      <c r="F4819">
        <v>194.5</v>
      </c>
      <c r="G4819" t="s">
        <v>5877</v>
      </c>
    </row>
    <row r="4820" spans="5:7" x14ac:dyDescent="0.35">
      <c r="E4820" s="9">
        <v>44632</v>
      </c>
      <c r="F4820">
        <v>203.7</v>
      </c>
      <c r="G4820" t="s">
        <v>5877</v>
      </c>
    </row>
    <row r="4821" spans="5:7" x14ac:dyDescent="0.35">
      <c r="E4821" s="9">
        <v>44633</v>
      </c>
      <c r="F4821">
        <v>218.4</v>
      </c>
      <c r="G4821" t="s">
        <v>5877</v>
      </c>
    </row>
    <row r="4822" spans="5:7" x14ac:dyDescent="0.35">
      <c r="E4822" s="9">
        <v>44634</v>
      </c>
      <c r="F4822">
        <v>228.9</v>
      </c>
      <c r="G4822" t="s">
        <v>5877</v>
      </c>
    </row>
    <row r="4823" spans="5:7" x14ac:dyDescent="0.35">
      <c r="E4823" s="9">
        <v>44635</v>
      </c>
      <c r="F4823">
        <v>222.5</v>
      </c>
      <c r="G4823" t="s">
        <v>5877</v>
      </c>
    </row>
    <row r="4824" spans="5:7" x14ac:dyDescent="0.35">
      <c r="E4824" s="9">
        <v>44636</v>
      </c>
      <c r="F4824">
        <v>213.3</v>
      </c>
      <c r="G4824" t="s">
        <v>5877</v>
      </c>
    </row>
    <row r="4825" spans="5:7" x14ac:dyDescent="0.35">
      <c r="E4825" s="9">
        <v>44637</v>
      </c>
      <c r="F4825">
        <v>214.6</v>
      </c>
      <c r="G4825" t="s">
        <v>5877</v>
      </c>
    </row>
    <row r="4826" spans="5:7" x14ac:dyDescent="0.35">
      <c r="E4826" s="9">
        <v>44638</v>
      </c>
      <c r="F4826">
        <v>225.4</v>
      </c>
      <c r="G4826" t="s">
        <v>5877</v>
      </c>
    </row>
    <row r="4827" spans="5:7" x14ac:dyDescent="0.35">
      <c r="E4827" s="9">
        <v>44639</v>
      </c>
      <c r="F4827">
        <v>226.7</v>
      </c>
      <c r="G4827" t="s">
        <v>5877</v>
      </c>
    </row>
    <row r="4828" spans="5:7" x14ac:dyDescent="0.35">
      <c r="E4828" s="9">
        <v>44640</v>
      </c>
      <c r="F4828">
        <v>213.2</v>
      </c>
      <c r="G4828" t="s">
        <v>5877</v>
      </c>
    </row>
    <row r="4829" spans="5:7" x14ac:dyDescent="0.35">
      <c r="E4829" s="9">
        <v>44641</v>
      </c>
      <c r="F4829">
        <v>202.3</v>
      </c>
      <c r="G4829" t="s">
        <v>5877</v>
      </c>
    </row>
    <row r="4830" spans="5:7" x14ac:dyDescent="0.35">
      <c r="E4830" s="9">
        <v>44642</v>
      </c>
      <c r="F4830">
        <v>204.8</v>
      </c>
      <c r="G4830" t="s">
        <v>5877</v>
      </c>
    </row>
    <row r="4831" spans="5:7" x14ac:dyDescent="0.35">
      <c r="E4831" s="9">
        <v>44643</v>
      </c>
      <c r="F4831">
        <v>214.2</v>
      </c>
      <c r="G4831" t="s">
        <v>5877</v>
      </c>
    </row>
    <row r="4832" spans="5:7" x14ac:dyDescent="0.35">
      <c r="E4832" s="9">
        <v>44644</v>
      </c>
      <c r="F4832">
        <v>209</v>
      </c>
      <c r="G4832" t="s">
        <v>5877</v>
      </c>
    </row>
    <row r="4833" spans="5:7" x14ac:dyDescent="0.35">
      <c r="E4833" s="9">
        <v>44645</v>
      </c>
      <c r="F4833">
        <v>192.4</v>
      </c>
      <c r="G4833" t="s">
        <v>5877</v>
      </c>
    </row>
    <row r="4834" spans="5:7" x14ac:dyDescent="0.35">
      <c r="E4834" s="9">
        <v>44646</v>
      </c>
      <c r="F4834">
        <v>172.8</v>
      </c>
      <c r="G4834" t="s">
        <v>5877</v>
      </c>
    </row>
    <row r="4835" spans="5:7" x14ac:dyDescent="0.35">
      <c r="E4835" s="9">
        <v>44647</v>
      </c>
      <c r="F4835">
        <v>158.80000000000001</v>
      </c>
      <c r="G4835" t="s">
        <v>5877</v>
      </c>
    </row>
    <row r="4836" spans="5:7" x14ac:dyDescent="0.35">
      <c r="E4836" s="9">
        <v>44648</v>
      </c>
      <c r="F4836">
        <v>158.80000000000001</v>
      </c>
      <c r="G4836" t="s">
        <v>5877</v>
      </c>
    </row>
    <row r="4837" spans="5:7" x14ac:dyDescent="0.35">
      <c r="E4837" s="9">
        <v>44649</v>
      </c>
      <c r="F4837">
        <v>172.1</v>
      </c>
      <c r="G4837" t="s">
        <v>5877</v>
      </c>
    </row>
    <row r="4838" spans="5:7" x14ac:dyDescent="0.35">
      <c r="E4838" s="9">
        <v>44650</v>
      </c>
      <c r="F4838">
        <v>193.6</v>
      </c>
      <c r="G4838" t="s">
        <v>5877</v>
      </c>
    </row>
    <row r="4839" spans="5:7" x14ac:dyDescent="0.35">
      <c r="E4839" s="9">
        <v>44651</v>
      </c>
      <c r="F4839">
        <v>210.3</v>
      </c>
      <c r="G4839" t="s">
        <v>5877</v>
      </c>
    </row>
    <row r="4840" spans="5:7" x14ac:dyDescent="0.35">
      <c r="E4840" s="9">
        <v>44652</v>
      </c>
      <c r="F4840">
        <v>214.8</v>
      </c>
      <c r="G4840" t="s">
        <v>5877</v>
      </c>
    </row>
    <row r="4841" spans="5:7" x14ac:dyDescent="0.35">
      <c r="E4841" s="9">
        <v>44653</v>
      </c>
      <c r="F4841">
        <v>220.2</v>
      </c>
      <c r="G4841" t="s">
        <v>5877</v>
      </c>
    </row>
    <row r="4842" spans="5:7" x14ac:dyDescent="0.35">
      <c r="E4842" s="9">
        <v>44654</v>
      </c>
      <c r="F4842">
        <v>219.7</v>
      </c>
      <c r="G4842" t="s">
        <v>5877</v>
      </c>
    </row>
    <row r="4843" spans="5:7" x14ac:dyDescent="0.35">
      <c r="E4843" s="9">
        <v>44655</v>
      </c>
      <c r="F4843">
        <v>223.4</v>
      </c>
      <c r="G4843" t="s">
        <v>5877</v>
      </c>
    </row>
    <row r="4844" spans="5:7" x14ac:dyDescent="0.35">
      <c r="E4844" s="9">
        <v>44656</v>
      </c>
      <c r="F4844">
        <v>219.1</v>
      </c>
      <c r="G4844" t="s">
        <v>5877</v>
      </c>
    </row>
    <row r="4845" spans="5:7" x14ac:dyDescent="0.35">
      <c r="E4845" s="9">
        <v>44657</v>
      </c>
      <c r="F4845">
        <v>205.5</v>
      </c>
      <c r="G4845" t="s">
        <v>5877</v>
      </c>
    </row>
    <row r="4846" spans="5:7" x14ac:dyDescent="0.35">
      <c r="E4846" s="9">
        <v>44658</v>
      </c>
      <c r="F4846">
        <v>191.6</v>
      </c>
      <c r="G4846" t="s">
        <v>5877</v>
      </c>
    </row>
    <row r="4847" spans="5:7" x14ac:dyDescent="0.35">
      <c r="E4847" s="9">
        <v>44659</v>
      </c>
      <c r="F4847">
        <v>184.4</v>
      </c>
      <c r="G4847" t="s">
        <v>5877</v>
      </c>
    </row>
    <row r="4848" spans="5:7" x14ac:dyDescent="0.35">
      <c r="E4848" s="9">
        <v>44660</v>
      </c>
      <c r="F4848">
        <v>183.1</v>
      </c>
      <c r="G4848" t="s">
        <v>5877</v>
      </c>
    </row>
    <row r="4849" spans="5:7" x14ac:dyDescent="0.35">
      <c r="E4849" s="9">
        <v>44661</v>
      </c>
      <c r="F4849">
        <v>180.3</v>
      </c>
      <c r="G4849" t="s">
        <v>5877</v>
      </c>
    </row>
    <row r="4850" spans="5:7" x14ac:dyDescent="0.35">
      <c r="E4850" s="9">
        <v>44662</v>
      </c>
      <c r="F4850">
        <v>177.2</v>
      </c>
      <c r="G4850" t="s">
        <v>5877</v>
      </c>
    </row>
    <row r="4851" spans="5:7" x14ac:dyDescent="0.35">
      <c r="E4851" s="9">
        <v>44663</v>
      </c>
      <c r="F4851">
        <v>173</v>
      </c>
      <c r="G4851" t="s">
        <v>5877</v>
      </c>
    </row>
    <row r="4852" spans="5:7" x14ac:dyDescent="0.35">
      <c r="E4852" s="9">
        <v>44664</v>
      </c>
      <c r="F4852">
        <v>168.1</v>
      </c>
      <c r="G4852" t="s">
        <v>5877</v>
      </c>
    </row>
    <row r="4853" spans="5:7" x14ac:dyDescent="0.35">
      <c r="E4853" s="9">
        <v>44665</v>
      </c>
      <c r="F4853">
        <v>169.5</v>
      </c>
      <c r="G4853" t="s">
        <v>5877</v>
      </c>
    </row>
    <row r="4854" spans="5:7" x14ac:dyDescent="0.35">
      <c r="E4854" s="9">
        <v>44666</v>
      </c>
      <c r="F4854">
        <v>177.9</v>
      </c>
      <c r="G4854" t="s">
        <v>5877</v>
      </c>
    </row>
    <row r="4855" spans="5:7" x14ac:dyDescent="0.35">
      <c r="E4855" s="9">
        <v>44667</v>
      </c>
      <c r="F4855">
        <v>189.5</v>
      </c>
      <c r="G4855" t="s">
        <v>5877</v>
      </c>
    </row>
    <row r="4856" spans="5:7" x14ac:dyDescent="0.35">
      <c r="E4856" s="9">
        <v>44668</v>
      </c>
      <c r="F4856">
        <v>190.5</v>
      </c>
      <c r="G4856" t="s">
        <v>5877</v>
      </c>
    </row>
    <row r="4857" spans="5:7" x14ac:dyDescent="0.35">
      <c r="E4857" s="9">
        <v>44669</v>
      </c>
      <c r="F4857">
        <v>188.1</v>
      </c>
      <c r="G4857" t="s">
        <v>5877</v>
      </c>
    </row>
    <row r="4858" spans="5:7" x14ac:dyDescent="0.35">
      <c r="E4858" s="9">
        <v>44670</v>
      </c>
      <c r="F4858">
        <v>188.5</v>
      </c>
      <c r="G4858" t="s">
        <v>5877</v>
      </c>
    </row>
    <row r="4859" spans="5:7" x14ac:dyDescent="0.35">
      <c r="E4859" s="9">
        <v>44671</v>
      </c>
      <c r="F4859">
        <v>198.4</v>
      </c>
      <c r="G4859" t="s">
        <v>5877</v>
      </c>
    </row>
    <row r="4860" spans="5:7" x14ac:dyDescent="0.35">
      <c r="E4860" s="9">
        <v>44672</v>
      </c>
      <c r="F4860">
        <v>213.7</v>
      </c>
      <c r="G4860" t="s">
        <v>5877</v>
      </c>
    </row>
    <row r="4861" spans="5:7" x14ac:dyDescent="0.35">
      <c r="E4861" s="9">
        <v>44673</v>
      </c>
      <c r="F4861">
        <v>220.6</v>
      </c>
      <c r="G4861" t="s">
        <v>5877</v>
      </c>
    </row>
    <row r="4862" spans="5:7" x14ac:dyDescent="0.35">
      <c r="E4862" s="9">
        <v>44674</v>
      </c>
      <c r="F4862">
        <v>218.4</v>
      </c>
      <c r="G4862" t="s">
        <v>5877</v>
      </c>
    </row>
    <row r="4863" spans="5:7" x14ac:dyDescent="0.35">
      <c r="E4863" s="9">
        <v>44675</v>
      </c>
      <c r="F4863">
        <v>219.1</v>
      </c>
      <c r="G4863" t="s">
        <v>5877</v>
      </c>
    </row>
    <row r="4864" spans="5:7" x14ac:dyDescent="0.35">
      <c r="E4864" s="9">
        <v>44676</v>
      </c>
      <c r="F4864">
        <v>223.5</v>
      </c>
      <c r="G4864" t="s">
        <v>5877</v>
      </c>
    </row>
    <row r="4865" spans="5:7" x14ac:dyDescent="0.35">
      <c r="E4865" s="9">
        <v>44677</v>
      </c>
      <c r="F4865">
        <v>224.1</v>
      </c>
      <c r="G4865" t="s">
        <v>5877</v>
      </c>
    </row>
    <row r="4866" spans="5:7" x14ac:dyDescent="0.35">
      <c r="E4866" s="9">
        <v>44678</v>
      </c>
      <c r="F4866">
        <v>227.4</v>
      </c>
      <c r="G4866" t="s">
        <v>5877</v>
      </c>
    </row>
    <row r="4867" spans="5:7" x14ac:dyDescent="0.35">
      <c r="E4867" s="9">
        <v>44679</v>
      </c>
      <c r="F4867">
        <v>232.1</v>
      </c>
      <c r="G4867" t="s">
        <v>5877</v>
      </c>
    </row>
    <row r="4868" spans="5:7" x14ac:dyDescent="0.35">
      <c r="E4868" s="9">
        <v>44680</v>
      </c>
      <c r="F4868">
        <v>236.3</v>
      </c>
      <c r="G4868" t="s">
        <v>5877</v>
      </c>
    </row>
    <row r="4869" spans="5:7" x14ac:dyDescent="0.35">
      <c r="E4869" s="9">
        <v>44681</v>
      </c>
      <c r="F4869">
        <v>242.7</v>
      </c>
      <c r="G4869" t="s">
        <v>5877</v>
      </c>
    </row>
    <row r="4870" spans="5:7" x14ac:dyDescent="0.35">
      <c r="E4870" s="9">
        <v>44682</v>
      </c>
      <c r="F4870">
        <v>248.3</v>
      </c>
      <c r="G4870" t="s">
        <v>5877</v>
      </c>
    </row>
    <row r="4871" spans="5:7" x14ac:dyDescent="0.35">
      <c r="E4871" s="9">
        <v>44683</v>
      </c>
      <c r="F4871">
        <v>249.8</v>
      </c>
      <c r="G4871" t="s">
        <v>5877</v>
      </c>
    </row>
    <row r="4872" spans="5:7" x14ac:dyDescent="0.35">
      <c r="E4872" s="9">
        <v>44684</v>
      </c>
      <c r="F4872">
        <v>240.7</v>
      </c>
      <c r="G4872" t="s">
        <v>5877</v>
      </c>
    </row>
    <row r="4873" spans="5:7" x14ac:dyDescent="0.35">
      <c r="E4873" s="9">
        <v>44685</v>
      </c>
      <c r="F4873">
        <v>220.2</v>
      </c>
      <c r="G4873" t="s">
        <v>5877</v>
      </c>
    </row>
    <row r="4874" spans="5:7" x14ac:dyDescent="0.35">
      <c r="E4874" s="9">
        <v>44686</v>
      </c>
      <c r="F4874">
        <v>195</v>
      </c>
      <c r="G4874" t="s">
        <v>5877</v>
      </c>
    </row>
    <row r="4875" spans="5:7" x14ac:dyDescent="0.35">
      <c r="E4875" s="9">
        <v>44687</v>
      </c>
      <c r="F4875">
        <v>172.3</v>
      </c>
      <c r="G4875" t="s">
        <v>5877</v>
      </c>
    </row>
    <row r="4876" spans="5:7" x14ac:dyDescent="0.35">
      <c r="E4876" s="9">
        <v>44688</v>
      </c>
      <c r="F4876">
        <v>156.80000000000001</v>
      </c>
      <c r="G4876" t="s">
        <v>5877</v>
      </c>
    </row>
    <row r="4877" spans="5:7" x14ac:dyDescent="0.35">
      <c r="E4877" s="9">
        <v>44689</v>
      </c>
      <c r="F4877">
        <v>152</v>
      </c>
      <c r="G4877" t="s">
        <v>5877</v>
      </c>
    </row>
    <row r="4878" spans="5:7" x14ac:dyDescent="0.35">
      <c r="E4878" s="9">
        <v>44690</v>
      </c>
      <c r="F4878">
        <v>157.19999999999999</v>
      </c>
      <c r="G4878" t="s">
        <v>5877</v>
      </c>
    </row>
    <row r="4879" spans="5:7" x14ac:dyDescent="0.35">
      <c r="E4879" s="9">
        <v>44691</v>
      </c>
      <c r="F4879">
        <v>166.9</v>
      </c>
      <c r="G4879" t="s">
        <v>5877</v>
      </c>
    </row>
    <row r="4880" spans="5:7" x14ac:dyDescent="0.35">
      <c r="E4880" s="9">
        <v>44692</v>
      </c>
      <c r="F4880">
        <v>171.7</v>
      </c>
      <c r="G4880" t="s">
        <v>5877</v>
      </c>
    </row>
    <row r="4881" spans="5:7" x14ac:dyDescent="0.35">
      <c r="E4881" s="9">
        <v>44693</v>
      </c>
      <c r="F4881">
        <v>169.9</v>
      </c>
      <c r="G4881" t="s">
        <v>5877</v>
      </c>
    </row>
    <row r="4882" spans="5:7" x14ac:dyDescent="0.35">
      <c r="E4882" s="9">
        <v>44694</v>
      </c>
      <c r="F4882">
        <v>163.80000000000001</v>
      </c>
      <c r="G4882" t="s">
        <v>5877</v>
      </c>
    </row>
    <row r="4883" spans="5:7" x14ac:dyDescent="0.35">
      <c r="E4883" s="9">
        <v>44695</v>
      </c>
      <c r="F4883">
        <v>156.69999999999999</v>
      </c>
      <c r="G4883" t="s">
        <v>5877</v>
      </c>
    </row>
    <row r="4884" spans="5:7" x14ac:dyDescent="0.35">
      <c r="E4884" s="9">
        <v>44696</v>
      </c>
      <c r="F4884">
        <v>149.19999999999999</v>
      </c>
      <c r="G4884" t="s">
        <v>5877</v>
      </c>
    </row>
    <row r="4885" spans="5:7" x14ac:dyDescent="0.35">
      <c r="E4885" s="9">
        <v>44697</v>
      </c>
      <c r="F4885">
        <v>142.4</v>
      </c>
      <c r="G4885" t="s">
        <v>5877</v>
      </c>
    </row>
    <row r="4886" spans="5:7" x14ac:dyDescent="0.35">
      <c r="E4886" s="9">
        <v>44698</v>
      </c>
      <c r="F4886">
        <v>136.6</v>
      </c>
      <c r="G4886" t="s">
        <v>5877</v>
      </c>
    </row>
    <row r="4887" spans="5:7" x14ac:dyDescent="0.35">
      <c r="E4887" s="9">
        <v>44699</v>
      </c>
      <c r="F4887">
        <v>132</v>
      </c>
      <c r="G4887" t="s">
        <v>5877</v>
      </c>
    </row>
    <row r="4888" spans="5:7" x14ac:dyDescent="0.35">
      <c r="E4888" s="9">
        <v>44700</v>
      </c>
      <c r="F4888">
        <v>129.19999999999999</v>
      </c>
      <c r="G4888" t="s">
        <v>5877</v>
      </c>
    </row>
    <row r="4889" spans="5:7" x14ac:dyDescent="0.35">
      <c r="E4889" s="9">
        <v>44701</v>
      </c>
      <c r="F4889">
        <v>127.6</v>
      </c>
      <c r="G4889" t="s">
        <v>5877</v>
      </c>
    </row>
    <row r="4890" spans="5:7" x14ac:dyDescent="0.35">
      <c r="E4890" s="9">
        <v>44702</v>
      </c>
      <c r="F4890">
        <v>128.4</v>
      </c>
      <c r="G4890" t="s">
        <v>5877</v>
      </c>
    </row>
    <row r="4891" spans="5:7" x14ac:dyDescent="0.35">
      <c r="E4891" s="9">
        <v>44703</v>
      </c>
      <c r="F4891">
        <v>132.30000000000001</v>
      </c>
      <c r="G4891" t="s">
        <v>5877</v>
      </c>
    </row>
    <row r="4892" spans="5:7" x14ac:dyDescent="0.35">
      <c r="E4892" s="9">
        <v>44704</v>
      </c>
      <c r="F4892">
        <v>139.69999999999999</v>
      </c>
      <c r="G4892" t="s">
        <v>5877</v>
      </c>
    </row>
    <row r="4893" spans="5:7" x14ac:dyDescent="0.35">
      <c r="E4893" s="9">
        <v>44705</v>
      </c>
      <c r="F4893">
        <v>147.19999999999999</v>
      </c>
      <c r="G4893" t="s">
        <v>5877</v>
      </c>
    </row>
    <row r="4894" spans="5:7" x14ac:dyDescent="0.35">
      <c r="E4894" s="9">
        <v>44706</v>
      </c>
      <c r="F4894">
        <v>152.5</v>
      </c>
      <c r="G4894" t="s">
        <v>5877</v>
      </c>
    </row>
    <row r="4895" spans="5:7" x14ac:dyDescent="0.35">
      <c r="E4895" s="9">
        <v>44707</v>
      </c>
      <c r="F4895">
        <v>152.69999999999999</v>
      </c>
      <c r="G4895" t="s">
        <v>5877</v>
      </c>
    </row>
    <row r="4896" spans="5:7" x14ac:dyDescent="0.35">
      <c r="E4896" s="9">
        <v>44708</v>
      </c>
      <c r="F4896">
        <v>150</v>
      </c>
      <c r="G4896" t="s">
        <v>5877</v>
      </c>
    </row>
    <row r="4897" spans="5:7" x14ac:dyDescent="0.35">
      <c r="E4897" s="9">
        <v>44709</v>
      </c>
      <c r="F4897">
        <v>146.4</v>
      </c>
      <c r="G4897" t="s">
        <v>5877</v>
      </c>
    </row>
    <row r="4898" spans="5:7" x14ac:dyDescent="0.35">
      <c r="E4898" s="9">
        <v>44710</v>
      </c>
      <c r="F4898">
        <v>144.9</v>
      </c>
      <c r="G4898" t="s">
        <v>5877</v>
      </c>
    </row>
    <row r="4899" spans="5:7" x14ac:dyDescent="0.35">
      <c r="E4899" s="9">
        <v>44711</v>
      </c>
      <c r="F4899">
        <v>144.80000000000001</v>
      </c>
      <c r="G4899" t="s">
        <v>5877</v>
      </c>
    </row>
    <row r="4900" spans="5:7" x14ac:dyDescent="0.35">
      <c r="E4900" s="9">
        <v>44712</v>
      </c>
      <c r="F4900">
        <v>144.19999999999999</v>
      </c>
      <c r="G4900" t="s">
        <v>5877</v>
      </c>
    </row>
    <row r="4901" spans="5:7" x14ac:dyDescent="0.35">
      <c r="E4901" s="9">
        <v>44713</v>
      </c>
      <c r="F4901">
        <v>143.1</v>
      </c>
      <c r="G4901" t="s">
        <v>5877</v>
      </c>
    </row>
    <row r="4902" spans="5:7" x14ac:dyDescent="0.35">
      <c r="E4902" s="9">
        <v>44714</v>
      </c>
      <c r="F4902">
        <v>100.2</v>
      </c>
      <c r="G4902" t="s">
        <v>5877</v>
      </c>
    </row>
    <row r="4903" spans="5:7" x14ac:dyDescent="0.35">
      <c r="E4903" s="9">
        <v>44715</v>
      </c>
      <c r="F4903">
        <v>97.2</v>
      </c>
      <c r="G4903" t="s">
        <v>5877</v>
      </c>
    </row>
    <row r="4904" spans="5:7" x14ac:dyDescent="0.35">
      <c r="E4904" s="9">
        <v>44716</v>
      </c>
      <c r="F4904">
        <v>93.7</v>
      </c>
      <c r="G4904" t="s">
        <v>5877</v>
      </c>
    </row>
    <row r="4905" spans="5:7" x14ac:dyDescent="0.35">
      <c r="E4905" s="9">
        <v>44717</v>
      </c>
      <c r="F4905">
        <v>90.4</v>
      </c>
      <c r="G4905" t="s">
        <v>5877</v>
      </c>
    </row>
    <row r="4906" spans="5:7" x14ac:dyDescent="0.35">
      <c r="E4906" s="9">
        <v>44718</v>
      </c>
      <c r="F4906">
        <v>87.8</v>
      </c>
      <c r="G4906" t="s">
        <v>5877</v>
      </c>
    </row>
    <row r="4907" spans="5:7" x14ac:dyDescent="0.35">
      <c r="E4907" s="9">
        <v>44719</v>
      </c>
      <c r="F4907">
        <v>86.1</v>
      </c>
      <c r="G4907" t="s">
        <v>5877</v>
      </c>
    </row>
    <row r="4908" spans="5:7" x14ac:dyDescent="0.35">
      <c r="E4908" s="9">
        <v>44720</v>
      </c>
      <c r="F4908">
        <v>85.1</v>
      </c>
      <c r="G4908" t="s">
        <v>5877</v>
      </c>
    </row>
    <row r="4909" spans="5:7" x14ac:dyDescent="0.35">
      <c r="E4909" s="9">
        <v>44721</v>
      </c>
      <c r="F4909">
        <v>84.5</v>
      </c>
      <c r="G4909" t="s">
        <v>5877</v>
      </c>
    </row>
    <row r="4910" spans="5:7" x14ac:dyDescent="0.35">
      <c r="E4910" s="9">
        <v>44722</v>
      </c>
      <c r="F4910">
        <v>84.2</v>
      </c>
      <c r="G4910" t="s">
        <v>5877</v>
      </c>
    </row>
    <row r="4911" spans="5:7" x14ac:dyDescent="0.35">
      <c r="E4911" s="9">
        <v>44723</v>
      </c>
      <c r="F4911">
        <v>83.9</v>
      </c>
      <c r="G4911" t="s">
        <v>5877</v>
      </c>
    </row>
    <row r="4912" spans="5:7" x14ac:dyDescent="0.35">
      <c r="E4912" s="9">
        <v>44724</v>
      </c>
      <c r="F4912">
        <v>83.7</v>
      </c>
      <c r="G4912" t="s">
        <v>5877</v>
      </c>
    </row>
    <row r="4913" spans="5:7" x14ac:dyDescent="0.35">
      <c r="E4913" s="9">
        <v>44725</v>
      </c>
      <c r="F4913">
        <v>83.4</v>
      </c>
      <c r="G4913" t="s">
        <v>5877</v>
      </c>
    </row>
    <row r="4914" spans="5:7" x14ac:dyDescent="0.35">
      <c r="E4914" s="9">
        <v>44726</v>
      </c>
      <c r="F4914">
        <v>83.3</v>
      </c>
      <c r="G4914" t="s">
        <v>5877</v>
      </c>
    </row>
    <row r="4915" spans="5:7" x14ac:dyDescent="0.35">
      <c r="E4915" s="9">
        <v>44727</v>
      </c>
      <c r="F4915">
        <v>84</v>
      </c>
      <c r="G4915" t="s">
        <v>5877</v>
      </c>
    </row>
    <row r="4916" spans="5:7" x14ac:dyDescent="0.35">
      <c r="E4916" s="9">
        <v>44728</v>
      </c>
      <c r="F4916">
        <v>85.4</v>
      </c>
      <c r="G4916" t="s">
        <v>5877</v>
      </c>
    </row>
    <row r="4917" spans="5:7" x14ac:dyDescent="0.35">
      <c r="E4917" s="9">
        <v>44729</v>
      </c>
      <c r="F4917">
        <v>87</v>
      </c>
      <c r="G4917" t="s">
        <v>5877</v>
      </c>
    </row>
    <row r="4918" spans="5:7" x14ac:dyDescent="0.35">
      <c r="E4918" s="9">
        <v>44730</v>
      </c>
      <c r="F4918">
        <v>87.3</v>
      </c>
      <c r="G4918" t="s">
        <v>5877</v>
      </c>
    </row>
    <row r="4919" spans="5:7" x14ac:dyDescent="0.35">
      <c r="E4919" s="9">
        <v>44731</v>
      </c>
      <c r="F4919">
        <v>86.9</v>
      </c>
      <c r="G4919" t="s">
        <v>5877</v>
      </c>
    </row>
    <row r="4920" spans="5:7" x14ac:dyDescent="0.35">
      <c r="E4920" s="9">
        <v>44732</v>
      </c>
      <c r="F4920">
        <v>87.1</v>
      </c>
      <c r="G4920" t="s">
        <v>5877</v>
      </c>
    </row>
    <row r="4921" spans="5:7" x14ac:dyDescent="0.35">
      <c r="E4921" s="9">
        <v>44733</v>
      </c>
      <c r="F4921">
        <v>89.3</v>
      </c>
      <c r="G4921" t="s">
        <v>5877</v>
      </c>
    </row>
    <row r="4922" spans="5:7" x14ac:dyDescent="0.35">
      <c r="E4922" s="9">
        <v>44734</v>
      </c>
      <c r="F4922">
        <v>92.4</v>
      </c>
      <c r="G4922" t="s">
        <v>5877</v>
      </c>
    </row>
    <row r="4923" spans="5:7" x14ac:dyDescent="0.35">
      <c r="E4923" s="9">
        <v>44735</v>
      </c>
      <c r="F4923">
        <v>93.6</v>
      </c>
      <c r="G4923" t="s">
        <v>5877</v>
      </c>
    </row>
    <row r="4924" spans="5:7" x14ac:dyDescent="0.35">
      <c r="E4924" s="9">
        <v>44736</v>
      </c>
      <c r="F4924">
        <v>92.5</v>
      </c>
      <c r="G4924" t="s">
        <v>5877</v>
      </c>
    </row>
    <row r="4925" spans="5:7" x14ac:dyDescent="0.35">
      <c r="E4925" s="9">
        <v>44737</v>
      </c>
      <c r="F4925">
        <v>90</v>
      </c>
      <c r="G4925" t="s">
        <v>5877</v>
      </c>
    </row>
    <row r="4926" spans="5:7" x14ac:dyDescent="0.35">
      <c r="E4926" s="9">
        <v>44738</v>
      </c>
      <c r="F4926">
        <v>87.7</v>
      </c>
      <c r="G4926" t="s">
        <v>5877</v>
      </c>
    </row>
    <row r="4927" spans="5:7" x14ac:dyDescent="0.35">
      <c r="E4927" s="9">
        <v>44739</v>
      </c>
      <c r="F4927">
        <v>86.3</v>
      </c>
      <c r="G4927" t="s">
        <v>5877</v>
      </c>
    </row>
    <row r="4928" spans="5:7" x14ac:dyDescent="0.35">
      <c r="E4928" s="9">
        <v>44740</v>
      </c>
      <c r="F4928">
        <v>85.5</v>
      </c>
      <c r="G4928" t="s">
        <v>5877</v>
      </c>
    </row>
    <row r="4929" spans="5:7" x14ac:dyDescent="0.35">
      <c r="E4929" s="9">
        <v>44741</v>
      </c>
      <c r="F4929">
        <v>85</v>
      </c>
      <c r="G4929" t="s">
        <v>5877</v>
      </c>
    </row>
    <row r="4930" spans="5:7" x14ac:dyDescent="0.35">
      <c r="E4930" s="9">
        <v>44742</v>
      </c>
      <c r="F4930">
        <v>84.5</v>
      </c>
      <c r="G4930" t="s">
        <v>5877</v>
      </c>
    </row>
    <row r="4931" spans="5:7" x14ac:dyDescent="0.35">
      <c r="E4931" s="9">
        <v>44743</v>
      </c>
      <c r="F4931">
        <v>84.1</v>
      </c>
      <c r="G4931" t="s">
        <v>5877</v>
      </c>
    </row>
    <row r="4932" spans="5:7" x14ac:dyDescent="0.35">
      <c r="E4932" s="9">
        <v>44744</v>
      </c>
      <c r="F4932">
        <v>60.7</v>
      </c>
      <c r="G4932" t="s">
        <v>5877</v>
      </c>
    </row>
    <row r="4933" spans="5:7" x14ac:dyDescent="0.35">
      <c r="E4933" s="9">
        <v>44745</v>
      </c>
      <c r="F4933">
        <v>60.5</v>
      </c>
      <c r="G4933" t="s">
        <v>5877</v>
      </c>
    </row>
    <row r="4934" spans="5:7" x14ac:dyDescent="0.35">
      <c r="E4934" s="9">
        <v>44746</v>
      </c>
      <c r="F4934">
        <v>60.3</v>
      </c>
      <c r="G4934" t="s">
        <v>5877</v>
      </c>
    </row>
    <row r="4935" spans="5:7" x14ac:dyDescent="0.35">
      <c r="E4935" s="9">
        <v>44747</v>
      </c>
      <c r="F4935">
        <v>60.2</v>
      </c>
      <c r="G4935" t="s">
        <v>5877</v>
      </c>
    </row>
    <row r="4936" spans="5:7" x14ac:dyDescent="0.35">
      <c r="E4936" s="9">
        <v>44748</v>
      </c>
      <c r="F4936">
        <v>60.1</v>
      </c>
      <c r="G4936" t="s">
        <v>5877</v>
      </c>
    </row>
    <row r="4937" spans="5:7" x14ac:dyDescent="0.35">
      <c r="E4937" s="9">
        <v>44749</v>
      </c>
      <c r="F4937">
        <v>60.1</v>
      </c>
      <c r="G4937" t="s">
        <v>5877</v>
      </c>
    </row>
    <row r="4938" spans="5:7" x14ac:dyDescent="0.35">
      <c r="E4938" s="9">
        <v>44750</v>
      </c>
      <c r="F4938">
        <v>60</v>
      </c>
      <c r="G4938" t="s">
        <v>5877</v>
      </c>
    </row>
    <row r="4939" spans="5:7" x14ac:dyDescent="0.35">
      <c r="E4939" s="9">
        <v>44751</v>
      </c>
      <c r="F4939">
        <v>60</v>
      </c>
      <c r="G4939" t="s">
        <v>5877</v>
      </c>
    </row>
    <row r="4940" spans="5:7" x14ac:dyDescent="0.35">
      <c r="E4940" s="9">
        <v>44752</v>
      </c>
      <c r="F4940">
        <v>60</v>
      </c>
      <c r="G4940" t="s">
        <v>5877</v>
      </c>
    </row>
    <row r="4941" spans="5:7" x14ac:dyDescent="0.35">
      <c r="E4941" s="9">
        <v>44753</v>
      </c>
      <c r="F4941">
        <v>60</v>
      </c>
      <c r="G4941" t="s">
        <v>5877</v>
      </c>
    </row>
    <row r="4942" spans="5:7" x14ac:dyDescent="0.35">
      <c r="E4942" s="9">
        <v>44754</v>
      </c>
      <c r="F4942">
        <v>60</v>
      </c>
      <c r="G4942" t="s">
        <v>5877</v>
      </c>
    </row>
    <row r="4943" spans="5:7" x14ac:dyDescent="0.35">
      <c r="E4943" s="9">
        <v>44755</v>
      </c>
      <c r="F4943">
        <v>60</v>
      </c>
      <c r="G4943" t="s">
        <v>5877</v>
      </c>
    </row>
    <row r="4944" spans="5:7" x14ac:dyDescent="0.35">
      <c r="E4944" s="9">
        <v>44756</v>
      </c>
      <c r="F4944">
        <v>60</v>
      </c>
      <c r="G4944" t="s">
        <v>5877</v>
      </c>
    </row>
    <row r="4945" spans="5:7" x14ac:dyDescent="0.35">
      <c r="E4945" s="9">
        <v>44757</v>
      </c>
      <c r="F4945">
        <v>60</v>
      </c>
      <c r="G4945" t="s">
        <v>5877</v>
      </c>
    </row>
    <row r="4946" spans="5:7" x14ac:dyDescent="0.35">
      <c r="E4946" s="9">
        <v>44758</v>
      </c>
      <c r="F4946">
        <v>60</v>
      </c>
      <c r="G4946" t="s">
        <v>5877</v>
      </c>
    </row>
    <row r="4947" spans="5:7" x14ac:dyDescent="0.35">
      <c r="E4947" s="9">
        <v>44759</v>
      </c>
      <c r="F4947">
        <v>60</v>
      </c>
      <c r="G4947" t="s">
        <v>5877</v>
      </c>
    </row>
    <row r="4948" spans="5:7" x14ac:dyDescent="0.35">
      <c r="E4948" s="9">
        <v>44760</v>
      </c>
      <c r="F4948">
        <v>60</v>
      </c>
      <c r="G4948" t="s">
        <v>5877</v>
      </c>
    </row>
    <row r="4949" spans="5:7" x14ac:dyDescent="0.35">
      <c r="E4949" s="9">
        <v>44761</v>
      </c>
      <c r="F4949">
        <v>60</v>
      </c>
      <c r="G4949" t="s">
        <v>5877</v>
      </c>
    </row>
    <row r="4950" spans="5:7" x14ac:dyDescent="0.35">
      <c r="E4950" s="9">
        <v>44762</v>
      </c>
      <c r="F4950">
        <v>60</v>
      </c>
      <c r="G4950" t="s">
        <v>5877</v>
      </c>
    </row>
    <row r="4951" spans="5:7" x14ac:dyDescent="0.35">
      <c r="E4951" s="9">
        <v>44763</v>
      </c>
      <c r="F4951">
        <v>60.2</v>
      </c>
      <c r="G4951" t="s">
        <v>5877</v>
      </c>
    </row>
    <row r="4952" spans="5:7" x14ac:dyDescent="0.35">
      <c r="E4952" s="9">
        <v>44764</v>
      </c>
      <c r="F4952">
        <v>60.6</v>
      </c>
      <c r="G4952" t="s">
        <v>5877</v>
      </c>
    </row>
    <row r="4953" spans="5:7" x14ac:dyDescent="0.35">
      <c r="E4953" s="9">
        <v>44765</v>
      </c>
      <c r="F4953">
        <v>61</v>
      </c>
      <c r="G4953" t="s">
        <v>5877</v>
      </c>
    </row>
    <row r="4954" spans="5:7" x14ac:dyDescent="0.35">
      <c r="E4954" s="9">
        <v>44766</v>
      </c>
      <c r="F4954">
        <v>61.1</v>
      </c>
      <c r="G4954" t="s">
        <v>5877</v>
      </c>
    </row>
    <row r="4955" spans="5:7" x14ac:dyDescent="0.35">
      <c r="E4955" s="9">
        <v>44767</v>
      </c>
      <c r="F4955">
        <v>61</v>
      </c>
      <c r="G4955" t="s">
        <v>5877</v>
      </c>
    </row>
    <row r="4956" spans="5:7" x14ac:dyDescent="0.35">
      <c r="E4956" s="9">
        <v>44768</v>
      </c>
      <c r="F4956">
        <v>60.8</v>
      </c>
      <c r="G4956" t="s">
        <v>5877</v>
      </c>
    </row>
    <row r="4957" spans="5:7" x14ac:dyDescent="0.35">
      <c r="E4957" s="9">
        <v>44769</v>
      </c>
      <c r="F4957">
        <v>60.6</v>
      </c>
      <c r="G4957" t="s">
        <v>5877</v>
      </c>
    </row>
    <row r="4958" spans="5:7" x14ac:dyDescent="0.35">
      <c r="E4958" s="9">
        <v>44770</v>
      </c>
      <c r="F4958">
        <v>60.4</v>
      </c>
      <c r="G4958" t="s">
        <v>5877</v>
      </c>
    </row>
    <row r="4959" spans="5:7" x14ac:dyDescent="0.35">
      <c r="E4959" s="9">
        <v>44771</v>
      </c>
      <c r="F4959">
        <v>60.3</v>
      </c>
      <c r="G4959" t="s">
        <v>5877</v>
      </c>
    </row>
    <row r="4960" spans="5:7" x14ac:dyDescent="0.35">
      <c r="E4960" s="9">
        <v>44772</v>
      </c>
      <c r="F4960">
        <v>60.3</v>
      </c>
      <c r="G4960" t="s">
        <v>5877</v>
      </c>
    </row>
    <row r="4961" spans="5:7" x14ac:dyDescent="0.35">
      <c r="E4961" s="9">
        <v>44773</v>
      </c>
      <c r="F4961">
        <v>62.3</v>
      </c>
      <c r="G4961" t="s">
        <v>5877</v>
      </c>
    </row>
    <row r="4962" spans="5:7" x14ac:dyDescent="0.35">
      <c r="E4962" s="9">
        <v>44774</v>
      </c>
      <c r="F4962">
        <v>66.8</v>
      </c>
      <c r="G4962" t="s">
        <v>5877</v>
      </c>
    </row>
    <row r="4963" spans="5:7" x14ac:dyDescent="0.35">
      <c r="E4963" s="9">
        <v>44775</v>
      </c>
      <c r="F4963">
        <v>76.599999999999994</v>
      </c>
      <c r="G4963" t="s">
        <v>5877</v>
      </c>
    </row>
    <row r="4964" spans="5:7" x14ac:dyDescent="0.35">
      <c r="E4964" s="9">
        <v>44776</v>
      </c>
      <c r="F4964">
        <v>77.7</v>
      </c>
      <c r="G4964" t="s">
        <v>5877</v>
      </c>
    </row>
    <row r="4965" spans="5:7" x14ac:dyDescent="0.35">
      <c r="E4965" s="9">
        <v>44777</v>
      </c>
      <c r="F4965">
        <v>75.900000000000006</v>
      </c>
      <c r="G4965" t="s">
        <v>5877</v>
      </c>
    </row>
    <row r="4966" spans="5:7" x14ac:dyDescent="0.35">
      <c r="E4966" s="9">
        <v>44778</v>
      </c>
      <c r="F4966">
        <v>72.8</v>
      </c>
      <c r="G4966" t="s">
        <v>5877</v>
      </c>
    </row>
    <row r="4967" spans="5:7" x14ac:dyDescent="0.35">
      <c r="E4967" s="9">
        <v>44779</v>
      </c>
      <c r="F4967">
        <v>70</v>
      </c>
      <c r="G4967" t="s">
        <v>5877</v>
      </c>
    </row>
    <row r="4968" spans="5:7" x14ac:dyDescent="0.35">
      <c r="E4968" s="9">
        <v>44780</v>
      </c>
      <c r="F4968">
        <v>68.400000000000006</v>
      </c>
      <c r="G4968" t="s">
        <v>5877</v>
      </c>
    </row>
    <row r="4969" spans="5:7" x14ac:dyDescent="0.35">
      <c r="E4969" s="9">
        <v>44781</v>
      </c>
      <c r="F4969">
        <v>67.7</v>
      </c>
      <c r="G4969" t="s">
        <v>5877</v>
      </c>
    </row>
    <row r="4970" spans="5:7" x14ac:dyDescent="0.35">
      <c r="E4970" s="9">
        <v>44782</v>
      </c>
      <c r="F4970">
        <v>67.3</v>
      </c>
      <c r="G4970" t="s">
        <v>5877</v>
      </c>
    </row>
    <row r="4971" spans="5:7" x14ac:dyDescent="0.35">
      <c r="E4971" s="9">
        <v>44783</v>
      </c>
      <c r="F4971">
        <v>67.400000000000006</v>
      </c>
      <c r="G4971" t="s">
        <v>5877</v>
      </c>
    </row>
    <row r="4972" spans="5:7" x14ac:dyDescent="0.35">
      <c r="E4972" s="9">
        <v>44784</v>
      </c>
      <c r="F4972">
        <v>68.3</v>
      </c>
      <c r="G4972" t="s">
        <v>5877</v>
      </c>
    </row>
    <row r="4973" spans="5:7" x14ac:dyDescent="0.35">
      <c r="E4973" s="9">
        <v>44785</v>
      </c>
      <c r="F4973">
        <v>69.5</v>
      </c>
      <c r="G4973" t="s">
        <v>5877</v>
      </c>
    </row>
    <row r="4974" spans="5:7" x14ac:dyDescent="0.35">
      <c r="E4974" s="9">
        <v>44786</v>
      </c>
      <c r="F4974">
        <v>69.8</v>
      </c>
      <c r="G4974" t="s">
        <v>5877</v>
      </c>
    </row>
    <row r="4975" spans="5:7" x14ac:dyDescent="0.35">
      <c r="E4975" s="9">
        <v>44787</v>
      </c>
      <c r="F4975">
        <v>69.599999999999994</v>
      </c>
      <c r="G4975" t="s">
        <v>5877</v>
      </c>
    </row>
    <row r="4976" spans="5:7" x14ac:dyDescent="0.35">
      <c r="E4976" s="9">
        <v>44788</v>
      </c>
      <c r="F4976">
        <v>69.7</v>
      </c>
      <c r="G4976" t="s">
        <v>5877</v>
      </c>
    </row>
    <row r="4977" spans="5:7" x14ac:dyDescent="0.35">
      <c r="E4977" s="9">
        <v>44789</v>
      </c>
      <c r="F4977">
        <v>70.7</v>
      </c>
      <c r="G4977" t="s">
        <v>5877</v>
      </c>
    </row>
    <row r="4978" spans="5:7" x14ac:dyDescent="0.35">
      <c r="E4978" s="9">
        <v>44790</v>
      </c>
      <c r="F4978">
        <v>73.099999999999994</v>
      </c>
      <c r="G4978" t="s">
        <v>5877</v>
      </c>
    </row>
    <row r="4979" spans="5:7" x14ac:dyDescent="0.35">
      <c r="E4979" s="9">
        <v>44791</v>
      </c>
      <c r="F4979">
        <v>76.099999999999994</v>
      </c>
      <c r="G4979" t="s">
        <v>5877</v>
      </c>
    </row>
    <row r="4980" spans="5:7" x14ac:dyDescent="0.35">
      <c r="E4980" s="9">
        <v>44792</v>
      </c>
      <c r="F4980">
        <v>78.099999999999994</v>
      </c>
      <c r="G4980" t="s">
        <v>5877</v>
      </c>
    </row>
    <row r="4981" spans="5:7" x14ac:dyDescent="0.35">
      <c r="E4981" s="9">
        <v>44793</v>
      </c>
      <c r="F4981">
        <v>80.2</v>
      </c>
      <c r="G4981" t="s">
        <v>5877</v>
      </c>
    </row>
    <row r="4982" spans="5:7" x14ac:dyDescent="0.35">
      <c r="E4982" s="9">
        <v>44794</v>
      </c>
      <c r="F4982">
        <v>87.7</v>
      </c>
      <c r="G4982" t="s">
        <v>5877</v>
      </c>
    </row>
    <row r="4983" spans="5:7" x14ac:dyDescent="0.35">
      <c r="E4983" s="9">
        <v>44795</v>
      </c>
      <c r="F4983">
        <v>102</v>
      </c>
      <c r="G4983" t="s">
        <v>5877</v>
      </c>
    </row>
    <row r="4984" spans="5:7" x14ac:dyDescent="0.35">
      <c r="E4984" s="9">
        <v>44796</v>
      </c>
      <c r="F4984">
        <v>114.2</v>
      </c>
      <c r="G4984" t="s">
        <v>5877</v>
      </c>
    </row>
    <row r="4985" spans="5:7" x14ac:dyDescent="0.35">
      <c r="E4985" s="9">
        <v>44797</v>
      </c>
      <c r="F4985">
        <v>117.3</v>
      </c>
      <c r="G4985" t="s">
        <v>5877</v>
      </c>
    </row>
    <row r="4986" spans="5:7" x14ac:dyDescent="0.35">
      <c r="E4986" s="9">
        <v>44798</v>
      </c>
      <c r="F4986">
        <v>109.8</v>
      </c>
      <c r="G4986" t="s">
        <v>5877</v>
      </c>
    </row>
    <row r="4987" spans="5:7" x14ac:dyDescent="0.35">
      <c r="E4987" s="9">
        <v>44799</v>
      </c>
      <c r="F4987">
        <v>98.8</v>
      </c>
      <c r="G4987" t="s">
        <v>5877</v>
      </c>
    </row>
    <row r="4988" spans="5:7" x14ac:dyDescent="0.35">
      <c r="E4988" s="9">
        <v>44800</v>
      </c>
      <c r="F4988">
        <v>90.6</v>
      </c>
      <c r="G4988" t="s">
        <v>5877</v>
      </c>
    </row>
    <row r="4989" spans="5:7" x14ac:dyDescent="0.35">
      <c r="E4989" s="9">
        <v>44801</v>
      </c>
      <c r="F4989">
        <v>88.5</v>
      </c>
      <c r="G4989" t="s">
        <v>5877</v>
      </c>
    </row>
    <row r="4990" spans="5:7" x14ac:dyDescent="0.35">
      <c r="E4990" s="9">
        <v>44802</v>
      </c>
      <c r="F4990">
        <v>95.5</v>
      </c>
      <c r="G4990" t="s">
        <v>5877</v>
      </c>
    </row>
    <row r="4991" spans="5:7" x14ac:dyDescent="0.35">
      <c r="E4991" s="9">
        <v>44803</v>
      </c>
      <c r="F4991">
        <v>110.1</v>
      </c>
      <c r="G4991" t="s">
        <v>5877</v>
      </c>
    </row>
    <row r="4992" spans="5:7" x14ac:dyDescent="0.35">
      <c r="E4992" s="9">
        <v>44804</v>
      </c>
      <c r="F4992">
        <v>122.1</v>
      </c>
      <c r="G4992" t="s">
        <v>5877</v>
      </c>
    </row>
    <row r="4993" spans="5:7" x14ac:dyDescent="0.35">
      <c r="E4993" s="9">
        <v>44805</v>
      </c>
      <c r="F4993">
        <v>124.8</v>
      </c>
      <c r="G4993" t="s">
        <v>5877</v>
      </c>
    </row>
    <row r="4994" spans="5:7" x14ac:dyDescent="0.35">
      <c r="E4994" s="9">
        <v>44806</v>
      </c>
      <c r="F4994">
        <v>152.19999999999999</v>
      </c>
      <c r="G4994" t="s">
        <v>5877</v>
      </c>
    </row>
    <row r="4995" spans="5:7" x14ac:dyDescent="0.35">
      <c r="E4995" s="9">
        <v>44807</v>
      </c>
      <c r="F4995">
        <v>151.69999999999999</v>
      </c>
      <c r="G4995" t="s">
        <v>5877</v>
      </c>
    </row>
    <row r="4996" spans="5:7" x14ac:dyDescent="0.35">
      <c r="E4996" s="9">
        <v>44808</v>
      </c>
      <c r="F4996">
        <v>145.6</v>
      </c>
      <c r="G4996" t="s">
        <v>5877</v>
      </c>
    </row>
    <row r="4997" spans="5:7" x14ac:dyDescent="0.35">
      <c r="E4997" s="9">
        <v>44809</v>
      </c>
      <c r="F4997">
        <v>138.80000000000001</v>
      </c>
      <c r="G4997" t="s">
        <v>5877</v>
      </c>
    </row>
    <row r="4998" spans="5:7" x14ac:dyDescent="0.35">
      <c r="E4998" s="9">
        <v>44810</v>
      </c>
      <c r="F4998">
        <v>130.80000000000001</v>
      </c>
      <c r="G4998" t="s">
        <v>5877</v>
      </c>
    </row>
    <row r="4999" spans="5:7" x14ac:dyDescent="0.35">
      <c r="E4999" s="9">
        <v>44811</v>
      </c>
      <c r="F4999">
        <v>126.3</v>
      </c>
      <c r="G4999" t="s">
        <v>5877</v>
      </c>
    </row>
    <row r="5000" spans="5:7" x14ac:dyDescent="0.35">
      <c r="E5000" s="9">
        <v>44812</v>
      </c>
      <c r="F5000">
        <v>129.4</v>
      </c>
      <c r="G5000" t="s">
        <v>5877</v>
      </c>
    </row>
    <row r="5001" spans="5:7" x14ac:dyDescent="0.35">
      <c r="E5001" s="9">
        <v>44813</v>
      </c>
      <c r="F5001">
        <v>135.80000000000001</v>
      </c>
      <c r="G5001" t="s">
        <v>5877</v>
      </c>
    </row>
    <row r="5002" spans="5:7" x14ac:dyDescent="0.35">
      <c r="E5002" s="9">
        <v>44814</v>
      </c>
      <c r="F5002">
        <v>139.6</v>
      </c>
      <c r="G5002" t="s">
        <v>5877</v>
      </c>
    </row>
    <row r="5003" spans="5:7" x14ac:dyDescent="0.35">
      <c r="E5003" s="9">
        <v>44815</v>
      </c>
      <c r="F5003">
        <v>141.19999999999999</v>
      </c>
      <c r="G5003" t="s">
        <v>5877</v>
      </c>
    </row>
    <row r="5004" spans="5:7" x14ac:dyDescent="0.35">
      <c r="E5004" s="9">
        <v>44816</v>
      </c>
      <c r="F5004">
        <v>140.1</v>
      </c>
      <c r="G5004" t="s">
        <v>5877</v>
      </c>
    </row>
    <row r="5005" spans="5:7" x14ac:dyDescent="0.35">
      <c r="E5005" s="9">
        <v>44817</v>
      </c>
      <c r="F5005">
        <v>134</v>
      </c>
      <c r="G5005" t="s">
        <v>5877</v>
      </c>
    </row>
    <row r="5006" spans="5:7" x14ac:dyDescent="0.35">
      <c r="E5006" s="9">
        <v>44818</v>
      </c>
      <c r="F5006">
        <v>131.80000000000001</v>
      </c>
      <c r="G5006" t="s">
        <v>5877</v>
      </c>
    </row>
    <row r="5007" spans="5:7" x14ac:dyDescent="0.35">
      <c r="E5007" s="9">
        <v>44819</v>
      </c>
      <c r="F5007">
        <v>137.30000000000001</v>
      </c>
      <c r="G5007" t="s">
        <v>5877</v>
      </c>
    </row>
    <row r="5008" spans="5:7" x14ac:dyDescent="0.35">
      <c r="E5008" s="9">
        <v>44820</v>
      </c>
      <c r="F5008">
        <v>147.80000000000001</v>
      </c>
      <c r="G5008" t="s">
        <v>5877</v>
      </c>
    </row>
    <row r="5009" spans="5:7" x14ac:dyDescent="0.35">
      <c r="E5009" s="9">
        <v>44821</v>
      </c>
      <c r="F5009">
        <v>154.9</v>
      </c>
      <c r="G5009" t="s">
        <v>5877</v>
      </c>
    </row>
    <row r="5010" spans="5:7" x14ac:dyDescent="0.35">
      <c r="E5010" s="9">
        <v>44822</v>
      </c>
      <c r="F5010">
        <v>162.4</v>
      </c>
      <c r="G5010" t="s">
        <v>5877</v>
      </c>
    </row>
    <row r="5011" spans="5:7" x14ac:dyDescent="0.35">
      <c r="E5011" s="9">
        <v>44823</v>
      </c>
      <c r="F5011">
        <v>170</v>
      </c>
      <c r="G5011" t="s">
        <v>5877</v>
      </c>
    </row>
    <row r="5012" spans="5:7" x14ac:dyDescent="0.35">
      <c r="E5012" s="9">
        <v>44824</v>
      </c>
      <c r="F5012">
        <v>171.2</v>
      </c>
      <c r="G5012" t="s">
        <v>5877</v>
      </c>
    </row>
    <row r="5013" spans="5:7" x14ac:dyDescent="0.35">
      <c r="E5013" s="9">
        <v>44825</v>
      </c>
      <c r="F5013">
        <v>170.8</v>
      </c>
      <c r="G5013" t="s">
        <v>5877</v>
      </c>
    </row>
    <row r="5014" spans="5:7" x14ac:dyDescent="0.35">
      <c r="E5014" s="9">
        <v>44826</v>
      </c>
      <c r="F5014">
        <v>174.5</v>
      </c>
      <c r="G5014" t="s">
        <v>5877</v>
      </c>
    </row>
    <row r="5015" spans="5:7" x14ac:dyDescent="0.35">
      <c r="E5015" s="9">
        <v>44827</v>
      </c>
      <c r="F5015">
        <v>178.9</v>
      </c>
      <c r="G5015" t="s">
        <v>5877</v>
      </c>
    </row>
    <row r="5016" spans="5:7" x14ac:dyDescent="0.35">
      <c r="E5016" s="9">
        <v>44828</v>
      </c>
      <c r="F5016">
        <v>180</v>
      </c>
      <c r="G5016" t="s">
        <v>5877</v>
      </c>
    </row>
    <row r="5017" spans="5:7" x14ac:dyDescent="0.35">
      <c r="E5017" s="9">
        <v>44829</v>
      </c>
      <c r="F5017">
        <v>176.5</v>
      </c>
      <c r="G5017" t="s">
        <v>5877</v>
      </c>
    </row>
    <row r="5018" spans="5:7" x14ac:dyDescent="0.35">
      <c r="E5018" s="9">
        <v>44830</v>
      </c>
      <c r="F5018">
        <v>170.4</v>
      </c>
      <c r="G5018" t="s">
        <v>5877</v>
      </c>
    </row>
    <row r="5019" spans="5:7" x14ac:dyDescent="0.35">
      <c r="E5019" s="9">
        <v>44831</v>
      </c>
      <c r="F5019">
        <v>158.19999999999999</v>
      </c>
      <c r="G5019" t="s">
        <v>5877</v>
      </c>
    </row>
    <row r="5020" spans="5:7" x14ac:dyDescent="0.35">
      <c r="E5020" s="9">
        <v>44832</v>
      </c>
      <c r="F5020">
        <v>148.4</v>
      </c>
      <c r="G5020" t="s">
        <v>5877</v>
      </c>
    </row>
    <row r="5021" spans="5:7" x14ac:dyDescent="0.35">
      <c r="E5021" s="9">
        <v>44833</v>
      </c>
      <c r="F5021">
        <v>146.1</v>
      </c>
      <c r="G5021" t="s">
        <v>5877</v>
      </c>
    </row>
    <row r="5022" spans="5:7" x14ac:dyDescent="0.35">
      <c r="E5022" s="9">
        <v>44834</v>
      </c>
      <c r="F5022">
        <v>151.30000000000001</v>
      </c>
      <c r="G5022" t="s">
        <v>5877</v>
      </c>
    </row>
    <row r="5023" spans="5:7" x14ac:dyDescent="0.35">
      <c r="E5023" s="9">
        <v>44835</v>
      </c>
      <c r="F5023">
        <v>155.6</v>
      </c>
      <c r="G5023" t="s">
        <v>5877</v>
      </c>
    </row>
    <row r="5024" spans="5:7" x14ac:dyDescent="0.35">
      <c r="E5024" s="9">
        <v>44836</v>
      </c>
      <c r="F5024">
        <v>171.8</v>
      </c>
      <c r="G5024" t="s">
        <v>5877</v>
      </c>
    </row>
    <row r="5025" spans="5:7" x14ac:dyDescent="0.35">
      <c r="E5025" s="9">
        <v>44837</v>
      </c>
      <c r="F5025">
        <v>169.8</v>
      </c>
      <c r="G5025" t="s">
        <v>5877</v>
      </c>
    </row>
    <row r="5026" spans="5:7" x14ac:dyDescent="0.35">
      <c r="E5026" s="9">
        <v>44838</v>
      </c>
      <c r="F5026">
        <v>165.5</v>
      </c>
      <c r="G5026" t="s">
        <v>5877</v>
      </c>
    </row>
    <row r="5027" spans="5:7" x14ac:dyDescent="0.35">
      <c r="E5027" s="9">
        <v>44839</v>
      </c>
      <c r="F5027">
        <v>159.4</v>
      </c>
      <c r="G5027" t="s">
        <v>5877</v>
      </c>
    </row>
    <row r="5028" spans="5:7" x14ac:dyDescent="0.35">
      <c r="E5028" s="9">
        <v>44840</v>
      </c>
      <c r="F5028">
        <v>159</v>
      </c>
      <c r="G5028" t="s">
        <v>5877</v>
      </c>
    </row>
    <row r="5029" spans="5:7" x14ac:dyDescent="0.35">
      <c r="E5029" s="9">
        <v>44841</v>
      </c>
      <c r="F5029">
        <v>165.2</v>
      </c>
      <c r="G5029" t="s">
        <v>5877</v>
      </c>
    </row>
    <row r="5030" spans="5:7" x14ac:dyDescent="0.35">
      <c r="E5030" s="9">
        <v>44842</v>
      </c>
      <c r="F5030">
        <v>174.1</v>
      </c>
      <c r="G5030" t="s">
        <v>5877</v>
      </c>
    </row>
    <row r="5031" spans="5:7" x14ac:dyDescent="0.35">
      <c r="E5031" s="9">
        <v>44843</v>
      </c>
      <c r="F5031">
        <v>182.1</v>
      </c>
      <c r="G5031" t="s">
        <v>5877</v>
      </c>
    </row>
    <row r="5032" spans="5:7" x14ac:dyDescent="0.35">
      <c r="E5032" s="9">
        <v>44844</v>
      </c>
      <c r="F5032">
        <v>186.1</v>
      </c>
      <c r="G5032" t="s">
        <v>5877</v>
      </c>
    </row>
    <row r="5033" spans="5:7" x14ac:dyDescent="0.35">
      <c r="E5033" s="9">
        <v>44845</v>
      </c>
      <c r="F5033">
        <v>181.5</v>
      </c>
      <c r="G5033" t="s">
        <v>5877</v>
      </c>
    </row>
    <row r="5034" spans="5:7" x14ac:dyDescent="0.35">
      <c r="E5034" s="9">
        <v>44846</v>
      </c>
      <c r="F5034">
        <v>173.7</v>
      </c>
      <c r="G5034" t="s">
        <v>5877</v>
      </c>
    </row>
    <row r="5035" spans="5:7" x14ac:dyDescent="0.35">
      <c r="E5035" s="9">
        <v>44847</v>
      </c>
      <c r="F5035">
        <v>161.9</v>
      </c>
      <c r="G5035" t="s">
        <v>5877</v>
      </c>
    </row>
    <row r="5036" spans="5:7" x14ac:dyDescent="0.35">
      <c r="E5036" s="9">
        <v>44848</v>
      </c>
      <c r="F5036">
        <v>152.80000000000001</v>
      </c>
      <c r="G5036" t="s">
        <v>5877</v>
      </c>
    </row>
    <row r="5037" spans="5:7" x14ac:dyDescent="0.35">
      <c r="E5037" s="9">
        <v>44849</v>
      </c>
      <c r="F5037">
        <v>155.4</v>
      </c>
      <c r="G5037" t="s">
        <v>5877</v>
      </c>
    </row>
    <row r="5038" spans="5:7" x14ac:dyDescent="0.35">
      <c r="E5038" s="9">
        <v>44850</v>
      </c>
      <c r="F5038">
        <v>172.3</v>
      </c>
      <c r="G5038" t="s">
        <v>5877</v>
      </c>
    </row>
    <row r="5039" spans="5:7" x14ac:dyDescent="0.35">
      <c r="E5039" s="9">
        <v>44851</v>
      </c>
      <c r="F5039">
        <v>191.4</v>
      </c>
      <c r="G5039" t="s">
        <v>5877</v>
      </c>
    </row>
    <row r="5040" spans="5:7" x14ac:dyDescent="0.35">
      <c r="E5040" s="9">
        <v>44852</v>
      </c>
      <c r="F5040">
        <v>199.4</v>
      </c>
      <c r="G5040" t="s">
        <v>5877</v>
      </c>
    </row>
    <row r="5041" spans="5:7" x14ac:dyDescent="0.35">
      <c r="E5041" s="9">
        <v>44853</v>
      </c>
      <c r="F5041">
        <v>198.8</v>
      </c>
      <c r="G5041" t="s">
        <v>5877</v>
      </c>
    </row>
    <row r="5042" spans="5:7" x14ac:dyDescent="0.35">
      <c r="E5042" s="9">
        <v>44854</v>
      </c>
      <c r="F5042">
        <v>202.6</v>
      </c>
      <c r="G5042" t="s">
        <v>5877</v>
      </c>
    </row>
    <row r="5043" spans="5:7" x14ac:dyDescent="0.35">
      <c r="E5043" s="9">
        <v>44855</v>
      </c>
      <c r="F5043">
        <v>212.9</v>
      </c>
      <c r="G5043" t="s">
        <v>5877</v>
      </c>
    </row>
    <row r="5044" spans="5:7" x14ac:dyDescent="0.35">
      <c r="E5044" s="9">
        <v>44856</v>
      </c>
      <c r="F5044">
        <v>218</v>
      </c>
      <c r="G5044" t="s">
        <v>5877</v>
      </c>
    </row>
    <row r="5045" spans="5:7" x14ac:dyDescent="0.35">
      <c r="E5045" s="9">
        <v>44857</v>
      </c>
      <c r="F5045">
        <v>215.5</v>
      </c>
      <c r="G5045" t="s">
        <v>5877</v>
      </c>
    </row>
    <row r="5046" spans="5:7" x14ac:dyDescent="0.35">
      <c r="E5046" s="9">
        <v>44858</v>
      </c>
      <c r="F5046">
        <v>205.6</v>
      </c>
      <c r="G5046" t="s">
        <v>5877</v>
      </c>
    </row>
    <row r="5047" spans="5:7" x14ac:dyDescent="0.35">
      <c r="E5047" s="9">
        <v>44859</v>
      </c>
      <c r="F5047">
        <v>190.5</v>
      </c>
      <c r="G5047" t="s">
        <v>5877</v>
      </c>
    </row>
    <row r="5048" spans="5:7" x14ac:dyDescent="0.35">
      <c r="E5048" s="9">
        <v>44860</v>
      </c>
      <c r="F5048">
        <v>183.8</v>
      </c>
      <c r="G5048" t="s">
        <v>5877</v>
      </c>
    </row>
    <row r="5049" spans="5:7" x14ac:dyDescent="0.35">
      <c r="E5049" s="9">
        <v>44861</v>
      </c>
      <c r="F5049">
        <v>187</v>
      </c>
      <c r="G5049" t="s">
        <v>5877</v>
      </c>
    </row>
    <row r="5050" spans="5:7" x14ac:dyDescent="0.35">
      <c r="E5050" s="9">
        <v>44862</v>
      </c>
      <c r="F5050">
        <v>193</v>
      </c>
      <c r="G5050" t="s">
        <v>5877</v>
      </c>
    </row>
    <row r="5051" spans="5:7" x14ac:dyDescent="0.35">
      <c r="E5051" s="9">
        <v>44863</v>
      </c>
      <c r="F5051">
        <v>193.7</v>
      </c>
      <c r="G5051" t="s">
        <v>5877</v>
      </c>
    </row>
    <row r="5052" spans="5:7" x14ac:dyDescent="0.35">
      <c r="E5052" s="9">
        <v>44864</v>
      </c>
      <c r="F5052">
        <v>193.5</v>
      </c>
      <c r="G5052" t="s">
        <v>5877</v>
      </c>
    </row>
    <row r="5053" spans="5:7" x14ac:dyDescent="0.35">
      <c r="E5053" s="9">
        <v>44865</v>
      </c>
      <c r="F5053">
        <v>195.7</v>
      </c>
      <c r="G5053" t="s">
        <v>5877</v>
      </c>
    </row>
    <row r="5054" spans="5:7" x14ac:dyDescent="0.35">
      <c r="E5054" s="9">
        <v>44866</v>
      </c>
      <c r="F5054">
        <v>197.1</v>
      </c>
      <c r="G5054" t="s">
        <v>5877</v>
      </c>
    </row>
    <row r="5055" spans="5:7" x14ac:dyDescent="0.35">
      <c r="E5055" s="9">
        <v>44867</v>
      </c>
      <c r="F5055">
        <v>213.8</v>
      </c>
      <c r="G5055" t="s">
        <v>5877</v>
      </c>
    </row>
    <row r="5056" spans="5:7" x14ac:dyDescent="0.35">
      <c r="E5056" s="9">
        <v>44868</v>
      </c>
      <c r="F5056">
        <v>220.4</v>
      </c>
      <c r="G5056" t="s">
        <v>5877</v>
      </c>
    </row>
    <row r="5057" spans="5:7" x14ac:dyDescent="0.35">
      <c r="E5057" s="9">
        <v>44869</v>
      </c>
      <c r="F5057">
        <v>219.9</v>
      </c>
      <c r="G5057" t="s">
        <v>5877</v>
      </c>
    </row>
    <row r="5058" spans="5:7" x14ac:dyDescent="0.35">
      <c r="E5058" s="9">
        <v>44870</v>
      </c>
      <c r="F5058">
        <v>215.1</v>
      </c>
      <c r="G5058" t="s">
        <v>5877</v>
      </c>
    </row>
    <row r="5059" spans="5:7" x14ac:dyDescent="0.35">
      <c r="E5059" s="9">
        <v>44871</v>
      </c>
      <c r="F5059">
        <v>213.4</v>
      </c>
      <c r="G5059" t="s">
        <v>5877</v>
      </c>
    </row>
    <row r="5060" spans="5:7" x14ac:dyDescent="0.35">
      <c r="E5060" s="9">
        <v>44872</v>
      </c>
      <c r="F5060">
        <v>216.6</v>
      </c>
      <c r="G5060" t="s">
        <v>5877</v>
      </c>
    </row>
    <row r="5061" spans="5:7" x14ac:dyDescent="0.35">
      <c r="E5061" s="9">
        <v>44873</v>
      </c>
      <c r="F5061">
        <v>221.1</v>
      </c>
      <c r="G5061" t="s">
        <v>5877</v>
      </c>
    </row>
    <row r="5062" spans="5:7" x14ac:dyDescent="0.35">
      <c r="E5062" s="9">
        <v>44874</v>
      </c>
      <c r="F5062">
        <v>232.3</v>
      </c>
      <c r="G5062" t="s">
        <v>5877</v>
      </c>
    </row>
    <row r="5063" spans="5:7" x14ac:dyDescent="0.35">
      <c r="E5063" s="9">
        <v>44875</v>
      </c>
      <c r="F5063">
        <v>248.9</v>
      </c>
      <c r="G5063" t="s">
        <v>5877</v>
      </c>
    </row>
    <row r="5064" spans="5:7" x14ac:dyDescent="0.35">
      <c r="E5064" s="9">
        <v>44876</v>
      </c>
      <c r="F5064">
        <v>260.39999999999998</v>
      </c>
      <c r="G5064" t="s">
        <v>5877</v>
      </c>
    </row>
    <row r="5065" spans="5:7" x14ac:dyDescent="0.35">
      <c r="E5065" s="9">
        <v>44877</v>
      </c>
      <c r="F5065">
        <v>263</v>
      </c>
      <c r="G5065" t="s">
        <v>5877</v>
      </c>
    </row>
    <row r="5066" spans="5:7" x14ac:dyDescent="0.35">
      <c r="E5066" s="9">
        <v>44878</v>
      </c>
      <c r="F5066">
        <v>254.1</v>
      </c>
      <c r="G5066" t="s">
        <v>5877</v>
      </c>
    </row>
    <row r="5067" spans="5:7" x14ac:dyDescent="0.35">
      <c r="E5067" s="9">
        <v>44879</v>
      </c>
      <c r="F5067">
        <v>238.5</v>
      </c>
      <c r="G5067" t="s">
        <v>5877</v>
      </c>
    </row>
    <row r="5068" spans="5:7" x14ac:dyDescent="0.35">
      <c r="E5068" s="9">
        <v>44880</v>
      </c>
      <c r="F5068">
        <v>229.1</v>
      </c>
      <c r="G5068" t="s">
        <v>5877</v>
      </c>
    </row>
    <row r="5069" spans="5:7" x14ac:dyDescent="0.35">
      <c r="E5069" s="9">
        <v>44881</v>
      </c>
      <c r="F5069">
        <v>225</v>
      </c>
      <c r="G5069" t="s">
        <v>5877</v>
      </c>
    </row>
    <row r="5070" spans="5:7" x14ac:dyDescent="0.35">
      <c r="E5070" s="9">
        <v>44882</v>
      </c>
      <c r="F5070">
        <v>226.7</v>
      </c>
      <c r="G5070" t="s">
        <v>5877</v>
      </c>
    </row>
    <row r="5071" spans="5:7" x14ac:dyDescent="0.35">
      <c r="E5071" s="9">
        <v>44883</v>
      </c>
      <c r="F5071">
        <v>225.7</v>
      </c>
      <c r="G5071" t="s">
        <v>5877</v>
      </c>
    </row>
    <row r="5072" spans="5:7" x14ac:dyDescent="0.35">
      <c r="E5072" s="9">
        <v>44884</v>
      </c>
      <c r="F5072">
        <v>218</v>
      </c>
      <c r="G5072" t="s">
        <v>5877</v>
      </c>
    </row>
    <row r="5073" spans="5:7" x14ac:dyDescent="0.35">
      <c r="E5073" s="9">
        <v>44885</v>
      </c>
      <c r="F5073">
        <v>206.8</v>
      </c>
      <c r="G5073" t="s">
        <v>5877</v>
      </c>
    </row>
    <row r="5074" spans="5:7" x14ac:dyDescent="0.35">
      <c r="E5074" s="9">
        <v>44886</v>
      </c>
      <c r="F5074">
        <v>195.3</v>
      </c>
      <c r="G5074" t="s">
        <v>5877</v>
      </c>
    </row>
    <row r="5075" spans="5:7" x14ac:dyDescent="0.35">
      <c r="E5075" s="9">
        <v>44887</v>
      </c>
      <c r="F5075">
        <v>193</v>
      </c>
      <c r="G5075" t="s">
        <v>5877</v>
      </c>
    </row>
    <row r="5076" spans="5:7" x14ac:dyDescent="0.35">
      <c r="E5076" s="9">
        <v>44888</v>
      </c>
      <c r="F5076">
        <v>195.5</v>
      </c>
      <c r="G5076" t="s">
        <v>5877</v>
      </c>
    </row>
    <row r="5077" spans="5:7" x14ac:dyDescent="0.35">
      <c r="E5077" s="9">
        <v>44889</v>
      </c>
      <c r="F5077">
        <v>187.6</v>
      </c>
      <c r="G5077" t="s">
        <v>5877</v>
      </c>
    </row>
    <row r="5078" spans="5:7" x14ac:dyDescent="0.35">
      <c r="E5078" s="9">
        <v>44890</v>
      </c>
      <c r="F5078">
        <v>180</v>
      </c>
      <c r="G5078" t="s">
        <v>5877</v>
      </c>
    </row>
    <row r="5079" spans="5:7" x14ac:dyDescent="0.35">
      <c r="E5079" s="9">
        <v>44891</v>
      </c>
      <c r="F5079">
        <v>184.1</v>
      </c>
      <c r="G5079" t="s">
        <v>5877</v>
      </c>
    </row>
    <row r="5080" spans="5:7" x14ac:dyDescent="0.35">
      <c r="E5080" s="9">
        <v>44892</v>
      </c>
      <c r="F5080">
        <v>202.8</v>
      </c>
      <c r="G5080" t="s">
        <v>5877</v>
      </c>
    </row>
    <row r="5081" spans="5:7" x14ac:dyDescent="0.35">
      <c r="E5081" s="9">
        <v>44893</v>
      </c>
      <c r="F5081">
        <v>223.4</v>
      </c>
      <c r="G5081" t="s">
        <v>5877</v>
      </c>
    </row>
    <row r="5082" spans="5:7" x14ac:dyDescent="0.35">
      <c r="E5082" s="9">
        <v>44894</v>
      </c>
      <c r="F5082">
        <v>235.8</v>
      </c>
      <c r="G5082" t="s">
        <v>5877</v>
      </c>
    </row>
    <row r="5083" spans="5:7" x14ac:dyDescent="0.35">
      <c r="E5083" s="9">
        <v>44895</v>
      </c>
      <c r="F5083">
        <v>245.2</v>
      </c>
      <c r="G5083" t="s">
        <v>5877</v>
      </c>
    </row>
    <row r="5084" spans="5:7" x14ac:dyDescent="0.35">
      <c r="E5084" s="9">
        <v>44896</v>
      </c>
      <c r="F5084">
        <v>252.3</v>
      </c>
      <c r="G5084" t="s">
        <v>5877</v>
      </c>
    </row>
    <row r="5085" spans="5:7" x14ac:dyDescent="0.35">
      <c r="E5085" s="9">
        <v>44897</v>
      </c>
      <c r="F5085">
        <v>261.39999999999998</v>
      </c>
      <c r="G5085" t="s">
        <v>5877</v>
      </c>
    </row>
    <row r="5086" spans="5:7" x14ac:dyDescent="0.35">
      <c r="E5086" s="9">
        <v>44898</v>
      </c>
      <c r="F5086">
        <v>251.8</v>
      </c>
      <c r="G5086" t="s">
        <v>5877</v>
      </c>
    </row>
    <row r="5087" spans="5:7" x14ac:dyDescent="0.35">
      <c r="E5087" s="9">
        <v>44899</v>
      </c>
      <c r="F5087">
        <v>238.6</v>
      </c>
      <c r="G5087" t="s">
        <v>5877</v>
      </c>
    </row>
    <row r="5088" spans="5:7" x14ac:dyDescent="0.35">
      <c r="E5088" s="9">
        <v>44900</v>
      </c>
      <c r="F5088">
        <v>234.3</v>
      </c>
      <c r="G5088" t="s">
        <v>5877</v>
      </c>
    </row>
    <row r="5089" spans="5:7" x14ac:dyDescent="0.35">
      <c r="E5089" s="9">
        <v>44901</v>
      </c>
      <c r="F5089">
        <v>236.1</v>
      </c>
      <c r="G5089" t="s">
        <v>5877</v>
      </c>
    </row>
    <row r="5090" spans="5:7" x14ac:dyDescent="0.35">
      <c r="E5090" s="9">
        <v>44902</v>
      </c>
      <c r="F5090">
        <v>232.9</v>
      </c>
      <c r="G5090" t="s">
        <v>5877</v>
      </c>
    </row>
    <row r="5091" spans="5:7" x14ac:dyDescent="0.35">
      <c r="E5091" s="9">
        <v>44903</v>
      </c>
      <c r="F5091">
        <v>230.5</v>
      </c>
      <c r="G5091" t="s">
        <v>5877</v>
      </c>
    </row>
    <row r="5092" spans="5:7" x14ac:dyDescent="0.35">
      <c r="E5092" s="9">
        <v>44904</v>
      </c>
      <c r="F5092">
        <v>236.1</v>
      </c>
      <c r="G5092" t="s">
        <v>5877</v>
      </c>
    </row>
    <row r="5093" spans="5:7" x14ac:dyDescent="0.35">
      <c r="E5093" s="9">
        <v>44905</v>
      </c>
      <c r="F5093">
        <v>245.4</v>
      </c>
      <c r="G5093" t="s">
        <v>5877</v>
      </c>
    </row>
    <row r="5094" spans="5:7" x14ac:dyDescent="0.35">
      <c r="E5094" s="9">
        <v>44906</v>
      </c>
      <c r="F5094">
        <v>246.8</v>
      </c>
      <c r="G5094" t="s">
        <v>5877</v>
      </c>
    </row>
    <row r="5095" spans="5:7" x14ac:dyDescent="0.35">
      <c r="E5095" s="9">
        <v>44907</v>
      </c>
      <c r="F5095">
        <v>247.6</v>
      </c>
      <c r="G5095" t="s">
        <v>5877</v>
      </c>
    </row>
    <row r="5096" spans="5:7" x14ac:dyDescent="0.35">
      <c r="E5096" s="9">
        <v>44908</v>
      </c>
      <c r="F5096">
        <v>255.3</v>
      </c>
      <c r="G5096" t="s">
        <v>5877</v>
      </c>
    </row>
    <row r="5097" spans="5:7" x14ac:dyDescent="0.35">
      <c r="E5097" s="9">
        <v>44909</v>
      </c>
      <c r="F5097">
        <v>266.8</v>
      </c>
      <c r="G5097" t="s">
        <v>5877</v>
      </c>
    </row>
    <row r="5098" spans="5:7" x14ac:dyDescent="0.35">
      <c r="E5098" s="9">
        <v>44910</v>
      </c>
      <c r="F5098">
        <v>274.39999999999998</v>
      </c>
      <c r="G5098" t="s">
        <v>5877</v>
      </c>
    </row>
    <row r="5099" spans="5:7" x14ac:dyDescent="0.35">
      <c r="E5099" s="9">
        <v>44911</v>
      </c>
      <c r="F5099">
        <v>268.39999999999998</v>
      </c>
      <c r="G5099" t="s">
        <v>5877</v>
      </c>
    </row>
    <row r="5100" spans="5:7" x14ac:dyDescent="0.35">
      <c r="E5100" s="9">
        <v>44912</v>
      </c>
      <c r="F5100">
        <v>250.5</v>
      </c>
      <c r="G5100" t="s">
        <v>5877</v>
      </c>
    </row>
    <row r="5101" spans="5:7" x14ac:dyDescent="0.35">
      <c r="E5101" s="9">
        <v>44913</v>
      </c>
      <c r="F5101">
        <v>237.2</v>
      </c>
      <c r="G5101" t="s">
        <v>5877</v>
      </c>
    </row>
    <row r="5102" spans="5:7" x14ac:dyDescent="0.35">
      <c r="E5102" s="9">
        <v>44914</v>
      </c>
      <c r="F5102">
        <v>232.1</v>
      </c>
      <c r="G5102" t="s">
        <v>5877</v>
      </c>
    </row>
    <row r="5103" spans="5:7" x14ac:dyDescent="0.35">
      <c r="E5103" s="9">
        <v>44915</v>
      </c>
      <c r="F5103">
        <v>226.5</v>
      </c>
      <c r="G5103" t="s">
        <v>5877</v>
      </c>
    </row>
    <row r="5104" spans="5:7" x14ac:dyDescent="0.35">
      <c r="E5104" s="9">
        <v>44916</v>
      </c>
      <c r="F5104">
        <v>221.8</v>
      </c>
      <c r="G5104" t="s">
        <v>5877</v>
      </c>
    </row>
    <row r="5105" spans="5:7" x14ac:dyDescent="0.35">
      <c r="E5105" s="9">
        <v>44917</v>
      </c>
      <c r="F5105">
        <v>218.7</v>
      </c>
      <c r="G5105" t="s">
        <v>5877</v>
      </c>
    </row>
    <row r="5106" spans="5:7" x14ac:dyDescent="0.35">
      <c r="E5106" s="9">
        <v>44918</v>
      </c>
      <c r="F5106">
        <v>219</v>
      </c>
      <c r="G5106" t="s">
        <v>5877</v>
      </c>
    </row>
    <row r="5107" spans="5:7" x14ac:dyDescent="0.35">
      <c r="E5107" s="9">
        <v>44919</v>
      </c>
      <c r="F5107">
        <v>214.3</v>
      </c>
      <c r="G5107" t="s">
        <v>5877</v>
      </c>
    </row>
    <row r="5108" spans="5:7" x14ac:dyDescent="0.35">
      <c r="E5108" s="9">
        <v>44920</v>
      </c>
      <c r="F5108">
        <v>207.3</v>
      </c>
      <c r="G5108" t="s">
        <v>5877</v>
      </c>
    </row>
    <row r="5109" spans="5:7" x14ac:dyDescent="0.35">
      <c r="E5109" s="9">
        <v>44921</v>
      </c>
      <c r="F5109">
        <v>202.7</v>
      </c>
      <c r="G5109" t="s">
        <v>5877</v>
      </c>
    </row>
    <row r="5110" spans="5:7" x14ac:dyDescent="0.35">
      <c r="E5110" s="9">
        <v>44922</v>
      </c>
      <c r="F5110">
        <v>200.9</v>
      </c>
      <c r="G5110" t="s">
        <v>5877</v>
      </c>
    </row>
    <row r="5111" spans="5:7" x14ac:dyDescent="0.35">
      <c r="E5111" s="9">
        <v>44923</v>
      </c>
      <c r="F5111">
        <v>202.3</v>
      </c>
      <c r="G5111" t="s">
        <v>5877</v>
      </c>
    </row>
    <row r="5112" spans="5:7" x14ac:dyDescent="0.35">
      <c r="E5112" s="9">
        <v>44924</v>
      </c>
      <c r="F5112">
        <v>216.2</v>
      </c>
      <c r="G5112" t="s">
        <v>5877</v>
      </c>
    </row>
    <row r="5113" spans="5:7" x14ac:dyDescent="0.35">
      <c r="E5113" s="9">
        <v>44925</v>
      </c>
      <c r="F5113">
        <v>239.2</v>
      </c>
      <c r="G5113" t="s">
        <v>5877</v>
      </c>
    </row>
    <row r="5114" spans="5:7" x14ac:dyDescent="0.35">
      <c r="E5114" s="9">
        <v>44926</v>
      </c>
      <c r="F5114">
        <v>259</v>
      </c>
      <c r="G5114" t="s">
        <v>5877</v>
      </c>
    </row>
    <row r="5116" spans="5:7" x14ac:dyDescent="0.35">
      <c r="F5116">
        <f>MIN(F2:F5114)</f>
        <v>60</v>
      </c>
    </row>
  </sheetData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69"/>
  <sheetViews>
    <sheetView tabSelected="1" zoomScale="57" workbookViewId="0">
      <selection activeCell="A1766" sqref="A1766"/>
    </sheetView>
  </sheetViews>
  <sheetFormatPr baseColWidth="10" defaultRowHeight="14.5" x14ac:dyDescent="0.35"/>
  <cols>
    <col min="2" max="2" width="8.26953125" customWidth="1"/>
    <col min="5" max="5" width="7.08984375" customWidth="1"/>
  </cols>
  <sheetData>
    <row r="1" spans="1:8" x14ac:dyDescent="0.35">
      <c r="A1" t="s">
        <v>5931</v>
      </c>
      <c r="B1" t="s">
        <v>5930</v>
      </c>
      <c r="C1" t="s">
        <v>5929</v>
      </c>
      <c r="D1" t="s">
        <v>5928</v>
      </c>
      <c r="E1" t="s">
        <v>5928</v>
      </c>
      <c r="G1" t="s">
        <v>5927</v>
      </c>
      <c r="H1">
        <v>5113</v>
      </c>
    </row>
    <row r="2" spans="1:8" x14ac:dyDescent="0.35">
      <c r="A2" s="15">
        <v>311.5</v>
      </c>
      <c r="B2" s="14">
        <v>1</v>
      </c>
      <c r="C2">
        <f>(B2*100)/$H$1</f>
        <v>1.9557989438685704E-2</v>
      </c>
      <c r="D2">
        <f>C2</f>
        <v>1.9557989438685704E-2</v>
      </c>
      <c r="E2">
        <f>ROUNDDOWN(D2,2)</f>
        <v>0.01</v>
      </c>
    </row>
    <row r="3" spans="1:8" x14ac:dyDescent="0.35">
      <c r="A3" s="15">
        <v>309.39999999999998</v>
      </c>
      <c r="B3" s="14">
        <v>1</v>
      </c>
      <c r="C3">
        <f>(B3*100)/$H$1</f>
        <v>1.9557989438685704E-2</v>
      </c>
      <c r="D3">
        <f>D2+C3</f>
        <v>3.9115978877371407E-2</v>
      </c>
      <c r="E3">
        <f>ROUNDDOWN(D3,2)</f>
        <v>0.03</v>
      </c>
    </row>
    <row r="4" spans="1:8" x14ac:dyDescent="0.35">
      <c r="A4" s="15">
        <v>306.10000000000002</v>
      </c>
      <c r="B4" s="14">
        <v>1</v>
      </c>
      <c r="C4">
        <f>(B4*100)/$H$1</f>
        <v>1.9557989438685704E-2</v>
      </c>
      <c r="D4">
        <f>D3+C4</f>
        <v>5.8673968316057111E-2</v>
      </c>
      <c r="E4">
        <f>ROUNDDOWN(D4,2)</f>
        <v>0.05</v>
      </c>
    </row>
    <row r="5" spans="1:8" x14ac:dyDescent="0.35">
      <c r="A5" s="15">
        <v>300.39999999999998</v>
      </c>
      <c r="B5" s="14">
        <v>1</v>
      </c>
      <c r="C5">
        <f>(B5*100)/$H$1</f>
        <v>1.9557989438685704E-2</v>
      </c>
      <c r="D5">
        <f>D4+C5</f>
        <v>7.8231957754742815E-2</v>
      </c>
      <c r="E5">
        <f>ROUNDDOWN(D5,2)</f>
        <v>7.0000000000000007E-2</v>
      </c>
    </row>
    <row r="6" spans="1:8" x14ac:dyDescent="0.35">
      <c r="A6" s="15">
        <v>299.8</v>
      </c>
      <c r="B6" s="14">
        <v>1</v>
      </c>
      <c r="C6">
        <f>(B6*100)/$H$1</f>
        <v>1.9557989438685704E-2</v>
      </c>
      <c r="D6">
        <f>D5+C6</f>
        <v>9.7789947193428511E-2</v>
      </c>
      <c r="E6">
        <f>ROUNDDOWN(D6,2)</f>
        <v>0.09</v>
      </c>
    </row>
    <row r="7" spans="1:8" x14ac:dyDescent="0.35">
      <c r="A7" s="15">
        <v>299.39999999999998</v>
      </c>
      <c r="B7" s="14">
        <v>3</v>
      </c>
      <c r="C7">
        <f>(B7*100)/$H$1</f>
        <v>5.8673968316057111E-2</v>
      </c>
      <c r="D7">
        <f>D6+C7</f>
        <v>0.15646391550948563</v>
      </c>
      <c r="E7">
        <f>ROUNDDOWN(D7,2)</f>
        <v>0.15</v>
      </c>
    </row>
    <row r="8" spans="1:8" x14ac:dyDescent="0.35">
      <c r="A8" s="15">
        <v>299</v>
      </c>
      <c r="B8" s="14">
        <v>1</v>
      </c>
      <c r="C8">
        <f>(B8*100)/$H$1</f>
        <v>1.9557989438685704E-2</v>
      </c>
      <c r="D8">
        <f>D7+C8</f>
        <v>0.17602190494817133</v>
      </c>
      <c r="E8">
        <f>ROUNDDOWN(D8,2)</f>
        <v>0.17</v>
      </c>
    </row>
    <row r="9" spans="1:8" x14ac:dyDescent="0.35">
      <c r="A9" s="15">
        <v>298.89999999999998</v>
      </c>
      <c r="B9" s="14">
        <v>1</v>
      </c>
      <c r="C9">
        <f>(B9*100)/$H$1</f>
        <v>1.9557989438685704E-2</v>
      </c>
      <c r="D9">
        <f>D8+C9</f>
        <v>0.19557989438685702</v>
      </c>
      <c r="E9">
        <f>ROUNDDOWN(D9,2)</f>
        <v>0.19</v>
      </c>
    </row>
    <row r="10" spans="1:8" x14ac:dyDescent="0.35">
      <c r="A10" s="15">
        <v>298.60000000000002</v>
      </c>
      <c r="B10" s="14">
        <v>1</v>
      </c>
      <c r="C10">
        <f>(B10*100)/$H$1</f>
        <v>1.9557989438685704E-2</v>
      </c>
      <c r="D10">
        <f>D9+C10</f>
        <v>0.21513788382554272</v>
      </c>
      <c r="E10">
        <f>ROUNDDOWN(D10,2)</f>
        <v>0.21</v>
      </c>
    </row>
    <row r="11" spans="1:8" x14ac:dyDescent="0.35">
      <c r="A11" s="15">
        <v>298.3</v>
      </c>
      <c r="B11" s="14">
        <v>1</v>
      </c>
      <c r="C11">
        <f>(B11*100)/$H$1</f>
        <v>1.9557989438685704E-2</v>
      </c>
      <c r="D11">
        <f>D10+C11</f>
        <v>0.23469587326422842</v>
      </c>
      <c r="E11">
        <f>ROUNDDOWN(D11,2)</f>
        <v>0.23</v>
      </c>
    </row>
    <row r="12" spans="1:8" x14ac:dyDescent="0.35">
      <c r="A12" s="15">
        <v>296.7</v>
      </c>
      <c r="B12" s="14">
        <v>1</v>
      </c>
      <c r="C12">
        <f>(B12*100)/$H$1</f>
        <v>1.9557989438685704E-2</v>
      </c>
      <c r="D12">
        <f>D11+C12</f>
        <v>0.25425386270291411</v>
      </c>
      <c r="E12">
        <f>ROUNDDOWN(D12,2)</f>
        <v>0.25</v>
      </c>
    </row>
    <row r="13" spans="1:8" x14ac:dyDescent="0.35">
      <c r="A13" s="15">
        <v>295.8</v>
      </c>
      <c r="B13" s="14">
        <v>1</v>
      </c>
      <c r="C13">
        <f>(B13*100)/$H$1</f>
        <v>1.9557989438685704E-2</v>
      </c>
      <c r="D13">
        <f>D12+C13</f>
        <v>0.27381185214159981</v>
      </c>
      <c r="E13">
        <f>ROUNDDOWN(D13,2)</f>
        <v>0.27</v>
      </c>
    </row>
    <row r="14" spans="1:8" x14ac:dyDescent="0.35">
      <c r="A14" s="15">
        <v>292.8</v>
      </c>
      <c r="B14" s="14">
        <v>1</v>
      </c>
      <c r="C14">
        <f>(B14*100)/$H$1</f>
        <v>1.9557989438685704E-2</v>
      </c>
      <c r="D14">
        <f>D13+C14</f>
        <v>0.29336984158028551</v>
      </c>
      <c r="E14">
        <f>ROUNDDOWN(D14,2)</f>
        <v>0.28999999999999998</v>
      </c>
    </row>
    <row r="15" spans="1:8" x14ac:dyDescent="0.35">
      <c r="A15" s="15">
        <v>292.7</v>
      </c>
      <c r="B15" s="14">
        <v>1</v>
      </c>
      <c r="C15">
        <f>(B15*100)/$H$1</f>
        <v>1.9557989438685704E-2</v>
      </c>
      <c r="D15">
        <f>D14+C15</f>
        <v>0.3129278310189712</v>
      </c>
      <c r="E15">
        <f>ROUNDDOWN(D15,2)</f>
        <v>0.31</v>
      </c>
    </row>
    <row r="16" spans="1:8" x14ac:dyDescent="0.35">
      <c r="A16" s="15">
        <v>292.39999999999998</v>
      </c>
      <c r="B16" s="14">
        <v>3</v>
      </c>
      <c r="C16">
        <f>(B16*100)/$H$1</f>
        <v>5.8673968316057111E-2</v>
      </c>
      <c r="D16">
        <f>D15+C16</f>
        <v>0.37160179933502829</v>
      </c>
      <c r="E16">
        <f>ROUNDDOWN(D16,2)</f>
        <v>0.37</v>
      </c>
    </row>
    <row r="17" spans="1:5" x14ac:dyDescent="0.35">
      <c r="A17" s="15">
        <v>291.3</v>
      </c>
      <c r="B17" s="14">
        <v>1</v>
      </c>
      <c r="C17">
        <f>(B17*100)/$H$1</f>
        <v>1.9557989438685704E-2</v>
      </c>
      <c r="D17">
        <f>D16+C17</f>
        <v>0.39115978877371399</v>
      </c>
      <c r="E17">
        <f>ROUNDDOWN(D17,2)</f>
        <v>0.39</v>
      </c>
    </row>
    <row r="18" spans="1:5" x14ac:dyDescent="0.35">
      <c r="A18" s="15">
        <v>289.7</v>
      </c>
      <c r="B18" s="14">
        <v>1</v>
      </c>
      <c r="C18">
        <f>(B18*100)/$H$1</f>
        <v>1.9557989438685704E-2</v>
      </c>
      <c r="D18">
        <f>D17+C18</f>
        <v>0.41071777821239969</v>
      </c>
      <c r="E18">
        <f>ROUNDDOWN(D18,2)</f>
        <v>0.41</v>
      </c>
    </row>
    <row r="19" spans="1:5" x14ac:dyDescent="0.35">
      <c r="A19" s="15">
        <v>289.3</v>
      </c>
      <c r="B19" s="14">
        <v>1</v>
      </c>
      <c r="C19">
        <f>(B19*100)/$H$1</f>
        <v>1.9557989438685704E-2</v>
      </c>
      <c r="D19">
        <f>D18+C19</f>
        <v>0.43027576765108538</v>
      </c>
      <c r="E19">
        <f>ROUNDDOWN(D19,2)</f>
        <v>0.43</v>
      </c>
    </row>
    <row r="20" spans="1:5" x14ac:dyDescent="0.35">
      <c r="A20" s="15">
        <v>287.5</v>
      </c>
      <c r="B20" s="14">
        <v>1</v>
      </c>
      <c r="C20">
        <f>(B20*100)/$H$1</f>
        <v>1.9557989438685704E-2</v>
      </c>
      <c r="D20">
        <f>D19+C20</f>
        <v>0.44983375708977108</v>
      </c>
      <c r="E20">
        <f>ROUNDDOWN(D20,2)</f>
        <v>0.44</v>
      </c>
    </row>
    <row r="21" spans="1:5" x14ac:dyDescent="0.35">
      <c r="A21" s="15">
        <v>287.39999999999998</v>
      </c>
      <c r="B21" s="14">
        <v>1</v>
      </c>
      <c r="C21">
        <f>(B21*100)/$H$1</f>
        <v>1.9557989438685704E-2</v>
      </c>
      <c r="D21">
        <f>D20+C21</f>
        <v>0.46939174652845678</v>
      </c>
      <c r="E21">
        <f>ROUNDDOWN(D21,2)</f>
        <v>0.46</v>
      </c>
    </row>
    <row r="22" spans="1:5" x14ac:dyDescent="0.35">
      <c r="A22" s="15">
        <v>287.10000000000002</v>
      </c>
      <c r="B22" s="14">
        <v>1</v>
      </c>
      <c r="C22">
        <f>(B22*100)/$H$1</f>
        <v>1.9557989438685704E-2</v>
      </c>
      <c r="D22">
        <f>D21+C22</f>
        <v>0.48894973596714247</v>
      </c>
      <c r="E22">
        <f>ROUNDDOWN(D22,2)</f>
        <v>0.48</v>
      </c>
    </row>
    <row r="23" spans="1:5" x14ac:dyDescent="0.35">
      <c r="A23" s="15">
        <v>286.60000000000002</v>
      </c>
      <c r="B23" s="14">
        <v>1</v>
      </c>
      <c r="C23">
        <f>(B23*100)/$H$1</f>
        <v>1.9557989438685704E-2</v>
      </c>
      <c r="D23">
        <f>D22+C23</f>
        <v>0.50850772540582823</v>
      </c>
      <c r="E23">
        <f>ROUNDDOWN(D23,2)</f>
        <v>0.5</v>
      </c>
    </row>
    <row r="24" spans="1:5" x14ac:dyDescent="0.35">
      <c r="A24" s="15">
        <v>285.8</v>
      </c>
      <c r="B24" s="14">
        <v>1</v>
      </c>
      <c r="C24">
        <f>(B24*100)/$H$1</f>
        <v>1.9557989438685704E-2</v>
      </c>
      <c r="D24">
        <f>D23+C24</f>
        <v>0.52806571484451392</v>
      </c>
      <c r="E24">
        <f>ROUNDDOWN(D24,2)</f>
        <v>0.52</v>
      </c>
    </row>
    <row r="25" spans="1:5" x14ac:dyDescent="0.35">
      <c r="A25" s="15">
        <v>285.7</v>
      </c>
      <c r="B25" s="14">
        <v>1</v>
      </c>
      <c r="C25">
        <f>(B25*100)/$H$1</f>
        <v>1.9557989438685704E-2</v>
      </c>
      <c r="D25">
        <f>D24+C25</f>
        <v>0.54762370428319962</v>
      </c>
      <c r="E25">
        <f>ROUNDDOWN(D25,2)</f>
        <v>0.54</v>
      </c>
    </row>
    <row r="26" spans="1:5" x14ac:dyDescent="0.35">
      <c r="A26" s="15">
        <v>284.39999999999998</v>
      </c>
      <c r="B26" s="14">
        <v>1</v>
      </c>
      <c r="C26">
        <f>(B26*100)/$H$1</f>
        <v>1.9557989438685704E-2</v>
      </c>
      <c r="D26">
        <f>D25+C26</f>
        <v>0.56718169372188532</v>
      </c>
      <c r="E26">
        <f>ROUNDDOWN(D26,2)</f>
        <v>0.56000000000000005</v>
      </c>
    </row>
    <row r="27" spans="1:5" x14ac:dyDescent="0.35">
      <c r="A27" s="15">
        <v>284.2</v>
      </c>
      <c r="B27" s="14">
        <v>1</v>
      </c>
      <c r="C27">
        <f>(B27*100)/$H$1</f>
        <v>1.9557989438685704E-2</v>
      </c>
      <c r="D27">
        <f>D26+C27</f>
        <v>0.58673968316057101</v>
      </c>
      <c r="E27">
        <f>ROUNDDOWN(D27,2)</f>
        <v>0.57999999999999996</v>
      </c>
    </row>
    <row r="28" spans="1:5" x14ac:dyDescent="0.35">
      <c r="A28" s="15">
        <v>283.8</v>
      </c>
      <c r="B28" s="14">
        <v>1</v>
      </c>
      <c r="C28">
        <f>(B28*100)/$H$1</f>
        <v>1.9557989438685704E-2</v>
      </c>
      <c r="D28">
        <f>D27+C28</f>
        <v>0.60629767259925671</v>
      </c>
      <c r="E28">
        <f>ROUNDDOWN(D28,2)</f>
        <v>0.6</v>
      </c>
    </row>
    <row r="29" spans="1:5" x14ac:dyDescent="0.35">
      <c r="A29" s="15">
        <v>283.2</v>
      </c>
      <c r="B29" s="14">
        <v>1</v>
      </c>
      <c r="C29">
        <f>(B29*100)/$H$1</f>
        <v>1.9557989438685704E-2</v>
      </c>
      <c r="D29">
        <f>D28+C29</f>
        <v>0.62585566203794241</v>
      </c>
      <c r="E29">
        <f>ROUNDDOWN(D29,2)</f>
        <v>0.62</v>
      </c>
    </row>
    <row r="30" spans="1:5" x14ac:dyDescent="0.35">
      <c r="A30" s="15">
        <v>282.7</v>
      </c>
      <c r="B30" s="14">
        <v>2</v>
      </c>
      <c r="C30">
        <f>(B30*100)/$H$1</f>
        <v>3.9115978877371407E-2</v>
      </c>
      <c r="D30">
        <f>D29+C30</f>
        <v>0.6649716409153138</v>
      </c>
      <c r="E30">
        <f>ROUNDDOWN(D30,2)</f>
        <v>0.66</v>
      </c>
    </row>
    <row r="31" spans="1:5" x14ac:dyDescent="0.35">
      <c r="A31" s="15">
        <v>282.60000000000002</v>
      </c>
      <c r="B31" s="14">
        <v>1</v>
      </c>
      <c r="C31">
        <f>(B31*100)/$H$1</f>
        <v>1.9557989438685704E-2</v>
      </c>
      <c r="D31">
        <f>D30+C31</f>
        <v>0.6845296303539995</v>
      </c>
      <c r="E31">
        <f>ROUNDDOWN(D31,2)</f>
        <v>0.68</v>
      </c>
    </row>
    <row r="32" spans="1:5" x14ac:dyDescent="0.35">
      <c r="A32" s="15">
        <v>282.39999999999998</v>
      </c>
      <c r="B32" s="14">
        <v>1</v>
      </c>
      <c r="C32">
        <f>(B32*100)/$H$1</f>
        <v>1.9557989438685704E-2</v>
      </c>
      <c r="D32">
        <f>D31+C32</f>
        <v>0.70408761979268519</v>
      </c>
      <c r="E32">
        <f>ROUNDDOWN(D32,2)</f>
        <v>0.7</v>
      </c>
    </row>
    <row r="33" spans="1:5" x14ac:dyDescent="0.35">
      <c r="A33" s="15">
        <v>281.8</v>
      </c>
      <c r="B33" s="14">
        <v>1</v>
      </c>
      <c r="C33">
        <f>(B33*100)/$H$1</f>
        <v>1.9557989438685704E-2</v>
      </c>
      <c r="D33">
        <f>D32+C33</f>
        <v>0.72364560923137089</v>
      </c>
      <c r="E33">
        <f>ROUNDDOWN(D33,2)</f>
        <v>0.72</v>
      </c>
    </row>
    <row r="34" spans="1:5" x14ac:dyDescent="0.35">
      <c r="A34" s="15">
        <v>281.5</v>
      </c>
      <c r="B34" s="14">
        <v>1</v>
      </c>
      <c r="C34">
        <f>(B34*100)/$H$1</f>
        <v>1.9557989438685704E-2</v>
      </c>
      <c r="D34">
        <f>D33+C34</f>
        <v>0.74320359867005659</v>
      </c>
      <c r="E34">
        <f>ROUNDDOWN(D34,2)</f>
        <v>0.74</v>
      </c>
    </row>
    <row r="35" spans="1:5" x14ac:dyDescent="0.35">
      <c r="A35" s="15">
        <v>281.10000000000002</v>
      </c>
      <c r="B35" s="14">
        <v>1</v>
      </c>
      <c r="C35">
        <f>(B35*100)/$H$1</f>
        <v>1.9557989438685704E-2</v>
      </c>
      <c r="D35">
        <f>D34+C35</f>
        <v>0.76276158810874228</v>
      </c>
      <c r="E35">
        <f>ROUNDDOWN(D35,2)</f>
        <v>0.76</v>
      </c>
    </row>
    <row r="36" spans="1:5" x14ac:dyDescent="0.35">
      <c r="A36" s="15">
        <v>280.8</v>
      </c>
      <c r="B36" s="14">
        <v>1</v>
      </c>
      <c r="C36">
        <f>(B36*100)/$H$1</f>
        <v>1.9557989438685704E-2</v>
      </c>
      <c r="D36">
        <f>D35+C36</f>
        <v>0.78231957754742798</v>
      </c>
      <c r="E36">
        <f>ROUNDDOWN(D36,2)</f>
        <v>0.78</v>
      </c>
    </row>
    <row r="37" spans="1:5" x14ac:dyDescent="0.35">
      <c r="A37" s="15">
        <v>280.7</v>
      </c>
      <c r="B37" s="14">
        <v>1</v>
      </c>
      <c r="C37">
        <f>(B37*100)/$H$1</f>
        <v>1.9557989438685704E-2</v>
      </c>
      <c r="D37">
        <f>D36+C37</f>
        <v>0.80187756698611368</v>
      </c>
      <c r="E37">
        <f>ROUNDDOWN(D37,2)</f>
        <v>0.8</v>
      </c>
    </row>
    <row r="38" spans="1:5" x14ac:dyDescent="0.35">
      <c r="A38" s="15">
        <v>279.7</v>
      </c>
      <c r="B38" s="14">
        <v>1</v>
      </c>
      <c r="C38">
        <f>(B38*100)/$H$1</f>
        <v>1.9557989438685704E-2</v>
      </c>
      <c r="D38">
        <f>D37+C38</f>
        <v>0.82143555642479937</v>
      </c>
      <c r="E38">
        <f>ROUNDDOWN(D38,2)</f>
        <v>0.82</v>
      </c>
    </row>
    <row r="39" spans="1:5" x14ac:dyDescent="0.35">
      <c r="A39" s="15">
        <v>279.10000000000002</v>
      </c>
      <c r="B39" s="14">
        <v>1</v>
      </c>
      <c r="C39">
        <f>(B39*100)/$H$1</f>
        <v>1.9557989438685704E-2</v>
      </c>
      <c r="D39">
        <f>D38+C39</f>
        <v>0.84099354586348507</v>
      </c>
      <c r="E39">
        <f>ROUNDDOWN(D39,2)</f>
        <v>0.84</v>
      </c>
    </row>
    <row r="40" spans="1:5" x14ac:dyDescent="0.35">
      <c r="A40" s="15">
        <v>278.5</v>
      </c>
      <c r="B40" s="14">
        <v>1</v>
      </c>
      <c r="C40">
        <f>(B40*100)/$H$1</f>
        <v>1.9557989438685704E-2</v>
      </c>
      <c r="D40">
        <f>D39+C40</f>
        <v>0.86055153530217077</v>
      </c>
      <c r="E40">
        <f>ROUNDDOWN(D40,2)</f>
        <v>0.86</v>
      </c>
    </row>
    <row r="41" spans="1:5" x14ac:dyDescent="0.35">
      <c r="A41" s="15">
        <v>278.2</v>
      </c>
      <c r="B41" s="14">
        <v>1</v>
      </c>
      <c r="C41">
        <f>(B41*100)/$H$1</f>
        <v>1.9557989438685704E-2</v>
      </c>
      <c r="D41">
        <f>D40+C41</f>
        <v>0.88010952474085646</v>
      </c>
      <c r="E41">
        <f>ROUNDDOWN(D41,2)</f>
        <v>0.88</v>
      </c>
    </row>
    <row r="42" spans="1:5" x14ac:dyDescent="0.35">
      <c r="A42" s="15">
        <v>278.10000000000002</v>
      </c>
      <c r="B42" s="14">
        <v>1</v>
      </c>
      <c r="C42">
        <f>(B42*100)/$H$1</f>
        <v>1.9557989438685704E-2</v>
      </c>
      <c r="D42">
        <f>D41+C42</f>
        <v>0.89966751417954216</v>
      </c>
      <c r="E42">
        <f>ROUNDDOWN(D42,2)</f>
        <v>0.89</v>
      </c>
    </row>
    <row r="43" spans="1:5" x14ac:dyDescent="0.35">
      <c r="A43" s="15">
        <v>277.60000000000002</v>
      </c>
      <c r="B43" s="14">
        <v>1</v>
      </c>
      <c r="C43">
        <f>(B43*100)/$H$1</f>
        <v>1.9557989438685704E-2</v>
      </c>
      <c r="D43">
        <f>D42+C43</f>
        <v>0.91922550361822786</v>
      </c>
      <c r="E43">
        <f>ROUNDDOWN(D43,2)</f>
        <v>0.91</v>
      </c>
    </row>
    <row r="44" spans="1:5" x14ac:dyDescent="0.35">
      <c r="A44" s="15">
        <v>277.3</v>
      </c>
      <c r="B44" s="14">
        <v>1</v>
      </c>
      <c r="C44">
        <f>(B44*100)/$H$1</f>
        <v>1.9557989438685704E-2</v>
      </c>
      <c r="D44">
        <f>D43+C44</f>
        <v>0.93878349305691355</v>
      </c>
      <c r="E44">
        <f>ROUNDDOWN(D44,2)</f>
        <v>0.93</v>
      </c>
    </row>
    <row r="45" spans="1:5" x14ac:dyDescent="0.35">
      <c r="A45" s="15">
        <v>277.2</v>
      </c>
      <c r="B45" s="14">
        <v>1</v>
      </c>
      <c r="C45">
        <f>(B45*100)/$H$1</f>
        <v>1.9557989438685704E-2</v>
      </c>
      <c r="D45">
        <f>D44+C45</f>
        <v>0.95834148249559925</v>
      </c>
      <c r="E45">
        <f>ROUNDDOWN(D45,2)</f>
        <v>0.95</v>
      </c>
    </row>
    <row r="46" spans="1:5" x14ac:dyDescent="0.35">
      <c r="A46" s="15">
        <v>276.7</v>
      </c>
      <c r="B46" s="14">
        <v>1</v>
      </c>
      <c r="C46">
        <f>(B46*100)/$H$1</f>
        <v>1.9557989438685704E-2</v>
      </c>
      <c r="D46">
        <f>D45+C46</f>
        <v>0.97789947193428495</v>
      </c>
      <c r="E46">
        <f>ROUNDDOWN(D46,2)</f>
        <v>0.97</v>
      </c>
    </row>
    <row r="47" spans="1:5" x14ac:dyDescent="0.35">
      <c r="A47" s="15">
        <v>276.60000000000002</v>
      </c>
      <c r="B47" s="14">
        <v>2</v>
      </c>
      <c r="C47">
        <f>(B47*100)/$H$1</f>
        <v>3.9115978877371407E-2</v>
      </c>
      <c r="D47">
        <f>D46+C47</f>
        <v>1.0170154508116565</v>
      </c>
      <c r="E47">
        <f>ROUNDDOWN(D47,2)</f>
        <v>1.01</v>
      </c>
    </row>
    <row r="48" spans="1:5" x14ac:dyDescent="0.35">
      <c r="A48" s="15">
        <v>276.39999999999998</v>
      </c>
      <c r="B48" s="14">
        <v>1</v>
      </c>
      <c r="C48">
        <f>(B48*100)/$H$1</f>
        <v>1.9557989438685704E-2</v>
      </c>
      <c r="D48">
        <f>D47+C48</f>
        <v>1.0365734402503421</v>
      </c>
      <c r="E48">
        <f>ROUNDDOWN(D48,2)</f>
        <v>1.03</v>
      </c>
    </row>
    <row r="49" spans="1:5" x14ac:dyDescent="0.35">
      <c r="A49" s="15">
        <v>276.10000000000002</v>
      </c>
      <c r="B49" s="14">
        <v>1</v>
      </c>
      <c r="C49">
        <f>(B49*100)/$H$1</f>
        <v>1.9557989438685704E-2</v>
      </c>
      <c r="D49">
        <f>D48+C49</f>
        <v>1.0561314296890278</v>
      </c>
      <c r="E49">
        <f>ROUNDDOWN(D49,2)</f>
        <v>1.05</v>
      </c>
    </row>
    <row r="50" spans="1:5" x14ac:dyDescent="0.35">
      <c r="A50" s="15">
        <v>275.60000000000002</v>
      </c>
      <c r="B50" s="14">
        <v>3</v>
      </c>
      <c r="C50">
        <f>(B50*100)/$H$1</f>
        <v>5.8673968316057111E-2</v>
      </c>
      <c r="D50">
        <f>D49+C50</f>
        <v>1.1148053980050849</v>
      </c>
      <c r="E50">
        <f>ROUNDDOWN(D50,2)</f>
        <v>1.1100000000000001</v>
      </c>
    </row>
    <row r="51" spans="1:5" x14ac:dyDescent="0.35">
      <c r="A51" s="15">
        <v>275.39999999999998</v>
      </c>
      <c r="B51" s="14">
        <v>1</v>
      </c>
      <c r="C51">
        <f>(B51*100)/$H$1</f>
        <v>1.9557989438685704E-2</v>
      </c>
      <c r="D51">
        <f>D50+C51</f>
        <v>1.1343633874437706</v>
      </c>
      <c r="E51">
        <f>ROUNDDOWN(D51,2)</f>
        <v>1.1299999999999999</v>
      </c>
    </row>
    <row r="52" spans="1:5" x14ac:dyDescent="0.35">
      <c r="A52" s="15">
        <v>275.2</v>
      </c>
      <c r="B52" s="14">
        <v>1</v>
      </c>
      <c r="C52">
        <f>(B52*100)/$H$1</f>
        <v>1.9557989438685704E-2</v>
      </c>
      <c r="D52">
        <f>D51+C52</f>
        <v>1.1539213768824563</v>
      </c>
      <c r="E52">
        <f>ROUNDDOWN(D52,2)</f>
        <v>1.1499999999999999</v>
      </c>
    </row>
    <row r="53" spans="1:5" x14ac:dyDescent="0.35">
      <c r="A53" s="15">
        <v>275</v>
      </c>
      <c r="B53" s="14">
        <v>1</v>
      </c>
      <c r="C53">
        <f>(B53*100)/$H$1</f>
        <v>1.9557989438685704E-2</v>
      </c>
      <c r="D53">
        <f>D52+C53</f>
        <v>1.173479366321142</v>
      </c>
      <c r="E53">
        <f>ROUNDDOWN(D53,2)</f>
        <v>1.17</v>
      </c>
    </row>
    <row r="54" spans="1:5" x14ac:dyDescent="0.35">
      <c r="A54" s="15">
        <v>274.60000000000002</v>
      </c>
      <c r="B54" s="14">
        <v>1</v>
      </c>
      <c r="C54">
        <f>(B54*100)/$H$1</f>
        <v>1.9557989438685704E-2</v>
      </c>
      <c r="D54">
        <f>D53+C54</f>
        <v>1.1930373557598277</v>
      </c>
      <c r="E54">
        <f>ROUNDDOWN(D54,2)</f>
        <v>1.19</v>
      </c>
    </row>
    <row r="55" spans="1:5" x14ac:dyDescent="0.35">
      <c r="A55" s="15">
        <v>274.5</v>
      </c>
      <c r="B55" s="14">
        <v>1</v>
      </c>
      <c r="C55">
        <f>(B55*100)/$H$1</f>
        <v>1.9557989438685704E-2</v>
      </c>
      <c r="D55">
        <f>D54+C55</f>
        <v>1.2125953451985134</v>
      </c>
      <c r="E55">
        <f>ROUNDDOWN(D55,2)</f>
        <v>1.21</v>
      </c>
    </row>
    <row r="56" spans="1:5" x14ac:dyDescent="0.35">
      <c r="A56" s="15">
        <v>274.39999999999998</v>
      </c>
      <c r="B56" s="14">
        <v>1</v>
      </c>
      <c r="C56">
        <f>(B56*100)/$H$1</f>
        <v>1.9557989438685704E-2</v>
      </c>
      <c r="D56">
        <f>D55+C56</f>
        <v>1.2321533346371991</v>
      </c>
      <c r="E56">
        <f>ROUNDDOWN(D56,2)</f>
        <v>1.23</v>
      </c>
    </row>
    <row r="57" spans="1:5" x14ac:dyDescent="0.35">
      <c r="A57" s="15">
        <v>274.10000000000002</v>
      </c>
      <c r="B57" s="14">
        <v>1</v>
      </c>
      <c r="C57">
        <f>(B57*100)/$H$1</f>
        <v>1.9557989438685704E-2</v>
      </c>
      <c r="D57">
        <f>D56+C57</f>
        <v>1.2517113240758848</v>
      </c>
      <c r="E57">
        <f>ROUNDDOWN(D57,2)</f>
        <v>1.25</v>
      </c>
    </row>
    <row r="58" spans="1:5" x14ac:dyDescent="0.35">
      <c r="A58" s="15">
        <v>274</v>
      </c>
      <c r="B58" s="14">
        <v>1</v>
      </c>
      <c r="C58">
        <f>(B58*100)/$H$1</f>
        <v>1.9557989438685704E-2</v>
      </c>
      <c r="D58">
        <f>D57+C58</f>
        <v>1.2712693135145705</v>
      </c>
      <c r="E58">
        <f>ROUNDDOWN(D58,2)</f>
        <v>1.27</v>
      </c>
    </row>
    <row r="59" spans="1:5" x14ac:dyDescent="0.35">
      <c r="A59" s="15">
        <v>273.8</v>
      </c>
      <c r="B59" s="14">
        <v>1</v>
      </c>
      <c r="C59">
        <f>(B59*100)/$H$1</f>
        <v>1.9557989438685704E-2</v>
      </c>
      <c r="D59">
        <f>D58+C59</f>
        <v>1.2908273029532562</v>
      </c>
      <c r="E59">
        <f>ROUNDDOWN(D59,2)</f>
        <v>1.29</v>
      </c>
    </row>
    <row r="60" spans="1:5" x14ac:dyDescent="0.35">
      <c r="A60" s="15">
        <v>273.7</v>
      </c>
      <c r="B60" s="14">
        <v>1</v>
      </c>
      <c r="C60">
        <f>(B60*100)/$H$1</f>
        <v>1.9557989438685704E-2</v>
      </c>
      <c r="D60">
        <f>D59+C60</f>
        <v>1.3103852923919419</v>
      </c>
      <c r="E60">
        <f>ROUNDDOWN(D60,2)</f>
        <v>1.31</v>
      </c>
    </row>
    <row r="61" spans="1:5" x14ac:dyDescent="0.35">
      <c r="A61" s="15">
        <v>273.39999999999998</v>
      </c>
      <c r="B61" s="14">
        <v>1</v>
      </c>
      <c r="C61">
        <f>(B61*100)/$H$1</f>
        <v>1.9557989438685704E-2</v>
      </c>
      <c r="D61">
        <f>D60+C61</f>
        <v>1.3299432818306276</v>
      </c>
      <c r="E61">
        <f>ROUNDDOWN(D61,2)</f>
        <v>1.32</v>
      </c>
    </row>
    <row r="62" spans="1:5" x14ac:dyDescent="0.35">
      <c r="A62" s="15">
        <v>272.7</v>
      </c>
      <c r="B62" s="14">
        <v>1</v>
      </c>
      <c r="C62">
        <f>(B62*100)/$H$1</f>
        <v>1.9557989438685704E-2</v>
      </c>
      <c r="D62">
        <f>D61+C62</f>
        <v>1.3495012712693133</v>
      </c>
      <c r="E62">
        <f>ROUNDDOWN(D62,2)</f>
        <v>1.34</v>
      </c>
    </row>
    <row r="63" spans="1:5" x14ac:dyDescent="0.35">
      <c r="A63" s="15">
        <v>272.5</v>
      </c>
      <c r="B63" s="14">
        <v>1</v>
      </c>
      <c r="C63">
        <f>(B63*100)/$H$1</f>
        <v>1.9557989438685704E-2</v>
      </c>
      <c r="D63">
        <f>D62+C63</f>
        <v>1.369059260707999</v>
      </c>
      <c r="E63">
        <f>ROUNDDOWN(D63,2)</f>
        <v>1.36</v>
      </c>
    </row>
    <row r="64" spans="1:5" x14ac:dyDescent="0.35">
      <c r="A64" s="15">
        <v>272</v>
      </c>
      <c r="B64" s="14">
        <v>1</v>
      </c>
      <c r="C64">
        <f>(B64*100)/$H$1</f>
        <v>1.9557989438685704E-2</v>
      </c>
      <c r="D64">
        <f>D63+C64</f>
        <v>1.3886172501466847</v>
      </c>
      <c r="E64">
        <f>ROUNDDOWN(D64,2)</f>
        <v>1.38</v>
      </c>
    </row>
    <row r="65" spans="1:5" x14ac:dyDescent="0.35">
      <c r="A65" s="15">
        <v>271.60000000000002</v>
      </c>
      <c r="B65" s="14">
        <v>3</v>
      </c>
      <c r="C65">
        <f>(B65*100)/$H$1</f>
        <v>5.8673968316057111E-2</v>
      </c>
      <c r="D65">
        <f>D64+C65</f>
        <v>1.4472912184627418</v>
      </c>
      <c r="E65">
        <f>ROUNDDOWN(D65,2)</f>
        <v>1.44</v>
      </c>
    </row>
    <row r="66" spans="1:5" x14ac:dyDescent="0.35">
      <c r="A66" s="15">
        <v>271.39999999999998</v>
      </c>
      <c r="B66" s="14">
        <v>1</v>
      </c>
      <c r="C66">
        <f>(B66*100)/$H$1</f>
        <v>1.9557989438685704E-2</v>
      </c>
      <c r="D66">
        <f>D65+C66</f>
        <v>1.4668492079014275</v>
      </c>
      <c r="E66">
        <f>ROUNDDOWN(D66,2)</f>
        <v>1.46</v>
      </c>
    </row>
    <row r="67" spans="1:5" x14ac:dyDescent="0.35">
      <c r="A67" s="15">
        <v>271.3</v>
      </c>
      <c r="B67" s="14">
        <v>1</v>
      </c>
      <c r="C67">
        <f>(B67*100)/$H$1</f>
        <v>1.9557989438685704E-2</v>
      </c>
      <c r="D67">
        <f>D66+C67</f>
        <v>1.4864071973401132</v>
      </c>
      <c r="E67">
        <f>ROUNDDOWN(D67,2)</f>
        <v>1.48</v>
      </c>
    </row>
    <row r="68" spans="1:5" x14ac:dyDescent="0.35">
      <c r="A68" s="15">
        <v>270.89999999999998</v>
      </c>
      <c r="B68" s="14">
        <v>1</v>
      </c>
      <c r="C68">
        <f>(B68*100)/$H$1</f>
        <v>1.9557989438685704E-2</v>
      </c>
      <c r="D68">
        <f>D67+C68</f>
        <v>1.5059651867787989</v>
      </c>
      <c r="E68">
        <f>ROUNDDOWN(D68,2)</f>
        <v>1.5</v>
      </c>
    </row>
    <row r="69" spans="1:5" x14ac:dyDescent="0.35">
      <c r="A69" s="15">
        <v>270.3</v>
      </c>
      <c r="B69" s="14">
        <v>1</v>
      </c>
      <c r="C69">
        <f>(B69*100)/$H$1</f>
        <v>1.9557989438685704E-2</v>
      </c>
      <c r="D69">
        <f>D68+C69</f>
        <v>1.5255231762174846</v>
      </c>
      <c r="E69">
        <f>ROUNDDOWN(D69,2)</f>
        <v>1.52</v>
      </c>
    </row>
    <row r="70" spans="1:5" x14ac:dyDescent="0.35">
      <c r="A70" s="15">
        <v>270.10000000000002</v>
      </c>
      <c r="B70" s="14">
        <v>1</v>
      </c>
      <c r="C70">
        <f>(B70*100)/$H$1</f>
        <v>1.9557989438685704E-2</v>
      </c>
      <c r="D70">
        <f>D69+C70</f>
        <v>1.5450811656561703</v>
      </c>
      <c r="E70">
        <f>ROUNDDOWN(D70,2)</f>
        <v>1.54</v>
      </c>
    </row>
    <row r="71" spans="1:5" x14ac:dyDescent="0.35">
      <c r="A71" s="15">
        <v>270</v>
      </c>
      <c r="B71" s="14">
        <v>1</v>
      </c>
      <c r="C71">
        <f>(B71*100)/$H$1</f>
        <v>1.9557989438685704E-2</v>
      </c>
      <c r="D71">
        <f>D70+C71</f>
        <v>1.564639155094856</v>
      </c>
      <c r="E71">
        <f>ROUNDDOWN(D71,2)</f>
        <v>1.56</v>
      </c>
    </row>
    <row r="72" spans="1:5" x14ac:dyDescent="0.35">
      <c r="A72" s="15">
        <v>269.89999999999998</v>
      </c>
      <c r="B72" s="14">
        <v>2</v>
      </c>
      <c r="C72">
        <f>(B72*100)/$H$1</f>
        <v>3.9115978877371407E-2</v>
      </c>
      <c r="D72">
        <f>D71+C72</f>
        <v>1.6037551339722274</v>
      </c>
      <c r="E72">
        <f>ROUNDDOWN(D72,2)</f>
        <v>1.6</v>
      </c>
    </row>
    <row r="73" spans="1:5" x14ac:dyDescent="0.35">
      <c r="A73" s="15">
        <v>269.8</v>
      </c>
      <c r="B73" s="14">
        <v>1</v>
      </c>
      <c r="C73">
        <f>(B73*100)/$H$1</f>
        <v>1.9557989438685704E-2</v>
      </c>
      <c r="D73">
        <f>D72+C73</f>
        <v>1.6233131234109131</v>
      </c>
      <c r="E73">
        <f>ROUNDDOWN(D73,2)</f>
        <v>1.62</v>
      </c>
    </row>
    <row r="74" spans="1:5" x14ac:dyDescent="0.35">
      <c r="A74" s="15">
        <v>269.7</v>
      </c>
      <c r="B74" s="14">
        <v>1</v>
      </c>
      <c r="C74">
        <f>(B74*100)/$H$1</f>
        <v>1.9557989438685704E-2</v>
      </c>
      <c r="D74">
        <f>D73+C74</f>
        <v>1.6428711128495987</v>
      </c>
      <c r="E74">
        <f>ROUNDDOWN(D74,2)</f>
        <v>1.64</v>
      </c>
    </row>
    <row r="75" spans="1:5" x14ac:dyDescent="0.35">
      <c r="A75" s="15">
        <v>269.5</v>
      </c>
      <c r="B75" s="14">
        <v>1</v>
      </c>
      <c r="C75">
        <f>(B75*100)/$H$1</f>
        <v>1.9557989438685704E-2</v>
      </c>
      <c r="D75">
        <f>D74+C75</f>
        <v>1.6624291022882844</v>
      </c>
      <c r="E75">
        <f>ROUNDDOWN(D75,2)</f>
        <v>1.66</v>
      </c>
    </row>
    <row r="76" spans="1:5" x14ac:dyDescent="0.35">
      <c r="A76" s="15">
        <v>268.89999999999998</v>
      </c>
      <c r="B76" s="14">
        <v>2</v>
      </c>
      <c r="C76">
        <f>(B76*100)/$H$1</f>
        <v>3.9115978877371407E-2</v>
      </c>
      <c r="D76">
        <f>D75+C76</f>
        <v>1.7015450811656558</v>
      </c>
      <c r="E76">
        <f>ROUNDDOWN(D76,2)</f>
        <v>1.7</v>
      </c>
    </row>
    <row r="77" spans="1:5" x14ac:dyDescent="0.35">
      <c r="A77" s="15">
        <v>268.39999999999998</v>
      </c>
      <c r="B77" s="14">
        <v>3</v>
      </c>
      <c r="C77">
        <f>(B77*100)/$H$1</f>
        <v>5.8673968316057111E-2</v>
      </c>
      <c r="D77">
        <f>D76+C77</f>
        <v>1.7602190494817129</v>
      </c>
      <c r="E77">
        <f>ROUNDDOWN(D77,2)</f>
        <v>1.76</v>
      </c>
    </row>
    <row r="78" spans="1:5" x14ac:dyDescent="0.35">
      <c r="A78" s="15">
        <v>268.3</v>
      </c>
      <c r="B78" s="14">
        <v>1</v>
      </c>
      <c r="C78">
        <f>(B78*100)/$H$1</f>
        <v>1.9557989438685704E-2</v>
      </c>
      <c r="D78">
        <f>D77+C78</f>
        <v>1.7797770389203986</v>
      </c>
      <c r="E78">
        <f>ROUNDDOWN(D78,2)</f>
        <v>1.77</v>
      </c>
    </row>
    <row r="79" spans="1:5" x14ac:dyDescent="0.35">
      <c r="A79" s="15">
        <v>268.10000000000002</v>
      </c>
      <c r="B79" s="14">
        <v>1</v>
      </c>
      <c r="C79">
        <f>(B79*100)/$H$1</f>
        <v>1.9557989438685704E-2</v>
      </c>
      <c r="D79">
        <f>D78+C79</f>
        <v>1.7993350283590843</v>
      </c>
      <c r="E79">
        <f>ROUNDDOWN(D79,2)</f>
        <v>1.79</v>
      </c>
    </row>
    <row r="80" spans="1:5" x14ac:dyDescent="0.35">
      <c r="A80" s="15">
        <v>268</v>
      </c>
      <c r="B80" s="14">
        <v>1</v>
      </c>
      <c r="C80">
        <f>(B80*100)/$H$1</f>
        <v>1.9557989438685704E-2</v>
      </c>
      <c r="D80">
        <f>D79+C80</f>
        <v>1.81889301779777</v>
      </c>
      <c r="E80">
        <f>ROUNDDOWN(D80,2)</f>
        <v>1.81</v>
      </c>
    </row>
    <row r="81" spans="1:5" x14ac:dyDescent="0.35">
      <c r="A81" s="15">
        <v>267.60000000000002</v>
      </c>
      <c r="B81" s="14">
        <v>1</v>
      </c>
      <c r="C81">
        <f>(B81*100)/$H$1</f>
        <v>1.9557989438685704E-2</v>
      </c>
      <c r="D81">
        <f>D80+C81</f>
        <v>1.8384510072364557</v>
      </c>
      <c r="E81">
        <f>ROUNDDOWN(D81,2)</f>
        <v>1.83</v>
      </c>
    </row>
    <row r="82" spans="1:5" x14ac:dyDescent="0.35">
      <c r="A82" s="15">
        <v>267.5</v>
      </c>
      <c r="B82" s="14">
        <v>1</v>
      </c>
      <c r="C82">
        <f>(B82*100)/$H$1</f>
        <v>1.9557989438685704E-2</v>
      </c>
      <c r="D82">
        <f>D81+C82</f>
        <v>1.8580089966751414</v>
      </c>
      <c r="E82">
        <f>ROUNDDOWN(D82,2)</f>
        <v>1.85</v>
      </c>
    </row>
    <row r="83" spans="1:5" x14ac:dyDescent="0.35">
      <c r="A83" s="15">
        <v>267.2</v>
      </c>
      <c r="B83" s="14">
        <v>1</v>
      </c>
      <c r="C83">
        <f>(B83*100)/$H$1</f>
        <v>1.9557989438685704E-2</v>
      </c>
      <c r="D83">
        <f>D82+C83</f>
        <v>1.8775669861138271</v>
      </c>
      <c r="E83">
        <f>ROUNDDOWN(D83,2)</f>
        <v>1.87</v>
      </c>
    </row>
    <row r="84" spans="1:5" x14ac:dyDescent="0.35">
      <c r="A84" s="15">
        <v>267</v>
      </c>
      <c r="B84" s="14">
        <v>3</v>
      </c>
      <c r="C84">
        <f>(B84*100)/$H$1</f>
        <v>5.8673968316057111E-2</v>
      </c>
      <c r="D84">
        <f>D83+C84</f>
        <v>1.9362409544298842</v>
      </c>
      <c r="E84">
        <f>ROUNDDOWN(D84,2)</f>
        <v>1.93</v>
      </c>
    </row>
    <row r="85" spans="1:5" x14ac:dyDescent="0.35">
      <c r="A85" s="15">
        <v>266.8</v>
      </c>
      <c r="B85" s="14">
        <v>1</v>
      </c>
      <c r="C85">
        <f>(B85*100)/$H$1</f>
        <v>1.9557989438685704E-2</v>
      </c>
      <c r="D85">
        <f>D84+C85</f>
        <v>1.9557989438685699</v>
      </c>
      <c r="E85">
        <f>ROUNDDOWN(D85,2)</f>
        <v>1.95</v>
      </c>
    </row>
    <row r="86" spans="1:5" x14ac:dyDescent="0.35">
      <c r="A86" s="15">
        <v>266.5</v>
      </c>
      <c r="B86" s="14">
        <v>2</v>
      </c>
      <c r="C86">
        <f>(B86*100)/$H$1</f>
        <v>3.9115978877371407E-2</v>
      </c>
      <c r="D86">
        <f>D85+C86</f>
        <v>1.9949149227459413</v>
      </c>
      <c r="E86">
        <f>ROUNDDOWN(D86,2)</f>
        <v>1.99</v>
      </c>
    </row>
    <row r="87" spans="1:5" x14ac:dyDescent="0.35">
      <c r="A87" s="15">
        <v>266.39999999999998</v>
      </c>
      <c r="B87" s="14">
        <v>1</v>
      </c>
      <c r="C87">
        <f>(B87*100)/$H$1</f>
        <v>1.9557989438685704E-2</v>
      </c>
      <c r="D87">
        <f>D86+C87</f>
        <v>2.014472912184627</v>
      </c>
      <c r="E87">
        <f>ROUNDDOWN(D87,2)</f>
        <v>2.0099999999999998</v>
      </c>
    </row>
    <row r="88" spans="1:5" x14ac:dyDescent="0.35">
      <c r="A88" s="15">
        <v>266.2</v>
      </c>
      <c r="B88" s="14">
        <v>1</v>
      </c>
      <c r="C88">
        <f>(B88*100)/$H$1</f>
        <v>1.9557989438685704E-2</v>
      </c>
      <c r="D88">
        <f>D87+C88</f>
        <v>2.0340309016233129</v>
      </c>
      <c r="E88">
        <f>ROUNDDOWN(D88,2)</f>
        <v>2.0299999999999998</v>
      </c>
    </row>
    <row r="89" spans="1:5" x14ac:dyDescent="0.35">
      <c r="A89" s="15">
        <v>265.8</v>
      </c>
      <c r="B89" s="14">
        <v>1</v>
      </c>
      <c r="C89">
        <f>(B89*100)/$H$1</f>
        <v>1.9557989438685704E-2</v>
      </c>
      <c r="D89">
        <f>D88+C89</f>
        <v>2.0535888910619988</v>
      </c>
      <c r="E89">
        <f>ROUNDDOWN(D89,2)</f>
        <v>2.0499999999999998</v>
      </c>
    </row>
    <row r="90" spans="1:5" x14ac:dyDescent="0.35">
      <c r="A90" s="15">
        <v>265.7</v>
      </c>
      <c r="B90" s="14">
        <v>1</v>
      </c>
      <c r="C90">
        <f>(B90*100)/$H$1</f>
        <v>1.9557989438685704E-2</v>
      </c>
      <c r="D90">
        <f>D89+C90</f>
        <v>2.0731468805006847</v>
      </c>
      <c r="E90">
        <f>ROUNDDOWN(D90,2)</f>
        <v>2.0699999999999998</v>
      </c>
    </row>
    <row r="91" spans="1:5" x14ac:dyDescent="0.35">
      <c r="A91" s="15">
        <v>265.60000000000002</v>
      </c>
      <c r="B91" s="14">
        <v>1</v>
      </c>
      <c r="C91">
        <f>(B91*100)/$H$1</f>
        <v>1.9557989438685704E-2</v>
      </c>
      <c r="D91">
        <f>D90+C91</f>
        <v>2.0927048699393707</v>
      </c>
      <c r="E91">
        <f>ROUNDDOWN(D91,2)</f>
        <v>2.09</v>
      </c>
    </row>
    <row r="92" spans="1:5" x14ac:dyDescent="0.35">
      <c r="A92" s="15">
        <v>265.5</v>
      </c>
      <c r="B92" s="14">
        <v>1</v>
      </c>
      <c r="C92">
        <f>(B92*100)/$H$1</f>
        <v>1.9557989438685704E-2</v>
      </c>
      <c r="D92">
        <f>D91+C92</f>
        <v>2.1122628593780566</v>
      </c>
      <c r="E92">
        <f>ROUNDDOWN(D92,2)</f>
        <v>2.11</v>
      </c>
    </row>
    <row r="93" spans="1:5" x14ac:dyDescent="0.35">
      <c r="A93" s="15">
        <v>265.3</v>
      </c>
      <c r="B93" s="14">
        <v>1</v>
      </c>
      <c r="C93">
        <f>(B93*100)/$H$1</f>
        <v>1.9557989438685704E-2</v>
      </c>
      <c r="D93">
        <f>D92+C93</f>
        <v>2.1318208488167425</v>
      </c>
      <c r="E93">
        <f>ROUNDDOWN(D93,2)</f>
        <v>2.13</v>
      </c>
    </row>
    <row r="94" spans="1:5" x14ac:dyDescent="0.35">
      <c r="A94" s="15">
        <v>265.10000000000002</v>
      </c>
      <c r="B94" s="14">
        <v>1</v>
      </c>
      <c r="C94">
        <f>(B94*100)/$H$1</f>
        <v>1.9557989438685704E-2</v>
      </c>
      <c r="D94">
        <f>D93+C94</f>
        <v>2.1513788382554284</v>
      </c>
      <c r="E94">
        <f>ROUNDDOWN(D94,2)</f>
        <v>2.15</v>
      </c>
    </row>
    <row r="95" spans="1:5" x14ac:dyDescent="0.35">
      <c r="A95" s="15">
        <v>264.5</v>
      </c>
      <c r="B95" s="14">
        <v>1</v>
      </c>
      <c r="C95">
        <f>(B95*100)/$H$1</f>
        <v>1.9557989438685704E-2</v>
      </c>
      <c r="D95">
        <f>D94+C95</f>
        <v>2.1709368276941143</v>
      </c>
      <c r="E95">
        <f>ROUNDDOWN(D95,2)</f>
        <v>2.17</v>
      </c>
    </row>
    <row r="96" spans="1:5" x14ac:dyDescent="0.35">
      <c r="A96" s="15">
        <v>264.39999999999998</v>
      </c>
      <c r="B96" s="14">
        <v>1</v>
      </c>
      <c r="C96">
        <f>(B96*100)/$H$1</f>
        <v>1.9557989438685704E-2</v>
      </c>
      <c r="D96">
        <f>D95+C96</f>
        <v>2.1904948171328003</v>
      </c>
      <c r="E96">
        <f>ROUNDDOWN(D96,2)</f>
        <v>2.19</v>
      </c>
    </row>
    <row r="97" spans="1:5" x14ac:dyDescent="0.35">
      <c r="A97" s="15">
        <v>264.3</v>
      </c>
      <c r="B97" s="14">
        <v>2</v>
      </c>
      <c r="C97">
        <f>(B97*100)/$H$1</f>
        <v>3.9115978877371407E-2</v>
      </c>
      <c r="D97">
        <f>D96+C97</f>
        <v>2.2296107960101716</v>
      </c>
      <c r="E97">
        <f>ROUNDDOWN(D97,2)</f>
        <v>2.2200000000000002</v>
      </c>
    </row>
    <row r="98" spans="1:5" x14ac:dyDescent="0.35">
      <c r="A98" s="15">
        <v>264</v>
      </c>
      <c r="B98" s="14">
        <v>1</v>
      </c>
      <c r="C98">
        <f>(B98*100)/$H$1</f>
        <v>1.9557989438685704E-2</v>
      </c>
      <c r="D98">
        <f>D97+C98</f>
        <v>2.2491687854488576</v>
      </c>
      <c r="E98">
        <f>ROUNDDOWN(D98,2)</f>
        <v>2.2400000000000002</v>
      </c>
    </row>
    <row r="99" spans="1:5" x14ac:dyDescent="0.35">
      <c r="A99" s="15">
        <v>263.8</v>
      </c>
      <c r="B99" s="14">
        <v>1</v>
      </c>
      <c r="C99">
        <f>(B99*100)/$H$1</f>
        <v>1.9557989438685704E-2</v>
      </c>
      <c r="D99">
        <f>D98+C99</f>
        <v>2.2687267748875435</v>
      </c>
      <c r="E99">
        <f>ROUNDDOWN(D99,2)</f>
        <v>2.2599999999999998</v>
      </c>
    </row>
    <row r="100" spans="1:5" x14ac:dyDescent="0.35">
      <c r="A100" s="15">
        <v>263.60000000000002</v>
      </c>
      <c r="B100" s="14">
        <v>3</v>
      </c>
      <c r="C100">
        <f>(B100*100)/$H$1</f>
        <v>5.8673968316057111E-2</v>
      </c>
      <c r="D100">
        <f>D99+C100</f>
        <v>2.3274007432036008</v>
      </c>
      <c r="E100">
        <f>ROUNDDOWN(D100,2)</f>
        <v>2.3199999999999998</v>
      </c>
    </row>
    <row r="101" spans="1:5" x14ac:dyDescent="0.35">
      <c r="A101" s="15">
        <v>263.3</v>
      </c>
      <c r="B101" s="14">
        <v>1</v>
      </c>
      <c r="C101">
        <f>(B101*100)/$H$1</f>
        <v>1.9557989438685704E-2</v>
      </c>
      <c r="D101">
        <f>D100+C101</f>
        <v>2.3469587326422867</v>
      </c>
      <c r="E101">
        <f>ROUNDDOWN(D101,2)</f>
        <v>2.34</v>
      </c>
    </row>
    <row r="102" spans="1:5" x14ac:dyDescent="0.35">
      <c r="A102" s="15">
        <v>263.10000000000002</v>
      </c>
      <c r="B102" s="14">
        <v>1</v>
      </c>
      <c r="C102">
        <f>(B102*100)/$H$1</f>
        <v>1.9557989438685704E-2</v>
      </c>
      <c r="D102">
        <f>D101+C102</f>
        <v>2.3665167220809726</v>
      </c>
      <c r="E102">
        <f>ROUNDDOWN(D102,2)</f>
        <v>2.36</v>
      </c>
    </row>
    <row r="103" spans="1:5" x14ac:dyDescent="0.35">
      <c r="A103" s="15">
        <v>263</v>
      </c>
      <c r="B103" s="14">
        <v>1</v>
      </c>
      <c r="C103">
        <f>(B103*100)/$H$1</f>
        <v>1.9557989438685704E-2</v>
      </c>
      <c r="D103">
        <f>D102+C103</f>
        <v>2.3860747115196586</v>
      </c>
      <c r="E103">
        <f>ROUNDDOWN(D103,2)</f>
        <v>2.38</v>
      </c>
    </row>
    <row r="104" spans="1:5" x14ac:dyDescent="0.35">
      <c r="A104" s="15">
        <v>262.3</v>
      </c>
      <c r="B104" s="14">
        <v>2</v>
      </c>
      <c r="C104">
        <f>(B104*100)/$H$1</f>
        <v>3.9115978877371407E-2</v>
      </c>
      <c r="D104">
        <f>D103+C104</f>
        <v>2.4251906903970299</v>
      </c>
      <c r="E104">
        <f>ROUNDDOWN(D104,2)</f>
        <v>2.42</v>
      </c>
    </row>
    <row r="105" spans="1:5" x14ac:dyDescent="0.35">
      <c r="A105" s="15">
        <v>262.10000000000002</v>
      </c>
      <c r="B105" s="14">
        <v>2</v>
      </c>
      <c r="C105">
        <f>(B105*100)/$H$1</f>
        <v>3.9115978877371407E-2</v>
      </c>
      <c r="D105">
        <f>D104+C105</f>
        <v>2.4643066692744013</v>
      </c>
      <c r="E105">
        <f>ROUNDDOWN(D105,2)</f>
        <v>2.46</v>
      </c>
    </row>
    <row r="106" spans="1:5" x14ac:dyDescent="0.35">
      <c r="A106" s="15">
        <v>262</v>
      </c>
      <c r="B106" s="14">
        <v>1</v>
      </c>
      <c r="C106">
        <f>(B106*100)/$H$1</f>
        <v>1.9557989438685704E-2</v>
      </c>
      <c r="D106">
        <f>D105+C106</f>
        <v>2.4838646587130873</v>
      </c>
      <c r="E106">
        <f>ROUNDDOWN(D106,2)</f>
        <v>2.48</v>
      </c>
    </row>
    <row r="107" spans="1:5" x14ac:dyDescent="0.35">
      <c r="A107" s="15">
        <v>261.8</v>
      </c>
      <c r="B107" s="14">
        <v>1</v>
      </c>
      <c r="C107">
        <f>(B107*100)/$H$1</f>
        <v>1.9557989438685704E-2</v>
      </c>
      <c r="D107">
        <f>D106+C107</f>
        <v>2.5034226481517732</v>
      </c>
      <c r="E107">
        <f>ROUNDDOWN(D107,2)</f>
        <v>2.5</v>
      </c>
    </row>
    <row r="108" spans="1:5" x14ac:dyDescent="0.35">
      <c r="A108" s="15">
        <v>261.60000000000002</v>
      </c>
      <c r="B108" s="14">
        <v>1</v>
      </c>
      <c r="C108">
        <f>(B108*100)/$H$1</f>
        <v>1.9557989438685704E-2</v>
      </c>
      <c r="D108">
        <f>D107+C108</f>
        <v>2.5229806375904591</v>
      </c>
      <c r="E108">
        <f>ROUNDDOWN(D108,2)</f>
        <v>2.52</v>
      </c>
    </row>
    <row r="109" spans="1:5" x14ac:dyDescent="0.35">
      <c r="A109" s="15">
        <v>261.39999999999998</v>
      </c>
      <c r="B109" s="14">
        <v>1</v>
      </c>
      <c r="C109">
        <f>(B109*100)/$H$1</f>
        <v>1.9557989438685704E-2</v>
      </c>
      <c r="D109">
        <f>D108+C109</f>
        <v>2.542538627029145</v>
      </c>
      <c r="E109">
        <f>ROUNDDOWN(D109,2)</f>
        <v>2.54</v>
      </c>
    </row>
    <row r="110" spans="1:5" x14ac:dyDescent="0.35">
      <c r="A110" s="15">
        <v>261.3</v>
      </c>
      <c r="B110" s="14">
        <v>1</v>
      </c>
      <c r="C110">
        <f>(B110*100)/$H$1</f>
        <v>1.9557989438685704E-2</v>
      </c>
      <c r="D110">
        <f>D109+C110</f>
        <v>2.5620966164678309</v>
      </c>
      <c r="E110">
        <f>ROUNDDOWN(D110,2)</f>
        <v>2.56</v>
      </c>
    </row>
    <row r="111" spans="1:5" x14ac:dyDescent="0.35">
      <c r="A111" s="15">
        <v>261.10000000000002</v>
      </c>
      <c r="B111" s="14">
        <v>1</v>
      </c>
      <c r="C111">
        <f>(B111*100)/$H$1</f>
        <v>1.9557989438685704E-2</v>
      </c>
      <c r="D111">
        <f>D110+C111</f>
        <v>2.5816546059065169</v>
      </c>
      <c r="E111">
        <f>ROUNDDOWN(D111,2)</f>
        <v>2.58</v>
      </c>
    </row>
    <row r="112" spans="1:5" x14ac:dyDescent="0.35">
      <c r="A112" s="15">
        <v>261</v>
      </c>
      <c r="B112" s="14">
        <v>1</v>
      </c>
      <c r="C112">
        <f>(B112*100)/$H$1</f>
        <v>1.9557989438685704E-2</v>
      </c>
      <c r="D112">
        <f>D111+C112</f>
        <v>2.6012125953452028</v>
      </c>
      <c r="E112">
        <f>ROUNDDOWN(D112,2)</f>
        <v>2.6</v>
      </c>
    </row>
    <row r="113" spans="1:5" x14ac:dyDescent="0.35">
      <c r="A113" s="15">
        <v>260.89999999999998</v>
      </c>
      <c r="B113" s="14">
        <v>2</v>
      </c>
      <c r="C113">
        <f>(B113*100)/$H$1</f>
        <v>3.9115978877371407E-2</v>
      </c>
      <c r="D113">
        <f>D112+C113</f>
        <v>2.6403285742225742</v>
      </c>
      <c r="E113">
        <f>ROUNDDOWN(D113,2)</f>
        <v>2.64</v>
      </c>
    </row>
    <row r="114" spans="1:5" x14ac:dyDescent="0.35">
      <c r="A114" s="15">
        <v>260.7</v>
      </c>
      <c r="B114" s="14">
        <v>2</v>
      </c>
      <c r="C114">
        <f>(B114*100)/$H$1</f>
        <v>3.9115978877371407E-2</v>
      </c>
      <c r="D114">
        <f>D113+C114</f>
        <v>2.6794445530999456</v>
      </c>
      <c r="E114">
        <f>ROUNDDOWN(D114,2)</f>
        <v>2.67</v>
      </c>
    </row>
    <row r="115" spans="1:5" x14ac:dyDescent="0.35">
      <c r="A115" s="15">
        <v>260.39999999999998</v>
      </c>
      <c r="B115" s="14">
        <v>2</v>
      </c>
      <c r="C115">
        <f>(B115*100)/$H$1</f>
        <v>3.9115978877371407E-2</v>
      </c>
      <c r="D115">
        <f>D114+C115</f>
        <v>2.718560531977317</v>
      </c>
      <c r="E115">
        <f>ROUNDDOWN(D115,2)</f>
        <v>2.71</v>
      </c>
    </row>
    <row r="116" spans="1:5" x14ac:dyDescent="0.35">
      <c r="A116" s="15">
        <v>260.2</v>
      </c>
      <c r="B116" s="14">
        <v>1</v>
      </c>
      <c r="C116">
        <f>(B116*100)/$H$1</f>
        <v>1.9557989438685704E-2</v>
      </c>
      <c r="D116">
        <f>D115+C116</f>
        <v>2.7381185214160029</v>
      </c>
      <c r="E116">
        <f>ROUNDDOWN(D116,2)</f>
        <v>2.73</v>
      </c>
    </row>
    <row r="117" spans="1:5" x14ac:dyDescent="0.35">
      <c r="A117" s="15">
        <v>260.10000000000002</v>
      </c>
      <c r="B117" s="14">
        <v>1</v>
      </c>
      <c r="C117">
        <f>(B117*100)/$H$1</f>
        <v>1.9557989438685704E-2</v>
      </c>
      <c r="D117">
        <f>D116+C117</f>
        <v>2.7576765108546888</v>
      </c>
      <c r="E117">
        <f>ROUNDDOWN(D117,2)</f>
        <v>2.75</v>
      </c>
    </row>
    <row r="118" spans="1:5" x14ac:dyDescent="0.35">
      <c r="A118" s="15">
        <v>260</v>
      </c>
      <c r="B118" s="14">
        <v>1</v>
      </c>
      <c r="C118">
        <f>(B118*100)/$H$1</f>
        <v>1.9557989438685704E-2</v>
      </c>
      <c r="D118">
        <f>D117+C118</f>
        <v>2.7772345002933747</v>
      </c>
      <c r="E118">
        <f>ROUNDDOWN(D118,2)</f>
        <v>2.77</v>
      </c>
    </row>
    <row r="119" spans="1:5" x14ac:dyDescent="0.35">
      <c r="A119" s="15">
        <v>259.89999999999998</v>
      </c>
      <c r="B119" s="14">
        <v>1</v>
      </c>
      <c r="C119">
        <f>(B119*100)/$H$1</f>
        <v>1.9557989438685704E-2</v>
      </c>
      <c r="D119">
        <f>D118+C119</f>
        <v>2.7967924897320606</v>
      </c>
      <c r="E119">
        <f>ROUNDDOWN(D119,2)</f>
        <v>2.79</v>
      </c>
    </row>
    <row r="120" spans="1:5" x14ac:dyDescent="0.35">
      <c r="A120" s="15">
        <v>259.8</v>
      </c>
      <c r="B120" s="14">
        <v>1</v>
      </c>
      <c r="C120">
        <f>(B120*100)/$H$1</f>
        <v>1.9557989438685704E-2</v>
      </c>
      <c r="D120">
        <f>D119+C120</f>
        <v>2.8163504791707465</v>
      </c>
      <c r="E120">
        <f>ROUNDDOWN(D120,2)</f>
        <v>2.81</v>
      </c>
    </row>
    <row r="121" spans="1:5" x14ac:dyDescent="0.35">
      <c r="A121" s="15">
        <v>259.60000000000002</v>
      </c>
      <c r="B121" s="14">
        <v>1</v>
      </c>
      <c r="C121">
        <f>(B121*100)/$H$1</f>
        <v>1.9557989438685704E-2</v>
      </c>
      <c r="D121">
        <f>D120+C121</f>
        <v>2.8359084686094325</v>
      </c>
      <c r="E121">
        <f>ROUNDDOWN(D121,2)</f>
        <v>2.83</v>
      </c>
    </row>
    <row r="122" spans="1:5" x14ac:dyDescent="0.35">
      <c r="A122" s="15">
        <v>259.3</v>
      </c>
      <c r="B122" s="14">
        <v>1</v>
      </c>
      <c r="C122">
        <f>(B122*100)/$H$1</f>
        <v>1.9557989438685704E-2</v>
      </c>
      <c r="D122">
        <f>D121+C122</f>
        <v>2.8554664580481184</v>
      </c>
      <c r="E122">
        <f>ROUNDDOWN(D122,2)</f>
        <v>2.85</v>
      </c>
    </row>
    <row r="123" spans="1:5" x14ac:dyDescent="0.35">
      <c r="A123" s="15">
        <v>259.2</v>
      </c>
      <c r="B123" s="14">
        <v>2</v>
      </c>
      <c r="C123">
        <f>(B123*100)/$H$1</f>
        <v>3.9115978877371407E-2</v>
      </c>
      <c r="D123">
        <f>D122+C123</f>
        <v>2.8945824369254898</v>
      </c>
      <c r="E123">
        <f>ROUNDDOWN(D123,2)</f>
        <v>2.89</v>
      </c>
    </row>
    <row r="124" spans="1:5" x14ac:dyDescent="0.35">
      <c r="A124" s="15">
        <v>259</v>
      </c>
      <c r="B124" s="14">
        <v>1</v>
      </c>
      <c r="C124">
        <f>(B124*100)/$H$1</f>
        <v>1.9557989438685704E-2</v>
      </c>
      <c r="D124">
        <f>D123+C124</f>
        <v>2.9141404263641757</v>
      </c>
      <c r="E124">
        <f>ROUNDDOWN(D124,2)</f>
        <v>2.91</v>
      </c>
    </row>
    <row r="125" spans="1:5" x14ac:dyDescent="0.35">
      <c r="A125" s="15">
        <v>258.89999999999998</v>
      </c>
      <c r="B125" s="14">
        <v>4</v>
      </c>
      <c r="C125">
        <f>(B125*100)/$H$1</f>
        <v>7.8231957754742815E-2</v>
      </c>
      <c r="D125">
        <f>D124+C125</f>
        <v>2.9923723841189185</v>
      </c>
      <c r="E125">
        <f>ROUNDDOWN(D125,2)</f>
        <v>2.99</v>
      </c>
    </row>
    <row r="126" spans="1:5" x14ac:dyDescent="0.35">
      <c r="A126" s="15">
        <v>258.39999999999998</v>
      </c>
      <c r="B126" s="14">
        <v>1</v>
      </c>
      <c r="C126">
        <f>(B126*100)/$H$1</f>
        <v>1.9557989438685704E-2</v>
      </c>
      <c r="D126">
        <f>D125+C126</f>
        <v>3.0119303735576044</v>
      </c>
      <c r="E126">
        <f>ROUNDDOWN(D126,2)</f>
        <v>3.01</v>
      </c>
    </row>
    <row r="127" spans="1:5" x14ac:dyDescent="0.35">
      <c r="A127" s="15">
        <v>258</v>
      </c>
      <c r="B127" s="14">
        <v>2</v>
      </c>
      <c r="C127">
        <f>(B127*100)/$H$1</f>
        <v>3.9115978877371407E-2</v>
      </c>
      <c r="D127">
        <f>D126+C127</f>
        <v>3.0510463524349758</v>
      </c>
      <c r="E127">
        <f>ROUNDDOWN(D127,2)</f>
        <v>3.05</v>
      </c>
    </row>
    <row r="128" spans="1:5" x14ac:dyDescent="0.35">
      <c r="A128" s="15">
        <v>257.7</v>
      </c>
      <c r="B128" s="14">
        <v>3</v>
      </c>
      <c r="C128">
        <f>(B128*100)/$H$1</f>
        <v>5.8673968316057111E-2</v>
      </c>
      <c r="D128">
        <f>D127+C128</f>
        <v>3.1097203207510331</v>
      </c>
      <c r="E128">
        <f>ROUNDDOWN(D128,2)</f>
        <v>3.1</v>
      </c>
    </row>
    <row r="129" spans="1:5" x14ac:dyDescent="0.35">
      <c r="A129" s="15">
        <v>257.60000000000002</v>
      </c>
      <c r="B129" s="14">
        <v>1</v>
      </c>
      <c r="C129">
        <f>(B129*100)/$H$1</f>
        <v>1.9557989438685704E-2</v>
      </c>
      <c r="D129">
        <f>D128+C129</f>
        <v>3.129278310189719</v>
      </c>
      <c r="E129">
        <f>ROUNDDOWN(D129,2)</f>
        <v>3.12</v>
      </c>
    </row>
    <row r="130" spans="1:5" x14ac:dyDescent="0.35">
      <c r="A130" s="15">
        <v>257.5</v>
      </c>
      <c r="B130" s="14">
        <v>1</v>
      </c>
      <c r="C130">
        <f>(B130*100)/$H$1</f>
        <v>1.9557989438685704E-2</v>
      </c>
      <c r="D130">
        <f>D129+C130</f>
        <v>3.1488362996284049</v>
      </c>
      <c r="E130">
        <f>ROUNDDOWN(D130,2)</f>
        <v>3.14</v>
      </c>
    </row>
    <row r="131" spans="1:5" x14ac:dyDescent="0.35">
      <c r="A131" s="15">
        <v>257.10000000000002</v>
      </c>
      <c r="B131" s="14">
        <v>3</v>
      </c>
      <c r="C131">
        <f>(B131*100)/$H$1</f>
        <v>5.8673968316057111E-2</v>
      </c>
      <c r="D131">
        <f>D130+C131</f>
        <v>3.2075102679444623</v>
      </c>
      <c r="E131">
        <f>ROUNDDOWN(D131,2)</f>
        <v>3.2</v>
      </c>
    </row>
    <row r="132" spans="1:5" x14ac:dyDescent="0.35">
      <c r="A132" s="15">
        <v>257</v>
      </c>
      <c r="B132" s="14">
        <v>2</v>
      </c>
      <c r="C132">
        <f>(B132*100)/$H$1</f>
        <v>3.9115978877371407E-2</v>
      </c>
      <c r="D132">
        <f>D131+C132</f>
        <v>3.2466262468218337</v>
      </c>
      <c r="E132">
        <f>ROUNDDOWN(D132,2)</f>
        <v>3.24</v>
      </c>
    </row>
    <row r="133" spans="1:5" x14ac:dyDescent="0.35">
      <c r="A133" s="15">
        <v>256.89999999999998</v>
      </c>
      <c r="B133" s="14">
        <v>1</v>
      </c>
      <c r="C133">
        <f>(B133*100)/$H$1</f>
        <v>1.9557989438685704E-2</v>
      </c>
      <c r="D133">
        <f>D132+C133</f>
        <v>3.2661842362605196</v>
      </c>
      <c r="E133">
        <f>ROUNDDOWN(D133,2)</f>
        <v>3.26</v>
      </c>
    </row>
    <row r="134" spans="1:5" x14ac:dyDescent="0.35">
      <c r="A134" s="15">
        <v>256.7</v>
      </c>
      <c r="B134" s="14">
        <v>3</v>
      </c>
      <c r="C134">
        <f>(B134*100)/$H$1</f>
        <v>5.8673968316057111E-2</v>
      </c>
      <c r="D134">
        <f>D133+C134</f>
        <v>3.3248582045765769</v>
      </c>
      <c r="E134">
        <f>ROUNDDOWN(D134,2)</f>
        <v>3.32</v>
      </c>
    </row>
    <row r="135" spans="1:5" x14ac:dyDescent="0.35">
      <c r="A135" s="15">
        <v>256.60000000000002</v>
      </c>
      <c r="B135" s="14">
        <v>2</v>
      </c>
      <c r="C135">
        <f>(B135*100)/$H$1</f>
        <v>3.9115978877371407E-2</v>
      </c>
      <c r="D135">
        <f>D134+C135</f>
        <v>3.3639741834539483</v>
      </c>
      <c r="E135">
        <f>ROUNDDOWN(D135,2)</f>
        <v>3.36</v>
      </c>
    </row>
    <row r="136" spans="1:5" x14ac:dyDescent="0.35">
      <c r="A136" s="15">
        <v>256.5</v>
      </c>
      <c r="B136" s="14">
        <v>2</v>
      </c>
      <c r="C136">
        <f>(B136*100)/$H$1</f>
        <v>3.9115978877371407E-2</v>
      </c>
      <c r="D136">
        <f>D135+C136</f>
        <v>3.4030901623313197</v>
      </c>
      <c r="E136">
        <f>ROUNDDOWN(D136,2)</f>
        <v>3.4</v>
      </c>
    </row>
    <row r="137" spans="1:5" x14ac:dyDescent="0.35">
      <c r="A137" s="15">
        <v>256.39999999999998</v>
      </c>
      <c r="B137" s="14">
        <v>2</v>
      </c>
      <c r="C137">
        <f>(B137*100)/$H$1</f>
        <v>3.9115978877371407E-2</v>
      </c>
      <c r="D137">
        <f>D136+C137</f>
        <v>3.4422061412086911</v>
      </c>
      <c r="E137">
        <f>ROUNDDOWN(D137,2)</f>
        <v>3.44</v>
      </c>
    </row>
    <row r="138" spans="1:5" x14ac:dyDescent="0.35">
      <c r="A138" s="15">
        <v>256.3</v>
      </c>
      <c r="B138" s="14">
        <v>1</v>
      </c>
      <c r="C138">
        <f>(B138*100)/$H$1</f>
        <v>1.9557989438685704E-2</v>
      </c>
      <c r="D138">
        <f>D137+C138</f>
        <v>3.461764130647377</v>
      </c>
      <c r="E138">
        <f>ROUNDDOWN(D138,2)</f>
        <v>3.46</v>
      </c>
    </row>
    <row r="139" spans="1:5" x14ac:dyDescent="0.35">
      <c r="A139" s="15">
        <v>256.2</v>
      </c>
      <c r="B139" s="14">
        <v>2</v>
      </c>
      <c r="C139">
        <f>(B139*100)/$H$1</f>
        <v>3.9115978877371407E-2</v>
      </c>
      <c r="D139">
        <f>D138+C139</f>
        <v>3.5008801095247484</v>
      </c>
      <c r="E139">
        <f>ROUNDDOWN(D139,2)</f>
        <v>3.5</v>
      </c>
    </row>
    <row r="140" spans="1:5" x14ac:dyDescent="0.35">
      <c r="A140" s="15">
        <v>256.10000000000002</v>
      </c>
      <c r="B140" s="14">
        <v>1</v>
      </c>
      <c r="C140">
        <f>(B140*100)/$H$1</f>
        <v>1.9557989438685704E-2</v>
      </c>
      <c r="D140">
        <f>D139+C140</f>
        <v>3.5204380989634343</v>
      </c>
      <c r="E140">
        <f>ROUNDDOWN(D140,2)</f>
        <v>3.52</v>
      </c>
    </row>
    <row r="141" spans="1:5" x14ac:dyDescent="0.35">
      <c r="A141" s="15">
        <v>256</v>
      </c>
      <c r="B141" s="14">
        <v>2</v>
      </c>
      <c r="C141">
        <f>(B141*100)/$H$1</f>
        <v>3.9115978877371407E-2</v>
      </c>
      <c r="D141">
        <f>D140+C141</f>
        <v>3.5595540778408057</v>
      </c>
      <c r="E141">
        <f>ROUNDDOWN(D141,2)</f>
        <v>3.55</v>
      </c>
    </row>
    <row r="142" spans="1:5" x14ac:dyDescent="0.35">
      <c r="A142" s="15">
        <v>255.9</v>
      </c>
      <c r="B142" s="14">
        <v>1</v>
      </c>
      <c r="C142">
        <f>(B142*100)/$H$1</f>
        <v>1.9557989438685704E-2</v>
      </c>
      <c r="D142">
        <f>D141+C142</f>
        <v>3.5791120672794916</v>
      </c>
      <c r="E142">
        <f>ROUNDDOWN(D142,2)</f>
        <v>3.57</v>
      </c>
    </row>
    <row r="143" spans="1:5" x14ac:dyDescent="0.35">
      <c r="A143" s="15">
        <v>255.8</v>
      </c>
      <c r="B143" s="14">
        <v>2</v>
      </c>
      <c r="C143">
        <f>(B143*100)/$H$1</f>
        <v>3.9115978877371407E-2</v>
      </c>
      <c r="D143">
        <f>D142+C143</f>
        <v>3.618228046156863</v>
      </c>
      <c r="E143">
        <f>ROUNDDOWN(D143,2)</f>
        <v>3.61</v>
      </c>
    </row>
    <row r="144" spans="1:5" x14ac:dyDescent="0.35">
      <c r="A144" s="15">
        <v>255.7</v>
      </c>
      <c r="B144" s="14">
        <v>3</v>
      </c>
      <c r="C144">
        <f>(B144*100)/$H$1</f>
        <v>5.8673968316057111E-2</v>
      </c>
      <c r="D144">
        <f>D143+C144</f>
        <v>3.6769020144729203</v>
      </c>
      <c r="E144">
        <f>ROUNDDOWN(D144,2)</f>
        <v>3.67</v>
      </c>
    </row>
    <row r="145" spans="1:5" x14ac:dyDescent="0.35">
      <c r="A145" s="15">
        <v>255.5</v>
      </c>
      <c r="B145" s="14">
        <v>2</v>
      </c>
      <c r="C145">
        <f>(B145*100)/$H$1</f>
        <v>3.9115978877371407E-2</v>
      </c>
      <c r="D145">
        <f>D144+C145</f>
        <v>3.7160179933502917</v>
      </c>
      <c r="E145">
        <f>ROUNDDOWN(D145,2)</f>
        <v>3.71</v>
      </c>
    </row>
    <row r="146" spans="1:5" x14ac:dyDescent="0.35">
      <c r="A146" s="15">
        <v>255.3</v>
      </c>
      <c r="B146" s="14">
        <v>4</v>
      </c>
      <c r="C146">
        <f>(B146*100)/$H$1</f>
        <v>7.8231957754742815E-2</v>
      </c>
      <c r="D146">
        <f>D145+C146</f>
        <v>3.7942499511050345</v>
      </c>
      <c r="E146">
        <f>ROUNDDOWN(D146,2)</f>
        <v>3.79</v>
      </c>
    </row>
    <row r="147" spans="1:5" x14ac:dyDescent="0.35">
      <c r="A147" s="15">
        <v>255.1</v>
      </c>
      <c r="B147" s="14">
        <v>1</v>
      </c>
      <c r="C147">
        <f>(B147*100)/$H$1</f>
        <v>1.9557989438685704E-2</v>
      </c>
      <c r="D147">
        <f>D146+C147</f>
        <v>3.8138079405437204</v>
      </c>
      <c r="E147">
        <f>ROUNDDOWN(D147,2)</f>
        <v>3.81</v>
      </c>
    </row>
    <row r="148" spans="1:5" x14ac:dyDescent="0.35">
      <c r="A148" s="15">
        <v>254.6</v>
      </c>
      <c r="B148" s="14">
        <v>3</v>
      </c>
      <c r="C148">
        <f>(B148*100)/$H$1</f>
        <v>5.8673968316057111E-2</v>
      </c>
      <c r="D148">
        <f>D147+C148</f>
        <v>3.8724819088597777</v>
      </c>
      <c r="E148">
        <f>ROUNDDOWN(D148,2)</f>
        <v>3.87</v>
      </c>
    </row>
    <row r="149" spans="1:5" x14ac:dyDescent="0.35">
      <c r="A149" s="15">
        <v>254.5</v>
      </c>
      <c r="B149" s="14">
        <v>1</v>
      </c>
      <c r="C149">
        <f>(B149*100)/$H$1</f>
        <v>1.9557989438685704E-2</v>
      </c>
      <c r="D149">
        <f>D148+C149</f>
        <v>3.8920398982984636</v>
      </c>
      <c r="E149">
        <f>ROUNDDOWN(D149,2)</f>
        <v>3.89</v>
      </c>
    </row>
    <row r="150" spans="1:5" x14ac:dyDescent="0.35">
      <c r="A150" s="15">
        <v>254.3</v>
      </c>
      <c r="B150" s="14">
        <v>1</v>
      </c>
      <c r="C150">
        <f>(B150*100)/$H$1</f>
        <v>1.9557989438685704E-2</v>
      </c>
      <c r="D150">
        <f>D149+C150</f>
        <v>3.9115978877371496</v>
      </c>
      <c r="E150">
        <f>ROUNDDOWN(D150,2)</f>
        <v>3.91</v>
      </c>
    </row>
    <row r="151" spans="1:5" x14ac:dyDescent="0.35">
      <c r="A151" s="15">
        <v>254.1</v>
      </c>
      <c r="B151" s="14">
        <v>3</v>
      </c>
      <c r="C151">
        <f>(B151*100)/$H$1</f>
        <v>5.8673968316057111E-2</v>
      </c>
      <c r="D151">
        <f>D150+C151</f>
        <v>3.9702718560532069</v>
      </c>
      <c r="E151">
        <f>ROUNDDOWN(D151,2)</f>
        <v>3.97</v>
      </c>
    </row>
    <row r="152" spans="1:5" x14ac:dyDescent="0.35">
      <c r="A152" s="15">
        <v>254</v>
      </c>
      <c r="B152" s="14">
        <v>2</v>
      </c>
      <c r="C152">
        <f>(B152*100)/$H$1</f>
        <v>3.9115978877371407E-2</v>
      </c>
      <c r="D152">
        <f>D151+C152</f>
        <v>4.0093878349305783</v>
      </c>
      <c r="E152">
        <f>ROUNDDOWN(D152,2)</f>
        <v>4</v>
      </c>
    </row>
    <row r="153" spans="1:5" x14ac:dyDescent="0.35">
      <c r="A153" s="15">
        <v>253.9</v>
      </c>
      <c r="B153" s="14">
        <v>1</v>
      </c>
      <c r="C153">
        <f>(B153*100)/$H$1</f>
        <v>1.9557989438685704E-2</v>
      </c>
      <c r="D153">
        <f>D152+C153</f>
        <v>4.0289458243692637</v>
      </c>
      <c r="E153">
        <f>ROUNDDOWN(D153,2)</f>
        <v>4.0199999999999996</v>
      </c>
    </row>
    <row r="154" spans="1:5" x14ac:dyDescent="0.35">
      <c r="A154" s="15">
        <v>253.8</v>
      </c>
      <c r="B154" s="14">
        <v>1</v>
      </c>
      <c r="C154">
        <f>(B154*100)/$H$1</f>
        <v>1.9557989438685704E-2</v>
      </c>
      <c r="D154">
        <f>D153+C154</f>
        <v>4.0485038138079492</v>
      </c>
      <c r="E154">
        <f>ROUNDDOWN(D154,2)</f>
        <v>4.04</v>
      </c>
    </row>
    <row r="155" spans="1:5" x14ac:dyDescent="0.35">
      <c r="A155" s="15">
        <v>253.6</v>
      </c>
      <c r="B155" s="14">
        <v>1</v>
      </c>
      <c r="C155">
        <f>(B155*100)/$H$1</f>
        <v>1.9557989438685704E-2</v>
      </c>
      <c r="D155">
        <f>D154+C155</f>
        <v>4.0680618032466347</v>
      </c>
      <c r="E155">
        <f>ROUNDDOWN(D155,2)</f>
        <v>4.0599999999999996</v>
      </c>
    </row>
    <row r="156" spans="1:5" x14ac:dyDescent="0.35">
      <c r="A156" s="15">
        <v>253.3</v>
      </c>
      <c r="B156" s="14">
        <v>1</v>
      </c>
      <c r="C156">
        <f>(B156*100)/$H$1</f>
        <v>1.9557989438685704E-2</v>
      </c>
      <c r="D156">
        <f>D155+C156</f>
        <v>4.0876197926853202</v>
      </c>
      <c r="E156">
        <f>ROUNDDOWN(D156,2)</f>
        <v>4.08</v>
      </c>
    </row>
    <row r="157" spans="1:5" x14ac:dyDescent="0.35">
      <c r="A157" s="15">
        <v>253.2</v>
      </c>
      <c r="B157" s="14">
        <v>3</v>
      </c>
      <c r="C157">
        <f>(B157*100)/$H$1</f>
        <v>5.8673968316057111E-2</v>
      </c>
      <c r="D157">
        <f>D156+C157</f>
        <v>4.1462937610013775</v>
      </c>
      <c r="E157">
        <f>ROUNDDOWN(D157,2)</f>
        <v>4.1399999999999997</v>
      </c>
    </row>
    <row r="158" spans="1:5" x14ac:dyDescent="0.35">
      <c r="A158" s="15">
        <v>253.1</v>
      </c>
      <c r="B158" s="14">
        <v>1</v>
      </c>
      <c r="C158">
        <f>(B158*100)/$H$1</f>
        <v>1.9557989438685704E-2</v>
      </c>
      <c r="D158">
        <f>D157+C158</f>
        <v>4.165851750440063</v>
      </c>
      <c r="E158">
        <f>ROUNDDOWN(D158,2)</f>
        <v>4.16</v>
      </c>
    </row>
    <row r="159" spans="1:5" x14ac:dyDescent="0.35">
      <c r="A159" s="15">
        <v>253</v>
      </c>
      <c r="B159" s="14">
        <v>2</v>
      </c>
      <c r="C159">
        <f>(B159*100)/$H$1</f>
        <v>3.9115978877371407E-2</v>
      </c>
      <c r="D159">
        <f>D158+C159</f>
        <v>4.2049677293174348</v>
      </c>
      <c r="E159">
        <f>ROUNDDOWN(D159,2)</f>
        <v>4.2</v>
      </c>
    </row>
    <row r="160" spans="1:5" x14ac:dyDescent="0.35">
      <c r="A160" s="15">
        <v>252.9</v>
      </c>
      <c r="B160" s="14">
        <v>1</v>
      </c>
      <c r="C160">
        <f>(B160*100)/$H$1</f>
        <v>1.9557989438685704E-2</v>
      </c>
      <c r="D160">
        <f>D159+C160</f>
        <v>4.2245257187561203</v>
      </c>
      <c r="E160">
        <f>ROUNDDOWN(D160,2)</f>
        <v>4.22</v>
      </c>
    </row>
    <row r="161" spans="1:5" x14ac:dyDescent="0.35">
      <c r="A161" s="15">
        <v>252.8</v>
      </c>
      <c r="B161" s="14">
        <v>1</v>
      </c>
      <c r="C161">
        <f>(B161*100)/$H$1</f>
        <v>1.9557989438685704E-2</v>
      </c>
      <c r="D161">
        <f>D160+C161</f>
        <v>4.2440837081948057</v>
      </c>
      <c r="E161">
        <f>ROUNDDOWN(D161,2)</f>
        <v>4.24</v>
      </c>
    </row>
    <row r="162" spans="1:5" x14ac:dyDescent="0.35">
      <c r="A162" s="15">
        <v>252.6</v>
      </c>
      <c r="B162" s="14">
        <v>1</v>
      </c>
      <c r="C162">
        <f>(B162*100)/$H$1</f>
        <v>1.9557989438685704E-2</v>
      </c>
      <c r="D162">
        <f>D161+C162</f>
        <v>4.2636416976334912</v>
      </c>
      <c r="E162">
        <f>ROUNDDOWN(D162,2)</f>
        <v>4.26</v>
      </c>
    </row>
    <row r="163" spans="1:5" x14ac:dyDescent="0.35">
      <c r="A163" s="15">
        <v>252.5</v>
      </c>
      <c r="B163" s="14">
        <v>2</v>
      </c>
      <c r="C163">
        <f>(B163*100)/$H$1</f>
        <v>3.9115978877371407E-2</v>
      </c>
      <c r="D163">
        <f>D162+C163</f>
        <v>4.302757676510863</v>
      </c>
      <c r="E163">
        <f>ROUNDDOWN(D163,2)</f>
        <v>4.3</v>
      </c>
    </row>
    <row r="164" spans="1:5" x14ac:dyDescent="0.35">
      <c r="A164" s="15">
        <v>252.4</v>
      </c>
      <c r="B164" s="14">
        <v>2</v>
      </c>
      <c r="C164">
        <f>(B164*100)/$H$1</f>
        <v>3.9115978877371407E-2</v>
      </c>
      <c r="D164">
        <f>D163+C164</f>
        <v>4.3418736553882349</v>
      </c>
      <c r="E164">
        <f>ROUNDDOWN(D164,2)</f>
        <v>4.34</v>
      </c>
    </row>
    <row r="165" spans="1:5" x14ac:dyDescent="0.35">
      <c r="A165" s="15">
        <v>252.3</v>
      </c>
      <c r="B165" s="14">
        <v>2</v>
      </c>
      <c r="C165">
        <f>(B165*100)/$H$1</f>
        <v>3.9115978877371407E-2</v>
      </c>
      <c r="D165">
        <f>D164+C165</f>
        <v>4.3809896342656067</v>
      </c>
      <c r="E165">
        <f>ROUNDDOWN(D165,2)</f>
        <v>4.38</v>
      </c>
    </row>
    <row r="166" spans="1:5" x14ac:dyDescent="0.35">
      <c r="A166" s="15">
        <v>252.2</v>
      </c>
      <c r="B166" s="14">
        <v>1</v>
      </c>
      <c r="C166">
        <f>(B166*100)/$H$1</f>
        <v>1.9557989438685704E-2</v>
      </c>
      <c r="D166">
        <f>D165+C166</f>
        <v>4.4005476237042922</v>
      </c>
      <c r="E166">
        <f>ROUNDDOWN(D166,2)</f>
        <v>4.4000000000000004</v>
      </c>
    </row>
    <row r="167" spans="1:5" x14ac:dyDescent="0.35">
      <c r="A167" s="15">
        <v>252.1</v>
      </c>
      <c r="B167" s="14">
        <v>2</v>
      </c>
      <c r="C167">
        <f>(B167*100)/$H$1</f>
        <v>3.9115978877371407E-2</v>
      </c>
      <c r="D167">
        <f>D166+C167</f>
        <v>4.439663602581664</v>
      </c>
      <c r="E167">
        <f>ROUNDDOWN(D167,2)</f>
        <v>4.43</v>
      </c>
    </row>
    <row r="168" spans="1:5" x14ac:dyDescent="0.35">
      <c r="A168" s="15">
        <v>251.9</v>
      </c>
      <c r="B168" s="14">
        <v>4</v>
      </c>
      <c r="C168">
        <f>(B168*100)/$H$1</f>
        <v>7.8231957754742815E-2</v>
      </c>
      <c r="D168">
        <f>D167+C168</f>
        <v>4.5178955603364068</v>
      </c>
      <c r="E168">
        <f>ROUNDDOWN(D168,2)</f>
        <v>4.51</v>
      </c>
    </row>
    <row r="169" spans="1:5" x14ac:dyDescent="0.35">
      <c r="A169" s="15">
        <v>251.8</v>
      </c>
      <c r="B169" s="14">
        <v>3</v>
      </c>
      <c r="C169">
        <f>(B169*100)/$H$1</f>
        <v>5.8673968316057111E-2</v>
      </c>
      <c r="D169">
        <f>D168+C169</f>
        <v>4.5765695286524641</v>
      </c>
      <c r="E169">
        <f>ROUNDDOWN(D169,2)</f>
        <v>4.57</v>
      </c>
    </row>
    <row r="170" spans="1:5" x14ac:dyDescent="0.35">
      <c r="A170" s="15">
        <v>251.5</v>
      </c>
      <c r="B170" s="14">
        <v>2</v>
      </c>
      <c r="C170">
        <f>(B170*100)/$H$1</f>
        <v>3.9115978877371407E-2</v>
      </c>
      <c r="D170">
        <f>D169+C170</f>
        <v>4.615685507529836</v>
      </c>
      <c r="E170">
        <f>ROUNDDOWN(D170,2)</f>
        <v>4.6100000000000003</v>
      </c>
    </row>
    <row r="171" spans="1:5" x14ac:dyDescent="0.35">
      <c r="A171" s="15">
        <v>251.3</v>
      </c>
      <c r="B171" s="14">
        <v>1</v>
      </c>
      <c r="C171">
        <f>(B171*100)/$H$1</f>
        <v>1.9557989438685704E-2</v>
      </c>
      <c r="D171">
        <f>D170+C171</f>
        <v>4.6352434969685214</v>
      </c>
      <c r="E171">
        <f>ROUNDDOWN(D171,2)</f>
        <v>4.63</v>
      </c>
    </row>
    <row r="172" spans="1:5" x14ac:dyDescent="0.35">
      <c r="A172" s="15">
        <v>251.2</v>
      </c>
      <c r="B172" s="14">
        <v>2</v>
      </c>
      <c r="C172">
        <f>(B172*100)/$H$1</f>
        <v>3.9115978877371407E-2</v>
      </c>
      <c r="D172">
        <f>D171+C172</f>
        <v>4.6743594758458933</v>
      </c>
      <c r="E172">
        <f>ROUNDDOWN(D172,2)</f>
        <v>4.67</v>
      </c>
    </row>
    <row r="173" spans="1:5" x14ac:dyDescent="0.35">
      <c r="A173" s="15">
        <v>251.1</v>
      </c>
      <c r="B173" s="14">
        <v>2</v>
      </c>
      <c r="C173">
        <f>(B173*100)/$H$1</f>
        <v>3.9115978877371407E-2</v>
      </c>
      <c r="D173">
        <f>D172+C173</f>
        <v>4.7134754547232651</v>
      </c>
      <c r="E173">
        <f>ROUNDDOWN(D173,2)</f>
        <v>4.71</v>
      </c>
    </row>
    <row r="174" spans="1:5" x14ac:dyDescent="0.35">
      <c r="A174" s="15">
        <v>251</v>
      </c>
      <c r="B174" s="14">
        <v>2</v>
      </c>
      <c r="C174">
        <f>(B174*100)/$H$1</f>
        <v>3.9115978877371407E-2</v>
      </c>
      <c r="D174">
        <f>D173+C174</f>
        <v>4.752591433600637</v>
      </c>
      <c r="E174">
        <f>ROUNDDOWN(D174,2)</f>
        <v>4.75</v>
      </c>
    </row>
    <row r="175" spans="1:5" x14ac:dyDescent="0.35">
      <c r="A175" s="15">
        <v>250.9</v>
      </c>
      <c r="B175" s="14">
        <v>2</v>
      </c>
      <c r="C175">
        <f>(B175*100)/$H$1</f>
        <v>3.9115978877371407E-2</v>
      </c>
      <c r="D175">
        <f>D174+C175</f>
        <v>4.7917074124780088</v>
      </c>
      <c r="E175">
        <f>ROUNDDOWN(D175,2)</f>
        <v>4.79</v>
      </c>
    </row>
    <row r="176" spans="1:5" x14ac:dyDescent="0.35">
      <c r="A176" s="15">
        <v>250.8</v>
      </c>
      <c r="B176" s="14">
        <v>1</v>
      </c>
      <c r="C176">
        <f>(B176*100)/$H$1</f>
        <v>1.9557989438685704E-2</v>
      </c>
      <c r="D176">
        <f>D175+C176</f>
        <v>4.8112654019166943</v>
      </c>
      <c r="E176">
        <f>ROUNDDOWN(D176,2)</f>
        <v>4.8099999999999996</v>
      </c>
    </row>
    <row r="177" spans="1:5" x14ac:dyDescent="0.35">
      <c r="A177" s="15">
        <v>250.7</v>
      </c>
      <c r="B177" s="14">
        <v>1</v>
      </c>
      <c r="C177">
        <f>(B177*100)/$H$1</f>
        <v>1.9557989438685704E-2</v>
      </c>
      <c r="D177">
        <f>D176+C177</f>
        <v>4.8308233913553797</v>
      </c>
      <c r="E177">
        <f>ROUNDDOWN(D177,2)</f>
        <v>4.83</v>
      </c>
    </row>
    <row r="178" spans="1:5" x14ac:dyDescent="0.35">
      <c r="A178" s="15">
        <v>250.6</v>
      </c>
      <c r="B178" s="14">
        <v>1</v>
      </c>
      <c r="C178">
        <f>(B178*100)/$H$1</f>
        <v>1.9557989438685704E-2</v>
      </c>
      <c r="D178">
        <f>D177+C178</f>
        <v>4.8503813807940652</v>
      </c>
      <c r="E178">
        <f>ROUNDDOWN(D178,2)</f>
        <v>4.8499999999999996</v>
      </c>
    </row>
    <row r="179" spans="1:5" x14ac:dyDescent="0.35">
      <c r="A179" s="15">
        <v>250.5</v>
      </c>
      <c r="B179" s="14">
        <v>1</v>
      </c>
      <c r="C179">
        <f>(B179*100)/$H$1</f>
        <v>1.9557989438685704E-2</v>
      </c>
      <c r="D179">
        <f>D178+C179</f>
        <v>4.8699393702327507</v>
      </c>
      <c r="E179">
        <f>ROUNDDOWN(D179,2)</f>
        <v>4.8600000000000003</v>
      </c>
    </row>
    <row r="180" spans="1:5" x14ac:dyDescent="0.35">
      <c r="A180" s="15">
        <v>250.4</v>
      </c>
      <c r="B180" s="14">
        <v>2</v>
      </c>
      <c r="C180">
        <f>(B180*100)/$H$1</f>
        <v>3.9115978877371407E-2</v>
      </c>
      <c r="D180">
        <f>D179+C180</f>
        <v>4.9090553491101225</v>
      </c>
      <c r="E180">
        <f>ROUNDDOWN(D180,2)</f>
        <v>4.9000000000000004</v>
      </c>
    </row>
    <row r="181" spans="1:5" x14ac:dyDescent="0.35">
      <c r="A181" s="15">
        <v>249.9</v>
      </c>
      <c r="B181" s="14">
        <v>2</v>
      </c>
      <c r="C181">
        <f>(B181*100)/$H$1</f>
        <v>3.9115978877371407E-2</v>
      </c>
      <c r="D181">
        <f>D180+C181</f>
        <v>4.9481713279874944</v>
      </c>
      <c r="E181">
        <f>ROUNDDOWN(D181,2)</f>
        <v>4.9400000000000004</v>
      </c>
    </row>
    <row r="182" spans="1:5" x14ac:dyDescent="0.35">
      <c r="A182" s="15">
        <v>249.8</v>
      </c>
      <c r="B182" s="14">
        <v>1</v>
      </c>
      <c r="C182">
        <f>(B182*100)/$H$1</f>
        <v>1.9557989438685704E-2</v>
      </c>
      <c r="D182">
        <f>D181+C182</f>
        <v>4.9677293174261798</v>
      </c>
      <c r="E182">
        <f>ROUNDDOWN(D182,2)</f>
        <v>4.96</v>
      </c>
    </row>
    <row r="183" spans="1:5" x14ac:dyDescent="0.35">
      <c r="A183" s="15">
        <v>249.3</v>
      </c>
      <c r="B183" s="14">
        <v>3</v>
      </c>
      <c r="C183">
        <f>(B183*100)/$H$1</f>
        <v>5.8673968316057111E-2</v>
      </c>
      <c r="D183">
        <f>D182+C183</f>
        <v>5.0264032857422372</v>
      </c>
      <c r="E183">
        <f>ROUNDDOWN(D183,2)</f>
        <v>5.0199999999999996</v>
      </c>
    </row>
    <row r="184" spans="1:5" x14ac:dyDescent="0.35">
      <c r="A184" s="15">
        <v>249.2</v>
      </c>
      <c r="B184" s="14">
        <v>3</v>
      </c>
      <c r="C184">
        <f>(B184*100)/$H$1</f>
        <v>5.8673968316057111E-2</v>
      </c>
      <c r="D184">
        <f>D183+C184</f>
        <v>5.0850772540582945</v>
      </c>
      <c r="E184">
        <f>ROUNDDOWN(D184,2)</f>
        <v>5.08</v>
      </c>
    </row>
    <row r="185" spans="1:5" x14ac:dyDescent="0.35">
      <c r="A185" s="15">
        <v>249.1</v>
      </c>
      <c r="B185" s="14">
        <v>1</v>
      </c>
      <c r="C185">
        <f>(B185*100)/$H$1</f>
        <v>1.9557989438685704E-2</v>
      </c>
      <c r="D185">
        <f>D184+C185</f>
        <v>5.1046352434969799</v>
      </c>
      <c r="E185">
        <f>ROUNDDOWN(D185,2)</f>
        <v>5.0999999999999996</v>
      </c>
    </row>
    <row r="186" spans="1:5" x14ac:dyDescent="0.35">
      <c r="A186" s="15">
        <v>249</v>
      </c>
      <c r="B186" s="14">
        <v>4</v>
      </c>
      <c r="C186">
        <f>(B186*100)/$H$1</f>
        <v>7.8231957754742815E-2</v>
      </c>
      <c r="D186">
        <f>D185+C186</f>
        <v>5.1828672012517227</v>
      </c>
      <c r="E186">
        <f>ROUNDDOWN(D186,2)</f>
        <v>5.18</v>
      </c>
    </row>
    <row r="187" spans="1:5" x14ac:dyDescent="0.35">
      <c r="A187" s="15">
        <v>248.9</v>
      </c>
      <c r="B187" s="14">
        <v>4</v>
      </c>
      <c r="C187">
        <f>(B187*100)/$H$1</f>
        <v>7.8231957754742815E-2</v>
      </c>
      <c r="D187">
        <f>D186+C187</f>
        <v>5.2610991590064655</v>
      </c>
      <c r="E187">
        <f>ROUNDDOWN(D187,2)</f>
        <v>5.26</v>
      </c>
    </row>
    <row r="188" spans="1:5" x14ac:dyDescent="0.35">
      <c r="A188" s="15">
        <v>248.8</v>
      </c>
      <c r="B188" s="14">
        <v>1</v>
      </c>
      <c r="C188">
        <f>(B188*100)/$H$1</f>
        <v>1.9557989438685704E-2</v>
      </c>
      <c r="D188">
        <f>D187+C188</f>
        <v>5.280657148445151</v>
      </c>
      <c r="E188">
        <f>ROUNDDOWN(D188,2)</f>
        <v>5.28</v>
      </c>
    </row>
    <row r="189" spans="1:5" x14ac:dyDescent="0.35">
      <c r="A189" s="15">
        <v>248.7</v>
      </c>
      <c r="B189" s="14">
        <v>1</v>
      </c>
      <c r="C189">
        <f>(B189*100)/$H$1</f>
        <v>1.9557989438685704E-2</v>
      </c>
      <c r="D189">
        <f>D188+C189</f>
        <v>5.3002151378838365</v>
      </c>
      <c r="E189">
        <f>ROUNDDOWN(D189,2)</f>
        <v>5.3</v>
      </c>
    </row>
    <row r="190" spans="1:5" x14ac:dyDescent="0.35">
      <c r="A190" s="15">
        <v>248.6</v>
      </c>
      <c r="B190" s="14">
        <v>2</v>
      </c>
      <c r="C190">
        <f>(B190*100)/$H$1</f>
        <v>3.9115978877371407E-2</v>
      </c>
      <c r="D190">
        <f>D189+C190</f>
        <v>5.3393311167612083</v>
      </c>
      <c r="E190">
        <f>ROUNDDOWN(D190,2)</f>
        <v>5.33</v>
      </c>
    </row>
    <row r="191" spans="1:5" x14ac:dyDescent="0.35">
      <c r="A191" s="15">
        <v>248.5</v>
      </c>
      <c r="B191" s="14">
        <v>3</v>
      </c>
      <c r="C191">
        <f>(B191*100)/$H$1</f>
        <v>5.8673968316057111E-2</v>
      </c>
      <c r="D191">
        <f>D190+C191</f>
        <v>5.3980050850772656</v>
      </c>
      <c r="E191">
        <f>ROUNDDOWN(D191,2)</f>
        <v>5.39</v>
      </c>
    </row>
    <row r="192" spans="1:5" x14ac:dyDescent="0.35">
      <c r="A192" s="15">
        <v>248.4</v>
      </c>
      <c r="B192" s="14">
        <v>1</v>
      </c>
      <c r="C192">
        <f>(B192*100)/$H$1</f>
        <v>1.9557989438685704E-2</v>
      </c>
      <c r="D192">
        <f>D191+C192</f>
        <v>5.4175630745159511</v>
      </c>
      <c r="E192">
        <f>ROUNDDOWN(D192,2)</f>
        <v>5.41</v>
      </c>
    </row>
    <row r="193" spans="1:5" x14ac:dyDescent="0.35">
      <c r="A193" s="15">
        <v>248.3</v>
      </c>
      <c r="B193" s="14">
        <v>1</v>
      </c>
      <c r="C193">
        <f>(B193*100)/$H$1</f>
        <v>1.9557989438685704E-2</v>
      </c>
      <c r="D193">
        <f>D192+C193</f>
        <v>5.4371210639546366</v>
      </c>
      <c r="E193">
        <f>ROUNDDOWN(D193,2)</f>
        <v>5.43</v>
      </c>
    </row>
    <row r="194" spans="1:5" x14ac:dyDescent="0.35">
      <c r="A194" s="15">
        <v>248.1</v>
      </c>
      <c r="B194" s="14">
        <v>3</v>
      </c>
      <c r="C194">
        <f>(B194*100)/$H$1</f>
        <v>5.8673968316057111E-2</v>
      </c>
      <c r="D194">
        <f>D193+C194</f>
        <v>5.4957950322706939</v>
      </c>
      <c r="E194">
        <f>ROUNDDOWN(D194,2)</f>
        <v>5.49</v>
      </c>
    </row>
    <row r="195" spans="1:5" x14ac:dyDescent="0.35">
      <c r="A195" s="15">
        <v>247.9</v>
      </c>
      <c r="B195" s="14">
        <v>2</v>
      </c>
      <c r="C195">
        <f>(B195*100)/$H$1</f>
        <v>3.9115978877371407E-2</v>
      </c>
      <c r="D195">
        <f>D194+C195</f>
        <v>5.5349110111480657</v>
      </c>
      <c r="E195">
        <f>ROUNDDOWN(D195,2)</f>
        <v>5.53</v>
      </c>
    </row>
    <row r="196" spans="1:5" x14ac:dyDescent="0.35">
      <c r="A196" s="15">
        <v>247.8</v>
      </c>
      <c r="B196" s="14">
        <v>5</v>
      </c>
      <c r="C196">
        <f>(B196*100)/$H$1</f>
        <v>9.7789947193428511E-2</v>
      </c>
      <c r="D196">
        <f>D195+C196</f>
        <v>5.632700958341494</v>
      </c>
      <c r="E196">
        <f>ROUNDDOWN(D196,2)</f>
        <v>5.63</v>
      </c>
    </row>
    <row r="197" spans="1:5" x14ac:dyDescent="0.35">
      <c r="A197" s="15">
        <v>247.7</v>
      </c>
      <c r="B197" s="14">
        <v>2</v>
      </c>
      <c r="C197">
        <f>(B197*100)/$H$1</f>
        <v>3.9115978877371407E-2</v>
      </c>
      <c r="D197">
        <f>D196+C197</f>
        <v>5.6718169372188658</v>
      </c>
      <c r="E197">
        <f>ROUNDDOWN(D197,2)</f>
        <v>5.67</v>
      </c>
    </row>
    <row r="198" spans="1:5" x14ac:dyDescent="0.35">
      <c r="A198" s="15">
        <v>247.6</v>
      </c>
      <c r="B198" s="14">
        <v>3</v>
      </c>
      <c r="C198">
        <f>(B198*100)/$H$1</f>
        <v>5.8673968316057111E-2</v>
      </c>
      <c r="D198">
        <f>D197+C198</f>
        <v>5.7304909055349231</v>
      </c>
      <c r="E198">
        <f>ROUNDDOWN(D198,2)</f>
        <v>5.73</v>
      </c>
    </row>
    <row r="199" spans="1:5" x14ac:dyDescent="0.35">
      <c r="A199" s="15">
        <v>247.4</v>
      </c>
      <c r="B199" s="14">
        <v>2</v>
      </c>
      <c r="C199">
        <f>(B199*100)/$H$1</f>
        <v>3.9115978877371407E-2</v>
      </c>
      <c r="D199">
        <f>D198+C199</f>
        <v>5.769606884412295</v>
      </c>
      <c r="E199">
        <f>ROUNDDOWN(D199,2)</f>
        <v>5.76</v>
      </c>
    </row>
    <row r="200" spans="1:5" x14ac:dyDescent="0.35">
      <c r="A200" s="15">
        <v>247.3</v>
      </c>
      <c r="B200" s="14">
        <v>2</v>
      </c>
      <c r="C200">
        <f>(B200*100)/$H$1</f>
        <v>3.9115978877371407E-2</v>
      </c>
      <c r="D200">
        <f>D199+C200</f>
        <v>5.8087228632896668</v>
      </c>
      <c r="E200">
        <f>ROUNDDOWN(D200,2)</f>
        <v>5.8</v>
      </c>
    </row>
    <row r="201" spans="1:5" x14ac:dyDescent="0.35">
      <c r="A201" s="15">
        <v>247.2</v>
      </c>
      <c r="B201" s="14">
        <v>3</v>
      </c>
      <c r="C201">
        <f>(B201*100)/$H$1</f>
        <v>5.8673968316057111E-2</v>
      </c>
      <c r="D201">
        <f>D200+C201</f>
        <v>5.8673968316057241</v>
      </c>
      <c r="E201">
        <f>ROUNDDOWN(D201,2)</f>
        <v>5.86</v>
      </c>
    </row>
    <row r="202" spans="1:5" x14ac:dyDescent="0.35">
      <c r="A202" s="15">
        <v>247</v>
      </c>
      <c r="B202" s="14">
        <v>2</v>
      </c>
      <c r="C202">
        <f>(B202*100)/$H$1</f>
        <v>3.9115978877371407E-2</v>
      </c>
      <c r="D202">
        <f>D201+C202</f>
        <v>5.906512810483096</v>
      </c>
      <c r="E202">
        <f>ROUNDDOWN(D202,2)</f>
        <v>5.9</v>
      </c>
    </row>
    <row r="203" spans="1:5" x14ac:dyDescent="0.35">
      <c r="A203" s="15">
        <v>246.9</v>
      </c>
      <c r="B203" s="14">
        <v>1</v>
      </c>
      <c r="C203">
        <f>(B203*100)/$H$1</f>
        <v>1.9557989438685704E-2</v>
      </c>
      <c r="D203">
        <f>D202+C203</f>
        <v>5.9260707999217814</v>
      </c>
      <c r="E203">
        <f>ROUNDDOWN(D203,2)</f>
        <v>5.92</v>
      </c>
    </row>
    <row r="204" spans="1:5" x14ac:dyDescent="0.35">
      <c r="A204" s="15">
        <v>246.8</v>
      </c>
      <c r="B204" s="14">
        <v>1</v>
      </c>
      <c r="C204">
        <f>(B204*100)/$H$1</f>
        <v>1.9557989438685704E-2</v>
      </c>
      <c r="D204">
        <f>D203+C204</f>
        <v>5.9456287893604669</v>
      </c>
      <c r="E204">
        <f>ROUNDDOWN(D204,2)</f>
        <v>5.94</v>
      </c>
    </row>
    <row r="205" spans="1:5" x14ac:dyDescent="0.35">
      <c r="A205" s="15">
        <v>246.7</v>
      </c>
      <c r="B205" s="14">
        <v>1</v>
      </c>
      <c r="C205">
        <f>(B205*100)/$H$1</f>
        <v>1.9557989438685704E-2</v>
      </c>
      <c r="D205">
        <f>D204+C205</f>
        <v>5.9651867787991524</v>
      </c>
      <c r="E205">
        <f>ROUNDDOWN(D205,2)</f>
        <v>5.96</v>
      </c>
    </row>
    <row r="206" spans="1:5" x14ac:dyDescent="0.35">
      <c r="A206" s="15">
        <v>246.6</v>
      </c>
      <c r="B206" s="14">
        <v>3</v>
      </c>
      <c r="C206">
        <f>(B206*100)/$H$1</f>
        <v>5.8673968316057111E-2</v>
      </c>
      <c r="D206">
        <f>D205+C206</f>
        <v>6.0238607471152097</v>
      </c>
      <c r="E206">
        <f>ROUNDDOWN(D206,2)</f>
        <v>6.02</v>
      </c>
    </row>
    <row r="207" spans="1:5" x14ac:dyDescent="0.35">
      <c r="A207" s="15">
        <v>246.5</v>
      </c>
      <c r="B207" s="14">
        <v>1</v>
      </c>
      <c r="C207">
        <f>(B207*100)/$H$1</f>
        <v>1.9557989438685704E-2</v>
      </c>
      <c r="D207">
        <f>D206+C207</f>
        <v>6.0434187365538952</v>
      </c>
      <c r="E207">
        <f>ROUNDDOWN(D207,2)</f>
        <v>6.04</v>
      </c>
    </row>
    <row r="208" spans="1:5" x14ac:dyDescent="0.35">
      <c r="A208" s="15">
        <v>246.4</v>
      </c>
      <c r="B208" s="14">
        <v>1</v>
      </c>
      <c r="C208">
        <f>(B208*100)/$H$1</f>
        <v>1.9557989438685704E-2</v>
      </c>
      <c r="D208">
        <f>D207+C208</f>
        <v>6.0629767259925806</v>
      </c>
      <c r="E208">
        <f>ROUNDDOWN(D208,2)</f>
        <v>6.06</v>
      </c>
    </row>
    <row r="209" spans="1:5" x14ac:dyDescent="0.35">
      <c r="A209" s="15">
        <v>246.1</v>
      </c>
      <c r="B209" s="14">
        <v>2</v>
      </c>
      <c r="C209">
        <f>(B209*100)/$H$1</f>
        <v>3.9115978877371407E-2</v>
      </c>
      <c r="D209">
        <f>D208+C209</f>
        <v>6.1020927048699525</v>
      </c>
      <c r="E209">
        <f>ROUNDDOWN(D209,2)</f>
        <v>6.1</v>
      </c>
    </row>
    <row r="210" spans="1:5" x14ac:dyDescent="0.35">
      <c r="A210" s="15">
        <v>246</v>
      </c>
      <c r="B210" s="14">
        <v>2</v>
      </c>
      <c r="C210">
        <f>(B210*100)/$H$1</f>
        <v>3.9115978877371407E-2</v>
      </c>
      <c r="D210">
        <f>D209+C210</f>
        <v>6.1412086837473243</v>
      </c>
      <c r="E210">
        <f>ROUNDDOWN(D210,2)</f>
        <v>6.14</v>
      </c>
    </row>
    <row r="211" spans="1:5" x14ac:dyDescent="0.35">
      <c r="A211" s="15">
        <v>245.8</v>
      </c>
      <c r="B211" s="14">
        <v>1</v>
      </c>
      <c r="C211">
        <f>(B211*100)/$H$1</f>
        <v>1.9557989438685704E-2</v>
      </c>
      <c r="D211">
        <f>D210+C211</f>
        <v>6.1607666731860098</v>
      </c>
      <c r="E211">
        <f>ROUNDDOWN(D211,2)</f>
        <v>6.16</v>
      </c>
    </row>
    <row r="212" spans="1:5" x14ac:dyDescent="0.35">
      <c r="A212" s="15">
        <v>245.7</v>
      </c>
      <c r="B212" s="14">
        <v>2</v>
      </c>
      <c r="C212">
        <f>(B212*100)/$H$1</f>
        <v>3.9115978877371407E-2</v>
      </c>
      <c r="D212">
        <f>D211+C212</f>
        <v>6.1998826520633816</v>
      </c>
      <c r="E212">
        <f>ROUNDDOWN(D212,2)</f>
        <v>6.19</v>
      </c>
    </row>
    <row r="213" spans="1:5" x14ac:dyDescent="0.35">
      <c r="A213" s="15">
        <v>245.6</v>
      </c>
      <c r="B213" s="14">
        <v>2</v>
      </c>
      <c r="C213">
        <f>(B213*100)/$H$1</f>
        <v>3.9115978877371407E-2</v>
      </c>
      <c r="D213">
        <f>D212+C213</f>
        <v>6.2389986309407535</v>
      </c>
      <c r="E213">
        <f>ROUNDDOWN(D213,2)</f>
        <v>6.23</v>
      </c>
    </row>
    <row r="214" spans="1:5" x14ac:dyDescent="0.35">
      <c r="A214" s="15">
        <v>245.5</v>
      </c>
      <c r="B214" s="14">
        <v>1</v>
      </c>
      <c r="C214">
        <f>(B214*100)/$H$1</f>
        <v>1.9557989438685704E-2</v>
      </c>
      <c r="D214">
        <f>D213+C214</f>
        <v>6.2585566203794389</v>
      </c>
      <c r="E214">
        <f>ROUNDDOWN(D214,2)</f>
        <v>6.25</v>
      </c>
    </row>
    <row r="215" spans="1:5" x14ac:dyDescent="0.35">
      <c r="A215" s="15">
        <v>245.4</v>
      </c>
      <c r="B215" s="14">
        <v>3</v>
      </c>
      <c r="C215">
        <f>(B215*100)/$H$1</f>
        <v>5.8673968316057111E-2</v>
      </c>
      <c r="D215">
        <f>D214+C215</f>
        <v>6.3172305886954963</v>
      </c>
      <c r="E215">
        <f>ROUNDDOWN(D215,2)</f>
        <v>6.31</v>
      </c>
    </row>
    <row r="216" spans="1:5" x14ac:dyDescent="0.35">
      <c r="A216" s="15">
        <v>245.2</v>
      </c>
      <c r="B216" s="14">
        <v>1</v>
      </c>
      <c r="C216">
        <f>(B216*100)/$H$1</f>
        <v>1.9557989438685704E-2</v>
      </c>
      <c r="D216">
        <f>D215+C216</f>
        <v>6.3367885781341817</v>
      </c>
      <c r="E216">
        <f>ROUNDDOWN(D216,2)</f>
        <v>6.33</v>
      </c>
    </row>
    <row r="217" spans="1:5" x14ac:dyDescent="0.35">
      <c r="A217" s="15">
        <v>245.1</v>
      </c>
      <c r="B217" s="14">
        <v>3</v>
      </c>
      <c r="C217">
        <f>(B217*100)/$H$1</f>
        <v>5.8673968316057111E-2</v>
      </c>
      <c r="D217">
        <f>D216+C217</f>
        <v>6.395462546450239</v>
      </c>
      <c r="E217">
        <f>ROUNDDOWN(D217,2)</f>
        <v>6.39</v>
      </c>
    </row>
    <row r="218" spans="1:5" x14ac:dyDescent="0.35">
      <c r="A218" s="15">
        <v>245</v>
      </c>
      <c r="B218" s="14">
        <v>2</v>
      </c>
      <c r="C218">
        <f>(B218*100)/$H$1</f>
        <v>3.9115978877371407E-2</v>
      </c>
      <c r="D218">
        <f>D217+C218</f>
        <v>6.4345785253276109</v>
      </c>
      <c r="E218">
        <f>ROUNDDOWN(D218,2)</f>
        <v>6.43</v>
      </c>
    </row>
    <row r="219" spans="1:5" x14ac:dyDescent="0.35">
      <c r="A219" s="15">
        <v>244.9</v>
      </c>
      <c r="B219" s="14">
        <v>4</v>
      </c>
      <c r="C219">
        <f>(B219*100)/$H$1</f>
        <v>7.8231957754742815E-2</v>
      </c>
      <c r="D219">
        <f>D218+C219</f>
        <v>6.5128104830823537</v>
      </c>
      <c r="E219">
        <f>ROUNDDOWN(D219,2)</f>
        <v>6.51</v>
      </c>
    </row>
    <row r="220" spans="1:5" x14ac:dyDescent="0.35">
      <c r="A220" s="15">
        <v>244.8</v>
      </c>
      <c r="B220" s="14">
        <v>1</v>
      </c>
      <c r="C220">
        <f>(B220*100)/$H$1</f>
        <v>1.9557989438685704E-2</v>
      </c>
      <c r="D220">
        <f>D219+C220</f>
        <v>6.5323684725210391</v>
      </c>
      <c r="E220">
        <f>ROUNDDOWN(D220,2)</f>
        <v>6.53</v>
      </c>
    </row>
    <row r="221" spans="1:5" x14ac:dyDescent="0.35">
      <c r="A221" s="15">
        <v>244.7</v>
      </c>
      <c r="B221" s="14">
        <v>1</v>
      </c>
      <c r="C221">
        <f>(B221*100)/$H$1</f>
        <v>1.9557989438685704E-2</v>
      </c>
      <c r="D221">
        <f>D220+C221</f>
        <v>6.5519264619597246</v>
      </c>
      <c r="E221">
        <f>ROUNDDOWN(D221,2)</f>
        <v>6.55</v>
      </c>
    </row>
    <row r="222" spans="1:5" x14ac:dyDescent="0.35">
      <c r="A222" s="15">
        <v>244.6</v>
      </c>
      <c r="B222" s="14">
        <v>2</v>
      </c>
      <c r="C222">
        <f>(B222*100)/$H$1</f>
        <v>3.9115978877371407E-2</v>
      </c>
      <c r="D222">
        <f>D221+C222</f>
        <v>6.5910424408370964</v>
      </c>
      <c r="E222">
        <f>ROUNDDOWN(D222,2)</f>
        <v>6.59</v>
      </c>
    </row>
    <row r="223" spans="1:5" x14ac:dyDescent="0.35">
      <c r="A223" s="15">
        <v>244.5</v>
      </c>
      <c r="B223" s="14">
        <v>2</v>
      </c>
      <c r="C223">
        <f>(B223*100)/$H$1</f>
        <v>3.9115978877371407E-2</v>
      </c>
      <c r="D223">
        <f>D222+C223</f>
        <v>6.6301584197144683</v>
      </c>
      <c r="E223">
        <f>ROUNDDOWN(D223,2)</f>
        <v>6.63</v>
      </c>
    </row>
    <row r="224" spans="1:5" x14ac:dyDescent="0.35">
      <c r="A224" s="15">
        <v>244.4</v>
      </c>
      <c r="B224" s="14">
        <v>5</v>
      </c>
      <c r="C224">
        <f>(B224*100)/$H$1</f>
        <v>9.7789947193428511E-2</v>
      </c>
      <c r="D224">
        <f>D223+C224</f>
        <v>6.7279483669078965</v>
      </c>
      <c r="E224">
        <f>ROUNDDOWN(D224,2)</f>
        <v>6.72</v>
      </c>
    </row>
    <row r="225" spans="1:5" x14ac:dyDescent="0.35">
      <c r="A225" s="15">
        <v>244.2</v>
      </c>
      <c r="B225" s="14">
        <v>1</v>
      </c>
      <c r="C225">
        <f>(B225*100)/$H$1</f>
        <v>1.9557989438685704E-2</v>
      </c>
      <c r="D225">
        <f>D224+C225</f>
        <v>6.747506356346582</v>
      </c>
      <c r="E225">
        <f>ROUNDDOWN(D225,2)</f>
        <v>6.74</v>
      </c>
    </row>
    <row r="226" spans="1:5" x14ac:dyDescent="0.35">
      <c r="A226" s="15">
        <v>244.1</v>
      </c>
      <c r="B226" s="14">
        <v>3</v>
      </c>
      <c r="C226">
        <f>(B226*100)/$H$1</f>
        <v>5.8673968316057111E-2</v>
      </c>
      <c r="D226">
        <f>D225+C226</f>
        <v>6.8061803246626393</v>
      </c>
      <c r="E226">
        <f>ROUNDDOWN(D226,2)</f>
        <v>6.8</v>
      </c>
    </row>
    <row r="227" spans="1:5" x14ac:dyDescent="0.35">
      <c r="A227" s="15">
        <v>244</v>
      </c>
      <c r="B227" s="14">
        <v>3</v>
      </c>
      <c r="C227">
        <f>(B227*100)/$H$1</f>
        <v>5.8673968316057111E-2</v>
      </c>
      <c r="D227">
        <f>D226+C227</f>
        <v>6.8648542929786966</v>
      </c>
      <c r="E227">
        <f>ROUNDDOWN(D227,2)</f>
        <v>6.86</v>
      </c>
    </row>
    <row r="228" spans="1:5" x14ac:dyDescent="0.35">
      <c r="A228" s="15">
        <v>243.9</v>
      </c>
      <c r="B228" s="14">
        <v>4</v>
      </c>
      <c r="C228">
        <f>(B228*100)/$H$1</f>
        <v>7.8231957754742815E-2</v>
      </c>
      <c r="D228">
        <f>D227+C228</f>
        <v>6.9430862507334394</v>
      </c>
      <c r="E228">
        <f>ROUNDDOWN(D228,2)</f>
        <v>6.94</v>
      </c>
    </row>
    <row r="229" spans="1:5" x14ac:dyDescent="0.35">
      <c r="A229" s="15">
        <v>243.8</v>
      </c>
      <c r="B229" s="14">
        <v>2</v>
      </c>
      <c r="C229">
        <f>(B229*100)/$H$1</f>
        <v>3.9115978877371407E-2</v>
      </c>
      <c r="D229">
        <f>D228+C229</f>
        <v>6.9822022296108113</v>
      </c>
      <c r="E229">
        <f>ROUNDDOWN(D229,2)</f>
        <v>6.98</v>
      </c>
    </row>
    <row r="230" spans="1:5" x14ac:dyDescent="0.35">
      <c r="A230" s="15">
        <v>243.7</v>
      </c>
      <c r="B230" s="14">
        <v>3</v>
      </c>
      <c r="C230">
        <f>(B230*100)/$H$1</f>
        <v>5.8673968316057111E-2</v>
      </c>
      <c r="D230">
        <f>D229+C230</f>
        <v>7.0408761979268686</v>
      </c>
      <c r="E230">
        <f>ROUNDDOWN(D230,2)</f>
        <v>7.04</v>
      </c>
    </row>
    <row r="231" spans="1:5" x14ac:dyDescent="0.35">
      <c r="A231" s="15">
        <v>243.6</v>
      </c>
      <c r="B231" s="14">
        <v>2</v>
      </c>
      <c r="C231">
        <f>(B231*100)/$H$1</f>
        <v>3.9115978877371407E-2</v>
      </c>
      <c r="D231">
        <f>D230+C231</f>
        <v>7.0799921768042404</v>
      </c>
      <c r="E231">
        <f>ROUNDDOWN(D231,2)</f>
        <v>7.07</v>
      </c>
    </row>
    <row r="232" spans="1:5" x14ac:dyDescent="0.35">
      <c r="A232" s="15">
        <v>243.5</v>
      </c>
      <c r="B232" s="14">
        <v>1</v>
      </c>
      <c r="C232">
        <f>(B232*100)/$H$1</f>
        <v>1.9557989438685704E-2</v>
      </c>
      <c r="D232">
        <f>D231+C232</f>
        <v>7.0995501662429259</v>
      </c>
      <c r="E232">
        <f>ROUNDDOWN(D232,2)</f>
        <v>7.09</v>
      </c>
    </row>
    <row r="233" spans="1:5" x14ac:dyDescent="0.35">
      <c r="A233" s="15">
        <v>243.4</v>
      </c>
      <c r="B233" s="14">
        <v>2</v>
      </c>
      <c r="C233">
        <f>(B233*100)/$H$1</f>
        <v>3.9115978877371407E-2</v>
      </c>
      <c r="D233">
        <f>D232+C233</f>
        <v>7.1386661451202977</v>
      </c>
      <c r="E233">
        <f>ROUNDDOWN(D233,2)</f>
        <v>7.13</v>
      </c>
    </row>
    <row r="234" spans="1:5" x14ac:dyDescent="0.35">
      <c r="A234" s="15">
        <v>243.3</v>
      </c>
      <c r="B234" s="14">
        <v>3</v>
      </c>
      <c r="C234">
        <f>(B234*100)/$H$1</f>
        <v>5.8673968316057111E-2</v>
      </c>
      <c r="D234">
        <f>D233+C234</f>
        <v>7.197340113436355</v>
      </c>
      <c r="E234">
        <f>ROUNDDOWN(D234,2)</f>
        <v>7.19</v>
      </c>
    </row>
    <row r="235" spans="1:5" x14ac:dyDescent="0.35">
      <c r="A235" s="15">
        <v>243.1</v>
      </c>
      <c r="B235" s="14">
        <v>1</v>
      </c>
      <c r="C235">
        <f>(B235*100)/$H$1</f>
        <v>1.9557989438685704E-2</v>
      </c>
      <c r="D235">
        <f>D234+C235</f>
        <v>7.2168981028750405</v>
      </c>
      <c r="E235">
        <f>ROUNDDOWN(D235,2)</f>
        <v>7.21</v>
      </c>
    </row>
    <row r="236" spans="1:5" x14ac:dyDescent="0.35">
      <c r="A236" s="15">
        <v>243</v>
      </c>
      <c r="B236" s="14">
        <v>4</v>
      </c>
      <c r="C236">
        <f>(B236*100)/$H$1</f>
        <v>7.8231957754742815E-2</v>
      </c>
      <c r="D236">
        <f>D235+C236</f>
        <v>7.2951300606297833</v>
      </c>
      <c r="E236">
        <f>ROUNDDOWN(D236,2)</f>
        <v>7.29</v>
      </c>
    </row>
    <row r="237" spans="1:5" x14ac:dyDescent="0.35">
      <c r="A237" s="15">
        <v>242.9</v>
      </c>
      <c r="B237" s="14">
        <v>3</v>
      </c>
      <c r="C237">
        <f>(B237*100)/$H$1</f>
        <v>5.8673968316057111E-2</v>
      </c>
      <c r="D237">
        <f>D236+C237</f>
        <v>7.3538040289458406</v>
      </c>
      <c r="E237">
        <f>ROUNDDOWN(D237,2)</f>
        <v>7.35</v>
      </c>
    </row>
    <row r="238" spans="1:5" x14ac:dyDescent="0.35">
      <c r="A238" s="15">
        <v>242.8</v>
      </c>
      <c r="B238" s="14">
        <v>4</v>
      </c>
      <c r="C238">
        <f>(B238*100)/$H$1</f>
        <v>7.8231957754742815E-2</v>
      </c>
      <c r="D238">
        <f>D237+C238</f>
        <v>7.4320359867005834</v>
      </c>
      <c r="E238">
        <f>ROUNDDOWN(D238,2)</f>
        <v>7.43</v>
      </c>
    </row>
    <row r="239" spans="1:5" x14ac:dyDescent="0.35">
      <c r="A239" s="15">
        <v>242.7</v>
      </c>
      <c r="B239" s="14">
        <v>2</v>
      </c>
      <c r="C239">
        <f>(B239*100)/$H$1</f>
        <v>3.9115978877371407E-2</v>
      </c>
      <c r="D239">
        <f>D238+C239</f>
        <v>7.4711519655779552</v>
      </c>
      <c r="E239">
        <f>ROUNDDOWN(D239,2)</f>
        <v>7.47</v>
      </c>
    </row>
    <row r="240" spans="1:5" x14ac:dyDescent="0.35">
      <c r="A240" s="15">
        <v>242.6</v>
      </c>
      <c r="B240" s="14">
        <v>1</v>
      </c>
      <c r="C240">
        <f>(B240*100)/$H$1</f>
        <v>1.9557989438685704E-2</v>
      </c>
      <c r="D240">
        <f>D239+C240</f>
        <v>7.4907099550166407</v>
      </c>
      <c r="E240">
        <f>ROUNDDOWN(D240,2)</f>
        <v>7.49</v>
      </c>
    </row>
    <row r="241" spans="1:5" x14ac:dyDescent="0.35">
      <c r="A241" s="15">
        <v>242.5</v>
      </c>
      <c r="B241" s="14">
        <v>2</v>
      </c>
      <c r="C241">
        <f>(B241*100)/$H$1</f>
        <v>3.9115978877371407E-2</v>
      </c>
      <c r="D241">
        <f>D240+C241</f>
        <v>7.5298259338940126</v>
      </c>
      <c r="E241">
        <f>ROUNDDOWN(D241,2)</f>
        <v>7.52</v>
      </c>
    </row>
    <row r="242" spans="1:5" x14ac:dyDescent="0.35">
      <c r="A242" s="15">
        <v>242.3</v>
      </c>
      <c r="B242" s="14">
        <v>1</v>
      </c>
      <c r="C242">
        <f>(B242*100)/$H$1</f>
        <v>1.9557989438685704E-2</v>
      </c>
      <c r="D242">
        <f>D241+C242</f>
        <v>7.549383923332698</v>
      </c>
      <c r="E242">
        <f>ROUNDDOWN(D242,2)</f>
        <v>7.54</v>
      </c>
    </row>
    <row r="243" spans="1:5" x14ac:dyDescent="0.35">
      <c r="A243" s="15">
        <v>242.2</v>
      </c>
      <c r="B243" s="14">
        <v>3</v>
      </c>
      <c r="C243">
        <f>(B243*100)/$H$1</f>
        <v>5.8673968316057111E-2</v>
      </c>
      <c r="D243">
        <f>D242+C243</f>
        <v>7.6080578916487553</v>
      </c>
      <c r="E243">
        <f>ROUNDDOWN(D243,2)</f>
        <v>7.6</v>
      </c>
    </row>
    <row r="244" spans="1:5" x14ac:dyDescent="0.35">
      <c r="A244" s="15">
        <v>242.1</v>
      </c>
      <c r="B244" s="14">
        <v>2</v>
      </c>
      <c r="C244">
        <f>(B244*100)/$H$1</f>
        <v>3.9115978877371407E-2</v>
      </c>
      <c r="D244">
        <f>D243+C244</f>
        <v>7.6471738705261272</v>
      </c>
      <c r="E244">
        <f>ROUNDDOWN(D244,2)</f>
        <v>7.64</v>
      </c>
    </row>
    <row r="245" spans="1:5" x14ac:dyDescent="0.35">
      <c r="A245" s="15">
        <v>242</v>
      </c>
      <c r="B245" s="14">
        <v>2</v>
      </c>
      <c r="C245">
        <f>(B245*100)/$H$1</f>
        <v>3.9115978877371407E-2</v>
      </c>
      <c r="D245">
        <f>D244+C245</f>
        <v>7.686289849403499</v>
      </c>
      <c r="E245">
        <f>ROUNDDOWN(D245,2)</f>
        <v>7.68</v>
      </c>
    </row>
    <row r="246" spans="1:5" x14ac:dyDescent="0.35">
      <c r="A246" s="15">
        <v>241.9</v>
      </c>
      <c r="B246" s="14">
        <v>2</v>
      </c>
      <c r="C246">
        <f>(B246*100)/$H$1</f>
        <v>3.9115978877371407E-2</v>
      </c>
      <c r="D246">
        <f>D245+C246</f>
        <v>7.7254058282808709</v>
      </c>
      <c r="E246">
        <f>ROUNDDOWN(D246,2)</f>
        <v>7.72</v>
      </c>
    </row>
    <row r="247" spans="1:5" x14ac:dyDescent="0.35">
      <c r="A247" s="15">
        <v>241.8</v>
      </c>
      <c r="B247" s="14">
        <v>3</v>
      </c>
      <c r="C247">
        <f>(B247*100)/$H$1</f>
        <v>5.8673968316057111E-2</v>
      </c>
      <c r="D247">
        <f>D246+C247</f>
        <v>7.7840797965969282</v>
      </c>
      <c r="E247">
        <f>ROUNDDOWN(D247,2)</f>
        <v>7.78</v>
      </c>
    </row>
    <row r="248" spans="1:5" x14ac:dyDescent="0.35">
      <c r="A248" s="15">
        <v>241.6</v>
      </c>
      <c r="B248" s="14">
        <v>1</v>
      </c>
      <c r="C248">
        <f>(B248*100)/$H$1</f>
        <v>1.9557989438685704E-2</v>
      </c>
      <c r="D248">
        <f>D247+C248</f>
        <v>7.8036377860356136</v>
      </c>
      <c r="E248">
        <f>ROUNDDOWN(D248,2)</f>
        <v>7.8</v>
      </c>
    </row>
    <row r="249" spans="1:5" x14ac:dyDescent="0.35">
      <c r="A249" s="15">
        <v>241.5</v>
      </c>
      <c r="B249" s="14">
        <v>1</v>
      </c>
      <c r="C249">
        <f>(B249*100)/$H$1</f>
        <v>1.9557989438685704E-2</v>
      </c>
      <c r="D249">
        <f>D248+C249</f>
        <v>7.8231957754742991</v>
      </c>
      <c r="E249">
        <f>ROUNDDOWN(D249,2)</f>
        <v>7.82</v>
      </c>
    </row>
    <row r="250" spans="1:5" x14ac:dyDescent="0.35">
      <c r="A250" s="15">
        <v>241.4</v>
      </c>
      <c r="B250" s="14">
        <v>1</v>
      </c>
      <c r="C250">
        <f>(B250*100)/$H$1</f>
        <v>1.9557989438685704E-2</v>
      </c>
      <c r="D250">
        <f>D249+C250</f>
        <v>7.8427537649129846</v>
      </c>
      <c r="E250">
        <f>ROUNDDOWN(D250,2)</f>
        <v>7.84</v>
      </c>
    </row>
    <row r="251" spans="1:5" x14ac:dyDescent="0.35">
      <c r="A251" s="15">
        <v>241.3</v>
      </c>
      <c r="B251" s="14">
        <v>1</v>
      </c>
      <c r="C251">
        <f>(B251*100)/$H$1</f>
        <v>1.9557989438685704E-2</v>
      </c>
      <c r="D251">
        <f>D250+C251</f>
        <v>7.8623117543516701</v>
      </c>
      <c r="E251">
        <f>ROUNDDOWN(D251,2)</f>
        <v>7.86</v>
      </c>
    </row>
    <row r="252" spans="1:5" x14ac:dyDescent="0.35">
      <c r="A252" s="15">
        <v>241.2</v>
      </c>
      <c r="B252" s="14">
        <v>7</v>
      </c>
      <c r="C252">
        <f>(B252*100)/$H$1</f>
        <v>0.13690592607079993</v>
      </c>
      <c r="D252">
        <f>D251+C252</f>
        <v>7.9992176804224702</v>
      </c>
      <c r="E252">
        <f>ROUNDDOWN(D252,2)</f>
        <v>7.99</v>
      </c>
    </row>
    <row r="253" spans="1:5" x14ac:dyDescent="0.35">
      <c r="A253" s="15">
        <v>241.1</v>
      </c>
      <c r="B253" s="14">
        <v>2</v>
      </c>
      <c r="C253">
        <f>(B253*100)/$H$1</f>
        <v>3.9115978877371407E-2</v>
      </c>
      <c r="D253">
        <f>D252+C253</f>
        <v>8.0383336592998411</v>
      </c>
      <c r="E253">
        <f>ROUNDDOWN(D253,2)</f>
        <v>8.0299999999999994</v>
      </c>
    </row>
    <row r="254" spans="1:5" x14ac:dyDescent="0.35">
      <c r="A254" s="15">
        <v>241</v>
      </c>
      <c r="B254" s="14">
        <v>1</v>
      </c>
      <c r="C254">
        <f>(B254*100)/$H$1</f>
        <v>1.9557989438685704E-2</v>
      </c>
      <c r="D254">
        <f>D253+C254</f>
        <v>8.0578916487385275</v>
      </c>
      <c r="E254">
        <f>ROUNDDOWN(D254,2)</f>
        <v>8.0500000000000007</v>
      </c>
    </row>
    <row r="255" spans="1:5" x14ac:dyDescent="0.35">
      <c r="A255" s="15">
        <v>240.9</v>
      </c>
      <c r="B255" s="14">
        <v>1</v>
      </c>
      <c r="C255">
        <f>(B255*100)/$H$1</f>
        <v>1.9557989438685704E-2</v>
      </c>
      <c r="D255">
        <f>D254+C255</f>
        <v>8.0774496381772138</v>
      </c>
      <c r="E255">
        <f>ROUNDDOWN(D255,2)</f>
        <v>8.07</v>
      </c>
    </row>
    <row r="256" spans="1:5" x14ac:dyDescent="0.35">
      <c r="A256" s="15">
        <v>240.8</v>
      </c>
      <c r="B256" s="14">
        <v>2</v>
      </c>
      <c r="C256">
        <f>(B256*100)/$H$1</f>
        <v>3.9115978877371407E-2</v>
      </c>
      <c r="D256">
        <f>D255+C256</f>
        <v>8.1165656170545848</v>
      </c>
      <c r="E256">
        <f>ROUNDDOWN(D256,2)</f>
        <v>8.11</v>
      </c>
    </row>
    <row r="257" spans="1:5" x14ac:dyDescent="0.35">
      <c r="A257" s="15">
        <v>240.7</v>
      </c>
      <c r="B257" s="14">
        <v>6</v>
      </c>
      <c r="C257">
        <f>(B257*100)/$H$1</f>
        <v>0.11734793663211422</v>
      </c>
      <c r="D257">
        <f>D256+C257</f>
        <v>8.2339135536866994</v>
      </c>
      <c r="E257">
        <f>ROUNDDOWN(D257,2)</f>
        <v>8.23</v>
      </c>
    </row>
    <row r="258" spans="1:5" x14ac:dyDescent="0.35">
      <c r="A258" s="15">
        <v>240.6</v>
      </c>
      <c r="B258" s="14">
        <v>2</v>
      </c>
      <c r="C258">
        <f>(B258*100)/$H$1</f>
        <v>3.9115978877371407E-2</v>
      </c>
      <c r="D258">
        <f>D257+C258</f>
        <v>8.2730295325640704</v>
      </c>
      <c r="E258">
        <f>ROUNDDOWN(D258,2)</f>
        <v>8.27</v>
      </c>
    </row>
    <row r="259" spans="1:5" x14ac:dyDescent="0.35">
      <c r="A259" s="15">
        <v>240.5</v>
      </c>
      <c r="B259" s="14">
        <v>3</v>
      </c>
      <c r="C259">
        <f>(B259*100)/$H$1</f>
        <v>5.8673968316057111E-2</v>
      </c>
      <c r="D259">
        <f>D258+C259</f>
        <v>8.3317035008801277</v>
      </c>
      <c r="E259">
        <f>ROUNDDOWN(D259,2)</f>
        <v>8.33</v>
      </c>
    </row>
    <row r="260" spans="1:5" x14ac:dyDescent="0.35">
      <c r="A260" s="15">
        <v>240.4</v>
      </c>
      <c r="B260" s="14">
        <v>2</v>
      </c>
      <c r="C260">
        <f>(B260*100)/$H$1</f>
        <v>3.9115978877371407E-2</v>
      </c>
      <c r="D260">
        <f>D259+C260</f>
        <v>8.3708194797574986</v>
      </c>
      <c r="E260">
        <f>ROUNDDOWN(D260,2)</f>
        <v>8.3699999999999992</v>
      </c>
    </row>
    <row r="261" spans="1:5" x14ac:dyDescent="0.35">
      <c r="A261" s="15">
        <v>240.3</v>
      </c>
      <c r="B261" s="14">
        <v>1</v>
      </c>
      <c r="C261">
        <f>(B261*100)/$H$1</f>
        <v>1.9557989438685704E-2</v>
      </c>
      <c r="D261">
        <f>D260+C261</f>
        <v>8.390377469196185</v>
      </c>
      <c r="E261">
        <f>ROUNDDOWN(D261,2)</f>
        <v>8.39</v>
      </c>
    </row>
    <row r="262" spans="1:5" x14ac:dyDescent="0.35">
      <c r="A262" s="15">
        <v>240.2</v>
      </c>
      <c r="B262" s="14">
        <v>4</v>
      </c>
      <c r="C262">
        <f>(B262*100)/$H$1</f>
        <v>7.8231957754742815E-2</v>
      </c>
      <c r="D262">
        <f>D261+C262</f>
        <v>8.4686094269509287</v>
      </c>
      <c r="E262">
        <f>ROUNDDOWN(D262,2)</f>
        <v>8.4600000000000009</v>
      </c>
    </row>
    <row r="263" spans="1:5" x14ac:dyDescent="0.35">
      <c r="A263" s="15">
        <v>240.1</v>
      </c>
      <c r="B263" s="14">
        <v>1</v>
      </c>
      <c r="C263">
        <f>(B263*100)/$H$1</f>
        <v>1.9557989438685704E-2</v>
      </c>
      <c r="D263">
        <f>D262+C263</f>
        <v>8.488167416389615</v>
      </c>
      <c r="E263">
        <f>ROUNDDOWN(D263,2)</f>
        <v>8.48</v>
      </c>
    </row>
    <row r="264" spans="1:5" x14ac:dyDescent="0.35">
      <c r="A264" s="15">
        <v>240</v>
      </c>
      <c r="B264" s="14">
        <v>4</v>
      </c>
      <c r="C264">
        <f>(B264*100)/$H$1</f>
        <v>7.8231957754742815E-2</v>
      </c>
      <c r="D264">
        <f>D263+C264</f>
        <v>8.5663993741443587</v>
      </c>
      <c r="E264">
        <f>ROUNDDOWN(D264,2)</f>
        <v>8.56</v>
      </c>
    </row>
    <row r="265" spans="1:5" x14ac:dyDescent="0.35">
      <c r="A265" s="15">
        <v>239.9</v>
      </c>
      <c r="B265" s="14">
        <v>4</v>
      </c>
      <c r="C265">
        <f>(B265*100)/$H$1</f>
        <v>7.8231957754742815E-2</v>
      </c>
      <c r="D265">
        <f>D264+C265</f>
        <v>8.6446313318991024</v>
      </c>
      <c r="E265">
        <f>ROUNDDOWN(D265,2)</f>
        <v>8.64</v>
      </c>
    </row>
    <row r="266" spans="1:5" x14ac:dyDescent="0.35">
      <c r="A266" s="15">
        <v>239.8</v>
      </c>
      <c r="B266" s="14">
        <v>2</v>
      </c>
      <c r="C266">
        <f>(B266*100)/$H$1</f>
        <v>3.9115978877371407E-2</v>
      </c>
      <c r="D266">
        <f>D265+C266</f>
        <v>8.6837473107764733</v>
      </c>
      <c r="E266">
        <f>ROUNDDOWN(D266,2)</f>
        <v>8.68</v>
      </c>
    </row>
    <row r="267" spans="1:5" x14ac:dyDescent="0.35">
      <c r="A267" s="15">
        <v>239.7</v>
      </c>
      <c r="B267" s="14">
        <v>1</v>
      </c>
      <c r="C267">
        <f>(B267*100)/$H$1</f>
        <v>1.9557989438685704E-2</v>
      </c>
      <c r="D267">
        <f>D266+C267</f>
        <v>8.7033053002151597</v>
      </c>
      <c r="E267">
        <f>ROUNDDOWN(D267,2)</f>
        <v>8.6999999999999993</v>
      </c>
    </row>
    <row r="268" spans="1:5" x14ac:dyDescent="0.35">
      <c r="A268" s="15">
        <v>239.6</v>
      </c>
      <c r="B268" s="14">
        <v>1</v>
      </c>
      <c r="C268">
        <f>(B268*100)/$H$1</f>
        <v>1.9557989438685704E-2</v>
      </c>
      <c r="D268">
        <f>D267+C268</f>
        <v>8.7228632896538461</v>
      </c>
      <c r="E268">
        <f>ROUNDDOWN(D268,2)</f>
        <v>8.7200000000000006</v>
      </c>
    </row>
    <row r="269" spans="1:5" x14ac:dyDescent="0.35">
      <c r="A269" s="15">
        <v>239.5</v>
      </c>
      <c r="B269" s="14">
        <v>1</v>
      </c>
      <c r="C269">
        <f>(B269*100)/$H$1</f>
        <v>1.9557989438685704E-2</v>
      </c>
      <c r="D269">
        <f>D268+C269</f>
        <v>8.7424212790925324</v>
      </c>
      <c r="E269">
        <f>ROUNDDOWN(D269,2)</f>
        <v>8.74</v>
      </c>
    </row>
    <row r="270" spans="1:5" x14ac:dyDescent="0.35">
      <c r="A270" s="15">
        <v>239.4</v>
      </c>
      <c r="B270" s="14">
        <v>1</v>
      </c>
      <c r="C270">
        <f>(B270*100)/$H$1</f>
        <v>1.9557989438685704E-2</v>
      </c>
      <c r="D270">
        <f>D269+C270</f>
        <v>8.7619792685312188</v>
      </c>
      <c r="E270">
        <f>ROUNDDOWN(D270,2)</f>
        <v>8.76</v>
      </c>
    </row>
    <row r="271" spans="1:5" x14ac:dyDescent="0.35">
      <c r="A271" s="15">
        <v>239.2</v>
      </c>
      <c r="B271" s="14">
        <v>4</v>
      </c>
      <c r="C271">
        <f>(B271*100)/$H$1</f>
        <v>7.8231957754742815E-2</v>
      </c>
      <c r="D271">
        <f>D270+C271</f>
        <v>8.8402112262859625</v>
      </c>
      <c r="E271">
        <f>ROUNDDOWN(D271,2)</f>
        <v>8.84</v>
      </c>
    </row>
    <row r="272" spans="1:5" x14ac:dyDescent="0.35">
      <c r="A272" s="15">
        <v>239.1</v>
      </c>
      <c r="B272" s="14">
        <v>2</v>
      </c>
      <c r="C272">
        <f>(B272*100)/$H$1</f>
        <v>3.9115978877371407E-2</v>
      </c>
      <c r="D272">
        <f>D271+C272</f>
        <v>8.8793272051633334</v>
      </c>
      <c r="E272">
        <f>ROUNDDOWN(D272,2)</f>
        <v>8.8699999999999992</v>
      </c>
    </row>
    <row r="273" spans="1:5" x14ac:dyDescent="0.35">
      <c r="A273" s="15">
        <v>238.9</v>
      </c>
      <c r="B273" s="14">
        <v>1</v>
      </c>
      <c r="C273">
        <f>(B273*100)/$H$1</f>
        <v>1.9557989438685704E-2</v>
      </c>
      <c r="D273">
        <f>D272+C273</f>
        <v>8.8988851946020198</v>
      </c>
      <c r="E273">
        <f>ROUNDDOWN(D273,2)</f>
        <v>8.89</v>
      </c>
    </row>
    <row r="274" spans="1:5" x14ac:dyDescent="0.35">
      <c r="A274" s="15">
        <v>238.7</v>
      </c>
      <c r="B274" s="14">
        <v>2</v>
      </c>
      <c r="C274">
        <f>(B274*100)/$H$1</f>
        <v>3.9115978877371407E-2</v>
      </c>
      <c r="D274">
        <f>D273+C274</f>
        <v>8.9380011734793907</v>
      </c>
      <c r="E274">
        <f>ROUNDDOWN(D274,2)</f>
        <v>8.93</v>
      </c>
    </row>
    <row r="275" spans="1:5" x14ac:dyDescent="0.35">
      <c r="A275" s="15">
        <v>238.6</v>
      </c>
      <c r="B275" s="14">
        <v>2</v>
      </c>
      <c r="C275">
        <f>(B275*100)/$H$1</f>
        <v>3.9115978877371407E-2</v>
      </c>
      <c r="D275">
        <f>D274+C275</f>
        <v>8.9771171523567617</v>
      </c>
      <c r="E275">
        <f>ROUNDDOWN(D275,2)</f>
        <v>8.9700000000000006</v>
      </c>
    </row>
    <row r="276" spans="1:5" x14ac:dyDescent="0.35">
      <c r="A276" s="15">
        <v>238.5</v>
      </c>
      <c r="B276" s="14">
        <v>5</v>
      </c>
      <c r="C276">
        <f>(B276*100)/$H$1</f>
        <v>9.7789947193428511E-2</v>
      </c>
      <c r="D276">
        <f>D275+C276</f>
        <v>9.0749070995501899</v>
      </c>
      <c r="E276">
        <f>ROUNDDOWN(D276,2)</f>
        <v>9.07</v>
      </c>
    </row>
    <row r="277" spans="1:5" x14ac:dyDescent="0.35">
      <c r="A277" s="15">
        <v>238.4</v>
      </c>
      <c r="B277" s="14">
        <v>4</v>
      </c>
      <c r="C277">
        <f>(B277*100)/$H$1</f>
        <v>7.8231957754742815E-2</v>
      </c>
      <c r="D277">
        <f>D276+C277</f>
        <v>9.1531390573049336</v>
      </c>
      <c r="E277">
        <f>ROUNDDOWN(D277,2)</f>
        <v>9.15</v>
      </c>
    </row>
    <row r="278" spans="1:5" x14ac:dyDescent="0.35">
      <c r="A278" s="15">
        <v>238.3</v>
      </c>
      <c r="B278" s="14">
        <v>1</v>
      </c>
      <c r="C278">
        <f>(B278*100)/$H$1</f>
        <v>1.9557989438685704E-2</v>
      </c>
      <c r="D278">
        <f>D277+C278</f>
        <v>9.17269704674362</v>
      </c>
      <c r="E278">
        <f>ROUNDDOWN(D278,2)</f>
        <v>9.17</v>
      </c>
    </row>
    <row r="279" spans="1:5" x14ac:dyDescent="0.35">
      <c r="A279" s="15">
        <v>238.2</v>
      </c>
      <c r="B279" s="14">
        <v>3</v>
      </c>
      <c r="C279">
        <f>(B279*100)/$H$1</f>
        <v>5.8673968316057111E-2</v>
      </c>
      <c r="D279">
        <f>D278+C279</f>
        <v>9.2313710150596773</v>
      </c>
      <c r="E279">
        <f>ROUNDDOWN(D279,2)</f>
        <v>9.23</v>
      </c>
    </row>
    <row r="280" spans="1:5" x14ac:dyDescent="0.35">
      <c r="A280" s="15">
        <v>238.1</v>
      </c>
      <c r="B280" s="14">
        <v>5</v>
      </c>
      <c r="C280">
        <f>(B280*100)/$H$1</f>
        <v>9.7789947193428511E-2</v>
      </c>
      <c r="D280">
        <f>D279+C280</f>
        <v>9.3291609622531055</v>
      </c>
      <c r="E280">
        <f>ROUNDDOWN(D280,2)</f>
        <v>9.32</v>
      </c>
    </row>
    <row r="281" spans="1:5" x14ac:dyDescent="0.35">
      <c r="A281" s="15">
        <v>238</v>
      </c>
      <c r="B281" s="14">
        <v>3</v>
      </c>
      <c r="C281">
        <f>(B281*100)/$H$1</f>
        <v>5.8673968316057111E-2</v>
      </c>
      <c r="D281">
        <f>D280+C281</f>
        <v>9.3878349305691629</v>
      </c>
      <c r="E281">
        <f>ROUNDDOWN(D281,2)</f>
        <v>9.3800000000000008</v>
      </c>
    </row>
    <row r="282" spans="1:5" x14ac:dyDescent="0.35">
      <c r="A282" s="15">
        <v>237.9</v>
      </c>
      <c r="B282" s="14">
        <v>2</v>
      </c>
      <c r="C282">
        <f>(B282*100)/$H$1</f>
        <v>3.9115978877371407E-2</v>
      </c>
      <c r="D282">
        <f>D281+C282</f>
        <v>9.4269509094465338</v>
      </c>
      <c r="E282">
        <f>ROUNDDOWN(D282,2)</f>
        <v>9.42</v>
      </c>
    </row>
    <row r="283" spans="1:5" x14ac:dyDescent="0.35">
      <c r="A283" s="15">
        <v>237.8</v>
      </c>
      <c r="B283" s="14">
        <v>1</v>
      </c>
      <c r="C283">
        <f>(B283*100)/$H$1</f>
        <v>1.9557989438685704E-2</v>
      </c>
      <c r="D283">
        <f>D282+C283</f>
        <v>9.4465088988852202</v>
      </c>
      <c r="E283">
        <f>ROUNDDOWN(D283,2)</f>
        <v>9.44</v>
      </c>
    </row>
    <row r="284" spans="1:5" x14ac:dyDescent="0.35">
      <c r="A284" s="15">
        <v>237.7</v>
      </c>
      <c r="B284" s="14">
        <v>1</v>
      </c>
      <c r="C284">
        <f>(B284*100)/$H$1</f>
        <v>1.9557989438685704E-2</v>
      </c>
      <c r="D284">
        <f>D283+C284</f>
        <v>9.4660668883239065</v>
      </c>
      <c r="E284">
        <f>ROUNDDOWN(D284,2)</f>
        <v>9.4600000000000009</v>
      </c>
    </row>
    <row r="285" spans="1:5" x14ac:dyDescent="0.35">
      <c r="A285" s="15">
        <v>237.5</v>
      </c>
      <c r="B285" s="14">
        <v>5</v>
      </c>
      <c r="C285">
        <f>(B285*100)/$H$1</f>
        <v>9.7789947193428511E-2</v>
      </c>
      <c r="D285">
        <f>D284+C285</f>
        <v>9.5638568355173348</v>
      </c>
      <c r="E285">
        <f>ROUNDDOWN(D285,2)</f>
        <v>9.56</v>
      </c>
    </row>
    <row r="286" spans="1:5" x14ac:dyDescent="0.35">
      <c r="A286" s="15">
        <v>237.4</v>
      </c>
      <c r="B286" s="14">
        <v>2</v>
      </c>
      <c r="C286">
        <f>(B286*100)/$H$1</f>
        <v>3.9115978877371407E-2</v>
      </c>
      <c r="D286">
        <f>D285+C286</f>
        <v>9.6029728143947057</v>
      </c>
      <c r="E286">
        <f>ROUNDDOWN(D286,2)</f>
        <v>9.6</v>
      </c>
    </row>
    <row r="287" spans="1:5" x14ac:dyDescent="0.35">
      <c r="A287" s="15">
        <v>237.3</v>
      </c>
      <c r="B287" s="14">
        <v>3</v>
      </c>
      <c r="C287">
        <f>(B287*100)/$H$1</f>
        <v>5.8673968316057111E-2</v>
      </c>
      <c r="D287">
        <f>D286+C287</f>
        <v>9.661646782710763</v>
      </c>
      <c r="E287">
        <f>ROUNDDOWN(D287,2)</f>
        <v>9.66</v>
      </c>
    </row>
    <row r="288" spans="1:5" x14ac:dyDescent="0.35">
      <c r="A288" s="15">
        <v>237.2</v>
      </c>
      <c r="B288" s="14">
        <v>4</v>
      </c>
      <c r="C288">
        <f>(B288*100)/$H$1</f>
        <v>7.8231957754742815E-2</v>
      </c>
      <c r="D288">
        <f>D287+C288</f>
        <v>9.7398787404655067</v>
      </c>
      <c r="E288">
        <f>ROUNDDOWN(D288,2)</f>
        <v>9.73</v>
      </c>
    </row>
    <row r="289" spans="1:5" x14ac:dyDescent="0.35">
      <c r="A289" s="15">
        <v>237.1</v>
      </c>
      <c r="B289" s="14">
        <v>4</v>
      </c>
      <c r="C289">
        <f>(B289*100)/$H$1</f>
        <v>7.8231957754742815E-2</v>
      </c>
      <c r="D289">
        <f>D288+C289</f>
        <v>9.8181106982202504</v>
      </c>
      <c r="E289">
        <f>ROUNDDOWN(D289,2)</f>
        <v>9.81</v>
      </c>
    </row>
    <row r="290" spans="1:5" x14ac:dyDescent="0.35">
      <c r="A290" s="15">
        <v>237</v>
      </c>
      <c r="B290" s="14">
        <v>1</v>
      </c>
      <c r="C290">
        <f>(B290*100)/$H$1</f>
        <v>1.9557989438685704E-2</v>
      </c>
      <c r="D290">
        <f>D289+C290</f>
        <v>9.8376686876589368</v>
      </c>
      <c r="E290">
        <f>ROUNDDOWN(D290,2)</f>
        <v>9.83</v>
      </c>
    </row>
    <row r="291" spans="1:5" x14ac:dyDescent="0.35">
      <c r="A291" s="15">
        <v>236.9</v>
      </c>
      <c r="B291" s="14">
        <v>4</v>
      </c>
      <c r="C291">
        <f>(B291*100)/$H$1</f>
        <v>7.8231957754742815E-2</v>
      </c>
      <c r="D291">
        <f>D290+C291</f>
        <v>9.9159006454136804</v>
      </c>
      <c r="E291">
        <f>ROUNDDOWN(D291,2)</f>
        <v>9.91</v>
      </c>
    </row>
    <row r="292" spans="1:5" x14ac:dyDescent="0.35">
      <c r="A292" s="15">
        <v>236.7</v>
      </c>
      <c r="B292" s="14">
        <v>5</v>
      </c>
      <c r="C292">
        <f>(B292*100)/$H$1</f>
        <v>9.7789947193428511E-2</v>
      </c>
      <c r="D292">
        <f>D291+C292</f>
        <v>10.013690592607109</v>
      </c>
      <c r="E292">
        <f>ROUNDDOWN(D292,2)</f>
        <v>10.01</v>
      </c>
    </row>
    <row r="293" spans="1:5" x14ac:dyDescent="0.35">
      <c r="A293" s="15">
        <v>236.6</v>
      </c>
      <c r="B293" s="14">
        <v>1</v>
      </c>
      <c r="C293">
        <f>(B293*100)/$H$1</f>
        <v>1.9557989438685704E-2</v>
      </c>
      <c r="D293">
        <f>D292+C293</f>
        <v>10.033248582045795</v>
      </c>
      <c r="E293">
        <f>ROUNDDOWN(D293,2)</f>
        <v>10.029999999999999</v>
      </c>
    </row>
    <row r="294" spans="1:5" x14ac:dyDescent="0.35">
      <c r="A294" s="15">
        <v>236.5</v>
      </c>
      <c r="B294" s="14">
        <v>3</v>
      </c>
      <c r="C294">
        <f>(B294*100)/$H$1</f>
        <v>5.8673968316057111E-2</v>
      </c>
      <c r="D294">
        <f>D293+C294</f>
        <v>10.091922550361852</v>
      </c>
      <c r="E294">
        <f>ROUNDDOWN(D294,2)</f>
        <v>10.09</v>
      </c>
    </row>
    <row r="295" spans="1:5" x14ac:dyDescent="0.35">
      <c r="A295" s="15">
        <v>236.4</v>
      </c>
      <c r="B295" s="14">
        <v>1</v>
      </c>
      <c r="C295">
        <f>(B295*100)/$H$1</f>
        <v>1.9557989438685704E-2</v>
      </c>
      <c r="D295">
        <f>D294+C295</f>
        <v>10.111480539800539</v>
      </c>
      <c r="E295">
        <f>ROUNDDOWN(D295,2)</f>
        <v>10.11</v>
      </c>
    </row>
    <row r="296" spans="1:5" x14ac:dyDescent="0.35">
      <c r="A296" s="15">
        <v>236.3</v>
      </c>
      <c r="B296" s="14">
        <v>5</v>
      </c>
      <c r="C296">
        <f>(B296*100)/$H$1</f>
        <v>9.7789947193428511E-2</v>
      </c>
      <c r="D296">
        <f>D295+C296</f>
        <v>10.209270486993967</v>
      </c>
      <c r="E296">
        <f>ROUNDDOWN(D296,2)</f>
        <v>10.199999999999999</v>
      </c>
    </row>
    <row r="297" spans="1:5" x14ac:dyDescent="0.35">
      <c r="A297" s="15">
        <v>236.2</v>
      </c>
      <c r="B297" s="14">
        <v>2</v>
      </c>
      <c r="C297">
        <f>(B297*100)/$H$1</f>
        <v>3.9115978877371407E-2</v>
      </c>
      <c r="D297">
        <f>D296+C297</f>
        <v>10.248386465871338</v>
      </c>
      <c r="E297">
        <f>ROUNDDOWN(D297,2)</f>
        <v>10.24</v>
      </c>
    </row>
    <row r="298" spans="1:5" x14ac:dyDescent="0.35">
      <c r="A298" s="15">
        <v>236.1</v>
      </c>
      <c r="B298" s="14">
        <v>3</v>
      </c>
      <c r="C298">
        <f>(B298*100)/$H$1</f>
        <v>5.8673968316057111E-2</v>
      </c>
      <c r="D298">
        <f>D297+C298</f>
        <v>10.307060434187395</v>
      </c>
      <c r="E298">
        <f>ROUNDDOWN(D298,2)</f>
        <v>10.3</v>
      </c>
    </row>
    <row r="299" spans="1:5" x14ac:dyDescent="0.35">
      <c r="A299" s="15">
        <v>236</v>
      </c>
      <c r="B299" s="14">
        <v>4</v>
      </c>
      <c r="C299">
        <f>(B299*100)/$H$1</f>
        <v>7.8231957754742815E-2</v>
      </c>
      <c r="D299">
        <f>D298+C299</f>
        <v>10.385292391942139</v>
      </c>
      <c r="E299">
        <f>ROUNDDOWN(D299,2)</f>
        <v>10.38</v>
      </c>
    </row>
    <row r="300" spans="1:5" x14ac:dyDescent="0.35">
      <c r="A300" s="15">
        <v>235.9</v>
      </c>
      <c r="B300" s="14">
        <v>8</v>
      </c>
      <c r="C300">
        <f>(B300*100)/$H$1</f>
        <v>0.15646391550948563</v>
      </c>
      <c r="D300">
        <f>D299+C300</f>
        <v>10.541756307451625</v>
      </c>
      <c r="E300">
        <f>ROUNDDOWN(D300,2)</f>
        <v>10.54</v>
      </c>
    </row>
    <row r="301" spans="1:5" x14ac:dyDescent="0.35">
      <c r="A301" s="15">
        <v>235.8</v>
      </c>
      <c r="B301" s="14">
        <v>2</v>
      </c>
      <c r="C301">
        <f>(B301*100)/$H$1</f>
        <v>3.9115978877371407E-2</v>
      </c>
      <c r="D301">
        <f>D300+C301</f>
        <v>10.580872286328995</v>
      </c>
      <c r="E301">
        <f>ROUNDDOWN(D301,2)</f>
        <v>10.58</v>
      </c>
    </row>
    <row r="302" spans="1:5" x14ac:dyDescent="0.35">
      <c r="A302" s="15">
        <v>235.7</v>
      </c>
      <c r="B302" s="14">
        <v>2</v>
      </c>
      <c r="C302">
        <f>(B302*100)/$H$1</f>
        <v>3.9115978877371407E-2</v>
      </c>
      <c r="D302">
        <f>D301+C302</f>
        <v>10.619988265206366</v>
      </c>
      <c r="E302">
        <f>ROUNDDOWN(D302,2)</f>
        <v>10.61</v>
      </c>
    </row>
    <row r="303" spans="1:5" x14ac:dyDescent="0.35">
      <c r="A303" s="15">
        <v>235.6</v>
      </c>
      <c r="B303" s="14">
        <v>1</v>
      </c>
      <c r="C303">
        <f>(B303*100)/$H$1</f>
        <v>1.9557989438685704E-2</v>
      </c>
      <c r="D303">
        <f>D302+C303</f>
        <v>10.639546254645053</v>
      </c>
      <c r="E303">
        <f>ROUNDDOWN(D303,2)</f>
        <v>10.63</v>
      </c>
    </row>
    <row r="304" spans="1:5" x14ac:dyDescent="0.35">
      <c r="A304" s="15">
        <v>235.4</v>
      </c>
      <c r="B304" s="14">
        <v>2</v>
      </c>
      <c r="C304">
        <f>(B304*100)/$H$1</f>
        <v>3.9115978877371407E-2</v>
      </c>
      <c r="D304">
        <f>D303+C304</f>
        <v>10.678662233522424</v>
      </c>
      <c r="E304">
        <f>ROUNDDOWN(D304,2)</f>
        <v>10.67</v>
      </c>
    </row>
    <row r="305" spans="1:5" x14ac:dyDescent="0.35">
      <c r="A305" s="15">
        <v>235.3</v>
      </c>
      <c r="B305" s="14">
        <v>3</v>
      </c>
      <c r="C305">
        <f>(B305*100)/$H$1</f>
        <v>5.8673968316057111E-2</v>
      </c>
      <c r="D305">
        <f>D304+C305</f>
        <v>10.737336201838481</v>
      </c>
      <c r="E305">
        <f>ROUNDDOWN(D305,2)</f>
        <v>10.73</v>
      </c>
    </row>
    <row r="306" spans="1:5" x14ac:dyDescent="0.35">
      <c r="A306" s="15">
        <v>235.2</v>
      </c>
      <c r="B306" s="14">
        <v>2</v>
      </c>
      <c r="C306">
        <f>(B306*100)/$H$1</f>
        <v>3.9115978877371407E-2</v>
      </c>
      <c r="D306">
        <f>D305+C306</f>
        <v>10.776452180715852</v>
      </c>
      <c r="E306">
        <f>ROUNDDOWN(D306,2)</f>
        <v>10.77</v>
      </c>
    </row>
    <row r="307" spans="1:5" x14ac:dyDescent="0.35">
      <c r="A307" s="15">
        <v>235.1</v>
      </c>
      <c r="B307" s="14">
        <v>4</v>
      </c>
      <c r="C307">
        <f>(B307*100)/$H$1</f>
        <v>7.8231957754742815E-2</v>
      </c>
      <c r="D307">
        <f>D306+C307</f>
        <v>10.854684138470596</v>
      </c>
      <c r="E307">
        <f>ROUNDDOWN(D307,2)</f>
        <v>10.85</v>
      </c>
    </row>
    <row r="308" spans="1:5" x14ac:dyDescent="0.35">
      <c r="A308" s="15">
        <v>235</v>
      </c>
      <c r="B308" s="14">
        <v>6</v>
      </c>
      <c r="C308">
        <f>(B308*100)/$H$1</f>
        <v>0.11734793663211422</v>
      </c>
      <c r="D308">
        <f>D307+C308</f>
        <v>10.97203207510271</v>
      </c>
      <c r="E308">
        <f>ROUNDDOWN(D308,2)</f>
        <v>10.97</v>
      </c>
    </row>
    <row r="309" spans="1:5" x14ac:dyDescent="0.35">
      <c r="A309" s="15">
        <v>234.9</v>
      </c>
      <c r="B309" s="14">
        <v>4</v>
      </c>
      <c r="C309">
        <f>(B309*100)/$H$1</f>
        <v>7.8231957754742815E-2</v>
      </c>
      <c r="D309">
        <f>D308+C309</f>
        <v>11.050264032857454</v>
      </c>
      <c r="E309">
        <f>ROUNDDOWN(D309,2)</f>
        <v>11.05</v>
      </c>
    </row>
    <row r="310" spans="1:5" x14ac:dyDescent="0.35">
      <c r="A310" s="15">
        <v>234.8</v>
      </c>
      <c r="B310" s="14">
        <v>3</v>
      </c>
      <c r="C310">
        <f>(B310*100)/$H$1</f>
        <v>5.8673968316057111E-2</v>
      </c>
      <c r="D310">
        <f>D309+C310</f>
        <v>11.108938001173511</v>
      </c>
      <c r="E310">
        <f>ROUNDDOWN(D310,2)</f>
        <v>11.1</v>
      </c>
    </row>
    <row r="311" spans="1:5" x14ac:dyDescent="0.35">
      <c r="A311" s="15">
        <v>234.7</v>
      </c>
      <c r="B311" s="14">
        <v>3</v>
      </c>
      <c r="C311">
        <f>(B311*100)/$H$1</f>
        <v>5.8673968316057111E-2</v>
      </c>
      <c r="D311">
        <f>D310+C311</f>
        <v>11.167611969489569</v>
      </c>
      <c r="E311">
        <f>ROUNDDOWN(D311,2)</f>
        <v>11.16</v>
      </c>
    </row>
    <row r="312" spans="1:5" x14ac:dyDescent="0.35">
      <c r="A312" s="15">
        <v>234.5</v>
      </c>
      <c r="B312" s="14">
        <v>2</v>
      </c>
      <c r="C312">
        <f>(B312*100)/$H$1</f>
        <v>3.9115978877371407E-2</v>
      </c>
      <c r="D312">
        <f>D311+C312</f>
        <v>11.20672794836694</v>
      </c>
      <c r="E312">
        <f>ROUNDDOWN(D312,2)</f>
        <v>11.2</v>
      </c>
    </row>
    <row r="313" spans="1:5" x14ac:dyDescent="0.35">
      <c r="A313" s="15">
        <v>234.4</v>
      </c>
      <c r="B313" s="14">
        <v>4</v>
      </c>
      <c r="C313">
        <f>(B313*100)/$H$1</f>
        <v>7.8231957754742815E-2</v>
      </c>
      <c r="D313">
        <f>D312+C313</f>
        <v>11.284959906121683</v>
      </c>
      <c r="E313">
        <f>ROUNDDOWN(D313,2)</f>
        <v>11.28</v>
      </c>
    </row>
    <row r="314" spans="1:5" x14ac:dyDescent="0.35">
      <c r="A314" s="15">
        <v>234.3</v>
      </c>
      <c r="B314" s="14">
        <v>4</v>
      </c>
      <c r="C314">
        <f>(B314*100)/$H$1</f>
        <v>7.8231957754742815E-2</v>
      </c>
      <c r="D314">
        <f>D313+C314</f>
        <v>11.363191863876427</v>
      </c>
      <c r="E314">
        <f>ROUNDDOWN(D314,2)</f>
        <v>11.36</v>
      </c>
    </row>
    <row r="315" spans="1:5" x14ac:dyDescent="0.35">
      <c r="A315" s="15">
        <v>234.2</v>
      </c>
      <c r="B315" s="14">
        <v>3</v>
      </c>
      <c r="C315">
        <f>(B315*100)/$H$1</f>
        <v>5.8673968316057111E-2</v>
      </c>
      <c r="D315">
        <f>D314+C315</f>
        <v>11.421865832192484</v>
      </c>
      <c r="E315">
        <f>ROUNDDOWN(D315,2)</f>
        <v>11.42</v>
      </c>
    </row>
    <row r="316" spans="1:5" x14ac:dyDescent="0.35">
      <c r="A316" s="15">
        <v>234.1</v>
      </c>
      <c r="B316" s="14">
        <v>1</v>
      </c>
      <c r="C316">
        <f>(B316*100)/$H$1</f>
        <v>1.9557989438685704E-2</v>
      </c>
      <c r="D316">
        <f>D315+C316</f>
        <v>11.441423821631171</v>
      </c>
      <c r="E316">
        <f>ROUNDDOWN(D316,2)</f>
        <v>11.44</v>
      </c>
    </row>
    <row r="317" spans="1:5" x14ac:dyDescent="0.35">
      <c r="A317" s="15">
        <v>234</v>
      </c>
      <c r="B317" s="14">
        <v>3</v>
      </c>
      <c r="C317">
        <f>(B317*100)/$H$1</f>
        <v>5.8673968316057111E-2</v>
      </c>
      <c r="D317">
        <f>D316+C317</f>
        <v>11.500097789947228</v>
      </c>
      <c r="E317">
        <f>ROUNDDOWN(D317,2)</f>
        <v>11.5</v>
      </c>
    </row>
    <row r="318" spans="1:5" x14ac:dyDescent="0.35">
      <c r="A318" s="15">
        <v>233.9</v>
      </c>
      <c r="B318" s="14">
        <v>5</v>
      </c>
      <c r="C318">
        <f>(B318*100)/$H$1</f>
        <v>9.7789947193428511E-2</v>
      </c>
      <c r="D318">
        <f>D317+C318</f>
        <v>11.597887737140656</v>
      </c>
      <c r="E318">
        <f>ROUNDDOWN(D318,2)</f>
        <v>11.59</v>
      </c>
    </row>
    <row r="319" spans="1:5" x14ac:dyDescent="0.35">
      <c r="A319" s="15">
        <v>233.7</v>
      </c>
      <c r="B319" s="14">
        <v>3</v>
      </c>
      <c r="C319">
        <f>(B319*100)/$H$1</f>
        <v>5.8673968316057111E-2</v>
      </c>
      <c r="D319">
        <f>D318+C319</f>
        <v>11.656561705456713</v>
      </c>
      <c r="E319">
        <f>ROUNDDOWN(D319,2)</f>
        <v>11.65</v>
      </c>
    </row>
    <row r="320" spans="1:5" x14ac:dyDescent="0.35">
      <c r="A320" s="15">
        <v>233.6</v>
      </c>
      <c r="B320" s="14">
        <v>1</v>
      </c>
      <c r="C320">
        <f>(B320*100)/$H$1</f>
        <v>1.9557989438685704E-2</v>
      </c>
      <c r="D320">
        <f>D319+C320</f>
        <v>11.6761196948954</v>
      </c>
      <c r="E320">
        <f>ROUNDDOWN(D320,2)</f>
        <v>11.67</v>
      </c>
    </row>
    <row r="321" spans="1:5" x14ac:dyDescent="0.35">
      <c r="A321" s="15">
        <v>233.5</v>
      </c>
      <c r="B321" s="14">
        <v>5</v>
      </c>
      <c r="C321">
        <f>(B321*100)/$H$1</f>
        <v>9.7789947193428511E-2</v>
      </c>
      <c r="D321">
        <f>D320+C321</f>
        <v>11.773909642088828</v>
      </c>
      <c r="E321">
        <f>ROUNDDOWN(D321,2)</f>
        <v>11.77</v>
      </c>
    </row>
    <row r="322" spans="1:5" x14ac:dyDescent="0.35">
      <c r="A322" s="15">
        <v>233.4</v>
      </c>
      <c r="B322" s="14">
        <v>5</v>
      </c>
      <c r="C322">
        <f>(B322*100)/$H$1</f>
        <v>9.7789947193428511E-2</v>
      </c>
      <c r="D322">
        <f>D321+C322</f>
        <v>11.871699589282256</v>
      </c>
      <c r="E322">
        <f>ROUNDDOWN(D322,2)</f>
        <v>11.87</v>
      </c>
    </row>
    <row r="323" spans="1:5" x14ac:dyDescent="0.35">
      <c r="A323" s="15">
        <v>233.3</v>
      </c>
      <c r="B323" s="14">
        <v>2</v>
      </c>
      <c r="C323">
        <f>(B323*100)/$H$1</f>
        <v>3.9115978877371407E-2</v>
      </c>
      <c r="D323">
        <f>D322+C323</f>
        <v>11.910815568159627</v>
      </c>
      <c r="E323">
        <f>ROUNDDOWN(D323,2)</f>
        <v>11.91</v>
      </c>
    </row>
    <row r="324" spans="1:5" x14ac:dyDescent="0.35">
      <c r="A324" s="15">
        <v>233.2</v>
      </c>
      <c r="B324" s="14">
        <v>2</v>
      </c>
      <c r="C324">
        <f>(B324*100)/$H$1</f>
        <v>3.9115978877371407E-2</v>
      </c>
      <c r="D324">
        <f>D323+C324</f>
        <v>11.949931547036998</v>
      </c>
      <c r="E324">
        <f>ROUNDDOWN(D324,2)</f>
        <v>11.94</v>
      </c>
    </row>
    <row r="325" spans="1:5" x14ac:dyDescent="0.35">
      <c r="A325" s="15">
        <v>233.1</v>
      </c>
      <c r="B325" s="14">
        <v>1</v>
      </c>
      <c r="C325">
        <f>(B325*100)/$H$1</f>
        <v>1.9557989438685704E-2</v>
      </c>
      <c r="D325">
        <f>D324+C325</f>
        <v>11.969489536475685</v>
      </c>
      <c r="E325">
        <f>ROUNDDOWN(D325,2)</f>
        <v>11.96</v>
      </c>
    </row>
    <row r="326" spans="1:5" x14ac:dyDescent="0.35">
      <c r="A326" s="15">
        <v>233</v>
      </c>
      <c r="B326" s="14">
        <v>1</v>
      </c>
      <c r="C326">
        <f>(B326*100)/$H$1</f>
        <v>1.9557989438685704E-2</v>
      </c>
      <c r="D326">
        <f>D325+C326</f>
        <v>11.989047525914371</v>
      </c>
      <c r="E326">
        <f>ROUNDDOWN(D326,2)</f>
        <v>11.98</v>
      </c>
    </row>
    <row r="327" spans="1:5" x14ac:dyDescent="0.35">
      <c r="A327" s="15">
        <v>232.9</v>
      </c>
      <c r="B327" s="14">
        <v>4</v>
      </c>
      <c r="C327">
        <f>(B327*100)/$H$1</f>
        <v>7.8231957754742815E-2</v>
      </c>
      <c r="D327">
        <f>D326+C327</f>
        <v>12.067279483669115</v>
      </c>
      <c r="E327">
        <f>ROUNDDOWN(D327,2)</f>
        <v>12.06</v>
      </c>
    </row>
    <row r="328" spans="1:5" x14ac:dyDescent="0.35">
      <c r="A328" s="15">
        <v>232.8</v>
      </c>
      <c r="B328" s="14">
        <v>4</v>
      </c>
      <c r="C328">
        <f>(B328*100)/$H$1</f>
        <v>7.8231957754742815E-2</v>
      </c>
      <c r="D328">
        <f>D327+C328</f>
        <v>12.145511441423858</v>
      </c>
      <c r="E328">
        <f>ROUNDDOWN(D328,2)</f>
        <v>12.14</v>
      </c>
    </row>
    <row r="329" spans="1:5" x14ac:dyDescent="0.35">
      <c r="A329" s="15">
        <v>232.7</v>
      </c>
      <c r="B329" s="14">
        <v>3</v>
      </c>
      <c r="C329">
        <f>(B329*100)/$H$1</f>
        <v>5.8673968316057111E-2</v>
      </c>
      <c r="D329">
        <f>D328+C329</f>
        <v>12.204185409739916</v>
      </c>
      <c r="E329">
        <f>ROUNDDOWN(D329,2)</f>
        <v>12.2</v>
      </c>
    </row>
    <row r="330" spans="1:5" x14ac:dyDescent="0.35">
      <c r="A330" s="15">
        <v>232.6</v>
      </c>
      <c r="B330" s="14">
        <v>1</v>
      </c>
      <c r="C330">
        <f>(B330*100)/$H$1</f>
        <v>1.9557989438685704E-2</v>
      </c>
      <c r="D330">
        <f>D329+C330</f>
        <v>12.223743399178602</v>
      </c>
      <c r="E330">
        <f>ROUNDDOWN(D330,2)</f>
        <v>12.22</v>
      </c>
    </row>
    <row r="331" spans="1:5" x14ac:dyDescent="0.35">
      <c r="A331" s="15">
        <v>232.5</v>
      </c>
      <c r="B331" s="14">
        <v>4</v>
      </c>
      <c r="C331">
        <f>(B331*100)/$H$1</f>
        <v>7.8231957754742815E-2</v>
      </c>
      <c r="D331">
        <f>D330+C331</f>
        <v>12.301975356933346</v>
      </c>
      <c r="E331">
        <f>ROUNDDOWN(D331,2)</f>
        <v>12.3</v>
      </c>
    </row>
    <row r="332" spans="1:5" x14ac:dyDescent="0.35">
      <c r="A332" s="15">
        <v>232.4</v>
      </c>
      <c r="B332" s="14">
        <v>4</v>
      </c>
      <c r="C332">
        <f>(B332*100)/$H$1</f>
        <v>7.8231957754742815E-2</v>
      </c>
      <c r="D332">
        <f>D331+C332</f>
        <v>12.380207314688089</v>
      </c>
      <c r="E332">
        <f>ROUNDDOWN(D332,2)</f>
        <v>12.38</v>
      </c>
    </row>
    <row r="333" spans="1:5" x14ac:dyDescent="0.35">
      <c r="A333" s="15">
        <v>232.3</v>
      </c>
      <c r="B333" s="14">
        <v>4</v>
      </c>
      <c r="C333">
        <f>(B333*100)/$H$1</f>
        <v>7.8231957754742815E-2</v>
      </c>
      <c r="D333">
        <f>D332+C333</f>
        <v>12.458439272442833</v>
      </c>
      <c r="E333">
        <f>ROUNDDOWN(D333,2)</f>
        <v>12.45</v>
      </c>
    </row>
    <row r="334" spans="1:5" x14ac:dyDescent="0.35">
      <c r="A334" s="15">
        <v>232.2</v>
      </c>
      <c r="B334" s="14">
        <v>2</v>
      </c>
      <c r="C334">
        <f>(B334*100)/$H$1</f>
        <v>3.9115978877371407E-2</v>
      </c>
      <c r="D334">
        <f>D333+C334</f>
        <v>12.497555251320204</v>
      </c>
      <c r="E334">
        <f>ROUNDDOWN(D334,2)</f>
        <v>12.49</v>
      </c>
    </row>
    <row r="335" spans="1:5" x14ac:dyDescent="0.35">
      <c r="A335" s="15">
        <v>232.1</v>
      </c>
      <c r="B335" s="14">
        <v>8</v>
      </c>
      <c r="C335">
        <f>(B335*100)/$H$1</f>
        <v>0.15646391550948563</v>
      </c>
      <c r="D335">
        <f>D334+C335</f>
        <v>12.65401916682969</v>
      </c>
      <c r="E335">
        <f>ROUNDDOWN(D335,2)</f>
        <v>12.65</v>
      </c>
    </row>
    <row r="336" spans="1:5" x14ac:dyDescent="0.35">
      <c r="A336" s="15">
        <v>232</v>
      </c>
      <c r="B336" s="14">
        <v>4</v>
      </c>
      <c r="C336">
        <f>(B336*100)/$H$1</f>
        <v>7.8231957754742815E-2</v>
      </c>
      <c r="D336">
        <f>D335+C336</f>
        <v>12.732251124584433</v>
      </c>
      <c r="E336">
        <f>ROUNDDOWN(D336,2)</f>
        <v>12.73</v>
      </c>
    </row>
    <row r="337" spans="1:5" x14ac:dyDescent="0.35">
      <c r="A337" s="15">
        <v>231.9</v>
      </c>
      <c r="B337" s="14">
        <v>6</v>
      </c>
      <c r="C337">
        <f>(B337*100)/$H$1</f>
        <v>0.11734793663211422</v>
      </c>
      <c r="D337">
        <f>D336+C337</f>
        <v>12.849599061216548</v>
      </c>
      <c r="E337">
        <f>ROUNDDOWN(D337,2)</f>
        <v>12.84</v>
      </c>
    </row>
    <row r="338" spans="1:5" x14ac:dyDescent="0.35">
      <c r="A338" s="15">
        <v>231.8</v>
      </c>
      <c r="B338" s="14">
        <v>3</v>
      </c>
      <c r="C338">
        <f>(B338*100)/$H$1</f>
        <v>5.8673968316057111E-2</v>
      </c>
      <c r="D338">
        <f>D337+C338</f>
        <v>12.908273029532605</v>
      </c>
      <c r="E338">
        <f>ROUNDDOWN(D338,2)</f>
        <v>12.9</v>
      </c>
    </row>
    <row r="339" spans="1:5" x14ac:dyDescent="0.35">
      <c r="A339" s="15">
        <v>231.7</v>
      </c>
      <c r="B339" s="14">
        <v>2</v>
      </c>
      <c r="C339">
        <f>(B339*100)/$H$1</f>
        <v>3.9115978877371407E-2</v>
      </c>
      <c r="D339">
        <f>D338+C339</f>
        <v>12.947389008409976</v>
      </c>
      <c r="E339">
        <f>ROUNDDOWN(D339,2)</f>
        <v>12.94</v>
      </c>
    </row>
    <row r="340" spans="1:5" x14ac:dyDescent="0.35">
      <c r="A340" s="15">
        <v>231.6</v>
      </c>
      <c r="B340" s="14">
        <v>3</v>
      </c>
      <c r="C340">
        <f>(B340*100)/$H$1</f>
        <v>5.8673968316057111E-2</v>
      </c>
      <c r="D340">
        <f>D339+C340</f>
        <v>13.006062976726033</v>
      </c>
      <c r="E340">
        <f>ROUNDDOWN(D340,2)</f>
        <v>13</v>
      </c>
    </row>
    <row r="341" spans="1:5" x14ac:dyDescent="0.35">
      <c r="A341" s="15">
        <v>231.5</v>
      </c>
      <c r="B341" s="14">
        <v>3</v>
      </c>
      <c r="C341">
        <f>(B341*100)/$H$1</f>
        <v>5.8673968316057111E-2</v>
      </c>
      <c r="D341">
        <f>D340+C341</f>
        <v>13.064736945042091</v>
      </c>
      <c r="E341">
        <f>ROUNDDOWN(D341,2)</f>
        <v>13.06</v>
      </c>
    </row>
    <row r="342" spans="1:5" x14ac:dyDescent="0.35">
      <c r="A342" s="15">
        <v>231.4</v>
      </c>
      <c r="B342" s="14">
        <v>1</v>
      </c>
      <c r="C342">
        <f>(B342*100)/$H$1</f>
        <v>1.9557989438685704E-2</v>
      </c>
      <c r="D342">
        <f>D341+C342</f>
        <v>13.084294934480777</v>
      </c>
      <c r="E342">
        <f>ROUNDDOWN(D342,2)</f>
        <v>13.08</v>
      </c>
    </row>
    <row r="343" spans="1:5" x14ac:dyDescent="0.35">
      <c r="A343" s="15">
        <v>231.3</v>
      </c>
      <c r="B343" s="14">
        <v>2</v>
      </c>
      <c r="C343">
        <f>(B343*100)/$H$1</f>
        <v>3.9115978877371407E-2</v>
      </c>
      <c r="D343">
        <f>D342+C343</f>
        <v>13.123410913358148</v>
      </c>
      <c r="E343">
        <f>ROUNDDOWN(D343,2)</f>
        <v>13.12</v>
      </c>
    </row>
    <row r="344" spans="1:5" x14ac:dyDescent="0.35">
      <c r="A344" s="15">
        <v>231.2</v>
      </c>
      <c r="B344" s="14">
        <v>3</v>
      </c>
      <c r="C344">
        <f>(B344*100)/$H$1</f>
        <v>5.8673968316057111E-2</v>
      </c>
      <c r="D344">
        <f>D343+C344</f>
        <v>13.182084881674205</v>
      </c>
      <c r="E344">
        <f>ROUNDDOWN(D344,2)</f>
        <v>13.18</v>
      </c>
    </row>
    <row r="345" spans="1:5" x14ac:dyDescent="0.35">
      <c r="A345" s="15">
        <v>231.1</v>
      </c>
      <c r="B345" s="14">
        <v>5</v>
      </c>
      <c r="C345">
        <f>(B345*100)/$H$1</f>
        <v>9.7789947193428511E-2</v>
      </c>
      <c r="D345">
        <f>D344+C345</f>
        <v>13.279874828867634</v>
      </c>
      <c r="E345">
        <f>ROUNDDOWN(D345,2)</f>
        <v>13.27</v>
      </c>
    </row>
    <row r="346" spans="1:5" x14ac:dyDescent="0.35">
      <c r="A346" s="15">
        <v>231</v>
      </c>
      <c r="B346" s="14">
        <v>2</v>
      </c>
      <c r="C346">
        <f>(B346*100)/$H$1</f>
        <v>3.9115978877371407E-2</v>
      </c>
      <c r="D346">
        <f>D345+C346</f>
        <v>13.318990807745005</v>
      </c>
      <c r="E346">
        <f>ROUNDDOWN(D346,2)</f>
        <v>13.31</v>
      </c>
    </row>
    <row r="347" spans="1:5" x14ac:dyDescent="0.35">
      <c r="A347" s="15">
        <v>230.8</v>
      </c>
      <c r="B347" s="14">
        <v>6</v>
      </c>
      <c r="C347">
        <f>(B347*100)/$H$1</f>
        <v>0.11734793663211422</v>
      </c>
      <c r="D347">
        <f>D346+C347</f>
        <v>13.436338744377119</v>
      </c>
      <c r="E347">
        <f>ROUNDDOWN(D347,2)</f>
        <v>13.43</v>
      </c>
    </row>
    <row r="348" spans="1:5" x14ac:dyDescent="0.35">
      <c r="A348" s="15">
        <v>230.7</v>
      </c>
      <c r="B348" s="14">
        <v>1</v>
      </c>
      <c r="C348">
        <f>(B348*100)/$H$1</f>
        <v>1.9557989438685704E-2</v>
      </c>
      <c r="D348">
        <f>D347+C348</f>
        <v>13.455896733815806</v>
      </c>
      <c r="E348">
        <f>ROUNDDOWN(D348,2)</f>
        <v>13.45</v>
      </c>
    </row>
    <row r="349" spans="1:5" x14ac:dyDescent="0.35">
      <c r="A349" s="15">
        <v>230.6</v>
      </c>
      <c r="B349" s="14">
        <v>1</v>
      </c>
      <c r="C349">
        <f>(B349*100)/$H$1</f>
        <v>1.9557989438685704E-2</v>
      </c>
      <c r="D349">
        <f>D348+C349</f>
        <v>13.475454723254492</v>
      </c>
      <c r="E349">
        <f>ROUNDDOWN(D349,2)</f>
        <v>13.47</v>
      </c>
    </row>
    <row r="350" spans="1:5" x14ac:dyDescent="0.35">
      <c r="A350" s="15">
        <v>230.5</v>
      </c>
      <c r="B350" s="14">
        <v>6</v>
      </c>
      <c r="C350">
        <f>(B350*100)/$H$1</f>
        <v>0.11734793663211422</v>
      </c>
      <c r="D350">
        <f>D349+C350</f>
        <v>13.592802659886607</v>
      </c>
      <c r="E350">
        <f>ROUNDDOWN(D350,2)</f>
        <v>13.59</v>
      </c>
    </row>
    <row r="351" spans="1:5" x14ac:dyDescent="0.35">
      <c r="A351" s="15">
        <v>230.4</v>
      </c>
      <c r="B351" s="14">
        <v>3</v>
      </c>
      <c r="C351">
        <f>(B351*100)/$H$1</f>
        <v>5.8673968316057111E-2</v>
      </c>
      <c r="D351">
        <f>D350+C351</f>
        <v>13.651476628202664</v>
      </c>
      <c r="E351">
        <f>ROUNDDOWN(D351,2)</f>
        <v>13.65</v>
      </c>
    </row>
    <row r="352" spans="1:5" x14ac:dyDescent="0.35">
      <c r="A352" s="15">
        <v>230.3</v>
      </c>
      <c r="B352" s="14">
        <v>5</v>
      </c>
      <c r="C352">
        <f>(B352*100)/$H$1</f>
        <v>9.7789947193428511E-2</v>
      </c>
      <c r="D352">
        <f>D351+C352</f>
        <v>13.749266575396092</v>
      </c>
      <c r="E352">
        <f>ROUNDDOWN(D352,2)</f>
        <v>13.74</v>
      </c>
    </row>
    <row r="353" spans="1:5" x14ac:dyDescent="0.35">
      <c r="A353" s="15">
        <v>230.2</v>
      </c>
      <c r="B353" s="14">
        <v>2</v>
      </c>
      <c r="C353">
        <f>(B353*100)/$H$1</f>
        <v>3.9115978877371407E-2</v>
      </c>
      <c r="D353">
        <f>D352+C353</f>
        <v>13.788382554273463</v>
      </c>
      <c r="E353">
        <f>ROUNDDOWN(D353,2)</f>
        <v>13.78</v>
      </c>
    </row>
    <row r="354" spans="1:5" x14ac:dyDescent="0.35">
      <c r="A354" s="15">
        <v>230.1</v>
      </c>
      <c r="B354" s="14">
        <v>3</v>
      </c>
      <c r="C354">
        <f>(B354*100)/$H$1</f>
        <v>5.8673968316057111E-2</v>
      </c>
      <c r="D354">
        <f>D353+C354</f>
        <v>13.84705652258952</v>
      </c>
      <c r="E354">
        <f>ROUNDDOWN(D354,2)</f>
        <v>13.84</v>
      </c>
    </row>
    <row r="355" spans="1:5" x14ac:dyDescent="0.35">
      <c r="A355" s="15">
        <v>230</v>
      </c>
      <c r="B355" s="14">
        <v>2</v>
      </c>
      <c r="C355">
        <f>(B355*100)/$H$1</f>
        <v>3.9115978877371407E-2</v>
      </c>
      <c r="D355">
        <f>D354+C355</f>
        <v>13.886172501466891</v>
      </c>
      <c r="E355">
        <f>ROUNDDOWN(D355,2)</f>
        <v>13.88</v>
      </c>
    </row>
    <row r="356" spans="1:5" x14ac:dyDescent="0.35">
      <c r="A356" s="15">
        <v>229.9</v>
      </c>
      <c r="B356" s="14">
        <v>3</v>
      </c>
      <c r="C356">
        <f>(B356*100)/$H$1</f>
        <v>5.8673968316057111E-2</v>
      </c>
      <c r="D356">
        <f>D355+C356</f>
        <v>13.944846469782949</v>
      </c>
      <c r="E356">
        <f>ROUNDDOWN(D356,2)</f>
        <v>13.94</v>
      </c>
    </row>
    <row r="357" spans="1:5" x14ac:dyDescent="0.35">
      <c r="A357" s="15">
        <v>229.8</v>
      </c>
      <c r="B357" s="14">
        <v>3</v>
      </c>
      <c r="C357">
        <f>(B357*100)/$H$1</f>
        <v>5.8673968316057111E-2</v>
      </c>
      <c r="D357">
        <f>D356+C357</f>
        <v>14.003520438099006</v>
      </c>
      <c r="E357">
        <f>ROUNDDOWN(D357,2)</f>
        <v>14</v>
      </c>
    </row>
    <row r="358" spans="1:5" x14ac:dyDescent="0.35">
      <c r="A358" s="15">
        <v>229.7</v>
      </c>
      <c r="B358" s="14">
        <v>3</v>
      </c>
      <c r="C358">
        <f>(B358*100)/$H$1</f>
        <v>5.8673968316057111E-2</v>
      </c>
      <c r="D358">
        <f>D357+C358</f>
        <v>14.062194406415063</v>
      </c>
      <c r="E358">
        <f>ROUNDDOWN(D358,2)</f>
        <v>14.06</v>
      </c>
    </row>
    <row r="359" spans="1:5" x14ac:dyDescent="0.35">
      <c r="A359" s="15">
        <v>229.6</v>
      </c>
      <c r="B359" s="14">
        <v>4</v>
      </c>
      <c r="C359">
        <f>(B359*100)/$H$1</f>
        <v>7.8231957754742815E-2</v>
      </c>
      <c r="D359">
        <f>D358+C359</f>
        <v>14.140426364169807</v>
      </c>
      <c r="E359">
        <f>ROUNDDOWN(D359,2)</f>
        <v>14.14</v>
      </c>
    </row>
    <row r="360" spans="1:5" x14ac:dyDescent="0.35">
      <c r="A360" s="15">
        <v>229.5</v>
      </c>
      <c r="B360" s="14">
        <v>3</v>
      </c>
      <c r="C360">
        <f>(B360*100)/$H$1</f>
        <v>5.8673968316057111E-2</v>
      </c>
      <c r="D360">
        <f>D359+C360</f>
        <v>14.199100332485864</v>
      </c>
      <c r="E360">
        <f>ROUNDDOWN(D360,2)</f>
        <v>14.19</v>
      </c>
    </row>
    <row r="361" spans="1:5" x14ac:dyDescent="0.35">
      <c r="A361" s="15">
        <v>229.4</v>
      </c>
      <c r="B361" s="14">
        <v>6</v>
      </c>
      <c r="C361">
        <f>(B361*100)/$H$1</f>
        <v>0.11734793663211422</v>
      </c>
      <c r="D361">
        <f>D360+C361</f>
        <v>14.316448269117979</v>
      </c>
      <c r="E361">
        <f>ROUNDDOWN(D361,2)</f>
        <v>14.31</v>
      </c>
    </row>
    <row r="362" spans="1:5" x14ac:dyDescent="0.35">
      <c r="A362" s="15">
        <v>229.3</v>
      </c>
      <c r="B362" s="14">
        <v>1</v>
      </c>
      <c r="C362">
        <f>(B362*100)/$H$1</f>
        <v>1.9557989438685704E-2</v>
      </c>
      <c r="D362">
        <f>D361+C362</f>
        <v>14.336006258556665</v>
      </c>
      <c r="E362">
        <f>ROUNDDOWN(D362,2)</f>
        <v>14.33</v>
      </c>
    </row>
    <row r="363" spans="1:5" x14ac:dyDescent="0.35">
      <c r="A363" s="15">
        <v>229.2</v>
      </c>
      <c r="B363" s="14">
        <v>1</v>
      </c>
      <c r="C363">
        <f>(B363*100)/$H$1</f>
        <v>1.9557989438685704E-2</v>
      </c>
      <c r="D363">
        <f>D362+C363</f>
        <v>14.355564247995352</v>
      </c>
      <c r="E363">
        <f>ROUNDDOWN(D363,2)</f>
        <v>14.35</v>
      </c>
    </row>
    <row r="364" spans="1:5" x14ac:dyDescent="0.35">
      <c r="A364" s="15">
        <v>229.1</v>
      </c>
      <c r="B364" s="14">
        <v>7</v>
      </c>
      <c r="C364">
        <f>(B364*100)/$H$1</f>
        <v>0.13690592607079993</v>
      </c>
      <c r="D364">
        <f>D363+C364</f>
        <v>14.492470174066151</v>
      </c>
      <c r="E364">
        <f>ROUNDDOWN(D364,2)</f>
        <v>14.49</v>
      </c>
    </row>
    <row r="365" spans="1:5" x14ac:dyDescent="0.35">
      <c r="A365" s="15">
        <v>229</v>
      </c>
      <c r="B365" s="14">
        <v>1</v>
      </c>
      <c r="C365">
        <f>(B365*100)/$H$1</f>
        <v>1.9557989438685704E-2</v>
      </c>
      <c r="D365">
        <f>D364+C365</f>
        <v>14.512028163504837</v>
      </c>
      <c r="E365">
        <f>ROUNDDOWN(D365,2)</f>
        <v>14.51</v>
      </c>
    </row>
    <row r="366" spans="1:5" x14ac:dyDescent="0.35">
      <c r="A366" s="15">
        <v>228.9</v>
      </c>
      <c r="B366" s="14">
        <v>3</v>
      </c>
      <c r="C366">
        <f>(B366*100)/$H$1</f>
        <v>5.8673968316057111E-2</v>
      </c>
      <c r="D366">
        <f>D365+C366</f>
        <v>14.570702131820894</v>
      </c>
      <c r="E366">
        <f>ROUNDDOWN(D366,2)</f>
        <v>14.57</v>
      </c>
    </row>
    <row r="367" spans="1:5" x14ac:dyDescent="0.35">
      <c r="A367" s="15">
        <v>228.8</v>
      </c>
      <c r="B367" s="14">
        <v>1</v>
      </c>
      <c r="C367">
        <f>(B367*100)/$H$1</f>
        <v>1.9557989438685704E-2</v>
      </c>
      <c r="D367">
        <f>D366+C367</f>
        <v>14.590260121259581</v>
      </c>
      <c r="E367">
        <f>ROUNDDOWN(D367,2)</f>
        <v>14.59</v>
      </c>
    </row>
    <row r="368" spans="1:5" x14ac:dyDescent="0.35">
      <c r="A368" s="15">
        <v>228.7</v>
      </c>
      <c r="B368" s="14">
        <v>2</v>
      </c>
      <c r="C368">
        <f>(B368*100)/$H$1</f>
        <v>3.9115978877371407E-2</v>
      </c>
      <c r="D368">
        <f>D367+C368</f>
        <v>14.629376100136952</v>
      </c>
      <c r="E368">
        <f>ROUNDDOWN(D368,2)</f>
        <v>14.62</v>
      </c>
    </row>
    <row r="369" spans="1:5" x14ac:dyDescent="0.35">
      <c r="A369" s="15">
        <v>228.6</v>
      </c>
      <c r="B369" s="14">
        <v>2</v>
      </c>
      <c r="C369">
        <f>(B369*100)/$H$1</f>
        <v>3.9115978877371407E-2</v>
      </c>
      <c r="D369">
        <f>D368+C369</f>
        <v>14.668492079014323</v>
      </c>
      <c r="E369">
        <f>ROUNDDOWN(D369,2)</f>
        <v>14.66</v>
      </c>
    </row>
    <row r="370" spans="1:5" x14ac:dyDescent="0.35">
      <c r="A370" s="15">
        <v>228.5</v>
      </c>
      <c r="B370" s="14">
        <v>2</v>
      </c>
      <c r="C370">
        <f>(B370*100)/$H$1</f>
        <v>3.9115978877371407E-2</v>
      </c>
      <c r="D370">
        <f>D369+C370</f>
        <v>14.707608057891694</v>
      </c>
      <c r="E370">
        <f>ROUNDDOWN(D370,2)</f>
        <v>14.7</v>
      </c>
    </row>
    <row r="371" spans="1:5" x14ac:dyDescent="0.35">
      <c r="A371" s="15">
        <v>228.4</v>
      </c>
      <c r="B371" s="14">
        <v>4</v>
      </c>
      <c r="C371">
        <f>(B371*100)/$H$1</f>
        <v>7.8231957754742815E-2</v>
      </c>
      <c r="D371">
        <f>D370+C371</f>
        <v>14.785840015646437</v>
      </c>
      <c r="E371">
        <f>ROUNDDOWN(D371,2)</f>
        <v>14.78</v>
      </c>
    </row>
    <row r="372" spans="1:5" x14ac:dyDescent="0.35">
      <c r="A372" s="15">
        <v>228.2</v>
      </c>
      <c r="B372" s="14">
        <v>8</v>
      </c>
      <c r="C372">
        <f>(B372*100)/$H$1</f>
        <v>0.15646391550948563</v>
      </c>
      <c r="D372">
        <f>D371+C372</f>
        <v>14.942303931155923</v>
      </c>
      <c r="E372">
        <f>ROUNDDOWN(D372,2)</f>
        <v>14.94</v>
      </c>
    </row>
    <row r="373" spans="1:5" x14ac:dyDescent="0.35">
      <c r="A373" s="15">
        <v>228.1</v>
      </c>
      <c r="B373" s="14">
        <v>4</v>
      </c>
      <c r="C373">
        <f>(B373*100)/$H$1</f>
        <v>7.8231957754742815E-2</v>
      </c>
      <c r="D373">
        <f>D372+C373</f>
        <v>15.020535888910667</v>
      </c>
      <c r="E373">
        <f>ROUNDDOWN(D373,2)</f>
        <v>15.02</v>
      </c>
    </row>
    <row r="374" spans="1:5" x14ac:dyDescent="0.35">
      <c r="A374" s="15">
        <v>228</v>
      </c>
      <c r="B374" s="14">
        <v>4</v>
      </c>
      <c r="C374">
        <f>(B374*100)/$H$1</f>
        <v>7.8231957754742815E-2</v>
      </c>
      <c r="D374">
        <f>D373+C374</f>
        <v>15.09876784666541</v>
      </c>
      <c r="E374">
        <f>ROUNDDOWN(D374,2)</f>
        <v>15.09</v>
      </c>
    </row>
    <row r="375" spans="1:5" x14ac:dyDescent="0.35">
      <c r="A375" s="15">
        <v>227.9</v>
      </c>
      <c r="B375" s="14">
        <v>3</v>
      </c>
      <c r="C375">
        <f>(B375*100)/$H$1</f>
        <v>5.8673968316057111E-2</v>
      </c>
      <c r="D375">
        <f>D374+C375</f>
        <v>15.157441814981468</v>
      </c>
      <c r="E375">
        <f>ROUNDDOWN(D375,2)</f>
        <v>15.15</v>
      </c>
    </row>
    <row r="376" spans="1:5" x14ac:dyDescent="0.35">
      <c r="A376" s="15">
        <v>227.8</v>
      </c>
      <c r="B376" s="14">
        <v>3</v>
      </c>
      <c r="C376">
        <f>(B376*100)/$H$1</f>
        <v>5.8673968316057111E-2</v>
      </c>
      <c r="D376">
        <f>D375+C376</f>
        <v>15.216115783297525</v>
      </c>
      <c r="E376">
        <f>ROUNDDOWN(D376,2)</f>
        <v>15.21</v>
      </c>
    </row>
    <row r="377" spans="1:5" x14ac:dyDescent="0.35">
      <c r="A377" s="15">
        <v>227.7</v>
      </c>
      <c r="B377" s="14">
        <v>6</v>
      </c>
      <c r="C377">
        <f>(B377*100)/$H$1</f>
        <v>0.11734793663211422</v>
      </c>
      <c r="D377">
        <f>D376+C377</f>
        <v>15.33346371992964</v>
      </c>
      <c r="E377">
        <f>ROUNDDOWN(D377,2)</f>
        <v>15.33</v>
      </c>
    </row>
    <row r="378" spans="1:5" x14ac:dyDescent="0.35">
      <c r="A378" s="15">
        <v>227.6</v>
      </c>
      <c r="B378" s="14">
        <v>3</v>
      </c>
      <c r="C378">
        <f>(B378*100)/$H$1</f>
        <v>5.8673968316057111E-2</v>
      </c>
      <c r="D378">
        <f>D377+C378</f>
        <v>15.392137688245697</v>
      </c>
      <c r="E378">
        <f>ROUNDDOWN(D378,2)</f>
        <v>15.39</v>
      </c>
    </row>
    <row r="379" spans="1:5" x14ac:dyDescent="0.35">
      <c r="A379" s="15">
        <v>227.5</v>
      </c>
      <c r="B379" s="14">
        <v>3</v>
      </c>
      <c r="C379">
        <f>(B379*100)/$H$1</f>
        <v>5.8673968316057111E-2</v>
      </c>
      <c r="D379">
        <f>D378+C379</f>
        <v>15.450811656561754</v>
      </c>
      <c r="E379">
        <f>ROUNDDOWN(D379,2)</f>
        <v>15.45</v>
      </c>
    </row>
    <row r="380" spans="1:5" x14ac:dyDescent="0.35">
      <c r="A380" s="15">
        <v>227.4</v>
      </c>
      <c r="B380" s="14">
        <v>4</v>
      </c>
      <c r="C380">
        <f>(B380*100)/$H$1</f>
        <v>7.8231957754742815E-2</v>
      </c>
      <c r="D380">
        <f>D379+C380</f>
        <v>15.529043614316498</v>
      </c>
      <c r="E380">
        <f>ROUNDDOWN(D380,2)</f>
        <v>15.52</v>
      </c>
    </row>
    <row r="381" spans="1:5" x14ac:dyDescent="0.35">
      <c r="A381" s="15">
        <v>227.3</v>
      </c>
      <c r="B381" s="14">
        <v>3</v>
      </c>
      <c r="C381">
        <f>(B381*100)/$H$1</f>
        <v>5.8673968316057111E-2</v>
      </c>
      <c r="D381">
        <f>D380+C381</f>
        <v>15.587717582632555</v>
      </c>
      <c r="E381">
        <f>ROUNDDOWN(D381,2)</f>
        <v>15.58</v>
      </c>
    </row>
    <row r="382" spans="1:5" x14ac:dyDescent="0.35">
      <c r="A382" s="15">
        <v>227.2</v>
      </c>
      <c r="B382" s="14">
        <v>3</v>
      </c>
      <c r="C382">
        <f>(B382*100)/$H$1</f>
        <v>5.8673968316057111E-2</v>
      </c>
      <c r="D382">
        <f>D381+C382</f>
        <v>15.646391550948612</v>
      </c>
      <c r="E382">
        <f>ROUNDDOWN(D382,2)</f>
        <v>15.64</v>
      </c>
    </row>
    <row r="383" spans="1:5" x14ac:dyDescent="0.35">
      <c r="A383" s="15">
        <v>227.1</v>
      </c>
      <c r="B383" s="14">
        <v>5</v>
      </c>
      <c r="C383">
        <f>(B383*100)/$H$1</f>
        <v>9.7789947193428511E-2</v>
      </c>
      <c r="D383">
        <f>D382+C383</f>
        <v>15.744181498142041</v>
      </c>
      <c r="E383">
        <f>ROUNDDOWN(D383,2)</f>
        <v>15.74</v>
      </c>
    </row>
    <row r="384" spans="1:5" x14ac:dyDescent="0.35">
      <c r="A384" s="15">
        <v>227</v>
      </c>
      <c r="B384" s="14">
        <v>1</v>
      </c>
      <c r="C384">
        <f>(B384*100)/$H$1</f>
        <v>1.9557989438685704E-2</v>
      </c>
      <c r="D384">
        <f>D383+C384</f>
        <v>15.763739487580727</v>
      </c>
      <c r="E384">
        <f>ROUNDDOWN(D384,2)</f>
        <v>15.76</v>
      </c>
    </row>
    <row r="385" spans="1:5" x14ac:dyDescent="0.35">
      <c r="A385" s="15">
        <v>226.9</v>
      </c>
      <c r="B385" s="14">
        <v>2</v>
      </c>
      <c r="C385">
        <f>(B385*100)/$H$1</f>
        <v>3.9115978877371407E-2</v>
      </c>
      <c r="D385">
        <f>D384+C385</f>
        <v>15.802855466458098</v>
      </c>
      <c r="E385">
        <f>ROUNDDOWN(D385,2)</f>
        <v>15.8</v>
      </c>
    </row>
    <row r="386" spans="1:5" x14ac:dyDescent="0.35">
      <c r="A386" s="15">
        <v>226.8</v>
      </c>
      <c r="B386" s="14">
        <v>4</v>
      </c>
      <c r="C386">
        <f>(B386*100)/$H$1</f>
        <v>7.8231957754742815E-2</v>
      </c>
      <c r="D386">
        <f>D385+C386</f>
        <v>15.881087424212842</v>
      </c>
      <c r="E386">
        <f>ROUNDDOWN(D386,2)</f>
        <v>15.88</v>
      </c>
    </row>
    <row r="387" spans="1:5" x14ac:dyDescent="0.35">
      <c r="A387" s="15">
        <v>226.7</v>
      </c>
      <c r="B387" s="14">
        <v>4</v>
      </c>
      <c r="C387">
        <f>(B387*100)/$H$1</f>
        <v>7.8231957754742815E-2</v>
      </c>
      <c r="D387">
        <f>D386+C387</f>
        <v>15.959319381967585</v>
      </c>
      <c r="E387">
        <f>ROUNDDOWN(D387,2)</f>
        <v>15.95</v>
      </c>
    </row>
    <row r="388" spans="1:5" x14ac:dyDescent="0.35">
      <c r="A388" s="15">
        <v>226.6</v>
      </c>
      <c r="B388" s="14">
        <v>2</v>
      </c>
      <c r="C388">
        <f>(B388*100)/$H$1</f>
        <v>3.9115978877371407E-2</v>
      </c>
      <c r="D388">
        <f>D387+C388</f>
        <v>15.998435360844956</v>
      </c>
      <c r="E388">
        <f>ROUNDDOWN(D388,2)</f>
        <v>15.99</v>
      </c>
    </row>
    <row r="389" spans="1:5" x14ac:dyDescent="0.35">
      <c r="A389" s="15">
        <v>226.5</v>
      </c>
      <c r="B389" s="14">
        <v>4</v>
      </c>
      <c r="C389">
        <f>(B389*100)/$H$1</f>
        <v>7.8231957754742815E-2</v>
      </c>
      <c r="D389">
        <f>D388+C389</f>
        <v>16.0766673185997</v>
      </c>
      <c r="E389">
        <f>ROUNDDOWN(D389,2)</f>
        <v>16.07</v>
      </c>
    </row>
    <row r="390" spans="1:5" x14ac:dyDescent="0.35">
      <c r="A390" s="15">
        <v>226.4</v>
      </c>
      <c r="B390" s="14">
        <v>3</v>
      </c>
      <c r="C390">
        <f>(B390*100)/$H$1</f>
        <v>5.8673968316057111E-2</v>
      </c>
      <c r="D390">
        <f>D389+C390</f>
        <v>16.135341286915757</v>
      </c>
      <c r="E390">
        <f>ROUNDDOWN(D390,2)</f>
        <v>16.13</v>
      </c>
    </row>
    <row r="391" spans="1:5" x14ac:dyDescent="0.35">
      <c r="A391" s="15">
        <v>226.3</v>
      </c>
      <c r="B391" s="14">
        <v>3</v>
      </c>
      <c r="C391">
        <f>(B391*100)/$H$1</f>
        <v>5.8673968316057111E-2</v>
      </c>
      <c r="D391">
        <f>D390+C391</f>
        <v>16.194015255231815</v>
      </c>
      <c r="E391">
        <f>ROUNDDOWN(D391,2)</f>
        <v>16.190000000000001</v>
      </c>
    </row>
    <row r="392" spans="1:5" x14ac:dyDescent="0.35">
      <c r="A392" s="15">
        <v>226.2</v>
      </c>
      <c r="B392" s="14">
        <v>3</v>
      </c>
      <c r="C392">
        <f>(B392*100)/$H$1</f>
        <v>5.8673968316057111E-2</v>
      </c>
      <c r="D392">
        <f>D391+C392</f>
        <v>16.252689223547872</v>
      </c>
      <c r="E392">
        <f>ROUNDDOWN(D392,2)</f>
        <v>16.25</v>
      </c>
    </row>
    <row r="393" spans="1:5" x14ac:dyDescent="0.35">
      <c r="A393" s="15">
        <v>226.1</v>
      </c>
      <c r="B393" s="14">
        <v>7</v>
      </c>
      <c r="C393">
        <f>(B393*100)/$H$1</f>
        <v>0.13690592607079993</v>
      </c>
      <c r="D393">
        <f>D392+C393</f>
        <v>16.389595149618671</v>
      </c>
      <c r="E393">
        <f>ROUNDDOWN(D393,2)</f>
        <v>16.38</v>
      </c>
    </row>
    <row r="394" spans="1:5" x14ac:dyDescent="0.35">
      <c r="A394" s="15">
        <v>226</v>
      </c>
      <c r="B394" s="14">
        <v>1</v>
      </c>
      <c r="C394">
        <f>(B394*100)/$H$1</f>
        <v>1.9557989438685704E-2</v>
      </c>
      <c r="D394">
        <f>D393+C394</f>
        <v>16.409153139057356</v>
      </c>
      <c r="E394">
        <f>ROUNDDOWN(D394,2)</f>
        <v>16.399999999999999</v>
      </c>
    </row>
    <row r="395" spans="1:5" x14ac:dyDescent="0.35">
      <c r="A395" s="15">
        <v>225.9</v>
      </c>
      <c r="B395" s="14">
        <v>2</v>
      </c>
      <c r="C395">
        <f>(B395*100)/$H$1</f>
        <v>3.9115978877371407E-2</v>
      </c>
      <c r="D395">
        <f>D394+C395</f>
        <v>16.448269117934728</v>
      </c>
      <c r="E395">
        <f>ROUNDDOWN(D395,2)</f>
        <v>16.440000000000001</v>
      </c>
    </row>
    <row r="396" spans="1:5" x14ac:dyDescent="0.35">
      <c r="A396" s="15">
        <v>225.8</v>
      </c>
      <c r="B396" s="14">
        <v>6</v>
      </c>
      <c r="C396">
        <f>(B396*100)/$H$1</f>
        <v>0.11734793663211422</v>
      </c>
      <c r="D396">
        <f>D395+C396</f>
        <v>16.565617054566843</v>
      </c>
      <c r="E396">
        <f>ROUNDDOWN(D396,2)</f>
        <v>16.559999999999999</v>
      </c>
    </row>
    <row r="397" spans="1:5" x14ac:dyDescent="0.35">
      <c r="A397" s="15">
        <v>225.7</v>
      </c>
      <c r="B397" s="14">
        <v>6</v>
      </c>
      <c r="C397">
        <f>(B397*100)/$H$1</f>
        <v>0.11734793663211422</v>
      </c>
      <c r="D397">
        <f>D396+C397</f>
        <v>16.682964991198958</v>
      </c>
      <c r="E397">
        <f>ROUNDDOWN(D397,2)</f>
        <v>16.68</v>
      </c>
    </row>
    <row r="398" spans="1:5" x14ac:dyDescent="0.35">
      <c r="A398" s="15">
        <v>225.6</v>
      </c>
      <c r="B398" s="14">
        <v>2</v>
      </c>
      <c r="C398">
        <f>(B398*100)/$H$1</f>
        <v>3.9115978877371407E-2</v>
      </c>
      <c r="D398">
        <f>D397+C398</f>
        <v>16.72208097007633</v>
      </c>
      <c r="E398">
        <f>ROUNDDOWN(D398,2)</f>
        <v>16.72</v>
      </c>
    </row>
    <row r="399" spans="1:5" x14ac:dyDescent="0.35">
      <c r="A399" s="15">
        <v>225.5</v>
      </c>
      <c r="B399" s="14">
        <v>1</v>
      </c>
      <c r="C399">
        <f>(B399*100)/$H$1</f>
        <v>1.9557989438685704E-2</v>
      </c>
      <c r="D399">
        <f>D398+C399</f>
        <v>16.741638959515015</v>
      </c>
      <c r="E399">
        <f>ROUNDDOWN(D399,2)</f>
        <v>16.739999999999998</v>
      </c>
    </row>
    <row r="400" spans="1:5" x14ac:dyDescent="0.35">
      <c r="A400" s="15">
        <v>225.4</v>
      </c>
      <c r="B400" s="14">
        <v>5</v>
      </c>
      <c r="C400">
        <f>(B400*100)/$H$1</f>
        <v>9.7789947193428511E-2</v>
      </c>
      <c r="D400">
        <f>D399+C400</f>
        <v>16.839428906708445</v>
      </c>
      <c r="E400">
        <f>ROUNDDOWN(D400,2)</f>
        <v>16.829999999999998</v>
      </c>
    </row>
    <row r="401" spans="1:5" x14ac:dyDescent="0.35">
      <c r="A401" s="15">
        <v>225.3</v>
      </c>
      <c r="B401" s="14">
        <v>7</v>
      </c>
      <c r="C401">
        <f>(B401*100)/$H$1</f>
        <v>0.13690592607079993</v>
      </c>
      <c r="D401">
        <f>D400+C401</f>
        <v>16.976334832779244</v>
      </c>
      <c r="E401">
        <f>ROUNDDOWN(D401,2)</f>
        <v>16.97</v>
      </c>
    </row>
    <row r="402" spans="1:5" x14ac:dyDescent="0.35">
      <c r="A402" s="15">
        <v>225.2</v>
      </c>
      <c r="B402" s="14">
        <v>7</v>
      </c>
      <c r="C402">
        <f>(B402*100)/$H$1</f>
        <v>0.13690592607079993</v>
      </c>
      <c r="D402">
        <f>D401+C402</f>
        <v>17.113240758850043</v>
      </c>
      <c r="E402">
        <f>ROUNDDOWN(D402,2)</f>
        <v>17.11</v>
      </c>
    </row>
    <row r="403" spans="1:5" x14ac:dyDescent="0.35">
      <c r="A403" s="15">
        <v>225.1</v>
      </c>
      <c r="B403" s="14">
        <v>3</v>
      </c>
      <c r="C403">
        <f>(B403*100)/$H$1</f>
        <v>5.8673968316057111E-2</v>
      </c>
      <c r="D403">
        <f>D402+C403</f>
        <v>17.171914727166101</v>
      </c>
      <c r="E403">
        <f>ROUNDDOWN(D403,2)</f>
        <v>17.170000000000002</v>
      </c>
    </row>
    <row r="404" spans="1:5" x14ac:dyDescent="0.35">
      <c r="A404" s="15">
        <v>225</v>
      </c>
      <c r="B404" s="14">
        <v>2</v>
      </c>
      <c r="C404">
        <f>(B404*100)/$H$1</f>
        <v>3.9115978877371407E-2</v>
      </c>
      <c r="D404">
        <f>D403+C404</f>
        <v>17.211030706043474</v>
      </c>
      <c r="E404">
        <f>ROUNDDOWN(D404,2)</f>
        <v>17.21</v>
      </c>
    </row>
    <row r="405" spans="1:5" x14ac:dyDescent="0.35">
      <c r="A405" s="15">
        <v>224.9</v>
      </c>
      <c r="B405" s="14">
        <v>4</v>
      </c>
      <c r="C405">
        <f>(B405*100)/$H$1</f>
        <v>7.8231957754742815E-2</v>
      </c>
      <c r="D405">
        <f>D404+C405</f>
        <v>17.289262663798215</v>
      </c>
      <c r="E405">
        <f>ROUNDDOWN(D405,2)</f>
        <v>17.28</v>
      </c>
    </row>
    <row r="406" spans="1:5" x14ac:dyDescent="0.35">
      <c r="A406" s="15">
        <v>224.8</v>
      </c>
      <c r="B406" s="14">
        <v>3</v>
      </c>
      <c r="C406">
        <f>(B406*100)/$H$1</f>
        <v>5.8673968316057111E-2</v>
      </c>
      <c r="D406">
        <f>D405+C406</f>
        <v>17.347936632114273</v>
      </c>
      <c r="E406">
        <f>ROUNDDOWN(D406,2)</f>
        <v>17.34</v>
      </c>
    </row>
    <row r="407" spans="1:5" x14ac:dyDescent="0.35">
      <c r="A407" s="15">
        <v>224.7</v>
      </c>
      <c r="B407" s="14">
        <v>1</v>
      </c>
      <c r="C407">
        <f>(B407*100)/$H$1</f>
        <v>1.9557989438685704E-2</v>
      </c>
      <c r="D407">
        <f>D406+C407</f>
        <v>17.367494621552957</v>
      </c>
      <c r="E407">
        <f>ROUNDDOWN(D407,2)</f>
        <v>17.36</v>
      </c>
    </row>
    <row r="408" spans="1:5" x14ac:dyDescent="0.35">
      <c r="A408" s="15">
        <v>224.6</v>
      </c>
      <c r="B408" s="14">
        <v>2</v>
      </c>
      <c r="C408">
        <f>(B408*100)/$H$1</f>
        <v>3.9115978877371407E-2</v>
      </c>
      <c r="D408">
        <f>D407+C408</f>
        <v>17.40661060043033</v>
      </c>
      <c r="E408">
        <f>ROUNDDOWN(D408,2)</f>
        <v>17.399999999999999</v>
      </c>
    </row>
    <row r="409" spans="1:5" x14ac:dyDescent="0.35">
      <c r="A409" s="15">
        <v>224.5</v>
      </c>
      <c r="B409" s="14">
        <v>5</v>
      </c>
      <c r="C409">
        <f>(B409*100)/$H$1</f>
        <v>9.7789947193428511E-2</v>
      </c>
      <c r="D409">
        <f>D408+C409</f>
        <v>17.50440054762376</v>
      </c>
      <c r="E409">
        <f>ROUNDDOWN(D409,2)</f>
        <v>17.5</v>
      </c>
    </row>
    <row r="410" spans="1:5" x14ac:dyDescent="0.35">
      <c r="A410" s="15">
        <v>224.4</v>
      </c>
      <c r="B410" s="14">
        <v>1</v>
      </c>
      <c r="C410">
        <f>(B410*100)/$H$1</f>
        <v>1.9557989438685704E-2</v>
      </c>
      <c r="D410">
        <f>D409+C410</f>
        <v>17.523958537062445</v>
      </c>
      <c r="E410">
        <f>ROUNDDOWN(D410,2)</f>
        <v>17.52</v>
      </c>
    </row>
    <row r="411" spans="1:5" x14ac:dyDescent="0.35">
      <c r="A411" s="15">
        <v>224.3</v>
      </c>
      <c r="B411" s="14">
        <v>6</v>
      </c>
      <c r="C411">
        <f>(B411*100)/$H$1</f>
        <v>0.11734793663211422</v>
      </c>
      <c r="D411">
        <f>D410+C411</f>
        <v>17.641306473694559</v>
      </c>
      <c r="E411">
        <f>ROUNDDOWN(D411,2)</f>
        <v>17.64</v>
      </c>
    </row>
    <row r="412" spans="1:5" x14ac:dyDescent="0.35">
      <c r="A412" s="15">
        <v>224.1</v>
      </c>
      <c r="B412" s="14">
        <v>3</v>
      </c>
      <c r="C412">
        <f>(B412*100)/$H$1</f>
        <v>5.8673968316057111E-2</v>
      </c>
      <c r="D412">
        <f>D411+C412</f>
        <v>17.699980442010617</v>
      </c>
      <c r="E412">
        <f>ROUNDDOWN(D412,2)</f>
        <v>17.690000000000001</v>
      </c>
    </row>
    <row r="413" spans="1:5" x14ac:dyDescent="0.35">
      <c r="A413" s="15">
        <v>224</v>
      </c>
      <c r="B413" s="14">
        <v>2</v>
      </c>
      <c r="C413">
        <f>(B413*100)/$H$1</f>
        <v>3.9115978877371407E-2</v>
      </c>
      <c r="D413">
        <f>D412+C413</f>
        <v>17.739096420887989</v>
      </c>
      <c r="E413">
        <f>ROUNDDOWN(D413,2)</f>
        <v>17.73</v>
      </c>
    </row>
    <row r="414" spans="1:5" x14ac:dyDescent="0.35">
      <c r="A414" s="15">
        <v>223.9</v>
      </c>
      <c r="B414" s="14">
        <v>2</v>
      </c>
      <c r="C414">
        <f>(B414*100)/$H$1</f>
        <v>3.9115978877371407E-2</v>
      </c>
      <c r="D414">
        <f>D413+C414</f>
        <v>17.778212399765362</v>
      </c>
      <c r="E414">
        <f>ROUNDDOWN(D414,2)</f>
        <v>17.77</v>
      </c>
    </row>
    <row r="415" spans="1:5" x14ac:dyDescent="0.35">
      <c r="A415" s="15">
        <v>223.7</v>
      </c>
      <c r="B415" s="14">
        <v>4</v>
      </c>
      <c r="C415">
        <f>(B415*100)/$H$1</f>
        <v>7.8231957754742815E-2</v>
      </c>
      <c r="D415">
        <f>D414+C415</f>
        <v>17.856444357520104</v>
      </c>
      <c r="E415">
        <f>ROUNDDOWN(D415,2)</f>
        <v>17.850000000000001</v>
      </c>
    </row>
    <row r="416" spans="1:5" x14ac:dyDescent="0.35">
      <c r="A416" s="15">
        <v>223.6</v>
      </c>
      <c r="B416" s="14">
        <v>6</v>
      </c>
      <c r="C416">
        <f>(B416*100)/$H$1</f>
        <v>0.11734793663211422</v>
      </c>
      <c r="D416">
        <f>D415+C416</f>
        <v>17.973792294152219</v>
      </c>
      <c r="E416">
        <f>ROUNDDOWN(D416,2)</f>
        <v>17.97</v>
      </c>
    </row>
    <row r="417" spans="1:5" x14ac:dyDescent="0.35">
      <c r="A417" s="15">
        <v>223.5</v>
      </c>
      <c r="B417" s="14">
        <v>5</v>
      </c>
      <c r="C417">
        <f>(B417*100)/$H$1</f>
        <v>9.7789947193428511E-2</v>
      </c>
      <c r="D417">
        <f>D416+C417</f>
        <v>18.071582241345649</v>
      </c>
      <c r="E417">
        <f>ROUNDDOWN(D417,2)</f>
        <v>18.07</v>
      </c>
    </row>
    <row r="418" spans="1:5" x14ac:dyDescent="0.35">
      <c r="A418" s="15">
        <v>223.4</v>
      </c>
      <c r="B418" s="14">
        <v>7</v>
      </c>
      <c r="C418">
        <f>(B418*100)/$H$1</f>
        <v>0.13690592607079993</v>
      </c>
      <c r="D418">
        <f>D417+C418</f>
        <v>18.208488167416448</v>
      </c>
      <c r="E418">
        <f>ROUNDDOWN(D418,2)</f>
        <v>18.2</v>
      </c>
    </row>
    <row r="419" spans="1:5" x14ac:dyDescent="0.35">
      <c r="A419" s="15">
        <v>223.3</v>
      </c>
      <c r="B419" s="14">
        <v>7</v>
      </c>
      <c r="C419">
        <f>(B419*100)/$H$1</f>
        <v>0.13690592607079993</v>
      </c>
      <c r="D419">
        <f>D418+C419</f>
        <v>18.345394093487247</v>
      </c>
      <c r="E419">
        <f>ROUNDDOWN(D419,2)</f>
        <v>18.34</v>
      </c>
    </row>
    <row r="420" spans="1:5" x14ac:dyDescent="0.35">
      <c r="A420" s="15">
        <v>223.2</v>
      </c>
      <c r="B420" s="14">
        <v>8</v>
      </c>
      <c r="C420">
        <f>(B420*100)/$H$1</f>
        <v>0.15646391550948563</v>
      </c>
      <c r="D420">
        <f>D419+C420</f>
        <v>18.501858008996734</v>
      </c>
      <c r="E420">
        <f>ROUNDDOWN(D420,2)</f>
        <v>18.5</v>
      </c>
    </row>
    <row r="421" spans="1:5" x14ac:dyDescent="0.35">
      <c r="A421" s="15">
        <v>223.1</v>
      </c>
      <c r="B421" s="14">
        <v>4</v>
      </c>
      <c r="C421">
        <f>(B421*100)/$H$1</f>
        <v>7.8231957754742815E-2</v>
      </c>
      <c r="D421">
        <f>D420+C421</f>
        <v>18.580089966751476</v>
      </c>
      <c r="E421">
        <f>ROUNDDOWN(D421,2)</f>
        <v>18.579999999999998</v>
      </c>
    </row>
    <row r="422" spans="1:5" x14ac:dyDescent="0.35">
      <c r="A422" s="15">
        <v>223</v>
      </c>
      <c r="B422" s="14">
        <v>3</v>
      </c>
      <c r="C422">
        <f>(B422*100)/$H$1</f>
        <v>5.8673968316057111E-2</v>
      </c>
      <c r="D422">
        <f>D421+C422</f>
        <v>18.638763935067534</v>
      </c>
      <c r="E422">
        <f>ROUNDDOWN(D422,2)</f>
        <v>18.63</v>
      </c>
    </row>
    <row r="423" spans="1:5" x14ac:dyDescent="0.35">
      <c r="A423" s="15">
        <v>222.9</v>
      </c>
      <c r="B423" s="14">
        <v>2</v>
      </c>
      <c r="C423">
        <f>(B423*100)/$H$1</f>
        <v>3.9115978877371407E-2</v>
      </c>
      <c r="D423">
        <f>D422+C423</f>
        <v>18.677879913944906</v>
      </c>
      <c r="E423">
        <f>ROUNDDOWN(D423,2)</f>
        <v>18.670000000000002</v>
      </c>
    </row>
    <row r="424" spans="1:5" x14ac:dyDescent="0.35">
      <c r="A424" s="15">
        <v>222.8</v>
      </c>
      <c r="B424" s="14">
        <v>2</v>
      </c>
      <c r="C424">
        <f>(B424*100)/$H$1</f>
        <v>3.9115978877371407E-2</v>
      </c>
      <c r="D424">
        <f>D423+C424</f>
        <v>18.716995892822279</v>
      </c>
      <c r="E424">
        <f>ROUNDDOWN(D424,2)</f>
        <v>18.71</v>
      </c>
    </row>
    <row r="425" spans="1:5" x14ac:dyDescent="0.35">
      <c r="A425" s="15">
        <v>222.7</v>
      </c>
      <c r="B425" s="14">
        <v>4</v>
      </c>
      <c r="C425">
        <f>(B425*100)/$H$1</f>
        <v>7.8231957754742815E-2</v>
      </c>
      <c r="D425">
        <f>D424+C425</f>
        <v>18.795227850577021</v>
      </c>
      <c r="E425">
        <f>ROUNDDOWN(D425,2)</f>
        <v>18.79</v>
      </c>
    </row>
    <row r="426" spans="1:5" x14ac:dyDescent="0.35">
      <c r="A426" s="15">
        <v>222.6</v>
      </c>
      <c r="B426" s="14">
        <v>3</v>
      </c>
      <c r="C426">
        <f>(B426*100)/$H$1</f>
        <v>5.8673968316057111E-2</v>
      </c>
      <c r="D426">
        <f>D425+C426</f>
        <v>18.853901818893078</v>
      </c>
      <c r="E426">
        <f>ROUNDDOWN(D426,2)</f>
        <v>18.850000000000001</v>
      </c>
    </row>
    <row r="427" spans="1:5" x14ac:dyDescent="0.35">
      <c r="A427" s="15">
        <v>222.5</v>
      </c>
      <c r="B427" s="14">
        <v>4</v>
      </c>
      <c r="C427">
        <f>(B427*100)/$H$1</f>
        <v>7.8231957754742815E-2</v>
      </c>
      <c r="D427">
        <f>D426+C427</f>
        <v>18.93213377664782</v>
      </c>
      <c r="E427">
        <f>ROUNDDOWN(D427,2)</f>
        <v>18.93</v>
      </c>
    </row>
    <row r="428" spans="1:5" x14ac:dyDescent="0.35">
      <c r="A428" s="15">
        <v>222.4</v>
      </c>
      <c r="B428" s="14">
        <v>6</v>
      </c>
      <c r="C428">
        <f>(B428*100)/$H$1</f>
        <v>0.11734793663211422</v>
      </c>
      <c r="D428">
        <f>D427+C428</f>
        <v>19.049481713279935</v>
      </c>
      <c r="E428">
        <f>ROUNDDOWN(D428,2)</f>
        <v>19.04</v>
      </c>
    </row>
    <row r="429" spans="1:5" x14ac:dyDescent="0.35">
      <c r="A429" s="15">
        <v>222.3</v>
      </c>
      <c r="B429" s="14">
        <v>5</v>
      </c>
      <c r="C429">
        <f>(B429*100)/$H$1</f>
        <v>9.7789947193428511E-2</v>
      </c>
      <c r="D429">
        <f>D428+C429</f>
        <v>19.147271660473365</v>
      </c>
      <c r="E429">
        <f>ROUNDDOWN(D429,2)</f>
        <v>19.14</v>
      </c>
    </row>
    <row r="430" spans="1:5" x14ac:dyDescent="0.35">
      <c r="A430" s="15">
        <v>222.2</v>
      </c>
      <c r="B430" s="14">
        <v>4</v>
      </c>
      <c r="C430">
        <f>(B430*100)/$H$1</f>
        <v>7.8231957754742815E-2</v>
      </c>
      <c r="D430">
        <f>D429+C430</f>
        <v>19.225503618228107</v>
      </c>
      <c r="E430">
        <f>ROUNDDOWN(D430,2)</f>
        <v>19.22</v>
      </c>
    </row>
    <row r="431" spans="1:5" x14ac:dyDescent="0.35">
      <c r="A431" s="15">
        <v>222.1</v>
      </c>
      <c r="B431" s="14">
        <v>4</v>
      </c>
      <c r="C431">
        <f>(B431*100)/$H$1</f>
        <v>7.8231957754742815E-2</v>
      </c>
      <c r="D431">
        <f>D430+C431</f>
        <v>19.303735575982849</v>
      </c>
      <c r="E431">
        <f>ROUNDDOWN(D431,2)</f>
        <v>19.3</v>
      </c>
    </row>
    <row r="432" spans="1:5" x14ac:dyDescent="0.35">
      <c r="A432" s="15">
        <v>222</v>
      </c>
      <c r="B432" s="14">
        <v>3</v>
      </c>
      <c r="C432">
        <f>(B432*100)/$H$1</f>
        <v>5.8673968316057111E-2</v>
      </c>
      <c r="D432">
        <f>D431+C432</f>
        <v>19.362409544298906</v>
      </c>
      <c r="E432">
        <f>ROUNDDOWN(D432,2)</f>
        <v>19.36</v>
      </c>
    </row>
    <row r="433" spans="1:5" x14ac:dyDescent="0.35">
      <c r="A433" s="15">
        <v>221.9</v>
      </c>
      <c r="B433" s="14">
        <v>3</v>
      </c>
      <c r="C433">
        <f>(B433*100)/$H$1</f>
        <v>5.8673968316057111E-2</v>
      </c>
      <c r="D433">
        <f>D432+C433</f>
        <v>19.421083512614963</v>
      </c>
      <c r="E433">
        <f>ROUNDDOWN(D433,2)</f>
        <v>19.420000000000002</v>
      </c>
    </row>
    <row r="434" spans="1:5" x14ac:dyDescent="0.35">
      <c r="A434" s="15">
        <v>221.8</v>
      </c>
      <c r="B434" s="14">
        <v>6</v>
      </c>
      <c r="C434">
        <f>(B434*100)/$H$1</f>
        <v>0.11734793663211422</v>
      </c>
      <c r="D434">
        <f>D433+C434</f>
        <v>19.538431449247078</v>
      </c>
      <c r="E434">
        <f>ROUNDDOWN(D434,2)</f>
        <v>19.53</v>
      </c>
    </row>
    <row r="435" spans="1:5" x14ac:dyDescent="0.35">
      <c r="A435" s="15">
        <v>221.7</v>
      </c>
      <c r="B435" s="14">
        <v>1</v>
      </c>
      <c r="C435">
        <f>(B435*100)/$H$1</f>
        <v>1.9557989438685704E-2</v>
      </c>
      <c r="D435">
        <f>D434+C435</f>
        <v>19.557989438685762</v>
      </c>
      <c r="E435">
        <f>ROUNDDOWN(D435,2)</f>
        <v>19.55</v>
      </c>
    </row>
    <row r="436" spans="1:5" x14ac:dyDescent="0.35">
      <c r="A436" s="15">
        <v>221.6</v>
      </c>
      <c r="B436" s="14">
        <v>5</v>
      </c>
      <c r="C436">
        <f>(B436*100)/$H$1</f>
        <v>9.7789947193428511E-2</v>
      </c>
      <c r="D436">
        <f>D435+C436</f>
        <v>19.655779385879192</v>
      </c>
      <c r="E436">
        <f>ROUNDDOWN(D436,2)</f>
        <v>19.649999999999999</v>
      </c>
    </row>
    <row r="437" spans="1:5" x14ac:dyDescent="0.35">
      <c r="A437" s="15">
        <v>221.5</v>
      </c>
      <c r="B437" s="14">
        <v>2</v>
      </c>
      <c r="C437">
        <f>(B437*100)/$H$1</f>
        <v>3.9115978877371407E-2</v>
      </c>
      <c r="D437">
        <f>D436+C437</f>
        <v>19.694895364756565</v>
      </c>
      <c r="E437">
        <f>ROUNDDOWN(D437,2)</f>
        <v>19.690000000000001</v>
      </c>
    </row>
    <row r="438" spans="1:5" x14ac:dyDescent="0.35">
      <c r="A438" s="15">
        <v>221.4</v>
      </c>
      <c r="B438" s="14">
        <v>5</v>
      </c>
      <c r="C438">
        <f>(B438*100)/$H$1</f>
        <v>9.7789947193428511E-2</v>
      </c>
      <c r="D438">
        <f>D437+C438</f>
        <v>19.792685311949995</v>
      </c>
      <c r="E438">
        <f>ROUNDDOWN(D438,2)</f>
        <v>19.79</v>
      </c>
    </row>
    <row r="439" spans="1:5" x14ac:dyDescent="0.35">
      <c r="A439" s="15">
        <v>221.3</v>
      </c>
      <c r="B439" s="14">
        <v>7</v>
      </c>
      <c r="C439">
        <f>(B439*100)/$H$1</f>
        <v>0.13690592607079993</v>
      </c>
      <c r="D439">
        <f>D438+C439</f>
        <v>19.929591238020794</v>
      </c>
      <c r="E439">
        <f>ROUNDDOWN(D439,2)</f>
        <v>19.920000000000002</v>
      </c>
    </row>
    <row r="440" spans="1:5" x14ac:dyDescent="0.35">
      <c r="A440" s="15">
        <v>221.2</v>
      </c>
      <c r="B440" s="14">
        <v>4</v>
      </c>
      <c r="C440">
        <f>(B440*100)/$H$1</f>
        <v>7.8231957754742815E-2</v>
      </c>
      <c r="D440">
        <f>D439+C440</f>
        <v>20.007823195775536</v>
      </c>
      <c r="E440">
        <f>ROUNDDOWN(D440,2)</f>
        <v>20</v>
      </c>
    </row>
    <row r="441" spans="1:5" x14ac:dyDescent="0.35">
      <c r="A441" s="15">
        <v>221.1</v>
      </c>
      <c r="B441" s="14">
        <v>7</v>
      </c>
      <c r="C441">
        <f>(B441*100)/$H$1</f>
        <v>0.13690592607079993</v>
      </c>
      <c r="D441">
        <f>D440+C441</f>
        <v>20.144729121846336</v>
      </c>
      <c r="E441">
        <f>ROUNDDOWN(D441,2)</f>
        <v>20.14</v>
      </c>
    </row>
    <row r="442" spans="1:5" x14ac:dyDescent="0.35">
      <c r="A442" s="15">
        <v>221</v>
      </c>
      <c r="B442" s="14">
        <v>4</v>
      </c>
      <c r="C442">
        <f>(B442*100)/$H$1</f>
        <v>7.8231957754742815E-2</v>
      </c>
      <c r="D442">
        <f>D441+C442</f>
        <v>20.222961079601077</v>
      </c>
      <c r="E442">
        <f>ROUNDDOWN(D442,2)</f>
        <v>20.22</v>
      </c>
    </row>
    <row r="443" spans="1:5" x14ac:dyDescent="0.35">
      <c r="A443" s="15">
        <v>220.9</v>
      </c>
      <c r="B443" s="14">
        <v>5</v>
      </c>
      <c r="C443">
        <f>(B443*100)/$H$1</f>
        <v>9.7789947193428511E-2</v>
      </c>
      <c r="D443">
        <f>D442+C443</f>
        <v>20.320751026794508</v>
      </c>
      <c r="E443">
        <f>ROUNDDOWN(D443,2)</f>
        <v>20.32</v>
      </c>
    </row>
    <row r="444" spans="1:5" x14ac:dyDescent="0.35">
      <c r="A444" s="15">
        <v>220.8</v>
      </c>
      <c r="B444" s="14">
        <v>5</v>
      </c>
      <c r="C444">
        <f>(B444*100)/$H$1</f>
        <v>9.7789947193428511E-2</v>
      </c>
      <c r="D444">
        <f>D443+C444</f>
        <v>20.418540973987938</v>
      </c>
      <c r="E444">
        <f>ROUNDDOWN(D444,2)</f>
        <v>20.41</v>
      </c>
    </row>
    <row r="445" spans="1:5" x14ac:dyDescent="0.35">
      <c r="A445" s="15">
        <v>220.7</v>
      </c>
      <c r="B445" s="14">
        <v>9</v>
      </c>
      <c r="C445">
        <f>(B445*100)/$H$1</f>
        <v>0.17602190494817133</v>
      </c>
      <c r="D445">
        <f>D444+C445</f>
        <v>20.594562878936109</v>
      </c>
      <c r="E445">
        <f>ROUNDDOWN(D445,2)</f>
        <v>20.59</v>
      </c>
    </row>
    <row r="446" spans="1:5" x14ac:dyDescent="0.35">
      <c r="A446" s="15">
        <v>220.6</v>
      </c>
      <c r="B446" s="14">
        <v>3</v>
      </c>
      <c r="C446">
        <f>(B446*100)/$H$1</f>
        <v>5.8673968316057111E-2</v>
      </c>
      <c r="D446">
        <f>D445+C446</f>
        <v>20.653236847252167</v>
      </c>
      <c r="E446">
        <f>ROUNDDOWN(D446,2)</f>
        <v>20.65</v>
      </c>
    </row>
    <row r="447" spans="1:5" x14ac:dyDescent="0.35">
      <c r="A447" s="15">
        <v>220.5</v>
      </c>
      <c r="B447" s="14">
        <v>3</v>
      </c>
      <c r="C447">
        <f>(B447*100)/$H$1</f>
        <v>5.8673968316057111E-2</v>
      </c>
      <c r="D447">
        <f>D446+C447</f>
        <v>20.711910815568224</v>
      </c>
      <c r="E447">
        <f>ROUNDDOWN(D447,2)</f>
        <v>20.71</v>
      </c>
    </row>
    <row r="448" spans="1:5" x14ac:dyDescent="0.35">
      <c r="A448" s="15">
        <v>220.4</v>
      </c>
      <c r="B448" s="14">
        <v>7</v>
      </c>
      <c r="C448">
        <f>(B448*100)/$H$1</f>
        <v>0.13690592607079993</v>
      </c>
      <c r="D448">
        <f>D447+C448</f>
        <v>20.848816741639023</v>
      </c>
      <c r="E448">
        <f>ROUNDDOWN(D448,2)</f>
        <v>20.84</v>
      </c>
    </row>
    <row r="449" spans="1:5" x14ac:dyDescent="0.35">
      <c r="A449" s="15">
        <v>220.3</v>
      </c>
      <c r="B449" s="14">
        <v>2</v>
      </c>
      <c r="C449">
        <f>(B449*100)/$H$1</f>
        <v>3.9115978877371407E-2</v>
      </c>
      <c r="D449">
        <f>D448+C449</f>
        <v>20.887932720516396</v>
      </c>
      <c r="E449">
        <f>ROUNDDOWN(D449,2)</f>
        <v>20.88</v>
      </c>
    </row>
    <row r="450" spans="1:5" x14ac:dyDescent="0.35">
      <c r="A450" s="15">
        <v>220.2</v>
      </c>
      <c r="B450" s="14">
        <v>7</v>
      </c>
      <c r="C450">
        <f>(B450*100)/$H$1</f>
        <v>0.13690592607079993</v>
      </c>
      <c r="D450">
        <f>D449+C450</f>
        <v>21.024838646587195</v>
      </c>
      <c r="E450">
        <f>ROUNDDOWN(D450,2)</f>
        <v>21.02</v>
      </c>
    </row>
    <row r="451" spans="1:5" x14ac:dyDescent="0.35">
      <c r="A451" s="15">
        <v>220.1</v>
      </c>
      <c r="B451" s="14">
        <v>4</v>
      </c>
      <c r="C451">
        <f>(B451*100)/$H$1</f>
        <v>7.8231957754742815E-2</v>
      </c>
      <c r="D451">
        <f>D450+C451</f>
        <v>21.103070604341937</v>
      </c>
      <c r="E451">
        <f>ROUNDDOWN(D451,2)</f>
        <v>21.1</v>
      </c>
    </row>
    <row r="452" spans="1:5" x14ac:dyDescent="0.35">
      <c r="A452" s="15">
        <v>220</v>
      </c>
      <c r="B452" s="14">
        <v>3</v>
      </c>
      <c r="C452">
        <f>(B452*100)/$H$1</f>
        <v>5.8673968316057111E-2</v>
      </c>
      <c r="D452">
        <f>D451+C452</f>
        <v>21.161744572657994</v>
      </c>
      <c r="E452">
        <f>ROUNDDOWN(D452,2)</f>
        <v>21.16</v>
      </c>
    </row>
    <row r="453" spans="1:5" x14ac:dyDescent="0.35">
      <c r="A453" s="15">
        <v>219.9</v>
      </c>
      <c r="B453" s="14">
        <v>5</v>
      </c>
      <c r="C453">
        <f>(B453*100)/$H$1</f>
        <v>9.7789947193428511E-2</v>
      </c>
      <c r="D453">
        <f>D452+C453</f>
        <v>21.259534519851425</v>
      </c>
      <c r="E453">
        <f>ROUNDDOWN(D453,2)</f>
        <v>21.25</v>
      </c>
    </row>
    <row r="454" spans="1:5" x14ac:dyDescent="0.35">
      <c r="A454" s="15">
        <v>219.8</v>
      </c>
      <c r="B454" s="14">
        <v>3</v>
      </c>
      <c r="C454">
        <f>(B454*100)/$H$1</f>
        <v>5.8673968316057111E-2</v>
      </c>
      <c r="D454">
        <f>D453+C454</f>
        <v>21.318208488167482</v>
      </c>
      <c r="E454">
        <f>ROUNDDOWN(D454,2)</f>
        <v>21.31</v>
      </c>
    </row>
    <row r="455" spans="1:5" x14ac:dyDescent="0.35">
      <c r="A455" s="15">
        <v>219.7</v>
      </c>
      <c r="B455" s="14">
        <v>2</v>
      </c>
      <c r="C455">
        <f>(B455*100)/$H$1</f>
        <v>3.9115978877371407E-2</v>
      </c>
      <c r="D455">
        <f>D454+C455</f>
        <v>21.357324467044855</v>
      </c>
      <c r="E455">
        <f>ROUNDDOWN(D455,2)</f>
        <v>21.35</v>
      </c>
    </row>
    <row r="456" spans="1:5" x14ac:dyDescent="0.35">
      <c r="A456" s="15">
        <v>219.6</v>
      </c>
      <c r="B456" s="14">
        <v>8</v>
      </c>
      <c r="C456">
        <f>(B456*100)/$H$1</f>
        <v>0.15646391550948563</v>
      </c>
      <c r="D456">
        <f>D455+C456</f>
        <v>21.513788382554342</v>
      </c>
      <c r="E456">
        <f>ROUNDDOWN(D456,2)</f>
        <v>21.51</v>
      </c>
    </row>
    <row r="457" spans="1:5" x14ac:dyDescent="0.35">
      <c r="A457" s="15">
        <v>219.4</v>
      </c>
      <c r="B457" s="14">
        <v>6</v>
      </c>
      <c r="C457">
        <f>(B457*100)/$H$1</f>
        <v>0.11734793663211422</v>
      </c>
      <c r="D457">
        <f>D456+C457</f>
        <v>21.631136319186457</v>
      </c>
      <c r="E457">
        <f>ROUNDDOWN(D457,2)</f>
        <v>21.63</v>
      </c>
    </row>
    <row r="458" spans="1:5" x14ac:dyDescent="0.35">
      <c r="A458" s="15">
        <v>219.3</v>
      </c>
      <c r="B458" s="14">
        <v>4</v>
      </c>
      <c r="C458">
        <f>(B458*100)/$H$1</f>
        <v>7.8231957754742815E-2</v>
      </c>
      <c r="D458">
        <f>D457+C458</f>
        <v>21.709368276941198</v>
      </c>
      <c r="E458">
        <f>ROUNDDOWN(D458,2)</f>
        <v>21.7</v>
      </c>
    </row>
    <row r="459" spans="1:5" x14ac:dyDescent="0.35">
      <c r="A459" s="15">
        <v>219.2</v>
      </c>
      <c r="B459" s="14">
        <v>2</v>
      </c>
      <c r="C459">
        <f>(B459*100)/$H$1</f>
        <v>3.9115978877371407E-2</v>
      </c>
      <c r="D459">
        <f>D458+C459</f>
        <v>21.748484255818571</v>
      </c>
      <c r="E459">
        <f>ROUNDDOWN(D459,2)</f>
        <v>21.74</v>
      </c>
    </row>
    <row r="460" spans="1:5" x14ac:dyDescent="0.35">
      <c r="A460" s="15">
        <v>219.1</v>
      </c>
      <c r="B460" s="14">
        <v>7</v>
      </c>
      <c r="C460">
        <f>(B460*100)/$H$1</f>
        <v>0.13690592607079993</v>
      </c>
      <c r="D460">
        <f>D459+C460</f>
        <v>21.88539018188937</v>
      </c>
      <c r="E460">
        <f>ROUNDDOWN(D460,2)</f>
        <v>21.88</v>
      </c>
    </row>
    <row r="461" spans="1:5" x14ac:dyDescent="0.35">
      <c r="A461" s="15">
        <v>219</v>
      </c>
      <c r="B461" s="14">
        <v>9</v>
      </c>
      <c r="C461">
        <f>(B461*100)/$H$1</f>
        <v>0.17602190494817133</v>
      </c>
      <c r="D461">
        <f>D460+C461</f>
        <v>22.061412086837542</v>
      </c>
      <c r="E461">
        <f>ROUNDDOWN(D461,2)</f>
        <v>22.06</v>
      </c>
    </row>
    <row r="462" spans="1:5" x14ac:dyDescent="0.35">
      <c r="A462" s="15">
        <v>218.9</v>
      </c>
      <c r="B462" s="14">
        <v>3</v>
      </c>
      <c r="C462">
        <f>(B462*100)/$H$1</f>
        <v>5.8673968316057111E-2</v>
      </c>
      <c r="D462">
        <f>D461+C462</f>
        <v>22.1200860551536</v>
      </c>
      <c r="E462">
        <f>ROUNDDOWN(D462,2)</f>
        <v>22.12</v>
      </c>
    </row>
    <row r="463" spans="1:5" x14ac:dyDescent="0.35">
      <c r="A463" s="15">
        <v>218.8</v>
      </c>
      <c r="B463" s="14">
        <v>3</v>
      </c>
      <c r="C463">
        <f>(B463*100)/$H$1</f>
        <v>5.8673968316057111E-2</v>
      </c>
      <c r="D463">
        <f>D462+C463</f>
        <v>22.178760023469657</v>
      </c>
      <c r="E463">
        <f>ROUNDDOWN(D463,2)</f>
        <v>22.17</v>
      </c>
    </row>
    <row r="464" spans="1:5" x14ac:dyDescent="0.35">
      <c r="A464" s="15">
        <v>218.7</v>
      </c>
      <c r="B464" s="14">
        <v>5</v>
      </c>
      <c r="C464">
        <f>(B464*100)/$H$1</f>
        <v>9.7789947193428511E-2</v>
      </c>
      <c r="D464">
        <f>D463+C464</f>
        <v>22.276549970663087</v>
      </c>
      <c r="E464">
        <f>ROUNDDOWN(D464,2)</f>
        <v>22.27</v>
      </c>
    </row>
    <row r="465" spans="1:5" x14ac:dyDescent="0.35">
      <c r="A465" s="15">
        <v>218.6</v>
      </c>
      <c r="B465" s="14">
        <v>7</v>
      </c>
      <c r="C465">
        <f>(B465*100)/$H$1</f>
        <v>0.13690592607079993</v>
      </c>
      <c r="D465">
        <f>D464+C465</f>
        <v>22.413455896733886</v>
      </c>
      <c r="E465">
        <f>ROUNDDOWN(D465,2)</f>
        <v>22.41</v>
      </c>
    </row>
    <row r="466" spans="1:5" x14ac:dyDescent="0.35">
      <c r="A466" s="15">
        <v>218.5</v>
      </c>
      <c r="B466" s="14">
        <v>5</v>
      </c>
      <c r="C466">
        <f>(B466*100)/$H$1</f>
        <v>9.7789947193428511E-2</v>
      </c>
      <c r="D466">
        <f>D465+C466</f>
        <v>22.511245843927316</v>
      </c>
      <c r="E466">
        <f>ROUNDDOWN(D466,2)</f>
        <v>22.51</v>
      </c>
    </row>
    <row r="467" spans="1:5" x14ac:dyDescent="0.35">
      <c r="A467" s="15">
        <v>218.4</v>
      </c>
      <c r="B467" s="14">
        <v>4</v>
      </c>
      <c r="C467">
        <f>(B467*100)/$H$1</f>
        <v>7.8231957754742815E-2</v>
      </c>
      <c r="D467">
        <f>D466+C467</f>
        <v>22.589477801682058</v>
      </c>
      <c r="E467">
        <f>ROUNDDOWN(D467,2)</f>
        <v>22.58</v>
      </c>
    </row>
    <row r="468" spans="1:5" x14ac:dyDescent="0.35">
      <c r="A468" s="15">
        <v>218.3</v>
      </c>
      <c r="B468" s="14">
        <v>7</v>
      </c>
      <c r="C468">
        <f>(B468*100)/$H$1</f>
        <v>0.13690592607079993</v>
      </c>
      <c r="D468">
        <f>D467+C468</f>
        <v>22.726383727752857</v>
      </c>
      <c r="E468">
        <f>ROUNDDOWN(D468,2)</f>
        <v>22.72</v>
      </c>
    </row>
    <row r="469" spans="1:5" x14ac:dyDescent="0.35">
      <c r="A469" s="15">
        <v>218.2</v>
      </c>
      <c r="B469" s="14">
        <v>2</v>
      </c>
      <c r="C469">
        <f>(B469*100)/$H$1</f>
        <v>3.9115978877371407E-2</v>
      </c>
      <c r="D469">
        <f>D468+C469</f>
        <v>22.76549970663023</v>
      </c>
      <c r="E469">
        <f>ROUNDDOWN(D469,2)</f>
        <v>22.76</v>
      </c>
    </row>
    <row r="470" spans="1:5" x14ac:dyDescent="0.35">
      <c r="A470" s="15">
        <v>218.1</v>
      </c>
      <c r="B470" s="14">
        <v>5</v>
      </c>
      <c r="C470">
        <f>(B470*100)/$H$1</f>
        <v>9.7789947193428511E-2</v>
      </c>
      <c r="D470">
        <f>D469+C470</f>
        <v>22.86328965382366</v>
      </c>
      <c r="E470">
        <f>ROUNDDOWN(D470,2)</f>
        <v>22.86</v>
      </c>
    </row>
    <row r="471" spans="1:5" x14ac:dyDescent="0.35">
      <c r="A471" s="15">
        <v>218</v>
      </c>
      <c r="B471" s="14">
        <v>4</v>
      </c>
      <c r="C471">
        <f>(B471*100)/$H$1</f>
        <v>7.8231957754742815E-2</v>
      </c>
      <c r="D471">
        <f>D470+C471</f>
        <v>22.941521611578402</v>
      </c>
      <c r="E471">
        <f>ROUNDDOWN(D471,2)</f>
        <v>22.94</v>
      </c>
    </row>
    <row r="472" spans="1:5" x14ac:dyDescent="0.35">
      <c r="A472" s="15">
        <v>217.9</v>
      </c>
      <c r="B472" s="14">
        <v>6</v>
      </c>
      <c r="C472">
        <f>(B472*100)/$H$1</f>
        <v>0.11734793663211422</v>
      </c>
      <c r="D472">
        <f>D471+C472</f>
        <v>23.058869548210517</v>
      </c>
      <c r="E472">
        <f>ROUNDDOWN(D472,2)</f>
        <v>23.05</v>
      </c>
    </row>
    <row r="473" spans="1:5" x14ac:dyDescent="0.35">
      <c r="A473" s="15">
        <v>217.8</v>
      </c>
      <c r="B473" s="14">
        <v>6</v>
      </c>
      <c r="C473">
        <f>(B473*100)/$H$1</f>
        <v>0.11734793663211422</v>
      </c>
      <c r="D473">
        <f>D472+C473</f>
        <v>23.176217484842631</v>
      </c>
      <c r="E473">
        <f>ROUNDDOWN(D473,2)</f>
        <v>23.17</v>
      </c>
    </row>
    <row r="474" spans="1:5" x14ac:dyDescent="0.35">
      <c r="A474" s="15">
        <v>217.7</v>
      </c>
      <c r="B474" s="14">
        <v>1</v>
      </c>
      <c r="C474">
        <f>(B474*100)/$H$1</f>
        <v>1.9557989438685704E-2</v>
      </c>
      <c r="D474">
        <f>D473+C474</f>
        <v>23.195775474281316</v>
      </c>
      <c r="E474">
        <f>ROUNDDOWN(D474,2)</f>
        <v>23.19</v>
      </c>
    </row>
    <row r="475" spans="1:5" x14ac:dyDescent="0.35">
      <c r="A475" s="15">
        <v>217.6</v>
      </c>
      <c r="B475" s="14">
        <v>3</v>
      </c>
      <c r="C475">
        <f>(B475*100)/$H$1</f>
        <v>5.8673968316057111E-2</v>
      </c>
      <c r="D475">
        <f>D474+C475</f>
        <v>23.254449442597373</v>
      </c>
      <c r="E475">
        <f>ROUNDDOWN(D475,2)</f>
        <v>23.25</v>
      </c>
    </row>
    <row r="476" spans="1:5" x14ac:dyDescent="0.35">
      <c r="A476" s="15">
        <v>217.5</v>
      </c>
      <c r="B476" s="14">
        <v>5</v>
      </c>
      <c r="C476">
        <f>(B476*100)/$H$1</f>
        <v>9.7789947193428511E-2</v>
      </c>
      <c r="D476">
        <f>D475+C476</f>
        <v>23.352239389790803</v>
      </c>
      <c r="E476">
        <f>ROUNDDOWN(D476,2)</f>
        <v>23.35</v>
      </c>
    </row>
    <row r="477" spans="1:5" x14ac:dyDescent="0.35">
      <c r="A477" s="15">
        <v>217.4</v>
      </c>
      <c r="B477" s="14">
        <v>6</v>
      </c>
      <c r="C477">
        <f>(B477*100)/$H$1</f>
        <v>0.11734793663211422</v>
      </c>
      <c r="D477">
        <f>D476+C477</f>
        <v>23.469587326422918</v>
      </c>
      <c r="E477">
        <f>ROUNDDOWN(D477,2)</f>
        <v>23.46</v>
      </c>
    </row>
    <row r="478" spans="1:5" x14ac:dyDescent="0.35">
      <c r="A478" s="15">
        <v>217.3</v>
      </c>
      <c r="B478" s="14">
        <v>9</v>
      </c>
      <c r="C478">
        <f>(B478*100)/$H$1</f>
        <v>0.17602190494817133</v>
      </c>
      <c r="D478">
        <f>D477+C478</f>
        <v>23.64560923137109</v>
      </c>
      <c r="E478">
        <f>ROUNDDOWN(D478,2)</f>
        <v>23.64</v>
      </c>
    </row>
    <row r="479" spans="1:5" x14ac:dyDescent="0.35">
      <c r="A479" s="15">
        <v>217.2</v>
      </c>
      <c r="B479" s="14">
        <v>4</v>
      </c>
      <c r="C479">
        <f>(B479*100)/$H$1</f>
        <v>7.8231957754742815E-2</v>
      </c>
      <c r="D479">
        <f>D478+C479</f>
        <v>23.723841189125832</v>
      </c>
      <c r="E479">
        <f>ROUNDDOWN(D479,2)</f>
        <v>23.72</v>
      </c>
    </row>
    <row r="480" spans="1:5" x14ac:dyDescent="0.35">
      <c r="A480" s="15">
        <v>217.1</v>
      </c>
      <c r="B480" s="14">
        <v>3</v>
      </c>
      <c r="C480">
        <f>(B480*100)/$H$1</f>
        <v>5.8673968316057111E-2</v>
      </c>
      <c r="D480">
        <f>D479+C480</f>
        <v>23.782515157441889</v>
      </c>
      <c r="E480">
        <f>ROUNDDOWN(D480,2)</f>
        <v>23.78</v>
      </c>
    </row>
    <row r="481" spans="1:5" x14ac:dyDescent="0.35">
      <c r="A481" s="15">
        <v>217</v>
      </c>
      <c r="B481" s="14">
        <v>5</v>
      </c>
      <c r="C481">
        <f>(B481*100)/$H$1</f>
        <v>9.7789947193428511E-2</v>
      </c>
      <c r="D481">
        <f>D480+C481</f>
        <v>23.880305104635319</v>
      </c>
      <c r="E481">
        <f>ROUNDDOWN(D481,2)</f>
        <v>23.88</v>
      </c>
    </row>
    <row r="482" spans="1:5" x14ac:dyDescent="0.35">
      <c r="A482" s="15">
        <v>216.9</v>
      </c>
      <c r="B482" s="14">
        <v>4</v>
      </c>
      <c r="C482">
        <f>(B482*100)/$H$1</f>
        <v>7.8231957754742815E-2</v>
      </c>
      <c r="D482">
        <f>D481+C482</f>
        <v>23.958537062390061</v>
      </c>
      <c r="E482">
        <f>ROUNDDOWN(D482,2)</f>
        <v>23.95</v>
      </c>
    </row>
    <row r="483" spans="1:5" x14ac:dyDescent="0.35">
      <c r="A483" s="15">
        <v>216.8</v>
      </c>
      <c r="B483" s="14">
        <v>4</v>
      </c>
      <c r="C483">
        <f>(B483*100)/$H$1</f>
        <v>7.8231957754742815E-2</v>
      </c>
      <c r="D483">
        <f>D482+C483</f>
        <v>24.036769020144803</v>
      </c>
      <c r="E483">
        <f>ROUNDDOWN(D483,2)</f>
        <v>24.03</v>
      </c>
    </row>
    <row r="484" spans="1:5" x14ac:dyDescent="0.35">
      <c r="A484" s="15">
        <v>216.7</v>
      </c>
      <c r="B484" s="14">
        <v>2</v>
      </c>
      <c r="C484">
        <f>(B484*100)/$H$1</f>
        <v>3.9115978877371407E-2</v>
      </c>
      <c r="D484">
        <f>D483+C484</f>
        <v>24.075884999022175</v>
      </c>
      <c r="E484">
        <f>ROUNDDOWN(D484,2)</f>
        <v>24.07</v>
      </c>
    </row>
    <row r="485" spans="1:5" x14ac:dyDescent="0.35">
      <c r="A485" s="15">
        <v>216.6</v>
      </c>
      <c r="B485" s="14">
        <v>2</v>
      </c>
      <c r="C485">
        <f>(B485*100)/$H$1</f>
        <v>3.9115978877371407E-2</v>
      </c>
      <c r="D485">
        <f>D484+C485</f>
        <v>24.115000977899548</v>
      </c>
      <c r="E485">
        <f>ROUNDDOWN(D485,2)</f>
        <v>24.11</v>
      </c>
    </row>
    <row r="486" spans="1:5" x14ac:dyDescent="0.35">
      <c r="A486" s="15">
        <v>216.5</v>
      </c>
      <c r="B486" s="14">
        <v>8</v>
      </c>
      <c r="C486">
        <f>(B486*100)/$H$1</f>
        <v>0.15646391550948563</v>
      </c>
      <c r="D486">
        <f>D485+C486</f>
        <v>24.271464893409036</v>
      </c>
      <c r="E486">
        <f>ROUNDDOWN(D486,2)</f>
        <v>24.27</v>
      </c>
    </row>
    <row r="487" spans="1:5" x14ac:dyDescent="0.35">
      <c r="A487" s="15">
        <v>216.4</v>
      </c>
      <c r="B487" s="14">
        <v>7</v>
      </c>
      <c r="C487">
        <f>(B487*100)/$H$1</f>
        <v>0.13690592607079993</v>
      </c>
      <c r="D487">
        <f>D486+C487</f>
        <v>24.408370819479835</v>
      </c>
      <c r="E487">
        <f>ROUNDDOWN(D487,2)</f>
        <v>24.4</v>
      </c>
    </row>
    <row r="488" spans="1:5" x14ac:dyDescent="0.35">
      <c r="A488" s="15">
        <v>216.3</v>
      </c>
      <c r="B488" s="14">
        <v>3</v>
      </c>
      <c r="C488">
        <f>(B488*100)/$H$1</f>
        <v>5.8673968316057111E-2</v>
      </c>
      <c r="D488">
        <f>D487+C488</f>
        <v>24.467044787795892</v>
      </c>
      <c r="E488">
        <f>ROUNDDOWN(D488,2)</f>
        <v>24.46</v>
      </c>
    </row>
    <row r="489" spans="1:5" x14ac:dyDescent="0.35">
      <c r="A489" s="15">
        <v>216.2</v>
      </c>
      <c r="B489" s="14">
        <v>8</v>
      </c>
      <c r="C489">
        <f>(B489*100)/$H$1</f>
        <v>0.15646391550948563</v>
      </c>
      <c r="D489">
        <f>D488+C489</f>
        <v>24.623508703305379</v>
      </c>
      <c r="E489">
        <f>ROUNDDOWN(D489,2)</f>
        <v>24.62</v>
      </c>
    </row>
    <row r="490" spans="1:5" x14ac:dyDescent="0.35">
      <c r="A490" s="15">
        <v>216.1</v>
      </c>
      <c r="B490" s="14">
        <v>2</v>
      </c>
      <c r="C490">
        <f>(B490*100)/$H$1</f>
        <v>3.9115978877371407E-2</v>
      </c>
      <c r="D490">
        <f>D489+C490</f>
        <v>24.662624682182752</v>
      </c>
      <c r="E490">
        <f>ROUNDDOWN(D490,2)</f>
        <v>24.66</v>
      </c>
    </row>
    <row r="491" spans="1:5" x14ac:dyDescent="0.35">
      <c r="A491" s="15">
        <v>216</v>
      </c>
      <c r="B491" s="14">
        <v>6</v>
      </c>
      <c r="C491">
        <f>(B491*100)/$H$1</f>
        <v>0.11734793663211422</v>
      </c>
      <c r="D491">
        <f>D490+C491</f>
        <v>24.779972618814867</v>
      </c>
      <c r="E491">
        <f>ROUNDDOWN(D491,2)</f>
        <v>24.77</v>
      </c>
    </row>
    <row r="492" spans="1:5" x14ac:dyDescent="0.35">
      <c r="A492" s="15">
        <v>215.9</v>
      </c>
      <c r="B492" s="14">
        <v>1</v>
      </c>
      <c r="C492">
        <f>(B492*100)/$H$1</f>
        <v>1.9557989438685704E-2</v>
      </c>
      <c r="D492">
        <f>D491+C492</f>
        <v>24.799530608253551</v>
      </c>
      <c r="E492">
        <f>ROUNDDOWN(D492,2)</f>
        <v>24.79</v>
      </c>
    </row>
    <row r="493" spans="1:5" x14ac:dyDescent="0.35">
      <c r="A493" s="15">
        <v>215.8</v>
      </c>
      <c r="B493" s="14">
        <v>3</v>
      </c>
      <c r="C493">
        <f>(B493*100)/$H$1</f>
        <v>5.8673968316057111E-2</v>
      </c>
      <c r="D493">
        <f>D492+C493</f>
        <v>24.858204576569609</v>
      </c>
      <c r="E493">
        <f>ROUNDDOWN(D493,2)</f>
        <v>24.85</v>
      </c>
    </row>
    <row r="494" spans="1:5" x14ac:dyDescent="0.35">
      <c r="A494" s="15">
        <v>215.7</v>
      </c>
      <c r="B494" s="14">
        <v>4</v>
      </c>
      <c r="C494">
        <f>(B494*100)/$H$1</f>
        <v>7.8231957754742815E-2</v>
      </c>
      <c r="D494">
        <f>D493+C494</f>
        <v>24.936436534324351</v>
      </c>
      <c r="E494">
        <f>ROUNDDOWN(D494,2)</f>
        <v>24.93</v>
      </c>
    </row>
    <row r="495" spans="1:5" x14ac:dyDescent="0.35">
      <c r="A495" s="15">
        <v>215.6</v>
      </c>
      <c r="B495" s="14">
        <v>6</v>
      </c>
      <c r="C495">
        <f>(B495*100)/$H$1</f>
        <v>0.11734793663211422</v>
      </c>
      <c r="D495">
        <f>D494+C495</f>
        <v>25.053784470956465</v>
      </c>
      <c r="E495">
        <f>ROUNDDOWN(D495,2)</f>
        <v>25.05</v>
      </c>
    </row>
    <row r="496" spans="1:5" x14ac:dyDescent="0.35">
      <c r="A496" s="15">
        <v>215.5</v>
      </c>
      <c r="B496" s="14">
        <v>7</v>
      </c>
      <c r="C496">
        <f>(B496*100)/$H$1</f>
        <v>0.13690592607079993</v>
      </c>
      <c r="D496">
        <f>D495+C496</f>
        <v>25.190690397027264</v>
      </c>
      <c r="E496">
        <f>ROUNDDOWN(D496,2)</f>
        <v>25.19</v>
      </c>
    </row>
    <row r="497" spans="1:5" x14ac:dyDescent="0.35">
      <c r="A497" s="15">
        <v>215.4</v>
      </c>
      <c r="B497" s="14">
        <v>3</v>
      </c>
      <c r="C497">
        <f>(B497*100)/$H$1</f>
        <v>5.8673968316057111E-2</v>
      </c>
      <c r="D497">
        <f>D496+C497</f>
        <v>25.249364365343322</v>
      </c>
      <c r="E497">
        <f>ROUNDDOWN(D497,2)</f>
        <v>25.24</v>
      </c>
    </row>
    <row r="498" spans="1:5" x14ac:dyDescent="0.35">
      <c r="A498" s="15">
        <v>215.3</v>
      </c>
      <c r="B498" s="14">
        <v>2</v>
      </c>
      <c r="C498">
        <f>(B498*100)/$H$1</f>
        <v>3.9115978877371407E-2</v>
      </c>
      <c r="D498">
        <f>D497+C498</f>
        <v>25.288480344220694</v>
      </c>
      <c r="E498">
        <f>ROUNDDOWN(D498,2)</f>
        <v>25.28</v>
      </c>
    </row>
    <row r="499" spans="1:5" x14ac:dyDescent="0.35">
      <c r="A499" s="15">
        <v>215.2</v>
      </c>
      <c r="B499" s="14">
        <v>3</v>
      </c>
      <c r="C499">
        <f>(B499*100)/$H$1</f>
        <v>5.8673968316057111E-2</v>
      </c>
      <c r="D499">
        <f>D498+C499</f>
        <v>25.347154312536752</v>
      </c>
      <c r="E499">
        <f>ROUNDDOWN(D499,2)</f>
        <v>25.34</v>
      </c>
    </row>
    <row r="500" spans="1:5" x14ac:dyDescent="0.35">
      <c r="A500" s="15">
        <v>215.1</v>
      </c>
      <c r="B500" s="14">
        <v>8</v>
      </c>
      <c r="C500">
        <f>(B500*100)/$H$1</f>
        <v>0.15646391550948563</v>
      </c>
      <c r="D500">
        <f>D499+C500</f>
        <v>25.503618228046239</v>
      </c>
      <c r="E500">
        <f>ROUNDDOWN(D500,2)</f>
        <v>25.5</v>
      </c>
    </row>
    <row r="501" spans="1:5" x14ac:dyDescent="0.35">
      <c r="A501" s="15">
        <v>215</v>
      </c>
      <c r="B501" s="14">
        <v>2</v>
      </c>
      <c r="C501">
        <f>(B501*100)/$H$1</f>
        <v>3.9115978877371407E-2</v>
      </c>
      <c r="D501">
        <f>D500+C501</f>
        <v>25.542734206923612</v>
      </c>
      <c r="E501">
        <f>ROUNDDOWN(D501,2)</f>
        <v>25.54</v>
      </c>
    </row>
    <row r="502" spans="1:5" x14ac:dyDescent="0.35">
      <c r="A502" s="15">
        <v>214.9</v>
      </c>
      <c r="B502" s="14">
        <v>3</v>
      </c>
      <c r="C502">
        <f>(B502*100)/$H$1</f>
        <v>5.8673968316057111E-2</v>
      </c>
      <c r="D502">
        <f>D501+C502</f>
        <v>25.601408175239669</v>
      </c>
      <c r="E502">
        <f>ROUNDDOWN(D502,2)</f>
        <v>25.6</v>
      </c>
    </row>
    <row r="503" spans="1:5" x14ac:dyDescent="0.35">
      <c r="A503" s="15">
        <v>214.8</v>
      </c>
      <c r="B503" s="14">
        <v>4</v>
      </c>
      <c r="C503">
        <f>(B503*100)/$H$1</f>
        <v>7.8231957754742815E-2</v>
      </c>
      <c r="D503">
        <f>D502+C503</f>
        <v>25.679640132994411</v>
      </c>
      <c r="E503">
        <f>ROUNDDOWN(D503,2)</f>
        <v>25.67</v>
      </c>
    </row>
    <row r="504" spans="1:5" x14ac:dyDescent="0.35">
      <c r="A504" s="15">
        <v>214.7</v>
      </c>
      <c r="B504" s="14">
        <v>4</v>
      </c>
      <c r="C504">
        <f>(B504*100)/$H$1</f>
        <v>7.8231957754742815E-2</v>
      </c>
      <c r="D504">
        <f>D503+C504</f>
        <v>25.757872090749153</v>
      </c>
      <c r="E504">
        <f>ROUNDDOWN(D504,2)</f>
        <v>25.75</v>
      </c>
    </row>
    <row r="505" spans="1:5" x14ac:dyDescent="0.35">
      <c r="A505" s="15">
        <v>214.6</v>
      </c>
      <c r="B505" s="14">
        <v>6</v>
      </c>
      <c r="C505">
        <f>(B505*100)/$H$1</f>
        <v>0.11734793663211422</v>
      </c>
      <c r="D505">
        <f>D504+C505</f>
        <v>25.875220027381268</v>
      </c>
      <c r="E505">
        <f>ROUNDDOWN(D505,2)</f>
        <v>25.87</v>
      </c>
    </row>
    <row r="506" spans="1:5" x14ac:dyDescent="0.35">
      <c r="A506" s="15">
        <v>214.5</v>
      </c>
      <c r="B506" s="14">
        <v>7</v>
      </c>
      <c r="C506">
        <f>(B506*100)/$H$1</f>
        <v>0.13690592607079993</v>
      </c>
      <c r="D506">
        <f>D505+C506</f>
        <v>26.012125953452067</v>
      </c>
      <c r="E506">
        <f>ROUNDDOWN(D506,2)</f>
        <v>26.01</v>
      </c>
    </row>
    <row r="507" spans="1:5" x14ac:dyDescent="0.35">
      <c r="A507" s="15">
        <v>214.4</v>
      </c>
      <c r="B507" s="14">
        <v>2</v>
      </c>
      <c r="C507">
        <f>(B507*100)/$H$1</f>
        <v>3.9115978877371407E-2</v>
      </c>
      <c r="D507">
        <f>D506+C507</f>
        <v>26.05124193232944</v>
      </c>
      <c r="E507">
        <f>ROUNDDOWN(D507,2)</f>
        <v>26.05</v>
      </c>
    </row>
    <row r="508" spans="1:5" x14ac:dyDescent="0.35">
      <c r="A508" s="15">
        <v>214.3</v>
      </c>
      <c r="B508" s="14">
        <v>2</v>
      </c>
      <c r="C508">
        <f>(B508*100)/$H$1</f>
        <v>3.9115978877371407E-2</v>
      </c>
      <c r="D508">
        <f>D507+C508</f>
        <v>26.090357911206812</v>
      </c>
      <c r="E508">
        <f>ROUNDDOWN(D508,2)</f>
        <v>26.09</v>
      </c>
    </row>
    <row r="509" spans="1:5" x14ac:dyDescent="0.35">
      <c r="A509" s="15">
        <v>214.2</v>
      </c>
      <c r="B509" s="14">
        <v>7</v>
      </c>
      <c r="C509">
        <f>(B509*100)/$H$1</f>
        <v>0.13690592607079993</v>
      </c>
      <c r="D509">
        <f>D508+C509</f>
        <v>26.227263837277611</v>
      </c>
      <c r="E509">
        <f>ROUNDDOWN(D509,2)</f>
        <v>26.22</v>
      </c>
    </row>
    <row r="510" spans="1:5" x14ac:dyDescent="0.35">
      <c r="A510" s="15">
        <v>214.1</v>
      </c>
      <c r="B510" s="14">
        <v>4</v>
      </c>
      <c r="C510">
        <f>(B510*100)/$H$1</f>
        <v>7.8231957754742815E-2</v>
      </c>
      <c r="D510">
        <f>D509+C510</f>
        <v>26.305495795032353</v>
      </c>
      <c r="E510">
        <f>ROUNDDOWN(D510,2)</f>
        <v>26.3</v>
      </c>
    </row>
    <row r="511" spans="1:5" x14ac:dyDescent="0.35">
      <c r="A511" s="15">
        <v>214</v>
      </c>
      <c r="B511" s="14">
        <v>5</v>
      </c>
      <c r="C511">
        <f>(B511*100)/$H$1</f>
        <v>9.7789947193428511E-2</v>
      </c>
      <c r="D511">
        <f>D510+C511</f>
        <v>26.403285742225783</v>
      </c>
      <c r="E511">
        <f>ROUNDDOWN(D511,2)</f>
        <v>26.4</v>
      </c>
    </row>
    <row r="512" spans="1:5" x14ac:dyDescent="0.35">
      <c r="A512" s="15">
        <v>213.9</v>
      </c>
      <c r="B512" s="14">
        <v>8</v>
      </c>
      <c r="C512">
        <f>(B512*100)/$H$1</f>
        <v>0.15646391550948563</v>
      </c>
      <c r="D512">
        <f>D511+C512</f>
        <v>26.559749657735271</v>
      </c>
      <c r="E512">
        <f>ROUNDDOWN(D512,2)</f>
        <v>26.55</v>
      </c>
    </row>
    <row r="513" spans="1:5" x14ac:dyDescent="0.35">
      <c r="A513" s="15">
        <v>213.8</v>
      </c>
      <c r="B513" s="14">
        <v>3</v>
      </c>
      <c r="C513">
        <f>(B513*100)/$H$1</f>
        <v>5.8673968316057111E-2</v>
      </c>
      <c r="D513">
        <f>D512+C513</f>
        <v>26.618423626051328</v>
      </c>
      <c r="E513">
        <f>ROUNDDOWN(D513,2)</f>
        <v>26.61</v>
      </c>
    </row>
    <row r="514" spans="1:5" x14ac:dyDescent="0.35">
      <c r="A514" s="15">
        <v>213.7</v>
      </c>
      <c r="B514" s="14">
        <v>2</v>
      </c>
      <c r="C514">
        <f>(B514*100)/$H$1</f>
        <v>3.9115978877371407E-2</v>
      </c>
      <c r="D514">
        <f>D513+C514</f>
        <v>26.657539604928701</v>
      </c>
      <c r="E514">
        <f>ROUNDDOWN(D514,2)</f>
        <v>26.65</v>
      </c>
    </row>
    <row r="515" spans="1:5" x14ac:dyDescent="0.35">
      <c r="A515" s="15">
        <v>213.6</v>
      </c>
      <c r="B515" s="14">
        <v>4</v>
      </c>
      <c r="C515">
        <f>(B515*100)/$H$1</f>
        <v>7.8231957754742815E-2</v>
      </c>
      <c r="D515">
        <f>D514+C515</f>
        <v>26.735771562683443</v>
      </c>
      <c r="E515">
        <f>ROUNDDOWN(D515,2)</f>
        <v>26.73</v>
      </c>
    </row>
    <row r="516" spans="1:5" x14ac:dyDescent="0.35">
      <c r="A516" s="15">
        <v>213.5</v>
      </c>
      <c r="B516" s="14">
        <v>3</v>
      </c>
      <c r="C516">
        <f>(B516*100)/$H$1</f>
        <v>5.8673968316057111E-2</v>
      </c>
      <c r="D516">
        <f>D515+C516</f>
        <v>26.7944455309995</v>
      </c>
      <c r="E516">
        <f>ROUNDDOWN(D516,2)</f>
        <v>26.79</v>
      </c>
    </row>
    <row r="517" spans="1:5" x14ac:dyDescent="0.35">
      <c r="A517" s="15">
        <v>213.4</v>
      </c>
      <c r="B517" s="14">
        <v>3</v>
      </c>
      <c r="C517">
        <f>(B517*100)/$H$1</f>
        <v>5.8673968316057111E-2</v>
      </c>
      <c r="D517">
        <f>D516+C517</f>
        <v>26.853119499315557</v>
      </c>
      <c r="E517">
        <f>ROUNDDOWN(D517,2)</f>
        <v>26.85</v>
      </c>
    </row>
    <row r="518" spans="1:5" x14ac:dyDescent="0.35">
      <c r="A518" s="15">
        <v>213.3</v>
      </c>
      <c r="B518" s="14">
        <v>5</v>
      </c>
      <c r="C518">
        <f>(B518*100)/$H$1</f>
        <v>9.7789947193428511E-2</v>
      </c>
      <c r="D518">
        <f>D517+C518</f>
        <v>26.950909446508987</v>
      </c>
      <c r="E518">
        <f>ROUNDDOWN(D518,2)</f>
        <v>26.95</v>
      </c>
    </row>
    <row r="519" spans="1:5" x14ac:dyDescent="0.35">
      <c r="A519" s="15">
        <v>213.2</v>
      </c>
      <c r="B519" s="14">
        <v>4</v>
      </c>
      <c r="C519">
        <f>(B519*100)/$H$1</f>
        <v>7.8231957754742815E-2</v>
      </c>
      <c r="D519">
        <f>D518+C519</f>
        <v>27.029141404263729</v>
      </c>
      <c r="E519">
        <f>ROUNDDOWN(D519,2)</f>
        <v>27.02</v>
      </c>
    </row>
    <row r="520" spans="1:5" x14ac:dyDescent="0.35">
      <c r="A520" s="15">
        <v>213.1</v>
      </c>
      <c r="B520" s="14">
        <v>3</v>
      </c>
      <c r="C520">
        <f>(B520*100)/$H$1</f>
        <v>5.8673968316057111E-2</v>
      </c>
      <c r="D520">
        <f>D519+C520</f>
        <v>27.087815372579787</v>
      </c>
      <c r="E520">
        <f>ROUNDDOWN(D520,2)</f>
        <v>27.08</v>
      </c>
    </row>
    <row r="521" spans="1:5" x14ac:dyDescent="0.35">
      <c r="A521" s="15">
        <v>213</v>
      </c>
      <c r="B521" s="14">
        <v>4</v>
      </c>
      <c r="C521">
        <f>(B521*100)/$H$1</f>
        <v>7.8231957754742815E-2</v>
      </c>
      <c r="D521">
        <f>D520+C521</f>
        <v>27.166047330334528</v>
      </c>
      <c r="E521">
        <f>ROUNDDOWN(D521,2)</f>
        <v>27.16</v>
      </c>
    </row>
    <row r="522" spans="1:5" x14ac:dyDescent="0.35">
      <c r="A522" s="15">
        <v>212.9</v>
      </c>
      <c r="B522" s="14">
        <v>8</v>
      </c>
      <c r="C522">
        <f>(B522*100)/$H$1</f>
        <v>0.15646391550948563</v>
      </c>
      <c r="D522">
        <f>D521+C522</f>
        <v>27.322511245844016</v>
      </c>
      <c r="E522">
        <f>ROUNDDOWN(D522,2)</f>
        <v>27.32</v>
      </c>
    </row>
    <row r="523" spans="1:5" x14ac:dyDescent="0.35">
      <c r="A523" s="15">
        <v>212.8</v>
      </c>
      <c r="B523" s="14">
        <v>5</v>
      </c>
      <c r="C523">
        <f>(B523*100)/$H$1</f>
        <v>9.7789947193428511E-2</v>
      </c>
      <c r="D523">
        <f>D522+C523</f>
        <v>27.420301193037446</v>
      </c>
      <c r="E523">
        <f>ROUNDDOWN(D523,2)</f>
        <v>27.42</v>
      </c>
    </row>
    <row r="524" spans="1:5" x14ac:dyDescent="0.35">
      <c r="A524" s="15">
        <v>212.7</v>
      </c>
      <c r="B524" s="14">
        <v>5</v>
      </c>
      <c r="C524">
        <f>(B524*100)/$H$1</f>
        <v>9.7789947193428511E-2</v>
      </c>
      <c r="D524">
        <f>D523+C524</f>
        <v>27.518091140230876</v>
      </c>
      <c r="E524">
        <f>ROUNDDOWN(D524,2)</f>
        <v>27.51</v>
      </c>
    </row>
    <row r="525" spans="1:5" x14ac:dyDescent="0.35">
      <c r="A525" s="15">
        <v>212.6</v>
      </c>
      <c r="B525" s="14">
        <v>5</v>
      </c>
      <c r="C525">
        <f>(B525*100)/$H$1</f>
        <v>9.7789947193428511E-2</v>
      </c>
      <c r="D525">
        <f>D524+C525</f>
        <v>27.615881087424306</v>
      </c>
      <c r="E525">
        <f>ROUNDDOWN(D525,2)</f>
        <v>27.61</v>
      </c>
    </row>
    <row r="526" spans="1:5" x14ac:dyDescent="0.35">
      <c r="A526" s="15">
        <v>212.5</v>
      </c>
      <c r="B526" s="14">
        <v>2</v>
      </c>
      <c r="C526">
        <f>(B526*100)/$H$1</f>
        <v>3.9115978877371407E-2</v>
      </c>
      <c r="D526">
        <f>D525+C526</f>
        <v>27.654997066301679</v>
      </c>
      <c r="E526">
        <f>ROUNDDOWN(D526,2)</f>
        <v>27.65</v>
      </c>
    </row>
    <row r="527" spans="1:5" x14ac:dyDescent="0.35">
      <c r="A527" s="15">
        <v>212.4</v>
      </c>
      <c r="B527" s="14">
        <v>6</v>
      </c>
      <c r="C527">
        <f>(B527*100)/$H$1</f>
        <v>0.11734793663211422</v>
      </c>
      <c r="D527">
        <f>D526+C527</f>
        <v>27.772345002933793</v>
      </c>
      <c r="E527">
        <f>ROUNDDOWN(D527,2)</f>
        <v>27.77</v>
      </c>
    </row>
    <row r="528" spans="1:5" x14ac:dyDescent="0.35">
      <c r="A528" s="15">
        <v>212.3</v>
      </c>
      <c r="B528" s="14">
        <v>5</v>
      </c>
      <c r="C528">
        <f>(B528*100)/$H$1</f>
        <v>9.7789947193428511E-2</v>
      </c>
      <c r="D528">
        <f>D527+C528</f>
        <v>27.870134950127223</v>
      </c>
      <c r="E528">
        <f>ROUNDDOWN(D528,2)</f>
        <v>27.87</v>
      </c>
    </row>
    <row r="529" spans="1:5" x14ac:dyDescent="0.35">
      <c r="A529" s="15">
        <v>212.2</v>
      </c>
      <c r="B529" s="14">
        <v>2</v>
      </c>
      <c r="C529">
        <f>(B529*100)/$H$1</f>
        <v>3.9115978877371407E-2</v>
      </c>
      <c r="D529">
        <f>D528+C529</f>
        <v>27.909250929004596</v>
      </c>
      <c r="E529">
        <f>ROUNDDOWN(D529,2)</f>
        <v>27.9</v>
      </c>
    </row>
    <row r="530" spans="1:5" x14ac:dyDescent="0.35">
      <c r="A530" s="15">
        <v>212.1</v>
      </c>
      <c r="B530" s="14">
        <v>2</v>
      </c>
      <c r="C530">
        <f>(B530*100)/$H$1</f>
        <v>3.9115978877371407E-2</v>
      </c>
      <c r="D530">
        <f>D529+C530</f>
        <v>27.948366907881969</v>
      </c>
      <c r="E530">
        <f>ROUNDDOWN(D530,2)</f>
        <v>27.94</v>
      </c>
    </row>
    <row r="531" spans="1:5" x14ac:dyDescent="0.35">
      <c r="A531" s="15">
        <v>212</v>
      </c>
      <c r="B531" s="14">
        <v>1</v>
      </c>
      <c r="C531">
        <f>(B531*100)/$H$1</f>
        <v>1.9557989438685704E-2</v>
      </c>
      <c r="D531">
        <f>D530+C531</f>
        <v>27.967924897320653</v>
      </c>
      <c r="E531">
        <f>ROUNDDOWN(D531,2)</f>
        <v>27.96</v>
      </c>
    </row>
    <row r="532" spans="1:5" x14ac:dyDescent="0.35">
      <c r="A532" s="15">
        <v>211.9</v>
      </c>
      <c r="B532" s="14">
        <v>1</v>
      </c>
      <c r="C532">
        <f>(B532*100)/$H$1</f>
        <v>1.9557989438685704E-2</v>
      </c>
      <c r="D532">
        <f>D531+C532</f>
        <v>27.987482886759338</v>
      </c>
      <c r="E532">
        <f>ROUNDDOWN(D532,2)</f>
        <v>27.98</v>
      </c>
    </row>
    <row r="533" spans="1:5" x14ac:dyDescent="0.35">
      <c r="A533" s="15">
        <v>211.8</v>
      </c>
      <c r="B533" s="14">
        <v>5</v>
      </c>
      <c r="C533">
        <f>(B533*100)/$H$1</f>
        <v>9.7789947193428511E-2</v>
      </c>
      <c r="D533">
        <f>D532+C533</f>
        <v>28.085272833952768</v>
      </c>
      <c r="E533">
        <f>ROUNDDOWN(D533,2)</f>
        <v>28.08</v>
      </c>
    </row>
    <row r="534" spans="1:5" x14ac:dyDescent="0.35">
      <c r="A534" s="15">
        <v>211.7</v>
      </c>
      <c r="B534" s="14">
        <v>4</v>
      </c>
      <c r="C534">
        <f>(B534*100)/$H$1</f>
        <v>7.8231957754742815E-2</v>
      </c>
      <c r="D534">
        <f>D533+C534</f>
        <v>28.16350479170751</v>
      </c>
      <c r="E534">
        <f>ROUNDDOWN(D534,2)</f>
        <v>28.16</v>
      </c>
    </row>
    <row r="535" spans="1:5" x14ac:dyDescent="0.35">
      <c r="A535" s="15">
        <v>211.6</v>
      </c>
      <c r="B535" s="14">
        <v>3</v>
      </c>
      <c r="C535">
        <f>(B535*100)/$H$1</f>
        <v>5.8673968316057111E-2</v>
      </c>
      <c r="D535">
        <f>D534+C535</f>
        <v>28.222178760023567</v>
      </c>
      <c r="E535">
        <f>ROUNDDOWN(D535,2)</f>
        <v>28.22</v>
      </c>
    </row>
    <row r="536" spans="1:5" x14ac:dyDescent="0.35">
      <c r="A536" s="15">
        <v>211.5</v>
      </c>
      <c r="B536" s="14">
        <v>4</v>
      </c>
      <c r="C536">
        <f>(B536*100)/$H$1</f>
        <v>7.8231957754742815E-2</v>
      </c>
      <c r="D536">
        <f>D535+C536</f>
        <v>28.300410717778309</v>
      </c>
      <c r="E536">
        <f>ROUNDDOWN(D536,2)</f>
        <v>28.3</v>
      </c>
    </row>
    <row r="537" spans="1:5" x14ac:dyDescent="0.35">
      <c r="A537" s="15">
        <v>211.4</v>
      </c>
      <c r="B537" s="14">
        <v>7</v>
      </c>
      <c r="C537">
        <f>(B537*100)/$H$1</f>
        <v>0.13690592607079993</v>
      </c>
      <c r="D537">
        <f>D536+C537</f>
        <v>28.437316643849108</v>
      </c>
      <c r="E537">
        <f>ROUNDDOWN(D537,2)</f>
        <v>28.43</v>
      </c>
    </row>
    <row r="538" spans="1:5" x14ac:dyDescent="0.35">
      <c r="A538" s="15">
        <v>211.3</v>
      </c>
      <c r="B538" s="14">
        <v>5</v>
      </c>
      <c r="C538">
        <f>(B538*100)/$H$1</f>
        <v>9.7789947193428511E-2</v>
      </c>
      <c r="D538">
        <f>D537+C538</f>
        <v>28.535106591042538</v>
      </c>
      <c r="E538">
        <f>ROUNDDOWN(D538,2)</f>
        <v>28.53</v>
      </c>
    </row>
    <row r="539" spans="1:5" x14ac:dyDescent="0.35">
      <c r="A539" s="15">
        <v>211.2</v>
      </c>
      <c r="B539" s="14">
        <v>5</v>
      </c>
      <c r="C539">
        <f>(B539*100)/$H$1</f>
        <v>9.7789947193428511E-2</v>
      </c>
      <c r="D539">
        <f>D538+C539</f>
        <v>28.632896538235968</v>
      </c>
      <c r="E539">
        <f>ROUNDDOWN(D539,2)</f>
        <v>28.63</v>
      </c>
    </row>
    <row r="540" spans="1:5" x14ac:dyDescent="0.35">
      <c r="A540" s="15">
        <v>211.1</v>
      </c>
      <c r="B540" s="14">
        <v>4</v>
      </c>
      <c r="C540">
        <f>(B540*100)/$H$1</f>
        <v>7.8231957754742815E-2</v>
      </c>
      <c r="D540">
        <f>D539+C540</f>
        <v>28.71112849599071</v>
      </c>
      <c r="E540">
        <f>ROUNDDOWN(D540,2)</f>
        <v>28.71</v>
      </c>
    </row>
    <row r="541" spans="1:5" x14ac:dyDescent="0.35">
      <c r="A541" s="15">
        <v>211</v>
      </c>
      <c r="B541" s="14">
        <v>6</v>
      </c>
      <c r="C541">
        <f>(B541*100)/$H$1</f>
        <v>0.11734793663211422</v>
      </c>
      <c r="D541">
        <f>D540+C541</f>
        <v>28.828476432622825</v>
      </c>
      <c r="E541">
        <f>ROUNDDOWN(D541,2)</f>
        <v>28.82</v>
      </c>
    </row>
    <row r="542" spans="1:5" x14ac:dyDescent="0.35">
      <c r="A542" s="15">
        <v>210.9</v>
      </c>
      <c r="B542" s="14">
        <v>2</v>
      </c>
      <c r="C542">
        <f>(B542*100)/$H$1</f>
        <v>3.9115978877371407E-2</v>
      </c>
      <c r="D542">
        <f>D541+C542</f>
        <v>28.867592411500198</v>
      </c>
      <c r="E542">
        <f>ROUNDDOWN(D542,2)</f>
        <v>28.86</v>
      </c>
    </row>
    <row r="543" spans="1:5" x14ac:dyDescent="0.35">
      <c r="A543" s="15">
        <v>210.8</v>
      </c>
      <c r="B543" s="14">
        <v>8</v>
      </c>
      <c r="C543">
        <f>(B543*100)/$H$1</f>
        <v>0.15646391550948563</v>
      </c>
      <c r="D543">
        <f>D542+C543</f>
        <v>29.024056327009685</v>
      </c>
      <c r="E543">
        <f>ROUNDDOWN(D543,2)</f>
        <v>29.02</v>
      </c>
    </row>
    <row r="544" spans="1:5" x14ac:dyDescent="0.35">
      <c r="A544" s="15">
        <v>210.7</v>
      </c>
      <c r="B544" s="14">
        <v>4</v>
      </c>
      <c r="C544">
        <f>(B544*100)/$H$1</f>
        <v>7.8231957754742815E-2</v>
      </c>
      <c r="D544">
        <f>D543+C544</f>
        <v>29.102288284764427</v>
      </c>
      <c r="E544">
        <f>ROUNDDOWN(D544,2)</f>
        <v>29.1</v>
      </c>
    </row>
    <row r="545" spans="1:5" x14ac:dyDescent="0.35">
      <c r="A545" s="15">
        <v>210.6</v>
      </c>
      <c r="B545" s="14">
        <v>1</v>
      </c>
      <c r="C545">
        <f>(B545*100)/$H$1</f>
        <v>1.9557989438685704E-2</v>
      </c>
      <c r="D545">
        <f>D544+C545</f>
        <v>29.121846274203111</v>
      </c>
      <c r="E545">
        <f>ROUNDDOWN(D545,2)</f>
        <v>29.12</v>
      </c>
    </row>
    <row r="546" spans="1:5" x14ac:dyDescent="0.35">
      <c r="A546" s="15">
        <v>210.5</v>
      </c>
      <c r="B546" s="14">
        <v>4</v>
      </c>
      <c r="C546">
        <f>(B546*100)/$H$1</f>
        <v>7.8231957754742815E-2</v>
      </c>
      <c r="D546">
        <f>D545+C546</f>
        <v>29.200078231957853</v>
      </c>
      <c r="E546">
        <f>ROUNDDOWN(D546,2)</f>
        <v>29.2</v>
      </c>
    </row>
    <row r="547" spans="1:5" x14ac:dyDescent="0.35">
      <c r="A547" s="15">
        <v>210.4</v>
      </c>
      <c r="B547" s="14">
        <v>5</v>
      </c>
      <c r="C547">
        <f>(B547*100)/$H$1</f>
        <v>9.7789947193428511E-2</v>
      </c>
      <c r="D547">
        <f>D546+C547</f>
        <v>29.297868179151283</v>
      </c>
      <c r="E547">
        <f>ROUNDDOWN(D547,2)</f>
        <v>29.29</v>
      </c>
    </row>
    <row r="548" spans="1:5" x14ac:dyDescent="0.35">
      <c r="A548" s="15">
        <v>210.3</v>
      </c>
      <c r="B548" s="14">
        <v>5</v>
      </c>
      <c r="C548">
        <f>(B548*100)/$H$1</f>
        <v>9.7789947193428511E-2</v>
      </c>
      <c r="D548">
        <f>D547+C548</f>
        <v>29.395658126344713</v>
      </c>
      <c r="E548">
        <f>ROUNDDOWN(D548,2)</f>
        <v>29.39</v>
      </c>
    </row>
    <row r="549" spans="1:5" x14ac:dyDescent="0.35">
      <c r="A549" s="15">
        <v>210.2</v>
      </c>
      <c r="B549" s="14">
        <v>9</v>
      </c>
      <c r="C549">
        <f>(B549*100)/$H$1</f>
        <v>0.17602190494817133</v>
      </c>
      <c r="D549">
        <f>D548+C549</f>
        <v>29.571680031292885</v>
      </c>
      <c r="E549">
        <f>ROUNDDOWN(D549,2)</f>
        <v>29.57</v>
      </c>
    </row>
    <row r="550" spans="1:5" x14ac:dyDescent="0.35">
      <c r="A550" s="15">
        <v>210.1</v>
      </c>
      <c r="B550" s="14">
        <v>1</v>
      </c>
      <c r="C550">
        <f>(B550*100)/$H$1</f>
        <v>1.9557989438685704E-2</v>
      </c>
      <c r="D550">
        <f>D549+C550</f>
        <v>29.59123802073157</v>
      </c>
      <c r="E550">
        <f>ROUNDDOWN(D550,2)</f>
        <v>29.59</v>
      </c>
    </row>
    <row r="551" spans="1:5" x14ac:dyDescent="0.35">
      <c r="A551" s="15">
        <v>210</v>
      </c>
      <c r="B551" s="14">
        <v>2</v>
      </c>
      <c r="C551">
        <f>(B551*100)/$H$1</f>
        <v>3.9115978877371407E-2</v>
      </c>
      <c r="D551">
        <f>D550+C551</f>
        <v>29.630353999608943</v>
      </c>
      <c r="E551">
        <f>ROUNDDOWN(D551,2)</f>
        <v>29.63</v>
      </c>
    </row>
    <row r="552" spans="1:5" x14ac:dyDescent="0.35">
      <c r="A552" s="15">
        <v>209.9</v>
      </c>
      <c r="B552" s="14">
        <v>7</v>
      </c>
      <c r="C552">
        <f>(B552*100)/$H$1</f>
        <v>0.13690592607079993</v>
      </c>
      <c r="D552">
        <f>D551+C552</f>
        <v>29.767259925679742</v>
      </c>
      <c r="E552">
        <f>ROUNDDOWN(D552,2)</f>
        <v>29.76</v>
      </c>
    </row>
    <row r="553" spans="1:5" x14ac:dyDescent="0.35">
      <c r="A553" s="15">
        <v>209.8</v>
      </c>
      <c r="B553" s="14">
        <v>2</v>
      </c>
      <c r="C553">
        <f>(B553*100)/$H$1</f>
        <v>3.9115978877371407E-2</v>
      </c>
      <c r="D553">
        <f>D552+C553</f>
        <v>29.806375904557115</v>
      </c>
      <c r="E553">
        <f>ROUNDDOWN(D553,2)</f>
        <v>29.8</v>
      </c>
    </row>
    <row r="554" spans="1:5" x14ac:dyDescent="0.35">
      <c r="A554" s="15">
        <v>209.7</v>
      </c>
      <c r="B554" s="14">
        <v>4</v>
      </c>
      <c r="C554">
        <f>(B554*100)/$H$1</f>
        <v>7.8231957754742815E-2</v>
      </c>
      <c r="D554">
        <f>D553+C554</f>
        <v>29.884607862311857</v>
      </c>
      <c r="E554">
        <f>ROUNDDOWN(D554,2)</f>
        <v>29.88</v>
      </c>
    </row>
    <row r="555" spans="1:5" x14ac:dyDescent="0.35">
      <c r="A555" s="15">
        <v>209.6</v>
      </c>
      <c r="B555" s="14">
        <v>4</v>
      </c>
      <c r="C555">
        <f>(B555*100)/$H$1</f>
        <v>7.8231957754742815E-2</v>
      </c>
      <c r="D555">
        <f>D554+C555</f>
        <v>29.962839820066598</v>
      </c>
      <c r="E555">
        <f>ROUNDDOWN(D555,2)</f>
        <v>29.96</v>
      </c>
    </row>
    <row r="556" spans="1:5" x14ac:dyDescent="0.35">
      <c r="A556" s="15">
        <v>209.5</v>
      </c>
      <c r="B556" s="14">
        <v>5</v>
      </c>
      <c r="C556">
        <f>(B556*100)/$H$1</f>
        <v>9.7789947193428511E-2</v>
      </c>
      <c r="D556">
        <f>D555+C556</f>
        <v>30.060629767260028</v>
      </c>
      <c r="E556">
        <f>ROUNDDOWN(D556,2)</f>
        <v>30.06</v>
      </c>
    </row>
    <row r="557" spans="1:5" x14ac:dyDescent="0.35">
      <c r="A557" s="15">
        <v>209.4</v>
      </c>
      <c r="B557" s="14">
        <v>3</v>
      </c>
      <c r="C557">
        <f>(B557*100)/$H$1</f>
        <v>5.8673968316057111E-2</v>
      </c>
      <c r="D557">
        <f>D556+C557</f>
        <v>30.119303735576086</v>
      </c>
      <c r="E557">
        <f>ROUNDDOWN(D557,2)</f>
        <v>30.11</v>
      </c>
    </row>
    <row r="558" spans="1:5" x14ac:dyDescent="0.35">
      <c r="A558" s="15">
        <v>209.3</v>
      </c>
      <c r="B558" s="14">
        <v>3</v>
      </c>
      <c r="C558">
        <f>(B558*100)/$H$1</f>
        <v>5.8673968316057111E-2</v>
      </c>
      <c r="D558">
        <f>D557+C558</f>
        <v>30.177977703892143</v>
      </c>
      <c r="E558">
        <f>ROUNDDOWN(D558,2)</f>
        <v>30.17</v>
      </c>
    </row>
    <row r="559" spans="1:5" x14ac:dyDescent="0.35">
      <c r="A559" s="15">
        <v>209.2</v>
      </c>
      <c r="B559" s="14">
        <v>3</v>
      </c>
      <c r="C559">
        <f>(B559*100)/$H$1</f>
        <v>5.8673968316057111E-2</v>
      </c>
      <c r="D559">
        <f>D558+C559</f>
        <v>30.2366516722082</v>
      </c>
      <c r="E559">
        <f>ROUNDDOWN(D559,2)</f>
        <v>30.23</v>
      </c>
    </row>
    <row r="560" spans="1:5" x14ac:dyDescent="0.35">
      <c r="A560" s="15">
        <v>209.1</v>
      </c>
      <c r="B560" s="14">
        <v>5</v>
      </c>
      <c r="C560">
        <f>(B560*100)/$H$1</f>
        <v>9.7789947193428511E-2</v>
      </c>
      <c r="D560">
        <f>D559+C560</f>
        <v>30.33444161940163</v>
      </c>
      <c r="E560">
        <f>ROUNDDOWN(D560,2)</f>
        <v>30.33</v>
      </c>
    </row>
    <row r="561" spans="1:5" x14ac:dyDescent="0.35">
      <c r="A561" s="15">
        <v>209</v>
      </c>
      <c r="B561" s="14">
        <v>2</v>
      </c>
      <c r="C561">
        <f>(B561*100)/$H$1</f>
        <v>3.9115978877371407E-2</v>
      </c>
      <c r="D561">
        <f>D560+C561</f>
        <v>30.373557598279003</v>
      </c>
      <c r="E561">
        <f>ROUNDDOWN(D561,2)</f>
        <v>30.37</v>
      </c>
    </row>
    <row r="562" spans="1:5" x14ac:dyDescent="0.35">
      <c r="A562" s="15">
        <v>208.9</v>
      </c>
      <c r="B562" s="14">
        <v>2</v>
      </c>
      <c r="C562">
        <f>(B562*100)/$H$1</f>
        <v>3.9115978877371407E-2</v>
      </c>
      <c r="D562">
        <f>D561+C562</f>
        <v>30.412673577156376</v>
      </c>
      <c r="E562">
        <f>ROUNDDOWN(D562,2)</f>
        <v>30.41</v>
      </c>
    </row>
    <row r="563" spans="1:5" x14ac:dyDescent="0.35">
      <c r="A563" s="15">
        <v>208.8</v>
      </c>
      <c r="B563" s="14">
        <v>3</v>
      </c>
      <c r="C563">
        <f>(B563*100)/$H$1</f>
        <v>5.8673968316057111E-2</v>
      </c>
      <c r="D563">
        <f>D562+C563</f>
        <v>30.471347545472433</v>
      </c>
      <c r="E563">
        <f>ROUNDDOWN(D563,2)</f>
        <v>30.47</v>
      </c>
    </row>
    <row r="564" spans="1:5" x14ac:dyDescent="0.35">
      <c r="A564" s="15">
        <v>208.7</v>
      </c>
      <c r="B564" s="14">
        <v>7</v>
      </c>
      <c r="C564">
        <f>(B564*100)/$H$1</f>
        <v>0.13690592607079993</v>
      </c>
      <c r="D564">
        <f>D563+C564</f>
        <v>30.608253471543232</v>
      </c>
      <c r="E564">
        <f>ROUNDDOWN(D564,2)</f>
        <v>30.6</v>
      </c>
    </row>
    <row r="565" spans="1:5" x14ac:dyDescent="0.35">
      <c r="A565" s="15">
        <v>208.6</v>
      </c>
      <c r="B565" s="14">
        <v>8</v>
      </c>
      <c r="C565">
        <f>(B565*100)/$H$1</f>
        <v>0.15646391550948563</v>
      </c>
      <c r="D565">
        <f>D564+C565</f>
        <v>30.76471738705272</v>
      </c>
      <c r="E565">
        <f>ROUNDDOWN(D565,2)</f>
        <v>30.76</v>
      </c>
    </row>
    <row r="566" spans="1:5" x14ac:dyDescent="0.35">
      <c r="A566" s="15">
        <v>208.5</v>
      </c>
      <c r="B566" s="14">
        <v>2</v>
      </c>
      <c r="C566">
        <f>(B566*100)/$H$1</f>
        <v>3.9115978877371407E-2</v>
      </c>
      <c r="D566">
        <f>D565+C566</f>
        <v>30.803833365930092</v>
      </c>
      <c r="E566">
        <f>ROUNDDOWN(D566,2)</f>
        <v>30.8</v>
      </c>
    </row>
    <row r="567" spans="1:5" x14ac:dyDescent="0.35">
      <c r="A567" s="15">
        <v>208.4</v>
      </c>
      <c r="B567" s="14">
        <v>4</v>
      </c>
      <c r="C567">
        <f>(B567*100)/$H$1</f>
        <v>7.8231957754742815E-2</v>
      </c>
      <c r="D567">
        <f>D566+C567</f>
        <v>30.882065323684834</v>
      </c>
      <c r="E567">
        <f>ROUNDDOWN(D567,2)</f>
        <v>30.88</v>
      </c>
    </row>
    <row r="568" spans="1:5" x14ac:dyDescent="0.35">
      <c r="A568" s="15">
        <v>208.3</v>
      </c>
      <c r="B568" s="14">
        <v>5</v>
      </c>
      <c r="C568">
        <f>(B568*100)/$H$1</f>
        <v>9.7789947193428511E-2</v>
      </c>
      <c r="D568">
        <f>D567+C568</f>
        <v>30.979855270878264</v>
      </c>
      <c r="E568">
        <f>ROUNDDOWN(D568,2)</f>
        <v>30.97</v>
      </c>
    </row>
    <row r="569" spans="1:5" x14ac:dyDescent="0.35">
      <c r="A569" s="15">
        <v>208.2</v>
      </c>
      <c r="B569" s="14">
        <v>3</v>
      </c>
      <c r="C569">
        <f>(B569*100)/$H$1</f>
        <v>5.8673968316057111E-2</v>
      </c>
      <c r="D569">
        <f>D568+C569</f>
        <v>31.038529239194322</v>
      </c>
      <c r="E569">
        <f>ROUNDDOWN(D569,2)</f>
        <v>31.03</v>
      </c>
    </row>
    <row r="570" spans="1:5" x14ac:dyDescent="0.35">
      <c r="A570" s="15">
        <v>208.1</v>
      </c>
      <c r="B570" s="14">
        <v>5</v>
      </c>
      <c r="C570">
        <f>(B570*100)/$H$1</f>
        <v>9.7789947193428511E-2</v>
      </c>
      <c r="D570">
        <f>D569+C570</f>
        <v>31.136319186387752</v>
      </c>
      <c r="E570">
        <f>ROUNDDOWN(D570,2)</f>
        <v>31.13</v>
      </c>
    </row>
    <row r="571" spans="1:5" x14ac:dyDescent="0.35">
      <c r="A571" s="15">
        <v>208</v>
      </c>
      <c r="B571" s="14">
        <v>6</v>
      </c>
      <c r="C571">
        <f>(B571*100)/$H$1</f>
        <v>0.11734793663211422</v>
      </c>
      <c r="D571">
        <f>D570+C571</f>
        <v>31.253667123019866</v>
      </c>
      <c r="E571">
        <f>ROUNDDOWN(D571,2)</f>
        <v>31.25</v>
      </c>
    </row>
    <row r="572" spans="1:5" x14ac:dyDescent="0.35">
      <c r="A572" s="15">
        <v>207.9</v>
      </c>
      <c r="B572" s="14">
        <v>4</v>
      </c>
      <c r="C572">
        <f>(B572*100)/$H$1</f>
        <v>7.8231957754742815E-2</v>
      </c>
      <c r="D572">
        <f>D571+C572</f>
        <v>31.331899080774608</v>
      </c>
      <c r="E572">
        <f>ROUNDDOWN(D572,2)</f>
        <v>31.33</v>
      </c>
    </row>
    <row r="573" spans="1:5" x14ac:dyDescent="0.35">
      <c r="A573" s="15">
        <v>207.8</v>
      </c>
      <c r="B573" s="14">
        <v>6</v>
      </c>
      <c r="C573">
        <f>(B573*100)/$H$1</f>
        <v>0.11734793663211422</v>
      </c>
      <c r="D573">
        <f>D572+C573</f>
        <v>31.449247017406723</v>
      </c>
      <c r="E573">
        <f>ROUNDDOWN(D573,2)</f>
        <v>31.44</v>
      </c>
    </row>
    <row r="574" spans="1:5" x14ac:dyDescent="0.35">
      <c r="A574" s="15">
        <v>207.7</v>
      </c>
      <c r="B574" s="14">
        <v>3</v>
      </c>
      <c r="C574">
        <f>(B574*100)/$H$1</f>
        <v>5.8673968316057111E-2</v>
      </c>
      <c r="D574">
        <f>D573+C574</f>
        <v>31.50792098572278</v>
      </c>
      <c r="E574">
        <f>ROUNDDOWN(D574,2)</f>
        <v>31.5</v>
      </c>
    </row>
    <row r="575" spans="1:5" x14ac:dyDescent="0.35">
      <c r="A575" s="15">
        <v>207.6</v>
      </c>
      <c r="B575" s="14">
        <v>4</v>
      </c>
      <c r="C575">
        <f>(B575*100)/$H$1</f>
        <v>7.8231957754742815E-2</v>
      </c>
      <c r="D575">
        <f>D574+C575</f>
        <v>31.586152943477522</v>
      </c>
      <c r="E575">
        <f>ROUNDDOWN(D575,2)</f>
        <v>31.58</v>
      </c>
    </row>
    <row r="576" spans="1:5" x14ac:dyDescent="0.35">
      <c r="A576" s="15">
        <v>207.5</v>
      </c>
      <c r="B576" s="14">
        <v>5</v>
      </c>
      <c r="C576">
        <f>(B576*100)/$H$1</f>
        <v>9.7789947193428511E-2</v>
      </c>
      <c r="D576">
        <f>D575+C576</f>
        <v>31.683942890670952</v>
      </c>
      <c r="E576">
        <f>ROUNDDOWN(D576,2)</f>
        <v>31.68</v>
      </c>
    </row>
    <row r="577" spans="1:5" x14ac:dyDescent="0.35">
      <c r="A577" s="15">
        <v>207.4</v>
      </c>
      <c r="B577" s="14">
        <v>4</v>
      </c>
      <c r="C577">
        <f>(B577*100)/$H$1</f>
        <v>7.8231957754742815E-2</v>
      </c>
      <c r="D577">
        <f>D576+C577</f>
        <v>31.762174848425694</v>
      </c>
      <c r="E577">
        <f>ROUNDDOWN(D577,2)</f>
        <v>31.76</v>
      </c>
    </row>
    <row r="578" spans="1:5" x14ac:dyDescent="0.35">
      <c r="A578" s="15">
        <v>207.3</v>
      </c>
      <c r="B578" s="14">
        <v>10</v>
      </c>
      <c r="C578">
        <f>(B578*100)/$H$1</f>
        <v>0.19557989438685702</v>
      </c>
      <c r="D578">
        <f>D577+C578</f>
        <v>31.957754742812551</v>
      </c>
      <c r="E578">
        <f>ROUNDDOWN(D578,2)</f>
        <v>31.95</v>
      </c>
    </row>
    <row r="579" spans="1:5" x14ac:dyDescent="0.35">
      <c r="A579" s="15">
        <v>207.2</v>
      </c>
      <c r="B579" s="14">
        <v>4</v>
      </c>
      <c r="C579">
        <f>(B579*100)/$H$1</f>
        <v>7.8231957754742815E-2</v>
      </c>
      <c r="D579">
        <f>D578+C579</f>
        <v>32.035986700567292</v>
      </c>
      <c r="E579">
        <f>ROUNDDOWN(D579,2)</f>
        <v>32.03</v>
      </c>
    </row>
    <row r="580" spans="1:5" x14ac:dyDescent="0.35">
      <c r="A580" s="15">
        <v>207.1</v>
      </c>
      <c r="B580" s="14">
        <v>4</v>
      </c>
      <c r="C580">
        <f>(B580*100)/$H$1</f>
        <v>7.8231957754742815E-2</v>
      </c>
      <c r="D580">
        <f>D579+C580</f>
        <v>32.114218658322038</v>
      </c>
      <c r="E580">
        <f>ROUNDDOWN(D580,2)</f>
        <v>32.11</v>
      </c>
    </row>
    <row r="581" spans="1:5" x14ac:dyDescent="0.35">
      <c r="A581" s="15">
        <v>207</v>
      </c>
      <c r="B581" s="14">
        <v>5</v>
      </c>
      <c r="C581">
        <f>(B581*100)/$H$1</f>
        <v>9.7789947193428511E-2</v>
      </c>
      <c r="D581">
        <f>D580+C581</f>
        <v>32.212008605515464</v>
      </c>
      <c r="E581">
        <f>ROUNDDOWN(D581,2)</f>
        <v>32.21</v>
      </c>
    </row>
    <row r="582" spans="1:5" x14ac:dyDescent="0.35">
      <c r="A582" s="15">
        <v>206.9</v>
      </c>
      <c r="B582" s="14">
        <v>7</v>
      </c>
      <c r="C582">
        <f>(B582*100)/$H$1</f>
        <v>0.13690592607079993</v>
      </c>
      <c r="D582">
        <f>D581+C582</f>
        <v>32.348914531586267</v>
      </c>
      <c r="E582">
        <f>ROUNDDOWN(D582,2)</f>
        <v>32.340000000000003</v>
      </c>
    </row>
    <row r="583" spans="1:5" x14ac:dyDescent="0.35">
      <c r="A583" s="15">
        <v>206.8</v>
      </c>
      <c r="B583" s="14">
        <v>5</v>
      </c>
      <c r="C583">
        <f>(B583*100)/$H$1</f>
        <v>9.7789947193428511E-2</v>
      </c>
      <c r="D583">
        <f>D582+C583</f>
        <v>32.446704478779694</v>
      </c>
      <c r="E583">
        <f>ROUNDDOWN(D583,2)</f>
        <v>32.44</v>
      </c>
    </row>
    <row r="584" spans="1:5" x14ac:dyDescent="0.35">
      <c r="A584" s="15">
        <v>206.7</v>
      </c>
      <c r="B584" s="14">
        <v>1</v>
      </c>
      <c r="C584">
        <f>(B584*100)/$H$1</f>
        <v>1.9557989438685704E-2</v>
      </c>
      <c r="D584">
        <f>D583+C584</f>
        <v>32.466262468218382</v>
      </c>
      <c r="E584">
        <f>ROUNDDOWN(D584,2)</f>
        <v>32.46</v>
      </c>
    </row>
    <row r="585" spans="1:5" x14ac:dyDescent="0.35">
      <c r="A585" s="15">
        <v>206.6</v>
      </c>
      <c r="B585" s="14">
        <v>7</v>
      </c>
      <c r="C585">
        <f>(B585*100)/$H$1</f>
        <v>0.13690592607079993</v>
      </c>
      <c r="D585">
        <f>D584+C585</f>
        <v>32.603168394289185</v>
      </c>
      <c r="E585">
        <f>ROUNDDOWN(D585,2)</f>
        <v>32.6</v>
      </c>
    </row>
    <row r="586" spans="1:5" x14ac:dyDescent="0.35">
      <c r="A586" s="15">
        <v>206.5</v>
      </c>
      <c r="B586" s="14">
        <v>2</v>
      </c>
      <c r="C586">
        <f>(B586*100)/$H$1</f>
        <v>3.9115978877371407E-2</v>
      </c>
      <c r="D586">
        <f>D585+C586</f>
        <v>32.642284373166554</v>
      </c>
      <c r="E586">
        <f>ROUNDDOWN(D586,2)</f>
        <v>32.64</v>
      </c>
    </row>
    <row r="587" spans="1:5" x14ac:dyDescent="0.35">
      <c r="A587" s="15">
        <v>206.4</v>
      </c>
      <c r="B587" s="14">
        <v>4</v>
      </c>
      <c r="C587">
        <f>(B587*100)/$H$1</f>
        <v>7.8231957754742815E-2</v>
      </c>
      <c r="D587">
        <f>D586+C587</f>
        <v>32.720516330921299</v>
      </c>
      <c r="E587">
        <f>ROUNDDOWN(D587,2)</f>
        <v>32.72</v>
      </c>
    </row>
    <row r="588" spans="1:5" x14ac:dyDescent="0.35">
      <c r="A588" s="15">
        <v>206.3</v>
      </c>
      <c r="B588" s="14">
        <v>5</v>
      </c>
      <c r="C588">
        <f>(B588*100)/$H$1</f>
        <v>9.7789947193428511E-2</v>
      </c>
      <c r="D588">
        <f>D587+C588</f>
        <v>32.818306278114726</v>
      </c>
      <c r="E588">
        <f>ROUNDDOWN(D588,2)</f>
        <v>32.81</v>
      </c>
    </row>
    <row r="589" spans="1:5" x14ac:dyDescent="0.35">
      <c r="A589" s="15">
        <v>206.2</v>
      </c>
      <c r="B589" s="14">
        <v>8</v>
      </c>
      <c r="C589">
        <f>(B589*100)/$H$1</f>
        <v>0.15646391550948563</v>
      </c>
      <c r="D589">
        <f>D588+C589</f>
        <v>32.974770193624209</v>
      </c>
      <c r="E589">
        <f>ROUNDDOWN(D589,2)</f>
        <v>32.97</v>
      </c>
    </row>
    <row r="590" spans="1:5" x14ac:dyDescent="0.35">
      <c r="A590" s="15">
        <v>206.1</v>
      </c>
      <c r="B590" s="14">
        <v>3</v>
      </c>
      <c r="C590">
        <f>(B590*100)/$H$1</f>
        <v>5.8673968316057111E-2</v>
      </c>
      <c r="D590">
        <f>D589+C590</f>
        <v>33.033444161940267</v>
      </c>
      <c r="E590">
        <f>ROUNDDOWN(D590,2)</f>
        <v>33.03</v>
      </c>
    </row>
    <row r="591" spans="1:5" x14ac:dyDescent="0.35">
      <c r="A591" s="15">
        <v>206</v>
      </c>
      <c r="B591" s="14">
        <v>3</v>
      </c>
      <c r="C591">
        <f>(B591*100)/$H$1</f>
        <v>5.8673968316057111E-2</v>
      </c>
      <c r="D591">
        <f>D590+C591</f>
        <v>33.092118130256324</v>
      </c>
      <c r="E591">
        <f>ROUNDDOWN(D591,2)</f>
        <v>33.090000000000003</v>
      </c>
    </row>
    <row r="592" spans="1:5" x14ac:dyDescent="0.35">
      <c r="A592" s="15">
        <v>205.9</v>
      </c>
      <c r="B592" s="14">
        <v>1</v>
      </c>
      <c r="C592">
        <f>(B592*100)/$H$1</f>
        <v>1.9557989438685704E-2</v>
      </c>
      <c r="D592">
        <f>D591+C592</f>
        <v>33.111676119695012</v>
      </c>
      <c r="E592">
        <f>ROUNDDOWN(D592,2)</f>
        <v>33.11</v>
      </c>
    </row>
    <row r="593" spans="1:5" x14ac:dyDescent="0.35">
      <c r="A593" s="15">
        <v>205.8</v>
      </c>
      <c r="B593" s="14">
        <v>6</v>
      </c>
      <c r="C593">
        <f>(B593*100)/$H$1</f>
        <v>0.11734793663211422</v>
      </c>
      <c r="D593">
        <f>D592+C593</f>
        <v>33.229024056327127</v>
      </c>
      <c r="E593">
        <f>ROUNDDOWN(D593,2)</f>
        <v>33.22</v>
      </c>
    </row>
    <row r="594" spans="1:5" x14ac:dyDescent="0.35">
      <c r="A594" s="15">
        <v>205.7</v>
      </c>
      <c r="B594" s="14">
        <v>7</v>
      </c>
      <c r="C594">
        <f>(B594*100)/$H$1</f>
        <v>0.13690592607079993</v>
      </c>
      <c r="D594">
        <f>D593+C594</f>
        <v>33.36592998239793</v>
      </c>
      <c r="E594">
        <f>ROUNDDOWN(D594,2)</f>
        <v>33.36</v>
      </c>
    </row>
    <row r="595" spans="1:5" x14ac:dyDescent="0.35">
      <c r="A595" s="15">
        <v>205.6</v>
      </c>
      <c r="B595" s="14">
        <v>4</v>
      </c>
      <c r="C595">
        <f>(B595*100)/$H$1</f>
        <v>7.8231957754742815E-2</v>
      </c>
      <c r="D595">
        <f>D594+C595</f>
        <v>33.444161940152675</v>
      </c>
      <c r="E595">
        <f>ROUNDDOWN(D595,2)</f>
        <v>33.44</v>
      </c>
    </row>
    <row r="596" spans="1:5" x14ac:dyDescent="0.35">
      <c r="A596" s="15">
        <v>205.5</v>
      </c>
      <c r="B596" s="14">
        <v>7</v>
      </c>
      <c r="C596">
        <f>(B596*100)/$H$1</f>
        <v>0.13690592607079993</v>
      </c>
      <c r="D596">
        <f>D595+C596</f>
        <v>33.581067866223478</v>
      </c>
      <c r="E596">
        <f>ROUNDDOWN(D596,2)</f>
        <v>33.58</v>
      </c>
    </row>
    <row r="597" spans="1:5" x14ac:dyDescent="0.35">
      <c r="A597" s="15">
        <v>205.4</v>
      </c>
      <c r="B597" s="14">
        <v>6</v>
      </c>
      <c r="C597">
        <f>(B597*100)/$H$1</f>
        <v>0.11734793663211422</v>
      </c>
      <c r="D597">
        <f>D596+C597</f>
        <v>33.698415802855592</v>
      </c>
      <c r="E597">
        <f>ROUNDDOWN(D597,2)</f>
        <v>33.69</v>
      </c>
    </row>
    <row r="598" spans="1:5" x14ac:dyDescent="0.35">
      <c r="A598" s="15">
        <v>205.3</v>
      </c>
      <c r="B598" s="14">
        <v>4</v>
      </c>
      <c r="C598">
        <f>(B598*100)/$H$1</f>
        <v>7.8231957754742815E-2</v>
      </c>
      <c r="D598">
        <f>D597+C598</f>
        <v>33.776647760610338</v>
      </c>
      <c r="E598">
        <f>ROUNDDOWN(D598,2)</f>
        <v>33.770000000000003</v>
      </c>
    </row>
    <row r="599" spans="1:5" x14ac:dyDescent="0.35">
      <c r="A599" s="15">
        <v>205.2</v>
      </c>
      <c r="B599" s="14">
        <v>3</v>
      </c>
      <c r="C599">
        <f>(B599*100)/$H$1</f>
        <v>5.8673968316057111E-2</v>
      </c>
      <c r="D599">
        <f>D598+C599</f>
        <v>33.835321728926395</v>
      </c>
      <c r="E599">
        <f>ROUNDDOWN(D599,2)</f>
        <v>33.83</v>
      </c>
    </row>
    <row r="600" spans="1:5" x14ac:dyDescent="0.35">
      <c r="A600" s="15">
        <v>205.1</v>
      </c>
      <c r="B600" s="14">
        <v>1</v>
      </c>
      <c r="C600">
        <f>(B600*100)/$H$1</f>
        <v>1.9557989438685704E-2</v>
      </c>
      <c r="D600">
        <f>D599+C600</f>
        <v>33.854879718365083</v>
      </c>
      <c r="E600">
        <f>ROUNDDOWN(D600,2)</f>
        <v>33.85</v>
      </c>
    </row>
    <row r="601" spans="1:5" x14ac:dyDescent="0.35">
      <c r="A601" s="15">
        <v>205</v>
      </c>
      <c r="B601" s="14">
        <v>4</v>
      </c>
      <c r="C601">
        <f>(B601*100)/$H$1</f>
        <v>7.8231957754742815E-2</v>
      </c>
      <c r="D601">
        <f>D600+C601</f>
        <v>33.933111676119829</v>
      </c>
      <c r="E601">
        <f>ROUNDDOWN(D601,2)</f>
        <v>33.93</v>
      </c>
    </row>
    <row r="602" spans="1:5" x14ac:dyDescent="0.35">
      <c r="A602" s="15">
        <v>204.9</v>
      </c>
      <c r="B602" s="14">
        <v>4</v>
      </c>
      <c r="C602">
        <f>(B602*100)/$H$1</f>
        <v>7.8231957754742815E-2</v>
      </c>
      <c r="D602">
        <f>D601+C602</f>
        <v>34.011343633874574</v>
      </c>
      <c r="E602">
        <f>ROUNDDOWN(D602,2)</f>
        <v>34.01</v>
      </c>
    </row>
    <row r="603" spans="1:5" x14ac:dyDescent="0.35">
      <c r="A603" s="15">
        <v>204.8</v>
      </c>
      <c r="B603" s="14">
        <v>6</v>
      </c>
      <c r="C603">
        <f>(B603*100)/$H$1</f>
        <v>0.11734793663211422</v>
      </c>
      <c r="D603">
        <f>D602+C603</f>
        <v>34.128691570506689</v>
      </c>
      <c r="E603">
        <f>ROUNDDOWN(D603,2)</f>
        <v>34.119999999999997</v>
      </c>
    </row>
    <row r="604" spans="1:5" x14ac:dyDescent="0.35">
      <c r="A604" s="15">
        <v>204.7</v>
      </c>
      <c r="B604" s="14">
        <v>5</v>
      </c>
      <c r="C604">
        <f>(B604*100)/$H$1</f>
        <v>9.7789947193428511E-2</v>
      </c>
      <c r="D604">
        <f>D603+C604</f>
        <v>34.226481517700115</v>
      </c>
      <c r="E604">
        <f>ROUNDDOWN(D604,2)</f>
        <v>34.22</v>
      </c>
    </row>
    <row r="605" spans="1:5" x14ac:dyDescent="0.35">
      <c r="A605" s="15">
        <v>204.6</v>
      </c>
      <c r="B605" s="14">
        <v>4</v>
      </c>
      <c r="C605">
        <f>(B605*100)/$H$1</f>
        <v>7.8231957754742815E-2</v>
      </c>
      <c r="D605">
        <f>D604+C605</f>
        <v>34.304713475454861</v>
      </c>
      <c r="E605">
        <f>ROUNDDOWN(D605,2)</f>
        <v>34.299999999999997</v>
      </c>
    </row>
    <row r="606" spans="1:5" x14ac:dyDescent="0.35">
      <c r="A606" s="15">
        <v>204.5</v>
      </c>
      <c r="B606" s="14">
        <v>6</v>
      </c>
      <c r="C606">
        <f>(B606*100)/$H$1</f>
        <v>0.11734793663211422</v>
      </c>
      <c r="D606">
        <f>D605+C606</f>
        <v>34.422061412086975</v>
      </c>
      <c r="E606">
        <f>ROUNDDOWN(D606,2)</f>
        <v>34.42</v>
      </c>
    </row>
    <row r="607" spans="1:5" x14ac:dyDescent="0.35">
      <c r="A607" s="15">
        <v>204.4</v>
      </c>
      <c r="B607" s="14">
        <v>5</v>
      </c>
      <c r="C607">
        <f>(B607*100)/$H$1</f>
        <v>9.7789947193428511E-2</v>
      </c>
      <c r="D607">
        <f>D606+C607</f>
        <v>34.519851359280402</v>
      </c>
      <c r="E607">
        <f>ROUNDDOWN(D607,2)</f>
        <v>34.51</v>
      </c>
    </row>
    <row r="608" spans="1:5" x14ac:dyDescent="0.35">
      <c r="A608" s="15">
        <v>204.3</v>
      </c>
      <c r="B608" s="14">
        <v>6</v>
      </c>
      <c r="C608">
        <f>(B608*100)/$H$1</f>
        <v>0.11734793663211422</v>
      </c>
      <c r="D608">
        <f>D607+C608</f>
        <v>34.637199295912517</v>
      </c>
      <c r="E608">
        <f>ROUNDDOWN(D608,2)</f>
        <v>34.630000000000003</v>
      </c>
    </row>
    <row r="609" spans="1:5" x14ac:dyDescent="0.35">
      <c r="A609" s="15">
        <v>204.2</v>
      </c>
      <c r="B609" s="14">
        <v>8</v>
      </c>
      <c r="C609">
        <f>(B609*100)/$H$1</f>
        <v>0.15646391550948563</v>
      </c>
      <c r="D609">
        <f>D608+C609</f>
        <v>34.793663211422</v>
      </c>
      <c r="E609">
        <f>ROUNDDOWN(D609,2)</f>
        <v>34.79</v>
      </c>
    </row>
    <row r="610" spans="1:5" x14ac:dyDescent="0.35">
      <c r="A610" s="15">
        <v>204.1</v>
      </c>
      <c r="B610" s="14">
        <v>6</v>
      </c>
      <c r="C610">
        <f>(B610*100)/$H$1</f>
        <v>0.11734793663211422</v>
      </c>
      <c r="D610">
        <f>D609+C610</f>
        <v>34.911011148054115</v>
      </c>
      <c r="E610">
        <f>ROUNDDOWN(D610,2)</f>
        <v>34.909999999999997</v>
      </c>
    </row>
    <row r="611" spans="1:5" x14ac:dyDescent="0.35">
      <c r="A611" s="15">
        <v>204</v>
      </c>
      <c r="B611" s="14">
        <v>2</v>
      </c>
      <c r="C611">
        <f>(B611*100)/$H$1</f>
        <v>3.9115978877371407E-2</v>
      </c>
      <c r="D611">
        <f>D610+C611</f>
        <v>34.950127126931484</v>
      </c>
      <c r="E611">
        <f>ROUNDDOWN(D611,2)</f>
        <v>34.950000000000003</v>
      </c>
    </row>
    <row r="612" spans="1:5" x14ac:dyDescent="0.35">
      <c r="A612" s="15">
        <v>203.9</v>
      </c>
      <c r="B612" s="14">
        <v>8</v>
      </c>
      <c r="C612">
        <f>(B612*100)/$H$1</f>
        <v>0.15646391550948563</v>
      </c>
      <c r="D612">
        <f>D611+C612</f>
        <v>35.106591042440968</v>
      </c>
      <c r="E612">
        <f>ROUNDDOWN(D612,2)</f>
        <v>35.1</v>
      </c>
    </row>
    <row r="613" spans="1:5" x14ac:dyDescent="0.35">
      <c r="A613" s="15">
        <v>203.8</v>
      </c>
      <c r="B613" s="14">
        <v>5</v>
      </c>
      <c r="C613">
        <f>(B613*100)/$H$1</f>
        <v>9.7789947193428511E-2</v>
      </c>
      <c r="D613">
        <f>D612+C613</f>
        <v>35.204380989634394</v>
      </c>
      <c r="E613">
        <f>ROUNDDOWN(D613,2)</f>
        <v>35.200000000000003</v>
      </c>
    </row>
    <row r="614" spans="1:5" x14ac:dyDescent="0.35">
      <c r="A614" s="15">
        <v>203.7</v>
      </c>
      <c r="B614" s="14">
        <v>4</v>
      </c>
      <c r="C614">
        <f>(B614*100)/$H$1</f>
        <v>7.8231957754742815E-2</v>
      </c>
      <c r="D614">
        <f>D613+C614</f>
        <v>35.28261294738914</v>
      </c>
      <c r="E614">
        <f>ROUNDDOWN(D614,2)</f>
        <v>35.28</v>
      </c>
    </row>
    <row r="615" spans="1:5" x14ac:dyDescent="0.35">
      <c r="A615" s="15">
        <v>203.6</v>
      </c>
      <c r="B615" s="14">
        <v>3</v>
      </c>
      <c r="C615">
        <f>(B615*100)/$H$1</f>
        <v>5.8673968316057111E-2</v>
      </c>
      <c r="D615">
        <f>D614+C615</f>
        <v>35.341286915705197</v>
      </c>
      <c r="E615">
        <f>ROUNDDOWN(D615,2)</f>
        <v>35.340000000000003</v>
      </c>
    </row>
    <row r="616" spans="1:5" x14ac:dyDescent="0.35">
      <c r="A616" s="15">
        <v>203.5</v>
      </c>
      <c r="B616" s="14">
        <v>3</v>
      </c>
      <c r="C616">
        <f>(B616*100)/$H$1</f>
        <v>5.8673968316057111E-2</v>
      </c>
      <c r="D616">
        <f>D615+C616</f>
        <v>35.399960884021255</v>
      </c>
      <c r="E616">
        <f>ROUNDDOWN(D616,2)</f>
        <v>35.39</v>
      </c>
    </row>
    <row r="617" spans="1:5" x14ac:dyDescent="0.35">
      <c r="A617" s="15">
        <v>203.4</v>
      </c>
      <c r="B617" s="14">
        <v>4</v>
      </c>
      <c r="C617">
        <f>(B617*100)/$H$1</f>
        <v>7.8231957754742815E-2</v>
      </c>
      <c r="D617">
        <f>D616+C617</f>
        <v>35.478192841776</v>
      </c>
      <c r="E617">
        <f>ROUNDDOWN(D617,2)</f>
        <v>35.47</v>
      </c>
    </row>
    <row r="618" spans="1:5" x14ac:dyDescent="0.35">
      <c r="A618" s="15">
        <v>203.3</v>
      </c>
      <c r="B618" s="14">
        <v>1</v>
      </c>
      <c r="C618">
        <f>(B618*100)/$H$1</f>
        <v>1.9557989438685704E-2</v>
      </c>
      <c r="D618">
        <f>D617+C618</f>
        <v>35.497750831214688</v>
      </c>
      <c r="E618">
        <f>ROUNDDOWN(D618,2)</f>
        <v>35.49</v>
      </c>
    </row>
    <row r="619" spans="1:5" x14ac:dyDescent="0.35">
      <c r="A619" s="15">
        <v>203.2</v>
      </c>
      <c r="B619" s="14">
        <v>4</v>
      </c>
      <c r="C619">
        <f>(B619*100)/$H$1</f>
        <v>7.8231957754742815E-2</v>
      </c>
      <c r="D619">
        <f>D618+C619</f>
        <v>35.575982788969434</v>
      </c>
      <c r="E619">
        <f>ROUNDDOWN(D619,2)</f>
        <v>35.57</v>
      </c>
    </row>
    <row r="620" spans="1:5" x14ac:dyDescent="0.35">
      <c r="A620" s="15">
        <v>203.1</v>
      </c>
      <c r="B620" s="14">
        <v>1</v>
      </c>
      <c r="C620">
        <f>(B620*100)/$H$1</f>
        <v>1.9557989438685704E-2</v>
      </c>
      <c r="D620">
        <f>D619+C620</f>
        <v>35.595540778408122</v>
      </c>
      <c r="E620">
        <f>ROUNDDOWN(D620,2)</f>
        <v>35.590000000000003</v>
      </c>
    </row>
    <row r="621" spans="1:5" x14ac:dyDescent="0.35">
      <c r="A621" s="15">
        <v>203</v>
      </c>
      <c r="B621" s="14">
        <v>1</v>
      </c>
      <c r="C621">
        <f>(B621*100)/$H$1</f>
        <v>1.9557989438685704E-2</v>
      </c>
      <c r="D621">
        <f>D620+C621</f>
        <v>35.61509876784681</v>
      </c>
      <c r="E621">
        <f>ROUNDDOWN(D621,2)</f>
        <v>35.61</v>
      </c>
    </row>
    <row r="622" spans="1:5" x14ac:dyDescent="0.35">
      <c r="A622" s="15">
        <v>202.9</v>
      </c>
      <c r="B622" s="14">
        <v>4</v>
      </c>
      <c r="C622">
        <f>(B622*100)/$H$1</f>
        <v>7.8231957754742815E-2</v>
      </c>
      <c r="D622">
        <f>D621+C622</f>
        <v>35.693330725601555</v>
      </c>
      <c r="E622">
        <f>ROUNDDOWN(D622,2)</f>
        <v>35.69</v>
      </c>
    </row>
    <row r="623" spans="1:5" x14ac:dyDescent="0.35">
      <c r="A623" s="15">
        <v>202.8</v>
      </c>
      <c r="B623" s="14">
        <v>5</v>
      </c>
      <c r="C623">
        <f>(B623*100)/$H$1</f>
        <v>9.7789947193428511E-2</v>
      </c>
      <c r="D623">
        <f>D622+C623</f>
        <v>35.791120672794982</v>
      </c>
      <c r="E623">
        <f>ROUNDDOWN(D623,2)</f>
        <v>35.79</v>
      </c>
    </row>
    <row r="624" spans="1:5" x14ac:dyDescent="0.35">
      <c r="A624" s="15">
        <v>202.7</v>
      </c>
      <c r="B624" s="14">
        <v>2</v>
      </c>
      <c r="C624">
        <f>(B624*100)/$H$1</f>
        <v>3.9115978877371407E-2</v>
      </c>
      <c r="D624">
        <f>D623+C624</f>
        <v>35.830236651672351</v>
      </c>
      <c r="E624">
        <f>ROUNDDOWN(D624,2)</f>
        <v>35.83</v>
      </c>
    </row>
    <row r="625" spans="1:5" x14ac:dyDescent="0.35">
      <c r="A625" s="15">
        <v>202.6</v>
      </c>
      <c r="B625" s="14">
        <v>7</v>
      </c>
      <c r="C625">
        <f>(B625*100)/$H$1</f>
        <v>0.13690592607079993</v>
      </c>
      <c r="D625">
        <f>D624+C625</f>
        <v>35.967142577743154</v>
      </c>
      <c r="E625">
        <f>ROUNDDOWN(D625,2)</f>
        <v>35.96</v>
      </c>
    </row>
    <row r="626" spans="1:5" x14ac:dyDescent="0.35">
      <c r="A626" s="15">
        <v>202.5</v>
      </c>
      <c r="B626" s="14">
        <v>6</v>
      </c>
      <c r="C626">
        <f>(B626*100)/$H$1</f>
        <v>0.11734793663211422</v>
      </c>
      <c r="D626">
        <f>D625+C626</f>
        <v>36.084490514375268</v>
      </c>
      <c r="E626">
        <f>ROUNDDOWN(D626,2)</f>
        <v>36.08</v>
      </c>
    </row>
    <row r="627" spans="1:5" x14ac:dyDescent="0.35">
      <c r="A627" s="15">
        <v>202.4</v>
      </c>
      <c r="B627" s="14">
        <v>2</v>
      </c>
      <c r="C627">
        <f>(B627*100)/$H$1</f>
        <v>3.9115978877371407E-2</v>
      </c>
      <c r="D627">
        <f>D626+C627</f>
        <v>36.123606493252638</v>
      </c>
      <c r="E627">
        <f>ROUNDDOWN(D627,2)</f>
        <v>36.119999999999997</v>
      </c>
    </row>
    <row r="628" spans="1:5" x14ac:dyDescent="0.35">
      <c r="A628" s="15">
        <v>202.3</v>
      </c>
      <c r="B628" s="14">
        <v>7</v>
      </c>
      <c r="C628">
        <f>(B628*100)/$H$1</f>
        <v>0.13690592607079993</v>
      </c>
      <c r="D628">
        <f>D627+C628</f>
        <v>36.26051241932344</v>
      </c>
      <c r="E628">
        <f>ROUNDDOWN(D628,2)</f>
        <v>36.26</v>
      </c>
    </row>
    <row r="629" spans="1:5" x14ac:dyDescent="0.35">
      <c r="A629" s="15">
        <v>202.2</v>
      </c>
      <c r="B629" s="14">
        <v>3</v>
      </c>
      <c r="C629">
        <f>(B629*100)/$H$1</f>
        <v>5.8673968316057111E-2</v>
      </c>
      <c r="D629">
        <f>D628+C629</f>
        <v>36.319186387639498</v>
      </c>
      <c r="E629">
        <f>ROUNDDOWN(D629,2)</f>
        <v>36.31</v>
      </c>
    </row>
    <row r="630" spans="1:5" x14ac:dyDescent="0.35">
      <c r="A630" s="15">
        <v>202.1</v>
      </c>
      <c r="B630" s="14">
        <v>4</v>
      </c>
      <c r="C630">
        <f>(B630*100)/$H$1</f>
        <v>7.8231957754742815E-2</v>
      </c>
      <c r="D630">
        <f>D629+C630</f>
        <v>36.397418345394243</v>
      </c>
      <c r="E630">
        <f>ROUNDDOWN(D630,2)</f>
        <v>36.39</v>
      </c>
    </row>
    <row r="631" spans="1:5" x14ac:dyDescent="0.35">
      <c r="A631" s="15">
        <v>202</v>
      </c>
      <c r="B631" s="14">
        <v>4</v>
      </c>
      <c r="C631">
        <f>(B631*100)/$H$1</f>
        <v>7.8231957754742815E-2</v>
      </c>
      <c r="D631">
        <f>D630+C631</f>
        <v>36.475650303148988</v>
      </c>
      <c r="E631">
        <f>ROUNDDOWN(D631,2)</f>
        <v>36.47</v>
      </c>
    </row>
    <row r="632" spans="1:5" x14ac:dyDescent="0.35">
      <c r="A632" s="15">
        <v>201.9</v>
      </c>
      <c r="B632" s="14">
        <v>7</v>
      </c>
      <c r="C632">
        <f>(B632*100)/$H$1</f>
        <v>0.13690592607079993</v>
      </c>
      <c r="D632">
        <f>D631+C632</f>
        <v>36.612556229219791</v>
      </c>
      <c r="E632">
        <f>ROUNDDOWN(D632,2)</f>
        <v>36.61</v>
      </c>
    </row>
    <row r="633" spans="1:5" x14ac:dyDescent="0.35">
      <c r="A633" s="15">
        <v>201.8</v>
      </c>
      <c r="B633" s="14">
        <v>3</v>
      </c>
      <c r="C633">
        <f>(B633*100)/$H$1</f>
        <v>5.8673968316057111E-2</v>
      </c>
      <c r="D633">
        <f>D632+C633</f>
        <v>36.671230197535849</v>
      </c>
      <c r="E633">
        <f>ROUNDDOWN(D633,2)</f>
        <v>36.67</v>
      </c>
    </row>
    <row r="634" spans="1:5" x14ac:dyDescent="0.35">
      <c r="A634" s="15">
        <v>201.7</v>
      </c>
      <c r="B634" s="14">
        <v>4</v>
      </c>
      <c r="C634">
        <f>(B634*100)/$H$1</f>
        <v>7.8231957754742815E-2</v>
      </c>
      <c r="D634">
        <f>D633+C634</f>
        <v>36.749462155290594</v>
      </c>
      <c r="E634">
        <f>ROUNDDOWN(D634,2)</f>
        <v>36.74</v>
      </c>
    </row>
    <row r="635" spans="1:5" x14ac:dyDescent="0.35">
      <c r="A635" s="15">
        <v>201.6</v>
      </c>
      <c r="B635" s="14">
        <v>5</v>
      </c>
      <c r="C635">
        <f>(B635*100)/$H$1</f>
        <v>9.7789947193428511E-2</v>
      </c>
      <c r="D635">
        <f>D634+C635</f>
        <v>36.84725210248402</v>
      </c>
      <c r="E635">
        <f>ROUNDDOWN(D635,2)</f>
        <v>36.840000000000003</v>
      </c>
    </row>
    <row r="636" spans="1:5" x14ac:dyDescent="0.35">
      <c r="A636" s="15">
        <v>201.5</v>
      </c>
      <c r="B636" s="14">
        <v>1</v>
      </c>
      <c r="C636">
        <f>(B636*100)/$H$1</f>
        <v>1.9557989438685704E-2</v>
      </c>
      <c r="D636">
        <f>D635+C636</f>
        <v>36.866810091922709</v>
      </c>
      <c r="E636">
        <f>ROUNDDOWN(D636,2)</f>
        <v>36.86</v>
      </c>
    </row>
    <row r="637" spans="1:5" x14ac:dyDescent="0.35">
      <c r="A637" s="15">
        <v>201.4</v>
      </c>
      <c r="B637" s="14">
        <v>3</v>
      </c>
      <c r="C637">
        <f>(B637*100)/$H$1</f>
        <v>5.8673968316057111E-2</v>
      </c>
      <c r="D637">
        <f>D636+C637</f>
        <v>36.925484060238766</v>
      </c>
      <c r="E637">
        <f>ROUNDDOWN(D637,2)</f>
        <v>36.92</v>
      </c>
    </row>
    <row r="638" spans="1:5" x14ac:dyDescent="0.35">
      <c r="A638" s="15">
        <v>201.3</v>
      </c>
      <c r="B638" s="14">
        <v>4</v>
      </c>
      <c r="C638">
        <f>(B638*100)/$H$1</f>
        <v>7.8231957754742815E-2</v>
      </c>
      <c r="D638">
        <f>D637+C638</f>
        <v>37.003716017993511</v>
      </c>
      <c r="E638">
        <f>ROUNDDOWN(D638,2)</f>
        <v>37</v>
      </c>
    </row>
    <row r="639" spans="1:5" x14ac:dyDescent="0.35">
      <c r="A639" s="15">
        <v>201.2</v>
      </c>
      <c r="B639" s="14">
        <v>4</v>
      </c>
      <c r="C639">
        <f>(B639*100)/$H$1</f>
        <v>7.8231957754742815E-2</v>
      </c>
      <c r="D639">
        <f>D638+C639</f>
        <v>37.081947975748257</v>
      </c>
      <c r="E639">
        <f>ROUNDDOWN(D639,2)</f>
        <v>37.08</v>
      </c>
    </row>
    <row r="640" spans="1:5" x14ac:dyDescent="0.35">
      <c r="A640" s="15">
        <v>201.1</v>
      </c>
      <c r="B640" s="14">
        <v>7</v>
      </c>
      <c r="C640">
        <f>(B640*100)/$H$1</f>
        <v>0.13690592607079993</v>
      </c>
      <c r="D640">
        <f>D639+C640</f>
        <v>37.21885390181906</v>
      </c>
      <c r="E640">
        <f>ROUNDDOWN(D640,2)</f>
        <v>37.21</v>
      </c>
    </row>
    <row r="641" spans="1:5" x14ac:dyDescent="0.35">
      <c r="A641" s="15">
        <v>201</v>
      </c>
      <c r="B641" s="14">
        <v>3</v>
      </c>
      <c r="C641">
        <f>(B641*100)/$H$1</f>
        <v>5.8673968316057111E-2</v>
      </c>
      <c r="D641">
        <f>D640+C641</f>
        <v>37.277527870135117</v>
      </c>
      <c r="E641">
        <f>ROUNDDOWN(D641,2)</f>
        <v>37.270000000000003</v>
      </c>
    </row>
    <row r="642" spans="1:5" x14ac:dyDescent="0.35">
      <c r="A642" s="15">
        <v>200.9</v>
      </c>
      <c r="B642" s="14">
        <v>6</v>
      </c>
      <c r="C642">
        <f>(B642*100)/$H$1</f>
        <v>0.11734793663211422</v>
      </c>
      <c r="D642">
        <f>D641+C642</f>
        <v>37.394875806767232</v>
      </c>
      <c r="E642">
        <f>ROUNDDOWN(D642,2)</f>
        <v>37.39</v>
      </c>
    </row>
    <row r="643" spans="1:5" x14ac:dyDescent="0.35">
      <c r="A643" s="15">
        <v>200.8</v>
      </c>
      <c r="B643" s="14">
        <v>1</v>
      </c>
      <c r="C643">
        <f>(B643*100)/$H$1</f>
        <v>1.9557989438685704E-2</v>
      </c>
      <c r="D643">
        <f>D642+C643</f>
        <v>37.41443379620592</v>
      </c>
      <c r="E643">
        <f>ROUNDDOWN(D643,2)</f>
        <v>37.409999999999997</v>
      </c>
    </row>
    <row r="644" spans="1:5" x14ac:dyDescent="0.35">
      <c r="A644" s="15">
        <v>200.7</v>
      </c>
      <c r="B644" s="14">
        <v>1</v>
      </c>
      <c r="C644">
        <f>(B644*100)/$H$1</f>
        <v>1.9557989438685704E-2</v>
      </c>
      <c r="D644">
        <f>D643+C644</f>
        <v>37.433991785644608</v>
      </c>
      <c r="E644">
        <f>ROUNDDOWN(D644,2)</f>
        <v>37.43</v>
      </c>
    </row>
    <row r="645" spans="1:5" x14ac:dyDescent="0.35">
      <c r="A645" s="15">
        <v>200.6</v>
      </c>
      <c r="B645" s="14">
        <v>4</v>
      </c>
      <c r="C645">
        <f>(B645*100)/$H$1</f>
        <v>7.8231957754742815E-2</v>
      </c>
      <c r="D645">
        <f>D644+C645</f>
        <v>37.512223743399353</v>
      </c>
      <c r="E645">
        <f>ROUNDDOWN(D645,2)</f>
        <v>37.51</v>
      </c>
    </row>
    <row r="646" spans="1:5" x14ac:dyDescent="0.35">
      <c r="A646" s="15">
        <v>200.5</v>
      </c>
      <c r="B646" s="14">
        <v>2</v>
      </c>
      <c r="C646">
        <f>(B646*100)/$H$1</f>
        <v>3.9115978877371407E-2</v>
      </c>
      <c r="D646">
        <f>D645+C646</f>
        <v>37.551339722276722</v>
      </c>
      <c r="E646">
        <f>ROUNDDOWN(D646,2)</f>
        <v>37.549999999999997</v>
      </c>
    </row>
    <row r="647" spans="1:5" x14ac:dyDescent="0.35">
      <c r="A647" s="15">
        <v>200.4</v>
      </c>
      <c r="B647" s="14">
        <v>5</v>
      </c>
      <c r="C647">
        <f>(B647*100)/$H$1</f>
        <v>9.7789947193428511E-2</v>
      </c>
      <c r="D647">
        <f>D646+C647</f>
        <v>37.649129669470149</v>
      </c>
      <c r="E647">
        <f>ROUNDDOWN(D647,2)</f>
        <v>37.64</v>
      </c>
    </row>
    <row r="648" spans="1:5" x14ac:dyDescent="0.35">
      <c r="A648" s="15">
        <v>200.3</v>
      </c>
      <c r="B648" s="14">
        <v>5</v>
      </c>
      <c r="C648">
        <f>(B648*100)/$H$1</f>
        <v>9.7789947193428511E-2</v>
      </c>
      <c r="D648">
        <f>D647+C648</f>
        <v>37.746919616663575</v>
      </c>
      <c r="E648">
        <f>ROUNDDOWN(D648,2)</f>
        <v>37.74</v>
      </c>
    </row>
    <row r="649" spans="1:5" x14ac:dyDescent="0.35">
      <c r="A649" s="15">
        <v>200.2</v>
      </c>
      <c r="B649" s="14">
        <v>5</v>
      </c>
      <c r="C649">
        <f>(B649*100)/$H$1</f>
        <v>9.7789947193428511E-2</v>
      </c>
      <c r="D649">
        <f>D648+C649</f>
        <v>37.844709563857002</v>
      </c>
      <c r="E649">
        <f>ROUNDDOWN(D649,2)</f>
        <v>37.840000000000003</v>
      </c>
    </row>
    <row r="650" spans="1:5" x14ac:dyDescent="0.35">
      <c r="A650" s="15">
        <v>200.1</v>
      </c>
      <c r="B650" s="14">
        <v>5</v>
      </c>
      <c r="C650">
        <f>(B650*100)/$H$1</f>
        <v>9.7789947193428511E-2</v>
      </c>
      <c r="D650">
        <f>D649+C650</f>
        <v>37.942499511050428</v>
      </c>
      <c r="E650">
        <f>ROUNDDOWN(D650,2)</f>
        <v>37.94</v>
      </c>
    </row>
    <row r="651" spans="1:5" x14ac:dyDescent="0.35">
      <c r="A651" s="15">
        <v>200</v>
      </c>
      <c r="B651" s="14">
        <v>1</v>
      </c>
      <c r="C651">
        <f>(B651*100)/$H$1</f>
        <v>1.9557989438685704E-2</v>
      </c>
      <c r="D651">
        <f>D650+C651</f>
        <v>37.962057500489117</v>
      </c>
      <c r="E651">
        <f>ROUNDDOWN(D651,2)</f>
        <v>37.96</v>
      </c>
    </row>
    <row r="652" spans="1:5" x14ac:dyDescent="0.35">
      <c r="A652" s="15">
        <v>199.9</v>
      </c>
      <c r="B652" s="14">
        <v>4</v>
      </c>
      <c r="C652">
        <f>(B652*100)/$H$1</f>
        <v>7.8231957754742815E-2</v>
      </c>
      <c r="D652">
        <f>D651+C652</f>
        <v>38.040289458243862</v>
      </c>
      <c r="E652">
        <f>ROUNDDOWN(D652,2)</f>
        <v>38.04</v>
      </c>
    </row>
    <row r="653" spans="1:5" x14ac:dyDescent="0.35">
      <c r="A653" s="15">
        <v>199.8</v>
      </c>
      <c r="B653" s="14">
        <v>7</v>
      </c>
      <c r="C653">
        <f>(B653*100)/$H$1</f>
        <v>0.13690592607079993</v>
      </c>
      <c r="D653">
        <f>D652+C653</f>
        <v>38.177195384314665</v>
      </c>
      <c r="E653">
        <f>ROUNDDOWN(D653,2)</f>
        <v>38.17</v>
      </c>
    </row>
    <row r="654" spans="1:5" x14ac:dyDescent="0.35">
      <c r="A654" s="15">
        <v>199.7</v>
      </c>
      <c r="B654" s="14">
        <v>10</v>
      </c>
      <c r="C654">
        <f>(B654*100)/$H$1</f>
        <v>0.19557989438685702</v>
      </c>
      <c r="D654">
        <f>D653+C654</f>
        <v>38.372775278701525</v>
      </c>
      <c r="E654">
        <f>ROUNDDOWN(D654,2)</f>
        <v>38.369999999999997</v>
      </c>
    </row>
    <row r="655" spans="1:5" x14ac:dyDescent="0.35">
      <c r="A655" s="15">
        <v>199.6</v>
      </c>
      <c r="B655" s="14">
        <v>2</v>
      </c>
      <c r="C655">
        <f>(B655*100)/$H$1</f>
        <v>3.9115978877371407E-2</v>
      </c>
      <c r="D655">
        <f>D654+C655</f>
        <v>38.411891257578894</v>
      </c>
      <c r="E655">
        <f>ROUNDDOWN(D655,2)</f>
        <v>38.409999999999997</v>
      </c>
    </row>
    <row r="656" spans="1:5" x14ac:dyDescent="0.35">
      <c r="A656" s="15">
        <v>199.5</v>
      </c>
      <c r="B656" s="14">
        <v>3</v>
      </c>
      <c r="C656">
        <f>(B656*100)/$H$1</f>
        <v>5.8673968316057111E-2</v>
      </c>
      <c r="D656">
        <f>D655+C656</f>
        <v>38.470565225894951</v>
      </c>
      <c r="E656">
        <f>ROUNDDOWN(D656,2)</f>
        <v>38.47</v>
      </c>
    </row>
    <row r="657" spans="1:5" x14ac:dyDescent="0.35">
      <c r="A657" s="15">
        <v>199.4</v>
      </c>
      <c r="B657" s="14">
        <v>6</v>
      </c>
      <c r="C657">
        <f>(B657*100)/$H$1</f>
        <v>0.11734793663211422</v>
      </c>
      <c r="D657">
        <f>D656+C657</f>
        <v>38.587913162527066</v>
      </c>
      <c r="E657">
        <f>ROUNDDOWN(D657,2)</f>
        <v>38.58</v>
      </c>
    </row>
    <row r="658" spans="1:5" x14ac:dyDescent="0.35">
      <c r="A658" s="15">
        <v>199.3</v>
      </c>
      <c r="B658" s="14">
        <v>3</v>
      </c>
      <c r="C658">
        <f>(B658*100)/$H$1</f>
        <v>5.8673968316057111E-2</v>
      </c>
      <c r="D658">
        <f>D657+C658</f>
        <v>38.646587130843123</v>
      </c>
      <c r="E658">
        <f>ROUNDDOWN(D658,2)</f>
        <v>38.64</v>
      </c>
    </row>
    <row r="659" spans="1:5" x14ac:dyDescent="0.35">
      <c r="A659" s="15">
        <v>199.2</v>
      </c>
      <c r="B659" s="14">
        <v>3</v>
      </c>
      <c r="C659">
        <f>(B659*100)/$H$1</f>
        <v>5.8673968316057111E-2</v>
      </c>
      <c r="D659">
        <f>D658+C659</f>
        <v>38.705261099159181</v>
      </c>
      <c r="E659">
        <f>ROUNDDOWN(D659,2)</f>
        <v>38.700000000000003</v>
      </c>
    </row>
    <row r="660" spans="1:5" x14ac:dyDescent="0.35">
      <c r="A660" s="15">
        <v>199.1</v>
      </c>
      <c r="B660" s="14">
        <v>10</v>
      </c>
      <c r="C660">
        <f>(B660*100)/$H$1</f>
        <v>0.19557989438685702</v>
      </c>
      <c r="D660">
        <f>D659+C660</f>
        <v>38.900840993546041</v>
      </c>
      <c r="E660">
        <f>ROUNDDOWN(D660,2)</f>
        <v>38.9</v>
      </c>
    </row>
    <row r="661" spans="1:5" x14ac:dyDescent="0.35">
      <c r="A661" s="15">
        <v>199</v>
      </c>
      <c r="B661" s="14">
        <v>3</v>
      </c>
      <c r="C661">
        <f>(B661*100)/$H$1</f>
        <v>5.8673968316057111E-2</v>
      </c>
      <c r="D661">
        <f>D660+C661</f>
        <v>38.959514961862098</v>
      </c>
      <c r="E661">
        <f>ROUNDDOWN(D661,2)</f>
        <v>38.950000000000003</v>
      </c>
    </row>
    <row r="662" spans="1:5" x14ac:dyDescent="0.35">
      <c r="A662" s="15">
        <v>198.9</v>
      </c>
      <c r="B662" s="14">
        <v>1</v>
      </c>
      <c r="C662">
        <f>(B662*100)/$H$1</f>
        <v>1.9557989438685704E-2</v>
      </c>
      <c r="D662">
        <f>D661+C662</f>
        <v>38.979072951300786</v>
      </c>
      <c r="E662">
        <f>ROUNDDOWN(D662,2)</f>
        <v>38.97</v>
      </c>
    </row>
    <row r="663" spans="1:5" x14ac:dyDescent="0.35">
      <c r="A663" s="15">
        <v>198.8</v>
      </c>
      <c r="B663" s="14">
        <v>6</v>
      </c>
      <c r="C663">
        <f>(B663*100)/$H$1</f>
        <v>0.11734793663211422</v>
      </c>
      <c r="D663">
        <f>D662+C663</f>
        <v>39.096420887932901</v>
      </c>
      <c r="E663">
        <f>ROUNDDOWN(D663,2)</f>
        <v>39.090000000000003</v>
      </c>
    </row>
    <row r="664" spans="1:5" x14ac:dyDescent="0.35">
      <c r="A664" s="15">
        <v>198.7</v>
      </c>
      <c r="B664" s="14">
        <v>3</v>
      </c>
      <c r="C664">
        <f>(B664*100)/$H$1</f>
        <v>5.8673968316057111E-2</v>
      </c>
      <c r="D664">
        <f>D663+C664</f>
        <v>39.155094856248958</v>
      </c>
      <c r="E664">
        <f>ROUNDDOWN(D664,2)</f>
        <v>39.15</v>
      </c>
    </row>
    <row r="665" spans="1:5" x14ac:dyDescent="0.35">
      <c r="A665" s="15">
        <v>198.6</v>
      </c>
      <c r="B665" s="14">
        <v>7</v>
      </c>
      <c r="C665">
        <f>(B665*100)/$H$1</f>
        <v>0.13690592607079993</v>
      </c>
      <c r="D665">
        <f>D664+C665</f>
        <v>39.292000782319761</v>
      </c>
      <c r="E665">
        <f>ROUNDDOWN(D665,2)</f>
        <v>39.29</v>
      </c>
    </row>
    <row r="666" spans="1:5" x14ac:dyDescent="0.35">
      <c r="A666" s="15">
        <v>198.5</v>
      </c>
      <c r="B666" s="14">
        <v>4</v>
      </c>
      <c r="C666">
        <f>(B666*100)/$H$1</f>
        <v>7.8231957754742815E-2</v>
      </c>
      <c r="D666">
        <f>D665+C666</f>
        <v>39.370232740074506</v>
      </c>
      <c r="E666">
        <f>ROUNDDOWN(D666,2)</f>
        <v>39.369999999999997</v>
      </c>
    </row>
    <row r="667" spans="1:5" x14ac:dyDescent="0.35">
      <c r="A667" s="15">
        <v>198.4</v>
      </c>
      <c r="B667" s="14">
        <v>4</v>
      </c>
      <c r="C667">
        <f>(B667*100)/$H$1</f>
        <v>7.8231957754742815E-2</v>
      </c>
      <c r="D667">
        <f>D666+C667</f>
        <v>39.448464697829252</v>
      </c>
      <c r="E667">
        <f>ROUNDDOWN(D667,2)</f>
        <v>39.44</v>
      </c>
    </row>
    <row r="668" spans="1:5" x14ac:dyDescent="0.35">
      <c r="A668" s="15">
        <v>198.3</v>
      </c>
      <c r="B668" s="14">
        <v>7</v>
      </c>
      <c r="C668">
        <f>(B668*100)/$H$1</f>
        <v>0.13690592607079993</v>
      </c>
      <c r="D668">
        <f>D667+C668</f>
        <v>39.585370623900054</v>
      </c>
      <c r="E668">
        <f>ROUNDDOWN(D668,2)</f>
        <v>39.58</v>
      </c>
    </row>
    <row r="669" spans="1:5" x14ac:dyDescent="0.35">
      <c r="A669" s="15">
        <v>198.2</v>
      </c>
      <c r="B669" s="14">
        <v>2</v>
      </c>
      <c r="C669">
        <f>(B669*100)/$H$1</f>
        <v>3.9115978877371407E-2</v>
      </c>
      <c r="D669">
        <f>D668+C669</f>
        <v>39.624486602777424</v>
      </c>
      <c r="E669">
        <f>ROUNDDOWN(D669,2)</f>
        <v>39.619999999999997</v>
      </c>
    </row>
    <row r="670" spans="1:5" x14ac:dyDescent="0.35">
      <c r="A670" s="15">
        <v>198.1</v>
      </c>
      <c r="B670" s="14">
        <v>10</v>
      </c>
      <c r="C670">
        <f>(B670*100)/$H$1</f>
        <v>0.19557989438685702</v>
      </c>
      <c r="D670">
        <f>D669+C670</f>
        <v>39.820066497164284</v>
      </c>
      <c r="E670">
        <f>ROUNDDOWN(D670,2)</f>
        <v>39.82</v>
      </c>
    </row>
    <row r="671" spans="1:5" x14ac:dyDescent="0.35">
      <c r="A671" s="15">
        <v>198</v>
      </c>
      <c r="B671" s="14">
        <v>4</v>
      </c>
      <c r="C671">
        <f>(B671*100)/$H$1</f>
        <v>7.8231957754742815E-2</v>
      </c>
      <c r="D671">
        <f>D670+C671</f>
        <v>39.898298454919029</v>
      </c>
      <c r="E671">
        <f>ROUNDDOWN(D671,2)</f>
        <v>39.89</v>
      </c>
    </row>
    <row r="672" spans="1:5" x14ac:dyDescent="0.35">
      <c r="A672" s="15">
        <v>197.9</v>
      </c>
      <c r="B672" s="14">
        <v>7</v>
      </c>
      <c r="C672">
        <f>(B672*100)/$H$1</f>
        <v>0.13690592607079993</v>
      </c>
      <c r="D672">
        <f>D671+C672</f>
        <v>40.035204380989832</v>
      </c>
      <c r="E672">
        <f>ROUNDDOWN(D672,2)</f>
        <v>40.03</v>
      </c>
    </row>
    <row r="673" spans="1:5" x14ac:dyDescent="0.35">
      <c r="A673" s="15">
        <v>197.8</v>
      </c>
      <c r="B673" s="14">
        <v>5</v>
      </c>
      <c r="C673">
        <f>(B673*100)/$H$1</f>
        <v>9.7789947193428511E-2</v>
      </c>
      <c r="D673">
        <f>D672+C673</f>
        <v>40.132994328183258</v>
      </c>
      <c r="E673">
        <f>ROUNDDOWN(D673,2)</f>
        <v>40.130000000000003</v>
      </c>
    </row>
    <row r="674" spans="1:5" x14ac:dyDescent="0.35">
      <c r="A674" s="15">
        <v>197.7</v>
      </c>
      <c r="B674" s="14">
        <v>1</v>
      </c>
      <c r="C674">
        <f>(B674*100)/$H$1</f>
        <v>1.9557989438685704E-2</v>
      </c>
      <c r="D674">
        <f>D673+C674</f>
        <v>40.152552317621947</v>
      </c>
      <c r="E674">
        <f>ROUNDDOWN(D674,2)</f>
        <v>40.15</v>
      </c>
    </row>
    <row r="675" spans="1:5" x14ac:dyDescent="0.35">
      <c r="A675" s="15">
        <v>197.6</v>
      </c>
      <c r="B675" s="14">
        <v>8</v>
      </c>
      <c r="C675">
        <f>(B675*100)/$H$1</f>
        <v>0.15646391550948563</v>
      </c>
      <c r="D675">
        <f>D674+C675</f>
        <v>40.30901623313143</v>
      </c>
      <c r="E675">
        <f>ROUNDDOWN(D675,2)</f>
        <v>40.299999999999997</v>
      </c>
    </row>
    <row r="676" spans="1:5" x14ac:dyDescent="0.35">
      <c r="A676" s="15">
        <v>197.5</v>
      </c>
      <c r="B676" s="14">
        <v>6</v>
      </c>
      <c r="C676">
        <f>(B676*100)/$H$1</f>
        <v>0.11734793663211422</v>
      </c>
      <c r="D676">
        <f>D675+C676</f>
        <v>40.426364169763545</v>
      </c>
      <c r="E676">
        <f>ROUNDDOWN(D676,2)</f>
        <v>40.42</v>
      </c>
    </row>
    <row r="677" spans="1:5" x14ac:dyDescent="0.35">
      <c r="A677" s="15">
        <v>197.4</v>
      </c>
      <c r="B677" s="14">
        <v>5</v>
      </c>
      <c r="C677">
        <f>(B677*100)/$H$1</f>
        <v>9.7789947193428511E-2</v>
      </c>
      <c r="D677">
        <f>D676+C677</f>
        <v>40.524154116956971</v>
      </c>
      <c r="E677">
        <f>ROUNDDOWN(D677,2)</f>
        <v>40.520000000000003</v>
      </c>
    </row>
    <row r="678" spans="1:5" x14ac:dyDescent="0.35">
      <c r="A678" s="15">
        <v>197.3</v>
      </c>
      <c r="B678" s="14">
        <v>6</v>
      </c>
      <c r="C678">
        <f>(B678*100)/$H$1</f>
        <v>0.11734793663211422</v>
      </c>
      <c r="D678">
        <f>D677+C678</f>
        <v>40.641502053589086</v>
      </c>
      <c r="E678">
        <f>ROUNDDOWN(D678,2)</f>
        <v>40.64</v>
      </c>
    </row>
    <row r="679" spans="1:5" x14ac:dyDescent="0.35">
      <c r="A679" s="15">
        <v>197.2</v>
      </c>
      <c r="B679" s="14">
        <v>7</v>
      </c>
      <c r="C679">
        <f>(B679*100)/$H$1</f>
        <v>0.13690592607079993</v>
      </c>
      <c r="D679">
        <f>D678+C679</f>
        <v>40.778407979659889</v>
      </c>
      <c r="E679">
        <f>ROUNDDOWN(D679,2)</f>
        <v>40.770000000000003</v>
      </c>
    </row>
    <row r="680" spans="1:5" x14ac:dyDescent="0.35">
      <c r="A680" s="15">
        <v>197.1</v>
      </c>
      <c r="B680" s="14">
        <v>2</v>
      </c>
      <c r="C680">
        <f>(B680*100)/$H$1</f>
        <v>3.9115978877371407E-2</v>
      </c>
      <c r="D680">
        <f>D679+C680</f>
        <v>40.817523958537258</v>
      </c>
      <c r="E680">
        <f>ROUNDDOWN(D680,2)</f>
        <v>40.81</v>
      </c>
    </row>
    <row r="681" spans="1:5" x14ac:dyDescent="0.35">
      <c r="A681" s="15">
        <v>197</v>
      </c>
      <c r="B681" s="14">
        <v>5</v>
      </c>
      <c r="C681">
        <f>(B681*100)/$H$1</f>
        <v>9.7789947193428511E-2</v>
      </c>
      <c r="D681">
        <f>D680+C681</f>
        <v>40.915313905730684</v>
      </c>
      <c r="E681">
        <f>ROUNDDOWN(D681,2)</f>
        <v>40.909999999999997</v>
      </c>
    </row>
    <row r="682" spans="1:5" x14ac:dyDescent="0.35">
      <c r="A682" s="15">
        <v>196.9</v>
      </c>
      <c r="B682" s="14">
        <v>2</v>
      </c>
      <c r="C682">
        <f>(B682*100)/$H$1</f>
        <v>3.9115978877371407E-2</v>
      </c>
      <c r="D682">
        <f>D681+C682</f>
        <v>40.954429884608054</v>
      </c>
      <c r="E682">
        <f>ROUNDDOWN(D682,2)</f>
        <v>40.950000000000003</v>
      </c>
    </row>
    <row r="683" spans="1:5" x14ac:dyDescent="0.35">
      <c r="A683" s="15">
        <v>196.8</v>
      </c>
      <c r="B683" s="14">
        <v>5</v>
      </c>
      <c r="C683">
        <f>(B683*100)/$H$1</f>
        <v>9.7789947193428511E-2</v>
      </c>
      <c r="D683">
        <f>D682+C683</f>
        <v>41.05221983180148</v>
      </c>
      <c r="E683">
        <f>ROUNDDOWN(D683,2)</f>
        <v>41.05</v>
      </c>
    </row>
    <row r="684" spans="1:5" x14ac:dyDescent="0.35">
      <c r="A684" s="15">
        <v>196.7</v>
      </c>
      <c r="B684" s="14">
        <v>4</v>
      </c>
      <c r="C684">
        <f>(B684*100)/$H$1</f>
        <v>7.8231957754742815E-2</v>
      </c>
      <c r="D684">
        <f>D683+C684</f>
        <v>41.130451789556226</v>
      </c>
      <c r="E684">
        <f>ROUNDDOWN(D684,2)</f>
        <v>41.13</v>
      </c>
    </row>
    <row r="685" spans="1:5" x14ac:dyDescent="0.35">
      <c r="A685" s="15">
        <v>196.6</v>
      </c>
      <c r="B685" s="14">
        <v>5</v>
      </c>
      <c r="C685">
        <f>(B685*100)/$H$1</f>
        <v>9.7789947193428511E-2</v>
      </c>
      <c r="D685">
        <f>D684+C685</f>
        <v>41.228241736749652</v>
      </c>
      <c r="E685">
        <f>ROUNDDOWN(D685,2)</f>
        <v>41.22</v>
      </c>
    </row>
    <row r="686" spans="1:5" x14ac:dyDescent="0.35">
      <c r="A686" s="15">
        <v>196.5</v>
      </c>
      <c r="B686" s="14">
        <v>5</v>
      </c>
      <c r="C686">
        <f>(B686*100)/$H$1</f>
        <v>9.7789947193428511E-2</v>
      </c>
      <c r="D686">
        <f>D685+C686</f>
        <v>41.326031683943079</v>
      </c>
      <c r="E686">
        <f>ROUNDDOWN(D686,2)</f>
        <v>41.32</v>
      </c>
    </row>
    <row r="687" spans="1:5" x14ac:dyDescent="0.35">
      <c r="A687" s="15">
        <v>196.4</v>
      </c>
      <c r="B687" s="14">
        <v>2</v>
      </c>
      <c r="C687">
        <f>(B687*100)/$H$1</f>
        <v>3.9115978877371407E-2</v>
      </c>
      <c r="D687">
        <f>D686+C687</f>
        <v>41.365147662820448</v>
      </c>
      <c r="E687">
        <f>ROUNDDOWN(D687,2)</f>
        <v>41.36</v>
      </c>
    </row>
    <row r="688" spans="1:5" x14ac:dyDescent="0.35">
      <c r="A688" s="15">
        <v>196.3</v>
      </c>
      <c r="B688" s="14">
        <v>3</v>
      </c>
      <c r="C688">
        <f>(B688*100)/$H$1</f>
        <v>5.8673968316057111E-2</v>
      </c>
      <c r="D688">
        <f>D687+C688</f>
        <v>41.423821631136505</v>
      </c>
      <c r="E688">
        <f>ROUNDDOWN(D688,2)</f>
        <v>41.42</v>
      </c>
    </row>
    <row r="689" spans="1:5" x14ac:dyDescent="0.35">
      <c r="A689" s="15">
        <v>196.2</v>
      </c>
      <c r="B689" s="14">
        <v>6</v>
      </c>
      <c r="C689">
        <f>(B689*100)/$H$1</f>
        <v>0.11734793663211422</v>
      </c>
      <c r="D689">
        <f>D688+C689</f>
        <v>41.54116956776862</v>
      </c>
      <c r="E689">
        <f>ROUNDDOWN(D689,2)</f>
        <v>41.54</v>
      </c>
    </row>
    <row r="690" spans="1:5" x14ac:dyDescent="0.35">
      <c r="A690" s="15">
        <v>196.1</v>
      </c>
      <c r="B690" s="14">
        <v>6</v>
      </c>
      <c r="C690">
        <f>(B690*100)/$H$1</f>
        <v>0.11734793663211422</v>
      </c>
      <c r="D690">
        <f>D689+C690</f>
        <v>41.658517504400734</v>
      </c>
      <c r="E690">
        <f>ROUNDDOWN(D690,2)</f>
        <v>41.65</v>
      </c>
    </row>
    <row r="691" spans="1:5" x14ac:dyDescent="0.35">
      <c r="A691" s="15">
        <v>196</v>
      </c>
      <c r="B691" s="14">
        <v>1</v>
      </c>
      <c r="C691">
        <f>(B691*100)/$H$1</f>
        <v>1.9557989438685704E-2</v>
      </c>
      <c r="D691">
        <f>D690+C691</f>
        <v>41.678075493839422</v>
      </c>
      <c r="E691">
        <f>ROUNDDOWN(D691,2)</f>
        <v>41.67</v>
      </c>
    </row>
    <row r="692" spans="1:5" x14ac:dyDescent="0.35">
      <c r="A692" s="15">
        <v>195.9</v>
      </c>
      <c r="B692" s="14">
        <v>2</v>
      </c>
      <c r="C692">
        <f>(B692*100)/$H$1</f>
        <v>3.9115978877371407E-2</v>
      </c>
      <c r="D692">
        <f>D691+C692</f>
        <v>41.717191472716792</v>
      </c>
      <c r="E692">
        <f>ROUNDDOWN(D692,2)</f>
        <v>41.71</v>
      </c>
    </row>
    <row r="693" spans="1:5" x14ac:dyDescent="0.35">
      <c r="A693" s="15">
        <v>195.8</v>
      </c>
      <c r="B693" s="14">
        <v>5</v>
      </c>
      <c r="C693">
        <f>(B693*100)/$H$1</f>
        <v>9.7789947193428511E-2</v>
      </c>
      <c r="D693">
        <f>D692+C693</f>
        <v>41.814981419910218</v>
      </c>
      <c r="E693">
        <f>ROUNDDOWN(D693,2)</f>
        <v>41.81</v>
      </c>
    </row>
    <row r="694" spans="1:5" x14ac:dyDescent="0.35">
      <c r="A694" s="15">
        <v>195.7</v>
      </c>
      <c r="B694" s="14">
        <v>6</v>
      </c>
      <c r="C694">
        <f>(B694*100)/$H$1</f>
        <v>0.11734793663211422</v>
      </c>
      <c r="D694">
        <f>D693+C694</f>
        <v>41.932329356542333</v>
      </c>
      <c r="E694">
        <f>ROUNDDOWN(D694,2)</f>
        <v>41.93</v>
      </c>
    </row>
    <row r="695" spans="1:5" x14ac:dyDescent="0.35">
      <c r="A695" s="15">
        <v>195.6</v>
      </c>
      <c r="B695" s="14">
        <v>4</v>
      </c>
      <c r="C695">
        <f>(B695*100)/$H$1</f>
        <v>7.8231957754742815E-2</v>
      </c>
      <c r="D695">
        <f>D694+C695</f>
        <v>42.010561314297078</v>
      </c>
      <c r="E695">
        <f>ROUNDDOWN(D695,2)</f>
        <v>42.01</v>
      </c>
    </row>
    <row r="696" spans="1:5" x14ac:dyDescent="0.35">
      <c r="A696" s="15">
        <v>195.5</v>
      </c>
      <c r="B696" s="14">
        <v>3</v>
      </c>
      <c r="C696">
        <f>(B696*100)/$H$1</f>
        <v>5.8673968316057111E-2</v>
      </c>
      <c r="D696">
        <f>D695+C696</f>
        <v>42.069235282613135</v>
      </c>
      <c r="E696">
        <f>ROUNDDOWN(D696,2)</f>
        <v>42.06</v>
      </c>
    </row>
    <row r="697" spans="1:5" x14ac:dyDescent="0.35">
      <c r="A697" s="15">
        <v>195.4</v>
      </c>
      <c r="B697" s="14">
        <v>3</v>
      </c>
      <c r="C697">
        <f>(B697*100)/$H$1</f>
        <v>5.8673968316057111E-2</v>
      </c>
      <c r="D697">
        <f>D696+C697</f>
        <v>42.127909250929193</v>
      </c>
      <c r="E697">
        <f>ROUNDDOWN(D697,2)</f>
        <v>42.12</v>
      </c>
    </row>
    <row r="698" spans="1:5" x14ac:dyDescent="0.35">
      <c r="A698" s="15">
        <v>195.3</v>
      </c>
      <c r="B698" s="14">
        <v>4</v>
      </c>
      <c r="C698">
        <f>(B698*100)/$H$1</f>
        <v>7.8231957754742815E-2</v>
      </c>
      <c r="D698">
        <f>D697+C698</f>
        <v>42.206141208683938</v>
      </c>
      <c r="E698">
        <f>ROUNDDOWN(D698,2)</f>
        <v>42.2</v>
      </c>
    </row>
    <row r="699" spans="1:5" x14ac:dyDescent="0.35">
      <c r="A699" s="15">
        <v>195.2</v>
      </c>
      <c r="B699" s="14">
        <v>6</v>
      </c>
      <c r="C699">
        <f>(B699*100)/$H$1</f>
        <v>0.11734793663211422</v>
      </c>
      <c r="D699">
        <f>D698+C699</f>
        <v>42.323489145316053</v>
      </c>
      <c r="E699">
        <f>ROUNDDOWN(D699,2)</f>
        <v>42.32</v>
      </c>
    </row>
    <row r="700" spans="1:5" x14ac:dyDescent="0.35">
      <c r="A700" s="15">
        <v>195.1</v>
      </c>
      <c r="B700" s="14">
        <v>1</v>
      </c>
      <c r="C700">
        <f>(B700*100)/$H$1</f>
        <v>1.9557989438685704E-2</v>
      </c>
      <c r="D700">
        <f>D699+C700</f>
        <v>42.343047134754741</v>
      </c>
      <c r="E700">
        <f>ROUNDDOWN(D700,2)</f>
        <v>42.34</v>
      </c>
    </row>
    <row r="701" spans="1:5" x14ac:dyDescent="0.35">
      <c r="A701" s="15">
        <v>195</v>
      </c>
      <c r="B701" s="14">
        <v>6</v>
      </c>
      <c r="C701">
        <f>(B701*100)/$H$1</f>
        <v>0.11734793663211422</v>
      </c>
      <c r="D701">
        <f>D700+C701</f>
        <v>42.460395071386856</v>
      </c>
      <c r="E701">
        <f>ROUNDDOWN(D701,2)</f>
        <v>42.46</v>
      </c>
    </row>
    <row r="702" spans="1:5" x14ac:dyDescent="0.35">
      <c r="A702" s="15">
        <v>194.9</v>
      </c>
      <c r="B702" s="14">
        <v>6</v>
      </c>
      <c r="C702">
        <f>(B702*100)/$H$1</f>
        <v>0.11734793663211422</v>
      </c>
      <c r="D702">
        <f>D701+C702</f>
        <v>42.57774300801897</v>
      </c>
      <c r="E702">
        <f>ROUNDDOWN(D702,2)</f>
        <v>42.57</v>
      </c>
    </row>
    <row r="703" spans="1:5" x14ac:dyDescent="0.35">
      <c r="A703" s="15">
        <v>194.8</v>
      </c>
      <c r="B703" s="14">
        <v>7</v>
      </c>
      <c r="C703">
        <f>(B703*100)/$H$1</f>
        <v>0.13690592607079993</v>
      </c>
      <c r="D703">
        <f>D702+C703</f>
        <v>42.714648934089773</v>
      </c>
      <c r="E703">
        <f>ROUNDDOWN(D703,2)</f>
        <v>42.71</v>
      </c>
    </row>
    <row r="704" spans="1:5" x14ac:dyDescent="0.35">
      <c r="A704" s="15">
        <v>194.7</v>
      </c>
      <c r="B704" s="14">
        <v>2</v>
      </c>
      <c r="C704">
        <f>(B704*100)/$H$1</f>
        <v>3.9115978877371407E-2</v>
      </c>
      <c r="D704">
        <f>D703+C704</f>
        <v>42.753764912967142</v>
      </c>
      <c r="E704">
        <f>ROUNDDOWN(D704,2)</f>
        <v>42.75</v>
      </c>
    </row>
    <row r="705" spans="1:5" x14ac:dyDescent="0.35">
      <c r="A705" s="15">
        <v>194.6</v>
      </c>
      <c r="B705" s="14">
        <v>4</v>
      </c>
      <c r="C705">
        <f>(B705*100)/$H$1</f>
        <v>7.8231957754742815E-2</v>
      </c>
      <c r="D705">
        <f>D704+C705</f>
        <v>42.831996870721888</v>
      </c>
      <c r="E705">
        <f>ROUNDDOWN(D705,2)</f>
        <v>42.83</v>
      </c>
    </row>
    <row r="706" spans="1:5" x14ac:dyDescent="0.35">
      <c r="A706" s="15">
        <v>194.5</v>
      </c>
      <c r="B706" s="14">
        <v>7</v>
      </c>
      <c r="C706">
        <f>(B706*100)/$H$1</f>
        <v>0.13690592607079993</v>
      </c>
      <c r="D706">
        <f>D705+C706</f>
        <v>42.96890279679269</v>
      </c>
      <c r="E706">
        <f>ROUNDDOWN(D706,2)</f>
        <v>42.96</v>
      </c>
    </row>
    <row r="707" spans="1:5" x14ac:dyDescent="0.35">
      <c r="A707" s="15">
        <v>194.4</v>
      </c>
      <c r="B707" s="14">
        <v>1</v>
      </c>
      <c r="C707">
        <f>(B707*100)/$H$1</f>
        <v>1.9557989438685704E-2</v>
      </c>
      <c r="D707">
        <f>D706+C707</f>
        <v>42.988460786231379</v>
      </c>
      <c r="E707">
        <f>ROUNDDOWN(D707,2)</f>
        <v>42.98</v>
      </c>
    </row>
    <row r="708" spans="1:5" x14ac:dyDescent="0.35">
      <c r="A708" s="15">
        <v>194.3</v>
      </c>
      <c r="B708" s="14">
        <v>7</v>
      </c>
      <c r="C708">
        <f>(B708*100)/$H$1</f>
        <v>0.13690592607079993</v>
      </c>
      <c r="D708">
        <f>D707+C708</f>
        <v>43.125366712302181</v>
      </c>
      <c r="E708">
        <f>ROUNDDOWN(D708,2)</f>
        <v>43.12</v>
      </c>
    </row>
    <row r="709" spans="1:5" x14ac:dyDescent="0.35">
      <c r="A709" s="15">
        <v>194.2</v>
      </c>
      <c r="B709" s="14">
        <v>4</v>
      </c>
      <c r="C709">
        <f>(B709*100)/$H$1</f>
        <v>7.8231957754742815E-2</v>
      </c>
      <c r="D709">
        <f>D708+C709</f>
        <v>43.203598670056927</v>
      </c>
      <c r="E709">
        <f>ROUNDDOWN(D709,2)</f>
        <v>43.2</v>
      </c>
    </row>
    <row r="710" spans="1:5" x14ac:dyDescent="0.35">
      <c r="A710" s="15">
        <v>194.1</v>
      </c>
      <c r="B710" s="14">
        <v>5</v>
      </c>
      <c r="C710">
        <f>(B710*100)/$H$1</f>
        <v>9.7789947193428511E-2</v>
      </c>
      <c r="D710">
        <f>D709+C710</f>
        <v>43.301388617250353</v>
      </c>
      <c r="E710">
        <f>ROUNDDOWN(D710,2)</f>
        <v>43.3</v>
      </c>
    </row>
    <row r="711" spans="1:5" x14ac:dyDescent="0.35">
      <c r="A711" s="15">
        <v>194</v>
      </c>
      <c r="B711" s="14">
        <v>3</v>
      </c>
      <c r="C711">
        <f>(B711*100)/$H$1</f>
        <v>5.8673968316057111E-2</v>
      </c>
      <c r="D711">
        <f>D710+C711</f>
        <v>43.360062585566411</v>
      </c>
      <c r="E711">
        <f>ROUNDDOWN(D711,2)</f>
        <v>43.36</v>
      </c>
    </row>
    <row r="712" spans="1:5" x14ac:dyDescent="0.35">
      <c r="A712" s="15">
        <v>193.9</v>
      </c>
      <c r="B712" s="14">
        <v>6</v>
      </c>
      <c r="C712">
        <f>(B712*100)/$H$1</f>
        <v>0.11734793663211422</v>
      </c>
      <c r="D712">
        <f>D711+C712</f>
        <v>43.477410522198525</v>
      </c>
      <c r="E712">
        <f>ROUNDDOWN(D712,2)</f>
        <v>43.47</v>
      </c>
    </row>
    <row r="713" spans="1:5" x14ac:dyDescent="0.35">
      <c r="A713" s="15">
        <v>193.8</v>
      </c>
      <c r="B713" s="14">
        <v>4</v>
      </c>
      <c r="C713">
        <f>(B713*100)/$H$1</f>
        <v>7.8231957754742815E-2</v>
      </c>
      <c r="D713">
        <f>D712+C713</f>
        <v>43.555642479953271</v>
      </c>
      <c r="E713">
        <f>ROUNDDOWN(D713,2)</f>
        <v>43.55</v>
      </c>
    </row>
    <row r="714" spans="1:5" x14ac:dyDescent="0.35">
      <c r="A714" s="15">
        <v>193.7</v>
      </c>
      <c r="B714" s="14">
        <v>7</v>
      </c>
      <c r="C714">
        <f>(B714*100)/$H$1</f>
        <v>0.13690592607079993</v>
      </c>
      <c r="D714">
        <f>D713+C714</f>
        <v>43.692548406024073</v>
      </c>
      <c r="E714">
        <f>ROUNDDOWN(D714,2)</f>
        <v>43.69</v>
      </c>
    </row>
    <row r="715" spans="1:5" x14ac:dyDescent="0.35">
      <c r="A715" s="15">
        <v>193.6</v>
      </c>
      <c r="B715" s="14">
        <v>3</v>
      </c>
      <c r="C715">
        <f>(B715*100)/$H$1</f>
        <v>5.8673968316057111E-2</v>
      </c>
      <c r="D715">
        <f>D714+C715</f>
        <v>43.751222374340131</v>
      </c>
      <c r="E715">
        <f>ROUNDDOWN(D715,2)</f>
        <v>43.75</v>
      </c>
    </row>
    <row r="716" spans="1:5" x14ac:dyDescent="0.35">
      <c r="A716" s="15">
        <v>193.5</v>
      </c>
      <c r="B716" s="14">
        <v>11</v>
      </c>
      <c r="C716">
        <f>(B716*100)/$H$1</f>
        <v>0.21513788382554275</v>
      </c>
      <c r="D716">
        <f>D715+C716</f>
        <v>43.966360258165672</v>
      </c>
      <c r="E716">
        <f>ROUNDDOWN(D716,2)</f>
        <v>43.96</v>
      </c>
    </row>
    <row r="717" spans="1:5" x14ac:dyDescent="0.35">
      <c r="A717" s="15">
        <v>193.4</v>
      </c>
      <c r="B717" s="14">
        <v>6</v>
      </c>
      <c r="C717">
        <f>(B717*100)/$H$1</f>
        <v>0.11734793663211422</v>
      </c>
      <c r="D717">
        <f>D716+C717</f>
        <v>44.083708194797786</v>
      </c>
      <c r="E717">
        <f>ROUNDDOWN(D717,2)</f>
        <v>44.08</v>
      </c>
    </row>
    <row r="718" spans="1:5" x14ac:dyDescent="0.35">
      <c r="A718" s="15">
        <v>193.3</v>
      </c>
      <c r="B718" s="14">
        <v>2</v>
      </c>
      <c r="C718">
        <f>(B718*100)/$H$1</f>
        <v>3.9115978877371407E-2</v>
      </c>
      <c r="D718">
        <f>D717+C718</f>
        <v>44.122824173675156</v>
      </c>
      <c r="E718">
        <f>ROUNDDOWN(D718,2)</f>
        <v>44.12</v>
      </c>
    </row>
    <row r="719" spans="1:5" x14ac:dyDescent="0.35">
      <c r="A719" s="15">
        <v>193.2</v>
      </c>
      <c r="B719" s="14">
        <v>5</v>
      </c>
      <c r="C719">
        <f>(B719*100)/$H$1</f>
        <v>9.7789947193428511E-2</v>
      </c>
      <c r="D719">
        <f>D718+C719</f>
        <v>44.220614120868582</v>
      </c>
      <c r="E719">
        <f>ROUNDDOWN(D719,2)</f>
        <v>44.22</v>
      </c>
    </row>
    <row r="720" spans="1:5" x14ac:dyDescent="0.35">
      <c r="A720" s="15">
        <v>193.1</v>
      </c>
      <c r="B720" s="14">
        <v>4</v>
      </c>
      <c r="C720">
        <f>(B720*100)/$H$1</f>
        <v>7.8231957754742815E-2</v>
      </c>
      <c r="D720">
        <f>D719+C720</f>
        <v>44.298846078623328</v>
      </c>
      <c r="E720">
        <f>ROUNDDOWN(D720,2)</f>
        <v>44.29</v>
      </c>
    </row>
    <row r="721" spans="1:5" x14ac:dyDescent="0.35">
      <c r="A721" s="15">
        <v>193</v>
      </c>
      <c r="B721" s="14">
        <v>7</v>
      </c>
      <c r="C721">
        <f>(B721*100)/$H$1</f>
        <v>0.13690592607079993</v>
      </c>
      <c r="D721">
        <f>D720+C721</f>
        <v>44.43575200469413</v>
      </c>
      <c r="E721">
        <f>ROUNDDOWN(D721,2)</f>
        <v>44.43</v>
      </c>
    </row>
    <row r="722" spans="1:5" x14ac:dyDescent="0.35">
      <c r="A722" s="15">
        <v>192.9</v>
      </c>
      <c r="B722" s="14">
        <v>3</v>
      </c>
      <c r="C722">
        <f>(B722*100)/$H$1</f>
        <v>5.8673968316057111E-2</v>
      </c>
      <c r="D722">
        <f>D721+C722</f>
        <v>44.494425973010188</v>
      </c>
      <c r="E722">
        <f>ROUNDDOWN(D722,2)</f>
        <v>44.49</v>
      </c>
    </row>
    <row r="723" spans="1:5" x14ac:dyDescent="0.35">
      <c r="A723" s="15">
        <v>192.8</v>
      </c>
      <c r="B723" s="14">
        <v>2</v>
      </c>
      <c r="C723">
        <f>(B723*100)/$H$1</f>
        <v>3.9115978877371407E-2</v>
      </c>
      <c r="D723">
        <f>D722+C723</f>
        <v>44.533541951887557</v>
      </c>
      <c r="E723">
        <f>ROUNDDOWN(D723,2)</f>
        <v>44.53</v>
      </c>
    </row>
    <row r="724" spans="1:5" x14ac:dyDescent="0.35">
      <c r="A724" s="15">
        <v>192.7</v>
      </c>
      <c r="B724" s="14">
        <v>3</v>
      </c>
      <c r="C724">
        <f>(B724*100)/$H$1</f>
        <v>5.8673968316057111E-2</v>
      </c>
      <c r="D724">
        <f>D723+C724</f>
        <v>44.592215920203614</v>
      </c>
      <c r="E724">
        <f>ROUNDDOWN(D724,2)</f>
        <v>44.59</v>
      </c>
    </row>
    <row r="725" spans="1:5" x14ac:dyDescent="0.35">
      <c r="A725" s="15">
        <v>192.6</v>
      </c>
      <c r="B725" s="14">
        <v>5</v>
      </c>
      <c r="C725">
        <f>(B725*100)/$H$1</f>
        <v>9.7789947193428511E-2</v>
      </c>
      <c r="D725">
        <f>D724+C725</f>
        <v>44.690005867397041</v>
      </c>
      <c r="E725">
        <f>ROUNDDOWN(D725,2)</f>
        <v>44.69</v>
      </c>
    </row>
    <row r="726" spans="1:5" x14ac:dyDescent="0.35">
      <c r="A726" s="15">
        <v>192.5</v>
      </c>
      <c r="B726" s="14">
        <v>5</v>
      </c>
      <c r="C726">
        <f>(B726*100)/$H$1</f>
        <v>9.7789947193428511E-2</v>
      </c>
      <c r="D726">
        <f>D725+C726</f>
        <v>44.787795814590467</v>
      </c>
      <c r="E726">
        <f>ROUNDDOWN(D726,2)</f>
        <v>44.78</v>
      </c>
    </row>
    <row r="727" spans="1:5" x14ac:dyDescent="0.35">
      <c r="A727" s="15">
        <v>192.4</v>
      </c>
      <c r="B727" s="14">
        <v>4</v>
      </c>
      <c r="C727">
        <f>(B727*100)/$H$1</f>
        <v>7.8231957754742815E-2</v>
      </c>
      <c r="D727">
        <f>D726+C727</f>
        <v>44.866027772345213</v>
      </c>
      <c r="E727">
        <f>ROUNDDOWN(D727,2)</f>
        <v>44.86</v>
      </c>
    </row>
    <row r="728" spans="1:5" x14ac:dyDescent="0.35">
      <c r="A728" s="15">
        <v>192.3</v>
      </c>
      <c r="B728" s="14">
        <v>8</v>
      </c>
      <c r="C728">
        <f>(B728*100)/$H$1</f>
        <v>0.15646391550948563</v>
      </c>
      <c r="D728">
        <f>D727+C728</f>
        <v>45.022491687854696</v>
      </c>
      <c r="E728">
        <f>ROUNDDOWN(D728,2)</f>
        <v>45.02</v>
      </c>
    </row>
    <row r="729" spans="1:5" x14ac:dyDescent="0.35">
      <c r="A729" s="15">
        <v>192.2</v>
      </c>
      <c r="B729" s="14">
        <v>2</v>
      </c>
      <c r="C729">
        <f>(B729*100)/$H$1</f>
        <v>3.9115978877371407E-2</v>
      </c>
      <c r="D729">
        <f>D728+C729</f>
        <v>45.061607666732066</v>
      </c>
      <c r="E729">
        <f>ROUNDDOWN(D729,2)</f>
        <v>45.06</v>
      </c>
    </row>
    <row r="730" spans="1:5" x14ac:dyDescent="0.35">
      <c r="A730" s="15">
        <v>192.1</v>
      </c>
      <c r="B730" s="14">
        <v>4</v>
      </c>
      <c r="C730">
        <f>(B730*100)/$H$1</f>
        <v>7.8231957754742815E-2</v>
      </c>
      <c r="D730">
        <f>D729+C730</f>
        <v>45.139839624486811</v>
      </c>
      <c r="E730">
        <f>ROUNDDOWN(D730,2)</f>
        <v>45.13</v>
      </c>
    </row>
    <row r="731" spans="1:5" x14ac:dyDescent="0.35">
      <c r="A731" s="15">
        <v>192</v>
      </c>
      <c r="B731" s="14">
        <v>2</v>
      </c>
      <c r="C731">
        <f>(B731*100)/$H$1</f>
        <v>3.9115978877371407E-2</v>
      </c>
      <c r="D731">
        <f>D730+C731</f>
        <v>45.17895560336418</v>
      </c>
      <c r="E731">
        <f>ROUNDDOWN(D731,2)</f>
        <v>45.17</v>
      </c>
    </row>
    <row r="732" spans="1:5" x14ac:dyDescent="0.35">
      <c r="A732" s="15">
        <v>191.9</v>
      </c>
      <c r="B732" s="14">
        <v>4</v>
      </c>
      <c r="C732">
        <f>(B732*100)/$H$1</f>
        <v>7.8231957754742815E-2</v>
      </c>
      <c r="D732">
        <f>D731+C732</f>
        <v>45.257187561118926</v>
      </c>
      <c r="E732">
        <f>ROUNDDOWN(D732,2)</f>
        <v>45.25</v>
      </c>
    </row>
    <row r="733" spans="1:5" x14ac:dyDescent="0.35">
      <c r="A733" s="15">
        <v>191.8</v>
      </c>
      <c r="B733" s="14">
        <v>3</v>
      </c>
      <c r="C733">
        <f>(B733*100)/$H$1</f>
        <v>5.8673968316057111E-2</v>
      </c>
      <c r="D733">
        <f>D732+C733</f>
        <v>45.315861529434983</v>
      </c>
      <c r="E733">
        <f>ROUNDDOWN(D733,2)</f>
        <v>45.31</v>
      </c>
    </row>
    <row r="734" spans="1:5" x14ac:dyDescent="0.35">
      <c r="A734" s="15">
        <v>191.7</v>
      </c>
      <c r="B734" s="14">
        <v>1</v>
      </c>
      <c r="C734">
        <f>(B734*100)/$H$1</f>
        <v>1.9557989438685704E-2</v>
      </c>
      <c r="D734">
        <f>D733+C734</f>
        <v>45.335419518873671</v>
      </c>
      <c r="E734">
        <f>ROUNDDOWN(D734,2)</f>
        <v>45.33</v>
      </c>
    </row>
    <row r="735" spans="1:5" x14ac:dyDescent="0.35">
      <c r="A735" s="15">
        <v>191.6</v>
      </c>
      <c r="B735" s="14">
        <v>3</v>
      </c>
      <c r="C735">
        <f>(B735*100)/$H$1</f>
        <v>5.8673968316057111E-2</v>
      </c>
      <c r="D735">
        <f>D734+C735</f>
        <v>45.394093487189728</v>
      </c>
      <c r="E735">
        <f>ROUNDDOWN(D735,2)</f>
        <v>45.39</v>
      </c>
    </row>
    <row r="736" spans="1:5" x14ac:dyDescent="0.35">
      <c r="A736" s="15">
        <v>191.5</v>
      </c>
      <c r="B736" s="14">
        <v>2</v>
      </c>
      <c r="C736">
        <f>(B736*100)/$H$1</f>
        <v>3.9115978877371407E-2</v>
      </c>
      <c r="D736">
        <f>D735+C736</f>
        <v>45.433209466067098</v>
      </c>
      <c r="E736">
        <f>ROUNDDOWN(D736,2)</f>
        <v>45.43</v>
      </c>
    </row>
    <row r="737" spans="1:5" x14ac:dyDescent="0.35">
      <c r="A737" s="15">
        <v>191.4</v>
      </c>
      <c r="B737" s="14">
        <v>4</v>
      </c>
      <c r="C737">
        <f>(B737*100)/$H$1</f>
        <v>7.8231957754742815E-2</v>
      </c>
      <c r="D737">
        <f>D736+C737</f>
        <v>45.511441423821843</v>
      </c>
      <c r="E737">
        <f>ROUNDDOWN(D737,2)</f>
        <v>45.51</v>
      </c>
    </row>
    <row r="738" spans="1:5" x14ac:dyDescent="0.35">
      <c r="A738" s="15">
        <v>191.3</v>
      </c>
      <c r="B738" s="14">
        <v>3</v>
      </c>
      <c r="C738">
        <f>(B738*100)/$H$1</f>
        <v>5.8673968316057111E-2</v>
      </c>
      <c r="D738">
        <f>D737+C738</f>
        <v>45.5701153921379</v>
      </c>
      <c r="E738">
        <f>ROUNDDOWN(D738,2)</f>
        <v>45.57</v>
      </c>
    </row>
    <row r="739" spans="1:5" x14ac:dyDescent="0.35">
      <c r="A739" s="15">
        <v>191.2</v>
      </c>
      <c r="B739" s="14">
        <v>5</v>
      </c>
      <c r="C739">
        <f>(B739*100)/$H$1</f>
        <v>9.7789947193428511E-2</v>
      </c>
      <c r="D739">
        <f>D738+C739</f>
        <v>45.667905339331327</v>
      </c>
      <c r="E739">
        <f>ROUNDDOWN(D739,2)</f>
        <v>45.66</v>
      </c>
    </row>
    <row r="740" spans="1:5" x14ac:dyDescent="0.35">
      <c r="A740" s="15">
        <v>191.1</v>
      </c>
      <c r="B740" s="14">
        <v>5</v>
      </c>
      <c r="C740">
        <f>(B740*100)/$H$1</f>
        <v>9.7789947193428511E-2</v>
      </c>
      <c r="D740">
        <f>D739+C740</f>
        <v>45.765695286524753</v>
      </c>
      <c r="E740">
        <f>ROUNDDOWN(D740,2)</f>
        <v>45.76</v>
      </c>
    </row>
    <row r="741" spans="1:5" x14ac:dyDescent="0.35">
      <c r="A741" s="15">
        <v>191</v>
      </c>
      <c r="B741" s="14">
        <v>4</v>
      </c>
      <c r="C741">
        <f>(B741*100)/$H$1</f>
        <v>7.8231957754742815E-2</v>
      </c>
      <c r="D741">
        <f>D740+C741</f>
        <v>45.843927244279499</v>
      </c>
      <c r="E741">
        <f>ROUNDDOWN(D741,2)</f>
        <v>45.84</v>
      </c>
    </row>
    <row r="742" spans="1:5" x14ac:dyDescent="0.35">
      <c r="A742" s="15">
        <v>190.9</v>
      </c>
      <c r="B742" s="14">
        <v>6</v>
      </c>
      <c r="C742">
        <f>(B742*100)/$H$1</f>
        <v>0.11734793663211422</v>
      </c>
      <c r="D742">
        <f>D741+C742</f>
        <v>45.961275180911613</v>
      </c>
      <c r="E742">
        <f>ROUNDDOWN(D742,2)</f>
        <v>45.96</v>
      </c>
    </row>
    <row r="743" spans="1:5" x14ac:dyDescent="0.35">
      <c r="A743" s="15">
        <v>190.8</v>
      </c>
      <c r="B743" s="14">
        <v>4</v>
      </c>
      <c r="C743">
        <f>(B743*100)/$H$1</f>
        <v>7.8231957754742815E-2</v>
      </c>
      <c r="D743">
        <f>D742+C743</f>
        <v>46.039507138666359</v>
      </c>
      <c r="E743">
        <f>ROUNDDOWN(D743,2)</f>
        <v>46.03</v>
      </c>
    </row>
    <row r="744" spans="1:5" x14ac:dyDescent="0.35">
      <c r="A744" s="15">
        <v>190.7</v>
      </c>
      <c r="B744" s="14">
        <v>6</v>
      </c>
      <c r="C744">
        <f>(B744*100)/$H$1</f>
        <v>0.11734793663211422</v>
      </c>
      <c r="D744">
        <f>D743+C744</f>
        <v>46.156855075298473</v>
      </c>
      <c r="E744">
        <f>ROUNDDOWN(D744,2)</f>
        <v>46.15</v>
      </c>
    </row>
    <row r="745" spans="1:5" x14ac:dyDescent="0.35">
      <c r="A745" s="15">
        <v>190.6</v>
      </c>
      <c r="B745" s="14">
        <v>4</v>
      </c>
      <c r="C745">
        <f>(B745*100)/$H$1</f>
        <v>7.8231957754742815E-2</v>
      </c>
      <c r="D745">
        <f>D744+C745</f>
        <v>46.235087033053219</v>
      </c>
      <c r="E745">
        <f>ROUNDDOWN(D745,2)</f>
        <v>46.23</v>
      </c>
    </row>
    <row r="746" spans="1:5" x14ac:dyDescent="0.35">
      <c r="A746" s="15">
        <v>190.5</v>
      </c>
      <c r="B746" s="14">
        <v>5</v>
      </c>
      <c r="C746">
        <f>(B746*100)/$H$1</f>
        <v>9.7789947193428511E-2</v>
      </c>
      <c r="D746">
        <f>D745+C746</f>
        <v>46.332876980246645</v>
      </c>
      <c r="E746">
        <f>ROUNDDOWN(D746,2)</f>
        <v>46.33</v>
      </c>
    </row>
    <row r="747" spans="1:5" x14ac:dyDescent="0.35">
      <c r="A747" s="15">
        <v>190.4</v>
      </c>
      <c r="B747" s="14">
        <v>2</v>
      </c>
      <c r="C747">
        <f>(B747*100)/$H$1</f>
        <v>3.9115978877371407E-2</v>
      </c>
      <c r="D747">
        <f>D746+C747</f>
        <v>46.371992959124015</v>
      </c>
      <c r="E747">
        <f>ROUNDDOWN(D747,2)</f>
        <v>46.37</v>
      </c>
    </row>
    <row r="748" spans="1:5" x14ac:dyDescent="0.35">
      <c r="A748" s="15">
        <v>190.3</v>
      </c>
      <c r="B748" s="14">
        <v>7</v>
      </c>
      <c r="C748">
        <f>(B748*100)/$H$1</f>
        <v>0.13690592607079993</v>
      </c>
      <c r="D748">
        <f>D747+C748</f>
        <v>46.508898885194817</v>
      </c>
      <c r="E748">
        <f>ROUNDDOWN(D748,2)</f>
        <v>46.5</v>
      </c>
    </row>
    <row r="749" spans="1:5" x14ac:dyDescent="0.35">
      <c r="A749" s="15">
        <v>190.2</v>
      </c>
      <c r="B749" s="14">
        <v>6</v>
      </c>
      <c r="C749">
        <f>(B749*100)/$H$1</f>
        <v>0.11734793663211422</v>
      </c>
      <c r="D749">
        <f>D748+C749</f>
        <v>46.626246821826932</v>
      </c>
      <c r="E749">
        <f>ROUNDDOWN(D749,2)</f>
        <v>46.62</v>
      </c>
    </row>
    <row r="750" spans="1:5" x14ac:dyDescent="0.35">
      <c r="A750" s="15">
        <v>190.1</v>
      </c>
      <c r="B750" s="14">
        <v>6</v>
      </c>
      <c r="C750">
        <f>(B750*100)/$H$1</f>
        <v>0.11734793663211422</v>
      </c>
      <c r="D750">
        <f>D749+C750</f>
        <v>46.743594758459047</v>
      </c>
      <c r="E750">
        <f>ROUNDDOWN(D750,2)</f>
        <v>46.74</v>
      </c>
    </row>
    <row r="751" spans="1:5" x14ac:dyDescent="0.35">
      <c r="A751" s="15">
        <v>190</v>
      </c>
      <c r="B751" s="14">
        <v>2</v>
      </c>
      <c r="C751">
        <f>(B751*100)/$H$1</f>
        <v>3.9115978877371407E-2</v>
      </c>
      <c r="D751">
        <f>D750+C751</f>
        <v>46.782710737336416</v>
      </c>
      <c r="E751">
        <f>ROUNDDOWN(D751,2)</f>
        <v>46.78</v>
      </c>
    </row>
    <row r="752" spans="1:5" x14ac:dyDescent="0.35">
      <c r="A752" s="15">
        <v>189.9</v>
      </c>
      <c r="B752" s="14">
        <v>1</v>
      </c>
      <c r="C752">
        <f>(B752*100)/$H$1</f>
        <v>1.9557989438685704E-2</v>
      </c>
      <c r="D752">
        <f>D751+C752</f>
        <v>46.802268726775104</v>
      </c>
      <c r="E752">
        <f>ROUNDDOWN(D752,2)</f>
        <v>46.8</v>
      </c>
    </row>
    <row r="753" spans="1:5" x14ac:dyDescent="0.35">
      <c r="A753" s="15">
        <v>189.8</v>
      </c>
      <c r="B753" s="14">
        <v>4</v>
      </c>
      <c r="C753">
        <f>(B753*100)/$H$1</f>
        <v>7.8231957754742815E-2</v>
      </c>
      <c r="D753">
        <f>D752+C753</f>
        <v>46.880500684529849</v>
      </c>
      <c r="E753">
        <f>ROUNDDOWN(D753,2)</f>
        <v>46.88</v>
      </c>
    </row>
    <row r="754" spans="1:5" x14ac:dyDescent="0.35">
      <c r="A754" s="15">
        <v>189.7</v>
      </c>
      <c r="B754" s="14">
        <v>2</v>
      </c>
      <c r="C754">
        <f>(B754*100)/$H$1</f>
        <v>3.9115978877371407E-2</v>
      </c>
      <c r="D754">
        <f>D753+C754</f>
        <v>46.919616663407218</v>
      </c>
      <c r="E754">
        <f>ROUNDDOWN(D754,2)</f>
        <v>46.91</v>
      </c>
    </row>
    <row r="755" spans="1:5" x14ac:dyDescent="0.35">
      <c r="A755" s="15">
        <v>189.6</v>
      </c>
      <c r="B755" s="14">
        <v>2</v>
      </c>
      <c r="C755">
        <f>(B755*100)/$H$1</f>
        <v>3.9115978877371407E-2</v>
      </c>
      <c r="D755">
        <f>D754+C755</f>
        <v>46.958732642284588</v>
      </c>
      <c r="E755">
        <f>ROUNDDOWN(D755,2)</f>
        <v>46.95</v>
      </c>
    </row>
    <row r="756" spans="1:5" x14ac:dyDescent="0.35">
      <c r="A756" s="15">
        <v>189.5</v>
      </c>
      <c r="B756" s="14">
        <v>5</v>
      </c>
      <c r="C756">
        <f>(B756*100)/$H$1</f>
        <v>9.7789947193428511E-2</v>
      </c>
      <c r="D756">
        <f>D755+C756</f>
        <v>47.056522589478014</v>
      </c>
      <c r="E756">
        <f>ROUNDDOWN(D756,2)</f>
        <v>47.05</v>
      </c>
    </row>
    <row r="757" spans="1:5" x14ac:dyDescent="0.35">
      <c r="A757" s="15">
        <v>189.4</v>
      </c>
      <c r="B757" s="14">
        <v>1</v>
      </c>
      <c r="C757">
        <f>(B757*100)/$H$1</f>
        <v>1.9557989438685704E-2</v>
      </c>
      <c r="D757">
        <f>D756+C757</f>
        <v>47.076080578916702</v>
      </c>
      <c r="E757">
        <f>ROUNDDOWN(D757,2)</f>
        <v>47.07</v>
      </c>
    </row>
    <row r="758" spans="1:5" x14ac:dyDescent="0.35">
      <c r="A758" s="15">
        <v>189.3</v>
      </c>
      <c r="B758" s="14">
        <v>5</v>
      </c>
      <c r="C758">
        <f>(B758*100)/$H$1</f>
        <v>9.7789947193428511E-2</v>
      </c>
      <c r="D758">
        <f>D757+C758</f>
        <v>47.173870526110129</v>
      </c>
      <c r="E758">
        <f>ROUNDDOWN(D758,2)</f>
        <v>47.17</v>
      </c>
    </row>
    <row r="759" spans="1:5" x14ac:dyDescent="0.35">
      <c r="A759" s="15">
        <v>189.2</v>
      </c>
      <c r="B759" s="14">
        <v>1</v>
      </c>
      <c r="C759">
        <f>(B759*100)/$H$1</f>
        <v>1.9557989438685704E-2</v>
      </c>
      <c r="D759">
        <f>D758+C759</f>
        <v>47.193428515548817</v>
      </c>
      <c r="E759">
        <f>ROUNDDOWN(D759,2)</f>
        <v>47.19</v>
      </c>
    </row>
    <row r="760" spans="1:5" x14ac:dyDescent="0.35">
      <c r="A760" s="15">
        <v>189.1</v>
      </c>
      <c r="B760" s="14">
        <v>6</v>
      </c>
      <c r="C760">
        <f>(B760*100)/$H$1</f>
        <v>0.11734793663211422</v>
      </c>
      <c r="D760">
        <f>D759+C760</f>
        <v>47.310776452180932</v>
      </c>
      <c r="E760">
        <f>ROUNDDOWN(D760,2)</f>
        <v>47.31</v>
      </c>
    </row>
    <row r="761" spans="1:5" x14ac:dyDescent="0.35">
      <c r="A761" s="15">
        <v>189</v>
      </c>
      <c r="B761" s="14">
        <v>2</v>
      </c>
      <c r="C761">
        <f>(B761*100)/$H$1</f>
        <v>3.9115978877371407E-2</v>
      </c>
      <c r="D761">
        <f>D760+C761</f>
        <v>47.349892431058301</v>
      </c>
      <c r="E761">
        <f>ROUNDDOWN(D761,2)</f>
        <v>47.34</v>
      </c>
    </row>
    <row r="762" spans="1:5" x14ac:dyDescent="0.35">
      <c r="A762" s="15">
        <v>188.9</v>
      </c>
      <c r="B762" s="14">
        <v>1</v>
      </c>
      <c r="C762">
        <f>(B762*100)/$H$1</f>
        <v>1.9557989438685704E-2</v>
      </c>
      <c r="D762">
        <f>D761+C762</f>
        <v>47.369450420496989</v>
      </c>
      <c r="E762">
        <f>ROUNDDOWN(D762,2)</f>
        <v>47.36</v>
      </c>
    </row>
    <row r="763" spans="1:5" x14ac:dyDescent="0.35">
      <c r="A763" s="15">
        <v>188.8</v>
      </c>
      <c r="B763" s="14">
        <v>4</v>
      </c>
      <c r="C763">
        <f>(B763*100)/$H$1</f>
        <v>7.8231957754742815E-2</v>
      </c>
      <c r="D763">
        <f>D762+C763</f>
        <v>47.447682378251734</v>
      </c>
      <c r="E763">
        <f>ROUNDDOWN(D763,2)</f>
        <v>47.44</v>
      </c>
    </row>
    <row r="764" spans="1:5" x14ac:dyDescent="0.35">
      <c r="A764" s="15">
        <v>188.7</v>
      </c>
      <c r="B764" s="14">
        <v>6</v>
      </c>
      <c r="C764">
        <f>(B764*100)/$H$1</f>
        <v>0.11734793663211422</v>
      </c>
      <c r="D764">
        <f>D763+C764</f>
        <v>47.565030314883849</v>
      </c>
      <c r="E764">
        <f>ROUNDDOWN(D764,2)</f>
        <v>47.56</v>
      </c>
    </row>
    <row r="765" spans="1:5" x14ac:dyDescent="0.35">
      <c r="A765" s="15">
        <v>188.6</v>
      </c>
      <c r="B765" s="14">
        <v>1</v>
      </c>
      <c r="C765">
        <f>(B765*100)/$H$1</f>
        <v>1.9557989438685704E-2</v>
      </c>
      <c r="D765">
        <f>D764+C765</f>
        <v>47.584588304322537</v>
      </c>
      <c r="E765">
        <f>ROUNDDOWN(D765,2)</f>
        <v>47.58</v>
      </c>
    </row>
    <row r="766" spans="1:5" x14ac:dyDescent="0.35">
      <c r="A766" s="15">
        <v>188.5</v>
      </c>
      <c r="B766" s="14">
        <v>3</v>
      </c>
      <c r="C766">
        <f>(B766*100)/$H$1</f>
        <v>5.8673968316057111E-2</v>
      </c>
      <c r="D766">
        <f>D765+C766</f>
        <v>47.643262272638594</v>
      </c>
      <c r="E766">
        <f>ROUNDDOWN(D766,2)</f>
        <v>47.64</v>
      </c>
    </row>
    <row r="767" spans="1:5" x14ac:dyDescent="0.35">
      <c r="A767" s="15">
        <v>188.4</v>
      </c>
      <c r="B767" s="14">
        <v>3</v>
      </c>
      <c r="C767">
        <f>(B767*100)/$H$1</f>
        <v>5.8673968316057111E-2</v>
      </c>
      <c r="D767">
        <f>D766+C767</f>
        <v>47.701936240954652</v>
      </c>
      <c r="E767">
        <f>ROUNDDOWN(D767,2)</f>
        <v>47.7</v>
      </c>
    </row>
    <row r="768" spans="1:5" x14ac:dyDescent="0.35">
      <c r="A768" s="15">
        <v>188.3</v>
      </c>
      <c r="B768" s="14">
        <v>5</v>
      </c>
      <c r="C768">
        <f>(B768*100)/$H$1</f>
        <v>9.7789947193428511E-2</v>
      </c>
      <c r="D768">
        <f>D767+C768</f>
        <v>47.799726188148078</v>
      </c>
      <c r="E768">
        <f>ROUNDDOWN(D768,2)</f>
        <v>47.79</v>
      </c>
    </row>
    <row r="769" spans="1:5" x14ac:dyDescent="0.35">
      <c r="A769" s="15">
        <v>188.2</v>
      </c>
      <c r="B769" s="14">
        <v>5</v>
      </c>
      <c r="C769">
        <f>(B769*100)/$H$1</f>
        <v>9.7789947193428511E-2</v>
      </c>
      <c r="D769">
        <f>D768+C769</f>
        <v>47.897516135341505</v>
      </c>
      <c r="E769">
        <f>ROUNDDOWN(D769,2)</f>
        <v>47.89</v>
      </c>
    </row>
    <row r="770" spans="1:5" x14ac:dyDescent="0.35">
      <c r="A770" s="15">
        <v>188.1</v>
      </c>
      <c r="B770" s="14">
        <v>3</v>
      </c>
      <c r="C770">
        <f>(B770*100)/$H$1</f>
        <v>5.8673968316057111E-2</v>
      </c>
      <c r="D770">
        <f>D769+C770</f>
        <v>47.956190103657562</v>
      </c>
      <c r="E770">
        <f>ROUNDDOWN(D770,2)</f>
        <v>47.95</v>
      </c>
    </row>
    <row r="771" spans="1:5" x14ac:dyDescent="0.35">
      <c r="A771" s="15">
        <v>188</v>
      </c>
      <c r="B771" s="14">
        <v>2</v>
      </c>
      <c r="C771">
        <f>(B771*100)/$H$1</f>
        <v>3.9115978877371407E-2</v>
      </c>
      <c r="D771">
        <f>D770+C771</f>
        <v>47.995306082534931</v>
      </c>
      <c r="E771">
        <f>ROUNDDOWN(D771,2)</f>
        <v>47.99</v>
      </c>
    </row>
    <row r="772" spans="1:5" x14ac:dyDescent="0.35">
      <c r="A772" s="15">
        <v>187.9</v>
      </c>
      <c r="B772" s="14">
        <v>1</v>
      </c>
      <c r="C772">
        <f>(B772*100)/$H$1</f>
        <v>1.9557989438685704E-2</v>
      </c>
      <c r="D772">
        <f>D771+C772</f>
        <v>48.014864071973619</v>
      </c>
      <c r="E772">
        <f>ROUNDDOWN(D772,2)</f>
        <v>48.01</v>
      </c>
    </row>
    <row r="773" spans="1:5" x14ac:dyDescent="0.35">
      <c r="A773" s="15">
        <v>187.8</v>
      </c>
      <c r="B773" s="14">
        <v>2</v>
      </c>
      <c r="C773">
        <f>(B773*100)/$H$1</f>
        <v>3.9115978877371407E-2</v>
      </c>
      <c r="D773">
        <f>D772+C773</f>
        <v>48.053980050850988</v>
      </c>
      <c r="E773">
        <f>ROUNDDOWN(D773,2)</f>
        <v>48.05</v>
      </c>
    </row>
    <row r="774" spans="1:5" x14ac:dyDescent="0.35">
      <c r="A774" s="15">
        <v>187.7</v>
      </c>
      <c r="B774" s="14">
        <v>4</v>
      </c>
      <c r="C774">
        <f>(B774*100)/$H$1</f>
        <v>7.8231957754742815E-2</v>
      </c>
      <c r="D774">
        <f>D773+C774</f>
        <v>48.132212008605734</v>
      </c>
      <c r="E774">
        <f>ROUNDDOWN(D774,2)</f>
        <v>48.13</v>
      </c>
    </row>
    <row r="775" spans="1:5" x14ac:dyDescent="0.35">
      <c r="A775" s="15">
        <v>187.6</v>
      </c>
      <c r="B775" s="14">
        <v>4</v>
      </c>
      <c r="C775">
        <f>(B775*100)/$H$1</f>
        <v>7.8231957754742815E-2</v>
      </c>
      <c r="D775">
        <f>D774+C775</f>
        <v>48.210443966360479</v>
      </c>
      <c r="E775">
        <f>ROUNDDOWN(D775,2)</f>
        <v>48.21</v>
      </c>
    </row>
    <row r="776" spans="1:5" x14ac:dyDescent="0.35">
      <c r="A776" s="15">
        <v>187.5</v>
      </c>
      <c r="B776" s="14">
        <v>6</v>
      </c>
      <c r="C776">
        <f>(B776*100)/$H$1</f>
        <v>0.11734793663211422</v>
      </c>
      <c r="D776">
        <f>D775+C776</f>
        <v>48.327791902992594</v>
      </c>
      <c r="E776">
        <f>ROUNDDOWN(D776,2)</f>
        <v>48.32</v>
      </c>
    </row>
    <row r="777" spans="1:5" x14ac:dyDescent="0.35">
      <c r="A777" s="15">
        <v>187.4</v>
      </c>
      <c r="B777" s="14">
        <v>1</v>
      </c>
      <c r="C777">
        <f>(B777*100)/$H$1</f>
        <v>1.9557989438685704E-2</v>
      </c>
      <c r="D777">
        <f>D776+C777</f>
        <v>48.347349892431282</v>
      </c>
      <c r="E777">
        <f>ROUNDDOWN(D777,2)</f>
        <v>48.34</v>
      </c>
    </row>
    <row r="778" spans="1:5" x14ac:dyDescent="0.35">
      <c r="A778" s="15">
        <v>187.3</v>
      </c>
      <c r="B778" s="14">
        <v>3</v>
      </c>
      <c r="C778">
        <f>(B778*100)/$H$1</f>
        <v>5.8673968316057111E-2</v>
      </c>
      <c r="D778">
        <f>D777+C778</f>
        <v>48.406023860747339</v>
      </c>
      <c r="E778">
        <f>ROUNDDOWN(D778,2)</f>
        <v>48.4</v>
      </c>
    </row>
    <row r="779" spans="1:5" x14ac:dyDescent="0.35">
      <c r="A779" s="15">
        <v>187.2</v>
      </c>
      <c r="B779" s="14">
        <v>2</v>
      </c>
      <c r="C779">
        <f>(B779*100)/$H$1</f>
        <v>3.9115978877371407E-2</v>
      </c>
      <c r="D779">
        <f>D778+C779</f>
        <v>48.445139839624709</v>
      </c>
      <c r="E779">
        <f>ROUNDDOWN(D779,2)</f>
        <v>48.44</v>
      </c>
    </row>
    <row r="780" spans="1:5" x14ac:dyDescent="0.35">
      <c r="A780" s="15">
        <v>187.1</v>
      </c>
      <c r="B780" s="14">
        <v>1</v>
      </c>
      <c r="C780">
        <f>(B780*100)/$H$1</f>
        <v>1.9557989438685704E-2</v>
      </c>
      <c r="D780">
        <f>D779+C780</f>
        <v>48.464697829063397</v>
      </c>
      <c r="E780">
        <f>ROUNDDOWN(D780,2)</f>
        <v>48.46</v>
      </c>
    </row>
    <row r="781" spans="1:5" x14ac:dyDescent="0.35">
      <c r="A781" s="15">
        <v>187</v>
      </c>
      <c r="B781" s="14">
        <v>4</v>
      </c>
      <c r="C781">
        <f>(B781*100)/$H$1</f>
        <v>7.8231957754742815E-2</v>
      </c>
      <c r="D781">
        <f>D780+C781</f>
        <v>48.542929786818142</v>
      </c>
      <c r="E781">
        <f>ROUNDDOWN(D781,2)</f>
        <v>48.54</v>
      </c>
    </row>
    <row r="782" spans="1:5" x14ac:dyDescent="0.35">
      <c r="A782" s="15">
        <v>186.9</v>
      </c>
      <c r="B782" s="14">
        <v>1</v>
      </c>
      <c r="C782">
        <f>(B782*100)/$H$1</f>
        <v>1.9557989438685704E-2</v>
      </c>
      <c r="D782">
        <f>D781+C782</f>
        <v>48.56248777625683</v>
      </c>
      <c r="E782">
        <f>ROUNDDOWN(D782,2)</f>
        <v>48.56</v>
      </c>
    </row>
    <row r="783" spans="1:5" x14ac:dyDescent="0.35">
      <c r="A783" s="15">
        <v>186.8</v>
      </c>
      <c r="B783" s="14">
        <v>1</v>
      </c>
      <c r="C783">
        <f>(B783*100)/$H$1</f>
        <v>1.9557989438685704E-2</v>
      </c>
      <c r="D783">
        <f>D782+C783</f>
        <v>48.582045765695518</v>
      </c>
      <c r="E783">
        <f>ROUNDDOWN(D783,2)</f>
        <v>48.58</v>
      </c>
    </row>
    <row r="784" spans="1:5" x14ac:dyDescent="0.35">
      <c r="A784" s="15">
        <v>186.7</v>
      </c>
      <c r="B784" s="14">
        <v>5</v>
      </c>
      <c r="C784">
        <f>(B784*100)/$H$1</f>
        <v>9.7789947193428511E-2</v>
      </c>
      <c r="D784">
        <f>D783+C784</f>
        <v>48.679835712888945</v>
      </c>
      <c r="E784">
        <f>ROUNDDOWN(D784,2)</f>
        <v>48.67</v>
      </c>
    </row>
    <row r="785" spans="1:5" x14ac:dyDescent="0.35">
      <c r="A785" s="15">
        <v>186.6</v>
      </c>
      <c r="B785" s="14">
        <v>2</v>
      </c>
      <c r="C785">
        <f>(B785*100)/$H$1</f>
        <v>3.9115978877371407E-2</v>
      </c>
      <c r="D785">
        <f>D784+C785</f>
        <v>48.718951691766314</v>
      </c>
      <c r="E785">
        <f>ROUNDDOWN(D785,2)</f>
        <v>48.71</v>
      </c>
    </row>
    <row r="786" spans="1:5" x14ac:dyDescent="0.35">
      <c r="A786" s="15">
        <v>186.5</v>
      </c>
      <c r="B786" s="14">
        <v>3</v>
      </c>
      <c r="C786">
        <f>(B786*100)/$H$1</f>
        <v>5.8673968316057111E-2</v>
      </c>
      <c r="D786">
        <f>D785+C786</f>
        <v>48.777625660082371</v>
      </c>
      <c r="E786">
        <f>ROUNDDOWN(D786,2)</f>
        <v>48.77</v>
      </c>
    </row>
    <row r="787" spans="1:5" x14ac:dyDescent="0.35">
      <c r="A787" s="15">
        <v>186.4</v>
      </c>
      <c r="B787" s="14">
        <v>4</v>
      </c>
      <c r="C787">
        <f>(B787*100)/$H$1</f>
        <v>7.8231957754742815E-2</v>
      </c>
      <c r="D787">
        <f>D786+C787</f>
        <v>48.855857617837117</v>
      </c>
      <c r="E787">
        <f>ROUNDDOWN(D787,2)</f>
        <v>48.85</v>
      </c>
    </row>
    <row r="788" spans="1:5" x14ac:dyDescent="0.35">
      <c r="A788" s="15">
        <v>186.3</v>
      </c>
      <c r="B788" s="14">
        <v>5</v>
      </c>
      <c r="C788">
        <f>(B788*100)/$H$1</f>
        <v>9.7789947193428511E-2</v>
      </c>
      <c r="D788">
        <f>D787+C788</f>
        <v>48.953647565030543</v>
      </c>
      <c r="E788">
        <f>ROUNDDOWN(D788,2)</f>
        <v>48.95</v>
      </c>
    </row>
    <row r="789" spans="1:5" x14ac:dyDescent="0.35">
      <c r="A789" s="15">
        <v>186.2</v>
      </c>
      <c r="B789" s="14">
        <v>1</v>
      </c>
      <c r="C789">
        <f>(B789*100)/$H$1</f>
        <v>1.9557989438685704E-2</v>
      </c>
      <c r="D789">
        <f>D788+C789</f>
        <v>48.973205554469232</v>
      </c>
      <c r="E789">
        <f>ROUNDDOWN(D789,2)</f>
        <v>48.97</v>
      </c>
    </row>
    <row r="790" spans="1:5" x14ac:dyDescent="0.35">
      <c r="A790" s="15">
        <v>186.1</v>
      </c>
      <c r="B790" s="14">
        <v>4</v>
      </c>
      <c r="C790">
        <f>(B790*100)/$H$1</f>
        <v>7.8231957754742815E-2</v>
      </c>
      <c r="D790">
        <f>D789+C790</f>
        <v>49.051437512223977</v>
      </c>
      <c r="E790">
        <f>ROUNDDOWN(D790,2)</f>
        <v>49.05</v>
      </c>
    </row>
    <row r="791" spans="1:5" x14ac:dyDescent="0.35">
      <c r="A791" s="15">
        <v>186</v>
      </c>
      <c r="B791" s="14">
        <v>3</v>
      </c>
      <c r="C791">
        <f>(B791*100)/$H$1</f>
        <v>5.8673968316057111E-2</v>
      </c>
      <c r="D791">
        <f>D790+C791</f>
        <v>49.110111480540034</v>
      </c>
      <c r="E791">
        <f>ROUNDDOWN(D791,2)</f>
        <v>49.11</v>
      </c>
    </row>
    <row r="792" spans="1:5" x14ac:dyDescent="0.35">
      <c r="A792" s="15">
        <v>185.9</v>
      </c>
      <c r="B792" s="14">
        <v>5</v>
      </c>
      <c r="C792">
        <f>(B792*100)/$H$1</f>
        <v>9.7789947193428511E-2</v>
      </c>
      <c r="D792">
        <f>D791+C792</f>
        <v>49.207901427733461</v>
      </c>
      <c r="E792">
        <f>ROUNDDOWN(D792,2)</f>
        <v>49.2</v>
      </c>
    </row>
    <row r="793" spans="1:5" x14ac:dyDescent="0.35">
      <c r="A793" s="15">
        <v>185.8</v>
      </c>
      <c r="B793" s="14">
        <v>1</v>
      </c>
      <c r="C793">
        <f>(B793*100)/$H$1</f>
        <v>1.9557989438685704E-2</v>
      </c>
      <c r="D793">
        <f>D792+C793</f>
        <v>49.227459417172149</v>
      </c>
      <c r="E793">
        <f>ROUNDDOWN(D793,2)</f>
        <v>49.22</v>
      </c>
    </row>
    <row r="794" spans="1:5" x14ac:dyDescent="0.35">
      <c r="A794" s="15">
        <v>185.7</v>
      </c>
      <c r="B794" s="14">
        <v>4</v>
      </c>
      <c r="C794">
        <f>(B794*100)/$H$1</f>
        <v>7.8231957754742815E-2</v>
      </c>
      <c r="D794">
        <f>D793+C794</f>
        <v>49.305691374926894</v>
      </c>
      <c r="E794">
        <f>ROUNDDOWN(D794,2)</f>
        <v>49.3</v>
      </c>
    </row>
    <row r="795" spans="1:5" x14ac:dyDescent="0.35">
      <c r="A795" s="15">
        <v>185.6</v>
      </c>
      <c r="B795" s="14">
        <v>4</v>
      </c>
      <c r="C795">
        <f>(B795*100)/$H$1</f>
        <v>7.8231957754742815E-2</v>
      </c>
      <c r="D795">
        <f>D794+C795</f>
        <v>49.38392333268164</v>
      </c>
      <c r="E795">
        <f>ROUNDDOWN(D795,2)</f>
        <v>49.38</v>
      </c>
    </row>
    <row r="796" spans="1:5" x14ac:dyDescent="0.35">
      <c r="A796" s="15">
        <v>185.5</v>
      </c>
      <c r="B796" s="14">
        <v>5</v>
      </c>
      <c r="C796">
        <f>(B796*100)/$H$1</f>
        <v>9.7789947193428511E-2</v>
      </c>
      <c r="D796">
        <f>D795+C796</f>
        <v>49.481713279875066</v>
      </c>
      <c r="E796">
        <f>ROUNDDOWN(D796,2)</f>
        <v>49.48</v>
      </c>
    </row>
    <row r="797" spans="1:5" x14ac:dyDescent="0.35">
      <c r="A797" s="15">
        <v>185.4</v>
      </c>
      <c r="B797" s="14">
        <v>3</v>
      </c>
      <c r="C797">
        <f>(B797*100)/$H$1</f>
        <v>5.8673968316057111E-2</v>
      </c>
      <c r="D797">
        <f>D796+C797</f>
        <v>49.540387248191124</v>
      </c>
      <c r="E797">
        <f>ROUNDDOWN(D797,2)</f>
        <v>49.54</v>
      </c>
    </row>
    <row r="798" spans="1:5" x14ac:dyDescent="0.35">
      <c r="A798" s="15">
        <v>185.3</v>
      </c>
      <c r="B798" s="14">
        <v>2</v>
      </c>
      <c r="C798">
        <f>(B798*100)/$H$1</f>
        <v>3.9115978877371407E-2</v>
      </c>
      <c r="D798">
        <f>D797+C798</f>
        <v>49.579503227068493</v>
      </c>
      <c r="E798">
        <f>ROUNDDOWN(D798,2)</f>
        <v>49.57</v>
      </c>
    </row>
    <row r="799" spans="1:5" x14ac:dyDescent="0.35">
      <c r="A799" s="15">
        <v>185.2</v>
      </c>
      <c r="B799" s="14">
        <v>4</v>
      </c>
      <c r="C799">
        <f>(B799*100)/$H$1</f>
        <v>7.8231957754742815E-2</v>
      </c>
      <c r="D799">
        <f>D798+C799</f>
        <v>49.657735184823238</v>
      </c>
      <c r="E799">
        <f>ROUNDDOWN(D799,2)</f>
        <v>49.65</v>
      </c>
    </row>
    <row r="800" spans="1:5" x14ac:dyDescent="0.35">
      <c r="A800" s="15">
        <v>185.1</v>
      </c>
      <c r="B800" s="14">
        <v>4</v>
      </c>
      <c r="C800">
        <f>(B800*100)/$H$1</f>
        <v>7.8231957754742815E-2</v>
      </c>
      <c r="D800">
        <f>D799+C800</f>
        <v>49.735967142577984</v>
      </c>
      <c r="E800">
        <f>ROUNDDOWN(D800,2)</f>
        <v>49.73</v>
      </c>
    </row>
    <row r="801" spans="1:5" x14ac:dyDescent="0.35">
      <c r="A801" s="15">
        <v>185</v>
      </c>
      <c r="B801" s="14">
        <v>2</v>
      </c>
      <c r="C801">
        <f>(B801*100)/$H$1</f>
        <v>3.9115978877371407E-2</v>
      </c>
      <c r="D801">
        <f>D800+C801</f>
        <v>49.775083121455353</v>
      </c>
      <c r="E801">
        <f>ROUNDDOWN(D801,2)</f>
        <v>49.77</v>
      </c>
    </row>
    <row r="802" spans="1:5" x14ac:dyDescent="0.35">
      <c r="A802" s="15">
        <v>184.9</v>
      </c>
      <c r="B802" s="14">
        <v>3</v>
      </c>
      <c r="C802">
        <f>(B802*100)/$H$1</f>
        <v>5.8673968316057111E-2</v>
      </c>
      <c r="D802">
        <f>D801+C802</f>
        <v>49.83375708977141</v>
      </c>
      <c r="E802">
        <f>ROUNDDOWN(D802,2)</f>
        <v>49.83</v>
      </c>
    </row>
    <row r="803" spans="1:5" x14ac:dyDescent="0.35">
      <c r="A803" s="15">
        <v>184.8</v>
      </c>
      <c r="B803" s="14">
        <v>3</v>
      </c>
      <c r="C803">
        <f>(B803*100)/$H$1</f>
        <v>5.8673968316057111E-2</v>
      </c>
      <c r="D803">
        <f>D802+C803</f>
        <v>49.892431058087467</v>
      </c>
      <c r="E803">
        <f>ROUNDDOWN(D803,2)</f>
        <v>49.89</v>
      </c>
    </row>
    <row r="804" spans="1:5" x14ac:dyDescent="0.35">
      <c r="A804" s="15">
        <v>184.7</v>
      </c>
      <c r="B804" s="14">
        <v>1</v>
      </c>
      <c r="C804">
        <f>(B804*100)/$H$1</f>
        <v>1.9557989438685704E-2</v>
      </c>
      <c r="D804">
        <f>D803+C804</f>
        <v>49.911989047526156</v>
      </c>
      <c r="E804">
        <f>ROUNDDOWN(D804,2)</f>
        <v>49.91</v>
      </c>
    </row>
    <row r="805" spans="1:5" x14ac:dyDescent="0.35">
      <c r="A805" s="15">
        <v>184.6</v>
      </c>
      <c r="B805" s="14">
        <v>3</v>
      </c>
      <c r="C805">
        <f>(B805*100)/$H$1</f>
        <v>5.8673968316057111E-2</v>
      </c>
      <c r="D805">
        <f>D804+C805</f>
        <v>49.970663015842213</v>
      </c>
      <c r="E805">
        <f>ROUNDDOWN(D805,2)</f>
        <v>49.97</v>
      </c>
    </row>
    <row r="806" spans="1:5" x14ac:dyDescent="0.35">
      <c r="A806" s="15">
        <v>184.5</v>
      </c>
      <c r="B806" s="14">
        <v>1</v>
      </c>
      <c r="C806">
        <f>(B806*100)/$H$1</f>
        <v>1.9557989438685704E-2</v>
      </c>
      <c r="D806">
        <f>D805+C806</f>
        <v>49.990221005280901</v>
      </c>
      <c r="E806">
        <f>ROUNDDOWN(D806,2)</f>
        <v>49.99</v>
      </c>
    </row>
    <row r="807" spans="1:5" x14ac:dyDescent="0.35">
      <c r="A807" s="15">
        <v>184.4</v>
      </c>
      <c r="B807" s="14">
        <v>3</v>
      </c>
      <c r="C807">
        <f>(B807*100)/$H$1</f>
        <v>5.8673968316057111E-2</v>
      </c>
      <c r="D807">
        <f>D806+C807</f>
        <v>50.048894973596958</v>
      </c>
      <c r="E807">
        <f>ROUNDDOWN(D807,2)</f>
        <v>50.04</v>
      </c>
    </row>
    <row r="808" spans="1:5" x14ac:dyDescent="0.35">
      <c r="A808" s="15">
        <v>184.3</v>
      </c>
      <c r="B808" s="14">
        <v>1</v>
      </c>
      <c r="C808">
        <f>(B808*100)/$H$1</f>
        <v>1.9557989438685704E-2</v>
      </c>
      <c r="D808">
        <f>D807+C808</f>
        <v>50.068452963035647</v>
      </c>
      <c r="E808">
        <f>ROUNDDOWN(D808,2)</f>
        <v>50.06</v>
      </c>
    </row>
    <row r="809" spans="1:5" x14ac:dyDescent="0.35">
      <c r="A809" s="15">
        <v>184.2</v>
      </c>
      <c r="B809" s="14">
        <v>2</v>
      </c>
      <c r="C809">
        <f>(B809*100)/$H$1</f>
        <v>3.9115978877371407E-2</v>
      </c>
      <c r="D809">
        <f>D808+C809</f>
        <v>50.107568941913016</v>
      </c>
      <c r="E809">
        <f>ROUNDDOWN(D809,2)</f>
        <v>50.1</v>
      </c>
    </row>
    <row r="810" spans="1:5" x14ac:dyDescent="0.35">
      <c r="A810" s="15">
        <v>184.1</v>
      </c>
      <c r="B810" s="14">
        <v>4</v>
      </c>
      <c r="C810">
        <f>(B810*100)/$H$1</f>
        <v>7.8231957754742815E-2</v>
      </c>
      <c r="D810">
        <f>D809+C810</f>
        <v>50.185800899667761</v>
      </c>
      <c r="E810">
        <f>ROUNDDOWN(D810,2)</f>
        <v>50.18</v>
      </c>
    </row>
    <row r="811" spans="1:5" x14ac:dyDescent="0.35">
      <c r="A811" s="15">
        <v>184</v>
      </c>
      <c r="B811" s="14">
        <v>1</v>
      </c>
      <c r="C811">
        <f>(B811*100)/$H$1</f>
        <v>1.9557989438685704E-2</v>
      </c>
      <c r="D811">
        <f>D810+C811</f>
        <v>50.205358889106449</v>
      </c>
      <c r="E811">
        <f>ROUNDDOWN(D811,2)</f>
        <v>50.2</v>
      </c>
    </row>
    <row r="812" spans="1:5" x14ac:dyDescent="0.35">
      <c r="A812" s="15">
        <v>183.9</v>
      </c>
      <c r="B812" s="14">
        <v>1</v>
      </c>
      <c r="C812">
        <f>(B812*100)/$H$1</f>
        <v>1.9557989438685704E-2</v>
      </c>
      <c r="D812">
        <f>D811+C812</f>
        <v>50.224916878545137</v>
      </c>
      <c r="E812">
        <f>ROUNDDOWN(D812,2)</f>
        <v>50.22</v>
      </c>
    </row>
    <row r="813" spans="1:5" x14ac:dyDescent="0.35">
      <c r="A813" s="15">
        <v>183.8</v>
      </c>
      <c r="B813" s="14">
        <v>4</v>
      </c>
      <c r="C813">
        <f>(B813*100)/$H$1</f>
        <v>7.8231957754742815E-2</v>
      </c>
      <c r="D813">
        <f>D812+C813</f>
        <v>50.303148836299883</v>
      </c>
      <c r="E813">
        <f>ROUNDDOWN(D813,2)</f>
        <v>50.3</v>
      </c>
    </row>
    <row r="814" spans="1:5" x14ac:dyDescent="0.35">
      <c r="A814" s="15">
        <v>183.7</v>
      </c>
      <c r="B814" s="14">
        <v>3</v>
      </c>
      <c r="C814">
        <f>(B814*100)/$H$1</f>
        <v>5.8673968316057111E-2</v>
      </c>
      <c r="D814">
        <f>D813+C814</f>
        <v>50.36182280461594</v>
      </c>
      <c r="E814">
        <f>ROUNDDOWN(D814,2)</f>
        <v>50.36</v>
      </c>
    </row>
    <row r="815" spans="1:5" x14ac:dyDescent="0.35">
      <c r="A815" s="15">
        <v>183.6</v>
      </c>
      <c r="B815" s="14">
        <v>5</v>
      </c>
      <c r="C815">
        <f>(B815*100)/$H$1</f>
        <v>9.7789947193428511E-2</v>
      </c>
      <c r="D815">
        <f>D814+C815</f>
        <v>50.459612751809367</v>
      </c>
      <c r="E815">
        <f>ROUNDDOWN(D815,2)</f>
        <v>50.45</v>
      </c>
    </row>
    <row r="816" spans="1:5" x14ac:dyDescent="0.35">
      <c r="A816" s="15">
        <v>183.5</v>
      </c>
      <c r="B816" s="14">
        <v>1</v>
      </c>
      <c r="C816">
        <f>(B816*100)/$H$1</f>
        <v>1.9557989438685704E-2</v>
      </c>
      <c r="D816">
        <f>D815+C816</f>
        <v>50.479170741248055</v>
      </c>
      <c r="E816">
        <f>ROUNDDOWN(D816,2)</f>
        <v>50.47</v>
      </c>
    </row>
    <row r="817" spans="1:5" x14ac:dyDescent="0.35">
      <c r="A817" s="15">
        <v>183.4</v>
      </c>
      <c r="B817" s="14">
        <v>3</v>
      </c>
      <c r="C817">
        <f>(B817*100)/$H$1</f>
        <v>5.8673968316057111E-2</v>
      </c>
      <c r="D817">
        <f>D816+C817</f>
        <v>50.537844709564112</v>
      </c>
      <c r="E817">
        <f>ROUNDDOWN(D817,2)</f>
        <v>50.53</v>
      </c>
    </row>
    <row r="818" spans="1:5" x14ac:dyDescent="0.35">
      <c r="A818" s="15">
        <v>183.3</v>
      </c>
      <c r="B818" s="14">
        <v>4</v>
      </c>
      <c r="C818">
        <f>(B818*100)/$H$1</f>
        <v>7.8231957754742815E-2</v>
      </c>
      <c r="D818">
        <f>D817+C818</f>
        <v>50.616076667318858</v>
      </c>
      <c r="E818">
        <f>ROUNDDOWN(D818,2)</f>
        <v>50.61</v>
      </c>
    </row>
    <row r="819" spans="1:5" x14ac:dyDescent="0.35">
      <c r="A819" s="15">
        <v>183.2</v>
      </c>
      <c r="B819" s="14">
        <v>2</v>
      </c>
      <c r="C819">
        <f>(B819*100)/$H$1</f>
        <v>3.9115978877371407E-2</v>
      </c>
      <c r="D819">
        <f>D818+C819</f>
        <v>50.655192646196227</v>
      </c>
      <c r="E819">
        <f>ROUNDDOWN(D819,2)</f>
        <v>50.65</v>
      </c>
    </row>
    <row r="820" spans="1:5" x14ac:dyDescent="0.35">
      <c r="A820" s="15">
        <v>183.1</v>
      </c>
      <c r="B820" s="14">
        <v>4</v>
      </c>
      <c r="C820">
        <f>(B820*100)/$H$1</f>
        <v>7.8231957754742815E-2</v>
      </c>
      <c r="D820">
        <f>D819+C820</f>
        <v>50.733424603950972</v>
      </c>
      <c r="E820">
        <f>ROUNDDOWN(D820,2)</f>
        <v>50.73</v>
      </c>
    </row>
    <row r="821" spans="1:5" x14ac:dyDescent="0.35">
      <c r="A821" s="15">
        <v>183</v>
      </c>
      <c r="B821" s="14">
        <v>1</v>
      </c>
      <c r="C821">
        <f>(B821*100)/$H$1</f>
        <v>1.9557989438685704E-2</v>
      </c>
      <c r="D821">
        <f>D820+C821</f>
        <v>50.75298259338966</v>
      </c>
      <c r="E821">
        <f>ROUNDDOWN(D821,2)</f>
        <v>50.75</v>
      </c>
    </row>
    <row r="822" spans="1:5" x14ac:dyDescent="0.35">
      <c r="A822" s="15">
        <v>182.9</v>
      </c>
      <c r="B822" s="14">
        <v>4</v>
      </c>
      <c r="C822">
        <f>(B822*100)/$H$1</f>
        <v>7.8231957754742815E-2</v>
      </c>
      <c r="D822">
        <f>D821+C822</f>
        <v>50.831214551144406</v>
      </c>
      <c r="E822">
        <f>ROUNDDOWN(D822,2)</f>
        <v>50.83</v>
      </c>
    </row>
    <row r="823" spans="1:5" x14ac:dyDescent="0.35">
      <c r="A823" s="15">
        <v>182.8</v>
      </c>
      <c r="B823" s="14">
        <v>5</v>
      </c>
      <c r="C823">
        <f>(B823*100)/$H$1</f>
        <v>9.7789947193428511E-2</v>
      </c>
      <c r="D823">
        <f>D822+C823</f>
        <v>50.929004498337832</v>
      </c>
      <c r="E823">
        <f>ROUNDDOWN(D823,2)</f>
        <v>50.92</v>
      </c>
    </row>
    <row r="824" spans="1:5" x14ac:dyDescent="0.35">
      <c r="A824" s="15">
        <v>182.7</v>
      </c>
      <c r="B824" s="14">
        <v>2</v>
      </c>
      <c r="C824">
        <f>(B824*100)/$H$1</f>
        <v>3.9115978877371407E-2</v>
      </c>
      <c r="D824">
        <f>D823+C824</f>
        <v>50.968120477215201</v>
      </c>
      <c r="E824">
        <f>ROUNDDOWN(D824,2)</f>
        <v>50.96</v>
      </c>
    </row>
    <row r="825" spans="1:5" x14ac:dyDescent="0.35">
      <c r="A825" s="15">
        <v>182.6</v>
      </c>
      <c r="B825" s="14">
        <v>1</v>
      </c>
      <c r="C825">
        <f>(B825*100)/$H$1</f>
        <v>1.9557989438685704E-2</v>
      </c>
      <c r="D825">
        <f>D824+C825</f>
        <v>50.98767846665389</v>
      </c>
      <c r="E825">
        <f>ROUNDDOWN(D825,2)</f>
        <v>50.98</v>
      </c>
    </row>
    <row r="826" spans="1:5" x14ac:dyDescent="0.35">
      <c r="A826" s="15">
        <v>182.5</v>
      </c>
      <c r="B826" s="14">
        <v>2</v>
      </c>
      <c r="C826">
        <f>(B826*100)/$H$1</f>
        <v>3.9115978877371407E-2</v>
      </c>
      <c r="D826">
        <f>D825+C826</f>
        <v>51.026794445531259</v>
      </c>
      <c r="E826">
        <f>ROUNDDOWN(D826,2)</f>
        <v>51.02</v>
      </c>
    </row>
    <row r="827" spans="1:5" x14ac:dyDescent="0.35">
      <c r="A827" s="15">
        <v>182.4</v>
      </c>
      <c r="B827" s="14">
        <v>6</v>
      </c>
      <c r="C827">
        <f>(B827*100)/$H$1</f>
        <v>0.11734793663211422</v>
      </c>
      <c r="D827">
        <f>D826+C827</f>
        <v>51.144142382163373</v>
      </c>
      <c r="E827">
        <f>ROUNDDOWN(D827,2)</f>
        <v>51.14</v>
      </c>
    </row>
    <row r="828" spans="1:5" x14ac:dyDescent="0.35">
      <c r="A828" s="15">
        <v>182.3</v>
      </c>
      <c r="B828" s="14">
        <v>6</v>
      </c>
      <c r="C828">
        <f>(B828*100)/$H$1</f>
        <v>0.11734793663211422</v>
      </c>
      <c r="D828">
        <f>D827+C828</f>
        <v>51.261490318795488</v>
      </c>
      <c r="E828">
        <f>ROUNDDOWN(D828,2)</f>
        <v>51.26</v>
      </c>
    </row>
    <row r="829" spans="1:5" x14ac:dyDescent="0.35">
      <c r="A829" s="15">
        <v>182.2</v>
      </c>
      <c r="B829" s="14">
        <v>1</v>
      </c>
      <c r="C829">
        <f>(B829*100)/$H$1</f>
        <v>1.9557989438685704E-2</v>
      </c>
      <c r="D829">
        <f>D828+C829</f>
        <v>51.281048308234176</v>
      </c>
      <c r="E829">
        <f>ROUNDDOWN(D829,2)</f>
        <v>51.28</v>
      </c>
    </row>
    <row r="830" spans="1:5" x14ac:dyDescent="0.35">
      <c r="A830" s="15">
        <v>182.1</v>
      </c>
      <c r="B830" s="14">
        <v>7</v>
      </c>
      <c r="C830">
        <f>(B830*100)/$H$1</f>
        <v>0.13690592607079993</v>
      </c>
      <c r="D830">
        <f>D829+C830</f>
        <v>51.417954234304979</v>
      </c>
      <c r="E830">
        <f>ROUNDDOWN(D830,2)</f>
        <v>51.41</v>
      </c>
    </row>
    <row r="831" spans="1:5" x14ac:dyDescent="0.35">
      <c r="A831" s="15">
        <v>182</v>
      </c>
      <c r="B831" s="14">
        <v>1</v>
      </c>
      <c r="C831">
        <f>(B831*100)/$H$1</f>
        <v>1.9557989438685704E-2</v>
      </c>
      <c r="D831">
        <f>D830+C831</f>
        <v>51.437512223743667</v>
      </c>
      <c r="E831">
        <f>ROUNDDOWN(D831,2)</f>
        <v>51.43</v>
      </c>
    </row>
    <row r="832" spans="1:5" x14ac:dyDescent="0.35">
      <c r="A832" s="15">
        <v>181.9</v>
      </c>
      <c r="B832" s="14">
        <v>2</v>
      </c>
      <c r="C832">
        <f>(B832*100)/$H$1</f>
        <v>3.9115978877371407E-2</v>
      </c>
      <c r="D832">
        <f>D831+C832</f>
        <v>51.476628202621036</v>
      </c>
      <c r="E832">
        <f>ROUNDDOWN(D832,2)</f>
        <v>51.47</v>
      </c>
    </row>
    <row r="833" spans="1:5" x14ac:dyDescent="0.35">
      <c r="A833" s="15">
        <v>181.8</v>
      </c>
      <c r="B833" s="14">
        <v>3</v>
      </c>
      <c r="C833">
        <f>(B833*100)/$H$1</f>
        <v>5.8673968316057111E-2</v>
      </c>
      <c r="D833">
        <f>D832+C833</f>
        <v>51.535302170937094</v>
      </c>
      <c r="E833">
        <f>ROUNDDOWN(D833,2)</f>
        <v>51.53</v>
      </c>
    </row>
    <row r="834" spans="1:5" x14ac:dyDescent="0.35">
      <c r="A834" s="15">
        <v>181.7</v>
      </c>
      <c r="B834" s="14">
        <v>2</v>
      </c>
      <c r="C834">
        <f>(B834*100)/$H$1</f>
        <v>3.9115978877371407E-2</v>
      </c>
      <c r="D834">
        <f>D833+C834</f>
        <v>51.574418149814463</v>
      </c>
      <c r="E834">
        <f>ROUNDDOWN(D834,2)</f>
        <v>51.57</v>
      </c>
    </row>
    <row r="835" spans="1:5" x14ac:dyDescent="0.35">
      <c r="A835" s="15">
        <v>181.6</v>
      </c>
      <c r="B835" s="14">
        <v>4</v>
      </c>
      <c r="C835">
        <f>(B835*100)/$H$1</f>
        <v>7.8231957754742815E-2</v>
      </c>
      <c r="D835">
        <f>D834+C835</f>
        <v>51.652650107569208</v>
      </c>
      <c r="E835">
        <f>ROUNDDOWN(D835,2)</f>
        <v>51.65</v>
      </c>
    </row>
    <row r="836" spans="1:5" x14ac:dyDescent="0.35">
      <c r="A836" s="15">
        <v>181.5</v>
      </c>
      <c r="B836" s="14">
        <v>4</v>
      </c>
      <c r="C836">
        <f>(B836*100)/$H$1</f>
        <v>7.8231957754742815E-2</v>
      </c>
      <c r="D836">
        <f>D835+C836</f>
        <v>51.730882065323954</v>
      </c>
      <c r="E836">
        <f>ROUNDDOWN(D836,2)</f>
        <v>51.73</v>
      </c>
    </row>
    <row r="837" spans="1:5" x14ac:dyDescent="0.35">
      <c r="A837" s="15">
        <v>181.4</v>
      </c>
      <c r="B837" s="14">
        <v>5</v>
      </c>
      <c r="C837">
        <f>(B837*100)/$H$1</f>
        <v>9.7789947193428511E-2</v>
      </c>
      <c r="D837">
        <f>D836+C837</f>
        <v>51.82867201251738</v>
      </c>
      <c r="E837">
        <f>ROUNDDOWN(D837,2)</f>
        <v>51.82</v>
      </c>
    </row>
    <row r="838" spans="1:5" x14ac:dyDescent="0.35">
      <c r="A838" s="15">
        <v>181.2</v>
      </c>
      <c r="B838" s="14">
        <v>11</v>
      </c>
      <c r="C838">
        <f>(B838*100)/$H$1</f>
        <v>0.21513788382554275</v>
      </c>
      <c r="D838">
        <f>D837+C838</f>
        <v>52.043809896342921</v>
      </c>
      <c r="E838">
        <f>ROUNDDOWN(D838,2)</f>
        <v>52.04</v>
      </c>
    </row>
    <row r="839" spans="1:5" x14ac:dyDescent="0.35">
      <c r="A839" s="15">
        <v>181.1</v>
      </c>
      <c r="B839" s="14">
        <v>1</v>
      </c>
      <c r="C839">
        <f>(B839*100)/$H$1</f>
        <v>1.9557989438685704E-2</v>
      </c>
      <c r="D839">
        <f>D838+C839</f>
        <v>52.063367885781609</v>
      </c>
      <c r="E839">
        <f>ROUNDDOWN(D839,2)</f>
        <v>52.06</v>
      </c>
    </row>
    <row r="840" spans="1:5" x14ac:dyDescent="0.35">
      <c r="A840" s="15">
        <v>180.9</v>
      </c>
      <c r="B840" s="14">
        <v>6</v>
      </c>
      <c r="C840">
        <f>(B840*100)/$H$1</f>
        <v>0.11734793663211422</v>
      </c>
      <c r="D840">
        <f>D839+C840</f>
        <v>52.180715822413724</v>
      </c>
      <c r="E840">
        <f>ROUNDDOWN(D840,2)</f>
        <v>52.18</v>
      </c>
    </row>
    <row r="841" spans="1:5" x14ac:dyDescent="0.35">
      <c r="A841" s="15">
        <v>180.8</v>
      </c>
      <c r="B841" s="14">
        <v>3</v>
      </c>
      <c r="C841">
        <f>(B841*100)/$H$1</f>
        <v>5.8673968316057111E-2</v>
      </c>
      <c r="D841">
        <f>D840+C841</f>
        <v>52.239389790729781</v>
      </c>
      <c r="E841">
        <f>ROUNDDOWN(D841,2)</f>
        <v>52.23</v>
      </c>
    </row>
    <row r="842" spans="1:5" x14ac:dyDescent="0.35">
      <c r="A842" s="15">
        <v>180.7</v>
      </c>
      <c r="B842" s="14">
        <v>3</v>
      </c>
      <c r="C842">
        <f>(B842*100)/$H$1</f>
        <v>5.8673968316057111E-2</v>
      </c>
      <c r="D842">
        <f>D841+C842</f>
        <v>52.298063759045839</v>
      </c>
      <c r="E842">
        <f>ROUNDDOWN(D842,2)</f>
        <v>52.29</v>
      </c>
    </row>
    <row r="843" spans="1:5" x14ac:dyDescent="0.35">
      <c r="A843" s="15">
        <v>180.6</v>
      </c>
      <c r="B843" s="14">
        <v>1</v>
      </c>
      <c r="C843">
        <f>(B843*100)/$H$1</f>
        <v>1.9557989438685704E-2</v>
      </c>
      <c r="D843">
        <f>D842+C843</f>
        <v>52.317621748484527</v>
      </c>
      <c r="E843">
        <f>ROUNDDOWN(D843,2)</f>
        <v>52.31</v>
      </c>
    </row>
    <row r="844" spans="1:5" x14ac:dyDescent="0.35">
      <c r="A844" s="15">
        <v>180.5</v>
      </c>
      <c r="B844" s="14">
        <v>1</v>
      </c>
      <c r="C844">
        <f>(B844*100)/$H$1</f>
        <v>1.9557989438685704E-2</v>
      </c>
      <c r="D844">
        <f>D843+C844</f>
        <v>52.337179737923215</v>
      </c>
      <c r="E844">
        <f>ROUNDDOWN(D844,2)</f>
        <v>52.33</v>
      </c>
    </row>
    <row r="845" spans="1:5" x14ac:dyDescent="0.35">
      <c r="A845" s="15">
        <v>180.4</v>
      </c>
      <c r="B845" s="14">
        <v>3</v>
      </c>
      <c r="C845">
        <f>(B845*100)/$H$1</f>
        <v>5.8673968316057111E-2</v>
      </c>
      <c r="D845">
        <f>D844+C845</f>
        <v>52.395853706239272</v>
      </c>
      <c r="E845">
        <f>ROUNDDOWN(D845,2)</f>
        <v>52.39</v>
      </c>
    </row>
    <row r="846" spans="1:5" x14ac:dyDescent="0.35">
      <c r="A846" s="15">
        <v>180.3</v>
      </c>
      <c r="B846" s="14">
        <v>3</v>
      </c>
      <c r="C846">
        <f>(B846*100)/$H$1</f>
        <v>5.8673968316057111E-2</v>
      </c>
      <c r="D846">
        <f>D845+C846</f>
        <v>52.454527674555329</v>
      </c>
      <c r="E846">
        <f>ROUNDDOWN(D846,2)</f>
        <v>52.45</v>
      </c>
    </row>
    <row r="847" spans="1:5" x14ac:dyDescent="0.35">
      <c r="A847" s="15">
        <v>180.2</v>
      </c>
      <c r="B847" s="14">
        <v>1</v>
      </c>
      <c r="C847">
        <f>(B847*100)/$H$1</f>
        <v>1.9557989438685704E-2</v>
      </c>
      <c r="D847">
        <f>D846+C847</f>
        <v>52.474085663994018</v>
      </c>
      <c r="E847">
        <f>ROUNDDOWN(D847,2)</f>
        <v>52.47</v>
      </c>
    </row>
    <row r="848" spans="1:5" x14ac:dyDescent="0.35">
      <c r="A848" s="15">
        <v>180.1</v>
      </c>
      <c r="B848" s="14">
        <v>2</v>
      </c>
      <c r="C848">
        <f>(B848*100)/$H$1</f>
        <v>3.9115978877371407E-2</v>
      </c>
      <c r="D848">
        <f>D847+C848</f>
        <v>52.513201642871387</v>
      </c>
      <c r="E848">
        <f>ROUNDDOWN(D848,2)</f>
        <v>52.51</v>
      </c>
    </row>
    <row r="849" spans="1:5" x14ac:dyDescent="0.35">
      <c r="A849" s="15">
        <v>180</v>
      </c>
      <c r="B849" s="14">
        <v>4</v>
      </c>
      <c r="C849">
        <f>(B849*100)/$H$1</f>
        <v>7.8231957754742815E-2</v>
      </c>
      <c r="D849">
        <f>D848+C849</f>
        <v>52.591433600626132</v>
      </c>
      <c r="E849">
        <f>ROUNDDOWN(D849,2)</f>
        <v>52.59</v>
      </c>
    </row>
    <row r="850" spans="1:5" x14ac:dyDescent="0.35">
      <c r="A850" s="15">
        <v>179.9</v>
      </c>
      <c r="B850" s="14">
        <v>6</v>
      </c>
      <c r="C850">
        <f>(B850*100)/$H$1</f>
        <v>0.11734793663211422</v>
      </c>
      <c r="D850">
        <f>D849+C850</f>
        <v>52.708781537258247</v>
      </c>
      <c r="E850">
        <f>ROUNDDOWN(D850,2)</f>
        <v>52.7</v>
      </c>
    </row>
    <row r="851" spans="1:5" x14ac:dyDescent="0.35">
      <c r="A851" s="15">
        <v>179.6</v>
      </c>
      <c r="B851" s="14">
        <v>2</v>
      </c>
      <c r="C851">
        <f>(B851*100)/$H$1</f>
        <v>3.9115978877371407E-2</v>
      </c>
      <c r="D851">
        <f>D850+C851</f>
        <v>52.747897516135616</v>
      </c>
      <c r="E851">
        <f>ROUNDDOWN(D851,2)</f>
        <v>52.74</v>
      </c>
    </row>
    <row r="852" spans="1:5" x14ac:dyDescent="0.35">
      <c r="A852" s="15">
        <v>179.5</v>
      </c>
      <c r="B852" s="14">
        <v>2</v>
      </c>
      <c r="C852">
        <f>(B852*100)/$H$1</f>
        <v>3.9115978877371407E-2</v>
      </c>
      <c r="D852">
        <f>D851+C852</f>
        <v>52.787013495012985</v>
      </c>
      <c r="E852">
        <f>ROUNDDOWN(D852,2)</f>
        <v>52.78</v>
      </c>
    </row>
    <row r="853" spans="1:5" x14ac:dyDescent="0.35">
      <c r="A853" s="15">
        <v>179.4</v>
      </c>
      <c r="B853" s="14">
        <v>3</v>
      </c>
      <c r="C853">
        <f>(B853*100)/$H$1</f>
        <v>5.8673968316057111E-2</v>
      </c>
      <c r="D853">
        <f>D852+C853</f>
        <v>52.845687463329043</v>
      </c>
      <c r="E853">
        <f>ROUNDDOWN(D853,2)</f>
        <v>52.84</v>
      </c>
    </row>
    <row r="854" spans="1:5" x14ac:dyDescent="0.35">
      <c r="A854" s="15">
        <v>179.3</v>
      </c>
      <c r="B854" s="14">
        <v>5</v>
      </c>
      <c r="C854">
        <f>(B854*100)/$H$1</f>
        <v>9.7789947193428511E-2</v>
      </c>
      <c r="D854">
        <f>D853+C854</f>
        <v>52.943477410522469</v>
      </c>
      <c r="E854">
        <f>ROUNDDOWN(D854,2)</f>
        <v>52.94</v>
      </c>
    </row>
    <row r="855" spans="1:5" x14ac:dyDescent="0.35">
      <c r="A855" s="15">
        <v>179.2</v>
      </c>
      <c r="B855" s="14">
        <v>3</v>
      </c>
      <c r="C855">
        <f>(B855*100)/$H$1</f>
        <v>5.8673968316057111E-2</v>
      </c>
      <c r="D855">
        <f>D854+C855</f>
        <v>53.002151378838526</v>
      </c>
      <c r="E855">
        <f>ROUNDDOWN(D855,2)</f>
        <v>53</v>
      </c>
    </row>
    <row r="856" spans="1:5" x14ac:dyDescent="0.35">
      <c r="A856" s="15">
        <v>179.1</v>
      </c>
      <c r="B856" s="14">
        <v>1</v>
      </c>
      <c r="C856">
        <f>(B856*100)/$H$1</f>
        <v>1.9557989438685704E-2</v>
      </c>
      <c r="D856">
        <f>D855+C856</f>
        <v>53.021709368277214</v>
      </c>
      <c r="E856">
        <f>ROUNDDOWN(D856,2)</f>
        <v>53.02</v>
      </c>
    </row>
    <row r="857" spans="1:5" x14ac:dyDescent="0.35">
      <c r="A857" s="15">
        <v>179</v>
      </c>
      <c r="B857" s="14">
        <v>2</v>
      </c>
      <c r="C857">
        <f>(B857*100)/$H$1</f>
        <v>3.9115978877371407E-2</v>
      </c>
      <c r="D857">
        <f>D856+C857</f>
        <v>53.060825347154584</v>
      </c>
      <c r="E857">
        <f>ROUNDDOWN(D857,2)</f>
        <v>53.06</v>
      </c>
    </row>
    <row r="858" spans="1:5" x14ac:dyDescent="0.35">
      <c r="A858" s="15">
        <v>178.9</v>
      </c>
      <c r="B858" s="14">
        <v>5</v>
      </c>
      <c r="C858">
        <f>(B858*100)/$H$1</f>
        <v>9.7789947193428511E-2</v>
      </c>
      <c r="D858">
        <f>D857+C858</f>
        <v>53.15861529434801</v>
      </c>
      <c r="E858">
        <f>ROUNDDOWN(D858,2)</f>
        <v>53.15</v>
      </c>
    </row>
    <row r="859" spans="1:5" x14ac:dyDescent="0.35">
      <c r="A859" s="15">
        <v>178.8</v>
      </c>
      <c r="B859" s="14">
        <v>2</v>
      </c>
      <c r="C859">
        <f>(B859*100)/$H$1</f>
        <v>3.9115978877371407E-2</v>
      </c>
      <c r="D859">
        <f>D858+C859</f>
        <v>53.197731273225379</v>
      </c>
      <c r="E859">
        <f>ROUNDDOWN(D859,2)</f>
        <v>53.19</v>
      </c>
    </row>
    <row r="860" spans="1:5" x14ac:dyDescent="0.35">
      <c r="A860" s="15">
        <v>178.7</v>
      </c>
      <c r="B860" s="14">
        <v>4</v>
      </c>
      <c r="C860">
        <f>(B860*100)/$H$1</f>
        <v>7.8231957754742815E-2</v>
      </c>
      <c r="D860">
        <f>D859+C860</f>
        <v>53.275963230980125</v>
      </c>
      <c r="E860">
        <f>ROUNDDOWN(D860,2)</f>
        <v>53.27</v>
      </c>
    </row>
    <row r="861" spans="1:5" x14ac:dyDescent="0.35">
      <c r="A861" s="15">
        <v>178.6</v>
      </c>
      <c r="B861" s="14">
        <v>3</v>
      </c>
      <c r="C861">
        <f>(B861*100)/$H$1</f>
        <v>5.8673968316057111E-2</v>
      </c>
      <c r="D861">
        <f>D860+C861</f>
        <v>53.334637199296182</v>
      </c>
      <c r="E861">
        <f>ROUNDDOWN(D861,2)</f>
        <v>53.33</v>
      </c>
    </row>
    <row r="862" spans="1:5" x14ac:dyDescent="0.35">
      <c r="A862" s="15">
        <v>178.5</v>
      </c>
      <c r="B862" s="14">
        <v>2</v>
      </c>
      <c r="C862">
        <f>(B862*100)/$H$1</f>
        <v>3.9115978877371407E-2</v>
      </c>
      <c r="D862">
        <f>D861+C862</f>
        <v>53.373753178173551</v>
      </c>
      <c r="E862">
        <f>ROUNDDOWN(D862,2)</f>
        <v>53.37</v>
      </c>
    </row>
    <row r="863" spans="1:5" x14ac:dyDescent="0.35">
      <c r="A863" s="15">
        <v>178.4</v>
      </c>
      <c r="B863" s="14">
        <v>2</v>
      </c>
      <c r="C863">
        <f>(B863*100)/$H$1</f>
        <v>3.9115978877371407E-2</v>
      </c>
      <c r="D863">
        <f>D862+C863</f>
        <v>53.41286915705092</v>
      </c>
      <c r="E863">
        <f>ROUNDDOWN(D863,2)</f>
        <v>53.41</v>
      </c>
    </row>
    <row r="864" spans="1:5" x14ac:dyDescent="0.35">
      <c r="A864" s="15">
        <v>178.3</v>
      </c>
      <c r="B864" s="14">
        <v>3</v>
      </c>
      <c r="C864">
        <f>(B864*100)/$H$1</f>
        <v>5.8673968316057111E-2</v>
      </c>
      <c r="D864">
        <f>D863+C864</f>
        <v>53.471543125366978</v>
      </c>
      <c r="E864">
        <f>ROUNDDOWN(D864,2)</f>
        <v>53.47</v>
      </c>
    </row>
    <row r="865" spans="1:5" x14ac:dyDescent="0.35">
      <c r="A865" s="15">
        <v>178.2</v>
      </c>
      <c r="B865" s="14">
        <v>2</v>
      </c>
      <c r="C865">
        <f>(B865*100)/$H$1</f>
        <v>3.9115978877371407E-2</v>
      </c>
      <c r="D865">
        <f>D864+C865</f>
        <v>53.510659104244347</v>
      </c>
      <c r="E865">
        <f>ROUNDDOWN(D865,2)</f>
        <v>53.51</v>
      </c>
    </row>
    <row r="866" spans="1:5" x14ac:dyDescent="0.35">
      <c r="A866" s="15">
        <v>178.1</v>
      </c>
      <c r="B866" s="14">
        <v>5</v>
      </c>
      <c r="C866">
        <f>(B866*100)/$H$1</f>
        <v>9.7789947193428511E-2</v>
      </c>
      <c r="D866">
        <f>D865+C866</f>
        <v>53.608449051437773</v>
      </c>
      <c r="E866">
        <f>ROUNDDOWN(D866,2)</f>
        <v>53.6</v>
      </c>
    </row>
    <row r="867" spans="1:5" x14ac:dyDescent="0.35">
      <c r="A867" s="15">
        <v>178</v>
      </c>
      <c r="B867" s="14">
        <v>4</v>
      </c>
      <c r="C867">
        <f>(B867*100)/$H$1</f>
        <v>7.8231957754742815E-2</v>
      </c>
      <c r="D867">
        <f>D866+C867</f>
        <v>53.686681009192519</v>
      </c>
      <c r="E867">
        <f>ROUNDDOWN(D867,2)</f>
        <v>53.68</v>
      </c>
    </row>
    <row r="868" spans="1:5" x14ac:dyDescent="0.35">
      <c r="A868" s="15">
        <v>177.9</v>
      </c>
      <c r="B868" s="14">
        <v>3</v>
      </c>
      <c r="C868">
        <f>(B868*100)/$H$1</f>
        <v>5.8673968316057111E-2</v>
      </c>
      <c r="D868">
        <f>D867+C868</f>
        <v>53.745354977508576</v>
      </c>
      <c r="E868">
        <f>ROUNDDOWN(D868,2)</f>
        <v>53.74</v>
      </c>
    </row>
    <row r="869" spans="1:5" x14ac:dyDescent="0.35">
      <c r="A869" s="15">
        <v>177.8</v>
      </c>
      <c r="B869" s="14">
        <v>4</v>
      </c>
      <c r="C869">
        <f>(B869*100)/$H$1</f>
        <v>7.8231957754742815E-2</v>
      </c>
      <c r="D869">
        <f>D868+C869</f>
        <v>53.823586935263322</v>
      </c>
      <c r="E869">
        <f>ROUNDDOWN(D869,2)</f>
        <v>53.82</v>
      </c>
    </row>
    <row r="870" spans="1:5" x14ac:dyDescent="0.35">
      <c r="A870" s="15">
        <v>177.7</v>
      </c>
      <c r="B870" s="14">
        <v>5</v>
      </c>
      <c r="C870">
        <f>(B870*100)/$H$1</f>
        <v>9.7789947193428511E-2</v>
      </c>
      <c r="D870">
        <f>D869+C870</f>
        <v>53.921376882456748</v>
      </c>
      <c r="E870">
        <f>ROUNDDOWN(D870,2)</f>
        <v>53.92</v>
      </c>
    </row>
    <row r="871" spans="1:5" x14ac:dyDescent="0.35">
      <c r="A871" s="15">
        <v>177.6</v>
      </c>
      <c r="B871" s="14">
        <v>1</v>
      </c>
      <c r="C871">
        <f>(B871*100)/$H$1</f>
        <v>1.9557989438685704E-2</v>
      </c>
      <c r="D871">
        <f>D870+C871</f>
        <v>53.940934871895436</v>
      </c>
      <c r="E871">
        <f>ROUNDDOWN(D871,2)</f>
        <v>53.94</v>
      </c>
    </row>
    <row r="872" spans="1:5" x14ac:dyDescent="0.35">
      <c r="A872" s="15">
        <v>177.5</v>
      </c>
      <c r="B872" s="14">
        <v>3</v>
      </c>
      <c r="C872">
        <f>(B872*100)/$H$1</f>
        <v>5.8673968316057111E-2</v>
      </c>
      <c r="D872">
        <f>D871+C872</f>
        <v>53.999608840211494</v>
      </c>
      <c r="E872">
        <f>ROUNDDOWN(D872,2)</f>
        <v>53.99</v>
      </c>
    </row>
    <row r="873" spans="1:5" x14ac:dyDescent="0.35">
      <c r="A873" s="15">
        <v>177.4</v>
      </c>
      <c r="B873" s="14">
        <v>1</v>
      </c>
      <c r="C873">
        <f>(B873*100)/$H$1</f>
        <v>1.9557989438685704E-2</v>
      </c>
      <c r="D873">
        <f>D872+C873</f>
        <v>54.019166829650182</v>
      </c>
      <c r="E873">
        <f>ROUNDDOWN(D873,2)</f>
        <v>54.01</v>
      </c>
    </row>
    <row r="874" spans="1:5" x14ac:dyDescent="0.35">
      <c r="A874" s="15">
        <v>177.3</v>
      </c>
      <c r="B874" s="14">
        <v>4</v>
      </c>
      <c r="C874">
        <f>(B874*100)/$H$1</f>
        <v>7.8231957754742815E-2</v>
      </c>
      <c r="D874">
        <f>D873+C874</f>
        <v>54.097398787404927</v>
      </c>
      <c r="E874">
        <f>ROUNDDOWN(D874,2)</f>
        <v>54.09</v>
      </c>
    </row>
    <row r="875" spans="1:5" x14ac:dyDescent="0.35">
      <c r="A875" s="15">
        <v>177.2</v>
      </c>
      <c r="B875" s="14">
        <v>2</v>
      </c>
      <c r="C875">
        <f>(B875*100)/$H$1</f>
        <v>3.9115978877371407E-2</v>
      </c>
      <c r="D875">
        <f>D874+C875</f>
        <v>54.136514766282296</v>
      </c>
      <c r="E875">
        <f>ROUNDDOWN(D875,2)</f>
        <v>54.13</v>
      </c>
    </row>
    <row r="876" spans="1:5" x14ac:dyDescent="0.35">
      <c r="A876" s="15">
        <v>177.1</v>
      </c>
      <c r="B876" s="14">
        <v>3</v>
      </c>
      <c r="C876">
        <f>(B876*100)/$H$1</f>
        <v>5.8673968316057111E-2</v>
      </c>
      <c r="D876">
        <f>D875+C876</f>
        <v>54.195188734598354</v>
      </c>
      <c r="E876">
        <f>ROUNDDOWN(D876,2)</f>
        <v>54.19</v>
      </c>
    </row>
    <row r="877" spans="1:5" x14ac:dyDescent="0.35">
      <c r="A877" s="15">
        <v>177</v>
      </c>
      <c r="B877" s="14">
        <v>5</v>
      </c>
      <c r="C877">
        <f>(B877*100)/$H$1</f>
        <v>9.7789947193428511E-2</v>
      </c>
      <c r="D877">
        <f>D876+C877</f>
        <v>54.29297868179178</v>
      </c>
      <c r="E877">
        <f>ROUNDDOWN(D877,2)</f>
        <v>54.29</v>
      </c>
    </row>
    <row r="878" spans="1:5" x14ac:dyDescent="0.35">
      <c r="A878" s="15">
        <v>176.9</v>
      </c>
      <c r="B878" s="14">
        <v>1</v>
      </c>
      <c r="C878">
        <f>(B878*100)/$H$1</f>
        <v>1.9557989438685704E-2</v>
      </c>
      <c r="D878">
        <f>D877+C878</f>
        <v>54.312536671230468</v>
      </c>
      <c r="E878">
        <f>ROUNDDOWN(D878,2)</f>
        <v>54.31</v>
      </c>
    </row>
    <row r="879" spans="1:5" x14ac:dyDescent="0.35">
      <c r="A879" s="15">
        <v>176.8</v>
      </c>
      <c r="B879" s="14">
        <v>2</v>
      </c>
      <c r="C879">
        <f>(B879*100)/$H$1</f>
        <v>3.9115978877371407E-2</v>
      </c>
      <c r="D879">
        <f>D878+C879</f>
        <v>54.351652650107837</v>
      </c>
      <c r="E879">
        <f>ROUNDDOWN(D879,2)</f>
        <v>54.35</v>
      </c>
    </row>
    <row r="880" spans="1:5" x14ac:dyDescent="0.35">
      <c r="A880" s="15">
        <v>176.7</v>
      </c>
      <c r="B880" s="14">
        <v>3</v>
      </c>
      <c r="C880">
        <f>(B880*100)/$H$1</f>
        <v>5.8673968316057111E-2</v>
      </c>
      <c r="D880">
        <f>D879+C880</f>
        <v>54.410326618423895</v>
      </c>
      <c r="E880">
        <f>ROUNDDOWN(D880,2)</f>
        <v>54.41</v>
      </c>
    </row>
    <row r="881" spans="1:5" x14ac:dyDescent="0.35">
      <c r="A881" s="15">
        <v>176.6</v>
      </c>
      <c r="B881" s="14">
        <v>2</v>
      </c>
      <c r="C881">
        <f>(B881*100)/$H$1</f>
        <v>3.9115978877371407E-2</v>
      </c>
      <c r="D881">
        <f>D880+C881</f>
        <v>54.449442597301264</v>
      </c>
      <c r="E881">
        <f>ROUNDDOWN(D881,2)</f>
        <v>54.44</v>
      </c>
    </row>
    <row r="882" spans="1:5" x14ac:dyDescent="0.35">
      <c r="A882" s="15">
        <v>176.5</v>
      </c>
      <c r="B882" s="14">
        <v>3</v>
      </c>
      <c r="C882">
        <f>(B882*100)/$H$1</f>
        <v>5.8673968316057111E-2</v>
      </c>
      <c r="D882">
        <f>D881+C882</f>
        <v>54.508116565617321</v>
      </c>
      <c r="E882">
        <f>ROUNDDOWN(D882,2)</f>
        <v>54.5</v>
      </c>
    </row>
    <row r="883" spans="1:5" x14ac:dyDescent="0.35">
      <c r="A883" s="15">
        <v>176.4</v>
      </c>
      <c r="B883" s="14">
        <v>4</v>
      </c>
      <c r="C883">
        <f>(B883*100)/$H$1</f>
        <v>7.8231957754742815E-2</v>
      </c>
      <c r="D883">
        <f>D882+C883</f>
        <v>54.586348523372067</v>
      </c>
      <c r="E883">
        <f>ROUNDDOWN(D883,2)</f>
        <v>54.58</v>
      </c>
    </row>
    <row r="884" spans="1:5" x14ac:dyDescent="0.35">
      <c r="A884" s="15">
        <v>176.3</v>
      </c>
      <c r="B884" s="14">
        <v>4</v>
      </c>
      <c r="C884">
        <f>(B884*100)/$H$1</f>
        <v>7.8231957754742815E-2</v>
      </c>
      <c r="D884">
        <f>D883+C884</f>
        <v>54.664580481126812</v>
      </c>
      <c r="E884">
        <f>ROUNDDOWN(D884,2)</f>
        <v>54.66</v>
      </c>
    </row>
    <row r="885" spans="1:5" x14ac:dyDescent="0.35">
      <c r="A885" s="15">
        <v>176.2</v>
      </c>
      <c r="B885" s="14">
        <v>3</v>
      </c>
      <c r="C885">
        <f>(B885*100)/$H$1</f>
        <v>5.8673968316057111E-2</v>
      </c>
      <c r="D885">
        <f>D884+C885</f>
        <v>54.723254449442869</v>
      </c>
      <c r="E885">
        <f>ROUNDDOWN(D885,2)</f>
        <v>54.72</v>
      </c>
    </row>
    <row r="886" spans="1:5" x14ac:dyDescent="0.35">
      <c r="A886" s="15">
        <v>176.1</v>
      </c>
      <c r="B886" s="14">
        <v>2</v>
      </c>
      <c r="C886">
        <f>(B886*100)/$H$1</f>
        <v>3.9115978877371407E-2</v>
      </c>
      <c r="D886">
        <f>D885+C886</f>
        <v>54.762370428320239</v>
      </c>
      <c r="E886">
        <f>ROUNDDOWN(D886,2)</f>
        <v>54.76</v>
      </c>
    </row>
    <row r="887" spans="1:5" x14ac:dyDescent="0.35">
      <c r="A887" s="15">
        <v>176</v>
      </c>
      <c r="B887" s="14">
        <v>3</v>
      </c>
      <c r="C887">
        <f>(B887*100)/$H$1</f>
        <v>5.8673968316057111E-2</v>
      </c>
      <c r="D887">
        <f>D886+C887</f>
        <v>54.821044396636296</v>
      </c>
      <c r="E887">
        <f>ROUNDDOWN(D887,2)</f>
        <v>54.82</v>
      </c>
    </row>
    <row r="888" spans="1:5" x14ac:dyDescent="0.35">
      <c r="A888" s="15">
        <v>175.9</v>
      </c>
      <c r="B888" s="14">
        <v>1</v>
      </c>
      <c r="C888">
        <f>(B888*100)/$H$1</f>
        <v>1.9557989438685704E-2</v>
      </c>
      <c r="D888">
        <f>D887+C888</f>
        <v>54.840602386074984</v>
      </c>
      <c r="E888">
        <f>ROUNDDOWN(D888,2)</f>
        <v>54.84</v>
      </c>
    </row>
    <row r="889" spans="1:5" x14ac:dyDescent="0.35">
      <c r="A889" s="15">
        <v>175.8</v>
      </c>
      <c r="B889" s="14">
        <v>1</v>
      </c>
      <c r="C889">
        <f>(B889*100)/$H$1</f>
        <v>1.9557989438685704E-2</v>
      </c>
      <c r="D889">
        <f>D888+C889</f>
        <v>54.860160375513672</v>
      </c>
      <c r="E889">
        <f>ROUNDDOWN(D889,2)</f>
        <v>54.86</v>
      </c>
    </row>
    <row r="890" spans="1:5" x14ac:dyDescent="0.35">
      <c r="A890" s="15">
        <v>175.7</v>
      </c>
      <c r="B890" s="14">
        <v>1</v>
      </c>
      <c r="C890">
        <f>(B890*100)/$H$1</f>
        <v>1.9557989438685704E-2</v>
      </c>
      <c r="D890">
        <f>D889+C890</f>
        <v>54.87971836495236</v>
      </c>
      <c r="E890">
        <f>ROUNDDOWN(D890,2)</f>
        <v>54.87</v>
      </c>
    </row>
    <row r="891" spans="1:5" x14ac:dyDescent="0.35">
      <c r="A891" s="15">
        <v>175.6</v>
      </c>
      <c r="B891" s="14">
        <v>1</v>
      </c>
      <c r="C891">
        <f>(B891*100)/$H$1</f>
        <v>1.9557989438685704E-2</v>
      </c>
      <c r="D891">
        <f>D890+C891</f>
        <v>54.899276354391048</v>
      </c>
      <c r="E891">
        <f>ROUNDDOWN(D891,2)</f>
        <v>54.89</v>
      </c>
    </row>
    <row r="892" spans="1:5" x14ac:dyDescent="0.35">
      <c r="A892" s="15">
        <v>175.5</v>
      </c>
      <c r="B892" s="14">
        <v>3</v>
      </c>
      <c r="C892">
        <f>(B892*100)/$H$1</f>
        <v>5.8673968316057111E-2</v>
      </c>
      <c r="D892">
        <f>D891+C892</f>
        <v>54.957950322707106</v>
      </c>
      <c r="E892">
        <f>ROUNDDOWN(D892,2)</f>
        <v>54.95</v>
      </c>
    </row>
    <row r="893" spans="1:5" x14ac:dyDescent="0.35">
      <c r="A893" s="15">
        <v>175.4</v>
      </c>
      <c r="B893" s="14">
        <v>3</v>
      </c>
      <c r="C893">
        <f>(B893*100)/$H$1</f>
        <v>5.8673968316057111E-2</v>
      </c>
      <c r="D893">
        <f>D892+C893</f>
        <v>55.016624291023163</v>
      </c>
      <c r="E893">
        <f>ROUNDDOWN(D893,2)</f>
        <v>55.01</v>
      </c>
    </row>
    <row r="894" spans="1:5" x14ac:dyDescent="0.35">
      <c r="A894" s="15">
        <v>175.3</v>
      </c>
      <c r="B894" s="14">
        <v>1</v>
      </c>
      <c r="C894">
        <f>(B894*100)/$H$1</f>
        <v>1.9557989438685704E-2</v>
      </c>
      <c r="D894">
        <f>D893+C894</f>
        <v>55.036182280461851</v>
      </c>
      <c r="E894">
        <f>ROUNDDOWN(D894,2)</f>
        <v>55.03</v>
      </c>
    </row>
    <row r="895" spans="1:5" x14ac:dyDescent="0.35">
      <c r="A895" s="15">
        <v>175.2</v>
      </c>
      <c r="B895" s="14">
        <v>2</v>
      </c>
      <c r="C895">
        <f>(B895*100)/$H$1</f>
        <v>3.9115978877371407E-2</v>
      </c>
      <c r="D895">
        <f>D894+C895</f>
        <v>55.07529825933922</v>
      </c>
      <c r="E895">
        <f>ROUNDDOWN(D895,2)</f>
        <v>55.07</v>
      </c>
    </row>
    <row r="896" spans="1:5" x14ac:dyDescent="0.35">
      <c r="A896" s="15">
        <v>175.1</v>
      </c>
      <c r="B896" s="14">
        <v>2</v>
      </c>
      <c r="C896">
        <f>(B896*100)/$H$1</f>
        <v>3.9115978877371407E-2</v>
      </c>
      <c r="D896">
        <f>D895+C896</f>
        <v>55.11441423821659</v>
      </c>
      <c r="E896">
        <f>ROUNDDOWN(D896,2)</f>
        <v>55.11</v>
      </c>
    </row>
    <row r="897" spans="1:5" x14ac:dyDescent="0.35">
      <c r="A897" s="15">
        <v>175</v>
      </c>
      <c r="B897" s="14">
        <v>2</v>
      </c>
      <c r="C897">
        <f>(B897*100)/$H$1</f>
        <v>3.9115978877371407E-2</v>
      </c>
      <c r="D897">
        <f>D896+C897</f>
        <v>55.153530217093959</v>
      </c>
      <c r="E897">
        <f>ROUNDDOWN(D897,2)</f>
        <v>55.15</v>
      </c>
    </row>
    <row r="898" spans="1:5" x14ac:dyDescent="0.35">
      <c r="A898" s="15">
        <v>174.9</v>
      </c>
      <c r="B898" s="14">
        <v>2</v>
      </c>
      <c r="C898">
        <f>(B898*100)/$H$1</f>
        <v>3.9115978877371407E-2</v>
      </c>
      <c r="D898">
        <f>D897+C898</f>
        <v>55.192646195971328</v>
      </c>
      <c r="E898">
        <f>ROUNDDOWN(D898,2)</f>
        <v>55.19</v>
      </c>
    </row>
    <row r="899" spans="1:5" x14ac:dyDescent="0.35">
      <c r="A899" s="15">
        <v>174.8</v>
      </c>
      <c r="B899" s="14">
        <v>3</v>
      </c>
      <c r="C899">
        <f>(B899*100)/$H$1</f>
        <v>5.8673968316057111E-2</v>
      </c>
      <c r="D899">
        <f>D898+C899</f>
        <v>55.251320164287385</v>
      </c>
      <c r="E899">
        <f>ROUNDDOWN(D899,2)</f>
        <v>55.25</v>
      </c>
    </row>
    <row r="900" spans="1:5" x14ac:dyDescent="0.35">
      <c r="A900" s="15">
        <v>174.7</v>
      </c>
      <c r="B900" s="14">
        <v>5</v>
      </c>
      <c r="C900">
        <f>(B900*100)/$H$1</f>
        <v>9.7789947193428511E-2</v>
      </c>
      <c r="D900">
        <f>D899+C900</f>
        <v>55.349110111480812</v>
      </c>
      <c r="E900">
        <f>ROUNDDOWN(D900,2)</f>
        <v>55.34</v>
      </c>
    </row>
    <row r="901" spans="1:5" x14ac:dyDescent="0.35">
      <c r="A901" s="15">
        <v>174.6</v>
      </c>
      <c r="B901" s="14">
        <v>1</v>
      </c>
      <c r="C901">
        <f>(B901*100)/$H$1</f>
        <v>1.9557989438685704E-2</v>
      </c>
      <c r="D901">
        <f>D900+C901</f>
        <v>55.3686681009195</v>
      </c>
      <c r="E901">
        <f>ROUNDDOWN(D901,2)</f>
        <v>55.36</v>
      </c>
    </row>
    <row r="902" spans="1:5" x14ac:dyDescent="0.35">
      <c r="A902" s="15">
        <v>174.5</v>
      </c>
      <c r="B902" s="14">
        <v>4</v>
      </c>
      <c r="C902">
        <f>(B902*100)/$H$1</f>
        <v>7.8231957754742815E-2</v>
      </c>
      <c r="D902">
        <f>D901+C902</f>
        <v>55.446900058674245</v>
      </c>
      <c r="E902">
        <f>ROUNDDOWN(D902,2)</f>
        <v>55.44</v>
      </c>
    </row>
    <row r="903" spans="1:5" x14ac:dyDescent="0.35">
      <c r="A903" s="15">
        <v>174.4</v>
      </c>
      <c r="B903" s="14">
        <v>1</v>
      </c>
      <c r="C903">
        <f>(B903*100)/$H$1</f>
        <v>1.9557989438685704E-2</v>
      </c>
      <c r="D903">
        <f>D902+C903</f>
        <v>55.466458048112933</v>
      </c>
      <c r="E903">
        <f>ROUNDDOWN(D903,2)</f>
        <v>55.46</v>
      </c>
    </row>
    <row r="904" spans="1:5" x14ac:dyDescent="0.35">
      <c r="A904" s="15">
        <v>174.3</v>
      </c>
      <c r="B904" s="14">
        <v>3</v>
      </c>
      <c r="C904">
        <f>(B904*100)/$H$1</f>
        <v>5.8673968316057111E-2</v>
      </c>
      <c r="D904">
        <f>D903+C904</f>
        <v>55.525132016428991</v>
      </c>
      <c r="E904">
        <f>ROUNDDOWN(D904,2)</f>
        <v>55.52</v>
      </c>
    </row>
    <row r="905" spans="1:5" x14ac:dyDescent="0.35">
      <c r="A905" s="15">
        <v>174.2</v>
      </c>
      <c r="B905" s="14">
        <v>5</v>
      </c>
      <c r="C905">
        <f>(B905*100)/$H$1</f>
        <v>9.7789947193428511E-2</v>
      </c>
      <c r="D905">
        <f>D904+C905</f>
        <v>55.622921963622417</v>
      </c>
      <c r="E905">
        <f>ROUNDDOWN(D905,2)</f>
        <v>55.62</v>
      </c>
    </row>
    <row r="906" spans="1:5" x14ac:dyDescent="0.35">
      <c r="A906" s="15">
        <v>174.1</v>
      </c>
      <c r="B906" s="14">
        <v>5</v>
      </c>
      <c r="C906">
        <f>(B906*100)/$H$1</f>
        <v>9.7789947193428511E-2</v>
      </c>
      <c r="D906">
        <f>D905+C906</f>
        <v>55.720711910815844</v>
      </c>
      <c r="E906">
        <f>ROUNDDOWN(D906,2)</f>
        <v>55.72</v>
      </c>
    </row>
    <row r="907" spans="1:5" x14ac:dyDescent="0.35">
      <c r="A907" s="15">
        <v>173.9</v>
      </c>
      <c r="B907" s="14">
        <v>4</v>
      </c>
      <c r="C907">
        <f>(B907*100)/$H$1</f>
        <v>7.8231957754742815E-2</v>
      </c>
      <c r="D907">
        <f>D906+C907</f>
        <v>55.798943868570589</v>
      </c>
      <c r="E907">
        <f>ROUNDDOWN(D907,2)</f>
        <v>55.79</v>
      </c>
    </row>
    <row r="908" spans="1:5" x14ac:dyDescent="0.35">
      <c r="A908" s="15">
        <v>173.8</v>
      </c>
      <c r="B908" s="14">
        <v>4</v>
      </c>
      <c r="C908">
        <f>(B908*100)/$H$1</f>
        <v>7.8231957754742815E-2</v>
      </c>
      <c r="D908">
        <f>D907+C908</f>
        <v>55.877175826325335</v>
      </c>
      <c r="E908">
        <f>ROUNDDOWN(D908,2)</f>
        <v>55.87</v>
      </c>
    </row>
    <row r="909" spans="1:5" x14ac:dyDescent="0.35">
      <c r="A909" s="15">
        <v>173.7</v>
      </c>
      <c r="B909" s="14">
        <v>2</v>
      </c>
      <c r="C909">
        <f>(B909*100)/$H$1</f>
        <v>3.9115978877371407E-2</v>
      </c>
      <c r="D909">
        <f>D908+C909</f>
        <v>55.916291805202704</v>
      </c>
      <c r="E909">
        <f>ROUNDDOWN(D909,2)</f>
        <v>55.91</v>
      </c>
    </row>
    <row r="910" spans="1:5" x14ac:dyDescent="0.35">
      <c r="A910" s="15">
        <v>173.6</v>
      </c>
      <c r="B910" s="14">
        <v>5</v>
      </c>
      <c r="C910">
        <f>(B910*100)/$H$1</f>
        <v>9.7789947193428511E-2</v>
      </c>
      <c r="D910">
        <f>D909+C910</f>
        <v>56.01408175239613</v>
      </c>
      <c r="E910">
        <f>ROUNDDOWN(D910,2)</f>
        <v>56.01</v>
      </c>
    </row>
    <row r="911" spans="1:5" x14ac:dyDescent="0.35">
      <c r="A911" s="15">
        <v>173.5</v>
      </c>
      <c r="B911" s="14">
        <v>2</v>
      </c>
      <c r="C911">
        <f>(B911*100)/$H$1</f>
        <v>3.9115978877371407E-2</v>
      </c>
      <c r="D911">
        <f>D910+C911</f>
        <v>56.053197731273499</v>
      </c>
      <c r="E911">
        <f>ROUNDDOWN(D911,2)</f>
        <v>56.05</v>
      </c>
    </row>
    <row r="912" spans="1:5" x14ac:dyDescent="0.35">
      <c r="A912" s="15">
        <v>173.4</v>
      </c>
      <c r="B912" s="14">
        <v>3</v>
      </c>
      <c r="C912">
        <f>(B912*100)/$H$1</f>
        <v>5.8673968316057111E-2</v>
      </c>
      <c r="D912">
        <f>D911+C912</f>
        <v>56.111871699589557</v>
      </c>
      <c r="E912">
        <f>ROUNDDOWN(D912,2)</f>
        <v>56.11</v>
      </c>
    </row>
    <row r="913" spans="1:5" x14ac:dyDescent="0.35">
      <c r="A913" s="15">
        <v>173.3</v>
      </c>
      <c r="B913" s="14">
        <v>2</v>
      </c>
      <c r="C913">
        <f>(B913*100)/$H$1</f>
        <v>3.9115978877371407E-2</v>
      </c>
      <c r="D913">
        <f>D912+C913</f>
        <v>56.150987678466926</v>
      </c>
      <c r="E913">
        <f>ROUNDDOWN(D913,2)</f>
        <v>56.15</v>
      </c>
    </row>
    <row r="914" spans="1:5" x14ac:dyDescent="0.35">
      <c r="A914" s="15">
        <v>173.2</v>
      </c>
      <c r="B914" s="14">
        <v>3</v>
      </c>
      <c r="C914">
        <f>(B914*100)/$H$1</f>
        <v>5.8673968316057111E-2</v>
      </c>
      <c r="D914">
        <f>D913+C914</f>
        <v>56.209661646782983</v>
      </c>
      <c r="E914">
        <f>ROUNDDOWN(D914,2)</f>
        <v>56.2</v>
      </c>
    </row>
    <row r="915" spans="1:5" x14ac:dyDescent="0.35">
      <c r="A915" s="15">
        <v>173.1</v>
      </c>
      <c r="B915" s="14">
        <v>4</v>
      </c>
      <c r="C915">
        <f>(B915*100)/$H$1</f>
        <v>7.8231957754742815E-2</v>
      </c>
      <c r="D915">
        <f>D914+C915</f>
        <v>56.287893604537729</v>
      </c>
      <c r="E915">
        <f>ROUNDDOWN(D915,2)</f>
        <v>56.28</v>
      </c>
    </row>
    <row r="916" spans="1:5" x14ac:dyDescent="0.35">
      <c r="A916" s="15">
        <v>173</v>
      </c>
      <c r="B916" s="14">
        <v>3</v>
      </c>
      <c r="C916">
        <f>(B916*100)/$H$1</f>
        <v>5.8673968316057111E-2</v>
      </c>
      <c r="D916">
        <f>D915+C916</f>
        <v>56.346567572853786</v>
      </c>
      <c r="E916">
        <f>ROUNDDOWN(D916,2)</f>
        <v>56.34</v>
      </c>
    </row>
    <row r="917" spans="1:5" x14ac:dyDescent="0.35">
      <c r="A917" s="15">
        <v>172.9</v>
      </c>
      <c r="B917" s="14">
        <v>3</v>
      </c>
      <c r="C917">
        <f>(B917*100)/$H$1</f>
        <v>5.8673968316057111E-2</v>
      </c>
      <c r="D917">
        <f>D916+C917</f>
        <v>56.405241541169843</v>
      </c>
      <c r="E917">
        <f>ROUNDDOWN(D917,2)</f>
        <v>56.4</v>
      </c>
    </row>
    <row r="918" spans="1:5" x14ac:dyDescent="0.35">
      <c r="A918" s="15">
        <v>172.8</v>
      </c>
      <c r="B918" s="14">
        <v>3</v>
      </c>
      <c r="C918">
        <f>(B918*100)/$H$1</f>
        <v>5.8673968316057111E-2</v>
      </c>
      <c r="D918">
        <f>D917+C918</f>
        <v>56.463915509485901</v>
      </c>
      <c r="E918">
        <f>ROUNDDOWN(D918,2)</f>
        <v>56.46</v>
      </c>
    </row>
    <row r="919" spans="1:5" x14ac:dyDescent="0.35">
      <c r="A919" s="15">
        <v>172.5</v>
      </c>
      <c r="B919" s="14">
        <v>4</v>
      </c>
      <c r="C919">
        <f>(B919*100)/$H$1</f>
        <v>7.8231957754742815E-2</v>
      </c>
      <c r="D919">
        <f>D918+C919</f>
        <v>56.542147467240646</v>
      </c>
      <c r="E919">
        <f>ROUNDDOWN(D919,2)</f>
        <v>56.54</v>
      </c>
    </row>
    <row r="920" spans="1:5" x14ac:dyDescent="0.35">
      <c r="A920" s="15">
        <v>172.4</v>
      </c>
      <c r="B920" s="14">
        <v>1</v>
      </c>
      <c r="C920">
        <f>(B920*100)/$H$1</f>
        <v>1.9557989438685704E-2</v>
      </c>
      <c r="D920">
        <f>D919+C920</f>
        <v>56.561705456679334</v>
      </c>
      <c r="E920">
        <f>ROUNDDOWN(D920,2)</f>
        <v>56.56</v>
      </c>
    </row>
    <row r="921" spans="1:5" x14ac:dyDescent="0.35">
      <c r="A921" s="15">
        <v>172.3</v>
      </c>
      <c r="B921" s="14">
        <v>2</v>
      </c>
      <c r="C921">
        <f>(B921*100)/$H$1</f>
        <v>3.9115978877371407E-2</v>
      </c>
      <c r="D921">
        <f>D920+C921</f>
        <v>56.600821435556703</v>
      </c>
      <c r="E921">
        <f>ROUNDDOWN(D921,2)</f>
        <v>56.6</v>
      </c>
    </row>
    <row r="922" spans="1:5" x14ac:dyDescent="0.35">
      <c r="A922" s="15">
        <v>172.2</v>
      </c>
      <c r="B922" s="14">
        <v>2</v>
      </c>
      <c r="C922">
        <f>(B922*100)/$H$1</f>
        <v>3.9115978877371407E-2</v>
      </c>
      <c r="D922">
        <f>D921+C922</f>
        <v>56.639937414434073</v>
      </c>
      <c r="E922">
        <f>ROUNDDOWN(D922,2)</f>
        <v>56.63</v>
      </c>
    </row>
    <row r="923" spans="1:5" x14ac:dyDescent="0.35">
      <c r="A923" s="15">
        <v>172.1</v>
      </c>
      <c r="B923" s="14">
        <v>1</v>
      </c>
      <c r="C923">
        <f>(B923*100)/$H$1</f>
        <v>1.9557989438685704E-2</v>
      </c>
      <c r="D923">
        <f>D922+C923</f>
        <v>56.659495403872761</v>
      </c>
      <c r="E923">
        <f>ROUNDDOWN(D923,2)</f>
        <v>56.65</v>
      </c>
    </row>
    <row r="924" spans="1:5" x14ac:dyDescent="0.35">
      <c r="A924" s="15">
        <v>172</v>
      </c>
      <c r="B924" s="14">
        <v>1</v>
      </c>
      <c r="C924">
        <f>(B924*100)/$H$1</f>
        <v>1.9557989438685704E-2</v>
      </c>
      <c r="D924">
        <f>D923+C924</f>
        <v>56.679053393311449</v>
      </c>
      <c r="E924">
        <f>ROUNDDOWN(D924,2)</f>
        <v>56.67</v>
      </c>
    </row>
    <row r="925" spans="1:5" x14ac:dyDescent="0.35">
      <c r="A925" s="15">
        <v>171.9</v>
      </c>
      <c r="B925" s="14">
        <v>5</v>
      </c>
      <c r="C925">
        <f>(B925*100)/$H$1</f>
        <v>9.7789947193428511E-2</v>
      </c>
      <c r="D925">
        <f>D924+C925</f>
        <v>56.776843340504875</v>
      </c>
      <c r="E925">
        <f>ROUNDDOWN(D925,2)</f>
        <v>56.77</v>
      </c>
    </row>
    <row r="926" spans="1:5" x14ac:dyDescent="0.35">
      <c r="A926" s="15">
        <v>171.8</v>
      </c>
      <c r="B926" s="14">
        <v>4</v>
      </c>
      <c r="C926">
        <f>(B926*100)/$H$1</f>
        <v>7.8231957754742815E-2</v>
      </c>
      <c r="D926">
        <f>D925+C926</f>
        <v>56.855075298259621</v>
      </c>
      <c r="E926">
        <f>ROUNDDOWN(D926,2)</f>
        <v>56.85</v>
      </c>
    </row>
    <row r="927" spans="1:5" x14ac:dyDescent="0.35">
      <c r="A927" s="15">
        <v>171.7</v>
      </c>
      <c r="B927" s="14">
        <v>4</v>
      </c>
      <c r="C927">
        <f>(B927*100)/$H$1</f>
        <v>7.8231957754742815E-2</v>
      </c>
      <c r="D927">
        <f>D926+C927</f>
        <v>56.933307256014366</v>
      </c>
      <c r="E927">
        <f>ROUNDDOWN(D927,2)</f>
        <v>56.93</v>
      </c>
    </row>
    <row r="928" spans="1:5" x14ac:dyDescent="0.35">
      <c r="A928" s="15">
        <v>171.6</v>
      </c>
      <c r="B928" s="14">
        <v>2</v>
      </c>
      <c r="C928">
        <f>(B928*100)/$H$1</f>
        <v>3.9115978877371407E-2</v>
      </c>
      <c r="D928">
        <f>D927+C928</f>
        <v>56.972423234891735</v>
      </c>
      <c r="E928">
        <f>ROUNDDOWN(D928,2)</f>
        <v>56.97</v>
      </c>
    </row>
    <row r="929" spans="1:5" x14ac:dyDescent="0.35">
      <c r="A929" s="15">
        <v>171.5</v>
      </c>
      <c r="B929" s="14">
        <v>2</v>
      </c>
      <c r="C929">
        <f>(B929*100)/$H$1</f>
        <v>3.9115978877371407E-2</v>
      </c>
      <c r="D929">
        <f>D928+C929</f>
        <v>57.011539213769105</v>
      </c>
      <c r="E929">
        <f>ROUNDDOWN(D929,2)</f>
        <v>57.01</v>
      </c>
    </row>
    <row r="930" spans="1:5" x14ac:dyDescent="0.35">
      <c r="A930" s="15">
        <v>171.4</v>
      </c>
      <c r="B930" s="14">
        <v>4</v>
      </c>
      <c r="C930">
        <f>(B930*100)/$H$1</f>
        <v>7.8231957754742815E-2</v>
      </c>
      <c r="D930">
        <f>D929+C930</f>
        <v>57.08977117152385</v>
      </c>
      <c r="E930">
        <f>ROUNDDOWN(D930,2)</f>
        <v>57.08</v>
      </c>
    </row>
    <row r="931" spans="1:5" x14ac:dyDescent="0.35">
      <c r="A931" s="15">
        <v>171.3</v>
      </c>
      <c r="B931" s="14">
        <v>4</v>
      </c>
      <c r="C931">
        <f>(B931*100)/$H$1</f>
        <v>7.8231957754742815E-2</v>
      </c>
      <c r="D931">
        <f>D930+C931</f>
        <v>57.168003129278596</v>
      </c>
      <c r="E931">
        <f>ROUNDDOWN(D931,2)</f>
        <v>57.16</v>
      </c>
    </row>
    <row r="932" spans="1:5" x14ac:dyDescent="0.35">
      <c r="A932" s="15">
        <v>171.2</v>
      </c>
      <c r="B932" s="14">
        <v>2</v>
      </c>
      <c r="C932">
        <f>(B932*100)/$H$1</f>
        <v>3.9115978877371407E-2</v>
      </c>
      <c r="D932">
        <f>D931+C932</f>
        <v>57.207119108155965</v>
      </c>
      <c r="E932">
        <f>ROUNDDOWN(D932,2)</f>
        <v>57.2</v>
      </c>
    </row>
    <row r="933" spans="1:5" x14ac:dyDescent="0.35">
      <c r="A933" s="15">
        <v>171.1</v>
      </c>
      <c r="B933" s="14">
        <v>3</v>
      </c>
      <c r="C933">
        <f>(B933*100)/$H$1</f>
        <v>5.8673968316057111E-2</v>
      </c>
      <c r="D933">
        <f>D932+C933</f>
        <v>57.265793076472022</v>
      </c>
      <c r="E933">
        <f>ROUNDDOWN(D933,2)</f>
        <v>57.26</v>
      </c>
    </row>
    <row r="934" spans="1:5" x14ac:dyDescent="0.35">
      <c r="A934" s="15">
        <v>171</v>
      </c>
      <c r="B934" s="14">
        <v>1</v>
      </c>
      <c r="C934">
        <f>(B934*100)/$H$1</f>
        <v>1.9557989438685704E-2</v>
      </c>
      <c r="D934">
        <f>D933+C934</f>
        <v>57.28535106591071</v>
      </c>
      <c r="E934">
        <f>ROUNDDOWN(D934,2)</f>
        <v>57.28</v>
      </c>
    </row>
    <row r="935" spans="1:5" x14ac:dyDescent="0.35">
      <c r="A935" s="15">
        <v>170.9</v>
      </c>
      <c r="B935" s="14">
        <v>8</v>
      </c>
      <c r="C935">
        <f>(B935*100)/$H$1</f>
        <v>0.15646391550948563</v>
      </c>
      <c r="D935">
        <f>D934+C935</f>
        <v>57.441814981420194</v>
      </c>
      <c r="E935">
        <f>ROUNDDOWN(D935,2)</f>
        <v>57.44</v>
      </c>
    </row>
    <row r="936" spans="1:5" x14ac:dyDescent="0.35">
      <c r="A936" s="15">
        <v>170.8</v>
      </c>
      <c r="B936" s="14">
        <v>5</v>
      </c>
      <c r="C936">
        <f>(B936*100)/$H$1</f>
        <v>9.7789947193428511E-2</v>
      </c>
      <c r="D936">
        <f>D935+C936</f>
        <v>57.53960492861362</v>
      </c>
      <c r="E936">
        <f>ROUNDDOWN(D936,2)</f>
        <v>57.53</v>
      </c>
    </row>
    <row r="937" spans="1:5" x14ac:dyDescent="0.35">
      <c r="A937" s="15">
        <v>170.7</v>
      </c>
      <c r="B937" s="14">
        <v>1</v>
      </c>
      <c r="C937">
        <f>(B937*100)/$H$1</f>
        <v>1.9557989438685704E-2</v>
      </c>
      <c r="D937">
        <f>D936+C937</f>
        <v>57.559162918052309</v>
      </c>
      <c r="E937">
        <f>ROUNDDOWN(D937,2)</f>
        <v>57.55</v>
      </c>
    </row>
    <row r="938" spans="1:5" x14ac:dyDescent="0.35">
      <c r="A938" s="15">
        <v>170.6</v>
      </c>
      <c r="B938" s="14">
        <v>2</v>
      </c>
      <c r="C938">
        <f>(B938*100)/$H$1</f>
        <v>3.9115978877371407E-2</v>
      </c>
      <c r="D938">
        <f>D937+C938</f>
        <v>57.598278896929678</v>
      </c>
      <c r="E938">
        <f>ROUNDDOWN(D938,2)</f>
        <v>57.59</v>
      </c>
    </row>
    <row r="939" spans="1:5" x14ac:dyDescent="0.35">
      <c r="A939" s="15">
        <v>170.5</v>
      </c>
      <c r="B939" s="14">
        <v>1</v>
      </c>
      <c r="C939">
        <f>(B939*100)/$H$1</f>
        <v>1.9557989438685704E-2</v>
      </c>
      <c r="D939">
        <f>D938+C939</f>
        <v>57.617836886368366</v>
      </c>
      <c r="E939">
        <f>ROUNDDOWN(D939,2)</f>
        <v>57.61</v>
      </c>
    </row>
    <row r="940" spans="1:5" x14ac:dyDescent="0.35">
      <c r="A940" s="15">
        <v>170.4</v>
      </c>
      <c r="B940" s="14">
        <v>3</v>
      </c>
      <c r="C940">
        <f>(B940*100)/$H$1</f>
        <v>5.8673968316057111E-2</v>
      </c>
      <c r="D940">
        <f>D939+C940</f>
        <v>57.676510854684423</v>
      </c>
      <c r="E940">
        <f>ROUNDDOWN(D940,2)</f>
        <v>57.67</v>
      </c>
    </row>
    <row r="941" spans="1:5" x14ac:dyDescent="0.35">
      <c r="A941" s="15">
        <v>170.3</v>
      </c>
      <c r="B941" s="14">
        <v>3</v>
      </c>
      <c r="C941">
        <f>(B941*100)/$H$1</f>
        <v>5.8673968316057111E-2</v>
      </c>
      <c r="D941">
        <f>D940+C941</f>
        <v>57.73518482300048</v>
      </c>
      <c r="E941">
        <f>ROUNDDOWN(D941,2)</f>
        <v>57.73</v>
      </c>
    </row>
    <row r="942" spans="1:5" x14ac:dyDescent="0.35">
      <c r="A942" s="15">
        <v>170.2</v>
      </c>
      <c r="B942" s="14">
        <v>2</v>
      </c>
      <c r="C942">
        <f>(B942*100)/$H$1</f>
        <v>3.9115978877371407E-2</v>
      </c>
      <c r="D942">
        <f>D941+C942</f>
        <v>57.77430080187785</v>
      </c>
      <c r="E942">
        <f>ROUNDDOWN(D942,2)</f>
        <v>57.77</v>
      </c>
    </row>
    <row r="943" spans="1:5" x14ac:dyDescent="0.35">
      <c r="A943" s="15">
        <v>170.1</v>
      </c>
      <c r="B943" s="14">
        <v>2</v>
      </c>
      <c r="C943">
        <f>(B943*100)/$H$1</f>
        <v>3.9115978877371407E-2</v>
      </c>
      <c r="D943">
        <f>D942+C943</f>
        <v>57.813416780755219</v>
      </c>
      <c r="E943">
        <f>ROUNDDOWN(D943,2)</f>
        <v>57.81</v>
      </c>
    </row>
    <row r="944" spans="1:5" x14ac:dyDescent="0.35">
      <c r="A944" s="15">
        <v>170</v>
      </c>
      <c r="B944" s="14">
        <v>2</v>
      </c>
      <c r="C944">
        <f>(B944*100)/$H$1</f>
        <v>3.9115978877371407E-2</v>
      </c>
      <c r="D944">
        <f>D943+C944</f>
        <v>57.852532759632588</v>
      </c>
      <c r="E944">
        <f>ROUNDDOWN(D944,2)</f>
        <v>57.85</v>
      </c>
    </row>
    <row r="945" spans="1:5" x14ac:dyDescent="0.35">
      <c r="A945" s="15">
        <v>169.9</v>
      </c>
      <c r="B945" s="14">
        <v>6</v>
      </c>
      <c r="C945">
        <f>(B945*100)/$H$1</f>
        <v>0.11734793663211422</v>
      </c>
      <c r="D945">
        <f>D944+C945</f>
        <v>57.969880696264703</v>
      </c>
      <c r="E945">
        <f>ROUNDDOWN(D945,2)</f>
        <v>57.96</v>
      </c>
    </row>
    <row r="946" spans="1:5" x14ac:dyDescent="0.35">
      <c r="A946" s="15">
        <v>169.8</v>
      </c>
      <c r="B946" s="14">
        <v>3</v>
      </c>
      <c r="C946">
        <f>(B946*100)/$H$1</f>
        <v>5.8673968316057111E-2</v>
      </c>
      <c r="D946">
        <f>D945+C946</f>
        <v>58.02855466458076</v>
      </c>
      <c r="E946">
        <f>ROUNDDOWN(D946,2)</f>
        <v>58.02</v>
      </c>
    </row>
    <row r="947" spans="1:5" x14ac:dyDescent="0.35">
      <c r="A947" s="15">
        <v>169.7</v>
      </c>
      <c r="B947" s="14">
        <v>4</v>
      </c>
      <c r="C947">
        <f>(B947*100)/$H$1</f>
        <v>7.8231957754742815E-2</v>
      </c>
      <c r="D947">
        <f>D946+C947</f>
        <v>58.106786622335505</v>
      </c>
      <c r="E947">
        <f>ROUNDDOWN(D947,2)</f>
        <v>58.1</v>
      </c>
    </row>
    <row r="948" spans="1:5" x14ac:dyDescent="0.35">
      <c r="A948" s="15">
        <v>169.6</v>
      </c>
      <c r="B948" s="14">
        <v>2</v>
      </c>
      <c r="C948">
        <f>(B948*100)/$H$1</f>
        <v>3.9115978877371407E-2</v>
      </c>
      <c r="D948">
        <f>D947+C948</f>
        <v>58.145902601212875</v>
      </c>
      <c r="E948">
        <f>ROUNDDOWN(D948,2)</f>
        <v>58.14</v>
      </c>
    </row>
    <row r="949" spans="1:5" x14ac:dyDescent="0.35">
      <c r="A949" s="15">
        <v>169.5</v>
      </c>
      <c r="B949" s="14">
        <v>5</v>
      </c>
      <c r="C949">
        <f>(B949*100)/$H$1</f>
        <v>9.7789947193428511E-2</v>
      </c>
      <c r="D949">
        <f>D948+C949</f>
        <v>58.243692548406301</v>
      </c>
      <c r="E949">
        <f>ROUNDDOWN(D949,2)</f>
        <v>58.24</v>
      </c>
    </row>
    <row r="950" spans="1:5" x14ac:dyDescent="0.35">
      <c r="A950" s="15">
        <v>169.3</v>
      </c>
      <c r="B950" s="14">
        <v>1</v>
      </c>
      <c r="C950">
        <f>(B950*100)/$H$1</f>
        <v>1.9557989438685704E-2</v>
      </c>
      <c r="D950">
        <f>D949+C950</f>
        <v>58.263250537844989</v>
      </c>
      <c r="E950">
        <f>ROUNDDOWN(D950,2)</f>
        <v>58.26</v>
      </c>
    </row>
    <row r="951" spans="1:5" x14ac:dyDescent="0.35">
      <c r="A951" s="15">
        <v>169.1</v>
      </c>
      <c r="B951" s="14">
        <v>1</v>
      </c>
      <c r="C951">
        <f>(B951*100)/$H$1</f>
        <v>1.9557989438685704E-2</v>
      </c>
      <c r="D951">
        <f>D950+C951</f>
        <v>58.282808527283677</v>
      </c>
      <c r="E951">
        <f>ROUNDDOWN(D951,2)</f>
        <v>58.28</v>
      </c>
    </row>
    <row r="952" spans="1:5" x14ac:dyDescent="0.35">
      <c r="A952" s="15">
        <v>169</v>
      </c>
      <c r="B952" s="14">
        <v>7</v>
      </c>
      <c r="C952">
        <f>(B952*100)/$H$1</f>
        <v>0.13690592607079993</v>
      </c>
      <c r="D952">
        <f>D951+C952</f>
        <v>58.41971445335448</v>
      </c>
      <c r="E952">
        <f>ROUNDDOWN(D952,2)</f>
        <v>58.41</v>
      </c>
    </row>
    <row r="953" spans="1:5" x14ac:dyDescent="0.35">
      <c r="A953" s="15">
        <v>168.9</v>
      </c>
      <c r="B953" s="14">
        <v>3</v>
      </c>
      <c r="C953">
        <f>(B953*100)/$H$1</f>
        <v>5.8673968316057111E-2</v>
      </c>
      <c r="D953">
        <f>D952+C953</f>
        <v>58.478388421670537</v>
      </c>
      <c r="E953">
        <f>ROUNDDOWN(D953,2)</f>
        <v>58.47</v>
      </c>
    </row>
    <row r="954" spans="1:5" x14ac:dyDescent="0.35">
      <c r="A954" s="15">
        <v>168.8</v>
      </c>
      <c r="B954" s="14">
        <v>3</v>
      </c>
      <c r="C954">
        <f>(B954*100)/$H$1</f>
        <v>5.8673968316057111E-2</v>
      </c>
      <c r="D954">
        <f>D953+C954</f>
        <v>58.537062389986595</v>
      </c>
      <c r="E954">
        <f>ROUNDDOWN(D954,2)</f>
        <v>58.53</v>
      </c>
    </row>
    <row r="955" spans="1:5" x14ac:dyDescent="0.35">
      <c r="A955" s="15">
        <v>168.7</v>
      </c>
      <c r="B955" s="14">
        <v>4</v>
      </c>
      <c r="C955">
        <f>(B955*100)/$H$1</f>
        <v>7.8231957754742815E-2</v>
      </c>
      <c r="D955">
        <f>D954+C955</f>
        <v>58.61529434774134</v>
      </c>
      <c r="E955">
        <f>ROUNDDOWN(D955,2)</f>
        <v>58.61</v>
      </c>
    </row>
    <row r="956" spans="1:5" x14ac:dyDescent="0.35">
      <c r="A956" s="15">
        <v>168.6</v>
      </c>
      <c r="B956" s="14">
        <v>2</v>
      </c>
      <c r="C956">
        <f>(B956*100)/$H$1</f>
        <v>3.9115978877371407E-2</v>
      </c>
      <c r="D956">
        <f>D955+C956</f>
        <v>58.654410326618709</v>
      </c>
      <c r="E956">
        <f>ROUNDDOWN(D956,2)</f>
        <v>58.65</v>
      </c>
    </row>
    <row r="957" spans="1:5" x14ac:dyDescent="0.35">
      <c r="A957" s="15">
        <v>168.5</v>
      </c>
      <c r="B957" s="14">
        <v>3</v>
      </c>
      <c r="C957">
        <f>(B957*100)/$H$1</f>
        <v>5.8673968316057111E-2</v>
      </c>
      <c r="D957">
        <f>D956+C957</f>
        <v>58.713084294934767</v>
      </c>
      <c r="E957">
        <f>ROUNDDOWN(D957,2)</f>
        <v>58.71</v>
      </c>
    </row>
    <row r="958" spans="1:5" x14ac:dyDescent="0.35">
      <c r="A958" s="15">
        <v>168.4</v>
      </c>
      <c r="B958" s="14">
        <v>1</v>
      </c>
      <c r="C958">
        <f>(B958*100)/$H$1</f>
        <v>1.9557989438685704E-2</v>
      </c>
      <c r="D958">
        <f>D957+C958</f>
        <v>58.732642284373455</v>
      </c>
      <c r="E958">
        <f>ROUNDDOWN(D958,2)</f>
        <v>58.73</v>
      </c>
    </row>
    <row r="959" spans="1:5" x14ac:dyDescent="0.35">
      <c r="A959" s="15">
        <v>168.3</v>
      </c>
      <c r="B959" s="14">
        <v>2</v>
      </c>
      <c r="C959">
        <f>(B959*100)/$H$1</f>
        <v>3.9115978877371407E-2</v>
      </c>
      <c r="D959">
        <f>D958+C959</f>
        <v>58.771758263250824</v>
      </c>
      <c r="E959">
        <f>ROUNDDOWN(D959,2)</f>
        <v>58.77</v>
      </c>
    </row>
    <row r="960" spans="1:5" x14ac:dyDescent="0.35">
      <c r="A960" s="15">
        <v>168.1</v>
      </c>
      <c r="B960" s="14">
        <v>2</v>
      </c>
      <c r="C960">
        <f>(B960*100)/$H$1</f>
        <v>3.9115978877371407E-2</v>
      </c>
      <c r="D960">
        <f>D959+C960</f>
        <v>58.810874242128193</v>
      </c>
      <c r="E960">
        <f>ROUNDDOWN(D960,2)</f>
        <v>58.81</v>
      </c>
    </row>
    <row r="961" spans="1:5" x14ac:dyDescent="0.35">
      <c r="A961" s="15">
        <v>168</v>
      </c>
      <c r="B961" s="14">
        <v>1</v>
      </c>
      <c r="C961">
        <f>(B961*100)/$H$1</f>
        <v>1.9557989438685704E-2</v>
      </c>
      <c r="D961">
        <f>D960+C961</f>
        <v>58.830432231566881</v>
      </c>
      <c r="E961">
        <f>ROUNDDOWN(D961,2)</f>
        <v>58.83</v>
      </c>
    </row>
    <row r="962" spans="1:5" x14ac:dyDescent="0.35">
      <c r="A962" s="15">
        <v>167.9</v>
      </c>
      <c r="B962" s="14">
        <v>2</v>
      </c>
      <c r="C962">
        <f>(B962*100)/$H$1</f>
        <v>3.9115978877371407E-2</v>
      </c>
      <c r="D962">
        <f>D961+C962</f>
        <v>58.86954821044425</v>
      </c>
      <c r="E962">
        <f>ROUNDDOWN(D962,2)</f>
        <v>58.86</v>
      </c>
    </row>
    <row r="963" spans="1:5" x14ac:dyDescent="0.35">
      <c r="A963" s="15">
        <v>167.8</v>
      </c>
      <c r="B963" s="14">
        <v>2</v>
      </c>
      <c r="C963">
        <f>(B963*100)/$H$1</f>
        <v>3.9115978877371407E-2</v>
      </c>
      <c r="D963">
        <f>D962+C963</f>
        <v>58.90866418932162</v>
      </c>
      <c r="E963">
        <f>ROUNDDOWN(D963,2)</f>
        <v>58.9</v>
      </c>
    </row>
    <row r="964" spans="1:5" x14ac:dyDescent="0.35">
      <c r="A964" s="15">
        <v>167.7</v>
      </c>
      <c r="B964" s="14">
        <v>2</v>
      </c>
      <c r="C964">
        <f>(B964*100)/$H$1</f>
        <v>3.9115978877371407E-2</v>
      </c>
      <c r="D964">
        <f>D963+C964</f>
        <v>58.947780168198989</v>
      </c>
      <c r="E964">
        <f>ROUNDDOWN(D964,2)</f>
        <v>58.94</v>
      </c>
    </row>
    <row r="965" spans="1:5" x14ac:dyDescent="0.35">
      <c r="A965" s="15">
        <v>167.6</v>
      </c>
      <c r="B965" s="14">
        <v>4</v>
      </c>
      <c r="C965">
        <f>(B965*100)/$H$1</f>
        <v>7.8231957754742815E-2</v>
      </c>
      <c r="D965">
        <f>D964+C965</f>
        <v>59.026012125953734</v>
      </c>
      <c r="E965">
        <f>ROUNDDOWN(D965,2)</f>
        <v>59.02</v>
      </c>
    </row>
    <row r="966" spans="1:5" x14ac:dyDescent="0.35">
      <c r="A966" s="15">
        <v>167.5</v>
      </c>
      <c r="B966" s="14">
        <v>5</v>
      </c>
      <c r="C966">
        <f>(B966*100)/$H$1</f>
        <v>9.7789947193428511E-2</v>
      </c>
      <c r="D966">
        <f>D965+C966</f>
        <v>59.123802073147161</v>
      </c>
      <c r="E966">
        <f>ROUNDDOWN(D966,2)</f>
        <v>59.12</v>
      </c>
    </row>
    <row r="967" spans="1:5" x14ac:dyDescent="0.35">
      <c r="A967" s="15">
        <v>167.3</v>
      </c>
      <c r="B967" s="14">
        <v>2</v>
      </c>
      <c r="C967">
        <f>(B967*100)/$H$1</f>
        <v>3.9115978877371407E-2</v>
      </c>
      <c r="D967">
        <f>D966+C967</f>
        <v>59.16291805202453</v>
      </c>
      <c r="E967">
        <f>ROUNDDOWN(D967,2)</f>
        <v>59.16</v>
      </c>
    </row>
    <row r="968" spans="1:5" x14ac:dyDescent="0.35">
      <c r="A968" s="15">
        <v>167.2</v>
      </c>
      <c r="B968" s="14">
        <v>4</v>
      </c>
      <c r="C968">
        <f>(B968*100)/$H$1</f>
        <v>7.8231957754742815E-2</v>
      </c>
      <c r="D968">
        <f>D967+C968</f>
        <v>59.241150009779275</v>
      </c>
      <c r="E968">
        <f>ROUNDDOWN(D968,2)</f>
        <v>59.24</v>
      </c>
    </row>
    <row r="969" spans="1:5" x14ac:dyDescent="0.35">
      <c r="A969" s="15">
        <v>167.1</v>
      </c>
      <c r="B969" s="14">
        <v>4</v>
      </c>
      <c r="C969">
        <f>(B969*100)/$H$1</f>
        <v>7.8231957754742815E-2</v>
      </c>
      <c r="D969">
        <f>D968+C969</f>
        <v>59.319381967534021</v>
      </c>
      <c r="E969">
        <f>ROUNDDOWN(D969,2)</f>
        <v>59.31</v>
      </c>
    </row>
    <row r="970" spans="1:5" x14ac:dyDescent="0.35">
      <c r="A970" s="15">
        <v>167</v>
      </c>
      <c r="B970" s="14">
        <v>1</v>
      </c>
      <c r="C970">
        <f>(B970*100)/$H$1</f>
        <v>1.9557989438685704E-2</v>
      </c>
      <c r="D970">
        <f>D969+C970</f>
        <v>59.338939956972709</v>
      </c>
      <c r="E970">
        <f>ROUNDDOWN(D970,2)</f>
        <v>59.33</v>
      </c>
    </row>
    <row r="971" spans="1:5" x14ac:dyDescent="0.35">
      <c r="A971" s="15">
        <v>166.9</v>
      </c>
      <c r="B971" s="14">
        <v>4</v>
      </c>
      <c r="C971">
        <f>(B971*100)/$H$1</f>
        <v>7.8231957754742815E-2</v>
      </c>
      <c r="D971">
        <f>D970+C971</f>
        <v>59.417171914727454</v>
      </c>
      <c r="E971">
        <f>ROUNDDOWN(D971,2)</f>
        <v>59.41</v>
      </c>
    </row>
    <row r="972" spans="1:5" x14ac:dyDescent="0.35">
      <c r="A972" s="15">
        <v>166.8</v>
      </c>
      <c r="B972" s="14">
        <v>2</v>
      </c>
      <c r="C972">
        <f>(B972*100)/$H$1</f>
        <v>3.9115978877371407E-2</v>
      </c>
      <c r="D972">
        <f>D971+C972</f>
        <v>59.456287893604824</v>
      </c>
      <c r="E972">
        <f>ROUNDDOWN(D972,2)</f>
        <v>59.45</v>
      </c>
    </row>
    <row r="973" spans="1:5" x14ac:dyDescent="0.35">
      <c r="A973" s="15">
        <v>166.6</v>
      </c>
      <c r="B973" s="14">
        <v>3</v>
      </c>
      <c r="C973">
        <f>(B973*100)/$H$1</f>
        <v>5.8673968316057111E-2</v>
      </c>
      <c r="D973">
        <f>D972+C973</f>
        <v>59.514961861920881</v>
      </c>
      <c r="E973">
        <f>ROUNDDOWN(D973,2)</f>
        <v>59.51</v>
      </c>
    </row>
    <row r="974" spans="1:5" x14ac:dyDescent="0.35">
      <c r="A974" s="15">
        <v>166.5</v>
      </c>
      <c r="B974" s="14">
        <v>2</v>
      </c>
      <c r="C974">
        <f>(B974*100)/$H$1</f>
        <v>3.9115978877371407E-2</v>
      </c>
      <c r="D974">
        <f>D973+C974</f>
        <v>59.55407784079825</v>
      </c>
      <c r="E974">
        <f>ROUNDDOWN(D974,2)</f>
        <v>59.55</v>
      </c>
    </row>
    <row r="975" spans="1:5" x14ac:dyDescent="0.35">
      <c r="A975" s="15">
        <v>166.4</v>
      </c>
      <c r="B975" s="14">
        <v>2</v>
      </c>
      <c r="C975">
        <f>(B975*100)/$H$1</f>
        <v>3.9115978877371407E-2</v>
      </c>
      <c r="D975">
        <f>D974+C975</f>
        <v>59.593193819675619</v>
      </c>
      <c r="E975">
        <f>ROUNDDOWN(D975,2)</f>
        <v>59.59</v>
      </c>
    </row>
    <row r="976" spans="1:5" x14ac:dyDescent="0.35">
      <c r="A976" s="15">
        <v>166.3</v>
      </c>
      <c r="B976" s="14">
        <v>2</v>
      </c>
      <c r="C976">
        <f>(B976*100)/$H$1</f>
        <v>3.9115978877371407E-2</v>
      </c>
      <c r="D976">
        <f>D975+C976</f>
        <v>59.632309798552988</v>
      </c>
      <c r="E976">
        <f>ROUNDDOWN(D976,2)</f>
        <v>59.63</v>
      </c>
    </row>
    <row r="977" spans="1:5" x14ac:dyDescent="0.35">
      <c r="A977" s="15">
        <v>166.2</v>
      </c>
      <c r="B977" s="14">
        <v>2</v>
      </c>
      <c r="C977">
        <f>(B977*100)/$H$1</f>
        <v>3.9115978877371407E-2</v>
      </c>
      <c r="D977">
        <f>D976+C977</f>
        <v>59.671425777430358</v>
      </c>
      <c r="E977">
        <f>ROUNDDOWN(D977,2)</f>
        <v>59.67</v>
      </c>
    </row>
    <row r="978" spans="1:5" x14ac:dyDescent="0.35">
      <c r="A978" s="15">
        <v>166.1</v>
      </c>
      <c r="B978" s="14">
        <v>1</v>
      </c>
      <c r="C978">
        <f>(B978*100)/$H$1</f>
        <v>1.9557989438685704E-2</v>
      </c>
      <c r="D978">
        <f>D977+C978</f>
        <v>59.690983766869046</v>
      </c>
      <c r="E978">
        <f>ROUNDDOWN(D978,2)</f>
        <v>59.69</v>
      </c>
    </row>
    <row r="979" spans="1:5" x14ac:dyDescent="0.35">
      <c r="A979" s="15">
        <v>166</v>
      </c>
      <c r="B979" s="14">
        <v>1</v>
      </c>
      <c r="C979">
        <f>(B979*100)/$H$1</f>
        <v>1.9557989438685704E-2</v>
      </c>
      <c r="D979">
        <f>D978+C979</f>
        <v>59.710541756307734</v>
      </c>
      <c r="E979">
        <f>ROUNDDOWN(D979,2)</f>
        <v>59.71</v>
      </c>
    </row>
    <row r="980" spans="1:5" x14ac:dyDescent="0.35">
      <c r="A980" s="15">
        <v>165.9</v>
      </c>
      <c r="B980" s="14">
        <v>3</v>
      </c>
      <c r="C980">
        <f>(B980*100)/$H$1</f>
        <v>5.8673968316057111E-2</v>
      </c>
      <c r="D980">
        <f>D979+C980</f>
        <v>59.769215724623791</v>
      </c>
      <c r="E980">
        <f>ROUNDDOWN(D980,2)</f>
        <v>59.76</v>
      </c>
    </row>
    <row r="981" spans="1:5" x14ac:dyDescent="0.35">
      <c r="A981" s="15">
        <v>165.8</v>
      </c>
      <c r="B981" s="14">
        <v>1</v>
      </c>
      <c r="C981">
        <f>(B981*100)/$H$1</f>
        <v>1.9557989438685704E-2</v>
      </c>
      <c r="D981">
        <f>D980+C981</f>
        <v>59.788773714062479</v>
      </c>
      <c r="E981">
        <f>ROUNDDOWN(D981,2)</f>
        <v>59.78</v>
      </c>
    </row>
    <row r="982" spans="1:5" x14ac:dyDescent="0.35">
      <c r="A982" s="15">
        <v>165.7</v>
      </c>
      <c r="B982" s="14">
        <v>3</v>
      </c>
      <c r="C982">
        <f>(B982*100)/$H$1</f>
        <v>5.8673968316057111E-2</v>
      </c>
      <c r="D982">
        <f>D981+C982</f>
        <v>59.847447682378537</v>
      </c>
      <c r="E982">
        <f>ROUNDDOWN(D982,2)</f>
        <v>59.84</v>
      </c>
    </row>
    <row r="983" spans="1:5" x14ac:dyDescent="0.35">
      <c r="A983" s="15">
        <v>165.5</v>
      </c>
      <c r="B983" s="14">
        <v>2</v>
      </c>
      <c r="C983">
        <f>(B983*100)/$H$1</f>
        <v>3.9115978877371407E-2</v>
      </c>
      <c r="D983">
        <f>D982+C983</f>
        <v>59.886563661255906</v>
      </c>
      <c r="E983">
        <f>ROUNDDOWN(D983,2)</f>
        <v>59.88</v>
      </c>
    </row>
    <row r="984" spans="1:5" x14ac:dyDescent="0.35">
      <c r="A984" s="15">
        <v>165.4</v>
      </c>
      <c r="B984" s="14">
        <v>1</v>
      </c>
      <c r="C984">
        <f>(B984*100)/$H$1</f>
        <v>1.9557989438685704E-2</v>
      </c>
      <c r="D984">
        <f>D983+C984</f>
        <v>59.906121650694594</v>
      </c>
      <c r="E984">
        <f>ROUNDDOWN(D984,2)</f>
        <v>59.9</v>
      </c>
    </row>
    <row r="985" spans="1:5" x14ac:dyDescent="0.35">
      <c r="A985" s="15">
        <v>165.3</v>
      </c>
      <c r="B985" s="14">
        <v>2</v>
      </c>
      <c r="C985">
        <f>(B985*100)/$H$1</f>
        <v>3.9115978877371407E-2</v>
      </c>
      <c r="D985">
        <f>D984+C985</f>
        <v>59.945237629571963</v>
      </c>
      <c r="E985">
        <f>ROUNDDOWN(D985,2)</f>
        <v>59.94</v>
      </c>
    </row>
    <row r="986" spans="1:5" x14ac:dyDescent="0.35">
      <c r="A986" s="15">
        <v>165.2</v>
      </c>
      <c r="B986" s="14">
        <v>4</v>
      </c>
      <c r="C986">
        <f>(B986*100)/$H$1</f>
        <v>7.8231957754742815E-2</v>
      </c>
      <c r="D986">
        <f>D985+C986</f>
        <v>60.023469587326709</v>
      </c>
      <c r="E986">
        <f>ROUNDDOWN(D986,2)</f>
        <v>60.02</v>
      </c>
    </row>
    <row r="987" spans="1:5" x14ac:dyDescent="0.35">
      <c r="A987" s="15">
        <v>165.1</v>
      </c>
      <c r="B987" s="14">
        <v>5</v>
      </c>
      <c r="C987">
        <f>(B987*100)/$H$1</f>
        <v>9.7789947193428511E-2</v>
      </c>
      <c r="D987">
        <f>D986+C987</f>
        <v>60.121259534520135</v>
      </c>
      <c r="E987">
        <f>ROUNDDOWN(D987,2)</f>
        <v>60.12</v>
      </c>
    </row>
    <row r="988" spans="1:5" x14ac:dyDescent="0.35">
      <c r="A988" s="15">
        <v>165</v>
      </c>
      <c r="B988" s="14">
        <v>1</v>
      </c>
      <c r="C988">
        <f>(B988*100)/$H$1</f>
        <v>1.9557989438685704E-2</v>
      </c>
      <c r="D988">
        <f>D987+C988</f>
        <v>60.140817523958823</v>
      </c>
      <c r="E988">
        <f>ROUNDDOWN(D988,2)</f>
        <v>60.14</v>
      </c>
    </row>
    <row r="989" spans="1:5" x14ac:dyDescent="0.35">
      <c r="A989" s="15">
        <v>164.9</v>
      </c>
      <c r="B989" s="14">
        <v>3</v>
      </c>
      <c r="C989">
        <f>(B989*100)/$H$1</f>
        <v>5.8673968316057111E-2</v>
      </c>
      <c r="D989">
        <f>D988+C989</f>
        <v>60.19949149227488</v>
      </c>
      <c r="E989">
        <f>ROUNDDOWN(D989,2)</f>
        <v>60.19</v>
      </c>
    </row>
    <row r="990" spans="1:5" x14ac:dyDescent="0.35">
      <c r="A990" s="15">
        <v>164.8</v>
      </c>
      <c r="B990" s="14">
        <v>2</v>
      </c>
      <c r="C990">
        <f>(B990*100)/$H$1</f>
        <v>3.9115978877371407E-2</v>
      </c>
      <c r="D990">
        <f>D989+C990</f>
        <v>60.23860747115225</v>
      </c>
      <c r="E990">
        <f>ROUNDDOWN(D990,2)</f>
        <v>60.23</v>
      </c>
    </row>
    <row r="991" spans="1:5" x14ac:dyDescent="0.35">
      <c r="A991" s="15">
        <v>164.6</v>
      </c>
      <c r="B991" s="14">
        <v>2</v>
      </c>
      <c r="C991">
        <f>(B991*100)/$H$1</f>
        <v>3.9115978877371407E-2</v>
      </c>
      <c r="D991">
        <f>D990+C991</f>
        <v>60.277723450029619</v>
      </c>
      <c r="E991">
        <f>ROUNDDOWN(D991,2)</f>
        <v>60.27</v>
      </c>
    </row>
    <row r="992" spans="1:5" x14ac:dyDescent="0.35">
      <c r="A992" s="15">
        <v>164.5</v>
      </c>
      <c r="B992" s="14">
        <v>2</v>
      </c>
      <c r="C992">
        <f>(B992*100)/$H$1</f>
        <v>3.9115978877371407E-2</v>
      </c>
      <c r="D992">
        <f>D991+C992</f>
        <v>60.316839428906988</v>
      </c>
      <c r="E992">
        <f>ROUNDDOWN(D992,2)</f>
        <v>60.31</v>
      </c>
    </row>
    <row r="993" spans="1:5" x14ac:dyDescent="0.35">
      <c r="A993" s="15">
        <v>164.4</v>
      </c>
      <c r="B993" s="14">
        <v>4</v>
      </c>
      <c r="C993">
        <f>(B993*100)/$H$1</f>
        <v>7.8231957754742815E-2</v>
      </c>
      <c r="D993">
        <f>D992+C993</f>
        <v>60.395071386661733</v>
      </c>
      <c r="E993">
        <f>ROUNDDOWN(D993,2)</f>
        <v>60.39</v>
      </c>
    </row>
    <row r="994" spans="1:5" x14ac:dyDescent="0.35">
      <c r="A994" s="15">
        <v>164.3</v>
      </c>
      <c r="B994" s="14">
        <v>1</v>
      </c>
      <c r="C994">
        <f>(B994*100)/$H$1</f>
        <v>1.9557989438685704E-2</v>
      </c>
      <c r="D994">
        <f>D993+C994</f>
        <v>60.414629376100422</v>
      </c>
      <c r="E994">
        <f>ROUNDDOWN(D994,2)</f>
        <v>60.41</v>
      </c>
    </row>
    <row r="995" spans="1:5" x14ac:dyDescent="0.35">
      <c r="A995" s="15">
        <v>164.2</v>
      </c>
      <c r="B995" s="14">
        <v>3</v>
      </c>
      <c r="C995">
        <f>(B995*100)/$H$1</f>
        <v>5.8673968316057111E-2</v>
      </c>
      <c r="D995">
        <f>D994+C995</f>
        <v>60.473303344416479</v>
      </c>
      <c r="E995">
        <f>ROUNDDOWN(D995,2)</f>
        <v>60.47</v>
      </c>
    </row>
    <row r="996" spans="1:5" x14ac:dyDescent="0.35">
      <c r="A996" s="15">
        <v>164.1</v>
      </c>
      <c r="B996" s="14">
        <v>1</v>
      </c>
      <c r="C996">
        <f>(B996*100)/$H$1</f>
        <v>1.9557989438685704E-2</v>
      </c>
      <c r="D996">
        <f>D995+C996</f>
        <v>60.492861333855167</v>
      </c>
      <c r="E996">
        <f>ROUNDDOWN(D996,2)</f>
        <v>60.49</v>
      </c>
    </row>
    <row r="997" spans="1:5" x14ac:dyDescent="0.35">
      <c r="A997" s="15">
        <v>164</v>
      </c>
      <c r="B997" s="14">
        <v>1</v>
      </c>
      <c r="C997">
        <f>(B997*100)/$H$1</f>
        <v>1.9557989438685704E-2</v>
      </c>
      <c r="D997">
        <f>D996+C997</f>
        <v>60.512419323293855</v>
      </c>
      <c r="E997">
        <f>ROUNDDOWN(D997,2)</f>
        <v>60.51</v>
      </c>
    </row>
    <row r="998" spans="1:5" x14ac:dyDescent="0.35">
      <c r="A998" s="15">
        <v>163.9</v>
      </c>
      <c r="B998" s="14">
        <v>3</v>
      </c>
      <c r="C998">
        <f>(B998*100)/$H$1</f>
        <v>5.8673968316057111E-2</v>
      </c>
      <c r="D998">
        <f>D997+C998</f>
        <v>60.571093291609913</v>
      </c>
      <c r="E998">
        <f>ROUNDDOWN(D998,2)</f>
        <v>60.57</v>
      </c>
    </row>
    <row r="999" spans="1:5" x14ac:dyDescent="0.35">
      <c r="A999" s="15">
        <v>163.80000000000001</v>
      </c>
      <c r="B999" s="14">
        <v>3</v>
      </c>
      <c r="C999">
        <f>(B999*100)/$H$1</f>
        <v>5.8673968316057111E-2</v>
      </c>
      <c r="D999">
        <f>D998+C999</f>
        <v>60.62976725992597</v>
      </c>
      <c r="E999">
        <f>ROUNDDOWN(D999,2)</f>
        <v>60.62</v>
      </c>
    </row>
    <row r="1000" spans="1:5" x14ac:dyDescent="0.35">
      <c r="A1000" s="15">
        <v>163.69999999999999</v>
      </c>
      <c r="B1000" s="14">
        <v>3</v>
      </c>
      <c r="C1000">
        <f>(B1000*100)/$H$1</f>
        <v>5.8673968316057111E-2</v>
      </c>
      <c r="D1000">
        <f>D999+C1000</f>
        <v>60.688441228242027</v>
      </c>
      <c r="E1000">
        <f>ROUNDDOWN(D1000,2)</f>
        <v>60.68</v>
      </c>
    </row>
    <row r="1001" spans="1:5" x14ac:dyDescent="0.35">
      <c r="A1001" s="15">
        <v>163.6</v>
      </c>
      <c r="B1001" s="14">
        <v>3</v>
      </c>
      <c r="C1001">
        <f>(B1001*100)/$H$1</f>
        <v>5.8673968316057111E-2</v>
      </c>
      <c r="D1001">
        <f>D1000+C1001</f>
        <v>60.747115196558084</v>
      </c>
      <c r="E1001">
        <f>ROUNDDOWN(D1001,2)</f>
        <v>60.74</v>
      </c>
    </row>
    <row r="1002" spans="1:5" x14ac:dyDescent="0.35">
      <c r="A1002" s="15">
        <v>163.4</v>
      </c>
      <c r="B1002" s="14">
        <v>3</v>
      </c>
      <c r="C1002">
        <f>(B1002*100)/$H$1</f>
        <v>5.8673968316057111E-2</v>
      </c>
      <c r="D1002">
        <f>D1001+C1002</f>
        <v>60.805789164874142</v>
      </c>
      <c r="E1002">
        <f>ROUNDDOWN(D1002,2)</f>
        <v>60.8</v>
      </c>
    </row>
    <row r="1003" spans="1:5" x14ac:dyDescent="0.35">
      <c r="A1003" s="15">
        <v>163.30000000000001</v>
      </c>
      <c r="B1003" s="14">
        <v>2</v>
      </c>
      <c r="C1003">
        <f>(B1003*100)/$H$1</f>
        <v>3.9115978877371407E-2</v>
      </c>
      <c r="D1003">
        <f>D1002+C1003</f>
        <v>60.844905143751511</v>
      </c>
      <c r="E1003">
        <f>ROUNDDOWN(D1003,2)</f>
        <v>60.84</v>
      </c>
    </row>
    <row r="1004" spans="1:5" x14ac:dyDescent="0.35">
      <c r="A1004" s="15">
        <v>163.19999999999999</v>
      </c>
      <c r="B1004" s="14">
        <v>1</v>
      </c>
      <c r="C1004">
        <f>(B1004*100)/$H$1</f>
        <v>1.9557989438685704E-2</v>
      </c>
      <c r="D1004">
        <f>D1003+C1004</f>
        <v>60.864463133190199</v>
      </c>
      <c r="E1004">
        <f>ROUNDDOWN(D1004,2)</f>
        <v>60.86</v>
      </c>
    </row>
    <row r="1005" spans="1:5" x14ac:dyDescent="0.35">
      <c r="A1005" s="15">
        <v>163.1</v>
      </c>
      <c r="B1005" s="14">
        <v>2</v>
      </c>
      <c r="C1005">
        <f>(B1005*100)/$H$1</f>
        <v>3.9115978877371407E-2</v>
      </c>
      <c r="D1005">
        <f>D1004+C1005</f>
        <v>60.903579112067568</v>
      </c>
      <c r="E1005">
        <f>ROUNDDOWN(D1005,2)</f>
        <v>60.9</v>
      </c>
    </row>
    <row r="1006" spans="1:5" x14ac:dyDescent="0.35">
      <c r="A1006" s="15">
        <v>163</v>
      </c>
      <c r="B1006" s="14">
        <v>3</v>
      </c>
      <c r="C1006">
        <f>(B1006*100)/$H$1</f>
        <v>5.8673968316057111E-2</v>
      </c>
      <c r="D1006">
        <f>D1005+C1006</f>
        <v>60.962253080383626</v>
      </c>
      <c r="E1006">
        <f>ROUNDDOWN(D1006,2)</f>
        <v>60.96</v>
      </c>
    </row>
    <row r="1007" spans="1:5" x14ac:dyDescent="0.35">
      <c r="A1007" s="15">
        <v>162.9</v>
      </c>
      <c r="B1007" s="14">
        <v>1</v>
      </c>
      <c r="C1007">
        <f>(B1007*100)/$H$1</f>
        <v>1.9557989438685704E-2</v>
      </c>
      <c r="D1007">
        <f>D1006+C1007</f>
        <v>60.981811069822314</v>
      </c>
      <c r="E1007">
        <f>ROUNDDOWN(D1007,2)</f>
        <v>60.98</v>
      </c>
    </row>
    <row r="1008" spans="1:5" x14ac:dyDescent="0.35">
      <c r="A1008" s="15">
        <v>162.80000000000001</v>
      </c>
      <c r="B1008" s="14">
        <v>6</v>
      </c>
      <c r="C1008">
        <f>(B1008*100)/$H$1</f>
        <v>0.11734793663211422</v>
      </c>
      <c r="D1008">
        <f>D1007+C1008</f>
        <v>61.099159006454428</v>
      </c>
      <c r="E1008">
        <f>ROUNDDOWN(D1008,2)</f>
        <v>61.09</v>
      </c>
    </row>
    <row r="1009" spans="1:5" x14ac:dyDescent="0.35">
      <c r="A1009" s="15">
        <v>162.69999999999999</v>
      </c>
      <c r="B1009" s="14">
        <v>2</v>
      </c>
      <c r="C1009">
        <f>(B1009*100)/$H$1</f>
        <v>3.9115978877371407E-2</v>
      </c>
      <c r="D1009">
        <f>D1008+C1009</f>
        <v>61.138274985331797</v>
      </c>
      <c r="E1009">
        <f>ROUNDDOWN(D1009,2)</f>
        <v>61.13</v>
      </c>
    </row>
    <row r="1010" spans="1:5" x14ac:dyDescent="0.35">
      <c r="A1010" s="15">
        <v>162.6</v>
      </c>
      <c r="B1010" s="14">
        <v>3</v>
      </c>
      <c r="C1010">
        <f>(B1010*100)/$H$1</f>
        <v>5.8673968316057111E-2</v>
      </c>
      <c r="D1010">
        <f>D1009+C1010</f>
        <v>61.196948953647855</v>
      </c>
      <c r="E1010">
        <f>ROUNDDOWN(D1010,2)</f>
        <v>61.19</v>
      </c>
    </row>
    <row r="1011" spans="1:5" x14ac:dyDescent="0.35">
      <c r="A1011" s="15">
        <v>162.5</v>
      </c>
      <c r="B1011" s="14">
        <v>5</v>
      </c>
      <c r="C1011">
        <f>(B1011*100)/$H$1</f>
        <v>9.7789947193428511E-2</v>
      </c>
      <c r="D1011">
        <f>D1010+C1011</f>
        <v>61.294738900841281</v>
      </c>
      <c r="E1011">
        <f>ROUNDDOWN(D1011,2)</f>
        <v>61.29</v>
      </c>
    </row>
    <row r="1012" spans="1:5" x14ac:dyDescent="0.35">
      <c r="A1012" s="15">
        <v>162.4</v>
      </c>
      <c r="B1012" s="14">
        <v>1</v>
      </c>
      <c r="C1012">
        <f>(B1012*100)/$H$1</f>
        <v>1.9557989438685704E-2</v>
      </c>
      <c r="D1012">
        <f>D1011+C1012</f>
        <v>61.314296890279969</v>
      </c>
      <c r="E1012">
        <f>ROUNDDOWN(D1012,2)</f>
        <v>61.31</v>
      </c>
    </row>
    <row r="1013" spans="1:5" x14ac:dyDescent="0.35">
      <c r="A1013" s="15">
        <v>162.19999999999999</v>
      </c>
      <c r="B1013" s="14">
        <v>2</v>
      </c>
      <c r="C1013">
        <f>(B1013*100)/$H$1</f>
        <v>3.9115978877371407E-2</v>
      </c>
      <c r="D1013">
        <f>D1012+C1013</f>
        <v>61.353412869157339</v>
      </c>
      <c r="E1013">
        <f>ROUNDDOWN(D1013,2)</f>
        <v>61.35</v>
      </c>
    </row>
    <row r="1014" spans="1:5" x14ac:dyDescent="0.35">
      <c r="A1014" s="15">
        <v>162</v>
      </c>
      <c r="B1014" s="14">
        <v>3</v>
      </c>
      <c r="C1014">
        <f>(B1014*100)/$H$1</f>
        <v>5.8673968316057111E-2</v>
      </c>
      <c r="D1014">
        <f>D1013+C1014</f>
        <v>61.412086837473396</v>
      </c>
      <c r="E1014">
        <f>ROUNDDOWN(D1014,2)</f>
        <v>61.41</v>
      </c>
    </row>
    <row r="1015" spans="1:5" x14ac:dyDescent="0.35">
      <c r="A1015" s="15">
        <v>161.9</v>
      </c>
      <c r="B1015" s="14">
        <v>5</v>
      </c>
      <c r="C1015">
        <f>(B1015*100)/$H$1</f>
        <v>9.7789947193428511E-2</v>
      </c>
      <c r="D1015">
        <f>D1014+C1015</f>
        <v>61.509876784666822</v>
      </c>
      <c r="E1015">
        <f>ROUNDDOWN(D1015,2)</f>
        <v>61.5</v>
      </c>
    </row>
    <row r="1016" spans="1:5" x14ac:dyDescent="0.35">
      <c r="A1016" s="15">
        <v>161.80000000000001</v>
      </c>
      <c r="B1016" s="14">
        <v>1</v>
      </c>
      <c r="C1016">
        <f>(B1016*100)/$H$1</f>
        <v>1.9557989438685704E-2</v>
      </c>
      <c r="D1016">
        <f>D1015+C1016</f>
        <v>61.529434774105511</v>
      </c>
      <c r="E1016">
        <f>ROUNDDOWN(D1016,2)</f>
        <v>61.52</v>
      </c>
    </row>
    <row r="1017" spans="1:5" x14ac:dyDescent="0.35">
      <c r="A1017" s="15">
        <v>161.69999999999999</v>
      </c>
      <c r="B1017" s="14">
        <v>2</v>
      </c>
      <c r="C1017">
        <f>(B1017*100)/$H$1</f>
        <v>3.9115978877371407E-2</v>
      </c>
      <c r="D1017">
        <f>D1016+C1017</f>
        <v>61.56855075298288</v>
      </c>
      <c r="E1017">
        <f>ROUNDDOWN(D1017,2)</f>
        <v>61.56</v>
      </c>
    </row>
    <row r="1018" spans="1:5" x14ac:dyDescent="0.35">
      <c r="A1018" s="15">
        <v>161.6</v>
      </c>
      <c r="B1018" s="14">
        <v>2</v>
      </c>
      <c r="C1018">
        <f>(B1018*100)/$H$1</f>
        <v>3.9115978877371407E-2</v>
      </c>
      <c r="D1018">
        <f>D1017+C1018</f>
        <v>61.607666731860249</v>
      </c>
      <c r="E1018">
        <f>ROUNDDOWN(D1018,2)</f>
        <v>61.6</v>
      </c>
    </row>
    <row r="1019" spans="1:5" x14ac:dyDescent="0.35">
      <c r="A1019" s="15">
        <v>161.5</v>
      </c>
      <c r="B1019" s="14">
        <v>3</v>
      </c>
      <c r="C1019">
        <f>(B1019*100)/$H$1</f>
        <v>5.8673968316057111E-2</v>
      </c>
      <c r="D1019">
        <f>D1018+C1019</f>
        <v>61.666340700176306</v>
      </c>
      <c r="E1019">
        <f>ROUNDDOWN(D1019,2)</f>
        <v>61.66</v>
      </c>
    </row>
    <row r="1020" spans="1:5" x14ac:dyDescent="0.35">
      <c r="A1020" s="15">
        <v>161.4</v>
      </c>
      <c r="B1020" s="14">
        <v>6</v>
      </c>
      <c r="C1020">
        <f>(B1020*100)/$H$1</f>
        <v>0.11734793663211422</v>
      </c>
      <c r="D1020">
        <f>D1019+C1020</f>
        <v>61.783688636808421</v>
      </c>
      <c r="E1020">
        <f>ROUNDDOWN(D1020,2)</f>
        <v>61.78</v>
      </c>
    </row>
    <row r="1021" spans="1:5" x14ac:dyDescent="0.35">
      <c r="A1021" s="15">
        <v>161.30000000000001</v>
      </c>
      <c r="B1021" s="14">
        <v>6</v>
      </c>
      <c r="C1021">
        <f>(B1021*100)/$H$1</f>
        <v>0.11734793663211422</v>
      </c>
      <c r="D1021">
        <f>D1020+C1021</f>
        <v>61.901036573440535</v>
      </c>
      <c r="E1021">
        <f>ROUNDDOWN(D1021,2)</f>
        <v>61.9</v>
      </c>
    </row>
    <row r="1022" spans="1:5" x14ac:dyDescent="0.35">
      <c r="A1022" s="15">
        <v>161.19999999999999</v>
      </c>
      <c r="B1022" s="14">
        <v>4</v>
      </c>
      <c r="C1022">
        <f>(B1022*100)/$H$1</f>
        <v>7.8231957754742815E-2</v>
      </c>
      <c r="D1022">
        <f>D1021+C1022</f>
        <v>61.979268531195281</v>
      </c>
      <c r="E1022">
        <f>ROUNDDOWN(D1022,2)</f>
        <v>61.97</v>
      </c>
    </row>
    <row r="1023" spans="1:5" x14ac:dyDescent="0.35">
      <c r="A1023" s="15">
        <v>161.1</v>
      </c>
      <c r="B1023" s="14">
        <v>5</v>
      </c>
      <c r="C1023">
        <f>(B1023*100)/$H$1</f>
        <v>9.7789947193428511E-2</v>
      </c>
      <c r="D1023">
        <f>D1022+C1023</f>
        <v>62.077058478388707</v>
      </c>
      <c r="E1023">
        <f>ROUNDDOWN(D1023,2)</f>
        <v>62.07</v>
      </c>
    </row>
    <row r="1024" spans="1:5" x14ac:dyDescent="0.35">
      <c r="A1024" s="15">
        <v>160.9</v>
      </c>
      <c r="B1024" s="14">
        <v>2</v>
      </c>
      <c r="C1024">
        <f>(B1024*100)/$H$1</f>
        <v>3.9115978877371407E-2</v>
      </c>
      <c r="D1024">
        <f>D1023+C1024</f>
        <v>62.116174457266077</v>
      </c>
      <c r="E1024">
        <f>ROUNDDOWN(D1024,2)</f>
        <v>62.11</v>
      </c>
    </row>
    <row r="1025" spans="1:5" x14ac:dyDescent="0.35">
      <c r="A1025" s="15">
        <v>160.69999999999999</v>
      </c>
      <c r="B1025" s="14">
        <v>1</v>
      </c>
      <c r="C1025">
        <f>(B1025*100)/$H$1</f>
        <v>1.9557989438685704E-2</v>
      </c>
      <c r="D1025">
        <f>D1024+C1025</f>
        <v>62.135732446704765</v>
      </c>
      <c r="E1025">
        <f>ROUNDDOWN(D1025,2)</f>
        <v>62.13</v>
      </c>
    </row>
    <row r="1026" spans="1:5" x14ac:dyDescent="0.35">
      <c r="A1026" s="15">
        <v>160.6</v>
      </c>
      <c r="B1026" s="14">
        <v>3</v>
      </c>
      <c r="C1026">
        <f>(B1026*100)/$H$1</f>
        <v>5.8673968316057111E-2</v>
      </c>
      <c r="D1026">
        <f>D1025+C1026</f>
        <v>62.194406415020822</v>
      </c>
      <c r="E1026">
        <f>ROUNDDOWN(D1026,2)</f>
        <v>62.19</v>
      </c>
    </row>
    <row r="1027" spans="1:5" x14ac:dyDescent="0.35">
      <c r="A1027" s="15">
        <v>160.5</v>
      </c>
      <c r="B1027" s="14">
        <v>3</v>
      </c>
      <c r="C1027">
        <f>(B1027*100)/$H$1</f>
        <v>5.8673968316057111E-2</v>
      </c>
      <c r="D1027">
        <f>D1026+C1027</f>
        <v>62.253080383336879</v>
      </c>
      <c r="E1027">
        <f>ROUNDDOWN(D1027,2)</f>
        <v>62.25</v>
      </c>
    </row>
    <row r="1028" spans="1:5" x14ac:dyDescent="0.35">
      <c r="A1028" s="15">
        <v>160.4</v>
      </c>
      <c r="B1028" s="14">
        <v>5</v>
      </c>
      <c r="C1028">
        <f>(B1028*100)/$H$1</f>
        <v>9.7789947193428511E-2</v>
      </c>
      <c r="D1028">
        <f>D1027+C1028</f>
        <v>62.350870330530306</v>
      </c>
      <c r="E1028">
        <f>ROUNDDOWN(D1028,2)</f>
        <v>62.35</v>
      </c>
    </row>
    <row r="1029" spans="1:5" x14ac:dyDescent="0.35">
      <c r="A1029" s="15">
        <v>160.19999999999999</v>
      </c>
      <c r="B1029" s="14">
        <v>2</v>
      </c>
      <c r="C1029">
        <f>(B1029*100)/$H$1</f>
        <v>3.9115978877371407E-2</v>
      </c>
      <c r="D1029">
        <f>D1028+C1029</f>
        <v>62.389986309407675</v>
      </c>
      <c r="E1029">
        <f>ROUNDDOWN(D1029,2)</f>
        <v>62.38</v>
      </c>
    </row>
    <row r="1030" spans="1:5" x14ac:dyDescent="0.35">
      <c r="A1030" s="15">
        <v>160.1</v>
      </c>
      <c r="B1030" s="14">
        <v>5</v>
      </c>
      <c r="C1030">
        <f>(B1030*100)/$H$1</f>
        <v>9.7789947193428511E-2</v>
      </c>
      <c r="D1030">
        <f>D1029+C1030</f>
        <v>62.487776256601101</v>
      </c>
      <c r="E1030">
        <f>ROUNDDOWN(D1030,2)</f>
        <v>62.48</v>
      </c>
    </row>
    <row r="1031" spans="1:5" x14ac:dyDescent="0.35">
      <c r="A1031" s="15">
        <v>160</v>
      </c>
      <c r="B1031" s="14">
        <v>1</v>
      </c>
      <c r="C1031">
        <f>(B1031*100)/$H$1</f>
        <v>1.9557989438685704E-2</v>
      </c>
      <c r="D1031">
        <f>D1030+C1031</f>
        <v>62.50733424603979</v>
      </c>
      <c r="E1031">
        <f>ROUNDDOWN(D1031,2)</f>
        <v>62.5</v>
      </c>
    </row>
    <row r="1032" spans="1:5" x14ac:dyDescent="0.35">
      <c r="A1032" s="15">
        <v>159.9</v>
      </c>
      <c r="B1032" s="14">
        <v>2</v>
      </c>
      <c r="C1032">
        <f>(B1032*100)/$H$1</f>
        <v>3.9115978877371407E-2</v>
      </c>
      <c r="D1032">
        <f>D1031+C1032</f>
        <v>62.546450224917159</v>
      </c>
      <c r="E1032">
        <f>ROUNDDOWN(D1032,2)</f>
        <v>62.54</v>
      </c>
    </row>
    <row r="1033" spans="1:5" x14ac:dyDescent="0.35">
      <c r="A1033" s="15">
        <v>159.80000000000001</v>
      </c>
      <c r="B1033" s="14">
        <v>1</v>
      </c>
      <c r="C1033">
        <f>(B1033*100)/$H$1</f>
        <v>1.9557989438685704E-2</v>
      </c>
      <c r="D1033">
        <f>D1032+C1033</f>
        <v>62.566008214355847</v>
      </c>
      <c r="E1033">
        <f>ROUNDDOWN(D1033,2)</f>
        <v>62.56</v>
      </c>
    </row>
    <row r="1034" spans="1:5" x14ac:dyDescent="0.35">
      <c r="A1034" s="15">
        <v>159.69999999999999</v>
      </c>
      <c r="B1034" s="14">
        <v>2</v>
      </c>
      <c r="C1034">
        <f>(B1034*100)/$H$1</f>
        <v>3.9115978877371407E-2</v>
      </c>
      <c r="D1034">
        <f>D1033+C1034</f>
        <v>62.605124193233216</v>
      </c>
      <c r="E1034">
        <f>ROUNDDOWN(D1034,2)</f>
        <v>62.6</v>
      </c>
    </row>
    <row r="1035" spans="1:5" x14ac:dyDescent="0.35">
      <c r="A1035" s="15">
        <v>159.6</v>
      </c>
      <c r="B1035" s="14">
        <v>2</v>
      </c>
      <c r="C1035">
        <f>(B1035*100)/$H$1</f>
        <v>3.9115978877371407E-2</v>
      </c>
      <c r="D1035">
        <f>D1034+C1035</f>
        <v>62.644240172110585</v>
      </c>
      <c r="E1035">
        <f>ROUNDDOWN(D1035,2)</f>
        <v>62.64</v>
      </c>
    </row>
    <row r="1036" spans="1:5" x14ac:dyDescent="0.35">
      <c r="A1036" s="15">
        <v>159.5</v>
      </c>
      <c r="B1036" s="14">
        <v>1</v>
      </c>
      <c r="C1036">
        <f>(B1036*100)/$H$1</f>
        <v>1.9557989438685704E-2</v>
      </c>
      <c r="D1036">
        <f>D1035+C1036</f>
        <v>62.663798161549273</v>
      </c>
      <c r="E1036">
        <f>ROUNDDOWN(D1036,2)</f>
        <v>62.66</v>
      </c>
    </row>
    <row r="1037" spans="1:5" x14ac:dyDescent="0.35">
      <c r="A1037" s="15">
        <v>159.4</v>
      </c>
      <c r="B1037" s="14">
        <v>3</v>
      </c>
      <c r="C1037">
        <f>(B1037*100)/$H$1</f>
        <v>5.8673968316057111E-2</v>
      </c>
      <c r="D1037">
        <f>D1036+C1037</f>
        <v>62.722472129865331</v>
      </c>
      <c r="E1037">
        <f>ROUNDDOWN(D1037,2)</f>
        <v>62.72</v>
      </c>
    </row>
    <row r="1038" spans="1:5" x14ac:dyDescent="0.35">
      <c r="A1038" s="15">
        <v>159.30000000000001</v>
      </c>
      <c r="B1038" s="14">
        <v>2</v>
      </c>
      <c r="C1038">
        <f>(B1038*100)/$H$1</f>
        <v>3.9115978877371407E-2</v>
      </c>
      <c r="D1038">
        <f>D1037+C1038</f>
        <v>62.7615881087427</v>
      </c>
      <c r="E1038">
        <f>ROUNDDOWN(D1038,2)</f>
        <v>62.76</v>
      </c>
    </row>
    <row r="1039" spans="1:5" x14ac:dyDescent="0.35">
      <c r="A1039" s="15">
        <v>159.19999999999999</v>
      </c>
      <c r="B1039" s="14">
        <v>1</v>
      </c>
      <c r="C1039">
        <f>(B1039*100)/$H$1</f>
        <v>1.9557989438685704E-2</v>
      </c>
      <c r="D1039">
        <f>D1038+C1039</f>
        <v>62.781146098181388</v>
      </c>
      <c r="E1039">
        <f>ROUNDDOWN(D1039,2)</f>
        <v>62.78</v>
      </c>
    </row>
    <row r="1040" spans="1:5" x14ac:dyDescent="0.35">
      <c r="A1040" s="15">
        <v>159.1</v>
      </c>
      <c r="B1040" s="14">
        <v>1</v>
      </c>
      <c r="C1040">
        <f>(B1040*100)/$H$1</f>
        <v>1.9557989438685704E-2</v>
      </c>
      <c r="D1040">
        <f>D1039+C1040</f>
        <v>62.800704087620076</v>
      </c>
      <c r="E1040">
        <f>ROUNDDOWN(D1040,2)</f>
        <v>62.8</v>
      </c>
    </row>
    <row r="1041" spans="1:5" x14ac:dyDescent="0.35">
      <c r="A1041" s="15">
        <v>159</v>
      </c>
      <c r="B1041" s="14">
        <v>1</v>
      </c>
      <c r="C1041">
        <f>(B1041*100)/$H$1</f>
        <v>1.9557989438685704E-2</v>
      </c>
      <c r="D1041">
        <f>D1040+C1041</f>
        <v>62.820262077058764</v>
      </c>
      <c r="E1041">
        <f>ROUNDDOWN(D1041,2)</f>
        <v>62.82</v>
      </c>
    </row>
    <row r="1042" spans="1:5" x14ac:dyDescent="0.35">
      <c r="A1042" s="15">
        <v>158.9</v>
      </c>
      <c r="B1042" s="14">
        <v>3</v>
      </c>
      <c r="C1042">
        <f>(B1042*100)/$H$1</f>
        <v>5.8673968316057111E-2</v>
      </c>
      <c r="D1042">
        <f>D1041+C1042</f>
        <v>62.878936045374822</v>
      </c>
      <c r="E1042">
        <f>ROUNDDOWN(D1042,2)</f>
        <v>62.87</v>
      </c>
    </row>
    <row r="1043" spans="1:5" x14ac:dyDescent="0.35">
      <c r="A1043" s="15">
        <v>158.80000000000001</v>
      </c>
      <c r="B1043" s="14">
        <v>2</v>
      </c>
      <c r="C1043">
        <f>(B1043*100)/$H$1</f>
        <v>3.9115978877371407E-2</v>
      </c>
      <c r="D1043">
        <f>D1042+C1043</f>
        <v>62.918052024252191</v>
      </c>
      <c r="E1043">
        <f>ROUNDDOWN(D1043,2)</f>
        <v>62.91</v>
      </c>
    </row>
    <row r="1044" spans="1:5" x14ac:dyDescent="0.35">
      <c r="A1044" s="15">
        <v>158.6</v>
      </c>
      <c r="B1044" s="14">
        <v>3</v>
      </c>
      <c r="C1044">
        <f>(B1044*100)/$H$1</f>
        <v>5.8673968316057111E-2</v>
      </c>
      <c r="D1044">
        <f>D1043+C1044</f>
        <v>62.976725992568248</v>
      </c>
      <c r="E1044">
        <f>ROUNDDOWN(D1044,2)</f>
        <v>62.97</v>
      </c>
    </row>
    <row r="1045" spans="1:5" x14ac:dyDescent="0.35">
      <c r="A1045" s="15">
        <v>158.5</v>
      </c>
      <c r="B1045" s="14">
        <v>3</v>
      </c>
      <c r="C1045">
        <f>(B1045*100)/$H$1</f>
        <v>5.8673968316057111E-2</v>
      </c>
      <c r="D1045">
        <f>D1044+C1045</f>
        <v>63.035399960884305</v>
      </c>
      <c r="E1045">
        <f>ROUNDDOWN(D1045,2)</f>
        <v>63.03</v>
      </c>
    </row>
    <row r="1046" spans="1:5" x14ac:dyDescent="0.35">
      <c r="A1046" s="15">
        <v>158.4</v>
      </c>
      <c r="B1046" s="14">
        <v>1</v>
      </c>
      <c r="C1046">
        <f>(B1046*100)/$H$1</f>
        <v>1.9557989438685704E-2</v>
      </c>
      <c r="D1046">
        <f>D1045+C1046</f>
        <v>63.054957950322994</v>
      </c>
      <c r="E1046">
        <f>ROUNDDOWN(D1046,2)</f>
        <v>63.05</v>
      </c>
    </row>
    <row r="1047" spans="1:5" x14ac:dyDescent="0.35">
      <c r="A1047" s="15">
        <v>158.30000000000001</v>
      </c>
      <c r="B1047" s="14">
        <v>2</v>
      </c>
      <c r="C1047">
        <f>(B1047*100)/$H$1</f>
        <v>3.9115978877371407E-2</v>
      </c>
      <c r="D1047">
        <f>D1046+C1047</f>
        <v>63.094073929200363</v>
      </c>
      <c r="E1047">
        <f>ROUNDDOWN(D1047,2)</f>
        <v>63.09</v>
      </c>
    </row>
    <row r="1048" spans="1:5" x14ac:dyDescent="0.35">
      <c r="A1048" s="15">
        <v>158.19999999999999</v>
      </c>
      <c r="B1048" s="14">
        <v>2</v>
      </c>
      <c r="C1048">
        <f>(B1048*100)/$H$1</f>
        <v>3.9115978877371407E-2</v>
      </c>
      <c r="D1048">
        <f>D1047+C1048</f>
        <v>63.133189908077732</v>
      </c>
      <c r="E1048">
        <f>ROUNDDOWN(D1048,2)</f>
        <v>63.13</v>
      </c>
    </row>
    <row r="1049" spans="1:5" x14ac:dyDescent="0.35">
      <c r="A1049" s="15">
        <v>158.1</v>
      </c>
      <c r="B1049" s="14">
        <v>4</v>
      </c>
      <c r="C1049">
        <f>(B1049*100)/$H$1</f>
        <v>7.8231957754742815E-2</v>
      </c>
      <c r="D1049">
        <f>D1048+C1049</f>
        <v>63.211421865832477</v>
      </c>
      <c r="E1049">
        <f>ROUNDDOWN(D1049,2)</f>
        <v>63.21</v>
      </c>
    </row>
    <row r="1050" spans="1:5" x14ac:dyDescent="0.35">
      <c r="A1050" s="15">
        <v>158</v>
      </c>
      <c r="B1050" s="14">
        <v>2</v>
      </c>
      <c r="C1050">
        <f>(B1050*100)/$H$1</f>
        <v>3.9115978877371407E-2</v>
      </c>
      <c r="D1050">
        <f>D1049+C1050</f>
        <v>63.250537844709847</v>
      </c>
      <c r="E1050">
        <f>ROUNDDOWN(D1050,2)</f>
        <v>63.25</v>
      </c>
    </row>
    <row r="1051" spans="1:5" x14ac:dyDescent="0.35">
      <c r="A1051" s="15">
        <v>157.9</v>
      </c>
      <c r="B1051" s="14">
        <v>4</v>
      </c>
      <c r="C1051">
        <f>(B1051*100)/$H$1</f>
        <v>7.8231957754742815E-2</v>
      </c>
      <c r="D1051">
        <f>D1050+C1051</f>
        <v>63.328769802464592</v>
      </c>
      <c r="E1051">
        <f>ROUNDDOWN(D1051,2)</f>
        <v>63.32</v>
      </c>
    </row>
    <row r="1052" spans="1:5" x14ac:dyDescent="0.35">
      <c r="A1052" s="15">
        <v>157.80000000000001</v>
      </c>
      <c r="B1052" s="14">
        <v>2</v>
      </c>
      <c r="C1052">
        <f>(B1052*100)/$H$1</f>
        <v>3.9115978877371407E-2</v>
      </c>
      <c r="D1052">
        <f>D1051+C1052</f>
        <v>63.367885781341961</v>
      </c>
      <c r="E1052">
        <f>ROUNDDOWN(D1052,2)</f>
        <v>63.36</v>
      </c>
    </row>
    <row r="1053" spans="1:5" x14ac:dyDescent="0.35">
      <c r="A1053" s="15">
        <v>157.69999999999999</v>
      </c>
      <c r="B1053" s="14">
        <v>3</v>
      </c>
      <c r="C1053">
        <f>(B1053*100)/$H$1</f>
        <v>5.8673968316057111E-2</v>
      </c>
      <c r="D1053">
        <f>D1052+C1053</f>
        <v>63.426559749658018</v>
      </c>
      <c r="E1053">
        <f>ROUNDDOWN(D1053,2)</f>
        <v>63.42</v>
      </c>
    </row>
    <row r="1054" spans="1:5" x14ac:dyDescent="0.35">
      <c r="A1054" s="15">
        <v>157.6</v>
      </c>
      <c r="B1054" s="14">
        <v>2</v>
      </c>
      <c r="C1054">
        <f>(B1054*100)/$H$1</f>
        <v>3.9115978877371407E-2</v>
      </c>
      <c r="D1054">
        <f>D1053+C1054</f>
        <v>63.465675728535388</v>
      </c>
      <c r="E1054">
        <f>ROUNDDOWN(D1054,2)</f>
        <v>63.46</v>
      </c>
    </row>
    <row r="1055" spans="1:5" x14ac:dyDescent="0.35">
      <c r="A1055" s="15">
        <v>157.5</v>
      </c>
      <c r="B1055" s="14">
        <v>4</v>
      </c>
      <c r="C1055">
        <f>(B1055*100)/$H$1</f>
        <v>7.8231957754742815E-2</v>
      </c>
      <c r="D1055">
        <f>D1054+C1055</f>
        <v>63.543907686290133</v>
      </c>
      <c r="E1055">
        <f>ROUNDDOWN(D1055,2)</f>
        <v>63.54</v>
      </c>
    </row>
    <row r="1056" spans="1:5" x14ac:dyDescent="0.35">
      <c r="A1056" s="15">
        <v>157.4</v>
      </c>
      <c r="B1056" s="14">
        <v>1</v>
      </c>
      <c r="C1056">
        <f>(B1056*100)/$H$1</f>
        <v>1.9557989438685704E-2</v>
      </c>
      <c r="D1056">
        <f>D1055+C1056</f>
        <v>63.563465675728821</v>
      </c>
      <c r="E1056">
        <f>ROUNDDOWN(D1056,2)</f>
        <v>63.56</v>
      </c>
    </row>
    <row r="1057" spans="1:5" x14ac:dyDescent="0.35">
      <c r="A1057" s="15">
        <v>157.30000000000001</v>
      </c>
      <c r="B1057" s="14">
        <v>1</v>
      </c>
      <c r="C1057">
        <f>(B1057*100)/$H$1</f>
        <v>1.9557989438685704E-2</v>
      </c>
      <c r="D1057">
        <f>D1056+C1057</f>
        <v>63.583023665167509</v>
      </c>
      <c r="E1057">
        <f>ROUNDDOWN(D1057,2)</f>
        <v>63.58</v>
      </c>
    </row>
    <row r="1058" spans="1:5" x14ac:dyDescent="0.35">
      <c r="A1058" s="15">
        <v>157.19999999999999</v>
      </c>
      <c r="B1058" s="14">
        <v>1</v>
      </c>
      <c r="C1058">
        <f>(B1058*100)/$H$1</f>
        <v>1.9557989438685704E-2</v>
      </c>
      <c r="D1058">
        <f>D1057+C1058</f>
        <v>63.602581654606198</v>
      </c>
      <c r="E1058">
        <f>ROUNDDOWN(D1058,2)</f>
        <v>63.6</v>
      </c>
    </row>
    <row r="1059" spans="1:5" x14ac:dyDescent="0.35">
      <c r="A1059" s="15">
        <v>157.1</v>
      </c>
      <c r="B1059" s="14">
        <v>1</v>
      </c>
      <c r="C1059">
        <f>(B1059*100)/$H$1</f>
        <v>1.9557989438685704E-2</v>
      </c>
      <c r="D1059">
        <f>D1058+C1059</f>
        <v>63.622139644044886</v>
      </c>
      <c r="E1059">
        <f>ROUNDDOWN(D1059,2)</f>
        <v>63.62</v>
      </c>
    </row>
    <row r="1060" spans="1:5" x14ac:dyDescent="0.35">
      <c r="A1060" s="15">
        <v>156.9</v>
      </c>
      <c r="B1060" s="14">
        <v>3</v>
      </c>
      <c r="C1060">
        <f>(B1060*100)/$H$1</f>
        <v>5.8673968316057111E-2</v>
      </c>
      <c r="D1060">
        <f>D1059+C1060</f>
        <v>63.680813612360943</v>
      </c>
      <c r="E1060">
        <f>ROUNDDOWN(D1060,2)</f>
        <v>63.68</v>
      </c>
    </row>
    <row r="1061" spans="1:5" x14ac:dyDescent="0.35">
      <c r="A1061" s="15">
        <v>156.80000000000001</v>
      </c>
      <c r="B1061" s="14">
        <v>3</v>
      </c>
      <c r="C1061">
        <f>(B1061*100)/$H$1</f>
        <v>5.8673968316057111E-2</v>
      </c>
      <c r="D1061">
        <f>D1060+C1061</f>
        <v>63.739487580677</v>
      </c>
      <c r="E1061">
        <f>ROUNDDOWN(D1061,2)</f>
        <v>63.73</v>
      </c>
    </row>
    <row r="1062" spans="1:5" x14ac:dyDescent="0.35">
      <c r="A1062" s="15">
        <v>156.69999999999999</v>
      </c>
      <c r="B1062" s="14">
        <v>2</v>
      </c>
      <c r="C1062">
        <f>(B1062*100)/$H$1</f>
        <v>3.9115978877371407E-2</v>
      </c>
      <c r="D1062">
        <f>D1061+C1062</f>
        <v>63.778603559554369</v>
      </c>
      <c r="E1062">
        <f>ROUNDDOWN(D1062,2)</f>
        <v>63.77</v>
      </c>
    </row>
    <row r="1063" spans="1:5" x14ac:dyDescent="0.35">
      <c r="A1063" s="15">
        <v>156.6</v>
      </c>
      <c r="B1063" s="14">
        <v>3</v>
      </c>
      <c r="C1063">
        <f>(B1063*100)/$H$1</f>
        <v>5.8673968316057111E-2</v>
      </c>
      <c r="D1063">
        <f>D1062+C1063</f>
        <v>63.837277527870427</v>
      </c>
      <c r="E1063">
        <f>ROUNDDOWN(D1063,2)</f>
        <v>63.83</v>
      </c>
    </row>
    <row r="1064" spans="1:5" x14ac:dyDescent="0.35">
      <c r="A1064" s="15">
        <v>156.5</v>
      </c>
      <c r="B1064" s="14">
        <v>2</v>
      </c>
      <c r="C1064">
        <f>(B1064*100)/$H$1</f>
        <v>3.9115978877371407E-2</v>
      </c>
      <c r="D1064">
        <f>D1063+C1064</f>
        <v>63.876393506747796</v>
      </c>
      <c r="E1064">
        <f>ROUNDDOWN(D1064,2)</f>
        <v>63.87</v>
      </c>
    </row>
    <row r="1065" spans="1:5" x14ac:dyDescent="0.35">
      <c r="A1065" s="15">
        <v>156.4</v>
      </c>
      <c r="B1065" s="14">
        <v>2</v>
      </c>
      <c r="C1065">
        <f>(B1065*100)/$H$1</f>
        <v>3.9115978877371407E-2</v>
      </c>
      <c r="D1065">
        <f>D1064+C1065</f>
        <v>63.915509485625165</v>
      </c>
      <c r="E1065">
        <f>ROUNDDOWN(D1065,2)</f>
        <v>63.91</v>
      </c>
    </row>
    <row r="1066" spans="1:5" x14ac:dyDescent="0.35">
      <c r="A1066" s="15">
        <v>156.30000000000001</v>
      </c>
      <c r="B1066" s="14">
        <v>2</v>
      </c>
      <c r="C1066">
        <f>(B1066*100)/$H$1</f>
        <v>3.9115978877371407E-2</v>
      </c>
      <c r="D1066">
        <f>D1065+C1066</f>
        <v>63.954625464502534</v>
      </c>
      <c r="E1066">
        <f>ROUNDDOWN(D1066,2)</f>
        <v>63.95</v>
      </c>
    </row>
    <row r="1067" spans="1:5" x14ac:dyDescent="0.35">
      <c r="A1067" s="15">
        <v>156.19999999999999</v>
      </c>
      <c r="B1067" s="14">
        <v>3</v>
      </c>
      <c r="C1067">
        <f>(B1067*100)/$H$1</f>
        <v>5.8673968316057111E-2</v>
      </c>
      <c r="D1067">
        <f>D1066+C1067</f>
        <v>64.013299432818584</v>
      </c>
      <c r="E1067">
        <f>ROUNDDOWN(D1067,2)</f>
        <v>64.010000000000005</v>
      </c>
    </row>
    <row r="1068" spans="1:5" x14ac:dyDescent="0.35">
      <c r="A1068" s="15">
        <v>156.1</v>
      </c>
      <c r="B1068" s="14">
        <v>4</v>
      </c>
      <c r="C1068">
        <f>(B1068*100)/$H$1</f>
        <v>7.8231957754742815E-2</v>
      </c>
      <c r="D1068">
        <f>D1067+C1068</f>
        <v>64.091531390573323</v>
      </c>
      <c r="E1068">
        <f>ROUNDDOWN(D1068,2)</f>
        <v>64.09</v>
      </c>
    </row>
    <row r="1069" spans="1:5" x14ac:dyDescent="0.35">
      <c r="A1069" s="15">
        <v>156</v>
      </c>
      <c r="B1069" s="14">
        <v>5</v>
      </c>
      <c r="C1069">
        <f>(B1069*100)/$H$1</f>
        <v>9.7789947193428511E-2</v>
      </c>
      <c r="D1069">
        <f>D1068+C1069</f>
        <v>64.189321337766756</v>
      </c>
      <c r="E1069">
        <f>ROUNDDOWN(D1069,2)</f>
        <v>64.180000000000007</v>
      </c>
    </row>
    <row r="1070" spans="1:5" x14ac:dyDescent="0.35">
      <c r="A1070" s="15">
        <v>155.9</v>
      </c>
      <c r="B1070" s="14">
        <v>2</v>
      </c>
      <c r="C1070">
        <f>(B1070*100)/$H$1</f>
        <v>3.9115978877371407E-2</v>
      </c>
      <c r="D1070">
        <f>D1069+C1070</f>
        <v>64.228437316644133</v>
      </c>
      <c r="E1070">
        <f>ROUNDDOWN(D1070,2)</f>
        <v>64.22</v>
      </c>
    </row>
    <row r="1071" spans="1:5" x14ac:dyDescent="0.35">
      <c r="A1071" s="15">
        <v>155.80000000000001</v>
      </c>
      <c r="B1071" s="14">
        <v>2</v>
      </c>
      <c r="C1071">
        <f>(B1071*100)/$H$1</f>
        <v>3.9115978877371407E-2</v>
      </c>
      <c r="D1071">
        <f>D1070+C1071</f>
        <v>64.267553295521509</v>
      </c>
      <c r="E1071">
        <f>ROUNDDOWN(D1071,2)</f>
        <v>64.260000000000005</v>
      </c>
    </row>
    <row r="1072" spans="1:5" x14ac:dyDescent="0.35">
      <c r="A1072" s="15">
        <v>155.69999999999999</v>
      </c>
      <c r="B1072" s="14">
        <v>2</v>
      </c>
      <c r="C1072">
        <f>(B1072*100)/$H$1</f>
        <v>3.9115978877371407E-2</v>
      </c>
      <c r="D1072">
        <f>D1071+C1072</f>
        <v>64.306669274398885</v>
      </c>
      <c r="E1072">
        <f>ROUNDDOWN(D1072,2)</f>
        <v>64.3</v>
      </c>
    </row>
    <row r="1073" spans="1:5" x14ac:dyDescent="0.35">
      <c r="A1073" s="15">
        <v>155.6</v>
      </c>
      <c r="B1073" s="14">
        <v>3</v>
      </c>
      <c r="C1073">
        <f>(B1073*100)/$H$1</f>
        <v>5.8673968316057111E-2</v>
      </c>
      <c r="D1073">
        <f>D1072+C1073</f>
        <v>64.365343242714943</v>
      </c>
      <c r="E1073">
        <f>ROUNDDOWN(D1073,2)</f>
        <v>64.36</v>
      </c>
    </row>
    <row r="1074" spans="1:5" x14ac:dyDescent="0.35">
      <c r="A1074" s="15">
        <v>155.4</v>
      </c>
      <c r="B1074" s="14">
        <v>3</v>
      </c>
      <c r="C1074">
        <f>(B1074*100)/$H$1</f>
        <v>5.8673968316057111E-2</v>
      </c>
      <c r="D1074">
        <f>D1073+C1074</f>
        <v>64.424017211031</v>
      </c>
      <c r="E1074">
        <f>ROUNDDOWN(D1074,2)</f>
        <v>64.42</v>
      </c>
    </row>
    <row r="1075" spans="1:5" x14ac:dyDescent="0.35">
      <c r="A1075" s="15">
        <v>155.30000000000001</v>
      </c>
      <c r="B1075" s="14">
        <v>3</v>
      </c>
      <c r="C1075">
        <f>(B1075*100)/$H$1</f>
        <v>5.8673968316057111E-2</v>
      </c>
      <c r="D1075">
        <f>D1074+C1075</f>
        <v>64.482691179347057</v>
      </c>
      <c r="E1075">
        <f>ROUNDDOWN(D1075,2)</f>
        <v>64.48</v>
      </c>
    </row>
    <row r="1076" spans="1:5" x14ac:dyDescent="0.35">
      <c r="A1076" s="15">
        <v>155.19999999999999</v>
      </c>
      <c r="B1076" s="14">
        <v>1</v>
      </c>
      <c r="C1076">
        <f>(B1076*100)/$H$1</f>
        <v>1.9557989438685704E-2</v>
      </c>
      <c r="D1076">
        <f>D1075+C1076</f>
        <v>64.502249168785738</v>
      </c>
      <c r="E1076">
        <f>ROUNDDOWN(D1076,2)</f>
        <v>64.5</v>
      </c>
    </row>
    <row r="1077" spans="1:5" x14ac:dyDescent="0.35">
      <c r="A1077" s="15">
        <v>155.1</v>
      </c>
      <c r="B1077" s="14">
        <v>4</v>
      </c>
      <c r="C1077">
        <f>(B1077*100)/$H$1</f>
        <v>7.8231957754742815E-2</v>
      </c>
      <c r="D1077">
        <f>D1076+C1077</f>
        <v>64.580481126540477</v>
      </c>
      <c r="E1077">
        <f>ROUNDDOWN(D1077,2)</f>
        <v>64.58</v>
      </c>
    </row>
    <row r="1078" spans="1:5" x14ac:dyDescent="0.35">
      <c r="A1078" s="15">
        <v>155</v>
      </c>
      <c r="B1078" s="14">
        <v>2</v>
      </c>
      <c r="C1078">
        <f>(B1078*100)/$H$1</f>
        <v>3.9115978877371407E-2</v>
      </c>
      <c r="D1078">
        <f>D1077+C1078</f>
        <v>64.619597105417853</v>
      </c>
      <c r="E1078">
        <f>ROUNDDOWN(D1078,2)</f>
        <v>64.61</v>
      </c>
    </row>
    <row r="1079" spans="1:5" x14ac:dyDescent="0.35">
      <c r="A1079" s="15">
        <v>154.9</v>
      </c>
      <c r="B1079" s="14">
        <v>4</v>
      </c>
      <c r="C1079">
        <f>(B1079*100)/$H$1</f>
        <v>7.8231957754742815E-2</v>
      </c>
      <c r="D1079">
        <f>D1078+C1079</f>
        <v>64.697829063172591</v>
      </c>
      <c r="E1079">
        <f>ROUNDDOWN(D1079,2)</f>
        <v>64.69</v>
      </c>
    </row>
    <row r="1080" spans="1:5" x14ac:dyDescent="0.35">
      <c r="A1080" s="15">
        <v>154.80000000000001</v>
      </c>
      <c r="B1080" s="14">
        <v>3</v>
      </c>
      <c r="C1080">
        <f>(B1080*100)/$H$1</f>
        <v>5.8673968316057111E-2</v>
      </c>
      <c r="D1080">
        <f>D1079+C1080</f>
        <v>64.756503031488649</v>
      </c>
      <c r="E1080">
        <f>ROUNDDOWN(D1080,2)</f>
        <v>64.75</v>
      </c>
    </row>
    <row r="1081" spans="1:5" x14ac:dyDescent="0.35">
      <c r="A1081" s="15">
        <v>154.6</v>
      </c>
      <c r="B1081" s="14">
        <v>1</v>
      </c>
      <c r="C1081">
        <f>(B1081*100)/$H$1</f>
        <v>1.9557989438685704E-2</v>
      </c>
      <c r="D1081">
        <f>D1080+C1081</f>
        <v>64.77606102092733</v>
      </c>
      <c r="E1081">
        <f>ROUNDDOWN(D1081,2)</f>
        <v>64.77</v>
      </c>
    </row>
    <row r="1082" spans="1:5" x14ac:dyDescent="0.35">
      <c r="A1082" s="15">
        <v>154.5</v>
      </c>
      <c r="B1082" s="14">
        <v>2</v>
      </c>
      <c r="C1082">
        <f>(B1082*100)/$H$1</f>
        <v>3.9115978877371407E-2</v>
      </c>
      <c r="D1082">
        <f>D1081+C1082</f>
        <v>64.815176999804706</v>
      </c>
      <c r="E1082">
        <f>ROUNDDOWN(D1082,2)</f>
        <v>64.81</v>
      </c>
    </row>
    <row r="1083" spans="1:5" x14ac:dyDescent="0.35">
      <c r="A1083" s="15">
        <v>154.4</v>
      </c>
      <c r="B1083" s="14">
        <v>5</v>
      </c>
      <c r="C1083">
        <f>(B1083*100)/$H$1</f>
        <v>9.7789947193428511E-2</v>
      </c>
      <c r="D1083">
        <f>D1082+C1083</f>
        <v>64.912966946998139</v>
      </c>
      <c r="E1083">
        <f>ROUNDDOWN(D1083,2)</f>
        <v>64.91</v>
      </c>
    </row>
    <row r="1084" spans="1:5" x14ac:dyDescent="0.35">
      <c r="A1084" s="15">
        <v>154.30000000000001</v>
      </c>
      <c r="B1084" s="14">
        <v>1</v>
      </c>
      <c r="C1084">
        <f>(B1084*100)/$H$1</f>
        <v>1.9557989438685704E-2</v>
      </c>
      <c r="D1084">
        <f>D1083+C1084</f>
        <v>64.93252493643682</v>
      </c>
      <c r="E1084">
        <f>ROUNDDOWN(D1084,2)</f>
        <v>64.930000000000007</v>
      </c>
    </row>
    <row r="1085" spans="1:5" x14ac:dyDescent="0.35">
      <c r="A1085" s="15">
        <v>154.19999999999999</v>
      </c>
      <c r="B1085" s="14">
        <v>2</v>
      </c>
      <c r="C1085">
        <f>(B1085*100)/$H$1</f>
        <v>3.9115978877371407E-2</v>
      </c>
      <c r="D1085">
        <f>D1084+C1085</f>
        <v>64.971640915314197</v>
      </c>
      <c r="E1085">
        <f>ROUNDDOWN(D1085,2)</f>
        <v>64.97</v>
      </c>
    </row>
    <row r="1086" spans="1:5" x14ac:dyDescent="0.35">
      <c r="A1086" s="15">
        <v>154.1</v>
      </c>
      <c r="B1086" s="14">
        <v>2</v>
      </c>
      <c r="C1086">
        <f>(B1086*100)/$H$1</f>
        <v>3.9115978877371407E-2</v>
      </c>
      <c r="D1086">
        <f>D1085+C1086</f>
        <v>65.010756894191573</v>
      </c>
      <c r="E1086">
        <f>ROUNDDOWN(D1086,2)</f>
        <v>65.010000000000005</v>
      </c>
    </row>
    <row r="1087" spans="1:5" x14ac:dyDescent="0.35">
      <c r="A1087" s="15">
        <v>154</v>
      </c>
      <c r="B1087" s="14">
        <v>1</v>
      </c>
      <c r="C1087">
        <f>(B1087*100)/$H$1</f>
        <v>1.9557989438685704E-2</v>
      </c>
      <c r="D1087">
        <f>D1086+C1087</f>
        <v>65.030314883630254</v>
      </c>
      <c r="E1087">
        <f>ROUNDDOWN(D1087,2)</f>
        <v>65.03</v>
      </c>
    </row>
    <row r="1088" spans="1:5" x14ac:dyDescent="0.35">
      <c r="A1088" s="15">
        <v>153.9</v>
      </c>
      <c r="B1088" s="14">
        <v>5</v>
      </c>
      <c r="C1088">
        <f>(B1088*100)/$H$1</f>
        <v>9.7789947193428511E-2</v>
      </c>
      <c r="D1088">
        <f>D1087+C1088</f>
        <v>65.128104830823688</v>
      </c>
      <c r="E1088">
        <f>ROUNDDOWN(D1088,2)</f>
        <v>65.12</v>
      </c>
    </row>
    <row r="1089" spans="1:5" x14ac:dyDescent="0.35">
      <c r="A1089" s="15">
        <v>153.80000000000001</v>
      </c>
      <c r="B1089" s="14">
        <v>2</v>
      </c>
      <c r="C1089">
        <f>(B1089*100)/$H$1</f>
        <v>3.9115978877371407E-2</v>
      </c>
      <c r="D1089">
        <f>D1088+C1089</f>
        <v>65.167220809701064</v>
      </c>
      <c r="E1089">
        <f>ROUNDDOWN(D1089,2)</f>
        <v>65.16</v>
      </c>
    </row>
    <row r="1090" spans="1:5" x14ac:dyDescent="0.35">
      <c r="A1090" s="15">
        <v>153.69999999999999</v>
      </c>
      <c r="B1090" s="14">
        <v>2</v>
      </c>
      <c r="C1090">
        <f>(B1090*100)/$H$1</f>
        <v>3.9115978877371407E-2</v>
      </c>
      <c r="D1090">
        <f>D1089+C1090</f>
        <v>65.20633678857844</v>
      </c>
      <c r="E1090">
        <f>ROUNDDOWN(D1090,2)</f>
        <v>65.2</v>
      </c>
    </row>
    <row r="1091" spans="1:5" x14ac:dyDescent="0.35">
      <c r="A1091" s="15">
        <v>153.6</v>
      </c>
      <c r="B1091" s="14">
        <v>3</v>
      </c>
      <c r="C1091">
        <f>(B1091*100)/$H$1</f>
        <v>5.8673968316057111E-2</v>
      </c>
      <c r="D1091">
        <f>D1090+C1091</f>
        <v>65.265010756894497</v>
      </c>
      <c r="E1091">
        <f>ROUNDDOWN(D1091,2)</f>
        <v>65.260000000000005</v>
      </c>
    </row>
    <row r="1092" spans="1:5" x14ac:dyDescent="0.35">
      <c r="A1092" s="15">
        <v>153.5</v>
      </c>
      <c r="B1092" s="14">
        <v>2</v>
      </c>
      <c r="C1092">
        <f>(B1092*100)/$H$1</f>
        <v>3.9115978877371407E-2</v>
      </c>
      <c r="D1092">
        <f>D1091+C1092</f>
        <v>65.304126735771874</v>
      </c>
      <c r="E1092">
        <f>ROUNDDOWN(D1092,2)</f>
        <v>65.3</v>
      </c>
    </row>
    <row r="1093" spans="1:5" x14ac:dyDescent="0.35">
      <c r="A1093" s="15">
        <v>153.4</v>
      </c>
      <c r="B1093" s="14">
        <v>4</v>
      </c>
      <c r="C1093">
        <f>(B1093*100)/$H$1</f>
        <v>7.8231957754742815E-2</v>
      </c>
      <c r="D1093">
        <f>D1092+C1093</f>
        <v>65.382358693526612</v>
      </c>
      <c r="E1093">
        <f>ROUNDDOWN(D1093,2)</f>
        <v>65.38</v>
      </c>
    </row>
    <row r="1094" spans="1:5" x14ac:dyDescent="0.35">
      <c r="A1094" s="15">
        <v>153.30000000000001</v>
      </c>
      <c r="B1094" s="14">
        <v>2</v>
      </c>
      <c r="C1094">
        <f>(B1094*100)/$H$1</f>
        <v>3.9115978877371407E-2</v>
      </c>
      <c r="D1094">
        <f>D1093+C1094</f>
        <v>65.421474672403988</v>
      </c>
      <c r="E1094">
        <f>ROUNDDOWN(D1094,2)</f>
        <v>65.42</v>
      </c>
    </row>
    <row r="1095" spans="1:5" x14ac:dyDescent="0.35">
      <c r="A1095" s="15">
        <v>153.1</v>
      </c>
      <c r="B1095" s="14">
        <v>3</v>
      </c>
      <c r="C1095">
        <f>(B1095*100)/$H$1</f>
        <v>5.8673968316057111E-2</v>
      </c>
      <c r="D1095">
        <f>D1094+C1095</f>
        <v>65.480148640720046</v>
      </c>
      <c r="E1095">
        <f>ROUNDDOWN(D1095,2)</f>
        <v>65.48</v>
      </c>
    </row>
    <row r="1096" spans="1:5" x14ac:dyDescent="0.35">
      <c r="A1096" s="15">
        <v>153</v>
      </c>
      <c r="B1096" s="14">
        <v>1</v>
      </c>
      <c r="C1096">
        <f>(B1096*100)/$H$1</f>
        <v>1.9557989438685704E-2</v>
      </c>
      <c r="D1096">
        <f>D1095+C1096</f>
        <v>65.499706630158727</v>
      </c>
      <c r="E1096">
        <f>ROUNDDOWN(D1096,2)</f>
        <v>65.489999999999995</v>
      </c>
    </row>
    <row r="1097" spans="1:5" x14ac:dyDescent="0.35">
      <c r="A1097" s="15">
        <v>152.9</v>
      </c>
      <c r="B1097" s="14">
        <v>1</v>
      </c>
      <c r="C1097">
        <f>(B1097*100)/$H$1</f>
        <v>1.9557989438685704E-2</v>
      </c>
      <c r="D1097">
        <f>D1096+C1097</f>
        <v>65.519264619597408</v>
      </c>
      <c r="E1097">
        <f>ROUNDDOWN(D1097,2)</f>
        <v>65.510000000000005</v>
      </c>
    </row>
    <row r="1098" spans="1:5" x14ac:dyDescent="0.35">
      <c r="A1098" s="15">
        <v>152.80000000000001</v>
      </c>
      <c r="B1098" s="14">
        <v>7</v>
      </c>
      <c r="C1098">
        <f>(B1098*100)/$H$1</f>
        <v>0.13690592607079993</v>
      </c>
      <c r="D1098">
        <f>D1097+C1098</f>
        <v>65.656170545668203</v>
      </c>
      <c r="E1098">
        <f>ROUNDDOWN(D1098,2)</f>
        <v>65.650000000000006</v>
      </c>
    </row>
    <row r="1099" spans="1:5" x14ac:dyDescent="0.35">
      <c r="A1099" s="15">
        <v>152.69999999999999</v>
      </c>
      <c r="B1099" s="14">
        <v>2</v>
      </c>
      <c r="C1099">
        <f>(B1099*100)/$H$1</f>
        <v>3.9115978877371407E-2</v>
      </c>
      <c r="D1099">
        <f>D1098+C1099</f>
        <v>65.69528652454558</v>
      </c>
      <c r="E1099">
        <f>ROUNDDOWN(D1099,2)</f>
        <v>65.69</v>
      </c>
    </row>
    <row r="1100" spans="1:5" x14ac:dyDescent="0.35">
      <c r="A1100" s="15">
        <v>152.6</v>
      </c>
      <c r="B1100" s="14">
        <v>2</v>
      </c>
      <c r="C1100">
        <f>(B1100*100)/$H$1</f>
        <v>3.9115978877371407E-2</v>
      </c>
      <c r="D1100">
        <f>D1099+C1100</f>
        <v>65.734402503422956</v>
      </c>
      <c r="E1100">
        <f>ROUNDDOWN(D1100,2)</f>
        <v>65.73</v>
      </c>
    </row>
    <row r="1101" spans="1:5" x14ac:dyDescent="0.35">
      <c r="A1101" s="15">
        <v>152.5</v>
      </c>
      <c r="B1101" s="14">
        <v>3</v>
      </c>
      <c r="C1101">
        <f>(B1101*100)/$H$1</f>
        <v>5.8673968316057111E-2</v>
      </c>
      <c r="D1101">
        <f>D1100+C1101</f>
        <v>65.793076471739013</v>
      </c>
      <c r="E1101">
        <f>ROUNDDOWN(D1101,2)</f>
        <v>65.790000000000006</v>
      </c>
    </row>
    <row r="1102" spans="1:5" x14ac:dyDescent="0.35">
      <c r="A1102" s="15">
        <v>152.4</v>
      </c>
      <c r="B1102" s="14">
        <v>1</v>
      </c>
      <c r="C1102">
        <f>(B1102*100)/$H$1</f>
        <v>1.9557989438685704E-2</v>
      </c>
      <c r="D1102">
        <f>D1101+C1102</f>
        <v>65.812634461177694</v>
      </c>
      <c r="E1102">
        <f>ROUNDDOWN(D1102,2)</f>
        <v>65.81</v>
      </c>
    </row>
    <row r="1103" spans="1:5" x14ac:dyDescent="0.35">
      <c r="A1103" s="15">
        <v>152.30000000000001</v>
      </c>
      <c r="B1103" s="14">
        <v>1</v>
      </c>
      <c r="C1103">
        <f>(B1103*100)/$H$1</f>
        <v>1.9557989438685704E-2</v>
      </c>
      <c r="D1103">
        <f>D1102+C1103</f>
        <v>65.832192450616375</v>
      </c>
      <c r="E1103">
        <f>ROUNDDOWN(D1103,2)</f>
        <v>65.83</v>
      </c>
    </row>
    <row r="1104" spans="1:5" x14ac:dyDescent="0.35">
      <c r="A1104" s="15">
        <v>152.19999999999999</v>
      </c>
      <c r="B1104" s="14">
        <v>2</v>
      </c>
      <c r="C1104">
        <f>(B1104*100)/$H$1</f>
        <v>3.9115978877371407E-2</v>
      </c>
      <c r="D1104">
        <f>D1103+C1104</f>
        <v>65.871308429493752</v>
      </c>
      <c r="E1104">
        <f>ROUNDDOWN(D1104,2)</f>
        <v>65.87</v>
      </c>
    </row>
    <row r="1105" spans="1:5" x14ac:dyDescent="0.35">
      <c r="A1105" s="15">
        <v>152.1</v>
      </c>
      <c r="B1105" s="14">
        <v>2</v>
      </c>
      <c r="C1105">
        <f>(B1105*100)/$H$1</f>
        <v>3.9115978877371407E-2</v>
      </c>
      <c r="D1105">
        <f>D1104+C1105</f>
        <v>65.910424408371128</v>
      </c>
      <c r="E1105">
        <f>ROUNDDOWN(D1105,2)</f>
        <v>65.91</v>
      </c>
    </row>
    <row r="1106" spans="1:5" x14ac:dyDescent="0.35">
      <c r="A1106" s="15">
        <v>152</v>
      </c>
      <c r="B1106" s="14">
        <v>1</v>
      </c>
      <c r="C1106">
        <f>(B1106*100)/$H$1</f>
        <v>1.9557989438685704E-2</v>
      </c>
      <c r="D1106">
        <f>D1105+C1106</f>
        <v>65.929982397809809</v>
      </c>
      <c r="E1106">
        <f>ROUNDDOWN(D1106,2)</f>
        <v>65.92</v>
      </c>
    </row>
    <row r="1107" spans="1:5" x14ac:dyDescent="0.35">
      <c r="A1107" s="15">
        <v>151.9</v>
      </c>
      <c r="B1107" s="14">
        <v>2</v>
      </c>
      <c r="C1107">
        <f>(B1107*100)/$H$1</f>
        <v>3.9115978877371407E-2</v>
      </c>
      <c r="D1107">
        <f>D1106+C1107</f>
        <v>65.969098376687185</v>
      </c>
      <c r="E1107">
        <f>ROUNDDOWN(D1107,2)</f>
        <v>65.959999999999994</v>
      </c>
    </row>
    <row r="1108" spans="1:5" x14ac:dyDescent="0.35">
      <c r="A1108" s="15">
        <v>151.80000000000001</v>
      </c>
      <c r="B1108" s="14">
        <v>1</v>
      </c>
      <c r="C1108">
        <f>(B1108*100)/$H$1</f>
        <v>1.9557989438685704E-2</v>
      </c>
      <c r="D1108">
        <f>D1107+C1108</f>
        <v>65.988656366125866</v>
      </c>
      <c r="E1108">
        <f>ROUNDDOWN(D1108,2)</f>
        <v>65.98</v>
      </c>
    </row>
    <row r="1109" spans="1:5" x14ac:dyDescent="0.35">
      <c r="A1109" s="15">
        <v>151.69999999999999</v>
      </c>
      <c r="B1109" s="14">
        <v>3</v>
      </c>
      <c r="C1109">
        <f>(B1109*100)/$H$1</f>
        <v>5.8673968316057111E-2</v>
      </c>
      <c r="D1109">
        <f>D1108+C1109</f>
        <v>66.047330334441924</v>
      </c>
      <c r="E1109">
        <f>ROUNDDOWN(D1109,2)</f>
        <v>66.040000000000006</v>
      </c>
    </row>
    <row r="1110" spans="1:5" x14ac:dyDescent="0.35">
      <c r="A1110" s="15">
        <v>151.6</v>
      </c>
      <c r="B1110" s="14">
        <v>2</v>
      </c>
      <c r="C1110">
        <f>(B1110*100)/$H$1</f>
        <v>3.9115978877371407E-2</v>
      </c>
      <c r="D1110">
        <f>D1109+C1110</f>
        <v>66.0864463133193</v>
      </c>
      <c r="E1110">
        <f>ROUNDDOWN(D1110,2)</f>
        <v>66.08</v>
      </c>
    </row>
    <row r="1111" spans="1:5" x14ac:dyDescent="0.35">
      <c r="A1111" s="15">
        <v>151.4</v>
      </c>
      <c r="B1111" s="14">
        <v>2</v>
      </c>
      <c r="C1111">
        <f>(B1111*100)/$H$1</f>
        <v>3.9115978877371407E-2</v>
      </c>
      <c r="D1111">
        <f>D1110+C1111</f>
        <v>66.125562292196676</v>
      </c>
      <c r="E1111">
        <f>ROUNDDOWN(D1111,2)</f>
        <v>66.12</v>
      </c>
    </row>
    <row r="1112" spans="1:5" x14ac:dyDescent="0.35">
      <c r="A1112" s="15">
        <v>151.30000000000001</v>
      </c>
      <c r="B1112" s="14">
        <v>1</v>
      </c>
      <c r="C1112">
        <f>(B1112*100)/$H$1</f>
        <v>1.9557989438685704E-2</v>
      </c>
      <c r="D1112">
        <f>D1111+C1112</f>
        <v>66.145120281635357</v>
      </c>
      <c r="E1112">
        <f>ROUNDDOWN(D1112,2)</f>
        <v>66.14</v>
      </c>
    </row>
    <row r="1113" spans="1:5" x14ac:dyDescent="0.35">
      <c r="A1113" s="15">
        <v>151.19999999999999</v>
      </c>
      <c r="B1113" s="14">
        <v>2</v>
      </c>
      <c r="C1113">
        <f>(B1113*100)/$H$1</f>
        <v>3.9115978877371407E-2</v>
      </c>
      <c r="D1113">
        <f>D1112+C1113</f>
        <v>66.184236260512733</v>
      </c>
      <c r="E1113">
        <f>ROUNDDOWN(D1113,2)</f>
        <v>66.180000000000007</v>
      </c>
    </row>
    <row r="1114" spans="1:5" x14ac:dyDescent="0.35">
      <c r="A1114" s="15">
        <v>151.1</v>
      </c>
      <c r="B1114" s="14">
        <v>5</v>
      </c>
      <c r="C1114">
        <f>(B1114*100)/$H$1</f>
        <v>9.7789947193428511E-2</v>
      </c>
      <c r="D1114">
        <f>D1113+C1114</f>
        <v>66.282026207706167</v>
      </c>
      <c r="E1114">
        <f>ROUNDDOWN(D1114,2)</f>
        <v>66.28</v>
      </c>
    </row>
    <row r="1115" spans="1:5" x14ac:dyDescent="0.35">
      <c r="A1115" s="15">
        <v>150.9</v>
      </c>
      <c r="B1115" s="14">
        <v>3</v>
      </c>
      <c r="C1115">
        <f>(B1115*100)/$H$1</f>
        <v>5.8673968316057111E-2</v>
      </c>
      <c r="D1115">
        <f>D1114+C1115</f>
        <v>66.340700176022224</v>
      </c>
      <c r="E1115">
        <f>ROUNDDOWN(D1115,2)</f>
        <v>66.34</v>
      </c>
    </row>
    <row r="1116" spans="1:5" x14ac:dyDescent="0.35">
      <c r="A1116" s="15">
        <v>150.80000000000001</v>
      </c>
      <c r="B1116" s="14">
        <v>1</v>
      </c>
      <c r="C1116">
        <f>(B1116*100)/$H$1</f>
        <v>1.9557989438685704E-2</v>
      </c>
      <c r="D1116">
        <f>D1115+C1116</f>
        <v>66.360258165460905</v>
      </c>
      <c r="E1116">
        <f>ROUNDDOWN(D1116,2)</f>
        <v>66.36</v>
      </c>
    </row>
    <row r="1117" spans="1:5" x14ac:dyDescent="0.35">
      <c r="A1117" s="15">
        <v>150.6</v>
      </c>
      <c r="B1117" s="14">
        <v>1</v>
      </c>
      <c r="C1117">
        <f>(B1117*100)/$H$1</f>
        <v>1.9557989438685704E-2</v>
      </c>
      <c r="D1117">
        <f>D1116+C1117</f>
        <v>66.379816154899586</v>
      </c>
      <c r="E1117">
        <f>ROUNDDOWN(D1117,2)</f>
        <v>66.37</v>
      </c>
    </row>
    <row r="1118" spans="1:5" x14ac:dyDescent="0.35">
      <c r="A1118" s="15">
        <v>150.5</v>
      </c>
      <c r="B1118" s="14">
        <v>1</v>
      </c>
      <c r="C1118">
        <f>(B1118*100)/$H$1</f>
        <v>1.9557989438685704E-2</v>
      </c>
      <c r="D1118">
        <f>D1117+C1118</f>
        <v>66.399374144338267</v>
      </c>
      <c r="E1118">
        <f>ROUNDDOWN(D1118,2)</f>
        <v>66.39</v>
      </c>
    </row>
    <row r="1119" spans="1:5" x14ac:dyDescent="0.35">
      <c r="A1119" s="15">
        <v>150.4</v>
      </c>
      <c r="B1119" s="14">
        <v>6</v>
      </c>
      <c r="C1119">
        <f>(B1119*100)/$H$1</f>
        <v>0.11734793663211422</v>
      </c>
      <c r="D1119">
        <f>D1118+C1119</f>
        <v>66.516722080970382</v>
      </c>
      <c r="E1119">
        <f>ROUNDDOWN(D1119,2)</f>
        <v>66.510000000000005</v>
      </c>
    </row>
    <row r="1120" spans="1:5" x14ac:dyDescent="0.35">
      <c r="A1120" s="15">
        <v>150.30000000000001</v>
      </c>
      <c r="B1120" s="14">
        <v>2</v>
      </c>
      <c r="C1120">
        <f>(B1120*100)/$H$1</f>
        <v>3.9115978877371407E-2</v>
      </c>
      <c r="D1120">
        <f>D1119+C1120</f>
        <v>66.555838059847758</v>
      </c>
      <c r="E1120">
        <f>ROUNDDOWN(D1120,2)</f>
        <v>66.55</v>
      </c>
    </row>
    <row r="1121" spans="1:5" x14ac:dyDescent="0.35">
      <c r="A1121" s="15">
        <v>150.19999999999999</v>
      </c>
      <c r="B1121" s="14">
        <v>1</v>
      </c>
      <c r="C1121">
        <f>(B1121*100)/$H$1</f>
        <v>1.9557989438685704E-2</v>
      </c>
      <c r="D1121">
        <f>D1120+C1121</f>
        <v>66.575396049286439</v>
      </c>
      <c r="E1121">
        <f>ROUNDDOWN(D1121,2)</f>
        <v>66.569999999999993</v>
      </c>
    </row>
    <row r="1122" spans="1:5" x14ac:dyDescent="0.35">
      <c r="A1122" s="15">
        <v>150.1</v>
      </c>
      <c r="B1122" s="14">
        <v>1</v>
      </c>
      <c r="C1122">
        <f>(B1122*100)/$H$1</f>
        <v>1.9557989438685704E-2</v>
      </c>
      <c r="D1122">
        <f>D1121+C1122</f>
        <v>66.59495403872512</v>
      </c>
      <c r="E1122">
        <f>ROUNDDOWN(D1122,2)</f>
        <v>66.59</v>
      </c>
    </row>
    <row r="1123" spans="1:5" x14ac:dyDescent="0.35">
      <c r="A1123" s="15">
        <v>150</v>
      </c>
      <c r="B1123" s="14">
        <v>1</v>
      </c>
      <c r="C1123">
        <f>(B1123*100)/$H$1</f>
        <v>1.9557989438685704E-2</v>
      </c>
      <c r="D1123">
        <f>D1122+C1123</f>
        <v>66.614512028163801</v>
      </c>
      <c r="E1123">
        <f>ROUNDDOWN(D1123,2)</f>
        <v>66.61</v>
      </c>
    </row>
    <row r="1124" spans="1:5" x14ac:dyDescent="0.35">
      <c r="A1124" s="15">
        <v>149.80000000000001</v>
      </c>
      <c r="B1124" s="14">
        <v>1</v>
      </c>
      <c r="C1124">
        <f>(B1124*100)/$H$1</f>
        <v>1.9557989438685704E-2</v>
      </c>
      <c r="D1124">
        <f>D1123+C1124</f>
        <v>66.634070017602482</v>
      </c>
      <c r="E1124">
        <f>ROUNDDOWN(D1124,2)</f>
        <v>66.63</v>
      </c>
    </row>
    <row r="1125" spans="1:5" x14ac:dyDescent="0.35">
      <c r="A1125" s="15">
        <v>149.69999999999999</v>
      </c>
      <c r="B1125" s="14">
        <v>2</v>
      </c>
      <c r="C1125">
        <f>(B1125*100)/$H$1</f>
        <v>3.9115978877371407E-2</v>
      </c>
      <c r="D1125">
        <f>D1124+C1125</f>
        <v>66.673185996479859</v>
      </c>
      <c r="E1125">
        <f>ROUNDDOWN(D1125,2)</f>
        <v>66.67</v>
      </c>
    </row>
    <row r="1126" spans="1:5" x14ac:dyDescent="0.35">
      <c r="A1126" s="15">
        <v>149.6</v>
      </c>
      <c r="B1126" s="14">
        <v>2</v>
      </c>
      <c r="C1126">
        <f>(B1126*100)/$H$1</f>
        <v>3.9115978877371407E-2</v>
      </c>
      <c r="D1126">
        <f>D1125+C1126</f>
        <v>66.712301975357235</v>
      </c>
      <c r="E1126">
        <f>ROUNDDOWN(D1126,2)</f>
        <v>66.709999999999994</v>
      </c>
    </row>
    <row r="1127" spans="1:5" x14ac:dyDescent="0.35">
      <c r="A1127" s="15">
        <v>149.4</v>
      </c>
      <c r="B1127" s="14">
        <v>2</v>
      </c>
      <c r="C1127">
        <f>(B1127*100)/$H$1</f>
        <v>3.9115978877371407E-2</v>
      </c>
      <c r="D1127">
        <f>D1126+C1127</f>
        <v>66.751417954234611</v>
      </c>
      <c r="E1127">
        <f>ROUNDDOWN(D1127,2)</f>
        <v>66.75</v>
      </c>
    </row>
    <row r="1128" spans="1:5" x14ac:dyDescent="0.35">
      <c r="A1128" s="15">
        <v>149.30000000000001</v>
      </c>
      <c r="B1128" s="14">
        <v>2</v>
      </c>
      <c r="C1128">
        <f>(B1128*100)/$H$1</f>
        <v>3.9115978877371407E-2</v>
      </c>
      <c r="D1128">
        <f>D1127+C1128</f>
        <v>66.790533933111988</v>
      </c>
      <c r="E1128">
        <f>ROUNDDOWN(D1128,2)</f>
        <v>66.790000000000006</v>
      </c>
    </row>
    <row r="1129" spans="1:5" x14ac:dyDescent="0.35">
      <c r="A1129" s="15">
        <v>149.19999999999999</v>
      </c>
      <c r="B1129" s="14">
        <v>1</v>
      </c>
      <c r="C1129">
        <f>(B1129*100)/$H$1</f>
        <v>1.9557989438685704E-2</v>
      </c>
      <c r="D1129">
        <f>D1128+C1129</f>
        <v>66.810091922550669</v>
      </c>
      <c r="E1129">
        <f>ROUNDDOWN(D1129,2)</f>
        <v>66.81</v>
      </c>
    </row>
    <row r="1130" spans="1:5" x14ac:dyDescent="0.35">
      <c r="A1130" s="15">
        <v>149</v>
      </c>
      <c r="B1130" s="14">
        <v>2</v>
      </c>
      <c r="C1130">
        <f>(B1130*100)/$H$1</f>
        <v>3.9115978877371407E-2</v>
      </c>
      <c r="D1130">
        <f>D1129+C1130</f>
        <v>66.849207901428045</v>
      </c>
      <c r="E1130">
        <f>ROUNDDOWN(D1130,2)</f>
        <v>66.84</v>
      </c>
    </row>
    <row r="1131" spans="1:5" x14ac:dyDescent="0.35">
      <c r="A1131" s="15">
        <v>148.4</v>
      </c>
      <c r="B1131" s="14">
        <v>3</v>
      </c>
      <c r="C1131">
        <f>(B1131*100)/$H$1</f>
        <v>5.8673968316057111E-2</v>
      </c>
      <c r="D1131">
        <f>D1130+C1131</f>
        <v>66.907881869744102</v>
      </c>
      <c r="E1131">
        <f>ROUNDDOWN(D1131,2)</f>
        <v>66.900000000000006</v>
      </c>
    </row>
    <row r="1132" spans="1:5" x14ac:dyDescent="0.35">
      <c r="A1132" s="15">
        <v>148.30000000000001</v>
      </c>
      <c r="B1132" s="14">
        <v>3</v>
      </c>
      <c r="C1132">
        <f>(B1132*100)/$H$1</f>
        <v>5.8673968316057111E-2</v>
      </c>
      <c r="D1132">
        <f>D1131+C1132</f>
        <v>66.96655583806016</v>
      </c>
      <c r="E1132">
        <f>ROUNDDOWN(D1132,2)</f>
        <v>66.959999999999994</v>
      </c>
    </row>
    <row r="1133" spans="1:5" x14ac:dyDescent="0.35">
      <c r="A1133" s="15">
        <v>148.19999999999999</v>
      </c>
      <c r="B1133" s="14">
        <v>1</v>
      </c>
      <c r="C1133">
        <f>(B1133*100)/$H$1</f>
        <v>1.9557989438685704E-2</v>
      </c>
      <c r="D1133">
        <f>D1132+C1133</f>
        <v>66.986113827498841</v>
      </c>
      <c r="E1133">
        <f>ROUNDDOWN(D1133,2)</f>
        <v>66.98</v>
      </c>
    </row>
    <row r="1134" spans="1:5" x14ac:dyDescent="0.35">
      <c r="A1134" s="15">
        <v>148.1</v>
      </c>
      <c r="B1134" s="14">
        <v>2</v>
      </c>
      <c r="C1134">
        <f>(B1134*100)/$H$1</f>
        <v>3.9115978877371407E-2</v>
      </c>
      <c r="D1134">
        <f>D1133+C1134</f>
        <v>67.025229806376217</v>
      </c>
      <c r="E1134">
        <f>ROUNDDOWN(D1134,2)</f>
        <v>67.02</v>
      </c>
    </row>
    <row r="1135" spans="1:5" x14ac:dyDescent="0.35">
      <c r="A1135" s="15">
        <v>148</v>
      </c>
      <c r="B1135" s="14">
        <v>2</v>
      </c>
      <c r="C1135">
        <f>(B1135*100)/$H$1</f>
        <v>3.9115978877371407E-2</v>
      </c>
      <c r="D1135">
        <f>D1134+C1135</f>
        <v>67.064345785253593</v>
      </c>
      <c r="E1135">
        <f>ROUNDDOWN(D1135,2)</f>
        <v>67.06</v>
      </c>
    </row>
    <row r="1136" spans="1:5" x14ac:dyDescent="0.35">
      <c r="A1136" s="15">
        <v>147.9</v>
      </c>
      <c r="B1136" s="14">
        <v>1</v>
      </c>
      <c r="C1136">
        <f>(B1136*100)/$H$1</f>
        <v>1.9557989438685704E-2</v>
      </c>
      <c r="D1136">
        <f>D1135+C1136</f>
        <v>67.083903774692274</v>
      </c>
      <c r="E1136">
        <f>ROUNDDOWN(D1136,2)</f>
        <v>67.08</v>
      </c>
    </row>
    <row r="1137" spans="1:5" x14ac:dyDescent="0.35">
      <c r="A1137" s="15">
        <v>147.80000000000001</v>
      </c>
      <c r="B1137" s="14">
        <v>3</v>
      </c>
      <c r="C1137">
        <f>(B1137*100)/$H$1</f>
        <v>5.8673968316057111E-2</v>
      </c>
      <c r="D1137">
        <f>D1136+C1137</f>
        <v>67.142577743008331</v>
      </c>
      <c r="E1137">
        <f>ROUNDDOWN(D1137,2)</f>
        <v>67.14</v>
      </c>
    </row>
    <row r="1138" spans="1:5" x14ac:dyDescent="0.35">
      <c r="A1138" s="15">
        <v>147.69999999999999</v>
      </c>
      <c r="B1138" s="14">
        <v>2</v>
      </c>
      <c r="C1138">
        <f>(B1138*100)/$H$1</f>
        <v>3.9115978877371407E-2</v>
      </c>
      <c r="D1138">
        <f>D1137+C1138</f>
        <v>67.181693721885708</v>
      </c>
      <c r="E1138">
        <f>ROUNDDOWN(D1138,2)</f>
        <v>67.180000000000007</v>
      </c>
    </row>
    <row r="1139" spans="1:5" x14ac:dyDescent="0.35">
      <c r="A1139" s="15">
        <v>147.6</v>
      </c>
      <c r="B1139" s="14">
        <v>1</v>
      </c>
      <c r="C1139">
        <f>(B1139*100)/$H$1</f>
        <v>1.9557989438685704E-2</v>
      </c>
      <c r="D1139">
        <f>D1138+C1139</f>
        <v>67.201251711324389</v>
      </c>
      <c r="E1139">
        <f>ROUNDDOWN(D1139,2)</f>
        <v>67.2</v>
      </c>
    </row>
    <row r="1140" spans="1:5" x14ac:dyDescent="0.35">
      <c r="A1140" s="15">
        <v>147.5</v>
      </c>
      <c r="B1140" s="14">
        <v>3</v>
      </c>
      <c r="C1140">
        <f>(B1140*100)/$H$1</f>
        <v>5.8673968316057111E-2</v>
      </c>
      <c r="D1140">
        <f>D1139+C1140</f>
        <v>67.259925679640446</v>
      </c>
      <c r="E1140">
        <f>ROUNDDOWN(D1140,2)</f>
        <v>67.25</v>
      </c>
    </row>
    <row r="1141" spans="1:5" x14ac:dyDescent="0.35">
      <c r="A1141" s="15">
        <v>147.4</v>
      </c>
      <c r="B1141" s="14">
        <v>3</v>
      </c>
      <c r="C1141">
        <f>(B1141*100)/$H$1</f>
        <v>5.8673968316057111E-2</v>
      </c>
      <c r="D1141">
        <f>D1140+C1141</f>
        <v>67.318599647956503</v>
      </c>
      <c r="E1141">
        <f>ROUNDDOWN(D1141,2)</f>
        <v>67.31</v>
      </c>
    </row>
    <row r="1142" spans="1:5" x14ac:dyDescent="0.35">
      <c r="A1142" s="15">
        <v>147.19999999999999</v>
      </c>
      <c r="B1142" s="14">
        <v>1</v>
      </c>
      <c r="C1142">
        <f>(B1142*100)/$H$1</f>
        <v>1.9557989438685704E-2</v>
      </c>
      <c r="D1142">
        <f>D1141+C1142</f>
        <v>67.338157637395184</v>
      </c>
      <c r="E1142">
        <f>ROUNDDOWN(D1142,2)</f>
        <v>67.33</v>
      </c>
    </row>
    <row r="1143" spans="1:5" x14ac:dyDescent="0.35">
      <c r="A1143" s="15">
        <v>147.1</v>
      </c>
      <c r="B1143" s="14">
        <v>1</v>
      </c>
      <c r="C1143">
        <f>(B1143*100)/$H$1</f>
        <v>1.9557989438685704E-2</v>
      </c>
      <c r="D1143">
        <f>D1142+C1143</f>
        <v>67.357715626833865</v>
      </c>
      <c r="E1143">
        <f>ROUNDDOWN(D1143,2)</f>
        <v>67.349999999999994</v>
      </c>
    </row>
    <row r="1144" spans="1:5" x14ac:dyDescent="0.35">
      <c r="A1144" s="15">
        <v>146.9</v>
      </c>
      <c r="B1144" s="14">
        <v>2</v>
      </c>
      <c r="C1144">
        <f>(B1144*100)/$H$1</f>
        <v>3.9115978877371407E-2</v>
      </c>
      <c r="D1144">
        <f>D1143+C1144</f>
        <v>67.396831605711242</v>
      </c>
      <c r="E1144">
        <f>ROUNDDOWN(D1144,2)</f>
        <v>67.39</v>
      </c>
    </row>
    <row r="1145" spans="1:5" x14ac:dyDescent="0.35">
      <c r="A1145" s="15">
        <v>146.80000000000001</v>
      </c>
      <c r="B1145" s="14">
        <v>1</v>
      </c>
      <c r="C1145">
        <f>(B1145*100)/$H$1</f>
        <v>1.9557989438685704E-2</v>
      </c>
      <c r="D1145">
        <f>D1144+C1145</f>
        <v>67.416389595149923</v>
      </c>
      <c r="E1145">
        <f>ROUNDDOWN(D1145,2)</f>
        <v>67.41</v>
      </c>
    </row>
    <row r="1146" spans="1:5" x14ac:dyDescent="0.35">
      <c r="A1146" s="15">
        <v>146.69999999999999</v>
      </c>
      <c r="B1146" s="14">
        <v>2</v>
      </c>
      <c r="C1146">
        <f>(B1146*100)/$H$1</f>
        <v>3.9115978877371407E-2</v>
      </c>
      <c r="D1146">
        <f>D1145+C1146</f>
        <v>67.455505574027299</v>
      </c>
      <c r="E1146">
        <f>ROUNDDOWN(D1146,2)</f>
        <v>67.45</v>
      </c>
    </row>
    <row r="1147" spans="1:5" x14ac:dyDescent="0.35">
      <c r="A1147" s="15">
        <v>146.5</v>
      </c>
      <c r="B1147" s="14">
        <v>1</v>
      </c>
      <c r="C1147">
        <f>(B1147*100)/$H$1</f>
        <v>1.9557989438685704E-2</v>
      </c>
      <c r="D1147">
        <f>D1146+C1147</f>
        <v>67.47506356346598</v>
      </c>
      <c r="E1147">
        <f>ROUNDDOWN(D1147,2)</f>
        <v>67.47</v>
      </c>
    </row>
    <row r="1148" spans="1:5" x14ac:dyDescent="0.35">
      <c r="A1148" s="15">
        <v>146.4</v>
      </c>
      <c r="B1148" s="14">
        <v>2</v>
      </c>
      <c r="C1148">
        <f>(B1148*100)/$H$1</f>
        <v>3.9115978877371407E-2</v>
      </c>
      <c r="D1148">
        <f>D1147+C1148</f>
        <v>67.514179542343356</v>
      </c>
      <c r="E1148">
        <f>ROUNDDOWN(D1148,2)</f>
        <v>67.510000000000005</v>
      </c>
    </row>
    <row r="1149" spans="1:5" x14ac:dyDescent="0.35">
      <c r="A1149" s="15">
        <v>146.30000000000001</v>
      </c>
      <c r="B1149" s="14">
        <v>4</v>
      </c>
      <c r="C1149">
        <f>(B1149*100)/$H$1</f>
        <v>7.8231957754742815E-2</v>
      </c>
      <c r="D1149">
        <f>D1148+C1149</f>
        <v>67.592411500098095</v>
      </c>
      <c r="E1149">
        <f>ROUNDDOWN(D1149,2)</f>
        <v>67.59</v>
      </c>
    </row>
    <row r="1150" spans="1:5" x14ac:dyDescent="0.35">
      <c r="A1150" s="15">
        <v>146.19999999999999</v>
      </c>
      <c r="B1150" s="14">
        <v>1</v>
      </c>
      <c r="C1150">
        <f>(B1150*100)/$H$1</f>
        <v>1.9557989438685704E-2</v>
      </c>
      <c r="D1150">
        <f>D1149+C1150</f>
        <v>67.611969489536776</v>
      </c>
      <c r="E1150">
        <f>ROUNDDOWN(D1150,2)</f>
        <v>67.61</v>
      </c>
    </row>
    <row r="1151" spans="1:5" x14ac:dyDescent="0.35">
      <c r="A1151" s="15">
        <v>146.1</v>
      </c>
      <c r="B1151" s="14">
        <v>1</v>
      </c>
      <c r="C1151">
        <f>(B1151*100)/$H$1</f>
        <v>1.9557989438685704E-2</v>
      </c>
      <c r="D1151">
        <f>D1150+C1151</f>
        <v>67.631527478975457</v>
      </c>
      <c r="E1151">
        <f>ROUNDDOWN(D1151,2)</f>
        <v>67.63</v>
      </c>
    </row>
    <row r="1152" spans="1:5" x14ac:dyDescent="0.35">
      <c r="A1152" s="15">
        <v>145.9</v>
      </c>
      <c r="B1152" s="14">
        <v>1</v>
      </c>
      <c r="C1152">
        <f>(B1152*100)/$H$1</f>
        <v>1.9557989438685704E-2</v>
      </c>
      <c r="D1152">
        <f>D1151+C1152</f>
        <v>67.651085468414138</v>
      </c>
      <c r="E1152">
        <f>ROUNDDOWN(D1152,2)</f>
        <v>67.650000000000006</v>
      </c>
    </row>
    <row r="1153" spans="1:5" x14ac:dyDescent="0.35">
      <c r="A1153" s="15">
        <v>145.80000000000001</v>
      </c>
      <c r="B1153" s="14">
        <v>2</v>
      </c>
      <c r="C1153">
        <f>(B1153*100)/$H$1</f>
        <v>3.9115978877371407E-2</v>
      </c>
      <c r="D1153">
        <f>D1152+C1153</f>
        <v>67.690201447291514</v>
      </c>
      <c r="E1153">
        <f>ROUNDDOWN(D1153,2)</f>
        <v>67.69</v>
      </c>
    </row>
    <row r="1154" spans="1:5" x14ac:dyDescent="0.35">
      <c r="A1154" s="15">
        <v>145.69999999999999</v>
      </c>
      <c r="B1154" s="14">
        <v>2</v>
      </c>
      <c r="C1154">
        <f>(B1154*100)/$H$1</f>
        <v>3.9115978877371407E-2</v>
      </c>
      <c r="D1154">
        <f>D1153+C1154</f>
        <v>67.72931742616889</v>
      </c>
      <c r="E1154">
        <f>ROUNDDOWN(D1154,2)</f>
        <v>67.72</v>
      </c>
    </row>
    <row r="1155" spans="1:5" x14ac:dyDescent="0.35">
      <c r="A1155" s="15">
        <v>145.6</v>
      </c>
      <c r="B1155" s="14">
        <v>2</v>
      </c>
      <c r="C1155">
        <f>(B1155*100)/$H$1</f>
        <v>3.9115978877371407E-2</v>
      </c>
      <c r="D1155">
        <f>D1154+C1155</f>
        <v>67.768433405046267</v>
      </c>
      <c r="E1155">
        <f>ROUNDDOWN(D1155,2)</f>
        <v>67.760000000000005</v>
      </c>
    </row>
    <row r="1156" spans="1:5" x14ac:dyDescent="0.35">
      <c r="A1156" s="15">
        <v>145.5</v>
      </c>
      <c r="B1156" s="14">
        <v>2</v>
      </c>
      <c r="C1156">
        <f>(B1156*100)/$H$1</f>
        <v>3.9115978877371407E-2</v>
      </c>
      <c r="D1156">
        <f>D1155+C1156</f>
        <v>67.807549383923643</v>
      </c>
      <c r="E1156">
        <f>ROUNDDOWN(D1156,2)</f>
        <v>67.8</v>
      </c>
    </row>
    <row r="1157" spans="1:5" x14ac:dyDescent="0.35">
      <c r="A1157" s="15">
        <v>145.30000000000001</v>
      </c>
      <c r="B1157" s="14">
        <v>1</v>
      </c>
      <c r="C1157">
        <f>(B1157*100)/$H$1</f>
        <v>1.9557989438685704E-2</v>
      </c>
      <c r="D1157">
        <f>D1156+C1157</f>
        <v>67.827107373362324</v>
      </c>
      <c r="E1157">
        <f>ROUNDDOWN(D1157,2)</f>
        <v>67.819999999999993</v>
      </c>
    </row>
    <row r="1158" spans="1:5" x14ac:dyDescent="0.35">
      <c r="A1158" s="15">
        <v>145.19999999999999</v>
      </c>
      <c r="B1158" s="14">
        <v>2</v>
      </c>
      <c r="C1158">
        <f>(B1158*100)/$H$1</f>
        <v>3.9115978877371407E-2</v>
      </c>
      <c r="D1158">
        <f>D1157+C1158</f>
        <v>67.8662233522397</v>
      </c>
      <c r="E1158">
        <f>ROUNDDOWN(D1158,2)</f>
        <v>67.86</v>
      </c>
    </row>
    <row r="1159" spans="1:5" x14ac:dyDescent="0.35">
      <c r="A1159" s="15">
        <v>145.1</v>
      </c>
      <c r="B1159" s="14">
        <v>1</v>
      </c>
      <c r="C1159">
        <f>(B1159*100)/$H$1</f>
        <v>1.9557989438685704E-2</v>
      </c>
      <c r="D1159">
        <f>D1158+C1159</f>
        <v>67.885781341678381</v>
      </c>
      <c r="E1159">
        <f>ROUNDDOWN(D1159,2)</f>
        <v>67.88</v>
      </c>
    </row>
    <row r="1160" spans="1:5" x14ac:dyDescent="0.35">
      <c r="A1160" s="15">
        <v>145</v>
      </c>
      <c r="B1160" s="14">
        <v>2</v>
      </c>
      <c r="C1160">
        <f>(B1160*100)/$H$1</f>
        <v>3.9115978877371407E-2</v>
      </c>
      <c r="D1160">
        <f>D1159+C1160</f>
        <v>67.924897320555758</v>
      </c>
      <c r="E1160">
        <f>ROUNDDOWN(D1160,2)</f>
        <v>67.92</v>
      </c>
    </row>
    <row r="1161" spans="1:5" x14ac:dyDescent="0.35">
      <c r="A1161" s="15">
        <v>144.9</v>
      </c>
      <c r="B1161" s="14">
        <v>2</v>
      </c>
      <c r="C1161">
        <f>(B1161*100)/$H$1</f>
        <v>3.9115978877371407E-2</v>
      </c>
      <c r="D1161">
        <f>D1160+C1161</f>
        <v>67.964013299433134</v>
      </c>
      <c r="E1161">
        <f>ROUNDDOWN(D1161,2)</f>
        <v>67.959999999999994</v>
      </c>
    </row>
    <row r="1162" spans="1:5" x14ac:dyDescent="0.35">
      <c r="A1162" s="15">
        <v>144.80000000000001</v>
      </c>
      <c r="B1162" s="14">
        <v>2</v>
      </c>
      <c r="C1162">
        <f>(B1162*100)/$H$1</f>
        <v>3.9115978877371407E-2</v>
      </c>
      <c r="D1162">
        <f>D1161+C1162</f>
        <v>68.00312927831051</v>
      </c>
      <c r="E1162">
        <f>ROUNDDOWN(D1162,2)</f>
        <v>68</v>
      </c>
    </row>
    <row r="1163" spans="1:5" x14ac:dyDescent="0.35">
      <c r="A1163" s="15">
        <v>144.69999999999999</v>
      </c>
      <c r="B1163" s="14">
        <v>2</v>
      </c>
      <c r="C1163">
        <f>(B1163*100)/$H$1</f>
        <v>3.9115978877371407E-2</v>
      </c>
      <c r="D1163">
        <f>D1162+C1163</f>
        <v>68.042245257187886</v>
      </c>
      <c r="E1163">
        <f>ROUNDDOWN(D1163,2)</f>
        <v>68.040000000000006</v>
      </c>
    </row>
    <row r="1164" spans="1:5" x14ac:dyDescent="0.35">
      <c r="A1164" s="15">
        <v>144.5</v>
      </c>
      <c r="B1164" s="14">
        <v>1</v>
      </c>
      <c r="C1164">
        <f>(B1164*100)/$H$1</f>
        <v>1.9557989438685704E-2</v>
      </c>
      <c r="D1164">
        <f>D1163+C1164</f>
        <v>68.061803246626567</v>
      </c>
      <c r="E1164">
        <f>ROUNDDOWN(D1164,2)</f>
        <v>68.06</v>
      </c>
    </row>
    <row r="1165" spans="1:5" x14ac:dyDescent="0.35">
      <c r="A1165" s="15">
        <v>144.4</v>
      </c>
      <c r="B1165" s="14">
        <v>1</v>
      </c>
      <c r="C1165">
        <f>(B1165*100)/$H$1</f>
        <v>1.9557989438685704E-2</v>
      </c>
      <c r="D1165">
        <f>D1164+C1165</f>
        <v>68.081361236065248</v>
      </c>
      <c r="E1165">
        <f>ROUNDDOWN(D1165,2)</f>
        <v>68.08</v>
      </c>
    </row>
    <row r="1166" spans="1:5" x14ac:dyDescent="0.35">
      <c r="A1166" s="15">
        <v>144.30000000000001</v>
      </c>
      <c r="B1166" s="14">
        <v>2</v>
      </c>
      <c r="C1166">
        <f>(B1166*100)/$H$1</f>
        <v>3.9115978877371407E-2</v>
      </c>
      <c r="D1166">
        <f>D1165+C1166</f>
        <v>68.120477214942625</v>
      </c>
      <c r="E1166">
        <f>ROUNDDOWN(D1166,2)</f>
        <v>68.12</v>
      </c>
    </row>
    <row r="1167" spans="1:5" x14ac:dyDescent="0.35">
      <c r="A1167" s="15">
        <v>144.19999999999999</v>
      </c>
      <c r="B1167" s="14">
        <v>2</v>
      </c>
      <c r="C1167">
        <f>(B1167*100)/$H$1</f>
        <v>3.9115978877371407E-2</v>
      </c>
      <c r="D1167">
        <f>D1166+C1167</f>
        <v>68.159593193820001</v>
      </c>
      <c r="E1167">
        <f>ROUNDDOWN(D1167,2)</f>
        <v>68.150000000000006</v>
      </c>
    </row>
    <row r="1168" spans="1:5" x14ac:dyDescent="0.35">
      <c r="A1168" s="15">
        <v>144.1</v>
      </c>
      <c r="B1168" s="14">
        <v>1</v>
      </c>
      <c r="C1168">
        <f>(B1168*100)/$H$1</f>
        <v>1.9557989438685704E-2</v>
      </c>
      <c r="D1168">
        <f>D1167+C1168</f>
        <v>68.179151183258682</v>
      </c>
      <c r="E1168">
        <f>ROUNDDOWN(D1168,2)</f>
        <v>68.17</v>
      </c>
    </row>
    <row r="1169" spans="1:5" x14ac:dyDescent="0.35">
      <c r="A1169" s="15">
        <v>144</v>
      </c>
      <c r="B1169" s="14">
        <v>1</v>
      </c>
      <c r="C1169">
        <f>(B1169*100)/$H$1</f>
        <v>1.9557989438685704E-2</v>
      </c>
      <c r="D1169">
        <f>D1168+C1169</f>
        <v>68.198709172697363</v>
      </c>
      <c r="E1169">
        <f>ROUNDDOWN(D1169,2)</f>
        <v>68.19</v>
      </c>
    </row>
    <row r="1170" spans="1:5" x14ac:dyDescent="0.35">
      <c r="A1170" s="15">
        <v>143.9</v>
      </c>
      <c r="B1170" s="14">
        <v>1</v>
      </c>
      <c r="C1170">
        <f>(B1170*100)/$H$1</f>
        <v>1.9557989438685704E-2</v>
      </c>
      <c r="D1170">
        <f>D1169+C1170</f>
        <v>68.218267162136044</v>
      </c>
      <c r="E1170">
        <f>ROUNDDOWN(D1170,2)</f>
        <v>68.209999999999994</v>
      </c>
    </row>
    <row r="1171" spans="1:5" x14ac:dyDescent="0.35">
      <c r="A1171" s="15">
        <v>143.80000000000001</v>
      </c>
      <c r="B1171" s="14">
        <v>3</v>
      </c>
      <c r="C1171">
        <f>(B1171*100)/$H$1</f>
        <v>5.8673968316057111E-2</v>
      </c>
      <c r="D1171">
        <f>D1170+C1171</f>
        <v>68.276941130452101</v>
      </c>
      <c r="E1171">
        <f>ROUNDDOWN(D1171,2)</f>
        <v>68.27</v>
      </c>
    </row>
    <row r="1172" spans="1:5" x14ac:dyDescent="0.35">
      <c r="A1172" s="15">
        <v>143.69999999999999</v>
      </c>
      <c r="B1172" s="14">
        <v>1</v>
      </c>
      <c r="C1172">
        <f>(B1172*100)/$H$1</f>
        <v>1.9557989438685704E-2</v>
      </c>
      <c r="D1172">
        <f>D1171+C1172</f>
        <v>68.296499119890782</v>
      </c>
      <c r="E1172">
        <f>ROUNDDOWN(D1172,2)</f>
        <v>68.290000000000006</v>
      </c>
    </row>
    <row r="1173" spans="1:5" x14ac:dyDescent="0.35">
      <c r="A1173" s="15">
        <v>143.6</v>
      </c>
      <c r="B1173" s="14">
        <v>2</v>
      </c>
      <c r="C1173">
        <f>(B1173*100)/$H$1</f>
        <v>3.9115978877371407E-2</v>
      </c>
      <c r="D1173">
        <f>D1172+C1173</f>
        <v>68.335615098768159</v>
      </c>
      <c r="E1173">
        <f>ROUNDDOWN(D1173,2)</f>
        <v>68.33</v>
      </c>
    </row>
    <row r="1174" spans="1:5" x14ac:dyDescent="0.35">
      <c r="A1174" s="15">
        <v>143.5</v>
      </c>
      <c r="B1174" s="14">
        <v>1</v>
      </c>
      <c r="C1174">
        <f>(B1174*100)/$H$1</f>
        <v>1.9557989438685704E-2</v>
      </c>
      <c r="D1174">
        <f>D1173+C1174</f>
        <v>68.35517308820684</v>
      </c>
      <c r="E1174">
        <f>ROUNDDOWN(D1174,2)</f>
        <v>68.349999999999994</v>
      </c>
    </row>
    <row r="1175" spans="1:5" x14ac:dyDescent="0.35">
      <c r="A1175" s="15">
        <v>143.4</v>
      </c>
      <c r="B1175" s="14">
        <v>2</v>
      </c>
      <c r="C1175">
        <f>(B1175*100)/$H$1</f>
        <v>3.9115978877371407E-2</v>
      </c>
      <c r="D1175">
        <f>D1174+C1175</f>
        <v>68.394289067084216</v>
      </c>
      <c r="E1175">
        <f>ROUNDDOWN(D1175,2)</f>
        <v>68.39</v>
      </c>
    </row>
    <row r="1176" spans="1:5" x14ac:dyDescent="0.35">
      <c r="A1176" s="15">
        <v>143.30000000000001</v>
      </c>
      <c r="B1176" s="14">
        <v>1</v>
      </c>
      <c r="C1176">
        <f>(B1176*100)/$H$1</f>
        <v>1.9557989438685704E-2</v>
      </c>
      <c r="D1176">
        <f>D1175+C1176</f>
        <v>68.413847056522897</v>
      </c>
      <c r="E1176">
        <f>ROUNDDOWN(D1176,2)</f>
        <v>68.41</v>
      </c>
    </row>
    <row r="1177" spans="1:5" x14ac:dyDescent="0.35">
      <c r="A1177" s="15">
        <v>143.19999999999999</v>
      </c>
      <c r="B1177" s="14">
        <v>1</v>
      </c>
      <c r="C1177">
        <f>(B1177*100)/$H$1</f>
        <v>1.9557989438685704E-2</v>
      </c>
      <c r="D1177">
        <f>D1176+C1177</f>
        <v>68.433405045961578</v>
      </c>
      <c r="E1177">
        <f>ROUNDDOWN(D1177,2)</f>
        <v>68.430000000000007</v>
      </c>
    </row>
    <row r="1178" spans="1:5" x14ac:dyDescent="0.35">
      <c r="A1178" s="15">
        <v>143.1</v>
      </c>
      <c r="B1178" s="14">
        <v>3</v>
      </c>
      <c r="C1178">
        <f>(B1178*100)/$H$1</f>
        <v>5.8673968316057111E-2</v>
      </c>
      <c r="D1178">
        <f>D1177+C1178</f>
        <v>68.492079014277635</v>
      </c>
      <c r="E1178">
        <f>ROUNDDOWN(D1178,2)</f>
        <v>68.489999999999995</v>
      </c>
    </row>
    <row r="1179" spans="1:5" x14ac:dyDescent="0.35">
      <c r="A1179" s="15">
        <v>142.9</v>
      </c>
      <c r="B1179" s="14">
        <v>2</v>
      </c>
      <c r="C1179">
        <f>(B1179*100)/$H$1</f>
        <v>3.9115978877371407E-2</v>
      </c>
      <c r="D1179">
        <f>D1178+C1179</f>
        <v>68.531194993155012</v>
      </c>
      <c r="E1179">
        <f>ROUNDDOWN(D1179,2)</f>
        <v>68.53</v>
      </c>
    </row>
    <row r="1180" spans="1:5" x14ac:dyDescent="0.35">
      <c r="A1180" s="15">
        <v>142.6</v>
      </c>
      <c r="B1180" s="14">
        <v>2</v>
      </c>
      <c r="C1180">
        <f>(B1180*100)/$H$1</f>
        <v>3.9115978877371407E-2</v>
      </c>
      <c r="D1180">
        <f>D1179+C1180</f>
        <v>68.570310972032388</v>
      </c>
      <c r="E1180">
        <f>ROUNDDOWN(D1180,2)</f>
        <v>68.569999999999993</v>
      </c>
    </row>
    <row r="1181" spans="1:5" x14ac:dyDescent="0.35">
      <c r="A1181" s="15">
        <v>142.4</v>
      </c>
      <c r="B1181" s="14">
        <v>2</v>
      </c>
      <c r="C1181">
        <f>(B1181*100)/$H$1</f>
        <v>3.9115978877371407E-2</v>
      </c>
      <c r="D1181">
        <f>D1180+C1181</f>
        <v>68.609426950909764</v>
      </c>
      <c r="E1181">
        <f>ROUNDDOWN(D1181,2)</f>
        <v>68.599999999999994</v>
      </c>
    </row>
    <row r="1182" spans="1:5" x14ac:dyDescent="0.35">
      <c r="A1182" s="15">
        <v>142.30000000000001</v>
      </c>
      <c r="B1182" s="14">
        <v>1</v>
      </c>
      <c r="C1182">
        <f>(B1182*100)/$H$1</f>
        <v>1.9557989438685704E-2</v>
      </c>
      <c r="D1182">
        <f>D1181+C1182</f>
        <v>68.628984940348445</v>
      </c>
      <c r="E1182">
        <f>ROUNDDOWN(D1182,2)</f>
        <v>68.62</v>
      </c>
    </row>
    <row r="1183" spans="1:5" x14ac:dyDescent="0.35">
      <c r="A1183" s="15">
        <v>142.19999999999999</v>
      </c>
      <c r="B1183" s="14">
        <v>1</v>
      </c>
      <c r="C1183">
        <f>(B1183*100)/$H$1</f>
        <v>1.9557989438685704E-2</v>
      </c>
      <c r="D1183">
        <f>D1182+C1183</f>
        <v>68.648542929787126</v>
      </c>
      <c r="E1183">
        <f>ROUNDDOWN(D1183,2)</f>
        <v>68.64</v>
      </c>
    </row>
    <row r="1184" spans="1:5" x14ac:dyDescent="0.35">
      <c r="A1184" s="15">
        <v>142.1</v>
      </c>
      <c r="B1184" s="14">
        <v>2</v>
      </c>
      <c r="C1184">
        <f>(B1184*100)/$H$1</f>
        <v>3.9115978877371407E-2</v>
      </c>
      <c r="D1184">
        <f>D1183+C1184</f>
        <v>68.687658908664503</v>
      </c>
      <c r="E1184">
        <f>ROUNDDOWN(D1184,2)</f>
        <v>68.680000000000007</v>
      </c>
    </row>
    <row r="1185" spans="1:5" x14ac:dyDescent="0.35">
      <c r="A1185" s="15">
        <v>141.9</v>
      </c>
      <c r="B1185" s="14">
        <v>3</v>
      </c>
      <c r="C1185">
        <f>(B1185*100)/$H$1</f>
        <v>5.8673968316057111E-2</v>
      </c>
      <c r="D1185">
        <f>D1184+C1185</f>
        <v>68.74633287698056</v>
      </c>
      <c r="E1185">
        <f>ROUNDDOWN(D1185,2)</f>
        <v>68.739999999999995</v>
      </c>
    </row>
    <row r="1186" spans="1:5" x14ac:dyDescent="0.35">
      <c r="A1186" s="15">
        <v>141.80000000000001</v>
      </c>
      <c r="B1186" s="14">
        <v>2</v>
      </c>
      <c r="C1186">
        <f>(B1186*100)/$H$1</f>
        <v>3.9115978877371407E-2</v>
      </c>
      <c r="D1186">
        <f>D1185+C1186</f>
        <v>68.785448855857936</v>
      </c>
      <c r="E1186">
        <f>ROUNDDOWN(D1186,2)</f>
        <v>68.78</v>
      </c>
    </row>
    <row r="1187" spans="1:5" x14ac:dyDescent="0.35">
      <c r="A1187" s="15">
        <v>141.69999999999999</v>
      </c>
      <c r="B1187" s="14">
        <v>1</v>
      </c>
      <c r="C1187">
        <f>(B1187*100)/$H$1</f>
        <v>1.9557989438685704E-2</v>
      </c>
      <c r="D1187">
        <f>D1186+C1187</f>
        <v>68.805006845296617</v>
      </c>
      <c r="E1187">
        <f>ROUNDDOWN(D1187,2)</f>
        <v>68.8</v>
      </c>
    </row>
    <row r="1188" spans="1:5" x14ac:dyDescent="0.35">
      <c r="A1188" s="15">
        <v>141.6</v>
      </c>
      <c r="B1188" s="14">
        <v>1</v>
      </c>
      <c r="C1188">
        <f>(B1188*100)/$H$1</f>
        <v>1.9557989438685704E-2</v>
      </c>
      <c r="D1188">
        <f>D1187+C1188</f>
        <v>68.824564834735298</v>
      </c>
      <c r="E1188">
        <f>ROUNDDOWN(D1188,2)</f>
        <v>68.819999999999993</v>
      </c>
    </row>
    <row r="1189" spans="1:5" x14ac:dyDescent="0.35">
      <c r="A1189" s="15">
        <v>141.5</v>
      </c>
      <c r="B1189" s="14">
        <v>1</v>
      </c>
      <c r="C1189">
        <f>(B1189*100)/$H$1</f>
        <v>1.9557989438685704E-2</v>
      </c>
      <c r="D1189">
        <f>D1188+C1189</f>
        <v>68.844122824173979</v>
      </c>
      <c r="E1189">
        <f>ROUNDDOWN(D1189,2)</f>
        <v>68.84</v>
      </c>
    </row>
    <row r="1190" spans="1:5" x14ac:dyDescent="0.35">
      <c r="A1190" s="15">
        <v>141.4</v>
      </c>
      <c r="B1190" s="14">
        <v>2</v>
      </c>
      <c r="C1190">
        <f>(B1190*100)/$H$1</f>
        <v>3.9115978877371407E-2</v>
      </c>
      <c r="D1190">
        <f>D1189+C1190</f>
        <v>68.883238803051356</v>
      </c>
      <c r="E1190">
        <f>ROUNDDOWN(D1190,2)</f>
        <v>68.88</v>
      </c>
    </row>
    <row r="1191" spans="1:5" x14ac:dyDescent="0.35">
      <c r="A1191" s="15">
        <v>141.30000000000001</v>
      </c>
      <c r="B1191" s="14">
        <v>1</v>
      </c>
      <c r="C1191">
        <f>(B1191*100)/$H$1</f>
        <v>1.9557989438685704E-2</v>
      </c>
      <c r="D1191">
        <f>D1190+C1191</f>
        <v>68.902796792490037</v>
      </c>
      <c r="E1191">
        <f>ROUNDDOWN(D1191,2)</f>
        <v>68.900000000000006</v>
      </c>
    </row>
    <row r="1192" spans="1:5" x14ac:dyDescent="0.35">
      <c r="A1192" s="15">
        <v>141.19999999999999</v>
      </c>
      <c r="B1192" s="14">
        <v>2</v>
      </c>
      <c r="C1192">
        <f>(B1192*100)/$H$1</f>
        <v>3.9115978877371407E-2</v>
      </c>
      <c r="D1192">
        <f>D1191+C1192</f>
        <v>68.941912771367413</v>
      </c>
      <c r="E1192">
        <f>ROUNDDOWN(D1192,2)</f>
        <v>68.94</v>
      </c>
    </row>
    <row r="1193" spans="1:5" x14ac:dyDescent="0.35">
      <c r="A1193" s="15">
        <v>141</v>
      </c>
      <c r="B1193" s="14">
        <v>1</v>
      </c>
      <c r="C1193">
        <f>(B1193*100)/$H$1</f>
        <v>1.9557989438685704E-2</v>
      </c>
      <c r="D1193">
        <f>D1192+C1193</f>
        <v>68.961470760806094</v>
      </c>
      <c r="E1193">
        <f>ROUNDDOWN(D1193,2)</f>
        <v>68.959999999999994</v>
      </c>
    </row>
    <row r="1194" spans="1:5" x14ac:dyDescent="0.35">
      <c r="A1194" s="15">
        <v>140.9</v>
      </c>
      <c r="B1194" s="14">
        <v>1</v>
      </c>
      <c r="C1194">
        <f>(B1194*100)/$H$1</f>
        <v>1.9557989438685704E-2</v>
      </c>
      <c r="D1194">
        <f>D1193+C1194</f>
        <v>68.981028750244775</v>
      </c>
      <c r="E1194">
        <f>ROUNDDOWN(D1194,2)</f>
        <v>68.98</v>
      </c>
    </row>
    <row r="1195" spans="1:5" x14ac:dyDescent="0.35">
      <c r="A1195" s="15">
        <v>140.80000000000001</v>
      </c>
      <c r="B1195" s="14">
        <v>1</v>
      </c>
      <c r="C1195">
        <f>(B1195*100)/$H$1</f>
        <v>1.9557989438685704E-2</v>
      </c>
      <c r="D1195">
        <f>D1194+C1195</f>
        <v>69.000586739683456</v>
      </c>
      <c r="E1195">
        <f>ROUNDDOWN(D1195,2)</f>
        <v>69</v>
      </c>
    </row>
    <row r="1196" spans="1:5" x14ac:dyDescent="0.35">
      <c r="A1196" s="15">
        <v>140.69999999999999</v>
      </c>
      <c r="B1196" s="14">
        <v>1</v>
      </c>
      <c r="C1196">
        <f>(B1196*100)/$H$1</f>
        <v>1.9557989438685704E-2</v>
      </c>
      <c r="D1196">
        <f>D1195+C1196</f>
        <v>69.020144729122137</v>
      </c>
      <c r="E1196">
        <f>ROUNDDOWN(D1196,2)</f>
        <v>69.02</v>
      </c>
    </row>
    <row r="1197" spans="1:5" x14ac:dyDescent="0.35">
      <c r="A1197" s="15">
        <v>140.6</v>
      </c>
      <c r="B1197" s="14">
        <v>4</v>
      </c>
      <c r="C1197">
        <f>(B1197*100)/$H$1</f>
        <v>7.8231957754742815E-2</v>
      </c>
      <c r="D1197">
        <f>D1196+C1197</f>
        <v>69.098376686876875</v>
      </c>
      <c r="E1197">
        <f>ROUNDDOWN(D1197,2)</f>
        <v>69.09</v>
      </c>
    </row>
    <row r="1198" spans="1:5" x14ac:dyDescent="0.35">
      <c r="A1198" s="15">
        <v>140.4</v>
      </c>
      <c r="B1198" s="14">
        <v>3</v>
      </c>
      <c r="C1198">
        <f>(B1198*100)/$H$1</f>
        <v>5.8673968316057111E-2</v>
      </c>
      <c r="D1198">
        <f>D1197+C1198</f>
        <v>69.157050655192933</v>
      </c>
      <c r="E1198">
        <f>ROUNDDOWN(D1198,2)</f>
        <v>69.150000000000006</v>
      </c>
    </row>
    <row r="1199" spans="1:5" x14ac:dyDescent="0.35">
      <c r="A1199" s="15">
        <v>140.30000000000001</v>
      </c>
      <c r="B1199" s="14">
        <v>1</v>
      </c>
      <c r="C1199">
        <f>(B1199*100)/$H$1</f>
        <v>1.9557989438685704E-2</v>
      </c>
      <c r="D1199">
        <f>D1198+C1199</f>
        <v>69.176608644631614</v>
      </c>
      <c r="E1199">
        <f>ROUNDDOWN(D1199,2)</f>
        <v>69.17</v>
      </c>
    </row>
    <row r="1200" spans="1:5" x14ac:dyDescent="0.35">
      <c r="A1200" s="15">
        <v>140.19999999999999</v>
      </c>
      <c r="B1200" s="14">
        <v>2</v>
      </c>
      <c r="C1200">
        <f>(B1200*100)/$H$1</f>
        <v>3.9115978877371407E-2</v>
      </c>
      <c r="D1200">
        <f>D1199+C1200</f>
        <v>69.21572462350899</v>
      </c>
      <c r="E1200">
        <f>ROUNDDOWN(D1200,2)</f>
        <v>69.209999999999994</v>
      </c>
    </row>
    <row r="1201" spans="1:5" x14ac:dyDescent="0.35">
      <c r="A1201" s="15">
        <v>140.1</v>
      </c>
      <c r="B1201" s="14">
        <v>1</v>
      </c>
      <c r="C1201">
        <f>(B1201*100)/$H$1</f>
        <v>1.9557989438685704E-2</v>
      </c>
      <c r="D1201">
        <f>D1200+C1201</f>
        <v>69.235282612947671</v>
      </c>
      <c r="E1201">
        <f>ROUNDDOWN(D1201,2)</f>
        <v>69.23</v>
      </c>
    </row>
    <row r="1202" spans="1:5" x14ac:dyDescent="0.35">
      <c r="A1202" s="15">
        <v>140</v>
      </c>
      <c r="B1202" s="14">
        <v>1</v>
      </c>
      <c r="C1202">
        <f>(B1202*100)/$H$1</f>
        <v>1.9557989438685704E-2</v>
      </c>
      <c r="D1202">
        <f>D1201+C1202</f>
        <v>69.254840602386352</v>
      </c>
      <c r="E1202">
        <f>ROUNDDOWN(D1202,2)</f>
        <v>69.25</v>
      </c>
    </row>
    <row r="1203" spans="1:5" x14ac:dyDescent="0.35">
      <c r="A1203" s="15">
        <v>139.9</v>
      </c>
      <c r="B1203" s="14">
        <v>1</v>
      </c>
      <c r="C1203">
        <f>(B1203*100)/$H$1</f>
        <v>1.9557989438685704E-2</v>
      </c>
      <c r="D1203">
        <f>D1202+C1203</f>
        <v>69.274398591825033</v>
      </c>
      <c r="E1203">
        <f>ROUNDDOWN(D1203,2)</f>
        <v>69.27</v>
      </c>
    </row>
    <row r="1204" spans="1:5" x14ac:dyDescent="0.35">
      <c r="A1204" s="15">
        <v>139.80000000000001</v>
      </c>
      <c r="B1204" s="14">
        <v>1</v>
      </c>
      <c r="C1204">
        <f>(B1204*100)/$H$1</f>
        <v>1.9557989438685704E-2</v>
      </c>
      <c r="D1204">
        <f>D1203+C1204</f>
        <v>69.293956581263714</v>
      </c>
      <c r="E1204">
        <f>ROUNDDOWN(D1204,2)</f>
        <v>69.290000000000006</v>
      </c>
    </row>
    <row r="1205" spans="1:5" x14ac:dyDescent="0.35">
      <c r="A1205" s="15">
        <v>139.69999999999999</v>
      </c>
      <c r="B1205" s="14">
        <v>1</v>
      </c>
      <c r="C1205">
        <f>(B1205*100)/$H$1</f>
        <v>1.9557989438685704E-2</v>
      </c>
      <c r="D1205">
        <f>D1204+C1205</f>
        <v>69.313514570702395</v>
      </c>
      <c r="E1205">
        <f>ROUNDDOWN(D1205,2)</f>
        <v>69.31</v>
      </c>
    </row>
    <row r="1206" spans="1:5" x14ac:dyDescent="0.35">
      <c r="A1206" s="15">
        <v>139.6</v>
      </c>
      <c r="B1206" s="14">
        <v>3</v>
      </c>
      <c r="C1206">
        <f>(B1206*100)/$H$1</f>
        <v>5.8673968316057111E-2</v>
      </c>
      <c r="D1206">
        <f>D1205+C1206</f>
        <v>69.372188539018453</v>
      </c>
      <c r="E1206">
        <f>ROUNDDOWN(D1206,2)</f>
        <v>69.37</v>
      </c>
    </row>
    <row r="1207" spans="1:5" x14ac:dyDescent="0.35">
      <c r="A1207" s="15">
        <v>139.4</v>
      </c>
      <c r="B1207" s="14">
        <v>2</v>
      </c>
      <c r="C1207">
        <f>(B1207*100)/$H$1</f>
        <v>3.9115978877371407E-2</v>
      </c>
      <c r="D1207">
        <f>D1206+C1207</f>
        <v>69.411304517895829</v>
      </c>
      <c r="E1207">
        <f>ROUNDDOWN(D1207,2)</f>
        <v>69.41</v>
      </c>
    </row>
    <row r="1208" spans="1:5" x14ac:dyDescent="0.35">
      <c r="A1208" s="15">
        <v>139.30000000000001</v>
      </c>
      <c r="B1208" s="14">
        <v>1</v>
      </c>
      <c r="C1208">
        <f>(B1208*100)/$H$1</f>
        <v>1.9557989438685704E-2</v>
      </c>
      <c r="D1208">
        <f>D1207+C1208</f>
        <v>69.43086250733451</v>
      </c>
      <c r="E1208">
        <f>ROUNDDOWN(D1208,2)</f>
        <v>69.430000000000007</v>
      </c>
    </row>
    <row r="1209" spans="1:5" x14ac:dyDescent="0.35">
      <c r="A1209" s="15">
        <v>139.19999999999999</v>
      </c>
      <c r="B1209" s="14">
        <v>1</v>
      </c>
      <c r="C1209">
        <f>(B1209*100)/$H$1</f>
        <v>1.9557989438685704E-2</v>
      </c>
      <c r="D1209">
        <f>D1208+C1209</f>
        <v>69.450420496773191</v>
      </c>
      <c r="E1209">
        <f>ROUNDDOWN(D1209,2)</f>
        <v>69.45</v>
      </c>
    </row>
    <row r="1210" spans="1:5" x14ac:dyDescent="0.35">
      <c r="A1210" s="15">
        <v>138.80000000000001</v>
      </c>
      <c r="B1210" s="14">
        <v>4</v>
      </c>
      <c r="C1210">
        <f>(B1210*100)/$H$1</f>
        <v>7.8231957754742815E-2</v>
      </c>
      <c r="D1210">
        <f>D1209+C1210</f>
        <v>69.528652454527929</v>
      </c>
      <c r="E1210">
        <f>ROUNDDOWN(D1210,2)</f>
        <v>69.52</v>
      </c>
    </row>
    <row r="1211" spans="1:5" x14ac:dyDescent="0.35">
      <c r="A1211" s="15">
        <v>138.6</v>
      </c>
      <c r="B1211" s="14">
        <v>2</v>
      </c>
      <c r="C1211">
        <f>(B1211*100)/$H$1</f>
        <v>3.9115978877371407E-2</v>
      </c>
      <c r="D1211">
        <f>D1210+C1211</f>
        <v>69.567768433405305</v>
      </c>
      <c r="E1211">
        <f>ROUNDDOWN(D1211,2)</f>
        <v>69.56</v>
      </c>
    </row>
    <row r="1212" spans="1:5" x14ac:dyDescent="0.35">
      <c r="A1212" s="15">
        <v>138.5</v>
      </c>
      <c r="B1212" s="14">
        <v>4</v>
      </c>
      <c r="C1212">
        <f>(B1212*100)/$H$1</f>
        <v>7.8231957754742815E-2</v>
      </c>
      <c r="D1212">
        <f>D1211+C1212</f>
        <v>69.646000391160044</v>
      </c>
      <c r="E1212">
        <f>ROUNDDOWN(D1212,2)</f>
        <v>69.64</v>
      </c>
    </row>
    <row r="1213" spans="1:5" x14ac:dyDescent="0.35">
      <c r="A1213" s="15">
        <v>138.30000000000001</v>
      </c>
      <c r="B1213" s="14">
        <v>2</v>
      </c>
      <c r="C1213">
        <f>(B1213*100)/$H$1</f>
        <v>3.9115978877371407E-2</v>
      </c>
      <c r="D1213">
        <f>D1212+C1213</f>
        <v>69.68511637003742</v>
      </c>
      <c r="E1213">
        <f>ROUNDDOWN(D1213,2)</f>
        <v>69.680000000000007</v>
      </c>
    </row>
    <row r="1214" spans="1:5" x14ac:dyDescent="0.35">
      <c r="A1214" s="15">
        <v>138.19999999999999</v>
      </c>
      <c r="B1214" s="14">
        <v>2</v>
      </c>
      <c r="C1214">
        <f>(B1214*100)/$H$1</f>
        <v>3.9115978877371407E-2</v>
      </c>
      <c r="D1214">
        <f>D1213+C1214</f>
        <v>69.724232348914796</v>
      </c>
      <c r="E1214">
        <f>ROUNDDOWN(D1214,2)</f>
        <v>69.72</v>
      </c>
    </row>
    <row r="1215" spans="1:5" x14ac:dyDescent="0.35">
      <c r="A1215" s="15">
        <v>138</v>
      </c>
      <c r="B1215" s="14">
        <v>1</v>
      </c>
      <c r="C1215">
        <f>(B1215*100)/$H$1</f>
        <v>1.9557989438685704E-2</v>
      </c>
      <c r="D1215">
        <f>D1214+C1215</f>
        <v>69.743790338353477</v>
      </c>
      <c r="E1215">
        <f>ROUNDDOWN(D1215,2)</f>
        <v>69.739999999999995</v>
      </c>
    </row>
    <row r="1216" spans="1:5" x14ac:dyDescent="0.35">
      <c r="A1216" s="15">
        <v>137.80000000000001</v>
      </c>
      <c r="B1216" s="14">
        <v>1</v>
      </c>
      <c r="C1216">
        <f>(B1216*100)/$H$1</f>
        <v>1.9557989438685704E-2</v>
      </c>
      <c r="D1216">
        <f>D1215+C1216</f>
        <v>69.763348327792158</v>
      </c>
      <c r="E1216">
        <f>ROUNDDOWN(D1216,2)</f>
        <v>69.760000000000005</v>
      </c>
    </row>
    <row r="1217" spans="1:5" x14ac:dyDescent="0.35">
      <c r="A1217" s="15">
        <v>137.6</v>
      </c>
      <c r="B1217" s="14">
        <v>3</v>
      </c>
      <c r="C1217">
        <f>(B1217*100)/$H$1</f>
        <v>5.8673968316057111E-2</v>
      </c>
      <c r="D1217">
        <f>D1216+C1217</f>
        <v>69.822022296108216</v>
      </c>
      <c r="E1217">
        <f>ROUNDDOWN(D1217,2)</f>
        <v>69.819999999999993</v>
      </c>
    </row>
    <row r="1218" spans="1:5" x14ac:dyDescent="0.35">
      <c r="A1218" s="15">
        <v>137.5</v>
      </c>
      <c r="B1218" s="14">
        <v>4</v>
      </c>
      <c r="C1218">
        <f>(B1218*100)/$H$1</f>
        <v>7.8231957754742815E-2</v>
      </c>
      <c r="D1218">
        <f>D1217+C1218</f>
        <v>69.900254253862954</v>
      </c>
      <c r="E1218">
        <f>ROUNDDOWN(D1218,2)</f>
        <v>69.900000000000006</v>
      </c>
    </row>
    <row r="1219" spans="1:5" x14ac:dyDescent="0.35">
      <c r="A1219" s="15">
        <v>137.4</v>
      </c>
      <c r="B1219" s="14">
        <v>1</v>
      </c>
      <c r="C1219">
        <f>(B1219*100)/$H$1</f>
        <v>1.9557989438685704E-2</v>
      </c>
      <c r="D1219">
        <f>D1218+C1219</f>
        <v>69.919812243301635</v>
      </c>
      <c r="E1219">
        <f>ROUNDDOWN(D1219,2)</f>
        <v>69.91</v>
      </c>
    </row>
    <row r="1220" spans="1:5" x14ac:dyDescent="0.35">
      <c r="A1220" s="15">
        <v>137.30000000000001</v>
      </c>
      <c r="B1220" s="14">
        <v>2</v>
      </c>
      <c r="C1220">
        <f>(B1220*100)/$H$1</f>
        <v>3.9115978877371407E-2</v>
      </c>
      <c r="D1220">
        <f>D1219+C1220</f>
        <v>69.958928222179011</v>
      </c>
      <c r="E1220">
        <f>ROUNDDOWN(D1220,2)</f>
        <v>69.95</v>
      </c>
    </row>
    <row r="1221" spans="1:5" x14ac:dyDescent="0.35">
      <c r="A1221" s="15">
        <v>137.1</v>
      </c>
      <c r="B1221" s="14">
        <v>3</v>
      </c>
      <c r="C1221">
        <f>(B1221*100)/$H$1</f>
        <v>5.8673968316057111E-2</v>
      </c>
      <c r="D1221">
        <f>D1220+C1221</f>
        <v>70.017602190495069</v>
      </c>
      <c r="E1221">
        <f>ROUNDDOWN(D1221,2)</f>
        <v>70.010000000000005</v>
      </c>
    </row>
    <row r="1222" spans="1:5" x14ac:dyDescent="0.35">
      <c r="A1222" s="15">
        <v>137</v>
      </c>
      <c r="B1222" s="14">
        <v>2</v>
      </c>
      <c r="C1222">
        <f>(B1222*100)/$H$1</f>
        <v>3.9115978877371407E-2</v>
      </c>
      <c r="D1222">
        <f>D1221+C1222</f>
        <v>70.056718169372445</v>
      </c>
      <c r="E1222">
        <f>ROUNDDOWN(D1222,2)</f>
        <v>70.05</v>
      </c>
    </row>
    <row r="1223" spans="1:5" x14ac:dyDescent="0.35">
      <c r="A1223" s="15">
        <v>136.9</v>
      </c>
      <c r="B1223" s="14">
        <v>2</v>
      </c>
      <c r="C1223">
        <f>(B1223*100)/$H$1</f>
        <v>3.9115978877371407E-2</v>
      </c>
      <c r="D1223">
        <f>D1222+C1223</f>
        <v>70.095834148249821</v>
      </c>
      <c r="E1223">
        <f>ROUNDDOWN(D1223,2)</f>
        <v>70.09</v>
      </c>
    </row>
    <row r="1224" spans="1:5" x14ac:dyDescent="0.35">
      <c r="A1224" s="15">
        <v>136.80000000000001</v>
      </c>
      <c r="B1224" s="14">
        <v>1</v>
      </c>
      <c r="C1224">
        <f>(B1224*100)/$H$1</f>
        <v>1.9557989438685704E-2</v>
      </c>
      <c r="D1224">
        <f>D1223+C1224</f>
        <v>70.115392137688502</v>
      </c>
      <c r="E1224">
        <f>ROUNDDOWN(D1224,2)</f>
        <v>70.11</v>
      </c>
    </row>
    <row r="1225" spans="1:5" x14ac:dyDescent="0.35">
      <c r="A1225" s="15">
        <v>136.69999999999999</v>
      </c>
      <c r="B1225" s="14">
        <v>1</v>
      </c>
      <c r="C1225">
        <f>(B1225*100)/$H$1</f>
        <v>1.9557989438685704E-2</v>
      </c>
      <c r="D1225">
        <f>D1224+C1225</f>
        <v>70.134950127127183</v>
      </c>
      <c r="E1225">
        <f>ROUNDDOWN(D1225,2)</f>
        <v>70.13</v>
      </c>
    </row>
    <row r="1226" spans="1:5" x14ac:dyDescent="0.35">
      <c r="A1226" s="15">
        <v>136.6</v>
      </c>
      <c r="B1226" s="14">
        <v>2</v>
      </c>
      <c r="C1226">
        <f>(B1226*100)/$H$1</f>
        <v>3.9115978877371407E-2</v>
      </c>
      <c r="D1226">
        <f>D1225+C1226</f>
        <v>70.17406610600456</v>
      </c>
      <c r="E1226">
        <f>ROUNDDOWN(D1226,2)</f>
        <v>70.17</v>
      </c>
    </row>
    <row r="1227" spans="1:5" x14ac:dyDescent="0.35">
      <c r="A1227" s="15">
        <v>136.5</v>
      </c>
      <c r="B1227" s="14">
        <v>1</v>
      </c>
      <c r="C1227">
        <f>(B1227*100)/$H$1</f>
        <v>1.9557989438685704E-2</v>
      </c>
      <c r="D1227">
        <f>D1226+C1227</f>
        <v>70.193624095443241</v>
      </c>
      <c r="E1227">
        <f>ROUNDDOWN(D1227,2)</f>
        <v>70.19</v>
      </c>
    </row>
    <row r="1228" spans="1:5" x14ac:dyDescent="0.35">
      <c r="A1228" s="15">
        <v>136.4</v>
      </c>
      <c r="B1228" s="14">
        <v>2</v>
      </c>
      <c r="C1228">
        <f>(B1228*100)/$H$1</f>
        <v>3.9115978877371407E-2</v>
      </c>
      <c r="D1228">
        <f>D1227+C1228</f>
        <v>70.232740074320617</v>
      </c>
      <c r="E1228">
        <f>ROUNDDOWN(D1228,2)</f>
        <v>70.23</v>
      </c>
    </row>
    <row r="1229" spans="1:5" x14ac:dyDescent="0.35">
      <c r="A1229" s="15">
        <v>136.30000000000001</v>
      </c>
      <c r="B1229" s="14">
        <v>1</v>
      </c>
      <c r="C1229">
        <f>(B1229*100)/$H$1</f>
        <v>1.9557989438685704E-2</v>
      </c>
      <c r="D1229">
        <f>D1228+C1229</f>
        <v>70.252298063759298</v>
      </c>
      <c r="E1229">
        <f>ROUNDDOWN(D1229,2)</f>
        <v>70.25</v>
      </c>
    </row>
    <row r="1230" spans="1:5" x14ac:dyDescent="0.35">
      <c r="A1230" s="15">
        <v>136.19999999999999</v>
      </c>
      <c r="B1230" s="14">
        <v>2</v>
      </c>
      <c r="C1230">
        <f>(B1230*100)/$H$1</f>
        <v>3.9115978877371407E-2</v>
      </c>
      <c r="D1230">
        <f>D1229+C1230</f>
        <v>70.291414042636674</v>
      </c>
      <c r="E1230">
        <f>ROUNDDOWN(D1230,2)</f>
        <v>70.290000000000006</v>
      </c>
    </row>
    <row r="1231" spans="1:5" x14ac:dyDescent="0.35">
      <c r="A1231" s="15">
        <v>136.1</v>
      </c>
      <c r="B1231" s="14">
        <v>2</v>
      </c>
      <c r="C1231">
        <f>(B1231*100)/$H$1</f>
        <v>3.9115978877371407E-2</v>
      </c>
      <c r="D1231">
        <f>D1230+C1231</f>
        <v>70.330530021514051</v>
      </c>
      <c r="E1231">
        <f>ROUNDDOWN(D1231,2)</f>
        <v>70.33</v>
      </c>
    </row>
    <row r="1232" spans="1:5" x14ac:dyDescent="0.35">
      <c r="A1232" s="15">
        <v>135.9</v>
      </c>
      <c r="B1232" s="14">
        <v>1</v>
      </c>
      <c r="C1232">
        <f>(B1232*100)/$H$1</f>
        <v>1.9557989438685704E-2</v>
      </c>
      <c r="D1232">
        <f>D1231+C1232</f>
        <v>70.350088010952732</v>
      </c>
      <c r="E1232">
        <f>ROUNDDOWN(D1232,2)</f>
        <v>70.349999999999994</v>
      </c>
    </row>
    <row r="1233" spans="1:5" x14ac:dyDescent="0.35">
      <c r="A1233" s="15">
        <v>135.80000000000001</v>
      </c>
      <c r="B1233" s="14">
        <v>4</v>
      </c>
      <c r="C1233">
        <f>(B1233*100)/$H$1</f>
        <v>7.8231957754742815E-2</v>
      </c>
      <c r="D1233">
        <f>D1232+C1233</f>
        <v>70.42831996870747</v>
      </c>
      <c r="E1233">
        <f>ROUNDDOWN(D1233,2)</f>
        <v>70.42</v>
      </c>
    </row>
    <row r="1234" spans="1:5" x14ac:dyDescent="0.35">
      <c r="A1234" s="15">
        <v>135.69999999999999</v>
      </c>
      <c r="B1234" s="14">
        <v>1</v>
      </c>
      <c r="C1234">
        <f>(B1234*100)/$H$1</f>
        <v>1.9557989438685704E-2</v>
      </c>
      <c r="D1234">
        <f>D1233+C1234</f>
        <v>70.447877958146151</v>
      </c>
      <c r="E1234">
        <f>ROUNDDOWN(D1234,2)</f>
        <v>70.44</v>
      </c>
    </row>
    <row r="1235" spans="1:5" x14ac:dyDescent="0.35">
      <c r="A1235" s="15">
        <v>135.5</v>
      </c>
      <c r="B1235" s="14">
        <v>1</v>
      </c>
      <c r="C1235">
        <f>(B1235*100)/$H$1</f>
        <v>1.9557989438685704E-2</v>
      </c>
      <c r="D1235">
        <f>D1234+C1235</f>
        <v>70.467435947584832</v>
      </c>
      <c r="E1235">
        <f>ROUNDDOWN(D1235,2)</f>
        <v>70.459999999999994</v>
      </c>
    </row>
    <row r="1236" spans="1:5" x14ac:dyDescent="0.35">
      <c r="A1236" s="15">
        <v>135.4</v>
      </c>
      <c r="B1236" s="14">
        <v>1</v>
      </c>
      <c r="C1236">
        <f>(B1236*100)/$H$1</f>
        <v>1.9557989438685704E-2</v>
      </c>
      <c r="D1236">
        <f>D1235+C1236</f>
        <v>70.486993937023513</v>
      </c>
      <c r="E1236">
        <f>ROUNDDOWN(D1236,2)</f>
        <v>70.48</v>
      </c>
    </row>
    <row r="1237" spans="1:5" x14ac:dyDescent="0.35">
      <c r="A1237" s="15">
        <v>135.30000000000001</v>
      </c>
      <c r="B1237" s="14">
        <v>2</v>
      </c>
      <c r="C1237">
        <f>(B1237*100)/$H$1</f>
        <v>3.9115978877371407E-2</v>
      </c>
      <c r="D1237">
        <f>D1236+C1237</f>
        <v>70.526109915900889</v>
      </c>
      <c r="E1237">
        <f>ROUNDDOWN(D1237,2)</f>
        <v>70.52</v>
      </c>
    </row>
    <row r="1238" spans="1:5" x14ac:dyDescent="0.35">
      <c r="A1238" s="15">
        <v>135.19999999999999</v>
      </c>
      <c r="B1238" s="14">
        <v>1</v>
      </c>
      <c r="C1238">
        <f>(B1238*100)/$H$1</f>
        <v>1.9557989438685704E-2</v>
      </c>
      <c r="D1238">
        <f>D1237+C1238</f>
        <v>70.54566790533957</v>
      </c>
      <c r="E1238">
        <f>ROUNDDOWN(D1238,2)</f>
        <v>70.540000000000006</v>
      </c>
    </row>
    <row r="1239" spans="1:5" x14ac:dyDescent="0.35">
      <c r="A1239" s="15">
        <v>135.1</v>
      </c>
      <c r="B1239" s="14">
        <v>1</v>
      </c>
      <c r="C1239">
        <f>(B1239*100)/$H$1</f>
        <v>1.9557989438685704E-2</v>
      </c>
      <c r="D1239">
        <f>D1238+C1239</f>
        <v>70.565225894778251</v>
      </c>
      <c r="E1239">
        <f>ROUNDDOWN(D1239,2)</f>
        <v>70.56</v>
      </c>
    </row>
    <row r="1240" spans="1:5" x14ac:dyDescent="0.35">
      <c r="A1240" s="15">
        <v>134.80000000000001</v>
      </c>
      <c r="B1240" s="14">
        <v>1</v>
      </c>
      <c r="C1240">
        <f>(B1240*100)/$H$1</f>
        <v>1.9557989438685704E-2</v>
      </c>
      <c r="D1240">
        <f>D1239+C1240</f>
        <v>70.584783884216932</v>
      </c>
      <c r="E1240">
        <f>ROUNDDOWN(D1240,2)</f>
        <v>70.58</v>
      </c>
    </row>
    <row r="1241" spans="1:5" x14ac:dyDescent="0.35">
      <c r="A1241" s="15">
        <v>134.30000000000001</v>
      </c>
      <c r="B1241" s="14">
        <v>1</v>
      </c>
      <c r="C1241">
        <f>(B1241*100)/$H$1</f>
        <v>1.9557989438685704E-2</v>
      </c>
      <c r="D1241">
        <f>D1240+C1241</f>
        <v>70.604341873655613</v>
      </c>
      <c r="E1241">
        <f>ROUNDDOWN(D1241,2)</f>
        <v>70.599999999999994</v>
      </c>
    </row>
    <row r="1242" spans="1:5" x14ac:dyDescent="0.35">
      <c r="A1242" s="15">
        <v>134.1</v>
      </c>
      <c r="B1242" s="14">
        <v>1</v>
      </c>
      <c r="C1242">
        <f>(B1242*100)/$H$1</f>
        <v>1.9557989438685704E-2</v>
      </c>
      <c r="D1242">
        <f>D1241+C1242</f>
        <v>70.623899863094294</v>
      </c>
      <c r="E1242">
        <f>ROUNDDOWN(D1242,2)</f>
        <v>70.62</v>
      </c>
    </row>
    <row r="1243" spans="1:5" x14ac:dyDescent="0.35">
      <c r="A1243" s="15">
        <v>134</v>
      </c>
      <c r="B1243" s="14">
        <v>3</v>
      </c>
      <c r="C1243">
        <f>(B1243*100)/$H$1</f>
        <v>5.8673968316057111E-2</v>
      </c>
      <c r="D1243">
        <f>D1242+C1243</f>
        <v>70.682573831410352</v>
      </c>
      <c r="E1243">
        <f>ROUNDDOWN(D1243,2)</f>
        <v>70.680000000000007</v>
      </c>
    </row>
    <row r="1244" spans="1:5" x14ac:dyDescent="0.35">
      <c r="A1244" s="15">
        <v>133.9</v>
      </c>
      <c r="B1244" s="14">
        <v>3</v>
      </c>
      <c r="C1244">
        <f>(B1244*100)/$H$1</f>
        <v>5.8673968316057111E-2</v>
      </c>
      <c r="D1244">
        <f>D1243+C1244</f>
        <v>70.741247799726409</v>
      </c>
      <c r="E1244">
        <f>ROUNDDOWN(D1244,2)</f>
        <v>70.739999999999995</v>
      </c>
    </row>
    <row r="1245" spans="1:5" x14ac:dyDescent="0.35">
      <c r="A1245" s="15">
        <v>133.69999999999999</v>
      </c>
      <c r="B1245" s="14">
        <v>2</v>
      </c>
      <c r="C1245">
        <f>(B1245*100)/$H$1</f>
        <v>3.9115978877371407E-2</v>
      </c>
      <c r="D1245">
        <f>D1244+C1245</f>
        <v>70.780363778603785</v>
      </c>
      <c r="E1245">
        <f>ROUNDDOWN(D1245,2)</f>
        <v>70.78</v>
      </c>
    </row>
    <row r="1246" spans="1:5" x14ac:dyDescent="0.35">
      <c r="A1246" s="15">
        <v>133.5</v>
      </c>
      <c r="B1246" s="14">
        <v>2</v>
      </c>
      <c r="C1246">
        <f>(B1246*100)/$H$1</f>
        <v>3.9115978877371407E-2</v>
      </c>
      <c r="D1246">
        <f>D1245+C1246</f>
        <v>70.819479757481162</v>
      </c>
      <c r="E1246">
        <f>ROUNDDOWN(D1246,2)</f>
        <v>70.81</v>
      </c>
    </row>
    <row r="1247" spans="1:5" x14ac:dyDescent="0.35">
      <c r="A1247" s="15">
        <v>133.4</v>
      </c>
      <c r="B1247" s="14">
        <v>4</v>
      </c>
      <c r="C1247">
        <f>(B1247*100)/$H$1</f>
        <v>7.8231957754742815E-2</v>
      </c>
      <c r="D1247">
        <f>D1246+C1247</f>
        <v>70.8977117152359</v>
      </c>
      <c r="E1247">
        <f>ROUNDDOWN(D1247,2)</f>
        <v>70.89</v>
      </c>
    </row>
    <row r="1248" spans="1:5" x14ac:dyDescent="0.35">
      <c r="A1248" s="15">
        <v>133.19999999999999</v>
      </c>
      <c r="B1248" s="14">
        <v>1</v>
      </c>
      <c r="C1248">
        <f>(B1248*100)/$H$1</f>
        <v>1.9557989438685704E-2</v>
      </c>
      <c r="D1248">
        <f>D1247+C1248</f>
        <v>70.917269704674581</v>
      </c>
      <c r="E1248">
        <f>ROUNDDOWN(D1248,2)</f>
        <v>70.91</v>
      </c>
    </row>
    <row r="1249" spans="1:5" x14ac:dyDescent="0.35">
      <c r="A1249" s="15">
        <v>133.1</v>
      </c>
      <c r="B1249" s="14">
        <v>3</v>
      </c>
      <c r="C1249">
        <f>(B1249*100)/$H$1</f>
        <v>5.8673968316057111E-2</v>
      </c>
      <c r="D1249">
        <f>D1248+C1249</f>
        <v>70.975943672990638</v>
      </c>
      <c r="E1249">
        <f>ROUNDDOWN(D1249,2)</f>
        <v>70.97</v>
      </c>
    </row>
    <row r="1250" spans="1:5" x14ac:dyDescent="0.35">
      <c r="A1250" s="15">
        <v>133</v>
      </c>
      <c r="B1250" s="14">
        <v>1</v>
      </c>
      <c r="C1250">
        <f>(B1250*100)/$H$1</f>
        <v>1.9557989438685704E-2</v>
      </c>
      <c r="D1250">
        <f>D1249+C1250</f>
        <v>70.995501662429319</v>
      </c>
      <c r="E1250">
        <f>ROUNDDOWN(D1250,2)</f>
        <v>70.989999999999995</v>
      </c>
    </row>
    <row r="1251" spans="1:5" x14ac:dyDescent="0.35">
      <c r="A1251" s="15">
        <v>132.9</v>
      </c>
      <c r="B1251" s="14">
        <v>1</v>
      </c>
      <c r="C1251">
        <f>(B1251*100)/$H$1</f>
        <v>1.9557989438685704E-2</v>
      </c>
      <c r="D1251">
        <f>D1250+C1251</f>
        <v>71.015059651868</v>
      </c>
      <c r="E1251">
        <f>ROUNDDOWN(D1251,2)</f>
        <v>71.010000000000005</v>
      </c>
    </row>
    <row r="1252" spans="1:5" x14ac:dyDescent="0.35">
      <c r="A1252" s="15">
        <v>132.80000000000001</v>
      </c>
      <c r="B1252" s="14">
        <v>1</v>
      </c>
      <c r="C1252">
        <f>(B1252*100)/$H$1</f>
        <v>1.9557989438685704E-2</v>
      </c>
      <c r="D1252">
        <f>D1251+C1252</f>
        <v>71.034617641306681</v>
      </c>
      <c r="E1252">
        <f>ROUNDDOWN(D1252,2)</f>
        <v>71.03</v>
      </c>
    </row>
    <row r="1253" spans="1:5" x14ac:dyDescent="0.35">
      <c r="A1253" s="15">
        <v>132.69999999999999</v>
      </c>
      <c r="B1253" s="14">
        <v>2</v>
      </c>
      <c r="C1253">
        <f>(B1253*100)/$H$1</f>
        <v>3.9115978877371407E-2</v>
      </c>
      <c r="D1253">
        <f>D1252+C1253</f>
        <v>71.073733620184058</v>
      </c>
      <c r="E1253">
        <f>ROUNDDOWN(D1253,2)</f>
        <v>71.069999999999993</v>
      </c>
    </row>
    <row r="1254" spans="1:5" x14ac:dyDescent="0.35">
      <c r="A1254" s="15">
        <v>132.4</v>
      </c>
      <c r="B1254" s="14">
        <v>2</v>
      </c>
      <c r="C1254">
        <f>(B1254*100)/$H$1</f>
        <v>3.9115978877371407E-2</v>
      </c>
      <c r="D1254">
        <f>D1253+C1254</f>
        <v>71.112849599061434</v>
      </c>
      <c r="E1254">
        <f>ROUNDDOWN(D1254,2)</f>
        <v>71.11</v>
      </c>
    </row>
    <row r="1255" spans="1:5" x14ac:dyDescent="0.35">
      <c r="A1255" s="15">
        <v>132.30000000000001</v>
      </c>
      <c r="B1255" s="14">
        <v>2</v>
      </c>
      <c r="C1255">
        <f>(B1255*100)/$H$1</f>
        <v>3.9115978877371407E-2</v>
      </c>
      <c r="D1255">
        <f>D1254+C1255</f>
        <v>71.15196557793881</v>
      </c>
      <c r="E1255">
        <f>ROUNDDOWN(D1255,2)</f>
        <v>71.150000000000006</v>
      </c>
    </row>
    <row r="1256" spans="1:5" x14ac:dyDescent="0.35">
      <c r="A1256" s="15">
        <v>132</v>
      </c>
      <c r="B1256" s="14">
        <v>3</v>
      </c>
      <c r="C1256">
        <f>(B1256*100)/$H$1</f>
        <v>5.8673968316057111E-2</v>
      </c>
      <c r="D1256">
        <f>D1255+C1256</f>
        <v>71.210639546254868</v>
      </c>
      <c r="E1256">
        <f>ROUNDDOWN(D1256,2)</f>
        <v>71.209999999999994</v>
      </c>
    </row>
    <row r="1257" spans="1:5" x14ac:dyDescent="0.35">
      <c r="A1257" s="15">
        <v>131.9</v>
      </c>
      <c r="B1257" s="14">
        <v>2</v>
      </c>
      <c r="C1257">
        <f>(B1257*100)/$H$1</f>
        <v>3.9115978877371407E-2</v>
      </c>
      <c r="D1257">
        <f>D1256+C1257</f>
        <v>71.249755525132244</v>
      </c>
      <c r="E1257">
        <f>ROUNDDOWN(D1257,2)</f>
        <v>71.239999999999995</v>
      </c>
    </row>
    <row r="1258" spans="1:5" x14ac:dyDescent="0.35">
      <c r="A1258" s="15">
        <v>131.80000000000001</v>
      </c>
      <c r="B1258" s="14">
        <v>3</v>
      </c>
      <c r="C1258">
        <f>(B1258*100)/$H$1</f>
        <v>5.8673968316057111E-2</v>
      </c>
      <c r="D1258">
        <f>D1257+C1258</f>
        <v>71.308429493448301</v>
      </c>
      <c r="E1258">
        <f>ROUNDDOWN(D1258,2)</f>
        <v>71.3</v>
      </c>
    </row>
    <row r="1259" spans="1:5" x14ac:dyDescent="0.35">
      <c r="A1259" s="15">
        <v>131.69999999999999</v>
      </c>
      <c r="B1259" s="14">
        <v>1</v>
      </c>
      <c r="C1259">
        <f>(B1259*100)/$H$1</f>
        <v>1.9557989438685704E-2</v>
      </c>
      <c r="D1259">
        <f>D1258+C1259</f>
        <v>71.327987482886982</v>
      </c>
      <c r="E1259">
        <f>ROUNDDOWN(D1259,2)</f>
        <v>71.319999999999993</v>
      </c>
    </row>
    <row r="1260" spans="1:5" x14ac:dyDescent="0.35">
      <c r="A1260" s="15">
        <v>131.6</v>
      </c>
      <c r="B1260" s="14">
        <v>1</v>
      </c>
      <c r="C1260">
        <f>(B1260*100)/$H$1</f>
        <v>1.9557989438685704E-2</v>
      </c>
      <c r="D1260">
        <f>D1259+C1260</f>
        <v>71.347545472325663</v>
      </c>
      <c r="E1260">
        <f>ROUNDDOWN(D1260,2)</f>
        <v>71.34</v>
      </c>
    </row>
    <row r="1261" spans="1:5" x14ac:dyDescent="0.35">
      <c r="A1261" s="15">
        <v>131.5</v>
      </c>
      <c r="B1261" s="14">
        <v>3</v>
      </c>
      <c r="C1261">
        <f>(B1261*100)/$H$1</f>
        <v>5.8673968316057111E-2</v>
      </c>
      <c r="D1261">
        <f>D1260+C1261</f>
        <v>71.406219440641721</v>
      </c>
      <c r="E1261">
        <f>ROUNDDOWN(D1261,2)</f>
        <v>71.400000000000006</v>
      </c>
    </row>
    <row r="1262" spans="1:5" x14ac:dyDescent="0.35">
      <c r="A1262" s="15">
        <v>131.4</v>
      </c>
      <c r="B1262" s="14">
        <v>1</v>
      </c>
      <c r="C1262">
        <f>(B1262*100)/$H$1</f>
        <v>1.9557989438685704E-2</v>
      </c>
      <c r="D1262">
        <f>D1261+C1262</f>
        <v>71.425777430080402</v>
      </c>
      <c r="E1262">
        <f>ROUNDDOWN(D1262,2)</f>
        <v>71.42</v>
      </c>
    </row>
    <row r="1263" spans="1:5" x14ac:dyDescent="0.35">
      <c r="A1263" s="15">
        <v>131.30000000000001</v>
      </c>
      <c r="B1263" s="14">
        <v>2</v>
      </c>
      <c r="C1263">
        <f>(B1263*100)/$H$1</f>
        <v>3.9115978877371407E-2</v>
      </c>
      <c r="D1263">
        <f>D1262+C1263</f>
        <v>71.464893408957778</v>
      </c>
      <c r="E1263">
        <f>ROUNDDOWN(D1263,2)</f>
        <v>71.459999999999994</v>
      </c>
    </row>
    <row r="1264" spans="1:5" x14ac:dyDescent="0.35">
      <c r="A1264" s="15">
        <v>131.19999999999999</v>
      </c>
      <c r="B1264" s="14">
        <v>1</v>
      </c>
      <c r="C1264">
        <f>(B1264*100)/$H$1</f>
        <v>1.9557989438685704E-2</v>
      </c>
      <c r="D1264">
        <f>D1263+C1264</f>
        <v>71.484451398396459</v>
      </c>
      <c r="E1264">
        <f>ROUNDDOWN(D1264,2)</f>
        <v>71.48</v>
      </c>
    </row>
    <row r="1265" spans="1:5" x14ac:dyDescent="0.35">
      <c r="A1265" s="15">
        <v>131</v>
      </c>
      <c r="B1265" s="14">
        <v>1</v>
      </c>
      <c r="C1265">
        <f>(B1265*100)/$H$1</f>
        <v>1.9557989438685704E-2</v>
      </c>
      <c r="D1265">
        <f>D1264+C1265</f>
        <v>71.50400938783514</v>
      </c>
      <c r="E1265">
        <f>ROUNDDOWN(D1265,2)</f>
        <v>71.5</v>
      </c>
    </row>
    <row r="1266" spans="1:5" x14ac:dyDescent="0.35">
      <c r="A1266" s="15">
        <v>130.9</v>
      </c>
      <c r="B1266" s="14">
        <v>2</v>
      </c>
      <c r="C1266">
        <f>(B1266*100)/$H$1</f>
        <v>3.9115978877371407E-2</v>
      </c>
      <c r="D1266">
        <f>D1265+C1266</f>
        <v>71.543125366712516</v>
      </c>
      <c r="E1266">
        <f>ROUNDDOWN(D1266,2)</f>
        <v>71.540000000000006</v>
      </c>
    </row>
    <row r="1267" spans="1:5" x14ac:dyDescent="0.35">
      <c r="A1267" s="15">
        <v>130.80000000000001</v>
      </c>
      <c r="B1267" s="14">
        <v>4</v>
      </c>
      <c r="C1267">
        <f>(B1267*100)/$H$1</f>
        <v>7.8231957754742815E-2</v>
      </c>
      <c r="D1267">
        <f>D1266+C1267</f>
        <v>71.621357324467255</v>
      </c>
      <c r="E1267">
        <f>ROUNDDOWN(D1267,2)</f>
        <v>71.62</v>
      </c>
    </row>
    <row r="1268" spans="1:5" x14ac:dyDescent="0.35">
      <c r="A1268" s="15">
        <v>130.69999999999999</v>
      </c>
      <c r="B1268" s="14">
        <v>1</v>
      </c>
      <c r="C1268">
        <f>(B1268*100)/$H$1</f>
        <v>1.9557989438685704E-2</v>
      </c>
      <c r="D1268">
        <f>D1267+C1268</f>
        <v>71.640915313905936</v>
      </c>
      <c r="E1268">
        <f>ROUNDDOWN(D1268,2)</f>
        <v>71.64</v>
      </c>
    </row>
    <row r="1269" spans="1:5" x14ac:dyDescent="0.35">
      <c r="A1269" s="15">
        <v>130.6</v>
      </c>
      <c r="B1269" s="14">
        <v>3</v>
      </c>
      <c r="C1269">
        <f>(B1269*100)/$H$1</f>
        <v>5.8673968316057111E-2</v>
      </c>
      <c r="D1269">
        <f>D1268+C1269</f>
        <v>71.699589282221993</v>
      </c>
      <c r="E1269">
        <f>ROUNDDOWN(D1269,2)</f>
        <v>71.69</v>
      </c>
    </row>
    <row r="1270" spans="1:5" x14ac:dyDescent="0.35">
      <c r="A1270" s="15">
        <v>130.5</v>
      </c>
      <c r="B1270" s="14">
        <v>3</v>
      </c>
      <c r="C1270">
        <f>(B1270*100)/$H$1</f>
        <v>5.8673968316057111E-2</v>
      </c>
      <c r="D1270">
        <f>D1269+C1270</f>
        <v>71.75826325053805</v>
      </c>
      <c r="E1270">
        <f>ROUNDDOWN(D1270,2)</f>
        <v>71.75</v>
      </c>
    </row>
    <row r="1271" spans="1:5" x14ac:dyDescent="0.35">
      <c r="A1271" s="15">
        <v>130.30000000000001</v>
      </c>
      <c r="B1271" s="14">
        <v>2</v>
      </c>
      <c r="C1271">
        <f>(B1271*100)/$H$1</f>
        <v>3.9115978877371407E-2</v>
      </c>
      <c r="D1271">
        <f>D1270+C1271</f>
        <v>71.797379229415426</v>
      </c>
      <c r="E1271">
        <f>ROUNDDOWN(D1271,2)</f>
        <v>71.790000000000006</v>
      </c>
    </row>
    <row r="1272" spans="1:5" x14ac:dyDescent="0.35">
      <c r="A1272" s="15">
        <v>130.19999999999999</v>
      </c>
      <c r="B1272" s="14">
        <v>2</v>
      </c>
      <c r="C1272">
        <f>(B1272*100)/$H$1</f>
        <v>3.9115978877371407E-2</v>
      </c>
      <c r="D1272">
        <f>D1271+C1272</f>
        <v>71.836495208292803</v>
      </c>
      <c r="E1272">
        <f>ROUNDDOWN(D1272,2)</f>
        <v>71.83</v>
      </c>
    </row>
    <row r="1273" spans="1:5" x14ac:dyDescent="0.35">
      <c r="A1273" s="15">
        <v>130.1</v>
      </c>
      <c r="B1273" s="14">
        <v>4</v>
      </c>
      <c r="C1273">
        <f>(B1273*100)/$H$1</f>
        <v>7.8231957754742815E-2</v>
      </c>
      <c r="D1273">
        <f>D1272+C1273</f>
        <v>71.914727166047541</v>
      </c>
      <c r="E1273">
        <f>ROUNDDOWN(D1273,2)</f>
        <v>71.91</v>
      </c>
    </row>
    <row r="1274" spans="1:5" x14ac:dyDescent="0.35">
      <c r="A1274" s="15">
        <v>130</v>
      </c>
      <c r="B1274" s="14">
        <v>1</v>
      </c>
      <c r="C1274">
        <f>(B1274*100)/$H$1</f>
        <v>1.9557989438685704E-2</v>
      </c>
      <c r="D1274">
        <f>D1273+C1274</f>
        <v>71.934285155486222</v>
      </c>
      <c r="E1274">
        <f>ROUNDDOWN(D1274,2)</f>
        <v>71.930000000000007</v>
      </c>
    </row>
    <row r="1275" spans="1:5" x14ac:dyDescent="0.35">
      <c r="A1275" s="15">
        <v>129.9</v>
      </c>
      <c r="B1275" s="14">
        <v>3</v>
      </c>
      <c r="C1275">
        <f>(B1275*100)/$H$1</f>
        <v>5.8673968316057111E-2</v>
      </c>
      <c r="D1275">
        <f>D1274+C1275</f>
        <v>71.992959123802279</v>
      </c>
      <c r="E1275">
        <f>ROUNDDOWN(D1275,2)</f>
        <v>71.989999999999995</v>
      </c>
    </row>
    <row r="1276" spans="1:5" x14ac:dyDescent="0.35">
      <c r="A1276" s="15">
        <v>129.69999999999999</v>
      </c>
      <c r="B1276" s="14">
        <v>1</v>
      </c>
      <c r="C1276">
        <f>(B1276*100)/$H$1</f>
        <v>1.9557989438685704E-2</v>
      </c>
      <c r="D1276">
        <f>D1275+C1276</f>
        <v>72.01251711324096</v>
      </c>
      <c r="E1276">
        <f>ROUNDDOWN(D1276,2)</f>
        <v>72.010000000000005</v>
      </c>
    </row>
    <row r="1277" spans="1:5" x14ac:dyDescent="0.35">
      <c r="A1277" s="15">
        <v>129.5</v>
      </c>
      <c r="B1277" s="14">
        <v>2</v>
      </c>
      <c r="C1277">
        <f>(B1277*100)/$H$1</f>
        <v>3.9115978877371407E-2</v>
      </c>
      <c r="D1277">
        <f>D1276+C1277</f>
        <v>72.051633092118337</v>
      </c>
      <c r="E1277">
        <f>ROUNDDOWN(D1277,2)</f>
        <v>72.05</v>
      </c>
    </row>
    <row r="1278" spans="1:5" x14ac:dyDescent="0.35">
      <c r="A1278" s="15">
        <v>129.4</v>
      </c>
      <c r="B1278" s="14">
        <v>1</v>
      </c>
      <c r="C1278">
        <f>(B1278*100)/$H$1</f>
        <v>1.9557989438685704E-2</v>
      </c>
      <c r="D1278">
        <f>D1277+C1278</f>
        <v>72.071191081557018</v>
      </c>
      <c r="E1278">
        <f>ROUNDDOWN(D1278,2)</f>
        <v>72.069999999999993</v>
      </c>
    </row>
    <row r="1279" spans="1:5" x14ac:dyDescent="0.35">
      <c r="A1279" s="15">
        <v>129.30000000000001</v>
      </c>
      <c r="B1279" s="14">
        <v>1</v>
      </c>
      <c r="C1279">
        <f>(B1279*100)/$H$1</f>
        <v>1.9557989438685704E-2</v>
      </c>
      <c r="D1279">
        <f>D1278+C1279</f>
        <v>72.090749070995699</v>
      </c>
      <c r="E1279">
        <f>ROUNDDOWN(D1279,2)</f>
        <v>72.09</v>
      </c>
    </row>
    <row r="1280" spans="1:5" x14ac:dyDescent="0.35">
      <c r="A1280" s="15">
        <v>129.19999999999999</v>
      </c>
      <c r="B1280" s="14">
        <v>1</v>
      </c>
      <c r="C1280">
        <f>(B1280*100)/$H$1</f>
        <v>1.9557989438685704E-2</v>
      </c>
      <c r="D1280">
        <f>D1279+C1280</f>
        <v>72.11030706043438</v>
      </c>
      <c r="E1280">
        <f>ROUNDDOWN(D1280,2)</f>
        <v>72.11</v>
      </c>
    </row>
    <row r="1281" spans="1:5" x14ac:dyDescent="0.35">
      <c r="A1281" s="15">
        <v>129</v>
      </c>
      <c r="B1281" s="14">
        <v>4</v>
      </c>
      <c r="C1281">
        <f>(B1281*100)/$H$1</f>
        <v>7.8231957754742815E-2</v>
      </c>
      <c r="D1281">
        <f>D1280+C1281</f>
        <v>72.188539018189118</v>
      </c>
      <c r="E1281">
        <f>ROUNDDOWN(D1281,2)</f>
        <v>72.180000000000007</v>
      </c>
    </row>
    <row r="1282" spans="1:5" x14ac:dyDescent="0.35">
      <c r="A1282" s="15">
        <v>128.80000000000001</v>
      </c>
      <c r="B1282" s="14">
        <v>2</v>
      </c>
      <c r="C1282">
        <f>(B1282*100)/$H$1</f>
        <v>3.9115978877371407E-2</v>
      </c>
      <c r="D1282">
        <f>D1281+C1282</f>
        <v>72.227654997066495</v>
      </c>
      <c r="E1282">
        <f>ROUNDDOWN(D1282,2)</f>
        <v>72.22</v>
      </c>
    </row>
    <row r="1283" spans="1:5" x14ac:dyDescent="0.35">
      <c r="A1283" s="15">
        <v>128.69999999999999</v>
      </c>
      <c r="B1283" s="14">
        <v>2</v>
      </c>
      <c r="C1283">
        <f>(B1283*100)/$H$1</f>
        <v>3.9115978877371407E-2</v>
      </c>
      <c r="D1283">
        <f>D1282+C1283</f>
        <v>72.266770975943871</v>
      </c>
      <c r="E1283">
        <f>ROUNDDOWN(D1283,2)</f>
        <v>72.260000000000005</v>
      </c>
    </row>
    <row r="1284" spans="1:5" x14ac:dyDescent="0.35">
      <c r="A1284" s="15">
        <v>128.6</v>
      </c>
      <c r="B1284" s="14">
        <v>2</v>
      </c>
      <c r="C1284">
        <f>(B1284*100)/$H$1</f>
        <v>3.9115978877371407E-2</v>
      </c>
      <c r="D1284">
        <f>D1283+C1284</f>
        <v>72.305886954821247</v>
      </c>
      <c r="E1284">
        <f>ROUNDDOWN(D1284,2)</f>
        <v>72.3</v>
      </c>
    </row>
    <row r="1285" spans="1:5" x14ac:dyDescent="0.35">
      <c r="A1285" s="15">
        <v>128.5</v>
      </c>
      <c r="B1285" s="14">
        <v>1</v>
      </c>
      <c r="C1285">
        <f>(B1285*100)/$H$1</f>
        <v>1.9557989438685704E-2</v>
      </c>
      <c r="D1285">
        <f>D1284+C1285</f>
        <v>72.325444944259928</v>
      </c>
      <c r="E1285">
        <f>ROUNDDOWN(D1285,2)</f>
        <v>72.319999999999993</v>
      </c>
    </row>
    <row r="1286" spans="1:5" x14ac:dyDescent="0.35">
      <c r="A1286" s="15">
        <v>128.4</v>
      </c>
      <c r="B1286" s="14">
        <v>4</v>
      </c>
      <c r="C1286">
        <f>(B1286*100)/$H$1</f>
        <v>7.8231957754742815E-2</v>
      </c>
      <c r="D1286">
        <f>D1285+C1286</f>
        <v>72.403676902014666</v>
      </c>
      <c r="E1286">
        <f>ROUNDDOWN(D1286,2)</f>
        <v>72.400000000000006</v>
      </c>
    </row>
    <row r="1287" spans="1:5" x14ac:dyDescent="0.35">
      <c r="A1287" s="15">
        <v>128.30000000000001</v>
      </c>
      <c r="B1287" s="14">
        <v>4</v>
      </c>
      <c r="C1287">
        <f>(B1287*100)/$H$1</f>
        <v>7.8231957754742815E-2</v>
      </c>
      <c r="D1287">
        <f>D1286+C1287</f>
        <v>72.481908859769405</v>
      </c>
      <c r="E1287">
        <f>ROUNDDOWN(D1287,2)</f>
        <v>72.48</v>
      </c>
    </row>
    <row r="1288" spans="1:5" x14ac:dyDescent="0.35">
      <c r="A1288" s="15">
        <v>128.19999999999999</v>
      </c>
      <c r="B1288" s="14">
        <v>1</v>
      </c>
      <c r="C1288">
        <f>(B1288*100)/$H$1</f>
        <v>1.9557989438685704E-2</v>
      </c>
      <c r="D1288">
        <f>D1287+C1288</f>
        <v>72.501466849208086</v>
      </c>
      <c r="E1288">
        <f>ROUNDDOWN(D1288,2)</f>
        <v>72.5</v>
      </c>
    </row>
    <row r="1289" spans="1:5" x14ac:dyDescent="0.35">
      <c r="A1289" s="15">
        <v>128.1</v>
      </c>
      <c r="B1289" s="14">
        <v>1</v>
      </c>
      <c r="C1289">
        <f>(B1289*100)/$H$1</f>
        <v>1.9557989438685704E-2</v>
      </c>
      <c r="D1289">
        <f>D1288+C1289</f>
        <v>72.521024838646767</v>
      </c>
      <c r="E1289">
        <f>ROUNDDOWN(D1289,2)</f>
        <v>72.52</v>
      </c>
    </row>
    <row r="1290" spans="1:5" x14ac:dyDescent="0.35">
      <c r="A1290" s="15">
        <v>128</v>
      </c>
      <c r="B1290" s="14">
        <v>3</v>
      </c>
      <c r="C1290">
        <f>(B1290*100)/$H$1</f>
        <v>5.8673968316057111E-2</v>
      </c>
      <c r="D1290">
        <f>D1289+C1290</f>
        <v>72.579698806962824</v>
      </c>
      <c r="E1290">
        <f>ROUNDDOWN(D1290,2)</f>
        <v>72.569999999999993</v>
      </c>
    </row>
    <row r="1291" spans="1:5" x14ac:dyDescent="0.35">
      <c r="A1291" s="15">
        <v>127.9</v>
      </c>
      <c r="B1291" s="14">
        <v>3</v>
      </c>
      <c r="C1291">
        <f>(B1291*100)/$H$1</f>
        <v>5.8673968316057111E-2</v>
      </c>
      <c r="D1291">
        <f>D1290+C1291</f>
        <v>72.638372775278881</v>
      </c>
      <c r="E1291">
        <f>ROUNDDOWN(D1291,2)</f>
        <v>72.63</v>
      </c>
    </row>
    <row r="1292" spans="1:5" x14ac:dyDescent="0.35">
      <c r="A1292" s="15">
        <v>127.8</v>
      </c>
      <c r="B1292" s="14">
        <v>1</v>
      </c>
      <c r="C1292">
        <f>(B1292*100)/$H$1</f>
        <v>1.9557989438685704E-2</v>
      </c>
      <c r="D1292">
        <f>D1291+C1292</f>
        <v>72.657930764717563</v>
      </c>
      <c r="E1292">
        <f>ROUNDDOWN(D1292,2)</f>
        <v>72.650000000000006</v>
      </c>
    </row>
    <row r="1293" spans="1:5" x14ac:dyDescent="0.35">
      <c r="A1293" s="15">
        <v>127.7</v>
      </c>
      <c r="B1293" s="14">
        <v>1</v>
      </c>
      <c r="C1293">
        <f>(B1293*100)/$H$1</f>
        <v>1.9557989438685704E-2</v>
      </c>
      <c r="D1293">
        <f>D1292+C1293</f>
        <v>72.677488754156244</v>
      </c>
      <c r="E1293">
        <f>ROUNDDOWN(D1293,2)</f>
        <v>72.67</v>
      </c>
    </row>
    <row r="1294" spans="1:5" x14ac:dyDescent="0.35">
      <c r="A1294" s="15">
        <v>127.6</v>
      </c>
      <c r="B1294" s="14">
        <v>6</v>
      </c>
      <c r="C1294">
        <f>(B1294*100)/$H$1</f>
        <v>0.11734793663211422</v>
      </c>
      <c r="D1294">
        <f>D1293+C1294</f>
        <v>72.794836690788358</v>
      </c>
      <c r="E1294">
        <f>ROUNDDOWN(D1294,2)</f>
        <v>72.790000000000006</v>
      </c>
    </row>
    <row r="1295" spans="1:5" x14ac:dyDescent="0.35">
      <c r="A1295" s="15">
        <v>127.5</v>
      </c>
      <c r="B1295" s="14">
        <v>4</v>
      </c>
      <c r="C1295">
        <f>(B1295*100)/$H$1</f>
        <v>7.8231957754742815E-2</v>
      </c>
      <c r="D1295">
        <f>D1294+C1295</f>
        <v>72.873068648543097</v>
      </c>
      <c r="E1295">
        <f>ROUNDDOWN(D1295,2)</f>
        <v>72.87</v>
      </c>
    </row>
    <row r="1296" spans="1:5" x14ac:dyDescent="0.35">
      <c r="A1296" s="15">
        <v>127.4</v>
      </c>
      <c r="B1296" s="14">
        <v>1</v>
      </c>
      <c r="C1296">
        <f>(B1296*100)/$H$1</f>
        <v>1.9557989438685704E-2</v>
      </c>
      <c r="D1296">
        <f>D1295+C1296</f>
        <v>72.892626637981778</v>
      </c>
      <c r="E1296">
        <f>ROUNDDOWN(D1296,2)</f>
        <v>72.89</v>
      </c>
    </row>
    <row r="1297" spans="1:5" x14ac:dyDescent="0.35">
      <c r="A1297" s="15">
        <v>127.3</v>
      </c>
      <c r="B1297" s="14">
        <v>2</v>
      </c>
      <c r="C1297">
        <f>(B1297*100)/$H$1</f>
        <v>3.9115978877371407E-2</v>
      </c>
      <c r="D1297">
        <f>D1296+C1297</f>
        <v>72.931742616859154</v>
      </c>
      <c r="E1297">
        <f>ROUNDDOWN(D1297,2)</f>
        <v>72.930000000000007</v>
      </c>
    </row>
    <row r="1298" spans="1:5" x14ac:dyDescent="0.35">
      <c r="A1298" s="15">
        <v>127.2</v>
      </c>
      <c r="B1298" s="14">
        <v>3</v>
      </c>
      <c r="C1298">
        <f>(B1298*100)/$H$1</f>
        <v>5.8673968316057111E-2</v>
      </c>
      <c r="D1298">
        <f>D1297+C1298</f>
        <v>72.990416585175211</v>
      </c>
      <c r="E1298">
        <f>ROUNDDOWN(D1298,2)</f>
        <v>72.989999999999995</v>
      </c>
    </row>
    <row r="1299" spans="1:5" x14ac:dyDescent="0.35">
      <c r="A1299" s="15">
        <v>127.1</v>
      </c>
      <c r="B1299" s="14">
        <v>2</v>
      </c>
      <c r="C1299">
        <f>(B1299*100)/$H$1</f>
        <v>3.9115978877371407E-2</v>
      </c>
      <c r="D1299">
        <f>D1298+C1299</f>
        <v>73.029532564052587</v>
      </c>
      <c r="E1299">
        <f>ROUNDDOWN(D1299,2)</f>
        <v>73.02</v>
      </c>
    </row>
    <row r="1300" spans="1:5" x14ac:dyDescent="0.35">
      <c r="A1300" s="15">
        <v>127</v>
      </c>
      <c r="B1300" s="14">
        <v>2</v>
      </c>
      <c r="C1300">
        <f>(B1300*100)/$H$1</f>
        <v>3.9115978877371407E-2</v>
      </c>
      <c r="D1300">
        <f>D1299+C1300</f>
        <v>73.068648542929964</v>
      </c>
      <c r="E1300">
        <f>ROUNDDOWN(D1300,2)</f>
        <v>73.06</v>
      </c>
    </row>
    <row r="1301" spans="1:5" x14ac:dyDescent="0.35">
      <c r="A1301" s="15">
        <v>126.9</v>
      </c>
      <c r="B1301" s="14">
        <v>2</v>
      </c>
      <c r="C1301">
        <f>(B1301*100)/$H$1</f>
        <v>3.9115978877371407E-2</v>
      </c>
      <c r="D1301">
        <f>D1300+C1301</f>
        <v>73.10776452180734</v>
      </c>
      <c r="E1301">
        <f>ROUNDDOWN(D1301,2)</f>
        <v>73.099999999999994</v>
      </c>
    </row>
    <row r="1302" spans="1:5" x14ac:dyDescent="0.35">
      <c r="A1302" s="15">
        <v>126.8</v>
      </c>
      <c r="B1302" s="14">
        <v>1</v>
      </c>
      <c r="C1302">
        <f>(B1302*100)/$H$1</f>
        <v>1.9557989438685704E-2</v>
      </c>
      <c r="D1302">
        <f>D1301+C1302</f>
        <v>73.127322511246021</v>
      </c>
      <c r="E1302">
        <f>ROUNDDOWN(D1302,2)</f>
        <v>73.12</v>
      </c>
    </row>
    <row r="1303" spans="1:5" x14ac:dyDescent="0.35">
      <c r="A1303" s="15">
        <v>126.7</v>
      </c>
      <c r="B1303" s="14">
        <v>2</v>
      </c>
      <c r="C1303">
        <f>(B1303*100)/$H$1</f>
        <v>3.9115978877371407E-2</v>
      </c>
      <c r="D1303">
        <f>D1302+C1303</f>
        <v>73.166438490123397</v>
      </c>
      <c r="E1303">
        <f>ROUNDDOWN(D1303,2)</f>
        <v>73.16</v>
      </c>
    </row>
    <row r="1304" spans="1:5" x14ac:dyDescent="0.35">
      <c r="A1304" s="15">
        <v>126.6</v>
      </c>
      <c r="B1304" s="14">
        <v>2</v>
      </c>
      <c r="C1304">
        <f>(B1304*100)/$H$1</f>
        <v>3.9115978877371407E-2</v>
      </c>
      <c r="D1304">
        <f>D1303+C1304</f>
        <v>73.205554469000774</v>
      </c>
      <c r="E1304">
        <f>ROUNDDOWN(D1304,2)</f>
        <v>73.2</v>
      </c>
    </row>
    <row r="1305" spans="1:5" x14ac:dyDescent="0.35">
      <c r="A1305" s="15">
        <v>126.5</v>
      </c>
      <c r="B1305" s="14">
        <v>1</v>
      </c>
      <c r="C1305">
        <f>(B1305*100)/$H$1</f>
        <v>1.9557989438685704E-2</v>
      </c>
      <c r="D1305">
        <f>D1304+C1305</f>
        <v>73.225112458439455</v>
      </c>
      <c r="E1305">
        <f>ROUNDDOWN(D1305,2)</f>
        <v>73.22</v>
      </c>
    </row>
    <row r="1306" spans="1:5" x14ac:dyDescent="0.35">
      <c r="A1306" s="15">
        <v>126.3</v>
      </c>
      <c r="B1306" s="14">
        <v>4</v>
      </c>
      <c r="C1306">
        <f>(B1306*100)/$H$1</f>
        <v>7.8231957754742815E-2</v>
      </c>
      <c r="D1306">
        <f>D1305+C1306</f>
        <v>73.303344416194193</v>
      </c>
      <c r="E1306">
        <f>ROUNDDOWN(D1306,2)</f>
        <v>73.3</v>
      </c>
    </row>
    <row r="1307" spans="1:5" x14ac:dyDescent="0.35">
      <c r="A1307" s="15">
        <v>126.2</v>
      </c>
      <c r="B1307" s="14">
        <v>1</v>
      </c>
      <c r="C1307">
        <f>(B1307*100)/$H$1</f>
        <v>1.9557989438685704E-2</v>
      </c>
      <c r="D1307">
        <f>D1306+C1307</f>
        <v>73.322902405632874</v>
      </c>
      <c r="E1307">
        <f>ROUNDDOWN(D1307,2)</f>
        <v>73.319999999999993</v>
      </c>
    </row>
    <row r="1308" spans="1:5" x14ac:dyDescent="0.35">
      <c r="A1308" s="15">
        <v>126.1</v>
      </c>
      <c r="B1308" s="14">
        <v>4</v>
      </c>
      <c r="C1308">
        <f>(B1308*100)/$H$1</f>
        <v>7.8231957754742815E-2</v>
      </c>
      <c r="D1308">
        <f>D1307+C1308</f>
        <v>73.401134363387612</v>
      </c>
      <c r="E1308">
        <f>ROUNDDOWN(D1308,2)</f>
        <v>73.400000000000006</v>
      </c>
    </row>
    <row r="1309" spans="1:5" x14ac:dyDescent="0.35">
      <c r="A1309" s="15">
        <v>126</v>
      </c>
      <c r="B1309" s="14">
        <v>2</v>
      </c>
      <c r="C1309">
        <f>(B1309*100)/$H$1</f>
        <v>3.9115978877371407E-2</v>
      </c>
      <c r="D1309">
        <f>D1308+C1309</f>
        <v>73.440250342264989</v>
      </c>
      <c r="E1309">
        <f>ROUNDDOWN(D1309,2)</f>
        <v>73.44</v>
      </c>
    </row>
    <row r="1310" spans="1:5" x14ac:dyDescent="0.35">
      <c r="A1310" s="15">
        <v>125.9</v>
      </c>
      <c r="B1310" s="14">
        <v>1</v>
      </c>
      <c r="C1310">
        <f>(B1310*100)/$H$1</f>
        <v>1.9557989438685704E-2</v>
      </c>
      <c r="D1310">
        <f>D1309+C1310</f>
        <v>73.45980833170367</v>
      </c>
      <c r="E1310">
        <f>ROUNDDOWN(D1310,2)</f>
        <v>73.45</v>
      </c>
    </row>
    <row r="1311" spans="1:5" x14ac:dyDescent="0.35">
      <c r="A1311" s="15">
        <v>125.8</v>
      </c>
      <c r="B1311" s="14">
        <v>1</v>
      </c>
      <c r="C1311">
        <f>(B1311*100)/$H$1</f>
        <v>1.9557989438685704E-2</v>
      </c>
      <c r="D1311">
        <f>D1310+C1311</f>
        <v>73.479366321142351</v>
      </c>
      <c r="E1311">
        <f>ROUNDDOWN(D1311,2)</f>
        <v>73.47</v>
      </c>
    </row>
    <row r="1312" spans="1:5" x14ac:dyDescent="0.35">
      <c r="A1312" s="15">
        <v>125.7</v>
      </c>
      <c r="B1312" s="14">
        <v>2</v>
      </c>
      <c r="C1312">
        <f>(B1312*100)/$H$1</f>
        <v>3.9115978877371407E-2</v>
      </c>
      <c r="D1312">
        <f>D1311+C1312</f>
        <v>73.518482300019727</v>
      </c>
      <c r="E1312">
        <f>ROUNDDOWN(D1312,2)</f>
        <v>73.510000000000005</v>
      </c>
    </row>
    <row r="1313" spans="1:5" x14ac:dyDescent="0.35">
      <c r="A1313" s="15">
        <v>125.6</v>
      </c>
      <c r="B1313" s="14">
        <v>1</v>
      </c>
      <c r="C1313">
        <f>(B1313*100)/$H$1</f>
        <v>1.9557989438685704E-2</v>
      </c>
      <c r="D1313">
        <f>D1312+C1313</f>
        <v>73.538040289458408</v>
      </c>
      <c r="E1313">
        <f>ROUNDDOWN(D1313,2)</f>
        <v>73.53</v>
      </c>
    </row>
    <row r="1314" spans="1:5" x14ac:dyDescent="0.35">
      <c r="A1314" s="15">
        <v>125.5</v>
      </c>
      <c r="B1314" s="14">
        <v>1</v>
      </c>
      <c r="C1314">
        <f>(B1314*100)/$H$1</f>
        <v>1.9557989438685704E-2</v>
      </c>
      <c r="D1314">
        <f>D1313+C1314</f>
        <v>73.557598278897089</v>
      </c>
      <c r="E1314">
        <f>ROUNDDOWN(D1314,2)</f>
        <v>73.55</v>
      </c>
    </row>
    <row r="1315" spans="1:5" x14ac:dyDescent="0.35">
      <c r="A1315" s="15">
        <v>125.4</v>
      </c>
      <c r="B1315" s="14">
        <v>1</v>
      </c>
      <c r="C1315">
        <f>(B1315*100)/$H$1</f>
        <v>1.9557989438685704E-2</v>
      </c>
      <c r="D1315">
        <f>D1314+C1315</f>
        <v>73.57715626833577</v>
      </c>
      <c r="E1315">
        <f>ROUNDDOWN(D1315,2)</f>
        <v>73.569999999999993</v>
      </c>
    </row>
    <row r="1316" spans="1:5" x14ac:dyDescent="0.35">
      <c r="A1316" s="15">
        <v>125.3</v>
      </c>
      <c r="B1316" s="14">
        <v>3</v>
      </c>
      <c r="C1316">
        <f>(B1316*100)/$H$1</f>
        <v>5.8673968316057111E-2</v>
      </c>
      <c r="D1316">
        <f>D1315+C1316</f>
        <v>73.635830236651827</v>
      </c>
      <c r="E1316">
        <f>ROUNDDOWN(D1316,2)</f>
        <v>73.63</v>
      </c>
    </row>
    <row r="1317" spans="1:5" x14ac:dyDescent="0.35">
      <c r="A1317" s="15">
        <v>125.2</v>
      </c>
      <c r="B1317" s="14">
        <v>2</v>
      </c>
      <c r="C1317">
        <f>(B1317*100)/$H$1</f>
        <v>3.9115978877371407E-2</v>
      </c>
      <c r="D1317">
        <f>D1316+C1317</f>
        <v>73.674946215529204</v>
      </c>
      <c r="E1317">
        <f>ROUNDDOWN(D1317,2)</f>
        <v>73.67</v>
      </c>
    </row>
    <row r="1318" spans="1:5" x14ac:dyDescent="0.35">
      <c r="A1318" s="15">
        <v>125.1</v>
      </c>
      <c r="B1318" s="14">
        <v>3</v>
      </c>
      <c r="C1318">
        <f>(B1318*100)/$H$1</f>
        <v>5.8673968316057111E-2</v>
      </c>
      <c r="D1318">
        <f>D1317+C1318</f>
        <v>73.733620183845261</v>
      </c>
      <c r="E1318">
        <f>ROUNDDOWN(D1318,2)</f>
        <v>73.73</v>
      </c>
    </row>
    <row r="1319" spans="1:5" x14ac:dyDescent="0.35">
      <c r="A1319" s="15">
        <v>125</v>
      </c>
      <c r="B1319" s="14">
        <v>4</v>
      </c>
      <c r="C1319">
        <f>(B1319*100)/$H$1</f>
        <v>7.8231957754742815E-2</v>
      </c>
      <c r="D1319">
        <f>D1318+C1319</f>
        <v>73.811852141599999</v>
      </c>
      <c r="E1319">
        <f>ROUNDDOWN(D1319,2)</f>
        <v>73.81</v>
      </c>
    </row>
    <row r="1320" spans="1:5" x14ac:dyDescent="0.35">
      <c r="A1320" s="15">
        <v>124.9</v>
      </c>
      <c r="B1320" s="14">
        <v>1</v>
      </c>
      <c r="C1320">
        <f>(B1320*100)/$H$1</f>
        <v>1.9557989438685704E-2</v>
      </c>
      <c r="D1320">
        <f>D1319+C1320</f>
        <v>73.83141013103868</v>
      </c>
      <c r="E1320">
        <f>ROUNDDOWN(D1320,2)</f>
        <v>73.83</v>
      </c>
    </row>
    <row r="1321" spans="1:5" x14ac:dyDescent="0.35">
      <c r="A1321" s="15">
        <v>124.8</v>
      </c>
      <c r="B1321" s="14">
        <v>5</v>
      </c>
      <c r="C1321">
        <f>(B1321*100)/$H$1</f>
        <v>9.7789947193428511E-2</v>
      </c>
      <c r="D1321">
        <f>D1320+C1321</f>
        <v>73.929200078232114</v>
      </c>
      <c r="E1321">
        <f>ROUNDDOWN(D1321,2)</f>
        <v>73.92</v>
      </c>
    </row>
    <row r="1322" spans="1:5" x14ac:dyDescent="0.35">
      <c r="A1322" s="15">
        <v>124.7</v>
      </c>
      <c r="B1322" s="14">
        <v>1</v>
      </c>
      <c r="C1322">
        <f>(B1322*100)/$H$1</f>
        <v>1.9557989438685704E-2</v>
      </c>
      <c r="D1322">
        <f>D1321+C1322</f>
        <v>73.948758067670795</v>
      </c>
      <c r="E1322">
        <f>ROUNDDOWN(D1322,2)</f>
        <v>73.94</v>
      </c>
    </row>
    <row r="1323" spans="1:5" x14ac:dyDescent="0.35">
      <c r="A1323" s="15">
        <v>124.6</v>
      </c>
      <c r="B1323" s="14">
        <v>2</v>
      </c>
      <c r="C1323">
        <f>(B1323*100)/$H$1</f>
        <v>3.9115978877371407E-2</v>
      </c>
      <c r="D1323">
        <f>D1322+C1323</f>
        <v>73.987874046548171</v>
      </c>
      <c r="E1323">
        <f>ROUNDDOWN(D1323,2)</f>
        <v>73.98</v>
      </c>
    </row>
    <row r="1324" spans="1:5" x14ac:dyDescent="0.35">
      <c r="A1324" s="15">
        <v>124.5</v>
      </c>
      <c r="B1324" s="14">
        <v>4</v>
      </c>
      <c r="C1324">
        <f>(B1324*100)/$H$1</f>
        <v>7.8231957754742815E-2</v>
      </c>
      <c r="D1324">
        <f>D1323+C1324</f>
        <v>74.06610600430291</v>
      </c>
      <c r="E1324">
        <f>ROUNDDOWN(D1324,2)</f>
        <v>74.06</v>
      </c>
    </row>
    <row r="1325" spans="1:5" x14ac:dyDescent="0.35">
      <c r="A1325" s="15">
        <v>124.4</v>
      </c>
      <c r="B1325" s="14">
        <v>2</v>
      </c>
      <c r="C1325">
        <f>(B1325*100)/$H$1</f>
        <v>3.9115978877371407E-2</v>
      </c>
      <c r="D1325">
        <f>D1324+C1325</f>
        <v>74.105221983180286</v>
      </c>
      <c r="E1325">
        <f>ROUNDDOWN(D1325,2)</f>
        <v>74.099999999999994</v>
      </c>
    </row>
    <row r="1326" spans="1:5" x14ac:dyDescent="0.35">
      <c r="A1326" s="15">
        <v>124.3</v>
      </c>
      <c r="B1326" s="14">
        <v>3</v>
      </c>
      <c r="C1326">
        <f>(B1326*100)/$H$1</f>
        <v>5.8673968316057111E-2</v>
      </c>
      <c r="D1326">
        <f>D1325+C1326</f>
        <v>74.163895951496343</v>
      </c>
      <c r="E1326">
        <f>ROUNDDOWN(D1326,2)</f>
        <v>74.16</v>
      </c>
    </row>
    <row r="1327" spans="1:5" x14ac:dyDescent="0.35">
      <c r="A1327" s="15">
        <v>124.2</v>
      </c>
      <c r="B1327" s="14">
        <v>2</v>
      </c>
      <c r="C1327">
        <f>(B1327*100)/$H$1</f>
        <v>3.9115978877371407E-2</v>
      </c>
      <c r="D1327">
        <f>D1326+C1327</f>
        <v>74.203011930373719</v>
      </c>
      <c r="E1327">
        <f>ROUNDDOWN(D1327,2)</f>
        <v>74.2</v>
      </c>
    </row>
    <row r="1328" spans="1:5" x14ac:dyDescent="0.35">
      <c r="A1328" s="15">
        <v>124.1</v>
      </c>
      <c r="B1328" s="14">
        <v>2</v>
      </c>
      <c r="C1328">
        <f>(B1328*100)/$H$1</f>
        <v>3.9115978877371407E-2</v>
      </c>
      <c r="D1328">
        <f>D1327+C1328</f>
        <v>74.242127909251096</v>
      </c>
      <c r="E1328">
        <f>ROUNDDOWN(D1328,2)</f>
        <v>74.239999999999995</v>
      </c>
    </row>
    <row r="1329" spans="1:5" x14ac:dyDescent="0.35">
      <c r="A1329" s="15">
        <v>124</v>
      </c>
      <c r="B1329" s="14">
        <v>3</v>
      </c>
      <c r="C1329">
        <f>(B1329*100)/$H$1</f>
        <v>5.8673968316057111E-2</v>
      </c>
      <c r="D1329">
        <f>D1328+C1329</f>
        <v>74.300801877567153</v>
      </c>
      <c r="E1329">
        <f>ROUNDDOWN(D1329,2)</f>
        <v>74.3</v>
      </c>
    </row>
    <row r="1330" spans="1:5" x14ac:dyDescent="0.35">
      <c r="A1330" s="15">
        <v>123.8</v>
      </c>
      <c r="B1330" s="14">
        <v>1</v>
      </c>
      <c r="C1330">
        <f>(B1330*100)/$H$1</f>
        <v>1.9557989438685704E-2</v>
      </c>
      <c r="D1330">
        <f>D1329+C1330</f>
        <v>74.320359867005834</v>
      </c>
      <c r="E1330">
        <f>ROUNDDOWN(D1330,2)</f>
        <v>74.319999999999993</v>
      </c>
    </row>
    <row r="1331" spans="1:5" x14ac:dyDescent="0.35">
      <c r="A1331" s="15">
        <v>123.4</v>
      </c>
      <c r="B1331" s="14">
        <v>2</v>
      </c>
      <c r="C1331">
        <f>(B1331*100)/$H$1</f>
        <v>3.9115978877371407E-2</v>
      </c>
      <c r="D1331">
        <f>D1330+C1331</f>
        <v>74.35947584588321</v>
      </c>
      <c r="E1331">
        <f>ROUNDDOWN(D1331,2)</f>
        <v>74.349999999999994</v>
      </c>
    </row>
    <row r="1332" spans="1:5" x14ac:dyDescent="0.35">
      <c r="A1332" s="15">
        <v>122.9</v>
      </c>
      <c r="B1332" s="14">
        <v>1</v>
      </c>
      <c r="C1332">
        <f>(B1332*100)/$H$1</f>
        <v>1.9557989438685704E-2</v>
      </c>
      <c r="D1332">
        <f>D1331+C1332</f>
        <v>74.379033835321891</v>
      </c>
      <c r="E1332">
        <f>ROUNDDOWN(D1332,2)</f>
        <v>74.37</v>
      </c>
    </row>
    <row r="1333" spans="1:5" x14ac:dyDescent="0.35">
      <c r="A1333" s="15">
        <v>122.7</v>
      </c>
      <c r="B1333" s="14">
        <v>2</v>
      </c>
      <c r="C1333">
        <f>(B1333*100)/$H$1</f>
        <v>3.9115978877371407E-2</v>
      </c>
      <c r="D1333">
        <f>D1332+C1333</f>
        <v>74.418149814199268</v>
      </c>
      <c r="E1333">
        <f>ROUNDDOWN(D1333,2)</f>
        <v>74.41</v>
      </c>
    </row>
    <row r="1334" spans="1:5" x14ac:dyDescent="0.35">
      <c r="A1334" s="15">
        <v>122.6</v>
      </c>
      <c r="B1334" s="14">
        <v>2</v>
      </c>
      <c r="C1334">
        <f>(B1334*100)/$H$1</f>
        <v>3.9115978877371407E-2</v>
      </c>
      <c r="D1334">
        <f>D1333+C1334</f>
        <v>74.457265793076644</v>
      </c>
      <c r="E1334">
        <f>ROUNDDOWN(D1334,2)</f>
        <v>74.45</v>
      </c>
    </row>
    <row r="1335" spans="1:5" x14ac:dyDescent="0.35">
      <c r="A1335" s="15">
        <v>122.5</v>
      </c>
      <c r="B1335" s="14">
        <v>1</v>
      </c>
      <c r="C1335">
        <f>(B1335*100)/$H$1</f>
        <v>1.9557989438685704E-2</v>
      </c>
      <c r="D1335">
        <f>D1334+C1335</f>
        <v>74.476823782515325</v>
      </c>
      <c r="E1335">
        <f>ROUNDDOWN(D1335,2)</f>
        <v>74.47</v>
      </c>
    </row>
    <row r="1336" spans="1:5" x14ac:dyDescent="0.35">
      <c r="A1336" s="15">
        <v>122.3</v>
      </c>
      <c r="B1336" s="14">
        <v>1</v>
      </c>
      <c r="C1336">
        <f>(B1336*100)/$H$1</f>
        <v>1.9557989438685704E-2</v>
      </c>
      <c r="D1336">
        <f>D1335+C1336</f>
        <v>74.496381771954006</v>
      </c>
      <c r="E1336">
        <f>ROUNDDOWN(D1336,2)</f>
        <v>74.489999999999995</v>
      </c>
    </row>
    <row r="1337" spans="1:5" x14ac:dyDescent="0.35">
      <c r="A1337" s="15">
        <v>122.1</v>
      </c>
      <c r="B1337" s="14">
        <v>1</v>
      </c>
      <c r="C1337">
        <f>(B1337*100)/$H$1</f>
        <v>1.9557989438685704E-2</v>
      </c>
      <c r="D1337">
        <f>D1336+C1337</f>
        <v>74.515939761392687</v>
      </c>
      <c r="E1337">
        <f>ROUNDDOWN(D1337,2)</f>
        <v>74.510000000000005</v>
      </c>
    </row>
    <row r="1338" spans="1:5" x14ac:dyDescent="0.35">
      <c r="A1338" s="15">
        <v>122</v>
      </c>
      <c r="B1338" s="14">
        <v>1</v>
      </c>
      <c r="C1338">
        <f>(B1338*100)/$H$1</f>
        <v>1.9557989438685704E-2</v>
      </c>
      <c r="D1338">
        <f>D1337+C1338</f>
        <v>74.535497750831368</v>
      </c>
      <c r="E1338">
        <f>ROUNDDOWN(D1338,2)</f>
        <v>74.53</v>
      </c>
    </row>
    <row r="1339" spans="1:5" x14ac:dyDescent="0.35">
      <c r="A1339" s="15">
        <v>121.8</v>
      </c>
      <c r="B1339" s="14">
        <v>1</v>
      </c>
      <c r="C1339">
        <f>(B1339*100)/$H$1</f>
        <v>1.9557989438685704E-2</v>
      </c>
      <c r="D1339">
        <f>D1338+C1339</f>
        <v>74.555055740270049</v>
      </c>
      <c r="E1339">
        <f>ROUNDDOWN(D1339,2)</f>
        <v>74.55</v>
      </c>
    </row>
    <row r="1340" spans="1:5" x14ac:dyDescent="0.35">
      <c r="A1340" s="15">
        <v>121.7</v>
      </c>
      <c r="B1340" s="14">
        <v>1</v>
      </c>
      <c r="C1340">
        <f>(B1340*100)/$H$1</f>
        <v>1.9557989438685704E-2</v>
      </c>
      <c r="D1340">
        <f>D1339+C1340</f>
        <v>74.57461372970873</v>
      </c>
      <c r="E1340">
        <f>ROUNDDOWN(D1340,2)</f>
        <v>74.569999999999993</v>
      </c>
    </row>
    <row r="1341" spans="1:5" x14ac:dyDescent="0.35">
      <c r="A1341" s="15">
        <v>121.6</v>
      </c>
      <c r="B1341" s="14">
        <v>1</v>
      </c>
      <c r="C1341">
        <f>(B1341*100)/$H$1</f>
        <v>1.9557989438685704E-2</v>
      </c>
      <c r="D1341">
        <f>D1340+C1341</f>
        <v>74.594171719147411</v>
      </c>
      <c r="E1341">
        <f>ROUNDDOWN(D1341,2)</f>
        <v>74.59</v>
      </c>
    </row>
    <row r="1342" spans="1:5" x14ac:dyDescent="0.35">
      <c r="A1342" s="15">
        <v>121.4</v>
      </c>
      <c r="B1342" s="14">
        <v>1</v>
      </c>
      <c r="C1342">
        <f>(B1342*100)/$H$1</f>
        <v>1.9557989438685704E-2</v>
      </c>
      <c r="D1342">
        <f>D1341+C1342</f>
        <v>74.613729708586092</v>
      </c>
      <c r="E1342">
        <f>ROUNDDOWN(D1342,2)</f>
        <v>74.61</v>
      </c>
    </row>
    <row r="1343" spans="1:5" x14ac:dyDescent="0.35">
      <c r="A1343" s="15">
        <v>121.2</v>
      </c>
      <c r="B1343" s="14">
        <v>1</v>
      </c>
      <c r="C1343">
        <f>(B1343*100)/$H$1</f>
        <v>1.9557989438685704E-2</v>
      </c>
      <c r="D1343">
        <f>D1342+C1343</f>
        <v>74.633287698024773</v>
      </c>
      <c r="E1343">
        <f>ROUNDDOWN(D1343,2)</f>
        <v>74.63</v>
      </c>
    </row>
    <row r="1344" spans="1:5" x14ac:dyDescent="0.35">
      <c r="A1344" s="15">
        <v>120.7</v>
      </c>
      <c r="B1344" s="14">
        <v>1</v>
      </c>
      <c r="C1344">
        <f>(B1344*100)/$H$1</f>
        <v>1.9557989438685704E-2</v>
      </c>
      <c r="D1344">
        <f>D1343+C1344</f>
        <v>74.652845687463454</v>
      </c>
      <c r="E1344">
        <f>ROUNDDOWN(D1344,2)</f>
        <v>74.650000000000006</v>
      </c>
    </row>
    <row r="1345" spans="1:5" x14ac:dyDescent="0.35">
      <c r="A1345" s="15">
        <v>120.6</v>
      </c>
      <c r="B1345" s="14">
        <v>2</v>
      </c>
      <c r="C1345">
        <f>(B1345*100)/$H$1</f>
        <v>3.9115978877371407E-2</v>
      </c>
      <c r="D1345">
        <f>D1344+C1345</f>
        <v>74.691961666340831</v>
      </c>
      <c r="E1345">
        <f>ROUNDDOWN(D1345,2)</f>
        <v>74.69</v>
      </c>
    </row>
    <row r="1346" spans="1:5" x14ac:dyDescent="0.35">
      <c r="A1346" s="15">
        <v>118.5</v>
      </c>
      <c r="B1346" s="14">
        <v>1</v>
      </c>
      <c r="C1346">
        <f>(B1346*100)/$H$1</f>
        <v>1.9557989438685704E-2</v>
      </c>
      <c r="D1346">
        <f>D1345+C1346</f>
        <v>74.711519655779512</v>
      </c>
      <c r="E1346">
        <f>ROUNDDOWN(D1346,2)</f>
        <v>74.709999999999994</v>
      </c>
    </row>
    <row r="1347" spans="1:5" x14ac:dyDescent="0.35">
      <c r="A1347" s="15">
        <v>118.4</v>
      </c>
      <c r="B1347" s="14">
        <v>1</v>
      </c>
      <c r="C1347">
        <f>(B1347*100)/$H$1</f>
        <v>1.9557989438685704E-2</v>
      </c>
      <c r="D1347">
        <f>D1346+C1347</f>
        <v>74.731077645218193</v>
      </c>
      <c r="E1347">
        <f>ROUNDDOWN(D1347,2)</f>
        <v>74.73</v>
      </c>
    </row>
    <row r="1348" spans="1:5" x14ac:dyDescent="0.35">
      <c r="A1348" s="15">
        <v>117.8</v>
      </c>
      <c r="B1348" s="14">
        <v>1</v>
      </c>
      <c r="C1348">
        <f>(B1348*100)/$H$1</f>
        <v>1.9557989438685704E-2</v>
      </c>
      <c r="D1348">
        <f>D1347+C1348</f>
        <v>74.750635634656874</v>
      </c>
      <c r="E1348">
        <f>ROUNDDOWN(D1348,2)</f>
        <v>74.75</v>
      </c>
    </row>
    <row r="1349" spans="1:5" x14ac:dyDescent="0.35">
      <c r="A1349" s="15">
        <v>117.7</v>
      </c>
      <c r="B1349" s="14">
        <v>2</v>
      </c>
      <c r="C1349">
        <f>(B1349*100)/$H$1</f>
        <v>3.9115978877371407E-2</v>
      </c>
      <c r="D1349">
        <f>D1348+C1349</f>
        <v>74.78975161353425</v>
      </c>
      <c r="E1349">
        <f>ROUNDDOWN(D1349,2)</f>
        <v>74.78</v>
      </c>
    </row>
    <row r="1350" spans="1:5" x14ac:dyDescent="0.35">
      <c r="A1350" s="15">
        <v>117.5</v>
      </c>
      <c r="B1350" s="14">
        <v>1</v>
      </c>
      <c r="C1350">
        <f>(B1350*100)/$H$1</f>
        <v>1.9557989438685704E-2</v>
      </c>
      <c r="D1350">
        <f>D1349+C1350</f>
        <v>74.809309602972931</v>
      </c>
      <c r="E1350">
        <f>ROUNDDOWN(D1350,2)</f>
        <v>74.8</v>
      </c>
    </row>
    <row r="1351" spans="1:5" x14ac:dyDescent="0.35">
      <c r="A1351" s="15">
        <v>117.4</v>
      </c>
      <c r="B1351" s="14">
        <v>1</v>
      </c>
      <c r="C1351">
        <f>(B1351*100)/$H$1</f>
        <v>1.9557989438685704E-2</v>
      </c>
      <c r="D1351">
        <f>D1350+C1351</f>
        <v>74.828867592411612</v>
      </c>
      <c r="E1351">
        <f>ROUNDDOWN(D1351,2)</f>
        <v>74.819999999999993</v>
      </c>
    </row>
    <row r="1352" spans="1:5" x14ac:dyDescent="0.35">
      <c r="A1352" s="15">
        <v>117.3</v>
      </c>
      <c r="B1352" s="14">
        <v>1</v>
      </c>
      <c r="C1352">
        <f>(B1352*100)/$H$1</f>
        <v>1.9557989438685704E-2</v>
      </c>
      <c r="D1352">
        <f>D1351+C1352</f>
        <v>74.848425581850293</v>
      </c>
      <c r="E1352">
        <f>ROUNDDOWN(D1352,2)</f>
        <v>74.84</v>
      </c>
    </row>
    <row r="1353" spans="1:5" x14ac:dyDescent="0.35">
      <c r="A1353" s="15">
        <v>116.7</v>
      </c>
      <c r="B1353" s="14">
        <v>1</v>
      </c>
      <c r="C1353">
        <f>(B1353*100)/$H$1</f>
        <v>1.9557989438685704E-2</v>
      </c>
      <c r="D1353">
        <f>D1352+C1353</f>
        <v>74.867983571288974</v>
      </c>
      <c r="E1353">
        <f>ROUNDDOWN(D1353,2)</f>
        <v>74.86</v>
      </c>
    </row>
    <row r="1354" spans="1:5" x14ac:dyDescent="0.35">
      <c r="A1354" s="15">
        <v>116.6</v>
      </c>
      <c r="B1354" s="14">
        <v>1</v>
      </c>
      <c r="C1354">
        <f>(B1354*100)/$H$1</f>
        <v>1.9557989438685704E-2</v>
      </c>
      <c r="D1354">
        <f>D1353+C1354</f>
        <v>74.887541560727655</v>
      </c>
      <c r="E1354">
        <f>ROUNDDOWN(D1354,2)</f>
        <v>74.88</v>
      </c>
    </row>
    <row r="1355" spans="1:5" x14ac:dyDescent="0.35">
      <c r="A1355" s="15">
        <v>116.3</v>
      </c>
      <c r="B1355" s="14">
        <v>1</v>
      </c>
      <c r="C1355">
        <f>(B1355*100)/$H$1</f>
        <v>1.9557989438685704E-2</v>
      </c>
      <c r="D1355">
        <f>D1354+C1355</f>
        <v>74.907099550166336</v>
      </c>
      <c r="E1355">
        <f>ROUNDDOWN(D1355,2)</f>
        <v>74.900000000000006</v>
      </c>
    </row>
    <row r="1356" spans="1:5" x14ac:dyDescent="0.35">
      <c r="A1356" s="15">
        <v>116.2</v>
      </c>
      <c r="B1356" s="14">
        <v>1</v>
      </c>
      <c r="C1356">
        <f>(B1356*100)/$H$1</f>
        <v>1.9557989438685704E-2</v>
      </c>
      <c r="D1356">
        <f>D1355+C1356</f>
        <v>74.926657539605017</v>
      </c>
      <c r="E1356">
        <f>ROUNDDOWN(D1356,2)</f>
        <v>74.92</v>
      </c>
    </row>
    <row r="1357" spans="1:5" x14ac:dyDescent="0.35">
      <c r="A1357" s="15">
        <v>116.1</v>
      </c>
      <c r="B1357" s="14">
        <v>1</v>
      </c>
      <c r="C1357">
        <f>(B1357*100)/$H$1</f>
        <v>1.9557989438685704E-2</v>
      </c>
      <c r="D1357">
        <f>D1356+C1357</f>
        <v>74.946215529043698</v>
      </c>
      <c r="E1357">
        <f>ROUNDDOWN(D1357,2)</f>
        <v>74.94</v>
      </c>
    </row>
    <row r="1358" spans="1:5" x14ac:dyDescent="0.35">
      <c r="A1358" s="15">
        <v>115.9</v>
      </c>
      <c r="B1358" s="14">
        <v>1</v>
      </c>
      <c r="C1358">
        <f>(B1358*100)/$H$1</f>
        <v>1.9557989438685704E-2</v>
      </c>
      <c r="D1358">
        <f>D1357+C1358</f>
        <v>74.965773518482379</v>
      </c>
      <c r="E1358">
        <f>ROUNDDOWN(D1358,2)</f>
        <v>74.959999999999994</v>
      </c>
    </row>
    <row r="1359" spans="1:5" x14ac:dyDescent="0.35">
      <c r="A1359" s="15">
        <v>115.8</v>
      </c>
      <c r="B1359" s="14">
        <v>1</v>
      </c>
      <c r="C1359">
        <f>(B1359*100)/$H$1</f>
        <v>1.9557989438685704E-2</v>
      </c>
      <c r="D1359">
        <f>D1358+C1359</f>
        <v>74.98533150792106</v>
      </c>
      <c r="E1359">
        <f>ROUNDDOWN(D1359,2)</f>
        <v>74.98</v>
      </c>
    </row>
    <row r="1360" spans="1:5" x14ac:dyDescent="0.35">
      <c r="A1360" s="15">
        <v>115.5</v>
      </c>
      <c r="B1360" s="14">
        <v>1</v>
      </c>
      <c r="C1360">
        <f>(B1360*100)/$H$1</f>
        <v>1.9557989438685704E-2</v>
      </c>
      <c r="D1360">
        <f>D1359+C1360</f>
        <v>75.004889497359741</v>
      </c>
      <c r="E1360">
        <f>ROUNDDOWN(D1360,2)</f>
        <v>75</v>
      </c>
    </row>
    <row r="1361" spans="1:5" x14ac:dyDescent="0.35">
      <c r="A1361" s="15">
        <v>115.3</v>
      </c>
      <c r="B1361" s="14">
        <v>2</v>
      </c>
      <c r="C1361">
        <f>(B1361*100)/$H$1</f>
        <v>3.9115978877371407E-2</v>
      </c>
      <c r="D1361">
        <f>D1360+C1361</f>
        <v>75.044005476237118</v>
      </c>
      <c r="E1361">
        <f>ROUNDDOWN(D1361,2)</f>
        <v>75.040000000000006</v>
      </c>
    </row>
    <row r="1362" spans="1:5" x14ac:dyDescent="0.35">
      <c r="A1362" s="15">
        <v>115.2</v>
      </c>
      <c r="B1362" s="14">
        <v>1</v>
      </c>
      <c r="C1362">
        <f>(B1362*100)/$H$1</f>
        <v>1.9557989438685704E-2</v>
      </c>
      <c r="D1362">
        <f>D1361+C1362</f>
        <v>75.063563465675799</v>
      </c>
      <c r="E1362">
        <f>ROUNDDOWN(D1362,2)</f>
        <v>75.06</v>
      </c>
    </row>
    <row r="1363" spans="1:5" x14ac:dyDescent="0.35">
      <c r="A1363" s="15">
        <v>114.8</v>
      </c>
      <c r="B1363" s="14">
        <v>1</v>
      </c>
      <c r="C1363">
        <f>(B1363*100)/$H$1</f>
        <v>1.9557989438685704E-2</v>
      </c>
      <c r="D1363">
        <f>D1362+C1363</f>
        <v>75.08312145511448</v>
      </c>
      <c r="E1363">
        <f>ROUNDDOWN(D1363,2)</f>
        <v>75.08</v>
      </c>
    </row>
    <row r="1364" spans="1:5" x14ac:dyDescent="0.35">
      <c r="A1364" s="15">
        <v>114.7</v>
      </c>
      <c r="B1364" s="14">
        <v>1</v>
      </c>
      <c r="C1364">
        <f>(B1364*100)/$H$1</f>
        <v>1.9557989438685704E-2</v>
      </c>
      <c r="D1364">
        <f>D1363+C1364</f>
        <v>75.102679444553161</v>
      </c>
      <c r="E1364">
        <f>ROUNDDOWN(D1364,2)</f>
        <v>75.099999999999994</v>
      </c>
    </row>
    <row r="1365" spans="1:5" x14ac:dyDescent="0.35">
      <c r="A1365" s="15">
        <v>114.5</v>
      </c>
      <c r="B1365" s="14">
        <v>1</v>
      </c>
      <c r="C1365">
        <f>(B1365*100)/$H$1</f>
        <v>1.9557989438685704E-2</v>
      </c>
      <c r="D1365">
        <f>D1364+C1365</f>
        <v>75.122237433991842</v>
      </c>
      <c r="E1365">
        <f>ROUNDDOWN(D1365,2)</f>
        <v>75.12</v>
      </c>
    </row>
    <row r="1366" spans="1:5" x14ac:dyDescent="0.35">
      <c r="A1366" s="15">
        <v>114.2</v>
      </c>
      <c r="B1366" s="14">
        <v>1</v>
      </c>
      <c r="C1366">
        <f>(B1366*100)/$H$1</f>
        <v>1.9557989438685704E-2</v>
      </c>
      <c r="D1366">
        <f>D1365+C1366</f>
        <v>75.141795423430523</v>
      </c>
      <c r="E1366">
        <f>ROUNDDOWN(D1366,2)</f>
        <v>75.14</v>
      </c>
    </row>
    <row r="1367" spans="1:5" x14ac:dyDescent="0.35">
      <c r="A1367" s="15">
        <v>113.2</v>
      </c>
      <c r="B1367" s="14">
        <v>1</v>
      </c>
      <c r="C1367">
        <f>(B1367*100)/$H$1</f>
        <v>1.9557989438685704E-2</v>
      </c>
      <c r="D1367">
        <f>D1366+C1367</f>
        <v>75.161353412869204</v>
      </c>
      <c r="E1367">
        <f>ROUNDDOWN(D1367,2)</f>
        <v>75.16</v>
      </c>
    </row>
    <row r="1368" spans="1:5" x14ac:dyDescent="0.35">
      <c r="A1368" s="15">
        <v>112.9</v>
      </c>
      <c r="B1368" s="14">
        <v>1</v>
      </c>
      <c r="C1368">
        <f>(B1368*100)/$H$1</f>
        <v>1.9557989438685704E-2</v>
      </c>
      <c r="D1368">
        <f>D1367+C1368</f>
        <v>75.180911402307885</v>
      </c>
      <c r="E1368">
        <f>ROUNDDOWN(D1368,2)</f>
        <v>75.180000000000007</v>
      </c>
    </row>
    <row r="1369" spans="1:5" x14ac:dyDescent="0.35">
      <c r="A1369" s="15">
        <v>112.7</v>
      </c>
      <c r="B1369" s="14">
        <v>1</v>
      </c>
      <c r="C1369">
        <f>(B1369*100)/$H$1</f>
        <v>1.9557989438685704E-2</v>
      </c>
      <c r="D1369">
        <f>D1368+C1369</f>
        <v>75.200469391746566</v>
      </c>
      <c r="E1369">
        <f>ROUNDDOWN(D1369,2)</f>
        <v>75.2</v>
      </c>
    </row>
    <row r="1370" spans="1:5" x14ac:dyDescent="0.35">
      <c r="A1370" s="15">
        <v>112.6</v>
      </c>
      <c r="B1370" s="14">
        <v>2</v>
      </c>
      <c r="C1370">
        <f>(B1370*100)/$H$1</f>
        <v>3.9115978877371407E-2</v>
      </c>
      <c r="D1370">
        <f>D1369+C1370</f>
        <v>75.239585370623942</v>
      </c>
      <c r="E1370">
        <f>ROUNDDOWN(D1370,2)</f>
        <v>75.23</v>
      </c>
    </row>
    <row r="1371" spans="1:5" x14ac:dyDescent="0.35">
      <c r="A1371" s="15">
        <v>112.4</v>
      </c>
      <c r="B1371" s="14">
        <v>1</v>
      </c>
      <c r="C1371">
        <f>(B1371*100)/$H$1</f>
        <v>1.9557989438685704E-2</v>
      </c>
      <c r="D1371">
        <f>D1370+C1371</f>
        <v>75.259143360062623</v>
      </c>
      <c r="E1371">
        <f>ROUNDDOWN(D1371,2)</f>
        <v>75.25</v>
      </c>
    </row>
    <row r="1372" spans="1:5" x14ac:dyDescent="0.35">
      <c r="A1372" s="15">
        <v>112.2</v>
      </c>
      <c r="B1372" s="14">
        <v>1</v>
      </c>
      <c r="C1372">
        <f>(B1372*100)/$H$1</f>
        <v>1.9557989438685704E-2</v>
      </c>
      <c r="D1372">
        <f>D1371+C1372</f>
        <v>75.278701349501304</v>
      </c>
      <c r="E1372">
        <f>ROUNDDOWN(D1372,2)</f>
        <v>75.27</v>
      </c>
    </row>
    <row r="1373" spans="1:5" x14ac:dyDescent="0.35">
      <c r="A1373" s="15">
        <v>111.6</v>
      </c>
      <c r="B1373" s="14">
        <v>1</v>
      </c>
      <c r="C1373">
        <f>(B1373*100)/$H$1</f>
        <v>1.9557989438685704E-2</v>
      </c>
      <c r="D1373">
        <f>D1372+C1373</f>
        <v>75.298259338939985</v>
      </c>
      <c r="E1373">
        <f>ROUNDDOWN(D1373,2)</f>
        <v>75.290000000000006</v>
      </c>
    </row>
    <row r="1374" spans="1:5" x14ac:dyDescent="0.35">
      <c r="A1374" s="15">
        <v>111.2</v>
      </c>
      <c r="B1374" s="14">
        <v>1</v>
      </c>
      <c r="C1374">
        <f>(B1374*100)/$H$1</f>
        <v>1.9557989438685704E-2</v>
      </c>
      <c r="D1374">
        <f>D1373+C1374</f>
        <v>75.317817328378666</v>
      </c>
      <c r="E1374">
        <f>ROUNDDOWN(D1374,2)</f>
        <v>75.31</v>
      </c>
    </row>
    <row r="1375" spans="1:5" x14ac:dyDescent="0.35">
      <c r="A1375" s="15">
        <v>110.9</v>
      </c>
      <c r="B1375" s="14">
        <v>1</v>
      </c>
      <c r="C1375">
        <f>(B1375*100)/$H$1</f>
        <v>1.9557989438685704E-2</v>
      </c>
      <c r="D1375">
        <f>D1374+C1375</f>
        <v>75.337375317817347</v>
      </c>
      <c r="E1375">
        <f>ROUNDDOWN(D1375,2)</f>
        <v>75.33</v>
      </c>
    </row>
    <row r="1376" spans="1:5" x14ac:dyDescent="0.35">
      <c r="A1376" s="15">
        <v>110.1</v>
      </c>
      <c r="B1376" s="14">
        <v>2</v>
      </c>
      <c r="C1376">
        <f>(B1376*100)/$H$1</f>
        <v>3.9115978877371407E-2</v>
      </c>
      <c r="D1376">
        <f>D1375+C1376</f>
        <v>75.376491296694724</v>
      </c>
      <c r="E1376">
        <f>ROUNDDOWN(D1376,2)</f>
        <v>75.37</v>
      </c>
    </row>
    <row r="1377" spans="1:5" x14ac:dyDescent="0.35">
      <c r="A1377" s="15">
        <v>110</v>
      </c>
      <c r="B1377" s="14">
        <v>1</v>
      </c>
      <c r="C1377">
        <f>(B1377*100)/$H$1</f>
        <v>1.9557989438685704E-2</v>
      </c>
      <c r="D1377">
        <f>D1376+C1377</f>
        <v>75.396049286133405</v>
      </c>
      <c r="E1377">
        <f>ROUNDDOWN(D1377,2)</f>
        <v>75.39</v>
      </c>
    </row>
    <row r="1378" spans="1:5" x14ac:dyDescent="0.35">
      <c r="A1378" s="15">
        <v>109.8</v>
      </c>
      <c r="B1378" s="14">
        <v>1</v>
      </c>
      <c r="C1378">
        <f>(B1378*100)/$H$1</f>
        <v>1.9557989438685704E-2</v>
      </c>
      <c r="D1378">
        <f>D1377+C1378</f>
        <v>75.415607275572086</v>
      </c>
      <c r="E1378">
        <f>ROUNDDOWN(D1378,2)</f>
        <v>75.41</v>
      </c>
    </row>
    <row r="1379" spans="1:5" x14ac:dyDescent="0.35">
      <c r="A1379" s="15">
        <v>109.6</v>
      </c>
      <c r="B1379" s="14">
        <v>1</v>
      </c>
      <c r="C1379">
        <f>(B1379*100)/$H$1</f>
        <v>1.9557989438685704E-2</v>
      </c>
      <c r="D1379">
        <f>D1378+C1379</f>
        <v>75.435165265010767</v>
      </c>
      <c r="E1379">
        <f>ROUNDDOWN(D1379,2)</f>
        <v>75.430000000000007</v>
      </c>
    </row>
    <row r="1380" spans="1:5" x14ac:dyDescent="0.35">
      <c r="A1380" s="15">
        <v>109.5</v>
      </c>
      <c r="B1380" s="14">
        <v>1</v>
      </c>
      <c r="C1380">
        <f>(B1380*100)/$H$1</f>
        <v>1.9557989438685704E-2</v>
      </c>
      <c r="D1380">
        <f>D1379+C1380</f>
        <v>75.454723254449448</v>
      </c>
      <c r="E1380">
        <f>ROUNDDOWN(D1380,2)</f>
        <v>75.45</v>
      </c>
    </row>
    <row r="1381" spans="1:5" x14ac:dyDescent="0.35">
      <c r="A1381" s="15">
        <v>109.1</v>
      </c>
      <c r="B1381" s="14">
        <v>1</v>
      </c>
      <c r="C1381">
        <f>(B1381*100)/$H$1</f>
        <v>1.9557989438685704E-2</v>
      </c>
      <c r="D1381">
        <f>D1380+C1381</f>
        <v>75.474281243888129</v>
      </c>
      <c r="E1381">
        <f>ROUNDDOWN(D1381,2)</f>
        <v>75.47</v>
      </c>
    </row>
    <row r="1382" spans="1:5" x14ac:dyDescent="0.35">
      <c r="A1382" s="15">
        <v>108.8</v>
      </c>
      <c r="B1382" s="14">
        <v>1</v>
      </c>
      <c r="C1382">
        <f>(B1382*100)/$H$1</f>
        <v>1.9557989438685704E-2</v>
      </c>
      <c r="D1382">
        <f>D1381+C1382</f>
        <v>75.49383923332681</v>
      </c>
      <c r="E1382">
        <f>ROUNDDOWN(D1382,2)</f>
        <v>75.489999999999995</v>
      </c>
    </row>
    <row r="1383" spans="1:5" x14ac:dyDescent="0.35">
      <c r="A1383" s="15">
        <v>108.6</v>
      </c>
      <c r="B1383" s="14">
        <v>2</v>
      </c>
      <c r="C1383">
        <f>(B1383*100)/$H$1</f>
        <v>3.9115978877371407E-2</v>
      </c>
      <c r="D1383">
        <f>D1382+C1383</f>
        <v>75.532955212204186</v>
      </c>
      <c r="E1383">
        <f>ROUNDDOWN(D1383,2)</f>
        <v>75.53</v>
      </c>
    </row>
    <row r="1384" spans="1:5" x14ac:dyDescent="0.35">
      <c r="A1384" s="15">
        <v>108.5</v>
      </c>
      <c r="B1384" s="14">
        <v>1</v>
      </c>
      <c r="C1384">
        <f>(B1384*100)/$H$1</f>
        <v>1.9557989438685704E-2</v>
      </c>
      <c r="D1384">
        <f>D1383+C1384</f>
        <v>75.552513201642867</v>
      </c>
      <c r="E1384">
        <f>ROUNDDOWN(D1384,2)</f>
        <v>75.55</v>
      </c>
    </row>
    <row r="1385" spans="1:5" x14ac:dyDescent="0.35">
      <c r="A1385" s="15">
        <v>108.3</v>
      </c>
      <c r="B1385" s="14">
        <v>1</v>
      </c>
      <c r="C1385">
        <f>(B1385*100)/$H$1</f>
        <v>1.9557989438685704E-2</v>
      </c>
      <c r="D1385">
        <f>D1384+C1385</f>
        <v>75.572071191081548</v>
      </c>
      <c r="E1385">
        <f>ROUNDDOWN(D1385,2)</f>
        <v>75.569999999999993</v>
      </c>
    </row>
    <row r="1386" spans="1:5" x14ac:dyDescent="0.35">
      <c r="A1386" s="15">
        <v>108.2</v>
      </c>
      <c r="B1386" s="14">
        <v>1</v>
      </c>
      <c r="C1386">
        <f>(B1386*100)/$H$1</f>
        <v>1.9557989438685704E-2</v>
      </c>
      <c r="D1386">
        <f>D1385+C1386</f>
        <v>75.591629180520229</v>
      </c>
      <c r="E1386">
        <f>ROUNDDOWN(D1386,2)</f>
        <v>75.59</v>
      </c>
    </row>
    <row r="1387" spans="1:5" x14ac:dyDescent="0.35">
      <c r="A1387" s="15">
        <v>107.9</v>
      </c>
      <c r="B1387" s="14">
        <v>1</v>
      </c>
      <c r="C1387">
        <f>(B1387*100)/$H$1</f>
        <v>1.9557989438685704E-2</v>
      </c>
      <c r="D1387">
        <f>D1386+C1387</f>
        <v>75.61118716995891</v>
      </c>
      <c r="E1387">
        <f>ROUNDDOWN(D1387,2)</f>
        <v>75.61</v>
      </c>
    </row>
    <row r="1388" spans="1:5" x14ac:dyDescent="0.35">
      <c r="A1388" s="15">
        <v>107.6</v>
      </c>
      <c r="B1388" s="14">
        <v>1</v>
      </c>
      <c r="C1388">
        <f>(B1388*100)/$H$1</f>
        <v>1.9557989438685704E-2</v>
      </c>
      <c r="D1388">
        <f>D1387+C1388</f>
        <v>75.630745159397591</v>
      </c>
      <c r="E1388">
        <f>ROUNDDOWN(D1388,2)</f>
        <v>75.63</v>
      </c>
    </row>
    <row r="1389" spans="1:5" x14ac:dyDescent="0.35">
      <c r="A1389" s="15">
        <v>107</v>
      </c>
      <c r="B1389" s="14">
        <v>1</v>
      </c>
      <c r="C1389">
        <f>(B1389*100)/$H$1</f>
        <v>1.9557989438685704E-2</v>
      </c>
      <c r="D1389">
        <f>D1388+C1389</f>
        <v>75.650303148836272</v>
      </c>
      <c r="E1389">
        <f>ROUNDDOWN(D1389,2)</f>
        <v>75.650000000000006</v>
      </c>
    </row>
    <row r="1390" spans="1:5" x14ac:dyDescent="0.35">
      <c r="A1390" s="15">
        <v>106.7</v>
      </c>
      <c r="B1390" s="14">
        <v>2</v>
      </c>
      <c r="C1390">
        <f>(B1390*100)/$H$1</f>
        <v>3.9115978877371407E-2</v>
      </c>
      <c r="D1390">
        <f>D1389+C1390</f>
        <v>75.689419127713649</v>
      </c>
      <c r="E1390">
        <f>ROUNDDOWN(D1390,2)</f>
        <v>75.680000000000007</v>
      </c>
    </row>
    <row r="1391" spans="1:5" x14ac:dyDescent="0.35">
      <c r="A1391" s="15">
        <v>106.5</v>
      </c>
      <c r="B1391" s="14">
        <v>2</v>
      </c>
      <c r="C1391">
        <f>(B1391*100)/$H$1</f>
        <v>3.9115978877371407E-2</v>
      </c>
      <c r="D1391">
        <f>D1390+C1391</f>
        <v>75.728535106591025</v>
      </c>
      <c r="E1391">
        <f>ROUNDDOWN(D1391,2)</f>
        <v>75.72</v>
      </c>
    </row>
    <row r="1392" spans="1:5" x14ac:dyDescent="0.35">
      <c r="A1392" s="15">
        <v>106.3</v>
      </c>
      <c r="B1392" s="14">
        <v>2</v>
      </c>
      <c r="C1392">
        <f>(B1392*100)/$H$1</f>
        <v>3.9115978877371407E-2</v>
      </c>
      <c r="D1392">
        <f>D1391+C1392</f>
        <v>75.767651085468401</v>
      </c>
      <c r="E1392">
        <f>ROUNDDOWN(D1392,2)</f>
        <v>75.760000000000005</v>
      </c>
    </row>
    <row r="1393" spans="1:5" x14ac:dyDescent="0.35">
      <c r="A1393" s="15">
        <v>106</v>
      </c>
      <c r="B1393" s="14">
        <v>1</v>
      </c>
      <c r="C1393">
        <f>(B1393*100)/$H$1</f>
        <v>1.9557989438685704E-2</v>
      </c>
      <c r="D1393">
        <f>D1392+C1393</f>
        <v>75.787209074907082</v>
      </c>
      <c r="E1393">
        <f>ROUNDDOWN(D1393,2)</f>
        <v>75.78</v>
      </c>
    </row>
    <row r="1394" spans="1:5" x14ac:dyDescent="0.35">
      <c r="A1394" s="15">
        <v>105.9</v>
      </c>
      <c r="B1394" s="14">
        <v>1</v>
      </c>
      <c r="C1394">
        <f>(B1394*100)/$H$1</f>
        <v>1.9557989438685704E-2</v>
      </c>
      <c r="D1394">
        <f>D1393+C1394</f>
        <v>75.806767064345763</v>
      </c>
      <c r="E1394">
        <f>ROUNDDOWN(D1394,2)</f>
        <v>75.8</v>
      </c>
    </row>
    <row r="1395" spans="1:5" x14ac:dyDescent="0.35">
      <c r="A1395" s="15">
        <v>105.8</v>
      </c>
      <c r="B1395" s="14">
        <v>1</v>
      </c>
      <c r="C1395">
        <f>(B1395*100)/$H$1</f>
        <v>1.9557989438685704E-2</v>
      </c>
      <c r="D1395">
        <f>D1394+C1395</f>
        <v>75.826325053784444</v>
      </c>
      <c r="E1395">
        <f>ROUNDDOWN(D1395,2)</f>
        <v>75.819999999999993</v>
      </c>
    </row>
    <row r="1396" spans="1:5" x14ac:dyDescent="0.35">
      <c r="A1396" s="15">
        <v>105.7</v>
      </c>
      <c r="B1396" s="14">
        <v>2</v>
      </c>
      <c r="C1396">
        <f>(B1396*100)/$H$1</f>
        <v>3.9115978877371407E-2</v>
      </c>
      <c r="D1396">
        <f>D1395+C1396</f>
        <v>75.86544103266182</v>
      </c>
      <c r="E1396">
        <f>ROUNDDOWN(D1396,2)</f>
        <v>75.86</v>
      </c>
    </row>
    <row r="1397" spans="1:5" x14ac:dyDescent="0.35">
      <c r="A1397" s="15">
        <v>105.4</v>
      </c>
      <c r="B1397" s="14">
        <v>1</v>
      </c>
      <c r="C1397">
        <f>(B1397*100)/$H$1</f>
        <v>1.9557989438685704E-2</v>
      </c>
      <c r="D1397">
        <f>D1396+C1397</f>
        <v>75.884999022100502</v>
      </c>
      <c r="E1397">
        <f>ROUNDDOWN(D1397,2)</f>
        <v>75.88</v>
      </c>
    </row>
    <row r="1398" spans="1:5" x14ac:dyDescent="0.35">
      <c r="A1398" s="15">
        <v>105.3</v>
      </c>
      <c r="B1398" s="14">
        <v>2</v>
      </c>
      <c r="C1398">
        <f>(B1398*100)/$H$1</f>
        <v>3.9115978877371407E-2</v>
      </c>
      <c r="D1398">
        <f>D1397+C1398</f>
        <v>75.924115000977878</v>
      </c>
      <c r="E1398">
        <f>ROUNDDOWN(D1398,2)</f>
        <v>75.92</v>
      </c>
    </row>
    <row r="1399" spans="1:5" x14ac:dyDescent="0.35">
      <c r="A1399" s="15">
        <v>104.6</v>
      </c>
      <c r="B1399" s="14">
        <v>1</v>
      </c>
      <c r="C1399">
        <f>(B1399*100)/$H$1</f>
        <v>1.9557989438685704E-2</v>
      </c>
      <c r="D1399">
        <f>D1398+C1399</f>
        <v>75.943672990416559</v>
      </c>
      <c r="E1399">
        <f>ROUNDDOWN(D1399,2)</f>
        <v>75.94</v>
      </c>
    </row>
    <row r="1400" spans="1:5" x14ac:dyDescent="0.35">
      <c r="A1400" s="15">
        <v>104.1</v>
      </c>
      <c r="B1400" s="14">
        <v>2</v>
      </c>
      <c r="C1400">
        <f>(B1400*100)/$H$1</f>
        <v>3.9115978877371407E-2</v>
      </c>
      <c r="D1400">
        <f>D1399+C1400</f>
        <v>75.982788969293935</v>
      </c>
      <c r="E1400">
        <f>ROUNDDOWN(D1400,2)</f>
        <v>75.98</v>
      </c>
    </row>
    <row r="1401" spans="1:5" x14ac:dyDescent="0.35">
      <c r="A1401" s="15">
        <v>104</v>
      </c>
      <c r="B1401" s="14">
        <v>1</v>
      </c>
      <c r="C1401">
        <f>(B1401*100)/$H$1</f>
        <v>1.9557989438685704E-2</v>
      </c>
      <c r="D1401">
        <f>D1400+C1401</f>
        <v>76.002346958732616</v>
      </c>
      <c r="E1401">
        <f>ROUNDDOWN(D1401,2)</f>
        <v>76</v>
      </c>
    </row>
    <row r="1402" spans="1:5" x14ac:dyDescent="0.35">
      <c r="A1402" s="15">
        <v>103.9</v>
      </c>
      <c r="B1402" s="14">
        <v>1</v>
      </c>
      <c r="C1402">
        <f>(B1402*100)/$H$1</f>
        <v>1.9557989438685704E-2</v>
      </c>
      <c r="D1402">
        <f>D1401+C1402</f>
        <v>76.021904948171297</v>
      </c>
      <c r="E1402">
        <f>ROUNDDOWN(D1402,2)</f>
        <v>76.02</v>
      </c>
    </row>
    <row r="1403" spans="1:5" x14ac:dyDescent="0.35">
      <c r="A1403" s="15">
        <v>103.8</v>
      </c>
      <c r="B1403" s="14">
        <v>1</v>
      </c>
      <c r="C1403">
        <f>(B1403*100)/$H$1</f>
        <v>1.9557989438685704E-2</v>
      </c>
      <c r="D1403">
        <f>D1402+C1403</f>
        <v>76.041462937609978</v>
      </c>
      <c r="E1403">
        <f>ROUNDDOWN(D1403,2)</f>
        <v>76.040000000000006</v>
      </c>
    </row>
    <row r="1404" spans="1:5" x14ac:dyDescent="0.35">
      <c r="A1404" s="15">
        <v>103.7</v>
      </c>
      <c r="B1404" s="14">
        <v>1</v>
      </c>
      <c r="C1404">
        <f>(B1404*100)/$H$1</f>
        <v>1.9557989438685704E-2</v>
      </c>
      <c r="D1404">
        <f>D1403+C1404</f>
        <v>76.061020927048659</v>
      </c>
      <c r="E1404">
        <f>ROUNDDOWN(D1404,2)</f>
        <v>76.06</v>
      </c>
    </row>
    <row r="1405" spans="1:5" x14ac:dyDescent="0.35">
      <c r="A1405" s="15">
        <v>103.6</v>
      </c>
      <c r="B1405" s="14">
        <v>1</v>
      </c>
      <c r="C1405">
        <f>(B1405*100)/$H$1</f>
        <v>1.9557989438685704E-2</v>
      </c>
      <c r="D1405">
        <f>D1404+C1405</f>
        <v>76.08057891648734</v>
      </c>
      <c r="E1405">
        <f>ROUNDDOWN(D1405,2)</f>
        <v>76.08</v>
      </c>
    </row>
    <row r="1406" spans="1:5" x14ac:dyDescent="0.35">
      <c r="A1406" s="15">
        <v>103.5</v>
      </c>
      <c r="B1406" s="14">
        <v>3</v>
      </c>
      <c r="C1406">
        <f>(B1406*100)/$H$1</f>
        <v>5.8673968316057111E-2</v>
      </c>
      <c r="D1406">
        <f>D1405+C1406</f>
        <v>76.139252884803398</v>
      </c>
      <c r="E1406">
        <f>ROUNDDOWN(D1406,2)</f>
        <v>76.13</v>
      </c>
    </row>
    <row r="1407" spans="1:5" x14ac:dyDescent="0.35">
      <c r="A1407" s="15">
        <v>103.3</v>
      </c>
      <c r="B1407" s="14">
        <v>1</v>
      </c>
      <c r="C1407">
        <f>(B1407*100)/$H$1</f>
        <v>1.9557989438685704E-2</v>
      </c>
      <c r="D1407">
        <f>D1406+C1407</f>
        <v>76.158810874242079</v>
      </c>
      <c r="E1407">
        <f>ROUNDDOWN(D1407,2)</f>
        <v>76.150000000000006</v>
      </c>
    </row>
    <row r="1408" spans="1:5" x14ac:dyDescent="0.35">
      <c r="A1408" s="15">
        <v>103.1</v>
      </c>
      <c r="B1408" s="14">
        <v>2</v>
      </c>
      <c r="C1408">
        <f>(B1408*100)/$H$1</f>
        <v>3.9115978877371407E-2</v>
      </c>
      <c r="D1408">
        <f>D1407+C1408</f>
        <v>76.197926853119455</v>
      </c>
      <c r="E1408">
        <f>ROUNDDOWN(D1408,2)</f>
        <v>76.19</v>
      </c>
    </row>
    <row r="1409" spans="1:5" x14ac:dyDescent="0.35">
      <c r="A1409" s="15">
        <v>102.8</v>
      </c>
      <c r="B1409" s="14">
        <v>1</v>
      </c>
      <c r="C1409">
        <f>(B1409*100)/$H$1</f>
        <v>1.9557989438685704E-2</v>
      </c>
      <c r="D1409">
        <f>D1408+C1409</f>
        <v>76.217484842558136</v>
      </c>
      <c r="E1409">
        <f>ROUNDDOWN(D1409,2)</f>
        <v>76.209999999999994</v>
      </c>
    </row>
    <row r="1410" spans="1:5" x14ac:dyDescent="0.35">
      <c r="A1410" s="15">
        <v>102.6</v>
      </c>
      <c r="B1410" s="14">
        <v>1</v>
      </c>
      <c r="C1410">
        <f>(B1410*100)/$H$1</f>
        <v>1.9557989438685704E-2</v>
      </c>
      <c r="D1410">
        <f>D1409+C1410</f>
        <v>76.237042831996817</v>
      </c>
      <c r="E1410">
        <f>ROUNDDOWN(D1410,2)</f>
        <v>76.23</v>
      </c>
    </row>
    <row r="1411" spans="1:5" x14ac:dyDescent="0.35">
      <c r="A1411" s="15">
        <v>102.5</v>
      </c>
      <c r="B1411" s="14">
        <v>1</v>
      </c>
      <c r="C1411">
        <f>(B1411*100)/$H$1</f>
        <v>1.9557989438685704E-2</v>
      </c>
      <c r="D1411">
        <f>D1410+C1411</f>
        <v>76.256600821435498</v>
      </c>
      <c r="E1411">
        <f>ROUNDDOWN(D1411,2)</f>
        <v>76.25</v>
      </c>
    </row>
    <row r="1412" spans="1:5" x14ac:dyDescent="0.35">
      <c r="A1412" s="15">
        <v>102.4</v>
      </c>
      <c r="B1412" s="14">
        <v>1</v>
      </c>
      <c r="C1412">
        <f>(B1412*100)/$H$1</f>
        <v>1.9557989438685704E-2</v>
      </c>
      <c r="D1412">
        <f>D1411+C1412</f>
        <v>76.276158810874179</v>
      </c>
      <c r="E1412">
        <f>ROUNDDOWN(D1412,2)</f>
        <v>76.27</v>
      </c>
    </row>
    <row r="1413" spans="1:5" x14ac:dyDescent="0.35">
      <c r="A1413" s="15">
        <v>102.2</v>
      </c>
      <c r="B1413" s="14">
        <v>1</v>
      </c>
      <c r="C1413">
        <f>(B1413*100)/$H$1</f>
        <v>1.9557989438685704E-2</v>
      </c>
      <c r="D1413">
        <f>D1412+C1413</f>
        <v>76.29571680031286</v>
      </c>
      <c r="E1413">
        <f>ROUNDDOWN(D1413,2)</f>
        <v>76.290000000000006</v>
      </c>
    </row>
    <row r="1414" spans="1:5" x14ac:dyDescent="0.35">
      <c r="A1414" s="15">
        <v>102</v>
      </c>
      <c r="B1414" s="14">
        <v>2</v>
      </c>
      <c r="C1414">
        <f>(B1414*100)/$H$1</f>
        <v>3.9115978877371407E-2</v>
      </c>
      <c r="D1414">
        <f>D1413+C1414</f>
        <v>76.334832779190236</v>
      </c>
      <c r="E1414">
        <f>ROUNDDOWN(D1414,2)</f>
        <v>76.33</v>
      </c>
    </row>
    <row r="1415" spans="1:5" x14ac:dyDescent="0.35">
      <c r="A1415" s="15">
        <v>101.9</v>
      </c>
      <c r="B1415" s="14">
        <v>1</v>
      </c>
      <c r="C1415">
        <f>(B1415*100)/$H$1</f>
        <v>1.9557989438685704E-2</v>
      </c>
      <c r="D1415">
        <f>D1414+C1415</f>
        <v>76.354390768628917</v>
      </c>
      <c r="E1415">
        <f>ROUNDDOWN(D1415,2)</f>
        <v>76.349999999999994</v>
      </c>
    </row>
    <row r="1416" spans="1:5" x14ac:dyDescent="0.35">
      <c r="A1416" s="15">
        <v>101.7</v>
      </c>
      <c r="B1416" s="14">
        <v>1</v>
      </c>
      <c r="C1416">
        <f>(B1416*100)/$H$1</f>
        <v>1.9557989438685704E-2</v>
      </c>
      <c r="D1416">
        <f>D1415+C1416</f>
        <v>76.373948758067598</v>
      </c>
      <c r="E1416">
        <f>ROUNDDOWN(D1416,2)</f>
        <v>76.37</v>
      </c>
    </row>
    <row r="1417" spans="1:5" x14ac:dyDescent="0.35">
      <c r="A1417" s="15">
        <v>101.6</v>
      </c>
      <c r="B1417" s="14">
        <v>1</v>
      </c>
      <c r="C1417">
        <f>(B1417*100)/$H$1</f>
        <v>1.9557989438685704E-2</v>
      </c>
      <c r="D1417">
        <f>D1416+C1417</f>
        <v>76.393506747506279</v>
      </c>
      <c r="E1417">
        <f>ROUNDDOWN(D1417,2)</f>
        <v>76.39</v>
      </c>
    </row>
    <row r="1418" spans="1:5" x14ac:dyDescent="0.35">
      <c r="A1418" s="15">
        <v>101.4</v>
      </c>
      <c r="B1418" s="14">
        <v>1</v>
      </c>
      <c r="C1418">
        <f>(B1418*100)/$H$1</f>
        <v>1.9557989438685704E-2</v>
      </c>
      <c r="D1418">
        <f>D1417+C1418</f>
        <v>76.41306473694496</v>
      </c>
      <c r="E1418">
        <f>ROUNDDOWN(D1418,2)</f>
        <v>76.41</v>
      </c>
    </row>
    <row r="1419" spans="1:5" x14ac:dyDescent="0.35">
      <c r="A1419" s="15">
        <v>101.3</v>
      </c>
      <c r="B1419" s="14">
        <v>1</v>
      </c>
      <c r="C1419">
        <f>(B1419*100)/$H$1</f>
        <v>1.9557989438685704E-2</v>
      </c>
      <c r="D1419">
        <f>D1418+C1419</f>
        <v>76.432622726383642</v>
      </c>
      <c r="E1419">
        <f>ROUNDDOWN(D1419,2)</f>
        <v>76.430000000000007</v>
      </c>
    </row>
    <row r="1420" spans="1:5" x14ac:dyDescent="0.35">
      <c r="A1420" s="15">
        <v>101.2</v>
      </c>
      <c r="B1420" s="14">
        <v>1</v>
      </c>
      <c r="C1420">
        <f>(B1420*100)/$H$1</f>
        <v>1.9557989438685704E-2</v>
      </c>
      <c r="D1420">
        <f>D1419+C1420</f>
        <v>76.452180715822323</v>
      </c>
      <c r="E1420">
        <f>ROUNDDOWN(D1420,2)</f>
        <v>76.45</v>
      </c>
    </row>
    <row r="1421" spans="1:5" x14ac:dyDescent="0.35">
      <c r="A1421" s="15">
        <v>100.8</v>
      </c>
      <c r="B1421" s="14">
        <v>2</v>
      </c>
      <c r="C1421">
        <f>(B1421*100)/$H$1</f>
        <v>3.9115978877371407E-2</v>
      </c>
      <c r="D1421">
        <f>D1420+C1421</f>
        <v>76.491296694699699</v>
      </c>
      <c r="E1421">
        <f>ROUNDDOWN(D1421,2)</f>
        <v>76.489999999999995</v>
      </c>
    </row>
    <row r="1422" spans="1:5" x14ac:dyDescent="0.35">
      <c r="A1422" s="15">
        <v>100.4</v>
      </c>
      <c r="B1422" s="14">
        <v>1</v>
      </c>
      <c r="C1422">
        <f>(B1422*100)/$H$1</f>
        <v>1.9557989438685704E-2</v>
      </c>
      <c r="D1422">
        <f>D1421+C1422</f>
        <v>76.51085468413838</v>
      </c>
      <c r="E1422">
        <f>ROUNDDOWN(D1422,2)</f>
        <v>76.510000000000005</v>
      </c>
    </row>
    <row r="1423" spans="1:5" x14ac:dyDescent="0.35">
      <c r="A1423" s="15">
        <v>100.3</v>
      </c>
      <c r="B1423" s="14">
        <v>2</v>
      </c>
      <c r="C1423">
        <f>(B1423*100)/$H$1</f>
        <v>3.9115978877371407E-2</v>
      </c>
      <c r="D1423">
        <f>D1422+C1423</f>
        <v>76.549970663015756</v>
      </c>
      <c r="E1423">
        <f>ROUNDDOWN(D1423,2)</f>
        <v>76.540000000000006</v>
      </c>
    </row>
    <row r="1424" spans="1:5" x14ac:dyDescent="0.35">
      <c r="A1424" s="15">
        <v>100.2</v>
      </c>
      <c r="B1424" s="14">
        <v>1</v>
      </c>
      <c r="C1424">
        <f>(B1424*100)/$H$1</f>
        <v>1.9557989438685704E-2</v>
      </c>
      <c r="D1424">
        <f>D1423+C1424</f>
        <v>76.569528652454437</v>
      </c>
      <c r="E1424">
        <f>ROUNDDOWN(D1424,2)</f>
        <v>76.56</v>
      </c>
    </row>
    <row r="1425" spans="1:5" x14ac:dyDescent="0.35">
      <c r="A1425" s="15">
        <v>100.1</v>
      </c>
      <c r="B1425" s="14">
        <v>1</v>
      </c>
      <c r="C1425">
        <f>(B1425*100)/$H$1</f>
        <v>1.9557989438685704E-2</v>
      </c>
      <c r="D1425">
        <f>D1424+C1425</f>
        <v>76.589086641893118</v>
      </c>
      <c r="E1425">
        <f>ROUNDDOWN(D1425,2)</f>
        <v>76.58</v>
      </c>
    </row>
    <row r="1426" spans="1:5" x14ac:dyDescent="0.35">
      <c r="A1426" s="15">
        <v>99.9</v>
      </c>
      <c r="B1426" s="14">
        <v>1</v>
      </c>
      <c r="C1426">
        <f>(B1426*100)/$H$1</f>
        <v>1.9557989438685704E-2</v>
      </c>
      <c r="D1426">
        <f>D1425+C1426</f>
        <v>76.608644631331799</v>
      </c>
      <c r="E1426">
        <f>ROUNDDOWN(D1426,2)</f>
        <v>76.599999999999994</v>
      </c>
    </row>
    <row r="1427" spans="1:5" x14ac:dyDescent="0.35">
      <c r="A1427" s="15">
        <v>99.8</v>
      </c>
      <c r="B1427" s="14">
        <v>1</v>
      </c>
      <c r="C1427">
        <f>(B1427*100)/$H$1</f>
        <v>1.9557989438685704E-2</v>
      </c>
      <c r="D1427">
        <f>D1426+C1427</f>
        <v>76.62820262077048</v>
      </c>
      <c r="E1427">
        <f>ROUNDDOWN(D1427,2)</f>
        <v>76.62</v>
      </c>
    </row>
    <row r="1428" spans="1:5" x14ac:dyDescent="0.35">
      <c r="A1428" s="15">
        <v>99.7</v>
      </c>
      <c r="B1428" s="14">
        <v>1</v>
      </c>
      <c r="C1428">
        <f>(B1428*100)/$H$1</f>
        <v>1.9557989438685704E-2</v>
      </c>
      <c r="D1428">
        <f>D1427+C1428</f>
        <v>76.647760610209161</v>
      </c>
      <c r="E1428">
        <f>ROUNDDOWN(D1428,2)</f>
        <v>76.64</v>
      </c>
    </row>
    <row r="1429" spans="1:5" x14ac:dyDescent="0.35">
      <c r="A1429" s="15">
        <v>99.6</v>
      </c>
      <c r="B1429" s="14">
        <v>1</v>
      </c>
      <c r="C1429">
        <f>(B1429*100)/$H$1</f>
        <v>1.9557989438685704E-2</v>
      </c>
      <c r="D1429">
        <f>D1428+C1429</f>
        <v>76.667318599647842</v>
      </c>
      <c r="E1429">
        <f>ROUNDDOWN(D1429,2)</f>
        <v>76.66</v>
      </c>
    </row>
    <row r="1430" spans="1:5" x14ac:dyDescent="0.35">
      <c r="A1430" s="15">
        <v>99.4</v>
      </c>
      <c r="B1430" s="14">
        <v>1</v>
      </c>
      <c r="C1430">
        <f>(B1430*100)/$H$1</f>
        <v>1.9557989438685704E-2</v>
      </c>
      <c r="D1430">
        <f>D1429+C1430</f>
        <v>76.686876589086523</v>
      </c>
      <c r="E1430">
        <f>ROUNDDOWN(D1430,2)</f>
        <v>76.680000000000007</v>
      </c>
    </row>
    <row r="1431" spans="1:5" x14ac:dyDescent="0.35">
      <c r="A1431" s="15">
        <v>99.2</v>
      </c>
      <c r="B1431" s="14">
        <v>2</v>
      </c>
      <c r="C1431">
        <f>(B1431*100)/$H$1</f>
        <v>3.9115978877371407E-2</v>
      </c>
      <c r="D1431">
        <f>D1430+C1431</f>
        <v>76.7259925679639</v>
      </c>
      <c r="E1431">
        <f>ROUNDDOWN(D1431,2)</f>
        <v>76.72</v>
      </c>
    </row>
    <row r="1432" spans="1:5" x14ac:dyDescent="0.35">
      <c r="A1432" s="15">
        <v>99.1</v>
      </c>
      <c r="B1432" s="14">
        <v>1</v>
      </c>
      <c r="C1432">
        <f>(B1432*100)/$H$1</f>
        <v>1.9557989438685704E-2</v>
      </c>
      <c r="D1432">
        <f>D1431+C1432</f>
        <v>76.745550557402581</v>
      </c>
      <c r="E1432">
        <f>ROUNDDOWN(D1432,2)</f>
        <v>76.739999999999995</v>
      </c>
    </row>
    <row r="1433" spans="1:5" x14ac:dyDescent="0.35">
      <c r="A1433" s="15">
        <v>99</v>
      </c>
      <c r="B1433" s="14">
        <v>1</v>
      </c>
      <c r="C1433">
        <f>(B1433*100)/$H$1</f>
        <v>1.9557989438685704E-2</v>
      </c>
      <c r="D1433">
        <f>D1432+C1433</f>
        <v>76.765108546841262</v>
      </c>
      <c r="E1433">
        <f>ROUNDDOWN(D1433,2)</f>
        <v>76.760000000000005</v>
      </c>
    </row>
    <row r="1434" spans="1:5" x14ac:dyDescent="0.35">
      <c r="A1434" s="15">
        <v>98.8</v>
      </c>
      <c r="B1434" s="14">
        <v>2</v>
      </c>
      <c r="C1434">
        <f>(B1434*100)/$H$1</f>
        <v>3.9115978877371407E-2</v>
      </c>
      <c r="D1434">
        <f>D1433+C1434</f>
        <v>76.804224525718638</v>
      </c>
      <c r="E1434">
        <f>ROUNDDOWN(D1434,2)</f>
        <v>76.8</v>
      </c>
    </row>
    <row r="1435" spans="1:5" x14ac:dyDescent="0.35">
      <c r="A1435" s="15">
        <v>98.5</v>
      </c>
      <c r="B1435" s="14">
        <v>2</v>
      </c>
      <c r="C1435">
        <f>(B1435*100)/$H$1</f>
        <v>3.9115978877371407E-2</v>
      </c>
      <c r="D1435">
        <f>D1434+C1435</f>
        <v>76.843340504596014</v>
      </c>
      <c r="E1435">
        <f>ROUNDDOWN(D1435,2)</f>
        <v>76.84</v>
      </c>
    </row>
    <row r="1436" spans="1:5" x14ac:dyDescent="0.35">
      <c r="A1436" s="15">
        <v>98.4</v>
      </c>
      <c r="B1436" s="14">
        <v>1</v>
      </c>
      <c r="C1436">
        <f>(B1436*100)/$H$1</f>
        <v>1.9557989438685704E-2</v>
      </c>
      <c r="D1436">
        <f>D1435+C1436</f>
        <v>76.862898494034695</v>
      </c>
      <c r="E1436">
        <f>ROUNDDOWN(D1436,2)</f>
        <v>76.86</v>
      </c>
    </row>
    <row r="1437" spans="1:5" x14ac:dyDescent="0.35">
      <c r="A1437" s="15">
        <v>98.3</v>
      </c>
      <c r="B1437" s="14">
        <v>3</v>
      </c>
      <c r="C1437">
        <f>(B1437*100)/$H$1</f>
        <v>5.8673968316057111E-2</v>
      </c>
      <c r="D1437">
        <f>D1436+C1437</f>
        <v>76.921572462350753</v>
      </c>
      <c r="E1437">
        <f>ROUNDDOWN(D1437,2)</f>
        <v>76.92</v>
      </c>
    </row>
    <row r="1438" spans="1:5" x14ac:dyDescent="0.35">
      <c r="A1438" s="15">
        <v>98.1</v>
      </c>
      <c r="B1438" s="14">
        <v>2</v>
      </c>
      <c r="C1438">
        <f>(B1438*100)/$H$1</f>
        <v>3.9115978877371407E-2</v>
      </c>
      <c r="D1438">
        <f>D1437+C1438</f>
        <v>76.960688441228129</v>
      </c>
      <c r="E1438">
        <f>ROUNDDOWN(D1438,2)</f>
        <v>76.959999999999994</v>
      </c>
    </row>
    <row r="1439" spans="1:5" x14ac:dyDescent="0.35">
      <c r="A1439" s="15">
        <v>97.9</v>
      </c>
      <c r="B1439" s="14">
        <v>2</v>
      </c>
      <c r="C1439">
        <f>(B1439*100)/$H$1</f>
        <v>3.9115978877371407E-2</v>
      </c>
      <c r="D1439">
        <f>D1438+C1439</f>
        <v>76.999804420105505</v>
      </c>
      <c r="E1439">
        <f>ROUNDDOWN(D1439,2)</f>
        <v>76.989999999999995</v>
      </c>
    </row>
    <row r="1440" spans="1:5" x14ac:dyDescent="0.35">
      <c r="A1440" s="15">
        <v>97.7</v>
      </c>
      <c r="B1440" s="14">
        <v>1</v>
      </c>
      <c r="C1440">
        <f>(B1440*100)/$H$1</f>
        <v>1.9557989438685704E-2</v>
      </c>
      <c r="D1440">
        <f>D1439+C1440</f>
        <v>77.019362409544186</v>
      </c>
      <c r="E1440">
        <f>ROUNDDOWN(D1440,2)</f>
        <v>77.010000000000005</v>
      </c>
    </row>
    <row r="1441" spans="1:5" x14ac:dyDescent="0.35">
      <c r="A1441" s="15">
        <v>97.6</v>
      </c>
      <c r="B1441" s="14">
        <v>1</v>
      </c>
      <c r="C1441">
        <f>(B1441*100)/$H$1</f>
        <v>1.9557989438685704E-2</v>
      </c>
      <c r="D1441">
        <f>D1440+C1441</f>
        <v>77.038920398982867</v>
      </c>
      <c r="E1441">
        <f>ROUNDDOWN(D1441,2)</f>
        <v>77.03</v>
      </c>
    </row>
    <row r="1442" spans="1:5" x14ac:dyDescent="0.35">
      <c r="A1442" s="15">
        <v>97.5</v>
      </c>
      <c r="B1442" s="14">
        <v>3</v>
      </c>
      <c r="C1442">
        <f>(B1442*100)/$H$1</f>
        <v>5.8673968316057111E-2</v>
      </c>
      <c r="D1442">
        <f>D1441+C1442</f>
        <v>77.097594367298925</v>
      </c>
      <c r="E1442">
        <f>ROUNDDOWN(D1442,2)</f>
        <v>77.09</v>
      </c>
    </row>
    <row r="1443" spans="1:5" x14ac:dyDescent="0.35">
      <c r="A1443" s="15">
        <v>97.3</v>
      </c>
      <c r="B1443" s="14">
        <v>1</v>
      </c>
      <c r="C1443">
        <f>(B1443*100)/$H$1</f>
        <v>1.9557989438685704E-2</v>
      </c>
      <c r="D1443">
        <f>D1442+C1443</f>
        <v>77.117152356737606</v>
      </c>
      <c r="E1443">
        <f>ROUNDDOWN(D1443,2)</f>
        <v>77.11</v>
      </c>
    </row>
    <row r="1444" spans="1:5" x14ac:dyDescent="0.35">
      <c r="A1444" s="15">
        <v>97.2</v>
      </c>
      <c r="B1444" s="14">
        <v>2</v>
      </c>
      <c r="C1444">
        <f>(B1444*100)/$H$1</f>
        <v>3.9115978877371407E-2</v>
      </c>
      <c r="D1444">
        <f>D1443+C1444</f>
        <v>77.156268335614982</v>
      </c>
      <c r="E1444">
        <f>ROUNDDOWN(D1444,2)</f>
        <v>77.150000000000006</v>
      </c>
    </row>
    <row r="1445" spans="1:5" x14ac:dyDescent="0.35">
      <c r="A1445" s="15">
        <v>97.1</v>
      </c>
      <c r="B1445" s="14">
        <v>2</v>
      </c>
      <c r="C1445">
        <f>(B1445*100)/$H$1</f>
        <v>3.9115978877371407E-2</v>
      </c>
      <c r="D1445">
        <f>D1444+C1445</f>
        <v>77.195384314492358</v>
      </c>
      <c r="E1445">
        <f>ROUNDDOWN(D1445,2)</f>
        <v>77.19</v>
      </c>
    </row>
    <row r="1446" spans="1:5" x14ac:dyDescent="0.35">
      <c r="A1446" s="15">
        <v>96.9</v>
      </c>
      <c r="B1446" s="14">
        <v>2</v>
      </c>
      <c r="C1446">
        <f>(B1446*100)/$H$1</f>
        <v>3.9115978877371407E-2</v>
      </c>
      <c r="D1446">
        <f>D1445+C1446</f>
        <v>77.234500293369734</v>
      </c>
      <c r="E1446">
        <f>ROUNDDOWN(D1446,2)</f>
        <v>77.23</v>
      </c>
    </row>
    <row r="1447" spans="1:5" x14ac:dyDescent="0.35">
      <c r="A1447" s="15">
        <v>96.8</v>
      </c>
      <c r="B1447" s="14">
        <v>1</v>
      </c>
      <c r="C1447">
        <f>(B1447*100)/$H$1</f>
        <v>1.9557989438685704E-2</v>
      </c>
      <c r="D1447">
        <f>D1446+C1447</f>
        <v>77.254058282808415</v>
      </c>
      <c r="E1447">
        <f>ROUNDDOWN(D1447,2)</f>
        <v>77.25</v>
      </c>
    </row>
    <row r="1448" spans="1:5" x14ac:dyDescent="0.35">
      <c r="A1448" s="15">
        <v>96.7</v>
      </c>
      <c r="B1448" s="14">
        <v>1</v>
      </c>
      <c r="C1448">
        <f>(B1448*100)/$H$1</f>
        <v>1.9557989438685704E-2</v>
      </c>
      <c r="D1448">
        <f>D1447+C1448</f>
        <v>77.273616272247097</v>
      </c>
      <c r="E1448">
        <f>ROUNDDOWN(D1448,2)</f>
        <v>77.27</v>
      </c>
    </row>
    <row r="1449" spans="1:5" x14ac:dyDescent="0.35">
      <c r="A1449" s="15">
        <v>96.5</v>
      </c>
      <c r="B1449" s="14">
        <v>2</v>
      </c>
      <c r="C1449">
        <f>(B1449*100)/$H$1</f>
        <v>3.9115978877371407E-2</v>
      </c>
      <c r="D1449">
        <f>D1448+C1449</f>
        <v>77.312732251124473</v>
      </c>
      <c r="E1449">
        <f>ROUNDDOWN(D1449,2)</f>
        <v>77.31</v>
      </c>
    </row>
    <row r="1450" spans="1:5" x14ac:dyDescent="0.35">
      <c r="A1450" s="15">
        <v>96.3</v>
      </c>
      <c r="B1450" s="14">
        <v>1</v>
      </c>
      <c r="C1450">
        <f>(B1450*100)/$H$1</f>
        <v>1.9557989438685704E-2</v>
      </c>
      <c r="D1450">
        <f>D1449+C1450</f>
        <v>77.332290240563154</v>
      </c>
      <c r="E1450">
        <f>ROUNDDOWN(D1450,2)</f>
        <v>77.33</v>
      </c>
    </row>
    <row r="1451" spans="1:5" x14ac:dyDescent="0.35">
      <c r="A1451" s="15">
        <v>96.2</v>
      </c>
      <c r="B1451" s="14">
        <v>3</v>
      </c>
      <c r="C1451">
        <f>(B1451*100)/$H$1</f>
        <v>5.8673968316057111E-2</v>
      </c>
      <c r="D1451">
        <f>D1450+C1451</f>
        <v>77.390964208879211</v>
      </c>
      <c r="E1451">
        <f>ROUNDDOWN(D1451,2)</f>
        <v>77.39</v>
      </c>
    </row>
    <row r="1452" spans="1:5" x14ac:dyDescent="0.35">
      <c r="A1452" s="15">
        <v>96.1</v>
      </c>
      <c r="B1452" s="14">
        <v>1</v>
      </c>
      <c r="C1452">
        <f>(B1452*100)/$H$1</f>
        <v>1.9557989438685704E-2</v>
      </c>
      <c r="D1452">
        <f>D1451+C1452</f>
        <v>77.410522198317892</v>
      </c>
      <c r="E1452">
        <f>ROUNDDOWN(D1452,2)</f>
        <v>77.41</v>
      </c>
    </row>
    <row r="1453" spans="1:5" x14ac:dyDescent="0.35">
      <c r="A1453" s="15">
        <v>96</v>
      </c>
      <c r="B1453" s="14">
        <v>2</v>
      </c>
      <c r="C1453">
        <f>(B1453*100)/$H$1</f>
        <v>3.9115978877371407E-2</v>
      </c>
      <c r="D1453">
        <f>D1452+C1453</f>
        <v>77.449638177195268</v>
      </c>
      <c r="E1453">
        <f>ROUNDDOWN(D1453,2)</f>
        <v>77.44</v>
      </c>
    </row>
    <row r="1454" spans="1:5" x14ac:dyDescent="0.35">
      <c r="A1454" s="15">
        <v>95.9</v>
      </c>
      <c r="B1454" s="14">
        <v>1</v>
      </c>
      <c r="C1454">
        <f>(B1454*100)/$H$1</f>
        <v>1.9557989438685704E-2</v>
      </c>
      <c r="D1454">
        <f>D1453+C1454</f>
        <v>77.469196166633949</v>
      </c>
      <c r="E1454">
        <f>ROUNDDOWN(D1454,2)</f>
        <v>77.459999999999994</v>
      </c>
    </row>
    <row r="1455" spans="1:5" x14ac:dyDescent="0.35">
      <c r="A1455" s="15">
        <v>95.8</v>
      </c>
      <c r="B1455" s="14">
        <v>1</v>
      </c>
      <c r="C1455">
        <f>(B1455*100)/$H$1</f>
        <v>1.9557989438685704E-2</v>
      </c>
      <c r="D1455">
        <f>D1454+C1455</f>
        <v>77.488754156072631</v>
      </c>
      <c r="E1455">
        <f>ROUNDDOWN(D1455,2)</f>
        <v>77.48</v>
      </c>
    </row>
    <row r="1456" spans="1:5" x14ac:dyDescent="0.35">
      <c r="A1456" s="15">
        <v>95.6</v>
      </c>
      <c r="B1456" s="14">
        <v>2</v>
      </c>
      <c r="C1456">
        <f>(B1456*100)/$H$1</f>
        <v>3.9115978877371407E-2</v>
      </c>
      <c r="D1456">
        <f>D1455+C1456</f>
        <v>77.527870134950007</v>
      </c>
      <c r="E1456">
        <f>ROUNDDOWN(D1456,2)</f>
        <v>77.52</v>
      </c>
    </row>
    <row r="1457" spans="1:5" x14ac:dyDescent="0.35">
      <c r="A1457" s="15">
        <v>95.5</v>
      </c>
      <c r="B1457" s="14">
        <v>5</v>
      </c>
      <c r="C1457">
        <f>(B1457*100)/$H$1</f>
        <v>9.7789947193428511E-2</v>
      </c>
      <c r="D1457">
        <f>D1456+C1457</f>
        <v>77.62566008214344</v>
      </c>
      <c r="E1457">
        <f>ROUNDDOWN(D1457,2)</f>
        <v>77.62</v>
      </c>
    </row>
    <row r="1458" spans="1:5" x14ac:dyDescent="0.35">
      <c r="A1458" s="15">
        <v>95.4</v>
      </c>
      <c r="B1458" s="14">
        <v>2</v>
      </c>
      <c r="C1458">
        <f>(B1458*100)/$H$1</f>
        <v>3.9115978877371407E-2</v>
      </c>
      <c r="D1458">
        <f>D1457+C1458</f>
        <v>77.664776061020817</v>
      </c>
      <c r="E1458">
        <f>ROUNDDOWN(D1458,2)</f>
        <v>77.66</v>
      </c>
    </row>
    <row r="1459" spans="1:5" x14ac:dyDescent="0.35">
      <c r="A1459" s="15">
        <v>95.2</v>
      </c>
      <c r="B1459" s="14">
        <v>1</v>
      </c>
      <c r="C1459">
        <f>(B1459*100)/$H$1</f>
        <v>1.9557989438685704E-2</v>
      </c>
      <c r="D1459">
        <f>D1458+C1459</f>
        <v>77.684334050459498</v>
      </c>
      <c r="E1459">
        <f>ROUNDDOWN(D1459,2)</f>
        <v>77.680000000000007</v>
      </c>
    </row>
    <row r="1460" spans="1:5" x14ac:dyDescent="0.35">
      <c r="A1460" s="15">
        <v>95.1</v>
      </c>
      <c r="B1460" s="14">
        <v>2</v>
      </c>
      <c r="C1460">
        <f>(B1460*100)/$H$1</f>
        <v>3.9115978877371407E-2</v>
      </c>
      <c r="D1460">
        <f>D1459+C1460</f>
        <v>77.723450029336874</v>
      </c>
      <c r="E1460">
        <f>ROUNDDOWN(D1460,2)</f>
        <v>77.72</v>
      </c>
    </row>
    <row r="1461" spans="1:5" x14ac:dyDescent="0.35">
      <c r="A1461" s="15">
        <v>94.8</v>
      </c>
      <c r="B1461" s="14">
        <v>6</v>
      </c>
      <c r="C1461">
        <f>(B1461*100)/$H$1</f>
        <v>0.11734793663211422</v>
      </c>
      <c r="D1461">
        <f>D1460+C1461</f>
        <v>77.840797965968989</v>
      </c>
      <c r="E1461">
        <f>ROUNDDOWN(D1461,2)</f>
        <v>77.84</v>
      </c>
    </row>
    <row r="1462" spans="1:5" x14ac:dyDescent="0.35">
      <c r="A1462" s="15">
        <v>94.5</v>
      </c>
      <c r="B1462" s="14">
        <v>3</v>
      </c>
      <c r="C1462">
        <f>(B1462*100)/$H$1</f>
        <v>5.8673968316057111E-2</v>
      </c>
      <c r="D1462">
        <f>D1461+C1462</f>
        <v>77.899471934285046</v>
      </c>
      <c r="E1462">
        <f>ROUNDDOWN(D1462,2)</f>
        <v>77.89</v>
      </c>
    </row>
    <row r="1463" spans="1:5" x14ac:dyDescent="0.35">
      <c r="A1463" s="15">
        <v>94.4</v>
      </c>
      <c r="B1463" s="14">
        <v>4</v>
      </c>
      <c r="C1463">
        <f>(B1463*100)/$H$1</f>
        <v>7.8231957754742815E-2</v>
      </c>
      <c r="D1463">
        <f>D1462+C1463</f>
        <v>77.977703892039784</v>
      </c>
      <c r="E1463">
        <f>ROUNDDOWN(D1463,2)</f>
        <v>77.97</v>
      </c>
    </row>
    <row r="1464" spans="1:5" x14ac:dyDescent="0.35">
      <c r="A1464" s="15">
        <v>94.2</v>
      </c>
      <c r="B1464" s="14">
        <v>3</v>
      </c>
      <c r="C1464">
        <f>(B1464*100)/$H$1</f>
        <v>5.8673968316057111E-2</v>
      </c>
      <c r="D1464">
        <f>D1463+C1464</f>
        <v>78.036377860355842</v>
      </c>
      <c r="E1464">
        <f>ROUNDDOWN(D1464,2)</f>
        <v>78.03</v>
      </c>
    </row>
    <row r="1465" spans="1:5" x14ac:dyDescent="0.35">
      <c r="A1465" s="15">
        <v>94.1</v>
      </c>
      <c r="B1465" s="14">
        <v>1</v>
      </c>
      <c r="C1465">
        <f>(B1465*100)/$H$1</f>
        <v>1.9557989438685704E-2</v>
      </c>
      <c r="D1465">
        <f>D1464+C1465</f>
        <v>78.055935849794523</v>
      </c>
      <c r="E1465">
        <f>ROUNDDOWN(D1465,2)</f>
        <v>78.05</v>
      </c>
    </row>
    <row r="1466" spans="1:5" x14ac:dyDescent="0.35">
      <c r="A1466" s="15">
        <v>94</v>
      </c>
      <c r="B1466" s="14">
        <v>1</v>
      </c>
      <c r="C1466">
        <f>(B1466*100)/$H$1</f>
        <v>1.9557989438685704E-2</v>
      </c>
      <c r="D1466">
        <f>D1465+C1466</f>
        <v>78.075493839233204</v>
      </c>
      <c r="E1466">
        <f>ROUNDDOWN(D1466,2)</f>
        <v>78.069999999999993</v>
      </c>
    </row>
    <row r="1467" spans="1:5" x14ac:dyDescent="0.35">
      <c r="A1467" s="15">
        <v>93.8</v>
      </c>
      <c r="B1467" s="14">
        <v>4</v>
      </c>
      <c r="C1467">
        <f>(B1467*100)/$H$1</f>
        <v>7.8231957754742815E-2</v>
      </c>
      <c r="D1467">
        <f>D1466+C1467</f>
        <v>78.153725796987942</v>
      </c>
      <c r="E1467">
        <f>ROUNDDOWN(D1467,2)</f>
        <v>78.150000000000006</v>
      </c>
    </row>
    <row r="1468" spans="1:5" x14ac:dyDescent="0.35">
      <c r="A1468" s="15">
        <v>93.7</v>
      </c>
      <c r="B1468" s="14">
        <v>2</v>
      </c>
      <c r="C1468">
        <f>(B1468*100)/$H$1</f>
        <v>3.9115978877371407E-2</v>
      </c>
      <c r="D1468">
        <f>D1467+C1468</f>
        <v>78.192841775865318</v>
      </c>
      <c r="E1468">
        <f>ROUNDDOWN(D1468,2)</f>
        <v>78.19</v>
      </c>
    </row>
    <row r="1469" spans="1:5" x14ac:dyDescent="0.35">
      <c r="A1469" s="15">
        <v>93.6</v>
      </c>
      <c r="B1469" s="14">
        <v>3</v>
      </c>
      <c r="C1469">
        <f>(B1469*100)/$H$1</f>
        <v>5.8673968316057111E-2</v>
      </c>
      <c r="D1469">
        <f>D1468+C1469</f>
        <v>78.251515744181376</v>
      </c>
      <c r="E1469">
        <f>ROUNDDOWN(D1469,2)</f>
        <v>78.25</v>
      </c>
    </row>
    <row r="1470" spans="1:5" x14ac:dyDescent="0.35">
      <c r="A1470" s="15">
        <v>93.5</v>
      </c>
      <c r="B1470" s="14">
        <v>1</v>
      </c>
      <c r="C1470">
        <f>(B1470*100)/$H$1</f>
        <v>1.9557989438685704E-2</v>
      </c>
      <c r="D1470">
        <f>D1469+C1470</f>
        <v>78.271073733620057</v>
      </c>
      <c r="E1470">
        <f>ROUNDDOWN(D1470,2)</f>
        <v>78.27</v>
      </c>
    </row>
    <row r="1471" spans="1:5" x14ac:dyDescent="0.35">
      <c r="A1471" s="15">
        <v>93.3</v>
      </c>
      <c r="B1471" s="14">
        <v>2</v>
      </c>
      <c r="C1471">
        <f>(B1471*100)/$H$1</f>
        <v>3.9115978877371407E-2</v>
      </c>
      <c r="D1471">
        <f>D1470+C1471</f>
        <v>78.310189712497433</v>
      </c>
      <c r="E1471">
        <f>ROUNDDOWN(D1471,2)</f>
        <v>78.31</v>
      </c>
    </row>
    <row r="1472" spans="1:5" x14ac:dyDescent="0.35">
      <c r="A1472" s="15">
        <v>93.2</v>
      </c>
      <c r="B1472" s="14">
        <v>3</v>
      </c>
      <c r="C1472">
        <f>(B1472*100)/$H$1</f>
        <v>5.8673968316057111E-2</v>
      </c>
      <c r="D1472">
        <f>D1471+C1472</f>
        <v>78.36886368081349</v>
      </c>
      <c r="E1472">
        <f>ROUNDDOWN(D1472,2)</f>
        <v>78.36</v>
      </c>
    </row>
    <row r="1473" spans="1:5" x14ac:dyDescent="0.35">
      <c r="A1473" s="15">
        <v>93</v>
      </c>
      <c r="B1473" s="14">
        <v>1</v>
      </c>
      <c r="C1473">
        <f>(B1473*100)/$H$1</f>
        <v>1.9557989438685704E-2</v>
      </c>
      <c r="D1473">
        <f>D1472+C1473</f>
        <v>78.388421670252171</v>
      </c>
      <c r="E1473">
        <f>ROUNDDOWN(D1473,2)</f>
        <v>78.38</v>
      </c>
    </row>
    <row r="1474" spans="1:5" x14ac:dyDescent="0.35">
      <c r="A1474" s="15">
        <v>92.9</v>
      </c>
      <c r="B1474" s="14">
        <v>1</v>
      </c>
      <c r="C1474">
        <f>(B1474*100)/$H$1</f>
        <v>1.9557989438685704E-2</v>
      </c>
      <c r="D1474">
        <f>D1473+C1474</f>
        <v>78.407979659690852</v>
      </c>
      <c r="E1474">
        <f>ROUNDDOWN(D1474,2)</f>
        <v>78.400000000000006</v>
      </c>
    </row>
    <row r="1475" spans="1:5" x14ac:dyDescent="0.35">
      <c r="A1475" s="15">
        <v>92.8</v>
      </c>
      <c r="B1475" s="14">
        <v>3</v>
      </c>
      <c r="C1475">
        <f>(B1475*100)/$H$1</f>
        <v>5.8673968316057111E-2</v>
      </c>
      <c r="D1475">
        <f>D1474+C1475</f>
        <v>78.46665362800691</v>
      </c>
      <c r="E1475">
        <f>ROUNDDOWN(D1475,2)</f>
        <v>78.459999999999994</v>
      </c>
    </row>
    <row r="1476" spans="1:5" x14ac:dyDescent="0.35">
      <c r="A1476" s="15">
        <v>92.7</v>
      </c>
      <c r="B1476" s="14">
        <v>3</v>
      </c>
      <c r="C1476">
        <f>(B1476*100)/$H$1</f>
        <v>5.8673968316057111E-2</v>
      </c>
      <c r="D1476">
        <f>D1475+C1476</f>
        <v>78.525327596322967</v>
      </c>
      <c r="E1476">
        <f>ROUNDDOWN(D1476,2)</f>
        <v>78.52</v>
      </c>
    </row>
    <row r="1477" spans="1:5" x14ac:dyDescent="0.35">
      <c r="A1477" s="15">
        <v>92.6</v>
      </c>
      <c r="B1477" s="14">
        <v>1</v>
      </c>
      <c r="C1477">
        <f>(B1477*100)/$H$1</f>
        <v>1.9557989438685704E-2</v>
      </c>
      <c r="D1477">
        <f>D1476+C1477</f>
        <v>78.544885585761648</v>
      </c>
      <c r="E1477">
        <f>ROUNDDOWN(D1477,2)</f>
        <v>78.540000000000006</v>
      </c>
    </row>
    <row r="1478" spans="1:5" x14ac:dyDescent="0.35">
      <c r="A1478" s="15">
        <v>92.5</v>
      </c>
      <c r="B1478" s="14">
        <v>4</v>
      </c>
      <c r="C1478">
        <f>(B1478*100)/$H$1</f>
        <v>7.8231957754742815E-2</v>
      </c>
      <c r="D1478">
        <f>D1477+C1478</f>
        <v>78.623117543516386</v>
      </c>
      <c r="E1478">
        <f>ROUNDDOWN(D1478,2)</f>
        <v>78.62</v>
      </c>
    </row>
    <row r="1479" spans="1:5" x14ac:dyDescent="0.35">
      <c r="A1479" s="15">
        <v>92.4</v>
      </c>
      <c r="B1479" s="14">
        <v>3</v>
      </c>
      <c r="C1479">
        <f>(B1479*100)/$H$1</f>
        <v>5.8673968316057111E-2</v>
      </c>
      <c r="D1479">
        <f>D1478+C1479</f>
        <v>78.681791511832444</v>
      </c>
      <c r="E1479">
        <f>ROUNDDOWN(D1479,2)</f>
        <v>78.680000000000007</v>
      </c>
    </row>
    <row r="1480" spans="1:5" x14ac:dyDescent="0.35">
      <c r="A1480" s="15">
        <v>92.3</v>
      </c>
      <c r="B1480" s="14">
        <v>2</v>
      </c>
      <c r="C1480">
        <f>(B1480*100)/$H$1</f>
        <v>3.9115978877371407E-2</v>
      </c>
      <c r="D1480">
        <f>D1479+C1480</f>
        <v>78.72090749070982</v>
      </c>
      <c r="E1480">
        <f>ROUNDDOWN(D1480,2)</f>
        <v>78.72</v>
      </c>
    </row>
    <row r="1481" spans="1:5" x14ac:dyDescent="0.35">
      <c r="A1481" s="15">
        <v>92.2</v>
      </c>
      <c r="B1481" s="14">
        <v>1</v>
      </c>
      <c r="C1481">
        <f>(B1481*100)/$H$1</f>
        <v>1.9557989438685704E-2</v>
      </c>
      <c r="D1481">
        <f>D1480+C1481</f>
        <v>78.740465480148501</v>
      </c>
      <c r="E1481">
        <f>ROUNDDOWN(D1481,2)</f>
        <v>78.739999999999995</v>
      </c>
    </row>
    <row r="1482" spans="1:5" x14ac:dyDescent="0.35">
      <c r="A1482" s="15">
        <v>92.1</v>
      </c>
      <c r="B1482" s="14">
        <v>3</v>
      </c>
      <c r="C1482">
        <f>(B1482*100)/$H$1</f>
        <v>5.8673968316057111E-2</v>
      </c>
      <c r="D1482">
        <f>D1481+C1482</f>
        <v>78.799139448464558</v>
      </c>
      <c r="E1482">
        <f>ROUNDDOWN(D1482,2)</f>
        <v>78.790000000000006</v>
      </c>
    </row>
    <row r="1483" spans="1:5" x14ac:dyDescent="0.35">
      <c r="A1483" s="15">
        <v>92</v>
      </c>
      <c r="B1483" s="14">
        <v>2</v>
      </c>
      <c r="C1483">
        <f>(B1483*100)/$H$1</f>
        <v>3.9115978877371407E-2</v>
      </c>
      <c r="D1483">
        <f>D1482+C1483</f>
        <v>78.838255427341934</v>
      </c>
      <c r="E1483">
        <f>ROUNDDOWN(D1483,2)</f>
        <v>78.83</v>
      </c>
    </row>
    <row r="1484" spans="1:5" x14ac:dyDescent="0.35">
      <c r="A1484" s="15">
        <v>91.9</v>
      </c>
      <c r="B1484" s="14">
        <v>2</v>
      </c>
      <c r="C1484">
        <f>(B1484*100)/$H$1</f>
        <v>3.9115978877371407E-2</v>
      </c>
      <c r="D1484">
        <f>D1483+C1484</f>
        <v>78.877371406219311</v>
      </c>
      <c r="E1484">
        <f>ROUNDDOWN(D1484,2)</f>
        <v>78.87</v>
      </c>
    </row>
    <row r="1485" spans="1:5" x14ac:dyDescent="0.35">
      <c r="A1485" s="15">
        <v>91.7</v>
      </c>
      <c r="B1485" s="14">
        <v>4</v>
      </c>
      <c r="C1485">
        <f>(B1485*100)/$H$1</f>
        <v>7.8231957754742815E-2</v>
      </c>
      <c r="D1485">
        <f>D1484+C1485</f>
        <v>78.955603363974049</v>
      </c>
      <c r="E1485">
        <f>ROUNDDOWN(D1485,2)</f>
        <v>78.95</v>
      </c>
    </row>
    <row r="1486" spans="1:5" x14ac:dyDescent="0.35">
      <c r="A1486" s="15">
        <v>91.6</v>
      </c>
      <c r="B1486" s="14">
        <v>1</v>
      </c>
      <c r="C1486">
        <f>(B1486*100)/$H$1</f>
        <v>1.9557989438685704E-2</v>
      </c>
      <c r="D1486">
        <f>D1485+C1486</f>
        <v>78.97516135341273</v>
      </c>
      <c r="E1486">
        <f>ROUNDDOWN(D1486,2)</f>
        <v>78.97</v>
      </c>
    </row>
    <row r="1487" spans="1:5" x14ac:dyDescent="0.35">
      <c r="A1487" s="15">
        <v>91.5</v>
      </c>
      <c r="B1487" s="14">
        <v>1</v>
      </c>
      <c r="C1487">
        <f>(B1487*100)/$H$1</f>
        <v>1.9557989438685704E-2</v>
      </c>
      <c r="D1487">
        <f>D1486+C1487</f>
        <v>78.994719342851411</v>
      </c>
      <c r="E1487">
        <f>ROUNDDOWN(D1487,2)</f>
        <v>78.989999999999995</v>
      </c>
    </row>
    <row r="1488" spans="1:5" x14ac:dyDescent="0.35">
      <c r="A1488" s="15">
        <v>91.4</v>
      </c>
      <c r="B1488" s="14">
        <v>3</v>
      </c>
      <c r="C1488">
        <f>(B1488*100)/$H$1</f>
        <v>5.8673968316057111E-2</v>
      </c>
      <c r="D1488">
        <f>D1487+C1488</f>
        <v>79.053393311167468</v>
      </c>
      <c r="E1488">
        <f>ROUNDDOWN(D1488,2)</f>
        <v>79.05</v>
      </c>
    </row>
    <row r="1489" spans="1:5" x14ac:dyDescent="0.35">
      <c r="A1489" s="15">
        <v>91.3</v>
      </c>
      <c r="B1489" s="14">
        <v>1</v>
      </c>
      <c r="C1489">
        <f>(B1489*100)/$H$1</f>
        <v>1.9557989438685704E-2</v>
      </c>
      <c r="D1489">
        <f>D1488+C1489</f>
        <v>79.07295130060615</v>
      </c>
      <c r="E1489">
        <f>ROUNDDOWN(D1489,2)</f>
        <v>79.069999999999993</v>
      </c>
    </row>
    <row r="1490" spans="1:5" x14ac:dyDescent="0.35">
      <c r="A1490" s="15">
        <v>91.2</v>
      </c>
      <c r="B1490" s="14">
        <v>2</v>
      </c>
      <c r="C1490">
        <f>(B1490*100)/$H$1</f>
        <v>3.9115978877371407E-2</v>
      </c>
      <c r="D1490">
        <f>D1489+C1490</f>
        <v>79.112067279483526</v>
      </c>
      <c r="E1490">
        <f>ROUNDDOWN(D1490,2)</f>
        <v>79.11</v>
      </c>
    </row>
    <row r="1491" spans="1:5" x14ac:dyDescent="0.35">
      <c r="A1491" s="15">
        <v>91.1</v>
      </c>
      <c r="B1491" s="14">
        <v>2</v>
      </c>
      <c r="C1491">
        <f>(B1491*100)/$H$1</f>
        <v>3.9115978877371407E-2</v>
      </c>
      <c r="D1491">
        <f>D1490+C1491</f>
        <v>79.151183258360902</v>
      </c>
      <c r="E1491">
        <f>ROUNDDOWN(D1491,2)</f>
        <v>79.150000000000006</v>
      </c>
    </row>
    <row r="1492" spans="1:5" x14ac:dyDescent="0.35">
      <c r="A1492" s="15">
        <v>91</v>
      </c>
      <c r="B1492" s="14">
        <v>2</v>
      </c>
      <c r="C1492">
        <f>(B1492*100)/$H$1</f>
        <v>3.9115978877371407E-2</v>
      </c>
      <c r="D1492">
        <f>D1491+C1492</f>
        <v>79.190299237238278</v>
      </c>
      <c r="E1492">
        <f>ROUNDDOWN(D1492,2)</f>
        <v>79.19</v>
      </c>
    </row>
    <row r="1493" spans="1:5" x14ac:dyDescent="0.35">
      <c r="A1493" s="15">
        <v>90.9</v>
      </c>
      <c r="B1493" s="14">
        <v>3</v>
      </c>
      <c r="C1493">
        <f>(B1493*100)/$H$1</f>
        <v>5.8673968316057111E-2</v>
      </c>
      <c r="D1493">
        <f>D1492+C1493</f>
        <v>79.248973205554336</v>
      </c>
      <c r="E1493">
        <f>ROUNDDOWN(D1493,2)</f>
        <v>79.239999999999995</v>
      </c>
    </row>
    <row r="1494" spans="1:5" x14ac:dyDescent="0.35">
      <c r="A1494" s="15">
        <v>90.8</v>
      </c>
      <c r="B1494" s="14">
        <v>2</v>
      </c>
      <c r="C1494">
        <f>(B1494*100)/$H$1</f>
        <v>3.9115978877371407E-2</v>
      </c>
      <c r="D1494">
        <f>D1493+C1494</f>
        <v>79.288089184431712</v>
      </c>
      <c r="E1494">
        <f>ROUNDDOWN(D1494,2)</f>
        <v>79.28</v>
      </c>
    </row>
    <row r="1495" spans="1:5" x14ac:dyDescent="0.35">
      <c r="A1495" s="15">
        <v>90.7</v>
      </c>
      <c r="B1495" s="14">
        <v>3</v>
      </c>
      <c r="C1495">
        <f>(B1495*100)/$H$1</f>
        <v>5.8673968316057111E-2</v>
      </c>
      <c r="D1495">
        <f>D1494+C1495</f>
        <v>79.346763152747769</v>
      </c>
      <c r="E1495">
        <f>ROUNDDOWN(D1495,2)</f>
        <v>79.34</v>
      </c>
    </row>
    <row r="1496" spans="1:5" x14ac:dyDescent="0.35">
      <c r="A1496" s="15">
        <v>90.6</v>
      </c>
      <c r="B1496" s="14">
        <v>2</v>
      </c>
      <c r="C1496">
        <f>(B1496*100)/$H$1</f>
        <v>3.9115978877371407E-2</v>
      </c>
      <c r="D1496">
        <f>D1495+C1496</f>
        <v>79.385879131625146</v>
      </c>
      <c r="E1496">
        <f>ROUNDDOWN(D1496,2)</f>
        <v>79.38</v>
      </c>
    </row>
    <row r="1497" spans="1:5" x14ac:dyDescent="0.35">
      <c r="A1497" s="15">
        <v>90.5</v>
      </c>
      <c r="B1497" s="14">
        <v>2</v>
      </c>
      <c r="C1497">
        <f>(B1497*100)/$H$1</f>
        <v>3.9115978877371407E-2</v>
      </c>
      <c r="D1497">
        <f>D1496+C1497</f>
        <v>79.424995110502522</v>
      </c>
      <c r="E1497">
        <f>ROUNDDOWN(D1497,2)</f>
        <v>79.42</v>
      </c>
    </row>
    <row r="1498" spans="1:5" x14ac:dyDescent="0.35">
      <c r="A1498" s="15">
        <v>90.4</v>
      </c>
      <c r="B1498" s="14">
        <v>1</v>
      </c>
      <c r="C1498">
        <f>(B1498*100)/$H$1</f>
        <v>1.9557989438685704E-2</v>
      </c>
      <c r="D1498">
        <f>D1497+C1498</f>
        <v>79.444553099941203</v>
      </c>
      <c r="E1498">
        <f>ROUNDDOWN(D1498,2)</f>
        <v>79.44</v>
      </c>
    </row>
    <row r="1499" spans="1:5" x14ac:dyDescent="0.35">
      <c r="A1499" s="15">
        <v>90.3</v>
      </c>
      <c r="B1499" s="14">
        <v>1</v>
      </c>
      <c r="C1499">
        <f>(B1499*100)/$H$1</f>
        <v>1.9557989438685704E-2</v>
      </c>
      <c r="D1499">
        <f>D1498+C1499</f>
        <v>79.464111089379884</v>
      </c>
      <c r="E1499">
        <f>ROUNDDOWN(D1499,2)</f>
        <v>79.459999999999994</v>
      </c>
    </row>
    <row r="1500" spans="1:5" x14ac:dyDescent="0.35">
      <c r="A1500" s="15">
        <v>90.2</v>
      </c>
      <c r="B1500" s="14">
        <v>4</v>
      </c>
      <c r="C1500">
        <f>(B1500*100)/$H$1</f>
        <v>7.8231957754742815E-2</v>
      </c>
      <c r="D1500">
        <f>D1499+C1500</f>
        <v>79.542343047134622</v>
      </c>
      <c r="E1500">
        <f>ROUNDDOWN(D1500,2)</f>
        <v>79.540000000000006</v>
      </c>
    </row>
    <row r="1501" spans="1:5" x14ac:dyDescent="0.35">
      <c r="A1501" s="15">
        <v>90.1</v>
      </c>
      <c r="B1501" s="14">
        <v>6</v>
      </c>
      <c r="C1501">
        <f>(B1501*100)/$H$1</f>
        <v>0.11734793663211422</v>
      </c>
      <c r="D1501">
        <f>D1500+C1501</f>
        <v>79.659690983766737</v>
      </c>
      <c r="E1501">
        <f>ROUNDDOWN(D1501,2)</f>
        <v>79.650000000000006</v>
      </c>
    </row>
    <row r="1502" spans="1:5" x14ac:dyDescent="0.35">
      <c r="A1502" s="15">
        <v>90</v>
      </c>
      <c r="B1502" s="14">
        <v>6</v>
      </c>
      <c r="C1502">
        <f>(B1502*100)/$H$1</f>
        <v>0.11734793663211422</v>
      </c>
      <c r="D1502">
        <f>D1501+C1502</f>
        <v>79.777038920398851</v>
      </c>
      <c r="E1502">
        <f>ROUNDDOWN(D1502,2)</f>
        <v>79.77</v>
      </c>
    </row>
    <row r="1503" spans="1:5" x14ac:dyDescent="0.35">
      <c r="A1503" s="15">
        <v>89.9</v>
      </c>
      <c r="B1503" s="14">
        <v>1</v>
      </c>
      <c r="C1503">
        <f>(B1503*100)/$H$1</f>
        <v>1.9557989438685704E-2</v>
      </c>
      <c r="D1503">
        <f>D1502+C1503</f>
        <v>79.796596909837533</v>
      </c>
      <c r="E1503">
        <f>ROUNDDOWN(D1503,2)</f>
        <v>79.790000000000006</v>
      </c>
    </row>
    <row r="1504" spans="1:5" x14ac:dyDescent="0.35">
      <c r="A1504" s="15">
        <v>89.7</v>
      </c>
      <c r="B1504" s="14">
        <v>2</v>
      </c>
      <c r="C1504">
        <f>(B1504*100)/$H$1</f>
        <v>3.9115978877371407E-2</v>
      </c>
      <c r="D1504">
        <f>D1503+C1504</f>
        <v>79.835712888714909</v>
      </c>
      <c r="E1504">
        <f>ROUNDDOWN(D1504,2)</f>
        <v>79.83</v>
      </c>
    </row>
    <row r="1505" spans="1:5" x14ac:dyDescent="0.35">
      <c r="A1505" s="15">
        <v>89.6</v>
      </c>
      <c r="B1505" s="14">
        <v>1</v>
      </c>
      <c r="C1505">
        <f>(B1505*100)/$H$1</f>
        <v>1.9557989438685704E-2</v>
      </c>
      <c r="D1505">
        <f>D1504+C1505</f>
        <v>79.85527087815359</v>
      </c>
      <c r="E1505">
        <f>ROUNDDOWN(D1505,2)</f>
        <v>79.849999999999994</v>
      </c>
    </row>
    <row r="1506" spans="1:5" x14ac:dyDescent="0.35">
      <c r="A1506" s="15">
        <v>89.5</v>
      </c>
      <c r="B1506" s="14">
        <v>3</v>
      </c>
      <c r="C1506">
        <f>(B1506*100)/$H$1</f>
        <v>5.8673968316057111E-2</v>
      </c>
      <c r="D1506">
        <f>D1505+C1506</f>
        <v>79.913944846469647</v>
      </c>
      <c r="E1506">
        <f>ROUNDDOWN(D1506,2)</f>
        <v>79.91</v>
      </c>
    </row>
    <row r="1507" spans="1:5" x14ac:dyDescent="0.35">
      <c r="A1507" s="15">
        <v>89.4</v>
      </c>
      <c r="B1507" s="14">
        <v>5</v>
      </c>
      <c r="C1507">
        <f>(B1507*100)/$H$1</f>
        <v>9.7789947193428511E-2</v>
      </c>
      <c r="D1507">
        <f>D1506+C1507</f>
        <v>80.011734793663081</v>
      </c>
      <c r="E1507">
        <f>ROUNDDOWN(D1507,2)</f>
        <v>80.010000000000005</v>
      </c>
    </row>
    <row r="1508" spans="1:5" x14ac:dyDescent="0.35">
      <c r="A1508" s="15">
        <v>89.3</v>
      </c>
      <c r="B1508" s="14">
        <v>2</v>
      </c>
      <c r="C1508">
        <f>(B1508*100)/$H$1</f>
        <v>3.9115978877371407E-2</v>
      </c>
      <c r="D1508">
        <f>D1507+C1508</f>
        <v>80.050850772540457</v>
      </c>
      <c r="E1508">
        <f>ROUNDDOWN(D1508,2)</f>
        <v>80.05</v>
      </c>
    </row>
    <row r="1509" spans="1:5" x14ac:dyDescent="0.35">
      <c r="A1509" s="15">
        <v>89.2</v>
      </c>
      <c r="B1509" s="14">
        <v>1</v>
      </c>
      <c r="C1509">
        <f>(B1509*100)/$H$1</f>
        <v>1.9557989438685704E-2</v>
      </c>
      <c r="D1509">
        <f>D1508+C1509</f>
        <v>80.070408761979138</v>
      </c>
      <c r="E1509">
        <f>ROUNDDOWN(D1509,2)</f>
        <v>80.069999999999993</v>
      </c>
    </row>
    <row r="1510" spans="1:5" x14ac:dyDescent="0.35">
      <c r="A1510" s="15">
        <v>89.1</v>
      </c>
      <c r="B1510" s="14">
        <v>5</v>
      </c>
      <c r="C1510">
        <f>(B1510*100)/$H$1</f>
        <v>9.7789947193428511E-2</v>
      </c>
      <c r="D1510">
        <f>D1509+C1510</f>
        <v>80.168198709172572</v>
      </c>
      <c r="E1510">
        <f>ROUNDDOWN(D1510,2)</f>
        <v>80.16</v>
      </c>
    </row>
    <row r="1511" spans="1:5" x14ac:dyDescent="0.35">
      <c r="A1511" s="15">
        <v>89</v>
      </c>
      <c r="B1511" s="14">
        <v>2</v>
      </c>
      <c r="C1511">
        <f>(B1511*100)/$H$1</f>
        <v>3.9115978877371407E-2</v>
      </c>
      <c r="D1511">
        <f>D1510+C1511</f>
        <v>80.207314688049948</v>
      </c>
      <c r="E1511">
        <f>ROUNDDOWN(D1511,2)</f>
        <v>80.2</v>
      </c>
    </row>
    <row r="1512" spans="1:5" x14ac:dyDescent="0.35">
      <c r="A1512" s="15">
        <v>88.9</v>
      </c>
      <c r="B1512" s="14">
        <v>6</v>
      </c>
      <c r="C1512">
        <f>(B1512*100)/$H$1</f>
        <v>0.11734793663211422</v>
      </c>
      <c r="D1512">
        <f>D1511+C1512</f>
        <v>80.324662624682063</v>
      </c>
      <c r="E1512">
        <f>ROUNDDOWN(D1512,2)</f>
        <v>80.319999999999993</v>
      </c>
    </row>
    <row r="1513" spans="1:5" x14ac:dyDescent="0.35">
      <c r="A1513" s="15">
        <v>88.8</v>
      </c>
      <c r="B1513" s="14">
        <v>3</v>
      </c>
      <c r="C1513">
        <f>(B1513*100)/$H$1</f>
        <v>5.8673968316057111E-2</v>
      </c>
      <c r="D1513">
        <f>D1512+C1513</f>
        <v>80.38333659299812</v>
      </c>
      <c r="E1513">
        <f>ROUNDDOWN(D1513,2)</f>
        <v>80.38</v>
      </c>
    </row>
    <row r="1514" spans="1:5" x14ac:dyDescent="0.35">
      <c r="A1514" s="15">
        <v>88.7</v>
      </c>
      <c r="B1514" s="14">
        <v>3</v>
      </c>
      <c r="C1514">
        <f>(B1514*100)/$H$1</f>
        <v>5.8673968316057111E-2</v>
      </c>
      <c r="D1514">
        <f>D1513+C1514</f>
        <v>80.442010561314177</v>
      </c>
      <c r="E1514">
        <f>ROUNDDOWN(D1514,2)</f>
        <v>80.44</v>
      </c>
    </row>
    <row r="1515" spans="1:5" x14ac:dyDescent="0.35">
      <c r="A1515" s="15">
        <v>88.6</v>
      </c>
      <c r="B1515" s="14">
        <v>2</v>
      </c>
      <c r="C1515">
        <f>(B1515*100)/$H$1</f>
        <v>3.9115978877371407E-2</v>
      </c>
      <c r="D1515">
        <f>D1514+C1515</f>
        <v>80.481126540191553</v>
      </c>
      <c r="E1515">
        <f>ROUNDDOWN(D1515,2)</f>
        <v>80.48</v>
      </c>
    </row>
    <row r="1516" spans="1:5" x14ac:dyDescent="0.35">
      <c r="A1516" s="15">
        <v>88.5</v>
      </c>
      <c r="B1516" s="14">
        <v>5</v>
      </c>
      <c r="C1516">
        <f>(B1516*100)/$H$1</f>
        <v>9.7789947193428511E-2</v>
      </c>
      <c r="D1516">
        <f>D1515+C1516</f>
        <v>80.578916487384987</v>
      </c>
      <c r="E1516">
        <f>ROUNDDOWN(D1516,2)</f>
        <v>80.569999999999993</v>
      </c>
    </row>
    <row r="1517" spans="1:5" x14ac:dyDescent="0.35">
      <c r="A1517" s="15">
        <v>88.4</v>
      </c>
      <c r="B1517" s="14">
        <v>3</v>
      </c>
      <c r="C1517">
        <f>(B1517*100)/$H$1</f>
        <v>5.8673968316057111E-2</v>
      </c>
      <c r="D1517">
        <f>D1516+C1517</f>
        <v>80.637590455701044</v>
      </c>
      <c r="E1517">
        <f>ROUNDDOWN(D1517,2)</f>
        <v>80.63</v>
      </c>
    </row>
    <row r="1518" spans="1:5" x14ac:dyDescent="0.35">
      <c r="A1518" s="15">
        <v>88.3</v>
      </c>
      <c r="B1518" s="14">
        <v>3</v>
      </c>
      <c r="C1518">
        <f>(B1518*100)/$H$1</f>
        <v>5.8673968316057111E-2</v>
      </c>
      <c r="D1518">
        <f>D1517+C1518</f>
        <v>80.696264424017102</v>
      </c>
      <c r="E1518">
        <f>ROUNDDOWN(D1518,2)</f>
        <v>80.69</v>
      </c>
    </row>
    <row r="1519" spans="1:5" x14ac:dyDescent="0.35">
      <c r="A1519" s="15">
        <v>88.2</v>
      </c>
      <c r="B1519" s="14">
        <v>3</v>
      </c>
      <c r="C1519">
        <f>(B1519*100)/$H$1</f>
        <v>5.8673968316057111E-2</v>
      </c>
      <c r="D1519">
        <f>D1518+C1519</f>
        <v>80.754938392333159</v>
      </c>
      <c r="E1519">
        <f>ROUNDDOWN(D1519,2)</f>
        <v>80.75</v>
      </c>
    </row>
    <row r="1520" spans="1:5" x14ac:dyDescent="0.35">
      <c r="A1520" s="15">
        <v>88.1</v>
      </c>
      <c r="B1520" s="14">
        <v>2</v>
      </c>
      <c r="C1520">
        <f>(B1520*100)/$H$1</f>
        <v>3.9115978877371407E-2</v>
      </c>
      <c r="D1520">
        <f>D1519+C1520</f>
        <v>80.794054371210535</v>
      </c>
      <c r="E1520">
        <f>ROUNDDOWN(D1520,2)</f>
        <v>80.790000000000006</v>
      </c>
    </row>
    <row r="1521" spans="1:5" x14ac:dyDescent="0.35">
      <c r="A1521" s="15">
        <v>88</v>
      </c>
      <c r="B1521" s="14">
        <v>3</v>
      </c>
      <c r="C1521">
        <f>(B1521*100)/$H$1</f>
        <v>5.8673968316057111E-2</v>
      </c>
      <c r="D1521">
        <f>D1520+C1521</f>
        <v>80.852728339526593</v>
      </c>
      <c r="E1521">
        <f>ROUNDDOWN(D1521,2)</f>
        <v>80.849999999999994</v>
      </c>
    </row>
    <row r="1522" spans="1:5" x14ac:dyDescent="0.35">
      <c r="A1522" s="15">
        <v>87.9</v>
      </c>
      <c r="B1522" s="14">
        <v>4</v>
      </c>
      <c r="C1522">
        <f>(B1522*100)/$H$1</f>
        <v>7.8231957754742815E-2</v>
      </c>
      <c r="D1522">
        <f>D1521+C1522</f>
        <v>80.930960297281331</v>
      </c>
      <c r="E1522">
        <f>ROUNDDOWN(D1522,2)</f>
        <v>80.930000000000007</v>
      </c>
    </row>
    <row r="1523" spans="1:5" x14ac:dyDescent="0.35">
      <c r="A1523" s="15">
        <v>87.8</v>
      </c>
      <c r="B1523" s="14">
        <v>5</v>
      </c>
      <c r="C1523">
        <f>(B1523*100)/$H$1</f>
        <v>9.7789947193428511E-2</v>
      </c>
      <c r="D1523">
        <f>D1522+C1523</f>
        <v>81.028750244474764</v>
      </c>
      <c r="E1523">
        <f>ROUNDDOWN(D1523,2)</f>
        <v>81.02</v>
      </c>
    </row>
    <row r="1524" spans="1:5" x14ac:dyDescent="0.35">
      <c r="A1524" s="15">
        <v>87.7</v>
      </c>
      <c r="B1524" s="14">
        <v>2</v>
      </c>
      <c r="C1524">
        <f>(B1524*100)/$H$1</f>
        <v>3.9115978877371407E-2</v>
      </c>
      <c r="D1524">
        <f>D1523+C1524</f>
        <v>81.067866223352141</v>
      </c>
      <c r="E1524">
        <f>ROUNDDOWN(D1524,2)</f>
        <v>81.06</v>
      </c>
    </row>
    <row r="1525" spans="1:5" x14ac:dyDescent="0.35">
      <c r="A1525" s="15">
        <v>87.6</v>
      </c>
      <c r="B1525" s="14">
        <v>2</v>
      </c>
      <c r="C1525">
        <f>(B1525*100)/$H$1</f>
        <v>3.9115978877371407E-2</v>
      </c>
      <c r="D1525">
        <f>D1524+C1525</f>
        <v>81.106982202229517</v>
      </c>
      <c r="E1525">
        <f>ROUNDDOWN(D1525,2)</f>
        <v>81.099999999999994</v>
      </c>
    </row>
    <row r="1526" spans="1:5" x14ac:dyDescent="0.35">
      <c r="A1526" s="15">
        <v>87.5</v>
      </c>
      <c r="B1526" s="14">
        <v>2</v>
      </c>
      <c r="C1526">
        <f>(B1526*100)/$H$1</f>
        <v>3.9115978877371407E-2</v>
      </c>
      <c r="D1526">
        <f>D1525+C1526</f>
        <v>81.146098181106893</v>
      </c>
      <c r="E1526">
        <f>ROUNDDOWN(D1526,2)</f>
        <v>81.14</v>
      </c>
    </row>
    <row r="1527" spans="1:5" x14ac:dyDescent="0.35">
      <c r="A1527" s="15">
        <v>87.4</v>
      </c>
      <c r="B1527" s="14">
        <v>1</v>
      </c>
      <c r="C1527">
        <f>(B1527*100)/$H$1</f>
        <v>1.9557989438685704E-2</v>
      </c>
      <c r="D1527">
        <f>D1526+C1527</f>
        <v>81.165656170545574</v>
      </c>
      <c r="E1527">
        <f>ROUNDDOWN(D1527,2)</f>
        <v>81.16</v>
      </c>
    </row>
    <row r="1528" spans="1:5" x14ac:dyDescent="0.35">
      <c r="A1528" s="15">
        <v>87.3</v>
      </c>
      <c r="B1528" s="14">
        <v>3</v>
      </c>
      <c r="C1528">
        <f>(B1528*100)/$H$1</f>
        <v>5.8673968316057111E-2</v>
      </c>
      <c r="D1528">
        <f>D1527+C1528</f>
        <v>81.224330138861632</v>
      </c>
      <c r="E1528">
        <f>ROUNDDOWN(D1528,2)</f>
        <v>81.22</v>
      </c>
    </row>
    <row r="1529" spans="1:5" x14ac:dyDescent="0.35">
      <c r="A1529" s="15">
        <v>87.2</v>
      </c>
      <c r="B1529" s="14">
        <v>1</v>
      </c>
      <c r="C1529">
        <f>(B1529*100)/$H$1</f>
        <v>1.9557989438685704E-2</v>
      </c>
      <c r="D1529">
        <f>D1528+C1529</f>
        <v>81.243888128300313</v>
      </c>
      <c r="E1529">
        <f>ROUNDDOWN(D1529,2)</f>
        <v>81.239999999999995</v>
      </c>
    </row>
    <row r="1530" spans="1:5" x14ac:dyDescent="0.35">
      <c r="A1530" s="15">
        <v>87.1</v>
      </c>
      <c r="B1530" s="14">
        <v>6</v>
      </c>
      <c r="C1530">
        <f>(B1530*100)/$H$1</f>
        <v>0.11734793663211422</v>
      </c>
      <c r="D1530">
        <f>D1529+C1530</f>
        <v>81.361236064932427</v>
      </c>
      <c r="E1530">
        <f>ROUNDDOWN(D1530,2)</f>
        <v>81.36</v>
      </c>
    </row>
    <row r="1531" spans="1:5" x14ac:dyDescent="0.35">
      <c r="A1531" s="15">
        <v>87</v>
      </c>
      <c r="B1531" s="14">
        <v>4</v>
      </c>
      <c r="C1531">
        <f>(B1531*100)/$H$1</f>
        <v>7.8231957754742815E-2</v>
      </c>
      <c r="D1531">
        <f>D1530+C1531</f>
        <v>81.439468022687166</v>
      </c>
      <c r="E1531">
        <f>ROUNDDOWN(D1531,2)</f>
        <v>81.430000000000007</v>
      </c>
    </row>
    <row r="1532" spans="1:5" x14ac:dyDescent="0.35">
      <c r="A1532" s="15">
        <v>86.9</v>
      </c>
      <c r="B1532" s="14">
        <v>4</v>
      </c>
      <c r="C1532">
        <f>(B1532*100)/$H$1</f>
        <v>7.8231957754742815E-2</v>
      </c>
      <c r="D1532">
        <f>D1531+C1532</f>
        <v>81.517699980441904</v>
      </c>
      <c r="E1532">
        <f>ROUNDDOWN(D1532,2)</f>
        <v>81.510000000000005</v>
      </c>
    </row>
    <row r="1533" spans="1:5" x14ac:dyDescent="0.35">
      <c r="A1533" s="15">
        <v>86.8</v>
      </c>
      <c r="B1533" s="14">
        <v>6</v>
      </c>
      <c r="C1533">
        <f>(B1533*100)/$H$1</f>
        <v>0.11734793663211422</v>
      </c>
      <c r="D1533">
        <f>D1532+C1533</f>
        <v>81.635047917074019</v>
      </c>
      <c r="E1533">
        <f>ROUNDDOWN(D1533,2)</f>
        <v>81.63</v>
      </c>
    </row>
    <row r="1534" spans="1:5" x14ac:dyDescent="0.35">
      <c r="A1534" s="15">
        <v>86.7</v>
      </c>
      <c r="B1534" s="14">
        <v>3</v>
      </c>
      <c r="C1534">
        <f>(B1534*100)/$H$1</f>
        <v>5.8673968316057111E-2</v>
      </c>
      <c r="D1534">
        <f>D1533+C1534</f>
        <v>81.693721885390076</v>
      </c>
      <c r="E1534">
        <f>ROUNDDOWN(D1534,2)</f>
        <v>81.69</v>
      </c>
    </row>
    <row r="1535" spans="1:5" x14ac:dyDescent="0.35">
      <c r="A1535" s="15">
        <v>86.6</v>
      </c>
      <c r="B1535" s="14">
        <v>6</v>
      </c>
      <c r="C1535">
        <f>(B1535*100)/$H$1</f>
        <v>0.11734793663211422</v>
      </c>
      <c r="D1535">
        <f>D1534+C1535</f>
        <v>81.811069822022191</v>
      </c>
      <c r="E1535">
        <f>ROUNDDOWN(D1535,2)</f>
        <v>81.81</v>
      </c>
    </row>
    <row r="1536" spans="1:5" x14ac:dyDescent="0.35">
      <c r="A1536" s="15">
        <v>86.5</v>
      </c>
      <c r="B1536" s="14">
        <v>3</v>
      </c>
      <c r="C1536">
        <f>(B1536*100)/$H$1</f>
        <v>5.8673968316057111E-2</v>
      </c>
      <c r="D1536">
        <f>D1535+C1536</f>
        <v>81.869743790338248</v>
      </c>
      <c r="E1536">
        <f>ROUNDDOWN(D1536,2)</f>
        <v>81.86</v>
      </c>
    </row>
    <row r="1537" spans="1:5" x14ac:dyDescent="0.35">
      <c r="A1537" s="15">
        <v>86.4</v>
      </c>
      <c r="B1537" s="14">
        <v>5</v>
      </c>
      <c r="C1537">
        <f>(B1537*100)/$H$1</f>
        <v>9.7789947193428511E-2</v>
      </c>
      <c r="D1537">
        <f>D1536+C1537</f>
        <v>81.967533737531681</v>
      </c>
      <c r="E1537">
        <f>ROUNDDOWN(D1537,2)</f>
        <v>81.96</v>
      </c>
    </row>
    <row r="1538" spans="1:5" x14ac:dyDescent="0.35">
      <c r="A1538" s="15">
        <v>86.3</v>
      </c>
      <c r="B1538" s="14">
        <v>3</v>
      </c>
      <c r="C1538">
        <f>(B1538*100)/$H$1</f>
        <v>5.8673968316057111E-2</v>
      </c>
      <c r="D1538">
        <f>D1537+C1538</f>
        <v>82.026207705847739</v>
      </c>
      <c r="E1538">
        <f>ROUNDDOWN(D1538,2)</f>
        <v>82.02</v>
      </c>
    </row>
    <row r="1539" spans="1:5" x14ac:dyDescent="0.35">
      <c r="A1539" s="15">
        <v>86.2</v>
      </c>
      <c r="B1539" s="14">
        <v>2</v>
      </c>
      <c r="C1539">
        <f>(B1539*100)/$H$1</f>
        <v>3.9115978877371407E-2</v>
      </c>
      <c r="D1539">
        <f>D1538+C1539</f>
        <v>82.065323684725115</v>
      </c>
      <c r="E1539">
        <f>ROUNDDOWN(D1539,2)</f>
        <v>82.06</v>
      </c>
    </row>
    <row r="1540" spans="1:5" x14ac:dyDescent="0.35">
      <c r="A1540" s="15">
        <v>86.1</v>
      </c>
      <c r="B1540" s="14">
        <v>3</v>
      </c>
      <c r="C1540">
        <f>(B1540*100)/$H$1</f>
        <v>5.8673968316057111E-2</v>
      </c>
      <c r="D1540">
        <f>D1539+C1540</f>
        <v>82.123997653041172</v>
      </c>
      <c r="E1540">
        <f>ROUNDDOWN(D1540,2)</f>
        <v>82.12</v>
      </c>
    </row>
    <row r="1541" spans="1:5" x14ac:dyDescent="0.35">
      <c r="A1541" s="15">
        <v>86</v>
      </c>
      <c r="B1541" s="14">
        <v>4</v>
      </c>
      <c r="C1541">
        <f>(B1541*100)/$H$1</f>
        <v>7.8231957754742815E-2</v>
      </c>
      <c r="D1541">
        <f>D1540+C1541</f>
        <v>82.202229610795911</v>
      </c>
      <c r="E1541">
        <f>ROUNDDOWN(D1541,2)</f>
        <v>82.2</v>
      </c>
    </row>
    <row r="1542" spans="1:5" x14ac:dyDescent="0.35">
      <c r="A1542" s="15">
        <v>85.9</v>
      </c>
      <c r="B1542" s="14">
        <v>2</v>
      </c>
      <c r="C1542">
        <f>(B1542*100)/$H$1</f>
        <v>3.9115978877371407E-2</v>
      </c>
      <c r="D1542">
        <f>D1541+C1542</f>
        <v>82.241345589673287</v>
      </c>
      <c r="E1542">
        <f>ROUNDDOWN(D1542,2)</f>
        <v>82.24</v>
      </c>
    </row>
    <row r="1543" spans="1:5" x14ac:dyDescent="0.35">
      <c r="A1543" s="15">
        <v>85.8</v>
      </c>
      <c r="B1543" s="14">
        <v>7</v>
      </c>
      <c r="C1543">
        <f>(B1543*100)/$H$1</f>
        <v>0.13690592607079993</v>
      </c>
      <c r="D1543">
        <f>D1542+C1543</f>
        <v>82.378251515744083</v>
      </c>
      <c r="E1543">
        <f>ROUNDDOWN(D1543,2)</f>
        <v>82.37</v>
      </c>
    </row>
    <row r="1544" spans="1:5" x14ac:dyDescent="0.35">
      <c r="A1544" s="15">
        <v>85.7</v>
      </c>
      <c r="B1544" s="14">
        <v>3</v>
      </c>
      <c r="C1544">
        <f>(B1544*100)/$H$1</f>
        <v>5.8673968316057111E-2</v>
      </c>
      <c r="D1544">
        <f>D1543+C1544</f>
        <v>82.43692548406014</v>
      </c>
      <c r="E1544">
        <f>ROUNDDOWN(D1544,2)</f>
        <v>82.43</v>
      </c>
    </row>
    <row r="1545" spans="1:5" x14ac:dyDescent="0.35">
      <c r="A1545" s="15">
        <v>85.6</v>
      </c>
      <c r="B1545" s="14">
        <v>4</v>
      </c>
      <c r="C1545">
        <f>(B1545*100)/$H$1</f>
        <v>7.8231957754742815E-2</v>
      </c>
      <c r="D1545">
        <f>D1544+C1545</f>
        <v>82.515157441814878</v>
      </c>
      <c r="E1545">
        <f>ROUNDDOWN(D1545,2)</f>
        <v>82.51</v>
      </c>
    </row>
    <row r="1546" spans="1:5" x14ac:dyDescent="0.35">
      <c r="A1546" s="15">
        <v>85.5</v>
      </c>
      <c r="B1546" s="14">
        <v>6</v>
      </c>
      <c r="C1546">
        <f>(B1546*100)/$H$1</f>
        <v>0.11734793663211422</v>
      </c>
      <c r="D1546">
        <f>D1545+C1546</f>
        <v>82.632505378446993</v>
      </c>
      <c r="E1546">
        <f>ROUNDDOWN(D1546,2)</f>
        <v>82.63</v>
      </c>
    </row>
    <row r="1547" spans="1:5" x14ac:dyDescent="0.35">
      <c r="A1547" s="15">
        <v>85.4</v>
      </c>
      <c r="B1547" s="14">
        <v>5</v>
      </c>
      <c r="C1547">
        <f>(B1547*100)/$H$1</f>
        <v>9.7789947193428511E-2</v>
      </c>
      <c r="D1547">
        <f>D1546+C1547</f>
        <v>82.730295325640427</v>
      </c>
      <c r="E1547">
        <f>ROUNDDOWN(D1547,2)</f>
        <v>82.73</v>
      </c>
    </row>
    <row r="1548" spans="1:5" x14ac:dyDescent="0.35">
      <c r="A1548" s="15">
        <v>85.3</v>
      </c>
      <c r="B1548" s="14">
        <v>5</v>
      </c>
      <c r="C1548">
        <f>(B1548*100)/$H$1</f>
        <v>9.7789947193428511E-2</v>
      </c>
      <c r="D1548">
        <f>D1547+C1548</f>
        <v>82.82808527283386</v>
      </c>
      <c r="E1548">
        <f>ROUNDDOWN(D1548,2)</f>
        <v>82.82</v>
      </c>
    </row>
    <row r="1549" spans="1:5" x14ac:dyDescent="0.35">
      <c r="A1549" s="15">
        <v>85.2</v>
      </c>
      <c r="B1549" s="14">
        <v>3</v>
      </c>
      <c r="C1549">
        <f>(B1549*100)/$H$1</f>
        <v>5.8673968316057111E-2</v>
      </c>
      <c r="D1549">
        <f>D1548+C1549</f>
        <v>82.886759241149917</v>
      </c>
      <c r="E1549">
        <f>ROUNDDOWN(D1549,2)</f>
        <v>82.88</v>
      </c>
    </row>
    <row r="1550" spans="1:5" x14ac:dyDescent="0.35">
      <c r="A1550" s="15">
        <v>85.1</v>
      </c>
      <c r="B1550" s="14">
        <v>6</v>
      </c>
      <c r="C1550">
        <f>(B1550*100)/$H$1</f>
        <v>0.11734793663211422</v>
      </c>
      <c r="D1550">
        <f>D1549+C1550</f>
        <v>83.004107177782032</v>
      </c>
      <c r="E1550">
        <f>ROUNDDOWN(D1550,2)</f>
        <v>83</v>
      </c>
    </row>
    <row r="1551" spans="1:5" x14ac:dyDescent="0.35">
      <c r="A1551" s="15">
        <v>85</v>
      </c>
      <c r="B1551" s="14">
        <v>4</v>
      </c>
      <c r="C1551">
        <f>(B1551*100)/$H$1</f>
        <v>7.8231957754742815E-2</v>
      </c>
      <c r="D1551">
        <f>D1550+C1551</f>
        <v>83.08233913553677</v>
      </c>
      <c r="E1551">
        <f>ROUNDDOWN(D1551,2)</f>
        <v>83.08</v>
      </c>
    </row>
    <row r="1552" spans="1:5" x14ac:dyDescent="0.35">
      <c r="A1552" s="15">
        <v>84.9</v>
      </c>
      <c r="B1552" s="14">
        <v>8</v>
      </c>
      <c r="C1552">
        <f>(B1552*100)/$H$1</f>
        <v>0.15646391550948563</v>
      </c>
      <c r="D1552">
        <f>D1551+C1552</f>
        <v>83.238803051046261</v>
      </c>
      <c r="E1552">
        <f>ROUNDDOWN(D1552,2)</f>
        <v>83.23</v>
      </c>
    </row>
    <row r="1553" spans="1:5" x14ac:dyDescent="0.35">
      <c r="A1553" s="15">
        <v>84.8</v>
      </c>
      <c r="B1553" s="14">
        <v>6</v>
      </c>
      <c r="C1553">
        <f>(B1553*100)/$H$1</f>
        <v>0.11734793663211422</v>
      </c>
      <c r="D1553">
        <f>D1552+C1553</f>
        <v>83.356150987678376</v>
      </c>
      <c r="E1553">
        <f>ROUNDDOWN(D1553,2)</f>
        <v>83.35</v>
      </c>
    </row>
    <row r="1554" spans="1:5" x14ac:dyDescent="0.35">
      <c r="A1554" s="15">
        <v>84.7</v>
      </c>
      <c r="B1554" s="14">
        <v>5</v>
      </c>
      <c r="C1554">
        <f>(B1554*100)/$H$1</f>
        <v>9.7789947193428511E-2</v>
      </c>
      <c r="D1554">
        <f>D1553+C1554</f>
        <v>83.45394093487181</v>
      </c>
      <c r="E1554">
        <f>ROUNDDOWN(D1554,2)</f>
        <v>83.45</v>
      </c>
    </row>
    <row r="1555" spans="1:5" x14ac:dyDescent="0.35">
      <c r="A1555" s="15">
        <v>84.6</v>
      </c>
      <c r="B1555" s="14">
        <v>7</v>
      </c>
      <c r="C1555">
        <f>(B1555*100)/$H$1</f>
        <v>0.13690592607079993</v>
      </c>
      <c r="D1555">
        <f>D1554+C1555</f>
        <v>83.590846860942605</v>
      </c>
      <c r="E1555">
        <f>ROUNDDOWN(D1555,2)</f>
        <v>83.59</v>
      </c>
    </row>
    <row r="1556" spans="1:5" x14ac:dyDescent="0.35">
      <c r="A1556" s="15">
        <v>84.5</v>
      </c>
      <c r="B1556" s="14">
        <v>8</v>
      </c>
      <c r="C1556">
        <f>(B1556*100)/$H$1</f>
        <v>0.15646391550948563</v>
      </c>
      <c r="D1556">
        <f>D1555+C1556</f>
        <v>83.747310776452096</v>
      </c>
      <c r="E1556">
        <f>ROUNDDOWN(D1556,2)</f>
        <v>83.74</v>
      </c>
    </row>
    <row r="1557" spans="1:5" x14ac:dyDescent="0.35">
      <c r="A1557" s="15">
        <v>84.4</v>
      </c>
      <c r="B1557" s="14">
        <v>11</v>
      </c>
      <c r="C1557">
        <f>(B1557*100)/$H$1</f>
        <v>0.21513788382554275</v>
      </c>
      <c r="D1557">
        <f>D1556+C1557</f>
        <v>83.962448660277644</v>
      </c>
      <c r="E1557">
        <f>ROUNDDOWN(D1557,2)</f>
        <v>83.96</v>
      </c>
    </row>
    <row r="1558" spans="1:5" x14ac:dyDescent="0.35">
      <c r="A1558" s="15">
        <v>84.3</v>
      </c>
      <c r="B1558" s="14">
        <v>12</v>
      </c>
      <c r="C1558">
        <f>(B1558*100)/$H$1</f>
        <v>0.23469587326422844</v>
      </c>
      <c r="D1558">
        <f>D1557+C1558</f>
        <v>84.197144533541874</v>
      </c>
      <c r="E1558">
        <f>ROUNDDOWN(D1558,2)</f>
        <v>84.19</v>
      </c>
    </row>
    <row r="1559" spans="1:5" x14ac:dyDescent="0.35">
      <c r="A1559" s="15">
        <v>84.2</v>
      </c>
      <c r="B1559" s="14">
        <v>6</v>
      </c>
      <c r="C1559">
        <f>(B1559*100)/$H$1</f>
        <v>0.11734793663211422</v>
      </c>
      <c r="D1559">
        <f>D1558+C1559</f>
        <v>84.314492470173988</v>
      </c>
      <c r="E1559">
        <f>ROUNDDOWN(D1559,2)</f>
        <v>84.31</v>
      </c>
    </row>
    <row r="1560" spans="1:5" x14ac:dyDescent="0.35">
      <c r="A1560" s="15">
        <v>84.1</v>
      </c>
      <c r="B1560" s="14">
        <v>5</v>
      </c>
      <c r="C1560">
        <f>(B1560*100)/$H$1</f>
        <v>9.7789947193428511E-2</v>
      </c>
      <c r="D1560">
        <f>D1559+C1560</f>
        <v>84.412282417367422</v>
      </c>
      <c r="E1560">
        <f>ROUNDDOWN(D1560,2)</f>
        <v>84.41</v>
      </c>
    </row>
    <row r="1561" spans="1:5" x14ac:dyDescent="0.35">
      <c r="A1561" s="15">
        <v>84</v>
      </c>
      <c r="B1561" s="14">
        <v>11</v>
      </c>
      <c r="C1561">
        <f>(B1561*100)/$H$1</f>
        <v>0.21513788382554275</v>
      </c>
      <c r="D1561">
        <f>D1560+C1561</f>
        <v>84.62742030119297</v>
      </c>
      <c r="E1561">
        <f>ROUNDDOWN(D1561,2)</f>
        <v>84.62</v>
      </c>
    </row>
    <row r="1562" spans="1:5" x14ac:dyDescent="0.35">
      <c r="A1562" s="15">
        <v>83.9</v>
      </c>
      <c r="B1562" s="14">
        <v>7</v>
      </c>
      <c r="C1562">
        <f>(B1562*100)/$H$1</f>
        <v>0.13690592607079993</v>
      </c>
      <c r="D1562">
        <f>D1561+C1562</f>
        <v>84.764326227263766</v>
      </c>
      <c r="E1562">
        <f>ROUNDDOWN(D1562,2)</f>
        <v>84.76</v>
      </c>
    </row>
    <row r="1563" spans="1:5" x14ac:dyDescent="0.35">
      <c r="A1563" s="15">
        <v>83.8</v>
      </c>
      <c r="B1563" s="14">
        <v>9</v>
      </c>
      <c r="C1563">
        <f>(B1563*100)/$H$1</f>
        <v>0.17602190494817133</v>
      </c>
      <c r="D1563">
        <f>D1562+C1563</f>
        <v>84.940348132211938</v>
      </c>
      <c r="E1563">
        <f>ROUNDDOWN(D1563,2)</f>
        <v>84.94</v>
      </c>
    </row>
    <row r="1564" spans="1:5" x14ac:dyDescent="0.35">
      <c r="A1564" s="15">
        <v>83.7</v>
      </c>
      <c r="B1564" s="14">
        <v>13</v>
      </c>
      <c r="C1564">
        <f>(B1564*100)/$H$1</f>
        <v>0.25425386270291411</v>
      </c>
      <c r="D1564">
        <f>D1563+C1564</f>
        <v>85.194601994914848</v>
      </c>
      <c r="E1564">
        <f>ROUNDDOWN(D1564,2)</f>
        <v>85.19</v>
      </c>
    </row>
    <row r="1565" spans="1:5" x14ac:dyDescent="0.35">
      <c r="A1565" s="15">
        <v>83.6</v>
      </c>
      <c r="B1565" s="14">
        <v>14</v>
      </c>
      <c r="C1565">
        <f>(B1565*100)/$H$1</f>
        <v>0.27381185214159987</v>
      </c>
      <c r="D1565">
        <f>D1564+C1565</f>
        <v>85.468413847056453</v>
      </c>
      <c r="E1565">
        <f>ROUNDDOWN(D1565,2)</f>
        <v>85.46</v>
      </c>
    </row>
    <row r="1566" spans="1:5" x14ac:dyDescent="0.35">
      <c r="A1566" s="15">
        <v>83.5</v>
      </c>
      <c r="B1566" s="14">
        <v>14</v>
      </c>
      <c r="C1566">
        <f>(B1566*100)/$H$1</f>
        <v>0.27381185214159987</v>
      </c>
      <c r="D1566">
        <f>D1565+C1566</f>
        <v>85.742225699198059</v>
      </c>
      <c r="E1566">
        <f>ROUNDDOWN(D1566,2)</f>
        <v>85.74</v>
      </c>
    </row>
    <row r="1567" spans="1:5" x14ac:dyDescent="0.35">
      <c r="A1567" s="15">
        <v>83.4</v>
      </c>
      <c r="B1567" s="14">
        <v>11</v>
      </c>
      <c r="C1567">
        <f>(B1567*100)/$H$1</f>
        <v>0.21513788382554275</v>
      </c>
      <c r="D1567">
        <f>D1566+C1567</f>
        <v>85.957363583023607</v>
      </c>
      <c r="E1567">
        <f>ROUNDDOWN(D1567,2)</f>
        <v>85.95</v>
      </c>
    </row>
    <row r="1568" spans="1:5" x14ac:dyDescent="0.35">
      <c r="A1568" s="15">
        <v>83.3</v>
      </c>
      <c r="B1568" s="14">
        <v>18</v>
      </c>
      <c r="C1568">
        <f>(B1568*100)/$H$1</f>
        <v>0.35204380989634265</v>
      </c>
      <c r="D1568">
        <f>D1567+C1568</f>
        <v>86.309407392919951</v>
      </c>
      <c r="E1568">
        <f>ROUNDDOWN(D1568,2)</f>
        <v>86.3</v>
      </c>
    </row>
    <row r="1569" spans="1:5" x14ac:dyDescent="0.35">
      <c r="A1569" s="15">
        <v>83.2</v>
      </c>
      <c r="B1569" s="14">
        <v>17</v>
      </c>
      <c r="C1569">
        <f>(B1569*100)/$H$1</f>
        <v>0.33248582045765696</v>
      </c>
      <c r="D1569">
        <f>D1568+C1569</f>
        <v>86.641893213377614</v>
      </c>
      <c r="E1569">
        <f>ROUNDDOWN(D1569,2)</f>
        <v>86.64</v>
      </c>
    </row>
    <row r="1570" spans="1:5" x14ac:dyDescent="0.35">
      <c r="A1570" s="15">
        <v>83.1</v>
      </c>
      <c r="B1570" s="14">
        <v>9</v>
      </c>
      <c r="C1570">
        <f>(B1570*100)/$H$1</f>
        <v>0.17602190494817133</v>
      </c>
      <c r="D1570">
        <f>D1569+C1570</f>
        <v>86.817915118325786</v>
      </c>
      <c r="E1570">
        <f>ROUNDDOWN(D1570,2)</f>
        <v>86.81</v>
      </c>
    </row>
    <row r="1571" spans="1:5" x14ac:dyDescent="0.35">
      <c r="A1571" s="15">
        <v>83</v>
      </c>
      <c r="B1571" s="14">
        <v>6</v>
      </c>
      <c r="C1571">
        <f>(B1571*100)/$H$1</f>
        <v>0.11734793663211422</v>
      </c>
      <c r="D1571">
        <f>D1570+C1571</f>
        <v>86.9352630549579</v>
      </c>
      <c r="E1571">
        <f>ROUNDDOWN(D1571,2)</f>
        <v>86.93</v>
      </c>
    </row>
    <row r="1572" spans="1:5" x14ac:dyDescent="0.35">
      <c r="A1572" s="15">
        <v>82.9</v>
      </c>
      <c r="B1572" s="14">
        <v>1</v>
      </c>
      <c r="C1572">
        <f>(B1572*100)/$H$1</f>
        <v>1.9557989438685704E-2</v>
      </c>
      <c r="D1572">
        <f>D1571+C1572</f>
        <v>86.954821044396581</v>
      </c>
      <c r="E1572">
        <f>ROUNDDOWN(D1572,2)</f>
        <v>86.95</v>
      </c>
    </row>
    <row r="1573" spans="1:5" x14ac:dyDescent="0.35">
      <c r="A1573" s="15">
        <v>82.8</v>
      </c>
      <c r="B1573" s="14">
        <v>1</v>
      </c>
      <c r="C1573">
        <f>(B1573*100)/$H$1</f>
        <v>1.9557989438685704E-2</v>
      </c>
      <c r="D1573">
        <f>D1572+C1573</f>
        <v>86.974379033835262</v>
      </c>
      <c r="E1573">
        <f>ROUNDDOWN(D1573,2)</f>
        <v>86.97</v>
      </c>
    </row>
    <row r="1574" spans="1:5" x14ac:dyDescent="0.35">
      <c r="A1574" s="15">
        <v>82.6</v>
      </c>
      <c r="B1574" s="14">
        <v>1</v>
      </c>
      <c r="C1574">
        <f>(B1574*100)/$H$1</f>
        <v>1.9557989438685704E-2</v>
      </c>
      <c r="D1574">
        <f>D1573+C1574</f>
        <v>86.993937023273944</v>
      </c>
      <c r="E1574">
        <f>ROUNDDOWN(D1574,2)</f>
        <v>86.99</v>
      </c>
    </row>
    <row r="1575" spans="1:5" x14ac:dyDescent="0.35">
      <c r="A1575" s="15">
        <v>82.5</v>
      </c>
      <c r="B1575" s="14">
        <v>1</v>
      </c>
      <c r="C1575">
        <f>(B1575*100)/$H$1</f>
        <v>1.9557989438685704E-2</v>
      </c>
      <c r="D1575">
        <f>D1574+C1575</f>
        <v>87.013495012712625</v>
      </c>
      <c r="E1575">
        <f>ROUNDDOWN(D1575,2)</f>
        <v>87.01</v>
      </c>
    </row>
    <row r="1576" spans="1:5" x14ac:dyDescent="0.35">
      <c r="A1576" s="15">
        <v>82.4</v>
      </c>
      <c r="B1576" s="14">
        <v>2</v>
      </c>
      <c r="C1576">
        <f>(B1576*100)/$H$1</f>
        <v>3.9115978877371407E-2</v>
      </c>
      <c r="D1576">
        <f>D1575+C1576</f>
        <v>87.052610991590001</v>
      </c>
      <c r="E1576">
        <f>ROUNDDOWN(D1576,2)</f>
        <v>87.05</v>
      </c>
    </row>
    <row r="1577" spans="1:5" x14ac:dyDescent="0.35">
      <c r="A1577" s="15">
        <v>81.900000000000006</v>
      </c>
      <c r="B1577" s="14">
        <v>2</v>
      </c>
      <c r="C1577">
        <f>(B1577*100)/$H$1</f>
        <v>3.9115978877371407E-2</v>
      </c>
      <c r="D1577">
        <f>D1576+C1577</f>
        <v>87.091726970467377</v>
      </c>
      <c r="E1577">
        <f>ROUNDDOWN(D1577,2)</f>
        <v>87.09</v>
      </c>
    </row>
    <row r="1578" spans="1:5" x14ac:dyDescent="0.35">
      <c r="A1578" s="15">
        <v>81.8</v>
      </c>
      <c r="B1578" s="14">
        <v>3</v>
      </c>
      <c r="C1578">
        <f>(B1578*100)/$H$1</f>
        <v>5.8673968316057111E-2</v>
      </c>
      <c r="D1578">
        <f>D1577+C1578</f>
        <v>87.150400938783434</v>
      </c>
      <c r="E1578">
        <f>ROUNDDOWN(D1578,2)</f>
        <v>87.15</v>
      </c>
    </row>
    <row r="1579" spans="1:5" x14ac:dyDescent="0.35">
      <c r="A1579" s="15">
        <v>81.7</v>
      </c>
      <c r="B1579" s="14">
        <v>3</v>
      </c>
      <c r="C1579">
        <f>(B1579*100)/$H$1</f>
        <v>5.8673968316057111E-2</v>
      </c>
      <c r="D1579">
        <f>D1578+C1579</f>
        <v>87.209074907099492</v>
      </c>
      <c r="E1579">
        <f>ROUNDDOWN(D1579,2)</f>
        <v>87.2</v>
      </c>
    </row>
    <row r="1580" spans="1:5" x14ac:dyDescent="0.35">
      <c r="A1580" s="15">
        <v>81.599999999999994</v>
      </c>
      <c r="B1580" s="14">
        <v>1</v>
      </c>
      <c r="C1580">
        <f>(B1580*100)/$H$1</f>
        <v>1.9557989438685704E-2</v>
      </c>
      <c r="D1580">
        <f>D1579+C1580</f>
        <v>87.228632896538173</v>
      </c>
      <c r="E1580">
        <f>ROUNDDOWN(D1580,2)</f>
        <v>87.22</v>
      </c>
    </row>
    <row r="1581" spans="1:5" x14ac:dyDescent="0.35">
      <c r="A1581" s="15">
        <v>81.400000000000006</v>
      </c>
      <c r="B1581" s="14">
        <v>1</v>
      </c>
      <c r="C1581">
        <f>(B1581*100)/$H$1</f>
        <v>1.9557989438685704E-2</v>
      </c>
      <c r="D1581">
        <f>D1580+C1581</f>
        <v>87.248190885976854</v>
      </c>
      <c r="E1581">
        <f>ROUNDDOWN(D1581,2)</f>
        <v>87.24</v>
      </c>
    </row>
    <row r="1582" spans="1:5" x14ac:dyDescent="0.35">
      <c r="A1582" s="15">
        <v>81.3</v>
      </c>
      <c r="B1582" s="14">
        <v>2</v>
      </c>
      <c r="C1582">
        <f>(B1582*100)/$H$1</f>
        <v>3.9115978877371407E-2</v>
      </c>
      <c r="D1582">
        <f>D1581+C1582</f>
        <v>87.28730686485423</v>
      </c>
      <c r="E1582">
        <f>ROUNDDOWN(D1582,2)</f>
        <v>87.28</v>
      </c>
    </row>
    <row r="1583" spans="1:5" x14ac:dyDescent="0.35">
      <c r="A1583" s="15">
        <v>81.099999999999994</v>
      </c>
      <c r="B1583" s="14">
        <v>1</v>
      </c>
      <c r="C1583">
        <f>(B1583*100)/$H$1</f>
        <v>1.9557989438685704E-2</v>
      </c>
      <c r="D1583">
        <f>D1582+C1583</f>
        <v>87.306864854292911</v>
      </c>
      <c r="E1583">
        <f>ROUNDDOWN(D1583,2)</f>
        <v>87.3</v>
      </c>
    </row>
    <row r="1584" spans="1:5" x14ac:dyDescent="0.35">
      <c r="A1584" s="15">
        <v>80.900000000000006</v>
      </c>
      <c r="B1584" s="14">
        <v>2</v>
      </c>
      <c r="C1584">
        <f>(B1584*100)/$H$1</f>
        <v>3.9115978877371407E-2</v>
      </c>
      <c r="D1584">
        <f>D1583+C1584</f>
        <v>87.345980833170287</v>
      </c>
      <c r="E1584">
        <f>ROUNDDOWN(D1584,2)</f>
        <v>87.34</v>
      </c>
    </row>
    <row r="1585" spans="1:5" x14ac:dyDescent="0.35">
      <c r="A1585" s="15">
        <v>80.8</v>
      </c>
      <c r="B1585" s="14">
        <v>2</v>
      </c>
      <c r="C1585">
        <f>(B1585*100)/$H$1</f>
        <v>3.9115978877371407E-2</v>
      </c>
      <c r="D1585">
        <f>D1584+C1585</f>
        <v>87.385096812047664</v>
      </c>
      <c r="E1585">
        <f>ROUNDDOWN(D1585,2)</f>
        <v>87.38</v>
      </c>
    </row>
    <row r="1586" spans="1:5" x14ac:dyDescent="0.35">
      <c r="A1586" s="15">
        <v>80.7</v>
      </c>
      <c r="B1586" s="14">
        <v>1</v>
      </c>
      <c r="C1586">
        <f>(B1586*100)/$H$1</f>
        <v>1.9557989438685704E-2</v>
      </c>
      <c r="D1586">
        <f>D1585+C1586</f>
        <v>87.404654801486345</v>
      </c>
      <c r="E1586">
        <f>ROUNDDOWN(D1586,2)</f>
        <v>87.4</v>
      </c>
    </row>
    <row r="1587" spans="1:5" x14ac:dyDescent="0.35">
      <c r="A1587" s="15">
        <v>80.599999999999994</v>
      </c>
      <c r="B1587" s="14">
        <v>2</v>
      </c>
      <c r="C1587">
        <f>(B1587*100)/$H$1</f>
        <v>3.9115978877371407E-2</v>
      </c>
      <c r="D1587">
        <f>D1586+C1587</f>
        <v>87.443770780363721</v>
      </c>
      <c r="E1587">
        <f>ROUNDDOWN(D1587,2)</f>
        <v>87.44</v>
      </c>
    </row>
    <row r="1588" spans="1:5" x14ac:dyDescent="0.35">
      <c r="A1588" s="15">
        <v>80.400000000000006</v>
      </c>
      <c r="B1588" s="14">
        <v>2</v>
      </c>
      <c r="C1588">
        <f>(B1588*100)/$H$1</f>
        <v>3.9115978877371407E-2</v>
      </c>
      <c r="D1588">
        <f>D1587+C1588</f>
        <v>87.482886759241097</v>
      </c>
      <c r="E1588">
        <f>ROUNDDOWN(D1588,2)</f>
        <v>87.48</v>
      </c>
    </row>
    <row r="1589" spans="1:5" x14ac:dyDescent="0.35">
      <c r="A1589" s="15">
        <v>80.2</v>
      </c>
      <c r="B1589" s="14">
        <v>1</v>
      </c>
      <c r="C1589">
        <f>(B1589*100)/$H$1</f>
        <v>1.9557989438685704E-2</v>
      </c>
      <c r="D1589">
        <f>D1588+C1589</f>
        <v>87.502444748679778</v>
      </c>
      <c r="E1589">
        <f>ROUNDDOWN(D1589,2)</f>
        <v>87.5</v>
      </c>
    </row>
    <row r="1590" spans="1:5" x14ac:dyDescent="0.35">
      <c r="A1590" s="15">
        <v>80.099999999999994</v>
      </c>
      <c r="B1590" s="14">
        <v>1</v>
      </c>
      <c r="C1590">
        <f>(B1590*100)/$H$1</f>
        <v>1.9557989438685704E-2</v>
      </c>
      <c r="D1590">
        <f>D1589+C1590</f>
        <v>87.522002738118459</v>
      </c>
      <c r="E1590">
        <f>ROUNDDOWN(D1590,2)</f>
        <v>87.52</v>
      </c>
    </row>
    <row r="1591" spans="1:5" x14ac:dyDescent="0.35">
      <c r="A1591" s="15">
        <v>80</v>
      </c>
      <c r="B1591" s="14">
        <v>2</v>
      </c>
      <c r="C1591">
        <f>(B1591*100)/$H$1</f>
        <v>3.9115978877371407E-2</v>
      </c>
      <c r="D1591">
        <f>D1590+C1591</f>
        <v>87.561118716995836</v>
      </c>
      <c r="E1591">
        <f>ROUNDDOWN(D1591,2)</f>
        <v>87.56</v>
      </c>
    </row>
    <row r="1592" spans="1:5" x14ac:dyDescent="0.35">
      <c r="A1592" s="15">
        <v>79.900000000000006</v>
      </c>
      <c r="B1592" s="14">
        <v>3</v>
      </c>
      <c r="C1592">
        <f>(B1592*100)/$H$1</f>
        <v>5.8673968316057111E-2</v>
      </c>
      <c r="D1592">
        <f>D1591+C1592</f>
        <v>87.619792685311893</v>
      </c>
      <c r="E1592">
        <f>ROUNDDOWN(D1592,2)</f>
        <v>87.61</v>
      </c>
    </row>
    <row r="1593" spans="1:5" x14ac:dyDescent="0.35">
      <c r="A1593" s="15">
        <v>79.7</v>
      </c>
      <c r="B1593" s="14">
        <v>3</v>
      </c>
      <c r="C1593">
        <f>(B1593*100)/$H$1</f>
        <v>5.8673968316057111E-2</v>
      </c>
      <c r="D1593">
        <f>D1592+C1593</f>
        <v>87.67846665362795</v>
      </c>
      <c r="E1593">
        <f>ROUNDDOWN(D1593,2)</f>
        <v>87.67</v>
      </c>
    </row>
    <row r="1594" spans="1:5" x14ac:dyDescent="0.35">
      <c r="A1594" s="15">
        <v>79.599999999999994</v>
      </c>
      <c r="B1594" s="14">
        <v>4</v>
      </c>
      <c r="C1594">
        <f>(B1594*100)/$H$1</f>
        <v>7.8231957754742815E-2</v>
      </c>
      <c r="D1594">
        <f>D1593+C1594</f>
        <v>87.756698611382689</v>
      </c>
      <c r="E1594">
        <f>ROUNDDOWN(D1594,2)</f>
        <v>87.75</v>
      </c>
    </row>
    <row r="1595" spans="1:5" x14ac:dyDescent="0.35">
      <c r="A1595" s="15">
        <v>79.400000000000006</v>
      </c>
      <c r="B1595" s="14">
        <v>1</v>
      </c>
      <c r="C1595">
        <f>(B1595*100)/$H$1</f>
        <v>1.9557989438685704E-2</v>
      </c>
      <c r="D1595">
        <f>D1594+C1595</f>
        <v>87.77625660082137</v>
      </c>
      <c r="E1595">
        <f>ROUNDDOWN(D1595,2)</f>
        <v>87.77</v>
      </c>
    </row>
    <row r="1596" spans="1:5" x14ac:dyDescent="0.35">
      <c r="A1596" s="15">
        <v>79.2</v>
      </c>
      <c r="B1596" s="14">
        <v>1</v>
      </c>
      <c r="C1596">
        <f>(B1596*100)/$H$1</f>
        <v>1.9557989438685704E-2</v>
      </c>
      <c r="D1596">
        <f>D1595+C1596</f>
        <v>87.795814590260051</v>
      </c>
      <c r="E1596">
        <f>ROUNDDOWN(D1596,2)</f>
        <v>87.79</v>
      </c>
    </row>
    <row r="1597" spans="1:5" x14ac:dyDescent="0.35">
      <c r="A1597" s="15">
        <v>79.099999999999994</v>
      </c>
      <c r="B1597" s="14">
        <v>1</v>
      </c>
      <c r="C1597">
        <f>(B1597*100)/$H$1</f>
        <v>1.9557989438685704E-2</v>
      </c>
      <c r="D1597">
        <f>D1596+C1597</f>
        <v>87.815372579698732</v>
      </c>
      <c r="E1597">
        <f>ROUNDDOWN(D1597,2)</f>
        <v>87.81</v>
      </c>
    </row>
    <row r="1598" spans="1:5" x14ac:dyDescent="0.35">
      <c r="A1598" s="15">
        <v>79</v>
      </c>
      <c r="B1598" s="14">
        <v>1</v>
      </c>
      <c r="C1598">
        <f>(B1598*100)/$H$1</f>
        <v>1.9557989438685704E-2</v>
      </c>
      <c r="D1598">
        <f>D1597+C1598</f>
        <v>87.834930569137413</v>
      </c>
      <c r="E1598">
        <f>ROUNDDOWN(D1598,2)</f>
        <v>87.83</v>
      </c>
    </row>
    <row r="1599" spans="1:5" x14ac:dyDescent="0.35">
      <c r="A1599" s="15">
        <v>78.900000000000006</v>
      </c>
      <c r="B1599" s="14">
        <v>2</v>
      </c>
      <c r="C1599">
        <f>(B1599*100)/$H$1</f>
        <v>3.9115978877371407E-2</v>
      </c>
      <c r="D1599">
        <f>D1598+C1599</f>
        <v>87.874046548014789</v>
      </c>
      <c r="E1599">
        <f>ROUNDDOWN(D1599,2)</f>
        <v>87.87</v>
      </c>
    </row>
    <row r="1600" spans="1:5" x14ac:dyDescent="0.35">
      <c r="A1600" s="15">
        <v>78.8</v>
      </c>
      <c r="B1600" s="14">
        <v>2</v>
      </c>
      <c r="C1600">
        <f>(B1600*100)/$H$1</f>
        <v>3.9115978877371407E-2</v>
      </c>
      <c r="D1600">
        <f>D1599+C1600</f>
        <v>87.913162526892165</v>
      </c>
      <c r="E1600">
        <f>ROUNDDOWN(D1600,2)</f>
        <v>87.91</v>
      </c>
    </row>
    <row r="1601" spans="1:5" x14ac:dyDescent="0.35">
      <c r="A1601" s="15">
        <v>78.599999999999994</v>
      </c>
      <c r="B1601" s="14">
        <v>1</v>
      </c>
      <c r="C1601">
        <f>(B1601*100)/$H$1</f>
        <v>1.9557989438685704E-2</v>
      </c>
      <c r="D1601">
        <f>D1600+C1601</f>
        <v>87.932720516330846</v>
      </c>
      <c r="E1601">
        <f>ROUNDDOWN(D1601,2)</f>
        <v>87.93</v>
      </c>
    </row>
    <row r="1602" spans="1:5" x14ac:dyDescent="0.35">
      <c r="A1602" s="15">
        <v>78.5</v>
      </c>
      <c r="B1602" s="14">
        <v>1</v>
      </c>
      <c r="C1602">
        <f>(B1602*100)/$H$1</f>
        <v>1.9557989438685704E-2</v>
      </c>
      <c r="D1602">
        <f>D1601+C1602</f>
        <v>87.952278505769527</v>
      </c>
      <c r="E1602">
        <f>ROUNDDOWN(D1602,2)</f>
        <v>87.95</v>
      </c>
    </row>
    <row r="1603" spans="1:5" x14ac:dyDescent="0.35">
      <c r="A1603" s="15">
        <v>78.400000000000006</v>
      </c>
      <c r="B1603" s="14">
        <v>2</v>
      </c>
      <c r="C1603">
        <f>(B1603*100)/$H$1</f>
        <v>3.9115978877371407E-2</v>
      </c>
      <c r="D1603">
        <f>D1602+C1603</f>
        <v>87.991394484646904</v>
      </c>
      <c r="E1603">
        <f>ROUNDDOWN(D1603,2)</f>
        <v>87.99</v>
      </c>
    </row>
    <row r="1604" spans="1:5" x14ac:dyDescent="0.35">
      <c r="A1604" s="15">
        <v>78.2</v>
      </c>
      <c r="B1604" s="14">
        <v>2</v>
      </c>
      <c r="C1604">
        <f>(B1604*100)/$H$1</f>
        <v>3.9115978877371407E-2</v>
      </c>
      <c r="D1604">
        <f>D1603+C1604</f>
        <v>88.03051046352428</v>
      </c>
      <c r="E1604">
        <f>ROUNDDOWN(D1604,2)</f>
        <v>88.03</v>
      </c>
    </row>
    <row r="1605" spans="1:5" x14ac:dyDescent="0.35">
      <c r="A1605" s="15">
        <v>78.099999999999994</v>
      </c>
      <c r="B1605" s="14">
        <v>5</v>
      </c>
      <c r="C1605">
        <f>(B1605*100)/$H$1</f>
        <v>9.7789947193428511E-2</v>
      </c>
      <c r="D1605">
        <f>D1604+C1605</f>
        <v>88.128300410717713</v>
      </c>
      <c r="E1605">
        <f>ROUNDDOWN(D1605,2)</f>
        <v>88.12</v>
      </c>
    </row>
    <row r="1606" spans="1:5" x14ac:dyDescent="0.35">
      <c r="A1606" s="15">
        <v>77.900000000000006</v>
      </c>
      <c r="B1606" s="14">
        <v>1</v>
      </c>
      <c r="C1606">
        <f>(B1606*100)/$H$1</f>
        <v>1.9557989438685704E-2</v>
      </c>
      <c r="D1606">
        <f>D1605+C1606</f>
        <v>88.147858400156395</v>
      </c>
      <c r="E1606">
        <f>ROUNDDOWN(D1606,2)</f>
        <v>88.14</v>
      </c>
    </row>
    <row r="1607" spans="1:5" x14ac:dyDescent="0.35">
      <c r="A1607" s="15">
        <v>77.8</v>
      </c>
      <c r="B1607" s="14">
        <v>1</v>
      </c>
      <c r="C1607">
        <f>(B1607*100)/$H$1</f>
        <v>1.9557989438685704E-2</v>
      </c>
      <c r="D1607">
        <f>D1606+C1607</f>
        <v>88.167416389595076</v>
      </c>
      <c r="E1607">
        <f>ROUNDDOWN(D1607,2)</f>
        <v>88.16</v>
      </c>
    </row>
    <row r="1608" spans="1:5" x14ac:dyDescent="0.35">
      <c r="A1608" s="15">
        <v>77.7</v>
      </c>
      <c r="B1608" s="14">
        <v>3</v>
      </c>
      <c r="C1608">
        <f>(B1608*100)/$H$1</f>
        <v>5.8673968316057111E-2</v>
      </c>
      <c r="D1608">
        <f>D1607+C1608</f>
        <v>88.226090357911133</v>
      </c>
      <c r="E1608">
        <f>ROUNDDOWN(D1608,2)</f>
        <v>88.22</v>
      </c>
    </row>
    <row r="1609" spans="1:5" x14ac:dyDescent="0.35">
      <c r="A1609" s="15">
        <v>77.599999999999994</v>
      </c>
      <c r="B1609" s="14">
        <v>2</v>
      </c>
      <c r="C1609">
        <f>(B1609*100)/$H$1</f>
        <v>3.9115978877371407E-2</v>
      </c>
      <c r="D1609">
        <f>D1608+C1609</f>
        <v>88.265206336788509</v>
      </c>
      <c r="E1609">
        <f>ROUNDDOWN(D1609,2)</f>
        <v>88.26</v>
      </c>
    </row>
    <row r="1610" spans="1:5" x14ac:dyDescent="0.35">
      <c r="A1610" s="15">
        <v>77.5</v>
      </c>
      <c r="B1610" s="14">
        <v>2</v>
      </c>
      <c r="C1610">
        <f>(B1610*100)/$H$1</f>
        <v>3.9115978877371407E-2</v>
      </c>
      <c r="D1610">
        <f>D1609+C1610</f>
        <v>88.304322315665885</v>
      </c>
      <c r="E1610">
        <f>ROUNDDOWN(D1610,2)</f>
        <v>88.3</v>
      </c>
    </row>
    <row r="1611" spans="1:5" x14ac:dyDescent="0.35">
      <c r="A1611" s="15">
        <v>77.3</v>
      </c>
      <c r="B1611" s="14">
        <v>1</v>
      </c>
      <c r="C1611">
        <f>(B1611*100)/$H$1</f>
        <v>1.9557989438685704E-2</v>
      </c>
      <c r="D1611">
        <f>D1610+C1611</f>
        <v>88.323880305104566</v>
      </c>
      <c r="E1611">
        <f>ROUNDDOWN(D1611,2)</f>
        <v>88.32</v>
      </c>
    </row>
    <row r="1612" spans="1:5" x14ac:dyDescent="0.35">
      <c r="A1612" s="15">
        <v>77.2</v>
      </c>
      <c r="B1612" s="14">
        <v>1</v>
      </c>
      <c r="C1612">
        <f>(B1612*100)/$H$1</f>
        <v>1.9557989438685704E-2</v>
      </c>
      <c r="D1612">
        <f>D1611+C1612</f>
        <v>88.343438294543247</v>
      </c>
      <c r="E1612">
        <f>ROUNDDOWN(D1612,2)</f>
        <v>88.34</v>
      </c>
    </row>
    <row r="1613" spans="1:5" x14ac:dyDescent="0.35">
      <c r="A1613" s="15">
        <v>77.099999999999994</v>
      </c>
      <c r="B1613" s="14">
        <v>1</v>
      </c>
      <c r="C1613">
        <f>(B1613*100)/$H$1</f>
        <v>1.9557989438685704E-2</v>
      </c>
      <c r="D1613">
        <f>D1612+C1613</f>
        <v>88.362996283981929</v>
      </c>
      <c r="E1613">
        <f>ROUNDDOWN(D1613,2)</f>
        <v>88.36</v>
      </c>
    </row>
    <row r="1614" spans="1:5" x14ac:dyDescent="0.35">
      <c r="A1614" s="15">
        <v>77</v>
      </c>
      <c r="B1614" s="14">
        <v>4</v>
      </c>
      <c r="C1614">
        <f>(B1614*100)/$H$1</f>
        <v>7.8231957754742815E-2</v>
      </c>
      <c r="D1614">
        <f>D1613+C1614</f>
        <v>88.441228241736667</v>
      </c>
      <c r="E1614">
        <f>ROUNDDOWN(D1614,2)</f>
        <v>88.44</v>
      </c>
    </row>
    <row r="1615" spans="1:5" x14ac:dyDescent="0.35">
      <c r="A1615" s="15">
        <v>76.900000000000006</v>
      </c>
      <c r="B1615" s="14">
        <v>2</v>
      </c>
      <c r="C1615">
        <f>(B1615*100)/$H$1</f>
        <v>3.9115978877371407E-2</v>
      </c>
      <c r="D1615">
        <f>D1614+C1615</f>
        <v>88.480344220614043</v>
      </c>
      <c r="E1615">
        <f>ROUNDDOWN(D1615,2)</f>
        <v>88.48</v>
      </c>
    </row>
    <row r="1616" spans="1:5" x14ac:dyDescent="0.35">
      <c r="A1616" s="15">
        <v>76.8</v>
      </c>
      <c r="B1616" s="14">
        <v>2</v>
      </c>
      <c r="C1616">
        <f>(B1616*100)/$H$1</f>
        <v>3.9115978877371407E-2</v>
      </c>
      <c r="D1616">
        <f>D1615+C1616</f>
        <v>88.519460199491419</v>
      </c>
      <c r="E1616">
        <f>ROUNDDOWN(D1616,2)</f>
        <v>88.51</v>
      </c>
    </row>
    <row r="1617" spans="1:5" x14ac:dyDescent="0.35">
      <c r="A1617" s="15">
        <v>76.599999999999994</v>
      </c>
      <c r="B1617" s="14">
        <v>2</v>
      </c>
      <c r="C1617">
        <f>(B1617*100)/$H$1</f>
        <v>3.9115978877371407E-2</v>
      </c>
      <c r="D1617">
        <f>D1616+C1617</f>
        <v>88.558576178368796</v>
      </c>
      <c r="E1617">
        <f>ROUNDDOWN(D1617,2)</f>
        <v>88.55</v>
      </c>
    </row>
    <row r="1618" spans="1:5" x14ac:dyDescent="0.35">
      <c r="A1618" s="15">
        <v>76.5</v>
      </c>
      <c r="B1618" s="14">
        <v>2</v>
      </c>
      <c r="C1618">
        <f>(B1618*100)/$H$1</f>
        <v>3.9115978877371407E-2</v>
      </c>
      <c r="D1618">
        <f>D1617+C1618</f>
        <v>88.597692157246172</v>
      </c>
      <c r="E1618">
        <f>ROUNDDOWN(D1618,2)</f>
        <v>88.59</v>
      </c>
    </row>
    <row r="1619" spans="1:5" x14ac:dyDescent="0.35">
      <c r="A1619" s="15">
        <v>76.400000000000006</v>
      </c>
      <c r="B1619" s="14">
        <v>2</v>
      </c>
      <c r="C1619">
        <f>(B1619*100)/$H$1</f>
        <v>3.9115978877371407E-2</v>
      </c>
      <c r="D1619">
        <f>D1618+C1619</f>
        <v>88.636808136123548</v>
      </c>
      <c r="E1619">
        <f>ROUNDDOWN(D1619,2)</f>
        <v>88.63</v>
      </c>
    </row>
    <row r="1620" spans="1:5" x14ac:dyDescent="0.35">
      <c r="A1620" s="15">
        <v>76.2</v>
      </c>
      <c r="B1620" s="14">
        <v>1</v>
      </c>
      <c r="C1620">
        <f>(B1620*100)/$H$1</f>
        <v>1.9557989438685704E-2</v>
      </c>
      <c r="D1620">
        <f>D1619+C1620</f>
        <v>88.656366125562229</v>
      </c>
      <c r="E1620">
        <f>ROUNDDOWN(D1620,2)</f>
        <v>88.65</v>
      </c>
    </row>
    <row r="1621" spans="1:5" x14ac:dyDescent="0.35">
      <c r="A1621" s="15">
        <v>76.099999999999994</v>
      </c>
      <c r="B1621" s="14">
        <v>1</v>
      </c>
      <c r="C1621">
        <f>(B1621*100)/$H$1</f>
        <v>1.9557989438685704E-2</v>
      </c>
      <c r="D1621">
        <f>D1620+C1621</f>
        <v>88.67592411500091</v>
      </c>
      <c r="E1621">
        <f>ROUNDDOWN(D1621,2)</f>
        <v>88.67</v>
      </c>
    </row>
    <row r="1622" spans="1:5" x14ac:dyDescent="0.35">
      <c r="A1622" s="15">
        <v>76</v>
      </c>
      <c r="B1622" s="14">
        <v>2</v>
      </c>
      <c r="C1622">
        <f>(B1622*100)/$H$1</f>
        <v>3.9115978877371407E-2</v>
      </c>
      <c r="D1622">
        <f>D1621+C1622</f>
        <v>88.715040093878287</v>
      </c>
      <c r="E1622">
        <f>ROUNDDOWN(D1622,2)</f>
        <v>88.71</v>
      </c>
    </row>
    <row r="1623" spans="1:5" x14ac:dyDescent="0.35">
      <c r="A1623" s="15">
        <v>75.900000000000006</v>
      </c>
      <c r="B1623" s="14">
        <v>1</v>
      </c>
      <c r="C1623">
        <f>(B1623*100)/$H$1</f>
        <v>1.9557989438685704E-2</v>
      </c>
      <c r="D1623">
        <f>D1622+C1623</f>
        <v>88.734598083316968</v>
      </c>
      <c r="E1623">
        <f>ROUNDDOWN(D1623,2)</f>
        <v>88.73</v>
      </c>
    </row>
    <row r="1624" spans="1:5" x14ac:dyDescent="0.35">
      <c r="A1624" s="15">
        <v>75.8</v>
      </c>
      <c r="B1624" s="14">
        <v>2</v>
      </c>
      <c r="C1624">
        <f>(B1624*100)/$H$1</f>
        <v>3.9115978877371407E-2</v>
      </c>
      <c r="D1624">
        <f>D1623+C1624</f>
        <v>88.773714062194344</v>
      </c>
      <c r="E1624">
        <f>ROUNDDOWN(D1624,2)</f>
        <v>88.77</v>
      </c>
    </row>
    <row r="1625" spans="1:5" x14ac:dyDescent="0.35">
      <c r="A1625" s="15">
        <v>75.7</v>
      </c>
      <c r="B1625" s="14">
        <v>1</v>
      </c>
      <c r="C1625">
        <f>(B1625*100)/$H$1</f>
        <v>1.9557989438685704E-2</v>
      </c>
      <c r="D1625">
        <f>D1624+C1625</f>
        <v>88.793272051633025</v>
      </c>
      <c r="E1625">
        <f>ROUNDDOWN(D1625,2)</f>
        <v>88.79</v>
      </c>
    </row>
    <row r="1626" spans="1:5" x14ac:dyDescent="0.35">
      <c r="A1626" s="15">
        <v>75.599999999999994</v>
      </c>
      <c r="B1626" s="14">
        <v>3</v>
      </c>
      <c r="C1626">
        <f>(B1626*100)/$H$1</f>
        <v>5.8673968316057111E-2</v>
      </c>
      <c r="D1626">
        <f>D1625+C1626</f>
        <v>88.851946019949082</v>
      </c>
      <c r="E1626">
        <f>ROUNDDOWN(D1626,2)</f>
        <v>88.85</v>
      </c>
    </row>
    <row r="1627" spans="1:5" x14ac:dyDescent="0.35">
      <c r="A1627" s="15">
        <v>75.5</v>
      </c>
      <c r="B1627" s="14">
        <v>2</v>
      </c>
      <c r="C1627">
        <f>(B1627*100)/$H$1</f>
        <v>3.9115978877371407E-2</v>
      </c>
      <c r="D1627">
        <f>D1626+C1627</f>
        <v>88.891061998826459</v>
      </c>
      <c r="E1627">
        <f>ROUNDDOWN(D1627,2)</f>
        <v>88.89</v>
      </c>
    </row>
    <row r="1628" spans="1:5" x14ac:dyDescent="0.35">
      <c r="A1628" s="15">
        <v>75.400000000000006</v>
      </c>
      <c r="B1628" s="14">
        <v>2</v>
      </c>
      <c r="C1628">
        <f>(B1628*100)/$H$1</f>
        <v>3.9115978877371407E-2</v>
      </c>
      <c r="D1628">
        <f>D1627+C1628</f>
        <v>88.930177977703835</v>
      </c>
      <c r="E1628">
        <f>ROUNDDOWN(D1628,2)</f>
        <v>88.93</v>
      </c>
    </row>
    <row r="1629" spans="1:5" x14ac:dyDescent="0.35">
      <c r="A1629" s="15">
        <v>75.3</v>
      </c>
      <c r="B1629" s="14">
        <v>2</v>
      </c>
      <c r="C1629">
        <f>(B1629*100)/$H$1</f>
        <v>3.9115978877371407E-2</v>
      </c>
      <c r="D1629">
        <f>D1628+C1629</f>
        <v>88.969293956581211</v>
      </c>
      <c r="E1629">
        <f>ROUNDDOWN(D1629,2)</f>
        <v>88.96</v>
      </c>
    </row>
    <row r="1630" spans="1:5" x14ac:dyDescent="0.35">
      <c r="A1630" s="15">
        <v>75.2</v>
      </c>
      <c r="B1630" s="14">
        <v>3</v>
      </c>
      <c r="C1630">
        <f>(B1630*100)/$H$1</f>
        <v>5.8673968316057111E-2</v>
      </c>
      <c r="D1630">
        <f>D1629+C1630</f>
        <v>89.027967924897268</v>
      </c>
      <c r="E1630">
        <f>ROUNDDOWN(D1630,2)</f>
        <v>89.02</v>
      </c>
    </row>
    <row r="1631" spans="1:5" x14ac:dyDescent="0.35">
      <c r="A1631" s="15">
        <v>75.099999999999994</v>
      </c>
      <c r="B1631" s="14">
        <v>2</v>
      </c>
      <c r="C1631">
        <f>(B1631*100)/$H$1</f>
        <v>3.9115978877371407E-2</v>
      </c>
      <c r="D1631">
        <f>D1630+C1631</f>
        <v>89.067083903774645</v>
      </c>
      <c r="E1631">
        <f>ROUNDDOWN(D1631,2)</f>
        <v>89.06</v>
      </c>
    </row>
    <row r="1632" spans="1:5" x14ac:dyDescent="0.35">
      <c r="A1632" s="15">
        <v>75</v>
      </c>
      <c r="B1632" s="14">
        <v>1</v>
      </c>
      <c r="C1632">
        <f>(B1632*100)/$H$1</f>
        <v>1.9557989438685704E-2</v>
      </c>
      <c r="D1632">
        <f>D1631+C1632</f>
        <v>89.086641893213326</v>
      </c>
      <c r="E1632">
        <f>ROUNDDOWN(D1632,2)</f>
        <v>89.08</v>
      </c>
    </row>
    <row r="1633" spans="1:5" x14ac:dyDescent="0.35">
      <c r="A1633" s="15">
        <v>74.8</v>
      </c>
      <c r="B1633" s="14">
        <v>3</v>
      </c>
      <c r="C1633">
        <f>(B1633*100)/$H$1</f>
        <v>5.8673968316057111E-2</v>
      </c>
      <c r="D1633">
        <f>D1632+C1633</f>
        <v>89.145315861529383</v>
      </c>
      <c r="E1633">
        <f>ROUNDDOWN(D1633,2)</f>
        <v>89.14</v>
      </c>
    </row>
    <row r="1634" spans="1:5" x14ac:dyDescent="0.35">
      <c r="A1634" s="15">
        <v>74.7</v>
      </c>
      <c r="B1634" s="14">
        <v>1</v>
      </c>
      <c r="C1634">
        <f>(B1634*100)/$H$1</f>
        <v>1.9557989438685704E-2</v>
      </c>
      <c r="D1634">
        <f>D1633+C1634</f>
        <v>89.164873850968064</v>
      </c>
      <c r="E1634">
        <f>ROUNDDOWN(D1634,2)</f>
        <v>89.16</v>
      </c>
    </row>
    <row r="1635" spans="1:5" x14ac:dyDescent="0.35">
      <c r="A1635" s="15">
        <v>74.599999999999994</v>
      </c>
      <c r="B1635" s="14">
        <v>1</v>
      </c>
      <c r="C1635">
        <f>(B1635*100)/$H$1</f>
        <v>1.9557989438685704E-2</v>
      </c>
      <c r="D1635">
        <f>D1634+C1635</f>
        <v>89.184431840406745</v>
      </c>
      <c r="E1635">
        <f>ROUNDDOWN(D1635,2)</f>
        <v>89.18</v>
      </c>
    </row>
    <row r="1636" spans="1:5" x14ac:dyDescent="0.35">
      <c r="A1636" s="15">
        <v>74.5</v>
      </c>
      <c r="B1636" s="14">
        <v>2</v>
      </c>
      <c r="C1636">
        <f>(B1636*100)/$H$1</f>
        <v>3.9115978877371407E-2</v>
      </c>
      <c r="D1636">
        <f>D1635+C1636</f>
        <v>89.223547819284121</v>
      </c>
      <c r="E1636">
        <f>ROUNDDOWN(D1636,2)</f>
        <v>89.22</v>
      </c>
    </row>
    <row r="1637" spans="1:5" x14ac:dyDescent="0.35">
      <c r="A1637" s="15">
        <v>74.400000000000006</v>
      </c>
      <c r="B1637" s="14">
        <v>1</v>
      </c>
      <c r="C1637">
        <f>(B1637*100)/$H$1</f>
        <v>1.9557989438685704E-2</v>
      </c>
      <c r="D1637">
        <f>D1636+C1637</f>
        <v>89.243105808722802</v>
      </c>
      <c r="E1637">
        <f>ROUNDDOWN(D1637,2)</f>
        <v>89.24</v>
      </c>
    </row>
    <row r="1638" spans="1:5" x14ac:dyDescent="0.35">
      <c r="A1638" s="15">
        <v>74.3</v>
      </c>
      <c r="B1638" s="14">
        <v>2</v>
      </c>
      <c r="C1638">
        <f>(B1638*100)/$H$1</f>
        <v>3.9115978877371407E-2</v>
      </c>
      <c r="D1638">
        <f>D1637+C1638</f>
        <v>89.282221787600179</v>
      </c>
      <c r="E1638">
        <f>ROUNDDOWN(D1638,2)</f>
        <v>89.28</v>
      </c>
    </row>
    <row r="1639" spans="1:5" x14ac:dyDescent="0.35">
      <c r="A1639" s="15">
        <v>74.2</v>
      </c>
      <c r="B1639" s="14">
        <v>4</v>
      </c>
      <c r="C1639">
        <f>(B1639*100)/$H$1</f>
        <v>7.8231957754742815E-2</v>
      </c>
      <c r="D1639">
        <f>D1638+C1639</f>
        <v>89.360453745354917</v>
      </c>
      <c r="E1639">
        <f>ROUNDDOWN(D1639,2)</f>
        <v>89.36</v>
      </c>
    </row>
    <row r="1640" spans="1:5" x14ac:dyDescent="0.35">
      <c r="A1640" s="15">
        <v>74.099999999999994</v>
      </c>
      <c r="B1640" s="14">
        <v>1</v>
      </c>
      <c r="C1640">
        <f>(B1640*100)/$H$1</f>
        <v>1.9557989438685704E-2</v>
      </c>
      <c r="D1640">
        <f>D1639+C1640</f>
        <v>89.380011734793598</v>
      </c>
      <c r="E1640">
        <f>ROUNDDOWN(D1640,2)</f>
        <v>89.38</v>
      </c>
    </row>
    <row r="1641" spans="1:5" x14ac:dyDescent="0.35">
      <c r="A1641" s="15">
        <v>73.900000000000006</v>
      </c>
      <c r="B1641" s="14">
        <v>2</v>
      </c>
      <c r="C1641">
        <f>(B1641*100)/$H$1</f>
        <v>3.9115978877371407E-2</v>
      </c>
      <c r="D1641">
        <f>D1640+C1641</f>
        <v>89.419127713670974</v>
      </c>
      <c r="E1641">
        <f>ROUNDDOWN(D1641,2)</f>
        <v>89.41</v>
      </c>
    </row>
    <row r="1642" spans="1:5" x14ac:dyDescent="0.35">
      <c r="A1642" s="15">
        <v>73.8</v>
      </c>
      <c r="B1642" s="14">
        <v>1</v>
      </c>
      <c r="C1642">
        <f>(B1642*100)/$H$1</f>
        <v>1.9557989438685704E-2</v>
      </c>
      <c r="D1642">
        <f>D1641+C1642</f>
        <v>89.438685703109655</v>
      </c>
      <c r="E1642">
        <f>ROUNDDOWN(D1642,2)</f>
        <v>89.43</v>
      </c>
    </row>
    <row r="1643" spans="1:5" x14ac:dyDescent="0.35">
      <c r="A1643" s="15">
        <v>73.7</v>
      </c>
      <c r="B1643" s="14">
        <v>3</v>
      </c>
      <c r="C1643">
        <f>(B1643*100)/$H$1</f>
        <v>5.8673968316057111E-2</v>
      </c>
      <c r="D1643">
        <f>D1642+C1643</f>
        <v>89.497359671425713</v>
      </c>
      <c r="E1643">
        <f>ROUNDDOWN(D1643,2)</f>
        <v>89.49</v>
      </c>
    </row>
    <row r="1644" spans="1:5" x14ac:dyDescent="0.35">
      <c r="A1644" s="15">
        <v>73.599999999999994</v>
      </c>
      <c r="B1644" s="14">
        <v>1</v>
      </c>
      <c r="C1644">
        <f>(B1644*100)/$H$1</f>
        <v>1.9557989438685704E-2</v>
      </c>
      <c r="D1644">
        <f>D1643+C1644</f>
        <v>89.516917660864394</v>
      </c>
      <c r="E1644">
        <f>ROUNDDOWN(D1644,2)</f>
        <v>89.51</v>
      </c>
    </row>
    <row r="1645" spans="1:5" x14ac:dyDescent="0.35">
      <c r="A1645" s="15">
        <v>73.5</v>
      </c>
      <c r="B1645" s="14">
        <v>1</v>
      </c>
      <c r="C1645">
        <f>(B1645*100)/$H$1</f>
        <v>1.9557989438685704E-2</v>
      </c>
      <c r="D1645">
        <f>D1644+C1645</f>
        <v>89.536475650303075</v>
      </c>
      <c r="E1645">
        <f>ROUNDDOWN(D1645,2)</f>
        <v>89.53</v>
      </c>
    </row>
    <row r="1646" spans="1:5" x14ac:dyDescent="0.35">
      <c r="A1646" s="15">
        <v>73.400000000000006</v>
      </c>
      <c r="B1646" s="14">
        <v>1</v>
      </c>
      <c r="C1646">
        <f>(B1646*100)/$H$1</f>
        <v>1.9557989438685704E-2</v>
      </c>
      <c r="D1646">
        <f>D1645+C1646</f>
        <v>89.556033639741756</v>
      </c>
      <c r="E1646">
        <f>ROUNDDOWN(D1646,2)</f>
        <v>89.55</v>
      </c>
    </row>
    <row r="1647" spans="1:5" x14ac:dyDescent="0.35">
      <c r="A1647" s="15">
        <v>73.3</v>
      </c>
      <c r="B1647" s="14">
        <v>6</v>
      </c>
      <c r="C1647">
        <f>(B1647*100)/$H$1</f>
        <v>0.11734793663211422</v>
      </c>
      <c r="D1647">
        <f>D1646+C1647</f>
        <v>89.67338157637387</v>
      </c>
      <c r="E1647">
        <f>ROUNDDOWN(D1647,2)</f>
        <v>89.67</v>
      </c>
    </row>
    <row r="1648" spans="1:5" x14ac:dyDescent="0.35">
      <c r="A1648" s="15">
        <v>73.2</v>
      </c>
      <c r="B1648" s="14">
        <v>2</v>
      </c>
      <c r="C1648">
        <f>(B1648*100)/$H$1</f>
        <v>3.9115978877371407E-2</v>
      </c>
      <c r="D1648">
        <f>D1647+C1648</f>
        <v>89.712497555251247</v>
      </c>
      <c r="E1648">
        <f>ROUNDDOWN(D1648,2)</f>
        <v>89.71</v>
      </c>
    </row>
    <row r="1649" spans="1:5" x14ac:dyDescent="0.35">
      <c r="A1649" s="15">
        <v>73.099999999999994</v>
      </c>
      <c r="B1649" s="14">
        <v>1</v>
      </c>
      <c r="C1649">
        <f>(B1649*100)/$H$1</f>
        <v>1.9557989438685704E-2</v>
      </c>
      <c r="D1649">
        <f>D1648+C1649</f>
        <v>89.732055544689928</v>
      </c>
      <c r="E1649">
        <f>ROUNDDOWN(D1649,2)</f>
        <v>89.73</v>
      </c>
    </row>
    <row r="1650" spans="1:5" x14ac:dyDescent="0.35">
      <c r="A1650" s="15">
        <v>73</v>
      </c>
      <c r="B1650" s="14">
        <v>3</v>
      </c>
      <c r="C1650">
        <f>(B1650*100)/$H$1</f>
        <v>5.8673968316057111E-2</v>
      </c>
      <c r="D1650">
        <f>D1649+C1650</f>
        <v>89.790729513005985</v>
      </c>
      <c r="E1650">
        <f>ROUNDDOWN(D1650,2)</f>
        <v>89.79</v>
      </c>
    </row>
    <row r="1651" spans="1:5" x14ac:dyDescent="0.35">
      <c r="A1651" s="15">
        <v>72.900000000000006</v>
      </c>
      <c r="B1651" s="14">
        <v>1</v>
      </c>
      <c r="C1651">
        <f>(B1651*100)/$H$1</f>
        <v>1.9557989438685704E-2</v>
      </c>
      <c r="D1651">
        <f>D1650+C1651</f>
        <v>89.810287502444666</v>
      </c>
      <c r="E1651">
        <f>ROUNDDOWN(D1651,2)</f>
        <v>89.81</v>
      </c>
    </row>
    <row r="1652" spans="1:5" x14ac:dyDescent="0.35">
      <c r="A1652" s="15">
        <v>72.8</v>
      </c>
      <c r="B1652" s="14">
        <v>2</v>
      </c>
      <c r="C1652">
        <f>(B1652*100)/$H$1</f>
        <v>3.9115978877371407E-2</v>
      </c>
      <c r="D1652">
        <f>D1651+C1652</f>
        <v>89.849403481322042</v>
      </c>
      <c r="E1652">
        <f>ROUNDDOWN(D1652,2)</f>
        <v>89.84</v>
      </c>
    </row>
    <row r="1653" spans="1:5" x14ac:dyDescent="0.35">
      <c r="A1653" s="15">
        <v>72.7</v>
      </c>
      <c r="B1653" s="14">
        <v>1</v>
      </c>
      <c r="C1653">
        <f>(B1653*100)/$H$1</f>
        <v>1.9557989438685704E-2</v>
      </c>
      <c r="D1653">
        <f>D1652+C1653</f>
        <v>89.868961470760723</v>
      </c>
      <c r="E1653">
        <f>ROUNDDOWN(D1653,2)</f>
        <v>89.86</v>
      </c>
    </row>
    <row r="1654" spans="1:5" x14ac:dyDescent="0.35">
      <c r="A1654" s="15">
        <v>72.599999999999994</v>
      </c>
      <c r="B1654" s="14">
        <v>1</v>
      </c>
      <c r="C1654">
        <f>(B1654*100)/$H$1</f>
        <v>1.9557989438685704E-2</v>
      </c>
      <c r="D1654">
        <f>D1653+C1654</f>
        <v>89.888519460199404</v>
      </c>
      <c r="E1654">
        <f>ROUNDDOWN(D1654,2)</f>
        <v>89.88</v>
      </c>
    </row>
    <row r="1655" spans="1:5" x14ac:dyDescent="0.35">
      <c r="A1655" s="15">
        <v>72.5</v>
      </c>
      <c r="B1655" s="14">
        <v>1</v>
      </c>
      <c r="C1655">
        <f>(B1655*100)/$H$1</f>
        <v>1.9557989438685704E-2</v>
      </c>
      <c r="D1655">
        <f>D1654+C1655</f>
        <v>89.908077449638085</v>
      </c>
      <c r="E1655">
        <f>ROUNDDOWN(D1655,2)</f>
        <v>89.9</v>
      </c>
    </row>
    <row r="1656" spans="1:5" x14ac:dyDescent="0.35">
      <c r="A1656" s="15">
        <v>72.400000000000006</v>
      </c>
      <c r="B1656" s="14">
        <v>2</v>
      </c>
      <c r="C1656">
        <f>(B1656*100)/$H$1</f>
        <v>3.9115978877371407E-2</v>
      </c>
      <c r="D1656">
        <f>D1655+C1656</f>
        <v>89.947193428515462</v>
      </c>
      <c r="E1656">
        <f>ROUNDDOWN(D1656,2)</f>
        <v>89.94</v>
      </c>
    </row>
    <row r="1657" spans="1:5" x14ac:dyDescent="0.35">
      <c r="A1657" s="15">
        <v>72.3</v>
      </c>
      <c r="B1657" s="14">
        <v>2</v>
      </c>
      <c r="C1657">
        <f>(B1657*100)/$H$1</f>
        <v>3.9115978877371407E-2</v>
      </c>
      <c r="D1657">
        <f>D1656+C1657</f>
        <v>89.986309407392838</v>
      </c>
      <c r="E1657">
        <f>ROUNDDOWN(D1657,2)</f>
        <v>89.98</v>
      </c>
    </row>
    <row r="1658" spans="1:5" x14ac:dyDescent="0.35">
      <c r="A1658" s="15">
        <v>72.2</v>
      </c>
      <c r="B1658" s="14">
        <v>2</v>
      </c>
      <c r="C1658">
        <f>(B1658*100)/$H$1</f>
        <v>3.9115978877371407E-2</v>
      </c>
      <c r="D1658">
        <f>D1657+C1658</f>
        <v>90.025425386270214</v>
      </c>
      <c r="E1658">
        <f>ROUNDDOWN(D1658,2)</f>
        <v>90.02</v>
      </c>
    </row>
    <row r="1659" spans="1:5" x14ac:dyDescent="0.35">
      <c r="A1659" s="15">
        <v>72.099999999999994</v>
      </c>
      <c r="B1659" s="14">
        <v>2</v>
      </c>
      <c r="C1659">
        <f>(B1659*100)/$H$1</f>
        <v>3.9115978877371407E-2</v>
      </c>
      <c r="D1659">
        <f>D1658+C1659</f>
        <v>90.064541365147591</v>
      </c>
      <c r="E1659">
        <f>ROUNDDOWN(D1659,2)</f>
        <v>90.06</v>
      </c>
    </row>
    <row r="1660" spans="1:5" x14ac:dyDescent="0.35">
      <c r="A1660" s="15">
        <v>72</v>
      </c>
      <c r="B1660" s="14">
        <v>2</v>
      </c>
      <c r="C1660">
        <f>(B1660*100)/$H$1</f>
        <v>3.9115978877371407E-2</v>
      </c>
      <c r="D1660">
        <f>D1659+C1660</f>
        <v>90.103657344024967</v>
      </c>
      <c r="E1660">
        <f>ROUNDDOWN(D1660,2)</f>
        <v>90.1</v>
      </c>
    </row>
    <row r="1661" spans="1:5" x14ac:dyDescent="0.35">
      <c r="A1661" s="15">
        <v>71.900000000000006</v>
      </c>
      <c r="B1661" s="14">
        <v>1</v>
      </c>
      <c r="C1661">
        <f>(B1661*100)/$H$1</f>
        <v>1.9557989438685704E-2</v>
      </c>
      <c r="D1661">
        <f>D1660+C1661</f>
        <v>90.123215333463648</v>
      </c>
      <c r="E1661">
        <f>ROUNDDOWN(D1661,2)</f>
        <v>90.12</v>
      </c>
    </row>
    <row r="1662" spans="1:5" x14ac:dyDescent="0.35">
      <c r="A1662" s="15">
        <v>71.8</v>
      </c>
      <c r="B1662" s="14">
        <v>2</v>
      </c>
      <c r="C1662">
        <f>(B1662*100)/$H$1</f>
        <v>3.9115978877371407E-2</v>
      </c>
      <c r="D1662">
        <f>D1661+C1662</f>
        <v>90.162331312341024</v>
      </c>
      <c r="E1662">
        <f>ROUNDDOWN(D1662,2)</f>
        <v>90.16</v>
      </c>
    </row>
    <row r="1663" spans="1:5" x14ac:dyDescent="0.35">
      <c r="A1663" s="15">
        <v>71.7</v>
      </c>
      <c r="B1663" s="14">
        <v>1</v>
      </c>
      <c r="C1663">
        <f>(B1663*100)/$H$1</f>
        <v>1.9557989438685704E-2</v>
      </c>
      <c r="D1663">
        <f>D1662+C1663</f>
        <v>90.181889301779705</v>
      </c>
      <c r="E1663">
        <f>ROUNDDOWN(D1663,2)</f>
        <v>90.18</v>
      </c>
    </row>
    <row r="1664" spans="1:5" x14ac:dyDescent="0.35">
      <c r="A1664" s="15">
        <v>71.599999999999994</v>
      </c>
      <c r="B1664" s="14">
        <v>1</v>
      </c>
      <c r="C1664">
        <f>(B1664*100)/$H$1</f>
        <v>1.9557989438685704E-2</v>
      </c>
      <c r="D1664">
        <f>D1663+C1664</f>
        <v>90.201447291218386</v>
      </c>
      <c r="E1664">
        <f>ROUNDDOWN(D1664,2)</f>
        <v>90.2</v>
      </c>
    </row>
    <row r="1665" spans="1:5" x14ac:dyDescent="0.35">
      <c r="A1665" s="15">
        <v>71.5</v>
      </c>
      <c r="B1665" s="14">
        <v>1</v>
      </c>
      <c r="C1665">
        <f>(B1665*100)/$H$1</f>
        <v>1.9557989438685704E-2</v>
      </c>
      <c r="D1665">
        <f>D1664+C1665</f>
        <v>90.221005280657067</v>
      </c>
      <c r="E1665">
        <f>ROUNDDOWN(D1665,2)</f>
        <v>90.22</v>
      </c>
    </row>
    <row r="1666" spans="1:5" x14ac:dyDescent="0.35">
      <c r="A1666" s="15">
        <v>71.400000000000006</v>
      </c>
      <c r="B1666" s="14">
        <v>3</v>
      </c>
      <c r="C1666">
        <f>(B1666*100)/$H$1</f>
        <v>5.8673968316057111E-2</v>
      </c>
      <c r="D1666">
        <f>D1665+C1666</f>
        <v>90.279679248973125</v>
      </c>
      <c r="E1666">
        <f>ROUNDDOWN(D1666,2)</f>
        <v>90.27</v>
      </c>
    </row>
    <row r="1667" spans="1:5" x14ac:dyDescent="0.35">
      <c r="A1667" s="15">
        <v>71.3</v>
      </c>
      <c r="B1667" s="14">
        <v>3</v>
      </c>
      <c r="C1667">
        <f>(B1667*100)/$H$1</f>
        <v>5.8673968316057111E-2</v>
      </c>
      <c r="D1667">
        <f>D1666+C1667</f>
        <v>90.338353217289182</v>
      </c>
      <c r="E1667">
        <f>ROUNDDOWN(D1667,2)</f>
        <v>90.33</v>
      </c>
    </row>
    <row r="1668" spans="1:5" x14ac:dyDescent="0.35">
      <c r="A1668" s="15">
        <v>71.2</v>
      </c>
      <c r="B1668" s="14">
        <v>1</v>
      </c>
      <c r="C1668">
        <f>(B1668*100)/$H$1</f>
        <v>1.9557989438685704E-2</v>
      </c>
      <c r="D1668">
        <f>D1667+C1668</f>
        <v>90.357911206727863</v>
      </c>
      <c r="E1668">
        <f>ROUNDDOWN(D1668,2)</f>
        <v>90.35</v>
      </c>
    </row>
    <row r="1669" spans="1:5" x14ac:dyDescent="0.35">
      <c r="A1669" s="15">
        <v>71.099999999999994</v>
      </c>
      <c r="B1669" s="14">
        <v>1</v>
      </c>
      <c r="C1669">
        <f>(B1669*100)/$H$1</f>
        <v>1.9557989438685704E-2</v>
      </c>
      <c r="D1669">
        <f>D1668+C1669</f>
        <v>90.377469196166544</v>
      </c>
      <c r="E1669">
        <f>ROUNDDOWN(D1669,2)</f>
        <v>90.37</v>
      </c>
    </row>
    <row r="1670" spans="1:5" x14ac:dyDescent="0.35">
      <c r="A1670" s="15">
        <v>71</v>
      </c>
      <c r="B1670" s="14">
        <v>4</v>
      </c>
      <c r="C1670">
        <f>(B1670*100)/$H$1</f>
        <v>7.8231957754742815E-2</v>
      </c>
      <c r="D1670">
        <f>D1669+C1670</f>
        <v>90.455701153921282</v>
      </c>
      <c r="E1670">
        <f>ROUNDDOWN(D1670,2)</f>
        <v>90.45</v>
      </c>
    </row>
    <row r="1671" spans="1:5" x14ac:dyDescent="0.35">
      <c r="A1671" s="15">
        <v>70.900000000000006</v>
      </c>
      <c r="B1671" s="14">
        <v>3</v>
      </c>
      <c r="C1671">
        <f>(B1671*100)/$H$1</f>
        <v>5.8673968316057111E-2</v>
      </c>
      <c r="D1671">
        <f>D1670+C1671</f>
        <v>90.51437512223734</v>
      </c>
      <c r="E1671">
        <f>ROUNDDOWN(D1671,2)</f>
        <v>90.51</v>
      </c>
    </row>
    <row r="1672" spans="1:5" x14ac:dyDescent="0.35">
      <c r="A1672" s="15">
        <v>70.8</v>
      </c>
      <c r="B1672" s="14">
        <v>1</v>
      </c>
      <c r="C1672">
        <f>(B1672*100)/$H$1</f>
        <v>1.9557989438685704E-2</v>
      </c>
      <c r="D1672">
        <f>D1671+C1672</f>
        <v>90.533933111676021</v>
      </c>
      <c r="E1672">
        <f>ROUNDDOWN(D1672,2)</f>
        <v>90.53</v>
      </c>
    </row>
    <row r="1673" spans="1:5" x14ac:dyDescent="0.35">
      <c r="A1673" s="15">
        <v>70.7</v>
      </c>
      <c r="B1673" s="14">
        <v>2</v>
      </c>
      <c r="C1673">
        <f>(B1673*100)/$H$1</f>
        <v>3.9115978877371407E-2</v>
      </c>
      <c r="D1673">
        <f>D1672+C1673</f>
        <v>90.573049090553397</v>
      </c>
      <c r="E1673">
        <f>ROUNDDOWN(D1673,2)</f>
        <v>90.57</v>
      </c>
    </row>
    <row r="1674" spans="1:5" x14ac:dyDescent="0.35">
      <c r="A1674" s="15">
        <v>70.599999999999994</v>
      </c>
      <c r="B1674" s="14">
        <v>2</v>
      </c>
      <c r="C1674">
        <f>(B1674*100)/$H$1</f>
        <v>3.9115978877371407E-2</v>
      </c>
      <c r="D1674">
        <f>D1673+C1674</f>
        <v>90.612165069430773</v>
      </c>
      <c r="E1674">
        <f>ROUNDDOWN(D1674,2)</f>
        <v>90.61</v>
      </c>
    </row>
    <row r="1675" spans="1:5" x14ac:dyDescent="0.35">
      <c r="A1675" s="15">
        <v>70.5</v>
      </c>
      <c r="B1675" s="14">
        <v>1</v>
      </c>
      <c r="C1675">
        <f>(B1675*100)/$H$1</f>
        <v>1.9557989438685704E-2</v>
      </c>
      <c r="D1675">
        <f>D1674+C1675</f>
        <v>90.631723058869454</v>
      </c>
      <c r="E1675">
        <f>ROUNDDOWN(D1675,2)</f>
        <v>90.63</v>
      </c>
    </row>
    <row r="1676" spans="1:5" x14ac:dyDescent="0.35">
      <c r="A1676" s="15">
        <v>70.400000000000006</v>
      </c>
      <c r="B1676" s="14">
        <v>1</v>
      </c>
      <c r="C1676">
        <f>(B1676*100)/$H$1</f>
        <v>1.9557989438685704E-2</v>
      </c>
      <c r="D1676">
        <f>D1675+C1676</f>
        <v>90.651281048308135</v>
      </c>
      <c r="E1676">
        <f>ROUNDDOWN(D1676,2)</f>
        <v>90.65</v>
      </c>
    </row>
    <row r="1677" spans="1:5" x14ac:dyDescent="0.35">
      <c r="A1677" s="15">
        <v>70.3</v>
      </c>
      <c r="B1677" s="14">
        <v>1</v>
      </c>
      <c r="C1677">
        <f>(B1677*100)/$H$1</f>
        <v>1.9557989438685704E-2</v>
      </c>
      <c r="D1677">
        <f>D1676+C1677</f>
        <v>90.670839037746816</v>
      </c>
      <c r="E1677">
        <f>ROUNDDOWN(D1677,2)</f>
        <v>90.67</v>
      </c>
    </row>
    <row r="1678" spans="1:5" x14ac:dyDescent="0.35">
      <c r="A1678" s="15">
        <v>70.2</v>
      </c>
      <c r="B1678" s="14">
        <v>2</v>
      </c>
      <c r="C1678">
        <f>(B1678*100)/$H$1</f>
        <v>3.9115978877371407E-2</v>
      </c>
      <c r="D1678">
        <f>D1677+C1678</f>
        <v>90.709955016624193</v>
      </c>
      <c r="E1678">
        <f>ROUNDDOWN(D1678,2)</f>
        <v>90.7</v>
      </c>
    </row>
    <row r="1679" spans="1:5" x14ac:dyDescent="0.35">
      <c r="A1679" s="15">
        <v>70.099999999999994</v>
      </c>
      <c r="B1679" s="14">
        <v>5</v>
      </c>
      <c r="C1679">
        <f>(B1679*100)/$H$1</f>
        <v>9.7789947193428511E-2</v>
      </c>
      <c r="D1679">
        <f>D1678+C1679</f>
        <v>90.807744963817626</v>
      </c>
      <c r="E1679">
        <f>ROUNDDOWN(D1679,2)</f>
        <v>90.8</v>
      </c>
    </row>
    <row r="1680" spans="1:5" x14ac:dyDescent="0.35">
      <c r="A1680" s="15">
        <v>70</v>
      </c>
      <c r="B1680" s="14">
        <v>1</v>
      </c>
      <c r="C1680">
        <f>(B1680*100)/$H$1</f>
        <v>1.9557989438685704E-2</v>
      </c>
      <c r="D1680">
        <f>D1679+C1680</f>
        <v>90.827302953256307</v>
      </c>
      <c r="E1680">
        <f>ROUNDDOWN(D1680,2)</f>
        <v>90.82</v>
      </c>
    </row>
    <row r="1681" spans="1:5" x14ac:dyDescent="0.35">
      <c r="A1681" s="15">
        <v>69.900000000000006</v>
      </c>
      <c r="B1681" s="14">
        <v>1</v>
      </c>
      <c r="C1681">
        <f>(B1681*100)/$H$1</f>
        <v>1.9557989438685704E-2</v>
      </c>
      <c r="D1681">
        <f>D1680+C1681</f>
        <v>90.846860942694988</v>
      </c>
      <c r="E1681">
        <f>ROUNDDOWN(D1681,2)</f>
        <v>90.84</v>
      </c>
    </row>
    <row r="1682" spans="1:5" x14ac:dyDescent="0.35">
      <c r="A1682" s="15">
        <v>69.8</v>
      </c>
      <c r="B1682" s="14">
        <v>2</v>
      </c>
      <c r="C1682">
        <f>(B1682*100)/$H$1</f>
        <v>3.9115978877371407E-2</v>
      </c>
      <c r="D1682">
        <f>D1681+C1682</f>
        <v>90.885976921572365</v>
      </c>
      <c r="E1682">
        <f>ROUNDDOWN(D1682,2)</f>
        <v>90.88</v>
      </c>
    </row>
    <row r="1683" spans="1:5" x14ac:dyDescent="0.35">
      <c r="A1683" s="15">
        <v>69.7</v>
      </c>
      <c r="B1683" s="14">
        <v>4</v>
      </c>
      <c r="C1683">
        <f>(B1683*100)/$H$1</f>
        <v>7.8231957754742815E-2</v>
      </c>
      <c r="D1683">
        <f>D1682+C1683</f>
        <v>90.964208879327103</v>
      </c>
      <c r="E1683">
        <f>ROUNDDOWN(D1683,2)</f>
        <v>90.96</v>
      </c>
    </row>
    <row r="1684" spans="1:5" x14ac:dyDescent="0.35">
      <c r="A1684" s="15">
        <v>69.599999999999994</v>
      </c>
      <c r="B1684" s="14">
        <v>2</v>
      </c>
      <c r="C1684">
        <f>(B1684*100)/$H$1</f>
        <v>3.9115978877371407E-2</v>
      </c>
      <c r="D1684">
        <f>D1683+C1684</f>
        <v>91.003324858204479</v>
      </c>
      <c r="E1684">
        <f>ROUNDDOWN(D1684,2)</f>
        <v>91</v>
      </c>
    </row>
    <row r="1685" spans="1:5" x14ac:dyDescent="0.35">
      <c r="A1685" s="15">
        <v>69.5</v>
      </c>
      <c r="B1685" s="14">
        <v>4</v>
      </c>
      <c r="C1685">
        <f>(B1685*100)/$H$1</f>
        <v>7.8231957754742815E-2</v>
      </c>
      <c r="D1685">
        <f>D1684+C1685</f>
        <v>91.081556815959217</v>
      </c>
      <c r="E1685">
        <f>ROUNDDOWN(D1685,2)</f>
        <v>91.08</v>
      </c>
    </row>
    <row r="1686" spans="1:5" x14ac:dyDescent="0.35">
      <c r="A1686" s="15">
        <v>69.400000000000006</v>
      </c>
      <c r="B1686" s="14">
        <v>1</v>
      </c>
      <c r="C1686">
        <f>(B1686*100)/$H$1</f>
        <v>1.9557989438685704E-2</v>
      </c>
      <c r="D1686">
        <f>D1685+C1686</f>
        <v>91.101114805397899</v>
      </c>
      <c r="E1686">
        <f>ROUNDDOWN(D1686,2)</f>
        <v>91.1</v>
      </c>
    </row>
    <row r="1687" spans="1:5" x14ac:dyDescent="0.35">
      <c r="A1687" s="15">
        <v>69.3</v>
      </c>
      <c r="B1687" s="14">
        <v>2</v>
      </c>
      <c r="C1687">
        <f>(B1687*100)/$H$1</f>
        <v>3.9115978877371407E-2</v>
      </c>
      <c r="D1687">
        <f>D1686+C1687</f>
        <v>91.140230784275275</v>
      </c>
      <c r="E1687">
        <f>ROUNDDOWN(D1687,2)</f>
        <v>91.14</v>
      </c>
    </row>
    <row r="1688" spans="1:5" x14ac:dyDescent="0.35">
      <c r="A1688" s="15">
        <v>69.2</v>
      </c>
      <c r="B1688" s="14">
        <v>5</v>
      </c>
      <c r="C1688">
        <f>(B1688*100)/$H$1</f>
        <v>9.7789947193428511E-2</v>
      </c>
      <c r="D1688">
        <f>D1687+C1688</f>
        <v>91.238020731468708</v>
      </c>
      <c r="E1688">
        <f>ROUNDDOWN(D1688,2)</f>
        <v>91.23</v>
      </c>
    </row>
    <row r="1689" spans="1:5" x14ac:dyDescent="0.35">
      <c r="A1689" s="15">
        <v>69</v>
      </c>
      <c r="B1689" s="14">
        <v>2</v>
      </c>
      <c r="C1689">
        <f>(B1689*100)/$H$1</f>
        <v>3.9115978877371407E-2</v>
      </c>
      <c r="D1689">
        <f>D1688+C1689</f>
        <v>91.277136710346085</v>
      </c>
      <c r="E1689">
        <f>ROUNDDOWN(D1689,2)</f>
        <v>91.27</v>
      </c>
    </row>
    <row r="1690" spans="1:5" x14ac:dyDescent="0.35">
      <c r="A1690" s="15">
        <v>68.900000000000006</v>
      </c>
      <c r="B1690" s="14">
        <v>2</v>
      </c>
      <c r="C1690">
        <f>(B1690*100)/$H$1</f>
        <v>3.9115978877371407E-2</v>
      </c>
      <c r="D1690">
        <f>D1689+C1690</f>
        <v>91.316252689223461</v>
      </c>
      <c r="E1690">
        <f>ROUNDDOWN(D1690,2)</f>
        <v>91.31</v>
      </c>
    </row>
    <row r="1691" spans="1:5" x14ac:dyDescent="0.35">
      <c r="A1691" s="15">
        <v>68.8</v>
      </c>
      <c r="B1691" s="14">
        <v>2</v>
      </c>
      <c r="C1691">
        <f>(B1691*100)/$H$1</f>
        <v>3.9115978877371407E-2</v>
      </c>
      <c r="D1691">
        <f>D1690+C1691</f>
        <v>91.355368668100837</v>
      </c>
      <c r="E1691">
        <f>ROUNDDOWN(D1691,2)</f>
        <v>91.35</v>
      </c>
    </row>
    <row r="1692" spans="1:5" x14ac:dyDescent="0.35">
      <c r="A1692" s="15">
        <v>68.599999999999994</v>
      </c>
      <c r="B1692" s="14">
        <v>3</v>
      </c>
      <c r="C1692">
        <f>(B1692*100)/$H$1</f>
        <v>5.8673968316057111E-2</v>
      </c>
      <c r="D1692">
        <f>D1691+C1692</f>
        <v>91.414042636416895</v>
      </c>
      <c r="E1692">
        <f>ROUNDDOWN(D1692,2)</f>
        <v>91.41</v>
      </c>
    </row>
    <row r="1693" spans="1:5" x14ac:dyDescent="0.35">
      <c r="A1693" s="15">
        <v>68.5</v>
      </c>
      <c r="B1693" s="14">
        <v>2</v>
      </c>
      <c r="C1693">
        <f>(B1693*100)/$H$1</f>
        <v>3.9115978877371407E-2</v>
      </c>
      <c r="D1693">
        <f>D1692+C1693</f>
        <v>91.453158615294271</v>
      </c>
      <c r="E1693">
        <f>ROUNDDOWN(D1693,2)</f>
        <v>91.45</v>
      </c>
    </row>
    <row r="1694" spans="1:5" x14ac:dyDescent="0.35">
      <c r="A1694" s="15">
        <v>68.400000000000006</v>
      </c>
      <c r="B1694" s="14">
        <v>3</v>
      </c>
      <c r="C1694">
        <f>(B1694*100)/$H$1</f>
        <v>5.8673968316057111E-2</v>
      </c>
      <c r="D1694">
        <f>D1693+C1694</f>
        <v>91.511832583610328</v>
      </c>
      <c r="E1694">
        <f>ROUNDDOWN(D1694,2)</f>
        <v>91.51</v>
      </c>
    </row>
    <row r="1695" spans="1:5" x14ac:dyDescent="0.35">
      <c r="A1695" s="15">
        <v>68.3</v>
      </c>
      <c r="B1695" s="14">
        <v>2</v>
      </c>
      <c r="C1695">
        <f>(B1695*100)/$H$1</f>
        <v>3.9115978877371407E-2</v>
      </c>
      <c r="D1695">
        <f>D1694+C1695</f>
        <v>91.550948562487704</v>
      </c>
      <c r="E1695">
        <f>ROUNDDOWN(D1695,2)</f>
        <v>91.55</v>
      </c>
    </row>
    <row r="1696" spans="1:5" x14ac:dyDescent="0.35">
      <c r="A1696" s="15">
        <v>68.2</v>
      </c>
      <c r="B1696" s="14">
        <v>2</v>
      </c>
      <c r="C1696">
        <f>(B1696*100)/$H$1</f>
        <v>3.9115978877371407E-2</v>
      </c>
      <c r="D1696">
        <f>D1695+C1696</f>
        <v>91.590064541365081</v>
      </c>
      <c r="E1696">
        <f>ROUNDDOWN(D1696,2)</f>
        <v>91.59</v>
      </c>
    </row>
    <row r="1697" spans="1:5" x14ac:dyDescent="0.35">
      <c r="A1697" s="15">
        <v>68.099999999999994</v>
      </c>
      <c r="B1697" s="14">
        <v>1</v>
      </c>
      <c r="C1697">
        <f>(B1697*100)/$H$1</f>
        <v>1.9557989438685704E-2</v>
      </c>
      <c r="D1697">
        <f>D1696+C1697</f>
        <v>91.609622530803762</v>
      </c>
      <c r="E1697">
        <f>ROUNDDOWN(D1697,2)</f>
        <v>91.6</v>
      </c>
    </row>
    <row r="1698" spans="1:5" x14ac:dyDescent="0.35">
      <c r="A1698" s="15">
        <v>68</v>
      </c>
      <c r="B1698" s="14">
        <v>3</v>
      </c>
      <c r="C1698">
        <f>(B1698*100)/$H$1</f>
        <v>5.8673968316057111E-2</v>
      </c>
      <c r="D1698">
        <f>D1697+C1698</f>
        <v>91.668296499119819</v>
      </c>
      <c r="E1698">
        <f>ROUNDDOWN(D1698,2)</f>
        <v>91.66</v>
      </c>
    </row>
    <row r="1699" spans="1:5" x14ac:dyDescent="0.35">
      <c r="A1699" s="15">
        <v>67.900000000000006</v>
      </c>
      <c r="B1699" s="14">
        <v>3</v>
      </c>
      <c r="C1699">
        <f>(B1699*100)/$H$1</f>
        <v>5.8673968316057111E-2</v>
      </c>
      <c r="D1699">
        <f>D1698+C1699</f>
        <v>91.726970467435876</v>
      </c>
      <c r="E1699">
        <f>ROUNDDOWN(D1699,2)</f>
        <v>91.72</v>
      </c>
    </row>
    <row r="1700" spans="1:5" x14ac:dyDescent="0.35">
      <c r="A1700" s="15">
        <v>67.8</v>
      </c>
      <c r="B1700" s="14">
        <v>3</v>
      </c>
      <c r="C1700">
        <f>(B1700*100)/$H$1</f>
        <v>5.8673968316057111E-2</v>
      </c>
      <c r="D1700">
        <f>D1699+C1700</f>
        <v>91.785644435751934</v>
      </c>
      <c r="E1700">
        <f>ROUNDDOWN(D1700,2)</f>
        <v>91.78</v>
      </c>
    </row>
    <row r="1701" spans="1:5" x14ac:dyDescent="0.35">
      <c r="A1701" s="15">
        <v>67.7</v>
      </c>
      <c r="B1701" s="14">
        <v>4</v>
      </c>
      <c r="C1701">
        <f>(B1701*100)/$H$1</f>
        <v>7.8231957754742815E-2</v>
      </c>
      <c r="D1701">
        <f>D1700+C1701</f>
        <v>91.863876393506672</v>
      </c>
      <c r="E1701">
        <f>ROUNDDOWN(D1701,2)</f>
        <v>91.86</v>
      </c>
    </row>
    <row r="1702" spans="1:5" x14ac:dyDescent="0.35">
      <c r="A1702" s="15">
        <v>67.5</v>
      </c>
      <c r="B1702" s="14">
        <v>3</v>
      </c>
      <c r="C1702">
        <f>(B1702*100)/$H$1</f>
        <v>5.8673968316057111E-2</v>
      </c>
      <c r="D1702">
        <f>D1701+C1702</f>
        <v>91.922550361822729</v>
      </c>
      <c r="E1702">
        <f>ROUNDDOWN(D1702,2)</f>
        <v>91.92</v>
      </c>
    </row>
    <row r="1703" spans="1:5" x14ac:dyDescent="0.35">
      <c r="A1703" s="15">
        <v>67.400000000000006</v>
      </c>
      <c r="B1703" s="14">
        <v>4</v>
      </c>
      <c r="C1703">
        <f>(B1703*100)/$H$1</f>
        <v>7.8231957754742815E-2</v>
      </c>
      <c r="D1703">
        <f>D1702+C1703</f>
        <v>92.000782319577468</v>
      </c>
      <c r="E1703">
        <f>ROUNDDOWN(D1703,2)</f>
        <v>92</v>
      </c>
    </row>
    <row r="1704" spans="1:5" x14ac:dyDescent="0.35">
      <c r="A1704" s="15">
        <v>67.3</v>
      </c>
      <c r="B1704" s="14">
        <v>4</v>
      </c>
      <c r="C1704">
        <f>(B1704*100)/$H$1</f>
        <v>7.8231957754742815E-2</v>
      </c>
      <c r="D1704">
        <f>D1703+C1704</f>
        <v>92.079014277332206</v>
      </c>
      <c r="E1704">
        <f>ROUNDDOWN(D1704,2)</f>
        <v>92.07</v>
      </c>
    </row>
    <row r="1705" spans="1:5" x14ac:dyDescent="0.35">
      <c r="A1705" s="15">
        <v>67.2</v>
      </c>
      <c r="B1705" s="14">
        <v>2</v>
      </c>
      <c r="C1705">
        <f>(B1705*100)/$H$1</f>
        <v>3.9115978877371407E-2</v>
      </c>
      <c r="D1705">
        <f>D1704+C1705</f>
        <v>92.118130256209582</v>
      </c>
      <c r="E1705">
        <f>ROUNDDOWN(D1705,2)</f>
        <v>92.11</v>
      </c>
    </row>
    <row r="1706" spans="1:5" x14ac:dyDescent="0.35">
      <c r="A1706" s="15">
        <v>67.099999999999994</v>
      </c>
      <c r="B1706" s="14">
        <v>4</v>
      </c>
      <c r="C1706">
        <f>(B1706*100)/$H$1</f>
        <v>7.8231957754742815E-2</v>
      </c>
      <c r="D1706">
        <f>D1705+C1706</f>
        <v>92.196362213964321</v>
      </c>
      <c r="E1706">
        <f>ROUNDDOWN(D1706,2)</f>
        <v>92.19</v>
      </c>
    </row>
    <row r="1707" spans="1:5" x14ac:dyDescent="0.35">
      <c r="A1707" s="15">
        <v>66.900000000000006</v>
      </c>
      <c r="B1707" s="14">
        <v>2</v>
      </c>
      <c r="C1707">
        <f>(B1707*100)/$H$1</f>
        <v>3.9115978877371407E-2</v>
      </c>
      <c r="D1707">
        <f>D1706+C1707</f>
        <v>92.235478192841697</v>
      </c>
      <c r="E1707">
        <f>ROUNDDOWN(D1707,2)</f>
        <v>92.23</v>
      </c>
    </row>
    <row r="1708" spans="1:5" x14ac:dyDescent="0.35">
      <c r="A1708" s="15">
        <v>66.8</v>
      </c>
      <c r="B1708" s="14">
        <v>5</v>
      </c>
      <c r="C1708">
        <f>(B1708*100)/$H$1</f>
        <v>9.7789947193428511E-2</v>
      </c>
      <c r="D1708">
        <f>D1707+C1708</f>
        <v>92.333268140035131</v>
      </c>
      <c r="E1708">
        <f>ROUNDDOWN(D1708,2)</f>
        <v>92.33</v>
      </c>
    </row>
    <row r="1709" spans="1:5" x14ac:dyDescent="0.35">
      <c r="A1709" s="15">
        <v>66.7</v>
      </c>
      <c r="B1709" s="14">
        <v>2</v>
      </c>
      <c r="C1709">
        <f>(B1709*100)/$H$1</f>
        <v>3.9115978877371407E-2</v>
      </c>
      <c r="D1709">
        <f>D1708+C1709</f>
        <v>92.372384118912507</v>
      </c>
      <c r="E1709">
        <f>ROUNDDOWN(D1709,2)</f>
        <v>92.37</v>
      </c>
    </row>
    <row r="1710" spans="1:5" x14ac:dyDescent="0.35">
      <c r="A1710" s="15">
        <v>66.599999999999994</v>
      </c>
      <c r="B1710" s="14">
        <v>3</v>
      </c>
      <c r="C1710">
        <f>(B1710*100)/$H$1</f>
        <v>5.8673968316057111E-2</v>
      </c>
      <c r="D1710">
        <f>D1709+C1710</f>
        <v>92.431058087228564</v>
      </c>
      <c r="E1710">
        <f>ROUNDDOWN(D1710,2)</f>
        <v>92.43</v>
      </c>
    </row>
    <row r="1711" spans="1:5" x14ac:dyDescent="0.35">
      <c r="A1711" s="15">
        <v>66.5</v>
      </c>
      <c r="B1711" s="14">
        <v>2</v>
      </c>
      <c r="C1711">
        <f>(B1711*100)/$H$1</f>
        <v>3.9115978877371407E-2</v>
      </c>
      <c r="D1711">
        <f>D1710+C1711</f>
        <v>92.47017406610594</v>
      </c>
      <c r="E1711">
        <f>ROUNDDOWN(D1711,2)</f>
        <v>92.47</v>
      </c>
    </row>
    <row r="1712" spans="1:5" x14ac:dyDescent="0.35">
      <c r="A1712" s="15">
        <v>66.400000000000006</v>
      </c>
      <c r="B1712" s="14">
        <v>1</v>
      </c>
      <c r="C1712">
        <f>(B1712*100)/$H$1</f>
        <v>1.9557989438685704E-2</v>
      </c>
      <c r="D1712">
        <f>D1711+C1712</f>
        <v>92.489732055544621</v>
      </c>
      <c r="E1712">
        <f>ROUNDDOWN(D1712,2)</f>
        <v>92.48</v>
      </c>
    </row>
    <row r="1713" spans="1:5" x14ac:dyDescent="0.35">
      <c r="A1713" s="15">
        <v>66.3</v>
      </c>
      <c r="B1713" s="14">
        <v>7</v>
      </c>
      <c r="C1713">
        <f>(B1713*100)/$H$1</f>
        <v>0.13690592607079993</v>
      </c>
      <c r="D1713">
        <f>D1712+C1713</f>
        <v>92.626637981615417</v>
      </c>
      <c r="E1713">
        <f>ROUNDDOWN(D1713,2)</f>
        <v>92.62</v>
      </c>
    </row>
    <row r="1714" spans="1:5" x14ac:dyDescent="0.35">
      <c r="A1714" s="15">
        <v>66.2</v>
      </c>
      <c r="B1714" s="14">
        <v>4</v>
      </c>
      <c r="C1714">
        <f>(B1714*100)/$H$1</f>
        <v>7.8231957754742815E-2</v>
      </c>
      <c r="D1714">
        <f>D1713+C1714</f>
        <v>92.704869939370155</v>
      </c>
      <c r="E1714">
        <f>ROUNDDOWN(D1714,2)</f>
        <v>92.7</v>
      </c>
    </row>
    <row r="1715" spans="1:5" x14ac:dyDescent="0.35">
      <c r="A1715" s="15">
        <v>66.099999999999994</v>
      </c>
      <c r="B1715" s="14">
        <v>1</v>
      </c>
      <c r="C1715">
        <f>(B1715*100)/$H$1</f>
        <v>1.9557989438685704E-2</v>
      </c>
      <c r="D1715">
        <f>D1714+C1715</f>
        <v>92.724427928808836</v>
      </c>
      <c r="E1715">
        <f>ROUNDDOWN(D1715,2)</f>
        <v>92.72</v>
      </c>
    </row>
    <row r="1716" spans="1:5" x14ac:dyDescent="0.35">
      <c r="A1716" s="15">
        <v>65.900000000000006</v>
      </c>
      <c r="B1716" s="14">
        <v>4</v>
      </c>
      <c r="C1716">
        <f>(B1716*100)/$H$1</f>
        <v>7.8231957754742815E-2</v>
      </c>
      <c r="D1716">
        <f>D1715+C1716</f>
        <v>92.802659886563575</v>
      </c>
      <c r="E1716">
        <f>ROUNDDOWN(D1716,2)</f>
        <v>92.8</v>
      </c>
    </row>
    <row r="1717" spans="1:5" x14ac:dyDescent="0.35">
      <c r="A1717" s="15">
        <v>65.7</v>
      </c>
      <c r="B1717" s="14">
        <v>2</v>
      </c>
      <c r="C1717">
        <f>(B1717*100)/$H$1</f>
        <v>3.9115978877371407E-2</v>
      </c>
      <c r="D1717">
        <f>D1716+C1717</f>
        <v>92.841775865440951</v>
      </c>
      <c r="E1717">
        <f>ROUNDDOWN(D1717,2)</f>
        <v>92.84</v>
      </c>
    </row>
    <row r="1718" spans="1:5" x14ac:dyDescent="0.35">
      <c r="A1718" s="15">
        <v>65.5</v>
      </c>
      <c r="B1718" s="14">
        <v>2</v>
      </c>
      <c r="C1718">
        <f>(B1718*100)/$H$1</f>
        <v>3.9115978877371407E-2</v>
      </c>
      <c r="D1718">
        <f>D1717+C1718</f>
        <v>92.880891844318327</v>
      </c>
      <c r="E1718">
        <f>ROUNDDOWN(D1718,2)</f>
        <v>92.88</v>
      </c>
    </row>
    <row r="1719" spans="1:5" x14ac:dyDescent="0.35">
      <c r="A1719" s="15">
        <v>65.400000000000006</v>
      </c>
      <c r="B1719" s="14">
        <v>2</v>
      </c>
      <c r="C1719">
        <f>(B1719*100)/$H$1</f>
        <v>3.9115978877371407E-2</v>
      </c>
      <c r="D1719">
        <f>D1718+C1719</f>
        <v>92.920007823195704</v>
      </c>
      <c r="E1719">
        <f>ROUNDDOWN(D1719,2)</f>
        <v>92.92</v>
      </c>
    </row>
    <row r="1720" spans="1:5" x14ac:dyDescent="0.35">
      <c r="A1720" s="15">
        <v>65.3</v>
      </c>
      <c r="B1720" s="14">
        <v>4</v>
      </c>
      <c r="C1720">
        <f>(B1720*100)/$H$1</f>
        <v>7.8231957754742815E-2</v>
      </c>
      <c r="D1720">
        <f>D1719+C1720</f>
        <v>92.998239780950442</v>
      </c>
      <c r="E1720">
        <f>ROUNDDOWN(D1720,2)</f>
        <v>92.99</v>
      </c>
    </row>
    <row r="1721" spans="1:5" x14ac:dyDescent="0.35">
      <c r="A1721" s="15">
        <v>65.2</v>
      </c>
      <c r="B1721" s="14">
        <v>1</v>
      </c>
      <c r="C1721">
        <f>(B1721*100)/$H$1</f>
        <v>1.9557989438685704E-2</v>
      </c>
      <c r="D1721">
        <f>D1720+C1721</f>
        <v>93.017797770389123</v>
      </c>
      <c r="E1721">
        <f>ROUNDDOWN(D1721,2)</f>
        <v>93.01</v>
      </c>
    </row>
    <row r="1722" spans="1:5" x14ac:dyDescent="0.35">
      <c r="A1722" s="15">
        <v>65.099999999999994</v>
      </c>
      <c r="B1722" s="14">
        <v>3</v>
      </c>
      <c r="C1722">
        <f>(B1722*100)/$H$1</f>
        <v>5.8673968316057111E-2</v>
      </c>
      <c r="D1722">
        <f>D1721+C1722</f>
        <v>93.07647173870518</v>
      </c>
      <c r="E1722">
        <f>ROUNDDOWN(D1722,2)</f>
        <v>93.07</v>
      </c>
    </row>
    <row r="1723" spans="1:5" x14ac:dyDescent="0.35">
      <c r="A1723" s="15">
        <v>65</v>
      </c>
      <c r="B1723" s="14">
        <v>5</v>
      </c>
      <c r="C1723">
        <f>(B1723*100)/$H$1</f>
        <v>9.7789947193428511E-2</v>
      </c>
      <c r="D1723">
        <f>D1722+C1723</f>
        <v>93.174261685898614</v>
      </c>
      <c r="E1723">
        <f>ROUNDDOWN(D1723,2)</f>
        <v>93.17</v>
      </c>
    </row>
    <row r="1724" spans="1:5" x14ac:dyDescent="0.35">
      <c r="A1724" s="15">
        <v>64.900000000000006</v>
      </c>
      <c r="B1724" s="14">
        <v>1</v>
      </c>
      <c r="C1724">
        <f>(B1724*100)/$H$1</f>
        <v>1.9557989438685704E-2</v>
      </c>
      <c r="D1724">
        <f>D1723+C1724</f>
        <v>93.193819675337295</v>
      </c>
      <c r="E1724">
        <f>ROUNDDOWN(D1724,2)</f>
        <v>93.19</v>
      </c>
    </row>
    <row r="1725" spans="1:5" x14ac:dyDescent="0.35">
      <c r="A1725" s="15">
        <v>64.7</v>
      </c>
      <c r="B1725" s="14">
        <v>2</v>
      </c>
      <c r="C1725">
        <f>(B1725*100)/$H$1</f>
        <v>3.9115978877371407E-2</v>
      </c>
      <c r="D1725">
        <f>D1724+C1725</f>
        <v>93.232935654214671</v>
      </c>
      <c r="E1725">
        <f>ROUNDDOWN(D1725,2)</f>
        <v>93.23</v>
      </c>
    </row>
    <row r="1726" spans="1:5" x14ac:dyDescent="0.35">
      <c r="A1726" s="15">
        <v>64.599999999999994</v>
      </c>
      <c r="B1726" s="14">
        <v>3</v>
      </c>
      <c r="C1726">
        <f>(B1726*100)/$H$1</f>
        <v>5.8673968316057111E-2</v>
      </c>
      <c r="D1726">
        <f>D1725+C1726</f>
        <v>93.291609622530729</v>
      </c>
      <c r="E1726">
        <f>ROUNDDOWN(D1726,2)</f>
        <v>93.29</v>
      </c>
    </row>
    <row r="1727" spans="1:5" x14ac:dyDescent="0.35">
      <c r="A1727" s="15">
        <v>64.5</v>
      </c>
      <c r="B1727" s="14">
        <v>2</v>
      </c>
      <c r="C1727">
        <f>(B1727*100)/$H$1</f>
        <v>3.9115978877371407E-2</v>
      </c>
      <c r="D1727">
        <f>D1726+C1727</f>
        <v>93.330725601408105</v>
      </c>
      <c r="E1727">
        <f>ROUNDDOWN(D1727,2)</f>
        <v>93.33</v>
      </c>
    </row>
    <row r="1728" spans="1:5" x14ac:dyDescent="0.35">
      <c r="A1728" s="15">
        <v>64.400000000000006</v>
      </c>
      <c r="B1728" s="14">
        <v>1</v>
      </c>
      <c r="C1728">
        <f>(B1728*100)/$H$1</f>
        <v>1.9557989438685704E-2</v>
      </c>
      <c r="D1728">
        <f>D1727+C1728</f>
        <v>93.350283590846786</v>
      </c>
      <c r="E1728">
        <f>ROUNDDOWN(D1728,2)</f>
        <v>93.35</v>
      </c>
    </row>
    <row r="1729" spans="1:5" x14ac:dyDescent="0.35">
      <c r="A1729" s="15">
        <v>64.3</v>
      </c>
      <c r="B1729" s="14">
        <v>1</v>
      </c>
      <c r="C1729">
        <f>(B1729*100)/$H$1</f>
        <v>1.9557989438685704E-2</v>
      </c>
      <c r="D1729">
        <f>D1728+C1729</f>
        <v>93.369841580285467</v>
      </c>
      <c r="E1729">
        <f>ROUNDDOWN(D1729,2)</f>
        <v>93.36</v>
      </c>
    </row>
    <row r="1730" spans="1:5" x14ac:dyDescent="0.35">
      <c r="A1730" s="15">
        <v>64.2</v>
      </c>
      <c r="B1730" s="14">
        <v>2</v>
      </c>
      <c r="C1730">
        <f>(B1730*100)/$H$1</f>
        <v>3.9115978877371407E-2</v>
      </c>
      <c r="D1730">
        <f>D1729+C1730</f>
        <v>93.408957559162843</v>
      </c>
      <c r="E1730">
        <f>ROUNDDOWN(D1730,2)</f>
        <v>93.4</v>
      </c>
    </row>
    <row r="1731" spans="1:5" x14ac:dyDescent="0.35">
      <c r="A1731" s="15">
        <v>64</v>
      </c>
      <c r="B1731" s="14">
        <v>4</v>
      </c>
      <c r="C1731">
        <f>(B1731*100)/$H$1</f>
        <v>7.8231957754742815E-2</v>
      </c>
      <c r="D1731">
        <f>D1730+C1731</f>
        <v>93.487189516917581</v>
      </c>
      <c r="E1731">
        <f>ROUNDDOWN(D1731,2)</f>
        <v>93.48</v>
      </c>
    </row>
    <row r="1732" spans="1:5" x14ac:dyDescent="0.35">
      <c r="A1732" s="15">
        <v>63.9</v>
      </c>
      <c r="B1732" s="14">
        <v>5</v>
      </c>
      <c r="C1732">
        <f>(B1732*100)/$H$1</f>
        <v>9.7789947193428511E-2</v>
      </c>
      <c r="D1732">
        <f>D1731+C1732</f>
        <v>93.584979464111015</v>
      </c>
      <c r="E1732">
        <f>ROUNDDOWN(D1732,2)</f>
        <v>93.58</v>
      </c>
    </row>
    <row r="1733" spans="1:5" x14ac:dyDescent="0.35">
      <c r="A1733" s="15">
        <v>63.8</v>
      </c>
      <c r="B1733" s="14">
        <v>1</v>
      </c>
      <c r="C1733">
        <f>(B1733*100)/$H$1</f>
        <v>1.9557989438685704E-2</v>
      </c>
      <c r="D1733">
        <f>D1732+C1733</f>
        <v>93.604537453549696</v>
      </c>
      <c r="E1733">
        <f>ROUNDDOWN(D1733,2)</f>
        <v>93.6</v>
      </c>
    </row>
    <row r="1734" spans="1:5" x14ac:dyDescent="0.35">
      <c r="A1734" s="15">
        <v>63.7</v>
      </c>
      <c r="B1734" s="14">
        <v>2</v>
      </c>
      <c r="C1734">
        <f>(B1734*100)/$H$1</f>
        <v>3.9115978877371407E-2</v>
      </c>
      <c r="D1734">
        <f>D1733+C1734</f>
        <v>93.643653432427072</v>
      </c>
      <c r="E1734">
        <f>ROUNDDOWN(D1734,2)</f>
        <v>93.64</v>
      </c>
    </row>
    <row r="1735" spans="1:5" x14ac:dyDescent="0.35">
      <c r="A1735" s="15">
        <v>63.6</v>
      </c>
      <c r="B1735" s="14">
        <v>2</v>
      </c>
      <c r="C1735">
        <f>(B1735*100)/$H$1</f>
        <v>3.9115978877371407E-2</v>
      </c>
      <c r="D1735">
        <f>D1734+C1735</f>
        <v>93.682769411304449</v>
      </c>
      <c r="E1735">
        <f>ROUNDDOWN(D1735,2)</f>
        <v>93.68</v>
      </c>
    </row>
    <row r="1736" spans="1:5" x14ac:dyDescent="0.35">
      <c r="A1736" s="15">
        <v>63.5</v>
      </c>
      <c r="B1736" s="14">
        <v>4</v>
      </c>
      <c r="C1736">
        <f>(B1736*100)/$H$1</f>
        <v>7.8231957754742815E-2</v>
      </c>
      <c r="D1736">
        <f>D1735+C1736</f>
        <v>93.761001369059187</v>
      </c>
      <c r="E1736">
        <f>ROUNDDOWN(D1736,2)</f>
        <v>93.76</v>
      </c>
    </row>
    <row r="1737" spans="1:5" x14ac:dyDescent="0.35">
      <c r="A1737" s="15">
        <v>63.4</v>
      </c>
      <c r="B1737" s="14">
        <v>3</v>
      </c>
      <c r="C1737">
        <f>(B1737*100)/$H$1</f>
        <v>5.8673968316057111E-2</v>
      </c>
      <c r="D1737">
        <f>D1736+C1737</f>
        <v>93.819675337375244</v>
      </c>
      <c r="E1737">
        <f>ROUNDDOWN(D1737,2)</f>
        <v>93.81</v>
      </c>
    </row>
    <row r="1738" spans="1:5" x14ac:dyDescent="0.35">
      <c r="A1738" s="15">
        <v>63.3</v>
      </c>
      <c r="B1738" s="14">
        <v>1</v>
      </c>
      <c r="C1738">
        <f>(B1738*100)/$H$1</f>
        <v>1.9557989438685704E-2</v>
      </c>
      <c r="D1738">
        <f>D1737+C1738</f>
        <v>93.839233326813925</v>
      </c>
      <c r="E1738">
        <f>ROUNDDOWN(D1738,2)</f>
        <v>93.83</v>
      </c>
    </row>
    <row r="1739" spans="1:5" x14ac:dyDescent="0.35">
      <c r="A1739" s="15">
        <v>63.2</v>
      </c>
      <c r="B1739" s="14">
        <v>3</v>
      </c>
      <c r="C1739">
        <f>(B1739*100)/$H$1</f>
        <v>5.8673968316057111E-2</v>
      </c>
      <c r="D1739">
        <f>D1738+C1739</f>
        <v>93.897907295129983</v>
      </c>
      <c r="E1739">
        <f>ROUNDDOWN(D1739,2)</f>
        <v>93.89</v>
      </c>
    </row>
    <row r="1740" spans="1:5" x14ac:dyDescent="0.35">
      <c r="A1740" s="15">
        <v>63.1</v>
      </c>
      <c r="B1740" s="14">
        <v>4</v>
      </c>
      <c r="C1740">
        <f>(B1740*100)/$H$1</f>
        <v>7.8231957754742815E-2</v>
      </c>
      <c r="D1740">
        <f>D1739+C1740</f>
        <v>93.976139252884721</v>
      </c>
      <c r="E1740">
        <f>ROUNDDOWN(D1740,2)</f>
        <v>93.97</v>
      </c>
    </row>
    <row r="1741" spans="1:5" x14ac:dyDescent="0.35">
      <c r="A1741" s="15">
        <v>63</v>
      </c>
      <c r="B1741" s="14">
        <v>1</v>
      </c>
      <c r="C1741">
        <f>(B1741*100)/$H$1</f>
        <v>1.9557989438685704E-2</v>
      </c>
      <c r="D1741">
        <f>D1740+C1741</f>
        <v>93.995697242323402</v>
      </c>
      <c r="E1741">
        <f>ROUNDDOWN(D1741,2)</f>
        <v>93.99</v>
      </c>
    </row>
    <row r="1742" spans="1:5" x14ac:dyDescent="0.35">
      <c r="A1742" s="15">
        <v>62.8</v>
      </c>
      <c r="B1742" s="14">
        <v>1</v>
      </c>
      <c r="C1742">
        <f>(B1742*100)/$H$1</f>
        <v>1.9557989438685704E-2</v>
      </c>
      <c r="D1742">
        <f>D1741+C1742</f>
        <v>94.015255231762083</v>
      </c>
      <c r="E1742">
        <f>ROUNDDOWN(D1742,2)</f>
        <v>94.01</v>
      </c>
    </row>
    <row r="1743" spans="1:5" x14ac:dyDescent="0.35">
      <c r="A1743" s="15">
        <v>62.7</v>
      </c>
      <c r="B1743" s="14">
        <v>5</v>
      </c>
      <c r="C1743">
        <f>(B1743*100)/$H$1</f>
        <v>9.7789947193428511E-2</v>
      </c>
      <c r="D1743">
        <f>D1742+C1743</f>
        <v>94.113045178955517</v>
      </c>
      <c r="E1743">
        <f>ROUNDDOWN(D1743,2)</f>
        <v>94.11</v>
      </c>
    </row>
    <row r="1744" spans="1:5" x14ac:dyDescent="0.35">
      <c r="A1744" s="15">
        <v>62.6</v>
      </c>
      <c r="B1744" s="14">
        <v>2</v>
      </c>
      <c r="C1744">
        <f>(B1744*100)/$H$1</f>
        <v>3.9115978877371407E-2</v>
      </c>
      <c r="D1744">
        <f>D1743+C1744</f>
        <v>94.152161157832893</v>
      </c>
      <c r="E1744">
        <f>ROUNDDOWN(D1744,2)</f>
        <v>94.15</v>
      </c>
    </row>
    <row r="1745" spans="1:5" x14ac:dyDescent="0.35">
      <c r="A1745" s="15">
        <v>62.5</v>
      </c>
      <c r="B1745" s="14">
        <v>2</v>
      </c>
      <c r="C1745">
        <f>(B1745*100)/$H$1</f>
        <v>3.9115978877371407E-2</v>
      </c>
      <c r="D1745">
        <f>D1744+C1745</f>
        <v>94.191277136710269</v>
      </c>
      <c r="E1745">
        <f>ROUNDDOWN(D1745,2)</f>
        <v>94.19</v>
      </c>
    </row>
    <row r="1746" spans="1:5" x14ac:dyDescent="0.35">
      <c r="A1746" s="15">
        <v>62.4</v>
      </c>
      <c r="B1746" s="14">
        <v>1</v>
      </c>
      <c r="C1746">
        <f>(B1746*100)/$H$1</f>
        <v>1.9557989438685704E-2</v>
      </c>
      <c r="D1746">
        <f>D1745+C1746</f>
        <v>94.21083512614895</v>
      </c>
      <c r="E1746">
        <f>ROUNDDOWN(D1746,2)</f>
        <v>94.21</v>
      </c>
    </row>
    <row r="1747" spans="1:5" x14ac:dyDescent="0.35">
      <c r="A1747" s="15">
        <v>62.3</v>
      </c>
      <c r="B1747" s="14">
        <v>6</v>
      </c>
      <c r="C1747">
        <f>(B1747*100)/$H$1</f>
        <v>0.11734793663211422</v>
      </c>
      <c r="D1747">
        <f>D1746+C1747</f>
        <v>94.328183062781065</v>
      </c>
      <c r="E1747">
        <f>ROUNDDOWN(D1747,2)</f>
        <v>94.32</v>
      </c>
    </row>
    <row r="1748" spans="1:5" x14ac:dyDescent="0.35">
      <c r="A1748" s="15">
        <v>62.1</v>
      </c>
      <c r="B1748" s="14">
        <v>2</v>
      </c>
      <c r="C1748">
        <f>(B1748*100)/$H$1</f>
        <v>3.9115978877371407E-2</v>
      </c>
      <c r="D1748">
        <f>D1747+C1748</f>
        <v>94.367299041658441</v>
      </c>
      <c r="E1748">
        <f>ROUNDDOWN(D1748,2)</f>
        <v>94.36</v>
      </c>
    </row>
    <row r="1749" spans="1:5" x14ac:dyDescent="0.35">
      <c r="A1749" s="15">
        <v>62</v>
      </c>
      <c r="B1749" s="14">
        <v>8</v>
      </c>
      <c r="C1749">
        <f>(B1749*100)/$H$1</f>
        <v>0.15646391550948563</v>
      </c>
      <c r="D1749">
        <f>D1748+C1749</f>
        <v>94.523762957167932</v>
      </c>
      <c r="E1749">
        <f>ROUNDDOWN(D1749,2)</f>
        <v>94.52</v>
      </c>
    </row>
    <row r="1750" spans="1:5" x14ac:dyDescent="0.35">
      <c r="A1750" s="15">
        <v>61.9</v>
      </c>
      <c r="B1750" s="14">
        <v>5</v>
      </c>
      <c r="C1750">
        <f>(B1750*100)/$H$1</f>
        <v>9.7789947193428511E-2</v>
      </c>
      <c r="D1750">
        <f>D1749+C1750</f>
        <v>94.621552904361366</v>
      </c>
      <c r="E1750">
        <f>ROUNDDOWN(D1750,2)</f>
        <v>94.62</v>
      </c>
    </row>
    <row r="1751" spans="1:5" x14ac:dyDescent="0.35">
      <c r="A1751" s="15">
        <v>61.8</v>
      </c>
      <c r="B1751" s="14">
        <v>5</v>
      </c>
      <c r="C1751">
        <f>(B1751*100)/$H$1</f>
        <v>9.7789947193428511E-2</v>
      </c>
      <c r="D1751">
        <f>D1750+C1751</f>
        <v>94.719342851554799</v>
      </c>
      <c r="E1751">
        <f>ROUNDDOWN(D1751,2)</f>
        <v>94.71</v>
      </c>
    </row>
    <row r="1752" spans="1:5" x14ac:dyDescent="0.35">
      <c r="A1752" s="15">
        <v>61.7</v>
      </c>
      <c r="B1752" s="14">
        <v>9</v>
      </c>
      <c r="C1752">
        <f>(B1752*100)/$H$1</f>
        <v>0.17602190494817133</v>
      </c>
      <c r="D1752">
        <f>D1751+C1752</f>
        <v>94.895364756502971</v>
      </c>
      <c r="E1752">
        <f>ROUNDDOWN(D1752,2)</f>
        <v>94.89</v>
      </c>
    </row>
    <row r="1753" spans="1:5" x14ac:dyDescent="0.35">
      <c r="A1753" s="15">
        <v>61.6</v>
      </c>
      <c r="B1753" s="14">
        <v>5</v>
      </c>
      <c r="C1753">
        <f>(B1753*100)/$H$1</f>
        <v>9.7789947193428511E-2</v>
      </c>
      <c r="D1753">
        <f>D1752+C1753</f>
        <v>94.993154703696405</v>
      </c>
      <c r="E1753">
        <f>ROUNDDOWN(D1753,2)</f>
        <v>94.99</v>
      </c>
    </row>
    <row r="1754" spans="1:5" x14ac:dyDescent="0.35">
      <c r="A1754" s="15">
        <v>61.5</v>
      </c>
      <c r="B1754" s="14">
        <v>3</v>
      </c>
      <c r="C1754">
        <f>(B1754*100)/$H$1</f>
        <v>5.8673968316057111E-2</v>
      </c>
      <c r="D1754">
        <f>D1753+C1754</f>
        <v>95.051828672012462</v>
      </c>
      <c r="E1754">
        <f>ROUNDDOWN(D1754,2)</f>
        <v>95.05</v>
      </c>
    </row>
    <row r="1755" spans="1:5" x14ac:dyDescent="0.35">
      <c r="A1755" s="15">
        <v>61.4</v>
      </c>
      <c r="B1755" s="14">
        <v>4</v>
      </c>
      <c r="C1755">
        <f>(B1755*100)/$H$1</f>
        <v>7.8231957754742815E-2</v>
      </c>
      <c r="D1755">
        <f>D1754+C1755</f>
        <v>95.1300606297672</v>
      </c>
      <c r="E1755">
        <f>ROUNDDOWN(D1755,2)</f>
        <v>95.13</v>
      </c>
    </row>
    <row r="1756" spans="1:5" x14ac:dyDescent="0.35">
      <c r="A1756" s="15">
        <v>61.3</v>
      </c>
      <c r="B1756" s="14">
        <v>5</v>
      </c>
      <c r="C1756">
        <f>(B1756*100)/$H$1</f>
        <v>9.7789947193428511E-2</v>
      </c>
      <c r="D1756">
        <f>D1755+C1756</f>
        <v>95.227850576960634</v>
      </c>
      <c r="E1756">
        <f>ROUNDDOWN(D1756,2)</f>
        <v>95.22</v>
      </c>
    </row>
    <row r="1757" spans="1:5" x14ac:dyDescent="0.35">
      <c r="A1757" s="15">
        <v>61.2</v>
      </c>
      <c r="B1757" s="14">
        <v>5</v>
      </c>
      <c r="C1757">
        <f>(B1757*100)/$H$1</f>
        <v>9.7789947193428511E-2</v>
      </c>
      <c r="D1757">
        <f>D1756+C1757</f>
        <v>95.325640524154068</v>
      </c>
      <c r="E1757">
        <f>ROUNDDOWN(D1757,2)</f>
        <v>95.32</v>
      </c>
    </row>
    <row r="1758" spans="1:5" x14ac:dyDescent="0.35">
      <c r="A1758" s="15">
        <v>61.1</v>
      </c>
      <c r="B1758" s="14">
        <v>9</v>
      </c>
      <c r="C1758">
        <f>(B1758*100)/$H$1</f>
        <v>0.17602190494817133</v>
      </c>
      <c r="D1758">
        <f>D1757+C1758</f>
        <v>95.50166242910224</v>
      </c>
      <c r="E1758">
        <f>ROUNDDOWN(D1758,2)</f>
        <v>95.5</v>
      </c>
    </row>
    <row r="1759" spans="1:5" x14ac:dyDescent="0.35">
      <c r="A1759" s="15">
        <v>61</v>
      </c>
      <c r="B1759" s="14">
        <v>10</v>
      </c>
      <c r="C1759">
        <f>(B1759*100)/$H$1</f>
        <v>0.19557989438685702</v>
      </c>
      <c r="D1759">
        <f>D1758+C1759</f>
        <v>95.697242323489093</v>
      </c>
      <c r="E1759">
        <f>ROUNDDOWN(D1759,2)</f>
        <v>95.69</v>
      </c>
    </row>
    <row r="1760" spans="1:5" x14ac:dyDescent="0.35">
      <c r="A1760" s="15">
        <v>60.9</v>
      </c>
      <c r="B1760" s="14">
        <v>6</v>
      </c>
      <c r="C1760">
        <f>(B1760*100)/$H$1</f>
        <v>0.11734793663211422</v>
      </c>
      <c r="D1760">
        <f>D1759+C1760</f>
        <v>95.814590260121207</v>
      </c>
      <c r="E1760">
        <f>ROUNDDOWN(D1760,2)</f>
        <v>95.81</v>
      </c>
    </row>
    <row r="1761" spans="1:5" x14ac:dyDescent="0.35">
      <c r="A1761" s="15">
        <v>60.8</v>
      </c>
      <c r="B1761" s="14">
        <v>11</v>
      </c>
      <c r="C1761">
        <f>(B1761*100)/$H$1</f>
        <v>0.21513788382554275</v>
      </c>
      <c r="D1761">
        <f>D1760+C1761</f>
        <v>96.029728143946755</v>
      </c>
      <c r="E1761">
        <f>ROUNDDOWN(D1761,2)</f>
        <v>96.02</v>
      </c>
    </row>
    <row r="1762" spans="1:5" x14ac:dyDescent="0.35">
      <c r="A1762" s="15">
        <v>60.7</v>
      </c>
      <c r="B1762" s="14">
        <v>9</v>
      </c>
      <c r="C1762">
        <f>(B1762*100)/$H$1</f>
        <v>0.17602190494817133</v>
      </c>
      <c r="D1762">
        <f>D1761+C1762</f>
        <v>96.205750048894927</v>
      </c>
      <c r="E1762">
        <f>ROUNDDOWN(D1762,2)</f>
        <v>96.2</v>
      </c>
    </row>
    <row r="1763" spans="1:5" x14ac:dyDescent="0.35">
      <c r="A1763" s="15">
        <v>60.6</v>
      </c>
      <c r="B1763" s="14">
        <v>14</v>
      </c>
      <c r="C1763">
        <f>(B1763*100)/$H$1</f>
        <v>0.27381185214159987</v>
      </c>
      <c r="D1763">
        <f>D1762+C1763</f>
        <v>96.479561901036533</v>
      </c>
      <c r="E1763">
        <f>ROUNDDOWN(D1763,2)</f>
        <v>96.47</v>
      </c>
    </row>
    <row r="1764" spans="1:5" x14ac:dyDescent="0.35">
      <c r="A1764" s="15">
        <v>60.5</v>
      </c>
      <c r="B1764" s="14">
        <v>19</v>
      </c>
      <c r="C1764">
        <f>(B1764*100)/$H$1</f>
        <v>0.37160179933502835</v>
      </c>
      <c r="D1764">
        <f>D1763+C1764</f>
        <v>96.851163700371558</v>
      </c>
      <c r="E1764">
        <f>ROUNDDOWN(D1764,2)</f>
        <v>96.85</v>
      </c>
    </row>
    <row r="1765" spans="1:5" x14ac:dyDescent="0.35">
      <c r="A1765" s="15">
        <v>60.4</v>
      </c>
      <c r="B1765" s="14">
        <v>25</v>
      </c>
      <c r="C1765">
        <f>(B1765*100)/$H$1</f>
        <v>0.48894973596714258</v>
      </c>
      <c r="D1765">
        <f>D1764+C1765</f>
        <v>97.340113436338697</v>
      </c>
      <c r="E1765">
        <f>ROUNDDOWN(D1765,2)</f>
        <v>97.34</v>
      </c>
    </row>
    <row r="1766" spans="1:5" x14ac:dyDescent="0.35">
      <c r="A1766" s="15">
        <v>60.3</v>
      </c>
      <c r="B1766" s="14">
        <v>25</v>
      </c>
      <c r="C1766">
        <f>(B1766*100)/$H$1</f>
        <v>0.48894973596714258</v>
      </c>
      <c r="D1766">
        <f>D1765+C1766</f>
        <v>97.829063172305837</v>
      </c>
      <c r="E1766">
        <f>ROUNDDOWN(D1766,2)</f>
        <v>97.82</v>
      </c>
    </row>
    <row r="1767" spans="1:5" x14ac:dyDescent="0.35">
      <c r="A1767" s="15">
        <v>60.2</v>
      </c>
      <c r="B1767" s="14">
        <v>24</v>
      </c>
      <c r="C1767">
        <f>(B1767*100)/$H$1</f>
        <v>0.46939174652845689</v>
      </c>
      <c r="D1767">
        <f>D1766+C1767</f>
        <v>98.298454918834295</v>
      </c>
      <c r="E1767">
        <f>ROUNDDOWN(D1767,2)</f>
        <v>98.29</v>
      </c>
    </row>
    <row r="1768" spans="1:5" x14ac:dyDescent="0.35">
      <c r="A1768" s="15">
        <v>60.1</v>
      </c>
      <c r="B1768" s="14">
        <v>25</v>
      </c>
      <c r="C1768">
        <f>(B1768*100)/$H$1</f>
        <v>0.48894973596714258</v>
      </c>
      <c r="D1768">
        <f>D1767+C1768</f>
        <v>98.787404654801435</v>
      </c>
      <c r="E1768">
        <f>ROUNDDOWN(D1768,2)</f>
        <v>98.78</v>
      </c>
    </row>
    <row r="1769" spans="1:5" x14ac:dyDescent="0.35">
      <c r="A1769" s="15">
        <v>60</v>
      </c>
      <c r="B1769" s="14">
        <v>62</v>
      </c>
      <c r="C1769">
        <f>(B1769*100)/$H$1</f>
        <v>1.2125953451985136</v>
      </c>
      <c r="D1769">
        <f>D1768+C1769</f>
        <v>99.999999999999943</v>
      </c>
      <c r="E1769">
        <v>100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Qsim_DEC2022</vt:lpstr>
      <vt:lpstr>Jour_Navigable (3)</vt:lpstr>
      <vt:lpstr>Qmoyennes</vt:lpstr>
      <vt:lpstr>profondeur-calc</vt:lpstr>
      <vt:lpstr>courbe debit classé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Administrator</cp:lastModifiedBy>
  <dcterms:created xsi:type="dcterms:W3CDTF">2026-05-18T13:08:52Z</dcterms:created>
  <dcterms:modified xsi:type="dcterms:W3CDTF">2026-08-16T15:18:35Z</dcterms:modified>
</cp:coreProperties>
</file>